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https://d.docs.live.net/38316a76b095f274/PMS-Decision-Platform/02_Final_Master/"/>
    </mc:Choice>
  </mc:AlternateContent>
  <xr:revisionPtr revIDLastSave="15" documentId="11_F7D8D45A568650CA9F1EC2D8EB83E42CF186CB8D" xr6:coauthVersionLast="47" xr6:coauthVersionMax="47" xr10:uidLastSave="{281B31F1-4751-C841-A713-BDB7D1049823}"/>
  <bookViews>
    <workbookView xWindow="4420" yWindow="780" windowWidth="31580" windowHeight="22600" xr2:uid="{00000000-000D-0000-FFFF-FFFF00000000}"/>
  </bookViews>
  <sheets>
    <sheet name="Sheet1" sheetId="1" r:id="rId1"/>
    <sheet name="Review Needed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3" i="1" l="1"/>
  <c r="E95" i="1"/>
  <c r="E64" i="1"/>
  <c r="G94" i="1"/>
  <c r="E500" i="1" l="1"/>
  <c r="G499" i="1"/>
  <c r="G498" i="1"/>
  <c r="E496" i="1"/>
  <c r="G495" i="1"/>
  <c r="G494" i="1"/>
  <c r="E492" i="1"/>
  <c r="G491" i="1"/>
  <c r="G490" i="1"/>
  <c r="E488" i="1"/>
  <c r="G458" i="1"/>
  <c r="G457" i="1"/>
  <c r="G456" i="1"/>
  <c r="G455" i="1"/>
  <c r="G453" i="1"/>
  <c r="G451" i="1"/>
  <c r="E450" i="1"/>
  <c r="G449" i="1"/>
  <c r="G448" i="1"/>
  <c r="G447" i="1"/>
  <c r="E446" i="1"/>
  <c r="G445" i="1"/>
  <c r="G444" i="1"/>
  <c r="G443" i="1"/>
  <c r="G442" i="1"/>
  <c r="E441" i="1"/>
  <c r="G440" i="1"/>
  <c r="G438" i="1"/>
  <c r="G437" i="1"/>
  <c r="G436" i="1"/>
  <c r="G435" i="1"/>
  <c r="G434" i="1"/>
  <c r="E433" i="1"/>
  <c r="G432" i="1"/>
  <c r="G431" i="1"/>
  <c r="G430" i="1"/>
  <c r="G429" i="1"/>
  <c r="E428" i="1"/>
  <c r="G427" i="1"/>
  <c r="G426" i="1"/>
  <c r="G425" i="1"/>
  <c r="G424" i="1"/>
  <c r="G423" i="1"/>
  <c r="E422" i="1"/>
  <c r="G421" i="1"/>
  <c r="G420" i="1"/>
  <c r="G419" i="1"/>
  <c r="G418" i="1"/>
  <c r="G417" i="1"/>
  <c r="G416" i="1"/>
  <c r="G415" i="1"/>
  <c r="G414" i="1"/>
  <c r="E413" i="1"/>
  <c r="G412" i="1"/>
  <c r="G411" i="1"/>
  <c r="G410" i="1"/>
  <c r="G409" i="1"/>
  <c r="G408" i="1"/>
  <c r="E407" i="1"/>
  <c r="G406" i="1"/>
  <c r="G405" i="1"/>
  <c r="G404" i="1"/>
  <c r="E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E390" i="1"/>
  <c r="G389" i="1"/>
  <c r="G388" i="1"/>
  <c r="E387" i="1"/>
  <c r="G386" i="1"/>
  <c r="G385" i="1"/>
  <c r="G384" i="1"/>
  <c r="E383" i="1"/>
  <c r="G382" i="1"/>
  <c r="G381" i="1"/>
  <c r="G380" i="1"/>
  <c r="G379" i="1"/>
  <c r="G378" i="1"/>
  <c r="G377" i="1"/>
  <c r="E376" i="1"/>
  <c r="G375" i="1"/>
  <c r="G374" i="1"/>
  <c r="E373" i="1"/>
  <c r="G372" i="1"/>
  <c r="G371" i="1"/>
  <c r="G370" i="1"/>
  <c r="G369" i="1"/>
  <c r="G368" i="1"/>
  <c r="G367" i="1"/>
  <c r="G366" i="1"/>
  <c r="E365" i="1"/>
  <c r="G364" i="1"/>
  <c r="G363" i="1"/>
  <c r="G362" i="1"/>
  <c r="G361" i="1"/>
  <c r="E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E344" i="1"/>
  <c r="G343" i="1"/>
  <c r="G342" i="1"/>
  <c r="G341" i="1"/>
  <c r="G340" i="1"/>
  <c r="E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E326" i="1"/>
  <c r="G325" i="1"/>
  <c r="G324" i="1"/>
  <c r="G323" i="1"/>
  <c r="G322" i="1"/>
  <c r="G321" i="1"/>
  <c r="G320" i="1"/>
  <c r="E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E305" i="1"/>
  <c r="G304" i="1"/>
  <c r="G303" i="1"/>
  <c r="G302" i="1"/>
  <c r="G301" i="1"/>
  <c r="E300" i="1"/>
  <c r="G299" i="1"/>
  <c r="G298" i="1"/>
  <c r="E297" i="1"/>
  <c r="G296" i="1"/>
  <c r="G295" i="1"/>
  <c r="G294" i="1"/>
  <c r="G293" i="1"/>
  <c r="G292" i="1"/>
  <c r="G291" i="1"/>
  <c r="E290" i="1"/>
  <c r="G289" i="1"/>
  <c r="G288" i="1"/>
  <c r="G287" i="1"/>
  <c r="G286" i="1"/>
  <c r="G285" i="1"/>
  <c r="G284" i="1"/>
  <c r="E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E267" i="1"/>
  <c r="G266" i="1"/>
  <c r="G265" i="1"/>
  <c r="G264" i="1"/>
  <c r="G263" i="1"/>
  <c r="G262" i="1"/>
  <c r="G261" i="1"/>
  <c r="G260" i="1"/>
  <c r="G259" i="1"/>
  <c r="G258" i="1"/>
  <c r="G257" i="1"/>
  <c r="E256" i="1"/>
  <c r="G255" i="1"/>
  <c r="G254" i="1"/>
  <c r="G253" i="1"/>
  <c r="E252" i="1"/>
  <c r="G251" i="1"/>
  <c r="G250" i="1"/>
  <c r="G249" i="1"/>
  <c r="E248" i="1"/>
  <c r="G247" i="1"/>
  <c r="G246" i="1"/>
  <c r="G245" i="1"/>
  <c r="G244" i="1"/>
  <c r="G243" i="1"/>
  <c r="G242" i="1"/>
  <c r="E241" i="1"/>
  <c r="G240" i="1"/>
  <c r="G239" i="1"/>
  <c r="G238" i="1"/>
  <c r="G237" i="1"/>
  <c r="G236" i="1"/>
  <c r="E235" i="1"/>
  <c r="G234" i="1"/>
  <c r="G233" i="1"/>
  <c r="G232" i="1"/>
  <c r="E231" i="1"/>
  <c r="G230" i="1"/>
  <c r="G229" i="1"/>
  <c r="G228" i="1"/>
  <c r="E227" i="1"/>
  <c r="G226" i="1"/>
  <c r="G225" i="1"/>
  <c r="G224" i="1"/>
  <c r="G223" i="1"/>
  <c r="G222" i="1"/>
  <c r="G221" i="1"/>
  <c r="G220" i="1"/>
  <c r="G219" i="1"/>
  <c r="E218" i="1"/>
  <c r="G217" i="1"/>
  <c r="G216" i="1"/>
  <c r="G215" i="1"/>
  <c r="E214" i="1"/>
  <c r="G213" i="1"/>
  <c r="G212" i="1"/>
  <c r="G211" i="1"/>
  <c r="E210" i="1"/>
  <c r="G209" i="1"/>
  <c r="G208" i="1"/>
  <c r="G207" i="1"/>
  <c r="E206" i="1"/>
  <c r="G205" i="1"/>
  <c r="G204" i="1"/>
  <c r="G202" i="1"/>
  <c r="G201" i="1"/>
  <c r="G200" i="1"/>
  <c r="G199" i="1"/>
  <c r="G198" i="1"/>
  <c r="E197" i="1"/>
  <c r="G196" i="1"/>
  <c r="G195" i="1"/>
  <c r="G194" i="1"/>
  <c r="E193" i="1"/>
  <c r="G192" i="1"/>
  <c r="G191" i="1"/>
  <c r="G190" i="1"/>
  <c r="E189" i="1"/>
  <c r="G188" i="1"/>
  <c r="G187" i="1"/>
  <c r="G186" i="1"/>
  <c r="G185" i="1"/>
  <c r="G184" i="1"/>
  <c r="E183" i="1"/>
  <c r="G182" i="1"/>
  <c r="G181" i="1"/>
  <c r="G180" i="1"/>
  <c r="E179" i="1"/>
  <c r="G178" i="1"/>
  <c r="G177" i="1"/>
  <c r="G176" i="1"/>
  <c r="G175" i="1"/>
  <c r="E174" i="1"/>
  <c r="G173" i="1"/>
  <c r="G172" i="1"/>
  <c r="G171" i="1"/>
  <c r="G170" i="1"/>
  <c r="E169" i="1"/>
  <c r="G168" i="1"/>
  <c r="G167" i="1"/>
  <c r="G166" i="1"/>
  <c r="G165" i="1"/>
  <c r="G164" i="1"/>
  <c r="G163" i="1"/>
  <c r="E162" i="1"/>
  <c r="G161" i="1"/>
  <c r="G160" i="1"/>
  <c r="G159" i="1"/>
  <c r="G158" i="1"/>
  <c r="G157" i="1"/>
  <c r="G156" i="1"/>
  <c r="G155" i="1"/>
  <c r="G154" i="1"/>
  <c r="G153" i="1"/>
  <c r="E152" i="1"/>
  <c r="G151" i="1"/>
  <c r="G150" i="1"/>
  <c r="G149" i="1"/>
  <c r="G148" i="1"/>
  <c r="G147" i="1"/>
  <c r="E146" i="1"/>
  <c r="G145" i="1"/>
  <c r="G144" i="1"/>
  <c r="E143" i="1"/>
  <c r="G142" i="1"/>
  <c r="G141" i="1"/>
  <c r="G140" i="1"/>
  <c r="G139" i="1"/>
  <c r="G138" i="1"/>
  <c r="G137" i="1"/>
  <c r="G136" i="1"/>
  <c r="E135" i="1"/>
  <c r="G134" i="1"/>
  <c r="G133" i="1"/>
  <c r="E132" i="1"/>
  <c r="G131" i="1"/>
  <c r="G130" i="1"/>
  <c r="G129" i="1"/>
  <c r="E128" i="1"/>
  <c r="G127" i="1"/>
  <c r="G126" i="1"/>
  <c r="G125" i="1"/>
  <c r="G124" i="1"/>
  <c r="G123" i="1"/>
  <c r="E122" i="1"/>
  <c r="G121" i="1"/>
  <c r="G120" i="1"/>
  <c r="G119" i="1"/>
  <c r="G118" i="1"/>
  <c r="E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E100" i="1"/>
  <c r="G99" i="1"/>
  <c r="G98" i="1"/>
  <c r="G97" i="1"/>
  <c r="G96" i="1"/>
  <c r="G93" i="1"/>
  <c r="G92" i="1"/>
  <c r="E91" i="1"/>
  <c r="G90" i="1"/>
  <c r="G89" i="1"/>
  <c r="G88" i="1"/>
  <c r="E87" i="1"/>
  <c r="G86" i="1"/>
  <c r="G85" i="1"/>
  <c r="E84" i="1"/>
  <c r="G83" i="1"/>
  <c r="G82" i="1"/>
  <c r="E81" i="1"/>
  <c r="G80" i="1"/>
  <c r="G79" i="1"/>
  <c r="G78" i="1"/>
  <c r="G77" i="1"/>
  <c r="G76" i="1"/>
  <c r="G75" i="1"/>
  <c r="G74" i="1"/>
  <c r="G73" i="1"/>
  <c r="G72" i="1"/>
  <c r="E71" i="1"/>
  <c r="G70" i="1"/>
  <c r="G69" i="1"/>
  <c r="E68" i="1"/>
  <c r="G67" i="1"/>
  <c r="G66" i="1"/>
  <c r="G65" i="1"/>
  <c r="G62" i="1"/>
  <c r="G61" i="1"/>
  <c r="G60" i="1"/>
  <c r="G63" i="1"/>
  <c r="G59" i="1"/>
  <c r="E58" i="1"/>
  <c r="G57" i="1"/>
  <c r="G56" i="1"/>
  <c r="G55" i="1"/>
  <c r="G54" i="1"/>
  <c r="G53" i="1"/>
  <c r="E52" i="1"/>
  <c r="G51" i="1"/>
  <c r="G50" i="1"/>
  <c r="G49" i="1"/>
  <c r="G48" i="1"/>
  <c r="E47" i="1"/>
  <c r="G46" i="1"/>
  <c r="G45" i="1"/>
  <c r="G44" i="1"/>
  <c r="E43" i="1"/>
  <c r="G42" i="1"/>
  <c r="G41" i="1"/>
  <c r="G40" i="1"/>
  <c r="G39" i="1"/>
  <c r="G38" i="1"/>
  <c r="G37" i="1"/>
  <c r="E36" i="1"/>
  <c r="G35" i="1"/>
  <c r="G34" i="1"/>
  <c r="G33" i="1"/>
  <c r="G32" i="1"/>
  <c r="E31" i="1"/>
  <c r="G30" i="1"/>
  <c r="G29" i="1"/>
  <c r="G28" i="1"/>
  <c r="G27" i="1"/>
  <c r="G26" i="1"/>
  <c r="E25" i="1"/>
  <c r="G24" i="1"/>
  <c r="G23" i="1"/>
  <c r="G22" i="1"/>
  <c r="G21" i="1"/>
  <c r="E20" i="1"/>
  <c r="G19" i="1"/>
  <c r="G18" i="1"/>
  <c r="G17" i="1"/>
  <c r="E16" i="1"/>
  <c r="G15" i="1"/>
  <c r="G14" i="1"/>
  <c r="G13" i="1"/>
  <c r="G12" i="1"/>
  <c r="G11" i="1"/>
  <c r="G10" i="1"/>
  <c r="E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<sst xmlns="http://schemas.openxmlformats.org/spreadsheetml/2006/main" count="1048" uniqueCount="363">
  <si>
    <t>Sr No</t>
  </si>
  <si>
    <t>Stock Name</t>
  </si>
  <si>
    <t>Date</t>
  </si>
  <si>
    <t>Buy/Sell</t>
  </si>
  <si>
    <t>Quantity</t>
  </si>
  <si>
    <t>Price</t>
  </si>
  <si>
    <t>Amount</t>
  </si>
  <si>
    <t>Source / Notes</t>
  </si>
  <si>
    <t>Profit/Loss</t>
  </si>
  <si>
    <t>Outperformed the portfolio</t>
  </si>
  <si>
    <t>Amara Raja</t>
  </si>
  <si>
    <t>Buy</t>
  </si>
  <si>
    <t>Original transaction workbook</t>
  </si>
  <si>
    <t>P</t>
  </si>
  <si>
    <t>Y</t>
  </si>
  <si>
    <t>Sell</t>
  </si>
  <si>
    <t>Ashiana</t>
  </si>
  <si>
    <t>BharatForg</t>
  </si>
  <si>
    <t>L</t>
  </si>
  <si>
    <t>N</t>
  </si>
  <si>
    <t>Havells</t>
  </si>
  <si>
    <t>Kaveri</t>
  </si>
  <si>
    <t>SanghviMov</t>
  </si>
  <si>
    <t>Vguard</t>
  </si>
  <si>
    <t>Geometric</t>
  </si>
  <si>
    <t>NIITTech</t>
  </si>
  <si>
    <t>RSSoftware</t>
  </si>
  <si>
    <t>Zensar</t>
  </si>
  <si>
    <t>Technofab</t>
  </si>
  <si>
    <t>Portfolio_2020.xlsx / 22Apr20: Sell 900@5.4 = 4860</t>
  </si>
  <si>
    <t>Take</t>
  </si>
  <si>
    <t>Heritage</t>
  </si>
  <si>
    <t>Portfolio_2020.xlsx / 20Mar20: Buy 290@180.25 = 52273</t>
  </si>
  <si>
    <t>Portfolio_2020.xlsx / 28Oct20: Buy 562@ 308 = 173096</t>
  </si>
  <si>
    <t>Rights</t>
  </si>
  <si>
    <t>Portfolio_2023.xlsx / 20Jan23: Right Issue 1:1 at face value of Rs5. 3372*5 = 16860</t>
  </si>
  <si>
    <t>Portfolio_2026.xlsx / 05May26: Sell 130@355.29 = 46188</t>
  </si>
  <si>
    <t>Portfolio_2026.xlsx / 11May: Sell 373@373.43 = 129289</t>
  </si>
  <si>
    <t>Everest</t>
  </si>
  <si>
    <t>Treehouse</t>
  </si>
  <si>
    <t>Eicher Motors</t>
  </si>
  <si>
    <t>NDTV</t>
  </si>
  <si>
    <t>Federal Bank</t>
  </si>
  <si>
    <t>JBChem</t>
  </si>
  <si>
    <t>Portfolio_2020.xlsx / 03Apr20: Sell 476@460.05 = 218983</t>
  </si>
  <si>
    <t>Portfolio_2020.xlsx / 02Jun20: Sell 191@684.1 = 130663</t>
  </si>
  <si>
    <t>Portfolio_2020.xlsx / 08Jun20: Sell 172@707.8 = 121741</t>
  </si>
  <si>
    <t>Portfolio_2020.xlsx / 11Nov20: Sell 155@928 = 143840</t>
  </si>
  <si>
    <t>Portfolio_2021.xlsx / 10Feb21: Sell 265@1203.8 = 319007</t>
  </si>
  <si>
    <t>Portfolio_2021.xlsx / 15Jun21: Sell 564@1514.4 = 854121.6</t>
  </si>
  <si>
    <t>Portfolio_2021.xlsx / 29Jun21: Sell 283@1863.7 = 527427.1</t>
  </si>
  <si>
    <t>Portfolio_2021.xlsx / 10Aug21: Sell 282@1759 = 496038</t>
  </si>
  <si>
    <t>MCX</t>
  </si>
  <si>
    <t>Escorts</t>
  </si>
  <si>
    <t>Selan</t>
  </si>
  <si>
    <t>Strides</t>
  </si>
  <si>
    <t>TVToday</t>
  </si>
  <si>
    <t>Portfolio_2020.xlsx / 12Feb20: Buy 393@248.87 = 97806</t>
  </si>
  <si>
    <t>Portfolio_2020.xlsx / 20Mar20: Buy 355@151.85 = 53907</t>
  </si>
  <si>
    <t>Portfolio_2023.xlsx / 08Feb23: Sell 1533@299.68 = 459409</t>
  </si>
  <si>
    <t>MBL Infra</t>
  </si>
  <si>
    <t>Ramco Systems</t>
  </si>
  <si>
    <t>TV18</t>
  </si>
  <si>
    <t>Portfolio_2020.xlsx / 24Jan20: Buy 4466@27.08 = 120940</t>
  </si>
  <si>
    <t>Portfolio_2020.xlsx / 12Feb20: Buy 4466@27.03 = 120716</t>
  </si>
  <si>
    <t>Portfolio_2021.xlsx / 10Aug21: Buy 13398@38 = 509124</t>
  </si>
  <si>
    <t>Portfolio_2021.xlsx / 22Sep21: Buy 9475@39.52 = 374452</t>
  </si>
  <si>
    <t>Portfolio_2022.xlsx / 04May22: Sell 20183@54.15 = 1092909</t>
  </si>
  <si>
    <t>Portfolio_2023.xlsx / 16May23: Sell 16088@31.26 = 502911</t>
  </si>
  <si>
    <t>Nucleus</t>
  </si>
  <si>
    <t>Portfolio_2020.xlsx / 13Jan20: sell 144@314.6 = 45302.4</t>
  </si>
  <si>
    <t>Portfolio_2020.xlsx / 01Jun20: Sell 204@242.55 = 49480.2</t>
  </si>
  <si>
    <t>Portfolio_2020.xlsx / 07Aug20: Sell 61@343.1 = 20929.1</t>
  </si>
  <si>
    <t>Portfolio_2020.xlsx / 10Aug20: Sell 551@403.7 = 222438.7</t>
  </si>
  <si>
    <t>Neuland Labs</t>
  </si>
  <si>
    <t>JKBank</t>
  </si>
  <si>
    <t>Llyod Electric</t>
  </si>
  <si>
    <t>Dynamatic Tech</t>
  </si>
  <si>
    <t>Portfolio_2020.xlsx / 21Aug20: Sell 82@933 = 76506</t>
  </si>
  <si>
    <t>Portfolio_2020.xlsx / 28Aug20: Sell 83@871.75 = 72355</t>
  </si>
  <si>
    <t>Magma</t>
  </si>
  <si>
    <t>Portfolio_2021.xlsx / 10Feb21: Sell 4125@95.25 = 392906</t>
  </si>
  <si>
    <t>UFO</t>
  </si>
  <si>
    <t>Portfolio_2022.xlsx / 17Jan22: Sell 1676@98.4 = 164918</t>
  </si>
  <si>
    <t>HindOilExp</t>
  </si>
  <si>
    <t>Portfolio_2020.xlsx / 20Mar20: Buy 1300@38.28 = 49764</t>
  </si>
  <si>
    <t>Portfolio_2024.xlsx / 05Aug24: Sell 2365@269.9 = 638.313</t>
  </si>
  <si>
    <t>Portfolio_2025.xlsx / 06Feb25: Buy 1475@211.38 = 311785</t>
  </si>
  <si>
    <t>INFERRED from holding reduction 10,700 to 8,132 in 06Mar25; trade price not recorded</t>
  </si>
  <si>
    <t>Portfolio_2026.xlsx / 09Mar26: Sell 1840@169.66</t>
  </si>
  <si>
    <t>Portfolio_2026.xlsx / 09Jun26: Sell 1507@185.65 = 279774</t>
  </si>
  <si>
    <t>FSL</t>
  </si>
  <si>
    <t>Tata Global</t>
  </si>
  <si>
    <t>South Indian Bank</t>
  </si>
  <si>
    <t>Portfolio_2021.xlsx / 20Dec21: Sell 27946@8.815 = 246344</t>
  </si>
  <si>
    <t>Saregama</t>
  </si>
  <si>
    <t>Portfolio_2021.xlsx / 18Mar21: Sell 142@1518.6 = 215641</t>
  </si>
  <si>
    <t>Portfolio_2021.xlsx / 15Jun21: Sell 142@2717.75 = 385920.5</t>
  </si>
  <si>
    <t>Portfolio_2022.xlsx / 17Jan22: Sell 56@4748 = 265888</t>
  </si>
  <si>
    <t>Split</t>
  </si>
  <si>
    <t>Portfolio_2022.xlsx / 26Apr22: Split 10 to 1</t>
  </si>
  <si>
    <t>Portfolio_2022.xlsx / 17Oct22: Sell 1150@364.67 = 419370.5</t>
  </si>
  <si>
    <t>Portfolio_2022.xlsx / 14Nov22: Sell 575@394.9 = 227068</t>
  </si>
  <si>
    <t>Portfolio_2022.xlsx / 21Nov22: Sell 575@371.77 = 213767.8</t>
  </si>
  <si>
    <t>MOSL</t>
  </si>
  <si>
    <t>Portfolio_2021.xlsx / 30Jul21: Sell 319*987 = 314853</t>
  </si>
  <si>
    <t>Insecticides</t>
  </si>
  <si>
    <t>Portfolio_2020.xlsx / 07Feb20: Sell 147@495.95 = 72904</t>
  </si>
  <si>
    <t>Portfolio_2020.xlsx / 26Jun20: Sell 313@460.4 = 144105</t>
  </si>
  <si>
    <t>RKForge</t>
  </si>
  <si>
    <t>Portfolio_2020.xlsx / 02Jan20: Sell 190@389.55 = 74014.5</t>
  </si>
  <si>
    <t>BalrampurChini</t>
  </si>
  <si>
    <t>Portfolio_2020.xlsx / 02Jan20: Sell 403@187.05 = 75381.15</t>
  </si>
  <si>
    <t>Portfolio_2020.xlsx / 22Apr20: Buy 806@99.4 = 80116</t>
  </si>
  <si>
    <t>Portfolio_2020.xlsx / 11Nov20: Sell 2015@149 = 300235</t>
  </si>
  <si>
    <t>PrajInds</t>
  </si>
  <si>
    <t>Portfolio_2020.xlsx / 07Aug20: Sell 1575@59.73 = 94074.75</t>
  </si>
  <si>
    <t>FineOrganics</t>
  </si>
  <si>
    <t>Portfolio_2020.xlsx / 12Feb20: Sell 90@2264.24 =203781</t>
  </si>
  <si>
    <t>Portfolio_2020.xlsx / 20Mar20: Sell 90@1818.35 = 163652</t>
  </si>
  <si>
    <t>TIIndia</t>
  </si>
  <si>
    <t>Portfolio_2020.xlsx / 26Oct20: Add 192 @624.15 = 119837</t>
  </si>
  <si>
    <t>Portfolio_2023.xlsx / 16May23: Sell 246@2708 = 666168</t>
  </si>
  <si>
    <t>Portfolio_2023.xlsx / 09Nov23: Sell 74@3247.12 = 240287</t>
  </si>
  <si>
    <t>Portfolio_2023.xlsx / 23Nov23: Sell 85@3470.7 = 295009</t>
  </si>
  <si>
    <t>Portfolio_2024.xlsx / 10Jan24: Sell 96@3918.34 = 376160</t>
  </si>
  <si>
    <t>Portfolio_2025.xlsx / 13Jan25: Sell 131@3239.03 = 424313</t>
  </si>
  <si>
    <t>Portfolio_2025.xlsx / 29Apr25: Sell 353@2780.36 = 981467</t>
  </si>
  <si>
    <t>Tanla</t>
  </si>
  <si>
    <t>Portfolio_2020.xlsx / 02Jan20: Buy 500@70.1 = 35050</t>
  </si>
  <si>
    <t>Portfolio_2020.xlsx / 06Feb20: Buy 1000@80.7 = 80700</t>
  </si>
  <si>
    <t>Portfolio_2020.xlsx / 12Feb20: Buy 900@77.78 = 70002</t>
  </si>
  <si>
    <t>Portfolio_2020.xlsx / 20Mar20: Buy 900@38.28 = 34452</t>
  </si>
  <si>
    <t>Portfolio_2020.xlsx / 26Jun20: Buy 500@70.45 = 35225</t>
  </si>
  <si>
    <t>Portfolio_2020.xlsx / 03Sep20: Add 160@201 = 32160</t>
  </si>
  <si>
    <t>Portfolio_2020.xlsx / 09Dec20: Sell 656@854.5 = 560552</t>
  </si>
  <si>
    <t>Portfolio_2021.xlsx / 18Mar21: Sell 590@895 = 528050</t>
  </si>
  <si>
    <t>Portfolio_2021.xlsx / 23Nov21: Sell 797@1597.2 = 1272968</t>
  </si>
  <si>
    <t>Portfolio_2021.xlsx / 15Dec21: Sell 452@2002.95 = 905333.4</t>
  </si>
  <si>
    <t>Portfolio_2022.xlsx / 17Jan22: Sell 252@1806 = 455112</t>
  </si>
  <si>
    <t>Portfolio_2022.xlsx / 25Jul22: Sell 3813@657.75 = 2508000.75</t>
  </si>
  <si>
    <t>HIL</t>
  </si>
  <si>
    <t>Portfolio_2020.xlsx / 01Jun20: Buy 130@975.62 = 126830.75</t>
  </si>
  <si>
    <t>Portfolio_2020.xlsx / 02Jun20: Buy 126@1035 = 130410</t>
  </si>
  <si>
    <t>Portfolio_2020.xlsx / 26Jun20: Buy 33@1190 = 39270</t>
  </si>
  <si>
    <t>Portfolio_2020.xlsx / 07Aug20: Add 57@1474.5 = 84046.5</t>
  </si>
  <si>
    <t>Portfolio_2020.xlsx / 09Dec20: Buy 173@2071 = 358283</t>
  </si>
  <si>
    <t>Portfolio_2022.xlsx / 09May22: Add 130@3831 = 498030</t>
  </si>
  <si>
    <t>IOLCP</t>
  </si>
  <si>
    <t>Portfolio_2020.xlsx / 01Jun20: Buy 170@385.3 = 65501</t>
  </si>
  <si>
    <t>Portfolio_2020.xlsx / 08Jun20: Buy 299@407.15 = 121738</t>
  </si>
  <si>
    <t>Portfolio_2020.xlsx / 01Sep20: Add 235@785.27 = 184538</t>
  </si>
  <si>
    <t>Portfolio_2020.xlsx / 09Dec20: Buy 280@722.4 = 202272</t>
  </si>
  <si>
    <t>Portfolio_2021.xlsx / 29Jun21: Sell 656@638.6 = 418921.6</t>
  </si>
  <si>
    <t>Portfolio_2021.xlsx / 22Sep21: Sell 328@568.54 = 186481</t>
  </si>
  <si>
    <t>AartiDrugs</t>
  </si>
  <si>
    <t>Portfolio_2020.xlsx / 05Aug20: Buy 38@1872.8 = 71167</t>
  </si>
  <si>
    <t>Portfolio_2020.xlsx / 21Aug20: Sell 38@2958 = 112404</t>
  </si>
  <si>
    <t>PrincePipes</t>
  </si>
  <si>
    <t>Portfolio_2020.xlsx / 11Nov20: Buy 1727@259.26 = 447742</t>
  </si>
  <si>
    <t>Portfolio_2022.xlsx / 16Aug22: Sell 863@587.85 = 507314.55</t>
  </si>
  <si>
    <t>Portfolio_2022.xlsx / 27Dec22: Sell 216@578.02 = 124852</t>
  </si>
  <si>
    <t>Portfolio_2023.xlsx / 08Feb23: Sell 648@580.82 = 376371</t>
  </si>
  <si>
    <t>VRLLogistics</t>
  </si>
  <si>
    <t>Portfolio_2021.xlsx / 10Feb21: Add 3075@232.95 = 716321</t>
  </si>
  <si>
    <t>Portfolio_2021.xlsx / 15Jun21: Buy 1537@275.62 = 423628</t>
  </si>
  <si>
    <t>Portfolio_2021.xlsx / 10Aug21: Buy 1153@305.91 = 352714</t>
  </si>
  <si>
    <t>Portfolio_2023.xlsx / 10Apr23: Approx 53@698.83 = 37038</t>
  </si>
  <si>
    <t>Portfolio_2023.xlsx / 22May23: Sell 1428@698.65 = 997672</t>
  </si>
  <si>
    <t>Portfolio_2023.xlsx / 17Aug23: Sell 925@684.08 = 632774</t>
  </si>
  <si>
    <t>Portfolio_2023.xlsx / 12Sep23: Sell 484@698.81 = 338224</t>
  </si>
  <si>
    <t>Portfolio_2023.xlsx / 09Nov23: Sell 459@660.25 = 303055</t>
  </si>
  <si>
    <t>Portfolio_2024.xlsx / 31Jan24: Sell 467@748.15 = 349386</t>
  </si>
  <si>
    <t>Portfolio_2024.xlsx / 12Feb24: Less 45@643.63 = 28963</t>
  </si>
  <si>
    <t>Portfolio_2024.xlsx / 07Mar24: Buy 2345@534.07 = 1252394</t>
  </si>
  <si>
    <t>Portfolio_2025.xlsx / 06Feb25: Buy 1175@542.6 = 637555</t>
  </si>
  <si>
    <t>Bonus</t>
  </si>
  <si>
    <t>Portfolio_2025.xlsx / 14Aug25: Bonus 1:1</t>
  </si>
  <si>
    <t>GPIL</t>
  </si>
  <si>
    <t>Portfolio_2021.xlsx / 18Mar21: Buy 1098@677.4</t>
  </si>
  <si>
    <t>Portfolio_2021.xlsx / 26Oct21: Split 10 to 5 &amp; then bonus 1:1. So 4x qnty</t>
  </si>
  <si>
    <t>Portfolio_2023.xlsx / 21Apr23: Approx 147@499.17 = 73378</t>
  </si>
  <si>
    <t>Portfolio_2023.xlsx / 30Jun23: Sell 849@522.34 = 443466.66</t>
  </si>
  <si>
    <t>Portfolio_2023.xlsx / 28Jul23: Sell 1304@545.95 = 711919</t>
  </si>
  <si>
    <t>Portfolio_2023.xlsx / 07Aug23: Sell 2092@561.88 = 1175453</t>
  </si>
  <si>
    <t>SuryaRosni</t>
  </si>
  <si>
    <t>Portfolio_2021.xlsx / 29Jun21: Buy 1875@526.56 = 987300</t>
  </si>
  <si>
    <t>Portfolio_2021.xlsx / 10Aug21: Buy 937@572.35 = 536292</t>
  </si>
  <si>
    <t>Portfolio_2021.xlsx / 23Nov21: Add 309@593.5 = 183392</t>
  </si>
  <si>
    <t>Portfolio_2021.xlsx / 03Dec21: Add 619@627.62 = 388495</t>
  </si>
  <si>
    <t>Portfolio_2023.xlsx / 06Oct23: Split 10 to 5, Shares double</t>
  </si>
  <si>
    <t>Portfolio_2025.xlsx / 01Jan25_2: Bonus 1:1</t>
  </si>
  <si>
    <t>Portfolio_2025.xlsx / 17Nov25: Sell 3720@273.62 = 1017866</t>
  </si>
  <si>
    <t>Portfolio_2026.xlsx / 28Jan26: Sell 1759@244.95 = 430867</t>
  </si>
  <si>
    <t>Portfolio_2026.xlsx / 17Feb26: Sell 2877@224.16 = 644908</t>
  </si>
  <si>
    <t>Portfolio_2026.xlsx / 10Apr26: Sell 896@223.98 = 200686</t>
  </si>
  <si>
    <t>Portfolio_2026.xlsx / 16Apr26: Sell 2991@235.58 = 704619</t>
  </si>
  <si>
    <t>Portfolio_2026.xlsx / 05May26: Sell 2717@258.8  = 703159</t>
  </si>
  <si>
    <t>Idea</t>
  </si>
  <si>
    <t>Portfolio_2021.xlsx / 20Dec21: Add 96000@13.89 = 1333440</t>
  </si>
  <si>
    <t>Portfolio_2022.xlsx / 21Nov22: Sell 48000@8.39 = 402720</t>
  </si>
  <si>
    <t>Portfolio_2022.xlsx / 27Dec22: Sell 12000@7.91 = 94920</t>
  </si>
  <si>
    <t>Portfolio_2023.xlsx / 08Feb23: Sell 36000@7.88 = 283680</t>
  </si>
  <si>
    <t>TWL</t>
  </si>
  <si>
    <t>Portfolio_2022.xlsx / 17Jan22: Buy 10500@113.85 = 1195425</t>
  </si>
  <si>
    <t>Portfolio_2022.xlsx / 16Aug22: Buy 5250@145.97 = 766342.5</t>
  </si>
  <si>
    <t>Portfolio_2023.xlsx / 20Oct23: Sell 3258@831.52 = 2709092</t>
  </si>
  <si>
    <t>Portfolio_2023.xlsx / 02Nov23: Sell 1143@802.42 = 917166</t>
  </si>
  <si>
    <t>Portfolio_2023.xlsx / 09Nov23: Sell 1205@802.42 = 966916</t>
  </si>
  <si>
    <t>Portfolio_2024.xlsx / 15Jan24: Sell 2468@1068.33 = 2636638</t>
  </si>
  <si>
    <t>Portfolio_2024.xlsx / 24Apr24: Sell 1535@1016.08 = 1559683</t>
  </si>
  <si>
    <t>Portfolio_2024.xlsx / 17May24: Sell 850@1283.41 = 1090898</t>
  </si>
  <si>
    <t>Portfolio_2024.xlsx / 31Jul24: Sell 1323@1597.8 = 2113.889</t>
  </si>
  <si>
    <t>Portfolio_2024.xlsx / 05Aug24: Sell 920@1413.1 = 1300052</t>
  </si>
  <si>
    <t>Portfolio_2024.xlsx / 11Dec24: Sell 438@1290.93 = 565427</t>
  </si>
  <si>
    <t>Portfolio_2025.xlsx / 13Jan25: Sell 260@995.23 = 258760</t>
  </si>
  <si>
    <t>Portfolio_2025.xlsx / 05May25: Sell 784@709.82 = 556499</t>
  </si>
  <si>
    <t>Portfolio_2025.xlsx / 20May25: Sell 783@912.75 = 714683</t>
  </si>
  <si>
    <t>Portfolio_2025.xlsx / 07Nov25: Sell 783@840.65 = 658229</t>
  </si>
  <si>
    <t>PEL</t>
  </si>
  <si>
    <t>Portfolio_2022.xlsx / 25Jul22: Buy 635@1825.5 = 1159192.5</t>
  </si>
  <si>
    <t>Portfolio_2022.xlsx / 14Nov22: Add 317@822.5 = 260733</t>
  </si>
  <si>
    <t>Portfolio_2022.xlsx / 27Dec22: Buy 317@823.74 = 261126</t>
  </si>
  <si>
    <t>Portfolio_2023.xlsx / 31Jul23: Sell 1269@1010.85 = 1282768</t>
  </si>
  <si>
    <t>MAS Financial</t>
  </si>
  <si>
    <t>Portfolio_2022.xlsx / 16Aug22: Buy 862@688.83 = 593771.46</t>
  </si>
  <si>
    <t>Portfolio_2022.xlsx / 14Sep22: Buy 390@730.02 =284707.8</t>
  </si>
  <si>
    <t>Portfolio_2022.xlsx / 17Oct22: Buy 71@703.07 = 49917.97</t>
  </si>
  <si>
    <t>Portfolio_2022.xlsx / 14Nov22: Add 35@760.2 = 26607</t>
  </si>
  <si>
    <t>Portfolio_2023.xlsx / 07Aug23: Sell 217@813.59 = 176549</t>
  </si>
  <si>
    <t>Portfolio_2023.xlsx / 05Sep23: Sell 171@884.38 = 151229</t>
  </si>
  <si>
    <t>Portfolio_2024.xlsx / 15Jan24: Sell 970@958.58 = 929822</t>
  </si>
  <si>
    <t>PiramalPharma</t>
  </si>
  <si>
    <t>Demerger</t>
  </si>
  <si>
    <t>Portfolio_2022.xlsx / 30Aug22: New Shares Allocated. 4 shares for every 1 shares in PEL</t>
  </si>
  <si>
    <t>Portfolio_2022.xlsx / 21Nov22: Sell 2540@137.4 = 348996</t>
  </si>
  <si>
    <t>PowerMech</t>
  </si>
  <si>
    <t>Portfolio_2022.xlsx / 14Sep22: Buy 410@1650.71 = 676791.1</t>
  </si>
  <si>
    <t>Portfolio_2022.xlsx / 17Oct22: Buy 205@1787.93 = 366525.65</t>
  </si>
  <si>
    <t>Portfolio_2024.xlsx / 07Mar24: Buy 135@4691.82 = 633396</t>
  </si>
  <si>
    <t>Portfolio_2024.xlsx / 04Jun24: Buy 181@4670.4 = 845343</t>
  </si>
  <si>
    <t>Portfolio_2024.xlsx / 08Oct24: Bonus 1:1</t>
  </si>
  <si>
    <t>Portfolio_2026.xlsx / 22Jun26: Sell 143@2949.12 = 421724</t>
  </si>
  <si>
    <t>VadilalInd</t>
  </si>
  <si>
    <t>Portfolio_2022.xlsx / 21Nov22: Buy 458@2487.9 = 1139458</t>
  </si>
  <si>
    <t>Portfolio_2023.xlsx / 31May23: Buy 115@2685.54 = 308837</t>
  </si>
  <si>
    <t>Portfolio_2023.xlsx / 11Aug23: Add till 6%. 189@2904.62 = 548973</t>
  </si>
  <si>
    <t>AstraMicro</t>
  </si>
  <si>
    <t>Portfolio_2023.xlsx / 12Feb23: Buy 4326@273.23 = 1181992.98</t>
  </si>
  <si>
    <t>Portfolio_2023.xlsx / 16May23: Buy 2424@336.75 = 816282</t>
  </si>
  <si>
    <t>WelEnt</t>
  </si>
  <si>
    <t>Portfolio_2023.xlsx / 04Aug23: Add 6%. 7985@285.12 = 2276683</t>
  </si>
  <si>
    <t>Portfolio_2023.xlsx / 09Nov23: Buy 1084@289.05 = 313330</t>
  </si>
  <si>
    <t>Portfolio_2024.xlsx / 07Mar24: Buy 1117@300.66 = 335837</t>
  </si>
  <si>
    <t>Portfolio_2024.xlsx / 31Oct24: Add 2249@470.08 = 1057210</t>
  </si>
  <si>
    <t>Portfolio_2025.xlsx / 04Feb25: Sell 5230@566.72 = 2963945</t>
  </si>
  <si>
    <t>Portfolio_2025.xlsx / 06Mar25: Sell 405@519.03 = 210207</t>
  </si>
  <si>
    <t>Portfolio_2026.xlsx / 08Apr26: Sell 983@449.03 = 441396</t>
  </si>
  <si>
    <t>Portfolio_2026.xlsx / 10Apr26: Sell 767@447.37 = 343132</t>
  </si>
  <si>
    <t>Portfolio_2026.xlsx / 16Apr26: Sell 1715@459.19 = 787510</t>
  </si>
  <si>
    <t>Portfolio_2026.xlsx / 05May26: Sell 339@521.43 = 176765</t>
  </si>
  <si>
    <t>Portfolio_2026.xlsx / 22Jun26: Sell 205@580.5 = 119002</t>
  </si>
  <si>
    <t>Portfolio_2026.xlsx / 01Jul26: Sell 937@602.72 = 564748.64</t>
  </si>
  <si>
    <t>ZenTech</t>
  </si>
  <si>
    <t>Portfolio_2023.xlsx / 07Aug23: Add 6%. 2592@729.25 = 1890216</t>
  </si>
  <si>
    <t>Portfolio_2023.xlsx / 12Sep23: Buy 518@772 = 399896</t>
  </si>
  <si>
    <t>Portfolio_2023.xlsx / 31Oct23: Add 820@710.33 = 582471</t>
  </si>
  <si>
    <t>ThomasCook</t>
  </si>
  <si>
    <t>Portfolio_2023.xlsx / 02Nov23: Buy 13763@142.45 = 1960539</t>
  </si>
  <si>
    <t>Portfolio_2023.xlsx / 01Dec23: Buy 6317@143.24 = 904847</t>
  </si>
  <si>
    <t>Portfolio_2024.xlsx / 06Feb24: Add 2811@176.72 = 496760</t>
  </si>
  <si>
    <t>Portfolio_2024.xlsx / 12Feb24: Add 3464@157.97 = 547208</t>
  </si>
  <si>
    <t>Portfolio_2024.xlsx / 07Mar24: Buy 1538@146.91 = 225948</t>
  </si>
  <si>
    <t>Aurionpro</t>
  </si>
  <si>
    <t>Portfolio_2024.xlsx / 29May24: Buy 448@2097.31 = 939595</t>
  </si>
  <si>
    <t>Portfolio_2024.xlsx / 27Jun24: Bonus 1:1</t>
  </si>
  <si>
    <t>Portfolio_2025.xlsx / 07Apr25: Buy 37@1384.68 = 51233.16</t>
  </si>
  <si>
    <t>Portfolio_2025.xlsx / 20May25: Buy 403@1396.69 = 562866</t>
  </si>
  <si>
    <t>Portfolio_2025.xlsx / 02Jun25: Buy 478@1389.95 = 664396</t>
  </si>
  <si>
    <t>Portfolio_2025.xlsx / 18Aug25: Buy 149@1427.79 = 212741</t>
  </si>
  <si>
    <t>Portfolio_2025.xlsx / 04Sep25: Buy 306@1290.97 = 395037</t>
  </si>
  <si>
    <t>Portfolio_2025.xlsx / 07Nov25: Buy 290@1134 = 328860</t>
  </si>
  <si>
    <t>MorepenLab</t>
  </si>
  <si>
    <t>Portfolio_2024.xlsx / 14Aug24: Add 52890@62.67 = 3314616</t>
  </si>
  <si>
    <t>Portfolio_2025.xlsx / 07Aug25: Sell 25548@49.31 = 1259772</t>
  </si>
  <si>
    <t>Portfolio_2025.xlsx / 18Aug25: Sell 7385@49.25 = 363711</t>
  </si>
  <si>
    <t>Portfolio_2025.xlsx / 09Sep25: Sell 11467@52.45 = 601444</t>
  </si>
  <si>
    <t>Portfolio_2025.xlsx / 07Nov25: Sell 8490@46.03 = 390795</t>
  </si>
  <si>
    <t>Avalon</t>
  </si>
  <si>
    <t>Portfolio_2024.xlsx / 18Dec24: Add 2.5%. 1410@913.9 =1288.599</t>
  </si>
  <si>
    <t>Portfolio_2025.xlsx / 13Jan25: Buy 2189@813.46 = 1780664</t>
  </si>
  <si>
    <t>Portfolio_2026.xlsx / 04Mar26: Buy 320@976.63 = 312522</t>
  </si>
  <si>
    <t>Portfolio_2026.xlsx / 16Mar26: Buy 59@875.64 = 51663</t>
  </si>
  <si>
    <t>E2E</t>
  </si>
  <si>
    <t>Portfolio_2025.xlsx / 05May25: Buy 724@2655.36 = 1922481</t>
  </si>
  <si>
    <t>Portfolio_2025.xlsx / 20May25: Buy 289@2760.8 = 797871</t>
  </si>
  <si>
    <t>Portfolio_2025.xlsx / 02Jun25: Buy 144@2792.33 = 402096</t>
  </si>
  <si>
    <t>Portfolio_2025.xlsx / 27Oct25: Buy 275@3208.67 = 882384</t>
  </si>
  <si>
    <t>Portfolio_2025.xlsx / 17Nov25: Sell 367@2660 = 976220</t>
  </si>
  <si>
    <t>Portfolio_2026.xlsx / 05Jun26: Split 10:1 so quantity 10 times</t>
  </si>
  <si>
    <t>Portfolio_2026.xlsx / 22Jun26: Sell 3094@440.83 = 1363928</t>
  </si>
  <si>
    <t>HCG</t>
  </si>
  <si>
    <t>Portfolio_2025.xlsx / 28Oct25: Buy 3770@738.65 = 2784711</t>
  </si>
  <si>
    <t>Portfolio_2025.xlsx / 29Dec25: Add 209@670.33 = 140099</t>
  </si>
  <si>
    <t>Portfolio_2026.xlsx / 01Jan26-2: Add 935@657.76 = 615006</t>
  </si>
  <si>
    <t>Portfolio_2026.xlsx / 01Apr26: Buy 289@512 = 147968</t>
  </si>
  <si>
    <t>Ashapura</t>
  </si>
  <si>
    <t>Portfolio_2025.xlsx / 20Nov25: Add 2265@740.93 = 1678206</t>
  </si>
  <si>
    <t>Portfolio_2025.xlsx / 08Dec25: Add 463@677.73 = 313789</t>
  </si>
  <si>
    <t>Portfolio_2026.xlsx / 28Jan26: Add 942@740.53 = 697579</t>
  </si>
  <si>
    <t>LiquidCase</t>
  </si>
  <si>
    <t>Portfolio_2025.xlsx / 20Feb25: Convert to LiquidCase from LiquidBees</t>
  </si>
  <si>
    <t>Portfolio_2025.xlsx / 06Mar25: Quantity formula includes +4295; trade price not written</t>
  </si>
  <si>
    <t>Portfolio_2025.xlsx / 06Mar25: Buy 1952@107.67</t>
  </si>
  <si>
    <t>Portfolio_2025.xlsx / 07Apr25: Sell 475</t>
  </si>
  <si>
    <t>Portfolio_2025.xlsx / 29Apr25: Buy 9018@108.83</t>
  </si>
  <si>
    <t>Portfolio_2025.xlsx / 05May25: Sell 12666@107.85</t>
  </si>
  <si>
    <t>Portfolio_2025.xlsx / 20May25: Sell 5975@108.12 = 646017</t>
  </si>
  <si>
    <t>Portfolio_2025.xlsx / 02Jun25: Sell 9817@108.63</t>
  </si>
  <si>
    <t>Portfolio_2025.xlsx / 07Aug25: Add 11418</t>
  </si>
  <si>
    <t>Portfolio_2025.xlsx / 18Aug25: Buy 1366</t>
  </si>
  <si>
    <t>Portfolio_2025.xlsx / 04Sep25: Less 3600</t>
  </si>
  <si>
    <t>Portfolio_2025.xlsx / 09Sep25: Buy 5427</t>
  </si>
  <si>
    <t>Portfolio_2025.xlsx / 27Oct25: Sell 7979</t>
  </si>
  <si>
    <t>Portfolio_2025.xlsx / 28Oct25: Sell 25132</t>
  </si>
  <si>
    <t>Portfolio_2025.xlsx / 07Nov25: Add 5893</t>
  </si>
  <si>
    <t>Portfolio_2025.xlsx / 07Nov25: Minus 2966</t>
  </si>
  <si>
    <t>Portfolio_2025.xlsx / 07Nov25: Add 3499</t>
  </si>
  <si>
    <t>Portfolio_2025.xlsx / 17Nov25: Add 8732</t>
  </si>
  <si>
    <t>Portfolio_2025.xlsx / 17Nov25: Add 9104</t>
  </si>
  <si>
    <t>Portfolio_2025.xlsx / 20Nov25: Sell 15111</t>
  </si>
  <si>
    <t>Portfolio_2025.xlsx / 08Dec25: Sell 2801</t>
  </si>
  <si>
    <t>Portfolio_2025.xlsx / 29Dec25: Sell 1247</t>
  </si>
  <si>
    <t>Portfolio_2026.xlsx / 01Jan26-2: Sell 5505</t>
  </si>
  <si>
    <t>Portfolio_2026.xlsx / 28Jan26: Quantity formula includes -1765; trade price not written</t>
  </si>
  <si>
    <t>Portfolio_2026.xlsx / 28Jan26: Add 3820</t>
  </si>
  <si>
    <t>Portfolio_2026.xlsx / 28Jan26: Less 6212</t>
  </si>
  <si>
    <t>Portfolio_2026.xlsx / 17Feb26: Buy 5704</t>
  </si>
  <si>
    <t>Portfolio_2026.xlsx / 04Mar26: Less 2774</t>
  </si>
  <si>
    <t>Portfolio_2026.xlsx / 09Mar26: Add 2757</t>
  </si>
  <si>
    <t>Portfolio_2026.xlsx / 16Mar26: Less 458</t>
  </si>
  <si>
    <t>Portfolio_2026.xlsx / 01Apr26: Less 1307</t>
  </si>
  <si>
    <t>Portfolio_2026.xlsx / 08Apr26: Add 3879</t>
  </si>
  <si>
    <t>Portfolio_2026.xlsx / 10Apr26: Less 7827</t>
  </si>
  <si>
    <t>Portfolio_2026.xlsx / 16Apr26: Less 231</t>
  </si>
  <si>
    <t>Portfolio_2026.xlsx / 05May26: Sell 3251</t>
  </si>
  <si>
    <t>Portfolio_2026.xlsx / 22Jun26: Buy 13804</t>
  </si>
  <si>
    <t>Portfolio_2026.xlsx / 01Jul26: Add 4918</t>
  </si>
  <si>
    <t>AtherEnerg</t>
  </si>
  <si>
    <t>Portfolio_2026.xlsx / 10Apr26: Buy 1655@864.33 = 1430466</t>
  </si>
  <si>
    <t>Portfolio_2026.xlsx / 22Jun26: Buy 330@968.16 = 319493</t>
  </si>
  <si>
    <t>HEG</t>
  </si>
  <si>
    <t>Portfolio_2026.xlsx / 16Apr26: Add 2434@623.82 = 1518378</t>
  </si>
  <si>
    <t>Portfolio_2026.xlsx / 09Jun26: Buy 532@525.87 = 279763</t>
  </si>
  <si>
    <t>InoxWind</t>
  </si>
  <si>
    <t>Portfolio_2026.xlsx / 05May26: Buy 12359@104.89 = 1296335</t>
  </si>
  <si>
    <t>Portfolio_2026.xlsx / 11May: Buy 1297@99.69 = 129298</t>
  </si>
  <si>
    <t>Stock</t>
  </si>
  <si>
    <t>Action</t>
  </si>
  <si>
    <t>Required Action</t>
  </si>
  <si>
    <t>Trade price missing—verify in source records</t>
  </si>
  <si>
    <t>Trade price missing in 2026 portfolio note—verify if needed</t>
  </si>
  <si>
    <t>Portfolio_2026.xlsx / 28Jan26: Add 3820 Less 6212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</si>
</sst>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#,##0.00;[Red]\(#,##0.00\);\-"/>
    <numFmt numFmtId="166" formatCode="yyyy\-mm\-dd\ h:mm:ss"/>
    <numFmt numFmtId="167" formatCode="#,##0;[Red]\(#,##0\);\-"/>
  </numFmts>
  <fonts count="8">
    <font>
      <sz val="11"/>
      <name val="Carlito"/>
    </font>
    <font>
      <sz val="11"/>
      <color rgb="FF0000FF"/>
      <name val="Carlito"/>
    </font>
    <font>
      <sz val="11"/>
      <color rgb="FF000000"/>
      <name val="Carlito"/>
    </font>
    <font>
      <b/>
      <sz val="11"/>
      <color rgb="FF0000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000000"/>
      <name val="Carlito"/>
    </font>
    <font>
      <sz val="11"/>
      <color rgb="FFC00000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"/>
  </cellStyleXfs>
  <cellXfs count="57">
    <xf numFmtId="0" fontId="0" fillId="0" borderId="0" xfId="0" applyBorder="1"/>
    <xf numFmtId="164" fontId="0" fillId="0" borderId="0" xfId="0" applyNumberFormat="1" applyBorder="1"/>
    <xf numFmtId="165" fontId="0" fillId="0" borderId="0" xfId="0" applyNumberFormat="1" applyBorder="1"/>
    <xf numFmtId="0" fontId="1" fillId="0" borderId="0" xfId="0" applyFont="1" applyBorder="1" applyAlignment="1">
      <alignment vertical="center"/>
    </xf>
    <xf numFmtId="164" fontId="1" fillId="0" borderId="0" xfId="0" applyNumberFormat="1" applyFont="1" applyBorder="1" applyAlignment="1">
      <alignment vertical="center"/>
    </xf>
    <xf numFmtId="165" fontId="1" fillId="0" borderId="0" xfId="0" applyNumberFormat="1" applyFont="1" applyBorder="1" applyAlignment="1">
      <alignment vertical="center"/>
    </xf>
    <xf numFmtId="165" fontId="2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3" fillId="3" borderId="0" xfId="0" applyFont="1" applyFill="1" applyBorder="1" applyAlignment="1">
      <alignment vertical="center"/>
    </xf>
    <xf numFmtId="164" fontId="3" fillId="3" borderId="0" xfId="0" applyNumberFormat="1" applyFont="1" applyFill="1" applyBorder="1" applyAlignment="1">
      <alignment vertical="center"/>
    </xf>
    <xf numFmtId="165" fontId="3" fillId="3" borderId="0" xfId="0" applyNumberFormat="1" applyFont="1" applyFill="1" applyBorder="1" applyAlignment="1">
      <alignment vertical="center"/>
    </xf>
    <xf numFmtId="0" fontId="3" fillId="3" borderId="0" xfId="0" applyFont="1" applyFill="1" applyBorder="1" applyAlignment="1">
      <alignment vertical="center" wrapText="1"/>
    </xf>
    <xf numFmtId="0" fontId="1" fillId="4" borderId="0" xfId="0" applyFont="1" applyFill="1" applyBorder="1" applyAlignment="1">
      <alignment vertical="center"/>
    </xf>
    <xf numFmtId="165" fontId="1" fillId="4" borderId="0" xfId="0" applyNumberFormat="1" applyFont="1" applyFill="1" applyBorder="1" applyAlignment="1">
      <alignment vertical="center"/>
    </xf>
    <xf numFmtId="165" fontId="2" fillId="4" borderId="0" xfId="0" applyNumberFormat="1" applyFont="1" applyFill="1" applyBorder="1" applyAlignment="1">
      <alignment vertical="center"/>
    </xf>
    <xf numFmtId="0" fontId="1" fillId="4" borderId="0" xfId="0" applyFont="1" applyFill="1" applyBorder="1" applyAlignment="1">
      <alignment vertical="center" wrapText="1"/>
    </xf>
    <xf numFmtId="0" fontId="1" fillId="5" borderId="0" xfId="0" applyFont="1" applyFill="1" applyBorder="1" applyAlignment="1">
      <alignment vertical="center"/>
    </xf>
    <xf numFmtId="164" fontId="1" fillId="5" borderId="0" xfId="0" applyNumberFormat="1" applyFont="1" applyFill="1" applyBorder="1" applyAlignment="1">
      <alignment vertical="center"/>
    </xf>
    <xf numFmtId="165" fontId="1" fillId="5" borderId="0" xfId="0" applyNumberFormat="1" applyFont="1" applyFill="1" applyBorder="1" applyAlignment="1">
      <alignment vertical="center"/>
    </xf>
    <xf numFmtId="165" fontId="2" fillId="5" borderId="0" xfId="0" applyNumberFormat="1" applyFont="1" applyFill="1" applyBorder="1" applyAlignment="1">
      <alignment vertical="center"/>
    </xf>
    <xf numFmtId="0" fontId="1" fillId="5" borderId="0" xfId="0" applyFont="1" applyFill="1" applyBorder="1" applyAlignment="1">
      <alignment vertical="center" wrapText="1"/>
    </xf>
    <xf numFmtId="0" fontId="3" fillId="4" borderId="0" xfId="0" applyFont="1" applyFill="1" applyBorder="1" applyAlignment="1">
      <alignment vertical="center"/>
    </xf>
    <xf numFmtId="165" fontId="3" fillId="4" borderId="0" xfId="0" applyNumberFormat="1" applyFont="1" applyFill="1" applyBorder="1" applyAlignment="1">
      <alignment vertical="center"/>
    </xf>
    <xf numFmtId="0" fontId="3" fillId="4" borderId="0" xfId="0" applyFont="1" applyFill="1" applyBorder="1" applyAlignment="1">
      <alignment vertical="center" wrapText="1"/>
    </xf>
    <xf numFmtId="0" fontId="0" fillId="5" borderId="0" xfId="0" applyFill="1" applyBorder="1"/>
    <xf numFmtId="0" fontId="0" fillId="0" borderId="0" xfId="0" applyBorder="1" applyAlignment="1">
      <alignment wrapText="1"/>
    </xf>
    <xf numFmtId="0" fontId="4" fillId="2" borderId="0" xfId="0" applyFont="1" applyFill="1" applyBorder="1" applyAlignment="1">
      <alignment horizontal="center" vertical="center" wrapText="1"/>
    </xf>
    <xf numFmtId="166" fontId="0" fillId="0" borderId="0" xfId="0" applyNumberFormat="1" applyBorder="1"/>
    <xf numFmtId="164" fontId="4" fillId="2" borderId="0" xfId="0" applyNumberFormat="1" applyFont="1" applyFill="1" applyBorder="1" applyAlignment="1">
      <alignment horizontal="center" vertical="center" wrapText="1"/>
    </xf>
    <xf numFmtId="0" fontId="5" fillId="6" borderId="0" xfId="0" applyFont="1" applyFill="1" applyBorder="1" applyAlignment="1">
      <alignment horizontal="center" vertical="center" wrapText="1"/>
    </xf>
    <xf numFmtId="167" fontId="3" fillId="3" borderId="0" xfId="0" applyNumberFormat="1" applyFont="1" applyFill="1" applyBorder="1" applyAlignment="1">
      <alignment vertical="center"/>
    </xf>
    <xf numFmtId="167" fontId="1" fillId="0" borderId="0" xfId="0" applyNumberFormat="1" applyFont="1" applyBorder="1" applyAlignment="1">
      <alignment vertical="center"/>
    </xf>
    <xf numFmtId="167" fontId="1" fillId="4" borderId="0" xfId="0" applyNumberFormat="1" applyFont="1" applyFill="1" applyBorder="1" applyAlignment="1">
      <alignment vertical="center"/>
    </xf>
    <xf numFmtId="167" fontId="1" fillId="5" borderId="0" xfId="0" applyNumberFormat="1" applyFont="1" applyFill="1" applyBorder="1" applyAlignment="1">
      <alignment vertical="center"/>
    </xf>
    <xf numFmtId="167" fontId="0" fillId="0" borderId="0" xfId="0" applyNumberFormat="1" applyBorder="1"/>
    <xf numFmtId="0" fontId="3" fillId="7" borderId="0" xfId="0" applyFont="1" applyFill="1" applyBorder="1" applyAlignment="1">
      <alignment vertical="center"/>
    </xf>
    <xf numFmtId="164" fontId="3" fillId="7" borderId="0" xfId="0" applyNumberFormat="1" applyFont="1" applyFill="1" applyBorder="1" applyAlignment="1">
      <alignment vertical="center"/>
    </xf>
    <xf numFmtId="165" fontId="3" fillId="7" borderId="0" xfId="0" applyNumberFormat="1" applyFont="1" applyFill="1" applyBorder="1" applyAlignment="1">
      <alignment vertical="center"/>
    </xf>
    <xf numFmtId="0" fontId="3" fillId="7" borderId="0" xfId="0" applyFont="1" applyFill="1" applyBorder="1" applyAlignment="1">
      <alignment vertical="center" wrapText="1"/>
    </xf>
    <xf numFmtId="167" fontId="6" fillId="0" borderId="2" xfId="0" applyNumberFormat="1" applyFont="1" applyBorder="1" applyAlignment="1">
      <alignment horizontal="right" vertical="center"/>
    </xf>
    <xf numFmtId="167" fontId="6" fillId="3" borderId="2" xfId="0" applyNumberFormat="1" applyFont="1" applyFill="1" applyBorder="1" applyAlignment="1">
      <alignment horizontal="right" vertical="center"/>
    </xf>
    <xf numFmtId="167" fontId="6" fillId="4" borderId="2" xfId="0" applyNumberFormat="1" applyFont="1" applyFill="1" applyBorder="1" applyAlignment="1">
      <alignment horizontal="right" vertical="center"/>
    </xf>
    <xf numFmtId="167" fontId="6" fillId="0" borderId="2" xfId="0" applyNumberFormat="1" applyFont="1" applyBorder="1" applyAlignment="1">
      <alignment horizontal="right"/>
    </xf>
    <xf numFmtId="0" fontId="3" fillId="8" borderId="0" xfId="0" applyFont="1" applyFill="1" applyBorder="1" applyAlignment="1">
      <alignment vertical="center"/>
    </xf>
    <xf numFmtId="165" fontId="6" fillId="0" borderId="2" xfId="0" applyNumberFormat="1" applyFont="1" applyBorder="1" applyAlignment="1">
      <alignment horizontal="right"/>
    </xf>
    <xf numFmtId="0" fontId="3" fillId="9" borderId="0" xfId="0" applyFont="1" applyFill="1" applyBorder="1" applyAlignment="1">
      <alignment vertical="center"/>
    </xf>
    <xf numFmtId="164" fontId="3" fillId="9" borderId="0" xfId="0" applyNumberFormat="1" applyFont="1" applyFill="1" applyBorder="1" applyAlignment="1">
      <alignment vertical="center"/>
    </xf>
    <xf numFmtId="165" fontId="3" fillId="9" borderId="0" xfId="0" applyNumberFormat="1" applyFont="1" applyFill="1" applyBorder="1" applyAlignment="1">
      <alignment vertical="center"/>
    </xf>
    <xf numFmtId="0" fontId="3" fillId="9" borderId="0" xfId="0" applyFont="1" applyFill="1" applyBorder="1" applyAlignment="1">
      <alignment vertical="center" wrapText="1"/>
    </xf>
    <xf numFmtId="165" fontId="3" fillId="9" borderId="2" xfId="0" applyNumberFormat="1" applyFont="1" applyFill="1" applyBorder="1" applyAlignment="1">
      <alignment horizontal="right" vertical="center"/>
    </xf>
    <xf numFmtId="164" fontId="1" fillId="0" borderId="1" xfId="0" applyNumberFormat="1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67" fontId="1" fillId="0" borderId="1" xfId="0" applyNumberFormat="1" applyFont="1" applyBorder="1" applyAlignment="1">
      <alignment vertical="center"/>
    </xf>
    <xf numFmtId="165" fontId="1" fillId="0" borderId="1" xfId="0" applyNumberFormat="1" applyFont="1" applyBorder="1" applyAlignment="1">
      <alignment vertical="center"/>
    </xf>
    <xf numFmtId="165" fontId="2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</cellXfs>
  <cellStyles count="1">
    <cellStyle name="Normal" xfId="0" builtinId="0"/>
  </cellStyles>
  <dxfs count="1"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0"/>
  <sheetViews>
    <sheetView tabSelected="1" topLeftCell="A165" workbookViewId="0">
      <selection activeCell="F204" sqref="F204"/>
    </sheetView>
  </sheetViews>
  <sheetFormatPr baseColWidth="10" defaultColWidth="8.83203125" defaultRowHeight="14"/>
  <cols>
    <col min="1" max="1" width="8" customWidth="1"/>
    <col min="2" max="2" width="18" customWidth="1"/>
    <col min="3" max="3" width="13" customWidth="1"/>
    <col min="4" max="4" width="11" customWidth="1"/>
    <col min="5" max="6" width="12" customWidth="1"/>
    <col min="7" max="7" width="14" customWidth="1"/>
    <col min="8" max="8" width="52" customWidth="1"/>
    <col min="9" max="9" width="12" customWidth="1"/>
    <col min="10" max="10" width="3" customWidth="1"/>
    <col min="11" max="11" width="22" customWidth="1"/>
  </cols>
  <sheetData>
    <row r="1" spans="1:11" ht="40" customHeight="1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29"/>
      <c r="K1" s="29" t="s">
        <v>9</v>
      </c>
    </row>
    <row r="2" spans="1:11" ht="16">
      <c r="A2" s="8">
        <v>1</v>
      </c>
      <c r="B2" s="8" t="s">
        <v>10</v>
      </c>
      <c r="C2" s="9">
        <v>40909</v>
      </c>
      <c r="D2" s="8" t="s">
        <v>11</v>
      </c>
      <c r="E2" s="30">
        <v>980</v>
      </c>
      <c r="F2" s="10">
        <v>102</v>
      </c>
      <c r="G2" s="10">
        <f t="shared" ref="G2:G8" si="0">E2*F2</f>
        <v>99960</v>
      </c>
      <c r="H2" s="11" t="s">
        <v>12</v>
      </c>
      <c r="I2" s="8" t="s">
        <v>13</v>
      </c>
      <c r="J2" s="8"/>
      <c r="K2" s="8" t="s">
        <v>14</v>
      </c>
    </row>
    <row r="3" spans="1:11" ht="15">
      <c r="A3" s="3"/>
      <c r="B3" s="3"/>
      <c r="C3" s="4">
        <v>41569</v>
      </c>
      <c r="D3" s="3" t="s">
        <v>15</v>
      </c>
      <c r="E3" s="31">
        <v>-208</v>
      </c>
      <c r="F3" s="5">
        <v>315</v>
      </c>
      <c r="G3" s="6">
        <f t="shared" si="0"/>
        <v>-65520</v>
      </c>
      <c r="H3" s="7" t="s">
        <v>12</v>
      </c>
      <c r="I3" s="3"/>
      <c r="J3" s="3"/>
      <c r="K3" s="3"/>
    </row>
    <row r="4" spans="1:11" ht="15">
      <c r="A4" s="3"/>
      <c r="B4" s="3"/>
      <c r="C4" s="4">
        <v>41663</v>
      </c>
      <c r="D4" s="3" t="s">
        <v>15</v>
      </c>
      <c r="E4" s="31">
        <v>-56</v>
      </c>
      <c r="F4" s="5">
        <v>345</v>
      </c>
      <c r="G4" s="6">
        <f t="shared" si="0"/>
        <v>-19320</v>
      </c>
      <c r="H4" s="7" t="s">
        <v>12</v>
      </c>
      <c r="I4" s="3"/>
      <c r="J4" s="3"/>
      <c r="K4" s="3"/>
    </row>
    <row r="5" spans="1:11" ht="15">
      <c r="A5" s="3"/>
      <c r="B5" s="3"/>
      <c r="C5" s="4">
        <v>41687</v>
      </c>
      <c r="D5" s="3" t="s">
        <v>15</v>
      </c>
      <c r="E5" s="31">
        <v>-194</v>
      </c>
      <c r="F5" s="5">
        <v>368.7</v>
      </c>
      <c r="G5" s="6">
        <f t="shared" si="0"/>
        <v>-71527.8</v>
      </c>
      <c r="H5" s="7" t="s">
        <v>12</v>
      </c>
      <c r="I5" s="3"/>
      <c r="J5" s="3"/>
      <c r="K5" s="3"/>
    </row>
    <row r="6" spans="1:11" ht="15">
      <c r="A6" s="3"/>
      <c r="B6" s="3"/>
      <c r="C6" s="4">
        <v>41696</v>
      </c>
      <c r="D6" s="3" t="s">
        <v>15</v>
      </c>
      <c r="E6" s="31">
        <v>-122</v>
      </c>
      <c r="F6" s="5">
        <v>397</v>
      </c>
      <c r="G6" s="6">
        <f t="shared" si="0"/>
        <v>-48434</v>
      </c>
      <c r="H6" s="7" t="s">
        <v>12</v>
      </c>
      <c r="I6" s="3"/>
      <c r="J6" s="3"/>
      <c r="K6" s="3"/>
    </row>
    <row r="7" spans="1:11" ht="15">
      <c r="A7" s="3"/>
      <c r="B7" s="3"/>
      <c r="C7" s="4">
        <v>41698</v>
      </c>
      <c r="D7" s="3" t="s">
        <v>15</v>
      </c>
      <c r="E7" s="31">
        <v>-95</v>
      </c>
      <c r="F7" s="5">
        <v>390</v>
      </c>
      <c r="G7" s="6">
        <f t="shared" si="0"/>
        <v>-37050</v>
      </c>
      <c r="H7" s="7" t="s">
        <v>12</v>
      </c>
      <c r="I7" s="3"/>
      <c r="J7" s="3"/>
      <c r="K7" s="3"/>
    </row>
    <row r="8" spans="1:11" ht="15">
      <c r="A8" s="3"/>
      <c r="B8" s="3"/>
      <c r="C8" s="4">
        <v>42331</v>
      </c>
      <c r="D8" s="3" t="s">
        <v>15</v>
      </c>
      <c r="E8" s="31">
        <v>-305</v>
      </c>
      <c r="F8" s="5">
        <v>868</v>
      </c>
      <c r="G8" s="6">
        <f t="shared" si="0"/>
        <v>-264740</v>
      </c>
      <c r="H8" s="7" t="s">
        <v>12</v>
      </c>
      <c r="I8" s="3"/>
      <c r="J8" s="3"/>
      <c r="K8" s="3"/>
    </row>
    <row r="9" spans="1:11" ht="15">
      <c r="A9" s="3"/>
      <c r="B9" s="3"/>
      <c r="C9" s="4"/>
      <c r="D9" s="3"/>
      <c r="E9" s="39">
        <f>SUM(E2:E8)</f>
        <v>0</v>
      </c>
      <c r="F9" s="5"/>
      <c r="G9" s="6"/>
      <c r="H9" s="7"/>
      <c r="I9" s="3"/>
      <c r="J9" s="3"/>
      <c r="K9" s="3"/>
    </row>
    <row r="10" spans="1:11" ht="16">
      <c r="A10" s="8">
        <v>2</v>
      </c>
      <c r="B10" s="8" t="s">
        <v>16</v>
      </c>
      <c r="C10" s="9">
        <v>40909</v>
      </c>
      <c r="D10" s="8" t="s">
        <v>11</v>
      </c>
      <c r="E10" s="30">
        <v>2555</v>
      </c>
      <c r="F10" s="10">
        <v>27.4</v>
      </c>
      <c r="G10" s="10">
        <f t="shared" ref="G10:G15" si="1">E10*F10</f>
        <v>70007</v>
      </c>
      <c r="H10" s="11" t="s">
        <v>12</v>
      </c>
      <c r="I10" s="8" t="s">
        <v>13</v>
      </c>
      <c r="J10" s="8"/>
      <c r="K10" s="8" t="s">
        <v>14</v>
      </c>
    </row>
    <row r="11" spans="1:11" ht="15">
      <c r="A11" s="3"/>
      <c r="B11" s="3"/>
      <c r="C11" s="4">
        <v>41325</v>
      </c>
      <c r="D11" s="3" t="s">
        <v>11</v>
      </c>
      <c r="E11" s="31">
        <v>1275</v>
      </c>
      <c r="F11" s="5">
        <v>47</v>
      </c>
      <c r="G11" s="6">
        <f t="shared" si="1"/>
        <v>59925</v>
      </c>
      <c r="H11" s="7" t="s">
        <v>12</v>
      </c>
      <c r="I11" s="3"/>
      <c r="J11" s="3"/>
      <c r="K11" s="3"/>
    </row>
    <row r="12" spans="1:11" ht="15">
      <c r="A12" s="3"/>
      <c r="B12" s="3"/>
      <c r="C12" s="4">
        <v>42051</v>
      </c>
      <c r="D12" s="3" t="s">
        <v>15</v>
      </c>
      <c r="E12" s="31">
        <v>-1778</v>
      </c>
      <c r="F12" s="5">
        <v>244.5</v>
      </c>
      <c r="G12" s="6">
        <f t="shared" si="1"/>
        <v>-434721</v>
      </c>
      <c r="H12" s="7" t="s">
        <v>12</v>
      </c>
      <c r="I12" s="3"/>
      <c r="J12" s="3"/>
      <c r="K12" s="3"/>
    </row>
    <row r="13" spans="1:11" ht="15">
      <c r="A13" s="3"/>
      <c r="B13" s="3"/>
      <c r="C13" s="4">
        <v>42178</v>
      </c>
      <c r="D13" s="3" t="s">
        <v>15</v>
      </c>
      <c r="E13" s="31">
        <v>-600</v>
      </c>
      <c r="F13" s="5">
        <v>244</v>
      </c>
      <c r="G13" s="6">
        <f t="shared" si="1"/>
        <v>-146400</v>
      </c>
      <c r="H13" s="7" t="s">
        <v>12</v>
      </c>
      <c r="I13" s="3"/>
      <c r="J13" s="3"/>
      <c r="K13" s="3"/>
    </row>
    <row r="14" spans="1:11" ht="15">
      <c r="A14" s="3"/>
      <c r="B14" s="3"/>
      <c r="C14" s="4">
        <v>42227</v>
      </c>
      <c r="D14" s="3" t="s">
        <v>15</v>
      </c>
      <c r="E14" s="31">
        <v>-363</v>
      </c>
      <c r="F14" s="5">
        <v>207</v>
      </c>
      <c r="G14" s="6">
        <f t="shared" si="1"/>
        <v>-75141</v>
      </c>
      <c r="H14" s="7" t="s">
        <v>12</v>
      </c>
      <c r="I14" s="3"/>
      <c r="J14" s="3"/>
      <c r="K14" s="3"/>
    </row>
    <row r="15" spans="1:11" ht="15">
      <c r="A15" s="3"/>
      <c r="B15" s="3"/>
      <c r="C15" s="4">
        <v>42269</v>
      </c>
      <c r="D15" s="3" t="s">
        <v>15</v>
      </c>
      <c r="E15" s="31">
        <v>-1089</v>
      </c>
      <c r="F15" s="5">
        <v>174</v>
      </c>
      <c r="G15" s="6">
        <f t="shared" si="1"/>
        <v>-189486</v>
      </c>
      <c r="H15" s="7" t="s">
        <v>12</v>
      </c>
      <c r="I15" s="3"/>
      <c r="J15" s="3"/>
      <c r="K15" s="3"/>
    </row>
    <row r="16" spans="1:11" ht="15">
      <c r="A16" s="3"/>
      <c r="B16" s="3"/>
      <c r="C16" s="4"/>
      <c r="D16" s="3"/>
      <c r="E16" s="39">
        <f>SUM(E10:E15)</f>
        <v>0</v>
      </c>
      <c r="F16" s="5"/>
      <c r="G16" s="6"/>
      <c r="H16" s="7"/>
      <c r="I16" s="3"/>
      <c r="J16" s="3"/>
      <c r="K16" s="3"/>
    </row>
    <row r="17" spans="1:11" ht="16">
      <c r="A17" s="8">
        <v>3</v>
      </c>
      <c r="B17" s="8" t="s">
        <v>17</v>
      </c>
      <c r="C17" s="9">
        <v>40909</v>
      </c>
      <c r="D17" s="8" t="s">
        <v>11</v>
      </c>
      <c r="E17" s="30">
        <v>595</v>
      </c>
      <c r="F17" s="10">
        <v>252</v>
      </c>
      <c r="G17" s="10">
        <f>E17*F17</f>
        <v>149940</v>
      </c>
      <c r="H17" s="11" t="s">
        <v>12</v>
      </c>
      <c r="I17" s="8" t="s">
        <v>18</v>
      </c>
      <c r="J17" s="8"/>
      <c r="K17" s="8" t="s">
        <v>19</v>
      </c>
    </row>
    <row r="18" spans="1:11" ht="15">
      <c r="A18" s="3"/>
      <c r="B18" s="3"/>
      <c r="C18" s="4">
        <v>41060</v>
      </c>
      <c r="D18" s="3" t="s">
        <v>15</v>
      </c>
      <c r="E18" s="31">
        <v>-198</v>
      </c>
      <c r="F18" s="5">
        <v>315</v>
      </c>
      <c r="G18" s="6">
        <f>E18*F18</f>
        <v>-62370</v>
      </c>
      <c r="H18" s="7" t="s">
        <v>12</v>
      </c>
      <c r="I18" s="3"/>
      <c r="J18" s="3"/>
      <c r="K18" s="3"/>
    </row>
    <row r="19" spans="1:11" ht="15">
      <c r="A19" s="3"/>
      <c r="B19" s="3"/>
      <c r="C19" s="4">
        <v>41317</v>
      </c>
      <c r="D19" s="3" t="s">
        <v>15</v>
      </c>
      <c r="E19" s="31">
        <v>-397</v>
      </c>
      <c r="F19" s="5">
        <v>212</v>
      </c>
      <c r="G19" s="6">
        <f>E19*F19</f>
        <v>-84164</v>
      </c>
      <c r="H19" s="7" t="s">
        <v>12</v>
      </c>
      <c r="I19" s="3"/>
      <c r="J19" s="3"/>
      <c r="K19" s="3"/>
    </row>
    <row r="20" spans="1:11" ht="15">
      <c r="A20" s="3"/>
      <c r="B20" s="3"/>
      <c r="C20" s="4"/>
      <c r="D20" s="3"/>
      <c r="E20" s="39">
        <f>SUM(E17:E19)</f>
        <v>0</v>
      </c>
      <c r="F20" s="5"/>
      <c r="G20" s="6"/>
      <c r="H20" s="7"/>
      <c r="I20" s="3"/>
      <c r="J20" s="3"/>
      <c r="K20" s="3"/>
    </row>
    <row r="21" spans="1:11" ht="16">
      <c r="A21" s="8">
        <v>4</v>
      </c>
      <c r="B21" s="8" t="s">
        <v>20</v>
      </c>
      <c r="C21" s="9">
        <v>40909</v>
      </c>
      <c r="D21" s="8" t="s">
        <v>11</v>
      </c>
      <c r="E21" s="30">
        <v>390</v>
      </c>
      <c r="F21" s="10">
        <v>385</v>
      </c>
      <c r="G21" s="10">
        <f>E21*F21</f>
        <v>150150</v>
      </c>
      <c r="H21" s="11" t="s">
        <v>12</v>
      </c>
      <c r="I21" s="8" t="s">
        <v>13</v>
      </c>
      <c r="J21" s="8"/>
      <c r="K21" s="8" t="s">
        <v>14</v>
      </c>
    </row>
    <row r="22" spans="1:11" ht="15">
      <c r="A22" s="3"/>
      <c r="B22" s="3"/>
      <c r="C22" s="4">
        <v>41060</v>
      </c>
      <c r="D22" s="3" t="s">
        <v>15</v>
      </c>
      <c r="E22" s="31">
        <v>-130</v>
      </c>
      <c r="F22" s="5">
        <v>547</v>
      </c>
      <c r="G22" s="6">
        <f>E22*F22</f>
        <v>-71110</v>
      </c>
      <c r="H22" s="7" t="s">
        <v>12</v>
      </c>
      <c r="I22" s="3"/>
      <c r="J22" s="3"/>
      <c r="K22" s="3"/>
    </row>
    <row r="23" spans="1:11" ht="15">
      <c r="A23" s="3"/>
      <c r="B23" s="3"/>
      <c r="C23" s="4">
        <v>41191</v>
      </c>
      <c r="D23" s="3" t="s">
        <v>15</v>
      </c>
      <c r="E23" s="31">
        <v>-128</v>
      </c>
      <c r="F23" s="5">
        <v>661</v>
      </c>
      <c r="G23" s="6">
        <f>E23*F23</f>
        <v>-84608</v>
      </c>
      <c r="H23" s="7" t="s">
        <v>12</v>
      </c>
      <c r="I23" s="3"/>
      <c r="J23" s="3"/>
      <c r="K23" s="3"/>
    </row>
    <row r="24" spans="1:11" ht="15">
      <c r="A24" s="3"/>
      <c r="B24" s="3"/>
      <c r="C24" s="4">
        <v>41211</v>
      </c>
      <c r="D24" s="3" t="s">
        <v>15</v>
      </c>
      <c r="E24" s="31">
        <v>-132</v>
      </c>
      <c r="F24" s="5">
        <v>621</v>
      </c>
      <c r="G24" s="6">
        <f>E24*F24</f>
        <v>-81972</v>
      </c>
      <c r="H24" s="7" t="s">
        <v>12</v>
      </c>
      <c r="I24" s="3"/>
      <c r="J24" s="3"/>
      <c r="K24" s="3"/>
    </row>
    <row r="25" spans="1:11" ht="15">
      <c r="A25" s="3"/>
      <c r="B25" s="3"/>
      <c r="C25" s="4"/>
      <c r="D25" s="3"/>
      <c r="E25" s="39">
        <f>SUM(E21:E24)</f>
        <v>0</v>
      </c>
      <c r="F25" s="5"/>
      <c r="G25" s="6"/>
      <c r="H25" s="7"/>
      <c r="I25" s="3"/>
      <c r="J25" s="3"/>
      <c r="K25" s="3"/>
    </row>
    <row r="26" spans="1:11" ht="16">
      <c r="A26" s="8">
        <v>5</v>
      </c>
      <c r="B26" s="8" t="s">
        <v>21</v>
      </c>
      <c r="C26" s="9">
        <v>40909</v>
      </c>
      <c r="D26" s="8" t="s">
        <v>11</v>
      </c>
      <c r="E26" s="30">
        <v>780</v>
      </c>
      <c r="F26" s="10">
        <v>89.6</v>
      </c>
      <c r="G26" s="10">
        <f>E26*F26</f>
        <v>69888</v>
      </c>
      <c r="H26" s="11" t="s">
        <v>12</v>
      </c>
      <c r="I26" s="8" t="s">
        <v>13</v>
      </c>
      <c r="J26" s="8"/>
      <c r="K26" s="8" t="s">
        <v>14</v>
      </c>
    </row>
    <row r="27" spans="1:11" ht="15">
      <c r="A27" s="3"/>
      <c r="B27" s="3"/>
      <c r="C27" s="4">
        <v>41064</v>
      </c>
      <c r="D27" s="3" t="s">
        <v>15</v>
      </c>
      <c r="E27" s="31">
        <v>-225</v>
      </c>
      <c r="F27" s="5">
        <v>143.80000000000001</v>
      </c>
      <c r="G27" s="6">
        <f>E27*F27</f>
        <v>-32355.000000000004</v>
      </c>
      <c r="H27" s="7" t="s">
        <v>12</v>
      </c>
      <c r="I27" s="3"/>
      <c r="J27" s="3"/>
      <c r="K27" s="3"/>
    </row>
    <row r="28" spans="1:11" ht="15">
      <c r="A28" s="3"/>
      <c r="B28" s="3"/>
      <c r="C28" s="4">
        <v>41418</v>
      </c>
      <c r="D28" s="3" t="s">
        <v>11</v>
      </c>
      <c r="E28" s="31">
        <v>150</v>
      </c>
      <c r="F28" s="5">
        <v>246</v>
      </c>
      <c r="G28" s="6">
        <f>E28*F28</f>
        <v>36900</v>
      </c>
      <c r="H28" s="7" t="s">
        <v>12</v>
      </c>
      <c r="I28" s="3"/>
      <c r="J28" s="3"/>
      <c r="K28" s="3"/>
    </row>
    <row r="29" spans="1:11" ht="15">
      <c r="A29" s="3"/>
      <c r="B29" s="3"/>
      <c r="C29" s="4">
        <v>41842</v>
      </c>
      <c r="D29" s="3" t="s">
        <v>15</v>
      </c>
      <c r="E29" s="31">
        <v>-473</v>
      </c>
      <c r="F29" s="5">
        <v>828</v>
      </c>
      <c r="G29" s="6">
        <f>E29*F29</f>
        <v>-391644</v>
      </c>
      <c r="H29" s="7" t="s">
        <v>12</v>
      </c>
      <c r="I29" s="3"/>
      <c r="J29" s="3"/>
      <c r="K29" s="3"/>
    </row>
    <row r="30" spans="1:11" ht="15">
      <c r="A30" s="3"/>
      <c r="B30" s="3"/>
      <c r="C30" s="4">
        <v>41982</v>
      </c>
      <c r="D30" s="3" t="s">
        <v>15</v>
      </c>
      <c r="E30" s="31">
        <v>-232</v>
      </c>
      <c r="F30" s="5">
        <v>791</v>
      </c>
      <c r="G30" s="6">
        <f>E30*F30</f>
        <v>-183512</v>
      </c>
      <c r="H30" s="7" t="s">
        <v>12</v>
      </c>
      <c r="I30" s="3"/>
      <c r="J30" s="3"/>
      <c r="K30" s="3"/>
    </row>
    <row r="31" spans="1:11" ht="15">
      <c r="A31" s="3"/>
      <c r="B31" s="3"/>
      <c r="C31" s="4"/>
      <c r="D31" s="3"/>
      <c r="E31" s="39">
        <f>SUM(E26:E30)</f>
        <v>0</v>
      </c>
      <c r="F31" s="5"/>
      <c r="G31" s="6"/>
      <c r="H31" s="7"/>
      <c r="I31" s="3"/>
      <c r="J31" s="3"/>
      <c r="K31" s="3"/>
    </row>
    <row r="32" spans="1:11" ht="16">
      <c r="A32" s="8">
        <v>6</v>
      </c>
      <c r="B32" s="8" t="s">
        <v>22</v>
      </c>
      <c r="C32" s="9">
        <v>40909</v>
      </c>
      <c r="D32" s="8" t="s">
        <v>11</v>
      </c>
      <c r="E32" s="30">
        <v>920</v>
      </c>
      <c r="F32" s="10">
        <v>87</v>
      </c>
      <c r="G32" s="10">
        <f>E32*F32</f>
        <v>80040</v>
      </c>
      <c r="H32" s="11" t="s">
        <v>12</v>
      </c>
      <c r="I32" s="8" t="s">
        <v>18</v>
      </c>
      <c r="J32" s="8"/>
      <c r="K32" s="8" t="s">
        <v>19</v>
      </c>
    </row>
    <row r="33" spans="1:11" ht="15">
      <c r="A33" s="3"/>
      <c r="B33" s="3"/>
      <c r="C33" s="4">
        <v>41023</v>
      </c>
      <c r="D33" s="3" t="s">
        <v>15</v>
      </c>
      <c r="E33" s="31">
        <v>-115</v>
      </c>
      <c r="F33" s="5">
        <v>110</v>
      </c>
      <c r="G33" s="6">
        <f>E33*F33</f>
        <v>-12650</v>
      </c>
      <c r="H33" s="7" t="s">
        <v>12</v>
      </c>
      <c r="I33" s="3"/>
      <c r="J33" s="3"/>
      <c r="K33" s="3"/>
    </row>
    <row r="34" spans="1:11" ht="15">
      <c r="A34" s="3"/>
      <c r="B34" s="3"/>
      <c r="C34" s="4">
        <v>41107</v>
      </c>
      <c r="D34" s="3" t="s">
        <v>15</v>
      </c>
      <c r="E34" s="31">
        <v>-460</v>
      </c>
      <c r="F34" s="5">
        <v>100</v>
      </c>
      <c r="G34" s="6">
        <f>E34*F34</f>
        <v>-46000</v>
      </c>
      <c r="H34" s="7" t="s">
        <v>12</v>
      </c>
      <c r="I34" s="3"/>
      <c r="J34" s="3"/>
      <c r="K34" s="3"/>
    </row>
    <row r="35" spans="1:11" ht="15">
      <c r="A35" s="3"/>
      <c r="B35" s="3"/>
      <c r="C35" s="4">
        <v>41128</v>
      </c>
      <c r="D35" s="3" t="s">
        <v>15</v>
      </c>
      <c r="E35" s="31">
        <v>-345</v>
      </c>
      <c r="F35" s="5">
        <v>98</v>
      </c>
      <c r="G35" s="6">
        <f>E35*F35</f>
        <v>-33810</v>
      </c>
      <c r="H35" s="7" t="s">
        <v>12</v>
      </c>
      <c r="I35" s="3"/>
      <c r="J35" s="3"/>
      <c r="K35" s="3"/>
    </row>
    <row r="36" spans="1:11" ht="15">
      <c r="A36" s="3"/>
      <c r="B36" s="3"/>
      <c r="C36" s="4"/>
      <c r="D36" s="3"/>
      <c r="E36" s="39">
        <f>SUM(E32:E35)</f>
        <v>0</v>
      </c>
      <c r="F36" s="5"/>
      <c r="G36" s="6"/>
      <c r="H36" s="7"/>
      <c r="I36" s="3"/>
      <c r="J36" s="3"/>
      <c r="K36" s="3"/>
    </row>
    <row r="37" spans="1:11" ht="16">
      <c r="A37" s="8">
        <v>7</v>
      </c>
      <c r="B37" s="8" t="s">
        <v>23</v>
      </c>
      <c r="C37" s="9">
        <v>40909</v>
      </c>
      <c r="D37" s="8" t="s">
        <v>11</v>
      </c>
      <c r="E37" s="30">
        <v>387</v>
      </c>
      <c r="F37" s="10">
        <v>155</v>
      </c>
      <c r="G37" s="10">
        <f t="shared" ref="G37:G42" si="2">E37*F37</f>
        <v>59985</v>
      </c>
      <c r="H37" s="11" t="s">
        <v>12</v>
      </c>
      <c r="I37" s="8" t="s">
        <v>13</v>
      </c>
      <c r="J37" s="8"/>
      <c r="K37" s="8" t="s">
        <v>14</v>
      </c>
    </row>
    <row r="38" spans="1:11" ht="15">
      <c r="A38" s="3"/>
      <c r="B38" s="3"/>
      <c r="C38" s="4">
        <v>41023</v>
      </c>
      <c r="D38" s="3" t="s">
        <v>11</v>
      </c>
      <c r="E38" s="31">
        <v>65</v>
      </c>
      <c r="F38" s="5">
        <v>188</v>
      </c>
      <c r="G38" s="6">
        <f t="shared" si="2"/>
        <v>12220</v>
      </c>
      <c r="H38" s="7" t="s">
        <v>12</v>
      </c>
      <c r="I38" s="3"/>
      <c r="J38" s="3"/>
      <c r="K38" s="3"/>
    </row>
    <row r="39" spans="1:11" ht="15">
      <c r="A39" s="3"/>
      <c r="B39" s="3"/>
      <c r="C39" s="4">
        <v>41060</v>
      </c>
      <c r="D39" s="3" t="s">
        <v>11</v>
      </c>
      <c r="E39" s="31">
        <v>194</v>
      </c>
      <c r="F39" s="5">
        <v>204</v>
      </c>
      <c r="G39" s="6">
        <f t="shared" si="2"/>
        <v>39576</v>
      </c>
      <c r="H39" s="7" t="s">
        <v>12</v>
      </c>
      <c r="I39" s="3"/>
      <c r="J39" s="3"/>
      <c r="K39" s="3"/>
    </row>
    <row r="40" spans="1:11" ht="15">
      <c r="A40" s="3"/>
      <c r="B40" s="3"/>
      <c r="C40" s="4">
        <v>41410</v>
      </c>
      <c r="D40" s="3" t="s">
        <v>15</v>
      </c>
      <c r="E40" s="31">
        <v>-394</v>
      </c>
      <c r="F40" s="5">
        <v>524</v>
      </c>
      <c r="G40" s="6">
        <f t="shared" si="2"/>
        <v>-206456</v>
      </c>
      <c r="H40" s="7" t="s">
        <v>12</v>
      </c>
      <c r="I40" s="3"/>
      <c r="J40" s="3"/>
      <c r="K40" s="3"/>
    </row>
    <row r="41" spans="1:11" ht="15">
      <c r="A41" s="3"/>
      <c r="B41" s="3"/>
      <c r="C41" s="4">
        <v>41570</v>
      </c>
      <c r="D41" s="3" t="s">
        <v>15</v>
      </c>
      <c r="E41" s="31">
        <v>-71</v>
      </c>
      <c r="F41" s="5">
        <v>509</v>
      </c>
      <c r="G41" s="6">
        <f t="shared" si="2"/>
        <v>-36139</v>
      </c>
      <c r="H41" s="7" t="s">
        <v>12</v>
      </c>
      <c r="I41" s="3"/>
      <c r="J41" s="3"/>
      <c r="K41" s="3"/>
    </row>
    <row r="42" spans="1:11" ht="15">
      <c r="A42" s="3"/>
      <c r="B42" s="3"/>
      <c r="C42" s="4">
        <v>41605</v>
      </c>
      <c r="D42" s="3" t="s">
        <v>15</v>
      </c>
      <c r="E42" s="31">
        <v>-181</v>
      </c>
      <c r="F42" s="5">
        <v>475</v>
      </c>
      <c r="G42" s="6">
        <f t="shared" si="2"/>
        <v>-85975</v>
      </c>
      <c r="H42" s="7" t="s">
        <v>12</v>
      </c>
      <c r="I42" s="3"/>
      <c r="J42" s="3"/>
      <c r="K42" s="3"/>
    </row>
    <row r="43" spans="1:11" ht="15">
      <c r="A43" s="3"/>
      <c r="B43" s="3"/>
      <c r="C43" s="4"/>
      <c r="D43" s="3"/>
      <c r="E43" s="39">
        <f>SUM(E37:E42)</f>
        <v>0</v>
      </c>
      <c r="F43" s="5"/>
      <c r="G43" s="6"/>
      <c r="H43" s="7"/>
      <c r="I43" s="3"/>
      <c r="J43" s="3"/>
      <c r="K43" s="3"/>
    </row>
    <row r="44" spans="1:11" ht="16">
      <c r="A44" s="8">
        <v>8</v>
      </c>
      <c r="B44" s="8" t="s">
        <v>24</v>
      </c>
      <c r="C44" s="9">
        <v>40956</v>
      </c>
      <c r="D44" s="8" t="s">
        <v>11</v>
      </c>
      <c r="E44" s="30">
        <v>1250</v>
      </c>
      <c r="F44" s="10">
        <v>70</v>
      </c>
      <c r="G44" s="10">
        <f>E44*F44</f>
        <v>87500</v>
      </c>
      <c r="H44" s="11" t="s">
        <v>12</v>
      </c>
      <c r="I44" s="8" t="s">
        <v>13</v>
      </c>
      <c r="J44" s="8"/>
      <c r="K44" s="8" t="s">
        <v>19</v>
      </c>
    </row>
    <row r="45" spans="1:11" ht="15">
      <c r="A45" s="3"/>
      <c r="B45" s="3"/>
      <c r="C45" s="4">
        <v>41394</v>
      </c>
      <c r="D45" s="3" t="s">
        <v>15</v>
      </c>
      <c r="E45" s="31">
        <v>-625</v>
      </c>
      <c r="F45" s="5">
        <v>96</v>
      </c>
      <c r="G45" s="6">
        <f>E45*F45</f>
        <v>-60000</v>
      </c>
      <c r="H45" s="7" t="s">
        <v>12</v>
      </c>
      <c r="I45" s="3"/>
      <c r="J45" s="3"/>
      <c r="K45" s="3"/>
    </row>
    <row r="46" spans="1:11" ht="15">
      <c r="A46" s="3"/>
      <c r="B46" s="3"/>
      <c r="C46" s="4">
        <v>41400</v>
      </c>
      <c r="D46" s="3" t="s">
        <v>15</v>
      </c>
      <c r="E46" s="31">
        <v>-625</v>
      </c>
      <c r="F46" s="5">
        <v>97</v>
      </c>
      <c r="G46" s="6">
        <f>E46*F46</f>
        <v>-60625</v>
      </c>
      <c r="H46" s="7" t="s">
        <v>12</v>
      </c>
      <c r="I46" s="3"/>
      <c r="J46" s="3"/>
      <c r="K46" s="3"/>
    </row>
    <row r="47" spans="1:11" ht="15">
      <c r="A47" s="3"/>
      <c r="B47" s="3"/>
      <c r="C47" s="4"/>
      <c r="D47" s="3"/>
      <c r="E47" s="39">
        <f>SUM(E44:E46)</f>
        <v>0</v>
      </c>
      <c r="F47" s="5"/>
      <c r="G47" s="6"/>
      <c r="H47" s="7"/>
      <c r="I47" s="3"/>
      <c r="J47" s="3"/>
      <c r="K47" s="3"/>
    </row>
    <row r="48" spans="1:11" ht="16">
      <c r="A48" s="8">
        <v>9</v>
      </c>
      <c r="B48" s="8" t="s">
        <v>25</v>
      </c>
      <c r="C48" s="9">
        <v>41008</v>
      </c>
      <c r="D48" s="8" t="s">
        <v>11</v>
      </c>
      <c r="E48" s="30">
        <v>372</v>
      </c>
      <c r="F48" s="10">
        <v>269</v>
      </c>
      <c r="G48" s="10">
        <f>E48*F48</f>
        <v>100068</v>
      </c>
      <c r="H48" s="11" t="s">
        <v>12</v>
      </c>
      <c r="I48" s="8" t="s">
        <v>13</v>
      </c>
      <c r="J48" s="8"/>
      <c r="K48" s="8"/>
    </row>
    <row r="49" spans="1:11" ht="15">
      <c r="A49" s="3"/>
      <c r="B49" s="3"/>
      <c r="C49" s="4">
        <v>41617</v>
      </c>
      <c r="D49" s="3" t="s">
        <v>15</v>
      </c>
      <c r="E49" s="31">
        <v>-59</v>
      </c>
      <c r="F49" s="5">
        <v>332</v>
      </c>
      <c r="G49" s="6">
        <f>E49*F49</f>
        <v>-19588</v>
      </c>
      <c r="H49" s="7" t="s">
        <v>12</v>
      </c>
      <c r="I49" s="3"/>
      <c r="J49" s="3"/>
      <c r="K49" s="3"/>
    </row>
    <row r="50" spans="1:11" ht="15">
      <c r="A50" s="3"/>
      <c r="B50" s="3"/>
      <c r="C50" s="4">
        <v>41698</v>
      </c>
      <c r="D50" s="3" t="s">
        <v>15</v>
      </c>
      <c r="E50" s="31">
        <v>-100</v>
      </c>
      <c r="F50" s="5">
        <v>448</v>
      </c>
      <c r="G50" s="6">
        <f>E50*F50</f>
        <v>-44800</v>
      </c>
      <c r="H50" s="7" t="s">
        <v>12</v>
      </c>
      <c r="I50" s="3"/>
      <c r="J50" s="3"/>
      <c r="K50" s="3"/>
    </row>
    <row r="51" spans="1:11" ht="15">
      <c r="A51" s="3"/>
      <c r="B51" s="3"/>
      <c r="C51" s="4">
        <v>41835</v>
      </c>
      <c r="D51" s="3" t="s">
        <v>15</v>
      </c>
      <c r="E51" s="31">
        <v>-213</v>
      </c>
      <c r="F51" s="5">
        <v>407</v>
      </c>
      <c r="G51" s="6">
        <f>E51*F51</f>
        <v>-86691</v>
      </c>
      <c r="H51" s="7" t="s">
        <v>12</v>
      </c>
      <c r="I51" s="3"/>
      <c r="J51" s="3"/>
      <c r="K51" s="3"/>
    </row>
    <row r="52" spans="1:11" ht="15">
      <c r="A52" s="3"/>
      <c r="B52" s="3"/>
      <c r="C52" s="4"/>
      <c r="D52" s="3"/>
      <c r="E52" s="39">
        <f>SUM(E48:E51)</f>
        <v>0</v>
      </c>
      <c r="F52" s="5"/>
      <c r="G52" s="6"/>
      <c r="H52" s="7"/>
      <c r="I52" s="3"/>
      <c r="J52" s="3"/>
      <c r="K52" s="3"/>
    </row>
    <row r="53" spans="1:11" ht="16">
      <c r="A53" s="8">
        <v>10</v>
      </c>
      <c r="B53" s="8" t="s">
        <v>26</v>
      </c>
      <c r="C53" s="9">
        <v>41008</v>
      </c>
      <c r="D53" s="8" t="s">
        <v>11</v>
      </c>
      <c r="E53" s="30">
        <v>781</v>
      </c>
      <c r="F53" s="10">
        <v>64</v>
      </c>
      <c r="G53" s="10">
        <f>E53*F53</f>
        <v>49984</v>
      </c>
      <c r="H53" s="11" t="s">
        <v>12</v>
      </c>
      <c r="I53" s="8" t="s">
        <v>13</v>
      </c>
      <c r="J53" s="8"/>
      <c r="K53" s="8"/>
    </row>
    <row r="54" spans="1:11" ht="15">
      <c r="A54" s="3"/>
      <c r="B54" s="3"/>
      <c r="C54" s="4">
        <v>41103</v>
      </c>
      <c r="D54" s="3" t="s">
        <v>11</v>
      </c>
      <c r="E54" s="31">
        <v>312</v>
      </c>
      <c r="F54" s="5">
        <v>86</v>
      </c>
      <c r="G54" s="6">
        <f>E54*F54</f>
        <v>26832</v>
      </c>
      <c r="H54" s="7" t="s">
        <v>12</v>
      </c>
      <c r="I54" s="3"/>
      <c r="J54" s="3"/>
      <c r="K54" s="3"/>
    </row>
    <row r="55" spans="1:11" ht="15">
      <c r="A55" s="3"/>
      <c r="B55" s="3"/>
      <c r="C55" s="4">
        <v>41565</v>
      </c>
      <c r="D55" s="3" t="s">
        <v>11</v>
      </c>
      <c r="E55" s="31">
        <v>219</v>
      </c>
      <c r="F55" s="5">
        <v>142</v>
      </c>
      <c r="G55" s="6">
        <f>E55*F55</f>
        <v>31098</v>
      </c>
      <c r="H55" s="7" t="s">
        <v>12</v>
      </c>
      <c r="I55" s="3"/>
      <c r="J55" s="3"/>
      <c r="K55" s="3"/>
    </row>
    <row r="56" spans="1:11" ht="15">
      <c r="A56" s="3"/>
      <c r="B56" s="3"/>
      <c r="C56" s="4">
        <v>41929</v>
      </c>
      <c r="D56" s="3" t="s">
        <v>15</v>
      </c>
      <c r="E56" s="31">
        <v>-995</v>
      </c>
      <c r="F56" s="5">
        <v>670</v>
      </c>
      <c r="G56" s="6">
        <f>E56*F56</f>
        <v>-666650</v>
      </c>
      <c r="H56" s="7" t="s">
        <v>12</v>
      </c>
      <c r="I56" s="3"/>
      <c r="J56" s="3"/>
      <c r="K56" s="3"/>
    </row>
    <row r="57" spans="1:11" ht="15">
      <c r="A57" s="3"/>
      <c r="B57" s="3"/>
      <c r="C57" s="4">
        <v>42114</v>
      </c>
      <c r="D57" s="3" t="s">
        <v>15</v>
      </c>
      <c r="E57" s="31">
        <v>-317</v>
      </c>
      <c r="F57" s="5">
        <v>371</v>
      </c>
      <c r="G57" s="6">
        <f>E57*F57</f>
        <v>-117607</v>
      </c>
      <c r="H57" s="7" t="s">
        <v>12</v>
      </c>
      <c r="I57" s="3"/>
      <c r="J57" s="3"/>
      <c r="K57" s="3"/>
    </row>
    <row r="58" spans="1:11" ht="15">
      <c r="A58" s="3"/>
      <c r="B58" s="3"/>
      <c r="C58" s="4"/>
      <c r="D58" s="3"/>
      <c r="E58" s="39">
        <f>SUM(E53:E57)</f>
        <v>0</v>
      </c>
      <c r="F58" s="5"/>
      <c r="G58" s="6"/>
      <c r="H58" s="7"/>
      <c r="I58" s="3"/>
      <c r="J58" s="3"/>
      <c r="K58" s="3"/>
    </row>
    <row r="59" spans="1:11" ht="16">
      <c r="A59" s="8">
        <v>11</v>
      </c>
      <c r="B59" s="8" t="s">
        <v>27</v>
      </c>
      <c r="C59" s="9">
        <v>41023</v>
      </c>
      <c r="D59" s="8" t="s">
        <v>11</v>
      </c>
      <c r="E59" s="30">
        <v>225</v>
      </c>
      <c r="F59" s="10">
        <v>222</v>
      </c>
      <c r="G59" s="10">
        <f>E59*F59</f>
        <v>49950</v>
      </c>
      <c r="H59" s="11" t="s">
        <v>12</v>
      </c>
      <c r="I59" s="8" t="s">
        <v>13</v>
      </c>
      <c r="J59" s="8"/>
      <c r="K59" s="8"/>
    </row>
    <row r="60" spans="1:11" ht="15">
      <c r="A60" s="3"/>
      <c r="B60" s="3"/>
      <c r="C60" s="4">
        <v>41698</v>
      </c>
      <c r="D60" s="3" t="s">
        <v>11</v>
      </c>
      <c r="E60" s="31">
        <v>87</v>
      </c>
      <c r="F60" s="5">
        <v>395</v>
      </c>
      <c r="G60" s="6">
        <f>E60*F60</f>
        <v>34365</v>
      </c>
      <c r="H60" s="7" t="s">
        <v>12</v>
      </c>
      <c r="I60" s="3"/>
      <c r="J60" s="3"/>
      <c r="K60" s="3"/>
    </row>
    <row r="61" spans="1:11" ht="15">
      <c r="A61" s="3"/>
      <c r="B61" s="3"/>
      <c r="C61" s="4">
        <v>41752</v>
      </c>
      <c r="D61" s="3" t="s">
        <v>11</v>
      </c>
      <c r="E61" s="31">
        <v>144</v>
      </c>
      <c r="F61" s="5">
        <v>388.2</v>
      </c>
      <c r="G61" s="6">
        <f>E61*F61</f>
        <v>55900.799999999996</v>
      </c>
      <c r="H61" s="7" t="s">
        <v>12</v>
      </c>
      <c r="I61" s="3"/>
      <c r="J61" s="3"/>
      <c r="K61" s="3"/>
    </row>
    <row r="62" spans="1:11" ht="15">
      <c r="A62" s="3"/>
      <c r="B62" s="3"/>
      <c r="C62" s="4">
        <v>42123</v>
      </c>
      <c r="D62" s="3" t="s">
        <v>15</v>
      </c>
      <c r="E62" s="31">
        <v>-228</v>
      </c>
      <c r="F62" s="5">
        <v>684</v>
      </c>
      <c r="G62" s="6">
        <f>E62*F62</f>
        <v>-155952</v>
      </c>
      <c r="H62" s="7" t="s">
        <v>12</v>
      </c>
      <c r="I62" s="3"/>
      <c r="J62" s="3"/>
      <c r="K62" s="3"/>
    </row>
    <row r="63" spans="1:11" ht="15">
      <c r="A63" s="3"/>
      <c r="B63" s="3"/>
      <c r="C63" s="4">
        <v>42216</v>
      </c>
      <c r="D63" s="3" t="s">
        <v>15</v>
      </c>
      <c r="E63" s="31">
        <v>-228</v>
      </c>
      <c r="F63" s="5">
        <v>941.5</v>
      </c>
      <c r="G63" s="6">
        <f>E63*F63</f>
        <v>-214662</v>
      </c>
      <c r="H63" s="7" t="s">
        <v>12</v>
      </c>
      <c r="I63" s="3"/>
      <c r="J63" s="3"/>
      <c r="K63" s="3"/>
    </row>
    <row r="64" spans="1:11" ht="15">
      <c r="A64" s="3"/>
      <c r="B64" s="3"/>
      <c r="C64" s="4"/>
      <c r="D64" s="3"/>
      <c r="E64" s="39">
        <f>SUM(E59:E63)</f>
        <v>0</v>
      </c>
      <c r="F64" s="5"/>
      <c r="G64" s="6"/>
      <c r="H64" s="7"/>
      <c r="I64" s="3"/>
      <c r="J64" s="3"/>
      <c r="K64" s="3"/>
    </row>
    <row r="65" spans="1:11" ht="16">
      <c r="A65" s="8">
        <v>12</v>
      </c>
      <c r="B65" s="8" t="s">
        <v>28</v>
      </c>
      <c r="C65" s="9">
        <v>41092</v>
      </c>
      <c r="D65" s="8" t="s">
        <v>11</v>
      </c>
      <c r="E65" s="30">
        <v>368</v>
      </c>
      <c r="F65" s="10">
        <v>136</v>
      </c>
      <c r="G65" s="10">
        <f>E65*F65</f>
        <v>50048</v>
      </c>
      <c r="H65" s="11" t="s">
        <v>12</v>
      </c>
      <c r="I65" s="8" t="s">
        <v>18</v>
      </c>
      <c r="J65" s="8"/>
      <c r="K65" s="8"/>
    </row>
    <row r="66" spans="1:11" ht="15">
      <c r="A66" s="3"/>
      <c r="B66" s="3"/>
      <c r="C66" s="4">
        <v>42165</v>
      </c>
      <c r="D66" s="3" t="s">
        <v>11</v>
      </c>
      <c r="E66" s="31">
        <v>532</v>
      </c>
      <c r="F66" s="5">
        <v>161</v>
      </c>
      <c r="G66" s="6">
        <f>E66*F66</f>
        <v>85652</v>
      </c>
      <c r="H66" s="7" t="s">
        <v>12</v>
      </c>
      <c r="I66" s="3"/>
      <c r="J66" s="3"/>
      <c r="K66" s="3"/>
    </row>
    <row r="67" spans="1:11" ht="15">
      <c r="A67" s="3"/>
      <c r="B67" s="3"/>
      <c r="C67" s="4">
        <v>43943</v>
      </c>
      <c r="D67" s="3" t="s">
        <v>15</v>
      </c>
      <c r="E67" s="31">
        <v>-900</v>
      </c>
      <c r="F67" s="5">
        <v>5.4</v>
      </c>
      <c r="G67" s="6">
        <f>E67*F67</f>
        <v>-4860</v>
      </c>
      <c r="H67" s="7" t="s">
        <v>29</v>
      </c>
      <c r="I67" s="3"/>
      <c r="J67" s="3"/>
      <c r="K67" s="3"/>
    </row>
    <row r="68" spans="1:11" ht="15">
      <c r="A68" s="3"/>
      <c r="B68" s="3"/>
      <c r="C68" s="4"/>
      <c r="D68" s="3"/>
      <c r="E68" s="39">
        <f>SUM(E65:E67)</f>
        <v>0</v>
      </c>
      <c r="F68" s="5"/>
      <c r="G68" s="6"/>
      <c r="H68" s="7"/>
      <c r="I68" s="3"/>
      <c r="J68" s="3"/>
      <c r="K68" s="3"/>
    </row>
    <row r="69" spans="1:11" ht="16">
      <c r="A69" s="8">
        <v>13</v>
      </c>
      <c r="B69" s="8" t="s">
        <v>30</v>
      </c>
      <c r="C69" s="9">
        <v>41148</v>
      </c>
      <c r="D69" s="8" t="s">
        <v>11</v>
      </c>
      <c r="E69" s="30">
        <v>1850</v>
      </c>
      <c r="F69" s="10">
        <v>38</v>
      </c>
      <c r="G69" s="10">
        <f>E69*F69</f>
        <v>70300</v>
      </c>
      <c r="H69" s="11" t="s">
        <v>12</v>
      </c>
      <c r="I69" s="8" t="s">
        <v>18</v>
      </c>
      <c r="J69" s="8"/>
      <c r="K69" s="8"/>
    </row>
    <row r="70" spans="1:11" ht="15">
      <c r="A70" s="3"/>
      <c r="B70" s="3"/>
      <c r="C70" s="4">
        <v>41421</v>
      </c>
      <c r="D70" s="3" t="s">
        <v>15</v>
      </c>
      <c r="E70" s="31">
        <v>-1850</v>
      </c>
      <c r="F70" s="5">
        <v>28</v>
      </c>
      <c r="G70" s="6">
        <f>E70*F70</f>
        <v>-51800</v>
      </c>
      <c r="H70" s="7" t="s">
        <v>12</v>
      </c>
      <c r="I70" s="3"/>
      <c r="J70" s="3"/>
      <c r="K70" s="3"/>
    </row>
    <row r="71" spans="1:11" ht="15">
      <c r="A71" s="3"/>
      <c r="B71" s="3"/>
      <c r="C71" s="4"/>
      <c r="D71" s="3"/>
      <c r="E71" s="39">
        <f>SUM(E69:E70)</f>
        <v>0</v>
      </c>
      <c r="F71" s="5"/>
      <c r="G71" s="6"/>
      <c r="H71" s="7"/>
      <c r="I71" s="3"/>
      <c r="J71" s="3"/>
      <c r="K71" s="3"/>
    </row>
    <row r="72" spans="1:11" ht="16">
      <c r="A72" s="8">
        <v>14</v>
      </c>
      <c r="B72" s="8" t="s">
        <v>31</v>
      </c>
      <c r="C72" s="9">
        <v>41180</v>
      </c>
      <c r="D72" s="8" t="s">
        <v>11</v>
      </c>
      <c r="E72" s="30">
        <v>980</v>
      </c>
      <c r="F72" s="10">
        <v>72.5</v>
      </c>
      <c r="G72" s="10">
        <f t="shared" ref="G72:G80" si="3">E72*F72</f>
        <v>71050</v>
      </c>
      <c r="H72" s="11" t="s">
        <v>12</v>
      </c>
      <c r="I72" s="8" t="s">
        <v>13</v>
      </c>
      <c r="J72" s="8"/>
      <c r="K72" s="8"/>
    </row>
    <row r="73" spans="1:11" ht="15">
      <c r="A73" s="3"/>
      <c r="B73" s="3"/>
      <c r="C73" s="4">
        <v>41212</v>
      </c>
      <c r="D73" s="3" t="s">
        <v>11</v>
      </c>
      <c r="E73" s="31">
        <v>380</v>
      </c>
      <c r="F73" s="5">
        <v>87.5</v>
      </c>
      <c r="G73" s="6">
        <f t="shared" si="3"/>
        <v>33250</v>
      </c>
      <c r="H73" s="7" t="s">
        <v>12</v>
      </c>
      <c r="I73" s="3"/>
      <c r="J73" s="3"/>
      <c r="K73" s="3"/>
    </row>
    <row r="74" spans="1:11" ht="15">
      <c r="A74" s="3"/>
      <c r="B74" s="3"/>
      <c r="C74" s="4">
        <v>41305</v>
      </c>
      <c r="D74" s="3" t="s">
        <v>11</v>
      </c>
      <c r="E74" s="31">
        <v>320</v>
      </c>
      <c r="F74" s="5">
        <v>121.5</v>
      </c>
      <c r="G74" s="6">
        <f t="shared" si="3"/>
        <v>38880</v>
      </c>
      <c r="H74" s="7" t="s">
        <v>12</v>
      </c>
      <c r="I74" s="3"/>
      <c r="J74" s="3"/>
      <c r="K74" s="3"/>
    </row>
    <row r="75" spans="1:11" ht="15">
      <c r="A75" s="3"/>
      <c r="B75" s="3"/>
      <c r="C75" s="4">
        <v>42151</v>
      </c>
      <c r="D75" s="3" t="s">
        <v>11</v>
      </c>
      <c r="E75" s="31">
        <v>840</v>
      </c>
      <c r="F75" s="5">
        <v>192.5</v>
      </c>
      <c r="G75" s="6">
        <f t="shared" si="3"/>
        <v>161700</v>
      </c>
      <c r="H75" s="7" t="s">
        <v>12</v>
      </c>
      <c r="I75" s="3"/>
      <c r="J75" s="3"/>
      <c r="K75" s="3"/>
    </row>
    <row r="76" spans="1:11" ht="15">
      <c r="A76" s="3"/>
      <c r="B76" s="3"/>
      <c r="C76" s="4">
        <v>43910</v>
      </c>
      <c r="D76" s="3" t="s">
        <v>11</v>
      </c>
      <c r="E76" s="31">
        <v>290</v>
      </c>
      <c r="F76" s="5">
        <v>180.25</v>
      </c>
      <c r="G76" s="6">
        <f t="shared" si="3"/>
        <v>52272.5</v>
      </c>
      <c r="H76" s="7" t="s">
        <v>32</v>
      </c>
      <c r="I76" s="3"/>
      <c r="J76" s="3"/>
      <c r="K76" s="3"/>
    </row>
    <row r="77" spans="1:11" ht="15">
      <c r="A77" s="3"/>
      <c r="B77" s="3"/>
      <c r="C77" s="4">
        <v>44132</v>
      </c>
      <c r="D77" s="3" t="s">
        <v>11</v>
      </c>
      <c r="E77" s="31">
        <v>562</v>
      </c>
      <c r="F77" s="5">
        <v>308</v>
      </c>
      <c r="G77" s="6">
        <f t="shared" si="3"/>
        <v>173096</v>
      </c>
      <c r="H77" s="7" t="s">
        <v>33</v>
      </c>
      <c r="I77" s="3"/>
      <c r="J77" s="3"/>
      <c r="K77" s="3"/>
    </row>
    <row r="78" spans="1:11" ht="30">
      <c r="A78" s="3"/>
      <c r="B78" s="3"/>
      <c r="C78" s="4">
        <v>44946</v>
      </c>
      <c r="D78" s="12" t="s">
        <v>34</v>
      </c>
      <c r="E78" s="32">
        <v>3372</v>
      </c>
      <c r="F78" s="13">
        <v>5</v>
      </c>
      <c r="G78" s="14">
        <f t="shared" si="3"/>
        <v>16860</v>
      </c>
      <c r="H78" s="15" t="s">
        <v>35</v>
      </c>
      <c r="I78" s="3"/>
      <c r="J78" s="3"/>
      <c r="K78" s="3"/>
    </row>
    <row r="79" spans="1:11" ht="15">
      <c r="A79" s="3"/>
      <c r="B79" s="3"/>
      <c r="C79" s="4">
        <v>46147</v>
      </c>
      <c r="D79" s="3" t="s">
        <v>15</v>
      </c>
      <c r="E79" s="31">
        <v>-130</v>
      </c>
      <c r="F79" s="5">
        <v>355.29</v>
      </c>
      <c r="G79" s="6">
        <f t="shared" si="3"/>
        <v>-46187.700000000004</v>
      </c>
      <c r="H79" s="7" t="s">
        <v>36</v>
      </c>
      <c r="I79" s="3"/>
      <c r="J79" s="3"/>
      <c r="K79" s="3"/>
    </row>
    <row r="80" spans="1:11" ht="16">
      <c r="A80" s="8"/>
      <c r="B80" s="8"/>
      <c r="C80" s="9">
        <v>46153</v>
      </c>
      <c r="D80" s="8" t="s">
        <v>15</v>
      </c>
      <c r="E80" s="30">
        <v>-373</v>
      </c>
      <c r="F80" s="10">
        <v>373.43</v>
      </c>
      <c r="G80" s="10">
        <f t="shared" si="3"/>
        <v>-139289.39000000001</v>
      </c>
      <c r="H80" s="11" t="s">
        <v>37</v>
      </c>
      <c r="I80" s="8"/>
      <c r="J80" s="8"/>
      <c r="K80" s="8"/>
    </row>
    <row r="81" spans="1:19" ht="15">
      <c r="A81" s="3"/>
      <c r="B81" s="3"/>
      <c r="C81" s="4"/>
      <c r="D81" s="3"/>
      <c r="E81" s="39">
        <f>SUM(E72:E80)</f>
        <v>6241</v>
      </c>
      <c r="F81" s="5"/>
      <c r="G81" s="6"/>
      <c r="H81" s="7"/>
      <c r="I81" s="3"/>
      <c r="J81" s="3"/>
      <c r="K81" s="3"/>
    </row>
    <row r="82" spans="1:19" ht="15">
      <c r="A82" s="3">
        <v>15</v>
      </c>
      <c r="B82" s="3" t="s">
        <v>38</v>
      </c>
      <c r="C82" s="4">
        <v>41254</v>
      </c>
      <c r="D82" s="3" t="s">
        <v>11</v>
      </c>
      <c r="E82" s="31">
        <v>350</v>
      </c>
      <c r="F82" s="5">
        <v>248</v>
      </c>
      <c r="G82" s="6">
        <f>E82*F82</f>
        <v>86800</v>
      </c>
      <c r="H82" s="7" t="s">
        <v>12</v>
      </c>
      <c r="I82" s="3" t="s">
        <v>13</v>
      </c>
      <c r="J82" s="3"/>
      <c r="K82" s="3"/>
    </row>
    <row r="83" spans="1:19" ht="16">
      <c r="A83" s="8"/>
      <c r="B83" s="8"/>
      <c r="C83" s="9">
        <v>42201</v>
      </c>
      <c r="D83" s="8" t="s">
        <v>15</v>
      </c>
      <c r="E83" s="30">
        <v>-350</v>
      </c>
      <c r="F83" s="10">
        <v>386.5</v>
      </c>
      <c r="G83" s="10">
        <f>E83*F83</f>
        <v>-135275</v>
      </c>
      <c r="H83" s="11" t="s">
        <v>12</v>
      </c>
      <c r="I83" s="8"/>
      <c r="J83" s="8"/>
      <c r="K83" s="8"/>
    </row>
    <row r="84" spans="1:19" ht="15">
      <c r="A84" s="3"/>
      <c r="B84" s="3"/>
      <c r="C84" s="4"/>
      <c r="D84" s="3"/>
      <c r="E84" s="39">
        <f>SUM(E82:E83)</f>
        <v>0</v>
      </c>
      <c r="F84" s="5"/>
      <c r="G84" s="6"/>
      <c r="H84" s="7"/>
      <c r="I84" s="3"/>
      <c r="J84" s="3"/>
      <c r="K84" s="3"/>
    </row>
    <row r="85" spans="1:19" ht="15">
      <c r="A85" s="3">
        <v>16</v>
      </c>
      <c r="B85" s="3" t="s">
        <v>39</v>
      </c>
      <c r="C85" s="4">
        <v>41365</v>
      </c>
      <c r="D85" s="3" t="s">
        <v>11</v>
      </c>
      <c r="E85" s="31">
        <v>365</v>
      </c>
      <c r="F85" s="5">
        <v>230</v>
      </c>
      <c r="G85" s="6">
        <f>E85*F85</f>
        <v>83950</v>
      </c>
      <c r="H85" s="7" t="s">
        <v>12</v>
      </c>
      <c r="I85" s="3" t="s">
        <v>18</v>
      </c>
      <c r="J85" s="3"/>
      <c r="K85" s="3"/>
    </row>
    <row r="86" spans="1:19" ht="16">
      <c r="A86" s="8"/>
      <c r="B86" s="8"/>
      <c r="C86" s="9">
        <v>42521</v>
      </c>
      <c r="D86" s="8" t="s">
        <v>15</v>
      </c>
      <c r="E86" s="30">
        <v>-365</v>
      </c>
      <c r="F86" s="10">
        <v>66.5</v>
      </c>
      <c r="G86" s="10">
        <f>E86*F86</f>
        <v>-24272.5</v>
      </c>
      <c r="H86" s="11" t="s">
        <v>12</v>
      </c>
      <c r="I86" s="8"/>
      <c r="J86" s="8"/>
      <c r="K86" s="8"/>
    </row>
    <row r="87" spans="1:19" ht="15">
      <c r="A87" s="3"/>
      <c r="B87" s="3"/>
      <c r="C87" s="4"/>
      <c r="D87" s="3"/>
      <c r="E87" s="39">
        <f>SUM(E85:E86)</f>
        <v>0</v>
      </c>
      <c r="F87" s="5"/>
      <c r="G87" s="6"/>
      <c r="H87" s="7"/>
      <c r="I87" s="3"/>
      <c r="J87" s="3"/>
      <c r="K87" s="3"/>
    </row>
    <row r="88" spans="1:19" ht="15">
      <c r="A88" s="3">
        <v>17</v>
      </c>
      <c r="B88" s="3" t="s">
        <v>40</v>
      </c>
      <c r="C88" s="4">
        <v>41396</v>
      </c>
      <c r="D88" s="3" t="s">
        <v>11</v>
      </c>
      <c r="E88" s="31">
        <v>29</v>
      </c>
      <c r="F88" s="5">
        <v>2958</v>
      </c>
      <c r="G88" s="6">
        <f>E88*F88</f>
        <v>85782</v>
      </c>
      <c r="H88" s="7" t="s">
        <v>12</v>
      </c>
      <c r="I88" s="3" t="s">
        <v>13</v>
      </c>
      <c r="J88" s="3"/>
      <c r="K88" s="3"/>
    </row>
    <row r="89" spans="1:19" ht="15">
      <c r="A89" s="3"/>
      <c r="B89" s="3"/>
      <c r="C89" s="4">
        <v>41494</v>
      </c>
      <c r="D89" s="3" t="s">
        <v>11</v>
      </c>
      <c r="E89" s="31">
        <v>10</v>
      </c>
      <c r="F89" s="5">
        <v>3202</v>
      </c>
      <c r="G89" s="6">
        <f>E89*F89</f>
        <v>32020</v>
      </c>
      <c r="H89" s="7" t="s">
        <v>12</v>
      </c>
      <c r="I89" s="3"/>
      <c r="J89" s="3"/>
      <c r="K89" s="3"/>
    </row>
    <row r="90" spans="1:19" ht="16">
      <c r="A90" s="8"/>
      <c r="B90" s="8"/>
      <c r="C90" s="9">
        <v>42642</v>
      </c>
      <c r="D90" s="8" t="s">
        <v>15</v>
      </c>
      <c r="E90" s="30">
        <v>-39</v>
      </c>
      <c r="F90" s="10">
        <v>26200</v>
      </c>
      <c r="G90" s="10">
        <f>E90*F90</f>
        <v>-1021800</v>
      </c>
      <c r="H90" s="11" t="s">
        <v>12</v>
      </c>
      <c r="I90" s="8"/>
      <c r="J90" s="8"/>
      <c r="K90" s="8"/>
    </row>
    <row r="91" spans="1:19" ht="15">
      <c r="A91" s="3"/>
      <c r="B91" s="3"/>
      <c r="C91" s="4"/>
      <c r="D91" s="3"/>
      <c r="E91" s="39">
        <f>SUM(E88:E90)</f>
        <v>0</v>
      </c>
      <c r="F91" s="5"/>
      <c r="G91" s="6"/>
      <c r="H91" s="7"/>
      <c r="I91" s="3"/>
      <c r="J91" s="3"/>
      <c r="K91" s="3"/>
    </row>
    <row r="92" spans="1:19" ht="15">
      <c r="A92" s="3">
        <v>18</v>
      </c>
      <c r="B92" s="3" t="s">
        <v>41</v>
      </c>
      <c r="C92" s="4">
        <v>41405</v>
      </c>
      <c r="D92" s="3" t="s">
        <v>11</v>
      </c>
      <c r="E92" s="31">
        <v>900</v>
      </c>
      <c r="F92" s="5">
        <v>92</v>
      </c>
      <c r="G92" s="6">
        <f>E92*F92</f>
        <v>82800</v>
      </c>
      <c r="H92" s="7" t="s">
        <v>12</v>
      </c>
      <c r="J92" s="3"/>
      <c r="K92" s="3"/>
    </row>
    <row r="93" spans="1:19" ht="16">
      <c r="A93" s="3"/>
      <c r="B93" s="3"/>
      <c r="C93" s="9">
        <v>41617</v>
      </c>
      <c r="D93" s="8" t="s">
        <v>15</v>
      </c>
      <c r="E93" s="30">
        <v>-250</v>
      </c>
      <c r="F93" s="10">
        <v>79.5</v>
      </c>
      <c r="G93" s="10">
        <f>E93*F93</f>
        <v>-19875</v>
      </c>
      <c r="H93" s="11" t="s">
        <v>12</v>
      </c>
      <c r="I93" s="3"/>
      <c r="J93" s="3"/>
      <c r="K93" s="3"/>
    </row>
    <row r="94" spans="1:19" ht="15">
      <c r="A94" s="8"/>
      <c r="B94" s="8"/>
      <c r="C94" s="4">
        <v>41663</v>
      </c>
      <c r="D94" s="3" t="s">
        <v>15</v>
      </c>
      <c r="E94" s="31">
        <v>-650</v>
      </c>
      <c r="F94" s="5">
        <v>75</v>
      </c>
      <c r="G94" s="6">
        <f>E94*F94</f>
        <v>-48750</v>
      </c>
      <c r="H94" s="7" t="s">
        <v>12</v>
      </c>
      <c r="I94" s="3" t="s">
        <v>18</v>
      </c>
      <c r="J94" s="8"/>
      <c r="K94" s="8"/>
      <c r="M94" s="50"/>
      <c r="N94" s="51"/>
      <c r="O94" s="52"/>
      <c r="P94" s="53"/>
      <c r="Q94" s="54"/>
      <c r="R94" s="55"/>
      <c r="S94" s="56"/>
    </row>
    <row r="95" spans="1:19" ht="15">
      <c r="A95" s="3"/>
      <c r="B95" s="3"/>
      <c r="C95" s="4"/>
      <c r="D95" s="3"/>
      <c r="E95" s="39">
        <f>SUM(E92:E94)</f>
        <v>0</v>
      </c>
      <c r="F95" s="5"/>
      <c r="G95" s="6"/>
      <c r="H95" s="7"/>
      <c r="I95" s="3"/>
      <c r="J95" s="3"/>
      <c r="K95" s="3"/>
    </row>
    <row r="96" spans="1:19" ht="15">
      <c r="A96" s="3">
        <v>19</v>
      </c>
      <c r="B96" s="3" t="s">
        <v>42</v>
      </c>
      <c r="C96" s="4">
        <v>41522</v>
      </c>
      <c r="D96" s="3" t="s">
        <v>11</v>
      </c>
      <c r="E96" s="31">
        <v>3290</v>
      </c>
      <c r="F96" s="5">
        <v>24.4</v>
      </c>
      <c r="G96" s="6">
        <f>E96*F96</f>
        <v>80276</v>
      </c>
      <c r="H96" s="7" t="s">
        <v>12</v>
      </c>
      <c r="I96" s="3" t="s">
        <v>13</v>
      </c>
      <c r="J96" s="3"/>
      <c r="K96" s="3"/>
    </row>
    <row r="97" spans="1:11" ht="15">
      <c r="A97" s="3"/>
      <c r="B97" s="3"/>
      <c r="C97" s="4">
        <v>42205</v>
      </c>
      <c r="D97" s="3" t="s">
        <v>15</v>
      </c>
      <c r="E97" s="31">
        <v>-1645</v>
      </c>
      <c r="F97" s="5">
        <v>68.8</v>
      </c>
      <c r="G97" s="6">
        <f>E97*F97</f>
        <v>-113176</v>
      </c>
      <c r="H97" s="7" t="s">
        <v>12</v>
      </c>
      <c r="I97" s="3"/>
      <c r="J97" s="3"/>
      <c r="K97" s="3"/>
    </row>
    <row r="98" spans="1:11" ht="15">
      <c r="A98" s="3"/>
      <c r="B98" s="3"/>
      <c r="C98" s="4">
        <v>42290</v>
      </c>
      <c r="D98" s="3" t="s">
        <v>15</v>
      </c>
      <c r="E98" s="31">
        <v>-822</v>
      </c>
      <c r="F98" s="5">
        <v>67</v>
      </c>
      <c r="G98" s="6">
        <f>E98*F98</f>
        <v>-55074</v>
      </c>
      <c r="H98" s="7" t="s">
        <v>12</v>
      </c>
      <c r="I98" s="3"/>
      <c r="J98" s="3"/>
      <c r="K98" s="3"/>
    </row>
    <row r="99" spans="1:11" ht="16">
      <c r="A99" s="8"/>
      <c r="B99" s="8"/>
      <c r="C99" s="9">
        <v>42590</v>
      </c>
      <c r="D99" s="8" t="s">
        <v>15</v>
      </c>
      <c r="E99" s="30">
        <v>-823</v>
      </c>
      <c r="F99" s="10">
        <v>63.5</v>
      </c>
      <c r="G99" s="10">
        <f>E99*F99</f>
        <v>-52260.5</v>
      </c>
      <c r="H99" s="11" t="s">
        <v>12</v>
      </c>
      <c r="I99" s="8"/>
      <c r="J99" s="8"/>
      <c r="K99" s="8"/>
    </row>
    <row r="100" spans="1:11" ht="15">
      <c r="A100" s="3"/>
      <c r="B100" s="3"/>
      <c r="C100" s="4"/>
      <c r="D100" s="3"/>
      <c r="E100" s="39">
        <f>SUM(E96:E99)</f>
        <v>0</v>
      </c>
      <c r="F100" s="5"/>
      <c r="G100" s="6"/>
      <c r="H100" s="7"/>
      <c r="I100" s="3"/>
      <c r="J100" s="3"/>
      <c r="K100" s="3"/>
    </row>
    <row r="101" spans="1:11" ht="15">
      <c r="A101" s="3">
        <v>20</v>
      </c>
      <c r="B101" s="3" t="s">
        <v>43</v>
      </c>
      <c r="C101" s="4">
        <v>41569</v>
      </c>
      <c r="D101" s="3" t="s">
        <v>11</v>
      </c>
      <c r="E101" s="31">
        <v>766</v>
      </c>
      <c r="F101" s="5">
        <v>88.5</v>
      </c>
      <c r="G101" s="6">
        <f t="shared" ref="G101:G116" si="4">E101*F101</f>
        <v>67791</v>
      </c>
      <c r="H101" s="7" t="s">
        <v>12</v>
      </c>
      <c r="I101" s="3" t="s">
        <v>13</v>
      </c>
      <c r="J101" s="3"/>
      <c r="K101" s="3"/>
    </row>
    <row r="102" spans="1:11" ht="15">
      <c r="A102" s="3"/>
      <c r="B102" s="3"/>
      <c r="C102" s="4">
        <v>41578</v>
      </c>
      <c r="D102" s="3" t="s">
        <v>11</v>
      </c>
      <c r="E102" s="31">
        <v>383</v>
      </c>
      <c r="F102" s="5">
        <v>92.8</v>
      </c>
      <c r="G102" s="6">
        <f t="shared" si="4"/>
        <v>35542.400000000001</v>
      </c>
      <c r="H102" s="7" t="s">
        <v>12</v>
      </c>
      <c r="I102" s="3"/>
      <c r="J102" s="3"/>
      <c r="K102" s="3"/>
    </row>
    <row r="103" spans="1:11" ht="15">
      <c r="A103" s="3"/>
      <c r="B103" s="3"/>
      <c r="C103" s="4">
        <v>41857</v>
      </c>
      <c r="D103" s="3" t="s">
        <v>11</v>
      </c>
      <c r="E103" s="31">
        <v>229</v>
      </c>
      <c r="F103" s="5">
        <v>185</v>
      </c>
      <c r="G103" s="6">
        <f t="shared" si="4"/>
        <v>42365</v>
      </c>
      <c r="H103" s="7" t="s">
        <v>12</v>
      </c>
      <c r="I103" s="3"/>
      <c r="J103" s="3"/>
      <c r="K103" s="3"/>
    </row>
    <row r="104" spans="1:11" ht="15">
      <c r="A104" s="3"/>
      <c r="B104" s="3"/>
      <c r="C104" s="4">
        <v>43290</v>
      </c>
      <c r="D104" s="3" t="s">
        <v>11</v>
      </c>
      <c r="E104" s="31">
        <v>229</v>
      </c>
      <c r="F104" s="5">
        <v>250.15</v>
      </c>
      <c r="G104" s="6">
        <f t="shared" si="4"/>
        <v>57284.35</v>
      </c>
      <c r="H104" s="7" t="s">
        <v>12</v>
      </c>
      <c r="I104" s="3"/>
      <c r="J104" s="3"/>
      <c r="K104" s="3"/>
    </row>
    <row r="105" spans="1:11" ht="15">
      <c r="A105" s="3"/>
      <c r="B105" s="3"/>
      <c r="C105" s="4">
        <v>43291</v>
      </c>
      <c r="D105" s="3" t="s">
        <v>11</v>
      </c>
      <c r="E105" s="31">
        <v>460</v>
      </c>
      <c r="F105" s="5">
        <v>255.15</v>
      </c>
      <c r="G105" s="6">
        <f t="shared" si="4"/>
        <v>117369</v>
      </c>
      <c r="H105" s="7" t="s">
        <v>12</v>
      </c>
      <c r="I105" s="3"/>
      <c r="J105" s="3"/>
      <c r="K105" s="3"/>
    </row>
    <row r="106" spans="1:11" ht="15">
      <c r="A106" s="3"/>
      <c r="B106" s="3"/>
      <c r="C106" s="4">
        <v>43328</v>
      </c>
      <c r="D106" s="3" t="s">
        <v>11</v>
      </c>
      <c r="E106" s="31">
        <v>413</v>
      </c>
      <c r="F106" s="5">
        <v>312.55</v>
      </c>
      <c r="G106" s="6">
        <f t="shared" si="4"/>
        <v>129083.15000000001</v>
      </c>
      <c r="H106" s="7" t="s">
        <v>12</v>
      </c>
      <c r="I106" s="3"/>
      <c r="J106" s="3"/>
      <c r="K106" s="3"/>
    </row>
    <row r="107" spans="1:11" ht="15">
      <c r="A107" s="3"/>
      <c r="B107" s="3"/>
      <c r="C107" s="4">
        <v>43374</v>
      </c>
      <c r="D107" s="3" t="s">
        <v>11</v>
      </c>
      <c r="E107" s="31">
        <v>248</v>
      </c>
      <c r="F107" s="5">
        <v>293.85000000000002</v>
      </c>
      <c r="G107" s="6">
        <f t="shared" si="4"/>
        <v>72874.8</v>
      </c>
      <c r="H107" s="7" t="s">
        <v>12</v>
      </c>
      <c r="I107" s="3"/>
      <c r="J107" s="3"/>
      <c r="K107" s="3"/>
    </row>
    <row r="108" spans="1:11" ht="15">
      <c r="A108" s="3"/>
      <c r="B108" s="3"/>
      <c r="C108" s="4">
        <v>43787</v>
      </c>
      <c r="D108" s="3" t="s">
        <v>15</v>
      </c>
      <c r="E108" s="31">
        <v>-340</v>
      </c>
      <c r="F108" s="5">
        <v>396.8</v>
      </c>
      <c r="G108" s="6">
        <f t="shared" si="4"/>
        <v>-134912</v>
      </c>
      <c r="H108" s="7" t="s">
        <v>12</v>
      </c>
      <c r="I108" s="3"/>
      <c r="J108" s="3"/>
      <c r="K108" s="3"/>
    </row>
    <row r="109" spans="1:11" ht="15">
      <c r="A109" s="3"/>
      <c r="B109" s="3"/>
      <c r="C109" s="4">
        <v>43924</v>
      </c>
      <c r="D109" s="3" t="s">
        <v>15</v>
      </c>
      <c r="E109" s="31">
        <v>-476</v>
      </c>
      <c r="F109" s="5">
        <v>460.05</v>
      </c>
      <c r="G109" s="6">
        <f t="shared" si="4"/>
        <v>-218983.80000000002</v>
      </c>
      <c r="H109" s="7" t="s">
        <v>44</v>
      </c>
      <c r="I109" s="3"/>
      <c r="J109" s="3"/>
      <c r="K109" s="3"/>
    </row>
    <row r="110" spans="1:11" ht="15">
      <c r="A110" s="3"/>
      <c r="B110" s="3"/>
      <c r="C110" s="4">
        <v>43984</v>
      </c>
      <c r="D110" s="3" t="s">
        <v>15</v>
      </c>
      <c r="E110" s="31">
        <v>-191</v>
      </c>
      <c r="F110" s="5">
        <v>684.1</v>
      </c>
      <c r="G110" s="6">
        <f t="shared" si="4"/>
        <v>-130663.1</v>
      </c>
      <c r="H110" s="7" t="s">
        <v>45</v>
      </c>
      <c r="I110" s="3"/>
      <c r="J110" s="3"/>
      <c r="K110" s="3"/>
    </row>
    <row r="111" spans="1:11" ht="15">
      <c r="A111" s="3"/>
      <c r="B111" s="3"/>
      <c r="C111" s="4">
        <v>43990</v>
      </c>
      <c r="D111" s="3" t="s">
        <v>15</v>
      </c>
      <c r="E111" s="31">
        <v>-172</v>
      </c>
      <c r="F111" s="5">
        <v>707.8</v>
      </c>
      <c r="G111" s="6">
        <f t="shared" si="4"/>
        <v>-121741.59999999999</v>
      </c>
      <c r="H111" s="7" t="s">
        <v>46</v>
      </c>
      <c r="I111" s="3"/>
      <c r="J111" s="3"/>
      <c r="K111" s="3"/>
    </row>
    <row r="112" spans="1:11" ht="15">
      <c r="A112" s="3"/>
      <c r="B112" s="3"/>
      <c r="C112" s="4">
        <v>44146</v>
      </c>
      <c r="D112" s="3" t="s">
        <v>15</v>
      </c>
      <c r="E112" s="31">
        <v>-155</v>
      </c>
      <c r="F112" s="5">
        <v>928</v>
      </c>
      <c r="G112" s="6">
        <f t="shared" si="4"/>
        <v>-143840</v>
      </c>
      <c r="H112" s="7" t="s">
        <v>47</v>
      </c>
      <c r="I112" s="3"/>
      <c r="J112" s="3"/>
      <c r="K112" s="3"/>
    </row>
    <row r="113" spans="1:11" ht="15">
      <c r="A113" s="3"/>
      <c r="B113" s="3"/>
      <c r="C113" s="4">
        <v>44237</v>
      </c>
      <c r="D113" s="3" t="s">
        <v>15</v>
      </c>
      <c r="E113" s="31">
        <v>-265</v>
      </c>
      <c r="F113" s="5">
        <v>1203.8</v>
      </c>
      <c r="G113" s="6">
        <f t="shared" si="4"/>
        <v>-319007</v>
      </c>
      <c r="H113" s="7" t="s">
        <v>48</v>
      </c>
      <c r="I113" s="3"/>
      <c r="J113" s="3"/>
      <c r="K113" s="3"/>
    </row>
    <row r="114" spans="1:11" ht="15">
      <c r="A114" s="3"/>
      <c r="B114" s="3"/>
      <c r="C114" s="4">
        <v>44362</v>
      </c>
      <c r="D114" s="3" t="s">
        <v>15</v>
      </c>
      <c r="E114" s="31">
        <v>-564</v>
      </c>
      <c r="F114" s="5">
        <v>1514.4</v>
      </c>
      <c r="G114" s="6">
        <f t="shared" si="4"/>
        <v>-854121.60000000009</v>
      </c>
      <c r="H114" s="7" t="s">
        <v>49</v>
      </c>
      <c r="I114" s="3"/>
      <c r="J114" s="3"/>
      <c r="K114" s="3"/>
    </row>
    <row r="115" spans="1:11" ht="15">
      <c r="A115" s="3"/>
      <c r="B115" s="3"/>
      <c r="C115" s="4">
        <v>44376</v>
      </c>
      <c r="D115" s="3" t="s">
        <v>15</v>
      </c>
      <c r="E115" s="31">
        <v>-283</v>
      </c>
      <c r="F115" s="5">
        <v>1863.7</v>
      </c>
      <c r="G115" s="6">
        <f t="shared" si="4"/>
        <v>-527427.1</v>
      </c>
      <c r="H115" s="7" t="s">
        <v>50</v>
      </c>
      <c r="I115" s="3"/>
      <c r="J115" s="3"/>
      <c r="K115" s="3"/>
    </row>
    <row r="116" spans="1:11" ht="16">
      <c r="A116" s="8"/>
      <c r="B116" s="8"/>
      <c r="C116" s="9">
        <v>44418</v>
      </c>
      <c r="D116" s="8" t="s">
        <v>15</v>
      </c>
      <c r="E116" s="30">
        <v>-282</v>
      </c>
      <c r="F116" s="10">
        <v>1759</v>
      </c>
      <c r="G116" s="10">
        <f t="shared" si="4"/>
        <v>-496038</v>
      </c>
      <c r="H116" s="11" t="s">
        <v>51</v>
      </c>
      <c r="I116" s="8"/>
      <c r="J116" s="8"/>
      <c r="K116" s="8"/>
    </row>
    <row r="117" spans="1:11" ht="15">
      <c r="A117" s="3"/>
      <c r="B117" s="3"/>
      <c r="C117" s="4"/>
      <c r="D117" s="3"/>
      <c r="E117" s="39">
        <f>SUM(E101:E116)</f>
        <v>0</v>
      </c>
      <c r="F117" s="5"/>
      <c r="G117" s="6"/>
      <c r="H117" s="7"/>
      <c r="I117" s="3"/>
      <c r="J117" s="3"/>
      <c r="K117" s="3"/>
    </row>
    <row r="118" spans="1:11" ht="15">
      <c r="A118" s="3">
        <v>21</v>
      </c>
      <c r="B118" s="3" t="s">
        <v>52</v>
      </c>
      <c r="C118" s="4">
        <v>41605</v>
      </c>
      <c r="D118" s="3" t="s">
        <v>11</v>
      </c>
      <c r="E118" s="31">
        <v>170</v>
      </c>
      <c r="F118" s="5">
        <v>466</v>
      </c>
      <c r="G118" s="6">
        <f>E118*F118</f>
        <v>79220</v>
      </c>
      <c r="H118" s="7" t="s">
        <v>12</v>
      </c>
      <c r="I118" s="3" t="s">
        <v>18</v>
      </c>
      <c r="J118" s="3"/>
      <c r="K118" s="3"/>
    </row>
    <row r="119" spans="1:11" ht="15">
      <c r="A119" s="3"/>
      <c r="B119" s="3"/>
      <c r="C119" s="4">
        <v>41617</v>
      </c>
      <c r="D119" s="3" t="s">
        <v>15</v>
      </c>
      <c r="E119" s="31">
        <v>-45</v>
      </c>
      <c r="F119" s="5">
        <v>444</v>
      </c>
      <c r="G119" s="6">
        <f>E119*F119</f>
        <v>-19980</v>
      </c>
      <c r="H119" s="7" t="s">
        <v>12</v>
      </c>
      <c r="I119" s="3"/>
      <c r="J119" s="3"/>
      <c r="K119" s="3"/>
    </row>
    <row r="120" spans="1:11" ht="15">
      <c r="A120" s="3"/>
      <c r="B120" s="3"/>
      <c r="C120" s="4">
        <v>41687</v>
      </c>
      <c r="D120" s="3" t="s">
        <v>11</v>
      </c>
      <c r="E120" s="31">
        <v>143</v>
      </c>
      <c r="F120" s="5">
        <v>505.5</v>
      </c>
      <c r="G120" s="6">
        <f>E120*F120</f>
        <v>72286.5</v>
      </c>
      <c r="H120" s="7" t="s">
        <v>12</v>
      </c>
      <c r="I120" s="3"/>
      <c r="J120" s="3"/>
      <c r="K120" s="3"/>
    </row>
    <row r="121" spans="1:11" ht="16">
      <c r="A121" s="8"/>
      <c r="B121" s="8"/>
      <c r="C121" s="9">
        <v>41712</v>
      </c>
      <c r="D121" s="8" t="s">
        <v>15</v>
      </c>
      <c r="E121" s="30">
        <v>-268</v>
      </c>
      <c r="F121" s="10">
        <v>483.5</v>
      </c>
      <c r="G121" s="10">
        <f>E121*F121</f>
        <v>-129578</v>
      </c>
      <c r="H121" s="11" t="s">
        <v>12</v>
      </c>
      <c r="I121" s="8"/>
      <c r="J121" s="8"/>
      <c r="K121" s="8"/>
    </row>
    <row r="122" spans="1:11" ht="15">
      <c r="A122" s="3"/>
      <c r="B122" s="3"/>
      <c r="C122" s="4"/>
      <c r="D122" s="3"/>
      <c r="E122" s="39">
        <f>SUM(E118:E121)</f>
        <v>0</v>
      </c>
      <c r="F122" s="5"/>
      <c r="G122" s="6"/>
      <c r="H122" s="7"/>
      <c r="I122" s="3"/>
      <c r="J122" s="3"/>
      <c r="K122" s="3"/>
    </row>
    <row r="123" spans="1:11" ht="15">
      <c r="A123" s="3">
        <v>22</v>
      </c>
      <c r="B123" s="3" t="s">
        <v>53</v>
      </c>
      <c r="C123" s="4">
        <v>41617</v>
      </c>
      <c r="D123" s="3" t="s">
        <v>11</v>
      </c>
      <c r="E123" s="31">
        <v>473</v>
      </c>
      <c r="F123" s="5">
        <v>130</v>
      </c>
      <c r="G123" s="6">
        <f>E123*F123</f>
        <v>61490</v>
      </c>
      <c r="H123" s="7" t="s">
        <v>12</v>
      </c>
      <c r="I123" s="3" t="s">
        <v>13</v>
      </c>
      <c r="J123" s="3"/>
      <c r="K123" s="3"/>
    </row>
    <row r="124" spans="1:11" ht="15">
      <c r="A124" s="3"/>
      <c r="B124" s="3"/>
      <c r="C124" s="4">
        <v>42047</v>
      </c>
      <c r="D124" s="3" t="s">
        <v>11</v>
      </c>
      <c r="E124" s="31">
        <v>780</v>
      </c>
      <c r="F124" s="5">
        <v>126.1</v>
      </c>
      <c r="G124" s="6">
        <f>E124*F124</f>
        <v>98358</v>
      </c>
      <c r="H124" s="7" t="s">
        <v>12</v>
      </c>
      <c r="I124" s="3"/>
      <c r="J124" s="3"/>
      <c r="K124" s="3"/>
    </row>
    <row r="125" spans="1:11" ht="15">
      <c r="A125" s="3"/>
      <c r="B125" s="3"/>
      <c r="C125" s="4">
        <v>42223</v>
      </c>
      <c r="D125" s="3" t="s">
        <v>11</v>
      </c>
      <c r="E125" s="31">
        <v>961</v>
      </c>
      <c r="F125" s="5">
        <v>157.6</v>
      </c>
      <c r="G125" s="6">
        <f>E125*F125</f>
        <v>151453.6</v>
      </c>
      <c r="H125" s="7" t="s">
        <v>12</v>
      </c>
      <c r="I125" s="3"/>
      <c r="J125" s="3"/>
      <c r="K125" s="3"/>
    </row>
    <row r="126" spans="1:11" ht="15">
      <c r="A126" s="3"/>
      <c r="B126" s="3"/>
      <c r="C126" s="4">
        <v>42900</v>
      </c>
      <c r="D126" s="3" t="s">
        <v>15</v>
      </c>
      <c r="E126" s="31">
        <v>-1108</v>
      </c>
      <c r="F126" s="5">
        <v>717.65</v>
      </c>
      <c r="G126" s="6">
        <f>E126*F126</f>
        <v>-795156.2</v>
      </c>
      <c r="H126" s="7" t="s">
        <v>12</v>
      </c>
      <c r="I126" s="3"/>
      <c r="J126" s="3"/>
      <c r="K126" s="3"/>
    </row>
    <row r="127" spans="1:11" ht="16">
      <c r="A127" s="8"/>
      <c r="B127" s="8"/>
      <c r="C127" s="9">
        <v>42944</v>
      </c>
      <c r="D127" s="8" t="s">
        <v>15</v>
      </c>
      <c r="E127" s="30">
        <v>-1106</v>
      </c>
      <c r="F127" s="10">
        <v>668</v>
      </c>
      <c r="G127" s="10">
        <f>E127*F127</f>
        <v>-738808</v>
      </c>
      <c r="H127" s="11" t="s">
        <v>12</v>
      </c>
      <c r="I127" s="8"/>
      <c r="J127" s="8"/>
      <c r="K127" s="8"/>
    </row>
    <row r="128" spans="1:11" ht="15">
      <c r="A128" s="3"/>
      <c r="B128" s="3"/>
      <c r="C128" s="4"/>
      <c r="D128" s="3"/>
      <c r="E128" s="39">
        <f>SUM(E123:E127)</f>
        <v>0</v>
      </c>
      <c r="F128" s="5"/>
      <c r="G128" s="6"/>
      <c r="H128" s="7"/>
      <c r="I128" s="3"/>
      <c r="J128" s="3"/>
      <c r="K128" s="3"/>
    </row>
    <row r="129" spans="1:11" ht="15">
      <c r="A129" s="3">
        <v>23</v>
      </c>
      <c r="B129" s="3" t="s">
        <v>54</v>
      </c>
      <c r="C129" s="4">
        <v>41663</v>
      </c>
      <c r="D129" s="3" t="s">
        <v>11</v>
      </c>
      <c r="E129" s="31">
        <v>186</v>
      </c>
      <c r="F129" s="5">
        <v>365</v>
      </c>
      <c r="G129" s="6">
        <f>E129*F129</f>
        <v>67890</v>
      </c>
      <c r="H129" s="7" t="s">
        <v>12</v>
      </c>
      <c r="I129" s="3" t="s">
        <v>18</v>
      </c>
      <c r="J129" s="3"/>
      <c r="K129" s="3"/>
    </row>
    <row r="130" spans="1:11" ht="15">
      <c r="A130" s="3"/>
      <c r="B130" s="3"/>
      <c r="C130" s="4">
        <v>41955</v>
      </c>
      <c r="D130" s="3" t="s">
        <v>11</v>
      </c>
      <c r="E130" s="31">
        <v>349</v>
      </c>
      <c r="F130" s="5">
        <v>451</v>
      </c>
      <c r="G130" s="6">
        <f>E130*F130</f>
        <v>157399</v>
      </c>
      <c r="H130" s="7" t="s">
        <v>12</v>
      </c>
      <c r="I130" s="3"/>
      <c r="J130" s="3"/>
      <c r="K130" s="3"/>
    </row>
    <row r="131" spans="1:11" ht="16">
      <c r="A131" s="8"/>
      <c r="B131" s="8"/>
      <c r="C131" s="9">
        <v>43437</v>
      </c>
      <c r="D131" s="8" t="s">
        <v>15</v>
      </c>
      <c r="E131" s="30">
        <v>-535</v>
      </c>
      <c r="F131" s="10">
        <v>175.84</v>
      </c>
      <c r="G131" s="10">
        <f>E131*F131</f>
        <v>-94074.400000000009</v>
      </c>
      <c r="H131" s="11" t="s">
        <v>12</v>
      </c>
      <c r="I131" s="8"/>
      <c r="J131" s="8"/>
      <c r="K131" s="8"/>
    </row>
    <row r="132" spans="1:11" ht="15">
      <c r="A132" s="3"/>
      <c r="B132" s="3"/>
      <c r="C132" s="4"/>
      <c r="D132" s="3"/>
      <c r="E132" s="39">
        <f>SUM(E129:E131)</f>
        <v>0</v>
      </c>
      <c r="F132" s="5"/>
      <c r="G132" s="6"/>
      <c r="H132" s="7"/>
      <c r="I132" s="3"/>
      <c r="J132" s="3"/>
      <c r="K132" s="3"/>
    </row>
    <row r="133" spans="1:11" ht="15">
      <c r="A133" s="3">
        <v>24</v>
      </c>
      <c r="B133" s="3" t="s">
        <v>55</v>
      </c>
      <c r="C133" s="4">
        <v>41716</v>
      </c>
      <c r="D133" s="3" t="s">
        <v>11</v>
      </c>
      <c r="E133" s="31">
        <v>267</v>
      </c>
      <c r="F133" s="5">
        <v>365</v>
      </c>
      <c r="G133" s="6">
        <f>E133*F133</f>
        <v>97455</v>
      </c>
      <c r="H133" s="7" t="s">
        <v>12</v>
      </c>
      <c r="I133" s="3" t="s">
        <v>13</v>
      </c>
      <c r="J133" s="3"/>
      <c r="K133" s="3"/>
    </row>
    <row r="134" spans="1:11" ht="16">
      <c r="A134" s="8"/>
      <c r="B134" s="8"/>
      <c r="C134" s="9">
        <v>42995</v>
      </c>
      <c r="D134" s="8" t="s">
        <v>15</v>
      </c>
      <c r="E134" s="30">
        <v>-267</v>
      </c>
      <c r="F134" s="10">
        <v>968.75</v>
      </c>
      <c r="G134" s="10">
        <f>E134*F134</f>
        <v>-258656.25</v>
      </c>
      <c r="H134" s="11" t="s">
        <v>12</v>
      </c>
      <c r="I134" s="8"/>
      <c r="J134" s="8"/>
      <c r="K134" s="8"/>
    </row>
    <row r="135" spans="1:11" ht="15">
      <c r="A135" s="3"/>
      <c r="B135" s="3"/>
      <c r="C135" s="4"/>
      <c r="D135" s="3"/>
      <c r="E135" s="39">
        <f>SUM(E133:E134)</f>
        <v>0</v>
      </c>
      <c r="F135" s="5"/>
      <c r="G135" s="6"/>
      <c r="H135" s="7"/>
      <c r="I135" s="3"/>
      <c r="J135" s="3"/>
      <c r="K135" s="3"/>
    </row>
    <row r="136" spans="1:11" ht="15">
      <c r="A136" s="3">
        <v>25</v>
      </c>
      <c r="B136" s="3" t="s">
        <v>56</v>
      </c>
      <c r="C136" s="4">
        <v>41856</v>
      </c>
      <c r="D136" s="3" t="s">
        <v>11</v>
      </c>
      <c r="E136" s="31">
        <v>920</v>
      </c>
      <c r="F136" s="5">
        <v>164</v>
      </c>
      <c r="G136" s="6">
        <f t="shared" ref="G136:G142" si="5">E136*F136</f>
        <v>150880</v>
      </c>
      <c r="H136" s="7" t="s">
        <v>12</v>
      </c>
      <c r="I136" s="3" t="s">
        <v>13</v>
      </c>
      <c r="J136" s="3"/>
      <c r="K136" s="3"/>
    </row>
    <row r="137" spans="1:11" ht="15">
      <c r="A137" s="3"/>
      <c r="B137" s="3"/>
      <c r="C137" s="4">
        <v>41961</v>
      </c>
      <c r="D137" s="3" t="s">
        <v>11</v>
      </c>
      <c r="E137" s="31">
        <v>319</v>
      </c>
      <c r="F137" s="5">
        <v>198.5</v>
      </c>
      <c r="G137" s="6">
        <f t="shared" si="5"/>
        <v>63321.5</v>
      </c>
      <c r="H137" s="7" t="s">
        <v>12</v>
      </c>
      <c r="I137" s="3"/>
      <c r="J137" s="3"/>
      <c r="K137" s="3"/>
    </row>
    <row r="138" spans="1:11" ht="15">
      <c r="A138" s="3"/>
      <c r="B138" s="3"/>
      <c r="C138" s="4">
        <v>42044</v>
      </c>
      <c r="D138" s="3" t="s">
        <v>11</v>
      </c>
      <c r="E138" s="31">
        <v>331</v>
      </c>
      <c r="F138" s="5">
        <v>230.5</v>
      </c>
      <c r="G138" s="6">
        <f t="shared" si="5"/>
        <v>76295.5</v>
      </c>
      <c r="H138" s="7" t="s">
        <v>12</v>
      </c>
      <c r="I138" s="3"/>
      <c r="J138" s="3"/>
      <c r="K138" s="3"/>
    </row>
    <row r="139" spans="1:11" ht="15">
      <c r="A139" s="3"/>
      <c r="B139" s="3"/>
      <c r="C139" s="4">
        <v>43178</v>
      </c>
      <c r="D139" s="3" t="s">
        <v>15</v>
      </c>
      <c r="E139" s="31">
        <v>-785</v>
      </c>
      <c r="F139" s="5">
        <v>480.7</v>
      </c>
      <c r="G139" s="6">
        <f t="shared" si="5"/>
        <v>-377349.5</v>
      </c>
      <c r="H139" s="7" t="s">
        <v>12</v>
      </c>
      <c r="I139" s="3"/>
      <c r="J139" s="3"/>
      <c r="K139" s="3"/>
    </row>
    <row r="140" spans="1:11" ht="15">
      <c r="A140" s="3"/>
      <c r="B140" s="3"/>
      <c r="C140" s="4">
        <v>43873</v>
      </c>
      <c r="D140" s="3" t="s">
        <v>11</v>
      </c>
      <c r="E140" s="31">
        <v>393</v>
      </c>
      <c r="F140" s="5">
        <v>248.87</v>
      </c>
      <c r="G140" s="6">
        <f t="shared" si="5"/>
        <v>97805.91</v>
      </c>
      <c r="H140" s="7" t="s">
        <v>57</v>
      </c>
      <c r="I140" s="3"/>
      <c r="J140" s="3"/>
      <c r="K140" s="3"/>
    </row>
    <row r="141" spans="1:11" ht="15">
      <c r="A141" s="3"/>
      <c r="B141" s="3"/>
      <c r="C141" s="4">
        <v>43910</v>
      </c>
      <c r="D141" s="3" t="s">
        <v>11</v>
      </c>
      <c r="E141" s="31">
        <v>355</v>
      </c>
      <c r="F141" s="5">
        <v>151.85</v>
      </c>
      <c r="G141" s="6">
        <f t="shared" si="5"/>
        <v>53906.75</v>
      </c>
      <c r="H141" s="7" t="s">
        <v>58</v>
      </c>
      <c r="I141" s="3"/>
      <c r="J141" s="3"/>
      <c r="K141" s="3"/>
    </row>
    <row r="142" spans="1:11" ht="16">
      <c r="A142" s="8"/>
      <c r="B142" s="8"/>
      <c r="C142" s="9">
        <v>44965</v>
      </c>
      <c r="D142" s="8" t="s">
        <v>15</v>
      </c>
      <c r="E142" s="30">
        <v>-1533</v>
      </c>
      <c r="F142" s="10">
        <v>299.68</v>
      </c>
      <c r="G142" s="10">
        <f t="shared" si="5"/>
        <v>-459409.44</v>
      </c>
      <c r="H142" s="11" t="s">
        <v>59</v>
      </c>
      <c r="I142" s="8"/>
      <c r="J142" s="8"/>
      <c r="K142" s="8"/>
    </row>
    <row r="143" spans="1:11" ht="15">
      <c r="A143" s="3"/>
      <c r="B143" s="3"/>
      <c r="C143" s="4"/>
      <c r="D143" s="3"/>
      <c r="E143" s="39">
        <f>SUM(E136:E142)</f>
        <v>0</v>
      </c>
      <c r="F143" s="5"/>
      <c r="G143" s="6"/>
      <c r="H143" s="7"/>
      <c r="I143" s="3"/>
      <c r="J143" s="3"/>
      <c r="K143" s="3"/>
    </row>
    <row r="144" spans="1:11" ht="15">
      <c r="A144" s="3">
        <v>26</v>
      </c>
      <c r="B144" s="3" t="s">
        <v>60</v>
      </c>
      <c r="C144" s="4">
        <v>41961</v>
      </c>
      <c r="D144" s="3" t="s">
        <v>11</v>
      </c>
      <c r="E144" s="31">
        <v>1228</v>
      </c>
      <c r="F144" s="5">
        <v>195.4</v>
      </c>
      <c r="G144" s="6">
        <f>E144*F144</f>
        <v>239951.2</v>
      </c>
      <c r="H144" s="7" t="s">
        <v>12</v>
      </c>
      <c r="I144" s="3" t="s">
        <v>18</v>
      </c>
      <c r="J144" s="3"/>
      <c r="K144" s="3"/>
    </row>
    <row r="145" spans="1:11" ht="16">
      <c r="A145" s="8"/>
      <c r="B145" s="8"/>
      <c r="C145" s="9">
        <v>43214</v>
      </c>
      <c r="D145" s="8" t="s">
        <v>15</v>
      </c>
      <c r="E145" s="30">
        <v>-1228</v>
      </c>
      <c r="F145" s="10">
        <v>22.95</v>
      </c>
      <c r="G145" s="10">
        <f>E145*F145</f>
        <v>-28182.6</v>
      </c>
      <c r="H145" s="11" t="s">
        <v>12</v>
      </c>
      <c r="I145" s="8"/>
      <c r="J145" s="8"/>
      <c r="K145" s="8"/>
    </row>
    <row r="146" spans="1:11" ht="15">
      <c r="A146" s="3"/>
      <c r="B146" s="3"/>
      <c r="C146" s="4"/>
      <c r="D146" s="3"/>
      <c r="E146" s="39">
        <f>SUM(E144:E145)</f>
        <v>0</v>
      </c>
      <c r="F146" s="5"/>
      <c r="G146" s="6"/>
      <c r="H146" s="7"/>
      <c r="I146" s="3"/>
      <c r="J146" s="3"/>
      <c r="K146" s="3"/>
    </row>
    <row r="147" spans="1:11" ht="15">
      <c r="A147" s="3">
        <v>27</v>
      </c>
      <c r="B147" s="3" t="s">
        <v>61</v>
      </c>
      <c r="C147" s="4">
        <v>42060</v>
      </c>
      <c r="D147" s="3" t="s">
        <v>11</v>
      </c>
      <c r="E147" s="31">
        <v>265</v>
      </c>
      <c r="F147" s="5">
        <v>606.5</v>
      </c>
      <c r="G147" s="6">
        <f>E147*F147</f>
        <v>160722.5</v>
      </c>
      <c r="H147" s="7" t="s">
        <v>12</v>
      </c>
      <c r="I147" s="3" t="s">
        <v>18</v>
      </c>
      <c r="J147" s="3"/>
      <c r="K147" s="3"/>
    </row>
    <row r="148" spans="1:11" ht="15">
      <c r="A148" s="3"/>
      <c r="B148" s="3"/>
      <c r="C148" s="4">
        <v>42237</v>
      </c>
      <c r="D148" s="3" t="s">
        <v>11</v>
      </c>
      <c r="E148" s="31">
        <v>65</v>
      </c>
      <c r="F148" s="5">
        <v>904</v>
      </c>
      <c r="G148" s="6">
        <f>E148*F148</f>
        <v>58760</v>
      </c>
      <c r="H148" s="7" t="s">
        <v>12</v>
      </c>
      <c r="I148" s="3"/>
      <c r="J148" s="3"/>
      <c r="K148" s="3"/>
    </row>
    <row r="149" spans="1:11" ht="15">
      <c r="A149" s="3"/>
      <c r="B149" s="3"/>
      <c r="C149" s="4">
        <v>42416</v>
      </c>
      <c r="D149" s="3" t="s">
        <v>11</v>
      </c>
      <c r="E149" s="31">
        <v>158</v>
      </c>
      <c r="F149" s="5">
        <v>715</v>
      </c>
      <c r="G149" s="6">
        <f>E149*F149</f>
        <v>112970</v>
      </c>
      <c r="H149" s="7" t="s">
        <v>12</v>
      </c>
      <c r="I149" s="3"/>
      <c r="J149" s="3"/>
      <c r="K149" s="3"/>
    </row>
    <row r="150" spans="1:11" ht="15">
      <c r="A150" s="3"/>
      <c r="B150" s="3"/>
      <c r="C150" s="4">
        <v>42586</v>
      </c>
      <c r="D150" s="3" t="s">
        <v>15</v>
      </c>
      <c r="E150" s="31">
        <v>-244</v>
      </c>
      <c r="F150" s="5">
        <v>563</v>
      </c>
      <c r="G150" s="6">
        <f>E150*F150</f>
        <v>-137372</v>
      </c>
      <c r="H150" s="7" t="s">
        <v>12</v>
      </c>
      <c r="I150" s="3"/>
      <c r="J150" s="3"/>
      <c r="K150" s="3"/>
    </row>
    <row r="151" spans="1:11" ht="16">
      <c r="A151" s="8"/>
      <c r="B151" s="8"/>
      <c r="C151" s="9">
        <v>43213</v>
      </c>
      <c r="D151" s="8" t="s">
        <v>15</v>
      </c>
      <c r="E151" s="30">
        <v>-244</v>
      </c>
      <c r="F151" s="10">
        <v>499.5</v>
      </c>
      <c r="G151" s="10">
        <f>E151*F151</f>
        <v>-121878</v>
      </c>
      <c r="H151" s="11" t="s">
        <v>12</v>
      </c>
      <c r="I151" s="8"/>
      <c r="J151" s="8"/>
      <c r="K151" s="8"/>
    </row>
    <row r="152" spans="1:11" ht="15">
      <c r="A152" s="3"/>
      <c r="B152" s="3"/>
      <c r="C152" s="4"/>
      <c r="D152" s="3"/>
      <c r="E152" s="39">
        <f>SUM(E147:E151)</f>
        <v>0</v>
      </c>
      <c r="F152" s="5"/>
      <c r="G152" s="6"/>
      <c r="H152" s="7"/>
      <c r="I152" s="3"/>
      <c r="J152" s="3"/>
      <c r="K152" s="3"/>
    </row>
    <row r="153" spans="1:11" ht="15">
      <c r="A153" s="3">
        <v>28</v>
      </c>
      <c r="B153" s="3" t="s">
        <v>62</v>
      </c>
      <c r="C153" s="4">
        <v>42114</v>
      </c>
      <c r="D153" s="3" t="s">
        <v>11</v>
      </c>
      <c r="E153" s="31">
        <v>6886</v>
      </c>
      <c r="F153" s="5">
        <v>38.26</v>
      </c>
      <c r="G153" s="6">
        <f t="shared" ref="G153:G161" si="6">E153*F153</f>
        <v>263458.36</v>
      </c>
      <c r="H153" s="7" t="s">
        <v>12</v>
      </c>
      <c r="I153" s="3" t="s">
        <v>18</v>
      </c>
      <c r="J153" s="3"/>
      <c r="K153" s="3"/>
    </row>
    <row r="154" spans="1:11" ht="15">
      <c r="A154" s="3"/>
      <c r="B154" s="3"/>
      <c r="C154" s="4">
        <v>42396</v>
      </c>
      <c r="D154" s="3" t="s">
        <v>11</v>
      </c>
      <c r="E154" s="31">
        <v>2045</v>
      </c>
      <c r="F154" s="5">
        <v>41.25</v>
      </c>
      <c r="G154" s="6">
        <f t="shared" si="6"/>
        <v>84356.25</v>
      </c>
      <c r="H154" s="7" t="s">
        <v>12</v>
      </c>
      <c r="I154" s="3"/>
      <c r="J154" s="3"/>
      <c r="K154" s="3"/>
    </row>
    <row r="155" spans="1:11" ht="15">
      <c r="A155" s="3"/>
      <c r="B155" s="3"/>
      <c r="C155" s="4">
        <v>43571</v>
      </c>
      <c r="D155" s="3" t="s">
        <v>15</v>
      </c>
      <c r="E155" s="31">
        <v>-4465</v>
      </c>
      <c r="F155" s="5">
        <v>35.909999999999997</v>
      </c>
      <c r="G155" s="6">
        <f t="shared" si="6"/>
        <v>-160338.15</v>
      </c>
      <c r="H155" s="7" t="s">
        <v>12</v>
      </c>
      <c r="I155" s="3"/>
      <c r="J155" s="3"/>
      <c r="K155" s="3"/>
    </row>
    <row r="156" spans="1:11" ht="15">
      <c r="A156" s="3"/>
      <c r="B156" s="3"/>
      <c r="C156" s="4">
        <v>43854</v>
      </c>
      <c r="D156" s="3" t="s">
        <v>11</v>
      </c>
      <c r="E156" s="31">
        <v>4466</v>
      </c>
      <c r="F156" s="5">
        <v>27.08</v>
      </c>
      <c r="G156" s="6">
        <f t="shared" si="6"/>
        <v>120939.28</v>
      </c>
      <c r="H156" s="7" t="s">
        <v>63</v>
      </c>
      <c r="I156" s="3"/>
      <c r="J156" s="3"/>
      <c r="K156" s="3"/>
    </row>
    <row r="157" spans="1:11" ht="15">
      <c r="A157" s="3"/>
      <c r="B157" s="3"/>
      <c r="C157" s="4">
        <v>43873</v>
      </c>
      <c r="D157" s="3" t="s">
        <v>11</v>
      </c>
      <c r="E157" s="31">
        <v>4466</v>
      </c>
      <c r="F157" s="5">
        <v>27.03</v>
      </c>
      <c r="G157" s="6">
        <f t="shared" si="6"/>
        <v>120715.98000000001</v>
      </c>
      <c r="H157" s="7" t="s">
        <v>64</v>
      </c>
      <c r="I157" s="3"/>
      <c r="J157" s="3"/>
      <c r="K157" s="3"/>
    </row>
    <row r="158" spans="1:11" ht="15">
      <c r="A158" s="3"/>
      <c r="B158" s="3"/>
      <c r="C158" s="4">
        <v>44418</v>
      </c>
      <c r="D158" s="3" t="s">
        <v>11</v>
      </c>
      <c r="E158" s="31">
        <v>13398</v>
      </c>
      <c r="F158" s="5">
        <v>38</v>
      </c>
      <c r="G158" s="6">
        <f t="shared" si="6"/>
        <v>509124</v>
      </c>
      <c r="H158" s="7" t="s">
        <v>65</v>
      </c>
      <c r="I158" s="3"/>
      <c r="J158" s="3"/>
      <c r="K158" s="3"/>
    </row>
    <row r="159" spans="1:11" ht="15">
      <c r="A159" s="3"/>
      <c r="B159" s="3"/>
      <c r="C159" s="4">
        <v>44461</v>
      </c>
      <c r="D159" s="3" t="s">
        <v>11</v>
      </c>
      <c r="E159" s="31">
        <v>9475</v>
      </c>
      <c r="F159" s="5">
        <v>39.520000000000003</v>
      </c>
      <c r="G159" s="6">
        <f t="shared" si="6"/>
        <v>374452.00000000006</v>
      </c>
      <c r="H159" s="7" t="s">
        <v>66</v>
      </c>
      <c r="I159" s="3"/>
      <c r="J159" s="3"/>
      <c r="K159" s="3"/>
    </row>
    <row r="160" spans="1:11" ht="15">
      <c r="A160" s="3"/>
      <c r="B160" s="3"/>
      <c r="C160" s="4">
        <v>44685</v>
      </c>
      <c r="D160" s="3" t="s">
        <v>15</v>
      </c>
      <c r="E160" s="31">
        <v>-20183</v>
      </c>
      <c r="F160" s="5">
        <v>54.15</v>
      </c>
      <c r="G160" s="6">
        <f t="shared" si="6"/>
        <v>-1092909.45</v>
      </c>
      <c r="H160" s="7" t="s">
        <v>67</v>
      </c>
      <c r="I160" s="3"/>
      <c r="J160" s="3"/>
      <c r="K160" s="3"/>
    </row>
    <row r="161" spans="1:11" ht="32">
      <c r="A161" s="8"/>
      <c r="B161" s="8"/>
      <c r="C161" s="9">
        <v>45062</v>
      </c>
      <c r="D161" s="8" t="s">
        <v>15</v>
      </c>
      <c r="E161" s="30">
        <v>-16088</v>
      </c>
      <c r="F161" s="10">
        <v>31.26</v>
      </c>
      <c r="G161" s="10">
        <f t="shared" si="6"/>
        <v>-502910.88</v>
      </c>
      <c r="H161" s="11" t="s">
        <v>68</v>
      </c>
      <c r="I161" s="8"/>
      <c r="J161" s="8"/>
      <c r="K161" s="8"/>
    </row>
    <row r="162" spans="1:11" ht="15">
      <c r="A162" s="3"/>
      <c r="B162" s="3"/>
      <c r="C162" s="4"/>
      <c r="D162" s="3"/>
      <c r="E162" s="39">
        <f>SUM(E153:E161)</f>
        <v>0</v>
      </c>
      <c r="F162" s="5"/>
      <c r="G162" s="6"/>
      <c r="H162" s="7"/>
      <c r="I162" s="3"/>
      <c r="J162" s="3"/>
      <c r="K162" s="3"/>
    </row>
    <row r="163" spans="1:11" ht="15">
      <c r="A163" s="3">
        <v>29</v>
      </c>
      <c r="B163" s="3" t="s">
        <v>69</v>
      </c>
      <c r="C163" s="4">
        <v>42135</v>
      </c>
      <c r="D163" s="3" t="s">
        <v>11</v>
      </c>
      <c r="E163" s="31">
        <v>1011</v>
      </c>
      <c r="F163" s="5">
        <v>252</v>
      </c>
      <c r="G163" s="6">
        <f t="shared" ref="G163:G168" si="7">E163*F163</f>
        <v>254772</v>
      </c>
      <c r="H163" s="7" t="s">
        <v>12</v>
      </c>
      <c r="I163" s="3" t="s">
        <v>18</v>
      </c>
      <c r="J163" s="3"/>
      <c r="K163" s="3"/>
    </row>
    <row r="164" spans="1:11" ht="15">
      <c r="A164" s="3"/>
      <c r="B164" s="3"/>
      <c r="C164" s="4">
        <v>43803</v>
      </c>
      <c r="D164" s="3" t="s">
        <v>15</v>
      </c>
      <c r="E164" s="31">
        <v>-51</v>
      </c>
      <c r="F164" s="5">
        <v>302.7</v>
      </c>
      <c r="G164" s="6">
        <f t="shared" si="7"/>
        <v>-15437.699999999999</v>
      </c>
      <c r="H164" s="7" t="s">
        <v>12</v>
      </c>
      <c r="I164" s="3"/>
      <c r="J164" s="3"/>
      <c r="K164" s="3"/>
    </row>
    <row r="165" spans="1:11" ht="15">
      <c r="A165" s="3"/>
      <c r="B165" s="3"/>
      <c r="C165" s="4">
        <v>43843</v>
      </c>
      <c r="D165" s="3" t="s">
        <v>15</v>
      </c>
      <c r="E165" s="31">
        <v>-144</v>
      </c>
      <c r="F165" s="5">
        <v>314.60000000000002</v>
      </c>
      <c r="G165" s="6">
        <f t="shared" si="7"/>
        <v>-45302.400000000001</v>
      </c>
      <c r="H165" s="7" t="s">
        <v>70</v>
      </c>
      <c r="I165" s="3"/>
      <c r="J165" s="3"/>
      <c r="K165" s="3"/>
    </row>
    <row r="166" spans="1:11" ht="15">
      <c r="A166" s="3"/>
      <c r="B166" s="3"/>
      <c r="C166" s="4">
        <v>43983</v>
      </c>
      <c r="D166" s="3" t="s">
        <v>15</v>
      </c>
      <c r="E166" s="31">
        <v>-204</v>
      </c>
      <c r="F166" s="5">
        <v>242.55</v>
      </c>
      <c r="G166" s="6">
        <f t="shared" si="7"/>
        <v>-49480.200000000004</v>
      </c>
      <c r="H166" s="7" t="s">
        <v>71</v>
      </c>
      <c r="I166" s="3"/>
      <c r="J166" s="3"/>
      <c r="K166" s="3"/>
    </row>
    <row r="167" spans="1:11" ht="15">
      <c r="A167" s="3"/>
      <c r="B167" s="3"/>
      <c r="C167" s="4">
        <v>44050</v>
      </c>
      <c r="D167" s="3" t="s">
        <v>15</v>
      </c>
      <c r="E167" s="31">
        <v>-61</v>
      </c>
      <c r="F167" s="5">
        <v>343.1</v>
      </c>
      <c r="G167" s="6">
        <f t="shared" si="7"/>
        <v>-20929.100000000002</v>
      </c>
      <c r="H167" s="7" t="s">
        <v>72</v>
      </c>
      <c r="I167" s="3"/>
      <c r="J167" s="3"/>
      <c r="K167" s="3"/>
    </row>
    <row r="168" spans="1:11" ht="16">
      <c r="A168" s="8"/>
      <c r="B168" s="8"/>
      <c r="C168" s="9">
        <v>44053</v>
      </c>
      <c r="D168" s="8" t="s">
        <v>15</v>
      </c>
      <c r="E168" s="30">
        <v>-551</v>
      </c>
      <c r="F168" s="10">
        <v>403.7</v>
      </c>
      <c r="G168" s="10">
        <f t="shared" si="7"/>
        <v>-222438.69999999998</v>
      </c>
      <c r="H168" s="11" t="s">
        <v>73</v>
      </c>
      <c r="I168" s="8"/>
      <c r="J168" s="8"/>
      <c r="K168" s="8"/>
    </row>
    <row r="169" spans="1:11" ht="15">
      <c r="A169" s="3"/>
      <c r="B169" s="3"/>
      <c r="C169" s="4"/>
      <c r="D169" s="3"/>
      <c r="E169" s="39">
        <f>SUM(E163:E168)</f>
        <v>0</v>
      </c>
      <c r="F169" s="5"/>
      <c r="G169" s="6"/>
      <c r="H169" s="7"/>
      <c r="I169" s="3"/>
      <c r="J169" s="3"/>
      <c r="K169" s="3"/>
    </row>
    <row r="170" spans="1:11" ht="15">
      <c r="A170" s="3">
        <v>30</v>
      </c>
      <c r="B170" s="3" t="s">
        <v>74</v>
      </c>
      <c r="C170" s="4">
        <v>42223</v>
      </c>
      <c r="D170" s="3" t="s">
        <v>11</v>
      </c>
      <c r="E170" s="31">
        <v>278</v>
      </c>
      <c r="F170" s="5">
        <v>530</v>
      </c>
      <c r="G170" s="6">
        <f>E170*F170</f>
        <v>147340</v>
      </c>
      <c r="H170" s="7" t="s">
        <v>12</v>
      </c>
      <c r="I170" s="3" t="s">
        <v>13</v>
      </c>
      <c r="J170" s="3"/>
      <c r="K170" s="3"/>
    </row>
    <row r="171" spans="1:11" ht="15">
      <c r="A171" s="3"/>
      <c r="B171" s="3"/>
      <c r="C171" s="4">
        <v>42227</v>
      </c>
      <c r="D171" s="3" t="s">
        <v>11</v>
      </c>
      <c r="E171" s="31">
        <v>278</v>
      </c>
      <c r="F171" s="5">
        <v>525</v>
      </c>
      <c r="G171" s="6">
        <f>E171*F171</f>
        <v>145950</v>
      </c>
      <c r="H171" s="7" t="s">
        <v>12</v>
      </c>
      <c r="I171" s="3"/>
      <c r="J171" s="3"/>
      <c r="K171" s="3"/>
    </row>
    <row r="172" spans="1:11" ht="15">
      <c r="A172" s="3"/>
      <c r="B172" s="3"/>
      <c r="C172" s="4">
        <v>43139</v>
      </c>
      <c r="D172" s="3" t="s">
        <v>15</v>
      </c>
      <c r="E172" s="31">
        <v>-278</v>
      </c>
      <c r="F172" s="5">
        <v>707.55</v>
      </c>
      <c r="G172" s="6">
        <f>E172*F172</f>
        <v>-196698.9</v>
      </c>
      <c r="H172" s="7" t="s">
        <v>12</v>
      </c>
      <c r="I172" s="3"/>
      <c r="J172" s="3"/>
      <c r="K172" s="3"/>
    </row>
    <row r="173" spans="1:11" ht="16">
      <c r="A173" s="8"/>
      <c r="B173" s="8"/>
      <c r="C173" s="9">
        <v>43194</v>
      </c>
      <c r="D173" s="8" t="s">
        <v>15</v>
      </c>
      <c r="E173" s="30">
        <v>-278</v>
      </c>
      <c r="F173" s="10">
        <v>748.34</v>
      </c>
      <c r="G173" s="10">
        <f>E173*F173</f>
        <v>-208038.52000000002</v>
      </c>
      <c r="H173" s="11" t="s">
        <v>12</v>
      </c>
      <c r="I173" s="8"/>
      <c r="J173" s="8"/>
      <c r="K173" s="8"/>
    </row>
    <row r="174" spans="1:11" ht="15">
      <c r="A174" s="3"/>
      <c r="B174" s="3"/>
      <c r="C174" s="4"/>
      <c r="D174" s="3"/>
      <c r="E174" s="39">
        <f>SUM(E170:E173)</f>
        <v>0</v>
      </c>
      <c r="F174" s="5"/>
      <c r="G174" s="6"/>
      <c r="H174" s="7"/>
      <c r="I174" s="3"/>
      <c r="J174" s="3"/>
      <c r="K174" s="3"/>
    </row>
    <row r="175" spans="1:11" ht="15">
      <c r="A175" s="3">
        <v>31</v>
      </c>
      <c r="B175" s="3" t="s">
        <v>75</v>
      </c>
      <c r="C175" s="4">
        <v>42269</v>
      </c>
      <c r="D175" s="3" t="s">
        <v>11</v>
      </c>
      <c r="E175" s="31">
        <v>2928</v>
      </c>
      <c r="F175" s="5">
        <v>93.5</v>
      </c>
      <c r="G175" s="6">
        <f>E175*F175</f>
        <v>273768</v>
      </c>
      <c r="H175" s="7" t="s">
        <v>12</v>
      </c>
      <c r="I175" s="3" t="s">
        <v>18</v>
      </c>
      <c r="J175" s="3"/>
      <c r="K175" s="3"/>
    </row>
    <row r="176" spans="1:11" ht="15">
      <c r="A176" s="3"/>
      <c r="B176" s="3"/>
      <c r="C176" s="4">
        <v>43276</v>
      </c>
      <c r="D176" s="3" t="s">
        <v>11</v>
      </c>
      <c r="E176" s="31">
        <v>2928</v>
      </c>
      <c r="F176" s="5">
        <v>54.19</v>
      </c>
      <c r="G176" s="6">
        <f>E176*F176</f>
        <v>158668.32</v>
      </c>
      <c r="H176" s="7" t="s">
        <v>12</v>
      </c>
      <c r="I176" s="3"/>
      <c r="J176" s="3"/>
      <c r="K176" s="3"/>
    </row>
    <row r="177" spans="1:11" ht="15">
      <c r="A177" s="3"/>
      <c r="B177" s="3"/>
      <c r="C177" s="4">
        <v>43396</v>
      </c>
      <c r="D177" s="3" t="s">
        <v>11</v>
      </c>
      <c r="E177" s="31">
        <v>2928</v>
      </c>
      <c r="F177" s="5">
        <v>42.15</v>
      </c>
      <c r="G177" s="6">
        <f>E177*F177</f>
        <v>123415.2</v>
      </c>
      <c r="H177" s="7" t="s">
        <v>12</v>
      </c>
      <c r="I177" s="3"/>
      <c r="J177" s="3"/>
      <c r="K177" s="3"/>
    </row>
    <row r="178" spans="1:11" ht="16">
      <c r="A178" s="8"/>
      <c r="B178" s="8"/>
      <c r="C178" s="9">
        <v>43626</v>
      </c>
      <c r="D178" s="8" t="s">
        <v>15</v>
      </c>
      <c r="E178" s="30">
        <v>-8784</v>
      </c>
      <c r="F178" s="10">
        <v>47.59</v>
      </c>
      <c r="G178" s="10">
        <f>E178*F178</f>
        <v>-418030.56000000006</v>
      </c>
      <c r="H178" s="11" t="s">
        <v>12</v>
      </c>
      <c r="I178" s="8"/>
      <c r="J178" s="8"/>
      <c r="K178" s="8"/>
    </row>
    <row r="179" spans="1:11" ht="15">
      <c r="A179" s="3"/>
      <c r="B179" s="3"/>
      <c r="C179" s="4"/>
      <c r="D179" s="3"/>
      <c r="E179" s="39">
        <f>SUM(E175:E178)</f>
        <v>0</v>
      </c>
      <c r="F179" s="5"/>
      <c r="G179" s="6"/>
      <c r="H179" s="7"/>
      <c r="I179" s="3"/>
      <c r="J179" s="3"/>
      <c r="K179" s="3"/>
    </row>
    <row r="180" spans="1:11" ht="15">
      <c r="A180" s="3">
        <v>32</v>
      </c>
      <c r="B180" s="3" t="s">
        <v>76</v>
      </c>
      <c r="C180" s="4">
        <v>42349</v>
      </c>
      <c r="D180" s="3" t="s">
        <v>11</v>
      </c>
      <c r="E180" s="31">
        <v>922</v>
      </c>
      <c r="F180" s="5">
        <v>300</v>
      </c>
      <c r="G180" s="6">
        <f>E180*F180</f>
        <v>276600</v>
      </c>
      <c r="H180" s="7" t="s">
        <v>12</v>
      </c>
      <c r="I180" s="3" t="s">
        <v>18</v>
      </c>
      <c r="J180" s="3"/>
      <c r="K180" s="3"/>
    </row>
    <row r="181" spans="1:11" ht="15">
      <c r="A181" s="3"/>
      <c r="B181" s="3"/>
      <c r="C181" s="4">
        <v>42699</v>
      </c>
      <c r="D181" s="3" t="s">
        <v>11</v>
      </c>
      <c r="E181" s="31">
        <v>700</v>
      </c>
      <c r="F181" s="5">
        <v>274.35000000000002</v>
      </c>
      <c r="G181" s="6">
        <f>E181*F181</f>
        <v>192045.00000000003</v>
      </c>
      <c r="H181" s="7" t="s">
        <v>12</v>
      </c>
      <c r="I181" s="3"/>
      <c r="J181" s="3"/>
      <c r="K181" s="3"/>
    </row>
    <row r="182" spans="1:11" ht="16">
      <c r="A182" s="8"/>
      <c r="B182" s="8"/>
      <c r="C182" s="9">
        <v>42787</v>
      </c>
      <c r="D182" s="8" t="s">
        <v>15</v>
      </c>
      <c r="E182" s="30">
        <v>-1622</v>
      </c>
      <c r="F182" s="10">
        <v>277.8</v>
      </c>
      <c r="G182" s="10">
        <f>E182*F182</f>
        <v>-450591.60000000003</v>
      </c>
      <c r="H182" s="11" t="s">
        <v>12</v>
      </c>
      <c r="I182" s="8"/>
      <c r="J182" s="8"/>
      <c r="K182" s="8"/>
    </row>
    <row r="183" spans="1:11" ht="15">
      <c r="A183" s="3"/>
      <c r="B183" s="3"/>
      <c r="C183" s="4"/>
      <c r="D183" s="3"/>
      <c r="E183" s="39">
        <f>SUM(E180:E182)</f>
        <v>0</v>
      </c>
      <c r="F183" s="5"/>
      <c r="G183" s="6"/>
      <c r="H183" s="7"/>
      <c r="I183" s="3"/>
      <c r="J183" s="3"/>
      <c r="K183" s="3"/>
    </row>
    <row r="184" spans="1:11" ht="15">
      <c r="A184" s="3">
        <v>33</v>
      </c>
      <c r="B184" s="3" t="s">
        <v>77</v>
      </c>
      <c r="C184" s="4">
        <v>42531</v>
      </c>
      <c r="D184" s="3" t="s">
        <v>11</v>
      </c>
      <c r="E184" s="31">
        <v>44</v>
      </c>
      <c r="F184" s="5">
        <v>2505</v>
      </c>
      <c r="G184" s="6">
        <f>E184*F184</f>
        <v>110220</v>
      </c>
      <c r="H184" s="7" t="s">
        <v>12</v>
      </c>
      <c r="I184" s="3" t="s">
        <v>18</v>
      </c>
      <c r="J184" s="3"/>
      <c r="K184" s="3"/>
    </row>
    <row r="185" spans="1:11" ht="15">
      <c r="A185" s="3"/>
      <c r="B185" s="3"/>
      <c r="C185" s="4">
        <v>42901</v>
      </c>
      <c r="D185" s="3" t="s">
        <v>11</v>
      </c>
      <c r="E185" s="31">
        <v>39</v>
      </c>
      <c r="F185" s="5">
        <v>2515</v>
      </c>
      <c r="G185" s="6">
        <f>E185*F185</f>
        <v>98085</v>
      </c>
      <c r="H185" s="7" t="s">
        <v>12</v>
      </c>
      <c r="I185" s="3"/>
      <c r="J185" s="3"/>
      <c r="K185" s="3"/>
    </row>
    <row r="186" spans="1:11" ht="15">
      <c r="A186" s="3"/>
      <c r="B186" s="3"/>
      <c r="C186" s="4">
        <v>42914</v>
      </c>
      <c r="D186" s="3" t="s">
        <v>11</v>
      </c>
      <c r="E186" s="31">
        <v>82</v>
      </c>
      <c r="F186" s="5">
        <v>2440</v>
      </c>
      <c r="G186" s="6">
        <f>E186*F186</f>
        <v>200080</v>
      </c>
      <c r="H186" s="7" t="s">
        <v>12</v>
      </c>
      <c r="I186" s="3"/>
      <c r="J186" s="3"/>
      <c r="K186" s="3"/>
    </row>
    <row r="187" spans="1:11" ht="15">
      <c r="A187" s="3"/>
      <c r="B187" s="3"/>
      <c r="C187" s="4">
        <v>44064</v>
      </c>
      <c r="D187" s="3" t="s">
        <v>15</v>
      </c>
      <c r="E187" s="31">
        <v>-82</v>
      </c>
      <c r="F187" s="5">
        <v>933</v>
      </c>
      <c r="G187" s="6">
        <f>E187*F187</f>
        <v>-76506</v>
      </c>
      <c r="H187" s="7" t="s">
        <v>78</v>
      </c>
      <c r="I187" s="3"/>
      <c r="J187" s="3"/>
      <c r="K187" s="3"/>
    </row>
    <row r="188" spans="1:11" ht="16">
      <c r="A188" s="8"/>
      <c r="B188" s="8"/>
      <c r="C188" s="9">
        <v>44071</v>
      </c>
      <c r="D188" s="8" t="s">
        <v>15</v>
      </c>
      <c r="E188" s="30">
        <v>-83</v>
      </c>
      <c r="F188" s="10">
        <v>871.75</v>
      </c>
      <c r="G188" s="10">
        <f>E188*F188</f>
        <v>-72355.25</v>
      </c>
      <c r="H188" s="11" t="s">
        <v>79</v>
      </c>
      <c r="I188" s="8"/>
      <c r="J188" s="8"/>
      <c r="K188" s="8"/>
    </row>
    <row r="189" spans="1:11" ht="15">
      <c r="A189" s="3"/>
      <c r="B189" s="3"/>
      <c r="C189" s="4"/>
      <c r="D189" s="3"/>
      <c r="E189" s="39">
        <f>SUM(E184:E188)</f>
        <v>0</v>
      </c>
      <c r="F189" s="5"/>
      <c r="G189" s="6"/>
      <c r="H189" s="7"/>
      <c r="I189" s="3"/>
      <c r="J189" s="3"/>
      <c r="K189" s="3"/>
    </row>
    <row r="190" spans="1:11" ht="15">
      <c r="A190" s="3">
        <v>34</v>
      </c>
      <c r="B190" s="3" t="s">
        <v>80</v>
      </c>
      <c r="C190" s="4">
        <v>42590</v>
      </c>
      <c r="D190" s="3" t="s">
        <v>11</v>
      </c>
      <c r="E190" s="31">
        <v>2750</v>
      </c>
      <c r="F190" s="5">
        <v>109</v>
      </c>
      <c r="G190" s="6">
        <f>E190*F190</f>
        <v>299750</v>
      </c>
      <c r="H190" s="7" t="s">
        <v>12</v>
      </c>
      <c r="I190" s="3" t="s">
        <v>18</v>
      </c>
      <c r="J190" s="3"/>
      <c r="K190" s="3"/>
    </row>
    <row r="191" spans="1:11" ht="15">
      <c r="A191" s="3"/>
      <c r="B191" s="3"/>
      <c r="C191" s="4">
        <v>43298</v>
      </c>
      <c r="D191" s="3" t="s">
        <v>11</v>
      </c>
      <c r="E191" s="31">
        <v>1375</v>
      </c>
      <c r="F191" s="5">
        <v>144.19999999999999</v>
      </c>
      <c r="G191" s="6">
        <f>E191*F191</f>
        <v>198274.99999999997</v>
      </c>
      <c r="H191" s="7" t="s">
        <v>12</v>
      </c>
      <c r="I191" s="3"/>
      <c r="J191" s="3"/>
      <c r="K191" s="3"/>
    </row>
    <row r="192" spans="1:11" ht="16">
      <c r="A192" s="8"/>
      <c r="B192" s="8"/>
      <c r="C192" s="9">
        <v>44237</v>
      </c>
      <c r="D192" s="8" t="s">
        <v>15</v>
      </c>
      <c r="E192" s="30">
        <v>-4125</v>
      </c>
      <c r="F192" s="10">
        <v>95.25</v>
      </c>
      <c r="G192" s="10">
        <f>E192*F192</f>
        <v>-392906.25</v>
      </c>
      <c r="H192" s="11" t="s">
        <v>81</v>
      </c>
      <c r="I192" s="8"/>
      <c r="J192" s="8"/>
      <c r="K192" s="8"/>
    </row>
    <row r="193" spans="1:11" ht="15">
      <c r="A193" s="3"/>
      <c r="B193" s="3"/>
      <c r="C193" s="4"/>
      <c r="D193" s="3"/>
      <c r="E193" s="39">
        <f>SUM(E190:E192)</f>
        <v>0</v>
      </c>
      <c r="F193" s="5"/>
      <c r="G193" s="6"/>
      <c r="H193" s="7"/>
      <c r="I193" s="3"/>
      <c r="J193" s="3"/>
      <c r="K193" s="3"/>
    </row>
    <row r="194" spans="1:11" ht="15">
      <c r="A194" s="3">
        <v>35</v>
      </c>
      <c r="B194" s="3" t="s">
        <v>82</v>
      </c>
      <c r="C194" s="4">
        <v>42773</v>
      </c>
      <c r="D194" s="3" t="s">
        <v>11</v>
      </c>
      <c r="E194" s="31">
        <v>838</v>
      </c>
      <c r="F194" s="5">
        <v>425</v>
      </c>
      <c r="G194" s="6">
        <f>E194*F194</f>
        <v>356150</v>
      </c>
      <c r="H194" s="7" t="s">
        <v>12</v>
      </c>
      <c r="I194" s="3" t="s">
        <v>18</v>
      </c>
      <c r="J194" s="3"/>
      <c r="K194" s="3"/>
    </row>
    <row r="195" spans="1:11" ht="15">
      <c r="A195" s="3"/>
      <c r="B195" s="3"/>
      <c r="C195" s="4">
        <v>43250</v>
      </c>
      <c r="D195" s="3" t="s">
        <v>11</v>
      </c>
      <c r="E195" s="31">
        <v>838</v>
      </c>
      <c r="F195" s="5">
        <v>384.45</v>
      </c>
      <c r="G195" s="6">
        <f>E195*F195</f>
        <v>322169.09999999998</v>
      </c>
      <c r="H195" s="7" t="s">
        <v>12</v>
      </c>
      <c r="I195" s="3"/>
      <c r="J195" s="3"/>
      <c r="K195" s="3"/>
    </row>
    <row r="196" spans="1:11" ht="16">
      <c r="A196" s="8"/>
      <c r="B196" s="8"/>
      <c r="C196" s="9">
        <v>44578</v>
      </c>
      <c r="D196" s="8" t="s">
        <v>15</v>
      </c>
      <c r="E196" s="30">
        <v>-1676</v>
      </c>
      <c r="F196" s="10">
        <v>98.4</v>
      </c>
      <c r="G196" s="10">
        <f>E196*F196</f>
        <v>-164918.40000000002</v>
      </c>
      <c r="H196" s="11" t="s">
        <v>83</v>
      </c>
      <c r="I196" s="8"/>
      <c r="J196" s="8"/>
      <c r="K196" s="8"/>
    </row>
    <row r="197" spans="1:11" ht="15">
      <c r="A197" s="3"/>
      <c r="B197" s="3"/>
      <c r="C197" s="4"/>
      <c r="D197" s="3"/>
      <c r="E197" s="39">
        <f>SUM(E194:E196)</f>
        <v>0</v>
      </c>
      <c r="F197" s="5"/>
      <c r="G197" s="6"/>
      <c r="H197" s="7"/>
      <c r="I197" s="3"/>
      <c r="J197" s="3"/>
      <c r="K197" s="3"/>
    </row>
    <row r="198" spans="1:11" ht="15">
      <c r="A198" s="3">
        <v>36</v>
      </c>
      <c r="B198" s="3" t="s">
        <v>84</v>
      </c>
      <c r="C198" s="4">
        <v>42780</v>
      </c>
      <c r="D198" s="3" t="s">
        <v>11</v>
      </c>
      <c r="E198" s="31">
        <v>4750</v>
      </c>
      <c r="F198" s="5">
        <v>73.42</v>
      </c>
      <c r="G198" s="6">
        <f>E198*F198</f>
        <v>348745</v>
      </c>
      <c r="H198" s="7" t="s">
        <v>12</v>
      </c>
      <c r="I198" s="3" t="s">
        <v>13</v>
      </c>
      <c r="J198" s="3"/>
      <c r="K198" s="3"/>
    </row>
    <row r="199" spans="1:11" ht="15">
      <c r="A199" s="3"/>
      <c r="B199" s="3"/>
      <c r="C199" s="4">
        <v>42968</v>
      </c>
      <c r="D199" s="3" t="s">
        <v>11</v>
      </c>
      <c r="E199" s="31">
        <v>5540</v>
      </c>
      <c r="F199" s="5">
        <v>78.099999999999994</v>
      </c>
      <c r="G199" s="6">
        <f>E199*F199</f>
        <v>432673.99999999994</v>
      </c>
      <c r="H199" s="7" t="s">
        <v>12</v>
      </c>
      <c r="I199" s="3"/>
      <c r="J199" s="3"/>
      <c r="K199" s="3"/>
    </row>
    <row r="200" spans="1:11" ht="15">
      <c r="A200" s="3"/>
      <c r="B200" s="3"/>
      <c r="C200" s="4">
        <v>43910</v>
      </c>
      <c r="D200" s="3" t="s">
        <v>11</v>
      </c>
      <c r="E200" s="31">
        <v>1300</v>
      </c>
      <c r="F200" s="5">
        <v>38.28</v>
      </c>
      <c r="G200" s="6">
        <f>E200*F200</f>
        <v>49764</v>
      </c>
      <c r="H200" s="7" t="s">
        <v>85</v>
      </c>
      <c r="I200" s="3"/>
      <c r="J200" s="3"/>
      <c r="K200" s="3"/>
    </row>
    <row r="201" spans="1:11" ht="15">
      <c r="A201" s="16"/>
      <c r="B201" s="16"/>
      <c r="C201" s="17">
        <v>45509</v>
      </c>
      <c r="D201" s="16" t="s">
        <v>15</v>
      </c>
      <c r="E201" s="33">
        <v>-2365</v>
      </c>
      <c r="F201" s="18">
        <v>269.89999999999998</v>
      </c>
      <c r="G201" s="19">
        <f>E201*F201</f>
        <v>-638313.5</v>
      </c>
      <c r="H201" s="20" t="s">
        <v>86</v>
      </c>
      <c r="I201" s="16"/>
      <c r="J201" s="16"/>
      <c r="K201" s="16"/>
    </row>
    <row r="202" spans="1:11" ht="15">
      <c r="A202" s="3"/>
      <c r="B202" s="3"/>
      <c r="C202" s="4">
        <v>45694</v>
      </c>
      <c r="D202" s="3" t="s">
        <v>11</v>
      </c>
      <c r="E202" s="31">
        <v>1475</v>
      </c>
      <c r="F202" s="5">
        <v>211.38</v>
      </c>
      <c r="G202" s="6">
        <f>E202*F202</f>
        <v>311785.5</v>
      </c>
      <c r="H202" s="7" t="s">
        <v>87</v>
      </c>
      <c r="I202" s="3"/>
      <c r="J202" s="3"/>
      <c r="K202" s="3"/>
    </row>
    <row r="203" spans="1:11" ht="32">
      <c r="A203" s="8"/>
      <c r="B203" s="8"/>
      <c r="C203" s="9">
        <v>45722</v>
      </c>
      <c r="D203" s="8" t="s">
        <v>15</v>
      </c>
      <c r="E203" s="30">
        <v>-2568</v>
      </c>
      <c r="F203" s="10">
        <v>179.7</v>
      </c>
      <c r="G203" s="10">
        <f>E203*F203</f>
        <v>-461469.6</v>
      </c>
      <c r="H203" s="11" t="s">
        <v>88</v>
      </c>
      <c r="I203" s="8"/>
      <c r="J203" s="8"/>
      <c r="K203" s="8"/>
    </row>
    <row r="204" spans="1:11" ht="15">
      <c r="A204" s="3"/>
      <c r="B204" s="3"/>
      <c r="C204" s="4">
        <v>46090</v>
      </c>
      <c r="D204" s="3" t="s">
        <v>15</v>
      </c>
      <c r="E204" s="31">
        <v>-1840</v>
      </c>
      <c r="F204" s="5">
        <v>169.66</v>
      </c>
      <c r="G204" s="6">
        <f>E204*F204</f>
        <v>-312174.39999999997</v>
      </c>
      <c r="H204" s="7" t="s">
        <v>89</v>
      </c>
      <c r="I204" s="3"/>
      <c r="J204" s="3"/>
      <c r="K204" s="3"/>
    </row>
    <row r="205" spans="1:11" ht="15">
      <c r="A205" s="3"/>
      <c r="B205" s="3"/>
      <c r="C205" s="4">
        <v>46182</v>
      </c>
      <c r="D205" s="3" t="s">
        <v>15</v>
      </c>
      <c r="E205" s="31">
        <v>-1507</v>
      </c>
      <c r="F205" s="5">
        <v>185.65</v>
      </c>
      <c r="G205" s="6">
        <f>E205*F205</f>
        <v>-279774.55</v>
      </c>
      <c r="H205" s="7" t="s">
        <v>90</v>
      </c>
      <c r="I205" s="3"/>
      <c r="J205" s="3"/>
      <c r="K205" s="3"/>
    </row>
    <row r="206" spans="1:11" ht="15">
      <c r="A206" s="3"/>
      <c r="B206" s="3"/>
      <c r="C206" s="4"/>
      <c r="D206" s="3"/>
      <c r="E206" s="39">
        <f>SUM(E198:E205)</f>
        <v>4785</v>
      </c>
      <c r="F206" s="5"/>
      <c r="G206" s="6"/>
      <c r="H206" s="7"/>
      <c r="I206" s="3"/>
      <c r="J206" s="3"/>
      <c r="K206" s="3"/>
    </row>
    <row r="207" spans="1:11" ht="16">
      <c r="A207" s="8">
        <v>37</v>
      </c>
      <c r="B207" s="8" t="s">
        <v>91</v>
      </c>
      <c r="C207" s="9">
        <v>42905</v>
      </c>
      <c r="D207" s="8" t="s">
        <v>11</v>
      </c>
      <c r="E207" s="30">
        <v>12000</v>
      </c>
      <c r="F207" s="10">
        <v>33.85</v>
      </c>
      <c r="G207" s="10">
        <f>E207*F207</f>
        <v>406200</v>
      </c>
      <c r="H207" s="11" t="s">
        <v>12</v>
      </c>
      <c r="I207" s="8" t="s">
        <v>13</v>
      </c>
      <c r="J207" s="8"/>
      <c r="K207" s="8"/>
    </row>
    <row r="208" spans="1:11" ht="15">
      <c r="A208" s="3"/>
      <c r="B208" s="3"/>
      <c r="C208" s="4">
        <v>43271</v>
      </c>
      <c r="D208" s="3" t="s">
        <v>15</v>
      </c>
      <c r="E208" s="31">
        <v>-9000</v>
      </c>
      <c r="F208" s="5">
        <v>74.27</v>
      </c>
      <c r="G208" s="6">
        <f>E208*F208</f>
        <v>-668430</v>
      </c>
      <c r="H208" s="7" t="s">
        <v>12</v>
      </c>
      <c r="I208" s="3"/>
      <c r="J208" s="3"/>
      <c r="K208" s="3"/>
    </row>
    <row r="209" spans="1:11" ht="15">
      <c r="A209" s="3"/>
      <c r="B209" s="3"/>
      <c r="C209" s="4">
        <v>43291</v>
      </c>
      <c r="D209" s="3" t="s">
        <v>15</v>
      </c>
      <c r="E209" s="31">
        <v>-3000</v>
      </c>
      <c r="F209" s="5">
        <v>74.900000000000006</v>
      </c>
      <c r="G209" s="6">
        <f>E209*F209</f>
        <v>-224700.00000000003</v>
      </c>
      <c r="H209" s="7" t="s">
        <v>12</v>
      </c>
      <c r="I209" s="3"/>
      <c r="J209" s="3"/>
      <c r="K209" s="3"/>
    </row>
    <row r="210" spans="1:11" ht="15">
      <c r="A210" s="3"/>
      <c r="B210" s="3"/>
      <c r="C210" s="4"/>
      <c r="D210" s="3"/>
      <c r="E210" s="39">
        <f>SUM(E207:E209)</f>
        <v>0</v>
      </c>
      <c r="F210" s="5"/>
      <c r="G210" s="6"/>
      <c r="H210" s="7"/>
      <c r="I210" s="3"/>
      <c r="J210" s="3"/>
      <c r="K210" s="3"/>
    </row>
    <row r="211" spans="1:11" ht="16">
      <c r="A211" s="8">
        <v>38</v>
      </c>
      <c r="B211" s="8" t="s">
        <v>92</v>
      </c>
      <c r="C211" s="9">
        <v>42961</v>
      </c>
      <c r="D211" s="8" t="s">
        <v>11</v>
      </c>
      <c r="E211" s="30">
        <v>2345</v>
      </c>
      <c r="F211" s="10">
        <v>171.1</v>
      </c>
      <c r="G211" s="10">
        <f>E211*F211</f>
        <v>401229.5</v>
      </c>
      <c r="H211" s="11" t="s">
        <v>12</v>
      </c>
      <c r="I211" s="8" t="s">
        <v>18</v>
      </c>
      <c r="J211" s="8"/>
      <c r="K211" s="8"/>
    </row>
    <row r="212" spans="1:11" ht="15">
      <c r="A212" s="3"/>
      <c r="B212" s="3"/>
      <c r="C212" s="4">
        <v>43441</v>
      </c>
      <c r="D212" s="3" t="s">
        <v>15</v>
      </c>
      <c r="E212" s="31">
        <v>-505</v>
      </c>
      <c r="F212" s="5">
        <v>205.35</v>
      </c>
      <c r="G212" s="6">
        <f>E212*F212</f>
        <v>-103701.75</v>
      </c>
      <c r="H212" s="7" t="s">
        <v>12</v>
      </c>
      <c r="I212" s="3"/>
      <c r="J212" s="3"/>
      <c r="K212" s="3"/>
    </row>
    <row r="213" spans="1:11" ht="15">
      <c r="A213" s="3"/>
      <c r="B213" s="3"/>
      <c r="C213" s="4">
        <v>43502</v>
      </c>
      <c r="D213" s="3" t="s">
        <v>15</v>
      </c>
      <c r="E213" s="31">
        <v>-1840</v>
      </c>
      <c r="F213" s="5">
        <v>184.3</v>
      </c>
      <c r="G213" s="6">
        <f>E213*F213</f>
        <v>-339112</v>
      </c>
      <c r="H213" s="7" t="s">
        <v>12</v>
      </c>
      <c r="I213" s="3"/>
      <c r="J213" s="3"/>
      <c r="K213" s="3"/>
    </row>
    <row r="214" spans="1:11" ht="15">
      <c r="A214" s="3"/>
      <c r="B214" s="3"/>
      <c r="C214" s="4"/>
      <c r="D214" s="3"/>
      <c r="E214" s="39">
        <f>SUM(E211:E213)</f>
        <v>0</v>
      </c>
      <c r="F214" s="5"/>
      <c r="G214" s="6"/>
      <c r="H214" s="7"/>
      <c r="I214" s="3"/>
      <c r="J214" s="3"/>
      <c r="K214" s="3"/>
    </row>
    <row r="215" spans="1:11" ht="16">
      <c r="A215" s="8">
        <v>39</v>
      </c>
      <c r="B215" s="8" t="s">
        <v>93</v>
      </c>
      <c r="C215" s="9">
        <v>42999</v>
      </c>
      <c r="D215" s="8" t="s">
        <v>11</v>
      </c>
      <c r="E215" s="30">
        <v>13973</v>
      </c>
      <c r="F215" s="10">
        <v>31.24</v>
      </c>
      <c r="G215" s="10">
        <f>E215*F215</f>
        <v>436516.51999999996</v>
      </c>
      <c r="H215" s="11" t="s">
        <v>12</v>
      </c>
      <c r="I215" s="8" t="s">
        <v>18</v>
      </c>
      <c r="J215" s="8"/>
      <c r="K215" s="8"/>
    </row>
    <row r="216" spans="1:11" ht="15">
      <c r="A216" s="3"/>
      <c r="B216" s="3"/>
      <c r="C216" s="4">
        <v>43760</v>
      </c>
      <c r="D216" s="3" t="s">
        <v>11</v>
      </c>
      <c r="E216" s="31">
        <v>13973</v>
      </c>
      <c r="F216" s="5">
        <v>10.37</v>
      </c>
      <c r="G216" s="6">
        <f>E216*F216</f>
        <v>144900.00999999998</v>
      </c>
      <c r="H216" s="7" t="s">
        <v>12</v>
      </c>
      <c r="I216" s="3"/>
      <c r="J216" s="3"/>
      <c r="K216" s="3"/>
    </row>
    <row r="217" spans="1:11" ht="15">
      <c r="A217" s="3"/>
      <c r="B217" s="3"/>
      <c r="C217" s="4">
        <v>44550</v>
      </c>
      <c r="D217" s="3" t="s">
        <v>15</v>
      </c>
      <c r="E217" s="31">
        <v>-27946</v>
      </c>
      <c r="F217" s="5">
        <v>8.8149999999999995</v>
      </c>
      <c r="G217" s="6">
        <f>E217*F217</f>
        <v>-246343.99</v>
      </c>
      <c r="H217" s="7" t="s">
        <v>94</v>
      </c>
      <c r="I217" s="3"/>
      <c r="J217" s="3"/>
      <c r="K217" s="3"/>
    </row>
    <row r="218" spans="1:11" ht="15">
      <c r="A218" s="3"/>
      <c r="B218" s="3"/>
      <c r="C218" s="4"/>
      <c r="D218" s="3"/>
      <c r="E218" s="39">
        <f>SUM(E215:E217)</f>
        <v>0</v>
      </c>
      <c r="F218" s="5"/>
      <c r="G218" s="6"/>
      <c r="H218" s="7"/>
      <c r="I218" s="3"/>
      <c r="J218" s="3"/>
      <c r="K218" s="3"/>
    </row>
    <row r="219" spans="1:11" ht="15">
      <c r="A219" s="3">
        <v>40</v>
      </c>
      <c r="B219" s="3" t="s">
        <v>95</v>
      </c>
      <c r="C219" s="4">
        <v>43237</v>
      </c>
      <c r="D219" s="12" t="s">
        <v>11</v>
      </c>
      <c r="E219" s="32">
        <v>570</v>
      </c>
      <c r="F219" s="13">
        <v>851.35</v>
      </c>
      <c r="G219" s="14">
        <f t="shared" ref="G219:G226" si="8">E219*F219</f>
        <v>485269.5</v>
      </c>
      <c r="H219" s="15" t="s">
        <v>12</v>
      </c>
      <c r="I219" s="3" t="s">
        <v>13</v>
      </c>
      <c r="J219" s="3"/>
      <c r="K219" s="3"/>
    </row>
    <row r="220" spans="1:11" ht="15">
      <c r="A220" s="3"/>
      <c r="B220" s="3"/>
      <c r="C220" s="4">
        <v>44273</v>
      </c>
      <c r="D220" s="3" t="s">
        <v>15</v>
      </c>
      <c r="E220" s="31">
        <v>-142</v>
      </c>
      <c r="F220" s="5">
        <v>1518.6</v>
      </c>
      <c r="G220" s="6">
        <f t="shared" si="8"/>
        <v>-215641.19999999998</v>
      </c>
      <c r="H220" s="7" t="s">
        <v>96</v>
      </c>
      <c r="I220" s="3"/>
      <c r="J220" s="3"/>
      <c r="K220" s="3"/>
    </row>
    <row r="221" spans="1:11" ht="15">
      <c r="A221" s="3"/>
      <c r="B221" s="3"/>
      <c r="C221" s="4">
        <v>44362</v>
      </c>
      <c r="D221" s="3" t="s">
        <v>15</v>
      </c>
      <c r="E221" s="31">
        <v>-142</v>
      </c>
      <c r="F221" s="5">
        <v>2717.75</v>
      </c>
      <c r="G221" s="6">
        <f t="shared" si="8"/>
        <v>-385920.5</v>
      </c>
      <c r="H221" s="7" t="s">
        <v>97</v>
      </c>
      <c r="I221" s="3"/>
      <c r="J221" s="3"/>
      <c r="K221" s="3"/>
    </row>
    <row r="222" spans="1:11" ht="15">
      <c r="A222" s="3"/>
      <c r="B222" s="3"/>
      <c r="C222" s="4">
        <v>44578</v>
      </c>
      <c r="D222" s="3" t="s">
        <v>15</v>
      </c>
      <c r="E222" s="31">
        <v>-56</v>
      </c>
      <c r="F222" s="5">
        <v>4748</v>
      </c>
      <c r="G222" s="6">
        <f t="shared" si="8"/>
        <v>-265888</v>
      </c>
      <c r="H222" s="7" t="s">
        <v>98</v>
      </c>
      <c r="I222" s="3"/>
      <c r="J222" s="3"/>
      <c r="K222" s="3"/>
    </row>
    <row r="223" spans="1:11" ht="15">
      <c r="A223" s="3"/>
      <c r="B223" s="3"/>
      <c r="C223" s="4">
        <v>44677</v>
      </c>
      <c r="D223" s="3" t="s">
        <v>99</v>
      </c>
      <c r="E223" s="31">
        <v>2070</v>
      </c>
      <c r="F223" s="5">
        <v>0</v>
      </c>
      <c r="G223" s="6">
        <f t="shared" si="8"/>
        <v>0</v>
      </c>
      <c r="H223" s="7" t="s">
        <v>100</v>
      </c>
      <c r="I223" s="3"/>
      <c r="J223" s="3"/>
      <c r="K223" s="3"/>
    </row>
    <row r="224" spans="1:11" ht="32">
      <c r="A224" s="8"/>
      <c r="B224" s="8"/>
      <c r="C224" s="9">
        <v>44851</v>
      </c>
      <c r="D224" s="8" t="s">
        <v>15</v>
      </c>
      <c r="E224" s="30">
        <v>-1150</v>
      </c>
      <c r="F224" s="10">
        <v>364.67</v>
      </c>
      <c r="G224" s="10">
        <f t="shared" si="8"/>
        <v>-419370.5</v>
      </c>
      <c r="H224" s="11" t="s">
        <v>101</v>
      </c>
      <c r="I224" s="8"/>
      <c r="J224" s="8"/>
      <c r="K224" s="8"/>
    </row>
    <row r="225" spans="1:11" ht="15">
      <c r="A225" s="3"/>
      <c r="B225" s="3"/>
      <c r="C225" s="4">
        <v>44879</v>
      </c>
      <c r="D225" s="3" t="s">
        <v>15</v>
      </c>
      <c r="E225" s="31">
        <v>-575</v>
      </c>
      <c r="F225" s="5">
        <v>394.9</v>
      </c>
      <c r="G225" s="6">
        <f t="shared" si="8"/>
        <v>-227067.5</v>
      </c>
      <c r="H225" s="7" t="s">
        <v>102</v>
      </c>
      <c r="I225" s="3"/>
      <c r="J225" s="3"/>
      <c r="K225" s="3"/>
    </row>
    <row r="226" spans="1:11" ht="15">
      <c r="A226" s="3"/>
      <c r="B226" s="3"/>
      <c r="C226" s="4">
        <v>44886</v>
      </c>
      <c r="D226" s="3" t="s">
        <v>15</v>
      </c>
      <c r="E226" s="31">
        <v>-575</v>
      </c>
      <c r="F226" s="5">
        <v>371.77</v>
      </c>
      <c r="G226" s="6">
        <f t="shared" si="8"/>
        <v>-213767.75</v>
      </c>
      <c r="H226" s="7" t="s">
        <v>103</v>
      </c>
      <c r="I226" s="3"/>
      <c r="J226" s="3"/>
      <c r="K226" s="3"/>
    </row>
    <row r="227" spans="1:11" ht="15">
      <c r="A227" s="3"/>
      <c r="B227" s="3"/>
      <c r="C227" s="4"/>
      <c r="D227" s="3"/>
      <c r="E227" s="39">
        <f>SUM(E219:E226)</f>
        <v>0</v>
      </c>
      <c r="F227" s="5"/>
      <c r="G227" s="6"/>
      <c r="H227" s="7"/>
      <c r="I227" s="3"/>
      <c r="J227" s="3"/>
      <c r="K227" s="3"/>
    </row>
    <row r="228" spans="1:11" ht="16">
      <c r="A228" s="8">
        <v>41</v>
      </c>
      <c r="B228" s="8" t="s">
        <v>104</v>
      </c>
      <c r="C228" s="9">
        <v>43336</v>
      </c>
      <c r="D228" s="8" t="s">
        <v>11</v>
      </c>
      <c r="E228" s="30">
        <v>545</v>
      </c>
      <c r="F228" s="10">
        <v>848.5</v>
      </c>
      <c r="G228" s="10">
        <f>E228*F228</f>
        <v>462432.5</v>
      </c>
      <c r="H228" s="11" t="s">
        <v>12</v>
      </c>
      <c r="I228" s="8" t="s">
        <v>18</v>
      </c>
      <c r="J228" s="8"/>
      <c r="K228" s="8"/>
    </row>
    <row r="229" spans="1:11" ht="15">
      <c r="A229" s="3"/>
      <c r="B229" s="3"/>
      <c r="C229" s="4">
        <v>43760</v>
      </c>
      <c r="D229" s="3" t="s">
        <v>15</v>
      </c>
      <c r="E229" s="31">
        <v>-226</v>
      </c>
      <c r="F229" s="5">
        <v>622.6</v>
      </c>
      <c r="G229" s="6">
        <f>E229*F229</f>
        <v>-140707.6</v>
      </c>
      <c r="H229" s="7" t="s">
        <v>12</v>
      </c>
      <c r="I229" s="3"/>
      <c r="J229" s="3"/>
      <c r="K229" s="3"/>
    </row>
    <row r="230" spans="1:11" ht="15">
      <c r="A230" s="3"/>
      <c r="B230" s="3"/>
      <c r="C230" s="4">
        <v>44407</v>
      </c>
      <c r="D230" s="3" t="s">
        <v>15</v>
      </c>
      <c r="E230" s="31">
        <v>-319</v>
      </c>
      <c r="F230" s="5">
        <v>987</v>
      </c>
      <c r="G230" s="6">
        <f>E230*F230</f>
        <v>-314853</v>
      </c>
      <c r="H230" s="7" t="s">
        <v>105</v>
      </c>
      <c r="I230" s="3"/>
      <c r="J230" s="3"/>
      <c r="K230" s="3"/>
    </row>
    <row r="231" spans="1:11" ht="15">
      <c r="A231" s="3"/>
      <c r="B231" s="3"/>
      <c r="C231" s="4"/>
      <c r="D231" s="3"/>
      <c r="E231" s="39">
        <f>SUM(E228:E230)</f>
        <v>0</v>
      </c>
      <c r="F231" s="5"/>
      <c r="G231" s="6"/>
      <c r="H231" s="7"/>
      <c r="I231" s="3"/>
      <c r="J231" s="3"/>
      <c r="K231" s="3"/>
    </row>
    <row r="232" spans="1:11" ht="16">
      <c r="A232" s="8">
        <v>42</v>
      </c>
      <c r="B232" s="8" t="s">
        <v>106</v>
      </c>
      <c r="C232" s="9">
        <v>43431</v>
      </c>
      <c r="D232" s="8" t="s">
        <v>11</v>
      </c>
      <c r="E232" s="30">
        <v>460</v>
      </c>
      <c r="F232" s="10">
        <v>532.13</v>
      </c>
      <c r="G232" s="10">
        <f>E232*F232</f>
        <v>244779.8</v>
      </c>
      <c r="H232" s="11" t="s">
        <v>12</v>
      </c>
      <c r="I232" s="8" t="s">
        <v>18</v>
      </c>
      <c r="J232" s="8"/>
      <c r="K232" s="8"/>
    </row>
    <row r="233" spans="1:11" ht="15">
      <c r="A233" s="3"/>
      <c r="B233" s="3"/>
      <c r="C233" s="4">
        <v>43868</v>
      </c>
      <c r="D233" s="3" t="s">
        <v>15</v>
      </c>
      <c r="E233" s="31">
        <v>-147</v>
      </c>
      <c r="F233" s="5">
        <v>495.95</v>
      </c>
      <c r="G233" s="6">
        <f>E233*F233</f>
        <v>-72904.649999999994</v>
      </c>
      <c r="H233" s="7" t="s">
        <v>107</v>
      </c>
      <c r="I233" s="3"/>
      <c r="J233" s="3"/>
      <c r="K233" s="3"/>
    </row>
    <row r="234" spans="1:11" ht="15">
      <c r="A234" s="3"/>
      <c r="B234" s="3"/>
      <c r="C234" s="4">
        <v>44008</v>
      </c>
      <c r="D234" s="3" t="s">
        <v>15</v>
      </c>
      <c r="E234" s="31">
        <v>-313</v>
      </c>
      <c r="F234" s="5">
        <v>460.4</v>
      </c>
      <c r="G234" s="6">
        <f>E234*F234</f>
        <v>-144105.19999999998</v>
      </c>
      <c r="H234" s="7" t="s">
        <v>108</v>
      </c>
      <c r="I234" s="3"/>
      <c r="J234" s="3"/>
      <c r="K234" s="3"/>
    </row>
    <row r="235" spans="1:11" ht="15">
      <c r="A235" s="3"/>
      <c r="B235" s="3"/>
      <c r="C235" s="4"/>
      <c r="D235" s="3"/>
      <c r="E235" s="39">
        <f>SUM(E232:E234)</f>
        <v>0</v>
      </c>
      <c r="F235" s="5"/>
      <c r="G235" s="6"/>
      <c r="H235" s="7"/>
      <c r="I235" s="3"/>
      <c r="J235" s="3"/>
      <c r="K235" s="3"/>
    </row>
    <row r="236" spans="1:11" ht="15">
      <c r="A236" s="3">
        <v>43</v>
      </c>
      <c r="B236" s="3" t="s">
        <v>109</v>
      </c>
      <c r="C236" s="4">
        <v>43441</v>
      </c>
      <c r="D236" s="3" t="s">
        <v>11</v>
      </c>
      <c r="E236" s="31">
        <v>425</v>
      </c>
      <c r="F236" s="5">
        <v>529.41</v>
      </c>
      <c r="G236" s="6">
        <f>E236*F236</f>
        <v>224999.25</v>
      </c>
      <c r="H236" s="7" t="s">
        <v>12</v>
      </c>
      <c r="I236" s="3" t="s">
        <v>18</v>
      </c>
      <c r="J236" s="3"/>
      <c r="K236" s="3"/>
    </row>
    <row r="237" spans="1:11" ht="15">
      <c r="A237" s="3"/>
      <c r="B237" s="3"/>
      <c r="C237" s="4">
        <v>43508</v>
      </c>
      <c r="D237" s="3" t="s">
        <v>11</v>
      </c>
      <c r="E237" s="31">
        <v>85</v>
      </c>
      <c r="F237" s="5">
        <v>461.65</v>
      </c>
      <c r="G237" s="6">
        <f>E237*F237</f>
        <v>39240.25</v>
      </c>
      <c r="H237" s="7" t="s">
        <v>12</v>
      </c>
      <c r="I237" s="3"/>
      <c r="J237" s="3"/>
      <c r="K237" s="3"/>
    </row>
    <row r="238" spans="1:11" ht="16">
      <c r="A238" s="8"/>
      <c r="B238" s="8"/>
      <c r="C238" s="9">
        <v>43662</v>
      </c>
      <c r="D238" s="8" t="s">
        <v>15</v>
      </c>
      <c r="E238" s="30">
        <v>-130</v>
      </c>
      <c r="F238" s="10">
        <v>478</v>
      </c>
      <c r="G238" s="10">
        <f>E238*F238</f>
        <v>-62140</v>
      </c>
      <c r="H238" s="11" t="s">
        <v>12</v>
      </c>
      <c r="I238" s="8"/>
      <c r="J238" s="8"/>
      <c r="K238" s="8"/>
    </row>
    <row r="239" spans="1:11" ht="15">
      <c r="A239" s="3"/>
      <c r="B239" s="3"/>
      <c r="C239" s="4">
        <v>43826</v>
      </c>
      <c r="D239" s="3" t="s">
        <v>15</v>
      </c>
      <c r="E239" s="31">
        <v>-190</v>
      </c>
      <c r="F239" s="5">
        <v>349.5</v>
      </c>
      <c r="G239" s="6">
        <f>E239*F239</f>
        <v>-66405</v>
      </c>
      <c r="H239" s="7" t="s">
        <v>12</v>
      </c>
      <c r="I239" s="3"/>
      <c r="J239" s="3"/>
      <c r="K239" s="3"/>
    </row>
    <row r="240" spans="1:11" ht="15">
      <c r="A240" s="3"/>
      <c r="B240" s="3"/>
      <c r="C240" s="4">
        <v>43832</v>
      </c>
      <c r="D240" s="3" t="s">
        <v>15</v>
      </c>
      <c r="E240" s="31">
        <v>-190</v>
      </c>
      <c r="F240" s="5">
        <v>389.55</v>
      </c>
      <c r="G240" s="6">
        <f>E240*F240</f>
        <v>-74014.5</v>
      </c>
      <c r="H240" s="7" t="s">
        <v>110</v>
      </c>
      <c r="I240" s="3"/>
      <c r="J240" s="3"/>
      <c r="K240" s="3"/>
    </row>
    <row r="241" spans="1:11" ht="15">
      <c r="A241" s="3"/>
      <c r="B241" s="3"/>
      <c r="C241" s="4"/>
      <c r="D241" s="3"/>
      <c r="E241" s="39">
        <f>SUM(E236:E240)</f>
        <v>0</v>
      </c>
      <c r="F241" s="5"/>
      <c r="G241" s="6"/>
      <c r="H241" s="7"/>
      <c r="I241" s="3"/>
      <c r="J241" s="3"/>
      <c r="K241" s="3"/>
    </row>
    <row r="242" spans="1:11" ht="15">
      <c r="A242" s="3">
        <v>44</v>
      </c>
      <c r="B242" s="3" t="s">
        <v>111</v>
      </c>
      <c r="C242" s="4">
        <v>43502</v>
      </c>
      <c r="D242" s="3" t="s">
        <v>11</v>
      </c>
      <c r="E242" s="31">
        <v>1345</v>
      </c>
      <c r="F242" s="5">
        <v>107.05</v>
      </c>
      <c r="G242" s="6">
        <f t="shared" ref="G242:G247" si="9">E242*F242</f>
        <v>143982.25</v>
      </c>
      <c r="H242" s="7" t="s">
        <v>12</v>
      </c>
      <c r="I242" s="3" t="s">
        <v>13</v>
      </c>
      <c r="J242" s="3"/>
      <c r="K242" s="3"/>
    </row>
    <row r="243" spans="1:11" ht="15">
      <c r="A243" s="3"/>
      <c r="B243" s="3"/>
      <c r="C243" s="4">
        <v>43599</v>
      </c>
      <c r="D243" s="3" t="s">
        <v>11</v>
      </c>
      <c r="E243" s="31">
        <v>670</v>
      </c>
      <c r="F243" s="5">
        <v>138.66999999999999</v>
      </c>
      <c r="G243" s="6">
        <f t="shared" si="9"/>
        <v>92908.9</v>
      </c>
      <c r="H243" s="7" t="s">
        <v>12</v>
      </c>
      <c r="I243" s="3"/>
      <c r="J243" s="3"/>
      <c r="K243" s="3"/>
    </row>
    <row r="244" spans="1:11" ht="15">
      <c r="A244" s="3"/>
      <c r="B244" s="3"/>
      <c r="C244" s="4">
        <v>43803</v>
      </c>
      <c r="D244" s="3" t="s">
        <v>15</v>
      </c>
      <c r="E244" s="31">
        <v>-403</v>
      </c>
      <c r="F244" s="5">
        <v>160</v>
      </c>
      <c r="G244" s="6">
        <f t="shared" si="9"/>
        <v>-64480</v>
      </c>
      <c r="H244" s="7" t="s">
        <v>12</v>
      </c>
      <c r="I244" s="3"/>
      <c r="J244" s="3"/>
      <c r="K244" s="3"/>
    </row>
    <row r="245" spans="1:11" ht="32">
      <c r="A245" s="8"/>
      <c r="B245" s="8"/>
      <c r="C245" s="9">
        <v>43832</v>
      </c>
      <c r="D245" s="8" t="s">
        <v>15</v>
      </c>
      <c r="E245" s="30">
        <v>-403</v>
      </c>
      <c r="F245" s="10">
        <v>187.05</v>
      </c>
      <c r="G245" s="10">
        <f t="shared" si="9"/>
        <v>-75381.150000000009</v>
      </c>
      <c r="H245" s="11" t="s">
        <v>112</v>
      </c>
      <c r="I245" s="8"/>
      <c r="J245" s="8"/>
      <c r="K245" s="8"/>
    </row>
    <row r="246" spans="1:11" ht="15">
      <c r="A246" s="3"/>
      <c r="B246" s="3"/>
      <c r="C246" s="4">
        <v>43943</v>
      </c>
      <c r="D246" s="3" t="s">
        <v>11</v>
      </c>
      <c r="E246" s="31">
        <v>806</v>
      </c>
      <c r="F246" s="5">
        <v>99.4</v>
      </c>
      <c r="G246" s="6">
        <f t="shared" si="9"/>
        <v>80116.400000000009</v>
      </c>
      <c r="H246" s="7" t="s">
        <v>113</v>
      </c>
      <c r="I246" s="3"/>
      <c r="J246" s="3"/>
      <c r="K246" s="3"/>
    </row>
    <row r="247" spans="1:11" ht="15">
      <c r="A247" s="3"/>
      <c r="B247" s="3"/>
      <c r="C247" s="4">
        <v>44146</v>
      </c>
      <c r="D247" s="3" t="s">
        <v>15</v>
      </c>
      <c r="E247" s="31">
        <v>-2015</v>
      </c>
      <c r="F247" s="5">
        <v>149</v>
      </c>
      <c r="G247" s="6">
        <f t="shared" si="9"/>
        <v>-300235</v>
      </c>
      <c r="H247" s="7" t="s">
        <v>114</v>
      </c>
      <c r="I247" s="3"/>
      <c r="J247" s="3"/>
      <c r="K247" s="3"/>
    </row>
    <row r="248" spans="1:11" ht="15">
      <c r="A248" s="3"/>
      <c r="B248" s="3"/>
      <c r="C248" s="4"/>
      <c r="D248" s="3"/>
      <c r="E248" s="39">
        <f>SUM(E242:E247)</f>
        <v>0</v>
      </c>
      <c r="F248" s="5"/>
      <c r="G248" s="6"/>
      <c r="H248" s="7"/>
      <c r="I248" s="3"/>
      <c r="J248" s="3"/>
      <c r="K248" s="3"/>
    </row>
    <row r="249" spans="1:11" ht="16">
      <c r="A249" s="8">
        <v>45</v>
      </c>
      <c r="B249" s="8" t="s">
        <v>115</v>
      </c>
      <c r="C249" s="9">
        <v>43502</v>
      </c>
      <c r="D249" s="8" t="s">
        <v>11</v>
      </c>
      <c r="E249" s="30">
        <v>1050</v>
      </c>
      <c r="F249" s="10">
        <v>139.75</v>
      </c>
      <c r="G249" s="10">
        <f>E249*F249</f>
        <v>146737.5</v>
      </c>
      <c r="H249" s="11" t="s">
        <v>12</v>
      </c>
      <c r="I249" s="8" t="s">
        <v>18</v>
      </c>
      <c r="J249" s="8"/>
      <c r="K249" s="8"/>
    </row>
    <row r="250" spans="1:11" ht="15">
      <c r="A250" s="3"/>
      <c r="B250" s="3"/>
      <c r="C250" s="4">
        <v>43599</v>
      </c>
      <c r="D250" s="3" t="s">
        <v>11</v>
      </c>
      <c r="E250" s="31">
        <v>525</v>
      </c>
      <c r="F250" s="5">
        <v>118.6</v>
      </c>
      <c r="G250" s="6">
        <f>E250*F250</f>
        <v>62265</v>
      </c>
      <c r="H250" s="7" t="s">
        <v>12</v>
      </c>
      <c r="I250" s="3"/>
      <c r="J250" s="3"/>
      <c r="K250" s="3"/>
    </row>
    <row r="251" spans="1:11" ht="15">
      <c r="A251" s="3"/>
      <c r="B251" s="3"/>
      <c r="C251" s="4">
        <v>44050</v>
      </c>
      <c r="D251" s="3" t="s">
        <v>15</v>
      </c>
      <c r="E251" s="31">
        <v>-1575</v>
      </c>
      <c r="F251" s="5">
        <v>59.73</v>
      </c>
      <c r="G251" s="6">
        <f>E251*F251</f>
        <v>-94074.75</v>
      </c>
      <c r="H251" s="7" t="s">
        <v>116</v>
      </c>
      <c r="I251" s="3"/>
      <c r="J251" s="3"/>
      <c r="K251" s="3"/>
    </row>
    <row r="252" spans="1:11" ht="15">
      <c r="A252" s="3"/>
      <c r="B252" s="3"/>
      <c r="C252" s="4"/>
      <c r="D252" s="3"/>
      <c r="E252" s="39">
        <f>SUM(E249:E251)</f>
        <v>0</v>
      </c>
      <c r="F252" s="5"/>
      <c r="G252" s="6"/>
      <c r="H252" s="7"/>
      <c r="I252" s="3"/>
      <c r="J252" s="3"/>
      <c r="K252" s="3"/>
    </row>
    <row r="253" spans="1:11" ht="16">
      <c r="A253" s="8">
        <v>46</v>
      </c>
      <c r="B253" s="8" t="s">
        <v>117</v>
      </c>
      <c r="C253" s="9">
        <v>43630</v>
      </c>
      <c r="D253" s="8" t="s">
        <v>11</v>
      </c>
      <c r="E253" s="30">
        <v>180</v>
      </c>
      <c r="F253" s="10">
        <v>1462.53</v>
      </c>
      <c r="G253" s="10">
        <f>E253*F253</f>
        <v>263255.40000000002</v>
      </c>
      <c r="H253" s="11" t="s">
        <v>12</v>
      </c>
      <c r="I253" s="8" t="s">
        <v>13</v>
      </c>
      <c r="J253" s="8"/>
      <c r="K253" s="8"/>
    </row>
    <row r="254" spans="1:11" ht="15">
      <c r="A254" s="3"/>
      <c r="B254" s="3"/>
      <c r="C254" s="4">
        <v>43873</v>
      </c>
      <c r="D254" s="3" t="s">
        <v>15</v>
      </c>
      <c r="E254" s="31">
        <v>-90</v>
      </c>
      <c r="F254" s="5">
        <v>2264.2399999999998</v>
      </c>
      <c r="G254" s="6">
        <f>E254*F254</f>
        <v>-203781.59999999998</v>
      </c>
      <c r="H254" s="7" t="s">
        <v>118</v>
      </c>
      <c r="I254" s="3"/>
      <c r="J254" s="3"/>
      <c r="K254" s="3"/>
    </row>
    <row r="255" spans="1:11" ht="15">
      <c r="A255" s="3"/>
      <c r="B255" s="3"/>
      <c r="C255" s="4">
        <v>43910</v>
      </c>
      <c r="D255" s="3" t="s">
        <v>15</v>
      </c>
      <c r="E255" s="31">
        <v>-90</v>
      </c>
      <c r="F255" s="5">
        <v>1818.35</v>
      </c>
      <c r="G255" s="6">
        <f>E255*F255</f>
        <v>-163651.5</v>
      </c>
      <c r="H255" s="7" t="s">
        <v>119</v>
      </c>
      <c r="I255" s="3"/>
      <c r="J255" s="3"/>
      <c r="K255" s="3"/>
    </row>
    <row r="256" spans="1:11" ht="15">
      <c r="A256" s="3"/>
      <c r="B256" s="3"/>
      <c r="C256" s="4"/>
      <c r="D256" s="3"/>
      <c r="E256" s="39">
        <f>SUM(E253:E255)</f>
        <v>0</v>
      </c>
      <c r="F256" s="5"/>
      <c r="G256" s="6"/>
      <c r="H256" s="7"/>
      <c r="I256" s="3"/>
      <c r="J256" s="3"/>
      <c r="K256" s="3"/>
    </row>
    <row r="257" spans="1:11" ht="15">
      <c r="A257" s="3">
        <v>47</v>
      </c>
      <c r="B257" s="3" t="s">
        <v>120</v>
      </c>
      <c r="C257" s="4">
        <v>43641</v>
      </c>
      <c r="D257" s="3" t="s">
        <v>11</v>
      </c>
      <c r="E257" s="31">
        <v>480</v>
      </c>
      <c r="F257" s="5">
        <v>394.25</v>
      </c>
      <c r="G257" s="6">
        <f t="shared" ref="G257:G266" si="10">E257*F257</f>
        <v>189240</v>
      </c>
      <c r="H257" s="7" t="s">
        <v>12</v>
      </c>
      <c r="I257" s="3" t="s">
        <v>13</v>
      </c>
      <c r="J257" s="3"/>
      <c r="K257" s="3"/>
    </row>
    <row r="258" spans="1:11" ht="15">
      <c r="A258" s="3"/>
      <c r="B258" s="3"/>
      <c r="C258" s="4">
        <v>43662</v>
      </c>
      <c r="D258" s="3" t="s">
        <v>11</v>
      </c>
      <c r="E258" s="31">
        <v>154</v>
      </c>
      <c r="F258" s="5">
        <v>407.3</v>
      </c>
      <c r="G258" s="6">
        <f t="shared" si="10"/>
        <v>62724.200000000004</v>
      </c>
      <c r="H258" s="7" t="s">
        <v>12</v>
      </c>
      <c r="I258" s="3"/>
      <c r="J258" s="3"/>
      <c r="K258" s="3"/>
    </row>
    <row r="259" spans="1:11" ht="15">
      <c r="A259" s="3"/>
      <c r="B259" s="3"/>
      <c r="C259" s="4">
        <v>43787</v>
      </c>
      <c r="D259" s="3" t="s">
        <v>11</v>
      </c>
      <c r="E259" s="31">
        <v>159</v>
      </c>
      <c r="F259" s="5">
        <v>450</v>
      </c>
      <c r="G259" s="6">
        <f t="shared" si="10"/>
        <v>71550</v>
      </c>
      <c r="H259" s="7" t="s">
        <v>12</v>
      </c>
      <c r="I259" s="3"/>
      <c r="J259" s="3"/>
      <c r="K259" s="3"/>
    </row>
    <row r="260" spans="1:11" ht="15">
      <c r="A260" s="3"/>
      <c r="B260" s="3"/>
      <c r="C260" s="4">
        <v>44130</v>
      </c>
      <c r="D260" s="3" t="s">
        <v>11</v>
      </c>
      <c r="E260" s="31">
        <v>192</v>
      </c>
      <c r="F260" s="5">
        <v>624.15</v>
      </c>
      <c r="G260" s="6">
        <f t="shared" si="10"/>
        <v>119836.79999999999</v>
      </c>
      <c r="H260" s="7" t="s">
        <v>121</v>
      </c>
      <c r="I260" s="3"/>
      <c r="J260" s="3"/>
      <c r="K260" s="3"/>
    </row>
    <row r="261" spans="1:11" ht="15">
      <c r="A261" s="3"/>
      <c r="B261" s="3"/>
      <c r="C261" s="4">
        <v>45062</v>
      </c>
      <c r="D261" s="3" t="s">
        <v>15</v>
      </c>
      <c r="E261" s="31">
        <v>-246</v>
      </c>
      <c r="F261" s="5">
        <v>2708</v>
      </c>
      <c r="G261" s="6">
        <f t="shared" si="10"/>
        <v>-666168</v>
      </c>
      <c r="H261" s="7" t="s">
        <v>122</v>
      </c>
      <c r="I261" s="3"/>
      <c r="J261" s="3"/>
      <c r="K261" s="3"/>
    </row>
    <row r="262" spans="1:11" ht="15">
      <c r="A262" s="3"/>
      <c r="B262" s="3"/>
      <c r="C262" s="4">
        <v>45239</v>
      </c>
      <c r="D262" s="3" t="s">
        <v>15</v>
      </c>
      <c r="E262" s="31">
        <v>-74</v>
      </c>
      <c r="F262" s="5">
        <v>3247.12</v>
      </c>
      <c r="G262" s="6">
        <f t="shared" si="10"/>
        <v>-240286.88</v>
      </c>
      <c r="H262" s="7" t="s">
        <v>123</v>
      </c>
      <c r="I262" s="3"/>
      <c r="J262" s="3"/>
      <c r="K262" s="3"/>
    </row>
    <row r="263" spans="1:11" ht="15">
      <c r="A263" s="3"/>
      <c r="B263" s="3"/>
      <c r="C263" s="4">
        <v>45253</v>
      </c>
      <c r="D263" s="3" t="s">
        <v>15</v>
      </c>
      <c r="E263" s="31">
        <v>-85</v>
      </c>
      <c r="F263" s="5">
        <v>3470.7</v>
      </c>
      <c r="G263" s="6">
        <f t="shared" si="10"/>
        <v>-295009.5</v>
      </c>
      <c r="H263" s="7" t="s">
        <v>124</v>
      </c>
      <c r="I263" s="3"/>
      <c r="J263" s="3"/>
      <c r="K263" s="3"/>
    </row>
    <row r="264" spans="1:11" ht="16">
      <c r="A264" s="8"/>
      <c r="B264" s="8"/>
      <c r="C264" s="9">
        <v>45301</v>
      </c>
      <c r="D264" s="8" t="s">
        <v>15</v>
      </c>
      <c r="E264" s="30">
        <v>-96</v>
      </c>
      <c r="F264" s="10">
        <v>3918.34</v>
      </c>
      <c r="G264" s="10">
        <f t="shared" si="10"/>
        <v>-376160.64</v>
      </c>
      <c r="H264" s="11" t="s">
        <v>125</v>
      </c>
      <c r="I264" s="8"/>
      <c r="J264" s="8"/>
      <c r="K264" s="8"/>
    </row>
    <row r="265" spans="1:11" ht="15">
      <c r="A265" s="3"/>
      <c r="B265" s="3"/>
      <c r="C265" s="4">
        <v>45670</v>
      </c>
      <c r="D265" s="3" t="s">
        <v>15</v>
      </c>
      <c r="E265" s="31">
        <v>-131</v>
      </c>
      <c r="F265" s="5">
        <v>3239.03</v>
      </c>
      <c r="G265" s="6">
        <f t="shared" si="10"/>
        <v>-424312.93000000005</v>
      </c>
      <c r="H265" s="7" t="s">
        <v>126</v>
      </c>
      <c r="I265" s="3"/>
      <c r="J265" s="3"/>
      <c r="K265" s="3"/>
    </row>
    <row r="266" spans="1:11" ht="15">
      <c r="A266" s="3"/>
      <c r="B266" s="3"/>
      <c r="C266" s="4">
        <v>45776</v>
      </c>
      <c r="D266" s="3" t="s">
        <v>15</v>
      </c>
      <c r="E266" s="31">
        <v>-353</v>
      </c>
      <c r="F266" s="5">
        <v>2780.36</v>
      </c>
      <c r="G266" s="6">
        <f t="shared" si="10"/>
        <v>-981467.08000000007</v>
      </c>
      <c r="H266" s="7" t="s">
        <v>127</v>
      </c>
      <c r="I266" s="3"/>
      <c r="J266" s="3"/>
      <c r="K266" s="3"/>
    </row>
    <row r="267" spans="1:11" ht="15">
      <c r="A267" s="3"/>
      <c r="B267" s="3"/>
      <c r="C267" s="4"/>
      <c r="D267" s="3"/>
      <c r="E267" s="39">
        <f>SUM(E257:E266)</f>
        <v>0</v>
      </c>
      <c r="F267" s="5"/>
      <c r="G267" s="6"/>
      <c r="H267" s="7"/>
      <c r="I267" s="3"/>
      <c r="J267" s="3"/>
      <c r="K267" s="3"/>
    </row>
    <row r="268" spans="1:11" ht="15">
      <c r="A268" s="3">
        <v>48</v>
      </c>
      <c r="B268" s="3" t="s">
        <v>128</v>
      </c>
      <c r="C268" s="4">
        <v>43787</v>
      </c>
      <c r="D268" s="3" t="s">
        <v>11</v>
      </c>
      <c r="E268" s="31">
        <v>1000</v>
      </c>
      <c r="F268" s="5">
        <v>65</v>
      </c>
      <c r="G268" s="6">
        <f t="shared" ref="G268:G282" si="11">E268*F268</f>
        <v>65000</v>
      </c>
      <c r="H268" s="7" t="s">
        <v>12</v>
      </c>
      <c r="I268" s="3" t="s">
        <v>13</v>
      </c>
      <c r="J268" s="3"/>
      <c r="K268" s="3"/>
    </row>
    <row r="269" spans="1:11" ht="15">
      <c r="A269" s="3"/>
      <c r="B269" s="3"/>
      <c r="C269" s="4">
        <v>43803</v>
      </c>
      <c r="D269" s="3" t="s">
        <v>11</v>
      </c>
      <c r="E269" s="31">
        <v>1150</v>
      </c>
      <c r="F269" s="5">
        <v>65.150000000000006</v>
      </c>
      <c r="G269" s="6">
        <f t="shared" si="11"/>
        <v>74922.5</v>
      </c>
      <c r="H269" s="7" t="s">
        <v>12</v>
      </c>
      <c r="I269" s="3"/>
      <c r="J269" s="3"/>
      <c r="K269" s="3"/>
    </row>
    <row r="270" spans="1:11" ht="15">
      <c r="A270" s="3"/>
      <c r="B270" s="3"/>
      <c r="C270" s="4">
        <v>43826</v>
      </c>
      <c r="D270" s="3" t="s">
        <v>11</v>
      </c>
      <c r="E270" s="31">
        <v>450</v>
      </c>
      <c r="F270" s="5">
        <v>67.8</v>
      </c>
      <c r="G270" s="6">
        <f t="shared" si="11"/>
        <v>30510</v>
      </c>
      <c r="H270" s="7" t="s">
        <v>12</v>
      </c>
      <c r="I270" s="3"/>
      <c r="J270" s="3"/>
      <c r="K270" s="3"/>
    </row>
    <row r="271" spans="1:11" ht="15">
      <c r="A271" s="3"/>
      <c r="B271" s="3"/>
      <c r="C271" s="4">
        <v>43832</v>
      </c>
      <c r="D271" s="3" t="s">
        <v>11</v>
      </c>
      <c r="E271" s="31">
        <v>500</v>
      </c>
      <c r="F271" s="5">
        <v>70.099999999999994</v>
      </c>
      <c r="G271" s="6">
        <f t="shared" si="11"/>
        <v>35050</v>
      </c>
      <c r="H271" s="7" t="s">
        <v>129</v>
      </c>
      <c r="I271" s="3"/>
      <c r="J271" s="3"/>
      <c r="K271" s="3"/>
    </row>
    <row r="272" spans="1:11" ht="15">
      <c r="A272" s="3"/>
      <c r="B272" s="3"/>
      <c r="C272" s="4">
        <v>43867</v>
      </c>
      <c r="D272" s="3" t="s">
        <v>11</v>
      </c>
      <c r="E272" s="31">
        <v>1000</v>
      </c>
      <c r="F272" s="5">
        <v>80.7</v>
      </c>
      <c r="G272" s="6">
        <f t="shared" si="11"/>
        <v>80700</v>
      </c>
      <c r="H272" s="7" t="s">
        <v>130</v>
      </c>
      <c r="I272" s="3"/>
      <c r="J272" s="3"/>
      <c r="K272" s="3"/>
    </row>
    <row r="273" spans="1:11" ht="15">
      <c r="A273" s="3"/>
      <c r="B273" s="3"/>
      <c r="C273" s="4">
        <v>43873</v>
      </c>
      <c r="D273" s="3" t="s">
        <v>11</v>
      </c>
      <c r="E273" s="31">
        <v>900</v>
      </c>
      <c r="F273" s="5">
        <v>77.78</v>
      </c>
      <c r="G273" s="6">
        <f t="shared" si="11"/>
        <v>70002</v>
      </c>
      <c r="H273" s="7" t="s">
        <v>131</v>
      </c>
      <c r="I273" s="3"/>
      <c r="J273" s="3"/>
      <c r="K273" s="3"/>
    </row>
    <row r="274" spans="1:11" ht="15">
      <c r="A274" s="3"/>
      <c r="B274" s="3"/>
      <c r="C274" s="4">
        <v>43910</v>
      </c>
      <c r="D274" s="3" t="s">
        <v>11</v>
      </c>
      <c r="E274" s="31">
        <v>900</v>
      </c>
      <c r="F274" s="5">
        <v>38.28</v>
      </c>
      <c r="G274" s="6">
        <f t="shared" si="11"/>
        <v>34452</v>
      </c>
      <c r="H274" s="7" t="s">
        <v>132</v>
      </c>
      <c r="I274" s="3"/>
      <c r="J274" s="3"/>
      <c r="K274" s="3"/>
    </row>
    <row r="275" spans="1:11" ht="15">
      <c r="A275" s="3"/>
      <c r="B275" s="3"/>
      <c r="C275" s="4">
        <v>44008</v>
      </c>
      <c r="D275" s="3" t="s">
        <v>11</v>
      </c>
      <c r="E275" s="31">
        <v>500</v>
      </c>
      <c r="F275" s="5">
        <v>70.45</v>
      </c>
      <c r="G275" s="6">
        <f t="shared" si="11"/>
        <v>35225</v>
      </c>
      <c r="H275" s="7" t="s">
        <v>133</v>
      </c>
      <c r="I275" s="3"/>
      <c r="J275" s="3"/>
      <c r="K275" s="3"/>
    </row>
    <row r="276" spans="1:11" ht="15">
      <c r="A276" s="3"/>
      <c r="B276" s="3"/>
      <c r="C276" s="4">
        <v>44077</v>
      </c>
      <c r="D276" s="3" t="s">
        <v>11</v>
      </c>
      <c r="E276" s="31">
        <v>160</v>
      </c>
      <c r="F276" s="5">
        <v>201</v>
      </c>
      <c r="G276" s="6">
        <f t="shared" si="11"/>
        <v>32160</v>
      </c>
      <c r="H276" s="7" t="s">
        <v>134</v>
      </c>
      <c r="I276" s="3"/>
      <c r="J276" s="3"/>
      <c r="K276" s="3"/>
    </row>
    <row r="277" spans="1:11" ht="15">
      <c r="A277" s="3"/>
      <c r="B277" s="3"/>
      <c r="C277" s="4">
        <v>44174</v>
      </c>
      <c r="D277" s="3" t="s">
        <v>15</v>
      </c>
      <c r="E277" s="31">
        <v>-656</v>
      </c>
      <c r="F277" s="5">
        <v>854.5</v>
      </c>
      <c r="G277" s="6">
        <f t="shared" si="11"/>
        <v>-560552</v>
      </c>
      <c r="H277" s="7" t="s">
        <v>135</v>
      </c>
      <c r="I277" s="3"/>
      <c r="J277" s="3"/>
      <c r="K277" s="3"/>
    </row>
    <row r="278" spans="1:11" ht="15">
      <c r="A278" s="3"/>
      <c r="B278" s="3"/>
      <c r="C278" s="4">
        <v>44273</v>
      </c>
      <c r="D278" s="3" t="s">
        <v>15</v>
      </c>
      <c r="E278" s="31">
        <v>-590</v>
      </c>
      <c r="F278" s="5">
        <v>895</v>
      </c>
      <c r="G278" s="6">
        <f t="shared" si="11"/>
        <v>-528050</v>
      </c>
      <c r="H278" s="7" t="s">
        <v>136</v>
      </c>
      <c r="I278" s="3"/>
      <c r="J278" s="3"/>
      <c r="K278" s="3"/>
    </row>
    <row r="279" spans="1:11" ht="15">
      <c r="A279" s="3"/>
      <c r="B279" s="3"/>
      <c r="C279" s="4">
        <v>44523</v>
      </c>
      <c r="D279" s="3" t="s">
        <v>15</v>
      </c>
      <c r="E279" s="31">
        <v>-797</v>
      </c>
      <c r="F279" s="5">
        <v>1597.2</v>
      </c>
      <c r="G279" s="6">
        <f t="shared" si="11"/>
        <v>-1272968.4000000001</v>
      </c>
      <c r="H279" s="7" t="s">
        <v>137</v>
      </c>
      <c r="I279" s="3"/>
      <c r="J279" s="3"/>
      <c r="K279" s="3"/>
    </row>
    <row r="280" spans="1:11" ht="32">
      <c r="A280" s="8"/>
      <c r="B280" s="8"/>
      <c r="C280" s="9">
        <v>44545</v>
      </c>
      <c r="D280" s="8" t="s">
        <v>15</v>
      </c>
      <c r="E280" s="30">
        <v>-452</v>
      </c>
      <c r="F280" s="10">
        <v>2002.95</v>
      </c>
      <c r="G280" s="10">
        <f t="shared" si="11"/>
        <v>-905333.4</v>
      </c>
      <c r="H280" s="11" t="s">
        <v>138</v>
      </c>
      <c r="I280" s="8"/>
      <c r="J280" s="8"/>
      <c r="K280" s="8"/>
    </row>
    <row r="281" spans="1:11" ht="15">
      <c r="A281" s="3"/>
      <c r="B281" s="3"/>
      <c r="C281" s="4">
        <v>44578</v>
      </c>
      <c r="D281" s="3" t="s">
        <v>15</v>
      </c>
      <c r="E281" s="31">
        <v>-252</v>
      </c>
      <c r="F281" s="5">
        <v>1806</v>
      </c>
      <c r="G281" s="6">
        <f t="shared" si="11"/>
        <v>-455112</v>
      </c>
      <c r="H281" s="7" t="s">
        <v>139</v>
      </c>
      <c r="I281" s="3"/>
      <c r="J281" s="3"/>
      <c r="K281" s="3"/>
    </row>
    <row r="282" spans="1:11" ht="30">
      <c r="A282" s="3"/>
      <c r="B282" s="3"/>
      <c r="C282" s="4">
        <v>44767</v>
      </c>
      <c r="D282" s="3" t="s">
        <v>15</v>
      </c>
      <c r="E282" s="31">
        <v>-3813</v>
      </c>
      <c r="F282" s="5">
        <v>657.75</v>
      </c>
      <c r="G282" s="6">
        <f t="shared" si="11"/>
        <v>-2508000.75</v>
      </c>
      <c r="H282" s="7" t="s">
        <v>140</v>
      </c>
      <c r="I282" s="3"/>
      <c r="J282" s="3"/>
      <c r="K282" s="3"/>
    </row>
    <row r="283" spans="1:11" ht="15">
      <c r="A283" s="3"/>
      <c r="B283" s="3"/>
      <c r="C283" s="4"/>
      <c r="D283" s="3"/>
      <c r="E283" s="39">
        <f>SUM(E268:E282)</f>
        <v>0</v>
      </c>
      <c r="F283" s="5"/>
      <c r="G283" s="6"/>
      <c r="H283" s="7"/>
      <c r="I283" s="3"/>
      <c r="J283" s="3"/>
      <c r="K283" s="3"/>
    </row>
    <row r="284" spans="1:11" ht="15">
      <c r="A284" s="3">
        <v>49</v>
      </c>
      <c r="B284" s="3" t="s">
        <v>141</v>
      </c>
      <c r="C284" s="4">
        <v>43983</v>
      </c>
      <c r="D284" s="3" t="s">
        <v>11</v>
      </c>
      <c r="E284" s="31">
        <v>130</v>
      </c>
      <c r="F284" s="5">
        <v>975.62</v>
      </c>
      <c r="G284" s="6">
        <f t="shared" ref="G284:G289" si="12">E284*F284</f>
        <v>126830.6</v>
      </c>
      <c r="H284" s="7" t="s">
        <v>142</v>
      </c>
      <c r="I284" s="3"/>
      <c r="J284" s="3"/>
      <c r="K284" s="3"/>
    </row>
    <row r="285" spans="1:11" ht="15">
      <c r="A285" s="3"/>
      <c r="B285" s="3"/>
      <c r="C285" s="4">
        <v>43984</v>
      </c>
      <c r="D285" s="3" t="s">
        <v>11</v>
      </c>
      <c r="E285" s="31">
        <v>126</v>
      </c>
      <c r="F285" s="5">
        <v>1035</v>
      </c>
      <c r="G285" s="6">
        <f t="shared" si="12"/>
        <v>130410</v>
      </c>
      <c r="H285" s="7" t="s">
        <v>143</v>
      </c>
      <c r="I285" s="3"/>
      <c r="J285" s="3"/>
      <c r="K285" s="3"/>
    </row>
    <row r="286" spans="1:11" ht="15">
      <c r="A286" s="3"/>
      <c r="B286" s="3"/>
      <c r="C286" s="4">
        <v>44008</v>
      </c>
      <c r="D286" s="3" t="s">
        <v>11</v>
      </c>
      <c r="E286" s="31">
        <v>33</v>
      </c>
      <c r="F286" s="5">
        <v>1190</v>
      </c>
      <c r="G286" s="6">
        <f t="shared" si="12"/>
        <v>39270</v>
      </c>
      <c r="H286" s="7" t="s">
        <v>144</v>
      </c>
      <c r="I286" s="3"/>
      <c r="J286" s="3"/>
      <c r="K286" s="3"/>
    </row>
    <row r="287" spans="1:11" ht="16">
      <c r="A287" s="8"/>
      <c r="B287" s="8"/>
      <c r="C287" s="9">
        <v>44050</v>
      </c>
      <c r="D287" s="8" t="s">
        <v>11</v>
      </c>
      <c r="E287" s="30">
        <v>57</v>
      </c>
      <c r="F287" s="10">
        <v>1474.5</v>
      </c>
      <c r="G287" s="10">
        <f t="shared" si="12"/>
        <v>84046.5</v>
      </c>
      <c r="H287" s="11" t="s">
        <v>145</v>
      </c>
      <c r="I287" s="8"/>
      <c r="J287" s="8"/>
      <c r="K287" s="8"/>
    </row>
    <row r="288" spans="1:11" ht="15">
      <c r="A288" s="3"/>
      <c r="B288" s="3"/>
      <c r="C288" s="4">
        <v>44174</v>
      </c>
      <c r="D288" s="3" t="s">
        <v>11</v>
      </c>
      <c r="E288" s="31">
        <v>173</v>
      </c>
      <c r="F288" s="5">
        <v>2071</v>
      </c>
      <c r="G288" s="6">
        <f t="shared" si="12"/>
        <v>358283</v>
      </c>
      <c r="H288" s="7" t="s">
        <v>146</v>
      </c>
      <c r="I288" s="3"/>
      <c r="J288" s="3"/>
      <c r="K288" s="3"/>
    </row>
    <row r="289" spans="1:11" ht="15">
      <c r="A289" s="3"/>
      <c r="B289" s="3"/>
      <c r="C289" s="4">
        <v>44690</v>
      </c>
      <c r="D289" s="3" t="s">
        <v>11</v>
      </c>
      <c r="E289" s="31">
        <v>130</v>
      </c>
      <c r="F289" s="5">
        <v>3831</v>
      </c>
      <c r="G289" s="6">
        <f t="shared" si="12"/>
        <v>498030</v>
      </c>
      <c r="H289" s="7" t="s">
        <v>147</v>
      </c>
      <c r="I289" s="3"/>
      <c r="J289" s="3"/>
      <c r="K289" s="3"/>
    </row>
    <row r="290" spans="1:11" ht="15">
      <c r="A290" s="3"/>
      <c r="B290" s="3"/>
      <c r="C290" s="4"/>
      <c r="D290" s="3"/>
      <c r="E290" s="39">
        <f>SUM(E284:E289)</f>
        <v>649</v>
      </c>
      <c r="F290" s="5"/>
      <c r="G290" s="6"/>
      <c r="H290" s="7"/>
      <c r="I290" s="3"/>
      <c r="J290" s="3"/>
      <c r="K290" s="3"/>
    </row>
    <row r="291" spans="1:11" ht="15">
      <c r="A291" s="3">
        <v>50</v>
      </c>
      <c r="B291" s="3" t="s">
        <v>148</v>
      </c>
      <c r="C291" s="4">
        <v>43983</v>
      </c>
      <c r="D291" s="3" t="s">
        <v>11</v>
      </c>
      <c r="E291" s="31">
        <v>170</v>
      </c>
      <c r="F291" s="5">
        <v>385.3</v>
      </c>
      <c r="G291" s="6">
        <f t="shared" ref="G291:G296" si="13">E291*F291</f>
        <v>65501</v>
      </c>
      <c r="H291" s="7" t="s">
        <v>149</v>
      </c>
      <c r="I291" s="3"/>
      <c r="J291" s="3"/>
      <c r="K291" s="3"/>
    </row>
    <row r="292" spans="1:11" ht="15">
      <c r="A292" s="3"/>
      <c r="B292" s="3"/>
      <c r="C292" s="4">
        <v>43990</v>
      </c>
      <c r="D292" s="3" t="s">
        <v>11</v>
      </c>
      <c r="E292" s="31">
        <v>299</v>
      </c>
      <c r="F292" s="5">
        <v>407.15</v>
      </c>
      <c r="G292" s="6">
        <f t="shared" si="13"/>
        <v>121737.84999999999</v>
      </c>
      <c r="H292" s="7" t="s">
        <v>150</v>
      </c>
      <c r="I292" s="3"/>
      <c r="J292" s="3"/>
      <c r="K292" s="3"/>
    </row>
    <row r="293" spans="1:11" ht="15">
      <c r="A293" s="3"/>
      <c r="B293" s="3"/>
      <c r="C293" s="4">
        <v>44075</v>
      </c>
      <c r="D293" s="3" t="s">
        <v>11</v>
      </c>
      <c r="E293" s="31">
        <v>235</v>
      </c>
      <c r="F293" s="5">
        <v>785.27</v>
      </c>
      <c r="G293" s="6">
        <f t="shared" si="13"/>
        <v>184538.44999999998</v>
      </c>
      <c r="H293" s="7" t="s">
        <v>151</v>
      </c>
      <c r="I293" s="3"/>
      <c r="J293" s="3"/>
      <c r="K293" s="3"/>
    </row>
    <row r="294" spans="1:11" ht="16">
      <c r="A294" s="8"/>
      <c r="B294" s="8"/>
      <c r="C294" s="9">
        <v>44174</v>
      </c>
      <c r="D294" s="8" t="s">
        <v>11</v>
      </c>
      <c r="E294" s="30">
        <v>280</v>
      </c>
      <c r="F294" s="10">
        <v>722.4</v>
      </c>
      <c r="G294" s="10">
        <f t="shared" si="13"/>
        <v>202272</v>
      </c>
      <c r="H294" s="11" t="s">
        <v>152</v>
      </c>
      <c r="I294" s="8"/>
      <c r="J294" s="8"/>
      <c r="K294" s="8"/>
    </row>
    <row r="295" spans="1:11" ht="15">
      <c r="A295" s="3"/>
      <c r="B295" s="3"/>
      <c r="C295" s="4">
        <v>44376</v>
      </c>
      <c r="D295" s="3" t="s">
        <v>15</v>
      </c>
      <c r="E295" s="31">
        <v>-656</v>
      </c>
      <c r="F295" s="5">
        <v>638.6</v>
      </c>
      <c r="G295" s="6">
        <f t="shared" si="13"/>
        <v>-418921.60000000003</v>
      </c>
      <c r="H295" s="7" t="s">
        <v>153</v>
      </c>
      <c r="I295" s="3"/>
      <c r="J295" s="3"/>
      <c r="K295" s="3"/>
    </row>
    <row r="296" spans="1:11" ht="15">
      <c r="A296" s="3"/>
      <c r="B296" s="3"/>
      <c r="C296" s="4">
        <v>44461</v>
      </c>
      <c r="D296" s="3" t="s">
        <v>15</v>
      </c>
      <c r="E296" s="31">
        <v>-328</v>
      </c>
      <c r="F296" s="5">
        <v>568.54</v>
      </c>
      <c r="G296" s="6">
        <f t="shared" si="13"/>
        <v>-186481.12</v>
      </c>
      <c r="H296" s="7" t="s">
        <v>154</v>
      </c>
      <c r="I296" s="3"/>
      <c r="J296" s="3"/>
      <c r="K296" s="3"/>
    </row>
    <row r="297" spans="1:11" ht="15">
      <c r="A297" s="8"/>
      <c r="B297" s="8"/>
      <c r="C297" s="9"/>
      <c r="D297" s="8"/>
      <c r="E297" s="40">
        <f>SUM(E291:E296)</f>
        <v>0</v>
      </c>
      <c r="F297" s="10"/>
      <c r="G297" s="10"/>
      <c r="H297" s="11"/>
      <c r="I297" s="8"/>
      <c r="J297" s="8"/>
      <c r="K297" s="8"/>
    </row>
    <row r="298" spans="1:11" ht="15">
      <c r="A298" s="3">
        <v>51</v>
      </c>
      <c r="B298" s="3" t="s">
        <v>155</v>
      </c>
      <c r="C298" s="4">
        <v>44048</v>
      </c>
      <c r="D298" s="3" t="s">
        <v>11</v>
      </c>
      <c r="E298" s="31">
        <v>38</v>
      </c>
      <c r="F298" s="5">
        <v>1872.8</v>
      </c>
      <c r="G298" s="6">
        <f>E298*F298</f>
        <v>71166.399999999994</v>
      </c>
      <c r="H298" s="7" t="s">
        <v>156</v>
      </c>
      <c r="I298" s="3"/>
      <c r="J298" s="3"/>
      <c r="K298" s="3"/>
    </row>
    <row r="299" spans="1:11" ht="15">
      <c r="A299" s="3"/>
      <c r="B299" s="3"/>
      <c r="C299" s="4">
        <v>44064</v>
      </c>
      <c r="D299" s="3" t="s">
        <v>15</v>
      </c>
      <c r="E299" s="31">
        <v>-38</v>
      </c>
      <c r="F299" s="5">
        <v>2958</v>
      </c>
      <c r="G299" s="6">
        <f>E299*F299</f>
        <v>-112404</v>
      </c>
      <c r="H299" s="7" t="s">
        <v>157</v>
      </c>
      <c r="I299" s="3"/>
      <c r="J299" s="3"/>
      <c r="K299" s="3"/>
    </row>
    <row r="300" spans="1:11" ht="15">
      <c r="A300" s="3"/>
      <c r="B300" s="3"/>
      <c r="C300" s="4"/>
      <c r="D300" s="3"/>
      <c r="E300" s="39">
        <f>SUM(E298:E299)</f>
        <v>0</v>
      </c>
      <c r="F300" s="5"/>
      <c r="G300" s="6"/>
      <c r="H300" s="7"/>
      <c r="I300" s="3"/>
      <c r="J300" s="3"/>
      <c r="K300" s="3"/>
    </row>
    <row r="301" spans="1:11" ht="15">
      <c r="A301" s="3">
        <v>52</v>
      </c>
      <c r="B301" s="3" t="s">
        <v>158</v>
      </c>
      <c r="C301" s="4">
        <v>44146</v>
      </c>
      <c r="D301" s="3" t="s">
        <v>11</v>
      </c>
      <c r="E301" s="31">
        <v>1727</v>
      </c>
      <c r="F301" s="5">
        <v>259.26</v>
      </c>
      <c r="G301" s="6">
        <f>E301*F301</f>
        <v>447742.01999999996</v>
      </c>
      <c r="H301" s="7" t="s">
        <v>159</v>
      </c>
      <c r="I301" s="3"/>
      <c r="J301" s="3"/>
      <c r="K301" s="3"/>
    </row>
    <row r="302" spans="1:11" ht="32">
      <c r="A302" s="8"/>
      <c r="B302" s="8"/>
      <c r="C302" s="9">
        <v>44789</v>
      </c>
      <c r="D302" s="8" t="s">
        <v>15</v>
      </c>
      <c r="E302" s="30">
        <v>-863</v>
      </c>
      <c r="F302" s="10">
        <v>587.85</v>
      </c>
      <c r="G302" s="10">
        <f>E302*F302</f>
        <v>-507314.55000000005</v>
      </c>
      <c r="H302" s="11" t="s">
        <v>160</v>
      </c>
      <c r="I302" s="8"/>
      <c r="J302" s="8"/>
      <c r="K302" s="8"/>
    </row>
    <row r="303" spans="1:11" ht="15">
      <c r="A303" s="3"/>
      <c r="B303" s="3"/>
      <c r="C303" s="4">
        <v>44922</v>
      </c>
      <c r="D303" s="3" t="s">
        <v>15</v>
      </c>
      <c r="E303" s="31">
        <v>-216</v>
      </c>
      <c r="F303" s="5">
        <v>578.02</v>
      </c>
      <c r="G303" s="6">
        <f>E303*F303</f>
        <v>-124852.31999999999</v>
      </c>
      <c r="H303" s="7" t="s">
        <v>161</v>
      </c>
      <c r="I303" s="3"/>
      <c r="J303" s="3"/>
      <c r="K303" s="3"/>
    </row>
    <row r="304" spans="1:11" ht="15">
      <c r="A304" s="3"/>
      <c r="B304" s="3"/>
      <c r="C304" s="4">
        <v>44965</v>
      </c>
      <c r="D304" s="3" t="s">
        <v>15</v>
      </c>
      <c r="E304" s="31">
        <v>-648</v>
      </c>
      <c r="F304" s="5">
        <v>580.82000000000005</v>
      </c>
      <c r="G304" s="6">
        <f>E304*F304</f>
        <v>-376371.36000000004</v>
      </c>
      <c r="H304" s="7" t="s">
        <v>162</v>
      </c>
      <c r="I304" s="3"/>
      <c r="J304" s="3"/>
      <c r="K304" s="3"/>
    </row>
    <row r="305" spans="1:11" ht="15">
      <c r="A305" s="3"/>
      <c r="B305" s="3"/>
      <c r="C305" s="4"/>
      <c r="D305" s="3"/>
      <c r="E305" s="39">
        <f>SUM(E301:E304)</f>
        <v>0</v>
      </c>
      <c r="F305" s="5"/>
      <c r="G305" s="6"/>
      <c r="H305" s="7"/>
      <c r="I305" s="3"/>
      <c r="J305" s="3"/>
      <c r="K305" s="3"/>
    </row>
    <row r="306" spans="1:11" ht="15">
      <c r="A306" s="3">
        <v>53</v>
      </c>
      <c r="B306" s="3" t="s">
        <v>163</v>
      </c>
      <c r="C306" s="4">
        <v>44237</v>
      </c>
      <c r="D306" s="3" t="s">
        <v>11</v>
      </c>
      <c r="E306" s="31">
        <v>3075</v>
      </c>
      <c r="F306" s="5">
        <v>232.95</v>
      </c>
      <c r="G306" s="6">
        <f t="shared" ref="G306:G318" si="14">E306*F306</f>
        <v>716321.25</v>
      </c>
      <c r="H306" s="7" t="s">
        <v>164</v>
      </c>
      <c r="I306" s="3"/>
      <c r="J306" s="3"/>
      <c r="K306" s="3"/>
    </row>
    <row r="307" spans="1:11" ht="15">
      <c r="A307" s="3"/>
      <c r="B307" s="3"/>
      <c r="C307" s="4">
        <v>44362</v>
      </c>
      <c r="D307" s="3" t="s">
        <v>11</v>
      </c>
      <c r="E307" s="31">
        <v>1537</v>
      </c>
      <c r="F307" s="5">
        <v>275.62</v>
      </c>
      <c r="G307" s="6">
        <f t="shared" si="14"/>
        <v>423627.94</v>
      </c>
      <c r="H307" s="7" t="s">
        <v>165</v>
      </c>
      <c r="I307" s="3"/>
      <c r="J307" s="3"/>
      <c r="K307" s="3"/>
    </row>
    <row r="308" spans="1:11" ht="15">
      <c r="A308" s="3"/>
      <c r="B308" s="3"/>
      <c r="C308" s="4">
        <v>44418</v>
      </c>
      <c r="D308" s="3" t="s">
        <v>11</v>
      </c>
      <c r="E308" s="31">
        <v>1153</v>
      </c>
      <c r="F308" s="5">
        <v>305.91000000000003</v>
      </c>
      <c r="G308" s="6">
        <f t="shared" si="14"/>
        <v>352714.23000000004</v>
      </c>
      <c r="H308" s="7" t="s">
        <v>166</v>
      </c>
      <c r="I308" s="3"/>
      <c r="J308" s="3"/>
      <c r="K308" s="3"/>
    </row>
    <row r="309" spans="1:11" ht="15">
      <c r="A309" s="3"/>
      <c r="B309" s="3"/>
      <c r="C309" s="4">
        <v>45026</v>
      </c>
      <c r="D309" s="3" t="s">
        <v>15</v>
      </c>
      <c r="E309" s="31">
        <v>-53</v>
      </c>
      <c r="F309" s="5">
        <v>698.83</v>
      </c>
      <c r="G309" s="6">
        <f t="shared" si="14"/>
        <v>-37037.990000000005</v>
      </c>
      <c r="H309" s="7" t="s">
        <v>167</v>
      </c>
      <c r="I309" s="3"/>
      <c r="J309" s="3"/>
      <c r="K309" s="3"/>
    </row>
    <row r="310" spans="1:11" ht="15">
      <c r="A310" s="3"/>
      <c r="B310" s="3"/>
      <c r="C310" s="4">
        <v>45068</v>
      </c>
      <c r="D310" s="3" t="s">
        <v>15</v>
      </c>
      <c r="E310" s="31">
        <v>-1428</v>
      </c>
      <c r="F310" s="5">
        <v>698.65</v>
      </c>
      <c r="G310" s="6">
        <f t="shared" si="14"/>
        <v>-997672.2</v>
      </c>
      <c r="H310" s="7" t="s">
        <v>168</v>
      </c>
      <c r="I310" s="3"/>
      <c r="J310" s="3"/>
      <c r="K310" s="3"/>
    </row>
    <row r="311" spans="1:11" ht="15">
      <c r="A311" s="3"/>
      <c r="B311" s="3"/>
      <c r="C311" s="4">
        <v>45155</v>
      </c>
      <c r="D311" s="3" t="s">
        <v>15</v>
      </c>
      <c r="E311" s="31">
        <v>-925</v>
      </c>
      <c r="F311" s="5">
        <v>684.08</v>
      </c>
      <c r="G311" s="6">
        <f t="shared" si="14"/>
        <v>-632774</v>
      </c>
      <c r="H311" s="7" t="s">
        <v>169</v>
      </c>
      <c r="I311" s="3"/>
      <c r="J311" s="3"/>
      <c r="K311" s="3"/>
    </row>
    <row r="312" spans="1:11" ht="15">
      <c r="A312" s="3"/>
      <c r="B312" s="3"/>
      <c r="C312" s="4">
        <v>45181</v>
      </c>
      <c r="D312" s="3" t="s">
        <v>15</v>
      </c>
      <c r="E312" s="31">
        <v>-484</v>
      </c>
      <c r="F312" s="5">
        <v>698.81</v>
      </c>
      <c r="G312" s="6">
        <f t="shared" si="14"/>
        <v>-338224.04</v>
      </c>
      <c r="H312" s="7" t="s">
        <v>170</v>
      </c>
      <c r="I312" s="3"/>
      <c r="J312" s="3"/>
      <c r="K312" s="3"/>
    </row>
    <row r="313" spans="1:11" ht="15">
      <c r="A313" s="3"/>
      <c r="B313" s="3"/>
      <c r="C313" s="4">
        <v>45239</v>
      </c>
      <c r="D313" s="3" t="s">
        <v>15</v>
      </c>
      <c r="E313" s="31">
        <v>-459</v>
      </c>
      <c r="F313" s="5">
        <v>660.25</v>
      </c>
      <c r="G313" s="6">
        <f t="shared" si="14"/>
        <v>-303054.75</v>
      </c>
      <c r="H313" s="7" t="s">
        <v>171</v>
      </c>
      <c r="I313" s="3"/>
      <c r="J313" s="3"/>
      <c r="K313" s="3"/>
    </row>
    <row r="314" spans="1:11" ht="15">
      <c r="A314" s="3"/>
      <c r="B314" s="3"/>
      <c r="C314" s="4">
        <v>45322</v>
      </c>
      <c r="D314" s="12" t="s">
        <v>15</v>
      </c>
      <c r="E314" s="32">
        <v>-467</v>
      </c>
      <c r="F314" s="13">
        <v>748.15</v>
      </c>
      <c r="G314" s="14">
        <f t="shared" si="14"/>
        <v>-349386.05</v>
      </c>
      <c r="H314" s="15" t="s">
        <v>172</v>
      </c>
      <c r="I314" s="3"/>
      <c r="J314" s="3"/>
      <c r="K314" s="3"/>
    </row>
    <row r="315" spans="1:11" ht="15">
      <c r="A315" s="3"/>
      <c r="B315" s="3"/>
      <c r="C315" s="4">
        <v>45334</v>
      </c>
      <c r="D315" s="3" t="s">
        <v>15</v>
      </c>
      <c r="E315" s="31">
        <v>-45</v>
      </c>
      <c r="F315" s="5">
        <v>643.63</v>
      </c>
      <c r="G315" s="6">
        <f t="shared" si="14"/>
        <v>-28963.35</v>
      </c>
      <c r="H315" s="7" t="s">
        <v>173</v>
      </c>
      <c r="I315" s="3"/>
      <c r="J315" s="3"/>
      <c r="K315" s="3"/>
    </row>
    <row r="316" spans="1:11" ht="32">
      <c r="A316" s="8"/>
      <c r="B316" s="8"/>
      <c r="C316" s="9">
        <v>45358</v>
      </c>
      <c r="D316" s="8" t="s">
        <v>11</v>
      </c>
      <c r="E316" s="30">
        <v>2345</v>
      </c>
      <c r="F316" s="10">
        <v>534.07000000000005</v>
      </c>
      <c r="G316" s="10">
        <f t="shared" si="14"/>
        <v>1252394.1500000001</v>
      </c>
      <c r="H316" s="11" t="s">
        <v>174</v>
      </c>
      <c r="I316" s="8"/>
      <c r="J316" s="8"/>
      <c r="K316" s="8"/>
    </row>
    <row r="317" spans="1:11" ht="15">
      <c r="A317" s="3"/>
      <c r="B317" s="3"/>
      <c r="C317" s="4">
        <v>45694</v>
      </c>
      <c r="D317" s="12" t="s">
        <v>11</v>
      </c>
      <c r="E317" s="32">
        <v>1175</v>
      </c>
      <c r="F317" s="13">
        <v>542.6</v>
      </c>
      <c r="G317" s="14">
        <f t="shared" si="14"/>
        <v>637555</v>
      </c>
      <c r="H317" s="15" t="s">
        <v>175</v>
      </c>
      <c r="I317" s="3"/>
      <c r="J317" s="3"/>
      <c r="K317" s="3"/>
    </row>
    <row r="318" spans="1:11" ht="15">
      <c r="A318" s="3"/>
      <c r="B318" s="3"/>
      <c r="C318" s="4">
        <v>45883</v>
      </c>
      <c r="D318" s="3" t="s">
        <v>176</v>
      </c>
      <c r="E318" s="31">
        <v>5424</v>
      </c>
      <c r="F318" s="5">
        <v>0</v>
      </c>
      <c r="G318" s="6">
        <f t="shared" si="14"/>
        <v>0</v>
      </c>
      <c r="H318" s="7" t="s">
        <v>177</v>
      </c>
      <c r="I318" s="3"/>
      <c r="J318" s="3"/>
      <c r="K318" s="3"/>
    </row>
    <row r="319" spans="1:11" ht="15">
      <c r="A319" s="3"/>
      <c r="B319" s="3"/>
      <c r="C319" s="4"/>
      <c r="D319" s="3"/>
      <c r="E319" s="39">
        <f>SUM(E306:E318)</f>
        <v>10848</v>
      </c>
      <c r="F319" s="5"/>
      <c r="G319" s="6"/>
      <c r="H319" s="7"/>
      <c r="I319" s="3"/>
      <c r="J319" s="3"/>
      <c r="K319" s="3"/>
    </row>
    <row r="320" spans="1:11" ht="15">
      <c r="A320" s="3">
        <v>54</v>
      </c>
      <c r="B320" s="3" t="s">
        <v>178</v>
      </c>
      <c r="C320" s="4">
        <v>44273</v>
      </c>
      <c r="D320" s="3" t="s">
        <v>11</v>
      </c>
      <c r="E320" s="31">
        <v>1098</v>
      </c>
      <c r="F320" s="5">
        <v>677.4</v>
      </c>
      <c r="G320" s="6">
        <f t="shared" ref="G320:G325" si="15">E320*F320</f>
        <v>743785.2</v>
      </c>
      <c r="H320" s="7" t="s">
        <v>179</v>
      </c>
      <c r="I320" s="3"/>
      <c r="J320" s="3"/>
      <c r="K320" s="3"/>
    </row>
    <row r="321" spans="1:11" ht="30">
      <c r="A321" s="3"/>
      <c r="B321" s="3"/>
      <c r="C321" s="4">
        <v>44495</v>
      </c>
      <c r="D321" s="3" t="s">
        <v>99</v>
      </c>
      <c r="E321" s="31">
        <v>3294</v>
      </c>
      <c r="F321" s="5">
        <v>0</v>
      </c>
      <c r="G321" s="6">
        <f t="shared" si="15"/>
        <v>0</v>
      </c>
      <c r="H321" s="7" t="s">
        <v>180</v>
      </c>
      <c r="I321" s="3"/>
      <c r="J321" s="3"/>
      <c r="K321" s="3"/>
    </row>
    <row r="322" spans="1:11" ht="15">
      <c r="A322" s="3"/>
      <c r="B322" s="3"/>
      <c r="C322" s="4">
        <v>45037</v>
      </c>
      <c r="D322" s="3" t="s">
        <v>15</v>
      </c>
      <c r="E322" s="31">
        <v>-147</v>
      </c>
      <c r="F322" s="5">
        <v>499.17</v>
      </c>
      <c r="G322" s="6">
        <f t="shared" si="15"/>
        <v>-73377.990000000005</v>
      </c>
      <c r="H322" s="7" t="s">
        <v>181</v>
      </c>
      <c r="I322" s="3"/>
      <c r="J322" s="3"/>
      <c r="K322" s="3"/>
    </row>
    <row r="323" spans="1:11" ht="32">
      <c r="A323" s="8"/>
      <c r="B323" s="8"/>
      <c r="C323" s="9">
        <v>45107</v>
      </c>
      <c r="D323" s="8" t="s">
        <v>15</v>
      </c>
      <c r="E323" s="30">
        <v>-849</v>
      </c>
      <c r="F323" s="10">
        <v>522.34</v>
      </c>
      <c r="G323" s="10">
        <f t="shared" si="15"/>
        <v>-443466.66000000003</v>
      </c>
      <c r="H323" s="11" t="s">
        <v>182</v>
      </c>
      <c r="I323" s="8"/>
      <c r="J323" s="8"/>
      <c r="K323" s="8"/>
    </row>
    <row r="324" spans="1:11" ht="15">
      <c r="A324" s="3"/>
      <c r="B324" s="3"/>
      <c r="C324" s="4">
        <v>45135</v>
      </c>
      <c r="D324" s="3" t="s">
        <v>15</v>
      </c>
      <c r="E324" s="31">
        <v>-1304</v>
      </c>
      <c r="F324" s="5">
        <v>545.95000000000005</v>
      </c>
      <c r="G324" s="6">
        <f t="shared" si="15"/>
        <v>-711918.8</v>
      </c>
      <c r="H324" s="7" t="s">
        <v>183</v>
      </c>
      <c r="I324" s="3"/>
      <c r="J324" s="3"/>
      <c r="K324" s="3"/>
    </row>
    <row r="325" spans="1:11" ht="15">
      <c r="A325" s="3"/>
      <c r="B325" s="3"/>
      <c r="C325" s="4">
        <v>45145</v>
      </c>
      <c r="D325" s="3" t="s">
        <v>15</v>
      </c>
      <c r="E325" s="31">
        <v>-2092</v>
      </c>
      <c r="F325" s="5">
        <v>561.88</v>
      </c>
      <c r="G325" s="6">
        <f t="shared" si="15"/>
        <v>-1175452.96</v>
      </c>
      <c r="H325" s="7" t="s">
        <v>184</v>
      </c>
      <c r="I325" s="3"/>
      <c r="J325" s="3"/>
      <c r="K325" s="3"/>
    </row>
    <row r="326" spans="1:11" ht="15">
      <c r="A326" s="3"/>
      <c r="B326" s="3"/>
      <c r="C326" s="4"/>
      <c r="D326" s="3"/>
      <c r="E326" s="39">
        <f>SUM(E320:E325)</f>
        <v>0</v>
      </c>
      <c r="F326" s="5"/>
      <c r="G326" s="6"/>
      <c r="H326" s="7"/>
      <c r="I326" s="3"/>
      <c r="J326" s="3"/>
      <c r="K326" s="3"/>
    </row>
    <row r="327" spans="1:11" ht="15">
      <c r="A327" s="3">
        <v>55</v>
      </c>
      <c r="B327" s="3" t="s">
        <v>185</v>
      </c>
      <c r="C327" s="4">
        <v>44376</v>
      </c>
      <c r="D327" s="12" t="s">
        <v>11</v>
      </c>
      <c r="E327" s="32">
        <v>1875</v>
      </c>
      <c r="F327" s="13">
        <v>526.55999999999995</v>
      </c>
      <c r="G327" s="14">
        <f t="shared" ref="G327:G338" si="16">E327*F327</f>
        <v>987299.99999999988</v>
      </c>
      <c r="H327" s="15" t="s">
        <v>186</v>
      </c>
      <c r="I327" s="3"/>
      <c r="J327" s="3"/>
      <c r="K327" s="3"/>
    </row>
    <row r="328" spans="1:11" ht="15">
      <c r="A328" s="3"/>
      <c r="B328" s="3"/>
      <c r="C328" s="4">
        <v>44418</v>
      </c>
      <c r="D328" s="12" t="s">
        <v>11</v>
      </c>
      <c r="E328" s="32">
        <v>937</v>
      </c>
      <c r="F328" s="13">
        <v>572.35</v>
      </c>
      <c r="G328" s="14">
        <f t="shared" si="16"/>
        <v>536291.95000000007</v>
      </c>
      <c r="H328" s="15" t="s">
        <v>187</v>
      </c>
      <c r="I328" s="3"/>
      <c r="J328" s="3"/>
      <c r="K328" s="3"/>
    </row>
    <row r="329" spans="1:11" ht="15">
      <c r="A329" s="3"/>
      <c r="B329" s="3"/>
      <c r="C329" s="4">
        <v>44523</v>
      </c>
      <c r="D329" s="3" t="s">
        <v>11</v>
      </c>
      <c r="E329" s="31">
        <v>309</v>
      </c>
      <c r="F329" s="5">
        <v>593.5</v>
      </c>
      <c r="G329" s="6">
        <f t="shared" si="16"/>
        <v>183391.5</v>
      </c>
      <c r="H329" s="7" t="s">
        <v>188</v>
      </c>
      <c r="I329" s="3"/>
      <c r="J329" s="3"/>
      <c r="K329" s="3"/>
    </row>
    <row r="330" spans="1:11" ht="15">
      <c r="A330" s="3"/>
      <c r="B330" s="3"/>
      <c r="C330" s="4">
        <v>44533</v>
      </c>
      <c r="D330" s="3" t="s">
        <v>11</v>
      </c>
      <c r="E330" s="31">
        <v>619</v>
      </c>
      <c r="F330" s="5">
        <v>627.62</v>
      </c>
      <c r="G330" s="6">
        <f t="shared" si="16"/>
        <v>388496.78</v>
      </c>
      <c r="H330" s="7" t="s">
        <v>189</v>
      </c>
      <c r="I330" s="3"/>
      <c r="J330" s="3"/>
      <c r="K330" s="3"/>
    </row>
    <row r="331" spans="1:11" ht="32">
      <c r="A331" s="8"/>
      <c r="B331" s="8"/>
      <c r="C331" s="9">
        <v>45205</v>
      </c>
      <c r="D331" s="8" t="s">
        <v>99</v>
      </c>
      <c r="E331" s="30">
        <v>3740</v>
      </c>
      <c r="F331" s="10">
        <v>0</v>
      </c>
      <c r="G331" s="10">
        <f t="shared" si="16"/>
        <v>0</v>
      </c>
      <c r="H331" s="11" t="s">
        <v>190</v>
      </c>
      <c r="I331" s="8"/>
      <c r="J331" s="8"/>
      <c r="K331" s="8"/>
    </row>
    <row r="332" spans="1:11" ht="15">
      <c r="A332" s="3"/>
      <c r="B332" s="3"/>
      <c r="C332" s="4">
        <v>45658</v>
      </c>
      <c r="D332" s="3" t="s">
        <v>176</v>
      </c>
      <c r="E332" s="31">
        <v>7480</v>
      </c>
      <c r="F332" s="5">
        <v>0</v>
      </c>
      <c r="G332" s="6">
        <f t="shared" si="16"/>
        <v>0</v>
      </c>
      <c r="H332" s="7" t="s">
        <v>191</v>
      </c>
      <c r="I332" s="3"/>
      <c r="J332" s="3"/>
      <c r="K332" s="3"/>
    </row>
    <row r="333" spans="1:11" ht="15">
      <c r="A333" s="3"/>
      <c r="B333" s="3"/>
      <c r="C333" s="4">
        <v>45978</v>
      </c>
      <c r="D333" s="3" t="s">
        <v>15</v>
      </c>
      <c r="E333" s="31">
        <v>-3720</v>
      </c>
      <c r="F333" s="5">
        <v>273.62</v>
      </c>
      <c r="G333" s="6">
        <f t="shared" si="16"/>
        <v>-1017866.4</v>
      </c>
      <c r="H333" s="7" t="s">
        <v>192</v>
      </c>
      <c r="I333" s="3"/>
      <c r="J333" s="3"/>
      <c r="K333" s="3"/>
    </row>
    <row r="334" spans="1:11" ht="15">
      <c r="A334" s="3"/>
      <c r="B334" s="3"/>
      <c r="C334" s="4">
        <v>46050</v>
      </c>
      <c r="D334" s="3" t="s">
        <v>15</v>
      </c>
      <c r="E334" s="31">
        <v>-1759</v>
      </c>
      <c r="F334" s="5">
        <v>244.95</v>
      </c>
      <c r="G334" s="6">
        <f t="shared" si="16"/>
        <v>-430867.05</v>
      </c>
      <c r="H334" s="7" t="s">
        <v>193</v>
      </c>
      <c r="I334" s="3"/>
      <c r="J334" s="3"/>
      <c r="K334" s="3"/>
    </row>
    <row r="335" spans="1:11" ht="15">
      <c r="A335" s="3"/>
      <c r="B335" s="3"/>
      <c r="C335" s="4">
        <v>46070</v>
      </c>
      <c r="D335" s="3" t="s">
        <v>15</v>
      </c>
      <c r="E335" s="31">
        <v>-2877</v>
      </c>
      <c r="F335" s="5">
        <v>224.16</v>
      </c>
      <c r="G335" s="6">
        <f t="shared" si="16"/>
        <v>-644908.31999999995</v>
      </c>
      <c r="H335" s="7" t="s">
        <v>194</v>
      </c>
      <c r="I335" s="3"/>
      <c r="J335" s="3"/>
      <c r="K335" s="3"/>
    </row>
    <row r="336" spans="1:11" ht="16">
      <c r="A336" s="8"/>
      <c r="B336" s="8"/>
      <c r="C336" s="9">
        <v>46122</v>
      </c>
      <c r="D336" s="8" t="s">
        <v>15</v>
      </c>
      <c r="E336" s="30">
        <v>-896</v>
      </c>
      <c r="F336" s="10">
        <v>223.98</v>
      </c>
      <c r="G336" s="10">
        <f t="shared" si="16"/>
        <v>-200686.07999999999</v>
      </c>
      <c r="H336" s="11" t="s">
        <v>195</v>
      </c>
      <c r="I336" s="8"/>
      <c r="J336" s="8"/>
      <c r="K336" s="8"/>
    </row>
    <row r="337" spans="1:11" ht="15">
      <c r="A337" s="3"/>
      <c r="B337" s="3"/>
      <c r="C337" s="4">
        <v>46128</v>
      </c>
      <c r="D337" s="3" t="s">
        <v>15</v>
      </c>
      <c r="E337" s="31">
        <v>-2991</v>
      </c>
      <c r="F337" s="5">
        <v>235.58</v>
      </c>
      <c r="G337" s="6">
        <f t="shared" si="16"/>
        <v>-704619.78</v>
      </c>
      <c r="H337" s="7" t="s">
        <v>196</v>
      </c>
      <c r="I337" s="3"/>
      <c r="J337" s="3"/>
      <c r="K337" s="3"/>
    </row>
    <row r="338" spans="1:11" ht="15">
      <c r="A338" s="3"/>
      <c r="B338" s="3"/>
      <c r="C338" s="4">
        <v>46147</v>
      </c>
      <c r="D338" s="3" t="s">
        <v>15</v>
      </c>
      <c r="E338" s="31">
        <v>-2717</v>
      </c>
      <c r="F338" s="5">
        <v>258.8</v>
      </c>
      <c r="G338" s="6">
        <f t="shared" si="16"/>
        <v>-703159.6</v>
      </c>
      <c r="H338" s="7" t="s">
        <v>197</v>
      </c>
      <c r="I338" s="3"/>
      <c r="J338" s="3"/>
      <c r="K338" s="3"/>
    </row>
    <row r="339" spans="1:11" ht="15">
      <c r="A339" s="3"/>
      <c r="B339" s="3"/>
      <c r="C339" s="4"/>
      <c r="D339" s="3"/>
      <c r="E339" s="39">
        <f>SUM(E327:E338)</f>
        <v>0</v>
      </c>
      <c r="F339" s="5"/>
      <c r="G339" s="6"/>
      <c r="H339" s="7"/>
      <c r="I339" s="3"/>
      <c r="J339" s="3"/>
      <c r="K339" s="3"/>
    </row>
    <row r="340" spans="1:11" ht="15">
      <c r="A340" s="3">
        <v>56</v>
      </c>
      <c r="B340" s="3" t="s">
        <v>198</v>
      </c>
      <c r="C340" s="4">
        <v>44550</v>
      </c>
      <c r="D340" s="3" t="s">
        <v>11</v>
      </c>
      <c r="E340" s="31">
        <v>96000</v>
      </c>
      <c r="F340" s="5">
        <v>13.89</v>
      </c>
      <c r="G340" s="6">
        <f>E340*F340</f>
        <v>1333440</v>
      </c>
      <c r="H340" s="7" t="s">
        <v>199</v>
      </c>
      <c r="I340" s="3"/>
      <c r="J340" s="3"/>
      <c r="K340" s="3"/>
    </row>
    <row r="341" spans="1:11" ht="15">
      <c r="A341" s="3"/>
      <c r="B341" s="3"/>
      <c r="C341" s="4">
        <v>44886</v>
      </c>
      <c r="D341" s="3" t="s">
        <v>15</v>
      </c>
      <c r="E341" s="31">
        <v>-48000</v>
      </c>
      <c r="F341" s="5">
        <v>8.39</v>
      </c>
      <c r="G341" s="6">
        <f>E341*F341</f>
        <v>-402720</v>
      </c>
      <c r="H341" s="7" t="s">
        <v>200</v>
      </c>
      <c r="I341" s="3"/>
      <c r="J341" s="3"/>
      <c r="K341" s="3"/>
    </row>
    <row r="342" spans="1:11" ht="15">
      <c r="A342" s="3"/>
      <c r="B342" s="3"/>
      <c r="C342" s="4">
        <v>44922</v>
      </c>
      <c r="D342" s="3" t="s">
        <v>15</v>
      </c>
      <c r="E342" s="31">
        <v>-12000</v>
      </c>
      <c r="F342" s="5">
        <v>7.91</v>
      </c>
      <c r="G342" s="6">
        <f>E342*F342</f>
        <v>-94920</v>
      </c>
      <c r="H342" s="7" t="s">
        <v>201</v>
      </c>
      <c r="I342" s="3"/>
      <c r="J342" s="3"/>
      <c r="K342" s="3"/>
    </row>
    <row r="343" spans="1:11" ht="15">
      <c r="A343" s="3"/>
      <c r="B343" s="3"/>
      <c r="C343" s="4">
        <v>44965</v>
      </c>
      <c r="D343" s="3" t="s">
        <v>15</v>
      </c>
      <c r="E343" s="31">
        <v>-36000</v>
      </c>
      <c r="F343" s="5">
        <v>7.88</v>
      </c>
      <c r="G343" s="6">
        <f>E343*F343</f>
        <v>-283680</v>
      </c>
      <c r="H343" s="7" t="s">
        <v>202</v>
      </c>
      <c r="I343" s="3"/>
      <c r="J343" s="3"/>
      <c r="K343" s="3"/>
    </row>
    <row r="344" spans="1:11" ht="15">
      <c r="A344" s="3"/>
      <c r="B344" s="3"/>
      <c r="C344" s="4"/>
      <c r="D344" s="3"/>
      <c r="E344" s="39">
        <f>SUM(E340:E343)</f>
        <v>0</v>
      </c>
      <c r="F344" s="5"/>
      <c r="G344" s="6"/>
      <c r="H344" s="7"/>
      <c r="I344" s="3"/>
      <c r="J344" s="3"/>
      <c r="K344" s="3"/>
    </row>
    <row r="345" spans="1:11" ht="15">
      <c r="A345" s="3">
        <v>57</v>
      </c>
      <c r="B345" s="3" t="s">
        <v>203</v>
      </c>
      <c r="C345" s="4">
        <v>44578</v>
      </c>
      <c r="D345" s="3" t="s">
        <v>11</v>
      </c>
      <c r="E345" s="31">
        <v>10500</v>
      </c>
      <c r="F345" s="5">
        <v>113.85</v>
      </c>
      <c r="G345" s="6">
        <f t="shared" ref="G345:G359" si="17">E345*F345</f>
        <v>1195425</v>
      </c>
      <c r="H345" s="7" t="s">
        <v>204</v>
      </c>
      <c r="I345" s="3"/>
      <c r="J345" s="3"/>
      <c r="K345" s="3"/>
    </row>
    <row r="346" spans="1:11" ht="15">
      <c r="A346" s="3"/>
      <c r="B346" s="3"/>
      <c r="C346" s="4">
        <v>44789</v>
      </c>
      <c r="D346" s="3" t="s">
        <v>11</v>
      </c>
      <c r="E346" s="31">
        <v>5250</v>
      </c>
      <c r="F346" s="5">
        <v>145.97</v>
      </c>
      <c r="G346" s="6">
        <f t="shared" si="17"/>
        <v>766342.5</v>
      </c>
      <c r="H346" s="7" t="s">
        <v>205</v>
      </c>
      <c r="I346" s="3"/>
      <c r="J346" s="3"/>
      <c r="K346" s="3"/>
    </row>
    <row r="347" spans="1:11" ht="15">
      <c r="A347" s="3"/>
      <c r="B347" s="3"/>
      <c r="C347" s="4">
        <v>45219</v>
      </c>
      <c r="D347" s="3" t="s">
        <v>15</v>
      </c>
      <c r="E347" s="31">
        <v>-3258</v>
      </c>
      <c r="F347" s="5">
        <v>831.52</v>
      </c>
      <c r="G347" s="6">
        <f t="shared" si="17"/>
        <v>-2709092.16</v>
      </c>
      <c r="H347" s="7" t="s">
        <v>206</v>
      </c>
      <c r="I347" s="3"/>
      <c r="J347" s="3"/>
      <c r="K347" s="3"/>
    </row>
    <row r="348" spans="1:11" ht="15">
      <c r="A348" s="3"/>
      <c r="B348" s="3"/>
      <c r="C348" s="4">
        <v>45232</v>
      </c>
      <c r="D348" s="3" t="s">
        <v>15</v>
      </c>
      <c r="E348" s="31">
        <v>-1143</v>
      </c>
      <c r="F348" s="5">
        <v>802.42</v>
      </c>
      <c r="G348" s="6">
        <f t="shared" si="17"/>
        <v>-917166.05999999994</v>
      </c>
      <c r="H348" s="7" t="s">
        <v>207</v>
      </c>
      <c r="I348" s="3"/>
      <c r="J348" s="3"/>
      <c r="K348" s="3"/>
    </row>
    <row r="349" spans="1:11" ht="15">
      <c r="A349" s="3"/>
      <c r="B349" s="3"/>
      <c r="C349" s="4">
        <v>45239</v>
      </c>
      <c r="D349" s="3" t="s">
        <v>15</v>
      </c>
      <c r="E349" s="31">
        <v>-1205</v>
      </c>
      <c r="F349" s="5">
        <v>802.42</v>
      </c>
      <c r="G349" s="6">
        <f t="shared" si="17"/>
        <v>-966916.1</v>
      </c>
      <c r="H349" s="7" t="s">
        <v>208</v>
      </c>
      <c r="I349" s="3"/>
      <c r="J349" s="3"/>
      <c r="K349" s="3"/>
    </row>
    <row r="350" spans="1:11" ht="15">
      <c r="A350" s="3"/>
      <c r="B350" s="3"/>
      <c r="C350" s="4">
        <v>45306</v>
      </c>
      <c r="D350" s="3" t="s">
        <v>15</v>
      </c>
      <c r="E350" s="31">
        <v>-2468</v>
      </c>
      <c r="F350" s="5">
        <v>1068.33</v>
      </c>
      <c r="G350" s="6">
        <f t="shared" si="17"/>
        <v>-2636638.44</v>
      </c>
      <c r="H350" s="7" t="s">
        <v>209</v>
      </c>
      <c r="I350" s="3"/>
      <c r="J350" s="3"/>
      <c r="K350" s="3"/>
    </row>
    <row r="351" spans="1:11" ht="15">
      <c r="A351" s="3"/>
      <c r="B351" s="3"/>
      <c r="C351" s="4">
        <v>45406</v>
      </c>
      <c r="D351" s="3" t="s">
        <v>15</v>
      </c>
      <c r="E351" s="31">
        <v>-1535</v>
      </c>
      <c r="F351" s="5">
        <v>1016.08</v>
      </c>
      <c r="G351" s="6">
        <f t="shared" si="17"/>
        <v>-1559682.8</v>
      </c>
      <c r="H351" s="7" t="s">
        <v>210</v>
      </c>
      <c r="I351" s="3"/>
      <c r="J351" s="3"/>
      <c r="K351" s="3"/>
    </row>
    <row r="352" spans="1:11" ht="32">
      <c r="A352" s="8"/>
      <c r="B352" s="8"/>
      <c r="C352" s="9">
        <v>45429</v>
      </c>
      <c r="D352" s="8" t="s">
        <v>15</v>
      </c>
      <c r="E352" s="30">
        <v>-850</v>
      </c>
      <c r="F352" s="10">
        <v>1283.4100000000001</v>
      </c>
      <c r="G352" s="10">
        <f t="shared" si="17"/>
        <v>-1090898.5</v>
      </c>
      <c r="H352" s="11" t="s">
        <v>211</v>
      </c>
      <c r="I352" s="8"/>
      <c r="J352" s="8"/>
      <c r="K352" s="8"/>
    </row>
    <row r="353" spans="1:11" ht="15">
      <c r="A353" s="3"/>
      <c r="B353" s="3"/>
      <c r="C353" s="4">
        <v>45504</v>
      </c>
      <c r="D353" s="3" t="s">
        <v>15</v>
      </c>
      <c r="E353" s="31">
        <v>-1323</v>
      </c>
      <c r="F353" s="5">
        <v>1597.8</v>
      </c>
      <c r="G353" s="6">
        <f t="shared" si="17"/>
        <v>-2113889.4</v>
      </c>
      <c r="H353" s="7" t="s">
        <v>212</v>
      </c>
      <c r="I353" s="3"/>
      <c r="J353" s="3"/>
      <c r="K353" s="3"/>
    </row>
    <row r="354" spans="1:11" ht="15">
      <c r="A354" s="3"/>
      <c r="B354" s="3"/>
      <c r="C354" s="4">
        <v>45509</v>
      </c>
      <c r="D354" s="3" t="s">
        <v>15</v>
      </c>
      <c r="E354" s="31">
        <v>-920</v>
      </c>
      <c r="F354" s="5">
        <v>1413.1</v>
      </c>
      <c r="G354" s="6">
        <f t="shared" si="17"/>
        <v>-1300052</v>
      </c>
      <c r="H354" s="7" t="s">
        <v>213</v>
      </c>
      <c r="I354" s="3"/>
      <c r="J354" s="3"/>
      <c r="K354" s="3"/>
    </row>
    <row r="355" spans="1:11" ht="15">
      <c r="A355" s="3"/>
      <c r="B355" s="3"/>
      <c r="C355" s="4">
        <v>45637</v>
      </c>
      <c r="D355" s="3" t="s">
        <v>15</v>
      </c>
      <c r="E355" s="31">
        <v>-438</v>
      </c>
      <c r="F355" s="5">
        <v>1290.93</v>
      </c>
      <c r="G355" s="6">
        <f t="shared" si="17"/>
        <v>-565427.34000000008</v>
      </c>
      <c r="H355" s="7" t="s">
        <v>214</v>
      </c>
      <c r="I355" s="3"/>
      <c r="J355" s="3"/>
      <c r="K355" s="3"/>
    </row>
    <row r="356" spans="1:11" ht="15">
      <c r="A356" s="3"/>
      <c r="B356" s="3"/>
      <c r="C356" s="4">
        <v>45670</v>
      </c>
      <c r="D356" s="3" t="s">
        <v>15</v>
      </c>
      <c r="E356" s="31">
        <v>-260</v>
      </c>
      <c r="F356" s="5">
        <v>995.23</v>
      </c>
      <c r="G356" s="6">
        <f t="shared" si="17"/>
        <v>-258759.80000000002</v>
      </c>
      <c r="H356" s="7" t="s">
        <v>215</v>
      </c>
      <c r="I356" s="3"/>
      <c r="J356" s="3"/>
      <c r="K356" s="3"/>
    </row>
    <row r="357" spans="1:11" ht="16">
      <c r="A357" s="8"/>
      <c r="B357" s="8"/>
      <c r="C357" s="9">
        <v>45782</v>
      </c>
      <c r="D357" s="8" t="s">
        <v>15</v>
      </c>
      <c r="E357" s="30">
        <v>-784</v>
      </c>
      <c r="F357" s="10">
        <v>709.82</v>
      </c>
      <c r="G357" s="10">
        <f t="shared" si="17"/>
        <v>-556498.88</v>
      </c>
      <c r="H357" s="11" t="s">
        <v>216</v>
      </c>
      <c r="I357" s="8"/>
      <c r="J357" s="8"/>
      <c r="K357" s="8"/>
    </row>
    <row r="358" spans="1:11" ht="15">
      <c r="A358" s="3"/>
      <c r="B358" s="3"/>
      <c r="C358" s="4">
        <v>45797</v>
      </c>
      <c r="D358" s="3" t="s">
        <v>15</v>
      </c>
      <c r="E358" s="31">
        <v>-783</v>
      </c>
      <c r="F358" s="5">
        <v>912.75</v>
      </c>
      <c r="G358" s="6">
        <f t="shared" si="17"/>
        <v>-714683.25</v>
      </c>
      <c r="H358" s="7" t="s">
        <v>217</v>
      </c>
      <c r="I358" s="3"/>
      <c r="J358" s="3"/>
      <c r="K358" s="3"/>
    </row>
    <row r="359" spans="1:11" ht="15">
      <c r="A359" s="3"/>
      <c r="B359" s="3"/>
      <c r="C359" s="4">
        <v>45968</v>
      </c>
      <c r="D359" s="3" t="s">
        <v>15</v>
      </c>
      <c r="E359" s="31">
        <v>-783</v>
      </c>
      <c r="F359" s="5">
        <v>840.65</v>
      </c>
      <c r="G359" s="6">
        <f t="shared" si="17"/>
        <v>-658228.94999999995</v>
      </c>
      <c r="H359" s="7" t="s">
        <v>218</v>
      </c>
      <c r="I359" s="3"/>
      <c r="J359" s="3"/>
      <c r="K359" s="3"/>
    </row>
    <row r="360" spans="1:11" ht="15">
      <c r="A360" s="3"/>
      <c r="B360" s="3"/>
      <c r="C360" s="4"/>
      <c r="D360" s="3"/>
      <c r="E360" s="39">
        <f>SUM(E345:E359)</f>
        <v>0</v>
      </c>
      <c r="F360" s="5"/>
      <c r="G360" s="6"/>
      <c r="H360" s="7"/>
      <c r="I360" s="3"/>
      <c r="J360" s="3"/>
      <c r="K360" s="3"/>
    </row>
    <row r="361" spans="1:11" ht="15">
      <c r="A361" s="3">
        <v>58</v>
      </c>
      <c r="B361" s="3" t="s">
        <v>219</v>
      </c>
      <c r="C361" s="4">
        <v>44767</v>
      </c>
      <c r="D361" s="3" t="s">
        <v>11</v>
      </c>
      <c r="E361" s="31">
        <v>635</v>
      </c>
      <c r="F361" s="5">
        <v>1825.5</v>
      </c>
      <c r="G361" s="6">
        <f>E361*F361</f>
        <v>1159192.5</v>
      </c>
      <c r="H361" s="7" t="s">
        <v>220</v>
      </c>
      <c r="I361" s="3"/>
      <c r="J361" s="3"/>
      <c r="K361" s="3"/>
    </row>
    <row r="362" spans="1:11" ht="15">
      <c r="A362" s="3"/>
      <c r="B362" s="3"/>
      <c r="C362" s="4">
        <v>44879</v>
      </c>
      <c r="D362" s="3" t="s">
        <v>11</v>
      </c>
      <c r="E362" s="31">
        <v>317</v>
      </c>
      <c r="F362" s="5">
        <v>822.5</v>
      </c>
      <c r="G362" s="6">
        <f>E362*F362</f>
        <v>260732.5</v>
      </c>
      <c r="H362" s="7" t="s">
        <v>221</v>
      </c>
      <c r="I362" s="3"/>
      <c r="J362" s="3"/>
      <c r="K362" s="3"/>
    </row>
    <row r="363" spans="1:11" ht="15">
      <c r="A363" s="3"/>
      <c r="B363" s="3"/>
      <c r="C363" s="4">
        <v>44922</v>
      </c>
      <c r="D363" s="3" t="s">
        <v>11</v>
      </c>
      <c r="E363" s="31">
        <v>317</v>
      </c>
      <c r="F363" s="5">
        <v>823.74</v>
      </c>
      <c r="G363" s="6">
        <f>E363*F363</f>
        <v>261125.58000000002</v>
      </c>
      <c r="H363" s="7" t="s">
        <v>222</v>
      </c>
      <c r="I363" s="3"/>
      <c r="J363" s="3"/>
      <c r="K363" s="3"/>
    </row>
    <row r="364" spans="1:11" ht="15">
      <c r="A364" s="3"/>
      <c r="B364" s="3"/>
      <c r="C364" s="4">
        <v>45138</v>
      </c>
      <c r="D364" s="3" t="s">
        <v>15</v>
      </c>
      <c r="E364" s="31">
        <v>-1269</v>
      </c>
      <c r="F364" s="5">
        <v>1010.85</v>
      </c>
      <c r="G364" s="6">
        <f>E364*F364</f>
        <v>-1282768.6500000001</v>
      </c>
      <c r="H364" s="7" t="s">
        <v>223</v>
      </c>
      <c r="I364" s="3"/>
      <c r="J364" s="3"/>
      <c r="K364" s="3"/>
    </row>
    <row r="365" spans="1:11" ht="15">
      <c r="A365" s="8"/>
      <c r="B365" s="8"/>
      <c r="C365" s="9"/>
      <c r="D365" s="21"/>
      <c r="E365" s="41">
        <f>SUM(E361:E364)</f>
        <v>0</v>
      </c>
      <c r="F365" s="22"/>
      <c r="G365" s="22"/>
      <c r="H365" s="23"/>
      <c r="I365" s="8"/>
      <c r="J365" s="8"/>
      <c r="K365" s="8"/>
    </row>
    <row r="366" spans="1:11" ht="15">
      <c r="A366" s="3">
        <v>59</v>
      </c>
      <c r="B366" s="3" t="s">
        <v>224</v>
      </c>
      <c r="C366" s="4">
        <v>44789</v>
      </c>
      <c r="D366" s="3" t="s">
        <v>11</v>
      </c>
      <c r="E366" s="31">
        <v>862</v>
      </c>
      <c r="F366" s="5">
        <v>688.83</v>
      </c>
      <c r="G366" s="6">
        <f t="shared" ref="G366:G372" si="18">E366*F366</f>
        <v>593771.46000000008</v>
      </c>
      <c r="H366" s="7" t="s">
        <v>225</v>
      </c>
      <c r="I366" s="3"/>
      <c r="J366" s="3"/>
      <c r="K366" s="3"/>
    </row>
    <row r="367" spans="1:11" ht="15">
      <c r="A367" s="3"/>
      <c r="B367" s="3"/>
      <c r="C367" s="4">
        <v>44818</v>
      </c>
      <c r="D367" s="3" t="s">
        <v>11</v>
      </c>
      <c r="E367" s="31">
        <v>390</v>
      </c>
      <c r="F367" s="5">
        <v>730.02</v>
      </c>
      <c r="G367" s="6">
        <f t="shared" si="18"/>
        <v>284707.8</v>
      </c>
      <c r="H367" s="7" t="s">
        <v>226</v>
      </c>
      <c r="I367" s="3"/>
      <c r="J367" s="3"/>
      <c r="K367" s="3"/>
    </row>
    <row r="368" spans="1:11" ht="16">
      <c r="A368" s="8"/>
      <c r="B368" s="8"/>
      <c r="C368" s="9">
        <v>44851</v>
      </c>
      <c r="D368" s="8" t="s">
        <v>11</v>
      </c>
      <c r="E368" s="30">
        <v>71</v>
      </c>
      <c r="F368" s="10">
        <v>703.07</v>
      </c>
      <c r="G368" s="10">
        <f t="shared" si="18"/>
        <v>49917.97</v>
      </c>
      <c r="H368" s="11" t="s">
        <v>227</v>
      </c>
      <c r="I368" s="8"/>
      <c r="J368" s="8"/>
      <c r="K368" s="8"/>
    </row>
    <row r="369" spans="1:11" ht="15">
      <c r="A369" s="3"/>
      <c r="B369" s="3"/>
      <c r="C369" s="4">
        <v>44879</v>
      </c>
      <c r="D369" s="3" t="s">
        <v>11</v>
      </c>
      <c r="E369" s="31">
        <v>35</v>
      </c>
      <c r="F369" s="5">
        <v>760.2</v>
      </c>
      <c r="G369" s="6">
        <f t="shared" si="18"/>
        <v>26607</v>
      </c>
      <c r="H369" s="7" t="s">
        <v>228</v>
      </c>
      <c r="I369" s="3"/>
      <c r="J369" s="3"/>
      <c r="K369" s="3"/>
    </row>
    <row r="370" spans="1:11" ht="15">
      <c r="A370" s="3"/>
      <c r="B370" s="3"/>
      <c r="C370" s="4">
        <v>45145</v>
      </c>
      <c r="D370" s="3" t="s">
        <v>15</v>
      </c>
      <c r="E370" s="31">
        <v>-217</v>
      </c>
      <c r="F370" s="5">
        <v>813.59</v>
      </c>
      <c r="G370" s="6">
        <f t="shared" si="18"/>
        <v>-176549.03</v>
      </c>
      <c r="H370" s="7" t="s">
        <v>229</v>
      </c>
      <c r="I370" s="3"/>
      <c r="J370" s="3"/>
      <c r="K370" s="3"/>
    </row>
    <row r="371" spans="1:11" ht="15">
      <c r="A371" s="3"/>
      <c r="B371" s="3"/>
      <c r="C371" s="4">
        <v>45174</v>
      </c>
      <c r="D371" s="3" t="s">
        <v>15</v>
      </c>
      <c r="E371" s="31">
        <v>-171</v>
      </c>
      <c r="F371" s="5">
        <v>884.38</v>
      </c>
      <c r="G371" s="6">
        <f t="shared" si="18"/>
        <v>-151228.98000000001</v>
      </c>
      <c r="H371" s="7" t="s">
        <v>230</v>
      </c>
      <c r="I371" s="3"/>
      <c r="J371" s="3"/>
      <c r="K371" s="3"/>
    </row>
    <row r="372" spans="1:11" ht="15">
      <c r="A372" s="3"/>
      <c r="B372" s="3"/>
      <c r="C372" s="4">
        <v>45306</v>
      </c>
      <c r="D372" s="12" t="s">
        <v>15</v>
      </c>
      <c r="E372" s="32">
        <v>-970</v>
      </c>
      <c r="F372" s="13">
        <v>958.58</v>
      </c>
      <c r="G372" s="14">
        <f t="shared" si="18"/>
        <v>-929822.60000000009</v>
      </c>
      <c r="H372" s="15" t="s">
        <v>231</v>
      </c>
      <c r="I372" s="3"/>
      <c r="J372" s="3"/>
      <c r="K372" s="3"/>
    </row>
    <row r="373" spans="1:11" ht="15">
      <c r="A373" s="3"/>
      <c r="B373" s="3"/>
      <c r="C373" s="4"/>
      <c r="D373" s="3"/>
      <c r="E373" s="39">
        <f>SUM(E366:E372)</f>
        <v>0</v>
      </c>
      <c r="F373" s="5"/>
      <c r="G373" s="6"/>
      <c r="H373" s="7"/>
      <c r="I373" s="3"/>
      <c r="J373" s="3"/>
      <c r="K373" s="3"/>
    </row>
    <row r="374" spans="1:11" ht="32">
      <c r="A374" s="8">
        <v>60</v>
      </c>
      <c r="B374" s="8" t="s">
        <v>232</v>
      </c>
      <c r="C374" s="9">
        <v>44803</v>
      </c>
      <c r="D374" s="8" t="s">
        <v>233</v>
      </c>
      <c r="E374" s="30">
        <v>2540</v>
      </c>
      <c r="F374" s="10">
        <v>0</v>
      </c>
      <c r="G374" s="10">
        <f>E374*F374</f>
        <v>0</v>
      </c>
      <c r="H374" s="11" t="s">
        <v>234</v>
      </c>
      <c r="I374" s="8"/>
      <c r="J374" s="8"/>
      <c r="K374" s="8"/>
    </row>
    <row r="375" spans="1:11" ht="15">
      <c r="A375" s="3"/>
      <c r="B375" s="3"/>
      <c r="C375" s="4">
        <v>44886</v>
      </c>
      <c r="D375" s="3" t="s">
        <v>15</v>
      </c>
      <c r="E375" s="31">
        <v>-2540</v>
      </c>
      <c r="F375" s="5">
        <v>137.4</v>
      </c>
      <c r="G375" s="6">
        <f>E375*F375</f>
        <v>-348996</v>
      </c>
      <c r="H375" s="7" t="s">
        <v>235</v>
      </c>
      <c r="I375" s="3"/>
      <c r="J375" s="3"/>
      <c r="K375" s="3"/>
    </row>
    <row r="376" spans="1:11" ht="15">
      <c r="A376" s="3"/>
      <c r="B376" s="3"/>
      <c r="C376" s="4"/>
      <c r="D376" s="3"/>
      <c r="E376" s="39">
        <f>SUM(E374:E375)</f>
        <v>0</v>
      </c>
      <c r="F376" s="5"/>
      <c r="G376" s="6"/>
      <c r="H376" s="7"/>
      <c r="I376" s="3"/>
      <c r="J376" s="3"/>
      <c r="K376" s="3"/>
    </row>
    <row r="377" spans="1:11" ht="15">
      <c r="A377" s="3">
        <v>61</v>
      </c>
      <c r="B377" s="3" t="s">
        <v>236</v>
      </c>
      <c r="C377" s="4">
        <v>44818</v>
      </c>
      <c r="D377" s="3" t="s">
        <v>11</v>
      </c>
      <c r="E377" s="31">
        <v>410</v>
      </c>
      <c r="F377" s="5">
        <v>1650.71</v>
      </c>
      <c r="G377" s="6">
        <f t="shared" ref="G377:G382" si="19">E377*F377</f>
        <v>676791.1</v>
      </c>
      <c r="H377" s="7" t="s">
        <v>237</v>
      </c>
      <c r="I377" s="3"/>
      <c r="J377" s="3"/>
      <c r="K377" s="3"/>
    </row>
    <row r="378" spans="1:11" ht="32">
      <c r="A378" s="8"/>
      <c r="B378" s="8"/>
      <c r="C378" s="9">
        <v>44851</v>
      </c>
      <c r="D378" s="8" t="s">
        <v>11</v>
      </c>
      <c r="E378" s="30">
        <v>205</v>
      </c>
      <c r="F378" s="10">
        <v>1787.93</v>
      </c>
      <c r="G378" s="10">
        <f t="shared" si="19"/>
        <v>366525.65</v>
      </c>
      <c r="H378" s="11" t="s">
        <v>238</v>
      </c>
      <c r="I378" s="8"/>
      <c r="J378" s="8"/>
      <c r="K378" s="8"/>
    </row>
    <row r="379" spans="1:11" ht="15">
      <c r="A379" s="3"/>
      <c r="B379" s="3"/>
      <c r="C379" s="4">
        <v>45358</v>
      </c>
      <c r="D379" s="3" t="s">
        <v>11</v>
      </c>
      <c r="E379" s="31">
        <v>135</v>
      </c>
      <c r="F379" s="5">
        <v>4691.82</v>
      </c>
      <c r="G379" s="6">
        <f t="shared" si="19"/>
        <v>633395.69999999995</v>
      </c>
      <c r="H379" s="7" t="s">
        <v>239</v>
      </c>
      <c r="I379" s="3"/>
      <c r="J379" s="3"/>
      <c r="K379" s="3"/>
    </row>
    <row r="380" spans="1:11" ht="15">
      <c r="A380" s="3"/>
      <c r="B380" s="3"/>
      <c r="C380" s="4">
        <v>45447</v>
      </c>
      <c r="D380" s="3" t="s">
        <v>11</v>
      </c>
      <c r="E380" s="31">
        <v>181</v>
      </c>
      <c r="F380" s="5">
        <v>4670.3999999999996</v>
      </c>
      <c r="G380" s="6">
        <f t="shared" si="19"/>
        <v>845342.39999999991</v>
      </c>
      <c r="H380" s="7" t="s">
        <v>240</v>
      </c>
      <c r="I380" s="3"/>
      <c r="J380" s="3"/>
      <c r="K380" s="3"/>
    </row>
    <row r="381" spans="1:11" ht="16">
      <c r="A381" s="8"/>
      <c r="B381" s="8"/>
      <c r="C381" s="9">
        <v>45573</v>
      </c>
      <c r="D381" s="8" t="s">
        <v>176</v>
      </c>
      <c r="E381" s="30">
        <v>931</v>
      </c>
      <c r="F381" s="10">
        <v>0</v>
      </c>
      <c r="G381" s="10">
        <f t="shared" si="19"/>
        <v>0</v>
      </c>
      <c r="H381" s="11" t="s">
        <v>241</v>
      </c>
      <c r="I381" s="8"/>
      <c r="J381" s="8"/>
      <c r="K381" s="8"/>
    </row>
    <row r="382" spans="1:11" ht="15">
      <c r="A382" s="3"/>
      <c r="B382" s="3"/>
      <c r="C382" s="4">
        <v>46195</v>
      </c>
      <c r="D382" s="3" t="s">
        <v>15</v>
      </c>
      <c r="E382" s="31">
        <v>-143</v>
      </c>
      <c r="F382" s="5">
        <v>2949.12</v>
      </c>
      <c r="G382" s="6">
        <f t="shared" si="19"/>
        <v>-421724.15999999997</v>
      </c>
      <c r="H382" s="7" t="s">
        <v>242</v>
      </c>
      <c r="I382" s="3"/>
      <c r="J382" s="3"/>
      <c r="K382" s="3"/>
    </row>
    <row r="383" spans="1:11" ht="15">
      <c r="A383" s="3"/>
      <c r="B383" s="3"/>
      <c r="C383" s="4"/>
      <c r="D383" s="3"/>
      <c r="E383" s="39">
        <f>SUM(E377:E382)</f>
        <v>1719</v>
      </c>
      <c r="F383" s="5"/>
      <c r="G383" s="6"/>
      <c r="H383" s="7"/>
      <c r="I383" s="3"/>
      <c r="J383" s="3"/>
      <c r="K383" s="3"/>
    </row>
    <row r="384" spans="1:11" ht="15">
      <c r="A384" s="3">
        <v>62</v>
      </c>
      <c r="B384" s="3" t="s">
        <v>243</v>
      </c>
      <c r="C384" s="4">
        <v>44886</v>
      </c>
      <c r="D384" s="3" t="s">
        <v>11</v>
      </c>
      <c r="E384" s="31">
        <v>458</v>
      </c>
      <c r="F384" s="5">
        <v>2487.9</v>
      </c>
      <c r="G384" s="6">
        <f>E384*F384</f>
        <v>1139458.2</v>
      </c>
      <c r="H384" s="7" t="s">
        <v>244</v>
      </c>
      <c r="I384" s="3"/>
      <c r="J384" s="3"/>
      <c r="K384" s="3"/>
    </row>
    <row r="385" spans="1:11" ht="15">
      <c r="A385" s="3"/>
      <c r="B385" s="3"/>
      <c r="C385" s="4">
        <v>45077</v>
      </c>
      <c r="D385" s="3" t="s">
        <v>11</v>
      </c>
      <c r="E385" s="31">
        <v>115</v>
      </c>
      <c r="F385" s="5">
        <v>2685.54</v>
      </c>
      <c r="G385" s="6">
        <f>E385*F385</f>
        <v>308837.09999999998</v>
      </c>
      <c r="H385" s="7" t="s">
        <v>245</v>
      </c>
      <c r="I385" s="3"/>
      <c r="J385" s="3"/>
      <c r="K385" s="3"/>
    </row>
    <row r="386" spans="1:11" ht="30">
      <c r="A386" s="3"/>
      <c r="B386" s="3"/>
      <c r="C386" s="4">
        <v>45149</v>
      </c>
      <c r="D386" s="3" t="s">
        <v>11</v>
      </c>
      <c r="E386" s="31">
        <v>189</v>
      </c>
      <c r="F386" s="5">
        <v>2904.62</v>
      </c>
      <c r="G386" s="6">
        <f>E386*F386</f>
        <v>548973.17999999993</v>
      </c>
      <c r="H386" s="7" t="s">
        <v>246</v>
      </c>
      <c r="I386" s="3"/>
      <c r="J386" s="3"/>
      <c r="K386" s="3"/>
    </row>
    <row r="387" spans="1:11" ht="15">
      <c r="A387" s="3"/>
      <c r="B387" s="3"/>
      <c r="C387" s="4"/>
      <c r="D387" s="3"/>
      <c r="E387" s="39">
        <f>SUM(E384:E386)</f>
        <v>762</v>
      </c>
      <c r="F387" s="5"/>
      <c r="G387" s="6"/>
      <c r="H387" s="7"/>
      <c r="I387" s="3"/>
      <c r="J387" s="3"/>
      <c r="K387" s="3"/>
    </row>
    <row r="388" spans="1:11" ht="32">
      <c r="A388" s="8">
        <v>63</v>
      </c>
      <c r="B388" s="8" t="s">
        <v>247</v>
      </c>
      <c r="C388" s="9">
        <v>44969</v>
      </c>
      <c r="D388" s="8" t="s">
        <v>11</v>
      </c>
      <c r="E388" s="30">
        <v>4326</v>
      </c>
      <c r="F388" s="10">
        <v>273.23</v>
      </c>
      <c r="G388" s="10">
        <f>E388*F388</f>
        <v>1181992.98</v>
      </c>
      <c r="H388" s="11" t="s">
        <v>248</v>
      </c>
      <c r="I388" s="8"/>
      <c r="J388" s="8"/>
      <c r="K388" s="8"/>
    </row>
    <row r="389" spans="1:11" ht="15">
      <c r="A389" s="3"/>
      <c r="B389" s="3"/>
      <c r="C389" s="4">
        <v>45062</v>
      </c>
      <c r="D389" s="3" t="s">
        <v>11</v>
      </c>
      <c r="E389" s="31">
        <v>2424</v>
      </c>
      <c r="F389" s="5">
        <v>336.75</v>
      </c>
      <c r="G389" s="6">
        <f>E389*F389</f>
        <v>816282</v>
      </c>
      <c r="H389" s="7" t="s">
        <v>249</v>
      </c>
      <c r="I389" s="3"/>
      <c r="J389" s="3"/>
      <c r="K389" s="3"/>
    </row>
    <row r="390" spans="1:11" ht="15">
      <c r="A390" s="3"/>
      <c r="B390" s="3"/>
      <c r="C390" s="4"/>
      <c r="D390" s="3"/>
      <c r="E390" s="39">
        <f>SUM(E388:E389)</f>
        <v>6750</v>
      </c>
      <c r="F390" s="5"/>
      <c r="G390" s="6"/>
      <c r="H390" s="7"/>
      <c r="I390" s="3"/>
      <c r="J390" s="3"/>
      <c r="K390" s="3"/>
    </row>
    <row r="391" spans="1:11" ht="30">
      <c r="A391" s="3">
        <v>64</v>
      </c>
      <c r="B391" s="3" t="s">
        <v>250</v>
      </c>
      <c r="C391" s="4">
        <v>45142</v>
      </c>
      <c r="D391" s="3" t="s">
        <v>11</v>
      </c>
      <c r="E391" s="31">
        <v>7985</v>
      </c>
      <c r="F391" s="5">
        <v>285.12</v>
      </c>
      <c r="G391" s="6">
        <f t="shared" ref="G391:G402" si="20">E391*F391</f>
        <v>2276683.2000000002</v>
      </c>
      <c r="H391" s="7" t="s">
        <v>251</v>
      </c>
      <c r="I391" s="3"/>
      <c r="J391" s="3"/>
      <c r="K391" s="3"/>
    </row>
    <row r="392" spans="1:11" ht="32">
      <c r="A392" s="8"/>
      <c r="B392" s="8"/>
      <c r="C392" s="9">
        <v>45239</v>
      </c>
      <c r="D392" s="8" t="s">
        <v>11</v>
      </c>
      <c r="E392" s="30">
        <v>1084</v>
      </c>
      <c r="F392" s="10">
        <v>289.05</v>
      </c>
      <c r="G392" s="10">
        <f t="shared" si="20"/>
        <v>313330.2</v>
      </c>
      <c r="H392" s="11" t="s">
        <v>252</v>
      </c>
      <c r="I392" s="8"/>
      <c r="J392" s="8"/>
      <c r="K392" s="8"/>
    </row>
    <row r="393" spans="1:11" ht="15">
      <c r="A393" s="3"/>
      <c r="B393" s="3"/>
      <c r="C393" s="4">
        <v>45358</v>
      </c>
      <c r="D393" s="3" t="s">
        <v>11</v>
      </c>
      <c r="E393" s="31">
        <v>1117</v>
      </c>
      <c r="F393" s="5">
        <v>300.66000000000003</v>
      </c>
      <c r="G393" s="6">
        <f t="shared" si="20"/>
        <v>335837.22000000003</v>
      </c>
      <c r="H393" s="7" t="s">
        <v>253</v>
      </c>
      <c r="I393" s="3"/>
      <c r="J393" s="3"/>
      <c r="K393" s="3"/>
    </row>
    <row r="394" spans="1:11" ht="15">
      <c r="A394" s="3"/>
      <c r="B394" s="3"/>
      <c r="C394" s="4">
        <v>45596</v>
      </c>
      <c r="D394" s="3" t="s">
        <v>11</v>
      </c>
      <c r="E394" s="31">
        <v>2249</v>
      </c>
      <c r="F394" s="5">
        <v>470.08</v>
      </c>
      <c r="G394" s="6">
        <f t="shared" si="20"/>
        <v>1057209.92</v>
      </c>
      <c r="H394" s="7" t="s">
        <v>254</v>
      </c>
      <c r="I394" s="3"/>
      <c r="J394" s="3"/>
      <c r="K394" s="3"/>
    </row>
    <row r="395" spans="1:11" ht="15">
      <c r="A395" s="3"/>
      <c r="B395" s="3"/>
      <c r="C395" s="4">
        <v>45692</v>
      </c>
      <c r="D395" s="3" t="s">
        <v>15</v>
      </c>
      <c r="E395" s="31">
        <v>-5230</v>
      </c>
      <c r="F395" s="5">
        <v>566.72</v>
      </c>
      <c r="G395" s="6">
        <f t="shared" si="20"/>
        <v>-2963945.6</v>
      </c>
      <c r="H395" s="7" t="s">
        <v>255</v>
      </c>
      <c r="I395" s="3"/>
      <c r="J395" s="3"/>
      <c r="K395" s="3"/>
    </row>
    <row r="396" spans="1:11" ht="15">
      <c r="A396" s="3"/>
      <c r="B396" s="3"/>
      <c r="C396" s="4">
        <v>45722</v>
      </c>
      <c r="D396" s="3" t="s">
        <v>15</v>
      </c>
      <c r="E396" s="31">
        <v>-405</v>
      </c>
      <c r="F396" s="5">
        <v>519.03</v>
      </c>
      <c r="G396" s="6">
        <f t="shared" si="20"/>
        <v>-210207.15</v>
      </c>
      <c r="H396" s="7" t="s">
        <v>256</v>
      </c>
      <c r="I396" s="3"/>
      <c r="J396" s="3"/>
      <c r="K396" s="3"/>
    </row>
    <row r="397" spans="1:11" ht="15">
      <c r="A397" s="3"/>
      <c r="B397" s="3"/>
      <c r="C397" s="4">
        <v>46120</v>
      </c>
      <c r="D397" s="3" t="s">
        <v>15</v>
      </c>
      <c r="E397" s="31">
        <v>-983</v>
      </c>
      <c r="F397" s="5">
        <v>449.03</v>
      </c>
      <c r="G397" s="6">
        <f t="shared" si="20"/>
        <v>-441396.49</v>
      </c>
      <c r="H397" s="7" t="s">
        <v>257</v>
      </c>
      <c r="I397" s="3"/>
      <c r="J397" s="3"/>
      <c r="K397" s="3"/>
    </row>
    <row r="398" spans="1:11" ht="16">
      <c r="A398" s="8"/>
      <c r="B398" s="8"/>
      <c r="C398" s="9">
        <v>46122</v>
      </c>
      <c r="D398" s="8" t="s">
        <v>15</v>
      </c>
      <c r="E398" s="30">
        <v>-767</v>
      </c>
      <c r="F398" s="10">
        <v>447.37</v>
      </c>
      <c r="G398" s="10">
        <f t="shared" si="20"/>
        <v>-343132.79</v>
      </c>
      <c r="H398" s="11" t="s">
        <v>258</v>
      </c>
      <c r="I398" s="8"/>
      <c r="J398" s="8"/>
      <c r="K398" s="8"/>
    </row>
    <row r="399" spans="1:11" ht="15">
      <c r="A399" s="3"/>
      <c r="B399" s="3"/>
      <c r="C399" s="4">
        <v>46128</v>
      </c>
      <c r="D399" s="12" t="s">
        <v>15</v>
      </c>
      <c r="E399" s="32">
        <v>-1715</v>
      </c>
      <c r="F399" s="13">
        <v>459.19</v>
      </c>
      <c r="G399" s="14">
        <f t="shared" si="20"/>
        <v>-787510.85</v>
      </c>
      <c r="H399" s="15" t="s">
        <v>259</v>
      </c>
      <c r="I399" s="3"/>
      <c r="J399" s="3"/>
      <c r="K399" s="3"/>
    </row>
    <row r="400" spans="1:11" ht="15">
      <c r="A400" s="3"/>
      <c r="B400" s="3"/>
      <c r="C400" s="4">
        <v>46147</v>
      </c>
      <c r="D400" s="3" t="s">
        <v>15</v>
      </c>
      <c r="E400" s="31">
        <v>-339</v>
      </c>
      <c r="F400" s="5">
        <v>521.42999999999995</v>
      </c>
      <c r="G400" s="6">
        <f t="shared" si="20"/>
        <v>-176764.77</v>
      </c>
      <c r="H400" s="7" t="s">
        <v>260</v>
      </c>
      <c r="I400" s="3"/>
      <c r="J400" s="3"/>
      <c r="K400" s="3"/>
    </row>
    <row r="401" spans="1:11" ht="15">
      <c r="A401" s="3"/>
      <c r="B401" s="3"/>
      <c r="C401" s="4">
        <v>46195</v>
      </c>
      <c r="D401" s="3" t="s">
        <v>15</v>
      </c>
      <c r="E401" s="31">
        <v>-205</v>
      </c>
      <c r="F401" s="5">
        <v>580.5</v>
      </c>
      <c r="G401" s="6">
        <f t="shared" si="20"/>
        <v>-119002.5</v>
      </c>
      <c r="H401" s="7" t="s">
        <v>261</v>
      </c>
      <c r="I401" s="3"/>
      <c r="J401" s="3"/>
      <c r="K401" s="3"/>
    </row>
    <row r="402" spans="1:11" ht="15">
      <c r="A402" s="3"/>
      <c r="B402" s="3"/>
      <c r="C402" s="4">
        <v>46204</v>
      </c>
      <c r="D402" s="3" t="s">
        <v>15</v>
      </c>
      <c r="E402" s="31">
        <v>-937</v>
      </c>
      <c r="F402" s="5">
        <v>602.72</v>
      </c>
      <c r="G402" s="6">
        <f t="shared" si="20"/>
        <v>-564748.64</v>
      </c>
      <c r="H402" s="7" t="s">
        <v>262</v>
      </c>
      <c r="I402" s="3"/>
      <c r="J402" s="3"/>
      <c r="K402" s="3"/>
    </row>
    <row r="403" spans="1:11" ht="15">
      <c r="A403" s="3"/>
      <c r="B403" s="3"/>
      <c r="C403" s="4"/>
      <c r="D403" s="3"/>
      <c r="E403" s="39">
        <f>SUM(E391:E402)</f>
        <v>1854</v>
      </c>
      <c r="F403" s="5"/>
      <c r="G403" s="6"/>
      <c r="H403" s="7"/>
      <c r="I403" s="3"/>
      <c r="J403" s="3"/>
      <c r="K403" s="3"/>
    </row>
    <row r="404" spans="1:11" ht="30">
      <c r="A404" s="3">
        <v>65</v>
      </c>
      <c r="B404" s="3" t="s">
        <v>263</v>
      </c>
      <c r="C404" s="4">
        <v>45145</v>
      </c>
      <c r="D404" s="3" t="s">
        <v>11</v>
      </c>
      <c r="E404" s="31">
        <v>2592</v>
      </c>
      <c r="F404" s="5">
        <v>729.25</v>
      </c>
      <c r="G404" s="6">
        <f>E404*F404</f>
        <v>1890216</v>
      </c>
      <c r="H404" s="7" t="s">
        <v>264</v>
      </c>
      <c r="I404" s="3"/>
      <c r="J404" s="3"/>
      <c r="K404" s="3"/>
    </row>
    <row r="405" spans="1:11" ht="15">
      <c r="A405" s="3"/>
      <c r="B405" s="3"/>
      <c r="C405" s="4">
        <v>45181</v>
      </c>
      <c r="D405" s="3" t="s">
        <v>11</v>
      </c>
      <c r="E405" s="31">
        <v>518</v>
      </c>
      <c r="F405" s="5">
        <v>772</v>
      </c>
      <c r="G405" s="6">
        <f>E405*F405</f>
        <v>399896</v>
      </c>
      <c r="H405" s="7" t="s">
        <v>265</v>
      </c>
      <c r="I405" s="3"/>
      <c r="J405" s="3"/>
      <c r="K405" s="3"/>
    </row>
    <row r="406" spans="1:11" ht="15">
      <c r="A406" s="3"/>
      <c r="B406" s="3"/>
      <c r="C406" s="4">
        <v>45230</v>
      </c>
      <c r="D406" s="3" t="s">
        <v>11</v>
      </c>
      <c r="E406" s="31">
        <v>820</v>
      </c>
      <c r="F406" s="5">
        <v>710.33</v>
      </c>
      <c r="G406" s="6">
        <f>E406*F406</f>
        <v>582470.6</v>
      </c>
      <c r="H406" s="7" t="s">
        <v>266</v>
      </c>
      <c r="I406" s="3"/>
      <c r="J406" s="3"/>
      <c r="K406" s="3"/>
    </row>
    <row r="407" spans="1:11" ht="15">
      <c r="A407" s="8"/>
      <c r="B407" s="8"/>
      <c r="C407" s="9"/>
      <c r="D407" s="8"/>
      <c r="E407" s="40">
        <f>SUM(E404:E406)</f>
        <v>3930</v>
      </c>
      <c r="F407" s="10"/>
      <c r="G407" s="10"/>
      <c r="H407" s="11"/>
      <c r="I407" s="8"/>
      <c r="J407" s="8"/>
      <c r="K407" s="8"/>
    </row>
    <row r="408" spans="1:11" ht="30">
      <c r="A408" s="3">
        <v>66</v>
      </c>
      <c r="B408" s="3" t="s">
        <v>267</v>
      </c>
      <c r="C408" s="4">
        <v>45232</v>
      </c>
      <c r="D408" s="3" t="s">
        <v>11</v>
      </c>
      <c r="E408" s="31">
        <v>13763</v>
      </c>
      <c r="F408" s="5">
        <v>142.44999999999999</v>
      </c>
      <c r="G408" s="6">
        <f>E408*F408</f>
        <v>1960539.3499999999</v>
      </c>
      <c r="H408" s="7" t="s">
        <v>268</v>
      </c>
      <c r="I408" s="3"/>
      <c r="J408" s="3"/>
      <c r="K408" s="3"/>
    </row>
    <row r="409" spans="1:11" ht="15">
      <c r="A409" s="3"/>
      <c r="B409" s="3"/>
      <c r="C409" s="4">
        <v>45261</v>
      </c>
      <c r="D409" s="3" t="s">
        <v>11</v>
      </c>
      <c r="E409" s="31">
        <v>6317</v>
      </c>
      <c r="F409" s="5">
        <v>143.24</v>
      </c>
      <c r="G409" s="6">
        <f>E409*F409</f>
        <v>904847.08000000007</v>
      </c>
      <c r="H409" s="7" t="s">
        <v>269</v>
      </c>
      <c r="I409" s="3"/>
      <c r="J409" s="3"/>
      <c r="K409" s="3"/>
    </row>
    <row r="410" spans="1:11" ht="15">
      <c r="A410" s="3"/>
      <c r="B410" s="3"/>
      <c r="C410" s="4">
        <v>45328</v>
      </c>
      <c r="D410" s="3" t="s">
        <v>11</v>
      </c>
      <c r="E410" s="31">
        <v>2811</v>
      </c>
      <c r="F410" s="5">
        <v>176.72</v>
      </c>
      <c r="G410" s="6">
        <f>E410*F410</f>
        <v>496759.92</v>
      </c>
      <c r="H410" s="7" t="s">
        <v>270</v>
      </c>
      <c r="I410" s="3"/>
      <c r="J410" s="3"/>
      <c r="K410" s="3"/>
    </row>
    <row r="411" spans="1:11" ht="15">
      <c r="A411" s="3"/>
      <c r="B411" s="3"/>
      <c r="C411" s="4">
        <v>45334</v>
      </c>
      <c r="D411" s="3" t="s">
        <v>11</v>
      </c>
      <c r="E411" s="31">
        <v>3464</v>
      </c>
      <c r="F411" s="5">
        <v>157.97</v>
      </c>
      <c r="G411" s="6">
        <f>E411*F411</f>
        <v>547208.07999999996</v>
      </c>
      <c r="H411" s="7" t="s">
        <v>271</v>
      </c>
      <c r="I411" s="3"/>
      <c r="J411" s="3"/>
      <c r="K411" s="3"/>
    </row>
    <row r="412" spans="1:11" ht="15">
      <c r="A412" s="3"/>
      <c r="B412" s="3"/>
      <c r="C412" s="4">
        <v>45358</v>
      </c>
      <c r="D412" s="3" t="s">
        <v>11</v>
      </c>
      <c r="E412" s="31">
        <v>1538</v>
      </c>
      <c r="F412" s="5">
        <v>146.91</v>
      </c>
      <c r="G412" s="6">
        <f>E412*F412</f>
        <v>225947.58</v>
      </c>
      <c r="H412" s="7" t="s">
        <v>272</v>
      </c>
      <c r="I412" s="3"/>
      <c r="J412" s="3"/>
      <c r="K412" s="3"/>
    </row>
    <row r="413" spans="1:11" ht="15">
      <c r="A413" s="8"/>
      <c r="B413" s="8"/>
      <c r="C413" s="9"/>
      <c r="D413" s="8"/>
      <c r="E413" s="40">
        <f>SUM(E408:E412)</f>
        <v>27893</v>
      </c>
      <c r="F413" s="10"/>
      <c r="G413" s="10"/>
      <c r="H413" s="11"/>
      <c r="I413" s="8"/>
      <c r="J413" s="8"/>
      <c r="K413" s="8"/>
    </row>
    <row r="414" spans="1:11" ht="15">
      <c r="A414" s="3">
        <v>67</v>
      </c>
      <c r="B414" s="3" t="s">
        <v>273</v>
      </c>
      <c r="C414" s="4">
        <v>45441</v>
      </c>
      <c r="D414" s="3" t="s">
        <v>11</v>
      </c>
      <c r="E414" s="31">
        <v>448</v>
      </c>
      <c r="F414" s="5">
        <v>2097.31</v>
      </c>
      <c r="G414" s="6">
        <f t="shared" ref="G414:G421" si="21">E414*F414</f>
        <v>939594.88</v>
      </c>
      <c r="H414" s="7" t="s">
        <v>274</v>
      </c>
      <c r="I414" s="3"/>
      <c r="J414" s="3"/>
      <c r="K414" s="3"/>
    </row>
    <row r="415" spans="1:11" ht="15">
      <c r="A415" s="3"/>
      <c r="B415" s="3"/>
      <c r="C415" s="4">
        <v>45470</v>
      </c>
      <c r="D415" s="3" t="s">
        <v>176</v>
      </c>
      <c r="E415" s="31">
        <v>448</v>
      </c>
      <c r="F415" s="5">
        <v>0</v>
      </c>
      <c r="G415" s="6">
        <f t="shared" si="21"/>
        <v>0</v>
      </c>
      <c r="H415" s="7" t="s">
        <v>275</v>
      </c>
      <c r="I415" s="3"/>
      <c r="J415" s="3"/>
      <c r="K415" s="3"/>
    </row>
    <row r="416" spans="1:11" ht="32">
      <c r="A416" s="8"/>
      <c r="B416" s="8"/>
      <c r="C416" s="9">
        <v>45754</v>
      </c>
      <c r="D416" s="8" t="s">
        <v>11</v>
      </c>
      <c r="E416" s="30">
        <v>37</v>
      </c>
      <c r="F416" s="10">
        <v>1384.68</v>
      </c>
      <c r="G416" s="10">
        <f t="shared" si="21"/>
        <v>51233.16</v>
      </c>
      <c r="H416" s="11" t="s">
        <v>276</v>
      </c>
      <c r="I416" s="8"/>
      <c r="J416" s="8"/>
      <c r="K416" s="8"/>
    </row>
    <row r="417" spans="1:11" ht="15">
      <c r="A417" s="3"/>
      <c r="B417" s="3"/>
      <c r="C417" s="4">
        <v>45797</v>
      </c>
      <c r="D417" s="3" t="s">
        <v>11</v>
      </c>
      <c r="E417" s="31">
        <v>403</v>
      </c>
      <c r="F417" s="5">
        <v>1396.69</v>
      </c>
      <c r="G417" s="6">
        <f t="shared" si="21"/>
        <v>562866.07000000007</v>
      </c>
      <c r="H417" s="7" t="s">
        <v>277</v>
      </c>
      <c r="I417" s="3"/>
      <c r="J417" s="3"/>
      <c r="K417" s="3"/>
    </row>
    <row r="418" spans="1:11" ht="15">
      <c r="A418" s="3"/>
      <c r="B418" s="3"/>
      <c r="C418" s="4">
        <v>45810</v>
      </c>
      <c r="D418" s="3" t="s">
        <v>11</v>
      </c>
      <c r="E418" s="31">
        <v>478</v>
      </c>
      <c r="F418" s="5">
        <v>1389.95</v>
      </c>
      <c r="G418" s="6">
        <f t="shared" si="21"/>
        <v>664396.1</v>
      </c>
      <c r="H418" s="7" t="s">
        <v>278</v>
      </c>
      <c r="I418" s="3"/>
      <c r="J418" s="3"/>
      <c r="K418" s="3"/>
    </row>
    <row r="419" spans="1:11" ht="15">
      <c r="A419" s="3"/>
      <c r="B419" s="3"/>
      <c r="C419" s="4">
        <v>45887</v>
      </c>
      <c r="D419" s="3" t="s">
        <v>11</v>
      </c>
      <c r="E419" s="31">
        <v>149</v>
      </c>
      <c r="F419" s="5">
        <v>1427.79</v>
      </c>
      <c r="G419" s="6">
        <f t="shared" si="21"/>
        <v>212740.71</v>
      </c>
      <c r="H419" s="7" t="s">
        <v>279</v>
      </c>
      <c r="I419" s="3"/>
      <c r="J419" s="3"/>
      <c r="K419" s="3"/>
    </row>
    <row r="420" spans="1:11" ht="15">
      <c r="A420" s="3"/>
      <c r="B420" s="3"/>
      <c r="C420" s="4">
        <v>45904</v>
      </c>
      <c r="D420" s="3" t="s">
        <v>11</v>
      </c>
      <c r="E420" s="31">
        <v>306</v>
      </c>
      <c r="F420" s="5">
        <v>1290.97</v>
      </c>
      <c r="G420" s="6">
        <f t="shared" si="21"/>
        <v>395036.82</v>
      </c>
      <c r="H420" s="7" t="s">
        <v>280</v>
      </c>
      <c r="I420" s="3"/>
      <c r="J420" s="3"/>
      <c r="K420" s="3"/>
    </row>
    <row r="421" spans="1:11" ht="15">
      <c r="A421" s="3"/>
      <c r="B421" s="3"/>
      <c r="C421" s="4">
        <v>45968</v>
      </c>
      <c r="D421" s="3" t="s">
        <v>11</v>
      </c>
      <c r="E421" s="31">
        <v>290</v>
      </c>
      <c r="F421" s="5">
        <v>1134</v>
      </c>
      <c r="G421" s="6">
        <f t="shared" si="21"/>
        <v>328860</v>
      </c>
      <c r="H421" s="7" t="s">
        <v>281</v>
      </c>
      <c r="I421" s="3"/>
      <c r="J421" s="3"/>
      <c r="K421" s="3"/>
    </row>
    <row r="422" spans="1:11" ht="15">
      <c r="A422" s="8"/>
      <c r="B422" s="8"/>
      <c r="C422" s="9"/>
      <c r="D422" s="8"/>
      <c r="E422" s="40">
        <f>SUM(E414:E421)</f>
        <v>2559</v>
      </c>
      <c r="F422" s="10"/>
      <c r="G422" s="10"/>
      <c r="H422" s="11"/>
      <c r="I422" s="8"/>
      <c r="J422" s="8"/>
      <c r="K422" s="8"/>
    </row>
    <row r="423" spans="1:11" ht="15">
      <c r="A423" s="3">
        <v>68</v>
      </c>
      <c r="B423" s="3" t="s">
        <v>282</v>
      </c>
      <c r="C423" s="4">
        <v>45518</v>
      </c>
      <c r="D423" s="3" t="s">
        <v>11</v>
      </c>
      <c r="E423" s="31">
        <v>52890</v>
      </c>
      <c r="F423" s="5">
        <v>62.67</v>
      </c>
      <c r="G423" s="6">
        <f>E423*F423</f>
        <v>3314616.3000000003</v>
      </c>
      <c r="H423" s="7" t="s">
        <v>283</v>
      </c>
      <c r="I423" s="3"/>
      <c r="J423" s="3"/>
      <c r="K423" s="3"/>
    </row>
    <row r="424" spans="1:11" ht="15">
      <c r="A424" s="3"/>
      <c r="B424" s="3"/>
      <c r="C424" s="4">
        <v>45876</v>
      </c>
      <c r="D424" s="3" t="s">
        <v>15</v>
      </c>
      <c r="E424" s="31">
        <v>-25548</v>
      </c>
      <c r="F424" s="5">
        <v>49.31</v>
      </c>
      <c r="G424" s="6">
        <f>E424*F424</f>
        <v>-1259771.8800000001</v>
      </c>
      <c r="H424" s="7" t="s">
        <v>284</v>
      </c>
      <c r="I424" s="3"/>
      <c r="J424" s="3"/>
      <c r="K424" s="3"/>
    </row>
    <row r="425" spans="1:11" ht="16">
      <c r="A425" s="8"/>
      <c r="B425" s="8"/>
      <c r="C425" s="9">
        <v>45887</v>
      </c>
      <c r="D425" s="8" t="s">
        <v>15</v>
      </c>
      <c r="E425" s="30">
        <v>-7385</v>
      </c>
      <c r="F425" s="10">
        <v>49.25</v>
      </c>
      <c r="G425" s="10">
        <f>E425*F425</f>
        <v>-363711.25</v>
      </c>
      <c r="H425" s="11" t="s">
        <v>285</v>
      </c>
      <c r="I425" s="8"/>
      <c r="J425" s="8"/>
      <c r="K425" s="8"/>
    </row>
    <row r="426" spans="1:11" ht="15">
      <c r="A426" s="3"/>
      <c r="B426" s="3"/>
      <c r="C426" s="4">
        <v>45909</v>
      </c>
      <c r="D426" s="3" t="s">
        <v>15</v>
      </c>
      <c r="E426" s="31">
        <v>-11467</v>
      </c>
      <c r="F426" s="5">
        <v>52.45</v>
      </c>
      <c r="G426" s="6">
        <f>E426*F426</f>
        <v>-601444.15</v>
      </c>
      <c r="H426" s="7" t="s">
        <v>286</v>
      </c>
      <c r="I426" s="3"/>
      <c r="J426" s="3"/>
      <c r="K426" s="3"/>
    </row>
    <row r="427" spans="1:11" ht="15">
      <c r="A427" s="3"/>
      <c r="B427" s="3"/>
      <c r="C427" s="4">
        <v>45968</v>
      </c>
      <c r="D427" s="3" t="s">
        <v>15</v>
      </c>
      <c r="E427" s="31">
        <v>-8490</v>
      </c>
      <c r="F427" s="5">
        <v>46.03</v>
      </c>
      <c r="G427" s="6">
        <f>E427*F427</f>
        <v>-390794.7</v>
      </c>
      <c r="H427" s="7" t="s">
        <v>287</v>
      </c>
      <c r="I427" s="3"/>
      <c r="J427" s="3"/>
      <c r="K427" s="3"/>
    </row>
    <row r="428" spans="1:11" ht="15">
      <c r="C428" s="1"/>
      <c r="E428" s="42">
        <f>SUM(E423:E427)</f>
        <v>0</v>
      </c>
      <c r="F428" s="2"/>
      <c r="G428" s="2"/>
      <c r="H428" s="25"/>
    </row>
    <row r="429" spans="1:11" ht="32">
      <c r="A429" s="35">
        <v>69</v>
      </c>
      <c r="B429" s="35" t="s">
        <v>288</v>
      </c>
      <c r="C429" s="36">
        <v>45644</v>
      </c>
      <c r="D429" s="35" t="s">
        <v>11</v>
      </c>
      <c r="E429" s="37">
        <v>1410</v>
      </c>
      <c r="F429" s="37">
        <v>913.9</v>
      </c>
      <c r="G429" s="37">
        <f>E429*F429</f>
        <v>1288599</v>
      </c>
      <c r="H429" s="38" t="s">
        <v>289</v>
      </c>
      <c r="I429" s="35"/>
      <c r="J429" s="35"/>
      <c r="K429" s="35"/>
    </row>
    <row r="430" spans="1:11" ht="15">
      <c r="C430" s="1">
        <v>45670</v>
      </c>
      <c r="D430" t="s">
        <v>11</v>
      </c>
      <c r="E430" s="34">
        <v>2189</v>
      </c>
      <c r="F430" s="2">
        <v>813.46</v>
      </c>
      <c r="G430" s="2">
        <f>E430*F430</f>
        <v>1780663.9400000002</v>
      </c>
      <c r="H430" s="25" t="s">
        <v>290</v>
      </c>
    </row>
    <row r="431" spans="1:11" ht="15">
      <c r="C431" s="1">
        <v>46085</v>
      </c>
      <c r="D431" t="s">
        <v>11</v>
      </c>
      <c r="E431" s="34">
        <v>320</v>
      </c>
      <c r="F431" s="2">
        <v>976.63</v>
      </c>
      <c r="G431" s="2">
        <f>E431*F431</f>
        <v>312521.59999999998</v>
      </c>
      <c r="H431" s="25" t="s">
        <v>291</v>
      </c>
    </row>
    <row r="432" spans="1:11" ht="15">
      <c r="C432" s="1">
        <v>46097</v>
      </c>
      <c r="D432" t="s">
        <v>11</v>
      </c>
      <c r="E432" s="34">
        <v>59</v>
      </c>
      <c r="F432" s="2">
        <v>875.64</v>
      </c>
      <c r="G432" s="2">
        <f>E432*F432</f>
        <v>51662.76</v>
      </c>
      <c r="H432" s="25" t="s">
        <v>292</v>
      </c>
    </row>
    <row r="433" spans="1:11" ht="15">
      <c r="C433" s="1"/>
      <c r="E433" s="42">
        <f>SUM(E429:E432)</f>
        <v>3978</v>
      </c>
      <c r="F433" s="2"/>
      <c r="G433" s="2"/>
      <c r="H433" s="25"/>
    </row>
    <row r="434" spans="1:11" ht="32">
      <c r="A434" s="35">
        <v>70</v>
      </c>
      <c r="B434" s="35" t="s">
        <v>293</v>
      </c>
      <c r="C434" s="36">
        <v>45782</v>
      </c>
      <c r="D434" s="35" t="s">
        <v>11</v>
      </c>
      <c r="E434" s="37">
        <v>724</v>
      </c>
      <c r="F434" s="37">
        <v>2655.36</v>
      </c>
      <c r="G434" s="37">
        <f>E434*F434</f>
        <v>1922480.6400000001</v>
      </c>
      <c r="H434" s="38" t="s">
        <v>294</v>
      </c>
      <c r="I434" s="35"/>
      <c r="J434" s="35"/>
      <c r="K434" s="35"/>
    </row>
    <row r="435" spans="1:11" ht="15">
      <c r="C435" s="1">
        <v>45797</v>
      </c>
      <c r="D435" t="s">
        <v>11</v>
      </c>
      <c r="E435" s="34">
        <v>289</v>
      </c>
      <c r="F435" s="2">
        <v>2760.8</v>
      </c>
      <c r="G435" s="2">
        <f>E435*F435</f>
        <v>797871.20000000007</v>
      </c>
      <c r="H435" s="25" t="s">
        <v>295</v>
      </c>
    </row>
    <row r="436" spans="1:11" ht="15">
      <c r="C436" s="1">
        <v>45810</v>
      </c>
      <c r="D436" t="s">
        <v>11</v>
      </c>
      <c r="E436" s="34">
        <v>144</v>
      </c>
      <c r="F436" s="2">
        <v>2792.33</v>
      </c>
      <c r="G436" s="2">
        <f>E436*F436</f>
        <v>402095.52</v>
      </c>
      <c r="H436" s="25" t="s">
        <v>296</v>
      </c>
    </row>
    <row r="437" spans="1:11" ht="15">
      <c r="C437" s="1">
        <v>45957</v>
      </c>
      <c r="D437" t="s">
        <v>11</v>
      </c>
      <c r="E437" s="34">
        <v>275</v>
      </c>
      <c r="F437" s="2">
        <v>3208.67</v>
      </c>
      <c r="G437" s="2">
        <f>E437*F437</f>
        <v>882384.25</v>
      </c>
      <c r="H437" s="25" t="s">
        <v>297</v>
      </c>
    </row>
    <row r="438" spans="1:11" ht="15">
      <c r="C438" s="1">
        <v>45978</v>
      </c>
      <c r="D438" t="s">
        <v>15</v>
      </c>
      <c r="E438" s="34">
        <v>-367</v>
      </c>
      <c r="F438" s="2">
        <v>2660</v>
      </c>
      <c r="G438" s="2">
        <f>E438*F438</f>
        <v>-976220</v>
      </c>
      <c r="H438" s="25" t="s">
        <v>298</v>
      </c>
    </row>
    <row r="439" spans="1:11" ht="15">
      <c r="C439" s="1">
        <v>46178</v>
      </c>
      <c r="D439" t="s">
        <v>99</v>
      </c>
      <c r="E439" s="34">
        <v>9585</v>
      </c>
      <c r="F439" s="2"/>
      <c r="G439" s="2"/>
      <c r="H439" s="25" t="s">
        <v>299</v>
      </c>
    </row>
    <row r="440" spans="1:11" ht="15">
      <c r="C440" s="1">
        <v>46195</v>
      </c>
      <c r="D440" t="s">
        <v>15</v>
      </c>
      <c r="E440" s="34">
        <v>-3094</v>
      </c>
      <c r="F440" s="2">
        <v>440.83</v>
      </c>
      <c r="G440" s="2">
        <f>E440*F440</f>
        <v>-1363928.02</v>
      </c>
      <c r="H440" s="25" t="s">
        <v>300</v>
      </c>
    </row>
    <row r="441" spans="1:11" ht="15">
      <c r="C441" s="1"/>
      <c r="E441" s="42">
        <f>SUM(E434:E440)</f>
        <v>7556</v>
      </c>
      <c r="F441" s="2"/>
      <c r="G441" s="2"/>
      <c r="H441" s="25"/>
    </row>
    <row r="442" spans="1:11" ht="32">
      <c r="A442" s="35">
        <v>71</v>
      </c>
      <c r="B442" s="35" t="s">
        <v>301</v>
      </c>
      <c r="C442" s="36">
        <v>45958</v>
      </c>
      <c r="D442" s="35" t="s">
        <v>11</v>
      </c>
      <c r="E442" s="37">
        <v>3770</v>
      </c>
      <c r="F442" s="37">
        <v>738.65</v>
      </c>
      <c r="G442" s="37">
        <f>E442*F442</f>
        <v>2784710.5</v>
      </c>
      <c r="H442" s="38" t="s">
        <v>302</v>
      </c>
      <c r="I442" s="35"/>
      <c r="J442" s="35"/>
      <c r="K442" s="35"/>
    </row>
    <row r="443" spans="1:11" ht="15">
      <c r="C443" s="1">
        <v>46020</v>
      </c>
      <c r="D443" t="s">
        <v>11</v>
      </c>
      <c r="E443" s="34">
        <v>209</v>
      </c>
      <c r="F443" s="2">
        <v>670.33</v>
      </c>
      <c r="G443" s="2">
        <f>E443*F443</f>
        <v>140098.97</v>
      </c>
      <c r="H443" s="25" t="s">
        <v>303</v>
      </c>
    </row>
    <row r="444" spans="1:11" ht="15">
      <c r="C444" s="1">
        <v>46023</v>
      </c>
      <c r="D444" t="s">
        <v>11</v>
      </c>
      <c r="E444" s="34">
        <v>935</v>
      </c>
      <c r="F444" s="2">
        <v>657.76</v>
      </c>
      <c r="G444" s="2">
        <f>E444*F444</f>
        <v>615005.6</v>
      </c>
      <c r="H444" s="25" t="s">
        <v>304</v>
      </c>
    </row>
    <row r="445" spans="1:11" ht="15">
      <c r="C445" s="1">
        <v>46113</v>
      </c>
      <c r="D445" t="s">
        <v>11</v>
      </c>
      <c r="E445" s="34">
        <v>289</v>
      </c>
      <c r="F445" s="2">
        <v>512</v>
      </c>
      <c r="G445" s="2">
        <f>E445*F445</f>
        <v>147968</v>
      </c>
      <c r="H445" s="25" t="s">
        <v>305</v>
      </c>
    </row>
    <row r="446" spans="1:11" ht="15">
      <c r="C446" s="1"/>
      <c r="E446" s="42">
        <f>SUM(E442:E445)</f>
        <v>5203</v>
      </c>
      <c r="F446" s="2"/>
      <c r="G446" s="2"/>
      <c r="H446" s="25"/>
    </row>
    <row r="447" spans="1:11" ht="32">
      <c r="A447" s="35">
        <v>72</v>
      </c>
      <c r="B447" s="35" t="s">
        <v>306</v>
      </c>
      <c r="C447" s="36">
        <v>45981</v>
      </c>
      <c r="D447" s="35" t="s">
        <v>11</v>
      </c>
      <c r="E447" s="37">
        <v>2265</v>
      </c>
      <c r="F447" s="37">
        <v>740.93</v>
      </c>
      <c r="G447" s="37">
        <f>E447*F447</f>
        <v>1678206.45</v>
      </c>
      <c r="H447" s="38" t="s">
        <v>307</v>
      </c>
      <c r="I447" s="35"/>
      <c r="J447" s="35"/>
      <c r="K447" s="35"/>
    </row>
    <row r="448" spans="1:11" ht="15">
      <c r="C448" s="1">
        <v>45999</v>
      </c>
      <c r="D448" t="s">
        <v>11</v>
      </c>
      <c r="E448" s="34">
        <v>463</v>
      </c>
      <c r="F448" s="2">
        <v>677.73</v>
      </c>
      <c r="G448" s="2">
        <f>E448*F448</f>
        <v>313788.99</v>
      </c>
      <c r="H448" s="25" t="s">
        <v>308</v>
      </c>
    </row>
    <row r="449" spans="1:11" ht="15">
      <c r="C449" s="1">
        <v>46050</v>
      </c>
      <c r="D449" t="s">
        <v>11</v>
      </c>
      <c r="E449" s="34">
        <v>942</v>
      </c>
      <c r="F449" s="2">
        <v>740.53</v>
      </c>
      <c r="G449" s="2">
        <f>E449*F449</f>
        <v>697579.26</v>
      </c>
      <c r="H449" s="25" t="s">
        <v>309</v>
      </c>
    </row>
    <row r="450" spans="1:11" ht="15">
      <c r="C450" s="1"/>
      <c r="E450" s="42">
        <f>SUM(E447:E449)</f>
        <v>3670</v>
      </c>
      <c r="F450" s="2"/>
      <c r="G450" s="2"/>
      <c r="H450" s="25"/>
    </row>
    <row r="451" spans="1:11" ht="32">
      <c r="A451" s="45">
        <v>73</v>
      </c>
      <c r="B451" s="45" t="s">
        <v>310</v>
      </c>
      <c r="C451" s="46">
        <v>45708</v>
      </c>
      <c r="D451" s="45" t="s">
        <v>11</v>
      </c>
      <c r="E451" s="47">
        <v>40235</v>
      </c>
      <c r="F451" s="47">
        <v>107.1</v>
      </c>
      <c r="G451" s="47">
        <f>E451*F451</f>
        <v>4309168.5</v>
      </c>
      <c r="H451" s="48" t="s">
        <v>311</v>
      </c>
      <c r="I451" s="45"/>
      <c r="J451" s="45"/>
      <c r="K451" s="45"/>
    </row>
    <row r="452" spans="1:11" ht="30">
      <c r="C452" s="1">
        <v>45722</v>
      </c>
      <c r="D452" t="s">
        <v>11</v>
      </c>
      <c r="E452" s="2">
        <v>4295</v>
      </c>
      <c r="F452" s="2"/>
      <c r="G452" s="2"/>
      <c r="H452" s="25" t="s">
        <v>312</v>
      </c>
    </row>
    <row r="453" spans="1:11" ht="15">
      <c r="C453" s="1">
        <v>45722</v>
      </c>
      <c r="D453" t="s">
        <v>11</v>
      </c>
      <c r="E453" s="2">
        <v>1952</v>
      </c>
      <c r="F453" s="2">
        <v>107.67</v>
      </c>
      <c r="G453" s="2">
        <f>E453*F453</f>
        <v>210171.84</v>
      </c>
      <c r="H453" s="25" t="s">
        <v>313</v>
      </c>
    </row>
    <row r="454" spans="1:11" ht="15">
      <c r="C454" s="1">
        <v>45754</v>
      </c>
      <c r="D454" t="s">
        <v>15</v>
      </c>
      <c r="E454" s="2">
        <v>-475</v>
      </c>
      <c r="F454" s="2"/>
      <c r="G454" s="2"/>
      <c r="H454" s="25" t="s">
        <v>314</v>
      </c>
    </row>
    <row r="455" spans="1:11" ht="15">
      <c r="C455" s="1">
        <v>45776</v>
      </c>
      <c r="D455" t="s">
        <v>11</v>
      </c>
      <c r="E455" s="2">
        <v>9018</v>
      </c>
      <c r="F455" s="2">
        <v>108.83</v>
      </c>
      <c r="G455" s="2">
        <f>E455*F455</f>
        <v>981428.94</v>
      </c>
      <c r="H455" s="25" t="s">
        <v>315</v>
      </c>
    </row>
    <row r="456" spans="1:11" ht="15">
      <c r="C456" s="1">
        <v>45782</v>
      </c>
      <c r="D456" t="s">
        <v>15</v>
      </c>
      <c r="E456" s="2">
        <v>-12666</v>
      </c>
      <c r="F456" s="2">
        <v>107.85</v>
      </c>
      <c r="G456" s="2">
        <f>E456*F456</f>
        <v>-1366028.0999999999</v>
      </c>
      <c r="H456" s="25" t="s">
        <v>316</v>
      </c>
    </row>
    <row r="457" spans="1:11" ht="15">
      <c r="C457" s="1">
        <v>45797</v>
      </c>
      <c r="D457" t="s">
        <v>15</v>
      </c>
      <c r="E457" s="2">
        <v>-5975</v>
      </c>
      <c r="F457" s="2">
        <v>108.12</v>
      </c>
      <c r="G457" s="2">
        <f>E457*F457</f>
        <v>-646017</v>
      </c>
      <c r="H457" s="25" t="s">
        <v>317</v>
      </c>
    </row>
    <row r="458" spans="1:11" ht="15">
      <c r="C458" s="1">
        <v>45810</v>
      </c>
      <c r="D458" t="s">
        <v>15</v>
      </c>
      <c r="E458" s="2">
        <v>-9817</v>
      </c>
      <c r="F458" s="2">
        <v>108.63</v>
      </c>
      <c r="G458" s="2">
        <f>E458*F458</f>
        <v>-1066420.71</v>
      </c>
      <c r="H458" s="25" t="s">
        <v>318</v>
      </c>
    </row>
    <row r="459" spans="1:11" ht="15">
      <c r="C459" s="1">
        <v>45876</v>
      </c>
      <c r="D459" t="s">
        <v>11</v>
      </c>
      <c r="E459" s="2">
        <v>11418</v>
      </c>
      <c r="F459" s="2"/>
      <c r="G459" s="2"/>
      <c r="H459" s="25" t="s">
        <v>319</v>
      </c>
    </row>
    <row r="460" spans="1:11" ht="15">
      <c r="C460" s="1">
        <v>45887</v>
      </c>
      <c r="D460" t="s">
        <v>11</v>
      </c>
      <c r="E460" s="2">
        <v>1366</v>
      </c>
      <c r="F460" s="2"/>
      <c r="G460" s="2"/>
      <c r="H460" s="25" t="s">
        <v>320</v>
      </c>
    </row>
    <row r="461" spans="1:11" ht="15">
      <c r="C461" s="1">
        <v>45904</v>
      </c>
      <c r="D461" t="s">
        <v>15</v>
      </c>
      <c r="E461" s="2">
        <v>-3600</v>
      </c>
      <c r="F461" s="2"/>
      <c r="G461" s="2"/>
      <c r="H461" s="25" t="s">
        <v>321</v>
      </c>
    </row>
    <row r="462" spans="1:11" ht="15">
      <c r="C462" s="1">
        <v>45909</v>
      </c>
      <c r="D462" t="s">
        <v>11</v>
      </c>
      <c r="E462" s="2">
        <v>5427</v>
      </c>
      <c r="F462" s="2"/>
      <c r="G462" s="2"/>
      <c r="H462" s="25" t="s">
        <v>322</v>
      </c>
    </row>
    <row r="463" spans="1:11" ht="15">
      <c r="C463" s="1">
        <v>45957</v>
      </c>
      <c r="D463" t="s">
        <v>15</v>
      </c>
      <c r="E463" s="2">
        <v>-7979</v>
      </c>
      <c r="F463" s="2"/>
      <c r="G463" s="2"/>
      <c r="H463" s="25" t="s">
        <v>323</v>
      </c>
    </row>
    <row r="464" spans="1:11" ht="15">
      <c r="C464" s="1">
        <v>45958</v>
      </c>
      <c r="D464" t="s">
        <v>15</v>
      </c>
      <c r="E464" s="2">
        <v>-25132</v>
      </c>
      <c r="F464" s="2"/>
      <c r="G464" s="2"/>
      <c r="H464" s="25" t="s">
        <v>324</v>
      </c>
    </row>
    <row r="465" spans="1:11" ht="16">
      <c r="C465" s="1">
        <v>45968</v>
      </c>
      <c r="D465" t="s">
        <v>11</v>
      </c>
      <c r="E465" s="44">
        <v>5893</v>
      </c>
      <c r="F465" s="2"/>
      <c r="G465" s="2"/>
      <c r="H465" s="25" t="s">
        <v>325</v>
      </c>
    </row>
    <row r="466" spans="1:11" ht="16">
      <c r="A466" s="35"/>
      <c r="B466" s="35"/>
      <c r="C466" s="9">
        <v>45968</v>
      </c>
      <c r="D466" s="35" t="s">
        <v>15</v>
      </c>
      <c r="E466" s="10">
        <v>-2966</v>
      </c>
      <c r="F466" s="10"/>
      <c r="G466" s="10"/>
      <c r="H466" s="11" t="s">
        <v>326</v>
      </c>
      <c r="I466" s="35"/>
      <c r="J466" s="35"/>
      <c r="K466" s="35"/>
    </row>
    <row r="467" spans="1:11" ht="15">
      <c r="C467" s="1">
        <v>45968</v>
      </c>
      <c r="D467" t="s">
        <v>11</v>
      </c>
      <c r="E467" s="2">
        <v>3499</v>
      </c>
      <c r="F467" s="2"/>
      <c r="G467" s="2"/>
      <c r="H467" s="25" t="s">
        <v>327</v>
      </c>
    </row>
    <row r="468" spans="1:11" ht="16">
      <c r="C468" s="1">
        <v>45978</v>
      </c>
      <c r="D468" t="s">
        <v>11</v>
      </c>
      <c r="E468" s="44">
        <v>8732</v>
      </c>
      <c r="F468" s="2"/>
      <c r="G468" s="2"/>
      <c r="H468" s="25" t="s">
        <v>328</v>
      </c>
    </row>
    <row r="469" spans="1:11" ht="16">
      <c r="A469" s="35"/>
      <c r="B469" s="35"/>
      <c r="C469" s="9">
        <v>45978</v>
      </c>
      <c r="D469" s="35" t="s">
        <v>11</v>
      </c>
      <c r="E469" s="10">
        <v>9104</v>
      </c>
      <c r="F469" s="10"/>
      <c r="G469" s="10"/>
      <c r="H469" s="11" t="s">
        <v>329</v>
      </c>
      <c r="I469" s="35"/>
      <c r="J469" s="35"/>
      <c r="K469" s="35"/>
    </row>
    <row r="470" spans="1:11" ht="15">
      <c r="C470" s="1">
        <v>45981</v>
      </c>
      <c r="D470" t="s">
        <v>15</v>
      </c>
      <c r="E470" s="2">
        <v>-15111</v>
      </c>
      <c r="F470" s="2"/>
      <c r="G470" s="2"/>
      <c r="H470" s="25" t="s">
        <v>330</v>
      </c>
    </row>
    <row r="471" spans="1:11" ht="16">
      <c r="C471" s="1">
        <v>45999</v>
      </c>
      <c r="D471" t="s">
        <v>15</v>
      </c>
      <c r="E471" s="44">
        <v>-2801</v>
      </c>
      <c r="F471" s="2"/>
      <c r="G471" s="2"/>
      <c r="H471" s="25" t="s">
        <v>331</v>
      </c>
    </row>
    <row r="472" spans="1:11" ht="16">
      <c r="A472" s="35"/>
      <c r="B472" s="35"/>
      <c r="C472" s="9">
        <v>46020</v>
      </c>
      <c r="D472" s="35" t="s">
        <v>15</v>
      </c>
      <c r="E472" s="10">
        <v>-1247</v>
      </c>
      <c r="F472" s="10"/>
      <c r="G472" s="10"/>
      <c r="H472" s="11" t="s">
        <v>332</v>
      </c>
      <c r="I472" s="35"/>
      <c r="J472" s="35"/>
      <c r="K472" s="35"/>
    </row>
    <row r="473" spans="1:11" ht="15">
      <c r="C473" s="1">
        <v>46023</v>
      </c>
      <c r="D473" t="s">
        <v>15</v>
      </c>
      <c r="E473" s="2">
        <v>-5505</v>
      </c>
      <c r="F473" s="2"/>
      <c r="G473" s="2"/>
      <c r="H473" s="25" t="s">
        <v>333</v>
      </c>
    </row>
    <row r="474" spans="1:11" ht="31">
      <c r="C474" s="1">
        <v>46050</v>
      </c>
      <c r="D474" t="s">
        <v>15</v>
      </c>
      <c r="E474" s="44">
        <v>-1765</v>
      </c>
      <c r="F474" s="2"/>
      <c r="G474" s="2"/>
      <c r="H474" s="25" t="s">
        <v>334</v>
      </c>
    </row>
    <row r="475" spans="1:11" ht="15">
      <c r="C475" s="1">
        <v>46050</v>
      </c>
      <c r="D475" t="s">
        <v>11</v>
      </c>
      <c r="E475" s="2">
        <v>3820</v>
      </c>
      <c r="F475" s="2"/>
      <c r="G475" s="2"/>
      <c r="H475" s="25" t="s">
        <v>335</v>
      </c>
    </row>
    <row r="476" spans="1:11" ht="15">
      <c r="C476" s="1">
        <v>46050</v>
      </c>
      <c r="D476" t="s">
        <v>15</v>
      </c>
      <c r="E476" s="2">
        <v>-6212</v>
      </c>
      <c r="F476" s="2"/>
      <c r="G476" s="2"/>
      <c r="H476" s="25" t="s">
        <v>336</v>
      </c>
    </row>
    <row r="477" spans="1:11" ht="15">
      <c r="C477" s="1">
        <v>46070</v>
      </c>
      <c r="D477" t="s">
        <v>11</v>
      </c>
      <c r="E477" s="2">
        <v>5704</v>
      </c>
      <c r="F477" s="2"/>
      <c r="G477" s="2"/>
      <c r="H477" s="25" t="s">
        <v>337</v>
      </c>
    </row>
    <row r="478" spans="1:11" ht="15">
      <c r="C478" s="1">
        <v>46085</v>
      </c>
      <c r="D478" t="s">
        <v>15</v>
      </c>
      <c r="E478" s="2">
        <v>-2774</v>
      </c>
      <c r="F478" s="2"/>
      <c r="G478" s="2"/>
      <c r="H478" s="25" t="s">
        <v>338</v>
      </c>
    </row>
    <row r="479" spans="1:11" ht="15">
      <c r="C479" s="1">
        <v>46090</v>
      </c>
      <c r="D479" t="s">
        <v>11</v>
      </c>
      <c r="E479" s="2">
        <v>2757</v>
      </c>
      <c r="F479" s="2"/>
      <c r="G479" s="2"/>
      <c r="H479" s="25" t="s">
        <v>339</v>
      </c>
    </row>
    <row r="480" spans="1:11" ht="15">
      <c r="C480" s="1">
        <v>46097</v>
      </c>
      <c r="D480" t="s">
        <v>15</v>
      </c>
      <c r="E480" s="2">
        <v>-458</v>
      </c>
      <c r="F480" s="2"/>
      <c r="G480" s="2"/>
      <c r="H480" s="25" t="s">
        <v>340</v>
      </c>
    </row>
    <row r="481" spans="1:11" ht="15">
      <c r="C481" s="1">
        <v>46113</v>
      </c>
      <c r="D481" t="s">
        <v>15</v>
      </c>
      <c r="E481" s="2">
        <v>-1307</v>
      </c>
      <c r="F481" s="2"/>
      <c r="G481" s="2"/>
      <c r="H481" s="25" t="s">
        <v>341</v>
      </c>
    </row>
    <row r="482" spans="1:11" ht="15">
      <c r="C482" s="1">
        <v>46120</v>
      </c>
      <c r="D482" t="s">
        <v>11</v>
      </c>
      <c r="E482" s="2">
        <v>3879</v>
      </c>
      <c r="F482" s="2"/>
      <c r="G482" s="2"/>
      <c r="H482" s="25" t="s">
        <v>342</v>
      </c>
    </row>
    <row r="483" spans="1:11" ht="15">
      <c r="C483" s="1">
        <v>46122</v>
      </c>
      <c r="D483" t="s">
        <v>15</v>
      </c>
      <c r="E483" s="2">
        <v>-7827</v>
      </c>
      <c r="F483" s="2"/>
      <c r="G483" s="2"/>
      <c r="H483" s="25" t="s">
        <v>343</v>
      </c>
    </row>
    <row r="484" spans="1:11" ht="15">
      <c r="C484" s="1">
        <v>46128</v>
      </c>
      <c r="D484" t="s">
        <v>15</v>
      </c>
      <c r="E484" s="2">
        <v>-231</v>
      </c>
      <c r="F484" s="2"/>
      <c r="G484" s="2"/>
      <c r="H484" s="25" t="s">
        <v>344</v>
      </c>
    </row>
    <row r="485" spans="1:11" ht="15">
      <c r="C485" s="1">
        <v>46147</v>
      </c>
      <c r="D485" t="s">
        <v>15</v>
      </c>
      <c r="E485" s="2">
        <v>-3251</v>
      </c>
      <c r="F485" s="2"/>
      <c r="G485" s="2"/>
      <c r="H485" s="25" t="s">
        <v>345</v>
      </c>
    </row>
    <row r="486" spans="1:11" ht="15">
      <c r="C486" s="1">
        <v>46195</v>
      </c>
      <c r="D486" t="s">
        <v>11</v>
      </c>
      <c r="E486" s="2">
        <v>13804</v>
      </c>
      <c r="F486" s="2"/>
      <c r="G486" s="2"/>
      <c r="H486" s="25" t="s">
        <v>346</v>
      </c>
    </row>
    <row r="487" spans="1:11" ht="16">
      <c r="C487" s="1">
        <v>46204</v>
      </c>
      <c r="D487" t="s">
        <v>11</v>
      </c>
      <c r="E487" s="44">
        <v>4918</v>
      </c>
      <c r="F487" s="2"/>
      <c r="G487" s="2"/>
      <c r="H487" s="25" t="s">
        <v>347</v>
      </c>
    </row>
    <row r="488" spans="1:11" ht="15">
      <c r="C488" s="1"/>
      <c r="E488" s="42">
        <f>SUM(E451:E487)</f>
        <v>18722</v>
      </c>
      <c r="F488" s="2"/>
      <c r="G488" s="2"/>
      <c r="H488" s="25"/>
    </row>
    <row r="489" spans="1:11" ht="15">
      <c r="A489" s="43"/>
      <c r="B489" s="43"/>
      <c r="C489" s="9"/>
      <c r="D489" s="43"/>
      <c r="E489" s="10"/>
      <c r="F489" s="10"/>
      <c r="G489" s="10"/>
      <c r="H489" s="11"/>
      <c r="I489" s="43"/>
      <c r="J489" s="43"/>
      <c r="K489" s="43"/>
    </row>
    <row r="490" spans="1:11" ht="32">
      <c r="A490" s="45">
        <v>74</v>
      </c>
      <c r="B490" s="45" t="s">
        <v>348</v>
      </c>
      <c r="C490" s="46">
        <v>46122</v>
      </c>
      <c r="D490" s="45" t="s">
        <v>11</v>
      </c>
      <c r="E490" s="47">
        <v>1655</v>
      </c>
      <c r="F490" s="47">
        <v>864.33</v>
      </c>
      <c r="G490" s="47">
        <f>E490*F490</f>
        <v>1430466.1500000001</v>
      </c>
      <c r="H490" s="48" t="s">
        <v>349</v>
      </c>
      <c r="I490" s="45"/>
      <c r="J490" s="45"/>
      <c r="K490" s="45"/>
    </row>
    <row r="491" spans="1:11" ht="16">
      <c r="C491" s="1">
        <v>46195</v>
      </c>
      <c r="D491" t="s">
        <v>11</v>
      </c>
      <c r="E491" s="44">
        <v>330</v>
      </c>
      <c r="F491" s="2">
        <v>968.16</v>
      </c>
      <c r="G491" s="2">
        <f>E491*F491</f>
        <v>319492.8</v>
      </c>
      <c r="H491" s="25" t="s">
        <v>350</v>
      </c>
    </row>
    <row r="492" spans="1:11" ht="15">
      <c r="C492" s="1"/>
      <c r="E492" s="42">
        <f>SUM(E490:E491)</f>
        <v>1985</v>
      </c>
      <c r="F492" s="2"/>
      <c r="G492" s="2"/>
      <c r="H492" s="25"/>
    </row>
    <row r="493" spans="1:11" ht="15">
      <c r="A493" s="43"/>
      <c r="B493" s="43"/>
      <c r="C493" s="9"/>
      <c r="D493" s="43"/>
      <c r="E493" s="10"/>
      <c r="F493" s="10"/>
      <c r="G493" s="10"/>
      <c r="H493" s="11"/>
      <c r="I493" s="43"/>
      <c r="J493" s="43"/>
      <c r="K493" s="43"/>
    </row>
    <row r="494" spans="1:11" ht="32">
      <c r="A494" s="45">
        <v>75</v>
      </c>
      <c r="B494" s="45" t="s">
        <v>351</v>
      </c>
      <c r="C494" s="46">
        <v>46128</v>
      </c>
      <c r="D494" s="45" t="s">
        <v>11</v>
      </c>
      <c r="E494" s="47">
        <v>2434</v>
      </c>
      <c r="F494" s="47">
        <v>623.82000000000005</v>
      </c>
      <c r="G494" s="47">
        <f>E494*F494</f>
        <v>1518377.8800000001</v>
      </c>
      <c r="H494" s="48" t="s">
        <v>352</v>
      </c>
      <c r="I494" s="45"/>
      <c r="J494" s="45"/>
      <c r="K494" s="45"/>
    </row>
    <row r="495" spans="1:11" ht="16">
      <c r="C495" s="1">
        <v>46182</v>
      </c>
      <c r="D495" t="s">
        <v>11</v>
      </c>
      <c r="E495" s="44">
        <v>532</v>
      </c>
      <c r="F495" s="2">
        <v>525.87</v>
      </c>
      <c r="G495" s="2">
        <f>E495*F495</f>
        <v>279762.84000000003</v>
      </c>
      <c r="H495" s="25" t="s">
        <v>353</v>
      </c>
    </row>
    <row r="496" spans="1:11" ht="15">
      <c r="C496" s="1"/>
      <c r="E496" s="42">
        <f>SUM(E494:E495)</f>
        <v>2966</v>
      </c>
      <c r="F496" s="2"/>
      <c r="G496" s="2"/>
      <c r="H496" s="25"/>
    </row>
    <row r="497" spans="1:11" ht="15">
      <c r="A497" s="43"/>
      <c r="B497" s="43"/>
      <c r="C497" s="9"/>
      <c r="D497" s="43"/>
      <c r="E497" s="10"/>
      <c r="F497" s="10"/>
      <c r="G497" s="10"/>
      <c r="H497" s="11"/>
      <c r="I497" s="43"/>
      <c r="J497" s="43"/>
      <c r="K497" s="43"/>
    </row>
    <row r="498" spans="1:11" ht="32">
      <c r="A498" s="45">
        <v>76</v>
      </c>
      <c r="B498" s="45" t="s">
        <v>354</v>
      </c>
      <c r="C498" s="46">
        <v>46147</v>
      </c>
      <c r="D498" s="45" t="s">
        <v>11</v>
      </c>
      <c r="E498" s="49">
        <v>12359</v>
      </c>
      <c r="F498" s="47">
        <v>104.89</v>
      </c>
      <c r="G498" s="47">
        <f>E498*F498</f>
        <v>1296335.51</v>
      </c>
      <c r="H498" s="48" t="s">
        <v>355</v>
      </c>
      <c r="I498" s="45"/>
      <c r="J498" s="45"/>
      <c r="K498" s="45"/>
    </row>
    <row r="499" spans="1:11" ht="15">
      <c r="C499" s="1">
        <v>46153</v>
      </c>
      <c r="D499" t="s">
        <v>11</v>
      </c>
      <c r="E499" s="2">
        <v>1297</v>
      </c>
      <c r="F499" s="2">
        <v>99.69</v>
      </c>
      <c r="G499" s="2">
        <f>E499*F499</f>
        <v>129297.93</v>
      </c>
      <c r="H499" s="25" t="s">
        <v>356</v>
      </c>
    </row>
    <row r="500" spans="1:11" ht="15">
      <c r="C500" s="1"/>
      <c r="E500" s="42">
        <f>SUM(E498:E499)</f>
        <v>13656</v>
      </c>
      <c r="F500" s="2"/>
      <c r="G500" s="2"/>
      <c r="H500" s="25"/>
    </row>
  </sheetData>
  <conditionalFormatting sqref="D2:D427">
    <cfRule type="expression" dxfId="0" priority="1">
      <formula>D2="Sell"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workbookViewId="0"/>
  </sheetViews>
  <sheetFormatPr baseColWidth="10" defaultColWidth="8.83203125" defaultRowHeight="14"/>
  <cols>
    <col min="1" max="1" width="22" customWidth="1"/>
    <col min="2" max="3" width="14" customWidth="1"/>
    <col min="4" max="4" width="12" customWidth="1"/>
    <col min="5" max="5" width="65" customWidth="1"/>
    <col min="6" max="6" width="42" customWidth="1"/>
  </cols>
  <sheetData>
    <row r="1" spans="1:6" ht="16">
      <c r="A1" s="26" t="s">
        <v>357</v>
      </c>
      <c r="B1" s="28" t="s">
        <v>2</v>
      </c>
      <c r="C1" s="26" t="s">
        <v>358</v>
      </c>
      <c r="D1" s="26" t="s">
        <v>4</v>
      </c>
      <c r="E1" s="26" t="s">
        <v>7</v>
      </c>
      <c r="F1" s="26" t="s">
        <v>359</v>
      </c>
    </row>
    <row r="2" spans="1:6">
      <c r="A2" s="24" t="s">
        <v>84</v>
      </c>
      <c r="B2" s="24">
        <v>45722</v>
      </c>
      <c r="C2" s="24" t="s">
        <v>15</v>
      </c>
      <c r="D2" s="24">
        <v>-2568</v>
      </c>
      <c r="E2" s="24" t="s">
        <v>88</v>
      </c>
      <c r="F2" s="24" t="s">
        <v>360</v>
      </c>
    </row>
    <row r="3" spans="1:6">
      <c r="A3" t="s">
        <v>310</v>
      </c>
      <c r="B3" s="27">
        <v>46023</v>
      </c>
      <c r="C3" t="s">
        <v>15</v>
      </c>
      <c r="D3">
        <v>-5505</v>
      </c>
      <c r="E3" t="s">
        <v>333</v>
      </c>
      <c r="F3" t="s">
        <v>361</v>
      </c>
    </row>
    <row r="4" spans="1:6">
      <c r="A4" t="s">
        <v>310</v>
      </c>
      <c r="B4" s="27">
        <v>46050</v>
      </c>
      <c r="C4" t="s">
        <v>11</v>
      </c>
      <c r="D4">
        <v>3820</v>
      </c>
      <c r="E4" t="s">
        <v>362</v>
      </c>
      <c r="F4" t="s">
        <v>361</v>
      </c>
    </row>
    <row r="5" spans="1:6">
      <c r="A5" t="s">
        <v>310</v>
      </c>
      <c r="B5" s="27">
        <v>46050</v>
      </c>
      <c r="C5" t="s">
        <v>15</v>
      </c>
      <c r="D5">
        <v>-6212</v>
      </c>
      <c r="E5" t="s">
        <v>362</v>
      </c>
      <c r="F5" t="s">
        <v>361</v>
      </c>
    </row>
    <row r="6" spans="1:6">
      <c r="A6" t="s">
        <v>310</v>
      </c>
      <c r="B6" s="27">
        <v>46070</v>
      </c>
      <c r="C6" t="s">
        <v>11</v>
      </c>
      <c r="D6">
        <v>5704</v>
      </c>
      <c r="E6" t="s">
        <v>337</v>
      </c>
      <c r="F6" t="s">
        <v>361</v>
      </c>
    </row>
    <row r="7" spans="1:6">
      <c r="A7" t="s">
        <v>310</v>
      </c>
      <c r="B7" s="27">
        <v>46085</v>
      </c>
      <c r="C7" t="s">
        <v>15</v>
      </c>
      <c r="D7">
        <v>-2774</v>
      </c>
      <c r="E7" t="s">
        <v>338</v>
      </c>
      <c r="F7" t="s">
        <v>361</v>
      </c>
    </row>
    <row r="8" spans="1:6">
      <c r="A8" t="s">
        <v>310</v>
      </c>
      <c r="B8" s="27">
        <v>46090</v>
      </c>
      <c r="C8" t="s">
        <v>11</v>
      </c>
      <c r="D8">
        <v>2757</v>
      </c>
      <c r="E8" t="s">
        <v>339</v>
      </c>
      <c r="F8" t="s">
        <v>361</v>
      </c>
    </row>
    <row r="9" spans="1:6">
      <c r="A9" t="s">
        <v>310</v>
      </c>
      <c r="B9" s="27">
        <v>46097</v>
      </c>
      <c r="C9" t="s">
        <v>15</v>
      </c>
      <c r="D9">
        <v>-458</v>
      </c>
      <c r="E9" t="s">
        <v>340</v>
      </c>
      <c r="F9" t="s">
        <v>361</v>
      </c>
    </row>
    <row r="10" spans="1:6">
      <c r="A10" t="s">
        <v>310</v>
      </c>
      <c r="B10" s="27">
        <v>46113</v>
      </c>
      <c r="C10" t="s">
        <v>15</v>
      </c>
      <c r="D10">
        <v>-1307</v>
      </c>
      <c r="E10" t="s">
        <v>341</v>
      </c>
      <c r="F10" t="s">
        <v>361</v>
      </c>
    </row>
    <row r="11" spans="1:6">
      <c r="A11" t="s">
        <v>310</v>
      </c>
      <c r="B11" s="27">
        <v>46120</v>
      </c>
      <c r="C11" t="s">
        <v>11</v>
      </c>
      <c r="D11">
        <v>3879</v>
      </c>
      <c r="E11" t="s">
        <v>342</v>
      </c>
      <c r="F11" t="s">
        <v>361</v>
      </c>
    </row>
    <row r="12" spans="1:6">
      <c r="A12" t="s">
        <v>310</v>
      </c>
      <c r="B12" s="27">
        <v>46122</v>
      </c>
      <c r="C12" t="s">
        <v>15</v>
      </c>
      <c r="D12">
        <v>-7827</v>
      </c>
      <c r="E12" t="s">
        <v>343</v>
      </c>
      <c r="F12" t="s">
        <v>361</v>
      </c>
    </row>
    <row r="13" spans="1:6">
      <c r="A13" t="s">
        <v>310</v>
      </c>
      <c r="B13" s="27">
        <v>46128</v>
      </c>
      <c r="C13" t="s">
        <v>15</v>
      </c>
      <c r="D13">
        <v>-231</v>
      </c>
      <c r="E13" t="s">
        <v>344</v>
      </c>
      <c r="F13" t="s">
        <v>361</v>
      </c>
    </row>
    <row r="14" spans="1:6">
      <c r="A14" t="s">
        <v>310</v>
      </c>
      <c r="B14" s="27">
        <v>46147</v>
      </c>
      <c r="C14" t="s">
        <v>15</v>
      </c>
      <c r="D14">
        <v>-3251</v>
      </c>
      <c r="E14" t="s">
        <v>345</v>
      </c>
      <c r="F14" t="s">
        <v>361</v>
      </c>
    </row>
    <row r="15" spans="1:6">
      <c r="A15" t="s">
        <v>310</v>
      </c>
      <c r="B15" s="27">
        <v>46195</v>
      </c>
      <c r="C15" t="s">
        <v>11</v>
      </c>
      <c r="D15">
        <v>13804</v>
      </c>
      <c r="E15" t="s">
        <v>346</v>
      </c>
      <c r="F15" t="s">
        <v>361</v>
      </c>
    </row>
    <row r="16" spans="1:6">
      <c r="A16" t="s">
        <v>310</v>
      </c>
      <c r="B16" s="27">
        <v>46204</v>
      </c>
      <c r="C16" t="s">
        <v>11</v>
      </c>
      <c r="D16">
        <v>4918</v>
      </c>
      <c r="E16" t="s">
        <v>347</v>
      </c>
      <c r="F16" t="s">
        <v>361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Review Needed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Yash Patel</cp:lastModifiedBy>
  <dcterms:modified xsi:type="dcterms:W3CDTF">2026-07-14T08:59:38Z</dcterms:modified>
</cp:coreProperties>
</file>