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780" windowWidth="31580" windowHeight="22600" tabRatio="600" firstSheet="0" activeTab="0" autoFilterDateGrouping="1"/>
  </bookViews>
  <sheets>
    <sheet name="Sheet1" sheetId="1" state="visible" r:id="rId1"/>
    <sheet name="Review Needed" sheetId="2" state="visible" r:id="rId2"/>
    <sheet name="Corporate Action Audit" sheetId="3" state="visible" r:id="rId3"/>
    <sheet name="Reconciliation Fix Audit" sheetId="4" state="visible" r:id="rId4"/>
    <sheet name="Targeted Validation" sheetId="5" state="visible" r:id="rId5"/>
    <sheet name="2012 Reconciliation Policy" sheetId="6" state="visible" r:id="rId6"/>
    <sheet name="2012 Snapshot Quality" sheetId="7" state="visible" r:id="rId7"/>
    <sheet name="2012 Reconciliation Audit" sheetId="8" state="visible" r:id="rId8"/>
    <sheet name="2012 Reconciliation Summary" sheetId="9" state="visible" r:id="rId9"/>
    <sheet name="Version Info" sheetId="10" state="visible" r:id="rId10"/>
    <sheet name="V5 Hard Recon Audit" sheetId="11" state="visible" r:id="rId11"/>
    <sheet name="V5 Validation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yyyy\-mm\-dd\ h:mm:ss"/>
    <numFmt numFmtId="165" formatCode="dd\-mmm\-yyyy"/>
    <numFmt numFmtId="166" formatCode="#,##0;[Red]\(#,##0\);\-"/>
    <numFmt numFmtId="167" formatCode="#,##0.00;[Red]\(#,##0.00\);\-"/>
    <numFmt numFmtId="168" formatCode="dd\-mmm\-yyyy\ hh:mm"/>
  </numFmts>
  <fonts count="1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000000"/>
      <sz val="11"/>
    </font>
    <font>
      <name val="Carlito"/>
      <b val="1"/>
      <color rgb="FF0000FF"/>
      <sz val="10"/>
    </font>
    <font>
      <name val="Carlito"/>
      <color rgb="FF0000FF"/>
      <sz val="10"/>
    </font>
    <font>
      <name val="Carlito"/>
      <b val="1"/>
      <color rgb="FF000000"/>
      <sz val="10"/>
    </font>
    <font>
      <name val="Carlito"/>
      <color rgb="FF000000"/>
      <sz val="10"/>
    </font>
    <font>
      <name val="Carlito"/>
      <b val="1"/>
      <color rgb="FF006100"/>
      <sz val="10"/>
    </font>
    <font>
      <name val="Carlito"/>
      <sz val="10"/>
    </font>
    <font>
      <name val="Carlito"/>
      <b val="1"/>
      <color rgb="FF9C6500"/>
      <sz val="11"/>
    </font>
    <font>
      <name val="Carlito"/>
      <b val="1"/>
      <color rgb="FFFFFFFF"/>
      <sz val="14"/>
    </font>
    <font>
      <name val="Carlito"/>
      <b val="1"/>
      <color rgb="FF006100"/>
      <sz val="11"/>
    </font>
  </fonts>
  <fills count="2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89">
    <xf numFmtId="0" fontId="0" fillId="0" borderId="0" pivotButton="0" quotePrefix="0" xfId="0"/>
    <xf numFmtId="0" fontId="0" fillId="5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2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/>
    </xf>
    <xf numFmtId="165" fontId="4" fillId="3" borderId="0" applyAlignment="1" pivotButton="0" quotePrefix="0" xfId="0">
      <alignment vertical="top"/>
    </xf>
    <xf numFmtId="166" fontId="4" fillId="3" borderId="0" applyAlignment="1" pivotButton="0" quotePrefix="0" xfId="0">
      <alignment vertical="top"/>
    </xf>
    <xf numFmtId="167" fontId="4" fillId="3" borderId="0" applyAlignment="1" pivotButton="0" quotePrefix="0" xfId="0">
      <alignment vertical="top"/>
    </xf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67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6" fontId="4" fillId="0" borderId="2" applyAlignment="1" pivotButton="0" quotePrefix="0" xfId="0">
      <alignment horizontal="right" vertical="top"/>
    </xf>
    <xf numFmtId="0" fontId="5" fillId="4" borderId="0" applyAlignment="1" pivotButton="0" quotePrefix="0" xfId="0">
      <alignment vertical="top"/>
    </xf>
    <xf numFmtId="166" fontId="5" fillId="4" borderId="0" applyAlignment="1" pivotButton="0" quotePrefix="0" xfId="0">
      <alignment vertical="top"/>
    </xf>
    <xf numFmtId="167" fontId="5" fillId="4" borderId="0" applyAlignment="1" pivotButton="0" quotePrefix="0" xfId="0">
      <alignment vertical="top"/>
    </xf>
    <xf numFmtId="0" fontId="5" fillId="4" borderId="0" applyAlignment="1" pivotButton="0" quotePrefix="0" xfId="0">
      <alignment vertical="top" wrapText="1"/>
    </xf>
    <xf numFmtId="166" fontId="4" fillId="3" borderId="2" applyAlignment="1" pivotButton="0" quotePrefix="0" xfId="0">
      <alignment horizontal="right" vertical="top"/>
    </xf>
    <xf numFmtId="0" fontId="4" fillId="4" borderId="0" applyAlignment="1" pivotButton="0" quotePrefix="0" xfId="0">
      <alignment vertical="top"/>
    </xf>
    <xf numFmtId="166" fontId="4" fillId="4" borderId="2" applyAlignment="1" pivotButton="0" quotePrefix="0" xfId="0">
      <alignment horizontal="right" vertical="top"/>
    </xf>
    <xf numFmtId="167" fontId="4" fillId="4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167" fontId="6" fillId="3" borderId="0" applyAlignment="1" pivotButton="0" quotePrefix="0" xfId="0">
      <alignment vertical="top"/>
    </xf>
    <xf numFmtId="167" fontId="7" fillId="0" borderId="0" applyAlignment="1" pivotButton="0" quotePrefix="0" xfId="0">
      <alignment vertical="top"/>
    </xf>
    <xf numFmtId="167" fontId="7" fillId="4" borderId="0" applyAlignment="1" pivotButton="0" quotePrefix="0" xfId="0">
      <alignment vertical="top"/>
    </xf>
    <xf numFmtId="167" fontId="6" fillId="4" borderId="0" applyAlignment="1" pivotButton="0" quotePrefix="0" xfId="0">
      <alignment vertical="top"/>
    </xf>
    <xf numFmtId="0" fontId="8" fillId="6" borderId="0" applyAlignment="1" pivotButton="0" quotePrefix="0" xfId="0">
      <alignment vertical="top" wrapText="1"/>
    </xf>
    <xf numFmtId="167" fontId="6" fillId="7" borderId="0" applyAlignment="1" pivotButton="0" quotePrefix="0" xfId="0">
      <alignment vertical="top"/>
    </xf>
    <xf numFmtId="0" fontId="1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165" fontId="9" fillId="0" borderId="0" applyAlignment="1" pivotButton="0" quotePrefix="0" xfId="0">
      <alignment vertical="top" wrapText="1"/>
    </xf>
    <xf numFmtId="3" fontId="9" fillId="0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/>
    </xf>
    <xf numFmtId="166" fontId="4" fillId="4" borderId="0" applyAlignment="1" pivotButton="0" quotePrefix="0" xfId="0">
      <alignment vertical="top"/>
    </xf>
    <xf numFmtId="0" fontId="4" fillId="7" borderId="0" applyAlignment="1" pivotButton="0" quotePrefix="0" xfId="0">
      <alignment vertical="top"/>
    </xf>
    <xf numFmtId="165" fontId="4" fillId="7" borderId="0" applyAlignment="1" pivotButton="0" quotePrefix="0" xfId="0">
      <alignment vertical="top"/>
    </xf>
    <xf numFmtId="166" fontId="4" fillId="7" borderId="0" applyAlignment="1" pivotButton="0" quotePrefix="0" xfId="0">
      <alignment vertical="top"/>
    </xf>
    <xf numFmtId="167" fontId="4" fillId="7" borderId="0" applyAlignment="1" pivotButton="0" quotePrefix="0" xfId="0">
      <alignment vertical="top"/>
    </xf>
    <xf numFmtId="0" fontId="4" fillId="7" borderId="0" applyAlignment="1" pivotButton="0" quotePrefix="0" xfId="0">
      <alignment vertical="top" wrapText="1"/>
    </xf>
    <xf numFmtId="166" fontId="4" fillId="7" borderId="2" applyAlignment="1" pivotButton="0" quotePrefix="0" xfId="0">
      <alignment horizontal="right" vertical="top"/>
    </xf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10" fillId="9" borderId="0" applyAlignment="1" pivotButton="0" quotePrefix="0" xfId="0">
      <alignment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wrapText="1"/>
    </xf>
    <xf numFmtId="166" fontId="0" fillId="0" borderId="0" pivotButton="0" quotePrefix="0" xfId="0"/>
    <xf numFmtId="0" fontId="1" fillId="13" borderId="0" applyAlignment="1" pivotButton="0" quotePrefix="0" xfId="0">
      <alignment horizontal="center"/>
    </xf>
    <xf numFmtId="0" fontId="3" fillId="1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1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12" fillId="15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2" fillId="16" borderId="0" pivotButton="0" quotePrefix="0" xfId="0"/>
    <xf numFmtId="168" fontId="0" fillId="0" borderId="0" applyAlignment="1" pivotButton="0" quotePrefix="0" xfId="0">
      <alignment wrapText="1"/>
    </xf>
    <xf numFmtId="0" fontId="12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 vertical="center" wrapText="1"/>
    </xf>
    <xf numFmtId="0" fontId="4" fillId="18" borderId="0" applyAlignment="1" pivotButton="0" quotePrefix="0" xfId="0">
      <alignment vertical="top"/>
    </xf>
    <xf numFmtId="165" fontId="4" fillId="18" borderId="0" applyAlignment="1" pivotButton="0" quotePrefix="0" xfId="0">
      <alignment vertical="top"/>
    </xf>
    <xf numFmtId="166" fontId="4" fillId="18" borderId="0" applyAlignment="1" pivotButton="0" quotePrefix="0" xfId="0">
      <alignment vertical="top"/>
    </xf>
    <xf numFmtId="167" fontId="4" fillId="18" borderId="0" applyAlignment="1" pivotButton="0" quotePrefix="0" xfId="0">
      <alignment vertical="top"/>
    </xf>
    <xf numFmtId="0" fontId="4" fillId="18" borderId="0" applyAlignment="1" pivotButton="0" quotePrefix="0" xfId="0">
      <alignment vertical="top" wrapText="1"/>
    </xf>
    <xf numFmtId="166" fontId="4" fillId="18" borderId="2" applyAlignment="1" pivotButton="0" quotePrefix="0" xfId="0">
      <alignment horizontal="right" vertical="top"/>
    </xf>
    <xf numFmtId="165" fontId="8" fillId="19" borderId="0" applyAlignment="1" pivotButton="0" quotePrefix="0" xfId="0">
      <alignment vertical="top"/>
    </xf>
    <xf numFmtId="0" fontId="8" fillId="19" borderId="0" applyAlignment="1" pivotButton="0" quotePrefix="0" xfId="0">
      <alignment vertical="top"/>
    </xf>
    <xf numFmtId="166" fontId="8" fillId="19" borderId="0" applyAlignment="1" pivotButton="0" quotePrefix="0" xfId="0">
      <alignment vertical="top"/>
    </xf>
    <xf numFmtId="167" fontId="8" fillId="19" borderId="0" applyAlignment="1" pivotButton="0" quotePrefix="0" xfId="0">
      <alignment vertical="top"/>
    </xf>
    <xf numFmtId="0" fontId="8" fillId="19" borderId="0" applyAlignment="1" pivotButton="0" quotePrefix="0" xfId="0">
      <alignment vertical="top" wrapText="1"/>
    </xf>
    <xf numFmtId="166" fontId="8" fillId="19" borderId="2" applyAlignment="1" pivotButton="0" quotePrefix="0" xfId="0">
      <alignment horizontal="right" vertical="top"/>
    </xf>
    <xf numFmtId="167" fontId="6" fillId="20" borderId="0" applyAlignment="1" pivotButton="0" quotePrefix="0" xfId="0">
      <alignment vertical="top"/>
    </xf>
    <xf numFmtId="0" fontId="6" fillId="20" borderId="0" applyAlignment="1" pivotButton="0" quotePrefix="0" xfId="0">
      <alignment vertical="top"/>
    </xf>
    <xf numFmtId="165" fontId="6" fillId="20" borderId="0" applyAlignment="1" pivotButton="0" quotePrefix="0" xfId="0">
      <alignment vertical="top"/>
    </xf>
    <xf numFmtId="166" fontId="6" fillId="20" borderId="0" applyAlignment="1" pivotButton="0" quotePrefix="0" xfId="0">
      <alignment vertical="top"/>
    </xf>
    <xf numFmtId="0" fontId="6" fillId="20" borderId="0" applyAlignment="1" pivotButton="0" quotePrefix="0" xfId="0">
      <alignment vertical="top" wrapText="1"/>
    </xf>
    <xf numFmtId="166" fontId="6" fillId="20" borderId="2" applyAlignment="1" pivotButton="0" quotePrefix="0" xfId="0">
      <alignment horizontal="right" vertical="top"/>
    </xf>
    <xf numFmtId="0" fontId="1" fillId="21" borderId="0" applyAlignment="1" pivotButton="0" quotePrefix="0" xfId="0">
      <alignment horizontal="center" wrapText="1"/>
    </xf>
    <xf numFmtId="0" fontId="10" fillId="22" borderId="0" applyAlignment="1" pivotButton="0" quotePrefix="0" xfId="0">
      <alignment wrapText="1"/>
    </xf>
    <xf numFmtId="0" fontId="11" fillId="21" borderId="0" applyAlignment="1" pivotButton="0" quotePrefix="0" xfId="0">
      <alignment horizontal="center"/>
    </xf>
    <xf numFmtId="0" fontId="2" fillId="18" borderId="0" pivotButton="0" quotePrefix="0" xfId="0"/>
    <xf numFmtId="0" fontId="1" fillId="23" borderId="0" applyAlignment="1" pivotButton="0" quotePrefix="0" xfId="0">
      <alignment horizontal="center"/>
    </xf>
    <xf numFmtId="0" fontId="11" fillId="12" borderId="0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/>
  </cellStyles>
  <dxfs count="21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9EAF7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9EAF7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C65911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6"/>
  <sheetViews>
    <sheetView tabSelected="1" topLeftCell="A174" workbookViewId="0">
      <selection activeCell="C198" sqref="C198:I199"/>
    </sheetView>
  </sheetViews>
  <sheetFormatPr baseColWidth="10" defaultColWidth="8.83203125" defaultRowHeight="14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3" customWidth="1" min="6" max="6"/>
    <col width="15" customWidth="1" min="7" max="7"/>
    <col width="70" customWidth="1" min="8" max="8"/>
    <col width="12" customWidth="1" min="9" max="9"/>
    <col width="5" customWidth="1" min="10" max="10"/>
    <col width="20" customWidth="1" min="11" max="11"/>
    <col width="12" customWidth="1" min="13" max="13"/>
    <col width="10" customWidth="1" min="14" max="14"/>
  </cols>
  <sheetData>
    <row r="1" ht="40" customHeight="1">
      <c r="A1" s="63" t="inlineStr">
        <is>
          <t>Sr No</t>
        </is>
      </c>
      <c r="B1" s="63" t="inlineStr">
        <is>
          <t>Stock Name</t>
        </is>
      </c>
      <c r="C1" s="63" t="inlineStr">
        <is>
          <t>Date</t>
        </is>
      </c>
      <c r="D1" s="63" t="inlineStr">
        <is>
          <t>Buy/Sell</t>
        </is>
      </c>
      <c r="E1" s="63" t="inlineStr">
        <is>
          <t>Quantity</t>
        </is>
      </c>
      <c r="F1" s="63" t="inlineStr">
        <is>
          <t>Price</t>
        </is>
      </c>
      <c r="G1" s="63" t="inlineStr">
        <is>
          <t>Amount</t>
        </is>
      </c>
      <c r="H1" s="63" t="inlineStr">
        <is>
          <t>Source / Notes</t>
        </is>
      </c>
      <c r="I1" s="63" t="inlineStr">
        <is>
          <t>Profit/Loss</t>
        </is>
      </c>
      <c r="J1" s="63" t="n"/>
      <c r="K1" s="63" t="inlineStr">
        <is>
          <t>Outperformed the portfolio</t>
        </is>
      </c>
      <c r="M1" s="62" t="n"/>
      <c r="N1" s="62" t="n"/>
    </row>
    <row r="2" ht="37.25" customHeight="1">
      <c r="A2" s="64" t="n">
        <v>1</v>
      </c>
      <c r="B2" s="64" t="inlineStr">
        <is>
          <t>Amara Raja</t>
        </is>
      </c>
      <c r="C2" s="65" t="n">
        <v>40909</v>
      </c>
      <c r="D2" s="64" t="inlineStr">
        <is>
          <t>Buy</t>
        </is>
      </c>
      <c r="E2" s="66" t="n">
        <v>490</v>
      </c>
      <c r="F2" s="67" t="n">
        <v>204</v>
      </c>
      <c r="G2" s="67" t="n">
        <v>99960</v>
      </c>
      <c r="H2" s="68" t="inlineStr">
        <is>
          <t>Original transaction workbook; Restored to pre-split basis (original row had been adjusted 2×).;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2" s="64" t="inlineStr">
        <is>
          <t>P</t>
        </is>
      </c>
      <c r="J2" s="64" t="n"/>
      <c r="K2" s="64" t="inlineStr">
        <is>
          <t>Y</t>
        </is>
      </c>
    </row>
    <row r="3" ht="74.75" customHeight="1">
      <c r="A3" s="10" t="n"/>
      <c r="B3" s="10" t="n"/>
      <c r="C3" s="70" t="n">
        <v>41178</v>
      </c>
      <c r="D3" s="71" t="inlineStr">
        <is>
          <t>Split</t>
        </is>
      </c>
      <c r="E3" s="72" t="n">
        <v>490</v>
      </c>
      <c r="F3" s="73" t="n"/>
      <c r="G3" s="73" t="n">
        <v>0</v>
      </c>
      <c r="H3" s="74" t="inlineStr">
        <is>
          <t>Stock split 2:1; face value ₹2 to ₹1. Quantity 490 → 980; delta +490. Official company annual report: https://www.amararajaeandm.com/Files/AnnualGeneralMeetingFiles/2012/Annual-Report-2012-13.pdf</t>
        </is>
      </c>
      <c r="I3" s="10" t="n"/>
      <c r="J3" s="10" t="n"/>
      <c r="K3" s="10" t="n"/>
    </row>
    <row r="4">
      <c r="A4" s="10" t="n"/>
      <c r="B4" s="10" t="n"/>
      <c r="C4" s="11" t="n">
        <v>41569</v>
      </c>
      <c r="D4" s="10" t="inlineStr">
        <is>
          <t>Sell</t>
        </is>
      </c>
      <c r="E4" s="12" t="n">
        <v>-208</v>
      </c>
      <c r="F4" s="13" t="n">
        <v>315</v>
      </c>
      <c r="G4" s="26" t="n">
        <v>-65520</v>
      </c>
      <c r="H4" s="14" t="inlineStr">
        <is>
          <t>Original transaction workbook</t>
        </is>
      </c>
      <c r="I4" s="10" t="n"/>
      <c r="J4" s="10" t="n"/>
      <c r="K4" s="10" t="n"/>
    </row>
    <row r="5">
      <c r="A5" s="10" t="n"/>
      <c r="B5" s="10" t="n"/>
      <c r="C5" s="11" t="n">
        <v>41663</v>
      </c>
      <c r="D5" s="10" t="inlineStr">
        <is>
          <t>Sell</t>
        </is>
      </c>
      <c r="E5" s="12" t="n">
        <v>-56</v>
      </c>
      <c r="F5" s="13" t="n">
        <v>345</v>
      </c>
      <c r="G5" s="26" t="n">
        <v>-19320</v>
      </c>
      <c r="H5" s="14" t="inlineStr">
        <is>
          <t>Original transaction workbook</t>
        </is>
      </c>
      <c r="I5" s="10" t="n"/>
      <c r="J5" s="10" t="n"/>
      <c r="K5" s="10" t="n"/>
    </row>
    <row r="6">
      <c r="A6" s="10" t="n"/>
      <c r="B6" s="10" t="n"/>
      <c r="C6" s="11" t="n">
        <v>41687</v>
      </c>
      <c r="D6" s="10" t="inlineStr">
        <is>
          <t>Sell</t>
        </is>
      </c>
      <c r="E6" s="12" t="n">
        <v>-194</v>
      </c>
      <c r="F6" s="13" t="n">
        <v>368.7</v>
      </c>
      <c r="G6" s="26" t="n">
        <v>-71527.8</v>
      </c>
      <c r="H6" s="14" t="inlineStr">
        <is>
          <t>Original transaction workbook</t>
        </is>
      </c>
      <c r="I6" s="10" t="n"/>
      <c r="J6" s="10" t="n"/>
      <c r="K6" s="10" t="n"/>
    </row>
    <row r="7">
      <c r="A7" s="10" t="n"/>
      <c r="B7" s="10" t="n"/>
      <c r="C7" s="11" t="n">
        <v>41696</v>
      </c>
      <c r="D7" s="10" t="inlineStr">
        <is>
          <t>Sell</t>
        </is>
      </c>
      <c r="E7" s="12" t="n">
        <v>-122</v>
      </c>
      <c r="F7" s="13" t="n">
        <v>397</v>
      </c>
      <c r="G7" s="26" t="n">
        <v>-48434</v>
      </c>
      <c r="H7" s="14" t="inlineStr">
        <is>
          <t>Original transaction workbook</t>
        </is>
      </c>
      <c r="I7" s="10" t="n"/>
      <c r="J7" s="10" t="n"/>
      <c r="K7" s="10" t="n"/>
    </row>
    <row r="8">
      <c r="A8" s="10" t="n"/>
      <c r="B8" s="10" t="n"/>
      <c r="C8" s="11" t="n">
        <v>41698</v>
      </c>
      <c r="D8" s="10" t="inlineStr">
        <is>
          <t>Sell</t>
        </is>
      </c>
      <c r="E8" s="12" t="n">
        <v>-95</v>
      </c>
      <c r="F8" s="13" t="n">
        <v>390</v>
      </c>
      <c r="G8" s="26" t="n">
        <v>-37050</v>
      </c>
      <c r="H8" s="14" t="inlineStr">
        <is>
          <t>Original transaction workbook</t>
        </is>
      </c>
      <c r="I8" s="10" t="n"/>
      <c r="J8" s="10" t="n"/>
      <c r="K8" s="10" t="n"/>
    </row>
    <row r="9">
      <c r="A9" s="10" t="n"/>
      <c r="B9" s="10" t="n"/>
      <c r="C9" s="11" t="n">
        <v>42331</v>
      </c>
      <c r="D9" s="10" t="inlineStr">
        <is>
          <t>Sell</t>
        </is>
      </c>
      <c r="E9" s="15" t="n">
        <v>-305</v>
      </c>
      <c r="F9" s="13" t="n">
        <v>868</v>
      </c>
      <c r="G9" s="26" t="n">
        <v>-264740</v>
      </c>
      <c r="H9" s="14" t="inlineStr">
        <is>
          <t>Original transaction workbook</t>
        </is>
      </c>
      <c r="I9" s="10" t="n"/>
      <c r="J9" s="10" t="n"/>
      <c r="K9" s="10" t="n"/>
    </row>
    <row r="10">
      <c r="A10" s="77" t="n"/>
      <c r="B10" s="77" t="n"/>
      <c r="C10" s="78" t="n"/>
      <c r="D10" s="77" t="n"/>
      <c r="E10" s="79">
        <f>SUM(E2:E9)</f>
        <v/>
      </c>
      <c r="F10" s="76" t="n"/>
      <c r="G10" s="76" t="n"/>
      <c r="H10" s="80" t="n"/>
      <c r="I10" s="77" t="n"/>
      <c r="J10" s="77" t="n"/>
      <c r="K10" s="77" t="n"/>
    </row>
    <row r="11" ht="37.25" customHeight="1">
      <c r="A11" s="64" t="n">
        <v>2</v>
      </c>
      <c r="B11" s="64" t="inlineStr">
        <is>
          <t>Ashiana</t>
        </is>
      </c>
      <c r="C11" s="65" t="n">
        <v>40909</v>
      </c>
      <c r="D11" s="64" t="inlineStr">
        <is>
          <t>Buy</t>
        </is>
      </c>
      <c r="E11" s="66" t="n">
        <v>511</v>
      </c>
      <c r="F11" s="67" t="n">
        <v>137</v>
      </c>
      <c r="G11" s="67" t="n">
        <v>70007</v>
      </c>
      <c r="H11" s="68" t="inlineStr">
        <is>
          <t>Original transaction workbook; Restored to pre-split basis (original row had been adjusted 5×).;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11" s="64" t="inlineStr">
        <is>
          <t>P</t>
        </is>
      </c>
      <c r="J11" s="64" t="n"/>
      <c r="K11" s="64" t="inlineStr">
        <is>
          <t>Y</t>
        </is>
      </c>
    </row>
    <row r="12">
      <c r="A12" s="10" t="n"/>
      <c r="B12" s="10" t="n"/>
      <c r="C12" s="11" t="n">
        <v>41325</v>
      </c>
      <c r="D12" s="10" t="inlineStr">
        <is>
          <t>Buy</t>
        </is>
      </c>
      <c r="E12" s="12" t="n">
        <v>255</v>
      </c>
      <c r="F12" s="13" t="n">
        <v>235</v>
      </c>
      <c r="G12" s="26" t="n">
        <v>59925</v>
      </c>
      <c r="H12" s="14" t="inlineStr">
        <is>
          <t>Original transaction workbook; Restored to pre-split basis (original row had been adjusted 5×).</t>
        </is>
      </c>
      <c r="I12" s="10" t="n"/>
      <c r="J12" s="10" t="n"/>
      <c r="K12" s="10" t="n"/>
    </row>
    <row r="13" ht="56" customHeight="1">
      <c r="A13" s="10" t="n"/>
      <c r="B13" s="10" t="n"/>
      <c r="C13" s="70" t="n">
        <v>41571</v>
      </c>
      <c r="D13" s="71" t="inlineStr">
        <is>
          <t>Split</t>
        </is>
      </c>
      <c r="E13" s="72" t="n">
        <v>3064</v>
      </c>
      <c r="F13" s="73" t="n"/>
      <c r="G13" s="73" t="n">
        <v>0</v>
      </c>
      <c r="H13" s="74" t="inlineStr">
        <is>
          <t>Stock split 5:1; face value ₹10 to ₹2. Quantity 766 → 3,830; delta +3,064. Corporate-action history: https://trendlyne.com/equity/corporate-actions/ASHIANA/111/ashiana-housing-ltd/</t>
        </is>
      </c>
      <c r="I13" s="10" t="n"/>
      <c r="J13" s="10" t="n"/>
      <c r="K13" s="10" t="n"/>
    </row>
    <row r="14">
      <c r="A14" s="10" t="n"/>
      <c r="B14" s="10" t="n"/>
      <c r="C14" s="11" t="n">
        <v>42051</v>
      </c>
      <c r="D14" s="10" t="inlineStr">
        <is>
          <t>Sell</t>
        </is>
      </c>
      <c r="E14" s="12" t="n">
        <v>-1778</v>
      </c>
      <c r="F14" s="13" t="n">
        <v>244.5</v>
      </c>
      <c r="G14" s="26" t="n">
        <v>-434721</v>
      </c>
      <c r="H14" s="14" t="inlineStr">
        <is>
          <t>Original transaction workbook</t>
        </is>
      </c>
      <c r="I14" s="10" t="n"/>
      <c r="J14" s="10" t="n"/>
      <c r="K14" s="10" t="n"/>
    </row>
    <row r="15">
      <c r="A15" s="10" t="n"/>
      <c r="B15" s="10" t="n"/>
      <c r="C15" s="11" t="n">
        <v>42178</v>
      </c>
      <c r="D15" s="10" t="inlineStr">
        <is>
          <t>Sell</t>
        </is>
      </c>
      <c r="E15" s="12" t="n">
        <v>-600</v>
      </c>
      <c r="F15" s="13" t="n">
        <v>244</v>
      </c>
      <c r="G15" s="26" t="n">
        <v>-146400</v>
      </c>
      <c r="H15" s="14" t="inlineStr">
        <is>
          <t>Original transaction workbook</t>
        </is>
      </c>
      <c r="I15" s="10" t="n"/>
      <c r="J15" s="10" t="n"/>
      <c r="K15" s="10" t="n"/>
    </row>
    <row r="16">
      <c r="A16" s="10" t="n"/>
      <c r="B16" s="10" t="n"/>
      <c r="C16" s="11" t="n">
        <v>42227</v>
      </c>
      <c r="D16" s="10" t="inlineStr">
        <is>
          <t>Sell</t>
        </is>
      </c>
      <c r="E16" s="15" t="n">
        <v>-363</v>
      </c>
      <c r="F16" s="13" t="n">
        <v>207</v>
      </c>
      <c r="G16" s="26" t="n">
        <v>-75141</v>
      </c>
      <c r="H16" s="14" t="inlineStr">
        <is>
          <t>Original transaction workbook</t>
        </is>
      </c>
      <c r="I16" s="10" t="n"/>
      <c r="J16" s="10" t="n"/>
      <c r="K16" s="10" t="n"/>
    </row>
    <row r="17">
      <c r="A17" s="5" t="n"/>
      <c r="B17" s="5" t="n"/>
      <c r="C17" s="6" t="n">
        <v>42269</v>
      </c>
      <c r="D17" s="5" t="inlineStr">
        <is>
          <t>Sell</t>
        </is>
      </c>
      <c r="E17" s="7" t="n">
        <v>-1089</v>
      </c>
      <c r="F17" s="8" t="n">
        <v>174</v>
      </c>
      <c r="G17" s="25" t="n">
        <v>-189486</v>
      </c>
      <c r="H17" s="9" t="inlineStr">
        <is>
          <t>Original transaction workbook</t>
        </is>
      </c>
      <c r="I17" s="5" t="n"/>
      <c r="J17" s="5" t="n"/>
      <c r="K17" s="5" t="n"/>
    </row>
    <row r="18">
      <c r="A18" s="77" t="n"/>
      <c r="B18" s="77" t="n"/>
      <c r="C18" s="78" t="n"/>
      <c r="D18" s="77" t="n"/>
      <c r="E18" s="79">
        <f>SUM(E11:E17)</f>
        <v/>
      </c>
      <c r="F18" s="76" t="n"/>
      <c r="G18" s="76" t="n"/>
      <c r="H18" s="80" t="n"/>
      <c r="I18" s="77" t="n"/>
      <c r="J18" s="77" t="n"/>
      <c r="K18" s="77" t="n"/>
    </row>
    <row r="19" ht="70" customHeight="1">
      <c r="A19" s="64" t="n">
        <v>3</v>
      </c>
      <c r="B19" s="64" t="inlineStr">
        <is>
          <t>BharatForg</t>
        </is>
      </c>
      <c r="C19" s="65" t="n">
        <v>40909</v>
      </c>
      <c r="D19" s="64" t="inlineStr">
        <is>
          <t>Buy</t>
        </is>
      </c>
      <c r="E19" s="66" t="n">
        <v>595</v>
      </c>
      <c r="F19" s="67" t="n">
        <v>252</v>
      </c>
      <c r="G19" s="67" t="n">
        <v>149940</v>
      </c>
      <c r="H19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19" s="64" t="inlineStr">
        <is>
          <t>L</t>
        </is>
      </c>
      <c r="J19" s="64" t="n"/>
      <c r="K19" s="64" t="inlineStr">
        <is>
          <t>N</t>
        </is>
      </c>
    </row>
    <row r="20">
      <c r="A20" s="10" t="n"/>
      <c r="B20" s="10" t="n"/>
      <c r="C20" s="11" t="n">
        <v>41060</v>
      </c>
      <c r="D20" s="10" t="inlineStr">
        <is>
          <t>Sell</t>
        </is>
      </c>
      <c r="E20" s="15" t="n">
        <v>-198</v>
      </c>
      <c r="F20" s="13" t="n">
        <v>315</v>
      </c>
      <c r="G20" s="26" t="n">
        <v>-62370</v>
      </c>
      <c r="H20" s="14" t="inlineStr">
        <is>
          <t>Original transaction workbook</t>
        </is>
      </c>
      <c r="I20" s="10" t="n"/>
      <c r="J20" s="10" t="n"/>
      <c r="K20" s="10" t="n"/>
    </row>
    <row r="21">
      <c r="A21" s="5" t="n"/>
      <c r="B21" s="5" t="n"/>
      <c r="C21" s="6" t="n">
        <v>41317</v>
      </c>
      <c r="D21" s="5" t="inlineStr">
        <is>
          <t>Sell</t>
        </is>
      </c>
      <c r="E21" s="7" t="n">
        <v>-397</v>
      </c>
      <c r="F21" s="8" t="n">
        <v>212</v>
      </c>
      <c r="G21" s="25" t="n">
        <v>-84164</v>
      </c>
      <c r="H21" s="9" t="inlineStr">
        <is>
          <t>Original transaction workbook</t>
        </is>
      </c>
      <c r="I21" s="5" t="n"/>
      <c r="J21" s="5" t="n"/>
      <c r="K21" s="5" t="n"/>
    </row>
    <row r="22">
      <c r="A22" s="77" t="n"/>
      <c r="B22" s="77" t="n"/>
      <c r="C22" s="78" t="n"/>
      <c r="D22" s="77" t="n"/>
      <c r="E22" s="79">
        <f>SUM(E19:E21)</f>
        <v/>
      </c>
      <c r="F22" s="76" t="n"/>
      <c r="G22" s="76" t="n"/>
      <c r="H22" s="80" t="n"/>
      <c r="I22" s="77" t="n"/>
      <c r="J22" s="77" t="n"/>
      <c r="K22" s="77" t="n"/>
    </row>
    <row r="23" ht="70" customHeight="1">
      <c r="A23" s="64" t="n">
        <v>4</v>
      </c>
      <c r="B23" s="64" t="inlineStr">
        <is>
          <t>Havells</t>
        </is>
      </c>
      <c r="C23" s="65" t="n">
        <v>40909</v>
      </c>
      <c r="D23" s="64" t="inlineStr">
        <is>
          <t>Buy</t>
        </is>
      </c>
      <c r="E23" s="66" t="n">
        <v>390</v>
      </c>
      <c r="F23" s="67" t="n">
        <v>385</v>
      </c>
      <c r="G23" s="67" t="n">
        <v>150150</v>
      </c>
      <c r="H23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23" s="64" t="inlineStr">
        <is>
          <t>P</t>
        </is>
      </c>
      <c r="J23" s="64" t="n"/>
      <c r="K23" s="64" t="inlineStr">
        <is>
          <t>Y</t>
        </is>
      </c>
    </row>
    <row r="24">
      <c r="A24" s="10" t="n"/>
      <c r="B24" s="10" t="n"/>
      <c r="C24" s="11" t="n">
        <v>41060</v>
      </c>
      <c r="D24" s="10" t="inlineStr">
        <is>
          <t>Sell</t>
        </is>
      </c>
      <c r="E24" s="12" t="n">
        <v>-130</v>
      </c>
      <c r="F24" s="13" t="n">
        <v>547</v>
      </c>
      <c r="G24" s="26" t="n">
        <v>-71110</v>
      </c>
      <c r="H24" s="14" t="inlineStr">
        <is>
          <t>Original transaction workbook</t>
        </is>
      </c>
      <c r="I24" s="10" t="n"/>
      <c r="J24" s="10" t="n"/>
      <c r="K24" s="10" t="n"/>
    </row>
    <row r="25">
      <c r="A25" s="10" t="n"/>
      <c r="B25" s="10" t="n"/>
      <c r="C25" s="11" t="n">
        <v>41191</v>
      </c>
      <c r="D25" s="10" t="inlineStr">
        <is>
          <t>Sell</t>
        </is>
      </c>
      <c r="E25" s="15" t="n">
        <v>-128</v>
      </c>
      <c r="F25" s="13" t="n">
        <v>661</v>
      </c>
      <c r="G25" s="26" t="n">
        <v>-84608</v>
      </c>
      <c r="H25" s="14" t="inlineStr">
        <is>
          <t>Original transaction workbook</t>
        </is>
      </c>
      <c r="I25" s="10" t="n"/>
      <c r="J25" s="10" t="n"/>
      <c r="K25" s="10" t="n"/>
    </row>
    <row r="26">
      <c r="A26" s="5" t="n"/>
      <c r="B26" s="5" t="n"/>
      <c r="C26" s="6" t="n">
        <v>41211</v>
      </c>
      <c r="D26" s="5" t="inlineStr">
        <is>
          <t>Sell</t>
        </is>
      </c>
      <c r="E26" s="7" t="n">
        <v>-132</v>
      </c>
      <c r="F26" s="8" t="n">
        <v>621</v>
      </c>
      <c r="G26" s="25" t="n">
        <v>-81972</v>
      </c>
      <c r="H26" s="9" t="inlineStr">
        <is>
          <t>Original transaction workbook</t>
        </is>
      </c>
      <c r="I26" s="5" t="n"/>
      <c r="J26" s="5" t="n"/>
      <c r="K26" s="5" t="n"/>
    </row>
    <row r="27">
      <c r="A27" s="77" t="n"/>
      <c r="B27" s="77" t="n"/>
      <c r="C27" s="78" t="n"/>
      <c r="D27" s="77" t="n"/>
      <c r="E27" s="79">
        <f>SUM(E23:E26)</f>
        <v/>
      </c>
      <c r="F27" s="76" t="n"/>
      <c r="G27" s="76" t="n"/>
      <c r="H27" s="80" t="n"/>
      <c r="I27" s="77" t="n"/>
      <c r="J27" s="77" t="n"/>
      <c r="K27" s="77" t="n"/>
    </row>
    <row r="28" ht="37.25" customHeight="1">
      <c r="A28" s="64" t="n">
        <v>5</v>
      </c>
      <c r="B28" s="64" t="inlineStr">
        <is>
          <t>Kaveri</t>
        </is>
      </c>
      <c r="C28" s="65" t="n">
        <v>40909</v>
      </c>
      <c r="D28" s="64" t="inlineStr">
        <is>
          <t>Buy</t>
        </is>
      </c>
      <c r="E28" s="66" t="n">
        <v>156</v>
      </c>
      <c r="F28" s="67" t="n">
        <v>448</v>
      </c>
      <c r="G28" s="67" t="n">
        <v>69888</v>
      </c>
      <c r="H28" s="68" t="inlineStr">
        <is>
          <t>Original transaction workbook; Restored to pre-split basis (original row had been adjusted 5×).;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28" s="64" t="inlineStr">
        <is>
          <t>P</t>
        </is>
      </c>
      <c r="J28" s="64" t="n"/>
      <c r="K28" s="64" t="inlineStr">
        <is>
          <t>Y</t>
        </is>
      </c>
    </row>
    <row r="29">
      <c r="A29" s="10" t="n"/>
      <c r="B29" s="10" t="n"/>
      <c r="C29" s="11" t="n">
        <v>41064</v>
      </c>
      <c r="D29" s="10" t="inlineStr">
        <is>
          <t>Sell</t>
        </is>
      </c>
      <c r="E29" s="12" t="n">
        <v>-45</v>
      </c>
      <c r="F29" s="13" t="n">
        <v>719</v>
      </c>
      <c r="G29" s="26" t="n">
        <v>-32355</v>
      </c>
      <c r="H29" s="14" t="inlineStr">
        <is>
          <t>Original transaction workbook; Restored to pre-split basis (original row had been adjusted 5×).</t>
        </is>
      </c>
      <c r="I29" s="10" t="n"/>
      <c r="J29" s="10" t="n"/>
      <c r="K29" s="10" t="n"/>
    </row>
    <row r="30">
      <c r="A30" s="10" t="n"/>
      <c r="B30" s="10" t="n"/>
      <c r="C30" s="11" t="n">
        <v>41418</v>
      </c>
      <c r="D30" s="10" t="inlineStr">
        <is>
          <t>Buy</t>
        </is>
      </c>
      <c r="E30" s="12" t="n">
        <v>30</v>
      </c>
      <c r="F30" s="13" t="n">
        <v>1230</v>
      </c>
      <c r="G30" s="26" t="n">
        <v>36900</v>
      </c>
      <c r="H30" s="14" t="inlineStr">
        <is>
          <t>Original transaction workbook; Restored to pre-split basis (original row had been adjusted 5×).</t>
        </is>
      </c>
      <c r="I30" s="10" t="n"/>
      <c r="J30" s="10" t="n"/>
      <c r="K30" s="10" t="n"/>
    </row>
    <row r="31" ht="74.75" customHeight="1">
      <c r="A31" s="10" t="n"/>
      <c r="B31" s="10" t="n"/>
      <c r="C31" s="70" t="n">
        <v>41666</v>
      </c>
      <c r="D31" s="71" t="inlineStr">
        <is>
          <t>Split</t>
        </is>
      </c>
      <c r="E31" s="75" t="n">
        <v>564</v>
      </c>
      <c r="F31" s="73" t="n"/>
      <c r="G31" s="73" t="n">
        <v>0</v>
      </c>
      <c r="H31" s="74" t="inlineStr">
        <is>
          <t>Stock split 5:1; face value ₹10 to ₹2. Quantity 141 → 705; delta +564. Official company annual report confirms 1 share split into 5: https://www.kaveriseeds.in/images/pdf/images/annual-reports/Annual-Report-2016-2017.pdf</t>
        </is>
      </c>
      <c r="I31" s="10" t="n"/>
      <c r="J31" s="10" t="n"/>
      <c r="K31" s="10" t="n"/>
    </row>
    <row r="32">
      <c r="A32" s="5" t="n"/>
      <c r="B32" s="5" t="n"/>
      <c r="C32" s="6" t="n">
        <v>41842</v>
      </c>
      <c r="D32" s="5" t="inlineStr">
        <is>
          <t>Sell</t>
        </is>
      </c>
      <c r="E32" s="7" t="n">
        <v>-473</v>
      </c>
      <c r="F32" s="8" t="n">
        <v>828</v>
      </c>
      <c r="G32" s="25" t="n">
        <v>-391644</v>
      </c>
      <c r="H32" s="9" t="inlineStr">
        <is>
          <t>Original transaction workbook</t>
        </is>
      </c>
      <c r="I32" s="5" t="n"/>
      <c r="J32" s="5" t="n"/>
      <c r="K32" s="5" t="n"/>
    </row>
    <row r="33">
      <c r="A33" s="10" t="n"/>
      <c r="B33" s="10" t="n"/>
      <c r="C33" s="11" t="n">
        <v>41982</v>
      </c>
      <c r="D33" s="10" t="inlineStr">
        <is>
          <t>Sell</t>
        </is>
      </c>
      <c r="E33" s="12" t="n">
        <v>-232</v>
      </c>
      <c r="F33" s="13" t="n">
        <v>791</v>
      </c>
      <c r="G33" s="26" t="n">
        <v>-183512</v>
      </c>
      <c r="H33" s="14" t="inlineStr">
        <is>
          <t>Original transaction workbook</t>
        </is>
      </c>
      <c r="I33" s="10" t="n"/>
      <c r="J33" s="10" t="n"/>
      <c r="K33" s="10" t="n"/>
    </row>
    <row r="34">
      <c r="A34" s="77" t="n"/>
      <c r="B34" s="77" t="n"/>
      <c r="C34" s="78" t="n"/>
      <c r="D34" s="77" t="n"/>
      <c r="E34" s="79">
        <f>SUM(E28:E33)</f>
        <v/>
      </c>
      <c r="F34" s="76" t="n"/>
      <c r="G34" s="76" t="n"/>
      <c r="H34" s="80" t="n"/>
      <c r="I34" s="77" t="n"/>
      <c r="J34" s="77" t="n"/>
      <c r="K34" s="77" t="n"/>
    </row>
    <row r="35" ht="70" customHeight="1">
      <c r="A35" s="64" t="n">
        <v>6</v>
      </c>
      <c r="B35" s="64" t="inlineStr">
        <is>
          <t>SanghviMov</t>
        </is>
      </c>
      <c r="C35" s="65" t="n">
        <v>40909</v>
      </c>
      <c r="D35" s="64" t="inlineStr">
        <is>
          <t>Buy</t>
        </is>
      </c>
      <c r="E35" s="66" t="n">
        <v>920</v>
      </c>
      <c r="F35" s="67" t="n">
        <v>87</v>
      </c>
      <c r="G35" s="67" t="n">
        <v>80040</v>
      </c>
      <c r="H35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35" s="64" t="inlineStr">
        <is>
          <t>L</t>
        </is>
      </c>
      <c r="J35" s="64" t="n"/>
      <c r="K35" s="64" t="inlineStr">
        <is>
          <t>N</t>
        </is>
      </c>
    </row>
    <row r="36">
      <c r="A36" s="10" t="n"/>
      <c r="B36" s="10" t="n"/>
      <c r="C36" s="11" t="n">
        <v>41023</v>
      </c>
      <c r="D36" s="10" t="inlineStr">
        <is>
          <t>Sell</t>
        </is>
      </c>
      <c r="E36" s="15" t="n">
        <v>-115</v>
      </c>
      <c r="F36" s="13" t="n">
        <v>110</v>
      </c>
      <c r="G36" s="26" t="n">
        <v>-12650</v>
      </c>
      <c r="H36" s="14" t="inlineStr">
        <is>
          <t>Original transaction workbook</t>
        </is>
      </c>
      <c r="I36" s="10" t="n"/>
      <c r="J36" s="10" t="n"/>
      <c r="K36" s="10" t="n"/>
    </row>
    <row r="37">
      <c r="A37" s="5" t="n"/>
      <c r="B37" s="5" t="n"/>
      <c r="C37" s="6" t="n">
        <v>41107</v>
      </c>
      <c r="D37" s="5" t="inlineStr">
        <is>
          <t>Sell</t>
        </is>
      </c>
      <c r="E37" s="7" t="n">
        <v>-460</v>
      </c>
      <c r="F37" s="8" t="n">
        <v>100</v>
      </c>
      <c r="G37" s="25" t="n">
        <v>-46000</v>
      </c>
      <c r="H37" s="9" t="inlineStr">
        <is>
          <t>Original transaction workbook</t>
        </is>
      </c>
      <c r="I37" s="5" t="n"/>
      <c r="J37" s="5" t="n"/>
      <c r="K37" s="5" t="n"/>
    </row>
    <row r="38">
      <c r="A38" s="10" t="n"/>
      <c r="B38" s="10" t="n"/>
      <c r="C38" s="11" t="n">
        <v>41128</v>
      </c>
      <c r="D38" s="10" t="inlineStr">
        <is>
          <t>Sell</t>
        </is>
      </c>
      <c r="E38" s="12" t="n">
        <v>-345</v>
      </c>
      <c r="F38" s="13" t="n">
        <v>98</v>
      </c>
      <c r="G38" s="26" t="n">
        <v>-33810</v>
      </c>
      <c r="H38" s="14" t="inlineStr">
        <is>
          <t>Original transaction workbook</t>
        </is>
      </c>
      <c r="I38" s="10" t="n"/>
      <c r="J38" s="10" t="n"/>
      <c r="K38" s="10" t="n"/>
    </row>
    <row r="39">
      <c r="A39" s="77" t="n"/>
      <c r="B39" s="77" t="n"/>
      <c r="C39" s="78" t="n"/>
      <c r="D39" s="77" t="n"/>
      <c r="E39" s="79">
        <f>SUM(E35:E38)</f>
        <v/>
      </c>
      <c r="F39" s="76" t="n"/>
      <c r="G39" s="76" t="n"/>
      <c r="H39" s="80" t="n"/>
      <c r="I39" s="77" t="n"/>
      <c r="J39" s="77" t="n"/>
      <c r="K39" s="77" t="n"/>
    </row>
    <row r="40" ht="70" customHeight="1">
      <c r="A40" s="64" t="n">
        <v>7</v>
      </c>
      <c r="B40" s="64" t="inlineStr">
        <is>
          <t>Vguard</t>
        </is>
      </c>
      <c r="C40" s="65" t="n">
        <v>40909</v>
      </c>
      <c r="D40" s="64" t="inlineStr">
        <is>
          <t>Buy</t>
        </is>
      </c>
      <c r="E40" s="66" t="n">
        <v>387</v>
      </c>
      <c r="F40" s="67" t="n">
        <v>155</v>
      </c>
      <c r="G40" s="67" t="n">
        <v>59985</v>
      </c>
      <c r="H40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40" s="64" t="inlineStr">
        <is>
          <t>P</t>
        </is>
      </c>
      <c r="J40" s="64" t="n"/>
      <c r="K40" s="64" t="inlineStr">
        <is>
          <t>Y</t>
        </is>
      </c>
    </row>
    <row r="41">
      <c r="A41" s="10" t="n"/>
      <c r="B41" s="10" t="n"/>
      <c r="C41" s="11" t="n">
        <v>41023</v>
      </c>
      <c r="D41" s="10" t="inlineStr">
        <is>
          <t>Buy</t>
        </is>
      </c>
      <c r="E41" s="12" t="n">
        <v>65</v>
      </c>
      <c r="F41" s="13" t="n">
        <v>188</v>
      </c>
      <c r="G41" s="26" t="n">
        <v>12220</v>
      </c>
      <c r="H41" s="14" t="inlineStr">
        <is>
          <t>Original transaction workbook</t>
        </is>
      </c>
      <c r="I41" s="10" t="n"/>
      <c r="J41" s="10" t="n"/>
      <c r="K41" s="10" t="n"/>
    </row>
    <row r="42">
      <c r="A42" s="10" t="n"/>
      <c r="B42" s="10" t="n"/>
      <c r="C42" s="11" t="n">
        <v>41060</v>
      </c>
      <c r="D42" s="10" t="inlineStr">
        <is>
          <t>Buy</t>
        </is>
      </c>
      <c r="E42" s="12" t="n">
        <v>194</v>
      </c>
      <c r="F42" s="13" t="n">
        <v>204</v>
      </c>
      <c r="G42" s="26" t="n">
        <v>39576</v>
      </c>
      <c r="H42" s="14" t="inlineStr">
        <is>
          <t>Original transaction workbook</t>
        </is>
      </c>
      <c r="I42" s="10" t="n"/>
      <c r="J42" s="10" t="n"/>
      <c r="K42" s="10" t="n"/>
    </row>
    <row r="43" ht="28" customHeight="1">
      <c r="A43" s="10" t="n"/>
      <c r="B43" s="10" t="n"/>
      <c r="C43" s="11" t="n">
        <v>41405</v>
      </c>
      <c r="D43" s="10" t="inlineStr">
        <is>
          <t>Sell</t>
        </is>
      </c>
      <c r="E43" s="15" t="n">
        <v>-98</v>
      </c>
      <c r="F43" s="13" t="n">
        <v>524</v>
      </c>
      <c r="G43" s="26" t="n">
        <v>-51352</v>
      </c>
      <c r="H43" s="14" t="inlineStr">
        <is>
          <t>Staged sell reconstructed from Portfolio_2013.xlsx: holdings decline 646 → 548 on 11-May-2013 and 548 → 252 on 16-May-2013. Original weighted sale price and total proceeds preserved.</t>
        </is>
      </c>
      <c r="I43" s="10" t="n"/>
      <c r="J43" s="10" t="n"/>
      <c r="K43" s="10" t="n"/>
    </row>
    <row r="44" ht="42" customHeight="1">
      <c r="A44" s="5" t="n"/>
      <c r="B44" s="5" t="n"/>
      <c r="C44" s="6" t="n">
        <v>41410</v>
      </c>
      <c r="D44" s="5" t="inlineStr">
        <is>
          <t>Sell</t>
        </is>
      </c>
      <c r="E44" s="7" t="n">
        <v>-296</v>
      </c>
      <c r="F44" s="8" t="n">
        <v>524</v>
      </c>
      <c r="G44" s="25" t="n">
        <v>-155104</v>
      </c>
      <c r="H44" s="9" t="inlineStr">
        <is>
          <t>Staged sell reconstructed from Portfolio_2013.xlsx: holdings decline 646 → 548 on 11-May-2013 and 548 → 252 on 16-May-2013. Original weighted sale price and total proceeds preserved.</t>
        </is>
      </c>
      <c r="I44" s="5" t="n"/>
      <c r="J44" s="5" t="n"/>
      <c r="K44" s="5" t="n"/>
    </row>
    <row r="45">
      <c r="A45" s="10" t="n"/>
      <c r="B45" s="10" t="n"/>
      <c r="C45" s="11" t="n">
        <v>41570</v>
      </c>
      <c r="D45" s="10" t="inlineStr">
        <is>
          <t>Sell</t>
        </is>
      </c>
      <c r="E45" s="12" t="n">
        <v>-71</v>
      </c>
      <c r="F45" s="13" t="n">
        <v>509</v>
      </c>
      <c r="G45" s="26" t="n">
        <v>-36139</v>
      </c>
      <c r="H45" s="14" t="inlineStr">
        <is>
          <t>Original transaction workbook</t>
        </is>
      </c>
      <c r="I45" s="10" t="n"/>
      <c r="J45" s="10" t="n"/>
      <c r="K45" s="10" t="n"/>
    </row>
    <row r="46" ht="42" customHeight="1">
      <c r="A46" s="37" t="n"/>
      <c r="B46" s="37" t="n"/>
      <c r="C46" s="38" t="n">
        <v>41578</v>
      </c>
      <c r="D46" s="37" t="inlineStr">
        <is>
          <t>Sell</t>
        </is>
      </c>
      <c r="E46" s="39" t="n">
        <v>-8</v>
      </c>
      <c r="F46" s="40" t="n">
        <v>475</v>
      </c>
      <c r="G46" s="30" t="n">
        <v>-3800</v>
      </c>
      <c r="H46" s="41" t="inlineStr">
        <is>
          <t>Staged final exit reconstructed from Portfolio_2013.xlsx: holdings decline 181 → 173 on 31-Oct-2013 and 173 → 0 on 27-Nov-2013. Original weighted sale price and total proceeds preserved.</t>
        </is>
      </c>
      <c r="I46" s="37" t="n"/>
      <c r="J46" s="37" t="n"/>
      <c r="K46" s="37" t="n"/>
    </row>
    <row r="47" ht="42" customHeight="1">
      <c r="A47" s="5" t="n"/>
      <c r="B47" s="5" t="n"/>
      <c r="C47" s="6" t="n">
        <v>41605</v>
      </c>
      <c r="D47" s="5" t="inlineStr">
        <is>
          <t>Sell</t>
        </is>
      </c>
      <c r="E47" s="20" t="n">
        <v>-173</v>
      </c>
      <c r="F47" s="8" t="n">
        <v>475</v>
      </c>
      <c r="G47" s="25" t="n">
        <v>-82175</v>
      </c>
      <c r="H47" s="9" t="inlineStr">
        <is>
          <t>Staged final exit reconstructed from Portfolio_2013.xlsx: holdings decline 181 → 173 on 31-Oct-2013 and 173 → 0 on 27-Nov-2013. Original weighted sale price and total proceeds preserved.</t>
        </is>
      </c>
      <c r="I47" s="5" t="n"/>
      <c r="J47" s="5" t="n"/>
      <c r="K47" s="5" t="n"/>
    </row>
    <row r="48">
      <c r="A48" s="77" t="n"/>
      <c r="B48" s="77" t="n"/>
      <c r="C48" s="78" t="n"/>
      <c r="D48" s="77" t="n"/>
      <c r="E48" s="79">
        <f>SUM(E40:E47)</f>
        <v/>
      </c>
      <c r="F48" s="76" t="n"/>
      <c r="G48" s="76" t="n"/>
      <c r="H48" s="80" t="n"/>
      <c r="I48" s="77" t="n"/>
      <c r="J48" s="77" t="n"/>
      <c r="K48" s="77" t="n"/>
    </row>
    <row r="49" ht="70" customHeight="1">
      <c r="A49" s="64" t="n">
        <v>8</v>
      </c>
      <c r="B49" s="64" t="inlineStr">
        <is>
          <t>Geometric</t>
        </is>
      </c>
      <c r="C49" s="65" t="n">
        <v>40956</v>
      </c>
      <c r="D49" s="64" t="inlineStr">
        <is>
          <t>Buy</t>
        </is>
      </c>
      <c r="E49" s="66" t="n">
        <v>1250</v>
      </c>
      <c r="F49" s="67" t="n">
        <v>70</v>
      </c>
      <c r="G49" s="67" t="n">
        <v>87500</v>
      </c>
      <c r="H49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49" s="64" t="inlineStr">
        <is>
          <t>P</t>
        </is>
      </c>
      <c r="J49" s="64" t="n"/>
      <c r="K49" s="64" t="inlineStr">
        <is>
          <t>N</t>
        </is>
      </c>
    </row>
    <row r="50">
      <c r="A50" s="37" t="n"/>
      <c r="B50" s="37" t="n"/>
      <c r="C50" s="38" t="n">
        <v>41394</v>
      </c>
      <c r="D50" s="37" t="inlineStr">
        <is>
          <t>Sell</t>
        </is>
      </c>
      <c r="E50" s="39" t="n">
        <v>-625</v>
      </c>
      <c r="F50" s="40" t="n">
        <v>96</v>
      </c>
      <c r="G50" s="30" t="n">
        <v>-60000</v>
      </c>
      <c r="H50" s="41" t="inlineStr">
        <is>
          <t>Original transaction workbook</t>
        </is>
      </c>
      <c r="I50" s="37" t="n"/>
      <c r="J50" s="37" t="n"/>
      <c r="K50" s="37" t="n"/>
    </row>
    <row r="51" ht="42" customHeight="1">
      <c r="A51" s="5" t="n"/>
      <c r="B51" s="5" t="n"/>
      <c r="C51" s="6" t="n">
        <v>41396</v>
      </c>
      <c r="D51" s="5" t="inlineStr">
        <is>
          <t>Sell</t>
        </is>
      </c>
      <c r="E51" s="7" t="n">
        <v>-295</v>
      </c>
      <c r="F51" s="8" t="n">
        <v>97</v>
      </c>
      <c r="G51" s="25" t="n">
        <v>-28615</v>
      </c>
      <c r="H51" s="9" t="inlineStr">
        <is>
          <t>Staged sell reconstructed from Portfolio_2013.xlsx: holdings decline 625 → 330 on 02-May-2013. Quantity timing is snapshot-supported; original weighted sale price preserved.</t>
        </is>
      </c>
      <c r="I51" s="5" t="n"/>
      <c r="J51" s="5" t="n"/>
      <c r="K51" s="5" t="n"/>
    </row>
    <row r="52" ht="28" customHeight="1">
      <c r="A52" s="10" t="n"/>
      <c r="B52" s="10" t="n"/>
      <c r="C52" s="11" t="n">
        <v>41400</v>
      </c>
      <c r="D52" s="10" t="inlineStr">
        <is>
          <t>Sell</t>
        </is>
      </c>
      <c r="E52" s="15" t="n">
        <v>-330</v>
      </c>
      <c r="F52" s="13" t="n">
        <v>97</v>
      </c>
      <c r="G52" s="26" t="n">
        <v>-32010</v>
      </c>
      <c r="H52" s="14" t="inlineStr">
        <is>
          <t>Final staged sell reconstructed from Portfolio_2013.xlsx: holdings decline 330 → 0 on 06-May-2013. Original weighted sale price preserved.</t>
        </is>
      </c>
      <c r="I52" s="10" t="n"/>
      <c r="J52" s="10" t="n"/>
      <c r="K52" s="10" t="n"/>
    </row>
    <row r="53">
      <c r="A53" s="77" t="n"/>
      <c r="B53" s="77" t="n"/>
      <c r="C53" s="78" t="n"/>
      <c r="D53" s="77" t="n"/>
      <c r="E53" s="79">
        <f>SUM(E49:E52)</f>
        <v/>
      </c>
      <c r="F53" s="76" t="n"/>
      <c r="G53" s="76" t="n"/>
      <c r="H53" s="80" t="n"/>
      <c r="I53" s="77" t="n"/>
      <c r="J53" s="77" t="n"/>
      <c r="K53" s="77" t="n"/>
    </row>
    <row r="54" ht="70" customHeight="1">
      <c r="A54" s="64" t="n">
        <v>9</v>
      </c>
      <c r="B54" s="64" t="inlineStr">
        <is>
          <t>NIITTech</t>
        </is>
      </c>
      <c r="C54" s="65" t="n">
        <v>41008</v>
      </c>
      <c r="D54" s="64" t="inlineStr">
        <is>
          <t>Buy</t>
        </is>
      </c>
      <c r="E54" s="66" t="n">
        <v>372</v>
      </c>
      <c r="F54" s="67" t="n">
        <v>269</v>
      </c>
      <c r="G54" s="67" t="n">
        <v>100068</v>
      </c>
      <c r="H54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54" s="64" t="inlineStr">
        <is>
          <t>P</t>
        </is>
      </c>
      <c r="J54" s="64" t="n"/>
      <c r="K54" s="64" t="n"/>
    </row>
    <row r="55">
      <c r="A55" s="37" t="n"/>
      <c r="B55" s="37" t="n"/>
      <c r="C55" s="38" t="n">
        <v>41617</v>
      </c>
      <c r="D55" s="37" t="inlineStr">
        <is>
          <t>Sell</t>
        </is>
      </c>
      <c r="E55" s="39" t="n">
        <v>-59</v>
      </c>
      <c r="F55" s="40" t="n">
        <v>332</v>
      </c>
      <c r="G55" s="30" t="n">
        <v>-19588</v>
      </c>
      <c r="H55" s="41" t="inlineStr">
        <is>
          <t>Original transaction workbook</t>
        </is>
      </c>
      <c r="I55" s="37" t="n"/>
      <c r="J55" s="37" t="n"/>
      <c r="K55" s="37" t="n"/>
    </row>
    <row r="56">
      <c r="A56" s="5" t="n"/>
      <c r="B56" s="5" t="n"/>
      <c r="C56" s="6" t="n">
        <v>41698</v>
      </c>
      <c r="D56" s="5" t="inlineStr">
        <is>
          <t>Sell</t>
        </is>
      </c>
      <c r="E56" s="7" t="n">
        <v>-100</v>
      </c>
      <c r="F56" s="8" t="n">
        <v>448</v>
      </c>
      <c r="G56" s="25" t="n">
        <v>-44800</v>
      </c>
      <c r="H56" s="9" t="inlineStr">
        <is>
          <t>Original transaction workbook</t>
        </is>
      </c>
      <c r="I56" s="5" t="n"/>
      <c r="J56" s="5" t="n"/>
      <c r="K56" s="5" t="n"/>
    </row>
    <row r="57">
      <c r="A57" s="10" t="n"/>
      <c r="B57" s="10" t="n"/>
      <c r="C57" s="11" t="n">
        <v>41835</v>
      </c>
      <c r="D57" s="10" t="inlineStr">
        <is>
          <t>Sell</t>
        </is>
      </c>
      <c r="E57" s="12" t="n">
        <v>-213</v>
      </c>
      <c r="F57" s="13" t="n">
        <v>407</v>
      </c>
      <c r="G57" s="26" t="n">
        <v>-86691</v>
      </c>
      <c r="H57" s="14" t="inlineStr">
        <is>
          <t>Original transaction workbook</t>
        </is>
      </c>
      <c r="I57" s="10" t="n"/>
      <c r="J57" s="10" t="n"/>
      <c r="K57" s="10" t="n"/>
    </row>
    <row r="58">
      <c r="A58" s="77" t="n"/>
      <c r="B58" s="77" t="n"/>
      <c r="C58" s="78" t="n"/>
      <c r="D58" s="77" t="n"/>
      <c r="E58" s="81">
        <f>SUM(E54:E57)</f>
        <v/>
      </c>
      <c r="F58" s="76" t="n"/>
      <c r="G58" s="76" t="n"/>
      <c r="H58" s="80" t="n"/>
      <c r="I58" s="77" t="n"/>
      <c r="J58" s="77" t="n"/>
      <c r="K58" s="77" t="n"/>
    </row>
    <row r="59" ht="70" customHeight="1">
      <c r="A59" s="64" t="n">
        <v>10</v>
      </c>
      <c r="B59" s="64" t="inlineStr">
        <is>
          <t>RSSoftware</t>
        </is>
      </c>
      <c r="C59" s="65" t="n">
        <v>41008</v>
      </c>
      <c r="D59" s="64" t="inlineStr">
        <is>
          <t>Buy</t>
        </is>
      </c>
      <c r="E59" s="66" t="n">
        <v>781</v>
      </c>
      <c r="F59" s="67" t="n">
        <v>64</v>
      </c>
      <c r="G59" s="67" t="n">
        <v>49984</v>
      </c>
      <c r="H59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59" s="64" t="inlineStr">
        <is>
          <t>P</t>
        </is>
      </c>
      <c r="J59" s="64" t="n"/>
      <c r="K59" s="64" t="n"/>
    </row>
    <row r="60">
      <c r="A60" s="10" t="n"/>
      <c r="B60" s="10" t="n"/>
      <c r="C60" s="35" t="n">
        <v>41103</v>
      </c>
      <c r="D60" s="21" t="inlineStr">
        <is>
          <t>Buy</t>
        </is>
      </c>
      <c r="E60" s="36" t="n">
        <v>312</v>
      </c>
      <c r="F60" s="23" t="n">
        <v>86</v>
      </c>
      <c r="G60" s="28" t="n">
        <v>26832</v>
      </c>
      <c r="H60" s="24" t="inlineStr">
        <is>
          <t>Original transaction workbook</t>
        </is>
      </c>
      <c r="I60" s="10" t="n"/>
      <c r="J60" s="10" t="n"/>
      <c r="K60" s="10" t="n"/>
    </row>
    <row r="61">
      <c r="A61" s="37" t="n"/>
      <c r="B61" s="37" t="n"/>
      <c r="C61" s="38" t="n">
        <v>41565</v>
      </c>
      <c r="D61" s="37" t="inlineStr">
        <is>
          <t>Buy</t>
        </is>
      </c>
      <c r="E61" s="39" t="n">
        <v>219</v>
      </c>
      <c r="F61" s="40" t="n">
        <v>142</v>
      </c>
      <c r="G61" s="30" t="n">
        <v>31098</v>
      </c>
      <c r="H61" s="41" t="inlineStr">
        <is>
          <t>Original transaction workbook</t>
        </is>
      </c>
      <c r="I61" s="37" t="n"/>
      <c r="J61" s="37" t="n"/>
      <c r="K61" s="37" t="n"/>
    </row>
    <row r="62">
      <c r="A62" s="5" t="n"/>
      <c r="B62" s="5" t="n"/>
      <c r="C62" s="6" t="n">
        <v>41929</v>
      </c>
      <c r="D62" s="5" t="inlineStr">
        <is>
          <t>Sell</t>
        </is>
      </c>
      <c r="E62" s="7" t="n">
        <v>-995</v>
      </c>
      <c r="F62" s="8" t="n">
        <v>670</v>
      </c>
      <c r="G62" s="25" t="n">
        <v>-666650</v>
      </c>
      <c r="H62" s="9" t="inlineStr">
        <is>
          <t>Original transaction workbook</t>
        </is>
      </c>
      <c r="I62" s="5" t="n"/>
      <c r="J62" s="5" t="n"/>
      <c r="K62" s="5" t="n"/>
    </row>
    <row r="63" ht="70" customHeight="1">
      <c r="A63" s="37" t="n"/>
      <c r="B63" s="37" t="n"/>
      <c r="C63" s="70" t="n">
        <v>42027</v>
      </c>
      <c r="D63" s="71" t="inlineStr">
        <is>
          <t>Split</t>
        </is>
      </c>
      <c r="E63" s="72" t="n">
        <v>317</v>
      </c>
      <c r="F63" s="73" t="n"/>
      <c r="G63" s="73" t="n">
        <v>0</v>
      </c>
      <c r="H63" s="74" t="inlineStr">
        <is>
          <t>Stock split 2:1; face value ₹10 to ₹5. Pre-split holding 317 → 634; delta +317. Official RS Software Annual Report 2014-15 states the subdivision completed 23-Jan-2015: https://www.rssoftware.com/administrator/uploads/reports/1711663116_RS_Software_Annual_Report_2014-15.pdf</t>
        </is>
      </c>
      <c r="I63" s="37" t="n"/>
      <c r="J63" s="37" t="n"/>
      <c r="K63" s="37" t="n"/>
    </row>
    <row r="64" ht="56" customHeight="1">
      <c r="A64" s="5" t="n"/>
      <c r="B64" s="5" t="n"/>
      <c r="C64" s="6" t="n">
        <v>42034</v>
      </c>
      <c r="D64" s="5" t="inlineStr">
        <is>
          <t>Buy</t>
        </is>
      </c>
      <c r="E64" s="20" t="n">
        <v>438</v>
      </c>
      <c r="F64" s="8" t="n">
        <v>240.5</v>
      </c>
      <c r="G64" s="25" t="n">
        <v>105339</v>
      </c>
      <c r="H64" s="9" t="inlineStr">
        <is>
          <t>Missing post-split buy inferred from snapshots and liquid balance: 01Jan15 holding 317; after 2:1 split holding 634; 30Jan15 snapshot holding 1,072, implying Buy +438. Price ₹240.50 inferred from LiquidBees reduction of ₹105,340; amount ₹105,339.</t>
        </is>
      </c>
      <c r="I64" s="5" t="n"/>
      <c r="J64" s="5" t="n"/>
      <c r="K64" s="5" t="n"/>
    </row>
    <row r="65" ht="56" customHeight="1">
      <c r="A65" s="5" t="n"/>
      <c r="B65" s="5" t="n"/>
      <c r="C65" s="6" t="n">
        <v>42114</v>
      </c>
      <c r="D65" s="5" t="inlineStr">
        <is>
          <t>Sell</t>
        </is>
      </c>
      <c r="E65" s="7" t="n">
        <v>-1072</v>
      </c>
      <c r="F65" s="8" t="n">
        <v>185.5</v>
      </c>
      <c r="G65" s="25">
        <f>E65*F65</f>
        <v/>
      </c>
      <c r="H65" s="9" t="inlineStr">
        <is>
          <t>Final exit quantity corrected from -317 to -1,072 to match 20Apr15 snapshot zero after the 2:1 split and inferred +438 buy. Original row recorded 317@371 (₹117,607), which is not sufficient to price the full corrected exit; sale proceeds require source confirmation.</t>
        </is>
      </c>
      <c r="I65" s="5" t="n"/>
      <c r="J65" s="5" t="n"/>
      <c r="K65" s="5" t="n"/>
    </row>
    <row r="66">
      <c r="A66" s="77" t="n"/>
      <c r="B66" s="77" t="n"/>
      <c r="C66" s="78" t="n"/>
      <c r="D66" s="77" t="n"/>
      <c r="E66" s="79">
        <f>SUM(E59:E65)</f>
        <v/>
      </c>
      <c r="F66" s="76" t="n"/>
      <c r="G66" s="76" t="n"/>
      <c r="H66" s="80" t="n"/>
      <c r="I66" s="77" t="n"/>
      <c r="J66" s="77" t="n"/>
      <c r="K66" s="77" t="n"/>
    </row>
    <row r="67" ht="70" customHeight="1">
      <c r="A67" s="64" t="n">
        <v>11</v>
      </c>
      <c r="B67" s="64" t="inlineStr">
        <is>
          <t>Zensar</t>
        </is>
      </c>
      <c r="C67" s="65" t="n">
        <v>41023</v>
      </c>
      <c r="D67" s="64" t="inlineStr">
        <is>
          <t>Buy</t>
        </is>
      </c>
      <c r="E67" s="66" t="n">
        <v>225</v>
      </c>
      <c r="F67" s="67" t="n">
        <v>222</v>
      </c>
      <c r="G67" s="67" t="n">
        <v>49950</v>
      </c>
      <c r="H67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67" s="64" t="inlineStr">
        <is>
          <t>P</t>
        </is>
      </c>
      <c r="J67" s="64" t="n"/>
      <c r="K67" s="64" t="n"/>
    </row>
    <row r="68">
      <c r="A68" s="5" t="n"/>
      <c r="B68" s="5" t="n"/>
      <c r="C68" s="6" t="n">
        <v>41698</v>
      </c>
      <c r="D68" s="5" t="inlineStr">
        <is>
          <t>Buy</t>
        </is>
      </c>
      <c r="E68" s="20" t="n">
        <v>87</v>
      </c>
      <c r="F68" s="8" t="n">
        <v>395</v>
      </c>
      <c r="G68" s="25" t="n">
        <v>34365</v>
      </c>
      <c r="H68" s="9" t="inlineStr">
        <is>
          <t>Original transaction workbook</t>
        </is>
      </c>
      <c r="I68" s="5" t="n"/>
      <c r="J68" s="5" t="n"/>
      <c r="K68" s="5" t="n"/>
    </row>
    <row r="69">
      <c r="A69" s="37" t="n"/>
      <c r="B69" s="37" t="n"/>
      <c r="C69" s="38" t="n">
        <v>41752</v>
      </c>
      <c r="D69" s="37" t="inlineStr">
        <is>
          <t>Buy</t>
        </is>
      </c>
      <c r="E69" s="39" t="n">
        <v>144</v>
      </c>
      <c r="F69" s="40" t="n">
        <v>388.2</v>
      </c>
      <c r="G69" s="30" t="n">
        <v>55900.8</v>
      </c>
      <c r="H69" s="41" t="inlineStr">
        <is>
          <t>Original transaction workbook</t>
        </is>
      </c>
      <c r="I69" s="37" t="n"/>
      <c r="J69" s="37" t="n"/>
      <c r="K69" s="37" t="n"/>
    </row>
    <row r="70">
      <c r="A70" s="5" t="n"/>
      <c r="B70" s="5" t="n"/>
      <c r="C70" s="6" t="n">
        <v>42123</v>
      </c>
      <c r="D70" s="5" t="inlineStr">
        <is>
          <t>Sell</t>
        </is>
      </c>
      <c r="E70" s="7" t="n">
        <v>-228</v>
      </c>
      <c r="F70" s="8" t="n">
        <v>684</v>
      </c>
      <c r="G70" s="25" t="n">
        <v>-155952</v>
      </c>
      <c r="H70" s="9" t="inlineStr">
        <is>
          <t>Original transaction workbook</t>
        </is>
      </c>
      <c r="I70" s="5" t="n"/>
      <c r="J70" s="5" t="n"/>
      <c r="K70" s="5" t="n"/>
    </row>
    <row r="71">
      <c r="A71" s="37" t="n"/>
      <c r="B71" s="37" t="n"/>
      <c r="C71" s="38" t="n">
        <v>42216</v>
      </c>
      <c r="D71" s="37" t="inlineStr">
        <is>
          <t>Sell</t>
        </is>
      </c>
      <c r="E71" s="42" t="n">
        <v>-228</v>
      </c>
      <c r="F71" s="40" t="n">
        <v>941.5</v>
      </c>
      <c r="G71" s="30" t="n">
        <v>-214662</v>
      </c>
      <c r="H71" s="41" t="inlineStr">
        <is>
          <t>Original transaction workbook</t>
        </is>
      </c>
      <c r="I71" s="37" t="n"/>
      <c r="J71" s="37" t="n"/>
      <c r="K71" s="37" t="n"/>
    </row>
    <row r="72">
      <c r="A72" s="77" t="n"/>
      <c r="B72" s="77" t="n"/>
      <c r="C72" s="78" t="n"/>
      <c r="D72" s="77" t="n"/>
      <c r="E72" s="79">
        <f>SUM(E67:E71)</f>
        <v/>
      </c>
      <c r="F72" s="76" t="n"/>
      <c r="G72" s="76" t="n"/>
      <c r="H72" s="80" t="n"/>
      <c r="I72" s="77" t="n"/>
      <c r="J72" s="77" t="n"/>
      <c r="K72" s="77" t="n"/>
    </row>
    <row r="73" ht="70" customHeight="1">
      <c r="A73" s="64" t="n">
        <v>12</v>
      </c>
      <c r="B73" s="64" t="inlineStr">
        <is>
          <t>Technofab</t>
        </is>
      </c>
      <c r="C73" s="65" t="n">
        <v>41092</v>
      </c>
      <c r="D73" s="64" t="inlineStr">
        <is>
          <t>Buy</t>
        </is>
      </c>
      <c r="E73" s="66" t="n">
        <v>368</v>
      </c>
      <c r="F73" s="67" t="n">
        <v>136</v>
      </c>
      <c r="G73" s="67" t="n">
        <v>50048</v>
      </c>
      <c r="H73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73" s="64" t="inlineStr">
        <is>
          <t>L</t>
        </is>
      </c>
      <c r="J73" s="64" t="n"/>
      <c r="K73" s="64" t="n"/>
    </row>
    <row r="74">
      <c r="A74" s="5" t="n"/>
      <c r="B74" s="5" t="n"/>
      <c r="C74" s="6" t="n">
        <v>42165</v>
      </c>
      <c r="D74" s="5" t="inlineStr">
        <is>
          <t>Buy</t>
        </is>
      </c>
      <c r="E74" s="7" t="n">
        <v>532</v>
      </c>
      <c r="F74" s="8" t="n">
        <v>161</v>
      </c>
      <c r="G74" s="25" t="n">
        <v>85652</v>
      </c>
      <c r="H74" s="9" t="inlineStr">
        <is>
          <t>Original transaction workbook</t>
        </is>
      </c>
      <c r="I74" s="5" t="n"/>
      <c r="J74" s="5" t="n"/>
      <c r="K74" s="5" t="n"/>
    </row>
    <row r="75" ht="37.25" customHeight="1">
      <c r="A75" s="5" t="n"/>
      <c r="B75" s="5" t="n"/>
      <c r="C75" s="6" t="n">
        <v>43943</v>
      </c>
      <c r="D75" s="5" t="inlineStr">
        <is>
          <t>Sell</t>
        </is>
      </c>
      <c r="E75" s="7" t="n">
        <v>-900</v>
      </c>
      <c r="F75" s="8" t="n">
        <v>5.4</v>
      </c>
      <c r="G75" s="25" t="n">
        <v>-4860</v>
      </c>
      <c r="H75" s="9" t="inlineStr">
        <is>
          <t>Portfolio_2020.xlsx / 22Apr20: Sell 900@5.4 = 4860</t>
        </is>
      </c>
      <c r="I75" s="5" t="n"/>
      <c r="J75" s="5" t="n"/>
      <c r="K75" s="5" t="n"/>
    </row>
    <row r="76" ht="37.25" customHeight="1">
      <c r="A76" s="77" t="n"/>
      <c r="B76" s="77" t="n"/>
      <c r="C76" s="78" t="n"/>
      <c r="D76" s="77" t="n"/>
      <c r="E76" s="79">
        <f>SUM(E73:E75)</f>
        <v/>
      </c>
      <c r="F76" s="76" t="n"/>
      <c r="G76" s="76" t="n"/>
      <c r="H76" s="80" t="n"/>
      <c r="I76" s="77" t="n"/>
      <c r="J76" s="77" t="n"/>
      <c r="K76" s="77" t="n"/>
    </row>
    <row r="77" ht="37.25" customHeight="1">
      <c r="A77" s="64" t="n">
        <v>13</v>
      </c>
      <c r="B77" s="64" t="inlineStr">
        <is>
          <t>Take</t>
        </is>
      </c>
      <c r="C77" s="65" t="n">
        <v>41148</v>
      </c>
      <c r="D77" s="64" t="inlineStr">
        <is>
          <t>Buy</t>
        </is>
      </c>
      <c r="E77" s="66" t="n">
        <v>1850</v>
      </c>
      <c r="F77" s="67" t="n">
        <v>38</v>
      </c>
      <c r="G77" s="67" t="n">
        <v>70300</v>
      </c>
      <c r="H77" s="68" t="inlineStr">
        <is>
          <t>Original transaction workbook</t>
        </is>
      </c>
      <c r="I77" s="64" t="inlineStr">
        <is>
          <t>L</t>
        </is>
      </c>
      <c r="J77" s="64" t="n"/>
      <c r="K77" s="64" t="n"/>
    </row>
    <row r="78" ht="56" customHeight="1">
      <c r="A78" s="10" t="n"/>
      <c r="B78" s="10" t="n"/>
      <c r="C78" s="35" t="n">
        <v>41421</v>
      </c>
      <c r="D78" s="21" t="inlineStr">
        <is>
          <t>Sell</t>
        </is>
      </c>
      <c r="E78" s="36" t="n">
        <v>-1850</v>
      </c>
      <c r="F78" s="23" t="n">
        <v>28</v>
      </c>
      <c r="G78" s="28" t="n">
        <v>-51800</v>
      </c>
      <c r="H78" s="24" t="inlineStr">
        <is>
          <t>Original transaction workbook</t>
        </is>
      </c>
      <c r="I78" s="10" t="n"/>
      <c r="J78" s="10" t="n"/>
      <c r="K78" s="10" t="n"/>
    </row>
    <row r="79" ht="37.25" customHeight="1">
      <c r="A79" s="77" t="n"/>
      <c r="B79" s="77" t="n"/>
      <c r="C79" s="78" t="n"/>
      <c r="D79" s="77" t="n"/>
      <c r="E79" s="79">
        <f>SUM(E77:E78)</f>
        <v/>
      </c>
      <c r="F79" s="76" t="n"/>
      <c r="G79" s="76" t="n"/>
      <c r="H79" s="80" t="n"/>
      <c r="I79" s="77" t="n"/>
      <c r="J79" s="77" t="n"/>
      <c r="K79" s="77" t="n"/>
    </row>
    <row r="80" ht="56" customHeight="1">
      <c r="A80" s="64" t="n">
        <v>14</v>
      </c>
      <c r="B80" s="64" t="inlineStr">
        <is>
          <t>Heritage</t>
        </is>
      </c>
      <c r="C80" s="65" t="n">
        <v>41180</v>
      </c>
      <c r="D80" s="64" t="inlineStr">
        <is>
          <t>Buy</t>
        </is>
      </c>
      <c r="E80" s="66" t="n">
        <v>245</v>
      </c>
      <c r="F80" s="67" t="n">
        <v>290</v>
      </c>
      <c r="G80" s="67" t="n">
        <v>71050</v>
      </c>
      <c r="H80" s="68" t="inlineStr">
        <is>
          <t>Original transaction workbook; Restored to pre-2013 bonus and pre-2017 split basis (original row had been adjusted 4×).</t>
        </is>
      </c>
      <c r="I80" s="64" t="inlineStr">
        <is>
          <t>P</t>
        </is>
      </c>
      <c r="J80" s="64" t="n"/>
      <c r="K80" s="64" t="n"/>
    </row>
    <row r="81" ht="28" customHeight="1">
      <c r="A81" s="10" t="n"/>
      <c r="B81" s="10" t="n"/>
      <c r="C81" s="11" t="n">
        <v>41212</v>
      </c>
      <c r="D81" s="10" t="inlineStr">
        <is>
          <t>Buy</t>
        </is>
      </c>
      <c r="E81" s="15" t="n">
        <v>95</v>
      </c>
      <c r="F81" s="13" t="n">
        <v>350</v>
      </c>
      <c r="G81" s="26" t="n">
        <v>33250</v>
      </c>
      <c r="H81" s="14" t="inlineStr">
        <is>
          <t>Original transaction workbook; Restored to pre-2013 bonus and pre-2017 split basis (original row had been adjusted 4×).</t>
        </is>
      </c>
      <c r="I81" s="10" t="n"/>
      <c r="J81" s="10" t="n"/>
      <c r="K81" s="10" t="n"/>
    </row>
    <row r="82" ht="28" customHeight="1">
      <c r="A82" s="10" t="n"/>
      <c r="B82" s="10" t="n"/>
      <c r="C82" s="35" t="n">
        <v>41305</v>
      </c>
      <c r="D82" s="21" t="inlineStr">
        <is>
          <t>Buy</t>
        </is>
      </c>
      <c r="E82" s="36" t="n">
        <v>80</v>
      </c>
      <c r="F82" s="23" t="n">
        <v>486</v>
      </c>
      <c r="G82" s="28" t="n">
        <v>38880</v>
      </c>
      <c r="H82" s="24" t="inlineStr">
        <is>
          <t>Original transaction workbook; Restored to pre-2013 bonus and pre-2017 split basis (original row had been adjusted 4×).</t>
        </is>
      </c>
      <c r="I82" s="10" t="n"/>
      <c r="J82" s="10" t="n"/>
      <c r="K82" s="10" t="n"/>
    </row>
    <row r="83" ht="37.25" customHeight="1">
      <c r="A83" s="5" t="n"/>
      <c r="B83" s="5" t="n"/>
      <c r="C83" s="70" t="n">
        <v>41481</v>
      </c>
      <c r="D83" s="71" t="inlineStr">
        <is>
          <t>Bonus</t>
        </is>
      </c>
      <c r="E83" s="72" t="n">
        <v>420</v>
      </c>
      <c r="F83" s="73" t="n"/>
      <c r="G83" s="73" t="n">
        <v>0</v>
      </c>
      <c r="H83" s="74" t="inlineStr">
        <is>
          <t>Bonus issue 1:1. Quantity 420 → 840; delta +420. Corporate-action history: https://trendlyne.com/equity/corporate-actions/HERITGFOOD/539/heritage-foods-ltd/</t>
        </is>
      </c>
      <c r="I83" s="5" t="n"/>
      <c r="J83" s="5" t="n"/>
      <c r="K83" s="5" t="n"/>
    </row>
    <row r="84" ht="28" customHeight="1">
      <c r="A84" s="10" t="n"/>
      <c r="B84" s="10" t="n"/>
      <c r="C84" s="11" t="n">
        <v>42151</v>
      </c>
      <c r="D84" s="10" t="inlineStr">
        <is>
          <t>Buy</t>
        </is>
      </c>
      <c r="E84" s="15" t="n">
        <v>420</v>
      </c>
      <c r="F84" s="13" t="n">
        <v>385</v>
      </c>
      <c r="G84" s="26" t="n">
        <v>161700</v>
      </c>
      <c r="H84" s="14" t="inlineStr">
        <is>
          <t>Original transaction workbook; Restored to pre-2017 split basis (original row had been adjusted 2×).</t>
        </is>
      </c>
      <c r="I84" s="10" t="n"/>
      <c r="J84" s="10" t="n"/>
      <c r="K84" s="10" t="n"/>
    </row>
    <row r="85" ht="42" customHeight="1">
      <c r="A85" s="10" t="n"/>
      <c r="B85" s="10" t="n"/>
      <c r="C85" s="70" t="n">
        <v>43018</v>
      </c>
      <c r="D85" s="71" t="inlineStr">
        <is>
          <t>Split</t>
        </is>
      </c>
      <c r="E85" s="72" t="n">
        <v>1260</v>
      </c>
      <c r="F85" s="73" t="n"/>
      <c r="G85" s="73" t="n">
        <v>0</v>
      </c>
      <c r="H85" s="74" t="inlineStr">
        <is>
          <t>Stock split 2:1; face value ₹10 to ₹5. Quantity 1,260 → 2,520; delta +1,260. Official company annual report: https://www.heritagefoods.in/uploads/investors/pdf/15587019031H_AR_17-18.pdf</t>
        </is>
      </c>
      <c r="I85" s="10" t="n"/>
      <c r="J85" s="10" t="n"/>
      <c r="K85" s="10" t="n"/>
    </row>
    <row r="86">
      <c r="A86" s="37" t="n"/>
      <c r="B86" s="37" t="n"/>
      <c r="C86" s="38" t="n">
        <v>43910</v>
      </c>
      <c r="D86" s="37" t="inlineStr">
        <is>
          <t>Buy</t>
        </is>
      </c>
      <c r="E86" s="39" t="n">
        <v>290</v>
      </c>
      <c r="F86" s="40" t="n">
        <v>180.25</v>
      </c>
      <c r="G86" s="30" t="n">
        <v>52272.5</v>
      </c>
      <c r="H86" s="41" t="inlineStr">
        <is>
          <t>Portfolio_2020.xlsx / 20Mar20: Buy 290@180.25 = 52273</t>
        </is>
      </c>
      <c r="I86" s="37" t="n"/>
      <c r="J86" s="37" t="n"/>
      <c r="K86" s="37" t="n"/>
    </row>
    <row r="87">
      <c r="A87" s="5" t="n"/>
      <c r="B87" s="5" t="n"/>
      <c r="C87" s="6" t="n">
        <v>44132</v>
      </c>
      <c r="D87" s="5" t="inlineStr">
        <is>
          <t>Buy</t>
        </is>
      </c>
      <c r="E87" s="20" t="n">
        <v>562</v>
      </c>
      <c r="F87" s="8" t="n">
        <v>308</v>
      </c>
      <c r="G87" s="25" t="n">
        <v>173096</v>
      </c>
      <c r="H87" s="9" t="inlineStr">
        <is>
          <t>Portfolio_2020.xlsx / 28Oct20: Buy 562@ 308 = 173096</t>
        </is>
      </c>
      <c r="I87" s="5" t="n"/>
      <c r="J87" s="5" t="n"/>
      <c r="K87" s="5" t="n"/>
    </row>
    <row r="88" ht="28" customHeight="1">
      <c r="A88" s="37" t="n"/>
      <c r="B88" s="37" t="n"/>
      <c r="C88" s="70" t="n">
        <v>44946</v>
      </c>
      <c r="D88" s="71" t="inlineStr">
        <is>
          <t>Rights</t>
        </is>
      </c>
      <c r="E88" s="72" t="n">
        <v>3372</v>
      </c>
      <c r="F88" s="73" t="n">
        <v>5</v>
      </c>
      <c r="G88" s="73" t="n">
        <v>16860</v>
      </c>
      <c r="H88" s="74" t="inlineStr">
        <is>
          <t>Portfolio_2023.xlsx / 20Jan23: Right Issue 1:1 at face value of Rs5. 3372*5 = 16860</t>
        </is>
      </c>
      <c r="I88" s="37" t="n"/>
      <c r="J88" s="37" t="n"/>
      <c r="K88" s="37" t="n"/>
    </row>
    <row r="89">
      <c r="A89" s="5" t="n"/>
      <c r="B89" s="5" t="n"/>
      <c r="C89" s="6" t="n">
        <v>46147</v>
      </c>
      <c r="D89" s="5" t="inlineStr">
        <is>
          <t>Sell</t>
        </is>
      </c>
      <c r="E89" s="7" t="n">
        <v>-130</v>
      </c>
      <c r="F89" s="8" t="n">
        <v>355.29</v>
      </c>
      <c r="G89" s="25" t="n">
        <v>-46187.7</v>
      </c>
      <c r="H89" s="9" t="inlineStr">
        <is>
          <t>Portfolio_2026.xlsx / 05May26: Sell 130@355.29 = 46188</t>
        </is>
      </c>
      <c r="I89" s="5" t="n"/>
      <c r="J89" s="5" t="n"/>
      <c r="K89" s="5" t="n"/>
    </row>
    <row r="90">
      <c r="A90" s="5" t="n"/>
      <c r="B90" s="5" t="n"/>
      <c r="C90" s="6" t="n">
        <v>46153</v>
      </c>
      <c r="D90" s="5" t="inlineStr">
        <is>
          <t>Sell</t>
        </is>
      </c>
      <c r="E90" s="7" t="n">
        <v>-373</v>
      </c>
      <c r="F90" s="8" t="n">
        <v>373.43</v>
      </c>
      <c r="G90" s="25" t="n">
        <v>-139289.39</v>
      </c>
      <c r="H90" s="9" t="inlineStr">
        <is>
          <t>Portfolio_2026.xlsx / 11May: Sell 373@373.43 = 129289</t>
        </is>
      </c>
      <c r="I90" s="5" t="n"/>
      <c r="J90" s="5" t="n"/>
      <c r="K90" s="5" t="n"/>
    </row>
    <row r="91">
      <c r="A91" s="77" t="n"/>
      <c r="B91" s="77" t="n"/>
      <c r="C91" s="78" t="n"/>
      <c r="D91" s="77" t="n"/>
      <c r="E91" s="81">
        <f>SUM(E80:E90)</f>
        <v/>
      </c>
      <c r="F91" s="76" t="n"/>
      <c r="G91" s="76" t="n"/>
      <c r="H91" s="80" t="n"/>
      <c r="I91" s="77" t="n"/>
      <c r="J91" s="77" t="n"/>
      <c r="K91" s="77" t="n"/>
    </row>
    <row r="92">
      <c r="A92" s="64" t="n">
        <v>15</v>
      </c>
      <c r="B92" s="64" t="inlineStr">
        <is>
          <t>Everest</t>
        </is>
      </c>
      <c r="C92" s="65" t="n">
        <v>41254</v>
      </c>
      <c r="D92" s="64" t="inlineStr">
        <is>
          <t>Buy</t>
        </is>
      </c>
      <c r="E92" s="66" t="n">
        <v>350</v>
      </c>
      <c r="F92" s="67" t="n">
        <v>248</v>
      </c>
      <c r="G92" s="67" t="n">
        <v>86800</v>
      </c>
      <c r="H92" s="68" t="inlineStr">
        <is>
          <t>Original transaction workbook</t>
        </is>
      </c>
      <c r="I92" s="64" t="inlineStr">
        <is>
          <t>P</t>
        </is>
      </c>
      <c r="J92" s="64" t="n"/>
      <c r="K92" s="64" t="n"/>
    </row>
    <row r="93">
      <c r="A93" s="5" t="n"/>
      <c r="B93" s="5" t="n"/>
      <c r="C93" s="6" t="n">
        <v>42201</v>
      </c>
      <c r="D93" s="5" t="inlineStr">
        <is>
          <t>Sell</t>
        </is>
      </c>
      <c r="E93" s="7" t="n">
        <v>-350</v>
      </c>
      <c r="F93" s="8" t="n">
        <v>386.5</v>
      </c>
      <c r="G93" s="25" t="n">
        <v>-135275</v>
      </c>
      <c r="H93" s="9" t="inlineStr">
        <is>
          <t>Original transaction workbook</t>
        </is>
      </c>
      <c r="I93" s="5" t="n"/>
      <c r="J93" s="5" t="n"/>
      <c r="K93" s="5" t="n"/>
    </row>
    <row r="94">
      <c r="A94" s="77" t="n"/>
      <c r="B94" s="77" t="n"/>
      <c r="C94" s="78" t="n"/>
      <c r="D94" s="77" t="n"/>
      <c r="E94" s="79">
        <f>SUM(E92:E93)</f>
        <v/>
      </c>
      <c r="F94" s="76" t="n"/>
      <c r="G94" s="76" t="n"/>
      <c r="H94" s="80" t="n"/>
      <c r="I94" s="77" t="n"/>
      <c r="J94" s="77" t="n"/>
      <c r="K94" s="77" t="n"/>
    </row>
    <row r="95">
      <c r="A95" s="64" t="n">
        <v>16</v>
      </c>
      <c r="B95" s="64" t="inlineStr">
        <is>
          <t>Treehouse</t>
        </is>
      </c>
      <c r="C95" s="65" t="n">
        <v>41365</v>
      </c>
      <c r="D95" s="64" t="inlineStr">
        <is>
          <t>Buy</t>
        </is>
      </c>
      <c r="E95" s="69" t="n">
        <v>365</v>
      </c>
      <c r="F95" s="67" t="n">
        <v>230</v>
      </c>
      <c r="G95" s="67" t="n">
        <v>83950</v>
      </c>
      <c r="H95" s="68" t="inlineStr">
        <is>
          <t>Original transaction workbook</t>
        </is>
      </c>
      <c r="I95" s="64" t="inlineStr">
        <is>
          <t>L</t>
        </is>
      </c>
      <c r="J95" s="64" t="n"/>
      <c r="K95" s="64" t="n"/>
    </row>
    <row r="96">
      <c r="A96" s="37" t="n"/>
      <c r="B96" s="37" t="n"/>
      <c r="C96" s="38" t="n">
        <v>42521</v>
      </c>
      <c r="D96" s="37" t="inlineStr">
        <is>
          <t>Sell</t>
        </is>
      </c>
      <c r="E96" s="39" t="n">
        <v>-365</v>
      </c>
      <c r="F96" s="40" t="n">
        <v>66.5</v>
      </c>
      <c r="G96" s="30" t="n">
        <v>-24272.5</v>
      </c>
      <c r="H96" s="41" t="inlineStr">
        <is>
          <t>Original transaction workbook</t>
        </is>
      </c>
      <c r="I96" s="37" t="n"/>
      <c r="J96" s="37" t="n"/>
      <c r="K96" s="37" t="n"/>
    </row>
    <row r="97">
      <c r="A97" s="77" t="n"/>
      <c r="B97" s="77" t="n"/>
      <c r="C97" s="78" t="n"/>
      <c r="D97" s="77" t="n"/>
      <c r="E97" s="79">
        <f>SUM(E95:E96)</f>
        <v/>
      </c>
      <c r="F97" s="76" t="n"/>
      <c r="G97" s="76" t="n"/>
      <c r="H97" s="80" t="n"/>
      <c r="I97" s="77" t="n"/>
      <c r="J97" s="77" t="n"/>
      <c r="K97" s="77" t="n"/>
    </row>
    <row r="98">
      <c r="A98" s="64" t="n">
        <v>17</v>
      </c>
      <c r="B98" s="64" t="inlineStr">
        <is>
          <t>Eicher Motors</t>
        </is>
      </c>
      <c r="C98" s="65" t="n">
        <v>41396</v>
      </c>
      <c r="D98" s="64" t="inlineStr">
        <is>
          <t>Buy</t>
        </is>
      </c>
      <c r="E98" s="66" t="n">
        <v>29</v>
      </c>
      <c r="F98" s="67" t="n">
        <v>2958</v>
      </c>
      <c r="G98" s="67" t="n">
        <v>85782</v>
      </c>
      <c r="H98" s="68" t="inlineStr">
        <is>
          <t>Original transaction workbook</t>
        </is>
      </c>
      <c r="I98" s="64" t="inlineStr">
        <is>
          <t>P</t>
        </is>
      </c>
      <c r="J98" s="64" t="n"/>
      <c r="K98" s="64" t="n"/>
    </row>
    <row r="99">
      <c r="A99" s="5" t="n"/>
      <c r="B99" s="5" t="n"/>
      <c r="C99" s="6" t="n">
        <v>41494</v>
      </c>
      <c r="D99" s="5" t="inlineStr">
        <is>
          <t>Buy</t>
        </is>
      </c>
      <c r="E99" s="7" t="n">
        <v>10</v>
      </c>
      <c r="F99" s="8" t="n">
        <v>3202</v>
      </c>
      <c r="G99" s="25" t="n">
        <v>32020</v>
      </c>
      <c r="H99" s="9" t="inlineStr">
        <is>
          <t>Original transaction workbook</t>
        </is>
      </c>
      <c r="I99" s="5" t="n"/>
      <c r="J99" s="5" t="n"/>
      <c r="K99" s="5" t="n"/>
    </row>
    <row r="100">
      <c r="A100" s="37" t="n"/>
      <c r="B100" s="37" t="n"/>
      <c r="C100" s="38" t="n">
        <v>42642</v>
      </c>
      <c r="D100" s="37" t="inlineStr">
        <is>
          <t>Sell</t>
        </is>
      </c>
      <c r="E100" s="42" t="n">
        <v>-39</v>
      </c>
      <c r="F100" s="40" t="n">
        <v>26200</v>
      </c>
      <c r="G100" s="30" t="n">
        <v>-1021800</v>
      </c>
      <c r="H100" s="41" t="inlineStr">
        <is>
          <t>Original transaction workbook</t>
        </is>
      </c>
      <c r="I100" s="37" t="n"/>
      <c r="J100" s="37" t="n"/>
      <c r="K100" s="37" t="n"/>
    </row>
    <row r="101" ht="37.25" customHeight="1">
      <c r="A101" s="77" t="n"/>
      <c r="B101" s="77" t="n"/>
      <c r="C101" s="78" t="n"/>
      <c r="D101" s="77" t="n"/>
      <c r="E101" s="79">
        <f>SUM(E98:E100)</f>
        <v/>
      </c>
      <c r="F101" s="76" t="n"/>
      <c r="G101" s="76" t="n"/>
      <c r="H101" s="80" t="n"/>
      <c r="I101" s="77" t="n"/>
      <c r="J101" s="77" t="n"/>
      <c r="K101" s="77" t="n"/>
    </row>
    <row r="102" ht="56" customHeight="1">
      <c r="A102" s="64" t="n">
        <v>18</v>
      </c>
      <c r="B102" s="64" t="inlineStr">
        <is>
          <t>NDTV</t>
        </is>
      </c>
      <c r="C102" s="65" t="n">
        <v>41405</v>
      </c>
      <c r="D102" s="64" t="inlineStr">
        <is>
          <t>Buy</t>
        </is>
      </c>
      <c r="E102" s="66" t="n">
        <v>900</v>
      </c>
      <c r="F102" s="67" t="n">
        <v>92</v>
      </c>
      <c r="G102" s="67" t="n">
        <v>82800</v>
      </c>
      <c r="H102" s="68" t="inlineStr">
        <is>
          <t>Original transaction workbook</t>
        </is>
      </c>
      <c r="I102" s="64" t="inlineStr">
        <is>
          <t>L</t>
        </is>
      </c>
      <c r="J102" s="64" t="n"/>
      <c r="K102" s="64" t="n"/>
    </row>
    <row r="103" ht="93.25" customHeight="1">
      <c r="A103" s="5" t="n"/>
      <c r="B103" s="5" t="n"/>
      <c r="C103" s="6" t="n">
        <v>41617</v>
      </c>
      <c r="D103" s="5" t="inlineStr">
        <is>
          <t>Sell</t>
        </is>
      </c>
      <c r="E103" s="7" t="n">
        <v>-250</v>
      </c>
      <c r="F103" s="8" t="n">
        <v>79.5</v>
      </c>
      <c r="G103" s="25" t="n">
        <v>-19875</v>
      </c>
      <c r="H103" s="9" t="inlineStr">
        <is>
          <t>Original transaction workbook</t>
        </is>
      </c>
      <c r="I103" s="5" t="n"/>
      <c r="J103" s="5" t="n"/>
      <c r="K103" s="5" t="n"/>
    </row>
    <row r="104">
      <c r="A104" s="10" t="n"/>
      <c r="B104" s="10" t="n"/>
      <c r="C104" s="35" t="n">
        <v>41663</v>
      </c>
      <c r="D104" s="21" t="inlineStr">
        <is>
          <t>Sell</t>
        </is>
      </c>
      <c r="E104" s="36" t="n">
        <v>-650</v>
      </c>
      <c r="F104" s="23" t="n">
        <v>75</v>
      </c>
      <c r="G104" s="28" t="n">
        <v>-48750</v>
      </c>
      <c r="H104" s="24" t="inlineStr">
        <is>
          <t>Original transaction workbook</t>
        </is>
      </c>
      <c r="I104" s="10" t="n"/>
      <c r="J104" s="10" t="n"/>
      <c r="K104" s="10" t="n"/>
    </row>
    <row r="105">
      <c r="A105" s="77" t="n"/>
      <c r="B105" s="77" t="n"/>
      <c r="C105" s="78" t="n"/>
      <c r="D105" s="77" t="n"/>
      <c r="E105" s="79">
        <f>SUM(E102:E104)</f>
        <v/>
      </c>
      <c r="F105" s="76" t="n"/>
      <c r="G105" s="76" t="n"/>
      <c r="H105" s="80" t="n"/>
      <c r="I105" s="77" t="n"/>
      <c r="J105" s="77" t="n"/>
      <c r="K105" s="77" t="n"/>
    </row>
    <row r="106" ht="28" customHeight="1">
      <c r="A106" s="64" t="n">
        <v>19</v>
      </c>
      <c r="B106" s="64" t="inlineStr">
        <is>
          <t>Federal Bank</t>
        </is>
      </c>
      <c r="C106" s="65" t="n">
        <v>41522</v>
      </c>
      <c r="D106" s="64" t="inlineStr">
        <is>
          <t>Buy</t>
        </is>
      </c>
      <c r="E106" s="66" t="n">
        <v>329</v>
      </c>
      <c r="F106" s="67" t="n">
        <v>244</v>
      </c>
      <c r="G106" s="67" t="n">
        <v>80276</v>
      </c>
      <c r="H106" s="68" t="inlineStr">
        <is>
          <t>Original transaction workbook; Restored to pre-2013 split and pre-2015 bonus basis (original row had been adjusted 10×).</t>
        </is>
      </c>
      <c r="I106" s="64" t="inlineStr">
        <is>
          <t>P</t>
        </is>
      </c>
      <c r="J106" s="64" t="n"/>
      <c r="K106" s="64" t="n"/>
    </row>
    <row r="107" ht="42" customHeight="1">
      <c r="A107" s="37" t="n"/>
      <c r="B107" s="37" t="n"/>
      <c r="C107" s="70" t="n">
        <v>41564</v>
      </c>
      <c r="D107" s="71" t="inlineStr">
        <is>
          <t>Split</t>
        </is>
      </c>
      <c r="E107" s="72" t="n">
        <v>1316</v>
      </c>
      <c r="F107" s="73" t="n"/>
      <c r="G107" s="73" t="n">
        <v>0</v>
      </c>
      <c r="H107" s="74" t="inlineStr">
        <is>
          <t>Stock split 5:1; face value ₹10 to ₹2. Quantity 329 → 1,645; delta +1,316. Exchange-history reference: https://trendlyne.com/equity/Split/FEDERALBNK/412/federal-bank-ltd-split/</t>
        </is>
      </c>
      <c r="I107" s="37" t="n"/>
      <c r="J107" s="37" t="n"/>
      <c r="K107" s="37" t="n"/>
    </row>
    <row r="108" ht="70" customHeight="1">
      <c r="A108" s="5" t="n"/>
      <c r="B108" s="5" t="n"/>
      <c r="C108" s="70" t="n">
        <v>42193</v>
      </c>
      <c r="D108" s="71" t="inlineStr">
        <is>
          <t>Bonus</t>
        </is>
      </c>
      <c r="E108" s="72" t="n">
        <v>1645</v>
      </c>
      <c r="F108" s="73" t="n"/>
      <c r="G108" s="73" t="n">
        <v>0</v>
      </c>
      <c r="H108" s="74" t="inlineStr">
        <is>
          <t>Bonus issue 1:1; record date 09-Jul-2015. Quantity 1,645 → 3,290; delta +1,645. Official Federal Bank financial results: https://www.federal.bank.in/documents/10180/8836195/Financial%2BResults%2B-%2BQ1%2B-%2BFY%2B17.pdf/e23b30fa-8d95-41bb-a0e3-4dc7f958abb7?t=1469180442379</t>
        </is>
      </c>
      <c r="I108" s="5" t="n"/>
      <c r="J108" s="5" t="n"/>
      <c r="K108" s="5" t="n"/>
    </row>
    <row r="109">
      <c r="A109" s="37" t="n"/>
      <c r="B109" s="37" t="n"/>
      <c r="C109" s="38" t="n">
        <v>42205</v>
      </c>
      <c r="D109" s="37" t="inlineStr">
        <is>
          <t>Sell</t>
        </is>
      </c>
      <c r="E109" s="39" t="n">
        <v>-1645</v>
      </c>
      <c r="F109" s="40" t="n">
        <v>68.8</v>
      </c>
      <c r="G109" s="30" t="n">
        <v>-113176</v>
      </c>
      <c r="H109" s="41" t="inlineStr">
        <is>
          <t>Original transaction workbook</t>
        </is>
      </c>
      <c r="I109" s="37" t="n"/>
      <c r="J109" s="37" t="n"/>
      <c r="K109" s="37" t="n"/>
    </row>
    <row r="110">
      <c r="A110" s="5" t="n"/>
      <c r="B110" s="5" t="n"/>
      <c r="C110" s="6" t="n">
        <v>42290</v>
      </c>
      <c r="D110" s="5" t="inlineStr">
        <is>
          <t>Sell</t>
        </is>
      </c>
      <c r="E110" s="7" t="n">
        <v>-822</v>
      </c>
      <c r="F110" s="8" t="n">
        <v>67</v>
      </c>
      <c r="G110" s="25" t="n">
        <v>-55074</v>
      </c>
      <c r="H110" s="9" t="inlineStr">
        <is>
          <t>Original transaction workbook</t>
        </is>
      </c>
      <c r="I110" s="5" t="n"/>
      <c r="J110" s="5" t="n"/>
      <c r="K110" s="5" t="n"/>
    </row>
    <row r="111">
      <c r="A111" s="10" t="n"/>
      <c r="B111" s="10" t="n"/>
      <c r="C111" s="11" t="n">
        <v>42590</v>
      </c>
      <c r="D111" s="10" t="inlineStr">
        <is>
          <t>Sell</t>
        </is>
      </c>
      <c r="E111" s="12" t="n">
        <v>-823</v>
      </c>
      <c r="F111" s="13" t="n">
        <v>63.5</v>
      </c>
      <c r="G111" s="26" t="n">
        <v>-52260.5</v>
      </c>
      <c r="H111" s="14" t="inlineStr">
        <is>
          <t>Original transaction workbook</t>
        </is>
      </c>
      <c r="I111" s="10" t="n"/>
      <c r="J111" s="10" t="n"/>
      <c r="K111" s="10" t="n"/>
    </row>
    <row r="112">
      <c r="A112" s="77" t="n"/>
      <c r="B112" s="77" t="n"/>
      <c r="C112" s="78" t="n"/>
      <c r="D112" s="77" t="n"/>
      <c r="E112" s="79">
        <f>SUM(E106:E111)</f>
        <v/>
      </c>
      <c r="F112" s="76" t="n"/>
      <c r="G112" s="76" t="n"/>
      <c r="H112" s="80" t="n"/>
      <c r="I112" s="77" t="n"/>
      <c r="J112" s="77" t="n"/>
      <c r="K112" s="77" t="n"/>
    </row>
    <row r="113">
      <c r="A113" s="64" t="n">
        <v>20</v>
      </c>
      <c r="B113" s="64" t="inlineStr">
        <is>
          <t>JBChem</t>
        </is>
      </c>
      <c r="C113" s="65" t="n">
        <v>41569</v>
      </c>
      <c r="D113" s="64" t="inlineStr">
        <is>
          <t>Buy</t>
        </is>
      </c>
      <c r="E113" s="66" t="n">
        <v>766</v>
      </c>
      <c r="F113" s="67" t="n">
        <v>88.5</v>
      </c>
      <c r="G113" s="67" t="n">
        <v>67791</v>
      </c>
      <c r="H113" s="68" t="inlineStr">
        <is>
          <t>Original transaction workbook</t>
        </is>
      </c>
      <c r="I113" s="64" t="inlineStr">
        <is>
          <t>P</t>
        </is>
      </c>
      <c r="J113" s="64" t="n"/>
      <c r="K113" s="64" t="n"/>
    </row>
    <row r="114">
      <c r="A114" s="10" t="n"/>
      <c r="B114" s="10" t="n"/>
      <c r="C114" s="11" t="n">
        <v>41578</v>
      </c>
      <c r="D114" s="10" t="inlineStr">
        <is>
          <t>Buy</t>
        </is>
      </c>
      <c r="E114" s="12" t="n">
        <v>383</v>
      </c>
      <c r="F114" s="13" t="n">
        <v>92.8</v>
      </c>
      <c r="G114" s="26" t="n">
        <v>35542.4</v>
      </c>
      <c r="H114" s="14" t="inlineStr">
        <is>
          <t>Original transaction workbook</t>
        </is>
      </c>
      <c r="I114" s="10" t="n"/>
      <c r="J114" s="10" t="n"/>
      <c r="K114" s="10" t="n"/>
    </row>
    <row r="115">
      <c r="A115" s="10" t="n"/>
      <c r="B115" s="10" t="n"/>
      <c r="C115" s="11" t="n">
        <v>41857</v>
      </c>
      <c r="D115" s="10" t="inlineStr">
        <is>
          <t>Buy</t>
        </is>
      </c>
      <c r="E115" s="12" t="n">
        <v>229</v>
      </c>
      <c r="F115" s="13" t="n">
        <v>185</v>
      </c>
      <c r="G115" s="26" t="n">
        <v>42365</v>
      </c>
      <c r="H115" s="14" t="inlineStr">
        <is>
          <t>Original transaction workbook</t>
        </is>
      </c>
      <c r="I115" s="10" t="n"/>
      <c r="J115" s="10" t="n"/>
      <c r="K115" s="10" t="n"/>
    </row>
    <row r="116">
      <c r="A116" s="5" t="n"/>
      <c r="B116" s="5" t="n"/>
      <c r="C116" s="6" t="n">
        <v>43290</v>
      </c>
      <c r="D116" s="5" t="inlineStr">
        <is>
          <t>Buy</t>
        </is>
      </c>
      <c r="E116" s="7" t="n">
        <v>229</v>
      </c>
      <c r="F116" s="8" t="n">
        <v>250.15</v>
      </c>
      <c r="G116" s="25" t="n">
        <v>57284.35</v>
      </c>
      <c r="H116" s="9" t="inlineStr">
        <is>
          <t>Original transaction workbook</t>
        </is>
      </c>
      <c r="I116" s="5" t="n"/>
      <c r="J116" s="5" t="n"/>
      <c r="K116" s="5" t="n"/>
    </row>
    <row r="117">
      <c r="A117" s="10" t="n"/>
      <c r="B117" s="10" t="n"/>
      <c r="C117" s="11" t="n">
        <v>43291</v>
      </c>
      <c r="D117" s="10" t="inlineStr">
        <is>
          <t>Buy</t>
        </is>
      </c>
      <c r="E117" s="15" t="n">
        <v>460</v>
      </c>
      <c r="F117" s="13" t="n">
        <v>255.15</v>
      </c>
      <c r="G117" s="26" t="n">
        <v>117369</v>
      </c>
      <c r="H117" s="14" t="inlineStr">
        <is>
          <t>Original transaction workbook</t>
        </is>
      </c>
      <c r="I117" s="10" t="n"/>
      <c r="J117" s="10" t="n"/>
      <c r="K117" s="10" t="n"/>
    </row>
    <row r="118">
      <c r="A118" s="10" t="n"/>
      <c r="B118" s="10" t="n"/>
      <c r="C118" s="11" t="n">
        <v>43328</v>
      </c>
      <c r="D118" s="10" t="inlineStr">
        <is>
          <t>Buy</t>
        </is>
      </c>
      <c r="E118" s="12" t="n">
        <v>413</v>
      </c>
      <c r="F118" s="13" t="n">
        <v>312.55</v>
      </c>
      <c r="G118" s="26" t="n">
        <v>129083.15</v>
      </c>
      <c r="H118" s="14" t="inlineStr">
        <is>
          <t>Original transaction workbook</t>
        </is>
      </c>
      <c r="I118" s="10" t="n"/>
      <c r="J118" s="10" t="n"/>
      <c r="K118" s="10" t="n"/>
    </row>
    <row r="119">
      <c r="A119" s="10" t="n"/>
      <c r="B119" s="10" t="n"/>
      <c r="C119" s="11" t="n">
        <v>43374</v>
      </c>
      <c r="D119" s="10" t="inlineStr">
        <is>
          <t>Buy</t>
        </is>
      </c>
      <c r="E119" s="12" t="n">
        <v>248</v>
      </c>
      <c r="F119" s="13" t="n">
        <v>293.85</v>
      </c>
      <c r="G119" s="26" t="n">
        <v>72874.8</v>
      </c>
      <c r="H119" s="14" t="inlineStr">
        <is>
          <t>Original transaction workbook</t>
        </is>
      </c>
      <c r="I119" s="10" t="n"/>
      <c r="J119" s="10" t="n"/>
      <c r="K119" s="10" t="n"/>
    </row>
    <row r="120">
      <c r="A120" s="10" t="n"/>
      <c r="B120" s="10" t="n"/>
      <c r="C120" s="11" t="n">
        <v>43787</v>
      </c>
      <c r="D120" s="10" t="inlineStr">
        <is>
          <t>Sell</t>
        </is>
      </c>
      <c r="E120" s="12" t="n">
        <v>-340</v>
      </c>
      <c r="F120" s="13" t="n">
        <v>396.8</v>
      </c>
      <c r="G120" s="26" t="n">
        <v>-134912</v>
      </c>
      <c r="H120" s="14" t="inlineStr">
        <is>
          <t>Original transaction workbook</t>
        </is>
      </c>
      <c r="I120" s="10" t="n"/>
      <c r="J120" s="10" t="n"/>
      <c r="K120" s="10" t="n"/>
    </row>
    <row r="121">
      <c r="A121" s="5" t="n"/>
      <c r="B121" s="5" t="n"/>
      <c r="C121" s="6" t="n">
        <v>43924</v>
      </c>
      <c r="D121" s="5" t="inlineStr">
        <is>
          <t>Sell</t>
        </is>
      </c>
      <c r="E121" s="7" t="n">
        <v>-476</v>
      </c>
      <c r="F121" s="8" t="n">
        <v>460.05</v>
      </c>
      <c r="G121" s="25" t="n">
        <v>-218983.8</v>
      </c>
      <c r="H121" s="9" t="inlineStr">
        <is>
          <t>Portfolio_2020.xlsx / 03Apr20: Sell 476@460.05 = 218983</t>
        </is>
      </c>
      <c r="I121" s="5" t="n"/>
      <c r="J121" s="5" t="n"/>
      <c r="K121" s="5" t="n"/>
    </row>
    <row r="122">
      <c r="A122" s="10" t="n"/>
      <c r="B122" s="10" t="n"/>
      <c r="C122" s="11" t="n">
        <v>43984</v>
      </c>
      <c r="D122" s="10" t="inlineStr">
        <is>
          <t>Sell</t>
        </is>
      </c>
      <c r="E122" s="15" t="n">
        <v>-191</v>
      </c>
      <c r="F122" s="13" t="n">
        <v>684.1</v>
      </c>
      <c r="G122" s="26" t="n">
        <v>-130663.1</v>
      </c>
      <c r="H122" s="14" t="inlineStr">
        <is>
          <t>Portfolio_2020.xlsx / 02Jun20: Sell 191@684.1 = 130663</t>
        </is>
      </c>
      <c r="I122" s="10" t="n"/>
      <c r="J122" s="10" t="n"/>
      <c r="K122" s="10" t="n"/>
    </row>
    <row r="123">
      <c r="A123" s="10" t="n"/>
      <c r="B123" s="10" t="n"/>
      <c r="C123" s="11" t="n">
        <v>43990</v>
      </c>
      <c r="D123" s="10" t="inlineStr">
        <is>
          <t>Sell</t>
        </is>
      </c>
      <c r="E123" s="12" t="n">
        <v>-172</v>
      </c>
      <c r="F123" s="13" t="n">
        <v>707.8</v>
      </c>
      <c r="G123" s="26" t="n">
        <v>-121741.6</v>
      </c>
      <c r="H123" s="14" t="inlineStr">
        <is>
          <t>Portfolio_2020.xlsx / 08Jun20: Sell 172@707.8 = 121741</t>
        </is>
      </c>
      <c r="I123" s="10" t="n"/>
      <c r="J123" s="10" t="n"/>
      <c r="K123" s="10" t="n"/>
    </row>
    <row r="124">
      <c r="A124" s="37" t="n"/>
      <c r="B124" s="37" t="n"/>
      <c r="C124" s="38" t="n">
        <v>44146</v>
      </c>
      <c r="D124" s="37" t="inlineStr">
        <is>
          <t>Sell</t>
        </is>
      </c>
      <c r="E124" s="39" t="n">
        <v>-155</v>
      </c>
      <c r="F124" s="40" t="n">
        <v>928</v>
      </c>
      <c r="G124" s="30" t="n">
        <v>-143840</v>
      </c>
      <c r="H124" s="41" t="inlineStr">
        <is>
          <t>Portfolio_2020.xlsx / 11Nov20: Sell 155@928 = 143840</t>
        </is>
      </c>
      <c r="I124" s="37" t="n"/>
      <c r="J124" s="37" t="n"/>
      <c r="K124" s="37" t="n"/>
    </row>
    <row r="125">
      <c r="A125" s="5" t="n"/>
      <c r="B125" s="5" t="n"/>
      <c r="C125" s="6" t="n">
        <v>44237</v>
      </c>
      <c r="D125" s="5" t="inlineStr">
        <is>
          <t>Sell</t>
        </is>
      </c>
      <c r="E125" s="7" t="n">
        <v>-265</v>
      </c>
      <c r="F125" s="8" t="n">
        <v>1203.8</v>
      </c>
      <c r="G125" s="25" t="n">
        <v>-319007</v>
      </c>
      <c r="H125" s="9" t="inlineStr">
        <is>
          <t>Portfolio_2021.xlsx / 10Feb21: Sell 265@1203.8 = 319007</t>
        </is>
      </c>
      <c r="I125" s="5" t="n"/>
      <c r="J125" s="5" t="n"/>
      <c r="K125" s="5" t="n"/>
    </row>
    <row r="126">
      <c r="A126" s="37" t="n"/>
      <c r="B126" s="37" t="n"/>
      <c r="C126" s="38" t="n">
        <v>44362</v>
      </c>
      <c r="D126" s="37" t="inlineStr">
        <is>
          <t>Sell</t>
        </is>
      </c>
      <c r="E126" s="39" t="n">
        <v>-564</v>
      </c>
      <c r="F126" s="40" t="n">
        <v>1514.4</v>
      </c>
      <c r="G126" s="30" t="n">
        <v>-854121.6000000001</v>
      </c>
      <c r="H126" s="41" t="inlineStr">
        <is>
          <t>Portfolio_2021.xlsx / 15Jun21: Sell 564@1514.4 = 854121.6</t>
        </is>
      </c>
      <c r="I126" s="37" t="n"/>
      <c r="J126" s="37" t="n"/>
      <c r="K126" s="37" t="n"/>
    </row>
    <row r="127">
      <c r="A127" s="5" t="n"/>
      <c r="B127" s="5" t="n"/>
      <c r="C127" s="6" t="n">
        <v>44376</v>
      </c>
      <c r="D127" s="5" t="inlineStr">
        <is>
          <t>Sell</t>
        </is>
      </c>
      <c r="E127" s="7" t="n">
        <v>-283</v>
      </c>
      <c r="F127" s="8" t="n">
        <v>1863.7</v>
      </c>
      <c r="G127" s="25" t="n">
        <v>-527427.1</v>
      </c>
      <c r="H127" s="9" t="inlineStr">
        <is>
          <t>Portfolio_2021.xlsx / 29Jun21: Sell 283@1863.7 = 527427.1</t>
        </is>
      </c>
      <c r="I127" s="5" t="n"/>
      <c r="J127" s="5" t="n"/>
      <c r="K127" s="5" t="n"/>
    </row>
    <row r="128">
      <c r="A128" s="10" t="n"/>
      <c r="B128" s="10" t="n"/>
      <c r="C128" s="11" t="n">
        <v>44418</v>
      </c>
      <c r="D128" s="10" t="inlineStr">
        <is>
          <t>Sell</t>
        </is>
      </c>
      <c r="E128" s="15" t="n">
        <v>-282</v>
      </c>
      <c r="F128" s="13" t="n">
        <v>1759</v>
      </c>
      <c r="G128" s="26" t="n">
        <v>-496038</v>
      </c>
      <c r="H128" s="14" t="inlineStr">
        <is>
          <t>Portfolio_2021.xlsx / 10Aug21: Sell 282@1759 = 496038</t>
        </is>
      </c>
      <c r="I128" s="10" t="n"/>
      <c r="J128" s="10" t="n"/>
      <c r="K128" s="10" t="n"/>
    </row>
    <row r="129">
      <c r="A129" s="77" t="n"/>
      <c r="B129" s="77" t="n"/>
      <c r="C129" s="78" t="n"/>
      <c r="D129" s="77" t="n"/>
      <c r="E129" s="79">
        <f>SUM(E113:E128)</f>
        <v/>
      </c>
      <c r="F129" s="76" t="n"/>
      <c r="G129" s="76" t="n"/>
      <c r="H129" s="80" t="n"/>
      <c r="I129" s="77" t="n"/>
      <c r="J129" s="77" t="n"/>
      <c r="K129" s="77" t="n"/>
    </row>
    <row r="130">
      <c r="A130" s="64" t="n">
        <v>21</v>
      </c>
      <c r="B130" s="64" t="inlineStr">
        <is>
          <t>MCX</t>
        </is>
      </c>
      <c r="C130" s="65" t="n">
        <v>41605</v>
      </c>
      <c r="D130" s="64" t="inlineStr">
        <is>
          <t>Buy</t>
        </is>
      </c>
      <c r="E130" s="66" t="n">
        <v>170</v>
      </c>
      <c r="F130" s="67" t="n">
        <v>466</v>
      </c>
      <c r="G130" s="67" t="n">
        <v>79220</v>
      </c>
      <c r="H130" s="68" t="inlineStr">
        <is>
          <t>Original transaction workbook</t>
        </is>
      </c>
      <c r="I130" s="64" t="inlineStr">
        <is>
          <t>L</t>
        </is>
      </c>
      <c r="J130" s="64" t="n"/>
      <c r="K130" s="64" t="n"/>
    </row>
    <row r="131">
      <c r="A131" s="37" t="n"/>
      <c r="B131" s="37" t="n"/>
      <c r="C131" s="38" t="n">
        <v>41617</v>
      </c>
      <c r="D131" s="37" t="inlineStr">
        <is>
          <t>Sell</t>
        </is>
      </c>
      <c r="E131" s="39" t="n">
        <v>-45</v>
      </c>
      <c r="F131" s="40" t="n">
        <v>444</v>
      </c>
      <c r="G131" s="30" t="n">
        <v>-19980</v>
      </c>
      <c r="H131" s="41" t="inlineStr">
        <is>
          <t>Original transaction workbook</t>
        </is>
      </c>
      <c r="I131" s="37" t="n"/>
      <c r="J131" s="37" t="n"/>
      <c r="K131" s="37" t="n"/>
    </row>
    <row r="132">
      <c r="A132" s="5" t="n"/>
      <c r="B132" s="5" t="n"/>
      <c r="C132" s="6" t="n">
        <v>41687</v>
      </c>
      <c r="D132" s="5" t="inlineStr">
        <is>
          <t>Buy</t>
        </is>
      </c>
      <c r="E132" s="20" t="n">
        <v>143</v>
      </c>
      <c r="F132" s="8" t="n">
        <v>505.5</v>
      </c>
      <c r="G132" s="25" t="n">
        <v>72286.5</v>
      </c>
      <c r="H132" s="9" t="inlineStr">
        <is>
          <t>Original transaction workbook</t>
        </is>
      </c>
      <c r="I132" s="5" t="n"/>
      <c r="J132" s="5" t="n"/>
      <c r="K132" s="5" t="n"/>
    </row>
    <row r="133">
      <c r="A133" s="10" t="n"/>
      <c r="B133" s="10" t="n"/>
      <c r="C133" s="11" t="n">
        <v>41712</v>
      </c>
      <c r="D133" s="10" t="inlineStr">
        <is>
          <t>Sell</t>
        </is>
      </c>
      <c r="E133" s="12" t="n">
        <v>-268</v>
      </c>
      <c r="F133" s="13" t="n">
        <v>483.5</v>
      </c>
      <c r="G133" s="26" t="n">
        <v>-129578</v>
      </c>
      <c r="H133" s="14" t="inlineStr">
        <is>
          <t>Original transaction workbook</t>
        </is>
      </c>
      <c r="I133" s="10" t="n"/>
      <c r="J133" s="10" t="n"/>
      <c r="K133" s="10" t="n"/>
    </row>
    <row r="134">
      <c r="A134" s="77" t="n"/>
      <c r="B134" s="77" t="n"/>
      <c r="C134" s="78" t="n"/>
      <c r="D134" s="77" t="n"/>
      <c r="E134" s="79">
        <f>SUM(E130:E133)</f>
        <v/>
      </c>
      <c r="F134" s="76" t="n"/>
      <c r="G134" s="76" t="n"/>
      <c r="H134" s="80" t="n"/>
      <c r="I134" s="77" t="n"/>
      <c r="J134" s="77" t="n"/>
      <c r="K134" s="77" t="n"/>
    </row>
    <row r="135">
      <c r="A135" s="64" t="n">
        <v>22</v>
      </c>
      <c r="B135" s="64" t="inlineStr">
        <is>
          <t>Escorts</t>
        </is>
      </c>
      <c r="C135" s="65" t="n">
        <v>41617</v>
      </c>
      <c r="D135" s="64" t="inlineStr">
        <is>
          <t>Buy</t>
        </is>
      </c>
      <c r="E135" s="69" t="n">
        <v>473</v>
      </c>
      <c r="F135" s="67" t="n">
        <v>130</v>
      </c>
      <c r="G135" s="67" t="n">
        <v>61490</v>
      </c>
      <c r="H135" s="68" t="inlineStr">
        <is>
          <t>Original transaction workbook</t>
        </is>
      </c>
      <c r="I135" s="64" t="inlineStr">
        <is>
          <t>P</t>
        </is>
      </c>
      <c r="J135" s="64" t="n"/>
      <c r="K135" s="64" t="n"/>
    </row>
    <row r="136">
      <c r="A136" s="5" t="n"/>
      <c r="B136" s="5" t="n"/>
      <c r="C136" s="6" t="n">
        <v>42047</v>
      </c>
      <c r="D136" s="5" t="inlineStr">
        <is>
          <t>Buy</t>
        </is>
      </c>
      <c r="E136" s="7" t="n">
        <v>780</v>
      </c>
      <c r="F136" s="8" t="n">
        <v>126.1</v>
      </c>
      <c r="G136" s="25" t="n">
        <v>98358</v>
      </c>
      <c r="H136" s="9" t="inlineStr">
        <is>
          <t>Original transaction workbook</t>
        </is>
      </c>
      <c r="I136" s="5" t="n"/>
      <c r="J136" s="5" t="n"/>
      <c r="K136" s="5" t="n"/>
    </row>
    <row r="137">
      <c r="A137" s="10" t="n"/>
      <c r="B137" s="10" t="n"/>
      <c r="C137" s="11" t="n">
        <v>42223</v>
      </c>
      <c r="D137" s="10" t="inlineStr">
        <is>
          <t>Buy</t>
        </is>
      </c>
      <c r="E137" s="12" t="n">
        <v>961</v>
      </c>
      <c r="F137" s="13" t="n">
        <v>157.6</v>
      </c>
      <c r="G137" s="26" t="n">
        <v>151453.6</v>
      </c>
      <c r="H137" s="14" t="inlineStr">
        <is>
          <t>Original transaction workbook</t>
        </is>
      </c>
      <c r="I137" s="10" t="n"/>
      <c r="J137" s="10" t="n"/>
      <c r="K137" s="10" t="n"/>
    </row>
    <row r="138" ht="42" customHeight="1">
      <c r="A138" s="37" t="n"/>
      <c r="B138" s="37" t="n"/>
      <c r="C138" s="38" t="n">
        <v>42900</v>
      </c>
      <c r="D138" s="37" t="inlineStr">
        <is>
          <t>Sell</t>
        </is>
      </c>
      <c r="E138" s="39" t="n">
        <v>-554</v>
      </c>
      <c r="F138" s="40" t="n">
        <v>717.65</v>
      </c>
      <c r="G138" s="30" t="n">
        <v>-397578.1</v>
      </c>
      <c r="H138" s="41" t="inlineStr">
        <is>
          <t>Staged reduction reconstructed from Portfolio_2017.xlsx: holdings decline 2,214 → 1,660 on 14Jun17 and → 1,106 on 15Jun17. Original lump sale 1,108@717.65 split equally; weighted price and proceeds preserved.</t>
        </is>
      </c>
      <c r="I138" s="37" t="n"/>
      <c r="J138" s="37" t="n"/>
      <c r="K138" s="37" t="n"/>
    </row>
    <row r="139" ht="42" customHeight="1">
      <c r="A139" s="5" t="n"/>
      <c r="B139" s="5" t="n"/>
      <c r="C139" s="6" t="n">
        <v>42901</v>
      </c>
      <c r="D139" s="5" t="inlineStr">
        <is>
          <t>Sell</t>
        </is>
      </c>
      <c r="E139" s="7" t="n">
        <v>-554</v>
      </c>
      <c r="F139" s="8" t="n">
        <v>717.65</v>
      </c>
      <c r="G139" s="25" t="n">
        <v>-397578.1</v>
      </c>
      <c r="H139" s="9" t="inlineStr">
        <is>
          <t>Staged reduction reconstructed from Portfolio_2017.xlsx: holdings decline 2,214 → 1,660 on 14Jun17 and → 1,106 on 15Jun17. Original lump sale 1,108@717.65 split equally; weighted price and proceeds preserved.</t>
        </is>
      </c>
      <c r="I139" s="5" t="n"/>
      <c r="J139" s="5" t="n"/>
      <c r="K139" s="5" t="n"/>
    </row>
    <row r="140">
      <c r="A140" s="5" t="n"/>
      <c r="B140" s="5" t="n"/>
      <c r="C140" s="6" t="n">
        <v>42944</v>
      </c>
      <c r="D140" s="5" t="inlineStr">
        <is>
          <t>Sell</t>
        </is>
      </c>
      <c r="E140" s="7" t="n">
        <v>-1106</v>
      </c>
      <c r="F140" s="8" t="n">
        <v>668</v>
      </c>
      <c r="G140" s="25" t="n">
        <v>-738808</v>
      </c>
      <c r="H140" s="9" t="inlineStr">
        <is>
          <t>Original transaction workbook</t>
        </is>
      </c>
      <c r="I140" s="5" t="n"/>
      <c r="J140" s="5" t="n"/>
      <c r="K140" s="5" t="n"/>
    </row>
    <row r="141">
      <c r="A141" s="77" t="n"/>
      <c r="B141" s="77" t="n"/>
      <c r="C141" s="78" t="n"/>
      <c r="D141" s="77" t="n"/>
      <c r="E141" s="79">
        <f>SUM(E135:E140)</f>
        <v/>
      </c>
      <c r="F141" s="76" t="n"/>
      <c r="G141" s="76" t="n"/>
      <c r="H141" s="80" t="n"/>
      <c r="I141" s="77" t="n"/>
      <c r="J141" s="77" t="n"/>
      <c r="K141" s="77" t="n"/>
    </row>
    <row r="142">
      <c r="A142" s="64" t="n">
        <v>23</v>
      </c>
      <c r="B142" s="64" t="inlineStr">
        <is>
          <t>Selan</t>
        </is>
      </c>
      <c r="C142" s="65" t="n">
        <v>41663</v>
      </c>
      <c r="D142" s="64" t="inlineStr">
        <is>
          <t>Buy</t>
        </is>
      </c>
      <c r="E142" s="66" t="n">
        <v>186</v>
      </c>
      <c r="F142" s="67" t="n">
        <v>365</v>
      </c>
      <c r="G142" s="67" t="n">
        <v>67890</v>
      </c>
      <c r="H142" s="68" t="inlineStr">
        <is>
          <t>Original transaction workbook</t>
        </is>
      </c>
      <c r="I142" s="64" t="inlineStr">
        <is>
          <t>L</t>
        </is>
      </c>
      <c r="J142" s="64" t="n"/>
      <c r="K142" s="64" t="n"/>
    </row>
    <row r="143">
      <c r="A143" s="5" t="n"/>
      <c r="B143" s="5" t="n"/>
      <c r="C143" s="6" t="n">
        <v>41955</v>
      </c>
      <c r="D143" s="5" t="inlineStr">
        <is>
          <t>Buy</t>
        </is>
      </c>
      <c r="E143" s="20" t="n">
        <v>349</v>
      </c>
      <c r="F143" s="8" t="n">
        <v>451</v>
      </c>
      <c r="G143" s="25" t="n">
        <v>157399</v>
      </c>
      <c r="H143" s="9" t="inlineStr">
        <is>
          <t>Original transaction workbook</t>
        </is>
      </c>
      <c r="I143" s="5" t="n"/>
      <c r="J143" s="5" t="n"/>
      <c r="K143" s="5" t="n"/>
    </row>
    <row r="144">
      <c r="A144" s="10" t="n"/>
      <c r="B144" s="10" t="n"/>
      <c r="C144" s="11" t="n">
        <v>43437</v>
      </c>
      <c r="D144" s="10" t="inlineStr">
        <is>
          <t>Sell</t>
        </is>
      </c>
      <c r="E144" s="12" t="n">
        <v>-535</v>
      </c>
      <c r="F144" s="13" t="n">
        <v>175.84</v>
      </c>
      <c r="G144" s="26" t="n">
        <v>-94074.40000000001</v>
      </c>
      <c r="H144" s="14" t="inlineStr">
        <is>
          <t>Original transaction workbook</t>
        </is>
      </c>
      <c r="I144" s="10" t="n"/>
      <c r="J144" s="10" t="n"/>
      <c r="K144" s="10" t="n"/>
    </row>
    <row r="145">
      <c r="A145" s="77" t="n"/>
      <c r="B145" s="77" t="n"/>
      <c r="C145" s="78" t="n"/>
      <c r="D145" s="77" t="n"/>
      <c r="E145" s="79">
        <f>SUM(E142:E144)</f>
        <v/>
      </c>
      <c r="F145" s="76" t="n"/>
      <c r="G145" s="76" t="n"/>
      <c r="H145" s="80" t="n"/>
      <c r="I145" s="77" t="n"/>
      <c r="J145" s="77" t="n"/>
      <c r="K145" s="77" t="n"/>
    </row>
    <row r="146">
      <c r="A146" s="64" t="n">
        <v>24</v>
      </c>
      <c r="B146" s="64" t="inlineStr">
        <is>
          <t>Strides</t>
        </is>
      </c>
      <c r="C146" s="65" t="n">
        <v>41716</v>
      </c>
      <c r="D146" s="64" t="inlineStr">
        <is>
          <t>Buy</t>
        </is>
      </c>
      <c r="E146" s="69" t="n">
        <v>267</v>
      </c>
      <c r="F146" s="67" t="n">
        <v>365</v>
      </c>
      <c r="G146" s="67" t="n">
        <v>97455</v>
      </c>
      <c r="H146" s="68" t="inlineStr">
        <is>
          <t>Original transaction workbook</t>
        </is>
      </c>
      <c r="I146" s="64" t="inlineStr">
        <is>
          <t>P</t>
        </is>
      </c>
      <c r="J146" s="64" t="n"/>
      <c r="K146" s="64" t="n"/>
    </row>
    <row r="147" ht="28" customHeight="1">
      <c r="A147" s="10" t="n"/>
      <c r="B147" s="10" t="n"/>
      <c r="C147" s="11" t="n">
        <v>42990</v>
      </c>
      <c r="D147" s="10" t="inlineStr">
        <is>
          <t>Sell</t>
        </is>
      </c>
      <c r="E147" s="12" t="n">
        <v>-267</v>
      </c>
      <c r="F147" s="13" t="n">
        <v>968.75</v>
      </c>
      <c r="G147" s="26" t="n">
        <v>-258656.25</v>
      </c>
      <c r="H147" s="14" t="inlineStr">
        <is>
          <t>Final exit date corrected to 12-Sep-2017 based on Portfolio_2017.xlsx snapshot showing holdings reduced from 267 to zero.</t>
        </is>
      </c>
      <c r="I147" s="10" t="n"/>
      <c r="J147" s="10" t="n"/>
      <c r="K147" s="10" t="n"/>
    </row>
    <row r="148">
      <c r="A148" s="77" t="n"/>
      <c r="B148" s="77" t="n"/>
      <c r="C148" s="78" t="n"/>
      <c r="D148" s="77" t="n"/>
      <c r="E148" s="79">
        <f>SUM(E146:E147)</f>
        <v/>
      </c>
      <c r="F148" s="76" t="n"/>
      <c r="G148" s="76" t="n"/>
      <c r="H148" s="80" t="n"/>
      <c r="I148" s="77" t="n"/>
      <c r="J148" s="77" t="n"/>
      <c r="K148" s="77" t="n"/>
    </row>
    <row r="149">
      <c r="A149" s="64" t="n">
        <v>25</v>
      </c>
      <c r="B149" s="64" t="inlineStr">
        <is>
          <t>TVToday</t>
        </is>
      </c>
      <c r="C149" s="65" t="n">
        <v>41856</v>
      </c>
      <c r="D149" s="64" t="inlineStr">
        <is>
          <t>Buy</t>
        </is>
      </c>
      <c r="E149" s="66" t="n">
        <v>920</v>
      </c>
      <c r="F149" s="67" t="n">
        <v>164</v>
      </c>
      <c r="G149" s="67" t="n">
        <v>150880</v>
      </c>
      <c r="H149" s="68" t="inlineStr">
        <is>
          <t>Original transaction workbook</t>
        </is>
      </c>
      <c r="I149" s="64" t="inlineStr">
        <is>
          <t>P</t>
        </is>
      </c>
      <c r="J149" s="64" t="n"/>
      <c r="K149" s="64" t="n"/>
    </row>
    <row r="150">
      <c r="A150" s="37" t="n"/>
      <c r="B150" s="37" t="n"/>
      <c r="C150" s="38" t="n">
        <v>41961</v>
      </c>
      <c r="D150" s="37" t="inlineStr">
        <is>
          <t>Buy</t>
        </is>
      </c>
      <c r="E150" s="39" t="n">
        <v>319</v>
      </c>
      <c r="F150" s="40" t="n">
        <v>198.5</v>
      </c>
      <c r="G150" s="30" t="n">
        <v>63321.5</v>
      </c>
      <c r="H150" s="41" t="inlineStr">
        <is>
          <t>Original transaction workbook</t>
        </is>
      </c>
      <c r="I150" s="37" t="n"/>
      <c r="J150" s="37" t="n"/>
      <c r="K150" s="37" t="n"/>
    </row>
    <row r="151" ht="37.25" customHeight="1">
      <c r="A151" s="5" t="n"/>
      <c r="B151" s="5" t="n"/>
      <c r="C151" s="6" t="n">
        <v>42044</v>
      </c>
      <c r="D151" s="5" t="inlineStr">
        <is>
          <t>Buy</t>
        </is>
      </c>
      <c r="E151" s="7" t="n">
        <v>331</v>
      </c>
      <c r="F151" s="8" t="n">
        <v>230.5</v>
      </c>
      <c r="G151" s="25" t="n">
        <v>76295.5</v>
      </c>
      <c r="H151" s="9" t="inlineStr">
        <is>
          <t>Original transaction workbook</t>
        </is>
      </c>
      <c r="I151" s="5" t="n"/>
      <c r="J151" s="5" t="n"/>
      <c r="K151" s="5" t="n"/>
    </row>
    <row r="152" ht="37.25" customHeight="1">
      <c r="A152" s="10" t="n"/>
      <c r="B152" s="10" t="n"/>
      <c r="C152" s="35" t="n">
        <v>43178</v>
      </c>
      <c r="D152" s="21" t="inlineStr">
        <is>
          <t>Sell</t>
        </is>
      </c>
      <c r="E152" s="22" t="n">
        <v>-785</v>
      </c>
      <c r="F152" s="23" t="n">
        <v>480.7</v>
      </c>
      <c r="G152" s="28" t="n">
        <v>-377349.5</v>
      </c>
      <c r="H152" s="24" t="inlineStr">
        <is>
          <t>Original transaction workbook</t>
        </is>
      </c>
      <c r="I152" s="10" t="n"/>
      <c r="J152" s="10" t="n"/>
      <c r="K152" s="10" t="n"/>
    </row>
    <row r="153">
      <c r="A153" s="37" t="n"/>
      <c r="B153" s="37" t="n"/>
      <c r="C153" s="38" t="n">
        <v>43873</v>
      </c>
      <c r="D153" s="37" t="inlineStr">
        <is>
          <t>Buy</t>
        </is>
      </c>
      <c r="E153" s="39" t="n">
        <v>393</v>
      </c>
      <c r="F153" s="40" t="n">
        <v>248.87</v>
      </c>
      <c r="G153" s="30" t="n">
        <v>97805.91</v>
      </c>
      <c r="H153" s="41" t="inlineStr">
        <is>
          <t>Portfolio_2020.xlsx / 12Feb20: Buy 393@248.87 = 97806</t>
        </is>
      </c>
      <c r="I153" s="37" t="n"/>
      <c r="J153" s="37" t="n"/>
      <c r="K153" s="37" t="n"/>
    </row>
    <row r="154">
      <c r="A154" s="5" t="n"/>
      <c r="B154" s="5" t="n"/>
      <c r="C154" s="6" t="n">
        <v>43910</v>
      </c>
      <c r="D154" s="5" t="inlineStr">
        <is>
          <t>Buy</t>
        </is>
      </c>
      <c r="E154" s="7" t="n">
        <v>355</v>
      </c>
      <c r="F154" s="8" t="n">
        <v>151.85</v>
      </c>
      <c r="G154" s="25" t="n">
        <v>53906.75</v>
      </c>
      <c r="H154" s="9" t="inlineStr">
        <is>
          <t>Portfolio_2020.xlsx / 20Mar20: Buy 355@151.85 = 53907</t>
        </is>
      </c>
      <c r="I154" s="5" t="n"/>
      <c r="J154" s="5" t="n"/>
      <c r="K154" s="5" t="n"/>
    </row>
    <row r="155">
      <c r="A155" s="5" t="n"/>
      <c r="B155" s="5" t="n"/>
      <c r="C155" s="35" t="n">
        <v>44965</v>
      </c>
      <c r="D155" s="21" t="inlineStr">
        <is>
          <t>Sell</t>
        </is>
      </c>
      <c r="E155" s="36" t="n">
        <v>-1533</v>
      </c>
      <c r="F155" s="23" t="n">
        <v>299.68</v>
      </c>
      <c r="G155" s="28" t="n">
        <v>-459409.44</v>
      </c>
      <c r="H155" s="24" t="inlineStr">
        <is>
          <t>Portfolio_2023.xlsx / 08Feb23: Sell 1533@299.68 = 459409</t>
        </is>
      </c>
      <c r="I155" s="5" t="n"/>
      <c r="J155" s="5" t="n"/>
      <c r="K155" s="5" t="n"/>
    </row>
    <row r="156">
      <c r="A156" s="77" t="n"/>
      <c r="B156" s="77" t="n"/>
      <c r="C156" s="78" t="n"/>
      <c r="D156" s="77" t="n"/>
      <c r="E156" s="79">
        <f>SUM(E149:E155)</f>
        <v/>
      </c>
      <c r="F156" s="76" t="n"/>
      <c r="G156" s="76" t="n"/>
      <c r="H156" s="80" t="n"/>
      <c r="I156" s="77" t="n"/>
      <c r="J156" s="77" t="n"/>
      <c r="K156" s="77" t="n"/>
    </row>
    <row r="157" ht="28" customHeight="1">
      <c r="A157" s="64" t="n">
        <v>26</v>
      </c>
      <c r="B157" s="64" t="inlineStr">
        <is>
          <t>MBL Infra</t>
        </is>
      </c>
      <c r="C157" s="65" t="n">
        <v>41961</v>
      </c>
      <c r="D157" s="64" t="inlineStr">
        <is>
          <t>Buy</t>
        </is>
      </c>
      <c r="E157" s="66" t="n">
        <v>614</v>
      </c>
      <c r="F157" s="67" t="n">
        <v>390.8</v>
      </c>
      <c r="G157" s="67" t="n">
        <v>239951.2</v>
      </c>
      <c r="H157" s="68" t="inlineStr">
        <is>
          <t>Original transaction workbook; Restored to pre-2015 bonus basis (original row had been adjusted 2×).</t>
        </is>
      </c>
      <c r="I157" s="64" t="inlineStr">
        <is>
          <t>L</t>
        </is>
      </c>
      <c r="J157" s="64" t="n"/>
      <c r="K157" s="64" t="n"/>
    </row>
    <row r="158" ht="28" customHeight="1">
      <c r="A158" s="5" t="n"/>
      <c r="B158" s="5" t="n"/>
      <c r="C158" s="70" t="n">
        <v>42213</v>
      </c>
      <c r="D158" s="71" t="inlineStr">
        <is>
          <t>Bonus</t>
        </is>
      </c>
      <c r="E158" s="72" t="n">
        <v>614</v>
      </c>
      <c r="F158" s="73" t="n"/>
      <c r="G158" s="73" t="n">
        <v>0</v>
      </c>
      <c r="H158" s="74" t="inlineStr">
        <is>
          <t>Bonus issue 1:1. Quantity 614 → 1,228; delta +614. Official company presentation: https://www.mblinfra.com/uploadimages/pdf/pdf_150528051819.pdf</t>
        </is>
      </c>
      <c r="I158" s="5" t="n"/>
      <c r="J158" s="5" t="n"/>
      <c r="K158" s="5" t="n"/>
    </row>
    <row r="159">
      <c r="A159" s="10" t="n"/>
      <c r="B159" s="10" t="n"/>
      <c r="C159" s="11" t="n">
        <v>43214</v>
      </c>
      <c r="D159" s="10" t="inlineStr">
        <is>
          <t>Sell</t>
        </is>
      </c>
      <c r="E159" s="12" t="n">
        <v>-1228</v>
      </c>
      <c r="F159" s="13" t="n">
        <v>22.95</v>
      </c>
      <c r="G159" s="26" t="n">
        <v>-28182.6</v>
      </c>
      <c r="H159" s="14" t="inlineStr">
        <is>
          <t>Original transaction workbook</t>
        </is>
      </c>
      <c r="I159" s="10" t="n"/>
      <c r="J159" s="10" t="n"/>
      <c r="K159" s="10" t="n"/>
    </row>
    <row r="160">
      <c r="A160" s="77" t="n"/>
      <c r="B160" s="77" t="n"/>
      <c r="C160" s="78" t="n"/>
      <c r="D160" s="77" t="n"/>
      <c r="E160" s="79">
        <f>SUM(E157:E159)</f>
        <v/>
      </c>
      <c r="F160" s="76" t="n"/>
      <c r="G160" s="76" t="n"/>
      <c r="H160" s="80" t="n"/>
      <c r="I160" s="77" t="n"/>
      <c r="J160" s="77" t="n"/>
      <c r="K160" s="77" t="n"/>
    </row>
    <row r="161">
      <c r="A161" s="64" t="n">
        <v>27</v>
      </c>
      <c r="B161" s="64" t="inlineStr">
        <is>
          <t>Ramco Systems</t>
        </is>
      </c>
      <c r="C161" s="65" t="n">
        <v>42060</v>
      </c>
      <c r="D161" s="64" t="inlineStr">
        <is>
          <t>Buy</t>
        </is>
      </c>
      <c r="E161" s="66" t="n">
        <v>265</v>
      </c>
      <c r="F161" s="67" t="n">
        <v>606.5</v>
      </c>
      <c r="G161" s="67" t="n">
        <v>160722.5</v>
      </c>
      <c r="H161" s="68" t="inlineStr">
        <is>
          <t>Original transaction workbook</t>
        </is>
      </c>
      <c r="I161" s="64" t="inlineStr">
        <is>
          <t>L</t>
        </is>
      </c>
      <c r="J161" s="64" t="n"/>
      <c r="K161" s="64" t="n"/>
    </row>
    <row r="162">
      <c r="A162" s="10" t="n"/>
      <c r="B162" s="10" t="n"/>
      <c r="C162" s="11" t="n">
        <v>42237</v>
      </c>
      <c r="D162" s="10" t="inlineStr">
        <is>
          <t>Buy</t>
        </is>
      </c>
      <c r="E162" s="15" t="n">
        <v>65</v>
      </c>
      <c r="F162" s="13" t="n">
        <v>904</v>
      </c>
      <c r="G162" s="26" t="n">
        <v>58760</v>
      </c>
      <c r="H162" s="14" t="inlineStr">
        <is>
          <t>Original transaction workbook</t>
        </is>
      </c>
      <c r="I162" s="10" t="n"/>
      <c r="J162" s="10" t="n"/>
      <c r="K162" s="10" t="n"/>
    </row>
    <row r="163">
      <c r="A163" s="37" t="n"/>
      <c r="B163" s="37" t="n"/>
      <c r="C163" s="38" t="n">
        <v>42416</v>
      </c>
      <c r="D163" s="37" t="inlineStr">
        <is>
          <t>Buy</t>
        </is>
      </c>
      <c r="E163" s="39" t="n">
        <v>158</v>
      </c>
      <c r="F163" s="40" t="n">
        <v>715</v>
      </c>
      <c r="G163" s="30" t="n">
        <v>112970</v>
      </c>
      <c r="H163" s="41" t="inlineStr">
        <is>
          <t>Original transaction workbook</t>
        </is>
      </c>
      <c r="I163" s="37" t="n"/>
      <c r="J163" s="37" t="n"/>
      <c r="K163" s="37" t="n"/>
    </row>
    <row r="164">
      <c r="A164" s="5" t="n"/>
      <c r="B164" s="5" t="n"/>
      <c r="C164" s="6" t="n">
        <v>42586</v>
      </c>
      <c r="D164" s="5" t="inlineStr">
        <is>
          <t>Sell</t>
        </is>
      </c>
      <c r="E164" s="7" t="n">
        <v>-244</v>
      </c>
      <c r="F164" s="8" t="n">
        <v>563</v>
      </c>
      <c r="G164" s="25" t="n">
        <v>-137372</v>
      </c>
      <c r="H164" s="9" t="inlineStr">
        <is>
          <t>Original transaction workbook</t>
        </is>
      </c>
      <c r="I164" s="5" t="n"/>
      <c r="J164" s="5" t="n"/>
      <c r="K164" s="5" t="n"/>
    </row>
    <row r="165">
      <c r="A165" s="10" t="n"/>
      <c r="B165" s="10" t="n"/>
      <c r="C165" s="11" t="n">
        <v>43213</v>
      </c>
      <c r="D165" s="10" t="inlineStr">
        <is>
          <t>Sell</t>
        </is>
      </c>
      <c r="E165" s="12" t="n">
        <v>-244</v>
      </c>
      <c r="F165" s="13" t="n">
        <v>499.5</v>
      </c>
      <c r="G165" s="26" t="n">
        <v>-121878</v>
      </c>
      <c r="H165" s="14" t="inlineStr">
        <is>
          <t>Original transaction workbook</t>
        </is>
      </c>
      <c r="I165" s="10" t="n"/>
      <c r="J165" s="10" t="n"/>
      <c r="K165" s="10" t="n"/>
    </row>
    <row r="166">
      <c r="A166" s="77" t="n"/>
      <c r="B166" s="77" t="n"/>
      <c r="C166" s="78" t="n"/>
      <c r="D166" s="77" t="n"/>
      <c r="E166" s="79">
        <f>SUM(E161:E165)</f>
        <v/>
      </c>
      <c r="F166" s="76" t="n"/>
      <c r="G166" s="76" t="n"/>
      <c r="H166" s="80" t="n"/>
      <c r="I166" s="77" t="n"/>
      <c r="J166" s="77" t="n"/>
      <c r="K166" s="77" t="n"/>
    </row>
    <row r="167">
      <c r="A167" s="64" t="n">
        <v>28</v>
      </c>
      <c r="B167" s="64" t="inlineStr">
        <is>
          <t>TV18</t>
        </is>
      </c>
      <c r="C167" s="65" t="n">
        <v>42114</v>
      </c>
      <c r="D167" s="64" t="inlineStr">
        <is>
          <t>Buy</t>
        </is>
      </c>
      <c r="E167" s="66" t="n">
        <v>6886</v>
      </c>
      <c r="F167" s="67" t="n">
        <v>38.26</v>
      </c>
      <c r="G167" s="67" t="n">
        <v>263458.36</v>
      </c>
      <c r="H167" s="68" t="inlineStr">
        <is>
          <t>Original transaction workbook</t>
        </is>
      </c>
      <c r="I167" s="64" t="inlineStr">
        <is>
          <t>L</t>
        </is>
      </c>
      <c r="J167" s="64" t="n"/>
      <c r="K167" s="64" t="n"/>
    </row>
    <row r="168">
      <c r="A168" s="5" t="n"/>
      <c r="B168" s="5" t="n"/>
      <c r="C168" s="6" t="n">
        <v>42396</v>
      </c>
      <c r="D168" s="5" t="inlineStr">
        <is>
          <t>Buy</t>
        </is>
      </c>
      <c r="E168" s="7" t="n">
        <v>2045</v>
      </c>
      <c r="F168" s="8" t="n">
        <v>41.25</v>
      </c>
      <c r="G168" s="25" t="n">
        <v>84356.25</v>
      </c>
      <c r="H168" s="9" t="inlineStr">
        <is>
          <t>Original transaction workbook</t>
        </is>
      </c>
      <c r="I168" s="5" t="n"/>
      <c r="J168" s="5" t="n"/>
      <c r="K168" s="5" t="n"/>
    </row>
    <row r="169">
      <c r="A169" s="10" t="n"/>
      <c r="B169" s="10" t="n"/>
      <c r="C169" s="11" t="n">
        <v>43571</v>
      </c>
      <c r="D169" s="10" t="inlineStr">
        <is>
          <t>Sell</t>
        </is>
      </c>
      <c r="E169" s="15" t="n">
        <v>-4465</v>
      </c>
      <c r="F169" s="13" t="n">
        <v>35.91</v>
      </c>
      <c r="G169" s="26" t="n">
        <v>-160338.15</v>
      </c>
      <c r="H169" s="14" t="inlineStr">
        <is>
          <t>Original transaction workbook</t>
        </is>
      </c>
      <c r="I169" s="10" t="n"/>
      <c r="J169" s="10" t="n"/>
      <c r="K169" s="10" t="n"/>
    </row>
    <row r="170">
      <c r="A170" s="37" t="n"/>
      <c r="B170" s="37" t="n"/>
      <c r="C170" s="38" t="n">
        <v>43854</v>
      </c>
      <c r="D170" s="37" t="inlineStr">
        <is>
          <t>Buy</t>
        </is>
      </c>
      <c r="E170" s="39" t="n">
        <v>4466</v>
      </c>
      <c r="F170" s="40" t="n">
        <v>27.08</v>
      </c>
      <c r="G170" s="30" t="n">
        <v>120939.28</v>
      </c>
      <c r="H170" s="41" t="inlineStr">
        <is>
          <t>Portfolio_2020.xlsx / 24Jan20: Buy 4466@27.08 = 120940</t>
        </is>
      </c>
      <c r="I170" s="37" t="n"/>
      <c r="J170" s="37" t="n"/>
      <c r="K170" s="37" t="n"/>
    </row>
    <row r="171">
      <c r="A171" s="5" t="n"/>
      <c r="B171" s="5" t="n"/>
      <c r="C171" s="6" t="n">
        <v>43873</v>
      </c>
      <c r="D171" s="5" t="inlineStr">
        <is>
          <t>Buy</t>
        </is>
      </c>
      <c r="E171" s="7" t="n">
        <v>4466</v>
      </c>
      <c r="F171" s="8" t="n">
        <v>27.03</v>
      </c>
      <c r="G171" s="25" t="n">
        <v>120715.98</v>
      </c>
      <c r="H171" s="9" t="inlineStr">
        <is>
          <t>Portfolio_2020.xlsx / 12Feb20: Buy 4466@27.03 = 120716</t>
        </is>
      </c>
      <c r="I171" s="5" t="n"/>
      <c r="J171" s="5" t="n"/>
      <c r="K171" s="5" t="n"/>
    </row>
    <row r="172">
      <c r="A172" s="10" t="n"/>
      <c r="B172" s="10" t="n"/>
      <c r="C172" s="11" t="n">
        <v>44418</v>
      </c>
      <c r="D172" s="10" t="inlineStr">
        <is>
          <t>Buy</t>
        </is>
      </c>
      <c r="E172" s="12" t="n">
        <v>13398</v>
      </c>
      <c r="F172" s="13" t="n">
        <v>38</v>
      </c>
      <c r="G172" s="26" t="n">
        <v>509124</v>
      </c>
      <c r="H172" s="14" t="inlineStr">
        <is>
          <t>Portfolio_2021.xlsx / 10Aug21: Buy 13398@38 = 509124</t>
        </is>
      </c>
      <c r="I172" s="10" t="n"/>
      <c r="J172" s="10" t="n"/>
      <c r="K172" s="10" t="n"/>
    </row>
    <row r="173">
      <c r="A173" s="37" t="n"/>
      <c r="B173" s="37" t="n"/>
      <c r="C173" s="38" t="n">
        <v>44461</v>
      </c>
      <c r="D173" s="37" t="inlineStr">
        <is>
          <t>Buy</t>
        </is>
      </c>
      <c r="E173" s="39" t="n">
        <v>9475</v>
      </c>
      <c r="F173" s="40" t="n">
        <v>39.52</v>
      </c>
      <c r="G173" s="30" t="n">
        <v>374452.0000000001</v>
      </c>
      <c r="H173" s="41" t="inlineStr">
        <is>
          <t>Portfolio_2021.xlsx / 22Sep21: Buy 9475@39.52 = 374452</t>
        </is>
      </c>
      <c r="I173" s="37" t="n"/>
      <c r="J173" s="37" t="n"/>
      <c r="K173" s="37" t="n"/>
    </row>
    <row r="174">
      <c r="A174" s="5" t="n"/>
      <c r="B174" s="5" t="n"/>
      <c r="C174" s="6" t="n">
        <v>44685</v>
      </c>
      <c r="D174" s="5" t="inlineStr">
        <is>
          <t>Sell</t>
        </is>
      </c>
      <c r="E174" s="20" t="n">
        <v>-20183</v>
      </c>
      <c r="F174" s="8" t="n">
        <v>54.15</v>
      </c>
      <c r="G174" s="25" t="n">
        <v>-1092909.45</v>
      </c>
      <c r="H174" s="9" t="inlineStr">
        <is>
          <t>Portfolio_2022.xlsx / 04May22: Sell 20183@54.15 = 1092909</t>
        </is>
      </c>
      <c r="I174" s="5" t="n"/>
      <c r="J174" s="5" t="n"/>
      <c r="K174" s="5" t="n"/>
    </row>
    <row r="175">
      <c r="A175" s="10" t="n"/>
      <c r="B175" s="10" t="n"/>
      <c r="C175" s="11" t="n">
        <v>45062</v>
      </c>
      <c r="D175" s="10" t="inlineStr">
        <is>
          <t>Sell</t>
        </is>
      </c>
      <c r="E175" s="12" t="n">
        <v>-16088</v>
      </c>
      <c r="F175" s="13" t="n">
        <v>31.26</v>
      </c>
      <c r="G175" s="26" t="n">
        <v>-502910.88</v>
      </c>
      <c r="H175" s="14" t="inlineStr">
        <is>
          <t>Portfolio_2023.xlsx / 16May23: Sell 16088@31.26 = 502911</t>
        </is>
      </c>
      <c r="I175" s="10" t="n"/>
      <c r="J175" s="10" t="n"/>
      <c r="K175" s="10" t="n"/>
    </row>
    <row r="176">
      <c r="A176" s="77" t="n"/>
      <c r="B176" s="77" t="n"/>
      <c r="C176" s="78" t="n"/>
      <c r="D176" s="77" t="n"/>
      <c r="E176" s="79">
        <f>SUM(E167:E175)</f>
        <v/>
      </c>
      <c r="F176" s="76" t="n"/>
      <c r="G176" s="76" t="n"/>
      <c r="H176" s="80" t="n"/>
      <c r="I176" s="77" t="n"/>
      <c r="J176" s="77" t="n"/>
      <c r="K176" s="77" t="n"/>
    </row>
    <row r="177">
      <c r="A177" s="64" t="n">
        <v>29</v>
      </c>
      <c r="B177" s="64" t="inlineStr">
        <is>
          <t>Nucleus</t>
        </is>
      </c>
      <c r="C177" s="65" t="n">
        <v>42135</v>
      </c>
      <c r="D177" s="64" t="inlineStr">
        <is>
          <t>Buy</t>
        </is>
      </c>
      <c r="E177" s="66" t="n">
        <v>1011</v>
      </c>
      <c r="F177" s="67" t="n">
        <v>252</v>
      </c>
      <c r="G177" s="67" t="n">
        <v>254772</v>
      </c>
      <c r="H177" s="68" t="inlineStr">
        <is>
          <t>Original transaction workbook</t>
        </is>
      </c>
      <c r="I177" s="64" t="inlineStr">
        <is>
          <t>L</t>
        </is>
      </c>
      <c r="J177" s="64" t="n"/>
      <c r="K177" s="64" t="n"/>
    </row>
    <row r="178">
      <c r="A178" s="5" t="n"/>
      <c r="B178" s="5" t="n"/>
      <c r="C178" s="6" t="n">
        <v>43803</v>
      </c>
      <c r="D178" s="5" t="inlineStr">
        <is>
          <t>Sell</t>
        </is>
      </c>
      <c r="E178" s="7" t="n">
        <v>-51</v>
      </c>
      <c r="F178" s="8" t="n">
        <v>302.7</v>
      </c>
      <c r="G178" s="25" t="n">
        <v>-15437.7</v>
      </c>
      <c r="H178" s="9" t="inlineStr">
        <is>
          <t>Original transaction workbook</t>
        </is>
      </c>
      <c r="I178" s="5" t="n"/>
      <c r="J178" s="5" t="n"/>
      <c r="K178" s="5" t="n"/>
    </row>
    <row r="179">
      <c r="A179" s="10" t="n"/>
      <c r="B179" s="10" t="n"/>
      <c r="C179" s="11" t="n">
        <v>43843</v>
      </c>
      <c r="D179" s="10" t="inlineStr">
        <is>
          <t>Sell</t>
        </is>
      </c>
      <c r="E179" s="15" t="n">
        <v>-144</v>
      </c>
      <c r="F179" s="13" t="n">
        <v>314.6</v>
      </c>
      <c r="G179" s="26" t="n">
        <v>-45302.4</v>
      </c>
      <c r="H179" s="14" t="inlineStr">
        <is>
          <t>Portfolio_2020.xlsx / 13Jan20: sell 144@314.6 = 45302.4</t>
        </is>
      </c>
      <c r="I179" s="10" t="n"/>
      <c r="J179" s="10" t="n"/>
      <c r="K179" s="10" t="n"/>
    </row>
    <row r="180">
      <c r="A180" s="37" t="n"/>
      <c r="B180" s="37" t="n"/>
      <c r="C180" s="38" t="n">
        <v>43983</v>
      </c>
      <c r="D180" s="37" t="inlineStr">
        <is>
          <t>Sell</t>
        </is>
      </c>
      <c r="E180" s="39" t="n">
        <v>-204</v>
      </c>
      <c r="F180" s="40" t="n">
        <v>242.55</v>
      </c>
      <c r="G180" s="30" t="n">
        <v>-49480.2</v>
      </c>
      <c r="H180" s="41" t="inlineStr">
        <is>
          <t>Portfolio_2020.xlsx / 01Jun20: Sell 204@242.55 = 49480.2</t>
        </is>
      </c>
      <c r="I180" s="37" t="n"/>
      <c r="J180" s="37" t="n"/>
      <c r="K180" s="37" t="n"/>
    </row>
    <row r="181">
      <c r="A181" s="5" t="n"/>
      <c r="B181" s="5" t="n"/>
      <c r="C181" s="6" t="n">
        <v>44050</v>
      </c>
      <c r="D181" s="5" t="inlineStr">
        <is>
          <t>Sell</t>
        </is>
      </c>
      <c r="E181" s="7" t="n">
        <v>-61</v>
      </c>
      <c r="F181" s="8" t="n">
        <v>343.1</v>
      </c>
      <c r="G181" s="25" t="n">
        <v>-20929.1</v>
      </c>
      <c r="H181" s="9" t="inlineStr">
        <is>
          <t>Portfolio_2020.xlsx / 07Aug20: Sell 61@343.1 = 20929.1</t>
        </is>
      </c>
      <c r="I181" s="5" t="n"/>
      <c r="J181" s="5" t="n"/>
      <c r="K181" s="5" t="n"/>
    </row>
    <row r="182">
      <c r="A182" s="37" t="n"/>
      <c r="B182" s="37" t="n"/>
      <c r="C182" s="38" t="n">
        <v>44053</v>
      </c>
      <c r="D182" s="37" t="inlineStr">
        <is>
          <t>Sell</t>
        </is>
      </c>
      <c r="E182" s="39" t="n">
        <v>-551</v>
      </c>
      <c r="F182" s="40" t="n">
        <v>403.7</v>
      </c>
      <c r="G182" s="30" t="n">
        <v>-222438.7</v>
      </c>
      <c r="H182" s="41" t="inlineStr">
        <is>
          <t>Portfolio_2020.xlsx / 10Aug20: Sell 551@403.7 = 222438.7</t>
        </is>
      </c>
      <c r="I182" s="37" t="n"/>
      <c r="J182" s="37" t="n"/>
      <c r="K182" s="37" t="n"/>
    </row>
    <row r="183">
      <c r="A183" s="77" t="n"/>
      <c r="B183" s="77" t="n"/>
      <c r="C183" s="78" t="n"/>
      <c r="D183" s="77" t="n"/>
      <c r="E183" s="81">
        <f>SUM(E177:E182)</f>
        <v/>
      </c>
      <c r="F183" s="76" t="n"/>
      <c r="G183" s="76" t="n"/>
      <c r="H183" s="80" t="n"/>
      <c r="I183" s="77" t="n"/>
      <c r="J183" s="77" t="n"/>
      <c r="K183" s="77" t="n"/>
    </row>
    <row r="184">
      <c r="A184" s="64" t="n">
        <v>30</v>
      </c>
      <c r="B184" s="64" t="inlineStr">
        <is>
          <t>Neuland Labs</t>
        </is>
      </c>
      <c r="C184" s="65" t="n">
        <v>42223</v>
      </c>
      <c r="D184" s="64" t="inlineStr">
        <is>
          <t>Buy</t>
        </is>
      </c>
      <c r="E184" s="66" t="n">
        <v>278</v>
      </c>
      <c r="F184" s="67" t="n">
        <v>530</v>
      </c>
      <c r="G184" s="67" t="n">
        <v>147340</v>
      </c>
      <c r="H184" s="68" t="inlineStr">
        <is>
          <t>Original transaction workbook</t>
        </is>
      </c>
      <c r="I184" s="64" t="inlineStr">
        <is>
          <t>P</t>
        </is>
      </c>
      <c r="J184" s="64" t="n"/>
      <c r="K184" s="64" t="n"/>
    </row>
    <row r="185">
      <c r="A185" s="37" t="n"/>
      <c r="B185" s="37" t="n"/>
      <c r="C185" s="38" t="n">
        <v>42227</v>
      </c>
      <c r="D185" s="37" t="inlineStr">
        <is>
          <t>Buy</t>
        </is>
      </c>
      <c r="E185" s="39" t="n">
        <v>278</v>
      </c>
      <c r="F185" s="40" t="n">
        <v>525</v>
      </c>
      <c r="G185" s="30" t="n">
        <v>145950</v>
      </c>
      <c r="H185" s="41" t="inlineStr">
        <is>
          <t>Original transaction workbook</t>
        </is>
      </c>
      <c r="I185" s="37" t="n"/>
      <c r="J185" s="37" t="n"/>
      <c r="K185" s="37" t="n"/>
    </row>
    <row r="186">
      <c r="A186" s="5" t="n"/>
      <c r="B186" s="5" t="n"/>
      <c r="C186" s="6" t="n">
        <v>43139</v>
      </c>
      <c r="D186" s="5" t="inlineStr">
        <is>
          <t>Sell</t>
        </is>
      </c>
      <c r="E186" s="7" t="n">
        <v>-278</v>
      </c>
      <c r="F186" s="8" t="n">
        <v>707.55</v>
      </c>
      <c r="G186" s="25" t="n">
        <v>-196698.9</v>
      </c>
      <c r="H186" s="9" t="inlineStr">
        <is>
          <t>Original transaction workbook</t>
        </is>
      </c>
      <c r="I186" s="5" t="n"/>
      <c r="J186" s="5" t="n"/>
      <c r="K186" s="5" t="n"/>
    </row>
    <row r="187">
      <c r="A187" s="37" t="n"/>
      <c r="B187" s="37" t="n"/>
      <c r="C187" s="38" t="n">
        <v>43194</v>
      </c>
      <c r="D187" s="37" t="inlineStr">
        <is>
          <t>Sell</t>
        </is>
      </c>
      <c r="E187" s="39" t="n">
        <v>-278</v>
      </c>
      <c r="F187" s="40" t="n">
        <v>748.34</v>
      </c>
      <c r="G187" s="30" t="n">
        <v>-208038.52</v>
      </c>
      <c r="H187" s="41" t="inlineStr">
        <is>
          <t>Original transaction workbook</t>
        </is>
      </c>
      <c r="I187" s="37" t="n"/>
      <c r="J187" s="37" t="n"/>
      <c r="K187" s="37" t="n"/>
    </row>
    <row r="188">
      <c r="A188" s="77" t="n"/>
      <c r="B188" s="77" t="n"/>
      <c r="C188" s="78" t="n"/>
      <c r="D188" s="77" t="n"/>
      <c r="E188" s="79">
        <f>SUM(E184:E187)</f>
        <v/>
      </c>
      <c r="F188" s="76" t="n"/>
      <c r="G188" s="76" t="n"/>
      <c r="H188" s="80" t="n"/>
      <c r="I188" s="77" t="n"/>
      <c r="J188" s="77" t="n"/>
      <c r="K188" s="77" t="n"/>
    </row>
    <row r="189">
      <c r="A189" s="64" t="n">
        <v>31</v>
      </c>
      <c r="B189" s="64" t="inlineStr">
        <is>
          <t>JKBank</t>
        </is>
      </c>
      <c r="C189" s="65" t="n">
        <v>42269</v>
      </c>
      <c r="D189" s="64" t="inlineStr">
        <is>
          <t>Buy</t>
        </is>
      </c>
      <c r="E189" s="69" t="n">
        <v>2928</v>
      </c>
      <c r="F189" s="67" t="n">
        <v>93.5</v>
      </c>
      <c r="G189" s="67" t="n">
        <v>273768</v>
      </c>
      <c r="H189" s="68" t="inlineStr">
        <is>
          <t>Original transaction workbook</t>
        </is>
      </c>
      <c r="I189" s="64" t="inlineStr">
        <is>
          <t>L</t>
        </is>
      </c>
      <c r="J189" s="64" t="n"/>
      <c r="K189" s="64" t="n"/>
    </row>
    <row r="190">
      <c r="A190" s="37" t="n"/>
      <c r="B190" s="37" t="n"/>
      <c r="C190" s="38" t="n">
        <v>43276</v>
      </c>
      <c r="D190" s="37" t="inlineStr">
        <is>
          <t>Buy</t>
        </is>
      </c>
      <c r="E190" s="39" t="n">
        <v>2928</v>
      </c>
      <c r="F190" s="40" t="n">
        <v>54.19</v>
      </c>
      <c r="G190" s="30" t="n">
        <v>158668.32</v>
      </c>
      <c r="H190" s="41" t="inlineStr">
        <is>
          <t>Original transaction workbook</t>
        </is>
      </c>
      <c r="I190" s="37" t="n"/>
      <c r="J190" s="37" t="n"/>
      <c r="K190" s="37" t="n"/>
    </row>
    <row r="191">
      <c r="A191" s="5" t="n"/>
      <c r="B191" s="5" t="n"/>
      <c r="C191" s="6" t="n">
        <v>43396</v>
      </c>
      <c r="D191" s="5" t="inlineStr">
        <is>
          <t>Buy</t>
        </is>
      </c>
      <c r="E191" s="7" t="n">
        <v>2928</v>
      </c>
      <c r="F191" s="8" t="n">
        <v>42.15</v>
      </c>
      <c r="G191" s="25" t="n">
        <v>123415.2</v>
      </c>
      <c r="H191" s="9" t="inlineStr">
        <is>
          <t>Original transaction workbook</t>
        </is>
      </c>
      <c r="I191" s="5" t="n"/>
      <c r="J191" s="5" t="n"/>
      <c r="K191" s="5" t="n"/>
    </row>
    <row r="192">
      <c r="A192" s="5" t="n"/>
      <c r="B192" s="5" t="n"/>
      <c r="C192" s="6" t="n">
        <v>43626</v>
      </c>
      <c r="D192" s="5" t="inlineStr">
        <is>
          <t>Sell</t>
        </is>
      </c>
      <c r="E192" s="7" t="n">
        <v>-8784</v>
      </c>
      <c r="F192" s="8" t="n">
        <v>47.59</v>
      </c>
      <c r="G192" s="25" t="n">
        <v>-418030.5600000001</v>
      </c>
      <c r="H192" s="9" t="inlineStr">
        <is>
          <t>Original transaction workbook</t>
        </is>
      </c>
      <c r="I192" s="5" t="n"/>
      <c r="J192" s="5" t="n"/>
      <c r="K192" s="5" t="n"/>
    </row>
    <row r="193">
      <c r="A193" s="77" t="n"/>
      <c r="B193" s="77" t="n"/>
      <c r="C193" s="78" t="n"/>
      <c r="D193" s="77" t="n"/>
      <c r="E193" s="81">
        <f>SUM(E189:E192)</f>
        <v/>
      </c>
      <c r="F193" s="76" t="n"/>
      <c r="G193" s="76" t="n"/>
      <c r="H193" s="80" t="n"/>
      <c r="I193" s="77" t="n"/>
      <c r="J193" s="77" t="n"/>
      <c r="K193" s="77" t="n"/>
    </row>
    <row r="194">
      <c r="A194" s="64" t="n">
        <v>32</v>
      </c>
      <c r="B194" s="64" t="inlineStr">
        <is>
          <t>Llyod Electric</t>
        </is>
      </c>
      <c r="C194" s="65" t="n">
        <v>42349</v>
      </c>
      <c r="D194" s="64" t="inlineStr">
        <is>
          <t>Buy</t>
        </is>
      </c>
      <c r="E194" s="66" t="n">
        <v>922</v>
      </c>
      <c r="F194" s="67" t="n">
        <v>300</v>
      </c>
      <c r="G194" s="67" t="n">
        <v>276600</v>
      </c>
      <c r="H194" s="68" t="inlineStr">
        <is>
          <t>Original transaction workbook</t>
        </is>
      </c>
      <c r="I194" s="64" t="inlineStr">
        <is>
          <t>L</t>
        </is>
      </c>
      <c r="J194" s="64" t="n"/>
      <c r="K194" s="64" t="n"/>
    </row>
    <row r="195">
      <c r="A195" s="5" t="n"/>
      <c r="B195" s="5" t="n"/>
      <c r="C195" s="6" t="n">
        <v>42699</v>
      </c>
      <c r="D195" s="5" t="inlineStr">
        <is>
          <t>Buy</t>
        </is>
      </c>
      <c r="E195" s="7" t="n">
        <v>700</v>
      </c>
      <c r="F195" s="8" t="n">
        <v>274.35</v>
      </c>
      <c r="G195" s="25" t="n">
        <v>192045</v>
      </c>
      <c r="H195" s="9" t="inlineStr">
        <is>
          <t>Original transaction workbook</t>
        </is>
      </c>
      <c r="I195" s="5" t="n"/>
      <c r="J195" s="5" t="n"/>
      <c r="K195" s="5" t="n"/>
    </row>
    <row r="196">
      <c r="A196" s="5" t="n"/>
      <c r="B196" s="5" t="n"/>
      <c r="C196" s="6" t="n">
        <v>42787</v>
      </c>
      <c r="D196" s="5" t="inlineStr">
        <is>
          <t>Sell</t>
        </is>
      </c>
      <c r="E196" s="7" t="n">
        <v>-1622</v>
      </c>
      <c r="F196" s="8" t="n">
        <v>277.8</v>
      </c>
      <c r="G196" s="25" t="n">
        <v>-450591.6</v>
      </c>
      <c r="H196" s="9" t="inlineStr">
        <is>
          <t>Original transaction workbook</t>
        </is>
      </c>
      <c r="I196" s="5" t="n"/>
      <c r="J196" s="5" t="n"/>
      <c r="K196" s="5" t="n"/>
    </row>
    <row r="197">
      <c r="A197" s="77" t="n"/>
      <c r="B197" s="77" t="n"/>
      <c r="C197" s="78" t="n"/>
      <c r="D197" s="77" t="n"/>
      <c r="E197" s="81">
        <f>SUM(E194:E196)</f>
        <v/>
      </c>
      <c r="F197" s="76" t="n"/>
      <c r="G197" s="76" t="n"/>
      <c r="H197" s="80" t="n"/>
      <c r="I197" s="77" t="n"/>
      <c r="J197" s="77" t="n"/>
      <c r="K197" s="77" t="n"/>
    </row>
    <row r="198" ht="42" customHeight="1">
      <c r="A198" s="64" t="n">
        <v>33</v>
      </c>
      <c r="B198" s="64" t="inlineStr">
        <is>
          <t>Dynamatic Tech</t>
        </is>
      </c>
      <c r="C198" s="65" t="n">
        <v>42464</v>
      </c>
      <c r="D198" s="64" t="inlineStr">
        <is>
          <t>Buy</t>
        </is>
      </c>
      <c r="E198" s="66" t="n">
        <v>157</v>
      </c>
      <c r="F198" s="67" t="n">
        <v>1700</v>
      </c>
      <c r="G198" s="67" t="n">
        <v>266900</v>
      </c>
      <c r="H198" s="68" t="inlineStr">
        <is>
          <t>Mistake buy: Portfolio_2016.xlsx / 04Apr16 shows Dynamatic Tech 157 @1700. Bought in error and exited quickly. Kept for quantity continuity / hard reconciliation.</t>
        </is>
      </c>
      <c r="I198" s="64" t="inlineStr">
        <is>
          <t>L</t>
        </is>
      </c>
      <c r="J198" s="64" t="n"/>
      <c r="K198" s="64" t="n"/>
    </row>
    <row r="199" ht="42" customHeight="1">
      <c r="A199" s="10" t="n"/>
      <c r="B199" s="10" t="n"/>
      <c r="C199" s="11" t="n">
        <v>42521</v>
      </c>
      <c r="D199" s="10" t="inlineStr">
        <is>
          <t>Sell</t>
        </is>
      </c>
      <c r="E199" s="12" t="n">
        <v>-157</v>
      </c>
      <c r="F199" s="13" t="n"/>
      <c r="G199" s="26" t="n"/>
      <c r="H199" s="14" t="inlineStr">
        <is>
          <t>Mistake-buy exit: Portfolio_2016.xlsx — Dynamatic Tech absent on 31May16 (qty to 0). Exit trade PRICE NOT AVAILABLE anymore — intentionally blank. Do not invent a price. Quantity -157 retained for hard reconciliation only.</t>
        </is>
      </c>
      <c r="I199" s="10" t="n"/>
      <c r="J199" s="10" t="n"/>
      <c r="K199" s="10" t="n"/>
    </row>
    <row r="200">
      <c r="A200" s="10" t="n"/>
      <c r="B200" s="10" t="n"/>
      <c r="C200" s="11" t="n">
        <v>42531</v>
      </c>
      <c r="D200" s="10" t="inlineStr">
        <is>
          <t>Buy</t>
        </is>
      </c>
      <c r="E200" s="12" t="n">
        <v>44</v>
      </c>
      <c r="F200" s="13" t="n">
        <v>2505</v>
      </c>
      <c r="G200" s="26" t="n">
        <v>110220</v>
      </c>
      <c r="H200" s="14" t="inlineStr">
        <is>
          <t>Original transaction workbook</t>
        </is>
      </c>
      <c r="I200" s="10" t="n"/>
      <c r="J200" s="10" t="n"/>
      <c r="K200" s="10" t="n"/>
    </row>
    <row r="201" ht="28" customHeight="1">
      <c r="A201" s="37" t="n"/>
      <c r="B201" s="37" t="n"/>
      <c r="C201" s="38" t="n">
        <v>42901</v>
      </c>
      <c r="D201" s="37" t="inlineStr">
        <is>
          <t>Buy</t>
        </is>
      </c>
      <c r="E201" s="39" t="n">
        <v>30</v>
      </c>
      <c r="F201" s="40" t="n">
        <v>2515</v>
      </c>
      <c r="G201" s="30" t="n">
        <v>75450</v>
      </c>
      <c r="H201" s="41" t="inlineStr">
        <is>
          <t>Staged buy reconstructed from Portfolio_2017.xlsx: holdings increase 44 → 74 → 83. Original group total 39@2,515 preserved.</t>
        </is>
      </c>
      <c r="I201" s="37" t="n"/>
      <c r="J201" s="37" t="n"/>
      <c r="K201" s="37" t="n"/>
    </row>
    <row r="202" ht="28" customHeight="1">
      <c r="A202" s="5" t="n"/>
      <c r="B202" s="5" t="n"/>
      <c r="C202" s="6" t="n">
        <v>42902</v>
      </c>
      <c r="D202" s="5" t="inlineStr">
        <is>
          <t>Buy</t>
        </is>
      </c>
      <c r="E202" s="7" t="n">
        <v>9</v>
      </c>
      <c r="F202" s="8" t="n">
        <v>2515</v>
      </c>
      <c r="G202" s="25" t="n">
        <v>22635</v>
      </c>
      <c r="H202" s="9" t="inlineStr">
        <is>
          <t>Staged buy reconstructed from Portfolio_2017.xlsx: holdings increase 44 → 74 → 83. Original group total 39@2,515 preserved.</t>
        </is>
      </c>
      <c r="I202" s="5" t="n"/>
      <c r="J202" s="5" t="n"/>
      <c r="K202" s="5" t="n"/>
    </row>
    <row r="203" ht="28" customHeight="1">
      <c r="A203" s="5" t="n"/>
      <c r="B203" s="5" t="n"/>
      <c r="C203" s="6" t="n">
        <v>42914</v>
      </c>
      <c r="D203" s="5" t="inlineStr">
        <is>
          <t>Buy</t>
        </is>
      </c>
      <c r="E203" s="7" t="n">
        <v>18</v>
      </c>
      <c r="F203" s="8" t="n">
        <v>2440</v>
      </c>
      <c r="G203" s="25" t="n">
        <v>43920</v>
      </c>
      <c r="H203" s="9" t="inlineStr">
        <is>
          <t>Staged buy reconstructed from Portfolio_2017.xlsx: holdings increase 83 → 101 → 114 → 134 → 153 → 165. Original group total 82@2,440 preserved.</t>
        </is>
      </c>
      <c r="I203" s="5" t="n"/>
      <c r="J203" s="5" t="n"/>
      <c r="K203" s="5" t="n"/>
    </row>
    <row r="204" ht="28" customHeight="1">
      <c r="A204" s="10" t="n"/>
      <c r="B204" s="10" t="n"/>
      <c r="C204" s="11" t="n">
        <v>42915</v>
      </c>
      <c r="D204" s="10" t="inlineStr">
        <is>
          <t>Buy</t>
        </is>
      </c>
      <c r="E204" s="12" t="n">
        <v>13</v>
      </c>
      <c r="F204" s="13" t="n">
        <v>2440</v>
      </c>
      <c r="G204" s="26" t="n">
        <v>31720</v>
      </c>
      <c r="H204" s="14" t="inlineStr">
        <is>
          <t>Staged buy reconstructed from Portfolio_2017.xlsx: holdings increase 83 → 101 → 114 → 134 → 153 → 165. Original group total 82@2,440 preserved.</t>
        </is>
      </c>
      <c r="I204" s="10" t="n"/>
      <c r="J204" s="10" t="n"/>
      <c r="K204" s="10" t="n"/>
    </row>
    <row r="205" ht="28" customHeight="1">
      <c r="A205" s="37" t="n"/>
      <c r="B205" s="37" t="n"/>
      <c r="C205" s="38" t="n">
        <v>42916</v>
      </c>
      <c r="D205" s="37" t="inlineStr">
        <is>
          <t>Buy</t>
        </is>
      </c>
      <c r="E205" s="39" t="n">
        <v>20</v>
      </c>
      <c r="F205" s="40" t="n">
        <v>2440</v>
      </c>
      <c r="G205" s="30" t="n">
        <v>48800</v>
      </c>
      <c r="H205" s="41" t="inlineStr">
        <is>
          <t>Staged buy reconstructed from Portfolio_2017.xlsx: holdings increase 83 → 101 → 114 → 134 → 153 → 165. Original group total 82@2,440 preserved.</t>
        </is>
      </c>
      <c r="I205" s="37" t="n"/>
      <c r="J205" s="37" t="n"/>
      <c r="K205" s="37" t="n"/>
    </row>
    <row r="206" ht="28" customHeight="1">
      <c r="A206" s="5" t="n"/>
      <c r="B206" s="5" t="n"/>
      <c r="C206" s="6" t="n">
        <v>42928</v>
      </c>
      <c r="D206" s="5" t="inlineStr">
        <is>
          <t>Buy</t>
        </is>
      </c>
      <c r="E206" s="20" t="n">
        <v>19</v>
      </c>
      <c r="F206" s="8" t="n">
        <v>2440</v>
      </c>
      <c r="G206" s="25" t="n">
        <v>46360</v>
      </c>
      <c r="H206" s="9" t="inlineStr">
        <is>
          <t>Staged buy reconstructed from Portfolio_2017.xlsx: holdings increase 83 → 101 → 114 → 134 → 153 → 165. Original group total 82@2,440 preserved.</t>
        </is>
      </c>
      <c r="I206" s="5" t="n"/>
      <c r="J206" s="5" t="n"/>
      <c r="K206" s="5" t="n"/>
    </row>
    <row r="207" ht="28" customHeight="1">
      <c r="A207" s="5" t="n"/>
      <c r="B207" s="5" t="n"/>
      <c r="C207" s="6" t="n">
        <v>42930</v>
      </c>
      <c r="D207" s="5" t="inlineStr">
        <is>
          <t>Buy</t>
        </is>
      </c>
      <c r="E207" s="7" t="n">
        <v>12</v>
      </c>
      <c r="F207" s="8" t="n">
        <v>2440</v>
      </c>
      <c r="G207" s="25" t="n">
        <v>29280</v>
      </c>
      <c r="H207" s="9" t="inlineStr">
        <is>
          <t>Staged buy reconstructed from Portfolio_2017.xlsx: holdings increase 83 → 101 → 114 → 134 → 153 → 165. Original group total 82@2,440 preserved.</t>
        </is>
      </c>
      <c r="I207" s="5" t="n"/>
      <c r="J207" s="5" t="n"/>
      <c r="K207" s="5" t="n"/>
    </row>
    <row r="208">
      <c r="A208" s="10" t="n"/>
      <c r="B208" s="10" t="n"/>
      <c r="C208" s="11" t="n">
        <v>44064</v>
      </c>
      <c r="D208" s="10" t="inlineStr">
        <is>
          <t>Sell</t>
        </is>
      </c>
      <c r="E208" s="12" t="n">
        <v>-82</v>
      </c>
      <c r="F208" s="13" t="n">
        <v>933</v>
      </c>
      <c r="G208" s="26" t="n">
        <v>-76506</v>
      </c>
      <c r="H208" s="14" t="inlineStr">
        <is>
          <t>Portfolio_2020.xlsx / 21Aug20: Sell 82@933 = 76506</t>
        </is>
      </c>
      <c r="I208" s="10" t="n"/>
      <c r="J208" s="10" t="n"/>
      <c r="K208" s="10" t="n"/>
    </row>
    <row r="209">
      <c r="A209" s="37" t="n"/>
      <c r="B209" s="37" t="n"/>
      <c r="C209" s="38" t="n">
        <v>44071</v>
      </c>
      <c r="D209" s="37" t="inlineStr">
        <is>
          <t>Sell</t>
        </is>
      </c>
      <c r="E209" s="39" t="n">
        <v>-83</v>
      </c>
      <c r="F209" s="40" t="n">
        <v>871.75</v>
      </c>
      <c r="G209" s="30" t="n">
        <v>-72355.25</v>
      </c>
      <c r="H209" s="41" t="inlineStr">
        <is>
          <t>Portfolio_2020.xlsx / 28Aug20: Sell 83@871.75 = 72355</t>
        </is>
      </c>
      <c r="I209" s="37" t="n"/>
      <c r="J209" s="37" t="n"/>
      <c r="K209" s="37" t="n"/>
    </row>
    <row r="210">
      <c r="A210" s="77" t="n"/>
      <c r="B210" s="77" t="n"/>
      <c r="C210" s="78" t="n"/>
      <c r="D210" s="77" t="n"/>
      <c r="E210" s="81">
        <f>SUM(E198:E209)</f>
        <v/>
      </c>
      <c r="F210" s="76" t="n"/>
      <c r="G210" s="76" t="n"/>
      <c r="H210" s="80" t="n"/>
      <c r="I210" s="77" t="n"/>
      <c r="J210" s="77" t="n"/>
      <c r="K210" s="77" t="n"/>
    </row>
    <row r="211" ht="37.25" customHeight="1">
      <c r="A211" s="64" t="n">
        <v>34</v>
      </c>
      <c r="B211" s="64" t="inlineStr">
        <is>
          <t>Magma</t>
        </is>
      </c>
      <c r="C211" s="65" t="n">
        <v>42590</v>
      </c>
      <c r="D211" s="64" t="inlineStr">
        <is>
          <t>Buy</t>
        </is>
      </c>
      <c r="E211" s="66" t="n">
        <v>2750</v>
      </c>
      <c r="F211" s="67" t="n">
        <v>109</v>
      </c>
      <c r="G211" s="67" t="n">
        <v>299750</v>
      </c>
      <c r="H211" s="68" t="inlineStr">
        <is>
          <t>Original transaction workbook</t>
        </is>
      </c>
      <c r="I211" s="64" t="inlineStr">
        <is>
          <t>L</t>
        </is>
      </c>
      <c r="J211" s="64" t="n"/>
      <c r="K211" s="64" t="n"/>
    </row>
    <row r="212">
      <c r="A212" s="10" t="n"/>
      <c r="B212" s="10" t="n"/>
      <c r="C212" s="11" t="n">
        <v>43298</v>
      </c>
      <c r="D212" s="10" t="inlineStr">
        <is>
          <t>Buy</t>
        </is>
      </c>
      <c r="E212" s="12" t="n">
        <v>1375</v>
      </c>
      <c r="F212" s="13" t="n">
        <v>144.2</v>
      </c>
      <c r="G212" s="26" t="n">
        <v>198275</v>
      </c>
      <c r="H212" s="14" t="inlineStr">
        <is>
          <t>Original transaction workbook</t>
        </is>
      </c>
      <c r="I212" s="10" t="n"/>
      <c r="J212" s="10" t="n"/>
      <c r="K212" s="10" t="n"/>
    </row>
    <row r="213">
      <c r="A213" s="10" t="n"/>
      <c r="B213" s="10" t="n"/>
      <c r="C213" s="11" t="n">
        <v>44237</v>
      </c>
      <c r="D213" s="10" t="inlineStr">
        <is>
          <t>Sell</t>
        </is>
      </c>
      <c r="E213" s="12" t="n">
        <v>-4125</v>
      </c>
      <c r="F213" s="13" t="n">
        <v>95.25</v>
      </c>
      <c r="G213" s="26" t="n">
        <v>-392906.25</v>
      </c>
      <c r="H213" s="14" t="inlineStr">
        <is>
          <t>Portfolio_2021.xlsx / 10Feb21: Sell 4125@95.25 = 392906</t>
        </is>
      </c>
      <c r="I213" s="10" t="n"/>
      <c r="J213" s="10" t="n"/>
      <c r="K213" s="10" t="n"/>
    </row>
    <row r="214">
      <c r="A214" s="77" t="n"/>
      <c r="B214" s="77" t="n"/>
      <c r="C214" s="78" t="n"/>
      <c r="D214" s="77" t="n"/>
      <c r="E214" s="81">
        <f>SUM(E211:E213)</f>
        <v/>
      </c>
      <c r="F214" s="76" t="n"/>
      <c r="G214" s="76" t="n"/>
      <c r="H214" s="80" t="n"/>
      <c r="I214" s="77" t="n"/>
      <c r="J214" s="77" t="n"/>
      <c r="K214" s="77" t="n"/>
    </row>
    <row r="215" ht="42" customHeight="1">
      <c r="A215" s="64" t="n">
        <v>35</v>
      </c>
      <c r="B215" s="64" t="inlineStr">
        <is>
          <t>UFO</t>
        </is>
      </c>
      <c r="C215" s="65" t="n">
        <v>42773</v>
      </c>
      <c r="D215" s="64" t="inlineStr">
        <is>
          <t>Buy</t>
        </is>
      </c>
      <c r="E215" s="66" t="n">
        <v>419</v>
      </c>
      <c r="F215" s="67" t="n">
        <v>425</v>
      </c>
      <c r="G215" s="67" t="n">
        <v>178075</v>
      </c>
      <c r="H215" s="68" t="inlineStr">
        <is>
          <t>Staged buy reconstructed from Portfolio_2017.xlsx: 07Feb17 shows 419 shares and 08Feb17 shows 838. Original lump 838@425 split across the two dates; weighted price and total cost preserved.</t>
        </is>
      </c>
      <c r="I215" s="64" t="inlineStr">
        <is>
          <t>L</t>
        </is>
      </c>
      <c r="J215" s="64" t="n"/>
      <c r="K215" s="64" t="n"/>
    </row>
    <row r="216" ht="42" customHeight="1">
      <c r="A216" s="10" t="n"/>
      <c r="B216" s="10" t="n"/>
      <c r="C216" s="11" t="n">
        <v>42774</v>
      </c>
      <c r="D216" s="10" t="inlineStr">
        <is>
          <t>Buy</t>
        </is>
      </c>
      <c r="E216" s="12" t="n">
        <v>419</v>
      </c>
      <c r="F216" s="13" t="n">
        <v>425</v>
      </c>
      <c r="G216" s="26" t="n">
        <v>178075</v>
      </c>
      <c r="H216" s="14" t="inlineStr">
        <is>
          <t>Staged buy reconstructed from Portfolio_2017.xlsx: 07Feb17 shows 419 shares and 08Feb17 shows 838. Original lump 838@425 split across the two dates; weighted price and total cost preserved.</t>
        </is>
      </c>
      <c r="I216" s="10" t="n"/>
      <c r="J216" s="10" t="n"/>
      <c r="K216" s="10" t="n"/>
    </row>
    <row r="217">
      <c r="A217" s="10" t="n"/>
      <c r="B217" s="10" t="n"/>
      <c r="C217" s="11" t="n">
        <v>43250</v>
      </c>
      <c r="D217" s="10" t="inlineStr">
        <is>
          <t>Buy</t>
        </is>
      </c>
      <c r="E217" s="12" t="n">
        <v>838</v>
      </c>
      <c r="F217" s="13" t="n">
        <v>384.45</v>
      </c>
      <c r="G217" s="26" t="n">
        <v>322169.1</v>
      </c>
      <c r="H217" s="14" t="inlineStr">
        <is>
          <t>Original transaction workbook</t>
        </is>
      </c>
      <c r="I217" s="10" t="n"/>
      <c r="J217" s="10" t="n"/>
      <c r="K217" s="10" t="n"/>
    </row>
    <row r="218">
      <c r="A218" s="37" t="n"/>
      <c r="B218" s="37" t="n"/>
      <c r="C218" s="38" t="n">
        <v>44578</v>
      </c>
      <c r="D218" s="37" t="inlineStr">
        <is>
          <t>Sell</t>
        </is>
      </c>
      <c r="E218" s="42" t="n">
        <v>-1676</v>
      </c>
      <c r="F218" s="40" t="n">
        <v>98.40000000000001</v>
      </c>
      <c r="G218" s="30" t="n">
        <v>-164918.4</v>
      </c>
      <c r="H218" s="41" t="inlineStr">
        <is>
          <t>Portfolio_2022.xlsx / 17Jan22: Sell 1676@98.4 = 164918</t>
        </is>
      </c>
      <c r="I218" s="37" t="n"/>
      <c r="J218" s="37" t="n"/>
      <c r="K218" s="37" t="n"/>
    </row>
    <row r="219">
      <c r="A219" s="77" t="n"/>
      <c r="B219" s="77" t="n"/>
      <c r="C219" s="78" t="n"/>
      <c r="D219" s="77" t="n"/>
      <c r="E219" s="79">
        <f>SUM(E215:E218)</f>
        <v/>
      </c>
      <c r="F219" s="76" t="n"/>
      <c r="G219" s="76" t="n"/>
      <c r="H219" s="80" t="n"/>
      <c r="I219" s="77" t="n"/>
      <c r="J219" s="77" t="n"/>
      <c r="K219" s="77" t="n"/>
    </row>
    <row r="220" ht="42" customHeight="1">
      <c r="A220" s="64" t="n">
        <v>36</v>
      </c>
      <c r="B220" s="64" t="inlineStr">
        <is>
          <t>HindOilExp</t>
        </is>
      </c>
      <c r="C220" s="65" t="n">
        <v>42780</v>
      </c>
      <c r="D220" s="64" t="inlineStr">
        <is>
          <t>Buy</t>
        </is>
      </c>
      <c r="E220" s="66" t="n">
        <v>1280</v>
      </c>
      <c r="F220" s="67" t="n">
        <v>73.42</v>
      </c>
      <c r="G220" s="67" t="n">
        <v>93977.60000000001</v>
      </c>
      <c r="H220" s="68" t="inlineStr">
        <is>
          <t>Staged buy reconstructed from Portfolio_2017.xlsx quantity path 1,280 → 2,560 → 3,840 → 4,750. Original group total 4,750@73.42 preserved; exact day-level execution prices were not available.</t>
        </is>
      </c>
      <c r="I220" s="64" t="inlineStr">
        <is>
          <t>P</t>
        </is>
      </c>
      <c r="J220" s="64" t="n"/>
      <c r="K220" s="64" t="n"/>
    </row>
    <row r="221" ht="42" customHeight="1">
      <c r="A221" s="10" t="n"/>
      <c r="B221" s="10" t="n"/>
      <c r="C221" s="11" t="n">
        <v>42781</v>
      </c>
      <c r="D221" s="10" t="inlineStr">
        <is>
          <t>Buy</t>
        </is>
      </c>
      <c r="E221" s="12" t="n">
        <v>1280</v>
      </c>
      <c r="F221" s="13" t="n">
        <v>73.42</v>
      </c>
      <c r="G221" s="26" t="n">
        <v>93977.60000000001</v>
      </c>
      <c r="H221" s="14" t="inlineStr">
        <is>
          <t>Staged buy reconstructed from Portfolio_2017.xlsx quantity path 1,280 → 2,560 → 3,840 → 4,750. Original group total 4,750@73.42 preserved; exact day-level execution prices were not available.</t>
        </is>
      </c>
      <c r="I221" s="10" t="n"/>
      <c r="J221" s="10" t="n"/>
      <c r="K221" s="10" t="n"/>
    </row>
    <row r="222" ht="42" customHeight="1">
      <c r="A222" s="37" t="n"/>
      <c r="B222" s="37" t="n"/>
      <c r="C222" s="38" t="n">
        <v>42782</v>
      </c>
      <c r="D222" s="37" t="inlineStr">
        <is>
          <t>Buy</t>
        </is>
      </c>
      <c r="E222" s="39" t="n">
        <v>1280</v>
      </c>
      <c r="F222" s="40" t="n">
        <v>73.42</v>
      </c>
      <c r="G222" s="30" t="n">
        <v>93977.60000000001</v>
      </c>
      <c r="H222" s="41" t="inlineStr">
        <is>
          <t>Staged buy reconstructed from Portfolio_2017.xlsx quantity path 1,280 → 2,560 → 3,840 → 4,750. Original group total 4,750@73.42 preserved; exact day-level execution prices were not available.</t>
        </is>
      </c>
      <c r="I222" s="37" t="n"/>
      <c r="J222" s="37" t="n"/>
      <c r="K222" s="37" t="n"/>
    </row>
    <row r="223" ht="42" customHeight="1">
      <c r="A223" s="5" t="n"/>
      <c r="B223" s="5" t="n"/>
      <c r="C223" s="6" t="n">
        <v>42788</v>
      </c>
      <c r="D223" s="5" t="inlineStr">
        <is>
          <t>Buy</t>
        </is>
      </c>
      <c r="E223" s="7" t="n">
        <v>910</v>
      </c>
      <c r="F223" s="8" t="n">
        <v>73.42</v>
      </c>
      <c r="G223" s="25" t="n">
        <v>66812.2</v>
      </c>
      <c r="H223" s="9" t="inlineStr">
        <is>
          <t>Staged buy reconstructed from Portfolio_2017.xlsx quantity path 1,280 → 2,560 → 3,840 → 4,750. Original group total 4,750@73.42 preserved; exact day-level execution prices were not available.</t>
        </is>
      </c>
      <c r="I223" s="5" t="n"/>
      <c r="J223" s="5" t="n"/>
      <c r="K223" s="5" t="n"/>
    </row>
    <row r="224" ht="42" customHeight="1">
      <c r="A224" s="5" t="n"/>
      <c r="B224" s="5" t="n"/>
      <c r="C224" s="6" t="n">
        <v>42968</v>
      </c>
      <c r="D224" s="5" t="inlineStr">
        <is>
          <t>Buy</t>
        </is>
      </c>
      <c r="E224" s="7" t="n">
        <v>1300</v>
      </c>
      <c r="F224" s="8" t="n">
        <v>78.09999999999999</v>
      </c>
      <c r="G224" s="25" t="n">
        <v>101530</v>
      </c>
      <c r="H224" s="9" t="inlineStr">
        <is>
          <t>Staged buy reconstructed from Portfolio_2017.xlsx quantity path 4,750 → 6,050 → 7,350 → 10,290. Original group total 5,540@78.10 preserved; exact day-level execution prices were not available.</t>
        </is>
      </c>
      <c r="I224" s="5" t="n"/>
      <c r="J224" s="5" t="n"/>
      <c r="K224" s="5" t="n"/>
    </row>
    <row r="225" ht="42" customHeight="1">
      <c r="A225" s="10" t="n"/>
      <c r="B225" s="10" t="n"/>
      <c r="C225" s="11" t="n">
        <v>42969</v>
      </c>
      <c r="D225" s="10" t="inlineStr">
        <is>
          <t>Buy</t>
        </is>
      </c>
      <c r="E225" s="12" t="n">
        <v>1300</v>
      </c>
      <c r="F225" s="13" t="n">
        <v>78.09999999999999</v>
      </c>
      <c r="G225" s="26" t="n">
        <v>101530</v>
      </c>
      <c r="H225" s="14" t="inlineStr">
        <is>
          <t>Staged buy reconstructed from Portfolio_2017.xlsx quantity path 4,750 → 6,050 → 7,350 → 10,290. Original group total 5,540@78.10 preserved; exact day-level execution prices were not available.</t>
        </is>
      </c>
      <c r="I225" s="10" t="n"/>
      <c r="J225" s="10" t="n"/>
      <c r="K225" s="10" t="n"/>
    </row>
    <row r="226" ht="42" customHeight="1">
      <c r="A226" s="37" t="n"/>
      <c r="B226" s="37" t="n"/>
      <c r="C226" s="38" t="n">
        <v>42975</v>
      </c>
      <c r="D226" s="37" t="inlineStr">
        <is>
          <t>Buy</t>
        </is>
      </c>
      <c r="E226" s="39" t="n">
        <v>2940</v>
      </c>
      <c r="F226" s="40" t="n">
        <v>78.09999999999999</v>
      </c>
      <c r="G226" s="30" t="n">
        <v>229614</v>
      </c>
      <c r="H226" s="41" t="inlineStr">
        <is>
          <t>Staged buy reconstructed from Portfolio_2017.xlsx quantity path 4,750 → 6,050 → 7,350 → 10,290. Original group total 5,540@78.10 preserved; exact day-level execution prices were not available.</t>
        </is>
      </c>
      <c r="I226" s="37" t="n"/>
      <c r="J226" s="37" t="n"/>
      <c r="K226" s="37" t="n"/>
    </row>
    <row r="227">
      <c r="A227" s="5" t="n"/>
      <c r="B227" s="5" t="n"/>
      <c r="C227" s="6" t="n">
        <v>43910</v>
      </c>
      <c r="D227" s="5" t="inlineStr">
        <is>
          <t>Buy</t>
        </is>
      </c>
      <c r="E227" s="20" t="n">
        <v>1300</v>
      </c>
      <c r="F227" s="8" t="n">
        <v>38.28</v>
      </c>
      <c r="G227" s="25" t="n">
        <v>49764</v>
      </c>
      <c r="H227" s="9" t="inlineStr">
        <is>
          <t>Portfolio_2020.xlsx / 20Mar20: Buy 1300@38.28 = 49764</t>
        </is>
      </c>
      <c r="I227" s="5" t="n"/>
      <c r="J227" s="5" t="n"/>
      <c r="K227" s="5" t="n"/>
    </row>
    <row r="228">
      <c r="A228" s="37" t="n"/>
      <c r="B228" s="37" t="n"/>
      <c r="C228" s="38" t="n">
        <v>45509</v>
      </c>
      <c r="D228" s="37" t="inlineStr">
        <is>
          <t>Sell</t>
        </is>
      </c>
      <c r="E228" s="39" t="n">
        <v>-2365</v>
      </c>
      <c r="F228" s="40" t="n">
        <v>269.9</v>
      </c>
      <c r="G228" s="30" t="n">
        <v>-638313.5</v>
      </c>
      <c r="H228" s="41" t="inlineStr">
        <is>
          <t>Portfolio_2024.xlsx / 05Aug24: Sell 2365@269.9 = 638.313</t>
        </is>
      </c>
      <c r="I228" s="37" t="n"/>
      <c r="J228" s="37" t="n"/>
      <c r="K228" s="37" t="n"/>
    </row>
    <row r="229">
      <c r="A229" s="5" t="n"/>
      <c r="B229" s="5" t="n"/>
      <c r="C229" s="6" t="n">
        <v>45694</v>
      </c>
      <c r="D229" s="5" t="inlineStr">
        <is>
          <t>Buy</t>
        </is>
      </c>
      <c r="E229" s="7" t="n">
        <v>1475</v>
      </c>
      <c r="F229" s="8" t="n">
        <v>211.38</v>
      </c>
      <c r="G229" s="25" t="n">
        <v>311785.5</v>
      </c>
      <c r="H229" s="9" t="inlineStr">
        <is>
          <t>Portfolio_2025.xlsx / 06Feb25: Buy 1475@211.38 = 311785</t>
        </is>
      </c>
      <c r="I229" s="5" t="n"/>
      <c r="J229" s="5" t="n"/>
      <c r="K229" s="5" t="n"/>
    </row>
    <row r="230">
      <c r="A230" s="10" t="n"/>
      <c r="B230" s="10" t="n"/>
      <c r="C230" s="11" t="n">
        <v>45722</v>
      </c>
      <c r="D230" s="10" t="inlineStr">
        <is>
          <t>Sell</t>
        </is>
      </c>
      <c r="E230" s="12" t="n">
        <v>-2568</v>
      </c>
      <c r="F230" s="13" t="n">
        <v>179.7</v>
      </c>
      <c r="G230" s="26">
        <f>E230*F230</f>
        <v/>
      </c>
      <c r="H230" s="14" t="inlineStr">
        <is>
          <t>INFERRED from holding reduction 10,700 to 8,132 in 06Mar25; trade price not recorded</t>
        </is>
      </c>
      <c r="I230" s="10" t="n"/>
      <c r="J230" s="10" t="n"/>
      <c r="K230" s="10" t="n"/>
    </row>
    <row r="231">
      <c r="A231" s="10" t="n"/>
      <c r="B231" s="10" t="n"/>
      <c r="C231" s="35" t="n">
        <v>46090</v>
      </c>
      <c r="D231" s="21" t="inlineStr">
        <is>
          <t>Sell</t>
        </is>
      </c>
      <c r="E231" s="22" t="n">
        <v>-1840</v>
      </c>
      <c r="F231" s="23" t="n">
        <v>169.66</v>
      </c>
      <c r="G231" s="28" t="n">
        <v>-312174.4</v>
      </c>
      <c r="H231" s="24" t="inlineStr">
        <is>
          <t>Portfolio_2026.xlsx / 09Mar26: Sell 1840@169.66</t>
        </is>
      </c>
      <c r="I231" s="10" t="n"/>
      <c r="J231" s="10" t="n"/>
      <c r="K231" s="10" t="n"/>
    </row>
    <row r="232">
      <c r="A232" s="5" t="n"/>
      <c r="B232" s="5" t="n"/>
      <c r="C232" s="6" t="n">
        <v>46182</v>
      </c>
      <c r="D232" s="5" t="inlineStr">
        <is>
          <t>Sell</t>
        </is>
      </c>
      <c r="E232" s="7" t="n">
        <v>-1507</v>
      </c>
      <c r="F232" s="8" t="n">
        <v>185.65</v>
      </c>
      <c r="G232" s="25" t="n">
        <v>-279774.55</v>
      </c>
      <c r="H232" s="9" t="inlineStr">
        <is>
          <t>Portfolio_2026.xlsx / 09Jun26: Sell 1507@185.65 = 279774</t>
        </is>
      </c>
      <c r="I232" s="5" t="n"/>
      <c r="J232" s="5" t="n"/>
      <c r="K232" s="5" t="n"/>
    </row>
    <row r="233">
      <c r="A233" s="77" t="n"/>
      <c r="B233" s="77" t="n"/>
      <c r="C233" s="78" t="n"/>
      <c r="D233" s="77" t="n"/>
      <c r="E233" s="79">
        <f>SUM(E220:E232)</f>
        <v/>
      </c>
      <c r="F233" s="76" t="n"/>
      <c r="G233" s="76" t="n"/>
      <c r="H233" s="80" t="n"/>
      <c r="I233" s="77" t="n"/>
      <c r="J233" s="77" t="n"/>
      <c r="K233" s="77" t="n"/>
    </row>
    <row r="234" ht="42" customHeight="1">
      <c r="A234" s="64" t="n">
        <v>37</v>
      </c>
      <c r="B234" s="64" t="inlineStr">
        <is>
          <t>FSL</t>
        </is>
      </c>
      <c r="C234" s="65" t="n">
        <v>42905</v>
      </c>
      <c r="D234" s="64" t="inlineStr">
        <is>
          <t>Buy</t>
        </is>
      </c>
      <c r="E234" s="66" t="n">
        <v>6000</v>
      </c>
      <c r="F234" s="67" t="n">
        <v>33.85</v>
      </c>
      <c r="G234" s="67" t="n">
        <v>203100</v>
      </c>
      <c r="H234" s="68" t="inlineStr">
        <is>
          <t>Staged buy reconstructed from Portfolio_2017.xlsx: 19Jun17 shows 6,000 shares and 20Jun17 shows 12,000. Original lump 12,000@33.85 split across the two dates; weighted price and total cost preserved.</t>
        </is>
      </c>
      <c r="I234" s="64" t="inlineStr">
        <is>
          <t>P</t>
        </is>
      </c>
      <c r="J234" s="64" t="n"/>
      <c r="K234" s="64" t="n"/>
    </row>
    <row r="235" ht="42" customHeight="1">
      <c r="A235" s="37" t="n"/>
      <c r="B235" s="37" t="n"/>
      <c r="C235" s="38" t="n">
        <v>42906</v>
      </c>
      <c r="D235" s="37" t="inlineStr">
        <is>
          <t>Buy</t>
        </is>
      </c>
      <c r="E235" s="42" t="n">
        <v>6000</v>
      </c>
      <c r="F235" s="40" t="n">
        <v>33.85</v>
      </c>
      <c r="G235" s="30" t="n">
        <v>203100</v>
      </c>
      <c r="H235" s="41" t="inlineStr">
        <is>
          <t>Staged buy reconstructed from Portfolio_2017.xlsx: 19Jun17 shows 6,000 shares and 20Jun17 shows 12,000. Original lump 12,000@33.85 split across the two dates; weighted price and total cost preserved.</t>
        </is>
      </c>
      <c r="I235" s="37" t="n"/>
      <c r="J235" s="37" t="n"/>
      <c r="K235" s="37" t="n"/>
    </row>
    <row r="236">
      <c r="A236" s="5" t="n"/>
      <c r="B236" s="5" t="n"/>
      <c r="C236" s="6" t="n">
        <v>43271</v>
      </c>
      <c r="D236" s="5" t="inlineStr">
        <is>
          <t>Sell</t>
        </is>
      </c>
      <c r="E236" s="7" t="n">
        <v>-9000</v>
      </c>
      <c r="F236" s="8" t="n">
        <v>74.27</v>
      </c>
      <c r="G236" s="25" t="n">
        <v>-668430</v>
      </c>
      <c r="H236" s="9" t="inlineStr">
        <is>
          <t>Original transaction workbook</t>
        </is>
      </c>
      <c r="I236" s="5" t="n"/>
      <c r="J236" s="5" t="n"/>
      <c r="K236" s="5" t="n"/>
    </row>
    <row r="237">
      <c r="A237" s="37" t="n"/>
      <c r="B237" s="37" t="n"/>
      <c r="C237" s="38" t="n">
        <v>43291</v>
      </c>
      <c r="D237" s="37" t="inlineStr">
        <is>
          <t>Sell</t>
        </is>
      </c>
      <c r="E237" s="39" t="n">
        <v>-3000</v>
      </c>
      <c r="F237" s="40" t="n">
        <v>74.90000000000001</v>
      </c>
      <c r="G237" s="30" t="n">
        <v>-224700</v>
      </c>
      <c r="H237" s="41" t="inlineStr">
        <is>
          <t>Original transaction workbook</t>
        </is>
      </c>
      <c r="I237" s="37" t="n"/>
      <c r="J237" s="37" t="n"/>
      <c r="K237" s="37" t="n"/>
    </row>
    <row r="238">
      <c r="A238" s="77" t="n"/>
      <c r="B238" s="77" t="n"/>
      <c r="C238" s="78" t="n"/>
      <c r="D238" s="77" t="n"/>
      <c r="E238" s="79">
        <f>SUM(E234:E237)</f>
        <v/>
      </c>
      <c r="F238" s="76" t="n"/>
      <c r="G238" s="76" t="n"/>
      <c r="H238" s="80" t="n"/>
      <c r="I238" s="77" t="n"/>
      <c r="J238" s="77" t="n"/>
      <c r="K238" s="77" t="n"/>
    </row>
    <row r="239">
      <c r="A239" s="64" t="n">
        <v>38</v>
      </c>
      <c r="B239" s="64" t="inlineStr">
        <is>
          <t>Tata Global</t>
        </is>
      </c>
      <c r="C239" s="65" t="n">
        <v>42961</v>
      </c>
      <c r="D239" s="64" t="inlineStr">
        <is>
          <t>Buy</t>
        </is>
      </c>
      <c r="E239" s="66" t="n">
        <v>2345</v>
      </c>
      <c r="F239" s="67" t="n">
        <v>171.1</v>
      </c>
      <c r="G239" s="67" t="n">
        <v>401229.5</v>
      </c>
      <c r="H239" s="68" t="inlineStr">
        <is>
          <t>Original transaction workbook</t>
        </is>
      </c>
      <c r="I239" s="64" t="inlineStr">
        <is>
          <t>L</t>
        </is>
      </c>
      <c r="J239" s="64" t="n"/>
      <c r="K239" s="64" t="n"/>
    </row>
    <row r="240">
      <c r="A240" s="5" t="n"/>
      <c r="B240" s="5" t="n"/>
      <c r="C240" s="6" t="n">
        <v>43441</v>
      </c>
      <c r="D240" s="5" t="inlineStr">
        <is>
          <t>Sell</t>
        </is>
      </c>
      <c r="E240" s="7" t="n">
        <v>-505</v>
      </c>
      <c r="F240" s="8" t="n">
        <v>205.35</v>
      </c>
      <c r="G240" s="25" t="n">
        <v>-103701.75</v>
      </c>
      <c r="H240" s="9" t="inlineStr">
        <is>
          <t>Original transaction workbook</t>
        </is>
      </c>
      <c r="I240" s="5" t="n"/>
      <c r="J240" s="5" t="n"/>
      <c r="K240" s="5" t="n"/>
    </row>
    <row r="241">
      <c r="A241" s="10" t="n"/>
      <c r="B241" s="10" t="n"/>
      <c r="C241" s="11" t="n">
        <v>43502</v>
      </c>
      <c r="D241" s="10" t="inlineStr">
        <is>
          <t>Sell</t>
        </is>
      </c>
      <c r="E241" s="15" t="n">
        <v>-1840</v>
      </c>
      <c r="F241" s="13" t="n">
        <v>184.3</v>
      </c>
      <c r="G241" s="26" t="n">
        <v>-339112</v>
      </c>
      <c r="H241" s="14" t="inlineStr">
        <is>
          <t>Original transaction workbook</t>
        </is>
      </c>
      <c r="I241" s="10" t="n"/>
      <c r="J241" s="10" t="n"/>
      <c r="K241" s="10" t="n"/>
    </row>
    <row r="242">
      <c r="A242" s="77" t="n"/>
      <c r="B242" s="77" t="n"/>
      <c r="C242" s="78" t="n"/>
      <c r="D242" s="77" t="n"/>
      <c r="E242" s="79">
        <f>SUM(E239:E241)</f>
        <v/>
      </c>
      <c r="F242" s="76" t="n"/>
      <c r="G242" s="76" t="n"/>
      <c r="H242" s="80" t="n"/>
      <c r="I242" s="77" t="n"/>
      <c r="J242" s="77" t="n"/>
      <c r="K242" s="77" t="n"/>
    </row>
    <row r="243" ht="42" customHeight="1">
      <c r="A243" s="64" t="n">
        <v>39</v>
      </c>
      <c r="B243" s="64" t="inlineStr">
        <is>
          <t>South Indian Bank</t>
        </is>
      </c>
      <c r="C243" s="65" t="n">
        <v>42999</v>
      </c>
      <c r="D243" s="64" t="inlineStr">
        <is>
          <t>Buy</t>
        </is>
      </c>
      <c r="E243" s="66" t="n">
        <v>8384</v>
      </c>
      <c r="F243" s="67" t="n">
        <v>31.24</v>
      </c>
      <c r="G243" s="67" t="n">
        <v>261916.16</v>
      </c>
      <c r="H243" s="68" t="inlineStr">
        <is>
          <t>Staged buy reconstructed from Portfolio_2017.xlsx: 21Sep17 shows 8,384 shares and 22Sep17 shows 13,973. Original lump 13,973@31.24 split into 8,384 and 5,589; weighted price and total cost preserved. This is not a split/bonus.</t>
        </is>
      </c>
      <c r="I243" s="64" t="inlineStr">
        <is>
          <t>L</t>
        </is>
      </c>
      <c r="J243" s="64" t="n"/>
      <c r="K243" s="64" t="n"/>
    </row>
    <row r="244" ht="42" customHeight="1">
      <c r="A244" s="5" t="n"/>
      <c r="B244" s="5" t="n"/>
      <c r="C244" s="6" t="n">
        <v>43000</v>
      </c>
      <c r="D244" s="5" t="inlineStr">
        <is>
          <t>Buy</t>
        </is>
      </c>
      <c r="E244" s="7" t="n">
        <v>5589</v>
      </c>
      <c r="F244" s="8" t="n">
        <v>31.24</v>
      </c>
      <c r="G244" s="25" t="n">
        <v>174600.36</v>
      </c>
      <c r="H244" s="9" t="inlineStr">
        <is>
          <t>Staged buy reconstructed from Portfolio_2017.xlsx: 21Sep17 shows 8,384 shares and 22Sep17 shows 13,973. Original lump 13,973@31.24 split into 8,384 and 5,589; weighted price and total cost preserved. This is not a split/bonus.</t>
        </is>
      </c>
      <c r="I244" s="5" t="n"/>
      <c r="J244" s="5" t="n"/>
      <c r="K244" s="5" t="n"/>
    </row>
    <row r="245">
      <c r="A245" s="5" t="n"/>
      <c r="B245" s="5" t="n"/>
      <c r="C245" s="6" t="n">
        <v>43760</v>
      </c>
      <c r="D245" s="5" t="inlineStr">
        <is>
          <t>Buy</t>
        </is>
      </c>
      <c r="E245" s="7" t="n">
        <v>13973</v>
      </c>
      <c r="F245" s="8" t="n">
        <v>10.37</v>
      </c>
      <c r="G245" s="25" t="n">
        <v>144900.01</v>
      </c>
      <c r="H245" s="9" t="inlineStr">
        <is>
          <t>Original transaction workbook</t>
        </is>
      </c>
      <c r="I245" s="5" t="n"/>
      <c r="J245" s="5" t="n"/>
      <c r="K245" s="5" t="n"/>
    </row>
    <row r="246">
      <c r="A246" s="10" t="n"/>
      <c r="B246" s="10" t="n"/>
      <c r="C246" s="11" t="n">
        <v>44550</v>
      </c>
      <c r="D246" s="10" t="inlineStr">
        <is>
          <t>Sell</t>
        </is>
      </c>
      <c r="E246" s="12" t="n">
        <v>-27946</v>
      </c>
      <c r="F246" s="13" t="n">
        <v>8.815</v>
      </c>
      <c r="G246" s="26" t="n">
        <v>-246343.99</v>
      </c>
      <c r="H246" s="14" t="inlineStr">
        <is>
          <t>Portfolio_2021.xlsx / 20Dec21: Sell 27946@8.815 = 246344</t>
        </is>
      </c>
      <c r="I246" s="10" t="n"/>
      <c r="J246" s="10" t="n"/>
      <c r="K246" s="10" t="n"/>
    </row>
    <row r="247">
      <c r="A247" s="77" t="n"/>
      <c r="B247" s="77" t="n"/>
      <c r="C247" s="78" t="n"/>
      <c r="D247" s="77" t="n"/>
      <c r="E247" s="79">
        <f>SUM(E243:E246)</f>
        <v/>
      </c>
      <c r="F247" s="76" t="n"/>
      <c r="G247" s="76" t="n"/>
      <c r="H247" s="80" t="n"/>
      <c r="I247" s="77" t="n"/>
      <c r="J247" s="77" t="n"/>
      <c r="K247" s="77" t="n"/>
    </row>
    <row r="248">
      <c r="A248" s="64" t="n">
        <v>40</v>
      </c>
      <c r="B248" s="64" t="inlineStr">
        <is>
          <t>Saregama</t>
        </is>
      </c>
      <c r="C248" s="65" t="n">
        <v>43237</v>
      </c>
      <c r="D248" s="64" t="inlineStr">
        <is>
          <t>Buy</t>
        </is>
      </c>
      <c r="E248" s="69" t="n">
        <v>570</v>
      </c>
      <c r="F248" s="67" t="n">
        <v>851.35</v>
      </c>
      <c r="G248" s="67" t="n">
        <v>485269.5</v>
      </c>
      <c r="H248" s="68" t="inlineStr">
        <is>
          <t>Original transaction workbook</t>
        </is>
      </c>
      <c r="I248" s="64" t="inlineStr">
        <is>
          <t>P</t>
        </is>
      </c>
      <c r="J248" s="64" t="n"/>
      <c r="K248" s="64" t="n"/>
    </row>
    <row r="249">
      <c r="A249" s="37" t="n"/>
      <c r="B249" s="37" t="n"/>
      <c r="C249" s="38" t="n">
        <v>44273</v>
      </c>
      <c r="D249" s="37" t="inlineStr">
        <is>
          <t>Sell</t>
        </is>
      </c>
      <c r="E249" s="39" t="n">
        <v>-142</v>
      </c>
      <c r="F249" s="40" t="n">
        <v>1518.6</v>
      </c>
      <c r="G249" s="30" t="n">
        <v>-215641.2</v>
      </c>
      <c r="H249" s="41" t="inlineStr">
        <is>
          <t>Portfolio_2021.xlsx / 18Mar21: Sell 142@1518.6 = 215641</t>
        </is>
      </c>
      <c r="I249" s="37" t="n"/>
      <c r="J249" s="37" t="n"/>
      <c r="K249" s="37" t="n"/>
    </row>
    <row r="250">
      <c r="A250" s="5" t="n"/>
      <c r="B250" s="5" t="n"/>
      <c r="C250" s="6" t="n">
        <v>44362</v>
      </c>
      <c r="D250" s="5" t="inlineStr">
        <is>
          <t>Sell</t>
        </is>
      </c>
      <c r="E250" s="7" t="n">
        <v>-142</v>
      </c>
      <c r="F250" s="8" t="n">
        <v>2717.75</v>
      </c>
      <c r="G250" s="25" t="n">
        <v>-385920.5</v>
      </c>
      <c r="H250" s="9" t="inlineStr">
        <is>
          <t>Portfolio_2021.xlsx / 15Jun21: Sell 142@2717.75 = 385920.5</t>
        </is>
      </c>
      <c r="I250" s="5" t="n"/>
      <c r="J250" s="5" t="n"/>
      <c r="K250" s="5" t="n"/>
    </row>
    <row r="251">
      <c r="A251" s="37" t="n"/>
      <c r="B251" s="37" t="n"/>
      <c r="C251" s="38" t="n">
        <v>44578</v>
      </c>
      <c r="D251" s="37" t="inlineStr">
        <is>
          <t>Sell</t>
        </is>
      </c>
      <c r="E251" s="39" t="n">
        <v>-56</v>
      </c>
      <c r="F251" s="40" t="n">
        <v>4748</v>
      </c>
      <c r="G251" s="30" t="n">
        <v>-265888</v>
      </c>
      <c r="H251" s="41" t="inlineStr">
        <is>
          <t>Portfolio_2022.xlsx / 17Jan22: Sell 56@4748 = 265888</t>
        </is>
      </c>
      <c r="I251" s="37" t="n"/>
      <c r="J251" s="37" t="n"/>
      <c r="K251" s="37" t="n"/>
    </row>
    <row r="252">
      <c r="A252" s="5" t="n"/>
      <c r="B252" s="5" t="n"/>
      <c r="C252" s="70" t="n">
        <v>44677</v>
      </c>
      <c r="D252" s="71" t="inlineStr">
        <is>
          <t>Split</t>
        </is>
      </c>
      <c r="E252" s="75" t="n">
        <v>2070</v>
      </c>
      <c r="F252" s="73" t="n">
        <v>0</v>
      </c>
      <c r="G252" s="73" t="n">
        <v>0</v>
      </c>
      <c r="H252" s="74" t="inlineStr">
        <is>
          <t>Portfolio_2022.xlsx / 26Apr22: Split 10 to 1</t>
        </is>
      </c>
      <c r="I252" s="5" t="n"/>
      <c r="J252" s="5" t="n"/>
      <c r="K252" s="5" t="n"/>
    </row>
    <row r="253">
      <c r="A253" s="5" t="n"/>
      <c r="B253" s="5" t="n"/>
      <c r="C253" s="6" t="n">
        <v>44851</v>
      </c>
      <c r="D253" s="5" t="inlineStr">
        <is>
          <t>Sell</t>
        </is>
      </c>
      <c r="E253" s="7" t="n">
        <v>-1150</v>
      </c>
      <c r="F253" s="8" t="n">
        <v>364.67</v>
      </c>
      <c r="G253" s="25" t="n">
        <v>-419370.5</v>
      </c>
      <c r="H253" s="9" t="inlineStr">
        <is>
          <t>Portfolio_2022.xlsx / 17Oct22: Sell 1150@364.67 = 419370.5</t>
        </is>
      </c>
      <c r="I253" s="5" t="n"/>
      <c r="J253" s="5" t="n"/>
      <c r="K253" s="5" t="n"/>
    </row>
    <row r="254">
      <c r="A254" s="10" t="n"/>
      <c r="B254" s="10" t="n"/>
      <c r="C254" s="11" t="n">
        <v>44879</v>
      </c>
      <c r="D254" s="10" t="inlineStr">
        <is>
          <t>Sell</t>
        </is>
      </c>
      <c r="E254" s="12" t="n">
        <v>-575</v>
      </c>
      <c r="F254" s="13" t="n">
        <v>394.9</v>
      </c>
      <c r="G254" s="26" t="n">
        <v>-227067.5</v>
      </c>
      <c r="H254" s="14" t="inlineStr">
        <is>
          <t>Portfolio_2022.xlsx / 14Nov22: Sell 575@394.9 = 227068</t>
        </is>
      </c>
      <c r="I254" s="10" t="n"/>
      <c r="J254" s="10" t="n"/>
      <c r="K254" s="10" t="n"/>
    </row>
    <row r="255">
      <c r="A255" s="37" t="n"/>
      <c r="B255" s="37" t="n"/>
      <c r="C255" s="38" t="n">
        <v>44886</v>
      </c>
      <c r="D255" s="37" t="inlineStr">
        <is>
          <t>Sell</t>
        </is>
      </c>
      <c r="E255" s="39" t="n">
        <v>-575</v>
      </c>
      <c r="F255" s="40" t="n">
        <v>371.77</v>
      </c>
      <c r="G255" s="30" t="n">
        <v>-213767.75</v>
      </c>
      <c r="H255" s="41" t="inlineStr">
        <is>
          <t>Portfolio_2022.xlsx / 21Nov22: Sell 575@371.77 = 213767.8</t>
        </is>
      </c>
      <c r="I255" s="37" t="n"/>
      <c r="J255" s="37" t="n"/>
      <c r="K255" s="37" t="n"/>
    </row>
    <row r="256">
      <c r="A256" s="77" t="n"/>
      <c r="B256" s="77" t="n"/>
      <c r="C256" s="78" t="n"/>
      <c r="D256" s="77" t="n"/>
      <c r="E256" s="81">
        <f>SUM(E248:E255)</f>
        <v/>
      </c>
      <c r="F256" s="76" t="n"/>
      <c r="G256" s="76" t="n"/>
      <c r="H256" s="80" t="n"/>
      <c r="I256" s="77" t="n"/>
      <c r="J256" s="77" t="n"/>
      <c r="K256" s="77" t="n"/>
    </row>
    <row r="257">
      <c r="A257" s="64" t="n">
        <v>41</v>
      </c>
      <c r="B257" s="64" t="inlineStr">
        <is>
          <t>MOSL</t>
        </is>
      </c>
      <c r="C257" s="65" t="n">
        <v>43336</v>
      </c>
      <c r="D257" s="64" t="inlineStr">
        <is>
          <t>Buy</t>
        </is>
      </c>
      <c r="E257" s="66" t="n">
        <v>545</v>
      </c>
      <c r="F257" s="67" t="n">
        <v>848.5</v>
      </c>
      <c r="G257" s="67" t="n">
        <v>462432.5</v>
      </c>
      <c r="H257" s="68" t="inlineStr">
        <is>
          <t>Original transaction workbook</t>
        </is>
      </c>
      <c r="I257" s="64" t="inlineStr">
        <is>
          <t>L</t>
        </is>
      </c>
      <c r="J257" s="64" t="n"/>
      <c r="K257" s="64" t="n"/>
    </row>
    <row r="258">
      <c r="A258" s="10" t="n"/>
      <c r="B258" s="10" t="n"/>
      <c r="C258" s="11" t="n">
        <v>43760</v>
      </c>
      <c r="D258" s="10" t="inlineStr">
        <is>
          <t>Sell</t>
        </is>
      </c>
      <c r="E258" s="12" t="n">
        <v>-226</v>
      </c>
      <c r="F258" s="13" t="n">
        <v>622.6</v>
      </c>
      <c r="G258" s="26" t="n">
        <v>-140707.6</v>
      </c>
      <c r="H258" s="14" t="inlineStr">
        <is>
          <t>Original transaction workbook</t>
        </is>
      </c>
      <c r="I258" s="10" t="n"/>
      <c r="J258" s="10" t="n"/>
      <c r="K258" s="10" t="n"/>
    </row>
    <row r="259">
      <c r="A259" s="37" t="n"/>
      <c r="B259" s="37" t="n"/>
      <c r="C259" s="38" t="n">
        <v>44407</v>
      </c>
      <c r="D259" s="37" t="inlineStr">
        <is>
          <t>Sell</t>
        </is>
      </c>
      <c r="E259" s="39" t="n">
        <v>-319</v>
      </c>
      <c r="F259" s="40" t="n">
        <v>987</v>
      </c>
      <c r="G259" s="30" t="n">
        <v>-314853</v>
      </c>
      <c r="H259" s="41" t="inlineStr">
        <is>
          <t>Portfolio_2021.xlsx / 30Jul21: Sell 319*987 = 314853</t>
        </is>
      </c>
      <c r="I259" s="37" t="n"/>
      <c r="J259" s="37" t="n"/>
      <c r="K259" s="37" t="n"/>
    </row>
    <row r="260">
      <c r="A260" s="77" t="n"/>
      <c r="B260" s="77" t="n"/>
      <c r="C260" s="78" t="n"/>
      <c r="D260" s="77" t="n"/>
      <c r="E260" s="79">
        <f>SUM(E257:E259)</f>
        <v/>
      </c>
      <c r="F260" s="76" t="n"/>
      <c r="G260" s="76" t="n"/>
      <c r="H260" s="80" t="n"/>
      <c r="I260" s="77" t="n"/>
      <c r="J260" s="77" t="n"/>
      <c r="K260" s="77" t="n"/>
    </row>
    <row r="261">
      <c r="A261" s="64" t="n">
        <v>42</v>
      </c>
      <c r="B261" s="64" t="inlineStr">
        <is>
          <t>Insecticides</t>
        </is>
      </c>
      <c r="C261" s="65" t="n">
        <v>43431</v>
      </c>
      <c r="D261" s="64" t="inlineStr">
        <is>
          <t>Buy</t>
        </is>
      </c>
      <c r="E261" s="66" t="n">
        <v>460</v>
      </c>
      <c r="F261" s="67" t="n">
        <v>532.13</v>
      </c>
      <c r="G261" s="67" t="n">
        <v>244779.8</v>
      </c>
      <c r="H261" s="68" t="inlineStr">
        <is>
          <t>Original transaction workbook</t>
        </is>
      </c>
      <c r="I261" s="64" t="inlineStr">
        <is>
          <t>L</t>
        </is>
      </c>
      <c r="J261" s="64" t="n"/>
      <c r="K261" s="64" t="n"/>
    </row>
    <row r="262">
      <c r="A262" s="10" t="n"/>
      <c r="B262" s="10" t="n"/>
      <c r="C262" s="11" t="n">
        <v>43868</v>
      </c>
      <c r="D262" s="10" t="inlineStr">
        <is>
          <t>Sell</t>
        </is>
      </c>
      <c r="E262" s="12" t="n">
        <v>-147</v>
      </c>
      <c r="F262" s="13" t="n">
        <v>495.95</v>
      </c>
      <c r="G262" s="26" t="n">
        <v>-72904.64999999999</v>
      </c>
      <c r="H262" s="14" t="inlineStr">
        <is>
          <t>Portfolio_2020.xlsx / 07Feb20: Sell 147@495.95 = 72904</t>
        </is>
      </c>
      <c r="I262" s="10" t="n"/>
      <c r="J262" s="10" t="n"/>
      <c r="K262" s="10" t="n"/>
    </row>
    <row r="263">
      <c r="A263" s="10" t="n"/>
      <c r="B263" s="10" t="n"/>
      <c r="C263" s="11" t="n">
        <v>44008</v>
      </c>
      <c r="D263" s="10" t="inlineStr">
        <is>
          <t>Sell</t>
        </is>
      </c>
      <c r="E263" s="12" t="n">
        <v>-313</v>
      </c>
      <c r="F263" s="13" t="n">
        <v>460.4</v>
      </c>
      <c r="G263" s="26" t="n">
        <v>-144105.2</v>
      </c>
      <c r="H263" s="14" t="inlineStr">
        <is>
          <t>Portfolio_2020.xlsx / 26Jun20: Sell 313@460.4 = 144105</t>
        </is>
      </c>
      <c r="I263" s="10" t="n"/>
      <c r="J263" s="10" t="n"/>
      <c r="K263" s="10" t="n"/>
    </row>
    <row r="264">
      <c r="A264" s="77" t="n"/>
      <c r="B264" s="77" t="n"/>
      <c r="C264" s="78" t="n"/>
      <c r="D264" s="77" t="n"/>
      <c r="E264" s="79">
        <f>SUM(E261:E263)</f>
        <v/>
      </c>
      <c r="F264" s="76" t="n"/>
      <c r="G264" s="76" t="n"/>
      <c r="H264" s="80" t="n"/>
      <c r="I264" s="77" t="n"/>
      <c r="J264" s="77" t="n"/>
      <c r="K264" s="77" t="n"/>
    </row>
    <row r="265">
      <c r="A265" s="64" t="n">
        <v>43</v>
      </c>
      <c r="B265" s="64" t="inlineStr">
        <is>
          <t>RKForge</t>
        </is>
      </c>
      <c r="C265" s="65" t="n">
        <v>43441</v>
      </c>
      <c r="D265" s="64" t="inlineStr">
        <is>
          <t>Buy</t>
        </is>
      </c>
      <c r="E265" s="66" t="n">
        <v>425</v>
      </c>
      <c r="F265" s="67" t="n">
        <v>529.41</v>
      </c>
      <c r="G265" s="67" t="n">
        <v>224999.25</v>
      </c>
      <c r="H265" s="68" t="inlineStr">
        <is>
          <t>Original transaction workbook</t>
        </is>
      </c>
      <c r="I265" s="64" t="inlineStr">
        <is>
          <t>L</t>
        </is>
      </c>
      <c r="J265" s="64" t="n"/>
      <c r="K265" s="64" t="n"/>
    </row>
    <row r="266">
      <c r="A266" s="5" t="n"/>
      <c r="B266" s="5" t="n"/>
      <c r="C266" s="6" t="n">
        <v>43508</v>
      </c>
      <c r="D266" s="5" t="inlineStr">
        <is>
          <t>Buy</t>
        </is>
      </c>
      <c r="E266" s="7" t="n">
        <v>85</v>
      </c>
      <c r="F266" s="8" t="n">
        <v>461.65</v>
      </c>
      <c r="G266" s="25" t="n">
        <v>39240.25</v>
      </c>
      <c r="H266" s="9" t="inlineStr">
        <is>
          <t>Original transaction workbook</t>
        </is>
      </c>
      <c r="I266" s="5" t="n"/>
      <c r="J266" s="5" t="n"/>
      <c r="K266" s="5" t="n"/>
    </row>
    <row r="267">
      <c r="A267" s="10" t="n"/>
      <c r="B267" s="10" t="n"/>
      <c r="C267" s="11" t="n">
        <v>43662</v>
      </c>
      <c r="D267" s="10" t="inlineStr">
        <is>
          <t>Sell</t>
        </is>
      </c>
      <c r="E267" s="15" t="n">
        <v>-130</v>
      </c>
      <c r="F267" s="13" t="n">
        <v>478</v>
      </c>
      <c r="G267" s="26" t="n">
        <v>-62140</v>
      </c>
      <c r="H267" s="14" t="inlineStr">
        <is>
          <t>Original transaction workbook</t>
        </is>
      </c>
      <c r="I267" s="10" t="n"/>
      <c r="J267" s="10" t="n"/>
      <c r="K267" s="10" t="n"/>
    </row>
    <row r="268">
      <c r="A268" s="10" t="n"/>
      <c r="B268" s="10" t="n"/>
      <c r="C268" s="11" t="n">
        <v>43826</v>
      </c>
      <c r="D268" s="10" t="inlineStr">
        <is>
          <t>Sell</t>
        </is>
      </c>
      <c r="E268" s="12" t="n">
        <v>-190</v>
      </c>
      <c r="F268" s="13" t="n">
        <v>349.5</v>
      </c>
      <c r="G268" s="26" t="n">
        <v>-66405</v>
      </c>
      <c r="H268" s="14" t="inlineStr">
        <is>
          <t>Original transaction workbook</t>
        </is>
      </c>
      <c r="I268" s="10" t="n"/>
      <c r="J268" s="10" t="n"/>
      <c r="K268" s="10" t="n"/>
    </row>
    <row r="269">
      <c r="A269" s="10" t="n"/>
      <c r="B269" s="10" t="n"/>
      <c r="C269" s="11" t="n">
        <v>43832</v>
      </c>
      <c r="D269" s="10" t="inlineStr">
        <is>
          <t>Sell</t>
        </is>
      </c>
      <c r="E269" s="12" t="n">
        <v>-190</v>
      </c>
      <c r="F269" s="13" t="n">
        <v>389.55</v>
      </c>
      <c r="G269" s="26" t="n">
        <v>-74014.5</v>
      </c>
      <c r="H269" s="14" t="inlineStr">
        <is>
          <t>Portfolio_2020.xlsx / 02Jan20: Sell 190@389.55 = 74014.5</t>
        </is>
      </c>
      <c r="I269" s="10" t="n"/>
      <c r="J269" s="10" t="n"/>
      <c r="K269" s="10" t="n"/>
    </row>
    <row r="270">
      <c r="A270" s="77" t="n"/>
      <c r="B270" s="77" t="n"/>
      <c r="C270" s="78" t="n"/>
      <c r="D270" s="77" t="n"/>
      <c r="E270" s="79">
        <f>SUM(E265:E269)</f>
        <v/>
      </c>
      <c r="F270" s="76" t="n"/>
      <c r="G270" s="76" t="n"/>
      <c r="H270" s="80" t="n"/>
      <c r="I270" s="77" t="n"/>
      <c r="J270" s="77" t="n"/>
      <c r="K270" s="77" t="n"/>
    </row>
    <row r="271">
      <c r="A271" s="64" t="n">
        <v>44</v>
      </c>
      <c r="B271" s="64" t="inlineStr">
        <is>
          <t>BalrampurChini</t>
        </is>
      </c>
      <c r="C271" s="65" t="n">
        <v>43502</v>
      </c>
      <c r="D271" s="64" t="inlineStr">
        <is>
          <t>Buy</t>
        </is>
      </c>
      <c r="E271" s="66" t="n">
        <v>1345</v>
      </c>
      <c r="F271" s="67" t="n">
        <v>107.05</v>
      </c>
      <c r="G271" s="67" t="n">
        <v>143982.25</v>
      </c>
      <c r="H271" s="68" t="inlineStr">
        <is>
          <t>Original transaction workbook</t>
        </is>
      </c>
      <c r="I271" s="64" t="inlineStr">
        <is>
          <t>P</t>
        </is>
      </c>
      <c r="J271" s="64" t="n"/>
      <c r="K271" s="64" t="n"/>
    </row>
    <row r="272">
      <c r="A272" s="37" t="n"/>
      <c r="B272" s="37" t="n"/>
      <c r="C272" s="38" t="n">
        <v>43599</v>
      </c>
      <c r="D272" s="37" t="inlineStr">
        <is>
          <t>Buy</t>
        </is>
      </c>
      <c r="E272" s="39" t="n">
        <v>670</v>
      </c>
      <c r="F272" s="40" t="n">
        <v>138.67</v>
      </c>
      <c r="G272" s="30" t="n">
        <v>92908.89999999999</v>
      </c>
      <c r="H272" s="41" t="inlineStr">
        <is>
          <t>Original transaction workbook</t>
        </is>
      </c>
      <c r="I272" s="37" t="n"/>
      <c r="J272" s="37" t="n"/>
      <c r="K272" s="37" t="n"/>
    </row>
    <row r="273">
      <c r="A273" s="5" t="n"/>
      <c r="B273" s="5" t="n"/>
      <c r="C273" s="6" t="n">
        <v>43803</v>
      </c>
      <c r="D273" s="5" t="inlineStr">
        <is>
          <t>Sell</t>
        </is>
      </c>
      <c r="E273" s="7" t="n">
        <v>-403</v>
      </c>
      <c r="F273" s="8" t="n">
        <v>160</v>
      </c>
      <c r="G273" s="25" t="n">
        <v>-64480</v>
      </c>
      <c r="H273" s="9" t="inlineStr">
        <is>
          <t>Original transaction workbook</t>
        </is>
      </c>
      <c r="I273" s="5" t="n"/>
      <c r="J273" s="5" t="n"/>
      <c r="K273" s="5" t="n"/>
    </row>
    <row r="274">
      <c r="A274" s="10" t="n"/>
      <c r="B274" s="10" t="n"/>
      <c r="C274" s="11" t="n">
        <v>43832</v>
      </c>
      <c r="D274" s="10" t="inlineStr">
        <is>
          <t>Sell</t>
        </is>
      </c>
      <c r="E274" s="12" t="n">
        <v>-403</v>
      </c>
      <c r="F274" s="13" t="n">
        <v>187.05</v>
      </c>
      <c r="G274" s="26" t="n">
        <v>-75381.15000000001</v>
      </c>
      <c r="H274" s="14" t="inlineStr">
        <is>
          <t>Portfolio_2020.xlsx / 02Jan20: Sell 403@187.05 = 75381.15</t>
        </is>
      </c>
      <c r="I274" s="10" t="n"/>
      <c r="J274" s="10" t="n"/>
      <c r="K274" s="10" t="n"/>
    </row>
    <row r="275">
      <c r="A275" s="37" t="n"/>
      <c r="B275" s="37" t="n"/>
      <c r="C275" s="38" t="n">
        <v>43943</v>
      </c>
      <c r="D275" s="37" t="inlineStr">
        <is>
          <t>Buy</t>
        </is>
      </c>
      <c r="E275" s="39" t="n">
        <v>806</v>
      </c>
      <c r="F275" s="40" t="n">
        <v>99.40000000000001</v>
      </c>
      <c r="G275" s="30" t="n">
        <v>80116.40000000001</v>
      </c>
      <c r="H275" s="41" t="inlineStr">
        <is>
          <t>Portfolio_2020.xlsx / 22Apr20: Buy 806@99.4 = 80116</t>
        </is>
      </c>
      <c r="I275" s="37" t="n"/>
      <c r="J275" s="37" t="n"/>
      <c r="K275" s="37" t="n"/>
    </row>
    <row r="276">
      <c r="A276" s="37" t="n"/>
      <c r="B276" s="37" t="n"/>
      <c r="C276" s="38" t="n">
        <v>44146</v>
      </c>
      <c r="D276" s="37" t="inlineStr">
        <is>
          <t>Sell</t>
        </is>
      </c>
      <c r="E276" s="39" t="n">
        <v>-2015</v>
      </c>
      <c r="F276" s="40" t="n">
        <v>149</v>
      </c>
      <c r="G276" s="30" t="n">
        <v>-300235</v>
      </c>
      <c r="H276" s="41" t="inlineStr">
        <is>
          <t>Portfolio_2020.xlsx / 11Nov20: Sell 2015@149 = 300235</t>
        </is>
      </c>
      <c r="I276" s="37" t="n"/>
      <c r="J276" s="37" t="n"/>
      <c r="K276" s="37" t="n"/>
    </row>
    <row r="277">
      <c r="A277" s="77" t="n"/>
      <c r="B277" s="77" t="n"/>
      <c r="C277" s="78" t="n"/>
      <c r="D277" s="77" t="n"/>
      <c r="E277" s="79">
        <f>SUM(E271:E276)</f>
        <v/>
      </c>
      <c r="F277" s="76" t="n"/>
      <c r="G277" s="76" t="n"/>
      <c r="H277" s="80" t="n"/>
      <c r="I277" s="77" t="n"/>
      <c r="J277" s="77" t="n"/>
      <c r="K277" s="77" t="n"/>
    </row>
    <row r="278">
      <c r="A278" s="64" t="n">
        <v>45</v>
      </c>
      <c r="B278" s="64" t="inlineStr">
        <is>
          <t>PrajInds</t>
        </is>
      </c>
      <c r="C278" s="65" t="n">
        <v>43502</v>
      </c>
      <c r="D278" s="64" t="inlineStr">
        <is>
          <t>Buy</t>
        </is>
      </c>
      <c r="E278" s="66" t="n">
        <v>1050</v>
      </c>
      <c r="F278" s="67" t="n">
        <v>139.75</v>
      </c>
      <c r="G278" s="67" t="n">
        <v>146737.5</v>
      </c>
      <c r="H278" s="68" t="inlineStr">
        <is>
          <t>Original transaction workbook</t>
        </is>
      </c>
      <c r="I278" s="64" t="inlineStr">
        <is>
          <t>L</t>
        </is>
      </c>
      <c r="J278" s="64" t="n"/>
      <c r="K278" s="64" t="n"/>
    </row>
    <row r="279">
      <c r="A279" s="10" t="n"/>
      <c r="B279" s="10" t="n"/>
      <c r="C279" s="11" t="n">
        <v>43599</v>
      </c>
      <c r="D279" s="10" t="inlineStr">
        <is>
          <t>Buy</t>
        </is>
      </c>
      <c r="E279" s="12" t="n">
        <v>525</v>
      </c>
      <c r="F279" s="13" t="n">
        <v>118.6</v>
      </c>
      <c r="G279" s="26" t="n">
        <v>62265</v>
      </c>
      <c r="H279" s="14" t="inlineStr">
        <is>
          <t>Original transaction workbook</t>
        </is>
      </c>
      <c r="I279" s="10" t="n"/>
      <c r="J279" s="10" t="n"/>
      <c r="K279" s="10" t="n"/>
    </row>
    <row r="280">
      <c r="A280" s="37" t="n"/>
      <c r="B280" s="37" t="n"/>
      <c r="C280" s="38" t="n">
        <v>44050</v>
      </c>
      <c r="D280" s="37" t="inlineStr">
        <is>
          <t>Sell</t>
        </is>
      </c>
      <c r="E280" s="39" t="n">
        <v>-1575</v>
      </c>
      <c r="F280" s="40" t="n">
        <v>59.73</v>
      </c>
      <c r="G280" s="30" t="n">
        <v>-94074.75</v>
      </c>
      <c r="H280" s="41" t="inlineStr">
        <is>
          <t>Portfolio_2020.xlsx / 07Aug20: Sell 1575@59.73 = 94074.75</t>
        </is>
      </c>
      <c r="I280" s="37" t="n"/>
      <c r="J280" s="37" t="n"/>
      <c r="K280" s="37" t="n"/>
    </row>
    <row r="281">
      <c r="A281" s="77" t="n"/>
      <c r="B281" s="77" t="n"/>
      <c r="C281" s="78" t="n"/>
      <c r="D281" s="77" t="n"/>
      <c r="E281" s="79">
        <f>SUM(E278:E280)</f>
        <v/>
      </c>
      <c r="F281" s="76" t="n"/>
      <c r="G281" s="76" t="n"/>
      <c r="H281" s="80" t="n"/>
      <c r="I281" s="77" t="n"/>
      <c r="J281" s="77" t="n"/>
      <c r="K281" s="77" t="n"/>
    </row>
    <row r="282">
      <c r="A282" s="64" t="n">
        <v>46</v>
      </c>
      <c r="B282" s="64" t="inlineStr">
        <is>
          <t>FineOrganics</t>
        </is>
      </c>
      <c r="C282" s="65" t="n">
        <v>43630</v>
      </c>
      <c r="D282" s="64" t="inlineStr">
        <is>
          <t>Buy</t>
        </is>
      </c>
      <c r="E282" s="66" t="n">
        <v>180</v>
      </c>
      <c r="F282" s="67" t="n">
        <v>1462.53</v>
      </c>
      <c r="G282" s="67" t="n">
        <v>263255.4</v>
      </c>
      <c r="H282" s="68" t="inlineStr">
        <is>
          <t>Original transaction workbook</t>
        </is>
      </c>
      <c r="I282" s="64" t="inlineStr">
        <is>
          <t>P</t>
        </is>
      </c>
      <c r="J282" s="64" t="n"/>
      <c r="K282" s="64" t="n"/>
    </row>
    <row r="283">
      <c r="A283" s="10" t="n"/>
      <c r="B283" s="10" t="n"/>
      <c r="C283" s="11" t="n">
        <v>43873</v>
      </c>
      <c r="D283" s="10" t="inlineStr">
        <is>
          <t>Sell</t>
        </is>
      </c>
      <c r="E283" s="15" t="n">
        <v>-90</v>
      </c>
      <c r="F283" s="13" t="n">
        <v>2264.24</v>
      </c>
      <c r="G283" s="26" t="n">
        <v>-203781.6</v>
      </c>
      <c r="H283" s="14" t="inlineStr">
        <is>
          <t>Portfolio_2020.xlsx / 12Feb20: Sell 90@2264.24 =203781</t>
        </is>
      </c>
      <c r="I283" s="10" t="n"/>
      <c r="J283" s="10" t="n"/>
      <c r="K283" s="10" t="n"/>
    </row>
    <row r="284">
      <c r="A284" s="10" t="n"/>
      <c r="B284" s="10" t="n"/>
      <c r="C284" s="11" t="n">
        <v>43910</v>
      </c>
      <c r="D284" s="10" t="inlineStr">
        <is>
          <t>Sell</t>
        </is>
      </c>
      <c r="E284" s="12" t="n">
        <v>-90</v>
      </c>
      <c r="F284" s="13" t="n">
        <v>1818.35</v>
      </c>
      <c r="G284" s="26" t="n">
        <v>-163651.5</v>
      </c>
      <c r="H284" s="14" t="inlineStr">
        <is>
          <t>Portfolio_2020.xlsx / 20Mar20: Sell 90@1818.35 = 163652</t>
        </is>
      </c>
      <c r="I284" s="10" t="n"/>
      <c r="J284" s="10" t="n"/>
      <c r="K284" s="10" t="n"/>
    </row>
    <row r="285">
      <c r="A285" s="77" t="n"/>
      <c r="B285" s="77" t="n"/>
      <c r="C285" s="78" t="n"/>
      <c r="D285" s="77" t="n"/>
      <c r="E285" s="79">
        <f>SUM(E282:E284)</f>
        <v/>
      </c>
      <c r="F285" s="76" t="n"/>
      <c r="G285" s="76" t="n"/>
      <c r="H285" s="80" t="n"/>
      <c r="I285" s="77" t="n"/>
      <c r="J285" s="77" t="n"/>
      <c r="K285" s="77" t="n"/>
    </row>
    <row r="286">
      <c r="A286" s="64" t="n">
        <v>47</v>
      </c>
      <c r="B286" s="64" t="inlineStr">
        <is>
          <t>TIIndia</t>
        </is>
      </c>
      <c r="C286" s="65" t="n">
        <v>43641</v>
      </c>
      <c r="D286" s="64" t="inlineStr">
        <is>
          <t>Buy</t>
        </is>
      </c>
      <c r="E286" s="66" t="n">
        <v>480</v>
      </c>
      <c r="F286" s="67" t="n">
        <v>394.25</v>
      </c>
      <c r="G286" s="67" t="n">
        <v>189240</v>
      </c>
      <c r="H286" s="68" t="inlineStr">
        <is>
          <t>Original transaction workbook</t>
        </is>
      </c>
      <c r="I286" s="64" t="inlineStr">
        <is>
          <t>P</t>
        </is>
      </c>
      <c r="J286" s="64" t="n"/>
      <c r="K286" s="64" t="n"/>
    </row>
    <row r="287">
      <c r="A287" s="5" t="n"/>
      <c r="B287" s="5" t="n"/>
      <c r="C287" s="6" t="n">
        <v>43662</v>
      </c>
      <c r="D287" s="5" t="inlineStr">
        <is>
          <t>Buy</t>
        </is>
      </c>
      <c r="E287" s="7" t="n">
        <v>154</v>
      </c>
      <c r="F287" s="8" t="n">
        <v>407.3</v>
      </c>
      <c r="G287" s="25" t="n">
        <v>62724.2</v>
      </c>
      <c r="H287" s="9" t="inlineStr">
        <is>
          <t>Original transaction workbook</t>
        </is>
      </c>
      <c r="I287" s="5" t="n"/>
      <c r="J287" s="5" t="n"/>
      <c r="K287" s="5" t="n"/>
    </row>
    <row r="288">
      <c r="A288" s="10" t="n"/>
      <c r="B288" s="10" t="n"/>
      <c r="C288" s="11" t="n">
        <v>43787</v>
      </c>
      <c r="D288" s="10" t="inlineStr">
        <is>
          <t>Buy</t>
        </is>
      </c>
      <c r="E288" s="12" t="n">
        <v>159</v>
      </c>
      <c r="F288" s="13" t="n">
        <v>450</v>
      </c>
      <c r="G288" s="26" t="n">
        <v>71550</v>
      </c>
      <c r="H288" s="14" t="inlineStr">
        <is>
          <t>Original transaction workbook</t>
        </is>
      </c>
      <c r="I288" s="10" t="n"/>
      <c r="J288" s="10" t="n"/>
      <c r="K288" s="10" t="n"/>
    </row>
    <row r="289">
      <c r="A289" s="10" t="n"/>
      <c r="B289" s="10" t="n"/>
      <c r="C289" s="11" t="n">
        <v>44130</v>
      </c>
      <c r="D289" s="10" t="inlineStr">
        <is>
          <t>Buy</t>
        </is>
      </c>
      <c r="E289" s="12" t="n">
        <v>192</v>
      </c>
      <c r="F289" s="13" t="n">
        <v>624.15</v>
      </c>
      <c r="G289" s="26" t="n">
        <v>119836.8</v>
      </c>
      <c r="H289" s="14" t="inlineStr">
        <is>
          <t>Portfolio_2020.xlsx / 26Oct20: Add 192 @624.15 = 119837</t>
        </is>
      </c>
      <c r="I289" s="10" t="n"/>
      <c r="J289" s="10" t="n"/>
      <c r="K289" s="10" t="n"/>
    </row>
    <row r="290">
      <c r="A290" s="10" t="n"/>
      <c r="B290" s="10" t="n"/>
      <c r="C290" s="11" t="n">
        <v>45062</v>
      </c>
      <c r="D290" s="10" t="inlineStr">
        <is>
          <t>Sell</t>
        </is>
      </c>
      <c r="E290" s="15" t="n">
        <v>-246</v>
      </c>
      <c r="F290" s="13" t="n">
        <v>2708</v>
      </c>
      <c r="G290" s="26" t="n">
        <v>-666168</v>
      </c>
      <c r="H290" s="14" t="inlineStr">
        <is>
          <t>Portfolio_2023.xlsx / 16May23: Sell 246@2708 = 666168</t>
        </is>
      </c>
      <c r="I290" s="10" t="n"/>
      <c r="J290" s="10" t="n"/>
      <c r="K290" s="10" t="n"/>
    </row>
    <row r="291">
      <c r="A291" s="37" t="n"/>
      <c r="B291" s="37" t="n"/>
      <c r="C291" s="38" t="n">
        <v>45239</v>
      </c>
      <c r="D291" s="37" t="inlineStr">
        <is>
          <t>Sell</t>
        </is>
      </c>
      <c r="E291" s="39" t="n">
        <v>-74</v>
      </c>
      <c r="F291" s="40" t="n">
        <v>3247.12</v>
      </c>
      <c r="G291" s="30" t="n">
        <v>-240286.88</v>
      </c>
      <c r="H291" s="41" t="inlineStr">
        <is>
          <t>Portfolio_2023.xlsx / 09Nov23: Sell 74@3247.12 = 240287</t>
        </is>
      </c>
      <c r="I291" s="37" t="n"/>
      <c r="J291" s="37" t="n"/>
      <c r="K291" s="37" t="n"/>
    </row>
    <row r="292">
      <c r="A292" s="5" t="n"/>
      <c r="B292" s="5" t="n"/>
      <c r="C292" s="6" t="n">
        <v>45253</v>
      </c>
      <c r="D292" s="5" t="inlineStr">
        <is>
          <t>Sell</t>
        </is>
      </c>
      <c r="E292" s="7" t="n">
        <v>-85</v>
      </c>
      <c r="F292" s="8" t="n">
        <v>3470.7</v>
      </c>
      <c r="G292" s="25" t="n">
        <v>-295009.5</v>
      </c>
      <c r="H292" s="9" t="inlineStr">
        <is>
          <t>Portfolio_2023.xlsx / 23Nov23: Sell 85@3470.7 = 295009</t>
        </is>
      </c>
      <c r="I292" s="5" t="n"/>
      <c r="J292" s="5" t="n"/>
      <c r="K292" s="5" t="n"/>
    </row>
    <row r="293">
      <c r="A293" s="10" t="n"/>
      <c r="B293" s="10" t="n"/>
      <c r="C293" s="11" t="n">
        <v>45301</v>
      </c>
      <c r="D293" s="10" t="inlineStr">
        <is>
          <t>Sell</t>
        </is>
      </c>
      <c r="E293" s="12" t="n">
        <v>-96</v>
      </c>
      <c r="F293" s="13" t="n">
        <v>3918.34</v>
      </c>
      <c r="G293" s="26" t="n">
        <v>-376160.64</v>
      </c>
      <c r="H293" s="14" t="inlineStr">
        <is>
          <t>Portfolio_2024.xlsx / 10Jan24: Sell 96@3918.34 = 376160</t>
        </is>
      </c>
      <c r="I293" s="10" t="n"/>
      <c r="J293" s="10" t="n"/>
      <c r="K293" s="10" t="n"/>
    </row>
    <row r="294">
      <c r="A294" s="5" t="n"/>
      <c r="B294" s="5" t="n"/>
      <c r="C294" s="6" t="n">
        <v>45670</v>
      </c>
      <c r="D294" s="5" t="inlineStr">
        <is>
          <t>Sell</t>
        </is>
      </c>
      <c r="E294" s="7" t="n">
        <v>-131</v>
      </c>
      <c r="F294" s="8" t="n">
        <v>3239.03</v>
      </c>
      <c r="G294" s="25" t="n">
        <v>-424312.9300000001</v>
      </c>
      <c r="H294" s="9" t="inlineStr">
        <is>
          <t>Portfolio_2025.xlsx / 13Jan25: Sell 131@3239.03 = 424313</t>
        </is>
      </c>
      <c r="I294" s="5" t="n"/>
      <c r="J294" s="5" t="n"/>
      <c r="K294" s="5" t="n"/>
    </row>
    <row r="295">
      <c r="A295" s="10" t="n"/>
      <c r="B295" s="10" t="n"/>
      <c r="C295" s="11" t="n">
        <v>45776</v>
      </c>
      <c r="D295" s="10" t="inlineStr">
        <is>
          <t>Sell</t>
        </is>
      </c>
      <c r="E295" s="12" t="n">
        <v>-353</v>
      </c>
      <c r="F295" s="13" t="n">
        <v>2780.36</v>
      </c>
      <c r="G295" s="26" t="n">
        <v>-981467.0800000001</v>
      </c>
      <c r="H295" s="14" t="inlineStr">
        <is>
          <t>Portfolio_2025.xlsx / 29Apr25: Sell 353@2780.36 = 981467</t>
        </is>
      </c>
      <c r="I295" s="10" t="n"/>
      <c r="J295" s="10" t="n"/>
      <c r="K295" s="10" t="n"/>
    </row>
    <row r="296">
      <c r="A296" s="77" t="n"/>
      <c r="B296" s="77" t="n"/>
      <c r="C296" s="78" t="n"/>
      <c r="D296" s="77" t="n"/>
      <c r="E296" s="79">
        <f>SUM(E286:E295)</f>
        <v/>
      </c>
      <c r="F296" s="76" t="n"/>
      <c r="G296" s="76" t="n"/>
      <c r="H296" s="80" t="n"/>
      <c r="I296" s="77" t="n"/>
      <c r="J296" s="77" t="n"/>
      <c r="K296" s="77" t="n"/>
    </row>
    <row r="297">
      <c r="A297" s="64" t="n">
        <v>48</v>
      </c>
      <c r="B297" s="64" t="inlineStr">
        <is>
          <t>Tanla</t>
        </is>
      </c>
      <c r="C297" s="65" t="n">
        <v>43787</v>
      </c>
      <c r="D297" s="64" t="inlineStr">
        <is>
          <t>Buy</t>
        </is>
      </c>
      <c r="E297" s="69" t="n">
        <v>1000</v>
      </c>
      <c r="F297" s="67" t="n">
        <v>65</v>
      </c>
      <c r="G297" s="67" t="n">
        <v>65000</v>
      </c>
      <c r="H297" s="68" t="inlineStr">
        <is>
          <t>Original transaction workbook</t>
        </is>
      </c>
      <c r="I297" s="64" t="inlineStr">
        <is>
          <t>P</t>
        </is>
      </c>
      <c r="J297" s="64" t="n"/>
      <c r="K297" s="64" t="n"/>
    </row>
    <row r="298">
      <c r="A298" s="37" t="n"/>
      <c r="B298" s="37" t="n"/>
      <c r="C298" s="38" t="n">
        <v>43803</v>
      </c>
      <c r="D298" s="37" t="inlineStr">
        <is>
          <t>Buy</t>
        </is>
      </c>
      <c r="E298" s="39" t="n">
        <v>1150</v>
      </c>
      <c r="F298" s="40" t="n">
        <v>65.15000000000001</v>
      </c>
      <c r="G298" s="30" t="n">
        <v>74922.5</v>
      </c>
      <c r="H298" s="41" t="inlineStr">
        <is>
          <t>Original transaction workbook</t>
        </is>
      </c>
      <c r="I298" s="37" t="n"/>
      <c r="J298" s="37" t="n"/>
      <c r="K298" s="37" t="n"/>
    </row>
    <row r="299">
      <c r="A299" s="5" t="n"/>
      <c r="B299" s="5" t="n"/>
      <c r="C299" s="6" t="n">
        <v>43826</v>
      </c>
      <c r="D299" s="5" t="inlineStr">
        <is>
          <t>Buy</t>
        </is>
      </c>
      <c r="E299" s="7" t="n">
        <v>450</v>
      </c>
      <c r="F299" s="8" t="n">
        <v>67.8</v>
      </c>
      <c r="G299" s="25" t="n">
        <v>30510</v>
      </c>
      <c r="H299" s="9" t="inlineStr">
        <is>
          <t>Original transaction workbook</t>
        </is>
      </c>
      <c r="I299" s="5" t="n"/>
      <c r="J299" s="5" t="n"/>
      <c r="K299" s="5" t="n"/>
    </row>
    <row r="300">
      <c r="A300" s="10" t="n"/>
      <c r="B300" s="10" t="n"/>
      <c r="C300" s="11" t="n">
        <v>43832</v>
      </c>
      <c r="D300" s="10" t="inlineStr">
        <is>
          <t>Buy</t>
        </is>
      </c>
      <c r="E300" s="15" t="n">
        <v>500</v>
      </c>
      <c r="F300" s="13" t="n">
        <v>70.09999999999999</v>
      </c>
      <c r="G300" s="26" t="n">
        <v>35050</v>
      </c>
      <c r="H300" s="14" t="inlineStr">
        <is>
          <t>Portfolio_2020.xlsx / 02Jan20: Buy 500@70.1 = 35050</t>
        </is>
      </c>
      <c r="I300" s="10" t="n"/>
      <c r="J300" s="10" t="n"/>
      <c r="K300" s="10" t="n"/>
    </row>
    <row r="301">
      <c r="A301" s="10" t="n"/>
      <c r="B301" s="10" t="n"/>
      <c r="C301" s="11" t="n">
        <v>43867</v>
      </c>
      <c r="D301" s="10" t="inlineStr">
        <is>
          <t>Buy</t>
        </is>
      </c>
      <c r="E301" s="12" t="n">
        <v>1000</v>
      </c>
      <c r="F301" s="13" t="n">
        <v>80.7</v>
      </c>
      <c r="G301" s="26" t="n">
        <v>80700</v>
      </c>
      <c r="H301" s="14" t="inlineStr">
        <is>
          <t>Portfolio_2020.xlsx / 06Feb20: Buy 1000@80.7 = 80700</t>
        </is>
      </c>
      <c r="I301" s="10" t="n"/>
      <c r="J301" s="10" t="n"/>
      <c r="K301" s="10" t="n"/>
    </row>
    <row r="302">
      <c r="A302" s="5" t="n"/>
      <c r="B302" s="5" t="n"/>
      <c r="C302" s="6" t="n">
        <v>43873</v>
      </c>
      <c r="D302" s="5" t="inlineStr">
        <is>
          <t>Buy</t>
        </is>
      </c>
      <c r="E302" s="7" t="n">
        <v>900</v>
      </c>
      <c r="F302" s="8" t="n">
        <v>77.78</v>
      </c>
      <c r="G302" s="25" t="n">
        <v>70002</v>
      </c>
      <c r="H302" s="9" t="inlineStr">
        <is>
          <t>Portfolio_2020.xlsx / 12Feb20: Buy 900@77.78 = 70002</t>
        </is>
      </c>
      <c r="I302" s="5" t="n"/>
      <c r="J302" s="5" t="n"/>
      <c r="K302" s="5" t="n"/>
    </row>
    <row r="303">
      <c r="A303" s="10" t="n"/>
      <c r="B303" s="10" t="n"/>
      <c r="C303" s="11" t="n">
        <v>43910</v>
      </c>
      <c r="D303" s="10" t="inlineStr">
        <is>
          <t>Buy</t>
        </is>
      </c>
      <c r="E303" s="12" t="n">
        <v>900</v>
      </c>
      <c r="F303" s="13" t="n">
        <v>38.28</v>
      </c>
      <c r="G303" s="26" t="n">
        <v>34452</v>
      </c>
      <c r="H303" s="14" t="inlineStr">
        <is>
          <t>Portfolio_2020.xlsx / 20Mar20: Buy 900@38.28 = 34452</t>
        </is>
      </c>
      <c r="I303" s="10" t="n"/>
      <c r="J303" s="10" t="n"/>
      <c r="K303" s="10" t="n"/>
    </row>
    <row r="304">
      <c r="A304" s="10" t="n"/>
      <c r="B304" s="10" t="n"/>
      <c r="C304" s="11" t="n">
        <v>44008</v>
      </c>
      <c r="D304" s="10" t="inlineStr">
        <is>
          <t>Buy</t>
        </is>
      </c>
      <c r="E304" s="12" t="n">
        <v>500</v>
      </c>
      <c r="F304" s="13" t="n">
        <v>70.45</v>
      </c>
      <c r="G304" s="26" t="n">
        <v>35225</v>
      </c>
      <c r="H304" s="14" t="inlineStr">
        <is>
          <t>Portfolio_2020.xlsx / 26Jun20: Buy 500@70.45 = 35225</t>
        </is>
      </c>
      <c r="I304" s="10" t="n"/>
      <c r="J304" s="10" t="n"/>
      <c r="K304" s="10" t="n"/>
    </row>
    <row r="305">
      <c r="A305" s="37" t="n"/>
      <c r="B305" s="37" t="n"/>
      <c r="C305" s="38" t="n">
        <v>44077</v>
      </c>
      <c r="D305" s="37" t="inlineStr">
        <is>
          <t>Buy</t>
        </is>
      </c>
      <c r="E305" s="42" t="n">
        <v>160</v>
      </c>
      <c r="F305" s="40" t="n">
        <v>201</v>
      </c>
      <c r="G305" s="30" t="n">
        <v>32160</v>
      </c>
      <c r="H305" s="41" t="inlineStr">
        <is>
          <t>Portfolio_2020.xlsx / 03Sep20: Add 160@201 = 32160</t>
        </is>
      </c>
      <c r="I305" s="37" t="n"/>
      <c r="J305" s="37" t="n"/>
      <c r="K305" s="37" t="n"/>
    </row>
    <row r="306">
      <c r="A306" s="5" t="n"/>
      <c r="B306" s="5" t="n"/>
      <c r="C306" s="6" t="n">
        <v>44174</v>
      </c>
      <c r="D306" s="5" t="inlineStr">
        <is>
          <t>Sell</t>
        </is>
      </c>
      <c r="E306" s="7" t="n">
        <v>-656</v>
      </c>
      <c r="F306" s="8" t="n">
        <v>854.5</v>
      </c>
      <c r="G306" s="25" t="n">
        <v>-560552</v>
      </c>
      <c r="H306" s="9" t="inlineStr">
        <is>
          <t>Portfolio_2020.xlsx / 09Dec20: Sell 656@854.5 = 560552</t>
        </is>
      </c>
      <c r="I306" s="5" t="n"/>
      <c r="J306" s="5" t="n"/>
      <c r="K306" s="5" t="n"/>
    </row>
    <row r="307">
      <c r="A307" s="37" t="n"/>
      <c r="B307" s="37" t="n"/>
      <c r="C307" s="38" t="n">
        <v>44273</v>
      </c>
      <c r="D307" s="37" t="inlineStr">
        <is>
          <t>Sell</t>
        </is>
      </c>
      <c r="E307" s="39" t="n">
        <v>-590</v>
      </c>
      <c r="F307" s="40" t="n">
        <v>895</v>
      </c>
      <c r="G307" s="30" t="n">
        <v>-528050</v>
      </c>
      <c r="H307" s="41" t="inlineStr">
        <is>
          <t>Portfolio_2021.xlsx / 18Mar21: Sell 590@895 = 528050</t>
        </is>
      </c>
      <c r="I307" s="37" t="n"/>
      <c r="J307" s="37" t="n"/>
      <c r="K307" s="37" t="n"/>
    </row>
    <row r="308">
      <c r="A308" s="5" t="n"/>
      <c r="B308" s="5" t="n"/>
      <c r="C308" s="6" t="n">
        <v>44523</v>
      </c>
      <c r="D308" s="5" t="inlineStr">
        <is>
          <t>Sell</t>
        </is>
      </c>
      <c r="E308" s="7" t="n">
        <v>-797</v>
      </c>
      <c r="F308" s="8" t="n">
        <v>1597.2</v>
      </c>
      <c r="G308" s="25" t="n">
        <v>-1272968.4</v>
      </c>
      <c r="H308" s="9" t="inlineStr">
        <is>
          <t>Portfolio_2021.xlsx / 23Nov21: Sell 797@1597.2 = 1272968</t>
        </is>
      </c>
      <c r="I308" s="5" t="n"/>
      <c r="J308" s="5" t="n"/>
      <c r="K308" s="5" t="n"/>
    </row>
    <row r="309">
      <c r="A309" s="5" t="n"/>
      <c r="B309" s="5" t="n"/>
      <c r="C309" s="6" t="n">
        <v>44545</v>
      </c>
      <c r="D309" s="5" t="inlineStr">
        <is>
          <t>Sell</t>
        </is>
      </c>
      <c r="E309" s="7" t="n">
        <v>-452</v>
      </c>
      <c r="F309" s="8" t="n">
        <v>2002.95</v>
      </c>
      <c r="G309" s="25" t="n">
        <v>-905333.4</v>
      </c>
      <c r="H309" s="9" t="inlineStr">
        <is>
          <t>Portfolio_2021.xlsx / 15Dec21: Sell 452@2002.95 = 905333.4</t>
        </is>
      </c>
      <c r="I309" s="5" t="n"/>
      <c r="J309" s="5" t="n"/>
      <c r="K309" s="5" t="n"/>
    </row>
    <row r="310">
      <c r="A310" s="10" t="n"/>
      <c r="B310" s="10" t="n"/>
      <c r="C310" s="11" t="n">
        <v>44578</v>
      </c>
      <c r="D310" s="10" t="inlineStr">
        <is>
          <t>Sell</t>
        </is>
      </c>
      <c r="E310" s="12" t="n">
        <v>-252</v>
      </c>
      <c r="F310" s="13" t="n">
        <v>1806</v>
      </c>
      <c r="G310" s="26" t="n">
        <v>-455112</v>
      </c>
      <c r="H310" s="14" t="inlineStr">
        <is>
          <t>Portfolio_2022.xlsx / 17Jan22: Sell 252@1806 = 455112</t>
        </is>
      </c>
      <c r="I310" s="10" t="n"/>
      <c r="J310" s="10" t="n"/>
      <c r="K310" s="10" t="n"/>
    </row>
    <row r="311">
      <c r="A311" s="10" t="n"/>
      <c r="B311" s="10" t="n"/>
      <c r="C311" s="11" t="n">
        <v>44767</v>
      </c>
      <c r="D311" s="10" t="inlineStr">
        <is>
          <t>Sell</t>
        </is>
      </c>
      <c r="E311" s="12" t="n">
        <v>-3813</v>
      </c>
      <c r="F311" s="13" t="n">
        <v>657.75</v>
      </c>
      <c r="G311" s="26" t="n">
        <v>-2508000.75</v>
      </c>
      <c r="H311" s="14" t="inlineStr">
        <is>
          <t>Portfolio_2022.xlsx / 25Jul22: Sell 3813@657.75 = 2508000.75</t>
        </is>
      </c>
      <c r="I311" s="10" t="n"/>
      <c r="J311" s="10" t="n"/>
      <c r="K311" s="10" t="n"/>
    </row>
    <row r="312">
      <c r="A312" s="77" t="n"/>
      <c r="B312" s="77" t="n"/>
      <c r="C312" s="78" t="n"/>
      <c r="D312" s="77" t="n"/>
      <c r="E312" s="79">
        <f>SUM(E297:E311)</f>
        <v/>
      </c>
      <c r="F312" s="76" t="n"/>
      <c r="G312" s="76" t="n"/>
      <c r="H312" s="80" t="n"/>
      <c r="I312" s="77" t="n"/>
      <c r="J312" s="77" t="n"/>
      <c r="K312" s="77" t="n"/>
    </row>
    <row r="313">
      <c r="A313" s="64" t="n">
        <v>49</v>
      </c>
      <c r="B313" s="64" t="inlineStr">
        <is>
          <t>HIL</t>
        </is>
      </c>
      <c r="C313" s="65" t="n">
        <v>43983</v>
      </c>
      <c r="D313" s="64" t="inlineStr">
        <is>
          <t>Buy</t>
        </is>
      </c>
      <c r="E313" s="66" t="n">
        <v>130</v>
      </c>
      <c r="F313" s="67" t="n">
        <v>975.62</v>
      </c>
      <c r="G313" s="67" t="n">
        <v>126830.6</v>
      </c>
      <c r="H313" s="68" t="inlineStr">
        <is>
          <t>Portfolio_2020.xlsx / 01Jun20: Buy 130@975.62 = 126830.75</t>
        </is>
      </c>
      <c r="I313" s="64" t="n"/>
      <c r="J313" s="64" t="n"/>
      <c r="K313" s="64" t="n"/>
    </row>
    <row r="314">
      <c r="A314" s="37" t="n"/>
      <c r="B314" s="37" t="n"/>
      <c r="C314" s="38" t="n">
        <v>43984</v>
      </c>
      <c r="D314" s="37" t="inlineStr">
        <is>
          <t>Buy</t>
        </is>
      </c>
      <c r="E314" s="39" t="n">
        <v>126</v>
      </c>
      <c r="F314" s="40" t="n">
        <v>1035</v>
      </c>
      <c r="G314" s="30" t="n">
        <v>130410</v>
      </c>
      <c r="H314" s="41" t="inlineStr">
        <is>
          <t>Portfolio_2020.xlsx / 02Jun20: Buy 126@1035 = 130410</t>
        </is>
      </c>
      <c r="I314" s="37" t="n"/>
      <c r="J314" s="37" t="n"/>
      <c r="K314" s="37" t="n"/>
    </row>
    <row r="315">
      <c r="A315" s="5" t="n"/>
      <c r="B315" s="5" t="n"/>
      <c r="C315" s="6" t="n">
        <v>44008</v>
      </c>
      <c r="D315" s="5" t="inlineStr">
        <is>
          <t>Buy</t>
        </is>
      </c>
      <c r="E315" s="7" t="n">
        <v>33</v>
      </c>
      <c r="F315" s="8" t="n">
        <v>1190</v>
      </c>
      <c r="G315" s="25" t="n">
        <v>39270</v>
      </c>
      <c r="H315" s="9" t="inlineStr">
        <is>
          <t>Portfolio_2020.xlsx / 26Jun20: Buy 33@1190 = 39270</t>
        </is>
      </c>
      <c r="I315" s="5" t="n"/>
      <c r="J315" s="5" t="n"/>
      <c r="K315" s="5" t="n"/>
    </row>
    <row r="316">
      <c r="A316" s="5" t="n"/>
      <c r="B316" s="5" t="n"/>
      <c r="C316" s="6" t="n">
        <v>44050</v>
      </c>
      <c r="D316" s="5" t="inlineStr">
        <is>
          <t>Buy</t>
        </is>
      </c>
      <c r="E316" s="7" t="n">
        <v>57</v>
      </c>
      <c r="F316" s="8" t="n">
        <v>1474.5</v>
      </c>
      <c r="G316" s="25" t="n">
        <v>84046.5</v>
      </c>
      <c r="H316" s="9" t="inlineStr">
        <is>
          <t>Portfolio_2020.xlsx / 07Aug20: Add 57@1474.5 = 84046.5</t>
        </is>
      </c>
      <c r="I316" s="5" t="n"/>
      <c r="J316" s="5" t="n"/>
      <c r="K316" s="5" t="n"/>
    </row>
    <row r="317">
      <c r="A317" s="10" t="n"/>
      <c r="B317" s="10" t="n"/>
      <c r="C317" s="11" t="n">
        <v>44174</v>
      </c>
      <c r="D317" s="16" t="inlineStr">
        <is>
          <t>Buy</t>
        </is>
      </c>
      <c r="E317" s="17" t="n">
        <v>173</v>
      </c>
      <c r="F317" s="18" t="n">
        <v>2071</v>
      </c>
      <c r="G317" s="27" t="n">
        <v>358283</v>
      </c>
      <c r="H317" s="19" t="inlineStr">
        <is>
          <t>Portfolio_2020.xlsx / 09Dec20: Buy 173@2071 = 358283</t>
        </is>
      </c>
      <c r="I317" s="10" t="n"/>
      <c r="J317" s="10" t="n"/>
      <c r="K317" s="10" t="n"/>
    </row>
    <row r="318">
      <c r="A318" s="10" t="n"/>
      <c r="B318" s="10" t="n"/>
      <c r="C318" s="11" t="n">
        <v>44690</v>
      </c>
      <c r="D318" s="10" t="inlineStr">
        <is>
          <t>Buy</t>
        </is>
      </c>
      <c r="E318" s="12" t="n">
        <v>130</v>
      </c>
      <c r="F318" s="13" t="n">
        <v>3831</v>
      </c>
      <c r="G318" s="26" t="n">
        <v>498030</v>
      </c>
      <c r="H318" s="14" t="inlineStr">
        <is>
          <t>Portfolio_2022.xlsx / 09May22: Add 130@3831 = 498030</t>
        </is>
      </c>
      <c r="I318" s="10" t="n"/>
      <c r="J318" s="10" t="n"/>
      <c r="K318" s="10" t="n"/>
    </row>
    <row r="319">
      <c r="A319" s="77" t="n"/>
      <c r="B319" s="77" t="n"/>
      <c r="C319" s="78" t="n"/>
      <c r="D319" s="77" t="n"/>
      <c r="E319" s="81">
        <f>SUM(E313:E318)</f>
        <v/>
      </c>
      <c r="F319" s="76" t="n"/>
      <c r="G319" s="76" t="n"/>
      <c r="H319" s="80" t="n"/>
      <c r="I319" s="77" t="n"/>
      <c r="J319" s="77" t="n"/>
      <c r="K319" s="77" t="n"/>
    </row>
    <row r="320">
      <c r="A320" s="64" t="n">
        <v>50</v>
      </c>
      <c r="B320" s="64" t="inlineStr">
        <is>
          <t>IOLCP</t>
        </is>
      </c>
      <c r="C320" s="65" t="n">
        <v>43983</v>
      </c>
      <c r="D320" s="64" t="inlineStr">
        <is>
          <t>Buy</t>
        </is>
      </c>
      <c r="E320" s="66" t="n">
        <v>170</v>
      </c>
      <c r="F320" s="67" t="n">
        <v>385.3</v>
      </c>
      <c r="G320" s="67" t="n">
        <v>65501</v>
      </c>
      <c r="H320" s="68" t="inlineStr">
        <is>
          <t>Portfolio_2020.xlsx / 01Jun20: Buy 170@385.3 = 65501</t>
        </is>
      </c>
      <c r="I320" s="64" t="n"/>
      <c r="J320" s="64" t="n"/>
      <c r="K320" s="64" t="n"/>
    </row>
    <row r="321">
      <c r="A321" s="37" t="n"/>
      <c r="B321" s="37" t="n"/>
      <c r="C321" s="38" t="n">
        <v>43990</v>
      </c>
      <c r="D321" s="37" t="inlineStr">
        <is>
          <t>Buy</t>
        </is>
      </c>
      <c r="E321" s="39" t="n">
        <v>299</v>
      </c>
      <c r="F321" s="40" t="n">
        <v>407.15</v>
      </c>
      <c r="G321" s="30" t="n">
        <v>121737.85</v>
      </c>
      <c r="H321" s="41" t="inlineStr">
        <is>
          <t>Portfolio_2020.xlsx / 08Jun20: Buy 299@407.15 = 121738</t>
        </is>
      </c>
      <c r="I321" s="37" t="n"/>
      <c r="J321" s="37" t="n"/>
      <c r="K321" s="37" t="n"/>
    </row>
    <row r="322">
      <c r="A322" s="5" t="n"/>
      <c r="B322" s="5" t="n"/>
      <c r="C322" s="6" t="n">
        <v>44075</v>
      </c>
      <c r="D322" s="5" t="inlineStr">
        <is>
          <t>Buy</t>
        </is>
      </c>
      <c r="E322" s="7" t="n">
        <v>235</v>
      </c>
      <c r="F322" s="8" t="n">
        <v>785.27</v>
      </c>
      <c r="G322" s="25" t="n">
        <v>184538.45</v>
      </c>
      <c r="H322" s="9" t="inlineStr">
        <is>
          <t>Portfolio_2020.xlsx / 01Sep20: Add 235@785.27 = 184538</t>
        </is>
      </c>
      <c r="I322" s="5" t="n"/>
      <c r="J322" s="5" t="n"/>
      <c r="K322" s="5" t="n"/>
    </row>
    <row r="323">
      <c r="A323" s="5" t="n"/>
      <c r="B323" s="5" t="n"/>
      <c r="C323" s="6" t="n">
        <v>44174</v>
      </c>
      <c r="D323" s="5" t="inlineStr">
        <is>
          <t>Buy</t>
        </is>
      </c>
      <c r="E323" s="7" t="n">
        <v>280</v>
      </c>
      <c r="F323" s="8" t="n">
        <v>722.4</v>
      </c>
      <c r="G323" s="25" t="n">
        <v>202272</v>
      </c>
      <c r="H323" s="9" t="inlineStr">
        <is>
          <t>Portfolio_2020.xlsx / 09Dec20: Buy 280@722.4 = 202272</t>
        </is>
      </c>
      <c r="I323" s="5" t="n"/>
      <c r="J323" s="5" t="n"/>
      <c r="K323" s="5" t="n"/>
    </row>
    <row r="324">
      <c r="A324" s="37" t="n"/>
      <c r="B324" s="37" t="n"/>
      <c r="C324" s="38" t="n">
        <v>44376</v>
      </c>
      <c r="D324" s="37" t="inlineStr">
        <is>
          <t>Sell</t>
        </is>
      </c>
      <c r="E324" s="39" t="n">
        <v>-656</v>
      </c>
      <c r="F324" s="40" t="n">
        <v>638.6</v>
      </c>
      <c r="G324" s="30" t="n">
        <v>-418921.6</v>
      </c>
      <c r="H324" s="41" t="inlineStr">
        <is>
          <t>Portfolio_2021.xlsx / 29Jun21: Sell 656@638.6 = 418921.6</t>
        </is>
      </c>
      <c r="I324" s="37" t="n"/>
      <c r="J324" s="37" t="n"/>
      <c r="K324" s="37" t="n"/>
    </row>
    <row r="325">
      <c r="A325" s="5" t="n"/>
      <c r="B325" s="5" t="n"/>
      <c r="C325" s="6" t="n">
        <v>44461</v>
      </c>
      <c r="D325" s="5" t="inlineStr">
        <is>
          <t>Sell</t>
        </is>
      </c>
      <c r="E325" s="7" t="n">
        <v>-328</v>
      </c>
      <c r="F325" s="8" t="n">
        <v>568.54</v>
      </c>
      <c r="G325" s="25" t="n">
        <v>-186481.12</v>
      </c>
      <c r="H325" s="9" t="inlineStr">
        <is>
          <t>Portfolio_2021.xlsx / 22Sep21: Sell 328@568.54 = 186481</t>
        </is>
      </c>
      <c r="I325" s="5" t="n"/>
      <c r="J325" s="5" t="n"/>
      <c r="K325" s="5" t="n"/>
    </row>
    <row r="326">
      <c r="A326" s="77" t="n"/>
      <c r="B326" s="77" t="n"/>
      <c r="C326" s="78" t="n"/>
      <c r="D326" s="77" t="n"/>
      <c r="E326" s="81">
        <f>SUM(E320:E325)</f>
        <v/>
      </c>
      <c r="F326" s="76" t="n"/>
      <c r="G326" s="76" t="n"/>
      <c r="H326" s="80" t="n"/>
      <c r="I326" s="77" t="n"/>
      <c r="J326" s="77" t="n"/>
      <c r="K326" s="77" t="n"/>
    </row>
    <row r="327">
      <c r="A327" s="64" t="n">
        <v>51</v>
      </c>
      <c r="B327" s="64" t="inlineStr">
        <is>
          <t>AartiDrugs</t>
        </is>
      </c>
      <c r="C327" s="65" t="n">
        <v>44048</v>
      </c>
      <c r="D327" s="64" t="inlineStr">
        <is>
          <t>Buy</t>
        </is>
      </c>
      <c r="E327" s="66" t="n">
        <v>38</v>
      </c>
      <c r="F327" s="67" t="n">
        <v>1872.8</v>
      </c>
      <c r="G327" s="67" t="n">
        <v>71166.39999999999</v>
      </c>
      <c r="H327" s="68" t="inlineStr">
        <is>
          <t>Portfolio_2020.xlsx / 05Aug20: Buy 38@1872.8 = 71167</t>
        </is>
      </c>
      <c r="I327" s="64" t="n"/>
      <c r="J327" s="64" t="n"/>
      <c r="K327" s="64" t="n"/>
    </row>
    <row r="328">
      <c r="A328" s="5" t="n"/>
      <c r="B328" s="5" t="n"/>
      <c r="C328" s="6" t="n">
        <v>44064</v>
      </c>
      <c r="D328" s="5" t="inlineStr">
        <is>
          <t>Sell</t>
        </is>
      </c>
      <c r="E328" s="7" t="n">
        <v>-38</v>
      </c>
      <c r="F328" s="8" t="n">
        <v>2958</v>
      </c>
      <c r="G328" s="25" t="n">
        <v>-112404</v>
      </c>
      <c r="H328" s="9" t="inlineStr">
        <is>
          <t>Portfolio_2020.xlsx / 21Aug20: Sell 38@2958 = 112404</t>
        </is>
      </c>
      <c r="I328" s="5" t="n"/>
      <c r="J328" s="5" t="n"/>
      <c r="K328" s="5" t="n"/>
    </row>
    <row r="329">
      <c r="A329" s="77" t="n"/>
      <c r="B329" s="77" t="n"/>
      <c r="C329" s="78" t="n"/>
      <c r="D329" s="77" t="n"/>
      <c r="E329" s="79">
        <f>SUM(E327:E328)</f>
        <v/>
      </c>
      <c r="F329" s="76" t="n"/>
      <c r="G329" s="76" t="n"/>
      <c r="H329" s="80" t="n"/>
      <c r="I329" s="77" t="n"/>
      <c r="J329" s="77" t="n"/>
      <c r="K329" s="77" t="n"/>
    </row>
    <row r="330">
      <c r="A330" s="64" t="n">
        <v>52</v>
      </c>
      <c r="B330" s="64" t="inlineStr">
        <is>
          <t>PrincePipes</t>
        </is>
      </c>
      <c r="C330" s="65" t="n">
        <v>44146</v>
      </c>
      <c r="D330" s="64" t="inlineStr">
        <is>
          <t>Buy</t>
        </is>
      </c>
      <c r="E330" s="66" t="n">
        <v>1727</v>
      </c>
      <c r="F330" s="67" t="n">
        <v>259.26</v>
      </c>
      <c r="G330" s="67" t="n">
        <v>447742.02</v>
      </c>
      <c r="H330" s="68" t="inlineStr">
        <is>
          <t>Portfolio_2020.xlsx / 11Nov20: Buy 1727@259.26 = 447742</t>
        </is>
      </c>
      <c r="I330" s="64" t="n"/>
      <c r="J330" s="64" t="n"/>
      <c r="K330" s="64" t="n"/>
    </row>
    <row r="331">
      <c r="A331" s="5" t="n"/>
      <c r="B331" s="5" t="n"/>
      <c r="C331" s="6" t="n">
        <v>44789</v>
      </c>
      <c r="D331" s="5" t="inlineStr">
        <is>
          <t>Sell</t>
        </is>
      </c>
      <c r="E331" s="7" t="n">
        <v>-863</v>
      </c>
      <c r="F331" s="8" t="n">
        <v>587.85</v>
      </c>
      <c r="G331" s="25" t="n">
        <v>-507314.55</v>
      </c>
      <c r="H331" s="9" t="inlineStr">
        <is>
          <t>Portfolio_2022.xlsx / 16Aug22: Sell 863@587.85 = 507314.55</t>
        </is>
      </c>
      <c r="I331" s="5" t="n"/>
      <c r="J331" s="5" t="n"/>
      <c r="K331" s="5" t="n"/>
    </row>
    <row r="332">
      <c r="A332" s="10" t="n"/>
      <c r="B332" s="10" t="n"/>
      <c r="C332" s="11" t="n">
        <v>44922</v>
      </c>
      <c r="D332" s="10" t="inlineStr">
        <is>
          <t>Sell</t>
        </is>
      </c>
      <c r="E332" s="12" t="n">
        <v>-216</v>
      </c>
      <c r="F332" s="13" t="n">
        <v>578.02</v>
      </c>
      <c r="G332" s="26" t="n">
        <v>-124852.32</v>
      </c>
      <c r="H332" s="14" t="inlineStr">
        <is>
          <t>Portfolio_2022.xlsx / 27Dec22: Sell 216@578.02 = 124852</t>
        </is>
      </c>
      <c r="I332" s="10" t="n"/>
      <c r="J332" s="10" t="n"/>
      <c r="K332" s="10" t="n"/>
    </row>
    <row r="333">
      <c r="A333" s="10" t="n"/>
      <c r="B333" s="10" t="n"/>
      <c r="C333" s="11" t="n">
        <v>44965</v>
      </c>
      <c r="D333" s="10" t="inlineStr">
        <is>
          <t>Sell</t>
        </is>
      </c>
      <c r="E333" s="12" t="n">
        <v>-648</v>
      </c>
      <c r="F333" s="13" t="n">
        <v>580.8200000000001</v>
      </c>
      <c r="G333" s="26" t="n">
        <v>-376371.36</v>
      </c>
      <c r="H333" s="14" t="inlineStr">
        <is>
          <t>Portfolio_2023.xlsx / 08Feb23: Sell 648@580.82 = 376371</t>
        </is>
      </c>
      <c r="I333" s="10" t="n"/>
      <c r="J333" s="10" t="n"/>
      <c r="K333" s="10" t="n"/>
    </row>
    <row r="334">
      <c r="A334" s="77" t="n"/>
      <c r="B334" s="77" t="n"/>
      <c r="C334" s="78" t="n"/>
      <c r="D334" s="77" t="n"/>
      <c r="E334" s="79">
        <f>SUM(E330:E333)</f>
        <v/>
      </c>
      <c r="F334" s="76" t="n"/>
      <c r="G334" s="76" t="n"/>
      <c r="H334" s="80" t="n"/>
      <c r="I334" s="77" t="n"/>
      <c r="J334" s="77" t="n"/>
      <c r="K334" s="77" t="n"/>
    </row>
    <row r="335">
      <c r="A335" s="64" t="n">
        <v>53</v>
      </c>
      <c r="B335" s="64" t="inlineStr">
        <is>
          <t>VRLLogistics</t>
        </is>
      </c>
      <c r="C335" s="65" t="n">
        <v>44237</v>
      </c>
      <c r="D335" s="64" t="inlineStr">
        <is>
          <t>Buy</t>
        </is>
      </c>
      <c r="E335" s="66" t="n">
        <v>3075</v>
      </c>
      <c r="F335" s="67" t="n">
        <v>232.95</v>
      </c>
      <c r="G335" s="67" t="n">
        <v>716321.25</v>
      </c>
      <c r="H335" s="68" t="inlineStr">
        <is>
          <t>Portfolio_2021.xlsx / 10Feb21: Add 3075@232.95 = 716321</t>
        </is>
      </c>
      <c r="I335" s="64" t="n"/>
      <c r="J335" s="64" t="n"/>
      <c r="K335" s="64" t="n"/>
    </row>
    <row r="336">
      <c r="A336" s="5" t="n"/>
      <c r="B336" s="5" t="n"/>
      <c r="C336" s="6" t="n">
        <v>44362</v>
      </c>
      <c r="D336" s="5" t="inlineStr">
        <is>
          <t>Buy</t>
        </is>
      </c>
      <c r="E336" s="7" t="n">
        <v>1537</v>
      </c>
      <c r="F336" s="8" t="n">
        <v>275.62</v>
      </c>
      <c r="G336" s="25" t="n">
        <v>423627.94</v>
      </c>
      <c r="H336" s="9" t="inlineStr">
        <is>
          <t>Portfolio_2021.xlsx / 15Jun21: Buy 1537@275.62 = 423628</t>
        </is>
      </c>
      <c r="I336" s="5" t="n"/>
      <c r="J336" s="5" t="n"/>
      <c r="K336" s="5" t="n"/>
    </row>
    <row r="337">
      <c r="A337" s="10" t="n"/>
      <c r="B337" s="10" t="n"/>
      <c r="C337" s="11" t="n">
        <v>44418</v>
      </c>
      <c r="D337" s="10" t="inlineStr">
        <is>
          <t>Buy</t>
        </is>
      </c>
      <c r="E337" s="12" t="n">
        <v>1153</v>
      </c>
      <c r="F337" s="13" t="n">
        <v>305.91</v>
      </c>
      <c r="G337" s="26" t="n">
        <v>352714.23</v>
      </c>
      <c r="H337" s="14" t="inlineStr">
        <is>
          <t>Portfolio_2021.xlsx / 10Aug21: Buy 1153@305.91 = 352714</t>
        </is>
      </c>
      <c r="I337" s="10" t="n"/>
      <c r="J337" s="10" t="n"/>
      <c r="K337" s="10" t="n"/>
    </row>
    <row r="338">
      <c r="A338" s="10" t="n"/>
      <c r="B338" s="10" t="n"/>
      <c r="C338" s="11" t="n">
        <v>45026</v>
      </c>
      <c r="D338" s="10" t="inlineStr">
        <is>
          <t>Sell</t>
        </is>
      </c>
      <c r="E338" s="12" t="n">
        <v>-53</v>
      </c>
      <c r="F338" s="13" t="n">
        <v>698.83</v>
      </c>
      <c r="G338" s="26" t="n">
        <v>-37037.99000000001</v>
      </c>
      <c r="H338" s="14" t="inlineStr">
        <is>
          <t>Portfolio_2023.xlsx / 10Apr23: Approx 53@698.83 = 37038</t>
        </is>
      </c>
      <c r="I338" s="10" t="n"/>
      <c r="J338" s="10" t="n"/>
      <c r="K338" s="10" t="n"/>
    </row>
    <row r="339">
      <c r="A339" s="10" t="n"/>
      <c r="B339" s="10" t="n"/>
      <c r="C339" s="35" t="n">
        <v>45068</v>
      </c>
      <c r="D339" s="21" t="inlineStr">
        <is>
          <t>Sell</t>
        </is>
      </c>
      <c r="E339" s="22" t="n">
        <v>-1428</v>
      </c>
      <c r="F339" s="23" t="n">
        <v>698.65</v>
      </c>
      <c r="G339" s="28" t="n">
        <v>-997672.2</v>
      </c>
      <c r="H339" s="24" t="inlineStr">
        <is>
          <t>Portfolio_2023.xlsx / 22May23: Sell 1428@698.65 = 997672</t>
        </is>
      </c>
      <c r="I339" s="10" t="n"/>
      <c r="J339" s="10" t="n"/>
      <c r="K339" s="10" t="n"/>
    </row>
    <row r="340">
      <c r="A340" s="10" t="n"/>
      <c r="B340" s="10" t="n"/>
      <c r="C340" s="35" t="n">
        <v>45155</v>
      </c>
      <c r="D340" s="21" t="inlineStr">
        <is>
          <t>Sell</t>
        </is>
      </c>
      <c r="E340" s="36" t="n">
        <v>-925</v>
      </c>
      <c r="F340" s="23" t="n">
        <v>684.08</v>
      </c>
      <c r="G340" s="28" t="n">
        <v>-632774</v>
      </c>
      <c r="H340" s="24" t="inlineStr">
        <is>
          <t>Portfolio_2023.xlsx / 17Aug23: Sell 925@684.08 = 632774</t>
        </is>
      </c>
      <c r="I340" s="10" t="n"/>
      <c r="J340" s="10" t="n"/>
      <c r="K340" s="10" t="n"/>
    </row>
    <row r="341">
      <c r="A341" s="10" t="n"/>
      <c r="B341" s="10" t="n"/>
      <c r="C341" s="11" t="n">
        <v>45181</v>
      </c>
      <c r="D341" s="10" t="inlineStr">
        <is>
          <t>Sell</t>
        </is>
      </c>
      <c r="E341" s="12" t="n">
        <v>-484</v>
      </c>
      <c r="F341" s="13" t="n">
        <v>698.8099999999999</v>
      </c>
      <c r="G341" s="26" t="n">
        <v>-338224.04</v>
      </c>
      <c r="H341" s="14" t="inlineStr">
        <is>
          <t>Portfolio_2023.xlsx / 12Sep23: Sell 484@698.81 = 338224</t>
        </is>
      </c>
      <c r="I341" s="10" t="n"/>
      <c r="J341" s="10" t="n"/>
      <c r="K341" s="10" t="n"/>
    </row>
    <row r="342">
      <c r="A342" s="10" t="n"/>
      <c r="B342" s="10" t="n"/>
      <c r="C342" s="35" t="n">
        <v>45239</v>
      </c>
      <c r="D342" s="21" t="inlineStr">
        <is>
          <t>Sell</t>
        </is>
      </c>
      <c r="E342" s="36" t="n">
        <v>-459</v>
      </c>
      <c r="F342" s="23" t="n">
        <v>660.25</v>
      </c>
      <c r="G342" s="28" t="n">
        <v>-303054.75</v>
      </c>
      <c r="H342" s="24" t="inlineStr">
        <is>
          <t>Portfolio_2023.xlsx / 09Nov23: Sell 459@660.25 = 303055</t>
        </is>
      </c>
      <c r="I342" s="10" t="n"/>
      <c r="J342" s="10" t="n"/>
      <c r="K342" s="10" t="n"/>
    </row>
    <row r="343">
      <c r="A343" s="37" t="n"/>
      <c r="B343" s="37" t="n"/>
      <c r="C343" s="38" t="n">
        <v>45322</v>
      </c>
      <c r="D343" s="37" t="inlineStr">
        <is>
          <t>Sell</t>
        </is>
      </c>
      <c r="E343" s="39" t="n">
        <v>-467</v>
      </c>
      <c r="F343" s="40" t="n">
        <v>748.15</v>
      </c>
      <c r="G343" s="30" t="n">
        <v>-349386.05</v>
      </c>
      <c r="H343" s="41" t="inlineStr">
        <is>
          <t>Portfolio_2024.xlsx / 31Jan24: Sell 467@748.15 = 349386</t>
        </is>
      </c>
      <c r="I343" s="37" t="n"/>
      <c r="J343" s="37" t="n"/>
      <c r="K343" s="37" t="n"/>
    </row>
    <row r="344">
      <c r="A344" s="5" t="n"/>
      <c r="B344" s="5" t="n"/>
      <c r="C344" s="6" t="n">
        <v>45334</v>
      </c>
      <c r="D344" s="5" t="inlineStr">
        <is>
          <t>Sell</t>
        </is>
      </c>
      <c r="E344" s="20" t="n">
        <v>-45</v>
      </c>
      <c r="F344" s="8" t="n">
        <v>643.63</v>
      </c>
      <c r="G344" s="25" t="n">
        <v>-28963.35</v>
      </c>
      <c r="H344" s="9" t="inlineStr">
        <is>
          <t>Portfolio_2024.xlsx / 12Feb24: Less 45@643.63 = 28963</t>
        </is>
      </c>
      <c r="I344" s="5" t="n"/>
      <c r="J344" s="5" t="n"/>
      <c r="K344" s="5" t="n"/>
    </row>
    <row r="345">
      <c r="A345" s="10" t="n"/>
      <c r="B345" s="10" t="n"/>
      <c r="C345" s="35" t="n">
        <v>45358</v>
      </c>
      <c r="D345" s="21" t="inlineStr">
        <is>
          <t>Buy</t>
        </is>
      </c>
      <c r="E345" s="36" t="n">
        <v>2345</v>
      </c>
      <c r="F345" s="23" t="n">
        <v>534.0700000000001</v>
      </c>
      <c r="G345" s="28" t="n">
        <v>1252394.15</v>
      </c>
      <c r="H345" s="24" t="inlineStr">
        <is>
          <t>Portfolio_2024.xlsx / 07Mar24: Buy 2345@534.07 = 1252394</t>
        </is>
      </c>
      <c r="I345" s="10" t="n"/>
      <c r="J345" s="10" t="n"/>
      <c r="K345" s="10" t="n"/>
    </row>
    <row r="346">
      <c r="A346" s="10" t="n"/>
      <c r="B346" s="10" t="n"/>
      <c r="C346" s="11" t="n">
        <v>45694</v>
      </c>
      <c r="D346" s="10" t="inlineStr">
        <is>
          <t>Buy</t>
        </is>
      </c>
      <c r="E346" s="12" t="n">
        <v>1175</v>
      </c>
      <c r="F346" s="13" t="n">
        <v>542.6</v>
      </c>
      <c r="G346" s="26" t="n">
        <v>637555</v>
      </c>
      <c r="H346" s="14" t="inlineStr">
        <is>
          <t>Portfolio_2025.xlsx / 06Feb25: Buy 1175@542.6 = 637555</t>
        </is>
      </c>
      <c r="I346" s="10" t="n"/>
      <c r="J346" s="10" t="n"/>
      <c r="K346" s="10" t="n"/>
    </row>
    <row r="347">
      <c r="A347" s="37" t="n"/>
      <c r="B347" s="37" t="n"/>
      <c r="C347" s="70" t="n">
        <v>45883</v>
      </c>
      <c r="D347" s="71" t="inlineStr">
        <is>
          <t>Bonus</t>
        </is>
      </c>
      <c r="E347" s="72" t="n">
        <v>5424</v>
      </c>
      <c r="F347" s="73" t="n">
        <v>0</v>
      </c>
      <c r="G347" s="73" t="n">
        <v>0</v>
      </c>
      <c r="H347" s="74" t="inlineStr">
        <is>
          <t>Portfolio_2025.xlsx / 14Aug25: Bonus 1:1</t>
        </is>
      </c>
      <c r="I347" s="37" t="n"/>
      <c r="J347" s="37" t="n"/>
      <c r="K347" s="37" t="n"/>
    </row>
    <row r="348">
      <c r="A348" s="77" t="n"/>
      <c r="B348" s="77" t="n"/>
      <c r="C348" s="78" t="n"/>
      <c r="D348" s="77" t="n"/>
      <c r="E348" s="79">
        <f>SUM(E335:E347)</f>
        <v/>
      </c>
      <c r="F348" s="76" t="n"/>
      <c r="G348" s="76" t="n"/>
      <c r="H348" s="80" t="n"/>
      <c r="I348" s="77" t="n"/>
      <c r="J348" s="77" t="n"/>
      <c r="K348" s="77" t="n"/>
    </row>
    <row r="349">
      <c r="A349" s="64" t="n">
        <v>54</v>
      </c>
      <c r="B349" s="64" t="inlineStr">
        <is>
          <t>GPIL</t>
        </is>
      </c>
      <c r="C349" s="65" t="n">
        <v>44273</v>
      </c>
      <c r="D349" s="64" t="inlineStr">
        <is>
          <t>Buy</t>
        </is>
      </c>
      <c r="E349" s="66" t="n">
        <v>1098</v>
      </c>
      <c r="F349" s="67" t="n">
        <v>677.4</v>
      </c>
      <c r="G349" s="67" t="n">
        <v>743785.2</v>
      </c>
      <c r="H349" s="68" t="inlineStr">
        <is>
          <t>Portfolio_2021.xlsx / 18Mar21: Buy 1098@677.4</t>
        </is>
      </c>
      <c r="I349" s="64" t="n"/>
      <c r="J349" s="64" t="n"/>
      <c r="K349" s="64" t="n"/>
    </row>
    <row r="350">
      <c r="A350" s="37" t="n"/>
      <c r="B350" s="37" t="n"/>
      <c r="C350" s="70" t="n">
        <v>44495</v>
      </c>
      <c r="D350" s="71" t="inlineStr">
        <is>
          <t>Split</t>
        </is>
      </c>
      <c r="E350" s="72" t="n">
        <v>3294</v>
      </c>
      <c r="F350" s="73" t="n">
        <v>0</v>
      </c>
      <c r="G350" s="73" t="n">
        <v>0</v>
      </c>
      <c r="H350" s="74" t="inlineStr">
        <is>
          <t>Portfolio_2021.xlsx / 26Oct21: Split 10 to 5 &amp; then bonus 1:1. So 4x qnty</t>
        </is>
      </c>
      <c r="I350" s="37" t="n"/>
      <c r="J350" s="37" t="n"/>
      <c r="K350" s="37" t="n"/>
    </row>
    <row r="351">
      <c r="A351" s="5" t="n"/>
      <c r="B351" s="5" t="n"/>
      <c r="C351" s="6" t="n">
        <v>45037</v>
      </c>
      <c r="D351" s="5" t="inlineStr">
        <is>
          <t>Sell</t>
        </is>
      </c>
      <c r="E351" s="7" t="n">
        <v>-147</v>
      </c>
      <c r="F351" s="8" t="n">
        <v>499.17</v>
      </c>
      <c r="G351" s="25" t="n">
        <v>-73377.99000000001</v>
      </c>
      <c r="H351" s="9" t="inlineStr">
        <is>
          <t>Portfolio_2023.xlsx / 21Apr23: Approx 147@499.17 = 73378</t>
        </is>
      </c>
      <c r="I351" s="5" t="n"/>
      <c r="J351" s="5" t="n"/>
      <c r="K351" s="5" t="n"/>
    </row>
    <row r="352">
      <c r="A352" s="37" t="n"/>
      <c r="B352" s="37" t="n"/>
      <c r="C352" s="38" t="n">
        <v>45107</v>
      </c>
      <c r="D352" s="37" t="inlineStr">
        <is>
          <t>Sell</t>
        </is>
      </c>
      <c r="E352" s="39" t="n">
        <v>-849</v>
      </c>
      <c r="F352" s="40" t="n">
        <v>522.34</v>
      </c>
      <c r="G352" s="30" t="n">
        <v>-443466.66</v>
      </c>
      <c r="H352" s="41" t="inlineStr">
        <is>
          <t>Portfolio_2023.xlsx / 30Jun23: Sell 849@522.34 = 443466.66</t>
        </is>
      </c>
      <c r="I352" s="37" t="n"/>
      <c r="J352" s="37" t="n"/>
      <c r="K352" s="37" t="n"/>
    </row>
    <row r="353">
      <c r="A353" s="5" t="n"/>
      <c r="B353" s="5" t="n"/>
      <c r="C353" s="6" t="n">
        <v>45135</v>
      </c>
      <c r="D353" s="5" t="inlineStr">
        <is>
          <t>Sell</t>
        </is>
      </c>
      <c r="E353" s="7" t="n">
        <v>-1304</v>
      </c>
      <c r="F353" s="8" t="n">
        <v>545.95</v>
      </c>
      <c r="G353" s="25" t="n">
        <v>-711918.8</v>
      </c>
      <c r="H353" s="9" t="inlineStr">
        <is>
          <t>Portfolio_2023.xlsx / 28Jul23: Sell 1304@545.95 = 711919</t>
        </is>
      </c>
      <c r="I353" s="5" t="n"/>
      <c r="J353" s="5" t="n"/>
      <c r="K353" s="5" t="n"/>
    </row>
    <row r="354">
      <c r="A354" s="10" t="n"/>
      <c r="B354" s="10" t="n"/>
      <c r="C354" s="11" t="n">
        <v>45145</v>
      </c>
      <c r="D354" s="10" t="inlineStr">
        <is>
          <t>Sell</t>
        </is>
      </c>
      <c r="E354" s="12" t="n">
        <v>-2092</v>
      </c>
      <c r="F354" s="13" t="n">
        <v>561.88</v>
      </c>
      <c r="G354" s="26" t="n">
        <v>-1175452.96</v>
      </c>
      <c r="H354" s="14" t="inlineStr">
        <is>
          <t>Portfolio_2023.xlsx / 07Aug23: Sell 2092@561.88 = 1175453</t>
        </is>
      </c>
      <c r="I354" s="10" t="n"/>
      <c r="J354" s="10" t="n"/>
      <c r="K354" s="10" t="n"/>
    </row>
    <row r="355">
      <c r="A355" s="77" t="n"/>
      <c r="B355" s="77" t="n"/>
      <c r="C355" s="78" t="n"/>
      <c r="D355" s="77" t="n"/>
      <c r="E355" s="79">
        <f>SUM(E349:E354)</f>
        <v/>
      </c>
      <c r="F355" s="76" t="n"/>
      <c r="G355" s="76" t="n"/>
      <c r="H355" s="80" t="n"/>
      <c r="I355" s="77" t="n"/>
      <c r="J355" s="77" t="n"/>
      <c r="K355" s="77" t="n"/>
    </row>
    <row r="356">
      <c r="A356" s="64" t="n">
        <v>55</v>
      </c>
      <c r="B356" s="64" t="inlineStr">
        <is>
          <t>SuryaRosni</t>
        </is>
      </c>
      <c r="C356" s="65" t="n">
        <v>44376</v>
      </c>
      <c r="D356" s="64" t="inlineStr">
        <is>
          <t>Buy</t>
        </is>
      </c>
      <c r="E356" s="66" t="n">
        <v>1875</v>
      </c>
      <c r="F356" s="67" t="n">
        <v>526.5599999999999</v>
      </c>
      <c r="G356" s="67" t="n">
        <v>987299.9999999999</v>
      </c>
      <c r="H356" s="68" t="inlineStr">
        <is>
          <t>Portfolio_2021.xlsx / 29Jun21: Buy 1875@526.56 = 987300</t>
        </is>
      </c>
      <c r="I356" s="64" t="n"/>
      <c r="J356" s="64" t="n"/>
      <c r="K356" s="64" t="n"/>
    </row>
    <row r="357">
      <c r="A357" s="5" t="n"/>
      <c r="B357" s="5" t="n"/>
      <c r="C357" s="6" t="n">
        <v>44418</v>
      </c>
      <c r="D357" s="5" t="inlineStr">
        <is>
          <t>Buy</t>
        </is>
      </c>
      <c r="E357" s="7" t="n">
        <v>937</v>
      </c>
      <c r="F357" s="8" t="n">
        <v>572.35</v>
      </c>
      <c r="G357" s="25" t="n">
        <v>536291.9500000001</v>
      </c>
      <c r="H357" s="9" t="inlineStr">
        <is>
          <t>Portfolio_2021.xlsx / 10Aug21: Buy 937@572.35 = 536292</t>
        </is>
      </c>
      <c r="I357" s="5" t="n"/>
      <c r="J357" s="5" t="n"/>
      <c r="K357" s="5" t="n"/>
    </row>
    <row r="358">
      <c r="A358" s="10" t="n"/>
      <c r="B358" s="10" t="n"/>
      <c r="C358" s="11" t="n">
        <v>44523</v>
      </c>
      <c r="D358" s="10" t="inlineStr">
        <is>
          <t>Buy</t>
        </is>
      </c>
      <c r="E358" s="12" t="n">
        <v>309</v>
      </c>
      <c r="F358" s="13" t="n">
        <v>593.5</v>
      </c>
      <c r="G358" s="26" t="n">
        <v>183391.5</v>
      </c>
      <c r="H358" s="14" t="inlineStr">
        <is>
          <t>Portfolio_2021.xlsx / 23Nov21: Add 309@593.5 = 183392</t>
        </is>
      </c>
      <c r="I358" s="10" t="n"/>
      <c r="J358" s="10" t="n"/>
      <c r="K358" s="10" t="n"/>
    </row>
    <row r="359">
      <c r="A359" s="10" t="n"/>
      <c r="B359" s="10" t="n"/>
      <c r="C359" s="11" t="n">
        <v>44533</v>
      </c>
      <c r="D359" s="10" t="inlineStr">
        <is>
          <t>Buy</t>
        </is>
      </c>
      <c r="E359" s="12" t="n">
        <v>619</v>
      </c>
      <c r="F359" s="13" t="n">
        <v>627.62</v>
      </c>
      <c r="G359" s="26" t="n">
        <v>388496.78</v>
      </c>
      <c r="H359" s="14" t="inlineStr">
        <is>
          <t>Portfolio_2021.xlsx / 03Dec21: Add 619@627.62 = 388495</t>
        </is>
      </c>
      <c r="I359" s="10" t="n"/>
      <c r="J359" s="10" t="n"/>
      <c r="K359" s="10" t="n"/>
    </row>
    <row r="360">
      <c r="A360" s="10" t="n"/>
      <c r="B360" s="10" t="n"/>
      <c r="C360" s="70" t="n">
        <v>45205</v>
      </c>
      <c r="D360" s="71" t="inlineStr">
        <is>
          <t>Split</t>
        </is>
      </c>
      <c r="E360" s="75" t="n">
        <v>3740</v>
      </c>
      <c r="F360" s="73" t="n">
        <v>0</v>
      </c>
      <c r="G360" s="73" t="n">
        <v>0</v>
      </c>
      <c r="H360" s="74" t="inlineStr">
        <is>
          <t>Portfolio_2023.xlsx / 06Oct23: Split 10 to 5, Shares double</t>
        </is>
      </c>
      <c r="I360" s="10" t="n"/>
      <c r="J360" s="10" t="n"/>
      <c r="K360" s="10" t="n"/>
    </row>
    <row r="361">
      <c r="A361" s="10" t="n"/>
      <c r="B361" s="10" t="n"/>
      <c r="C361" s="70" t="n">
        <v>45658</v>
      </c>
      <c r="D361" s="71" t="inlineStr">
        <is>
          <t>Bonus</t>
        </is>
      </c>
      <c r="E361" s="72" t="n">
        <v>7480</v>
      </c>
      <c r="F361" s="73" t="n">
        <v>0</v>
      </c>
      <c r="G361" s="73" t="n">
        <v>0</v>
      </c>
      <c r="H361" s="74" t="inlineStr">
        <is>
          <t>Portfolio_2025.xlsx / 01Jan25_2: Bonus 1:1</t>
        </is>
      </c>
      <c r="I361" s="10" t="n"/>
      <c r="J361" s="10" t="n"/>
      <c r="K361" s="10" t="n"/>
    </row>
    <row r="362">
      <c r="A362" s="10" t="n"/>
      <c r="B362" s="10" t="n"/>
      <c r="C362" s="11" t="n">
        <v>45978</v>
      </c>
      <c r="D362" s="10" t="inlineStr">
        <is>
          <t>Sell</t>
        </is>
      </c>
      <c r="E362" s="12" t="n">
        <v>-3720</v>
      </c>
      <c r="F362" s="13" t="n">
        <v>273.62</v>
      </c>
      <c r="G362" s="26" t="n">
        <v>-1017866.4</v>
      </c>
      <c r="H362" s="14" t="inlineStr">
        <is>
          <t>Portfolio_2025.xlsx / 17Nov25: Sell 3720@273.62 = 1017866</t>
        </is>
      </c>
      <c r="I362" s="10" t="n"/>
      <c r="J362" s="10" t="n"/>
      <c r="K362" s="10" t="n"/>
    </row>
    <row r="363">
      <c r="A363" s="37" t="n"/>
      <c r="B363" s="37" t="n"/>
      <c r="C363" s="38" t="n">
        <v>46050</v>
      </c>
      <c r="D363" s="37" t="inlineStr">
        <is>
          <t>Sell</t>
        </is>
      </c>
      <c r="E363" s="39" t="n">
        <v>-1759</v>
      </c>
      <c r="F363" s="40" t="n">
        <v>244.95</v>
      </c>
      <c r="G363" s="30" t="n">
        <v>-430867.05</v>
      </c>
      <c r="H363" s="41" t="inlineStr">
        <is>
          <t>Portfolio_2026.xlsx / 28Jan26: Sell 1759@244.95 = 430867</t>
        </is>
      </c>
      <c r="I363" s="37" t="n"/>
      <c r="J363" s="37" t="n"/>
      <c r="K363" s="37" t="n"/>
    </row>
    <row r="364">
      <c r="A364" s="5" t="n"/>
      <c r="B364" s="5" t="n"/>
      <c r="C364" s="6" t="n">
        <v>46070</v>
      </c>
      <c r="D364" s="5" t="inlineStr">
        <is>
          <t>Sell</t>
        </is>
      </c>
      <c r="E364" s="7" t="n">
        <v>-2877</v>
      </c>
      <c r="F364" s="8" t="n">
        <v>224.16</v>
      </c>
      <c r="G364" s="25" t="n">
        <v>-644908.3199999999</v>
      </c>
      <c r="H364" s="9" t="inlineStr">
        <is>
          <t>Portfolio_2026.xlsx / 17Feb26: Sell 2877@224.16 = 644908</t>
        </is>
      </c>
      <c r="I364" s="5" t="n"/>
      <c r="J364" s="5" t="n"/>
      <c r="K364" s="5" t="n"/>
    </row>
    <row r="365">
      <c r="A365" s="5" t="n"/>
      <c r="B365" s="5" t="n"/>
      <c r="C365" s="6" t="n">
        <v>46122</v>
      </c>
      <c r="D365" s="21" t="inlineStr">
        <is>
          <t>Sell</t>
        </is>
      </c>
      <c r="E365" s="22" t="n">
        <v>-896</v>
      </c>
      <c r="F365" s="23" t="n">
        <v>223.98</v>
      </c>
      <c r="G365" s="28" t="n">
        <v>-200686.08</v>
      </c>
      <c r="H365" s="24" t="inlineStr">
        <is>
          <t>Portfolio_2026.xlsx / 10Apr26: Sell 896@223.98 = 200686</t>
        </is>
      </c>
      <c r="I365" s="5" t="n"/>
      <c r="J365" s="5" t="n"/>
      <c r="K365" s="5" t="n"/>
    </row>
    <row r="366">
      <c r="A366" s="10" t="n"/>
      <c r="B366" s="10" t="n"/>
      <c r="C366" s="11" t="n">
        <v>46128</v>
      </c>
      <c r="D366" s="10" t="inlineStr">
        <is>
          <t>Sell</t>
        </is>
      </c>
      <c r="E366" s="12" t="n">
        <v>-2991</v>
      </c>
      <c r="F366" s="13" t="n">
        <v>235.58</v>
      </c>
      <c r="G366" s="26" t="n">
        <v>-704619.78</v>
      </c>
      <c r="H366" s="14" t="inlineStr">
        <is>
          <t>Portfolio_2026.xlsx / 16Apr26: Sell 2991@235.58 = 704619</t>
        </is>
      </c>
      <c r="I366" s="10" t="n"/>
      <c r="J366" s="10" t="n"/>
      <c r="K366" s="10" t="n"/>
    </row>
    <row r="367">
      <c r="A367" s="10" t="n"/>
      <c r="B367" s="10" t="n"/>
      <c r="C367" s="11" t="n">
        <v>46147</v>
      </c>
      <c r="D367" s="10" t="inlineStr">
        <is>
          <t>Sell</t>
        </is>
      </c>
      <c r="E367" s="12" t="n">
        <v>-2717</v>
      </c>
      <c r="F367" s="13" t="n">
        <v>258.8</v>
      </c>
      <c r="G367" s="26" t="n">
        <v>-703159.6</v>
      </c>
      <c r="H367" s="14" t="inlineStr">
        <is>
          <t>Portfolio_2026.xlsx / 05May26: Sell 2717@258.8  = 703159</t>
        </is>
      </c>
      <c r="I367" s="10" t="n"/>
      <c r="J367" s="10" t="n"/>
      <c r="K367" s="10" t="n"/>
    </row>
    <row r="368">
      <c r="A368" s="77" t="n"/>
      <c r="B368" s="77" t="n"/>
      <c r="C368" s="78" t="n"/>
      <c r="D368" s="77" t="n"/>
      <c r="E368" s="79">
        <f>SUM(E356:E367)</f>
        <v/>
      </c>
      <c r="F368" s="76" t="n"/>
      <c r="G368" s="76" t="n"/>
      <c r="H368" s="80" t="n"/>
      <c r="I368" s="77" t="n"/>
      <c r="J368" s="77" t="n"/>
      <c r="K368" s="77" t="n"/>
    </row>
    <row r="369">
      <c r="A369" s="64" t="n">
        <v>56</v>
      </c>
      <c r="B369" s="64" t="inlineStr">
        <is>
          <t>Idea</t>
        </is>
      </c>
      <c r="C369" s="65" t="n">
        <v>44550</v>
      </c>
      <c r="D369" s="64" t="inlineStr">
        <is>
          <t>Buy</t>
        </is>
      </c>
      <c r="E369" s="66" t="n">
        <v>96000</v>
      </c>
      <c r="F369" s="67" t="n">
        <v>13.89</v>
      </c>
      <c r="G369" s="67" t="n">
        <v>1333440</v>
      </c>
      <c r="H369" s="68" t="inlineStr">
        <is>
          <t>Portfolio_2021.xlsx / 20Dec21: Add 96000@13.89 = 1333440</t>
        </is>
      </c>
      <c r="I369" s="64" t="n"/>
      <c r="J369" s="64" t="n"/>
      <c r="K369" s="64" t="n"/>
    </row>
    <row r="370">
      <c r="A370" s="10" t="n"/>
      <c r="B370" s="10" t="n"/>
      <c r="C370" s="11" t="n">
        <v>44886</v>
      </c>
      <c r="D370" s="10" t="inlineStr">
        <is>
          <t>Sell</t>
        </is>
      </c>
      <c r="E370" s="12" t="n">
        <v>-48000</v>
      </c>
      <c r="F370" s="13" t="n">
        <v>8.390000000000001</v>
      </c>
      <c r="G370" s="26" t="n">
        <v>-402720</v>
      </c>
      <c r="H370" s="14" t="inlineStr">
        <is>
          <t>Portfolio_2022.xlsx / 21Nov22: Sell 48000@8.39 = 402720</t>
        </is>
      </c>
      <c r="I370" s="10" t="n"/>
      <c r="J370" s="10" t="n"/>
      <c r="K370" s="10" t="n"/>
    </row>
    <row r="371">
      <c r="A371" s="10" t="n"/>
      <c r="B371" s="10" t="n"/>
      <c r="C371" s="11" t="n">
        <v>44922</v>
      </c>
      <c r="D371" s="10" t="inlineStr">
        <is>
          <t>Sell</t>
        </is>
      </c>
      <c r="E371" s="12" t="n">
        <v>-12000</v>
      </c>
      <c r="F371" s="13" t="n">
        <v>7.91</v>
      </c>
      <c r="G371" s="26" t="n">
        <v>-94920</v>
      </c>
      <c r="H371" s="14" t="inlineStr">
        <is>
          <t>Portfolio_2022.xlsx / 27Dec22: Sell 12000@7.91 = 94920</t>
        </is>
      </c>
      <c r="I371" s="10" t="n"/>
      <c r="J371" s="10" t="n"/>
      <c r="K371" s="10" t="n"/>
    </row>
    <row r="372">
      <c r="A372" s="10" t="n"/>
      <c r="B372" s="10" t="n"/>
      <c r="C372" s="11" t="n">
        <v>44965</v>
      </c>
      <c r="D372" s="16" t="inlineStr">
        <is>
          <t>Sell</t>
        </is>
      </c>
      <c r="E372" s="17" t="n">
        <v>-36000</v>
      </c>
      <c r="F372" s="18" t="n">
        <v>7.88</v>
      </c>
      <c r="G372" s="27" t="n">
        <v>-283680</v>
      </c>
      <c r="H372" s="19" t="inlineStr">
        <is>
          <t>Portfolio_2023.xlsx / 08Feb23: Sell 36000@7.88 = 283680</t>
        </is>
      </c>
      <c r="I372" s="10" t="n"/>
      <c r="J372" s="10" t="n"/>
      <c r="K372" s="10" t="n"/>
    </row>
    <row r="373">
      <c r="A373" s="77" t="n"/>
      <c r="B373" s="77" t="n"/>
      <c r="C373" s="78" t="n"/>
      <c r="D373" s="77" t="n"/>
      <c r="E373" s="81">
        <f>SUM(E369:E372)</f>
        <v/>
      </c>
      <c r="F373" s="76" t="n"/>
      <c r="G373" s="76" t="n"/>
      <c r="H373" s="80" t="n"/>
      <c r="I373" s="77" t="n"/>
      <c r="J373" s="77" t="n"/>
      <c r="K373" s="77" t="n"/>
    </row>
    <row r="374">
      <c r="A374" s="64" t="n">
        <v>57</v>
      </c>
      <c r="B374" s="64" t="inlineStr">
        <is>
          <t>TWL</t>
        </is>
      </c>
      <c r="C374" s="65" t="n">
        <v>44578</v>
      </c>
      <c r="D374" s="64" t="inlineStr">
        <is>
          <t>Buy</t>
        </is>
      </c>
      <c r="E374" s="66" t="n">
        <v>10500</v>
      </c>
      <c r="F374" s="67" t="n">
        <v>113.85</v>
      </c>
      <c r="G374" s="67" t="n">
        <v>1195425</v>
      </c>
      <c r="H374" s="68" t="inlineStr">
        <is>
          <t>Portfolio_2022.xlsx / 17Jan22: Buy 10500@113.85 = 1195425</t>
        </is>
      </c>
      <c r="I374" s="64" t="n"/>
      <c r="J374" s="64" t="n"/>
      <c r="K374" s="64" t="n"/>
    </row>
    <row r="375">
      <c r="A375" s="10" t="n"/>
      <c r="B375" s="10" t="n"/>
      <c r="C375" s="11" t="n">
        <v>44789</v>
      </c>
      <c r="D375" s="10" t="inlineStr">
        <is>
          <t>Buy</t>
        </is>
      </c>
      <c r="E375" s="12" t="n">
        <v>5250</v>
      </c>
      <c r="F375" s="13" t="n">
        <v>145.97</v>
      </c>
      <c r="G375" s="26" t="n">
        <v>766342.5</v>
      </c>
      <c r="H375" s="14" t="inlineStr">
        <is>
          <t>Portfolio_2022.xlsx / 16Aug22: Buy 5250@145.97 = 766342.5</t>
        </is>
      </c>
      <c r="I375" s="10" t="n"/>
      <c r="J375" s="10" t="n"/>
      <c r="K375" s="10" t="n"/>
    </row>
    <row r="376">
      <c r="A376" s="10" t="n"/>
      <c r="B376" s="10" t="n"/>
      <c r="C376" s="11" t="n">
        <v>45219</v>
      </c>
      <c r="D376" s="10" t="inlineStr">
        <is>
          <t>Sell</t>
        </is>
      </c>
      <c r="E376" s="15" t="n">
        <v>-3258</v>
      </c>
      <c r="F376" s="13" t="n">
        <v>831.52</v>
      </c>
      <c r="G376" s="26" t="n">
        <v>-2709092.16</v>
      </c>
      <c r="H376" s="14" t="inlineStr">
        <is>
          <t>Portfolio_2023.xlsx / 20Oct23: Sell 3258@831.52 = 2709092</t>
        </is>
      </c>
      <c r="I376" s="10" t="n"/>
      <c r="J376" s="10" t="n"/>
      <c r="K376" s="10" t="n"/>
    </row>
    <row r="377">
      <c r="A377" s="10" t="n"/>
      <c r="B377" s="10" t="n"/>
      <c r="C377" s="11" t="n">
        <v>45232</v>
      </c>
      <c r="D377" s="10" t="inlineStr">
        <is>
          <t>Sell</t>
        </is>
      </c>
      <c r="E377" s="12" t="n">
        <v>-1143</v>
      </c>
      <c r="F377" s="13" t="n">
        <v>802.42</v>
      </c>
      <c r="G377" s="26" t="n">
        <v>-917166.0599999999</v>
      </c>
      <c r="H377" s="14" t="inlineStr">
        <is>
          <t>Portfolio_2023.xlsx / 02Nov23: Sell 1143@802.42 = 917166</t>
        </is>
      </c>
      <c r="I377" s="10" t="n"/>
      <c r="J377" s="10" t="n"/>
      <c r="K377" s="10" t="n"/>
    </row>
    <row r="378">
      <c r="A378" s="5" t="n"/>
      <c r="B378" s="5" t="n"/>
      <c r="C378" s="6" t="n">
        <v>45239</v>
      </c>
      <c r="D378" s="5" t="inlineStr">
        <is>
          <t>Sell</t>
        </is>
      </c>
      <c r="E378" s="7" t="n">
        <v>-1205</v>
      </c>
      <c r="F378" s="8" t="n">
        <v>802.42</v>
      </c>
      <c r="G378" s="25" t="n">
        <v>-966916.1</v>
      </c>
      <c r="H378" s="9" t="inlineStr">
        <is>
          <t>Portfolio_2023.xlsx / 09Nov23: Sell 1205@802.42 = 966916</t>
        </is>
      </c>
      <c r="I378" s="5" t="n"/>
      <c r="J378" s="5" t="n"/>
      <c r="K378" s="5" t="n"/>
    </row>
    <row r="379">
      <c r="A379" s="10" t="n"/>
      <c r="B379" s="10" t="n"/>
      <c r="C379" s="11" t="n">
        <v>45306</v>
      </c>
      <c r="D379" s="10" t="inlineStr">
        <is>
          <t>Sell</t>
        </is>
      </c>
      <c r="E379" s="12" t="n">
        <v>-2468</v>
      </c>
      <c r="F379" s="13" t="n">
        <v>1068.33</v>
      </c>
      <c r="G379" s="26" t="n">
        <v>-2636638.44</v>
      </c>
      <c r="H379" s="14" t="inlineStr">
        <is>
          <t>Portfolio_2024.xlsx / 15Jan24: Sell 2468@1068.33 = 2636638</t>
        </is>
      </c>
      <c r="I379" s="10" t="n"/>
      <c r="J379" s="10" t="n"/>
      <c r="K379" s="10" t="n"/>
    </row>
    <row r="380">
      <c r="A380" s="10" t="n"/>
      <c r="B380" s="10" t="n"/>
      <c r="C380" s="11" t="n">
        <v>45406</v>
      </c>
      <c r="D380" s="10" t="inlineStr">
        <is>
          <t>Sell</t>
        </is>
      </c>
      <c r="E380" s="12" t="n">
        <v>-1535</v>
      </c>
      <c r="F380" s="13" t="n">
        <v>1016.08</v>
      </c>
      <c r="G380" s="26" t="n">
        <v>-1559682.8</v>
      </c>
      <c r="H380" s="14" t="inlineStr">
        <is>
          <t>Portfolio_2024.xlsx / 24Apr24: Sell 1535@1016.08 = 1559683</t>
        </is>
      </c>
      <c r="I380" s="10" t="n"/>
      <c r="J380" s="10" t="n"/>
      <c r="K380" s="10" t="n"/>
    </row>
    <row r="381">
      <c r="A381" s="37" t="n"/>
      <c r="B381" s="37" t="n"/>
      <c r="C381" s="38" t="n">
        <v>45429</v>
      </c>
      <c r="D381" s="37" t="inlineStr">
        <is>
          <t>Sell</t>
        </is>
      </c>
      <c r="E381" s="39" t="n">
        <v>-850</v>
      </c>
      <c r="F381" s="40" t="n">
        <v>1283.41</v>
      </c>
      <c r="G381" s="30" t="n">
        <v>-1090898.5</v>
      </c>
      <c r="H381" s="41" t="inlineStr">
        <is>
          <t>Portfolio_2024.xlsx / 17May24: Sell 850@1283.41 = 1090898</t>
        </is>
      </c>
      <c r="I381" s="37" t="n"/>
      <c r="J381" s="37" t="n"/>
      <c r="K381" s="37" t="n"/>
    </row>
    <row r="382" ht="37.25" customHeight="1">
      <c r="A382" s="5" t="n"/>
      <c r="B382" s="5" t="n"/>
      <c r="C382" s="35" t="n">
        <v>45504</v>
      </c>
      <c r="D382" s="21" t="inlineStr">
        <is>
          <t>Sell</t>
        </is>
      </c>
      <c r="E382" s="36" t="n">
        <v>-1323</v>
      </c>
      <c r="F382" s="23" t="n">
        <v>1597.8</v>
      </c>
      <c r="G382" s="28" t="n">
        <v>-2113889.4</v>
      </c>
      <c r="H382" s="24" t="inlineStr">
        <is>
          <t>Portfolio_2024.xlsx / 31Jul24: Sell 1323@1597.8 = 2113.889</t>
        </is>
      </c>
      <c r="I382" s="5" t="n"/>
      <c r="J382" s="5" t="n"/>
      <c r="K382" s="5" t="n"/>
    </row>
    <row r="383">
      <c r="A383" s="10" t="n"/>
      <c r="B383" s="10" t="n"/>
      <c r="C383" s="11" t="n">
        <v>45509</v>
      </c>
      <c r="D383" s="10" t="inlineStr">
        <is>
          <t>Sell</t>
        </is>
      </c>
      <c r="E383" s="15" t="n">
        <v>-920</v>
      </c>
      <c r="F383" s="13" t="n">
        <v>1413.1</v>
      </c>
      <c r="G383" s="26" t="n">
        <v>-1300052</v>
      </c>
      <c r="H383" s="14" t="inlineStr">
        <is>
          <t>Portfolio_2024.xlsx / 05Aug24: Sell 920@1413.1 = 1300052</t>
        </is>
      </c>
      <c r="I383" s="10" t="n"/>
      <c r="J383" s="10" t="n"/>
      <c r="K383" s="10" t="n"/>
    </row>
    <row r="384">
      <c r="A384" s="37" t="n"/>
      <c r="B384" s="37" t="n"/>
      <c r="C384" s="38" t="n">
        <v>45637</v>
      </c>
      <c r="D384" s="37" t="inlineStr">
        <is>
          <t>Sell</t>
        </is>
      </c>
      <c r="E384" s="39" t="n">
        <v>-438</v>
      </c>
      <c r="F384" s="40" t="n">
        <v>1290.93</v>
      </c>
      <c r="G384" s="30" t="n">
        <v>-565427.3400000001</v>
      </c>
      <c r="H384" s="41" t="inlineStr">
        <is>
          <t>Portfolio_2024.xlsx / 11Dec24: Sell 438@1290.93 = 565427</t>
        </is>
      </c>
      <c r="I384" s="37" t="n"/>
      <c r="J384" s="37" t="n"/>
      <c r="K384" s="37" t="n"/>
    </row>
    <row r="385">
      <c r="A385" s="5" t="n"/>
      <c r="B385" s="5" t="n"/>
      <c r="C385" s="6" t="n">
        <v>45670</v>
      </c>
      <c r="D385" s="5" t="inlineStr">
        <is>
          <t>Sell</t>
        </is>
      </c>
      <c r="E385" s="7" t="n">
        <v>-260</v>
      </c>
      <c r="F385" s="8" t="n">
        <v>995.23</v>
      </c>
      <c r="G385" s="25" t="n">
        <v>-258759.8</v>
      </c>
      <c r="H385" s="9" t="inlineStr">
        <is>
          <t>Portfolio_2025.xlsx / 13Jan25: Sell 260@995.23 = 258760</t>
        </is>
      </c>
      <c r="I385" s="5" t="n"/>
      <c r="J385" s="5" t="n"/>
      <c r="K385" s="5" t="n"/>
    </row>
    <row r="386">
      <c r="A386" s="10" t="n"/>
      <c r="B386" s="10" t="n"/>
      <c r="C386" s="11" t="n">
        <v>45782</v>
      </c>
      <c r="D386" s="10" t="inlineStr">
        <is>
          <t>Sell</t>
        </is>
      </c>
      <c r="E386" s="12" t="n">
        <v>-784</v>
      </c>
      <c r="F386" s="13" t="n">
        <v>709.8200000000001</v>
      </c>
      <c r="G386" s="26" t="n">
        <v>-556498.88</v>
      </c>
      <c r="H386" s="14" t="inlineStr">
        <is>
          <t>Portfolio_2025.xlsx / 05May25: Sell 784@709.82 = 556499</t>
        </is>
      </c>
      <c r="I386" s="10" t="n"/>
      <c r="J386" s="10" t="n"/>
      <c r="K386" s="10" t="n"/>
    </row>
    <row r="387">
      <c r="A387" s="10" t="n"/>
      <c r="B387" s="10" t="n"/>
      <c r="C387" s="11" t="n">
        <v>45797</v>
      </c>
      <c r="D387" s="10" t="inlineStr">
        <is>
          <t>Sell</t>
        </is>
      </c>
      <c r="E387" s="15" t="n">
        <v>-783</v>
      </c>
      <c r="F387" s="13" t="n">
        <v>912.75</v>
      </c>
      <c r="G387" s="26" t="n">
        <v>-714683.25</v>
      </c>
      <c r="H387" s="14" t="inlineStr">
        <is>
          <t>Portfolio_2025.xlsx / 20May25: Sell 783@912.75 = 714683</t>
        </is>
      </c>
      <c r="I387" s="10" t="n"/>
      <c r="J387" s="10" t="n"/>
      <c r="K387" s="10" t="n"/>
    </row>
    <row r="388">
      <c r="A388" s="5" t="n"/>
      <c r="B388" s="5" t="n"/>
      <c r="C388" s="6" t="n">
        <v>45968</v>
      </c>
      <c r="D388" s="5" t="inlineStr">
        <is>
          <t>Sell</t>
        </is>
      </c>
      <c r="E388" s="7" t="n">
        <v>-783</v>
      </c>
      <c r="F388" s="8" t="n">
        <v>840.65</v>
      </c>
      <c r="G388" s="25" t="n">
        <v>-658228.95</v>
      </c>
      <c r="H388" s="9" t="inlineStr">
        <is>
          <t>Portfolio_2025.xlsx / 07Nov25: Sell 783@840.65 = 658229</t>
        </is>
      </c>
      <c r="I388" s="5" t="n"/>
      <c r="J388" s="5" t="n"/>
      <c r="K388" s="5" t="n"/>
    </row>
    <row r="389">
      <c r="A389" s="77" t="n"/>
      <c r="B389" s="77" t="n"/>
      <c r="C389" s="78" t="n"/>
      <c r="D389" s="77" t="n"/>
      <c r="E389" s="79">
        <f>SUM(E374:E388)</f>
        <v/>
      </c>
      <c r="F389" s="76" t="n"/>
      <c r="G389" s="76" t="n"/>
      <c r="H389" s="80" t="n"/>
      <c r="I389" s="77" t="n"/>
      <c r="J389" s="77" t="n"/>
      <c r="K389" s="77" t="n"/>
    </row>
    <row r="390">
      <c r="A390" s="64" t="n">
        <v>58</v>
      </c>
      <c r="B390" s="64" t="inlineStr">
        <is>
          <t>PEL</t>
        </is>
      </c>
      <c r="C390" s="65" t="n">
        <v>44767</v>
      </c>
      <c r="D390" s="64" t="inlineStr">
        <is>
          <t>Buy</t>
        </is>
      </c>
      <c r="E390" s="69" t="n">
        <v>635</v>
      </c>
      <c r="F390" s="67" t="n">
        <v>1825.5</v>
      </c>
      <c r="G390" s="67" t="n">
        <v>1159192.5</v>
      </c>
      <c r="H390" s="68" t="inlineStr">
        <is>
          <t>Portfolio_2022.xlsx / 25Jul22: Buy 635@1825.5 = 1159192.5</t>
        </is>
      </c>
      <c r="I390" s="64" t="n"/>
      <c r="J390" s="64" t="n"/>
      <c r="K390" s="64" t="n"/>
    </row>
    <row r="391">
      <c r="A391" s="37" t="n"/>
      <c r="B391" s="37" t="n"/>
      <c r="C391" s="38" t="n">
        <v>44879</v>
      </c>
      <c r="D391" s="37" t="inlineStr">
        <is>
          <t>Buy</t>
        </is>
      </c>
      <c r="E391" s="39" t="n">
        <v>317</v>
      </c>
      <c r="F391" s="40" t="n">
        <v>822.5</v>
      </c>
      <c r="G391" s="30" t="n">
        <v>260732.5</v>
      </c>
      <c r="H391" s="41" t="inlineStr">
        <is>
          <t>Portfolio_2022.xlsx / 14Nov22: Add 317@822.5 = 260733</t>
        </is>
      </c>
      <c r="I391" s="37" t="n"/>
      <c r="J391" s="37" t="n"/>
      <c r="K391" s="37" t="n"/>
    </row>
    <row r="392">
      <c r="A392" s="5" t="n"/>
      <c r="B392" s="5" t="n"/>
      <c r="C392" s="6" t="n">
        <v>44922</v>
      </c>
      <c r="D392" s="5" t="inlineStr">
        <is>
          <t>Buy</t>
        </is>
      </c>
      <c r="E392" s="7" t="n">
        <v>317</v>
      </c>
      <c r="F392" s="8" t="n">
        <v>823.74</v>
      </c>
      <c r="G392" s="25" t="n">
        <v>261125.58</v>
      </c>
      <c r="H392" s="9" t="inlineStr">
        <is>
          <t>Portfolio_2022.xlsx / 27Dec22: Buy 317@823.74 = 261126</t>
        </is>
      </c>
      <c r="I392" s="5" t="n"/>
      <c r="J392" s="5" t="n"/>
      <c r="K392" s="5" t="n"/>
    </row>
    <row r="393">
      <c r="A393" s="10" t="n"/>
      <c r="B393" s="10" t="n"/>
      <c r="C393" s="11" t="n">
        <v>45138</v>
      </c>
      <c r="D393" s="10" t="inlineStr">
        <is>
          <t>Sell</t>
        </is>
      </c>
      <c r="E393" s="12" t="n">
        <v>-1269</v>
      </c>
      <c r="F393" s="13" t="n">
        <v>1010.85</v>
      </c>
      <c r="G393" s="26" t="n">
        <v>-1282768.65</v>
      </c>
      <c r="H393" s="14" t="inlineStr">
        <is>
          <t>Portfolio_2023.xlsx / 31Jul23: Sell 1269@1010.85 = 1282768</t>
        </is>
      </c>
      <c r="I393" s="10" t="n"/>
      <c r="J393" s="10" t="n"/>
      <c r="K393" s="10" t="n"/>
    </row>
    <row r="394">
      <c r="A394" s="77" t="n"/>
      <c r="B394" s="77" t="n"/>
      <c r="C394" s="78" t="n"/>
      <c r="D394" s="77" t="n"/>
      <c r="E394" s="79">
        <f>SUM(E390:E393)</f>
        <v/>
      </c>
      <c r="F394" s="76" t="n"/>
      <c r="G394" s="76" t="n"/>
      <c r="H394" s="80" t="n"/>
      <c r="I394" s="77" t="n"/>
      <c r="J394" s="77" t="n"/>
      <c r="K394" s="77" t="n"/>
    </row>
    <row r="395">
      <c r="A395" s="64" t="n">
        <v>59</v>
      </c>
      <c r="B395" s="64" t="inlineStr">
        <is>
          <t>MAS Financial</t>
        </is>
      </c>
      <c r="C395" s="65" t="n">
        <v>44789</v>
      </c>
      <c r="D395" s="64" t="inlineStr">
        <is>
          <t>Buy</t>
        </is>
      </c>
      <c r="E395" s="66" t="n">
        <v>862</v>
      </c>
      <c r="F395" s="67" t="n">
        <v>688.83</v>
      </c>
      <c r="G395" s="67" t="n">
        <v>593771.4600000001</v>
      </c>
      <c r="H395" s="68" t="inlineStr">
        <is>
          <t>Portfolio_2022.xlsx / 16Aug22: Buy 862@688.83 = 593771.46</t>
        </is>
      </c>
      <c r="I395" s="64" t="n"/>
      <c r="J395" s="64" t="n"/>
      <c r="K395" s="64" t="n"/>
    </row>
    <row r="396">
      <c r="A396" s="5" t="n"/>
      <c r="B396" s="5" t="n"/>
      <c r="C396" s="6" t="n">
        <v>44818</v>
      </c>
      <c r="D396" s="5" t="inlineStr">
        <is>
          <t>Buy</t>
        </is>
      </c>
      <c r="E396" s="7" t="n">
        <v>390</v>
      </c>
      <c r="F396" s="8" t="n">
        <v>730.02</v>
      </c>
      <c r="G396" s="25" t="n">
        <v>284707.8</v>
      </c>
      <c r="H396" s="9" t="inlineStr">
        <is>
          <t>Portfolio_2022.xlsx / 14Sep22: Buy 390@730.02 =284707.8</t>
        </is>
      </c>
      <c r="I396" s="5" t="n"/>
      <c r="J396" s="5" t="n"/>
      <c r="K396" s="5" t="n"/>
    </row>
    <row r="397">
      <c r="A397" s="37" t="n"/>
      <c r="B397" s="37" t="n"/>
      <c r="C397" s="38" t="n">
        <v>44851</v>
      </c>
      <c r="D397" s="37" t="inlineStr">
        <is>
          <t>Buy</t>
        </is>
      </c>
      <c r="E397" s="39" t="n">
        <v>71</v>
      </c>
      <c r="F397" s="40" t="n">
        <v>703.0700000000001</v>
      </c>
      <c r="G397" s="30" t="n">
        <v>49917.97</v>
      </c>
      <c r="H397" s="41" t="inlineStr">
        <is>
          <t>Portfolio_2022.xlsx / 17Oct22: Buy 71@703.07 = 49917.97</t>
        </is>
      </c>
      <c r="I397" s="37" t="n"/>
      <c r="J397" s="37" t="n"/>
      <c r="K397" s="37" t="n"/>
    </row>
    <row r="398">
      <c r="A398" s="5" t="n"/>
      <c r="B398" s="5" t="n"/>
      <c r="C398" s="35" t="n">
        <v>44879</v>
      </c>
      <c r="D398" s="21" t="inlineStr">
        <is>
          <t>Buy</t>
        </is>
      </c>
      <c r="E398" s="36" t="n">
        <v>35</v>
      </c>
      <c r="F398" s="23" t="n">
        <v>760.2</v>
      </c>
      <c r="G398" s="28" t="n">
        <v>26607</v>
      </c>
      <c r="H398" s="24" t="inlineStr">
        <is>
          <t>Portfolio_2022.xlsx / 14Nov22: Add 35@760.2 = 26607</t>
        </is>
      </c>
      <c r="I398" s="5" t="n"/>
      <c r="J398" s="5" t="n"/>
      <c r="K398" s="5" t="n"/>
    </row>
    <row r="399">
      <c r="A399" s="5" t="n"/>
      <c r="B399" s="5" t="n"/>
      <c r="C399" s="6" t="n">
        <v>45145</v>
      </c>
      <c r="D399" s="5" t="inlineStr">
        <is>
          <t>Sell</t>
        </is>
      </c>
      <c r="E399" s="7" t="n">
        <v>-217</v>
      </c>
      <c r="F399" s="8" t="n">
        <v>813.59</v>
      </c>
      <c r="G399" s="25" t="n">
        <v>-176549.03</v>
      </c>
      <c r="H399" s="9" t="inlineStr">
        <is>
          <t>Portfolio_2023.xlsx / 07Aug23: Sell 217@813.59 = 176549</t>
        </is>
      </c>
      <c r="I399" s="5" t="n"/>
      <c r="J399" s="5" t="n"/>
      <c r="K399" s="5" t="n"/>
    </row>
    <row r="400">
      <c r="A400" s="37" t="n"/>
      <c r="B400" s="37" t="n"/>
      <c r="C400" s="38" t="n">
        <v>45174</v>
      </c>
      <c r="D400" s="37" t="inlineStr">
        <is>
          <t>Sell</t>
        </is>
      </c>
      <c r="E400" s="39" t="n">
        <v>-171</v>
      </c>
      <c r="F400" s="40" t="n">
        <v>884.38</v>
      </c>
      <c r="G400" s="30" t="n">
        <v>-151228.98</v>
      </c>
      <c r="H400" s="41" t="inlineStr">
        <is>
          <t>Portfolio_2023.xlsx / 05Sep23: Sell 171@884.38 = 151229</t>
        </is>
      </c>
      <c r="I400" s="37" t="n"/>
      <c r="J400" s="37" t="n"/>
      <c r="K400" s="37" t="n"/>
    </row>
    <row r="401">
      <c r="A401" s="5" t="n"/>
      <c r="B401" s="5" t="n"/>
      <c r="C401" s="6" t="n">
        <v>45306</v>
      </c>
      <c r="D401" s="5" t="inlineStr">
        <is>
          <t>Sell</t>
        </is>
      </c>
      <c r="E401" s="7" t="n">
        <v>-970</v>
      </c>
      <c r="F401" s="8" t="n">
        <v>958.58</v>
      </c>
      <c r="G401" s="25" t="n">
        <v>-929822.6000000001</v>
      </c>
      <c r="H401" s="9" t="inlineStr">
        <is>
          <t>Portfolio_2024.xlsx / 15Jan24: Sell 970@958.58 = 929822</t>
        </is>
      </c>
      <c r="I401" s="5" t="n"/>
      <c r="J401" s="5" t="n"/>
      <c r="K401" s="5" t="n"/>
    </row>
    <row r="402">
      <c r="A402" s="77" t="n"/>
      <c r="B402" s="77" t="n"/>
      <c r="C402" s="78" t="n"/>
      <c r="D402" s="77" t="n"/>
      <c r="E402" s="79">
        <f>SUM(E395:E401)</f>
        <v/>
      </c>
      <c r="F402" s="76" t="n"/>
      <c r="G402" s="76" t="n"/>
      <c r="H402" s="80" t="n"/>
      <c r="I402" s="77" t="n"/>
      <c r="J402" s="77" t="n"/>
      <c r="K402" s="77" t="n"/>
    </row>
    <row r="403" ht="28" customHeight="1">
      <c r="A403" s="64" t="n">
        <v>60</v>
      </c>
      <c r="B403" s="64" t="inlineStr">
        <is>
          <t>PiramalPharma</t>
        </is>
      </c>
      <c r="C403" s="70" t="n">
        <v>44803</v>
      </c>
      <c r="D403" s="71" t="inlineStr">
        <is>
          <t>Demerger</t>
        </is>
      </c>
      <c r="E403" s="75" t="n">
        <v>2540</v>
      </c>
      <c r="F403" s="73" t="n">
        <v>0</v>
      </c>
      <c r="G403" s="73" t="n">
        <v>0</v>
      </c>
      <c r="H403" s="74" t="inlineStr">
        <is>
          <t>Portfolio_2022.xlsx / 30Aug22: New Shares Allocated. 4 shares for every 1 shares in PEL</t>
        </is>
      </c>
      <c r="I403" s="64" t="n"/>
      <c r="J403" s="64" t="n"/>
      <c r="K403" s="64" t="n"/>
    </row>
    <row r="404">
      <c r="A404" s="10" t="n"/>
      <c r="B404" s="10" t="n"/>
      <c r="C404" s="11" t="n">
        <v>44886</v>
      </c>
      <c r="D404" s="10" t="inlineStr">
        <is>
          <t>Sell</t>
        </is>
      </c>
      <c r="E404" s="12" t="n">
        <v>-2540</v>
      </c>
      <c r="F404" s="13" t="n">
        <v>137.4</v>
      </c>
      <c r="G404" s="26" t="n">
        <v>-348996</v>
      </c>
      <c r="H404" s="14" t="inlineStr">
        <is>
          <t>Portfolio_2022.xlsx / 21Nov22: Sell 2540@137.4 = 348996</t>
        </is>
      </c>
      <c r="I404" s="10" t="n"/>
      <c r="J404" s="10" t="n"/>
      <c r="K404" s="10" t="n"/>
    </row>
    <row r="405">
      <c r="A405" s="77" t="n"/>
      <c r="B405" s="77" t="n"/>
      <c r="C405" s="78" t="n"/>
      <c r="D405" s="77" t="n"/>
      <c r="E405" s="79">
        <f>SUM(E403:E404)</f>
        <v/>
      </c>
      <c r="F405" s="76" t="n"/>
      <c r="G405" s="76" t="n"/>
      <c r="H405" s="80" t="n"/>
      <c r="I405" s="77" t="n"/>
      <c r="J405" s="77" t="n"/>
      <c r="K405" s="77" t="n"/>
    </row>
    <row r="406">
      <c r="A406" s="64" t="n">
        <v>61</v>
      </c>
      <c r="B406" s="64" t="inlineStr">
        <is>
          <t>PowerMech</t>
        </is>
      </c>
      <c r="C406" s="65" t="n">
        <v>44818</v>
      </c>
      <c r="D406" s="64" t="inlineStr">
        <is>
          <t>Buy</t>
        </is>
      </c>
      <c r="E406" s="66" t="n">
        <v>410</v>
      </c>
      <c r="F406" s="67" t="n">
        <v>1650.71</v>
      </c>
      <c r="G406" s="67" t="n">
        <v>676791.1</v>
      </c>
      <c r="H406" s="68" t="inlineStr">
        <is>
          <t>Portfolio_2022.xlsx / 14Sep22: Buy 410@1650.71 = 676791.1</t>
        </is>
      </c>
      <c r="I406" s="64" t="n"/>
      <c r="J406" s="64" t="n"/>
      <c r="K406" s="64" t="n"/>
    </row>
    <row r="407">
      <c r="A407" s="37" t="n"/>
      <c r="B407" s="37" t="n"/>
      <c r="C407" s="38" t="n">
        <v>44851</v>
      </c>
      <c r="D407" s="37" t="inlineStr">
        <is>
          <t>Buy</t>
        </is>
      </c>
      <c r="E407" s="42" t="n">
        <v>205</v>
      </c>
      <c r="F407" s="40" t="n">
        <v>1787.93</v>
      </c>
      <c r="G407" s="30" t="n">
        <v>366525.65</v>
      </c>
      <c r="H407" s="41" t="inlineStr">
        <is>
          <t>Portfolio_2022.xlsx / 17Oct22: Buy 205@1787.93 = 366525.65</t>
        </is>
      </c>
      <c r="I407" s="37" t="n"/>
      <c r="J407" s="37" t="n"/>
      <c r="K407" s="37" t="n"/>
    </row>
    <row r="408">
      <c r="A408" s="5" t="n"/>
      <c r="B408" s="5" t="n"/>
      <c r="C408" s="6" t="n">
        <v>45358</v>
      </c>
      <c r="D408" s="5" t="inlineStr">
        <is>
          <t>Buy</t>
        </is>
      </c>
      <c r="E408" s="7" t="n">
        <v>135</v>
      </c>
      <c r="F408" s="8" t="n">
        <v>4691.82</v>
      </c>
      <c r="G408" s="25" t="n">
        <v>633395.7</v>
      </c>
      <c r="H408" s="9" t="inlineStr">
        <is>
          <t>Portfolio_2024.xlsx / 07Mar24: Buy 135@4691.82 = 633396</t>
        </is>
      </c>
      <c r="I408" s="5" t="n"/>
      <c r="J408" s="5" t="n"/>
      <c r="K408" s="5" t="n"/>
    </row>
    <row r="409">
      <c r="A409" s="10" t="n"/>
      <c r="B409" s="10" t="n"/>
      <c r="C409" s="11" t="n">
        <v>45447</v>
      </c>
      <c r="D409" s="10" t="inlineStr">
        <is>
          <t>Buy</t>
        </is>
      </c>
      <c r="E409" s="12" t="n">
        <v>181</v>
      </c>
      <c r="F409" s="13" t="n">
        <v>4670.4</v>
      </c>
      <c r="G409" s="26" t="n">
        <v>845342.3999999999</v>
      </c>
      <c r="H409" s="14" t="inlineStr">
        <is>
          <t>Portfolio_2024.xlsx / 04Jun24: Buy 181@4670.4 = 845343</t>
        </is>
      </c>
      <c r="I409" s="10" t="n"/>
      <c r="J409" s="10" t="n"/>
      <c r="K409" s="10" t="n"/>
    </row>
    <row r="410">
      <c r="A410" s="10" t="n"/>
      <c r="B410" s="10" t="n"/>
      <c r="C410" s="70" t="n">
        <v>45573</v>
      </c>
      <c r="D410" s="71" t="inlineStr">
        <is>
          <t>Bonus</t>
        </is>
      </c>
      <c r="E410" s="72" t="n">
        <v>931</v>
      </c>
      <c r="F410" s="73" t="n">
        <v>0</v>
      </c>
      <c r="G410" s="73" t="n">
        <v>0</v>
      </c>
      <c r="H410" s="74" t="inlineStr">
        <is>
          <t>Portfolio_2024.xlsx / 08Oct24: Bonus 1:1</t>
        </is>
      </c>
      <c r="I410" s="10" t="n"/>
      <c r="J410" s="10" t="n"/>
      <c r="K410" s="10" t="n"/>
    </row>
    <row r="411">
      <c r="A411" s="37" t="n"/>
      <c r="B411" s="37" t="n"/>
      <c r="C411" s="38" t="n">
        <v>46195</v>
      </c>
      <c r="D411" s="37" t="inlineStr">
        <is>
          <t>Sell</t>
        </is>
      </c>
      <c r="E411" s="39" t="n">
        <v>-143</v>
      </c>
      <c r="F411" s="40" t="n">
        <v>2949.12</v>
      </c>
      <c r="G411" s="30" t="n">
        <v>-421724.16</v>
      </c>
      <c r="H411" s="41" t="inlineStr">
        <is>
          <t>Portfolio_2026.xlsx / 22Jun26: Sell 143@2949.12 = 421724</t>
        </is>
      </c>
      <c r="I411" s="37" t="n"/>
      <c r="J411" s="37" t="n"/>
      <c r="K411" s="37" t="n"/>
    </row>
    <row r="412">
      <c r="A412" s="77" t="n"/>
      <c r="B412" s="77" t="n"/>
      <c r="C412" s="78" t="n"/>
      <c r="D412" s="77" t="n"/>
      <c r="E412" s="79">
        <f>SUM(E406:E411)</f>
        <v/>
      </c>
      <c r="F412" s="76" t="n"/>
      <c r="G412" s="76" t="n"/>
      <c r="H412" s="80" t="n"/>
      <c r="I412" s="77" t="n"/>
      <c r="J412" s="77" t="n"/>
      <c r="K412" s="77" t="n"/>
    </row>
    <row r="413">
      <c r="A413" s="64" t="n">
        <v>62</v>
      </c>
      <c r="B413" s="64" t="inlineStr">
        <is>
          <t>VadilalInd</t>
        </is>
      </c>
      <c r="C413" s="65" t="n">
        <v>44886</v>
      </c>
      <c r="D413" s="64" t="inlineStr">
        <is>
          <t>Buy</t>
        </is>
      </c>
      <c r="E413" s="69" t="n">
        <v>458</v>
      </c>
      <c r="F413" s="67" t="n">
        <v>2487.9</v>
      </c>
      <c r="G413" s="67" t="n">
        <v>1139458.2</v>
      </c>
      <c r="H413" s="68" t="inlineStr">
        <is>
          <t>Portfolio_2022.xlsx / 21Nov22: Buy 458@2487.9 = 1139458</t>
        </is>
      </c>
      <c r="I413" s="64" t="n"/>
      <c r="J413" s="64" t="n"/>
      <c r="K413" s="64" t="n"/>
    </row>
    <row r="414">
      <c r="A414" s="37" t="n"/>
      <c r="B414" s="37" t="n"/>
      <c r="C414" s="38" t="n">
        <v>45077</v>
      </c>
      <c r="D414" s="37" t="inlineStr">
        <is>
          <t>Buy</t>
        </is>
      </c>
      <c r="E414" s="39" t="n">
        <v>115</v>
      </c>
      <c r="F414" s="40" t="n">
        <v>2685.54</v>
      </c>
      <c r="G414" s="30" t="n">
        <v>308837.1</v>
      </c>
      <c r="H414" s="41" t="inlineStr">
        <is>
          <t>Portfolio_2023.xlsx / 31May23: Buy 115@2685.54 = 308837</t>
        </is>
      </c>
      <c r="I414" s="37" t="n"/>
      <c r="J414" s="37" t="n"/>
      <c r="K414" s="37" t="n"/>
    </row>
    <row r="415">
      <c r="A415" s="5" t="n"/>
      <c r="B415" s="5" t="n"/>
      <c r="C415" s="6" t="n">
        <v>45149</v>
      </c>
      <c r="D415" s="5" t="inlineStr">
        <is>
          <t>Buy</t>
        </is>
      </c>
      <c r="E415" s="7" t="n">
        <v>189</v>
      </c>
      <c r="F415" s="8" t="n">
        <v>2904.62</v>
      </c>
      <c r="G415" s="25" t="n">
        <v>548973.1799999999</v>
      </c>
      <c r="H415" s="9" t="inlineStr">
        <is>
          <t>Portfolio_2023.xlsx / 11Aug23: Add till 6%. 189@2904.62 = 548973</t>
        </is>
      </c>
      <c r="I415" s="5" t="n"/>
      <c r="J415" s="5" t="n"/>
      <c r="K415" s="5" t="n"/>
    </row>
    <row r="416">
      <c r="A416" s="77" t="n"/>
      <c r="B416" s="77" t="n"/>
      <c r="C416" s="78" t="n"/>
      <c r="D416" s="77" t="n"/>
      <c r="E416" s="79">
        <f>SUM(E413:E415)</f>
        <v/>
      </c>
      <c r="F416" s="76" t="n"/>
      <c r="G416" s="76" t="n"/>
      <c r="H416" s="80" t="n"/>
      <c r="I416" s="77" t="n"/>
      <c r="J416" s="77" t="n"/>
      <c r="K416" s="77" t="n"/>
    </row>
    <row r="417">
      <c r="A417" s="64" t="n">
        <v>63</v>
      </c>
      <c r="B417" s="64" t="inlineStr">
        <is>
          <t>AstraMicro</t>
        </is>
      </c>
      <c r="C417" s="65" t="n">
        <v>44969</v>
      </c>
      <c r="D417" s="64" t="inlineStr">
        <is>
          <t>Buy</t>
        </is>
      </c>
      <c r="E417" s="66" t="n">
        <v>4326</v>
      </c>
      <c r="F417" s="67" t="n">
        <v>273.23</v>
      </c>
      <c r="G417" s="67" t="n">
        <v>1181992.98</v>
      </c>
      <c r="H417" s="68" t="inlineStr">
        <is>
          <t>Portfolio_2023.xlsx / 12Feb23: Buy 4326@273.23 = 1181992.98</t>
        </is>
      </c>
      <c r="I417" s="64" t="n"/>
      <c r="J417" s="64" t="n"/>
      <c r="K417" s="64" t="n"/>
    </row>
    <row r="418">
      <c r="A418" s="10" t="n"/>
      <c r="B418" s="10" t="n"/>
      <c r="C418" s="11" t="n">
        <v>45062</v>
      </c>
      <c r="D418" s="10" t="inlineStr">
        <is>
          <t>Buy</t>
        </is>
      </c>
      <c r="E418" s="12" t="n">
        <v>2424</v>
      </c>
      <c r="F418" s="13" t="n">
        <v>336.75</v>
      </c>
      <c r="G418" s="26" t="n">
        <v>816282</v>
      </c>
      <c r="H418" s="14" t="inlineStr">
        <is>
          <t>Portfolio_2023.xlsx / 16May23: Buy 2424@336.75 = 816282</t>
        </is>
      </c>
      <c r="I418" s="10" t="n"/>
      <c r="J418" s="10" t="n"/>
      <c r="K418" s="10" t="n"/>
    </row>
    <row r="419">
      <c r="A419" s="77" t="n"/>
      <c r="B419" s="77" t="n"/>
      <c r="C419" s="78" t="n"/>
      <c r="D419" s="77" t="n"/>
      <c r="E419" s="79">
        <f>SUM(E417:E418)</f>
        <v/>
      </c>
      <c r="F419" s="76" t="n"/>
      <c r="G419" s="76" t="n"/>
      <c r="H419" s="80" t="n"/>
      <c r="I419" s="77" t="n"/>
      <c r="J419" s="77" t="n"/>
      <c r="K419" s="77" t="n"/>
    </row>
    <row r="420">
      <c r="A420" s="64" t="n">
        <v>64</v>
      </c>
      <c r="B420" s="64" t="inlineStr">
        <is>
          <t>WelEnt</t>
        </is>
      </c>
      <c r="C420" s="65" t="n">
        <v>45142</v>
      </c>
      <c r="D420" s="64" t="inlineStr">
        <is>
          <t>Buy</t>
        </is>
      </c>
      <c r="E420" s="66" t="n">
        <v>7985</v>
      </c>
      <c r="F420" s="67" t="n">
        <v>285.12</v>
      </c>
      <c r="G420" s="67" t="n">
        <v>2276683.2</v>
      </c>
      <c r="H420" s="68" t="inlineStr">
        <is>
          <t>Portfolio_2023.xlsx / 04Aug23: Add 6%. 7985@285.12 = 2276683</t>
        </is>
      </c>
      <c r="I420" s="64" t="n"/>
      <c r="J420" s="64" t="n"/>
      <c r="K420" s="64" t="n"/>
    </row>
    <row r="421">
      <c r="A421" s="37" t="n"/>
      <c r="B421" s="37" t="n"/>
      <c r="C421" s="38" t="n">
        <v>45239</v>
      </c>
      <c r="D421" s="37" t="inlineStr">
        <is>
          <t>Buy</t>
        </is>
      </c>
      <c r="E421" s="39" t="n">
        <v>1084</v>
      </c>
      <c r="F421" s="40" t="n">
        <v>289.05</v>
      </c>
      <c r="G421" s="30" t="n">
        <v>313330.2</v>
      </c>
      <c r="H421" s="41" t="inlineStr">
        <is>
          <t>Portfolio_2023.xlsx / 09Nov23: Buy 1084@289.05 = 313330</t>
        </is>
      </c>
      <c r="I421" s="37" t="n"/>
      <c r="J421" s="37" t="n"/>
      <c r="K421" s="37" t="n"/>
    </row>
    <row r="422">
      <c r="A422" s="5" t="n"/>
      <c r="B422" s="5" t="n"/>
      <c r="C422" s="6" t="n">
        <v>45358</v>
      </c>
      <c r="D422" s="5" t="inlineStr">
        <is>
          <t>Buy</t>
        </is>
      </c>
      <c r="E422" s="20" t="n">
        <v>1117</v>
      </c>
      <c r="F422" s="8" t="n">
        <v>300.66</v>
      </c>
      <c r="G422" s="25" t="n">
        <v>335837.22</v>
      </c>
      <c r="H422" s="9" t="inlineStr">
        <is>
          <t>Portfolio_2024.xlsx / 07Mar24: Buy 1117@300.66 = 335837</t>
        </is>
      </c>
      <c r="I422" s="5" t="n"/>
      <c r="J422" s="5" t="n"/>
      <c r="K422" s="5" t="n"/>
    </row>
    <row r="423">
      <c r="A423" s="10" t="n"/>
      <c r="B423" s="10" t="n"/>
      <c r="C423" s="35" t="n">
        <v>45596</v>
      </c>
      <c r="D423" s="21" t="inlineStr">
        <is>
          <t>Buy</t>
        </is>
      </c>
      <c r="E423" s="36" t="n">
        <v>2249</v>
      </c>
      <c r="F423" s="23" t="n">
        <v>470.08</v>
      </c>
      <c r="G423" s="28" t="n">
        <v>1057209.92</v>
      </c>
      <c r="H423" s="24" t="inlineStr">
        <is>
          <t>Portfolio_2024.xlsx / 31Oct24: Add 2249@470.08 = 1057210</t>
        </is>
      </c>
      <c r="I423" s="10" t="n"/>
      <c r="J423" s="10" t="n"/>
      <c r="K423" s="10" t="n"/>
    </row>
    <row r="424">
      <c r="A424" s="10" t="n"/>
      <c r="B424" s="10" t="n"/>
      <c r="C424" s="11" t="n">
        <v>45692</v>
      </c>
      <c r="D424" s="10" t="inlineStr">
        <is>
          <t>Sell</t>
        </is>
      </c>
      <c r="E424" s="12" t="n">
        <v>-5230</v>
      </c>
      <c r="F424" s="13" t="n">
        <v>566.72</v>
      </c>
      <c r="G424" s="26" t="n">
        <v>-2963945.6</v>
      </c>
      <c r="H424" s="14" t="inlineStr">
        <is>
          <t>Portfolio_2025.xlsx / 04Feb25: Sell 5230@566.72 = 2963945</t>
        </is>
      </c>
      <c r="I424" s="10" t="n"/>
      <c r="J424" s="10" t="n"/>
      <c r="K424" s="10" t="n"/>
    </row>
    <row r="425">
      <c r="A425" s="5" t="n"/>
      <c r="B425" s="5" t="n"/>
      <c r="C425" s="6" t="n">
        <v>45722</v>
      </c>
      <c r="D425" s="5" t="inlineStr">
        <is>
          <t>Sell</t>
        </is>
      </c>
      <c r="E425" s="7" t="n">
        <v>-405</v>
      </c>
      <c r="F425" s="8" t="n">
        <v>519.03</v>
      </c>
      <c r="G425" s="25" t="n">
        <v>-210207.15</v>
      </c>
      <c r="H425" s="9" t="inlineStr">
        <is>
          <t>Portfolio_2025.xlsx / 06Mar25: Sell 405@519.03 = 210207</t>
        </is>
      </c>
      <c r="I425" s="5" t="n"/>
      <c r="J425" s="5" t="n"/>
      <c r="K425" s="5" t="n"/>
    </row>
    <row r="426">
      <c r="A426" s="10" t="n"/>
      <c r="B426" s="10" t="n"/>
      <c r="C426" s="11" t="n">
        <v>46120</v>
      </c>
      <c r="D426" s="10" t="inlineStr">
        <is>
          <t>Sell</t>
        </is>
      </c>
      <c r="E426" s="12" t="n">
        <v>-983</v>
      </c>
      <c r="F426" s="13" t="n">
        <v>449.03</v>
      </c>
      <c r="G426" s="26" t="n">
        <v>-441396.49</v>
      </c>
      <c r="H426" s="14" t="inlineStr">
        <is>
          <t>Portfolio_2026.xlsx / 08Apr26: Sell 983@449.03 = 441396</t>
        </is>
      </c>
      <c r="I426" s="10" t="n"/>
      <c r="J426" s="10" t="n"/>
      <c r="K426" s="10" t="n"/>
    </row>
    <row r="427">
      <c r="A427" s="37" t="n"/>
      <c r="B427" s="37" t="n"/>
      <c r="C427" s="38" t="n">
        <v>46122</v>
      </c>
      <c r="D427" s="37" t="inlineStr">
        <is>
          <t>Sell</t>
        </is>
      </c>
      <c r="E427" s="39" t="n">
        <v>-767</v>
      </c>
      <c r="F427" s="40" t="n">
        <v>447.37</v>
      </c>
      <c r="G427" s="30" t="n">
        <v>-343132.79</v>
      </c>
      <c r="H427" s="41" t="inlineStr">
        <is>
          <t>Portfolio_2026.xlsx / 10Apr26: Sell 767@447.37 = 343132</t>
        </is>
      </c>
      <c r="I427" s="37" t="n"/>
      <c r="J427" s="37" t="n"/>
      <c r="K427" s="37" t="n"/>
    </row>
    <row r="428">
      <c r="A428" s="5" t="n"/>
      <c r="B428" s="5" t="n"/>
      <c r="C428" s="6" t="n">
        <v>46128</v>
      </c>
      <c r="D428" s="5" t="inlineStr">
        <is>
          <t>Sell</t>
        </is>
      </c>
      <c r="E428" s="20" t="n">
        <v>-1715</v>
      </c>
      <c r="F428" s="8" t="n">
        <v>459.19</v>
      </c>
      <c r="G428" s="25" t="n">
        <v>-787510.85</v>
      </c>
      <c r="H428" s="9" t="inlineStr">
        <is>
          <t>Portfolio_2026.xlsx / 16Apr26: Sell 1715@459.19 = 787510</t>
        </is>
      </c>
      <c r="I428" s="5" t="n"/>
      <c r="J428" s="5" t="n"/>
      <c r="K428" s="5" t="n"/>
    </row>
    <row r="429">
      <c r="A429" s="5" t="n"/>
      <c r="B429" s="5" t="n"/>
      <c r="C429" s="6" t="n">
        <v>46147</v>
      </c>
      <c r="D429" s="5" t="inlineStr">
        <is>
          <t>Sell</t>
        </is>
      </c>
      <c r="E429" s="7" t="n">
        <v>-339</v>
      </c>
      <c r="F429" s="8" t="n">
        <v>521.4299999999999</v>
      </c>
      <c r="G429" s="25" t="n">
        <v>-176764.77</v>
      </c>
      <c r="H429" s="9" t="inlineStr">
        <is>
          <t>Portfolio_2026.xlsx / 05May26: Sell 339@521.43 = 176765</t>
        </is>
      </c>
      <c r="I429" s="5" t="n"/>
      <c r="J429" s="5" t="n"/>
      <c r="K429" s="5" t="n"/>
    </row>
    <row r="430">
      <c r="A430" s="37" t="n"/>
      <c r="B430" s="37" t="n"/>
      <c r="C430" s="38" t="n">
        <v>46195</v>
      </c>
      <c r="D430" s="37" t="inlineStr">
        <is>
          <t>Sell</t>
        </is>
      </c>
      <c r="E430" s="39" t="n">
        <v>-205</v>
      </c>
      <c r="F430" s="40" t="n">
        <v>580.5</v>
      </c>
      <c r="G430" s="30" t="n">
        <v>-119002.5</v>
      </c>
      <c r="H430" s="41" t="inlineStr">
        <is>
          <t>Portfolio_2026.xlsx / 22Jun26: Sell 205@580.5 = 119002</t>
        </is>
      </c>
      <c r="I430" s="37" t="n"/>
      <c r="J430" s="37" t="n"/>
      <c r="K430" s="37" t="n"/>
    </row>
    <row r="431">
      <c r="A431" s="37" t="n"/>
      <c r="B431" s="37" t="n"/>
      <c r="C431" s="38" t="n">
        <v>46204</v>
      </c>
      <c r="D431" s="37" t="inlineStr">
        <is>
          <t>Sell</t>
        </is>
      </c>
      <c r="E431" s="39" t="n">
        <v>-937</v>
      </c>
      <c r="F431" s="40" t="n">
        <v>602.72</v>
      </c>
      <c r="G431" s="30" t="n">
        <v>-564748.64</v>
      </c>
      <c r="H431" s="41" t="inlineStr">
        <is>
          <t>Portfolio_2026.xlsx / 01Jul26: Sell 937@602.72 = 564748.64</t>
        </is>
      </c>
      <c r="I431" s="37" t="n"/>
      <c r="J431" s="37" t="n"/>
      <c r="K431" s="37" t="n"/>
    </row>
    <row r="432">
      <c r="A432" s="77" t="n"/>
      <c r="B432" s="77" t="n"/>
      <c r="C432" s="78" t="n"/>
      <c r="D432" s="77" t="n"/>
      <c r="E432" s="79">
        <f>SUM(E420:E431)</f>
        <v/>
      </c>
      <c r="F432" s="76" t="n"/>
      <c r="G432" s="76" t="n"/>
      <c r="H432" s="80" t="n"/>
      <c r="I432" s="77" t="n"/>
      <c r="J432" s="77" t="n"/>
      <c r="K432" s="77" t="n"/>
    </row>
    <row r="433">
      <c r="A433" s="64" t="n">
        <v>65</v>
      </c>
      <c r="B433" s="64" t="inlineStr">
        <is>
          <t>ZenTech</t>
        </is>
      </c>
      <c r="C433" s="65" t="n">
        <v>45145</v>
      </c>
      <c r="D433" s="64" t="inlineStr">
        <is>
          <t>Buy</t>
        </is>
      </c>
      <c r="E433" s="69" t="n">
        <v>2592</v>
      </c>
      <c r="F433" s="67" t="n">
        <v>729.25</v>
      </c>
      <c r="G433" s="67" t="n">
        <v>1890216</v>
      </c>
      <c r="H433" s="68" t="inlineStr">
        <is>
          <t>Portfolio_2023.xlsx / 07Aug23: Add 6%. 2592@729.25 = 1890216</t>
        </is>
      </c>
      <c r="I433" s="64" t="n"/>
      <c r="J433" s="64" t="n"/>
      <c r="K433" s="64" t="n"/>
    </row>
    <row r="434">
      <c r="A434" s="5" t="n"/>
      <c r="B434" s="5" t="n"/>
      <c r="C434" s="6" t="n">
        <v>45181</v>
      </c>
      <c r="D434" s="5" t="inlineStr">
        <is>
          <t>Buy</t>
        </is>
      </c>
      <c r="E434" s="7" t="n">
        <v>518</v>
      </c>
      <c r="F434" s="8" t="n">
        <v>772</v>
      </c>
      <c r="G434" s="25" t="n">
        <v>399896</v>
      </c>
      <c r="H434" s="9" t="inlineStr">
        <is>
          <t>Portfolio_2023.xlsx / 12Sep23: Buy 518@772 = 399896</t>
        </is>
      </c>
      <c r="I434" s="5" t="n"/>
      <c r="J434" s="5" t="n"/>
      <c r="K434" s="5" t="n"/>
    </row>
    <row r="435">
      <c r="A435" s="10" t="n"/>
      <c r="B435" s="10" t="n"/>
      <c r="C435" s="11" t="n">
        <v>45230</v>
      </c>
      <c r="D435" s="10" t="inlineStr">
        <is>
          <t>Buy</t>
        </is>
      </c>
      <c r="E435" s="12" t="n">
        <v>820</v>
      </c>
      <c r="F435" s="13" t="n">
        <v>710.33</v>
      </c>
      <c r="G435" s="26" t="n">
        <v>582470.6</v>
      </c>
      <c r="H435" s="14" t="inlineStr">
        <is>
          <t>Portfolio_2023.xlsx / 31Oct23: Add 820@710.33 = 582471</t>
        </is>
      </c>
      <c r="I435" s="10" t="n"/>
      <c r="J435" s="10" t="n"/>
      <c r="K435" s="10" t="n"/>
    </row>
    <row r="436">
      <c r="A436" s="77" t="n"/>
      <c r="B436" s="77" t="n"/>
      <c r="C436" s="78" t="n"/>
      <c r="D436" s="77" t="n"/>
      <c r="E436" s="79">
        <f>SUM(E433:E435)</f>
        <v/>
      </c>
      <c r="F436" s="76" t="n"/>
      <c r="G436" s="76" t="n"/>
      <c r="H436" s="80" t="n"/>
      <c r="I436" s="77" t="n"/>
      <c r="J436" s="77" t="n"/>
      <c r="K436" s="77" t="n"/>
    </row>
    <row r="437">
      <c r="A437" s="64" t="n">
        <v>66</v>
      </c>
      <c r="B437" s="64" t="inlineStr">
        <is>
          <t>ThomasCook</t>
        </is>
      </c>
      <c r="C437" s="65" t="n">
        <v>45232</v>
      </c>
      <c r="D437" s="64" t="inlineStr">
        <is>
          <t>Buy</t>
        </is>
      </c>
      <c r="E437" s="66" t="n">
        <v>13763</v>
      </c>
      <c r="F437" s="67" t="n">
        <v>142.45</v>
      </c>
      <c r="G437" s="67" t="n">
        <v>1960539.35</v>
      </c>
      <c r="H437" s="68" t="inlineStr">
        <is>
          <t>Portfolio_2023.xlsx / 02Nov23: Buy 13763@142.45 = 1960539</t>
        </is>
      </c>
      <c r="I437" s="64" t="n"/>
      <c r="J437" s="64" t="n"/>
      <c r="K437" s="64" t="n"/>
    </row>
    <row r="438">
      <c r="A438" s="5" t="n"/>
      <c r="B438" s="5" t="n"/>
      <c r="C438" s="6" t="n">
        <v>45261</v>
      </c>
      <c r="D438" s="5" t="inlineStr">
        <is>
          <t>Buy</t>
        </is>
      </c>
      <c r="E438" s="7" t="n">
        <v>6317</v>
      </c>
      <c r="F438" s="8" t="n">
        <v>143.24</v>
      </c>
      <c r="G438" s="25" t="n">
        <v>904847.0800000001</v>
      </c>
      <c r="H438" s="9" t="inlineStr">
        <is>
          <t>Portfolio_2023.xlsx / 01Dec23: Buy 6317@143.24 = 904847</t>
        </is>
      </c>
      <c r="I438" s="5" t="n"/>
      <c r="J438" s="5" t="n"/>
      <c r="K438" s="5" t="n"/>
    </row>
    <row r="439">
      <c r="A439" s="10" t="n"/>
      <c r="B439" s="10" t="n"/>
      <c r="C439" s="35" t="n">
        <v>45328</v>
      </c>
      <c r="D439" s="21" t="inlineStr">
        <is>
          <t>Buy</t>
        </is>
      </c>
      <c r="E439" s="36" t="n">
        <v>2811</v>
      </c>
      <c r="F439" s="23" t="n">
        <v>176.72</v>
      </c>
      <c r="G439" s="28" t="n">
        <v>496759.92</v>
      </c>
      <c r="H439" s="24" t="inlineStr">
        <is>
          <t>Portfolio_2024.xlsx / 06Feb24: Add 2811@176.72 = 496760</t>
        </is>
      </c>
      <c r="I439" s="10" t="n"/>
      <c r="J439" s="10" t="n"/>
      <c r="K439" s="10" t="n"/>
    </row>
    <row r="440">
      <c r="A440" s="10" t="n"/>
      <c r="B440" s="10" t="n"/>
      <c r="C440" s="11" t="n">
        <v>45334</v>
      </c>
      <c r="D440" s="10" t="inlineStr">
        <is>
          <t>Buy</t>
        </is>
      </c>
      <c r="E440" s="12" t="n">
        <v>3464</v>
      </c>
      <c r="F440" s="13" t="n">
        <v>3464</v>
      </c>
      <c r="G440" s="26" t="n">
        <v>547208.08</v>
      </c>
      <c r="H440" s="14" t="inlineStr">
        <is>
          <t>Portfolio_2024.xlsx / 12Feb24: Add 3464@157.97 = 547208</t>
        </is>
      </c>
      <c r="I440" s="10" t="n"/>
      <c r="J440" s="10" t="n"/>
      <c r="K440" s="10" t="n"/>
    </row>
    <row r="441">
      <c r="A441" s="37" t="n"/>
      <c r="B441" s="37" t="n"/>
      <c r="C441" s="38" t="n">
        <v>45358</v>
      </c>
      <c r="D441" s="37" t="inlineStr">
        <is>
          <t>Buy</t>
        </is>
      </c>
      <c r="E441" s="42" t="n">
        <v>1538</v>
      </c>
      <c r="F441" s="40" t="n">
        <v>146.91</v>
      </c>
      <c r="G441" s="30" t="n">
        <v>225947.58</v>
      </c>
      <c r="H441" s="41" t="inlineStr">
        <is>
          <t>Portfolio_2024.xlsx / 07Mar24: Buy 1538@146.91 = 225948</t>
        </is>
      </c>
      <c r="I441" s="37" t="n"/>
      <c r="J441" s="37" t="n"/>
      <c r="K441" s="37" t="n"/>
    </row>
    <row r="442">
      <c r="A442" s="77" t="n"/>
      <c r="B442" s="77" t="n"/>
      <c r="C442" s="78" t="n"/>
      <c r="D442" s="77" t="n"/>
      <c r="E442" s="79">
        <f>SUM(E437:E441)</f>
        <v/>
      </c>
      <c r="F442" s="76" t="n"/>
      <c r="G442" s="76" t="n"/>
      <c r="H442" s="80" t="n"/>
      <c r="I442" s="77" t="n"/>
      <c r="J442" s="77" t="n"/>
      <c r="K442" s="77" t="n"/>
    </row>
    <row r="443">
      <c r="A443" s="64" t="n">
        <v>67</v>
      </c>
      <c r="B443" s="64" t="inlineStr">
        <is>
          <t>Aurionpro</t>
        </is>
      </c>
      <c r="C443" s="65" t="n">
        <v>45441</v>
      </c>
      <c r="D443" s="64" t="inlineStr">
        <is>
          <t>Buy</t>
        </is>
      </c>
      <c r="E443" s="66" t="n">
        <v>448</v>
      </c>
      <c r="F443" s="67" t="n">
        <v>2097.31</v>
      </c>
      <c r="G443" s="67" t="n">
        <v>939594.88</v>
      </c>
      <c r="H443" s="68" t="inlineStr">
        <is>
          <t>Portfolio_2024.xlsx / 29May24: Buy 448@2097.31 = 939595</t>
        </is>
      </c>
      <c r="I443" s="64" t="n"/>
      <c r="J443" s="64" t="n"/>
      <c r="K443" s="64" t="n"/>
    </row>
    <row r="444">
      <c r="A444" s="10" t="n"/>
      <c r="B444" s="10" t="n"/>
      <c r="C444" s="70" t="n">
        <v>45470</v>
      </c>
      <c r="D444" s="71" t="inlineStr">
        <is>
          <t>Bonus</t>
        </is>
      </c>
      <c r="E444" s="72" t="n">
        <v>448</v>
      </c>
      <c r="F444" s="73" t="n">
        <v>0</v>
      </c>
      <c r="G444" s="73" t="n">
        <v>0</v>
      </c>
      <c r="H444" s="74" t="inlineStr">
        <is>
          <t>Portfolio_2024.xlsx / 27Jun24: Bonus 1:1</t>
        </is>
      </c>
      <c r="I444" s="10" t="n"/>
      <c r="J444" s="10" t="n"/>
      <c r="K444" s="10" t="n"/>
    </row>
    <row r="445">
      <c r="A445" s="10" t="n"/>
      <c r="B445" s="10" t="n"/>
      <c r="C445" s="11" t="n">
        <v>45754</v>
      </c>
      <c r="D445" s="10" t="inlineStr">
        <is>
          <t>Buy</t>
        </is>
      </c>
      <c r="E445" s="12" t="n">
        <v>37</v>
      </c>
      <c r="F445" s="13" t="n">
        <v>1384.68</v>
      </c>
      <c r="G445" s="26" t="n">
        <v>51233.16</v>
      </c>
      <c r="H445" s="14" t="inlineStr">
        <is>
          <t>Portfolio_2025.xlsx / 07Apr25: Buy 37@1384.68 = 51233.16</t>
        </is>
      </c>
      <c r="I445" s="10" t="n"/>
      <c r="J445" s="10" t="n"/>
      <c r="K445" s="10" t="n"/>
    </row>
    <row r="446">
      <c r="A446" s="37" t="n"/>
      <c r="B446" s="37" t="n"/>
      <c r="C446" s="38" t="n">
        <v>45797</v>
      </c>
      <c r="D446" s="37" t="inlineStr">
        <is>
          <t>Buy</t>
        </is>
      </c>
      <c r="E446" s="42" t="n">
        <v>403</v>
      </c>
      <c r="F446" s="40" t="n">
        <v>1396.69</v>
      </c>
      <c r="G446" s="30" t="n">
        <v>562866.0700000001</v>
      </c>
      <c r="H446" s="41" t="inlineStr">
        <is>
          <t>Portfolio_2025.xlsx / 20May25: Buy 403@1396.69 = 562866</t>
        </is>
      </c>
      <c r="I446" s="37" t="n"/>
      <c r="J446" s="37" t="n"/>
      <c r="K446" s="37" t="n"/>
    </row>
    <row r="447">
      <c r="A447" s="5" t="n"/>
      <c r="B447" s="5" t="n"/>
      <c r="C447" s="6" t="n">
        <v>45810</v>
      </c>
      <c r="D447" s="5" t="inlineStr">
        <is>
          <t>Buy</t>
        </is>
      </c>
      <c r="E447" s="7" t="n">
        <v>478</v>
      </c>
      <c r="F447" s="8" t="n">
        <v>1389.95</v>
      </c>
      <c r="G447" s="25" t="n">
        <v>664396.1</v>
      </c>
      <c r="H447" s="9" t="inlineStr">
        <is>
          <t>Portfolio_2025.xlsx / 02Jun25: Buy 478@1389.95 = 664396</t>
        </is>
      </c>
      <c r="I447" s="5" t="n"/>
      <c r="J447" s="5" t="n"/>
      <c r="K447" s="5" t="n"/>
    </row>
    <row r="448">
      <c r="A448" s="5" t="n"/>
      <c r="B448" s="5" t="n"/>
      <c r="C448" s="6" t="n">
        <v>45887</v>
      </c>
      <c r="D448" s="5" t="inlineStr">
        <is>
          <t>Buy</t>
        </is>
      </c>
      <c r="E448" s="7" t="n">
        <v>149</v>
      </c>
      <c r="F448" s="8" t="n">
        <v>1427.79</v>
      </c>
      <c r="G448" s="25" t="n">
        <v>212740.71</v>
      </c>
      <c r="H448" s="9" t="inlineStr">
        <is>
          <t>Portfolio_2025.xlsx / 18Aug25: Buy 149@1427.79 = 212741</t>
        </is>
      </c>
      <c r="I448" s="5" t="n"/>
      <c r="J448" s="5" t="n"/>
      <c r="K448" s="5" t="n"/>
    </row>
    <row r="449">
      <c r="A449" s="37" t="n"/>
      <c r="B449" s="37" t="n"/>
      <c r="C449" s="38" t="n">
        <v>45904</v>
      </c>
      <c r="D449" s="37" t="inlineStr">
        <is>
          <t>Buy</t>
        </is>
      </c>
      <c r="E449" s="39" t="n">
        <v>306</v>
      </c>
      <c r="F449" s="40" t="n">
        <v>1290.97</v>
      </c>
      <c r="G449" s="30" t="n">
        <v>395036.82</v>
      </c>
      <c r="H449" s="41" t="inlineStr">
        <is>
          <t>Portfolio_2025.xlsx / 04Sep25: Buy 306@1290.97 = 395037</t>
        </is>
      </c>
      <c r="I449" s="37" t="n"/>
      <c r="J449" s="37" t="n"/>
      <c r="K449" s="37" t="n"/>
    </row>
    <row r="450">
      <c r="A450" s="5" t="n"/>
      <c r="B450" s="5" t="n"/>
      <c r="C450" s="6" t="n">
        <v>45968</v>
      </c>
      <c r="D450" s="5" t="inlineStr">
        <is>
          <t>Buy</t>
        </is>
      </c>
      <c r="E450" s="7" t="n">
        <v>290</v>
      </c>
      <c r="F450" s="8" t="n">
        <v>1134</v>
      </c>
      <c r="G450" s="25" t="n">
        <v>328860</v>
      </c>
      <c r="H450" s="9" t="inlineStr">
        <is>
          <t>Portfolio_2025.xlsx / 07Nov25: Buy 290@1134 = 328860</t>
        </is>
      </c>
      <c r="I450" s="5" t="n"/>
      <c r="J450" s="5" t="n"/>
      <c r="K450" s="5" t="n"/>
    </row>
    <row r="451">
      <c r="A451" s="77" t="n"/>
      <c r="B451" s="77" t="n"/>
      <c r="C451" s="78" t="n"/>
      <c r="D451" s="77" t="n"/>
      <c r="E451" s="81">
        <f>SUM(E443:E450)</f>
        <v/>
      </c>
      <c r="F451" s="76" t="n"/>
      <c r="G451" s="76" t="n"/>
      <c r="H451" s="80" t="n"/>
      <c r="I451" s="77" t="n"/>
      <c r="J451" s="77" t="n"/>
      <c r="K451" s="77" t="n"/>
    </row>
    <row r="452">
      <c r="A452" s="64" t="n">
        <v>68</v>
      </c>
      <c r="B452" s="64" t="inlineStr">
        <is>
          <t>MorepenLab</t>
        </is>
      </c>
      <c r="C452" s="65" t="n">
        <v>45518</v>
      </c>
      <c r="D452" s="64" t="inlineStr">
        <is>
          <t>Buy</t>
        </is>
      </c>
      <c r="E452" s="66" t="n">
        <v>52890</v>
      </c>
      <c r="F452" s="67" t="n">
        <v>62.67</v>
      </c>
      <c r="G452" s="67" t="n">
        <v>3314616.3</v>
      </c>
      <c r="H452" s="68" t="inlineStr">
        <is>
          <t>Portfolio_2024.xlsx / 14Aug24: Add 52890@62.67 = 3314616</t>
        </is>
      </c>
      <c r="I452" s="64" t="n"/>
      <c r="J452" s="64" t="n"/>
      <c r="K452" s="64" t="n"/>
    </row>
    <row r="453">
      <c r="A453" s="5" t="n"/>
      <c r="B453" s="5" t="n"/>
      <c r="C453" s="6" t="n">
        <v>45876</v>
      </c>
      <c r="D453" s="5" t="inlineStr">
        <is>
          <t>Sell</t>
        </is>
      </c>
      <c r="E453" s="7" t="n">
        <v>-25548</v>
      </c>
      <c r="F453" s="8" t="n">
        <v>49.31</v>
      </c>
      <c r="G453" s="25" t="n">
        <v>-1259771.88</v>
      </c>
      <c r="H453" s="9" t="inlineStr">
        <is>
          <t>Portfolio_2025.xlsx / 07Aug25: Sell 25548@49.31 = 1259772</t>
        </is>
      </c>
      <c r="I453" s="5" t="n"/>
      <c r="J453" s="5" t="n"/>
      <c r="K453" s="5" t="n"/>
    </row>
    <row r="454">
      <c r="A454" s="37" t="n"/>
      <c r="B454" s="37" t="n"/>
      <c r="C454" s="38" t="n">
        <v>45887</v>
      </c>
      <c r="D454" s="37" t="inlineStr">
        <is>
          <t>Sell</t>
        </is>
      </c>
      <c r="E454" s="39" t="n">
        <v>-7385</v>
      </c>
      <c r="F454" s="40" t="n">
        <v>49.25</v>
      </c>
      <c r="G454" s="30" t="n">
        <v>-363711.25</v>
      </c>
      <c r="H454" s="41" t="inlineStr">
        <is>
          <t>Portfolio_2025.xlsx / 18Aug25: Sell 7385@49.25 = 363711</t>
        </is>
      </c>
      <c r="I454" s="37" t="n"/>
      <c r="J454" s="37" t="n"/>
      <c r="K454" s="37" t="n"/>
    </row>
    <row r="455">
      <c r="A455" s="5" t="n"/>
      <c r="B455" s="5" t="n"/>
      <c r="C455" s="6" t="n">
        <v>45909</v>
      </c>
      <c r="D455" s="5" t="inlineStr">
        <is>
          <t>Sell</t>
        </is>
      </c>
      <c r="E455" s="7" t="n">
        <v>-11467</v>
      </c>
      <c r="F455" s="8" t="n">
        <v>52.45</v>
      </c>
      <c r="G455" s="25" t="n">
        <v>-601444.15</v>
      </c>
      <c r="H455" s="9" t="inlineStr">
        <is>
          <t>Portfolio_2025.xlsx / 09Sep25: Sell 11467@52.45 = 601444</t>
        </is>
      </c>
      <c r="I455" s="5" t="n"/>
      <c r="J455" s="5" t="n"/>
      <c r="K455" s="5" t="n"/>
    </row>
    <row r="456">
      <c r="A456" s="10" t="n"/>
      <c r="B456" s="10" t="n"/>
      <c r="C456" s="11" t="n">
        <v>45968</v>
      </c>
      <c r="D456" s="10" t="inlineStr">
        <is>
          <t>Sell</t>
        </is>
      </c>
      <c r="E456" s="12" t="n">
        <v>-8490</v>
      </c>
      <c r="F456" s="13" t="n">
        <v>46.03</v>
      </c>
      <c r="G456" s="26" t="n">
        <v>-390794.7</v>
      </c>
      <c r="H456" s="14" t="inlineStr">
        <is>
          <t>Portfolio_2025.xlsx / 07Nov25: Sell 8490@46.03 = 390795</t>
        </is>
      </c>
      <c r="I456" s="10" t="n"/>
      <c r="J456" s="10" t="n"/>
      <c r="K456" s="10" t="n"/>
    </row>
    <row r="457">
      <c r="A457" s="77" t="n"/>
      <c r="B457" s="77" t="n"/>
      <c r="C457" s="78" t="n"/>
      <c r="D457" s="77" t="n"/>
      <c r="E457" s="79">
        <f>SUM(E452:E456)</f>
        <v/>
      </c>
      <c r="F457" s="76" t="n"/>
      <c r="G457" s="76" t="n"/>
      <c r="H457" s="80" t="n"/>
      <c r="I457" s="77" t="n"/>
      <c r="J457" s="77" t="n"/>
      <c r="K457" s="77" t="n"/>
    </row>
    <row r="458">
      <c r="A458" s="64" t="n">
        <v>69</v>
      </c>
      <c r="B458" s="64" t="inlineStr">
        <is>
          <t>Avalon</t>
        </is>
      </c>
      <c r="C458" s="65" t="n">
        <v>45644</v>
      </c>
      <c r="D458" s="64" t="inlineStr">
        <is>
          <t>Buy</t>
        </is>
      </c>
      <c r="E458" s="66" t="n">
        <v>1410</v>
      </c>
      <c r="F458" s="67" t="n">
        <v>913.9</v>
      </c>
      <c r="G458" s="67" t="n">
        <v>1288599</v>
      </c>
      <c r="H458" s="68" t="inlineStr">
        <is>
          <t>Portfolio_2024.xlsx / 18Dec24: Add 2.5%. 1410@913.9 =1288.599</t>
        </is>
      </c>
      <c r="I458" s="64" t="n"/>
      <c r="J458" s="64" t="n"/>
      <c r="K458" s="64" t="n"/>
    </row>
    <row r="459">
      <c r="A459" s="5" t="n"/>
      <c r="B459" s="5" t="n"/>
      <c r="C459" s="6" t="n">
        <v>45670</v>
      </c>
      <c r="D459" s="5" t="inlineStr">
        <is>
          <t>Buy</t>
        </is>
      </c>
      <c r="E459" s="7" t="n">
        <v>2189</v>
      </c>
      <c r="F459" s="8" t="n">
        <v>813.46</v>
      </c>
      <c r="G459" s="25" t="n">
        <v>1780663.94</v>
      </c>
      <c r="H459" s="9" t="inlineStr">
        <is>
          <t>Portfolio_2025.xlsx / 13Jan25: Buy 2189@813.46 = 1780664</t>
        </is>
      </c>
      <c r="I459" s="5" t="n"/>
      <c r="J459" s="5" t="n"/>
      <c r="K459" s="5" t="n"/>
    </row>
    <row r="460">
      <c r="A460" s="10" t="n"/>
      <c r="B460" s="10" t="n"/>
      <c r="C460" s="11" t="n">
        <v>46085</v>
      </c>
      <c r="D460" s="10" t="inlineStr">
        <is>
          <t>Buy</t>
        </is>
      </c>
      <c r="E460" s="12" t="n">
        <v>320</v>
      </c>
      <c r="F460" s="13" t="n">
        <v>976.63</v>
      </c>
      <c r="G460" s="26" t="n">
        <v>312521.6</v>
      </c>
      <c r="H460" s="14" t="inlineStr">
        <is>
          <t>Portfolio_2026.xlsx / 04Mar26: Buy 320@976.63 = 312522</t>
        </is>
      </c>
      <c r="I460" s="10" t="n"/>
      <c r="J460" s="10" t="n"/>
      <c r="K460" s="10" t="n"/>
    </row>
    <row r="461">
      <c r="A461" s="10" t="n"/>
      <c r="B461" s="10" t="n"/>
      <c r="C461" s="11" t="n">
        <v>46097</v>
      </c>
      <c r="D461" s="10" t="inlineStr">
        <is>
          <t>Buy</t>
        </is>
      </c>
      <c r="E461" s="12" t="n">
        <v>59</v>
      </c>
      <c r="F461" s="13" t="n">
        <v>875.64</v>
      </c>
      <c r="G461" s="26" t="n">
        <v>51662.76</v>
      </c>
      <c r="H461" s="14" t="inlineStr">
        <is>
          <t>Portfolio_2026.xlsx / 16Mar26: Buy 59@875.64 = 51663</t>
        </is>
      </c>
      <c r="I461" s="10" t="n"/>
      <c r="J461" s="10" t="n"/>
      <c r="K461" s="10" t="n"/>
    </row>
    <row r="462">
      <c r="A462" s="77" t="n"/>
      <c r="B462" s="77" t="n"/>
      <c r="C462" s="78" t="n"/>
      <c r="D462" s="77" t="n"/>
      <c r="E462" s="79">
        <f>SUM(E458:E461)</f>
        <v/>
      </c>
      <c r="F462" s="76" t="n"/>
      <c r="G462" s="76" t="n"/>
      <c r="H462" s="80" t="n"/>
      <c r="I462" s="77" t="n"/>
      <c r="J462" s="77" t="n"/>
      <c r="K462" s="77" t="n"/>
    </row>
    <row r="463">
      <c r="A463" s="64" t="n">
        <v>70</v>
      </c>
      <c r="B463" s="64" t="inlineStr">
        <is>
          <t>E2E</t>
        </is>
      </c>
      <c r="C463" s="65" t="n">
        <v>45782</v>
      </c>
      <c r="D463" s="64" t="inlineStr">
        <is>
          <t>Buy</t>
        </is>
      </c>
      <c r="E463" s="66" t="n">
        <v>724</v>
      </c>
      <c r="F463" s="67" t="n">
        <v>2655.36</v>
      </c>
      <c r="G463" s="67" t="n">
        <v>1922480.64</v>
      </c>
      <c r="H463" s="68" t="inlineStr">
        <is>
          <t>Portfolio_2025.xlsx / 05May25: Buy 724@2655.36 = 1922481</t>
        </is>
      </c>
      <c r="I463" s="64" t="n"/>
      <c r="J463" s="64" t="n"/>
      <c r="K463" s="64" t="n"/>
    </row>
    <row r="464">
      <c r="A464" s="10" t="n"/>
      <c r="B464" s="10" t="n"/>
      <c r="C464" s="11" t="n">
        <v>45797</v>
      </c>
      <c r="D464" s="10" t="inlineStr">
        <is>
          <t>Buy</t>
        </is>
      </c>
      <c r="E464" s="12" t="n">
        <v>289</v>
      </c>
      <c r="F464" s="13" t="n">
        <v>2760.8</v>
      </c>
      <c r="G464" s="26" t="n">
        <v>797871.2000000001</v>
      </c>
      <c r="H464" s="14" t="inlineStr">
        <is>
          <t>Portfolio_2025.xlsx / 20May25: Buy 289@2760.8 = 797871</t>
        </is>
      </c>
      <c r="I464" s="10" t="n"/>
      <c r="J464" s="10" t="n"/>
      <c r="K464" s="10" t="n"/>
    </row>
    <row r="465">
      <c r="A465" s="37" t="n"/>
      <c r="B465" s="37" t="n"/>
      <c r="C465" s="38" t="n">
        <v>45810</v>
      </c>
      <c r="D465" s="37" t="inlineStr">
        <is>
          <t>Buy</t>
        </is>
      </c>
      <c r="E465" s="39" t="n">
        <v>144</v>
      </c>
      <c r="F465" s="40" t="n">
        <v>2792.33</v>
      </c>
      <c r="G465" s="30" t="n">
        <v>402095.52</v>
      </c>
      <c r="H465" s="41" t="inlineStr">
        <is>
          <t>Portfolio_2025.xlsx / 02Jun25: Buy 144@2792.33 = 402096</t>
        </is>
      </c>
      <c r="I465" s="37" t="n"/>
      <c r="J465" s="37" t="n"/>
      <c r="K465" s="37" t="n"/>
    </row>
    <row r="466">
      <c r="A466" s="5" t="n"/>
      <c r="B466" s="5" t="n"/>
      <c r="C466" s="6" t="n">
        <v>45957</v>
      </c>
      <c r="D466" s="5" t="inlineStr">
        <is>
          <t>Buy</t>
        </is>
      </c>
      <c r="E466" s="20" t="n">
        <v>275</v>
      </c>
      <c r="F466" s="8" t="n">
        <v>3208.67</v>
      </c>
      <c r="G466" s="25" t="n">
        <v>882384.25</v>
      </c>
      <c r="H466" s="9" t="inlineStr">
        <is>
          <t>Portfolio_2025.xlsx / 27Oct25: Buy 275@3208.67 = 882384</t>
        </is>
      </c>
      <c r="I466" s="5" t="n"/>
      <c r="J466" s="5" t="n"/>
      <c r="K466" s="5" t="n"/>
    </row>
    <row r="467">
      <c r="A467" s="5" t="n"/>
      <c r="B467" s="5" t="n"/>
      <c r="C467" s="6" t="n">
        <v>45978</v>
      </c>
      <c r="D467" s="5" t="inlineStr">
        <is>
          <t>Sell</t>
        </is>
      </c>
      <c r="E467" s="7" t="n">
        <v>-367</v>
      </c>
      <c r="F467" s="8" t="n">
        <v>2660</v>
      </c>
      <c r="G467" s="25" t="n">
        <v>-976220</v>
      </c>
      <c r="H467" s="9" t="inlineStr">
        <is>
          <t>Portfolio_2025.xlsx / 17Nov25: Sell 367@2660 = 976220</t>
        </is>
      </c>
      <c r="I467" s="5" t="n"/>
      <c r="J467" s="5" t="n"/>
      <c r="K467" s="5" t="n"/>
    </row>
    <row r="468" ht="28" customHeight="1">
      <c r="A468" s="10" t="n"/>
      <c r="B468" s="10" t="n"/>
      <c r="C468" s="70" t="n">
        <v>46178</v>
      </c>
      <c r="D468" s="71" t="inlineStr">
        <is>
          <t>Split</t>
        </is>
      </c>
      <c r="E468" s="72" t="n">
        <v>9585</v>
      </c>
      <c r="F468" s="73" t="n"/>
      <c r="G468" s="73" t="n"/>
      <c r="H468" s="74" t="inlineStr">
        <is>
          <t>Portfolio_2026.xlsx / 05Jun26: Split 10:1 so quantity 10 times; Split date corrected to 05-Jun-2026 based on Portfolio_2026.xlsx / 05Jun26.</t>
        </is>
      </c>
      <c r="I468" s="10" t="n"/>
      <c r="J468" s="10" t="n"/>
      <c r="K468" s="10" t="n"/>
    </row>
    <row r="469">
      <c r="A469" s="10" t="n"/>
      <c r="B469" s="10" t="n"/>
      <c r="C469" s="11" t="n">
        <v>46195</v>
      </c>
      <c r="D469" s="10" t="inlineStr">
        <is>
          <t>Sell</t>
        </is>
      </c>
      <c r="E469" s="15" t="n">
        <v>-3094</v>
      </c>
      <c r="F469" s="13" t="n">
        <v>440.83</v>
      </c>
      <c r="G469" s="26" t="n">
        <v>-1363928.02</v>
      </c>
      <c r="H469" s="14" t="inlineStr">
        <is>
          <t>Portfolio_2026.xlsx / 22Jun26: Sell 3094@440.83 = 1363928</t>
        </is>
      </c>
      <c r="I469" s="10" t="n"/>
      <c r="J469" s="10" t="n"/>
      <c r="K469" s="10" t="n"/>
    </row>
    <row r="470">
      <c r="A470" s="77" t="n"/>
      <c r="B470" s="77" t="n"/>
      <c r="C470" s="78" t="n"/>
      <c r="D470" s="77" t="n"/>
      <c r="E470" s="79">
        <f>SUM(E463:E469)</f>
        <v/>
      </c>
      <c r="F470" s="76" t="n"/>
      <c r="G470" s="76" t="n"/>
      <c r="H470" s="80" t="n"/>
      <c r="I470" s="77" t="n"/>
      <c r="J470" s="77" t="n"/>
      <c r="K470" s="77" t="n"/>
    </row>
    <row r="471">
      <c r="A471" s="64" t="n">
        <v>71</v>
      </c>
      <c r="B471" s="64" t="inlineStr">
        <is>
          <t>HCG</t>
        </is>
      </c>
      <c r="C471" s="65" t="n">
        <v>45958</v>
      </c>
      <c r="D471" s="64" t="inlineStr">
        <is>
          <t>Buy</t>
        </is>
      </c>
      <c r="E471" s="66" t="n">
        <v>3770</v>
      </c>
      <c r="F471" s="67" t="n">
        <v>738.65</v>
      </c>
      <c r="G471" s="67" t="n">
        <v>2784710.5</v>
      </c>
      <c r="H471" s="68" t="inlineStr">
        <is>
          <t>Portfolio_2025.xlsx / 28Oct25: Buy 3770@738.65 = 2784711</t>
        </is>
      </c>
      <c r="I471" s="64" t="n"/>
      <c r="J471" s="64" t="n"/>
      <c r="K471" s="64" t="n"/>
    </row>
    <row r="472">
      <c r="A472" s="10" t="n"/>
      <c r="B472" s="10" t="n"/>
      <c r="C472" s="11" t="n">
        <v>46020</v>
      </c>
      <c r="D472" s="10" t="inlineStr">
        <is>
          <t>Buy</t>
        </is>
      </c>
      <c r="E472" s="15" t="n">
        <v>209</v>
      </c>
      <c r="F472" s="13" t="n">
        <v>670.33</v>
      </c>
      <c r="G472" s="26" t="n">
        <v>140098.97</v>
      </c>
      <c r="H472" s="14" t="inlineStr">
        <is>
          <t>Portfolio_2025.xlsx / 29Dec25: Add 209@670.33 = 140099</t>
        </is>
      </c>
      <c r="I472" s="10" t="n"/>
      <c r="J472" s="10" t="n"/>
      <c r="K472" s="10" t="n"/>
    </row>
    <row r="473">
      <c r="A473" s="5" t="n"/>
      <c r="B473" s="5" t="n"/>
      <c r="C473" s="6" t="n">
        <v>46023</v>
      </c>
      <c r="D473" s="5" t="inlineStr">
        <is>
          <t>Buy</t>
        </is>
      </c>
      <c r="E473" s="7" t="n">
        <v>935</v>
      </c>
      <c r="F473" s="8" t="n">
        <v>657.76</v>
      </c>
      <c r="G473" s="25" t="n">
        <v>615005.6</v>
      </c>
      <c r="H473" s="9" t="inlineStr">
        <is>
          <t>Portfolio_2026.xlsx / 01Jan26-2: Add 935@657.76 = 615006</t>
        </is>
      </c>
      <c r="I473" s="5" t="n"/>
      <c r="J473" s="5" t="n"/>
      <c r="K473" s="5" t="n"/>
    </row>
    <row r="474">
      <c r="A474" s="37" t="n"/>
      <c r="B474" s="37" t="n"/>
      <c r="C474" s="38" t="n">
        <v>46113</v>
      </c>
      <c r="D474" s="37" t="inlineStr">
        <is>
          <t>Buy</t>
        </is>
      </c>
      <c r="E474" s="39" t="n">
        <v>289</v>
      </c>
      <c r="F474" s="40" t="n">
        <v>512</v>
      </c>
      <c r="G474" s="30" t="n">
        <v>147968</v>
      </c>
      <c r="H474" s="41" t="inlineStr">
        <is>
          <t>Portfolio_2026.xlsx / 01Apr26: Buy 289@512 = 147968</t>
        </is>
      </c>
      <c r="I474" s="37" t="n"/>
      <c r="J474" s="37" t="n"/>
      <c r="K474" s="37" t="n"/>
    </row>
    <row r="475">
      <c r="A475" s="77" t="n"/>
      <c r="B475" s="77" t="n"/>
      <c r="C475" s="78" t="n"/>
      <c r="D475" s="77" t="n"/>
      <c r="E475" s="81">
        <f>SUM(E471:E474)</f>
        <v/>
      </c>
      <c r="F475" s="76" t="n"/>
      <c r="G475" s="76" t="n"/>
      <c r="H475" s="80" t="n"/>
      <c r="I475" s="77" t="n"/>
      <c r="J475" s="77" t="n"/>
      <c r="K475" s="77" t="n"/>
    </row>
    <row r="476">
      <c r="A476" s="64" t="n">
        <v>72</v>
      </c>
      <c r="B476" s="64" t="inlineStr">
        <is>
          <t>Ashapura</t>
        </is>
      </c>
      <c r="C476" s="65" t="n">
        <v>45981</v>
      </c>
      <c r="D476" s="64" t="inlineStr">
        <is>
          <t>Buy</t>
        </is>
      </c>
      <c r="E476" s="66" t="n">
        <v>2265</v>
      </c>
      <c r="F476" s="67" t="n">
        <v>740.9299999999999</v>
      </c>
      <c r="G476" s="67" t="n">
        <v>1678206.45</v>
      </c>
      <c r="H476" s="68" t="inlineStr">
        <is>
          <t>Portfolio_2025.xlsx / 20Nov25: Add 2265@740.93 = 1678206</t>
        </is>
      </c>
      <c r="I476" s="64" t="n"/>
      <c r="J476" s="64" t="n"/>
      <c r="K476" s="64" t="n"/>
    </row>
    <row r="477">
      <c r="A477" s="10" t="n"/>
      <c r="B477" s="10" t="n"/>
      <c r="C477" s="11" t="n">
        <v>45999</v>
      </c>
      <c r="D477" s="10" t="inlineStr">
        <is>
          <t>Buy</t>
        </is>
      </c>
      <c r="E477" s="12" t="n">
        <v>463</v>
      </c>
      <c r="F477" s="13" t="n">
        <v>677.73</v>
      </c>
      <c r="G477" s="26" t="n">
        <v>313788.99</v>
      </c>
      <c r="H477" s="14" t="inlineStr">
        <is>
          <t>Portfolio_2025.xlsx / 08Dec25: Add 463@677.73 = 313789</t>
        </is>
      </c>
      <c r="I477" s="10" t="n"/>
      <c r="J477" s="10" t="n"/>
      <c r="K477" s="10" t="n"/>
    </row>
    <row r="478">
      <c r="A478" s="10" t="n"/>
      <c r="B478" s="10" t="n"/>
      <c r="C478" s="11" t="n">
        <v>46050</v>
      </c>
      <c r="D478" s="10" t="inlineStr">
        <is>
          <t>Buy</t>
        </is>
      </c>
      <c r="E478" s="12" t="n">
        <v>942</v>
      </c>
      <c r="F478" s="13" t="n">
        <v>740.53</v>
      </c>
      <c r="G478" s="26" t="n">
        <v>697579.26</v>
      </c>
      <c r="H478" s="14" t="inlineStr">
        <is>
          <t>Portfolio_2026.xlsx / 28Jan26: Add 942@740.53 = 697579</t>
        </is>
      </c>
      <c r="I478" s="10" t="n"/>
      <c r="J478" s="10" t="n"/>
      <c r="K478" s="10" t="n"/>
    </row>
    <row r="479">
      <c r="A479" s="77" t="n"/>
      <c r="B479" s="77" t="n"/>
      <c r="C479" s="78" t="n"/>
      <c r="D479" s="77" t="n"/>
      <c r="E479" s="79">
        <f>SUM(E476:E478)</f>
        <v/>
      </c>
      <c r="F479" s="76" t="n"/>
      <c r="G479" s="76" t="n"/>
      <c r="H479" s="80" t="n"/>
      <c r="I479" s="77" t="n"/>
      <c r="J479" s="77" t="n"/>
      <c r="K479" s="77" t="n"/>
    </row>
    <row r="480">
      <c r="A480" s="64" t="n">
        <v>73</v>
      </c>
      <c r="B480" s="64" t="inlineStr">
        <is>
          <t>LiquidCase</t>
        </is>
      </c>
      <c r="C480" s="65" t="n">
        <v>45708</v>
      </c>
      <c r="D480" s="64" t="inlineStr">
        <is>
          <t>Buy</t>
        </is>
      </c>
      <c r="E480" s="66" t="n">
        <v>40235</v>
      </c>
      <c r="F480" s="67" t="n">
        <v>107.1</v>
      </c>
      <c r="G480" s="67" t="n">
        <v>4309168.5</v>
      </c>
      <c r="H480" s="68" t="inlineStr">
        <is>
          <t>Portfolio_2025.xlsx / 20Feb25: Convert to LiquidCase from LiquidBees</t>
        </is>
      </c>
      <c r="I480" s="64" t="n"/>
      <c r="J480" s="64" t="n"/>
      <c r="K480" s="64" t="n"/>
    </row>
    <row r="481">
      <c r="A481" s="10" t="n"/>
      <c r="B481" s="10" t="n"/>
      <c r="C481" s="11" t="n">
        <v>45722</v>
      </c>
      <c r="D481" s="10" t="inlineStr">
        <is>
          <t>Buy</t>
        </is>
      </c>
      <c r="E481" s="12" t="n">
        <v>4295</v>
      </c>
      <c r="F481" s="13" t="n"/>
      <c r="G481" s="26" t="n"/>
      <c r="H481" s="14" t="inlineStr">
        <is>
          <t>Portfolio_2025.xlsx / 06Mar25: Quantity formula includes +4295; trade price not written</t>
        </is>
      </c>
      <c r="I481" s="10" t="n"/>
      <c r="J481" s="10" t="n"/>
      <c r="K481" s="10" t="n"/>
    </row>
    <row r="482">
      <c r="A482" s="10" t="n"/>
      <c r="B482" s="10" t="n"/>
      <c r="C482" s="11" t="n">
        <v>45722</v>
      </c>
      <c r="D482" s="10" t="inlineStr">
        <is>
          <t>Buy</t>
        </is>
      </c>
      <c r="E482" s="12" t="n">
        <v>1952</v>
      </c>
      <c r="F482" s="13" t="n">
        <v>107.67</v>
      </c>
      <c r="G482" s="26" t="n">
        <v>210171.84</v>
      </c>
      <c r="H482" s="14" t="inlineStr">
        <is>
          <t>Portfolio_2025.xlsx / 06Mar25: Buy 1952@107.67</t>
        </is>
      </c>
      <c r="I482" s="10" t="n"/>
      <c r="J482" s="10" t="n"/>
      <c r="K482" s="10" t="n"/>
    </row>
    <row r="483">
      <c r="A483" s="10" t="n"/>
      <c r="B483" s="10" t="n"/>
      <c r="C483" s="11" t="n">
        <v>45754</v>
      </c>
      <c r="D483" s="10" t="inlineStr">
        <is>
          <t>Sell</t>
        </is>
      </c>
      <c r="E483" s="12" t="n">
        <v>-475</v>
      </c>
      <c r="F483" s="13" t="n"/>
      <c r="G483" s="26" t="n"/>
      <c r="H483" s="14" t="inlineStr">
        <is>
          <t>Portfolio_2025.xlsx / 07Apr25: Sell 475</t>
        </is>
      </c>
      <c r="I483" s="10" t="n"/>
      <c r="J483" s="10" t="n"/>
      <c r="K483" s="10" t="n"/>
    </row>
    <row r="484">
      <c r="A484" s="10" t="n"/>
      <c r="B484" s="10" t="n"/>
      <c r="C484" s="11" t="n">
        <v>45776</v>
      </c>
      <c r="D484" s="10" t="inlineStr">
        <is>
          <t>Buy</t>
        </is>
      </c>
      <c r="E484" s="12" t="n">
        <v>9018</v>
      </c>
      <c r="F484" s="13" t="n">
        <v>108.83</v>
      </c>
      <c r="G484" s="26" t="n">
        <v>981428.9399999999</v>
      </c>
      <c r="H484" s="14" t="inlineStr">
        <is>
          <t>Portfolio_2025.xlsx / 29Apr25: Buy 9018@108.83</t>
        </is>
      </c>
      <c r="I484" s="10" t="n"/>
      <c r="J484" s="10" t="n"/>
      <c r="K484" s="10" t="n"/>
    </row>
    <row r="485">
      <c r="A485" s="10" t="n"/>
      <c r="B485" s="10" t="n"/>
      <c r="C485" s="11" t="n">
        <v>45782</v>
      </c>
      <c r="D485" s="10" t="inlineStr">
        <is>
          <t>Sell</t>
        </is>
      </c>
      <c r="E485" s="12" t="n">
        <v>-12666</v>
      </c>
      <c r="F485" s="13" t="n">
        <v>107.85</v>
      </c>
      <c r="G485" s="26" t="n">
        <v>-1366028.1</v>
      </c>
      <c r="H485" s="14" t="inlineStr">
        <is>
          <t>Portfolio_2025.xlsx / 05May25: Sell 12666@107.85</t>
        </is>
      </c>
      <c r="I485" s="10" t="n"/>
      <c r="J485" s="10" t="n"/>
      <c r="K485" s="10" t="n"/>
    </row>
    <row r="486">
      <c r="A486" s="10" t="n"/>
      <c r="B486" s="10" t="n"/>
      <c r="C486" s="11" t="n">
        <v>45797</v>
      </c>
      <c r="D486" s="10" t="inlineStr">
        <is>
          <t>Sell</t>
        </is>
      </c>
      <c r="E486" s="12" t="n">
        <v>-5975</v>
      </c>
      <c r="F486" s="13" t="n">
        <v>108.12</v>
      </c>
      <c r="G486" s="26" t="n">
        <v>-646017</v>
      </c>
      <c r="H486" s="14" t="inlineStr">
        <is>
          <t>Portfolio_2025.xlsx / 20May25: Sell 5975@108.12 = 646017</t>
        </is>
      </c>
      <c r="I486" s="10" t="n"/>
      <c r="J486" s="10" t="n"/>
      <c r="K486" s="10" t="n"/>
    </row>
    <row r="487">
      <c r="A487" s="10" t="n"/>
      <c r="B487" s="10" t="n"/>
      <c r="C487" s="11" t="n">
        <v>45810</v>
      </c>
      <c r="D487" s="10" t="inlineStr">
        <is>
          <t>Sell</t>
        </is>
      </c>
      <c r="E487" s="12" t="n">
        <v>-9817</v>
      </c>
      <c r="F487" s="13" t="n">
        <v>108.63</v>
      </c>
      <c r="G487" s="26" t="n">
        <v>-1066420.71</v>
      </c>
      <c r="H487" s="14" t="inlineStr">
        <is>
          <t>Portfolio_2025.xlsx / 02Jun25: Sell 9817@108.63</t>
        </is>
      </c>
      <c r="I487" s="10" t="n"/>
      <c r="J487" s="10" t="n"/>
      <c r="K487" s="10" t="n"/>
    </row>
    <row r="488">
      <c r="A488" s="10" t="n"/>
      <c r="B488" s="10" t="n"/>
      <c r="C488" s="11" t="n">
        <v>45876</v>
      </c>
      <c r="D488" s="10" t="inlineStr">
        <is>
          <t>Buy</t>
        </is>
      </c>
      <c r="E488" s="15" t="n">
        <v>11418</v>
      </c>
      <c r="F488" s="13" t="n"/>
      <c r="G488" s="26" t="n"/>
      <c r="H488" s="14" t="inlineStr">
        <is>
          <t>Portfolio_2025.xlsx / 07Aug25: Add 11418</t>
        </is>
      </c>
      <c r="I488" s="10" t="n"/>
      <c r="J488" s="10" t="n"/>
      <c r="K488" s="10" t="n"/>
    </row>
    <row r="489">
      <c r="A489" s="10" t="n"/>
      <c r="B489" s="10" t="n"/>
      <c r="C489" s="11" t="n">
        <v>45887</v>
      </c>
      <c r="D489" s="10" t="inlineStr">
        <is>
          <t>Buy</t>
        </is>
      </c>
      <c r="E489" s="15" t="n">
        <v>1366</v>
      </c>
      <c r="F489" s="13" t="n"/>
      <c r="G489" s="26" t="n"/>
      <c r="H489" s="14" t="inlineStr">
        <is>
          <t>Portfolio_2025.xlsx / 18Aug25: Buy 1366</t>
        </is>
      </c>
      <c r="I489" s="10" t="n"/>
      <c r="J489" s="10" t="n"/>
      <c r="K489" s="10" t="n"/>
    </row>
    <row r="490">
      <c r="A490" s="5" t="n"/>
      <c r="B490" s="5" t="n"/>
      <c r="C490" s="6" t="n">
        <v>45904</v>
      </c>
      <c r="D490" s="5" t="inlineStr">
        <is>
          <t>Sell</t>
        </is>
      </c>
      <c r="E490" s="7" t="n">
        <v>-3600</v>
      </c>
      <c r="F490" s="8" t="n"/>
      <c r="G490" s="25" t="n"/>
      <c r="H490" s="9" t="inlineStr">
        <is>
          <t>Portfolio_2025.xlsx / 04Sep25: Less 3600</t>
        </is>
      </c>
      <c r="I490" s="5" t="n"/>
      <c r="J490" s="5" t="n"/>
      <c r="K490" s="5" t="n"/>
    </row>
    <row r="491">
      <c r="A491" s="5" t="n"/>
      <c r="B491" s="5" t="n"/>
      <c r="C491" s="6" t="n">
        <v>45909</v>
      </c>
      <c r="D491" s="5" t="inlineStr">
        <is>
          <t>Buy</t>
        </is>
      </c>
      <c r="E491" s="7" t="n">
        <v>5427</v>
      </c>
      <c r="F491" s="8" t="n"/>
      <c r="G491" s="25" t="n"/>
      <c r="H491" s="9" t="inlineStr">
        <is>
          <t>Portfolio_2025.xlsx / 09Sep25: Buy 5427</t>
        </is>
      </c>
      <c r="I491" s="5" t="n"/>
      <c r="J491" s="5" t="n"/>
      <c r="K491" s="5" t="n"/>
    </row>
    <row r="492">
      <c r="A492" s="10" t="n"/>
      <c r="B492" s="10" t="n"/>
      <c r="C492" s="11" t="n">
        <v>45957</v>
      </c>
      <c r="D492" s="10" t="inlineStr">
        <is>
          <t>Sell</t>
        </is>
      </c>
      <c r="E492" s="15" t="n">
        <v>-7979</v>
      </c>
      <c r="F492" s="13" t="n"/>
      <c r="G492" s="26" t="n"/>
      <c r="H492" s="14" t="inlineStr">
        <is>
          <t>Portfolio_2025.xlsx / 27Oct25: Sell 7979</t>
        </is>
      </c>
      <c r="I492" s="10" t="n"/>
      <c r="J492" s="10" t="n"/>
      <c r="K492" s="10" t="n"/>
    </row>
    <row r="493">
      <c r="A493" s="10" t="n"/>
      <c r="B493" s="10" t="n"/>
      <c r="C493" s="11" t="n">
        <v>45958</v>
      </c>
      <c r="D493" s="10" t="inlineStr">
        <is>
          <t>Sell</t>
        </is>
      </c>
      <c r="E493" s="15" t="n">
        <v>-25132</v>
      </c>
      <c r="F493" s="13" t="n"/>
      <c r="G493" s="26" t="n"/>
      <c r="H493" s="14" t="inlineStr">
        <is>
          <t>Portfolio_2025.xlsx / 28Oct25: Sell 25132</t>
        </is>
      </c>
      <c r="I493" s="10" t="n"/>
      <c r="J493" s="10" t="n"/>
      <c r="K493" s="10" t="n"/>
    </row>
    <row r="494">
      <c r="A494" s="5" t="n"/>
      <c r="B494" s="5" t="n"/>
      <c r="C494" s="6" t="n">
        <v>45968</v>
      </c>
      <c r="D494" s="5" t="inlineStr">
        <is>
          <t>Buy</t>
        </is>
      </c>
      <c r="E494" s="7" t="n">
        <v>5893</v>
      </c>
      <c r="F494" s="8" t="n"/>
      <c r="G494" s="25" t="n"/>
      <c r="H494" s="9" t="inlineStr">
        <is>
          <t>Portfolio_2025.xlsx / 07Nov25: Add 5893</t>
        </is>
      </c>
      <c r="I494" s="5" t="n"/>
      <c r="J494" s="5" t="n"/>
      <c r="K494" s="5" t="n"/>
    </row>
    <row r="495">
      <c r="A495" s="5" t="n"/>
      <c r="B495" s="5" t="n"/>
      <c r="C495" s="6" t="n">
        <v>45968</v>
      </c>
      <c r="D495" s="5" t="inlineStr">
        <is>
          <t>Sell</t>
        </is>
      </c>
      <c r="E495" s="7" t="n">
        <v>-2966</v>
      </c>
      <c r="F495" s="8" t="n"/>
      <c r="G495" s="25" t="n"/>
      <c r="H495" s="9" t="inlineStr">
        <is>
          <t>Portfolio_2025.xlsx / 07Nov25: Minus 2966</t>
        </is>
      </c>
      <c r="I495" s="5" t="n"/>
      <c r="J495" s="5" t="n"/>
      <c r="K495" s="5" t="n"/>
    </row>
    <row r="496">
      <c r="A496" s="37" t="n"/>
      <c r="B496" s="37" t="n"/>
      <c r="C496" s="38" t="n">
        <v>45968</v>
      </c>
      <c r="D496" s="37" t="inlineStr">
        <is>
          <t>Buy</t>
        </is>
      </c>
      <c r="E496" s="42" t="n">
        <v>3499</v>
      </c>
      <c r="F496" s="40" t="n"/>
      <c r="G496" s="30" t="n"/>
      <c r="H496" s="41" t="inlineStr">
        <is>
          <t>Portfolio_2025.xlsx / 07Nov25: Add 3499</t>
        </is>
      </c>
      <c r="I496" s="37" t="n"/>
      <c r="J496" s="37" t="n"/>
      <c r="K496" s="37" t="n"/>
    </row>
    <row r="497">
      <c r="A497" s="5" t="n"/>
      <c r="B497" s="5" t="n"/>
      <c r="C497" s="6" t="n">
        <v>45978</v>
      </c>
      <c r="D497" s="5" t="inlineStr">
        <is>
          <t>Buy</t>
        </is>
      </c>
      <c r="E497" s="20" t="n">
        <v>8732</v>
      </c>
      <c r="F497" s="8" t="n"/>
      <c r="G497" s="25" t="n"/>
      <c r="H497" s="9" t="inlineStr">
        <is>
          <t>Portfolio_2025.xlsx / 17Nov25: Add 8732</t>
        </is>
      </c>
      <c r="I497" s="5" t="n"/>
      <c r="J497" s="5" t="n"/>
      <c r="K497" s="5" t="n"/>
    </row>
    <row r="498">
      <c r="A498" s="5" t="n"/>
      <c r="B498" s="5" t="n"/>
      <c r="C498" s="6" t="n">
        <v>45978</v>
      </c>
      <c r="D498" s="5" t="inlineStr">
        <is>
          <t>Buy</t>
        </is>
      </c>
      <c r="E498" s="7" t="n">
        <v>9104</v>
      </c>
      <c r="F498" s="8" t="n"/>
      <c r="G498" s="25" t="n"/>
      <c r="H498" s="9" t="inlineStr">
        <is>
          <t>Portfolio_2025.xlsx / 17Nov25: Add 9104</t>
        </is>
      </c>
      <c r="I498" s="5" t="n"/>
      <c r="J498" s="5" t="n"/>
      <c r="K498" s="5" t="n"/>
    </row>
    <row r="499">
      <c r="A499" s="37" t="n"/>
      <c r="B499" s="37" t="n"/>
      <c r="C499" s="38" t="n">
        <v>45981</v>
      </c>
      <c r="D499" s="37" t="inlineStr">
        <is>
          <t>Sell</t>
        </is>
      </c>
      <c r="E499" s="42" t="n">
        <v>-15111</v>
      </c>
      <c r="F499" s="40" t="n"/>
      <c r="G499" s="30" t="n"/>
      <c r="H499" s="41" t="inlineStr">
        <is>
          <t>Portfolio_2025.xlsx / 20Nov25: Sell 15111</t>
        </is>
      </c>
      <c r="I499" s="37" t="n"/>
      <c r="J499" s="37" t="n"/>
      <c r="K499" s="37" t="n"/>
    </row>
    <row r="500">
      <c r="A500" s="5" t="n"/>
      <c r="B500" s="5" t="n"/>
      <c r="C500" s="6" t="n">
        <v>45999</v>
      </c>
      <c r="D500" s="5" t="inlineStr">
        <is>
          <t>Sell</t>
        </is>
      </c>
      <c r="E500" s="7" t="n">
        <v>-2801</v>
      </c>
      <c r="F500" s="8" t="n"/>
      <c r="G500" s="25" t="n"/>
      <c r="H500" s="9" t="inlineStr">
        <is>
          <t>Portfolio_2025.xlsx / 08Dec25: Sell 2801</t>
        </is>
      </c>
      <c r="I500" s="5" t="n"/>
      <c r="J500" s="5" t="n"/>
      <c r="K500" s="5" t="n"/>
    </row>
    <row r="501">
      <c r="A501" s="10" t="n"/>
      <c r="B501" s="10" t="n"/>
      <c r="C501" s="11" t="n">
        <v>46020</v>
      </c>
      <c r="D501" s="10" t="inlineStr">
        <is>
          <t>Sell</t>
        </is>
      </c>
      <c r="E501" s="15" t="n">
        <v>-1247</v>
      </c>
      <c r="F501" s="13" t="n"/>
      <c r="G501" s="26" t="n"/>
      <c r="H501" s="14" t="inlineStr">
        <is>
          <t>Portfolio_2025.xlsx / 29Dec25: Sell 1247</t>
        </is>
      </c>
      <c r="I501" s="10" t="n"/>
      <c r="J501" s="10" t="n"/>
      <c r="K501" s="10" t="n"/>
    </row>
    <row r="502">
      <c r="A502" s="37" t="n"/>
      <c r="B502" s="37" t="n"/>
      <c r="C502" s="38" t="n">
        <v>46023</v>
      </c>
      <c r="D502" s="37" t="inlineStr">
        <is>
          <t>Sell</t>
        </is>
      </c>
      <c r="E502" s="39" t="n">
        <v>-5505</v>
      </c>
      <c r="F502" s="40" t="n"/>
      <c r="G502" s="30" t="n"/>
      <c r="H502" s="41" t="inlineStr">
        <is>
          <t>Portfolio_2026.xlsx / 01Jan26-2: Sell 5505</t>
        </is>
      </c>
      <c r="I502" s="37" t="n"/>
      <c r="J502" s="37" t="n"/>
      <c r="K502" s="37" t="n"/>
    </row>
    <row r="503" ht="28" customHeight="1">
      <c r="A503" s="5" t="n"/>
      <c r="B503" s="5" t="n"/>
      <c r="C503" s="6" t="n">
        <v>46050</v>
      </c>
      <c r="D503" s="5" t="inlineStr">
        <is>
          <t>Sell</t>
        </is>
      </c>
      <c r="E503" s="7" t="n">
        <v>-1765</v>
      </c>
      <c r="F503" s="8" t="n"/>
      <c r="G503" s="25" t="n"/>
      <c r="H503" s="9" t="inlineStr">
        <is>
          <t>Portfolio_2026.xlsx / 28Jan26: Quantity formula includes -1765; trade price not written</t>
        </is>
      </c>
      <c r="I503" s="5" t="n"/>
      <c r="J503" s="5" t="n"/>
      <c r="K503" s="5" t="n"/>
    </row>
    <row r="504">
      <c r="A504" s="10" t="n"/>
      <c r="B504" s="10" t="n"/>
      <c r="C504" s="11" t="n">
        <v>46050</v>
      </c>
      <c r="D504" s="10" t="inlineStr">
        <is>
          <t>Buy</t>
        </is>
      </c>
      <c r="E504" s="12" t="n">
        <v>3820</v>
      </c>
      <c r="F504" s="13" t="n"/>
      <c r="G504" s="26" t="n"/>
      <c r="H504" s="14" t="inlineStr">
        <is>
          <t>Portfolio_2026.xlsx / 28Jan26: Add 3820</t>
        </is>
      </c>
      <c r="I504" s="10" t="n"/>
      <c r="J504" s="10" t="n"/>
      <c r="K504" s="10" t="n"/>
    </row>
    <row r="505">
      <c r="A505" s="37" t="n"/>
      <c r="B505" s="37" t="n"/>
      <c r="C505" s="38" t="n">
        <v>46050</v>
      </c>
      <c r="D505" s="37" t="inlineStr">
        <is>
          <t>Sell</t>
        </is>
      </c>
      <c r="E505" s="39" t="n">
        <v>-6212</v>
      </c>
      <c r="F505" s="40" t="n"/>
      <c r="G505" s="30" t="n"/>
      <c r="H505" s="41" t="inlineStr">
        <is>
          <t>Portfolio_2026.xlsx / 28Jan26: Less 6212</t>
        </is>
      </c>
      <c r="I505" s="37" t="n"/>
      <c r="J505" s="37" t="n"/>
      <c r="K505" s="37" t="n"/>
    </row>
    <row r="506">
      <c r="A506" s="10" t="n"/>
      <c r="B506" s="10" t="n"/>
      <c r="C506" s="11" t="n">
        <v>46070</v>
      </c>
      <c r="D506" s="10" t="inlineStr">
        <is>
          <t>Buy</t>
        </is>
      </c>
      <c r="E506" s="12" t="n">
        <v>5704</v>
      </c>
      <c r="F506" s="13" t="n"/>
      <c r="G506" s="26" t="n"/>
      <c r="H506" s="14" t="inlineStr">
        <is>
          <t>Portfolio_2026.xlsx / 17Feb26: Buy 5704</t>
        </is>
      </c>
      <c r="I506" s="10" t="n"/>
      <c r="J506" s="10" t="n"/>
      <c r="K506" s="10" t="n"/>
    </row>
    <row r="507">
      <c r="A507" s="10" t="n"/>
      <c r="B507" s="10" t="n"/>
      <c r="C507" s="11" t="n">
        <v>46085</v>
      </c>
      <c r="D507" s="10" t="inlineStr">
        <is>
          <t>Sell</t>
        </is>
      </c>
      <c r="E507" s="12" t="n">
        <v>-2774</v>
      </c>
      <c r="F507" s="13" t="n"/>
      <c r="G507" s="26" t="n"/>
      <c r="H507" s="14" t="inlineStr">
        <is>
          <t>Portfolio_2026.xlsx / 04Mar26: Less 2774</t>
        </is>
      </c>
      <c r="I507" s="10" t="n"/>
      <c r="J507" s="10" t="n"/>
      <c r="K507" s="10" t="n"/>
    </row>
    <row r="508">
      <c r="A508" s="10" t="n"/>
      <c r="B508" s="10" t="n"/>
      <c r="C508" s="11" t="n">
        <v>46090</v>
      </c>
      <c r="D508" s="10" t="inlineStr">
        <is>
          <t>Buy</t>
        </is>
      </c>
      <c r="E508" s="12" t="n">
        <v>2757</v>
      </c>
      <c r="F508" s="13" t="n"/>
      <c r="G508" s="26" t="n"/>
      <c r="H508" s="14" t="inlineStr">
        <is>
          <t>Portfolio_2026.xlsx / 09Mar26: Add 2757</t>
        </is>
      </c>
      <c r="I508" s="10" t="n"/>
      <c r="J508" s="10" t="n"/>
      <c r="K508" s="10" t="n"/>
    </row>
    <row r="509">
      <c r="A509" s="10" t="n"/>
      <c r="B509" s="10" t="n"/>
      <c r="C509" s="11" t="n">
        <v>46097</v>
      </c>
      <c r="D509" s="10" t="inlineStr">
        <is>
          <t>Sell</t>
        </is>
      </c>
      <c r="E509" s="12" t="n">
        <v>-458</v>
      </c>
      <c r="F509" s="13" t="n"/>
      <c r="G509" s="26" t="n"/>
      <c r="H509" s="14" t="inlineStr">
        <is>
          <t>Portfolio_2026.xlsx / 16Mar26: Less 458</t>
        </is>
      </c>
      <c r="I509" s="10" t="n"/>
      <c r="J509" s="10" t="n"/>
      <c r="K509" s="10" t="n"/>
    </row>
    <row r="510">
      <c r="A510" s="10" t="n"/>
      <c r="B510" s="10" t="n"/>
      <c r="C510" s="11" t="n">
        <v>46113</v>
      </c>
      <c r="D510" s="10" t="inlineStr">
        <is>
          <t>Sell</t>
        </is>
      </c>
      <c r="E510" s="12" t="n">
        <v>-1307</v>
      </c>
      <c r="F510" s="13" t="n"/>
      <c r="G510" s="26" t="n"/>
      <c r="H510" s="14" t="inlineStr">
        <is>
          <t>Portfolio_2026.xlsx / 01Apr26: Less 1307</t>
        </is>
      </c>
      <c r="I510" s="10" t="n"/>
      <c r="J510" s="10" t="n"/>
      <c r="K510" s="10" t="n"/>
    </row>
    <row r="511">
      <c r="A511" s="10" t="n"/>
      <c r="B511" s="10" t="n"/>
      <c r="C511" s="11" t="n">
        <v>46120</v>
      </c>
      <c r="D511" s="10" t="inlineStr">
        <is>
          <t>Buy</t>
        </is>
      </c>
      <c r="E511" s="12" t="n">
        <v>3879</v>
      </c>
      <c r="F511" s="13" t="n"/>
      <c r="G511" s="26" t="n"/>
      <c r="H511" s="14" t="inlineStr">
        <is>
          <t>Portfolio_2026.xlsx / 08Apr26: Add 3879</t>
        </is>
      </c>
      <c r="I511" s="10" t="n"/>
      <c r="J511" s="10" t="n"/>
      <c r="K511" s="10" t="n"/>
    </row>
    <row r="512">
      <c r="A512" s="37" t="n"/>
      <c r="B512" s="37" t="n"/>
      <c r="C512" s="38" t="n">
        <v>46122</v>
      </c>
      <c r="D512" s="37" t="inlineStr">
        <is>
          <t>Sell</t>
        </is>
      </c>
      <c r="E512" s="39" t="n">
        <v>-7827</v>
      </c>
      <c r="F512" s="40" t="n"/>
      <c r="G512" s="30" t="n"/>
      <c r="H512" s="41" t="inlineStr">
        <is>
          <t>Portfolio_2026.xlsx / 10Apr26: Less 7827</t>
        </is>
      </c>
      <c r="I512" s="37" t="n"/>
      <c r="J512" s="37" t="n"/>
      <c r="K512" s="37" t="n"/>
    </row>
    <row r="513">
      <c r="A513" s="5" t="n"/>
      <c r="B513" s="5" t="n"/>
      <c r="C513" s="6" t="n">
        <v>46128</v>
      </c>
      <c r="D513" s="5" t="inlineStr">
        <is>
          <t>Sell</t>
        </is>
      </c>
      <c r="E513" s="7" t="n">
        <v>-231</v>
      </c>
      <c r="F513" s="8" t="n"/>
      <c r="G513" s="25" t="n"/>
      <c r="H513" s="9" t="inlineStr">
        <is>
          <t>Portfolio_2026.xlsx / 16Apr26: Less 231</t>
        </is>
      </c>
      <c r="I513" s="5" t="n"/>
      <c r="J513" s="5" t="n"/>
      <c r="K513" s="5" t="n"/>
    </row>
    <row r="514">
      <c r="A514" s="10" t="n"/>
      <c r="B514" s="10" t="n"/>
      <c r="C514" s="11" t="n">
        <v>46147</v>
      </c>
      <c r="D514" s="10" t="inlineStr">
        <is>
          <t>Sell</t>
        </is>
      </c>
      <c r="E514" s="12" t="n">
        <v>-3251</v>
      </c>
      <c r="F514" s="13" t="n"/>
      <c r="G514" s="26" t="n"/>
      <c r="H514" s="14" t="inlineStr">
        <is>
          <t>Portfolio_2026.xlsx / 05May26: Sell 3251</t>
        </is>
      </c>
      <c r="I514" s="10" t="n"/>
      <c r="J514" s="10" t="n"/>
      <c r="K514" s="10" t="n"/>
    </row>
    <row r="515">
      <c r="A515" s="37" t="n"/>
      <c r="B515" s="37" t="n"/>
      <c r="C515" s="38" t="n">
        <v>46195</v>
      </c>
      <c r="D515" s="37" t="inlineStr">
        <is>
          <t>Buy</t>
        </is>
      </c>
      <c r="E515" s="39" t="n">
        <v>13804</v>
      </c>
      <c r="F515" s="40" t="n"/>
      <c r="G515" s="30" t="n"/>
      <c r="H515" s="41" t="inlineStr">
        <is>
          <t>Portfolio_2026.xlsx / 22Jun26: Buy 13804</t>
        </is>
      </c>
      <c r="I515" s="37" t="n"/>
      <c r="J515" s="37" t="n"/>
      <c r="K515" s="37" t="n"/>
    </row>
    <row r="516">
      <c r="A516" s="5" t="n"/>
      <c r="B516" s="5" t="n"/>
      <c r="C516" s="6" t="n">
        <v>46204</v>
      </c>
      <c r="D516" s="5" t="inlineStr">
        <is>
          <t>Buy</t>
        </is>
      </c>
      <c r="E516" s="7" t="n">
        <v>4918</v>
      </c>
      <c r="F516" s="8" t="n"/>
      <c r="G516" s="25" t="n"/>
      <c r="H516" s="9" t="inlineStr">
        <is>
          <t>Portfolio_2026.xlsx / 01Jul26: Add 4918</t>
        </is>
      </c>
      <c r="I516" s="5" t="n"/>
      <c r="J516" s="5" t="n"/>
      <c r="K516" s="5" t="n"/>
    </row>
    <row r="517">
      <c r="A517" s="77" t="n"/>
      <c r="B517" s="77" t="n"/>
      <c r="C517" s="78" t="n"/>
      <c r="D517" s="77" t="n"/>
      <c r="E517" s="79">
        <f>SUM(E480:E516)</f>
        <v/>
      </c>
      <c r="F517" s="76" t="n"/>
      <c r="G517" s="76" t="n"/>
      <c r="H517" s="80" t="n"/>
      <c r="I517" s="77" t="n"/>
      <c r="J517" s="77" t="n"/>
      <c r="K517" s="77" t="n"/>
    </row>
    <row r="518">
      <c r="A518" s="64" t="n">
        <v>74</v>
      </c>
      <c r="B518" s="64" t="inlineStr">
        <is>
          <t>AtherEnerg</t>
        </is>
      </c>
      <c r="C518" s="65" t="n">
        <v>46122</v>
      </c>
      <c r="D518" s="64" t="inlineStr">
        <is>
          <t>Buy</t>
        </is>
      </c>
      <c r="E518" s="66" t="n">
        <v>1655</v>
      </c>
      <c r="F518" s="67" t="n">
        <v>864.33</v>
      </c>
      <c r="G518" s="67" t="n">
        <v>1430466.15</v>
      </c>
      <c r="H518" s="68" t="inlineStr">
        <is>
          <t>Portfolio_2026.xlsx / 10Apr26: Buy 1655@864.33 = 1430466</t>
        </is>
      </c>
      <c r="I518" s="64" t="n"/>
      <c r="J518" s="64" t="n"/>
      <c r="K518" s="64" t="n"/>
    </row>
    <row r="519">
      <c r="A519" s="5" t="n"/>
      <c r="B519" s="5" t="n"/>
      <c r="C519" s="6" t="n">
        <v>46195</v>
      </c>
      <c r="D519" s="5" t="inlineStr">
        <is>
          <t>Buy</t>
        </is>
      </c>
      <c r="E519" s="7" t="n">
        <v>330</v>
      </c>
      <c r="F519" s="8" t="n">
        <v>968.16</v>
      </c>
      <c r="G519" s="25" t="n">
        <v>319492.8</v>
      </c>
      <c r="H519" s="9" t="inlineStr">
        <is>
          <t>Portfolio_2026.xlsx / 22Jun26: Buy 330@968.16 = 319493</t>
        </is>
      </c>
      <c r="I519" s="5" t="n"/>
      <c r="J519" s="5" t="n"/>
      <c r="K519" s="5" t="n"/>
    </row>
    <row r="520">
      <c r="A520" s="77" t="n"/>
      <c r="B520" s="77" t="n"/>
      <c r="C520" s="78" t="n"/>
      <c r="D520" s="77" t="n"/>
      <c r="E520" s="79">
        <f>SUM(E518:E519)</f>
        <v/>
      </c>
      <c r="F520" s="76" t="n"/>
      <c r="G520" s="76" t="n"/>
      <c r="H520" s="80" t="n"/>
      <c r="I520" s="77" t="n"/>
      <c r="J520" s="77" t="n"/>
      <c r="K520" s="77" t="n"/>
    </row>
    <row r="521">
      <c r="A521" s="64" t="n">
        <v>75</v>
      </c>
      <c r="B521" s="64" t="inlineStr">
        <is>
          <t>HEG</t>
        </is>
      </c>
      <c r="C521" s="65" t="n">
        <v>46128</v>
      </c>
      <c r="D521" s="64" t="inlineStr">
        <is>
          <t>Buy</t>
        </is>
      </c>
      <c r="E521" s="66" t="n">
        <v>2434</v>
      </c>
      <c r="F521" s="67" t="n">
        <v>623.8200000000001</v>
      </c>
      <c r="G521" s="67" t="n">
        <v>1518377.88</v>
      </c>
      <c r="H521" s="68" t="inlineStr">
        <is>
          <t>Portfolio_2026.xlsx / 16Apr26: Add 2434@623.82 = 1518378</t>
        </is>
      </c>
      <c r="I521" s="64" t="n"/>
      <c r="J521" s="64" t="n"/>
      <c r="K521" s="64" t="n"/>
    </row>
    <row r="522">
      <c r="A522" s="10" t="n"/>
      <c r="B522" s="10" t="n"/>
      <c r="C522" s="11" t="n">
        <v>46182</v>
      </c>
      <c r="D522" s="10" t="inlineStr">
        <is>
          <t>Buy</t>
        </is>
      </c>
      <c r="E522" s="12" t="n">
        <v>532</v>
      </c>
      <c r="F522" s="13" t="n">
        <v>525.87</v>
      </c>
      <c r="G522" s="26" t="n">
        <v>279762.84</v>
      </c>
      <c r="H522" s="14" t="inlineStr">
        <is>
          <t>Portfolio_2026.xlsx / 09Jun26: Buy 532@525.87 = 279763</t>
        </is>
      </c>
      <c r="I522" s="10" t="n"/>
      <c r="J522" s="10" t="n"/>
      <c r="K522" s="10" t="n"/>
    </row>
    <row r="523">
      <c r="A523" s="77" t="n"/>
      <c r="B523" s="77" t="n"/>
      <c r="C523" s="78" t="n"/>
      <c r="D523" s="77" t="n"/>
      <c r="E523" s="79">
        <f>SUM(E521:E522)</f>
        <v/>
      </c>
      <c r="F523" s="76" t="n"/>
      <c r="G523" s="76" t="n"/>
      <c r="H523" s="80" t="n"/>
      <c r="I523" s="77" t="n"/>
      <c r="J523" s="77" t="n"/>
      <c r="K523" s="77" t="n"/>
    </row>
    <row r="524">
      <c r="A524" s="64" t="n">
        <v>76</v>
      </c>
      <c r="B524" s="64" t="inlineStr">
        <is>
          <t>InoxWind</t>
        </is>
      </c>
      <c r="C524" s="65" t="n">
        <v>46147</v>
      </c>
      <c r="D524" s="64" t="inlineStr">
        <is>
          <t>Buy</t>
        </is>
      </c>
      <c r="E524" s="66" t="n">
        <v>12359</v>
      </c>
      <c r="F524" s="67" t="n">
        <v>104.89</v>
      </c>
      <c r="G524" s="67" t="n">
        <v>1296335.51</v>
      </c>
      <c r="H524" s="68" t="inlineStr">
        <is>
          <t>Portfolio_2026.xlsx / 05May26: Buy 12359@104.89 = 1296335</t>
        </is>
      </c>
      <c r="I524" s="64" t="n"/>
      <c r="J524" s="64" t="n"/>
      <c r="K524" s="64" t="n"/>
    </row>
    <row r="525">
      <c r="A525" s="10" t="n"/>
      <c r="B525" s="10" t="n"/>
      <c r="C525" s="11" t="n">
        <v>46153</v>
      </c>
      <c r="D525" s="10" t="inlineStr">
        <is>
          <t>Buy</t>
        </is>
      </c>
      <c r="E525" s="12" t="n">
        <v>1297</v>
      </c>
      <c r="F525" s="13" t="n">
        <v>99.69</v>
      </c>
      <c r="G525" s="26" t="n">
        <v>129297.93</v>
      </c>
      <c r="H525" s="14" t="inlineStr">
        <is>
          <t>Portfolio_2026.xlsx / 11May: Buy 1297@99.69 = 129298</t>
        </is>
      </c>
      <c r="I525" s="10" t="n"/>
      <c r="J525" s="10" t="n"/>
      <c r="K525" s="10" t="n"/>
    </row>
    <row r="526">
      <c r="A526" s="77" t="n"/>
      <c r="B526" s="77" t="n"/>
      <c r="C526" s="78" t="n"/>
      <c r="D526" s="77" t="n"/>
      <c r="E526" s="79">
        <f>SUM(E524:E525)</f>
        <v/>
      </c>
      <c r="F526" s="76" t="n"/>
      <c r="G526" s="76" t="n"/>
      <c r="H526" s="80" t="n"/>
      <c r="I526" s="77" t="n"/>
      <c r="J526" s="77" t="n"/>
      <c r="K526" s="77" t="n"/>
    </row>
  </sheetData>
  <conditionalFormatting sqref="D2:D427">
    <cfRule type="expression" priority="1" dxfId="20">
      <formula>D2="Sell"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10" defaultColWidth="8.83203125" defaultRowHeight="14"/>
  <cols>
    <col width="22" customWidth="1" min="1" max="1"/>
    <col width="14" customWidth="1" min="2" max="3"/>
    <col width="12" customWidth="1" min="4" max="4"/>
    <col width="65" customWidth="1" min="5" max="5"/>
    <col width="42" customWidth="1" min="6" max="6"/>
  </cols>
  <sheetData>
    <row r="1" ht="21.25" customHeight="1">
      <c r="A1" s="2" t="inlineStr">
        <is>
          <t>Stock</t>
        </is>
      </c>
      <c r="B1" s="4" t="inlineStr">
        <is>
          <t>Date</t>
        </is>
      </c>
      <c r="C1" s="2" t="inlineStr">
        <is>
          <t>Action</t>
        </is>
      </c>
      <c r="D1" s="2" t="inlineStr">
        <is>
          <t>Quantity</t>
        </is>
      </c>
      <c r="E1" s="2" t="inlineStr">
        <is>
          <t>Source / Notes</t>
        </is>
      </c>
      <c r="F1" s="2" t="inlineStr">
        <is>
          <t>Required Action</t>
        </is>
      </c>
    </row>
    <row r="2">
      <c r="A2" s="1" t="inlineStr">
        <is>
          <t>HindOilExp</t>
        </is>
      </c>
      <c r="B2" s="1" t="n">
        <v>45722</v>
      </c>
      <c r="C2" s="1" t="inlineStr">
        <is>
          <t>Sell</t>
        </is>
      </c>
      <c r="D2" s="1" t="n">
        <v>-2568</v>
      </c>
      <c r="E2" s="1" t="inlineStr">
        <is>
          <t>INFERRED from holding reduction 10,700 to 8,132 in 06Mar25; trade price not recorded</t>
        </is>
      </c>
      <c r="F2" s="1" t="inlineStr">
        <is>
          <t>Trade price missing—verify in source records</t>
        </is>
      </c>
    </row>
    <row r="3">
      <c r="A3" t="inlineStr">
        <is>
          <t>LiquidCase</t>
        </is>
      </c>
      <c r="B3" s="3" t="n">
        <v>46023</v>
      </c>
      <c r="C3" t="inlineStr">
        <is>
          <t>Sell</t>
        </is>
      </c>
      <c r="D3" t="n">
        <v>-5505</v>
      </c>
      <c r="E3" t="inlineStr">
        <is>
          <t>Portfolio_2026.xlsx / 01Jan26-2: Sell 5505</t>
        </is>
      </c>
      <c r="F3" t="inlineStr">
        <is>
          <t>Trade price missing in 2026 portfolio note—verify if needed</t>
        </is>
      </c>
    </row>
    <row r="4">
      <c r="A4" t="inlineStr">
        <is>
          <t>LiquidCase</t>
        </is>
      </c>
      <c r="B4" s="3" t="n">
        <v>46050</v>
      </c>
      <c r="C4" t="inlineStr">
        <is>
          <t>Buy</t>
        </is>
      </c>
      <c r="D4" t="n">
        <v>3820</v>
      </c>
      <c r="E4" t="inlineStr">
        <is>
          <t>Portfolio_2026.xlsx / 28Jan26: Add 3820 Less 6212</t>
        </is>
      </c>
      <c r="F4" t="inlineStr">
        <is>
          <t>Trade price missing in 2026 portfolio note—verify if needed</t>
        </is>
      </c>
    </row>
    <row r="5">
      <c r="A5" t="inlineStr">
        <is>
          <t>LiquidCase</t>
        </is>
      </c>
      <c r="B5" s="3" t="n">
        <v>46050</v>
      </c>
      <c r="C5" t="inlineStr">
        <is>
          <t>Sell</t>
        </is>
      </c>
      <c r="D5" t="n">
        <v>-6212</v>
      </c>
      <c r="E5" t="inlineStr">
        <is>
          <t>Portfolio_2026.xlsx / 28Jan26: Add 3820 Less 6212</t>
        </is>
      </c>
      <c r="F5" t="inlineStr">
        <is>
          <t>Trade price missing in 2026 portfolio note—verify if needed</t>
        </is>
      </c>
    </row>
    <row r="6">
      <c r="A6" t="inlineStr">
        <is>
          <t>LiquidCase</t>
        </is>
      </c>
      <c r="B6" s="3" t="n">
        <v>46070</v>
      </c>
      <c r="C6" t="inlineStr">
        <is>
          <t>Buy</t>
        </is>
      </c>
      <c r="D6" t="n">
        <v>5704</v>
      </c>
      <c r="E6" t="inlineStr">
        <is>
          <t>Portfolio_2026.xlsx / 17Feb26: Buy 5704</t>
        </is>
      </c>
      <c r="F6" t="inlineStr">
        <is>
          <t>Trade price missing in 2026 portfolio note—verify if needed</t>
        </is>
      </c>
    </row>
    <row r="7">
      <c r="A7" t="inlineStr">
        <is>
          <t>LiquidCase</t>
        </is>
      </c>
      <c r="B7" s="3" t="n">
        <v>46085</v>
      </c>
      <c r="C7" t="inlineStr">
        <is>
          <t>Sell</t>
        </is>
      </c>
      <c r="D7" t="n">
        <v>-2774</v>
      </c>
      <c r="E7" t="inlineStr">
        <is>
          <t>Portfolio_2026.xlsx / 04Mar26: Less 2774</t>
        </is>
      </c>
      <c r="F7" t="inlineStr">
        <is>
          <t>Trade price missing in 2026 portfolio note—verify if needed</t>
        </is>
      </c>
    </row>
    <row r="8">
      <c r="A8" t="inlineStr">
        <is>
          <t>LiquidCase</t>
        </is>
      </c>
      <c r="B8" s="3" t="n">
        <v>46090</v>
      </c>
      <c r="C8" t="inlineStr">
        <is>
          <t>Buy</t>
        </is>
      </c>
      <c r="D8" t="n">
        <v>2757</v>
      </c>
      <c r="E8" t="inlineStr">
        <is>
          <t>Portfolio_2026.xlsx / 09Mar26: Add 2757</t>
        </is>
      </c>
      <c r="F8" t="inlineStr">
        <is>
          <t>Trade price missing in 2026 portfolio note—verify if needed</t>
        </is>
      </c>
    </row>
    <row r="9">
      <c r="A9" t="inlineStr">
        <is>
          <t>LiquidCase</t>
        </is>
      </c>
      <c r="B9" s="3" t="n">
        <v>46097</v>
      </c>
      <c r="C9" t="inlineStr">
        <is>
          <t>Sell</t>
        </is>
      </c>
      <c r="D9" t="n">
        <v>-458</v>
      </c>
      <c r="E9" t="inlineStr">
        <is>
          <t>Portfolio_2026.xlsx / 16Mar26: Less 458</t>
        </is>
      </c>
      <c r="F9" t="inlineStr">
        <is>
          <t>Trade price missing in 2026 portfolio note—verify if needed</t>
        </is>
      </c>
    </row>
    <row r="10">
      <c r="A10" t="inlineStr">
        <is>
          <t>LiquidCase</t>
        </is>
      </c>
      <c r="B10" s="3" t="n">
        <v>46113</v>
      </c>
      <c r="C10" t="inlineStr">
        <is>
          <t>Sell</t>
        </is>
      </c>
      <c r="D10" t="n">
        <v>-1307</v>
      </c>
      <c r="E10" t="inlineStr">
        <is>
          <t>Portfolio_2026.xlsx / 01Apr26: Less 1307</t>
        </is>
      </c>
      <c r="F10" t="inlineStr">
        <is>
          <t>Trade price missing in 2026 portfolio note—verify if needed</t>
        </is>
      </c>
    </row>
    <row r="11">
      <c r="A11" t="inlineStr">
        <is>
          <t>LiquidCase</t>
        </is>
      </c>
      <c r="B11" s="3" t="n">
        <v>46120</v>
      </c>
      <c r="C11" t="inlineStr">
        <is>
          <t>Buy</t>
        </is>
      </c>
      <c r="D11" t="n">
        <v>3879</v>
      </c>
      <c r="E11" t="inlineStr">
        <is>
          <t>Portfolio_2026.xlsx / 08Apr26: Add 3879</t>
        </is>
      </c>
      <c r="F11" t="inlineStr">
        <is>
          <t>Trade price missing in 2026 portfolio note—verify if needed</t>
        </is>
      </c>
    </row>
    <row r="12">
      <c r="A12" t="inlineStr">
        <is>
          <t>LiquidCase</t>
        </is>
      </c>
      <c r="B12" s="3" t="n">
        <v>46122</v>
      </c>
      <c r="C12" t="inlineStr">
        <is>
          <t>Sell</t>
        </is>
      </c>
      <c r="D12" t="n">
        <v>-7827</v>
      </c>
      <c r="E12" t="inlineStr">
        <is>
          <t>Portfolio_2026.xlsx / 10Apr26: Less 7827</t>
        </is>
      </c>
      <c r="F12" t="inlineStr">
        <is>
          <t>Trade price missing in 2026 portfolio note—verify if needed</t>
        </is>
      </c>
    </row>
    <row r="13">
      <c r="A13" t="inlineStr">
        <is>
          <t>LiquidCase</t>
        </is>
      </c>
      <c r="B13" s="3" t="n">
        <v>46128</v>
      </c>
      <c r="C13" t="inlineStr">
        <is>
          <t>Sell</t>
        </is>
      </c>
      <c r="D13" t="n">
        <v>-231</v>
      </c>
      <c r="E13" t="inlineStr">
        <is>
          <t>Portfolio_2026.xlsx / 16Apr26: Less 231</t>
        </is>
      </c>
      <c r="F13" t="inlineStr">
        <is>
          <t>Trade price missing in 2026 portfolio note—verify if needed</t>
        </is>
      </c>
    </row>
    <row r="14">
      <c r="A14" t="inlineStr">
        <is>
          <t>LiquidCase</t>
        </is>
      </c>
      <c r="B14" s="3" t="n">
        <v>46147</v>
      </c>
      <c r="C14" t="inlineStr">
        <is>
          <t>Sell</t>
        </is>
      </c>
      <c r="D14" t="n">
        <v>-3251</v>
      </c>
      <c r="E14" t="inlineStr">
        <is>
          <t>Portfolio_2026.xlsx / 05May26: Sell 3251</t>
        </is>
      </c>
      <c r="F14" t="inlineStr">
        <is>
          <t>Trade price missing in 2026 portfolio note—verify if needed</t>
        </is>
      </c>
    </row>
    <row r="15">
      <c r="A15" t="inlineStr">
        <is>
          <t>LiquidCase</t>
        </is>
      </c>
      <c r="B15" s="3" t="n">
        <v>46195</v>
      </c>
      <c r="C15" t="inlineStr">
        <is>
          <t>Buy</t>
        </is>
      </c>
      <c r="D15" t="n">
        <v>13804</v>
      </c>
      <c r="E15" t="inlineStr">
        <is>
          <t>Portfolio_2026.xlsx / 22Jun26: Buy 13804</t>
        </is>
      </c>
      <c r="F15" t="inlineStr">
        <is>
          <t>Trade price missing in 2026 portfolio note—verify if needed</t>
        </is>
      </c>
    </row>
    <row r="16">
      <c r="A16" t="inlineStr">
        <is>
          <t>LiquidCase</t>
        </is>
      </c>
      <c r="B16" s="3" t="n">
        <v>46204</v>
      </c>
      <c r="C16" t="inlineStr">
        <is>
          <t>Buy</t>
        </is>
      </c>
      <c r="D16" t="n">
        <v>4918</v>
      </c>
      <c r="E16" t="inlineStr">
        <is>
          <t>Portfolio_2026.xlsx / 01Jul26: Add 4918</t>
        </is>
      </c>
      <c r="F16" t="inlineStr">
        <is>
          <t>Trade price missing in 2026 portfolio note—verify if needed</t>
        </is>
      </c>
    </row>
    <row r="17" ht="106" customHeight="1">
      <c r="A17" s="44" t="inlineStr">
        <is>
          <t>RSSoftware</t>
        </is>
      </c>
      <c r="B17" s="45" t="n">
        <v>42114</v>
      </c>
      <c r="C17" s="44" t="inlineStr">
        <is>
          <t>Final sale price/proceeds</t>
        </is>
      </c>
      <c r="D17" s="44" t="inlineStr">
        <is>
          <t>Quantity corrected to -1,072 to match the zero snapshot after split and missing buy.</t>
        </is>
      </c>
      <c r="E17" s="44" t="inlineStr">
        <is>
          <t>Original row only records 317@371; do not use it as full-episode proceeds.</t>
        </is>
      </c>
      <c r="F17" s="46" t="inlineStr">
        <is>
          <t>Needs broker/ledger confirmation</t>
        </is>
      </c>
    </row>
    <row r="18" ht="106" customHeight="1">
      <c r="A18" s="44" t="inlineStr">
        <is>
          <t>Dynamatic Tech</t>
        </is>
      </c>
      <c r="B18" s="45" t="n">
        <v>42521</v>
      </c>
      <c r="C18" s="44" t="inlineStr">
        <is>
          <t>Exit price/proceeds</t>
        </is>
      </c>
      <c r="D18" s="44" t="inlineStr">
        <is>
          <t>Quantity -157 inferred because the position disappears by 31-May-2016.</t>
        </is>
      </c>
      <c r="E18" s="44" t="inlineStr">
        <is>
          <t>Exact execution date, sale price and proceeds are unavailable.</t>
        </is>
      </c>
      <c r="F18" s="83" t="inlineStr">
        <is>
          <t>Needs broker/ledger confirmation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10" defaultColWidth="8.83203125" defaultRowHeight="14"/>
  <cols>
    <col width="18" customWidth="1" min="1" max="1"/>
    <col width="13" customWidth="1" min="2" max="2"/>
    <col width="12" customWidth="1" min="3" max="3"/>
    <col width="10" customWidth="1" min="4" max="4"/>
    <col width="15" customWidth="1" min="5" max="7"/>
    <col width="18" customWidth="1" min="8" max="8"/>
    <col width="13" customWidth="1" min="9" max="9"/>
    <col width="48" customWidth="1" min="10" max="10"/>
    <col width="55" customWidth="1" min="11" max="12"/>
    <col width="24" customWidth="1" min="13" max="13"/>
  </cols>
  <sheetData>
    <row r="1" ht="60.25" customHeight="1">
      <c r="A1" s="31" t="inlineStr">
        <is>
          <t>Stock</t>
        </is>
      </c>
      <c r="B1" s="31" t="inlineStr">
        <is>
          <t>Action Date</t>
        </is>
      </c>
      <c r="C1" s="31" t="inlineStr">
        <is>
          <t>Action</t>
        </is>
      </c>
      <c r="D1" s="31" t="inlineStr">
        <is>
          <t>Ratio</t>
        </is>
      </c>
      <c r="E1" s="31" t="inlineStr">
        <is>
          <t>Pre-Action Qty</t>
        </is>
      </c>
      <c r="F1" s="31" t="inlineStr">
        <is>
          <t>Quantity Delta</t>
        </is>
      </c>
      <c r="G1" s="31" t="inlineStr">
        <is>
          <t>Post-Action Qty</t>
        </is>
      </c>
      <c r="H1" s="31" t="inlineStr">
        <is>
          <t>First Snapshot Showing Change</t>
        </is>
      </c>
      <c r="I1" s="31" t="inlineStr">
        <is>
          <t>Snapshot Qty</t>
        </is>
      </c>
      <c r="J1" s="31" t="inlineStr">
        <is>
          <t>Transactions Restored</t>
        </is>
      </c>
      <c r="K1" s="31" t="inlineStr">
        <is>
          <t>Primary Source</t>
        </is>
      </c>
      <c r="L1" s="31" t="inlineStr">
        <is>
          <t>Date / Ratio Cross-Check</t>
        </is>
      </c>
      <c r="M1" s="31" t="inlineStr">
        <is>
          <t>Status</t>
        </is>
      </c>
    </row>
    <row r="2" ht="37.25" customHeight="1">
      <c r="A2" s="32" t="inlineStr">
        <is>
          <t>Amara Raja</t>
        </is>
      </c>
      <c r="B2" s="33" t="n">
        <v>41178</v>
      </c>
      <c r="C2" s="32" t="inlineStr">
        <is>
          <t>Split</t>
        </is>
      </c>
      <c r="D2" s="32" t="inlineStr">
        <is>
          <t>2:1</t>
        </is>
      </c>
      <c r="E2" s="34" t="n">
        <v>490</v>
      </c>
      <c r="F2" s="34" t="n">
        <v>490</v>
      </c>
      <c r="G2" s="34" t="n">
        <v>980</v>
      </c>
      <c r="H2" s="33" t="n">
        <v>41180</v>
      </c>
      <c r="I2" s="32" t="n">
        <v>980</v>
      </c>
      <c r="J2" s="32" t="inlineStr">
        <is>
          <t>01-Jan-2012 Buy: 980@102 → 490@204</t>
        </is>
      </c>
      <c r="K2" s="32" t="inlineStr">
        <is>
          <t>https://www.amararajaeandm.com/Files/AnnualGeneralMeetingFiles/2012/Annual-Report-2012-13.pdf</t>
        </is>
      </c>
      <c r="L2" s="32" t="inlineStr">
        <is>
          <t>https://www.alphaspread.com/security/nse/are%26m/investor-returns/i/stock-splits</t>
        </is>
      </c>
      <c r="M2" s="29" t="inlineStr">
        <is>
          <t>Backfilled and reconciled</t>
        </is>
      </c>
    </row>
    <row r="3" ht="37.25" customHeight="1">
      <c r="A3" s="32" t="inlineStr">
        <is>
          <t>Ashiana</t>
        </is>
      </c>
      <c r="B3" s="33" t="n">
        <v>41571</v>
      </c>
      <c r="C3" s="32" t="inlineStr">
        <is>
          <t>Split</t>
        </is>
      </c>
      <c r="D3" s="32" t="inlineStr">
        <is>
          <t>5:1</t>
        </is>
      </c>
      <c r="E3" s="34" t="n">
        <v>766</v>
      </c>
      <c r="F3" s="34" t="n">
        <v>3064</v>
      </c>
      <c r="G3" s="34" t="n">
        <v>3830</v>
      </c>
      <c r="H3" s="33" t="n">
        <v>41578</v>
      </c>
      <c r="I3" s="32" t="n">
        <v>3830</v>
      </c>
      <c r="J3" s="32" t="inlineStr">
        <is>
          <t>01-Jan-2012 Buy: 2555@27.4 → 511@137; 20-Feb-2013 Buy: 1275@47 → 255@235</t>
        </is>
      </c>
      <c r="K3" s="32" t="inlineStr">
        <is>
          <t>https://trendlyne.com/equity/corporate-actions/ASHIANA/111/ashiana-housing-ltd/</t>
        </is>
      </c>
      <c r="L3" s="32" t="inlineStr">
        <is>
          <t>https://www.alphaspread.com/security/nse/ashiana/investor-returns/i/stock-splits</t>
        </is>
      </c>
      <c r="M3" s="29" t="inlineStr">
        <is>
          <t>Backfilled and reconciled</t>
        </is>
      </c>
    </row>
    <row r="4" ht="37.25" customHeight="1">
      <c r="A4" s="32" t="inlineStr">
        <is>
          <t>Kaveri</t>
        </is>
      </c>
      <c r="B4" s="33" t="n">
        <v>41666</v>
      </c>
      <c r="C4" s="32" t="inlineStr">
        <is>
          <t>Split</t>
        </is>
      </c>
      <c r="D4" s="32" t="inlineStr">
        <is>
          <t>5:1</t>
        </is>
      </c>
      <c r="E4" s="34" t="n">
        <v>141</v>
      </c>
      <c r="F4" s="34" t="n">
        <v>564</v>
      </c>
      <c r="G4" s="34" t="n">
        <v>705</v>
      </c>
      <c r="H4" s="33" t="n">
        <v>41687</v>
      </c>
      <c r="I4" s="32" t="n">
        <v>705</v>
      </c>
      <c r="J4" s="32" t="inlineStr">
        <is>
          <t>01-Jan-2012 Buy, 04-Jun-2012 Sell and 24-May-2013 Buy restored to pre-split basis</t>
        </is>
      </c>
      <c r="K4" s="32" t="inlineStr">
        <is>
          <t>https://www.kaveriseeds.in/images/pdf/images/annual-reports/Annual-Report-2016-2017.pdf</t>
        </is>
      </c>
      <c r="L4" s="32" t="inlineStr">
        <is>
          <t>https://trendlyne.com/equity/corporate-actions/KSCL/769/kaveri-seed-company-ltd/</t>
        </is>
      </c>
      <c r="M4" s="29" t="inlineStr">
        <is>
          <t>Backfilled and reconciled</t>
        </is>
      </c>
    </row>
    <row r="5" ht="37.25" customHeight="1">
      <c r="A5" s="32" t="inlineStr">
        <is>
          <t>Heritage</t>
        </is>
      </c>
      <c r="B5" s="33" t="n">
        <v>41481</v>
      </c>
      <c r="C5" s="32" t="inlineStr">
        <is>
          <t>Bonus</t>
        </is>
      </c>
      <c r="D5" s="32" t="inlineStr">
        <is>
          <t>1:1</t>
        </is>
      </c>
      <c r="E5" s="34" t="n">
        <v>420</v>
      </c>
      <c r="F5" s="34" t="n">
        <v>420</v>
      </c>
      <c r="G5" s="34" t="n">
        <v>840</v>
      </c>
      <c r="H5" s="33" t="n">
        <v>41494</v>
      </c>
      <c r="I5" s="32" t="n">
        <v>840</v>
      </c>
      <c r="J5" s="32" t="inlineStr">
        <is>
          <t>Three pre-bonus buys restored from 4× adjusted basis to original basis</t>
        </is>
      </c>
      <c r="K5" s="32" t="inlineStr">
        <is>
          <t>https://www.heritagefoods.in/uploads/investors/pdf/15587023778HeritageAR2014FullBook.pdf</t>
        </is>
      </c>
      <c r="L5" s="32" t="inlineStr">
        <is>
          <t>https://trendlyne.com/equity/corporate-actions/HERITGFOOD/539/heritage-foods-ltd/</t>
        </is>
      </c>
      <c r="M5" s="29" t="inlineStr">
        <is>
          <t>Backfilled and reconciled</t>
        </is>
      </c>
    </row>
    <row r="6">
      <c r="A6" s="32" t="inlineStr">
        <is>
          <t>Federal Bank</t>
        </is>
      </c>
      <c r="B6" s="33" t="n">
        <v>41564</v>
      </c>
      <c r="C6" s="32" t="inlineStr">
        <is>
          <t>Split</t>
        </is>
      </c>
      <c r="D6" s="32" t="inlineStr">
        <is>
          <t>5:1</t>
        </is>
      </c>
      <c r="E6" s="34" t="n">
        <v>329</v>
      </c>
      <c r="F6" s="34" t="n">
        <v>1316</v>
      </c>
      <c r="G6" s="34" t="n">
        <v>1645</v>
      </c>
      <c r="H6" s="33" t="n">
        <v>41565</v>
      </c>
      <c r="I6" s="32" t="n">
        <v>1645</v>
      </c>
      <c r="J6" s="32" t="inlineStr">
        <is>
          <t>05-Sep-2013 Buy: 3290@24.4 → 329@244</t>
        </is>
      </c>
      <c r="K6" s="32" t="inlineStr">
        <is>
          <t>https://trendlyne.com/equity/Split/FEDERALBNK/412/federal-bank-ltd-split/</t>
        </is>
      </c>
      <c r="L6" s="32" t="inlineStr">
        <is>
          <t>https://companiesmarketcap.com/inr/federal-bank/stock-splits/</t>
        </is>
      </c>
      <c r="M6" s="29" t="inlineStr">
        <is>
          <t>Backfilled and reconciled</t>
        </is>
      </c>
    </row>
    <row r="7" ht="56" customHeight="1">
      <c r="A7" s="32" t="inlineStr">
        <is>
          <t>Federal Bank</t>
        </is>
      </c>
      <c r="B7" s="33" t="n">
        <v>42193</v>
      </c>
      <c r="C7" s="32" t="inlineStr">
        <is>
          <t>Bonus</t>
        </is>
      </c>
      <c r="D7" s="32" t="inlineStr">
        <is>
          <t>1:1</t>
        </is>
      </c>
      <c r="E7" s="34" t="n">
        <v>1645</v>
      </c>
      <c r="F7" s="34" t="n">
        <v>1645</v>
      </c>
      <c r="G7" s="34" t="n">
        <v>3290</v>
      </c>
      <c r="H7" s="33" t="n">
        <v>42193</v>
      </c>
      <c r="I7" s="32" t="n">
        <v>3290</v>
      </c>
      <c r="J7" s="32" t="inlineStr">
        <is>
          <t>Same 05-Sep-2013 buy restoration supports both corporate actions</t>
        </is>
      </c>
      <c r="K7" s="32" t="inlineStr">
        <is>
          <t>https://www.federal.bank.in/documents/10180/8836195/Financial%2BResults%2B-%2BQ1%2B-%2BFY%2B17.pdf/e23b30fa-8d95-41bb-a0e3-4dc7f958abb7?t=1469180442379</t>
        </is>
      </c>
      <c r="L7" s="32" t="inlineStr">
        <is>
          <t>https://www.federalbank.co.in/documents/10180/17276109/84th%2BAGM%2BVoting%2BResults.pdf/f0f84da6-bc15-4b22-8762-6ed75dd0a483?t=1552914436194</t>
        </is>
      </c>
      <c r="M7" s="29" t="inlineStr">
        <is>
          <t>Backfilled and reconciled</t>
        </is>
      </c>
    </row>
    <row r="8" ht="37.25" customHeight="1">
      <c r="A8" s="32" t="inlineStr">
        <is>
          <t>MBL Infra</t>
        </is>
      </c>
      <c r="B8" s="33" t="n">
        <v>42213</v>
      </c>
      <c r="C8" s="32" t="inlineStr">
        <is>
          <t>Bonus</t>
        </is>
      </c>
      <c r="D8" s="32" t="inlineStr">
        <is>
          <t>1:1</t>
        </is>
      </c>
      <c r="E8" s="34" t="n">
        <v>614</v>
      </c>
      <c r="F8" s="34" t="n">
        <v>614</v>
      </c>
      <c r="G8" s="34" t="n">
        <v>1228</v>
      </c>
      <c r="H8" s="33" t="n">
        <v>42213</v>
      </c>
      <c r="I8" s="32" t="n">
        <v>1228</v>
      </c>
      <c r="J8" s="32" t="inlineStr">
        <is>
          <t>18-Nov-2014 Buy: 1228@195.4 → 614@390.8</t>
        </is>
      </c>
      <c r="K8" s="32" t="inlineStr">
        <is>
          <t>https://www.mblinfra.com/uploadimages/pdf/pdf_150528051819.pdf</t>
        </is>
      </c>
      <c r="L8" s="32" t="inlineStr">
        <is>
          <t>https://trendlyne.com/equity/corporate-actions/MBLINFRA/849/mbl-infrastructure-ltd/</t>
        </is>
      </c>
      <c r="M8" s="29" t="inlineStr">
        <is>
          <t>Backfilled and reconciled</t>
        </is>
      </c>
    </row>
    <row r="9" ht="37.25" customHeight="1">
      <c r="A9" s="32" t="inlineStr">
        <is>
          <t>Heritage</t>
        </is>
      </c>
      <c r="B9" s="33" t="n">
        <v>43018</v>
      </c>
      <c r="C9" s="32" t="inlineStr">
        <is>
          <t>Split</t>
        </is>
      </c>
      <c r="D9" s="32" t="inlineStr">
        <is>
          <t>2:1</t>
        </is>
      </c>
      <c r="E9" s="34" t="n">
        <v>1260</v>
      </c>
      <c r="F9" s="34" t="n">
        <v>1260</v>
      </c>
      <c r="G9" s="34" t="n">
        <v>2520</v>
      </c>
      <c r="H9" s="33" t="n">
        <v>43018</v>
      </c>
      <c r="I9" s="32" t="n">
        <v>2520</v>
      </c>
      <c r="J9" s="32" t="inlineStr">
        <is>
          <t>27-May-2015 Buy: 840@192.5 → 420@385; earlier buys already restored above</t>
        </is>
      </c>
      <c r="K9" s="32" t="inlineStr">
        <is>
          <t>https://www.heritagefoods.in/uploads/investors/pdf/15587019031H_AR_17-18.pdf</t>
        </is>
      </c>
      <c r="L9" s="32" t="inlineStr">
        <is>
          <t>https://trendlyne.com/equity/Split/HERITGFOOD/539/heritage-foods-ltd-split/</t>
        </is>
      </c>
      <c r="M9" s="29" t="inlineStr">
        <is>
          <t>Backfilled and reconciled</t>
        </is>
      </c>
    </row>
    <row r="10" ht="32" customHeight="1">
      <c r="A10" s="44" t="inlineStr">
        <is>
          <t>RSSoftware</t>
        </is>
      </c>
      <c r="B10" s="45" t="n">
        <v>42027</v>
      </c>
      <c r="C10" s="44" t="inlineStr">
        <is>
          <t>Split</t>
        </is>
      </c>
      <c r="D10" s="44" t="inlineStr">
        <is>
          <t>2:1</t>
        </is>
      </c>
      <c r="E10" s="44" t="n">
        <v>317</v>
      </c>
      <c r="F10" s="44" t="n">
        <v>317</v>
      </c>
      <c r="G10" s="44" t="n">
        <v>634</v>
      </c>
      <c r="H10" s="45" t="n">
        <v>42034</v>
      </c>
      <c r="I10" s="44" t="n">
        <v>1072</v>
      </c>
      <c r="J10" s="44" t="inlineStr">
        <is>
          <t>Added post-split Buy +438; final exit quantity corrected to -1,072</t>
        </is>
      </c>
      <c r="K10" s="44" t="inlineStr">
        <is>
          <t>https://www.rssoftware.com/administrator/uploads/reports/1711663116_RS_Software_Annual_Report_2014-15.pdf</t>
        </is>
      </c>
      <c r="L10" s="44" t="inlineStr">
        <is>
          <t>Annual report states subdivision from ₹10 to ₹5 completed 23-Jan-2015</t>
        </is>
      </c>
      <c r="M10" s="46" t="inlineStr">
        <is>
          <t>Backfilled; exit proceeds require 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10" defaultColWidth="8.83203125" defaultRowHeight="14"/>
  <cols>
    <col width="25" customWidth="1" min="1" max="1"/>
    <col width="24" customWidth="1" min="2" max="3"/>
    <col width="35" customWidth="1" min="4" max="5"/>
    <col width="58" customWidth="1" min="6" max="6"/>
    <col width="28" customWidth="1" min="7" max="7"/>
  </cols>
  <sheetData>
    <row r="1" ht="40" customHeight="1">
      <c r="A1" s="47" t="inlineStr">
        <is>
          <t>Stock</t>
        </is>
      </c>
      <c r="B1" s="47" t="inlineStr">
        <is>
          <t>Fix Type</t>
        </is>
      </c>
      <c r="C1" s="47" t="inlineStr">
        <is>
          <t>Dates</t>
        </is>
      </c>
      <c r="D1" s="47" t="inlineStr">
        <is>
          <t>Before</t>
        </is>
      </c>
      <c r="E1" s="47" t="inlineStr">
        <is>
          <t>After</t>
        </is>
      </c>
      <c r="F1" s="47" t="inlineStr">
        <is>
          <t>Snapshot Evidence</t>
        </is>
      </c>
      <c r="G1" s="47" t="inlineStr">
        <is>
          <t>Status</t>
        </is>
      </c>
    </row>
    <row r="2" ht="28" customHeight="1">
      <c r="A2" s="32" t="inlineStr">
        <is>
          <t>RSSoftware</t>
        </is>
      </c>
      <c r="B2" s="32" t="inlineStr">
        <is>
          <t>Split + missing buy + exit quantity</t>
        </is>
      </c>
      <c r="C2" s="32" t="inlineStr">
        <is>
          <t>23-Jan-2015 to 20-Apr-2015</t>
        </is>
      </c>
      <c r="D2" s="32" t="inlineStr">
        <is>
          <t>No split; final sell -317</t>
        </is>
      </c>
      <c r="E2" s="32" t="inlineStr">
        <is>
          <t>Split +317, Buy +438, final Sell -1,072</t>
        </is>
      </c>
      <c r="F2" s="32" t="inlineStr">
        <is>
          <t>Snapshots 317 → 1,072 → 0; official 2:1 split</t>
        </is>
      </c>
      <c r="G2" s="32" t="inlineStr">
        <is>
          <t>Quantity corrected; exit proceeds review</t>
        </is>
      </c>
    </row>
    <row r="3">
      <c r="A3" s="32" t="inlineStr">
        <is>
          <t>Escorts</t>
        </is>
      </c>
      <c r="B3" s="32" t="inlineStr">
        <is>
          <t>Staged sells</t>
        </is>
      </c>
      <c r="C3" s="32" t="inlineStr">
        <is>
          <t>14-Jun-2017 to 15-Jun-2017</t>
        </is>
      </c>
      <c r="D3" s="32" t="inlineStr">
        <is>
          <t>Sell -1,108 on 14-Jun</t>
        </is>
      </c>
      <c r="E3" s="32" t="inlineStr">
        <is>
          <t>Sell -554 each day</t>
        </is>
      </c>
      <c r="F3" s="32" t="inlineStr">
        <is>
          <t>Snapshots 2,214 → 1,660 → 1,106</t>
        </is>
      </c>
      <c r="G3" s="32" t="inlineStr">
        <is>
          <t>Corrected</t>
        </is>
      </c>
    </row>
    <row r="4">
      <c r="A4" s="32" t="inlineStr">
        <is>
          <t>Dynamatic Tech</t>
        </is>
      </c>
      <c r="B4" s="32" t="inlineStr">
        <is>
          <t>Staged buys</t>
        </is>
      </c>
      <c r="C4" s="32" t="inlineStr">
        <is>
          <t>15-Jun-2017 to 14-Jul-2017</t>
        </is>
      </c>
      <c r="D4" s="32" t="inlineStr">
        <is>
          <t>39 + 82 as two lumps</t>
        </is>
      </c>
      <c r="E4" s="32" t="inlineStr">
        <is>
          <t>2 dated buys + 5 dated buys</t>
        </is>
      </c>
      <c r="F4" s="32" t="inlineStr">
        <is>
          <t>Snapshots reproduce 74/83/101/114/134/153/165</t>
        </is>
      </c>
      <c r="G4" s="32" t="inlineStr">
        <is>
          <t>Corrected</t>
        </is>
      </c>
    </row>
    <row r="5">
      <c r="A5" s="32" t="inlineStr">
        <is>
          <t>UFO</t>
        </is>
      </c>
      <c r="B5" s="32" t="inlineStr">
        <is>
          <t>Staged buy</t>
        </is>
      </c>
      <c r="C5" s="32" t="inlineStr">
        <is>
          <t>07-Feb-2017 to 08-Feb-2017</t>
        </is>
      </c>
      <c r="D5" s="32" t="inlineStr">
        <is>
          <t>838 on one date</t>
        </is>
      </c>
      <c r="E5" s="32" t="inlineStr">
        <is>
          <t>419 + 419</t>
        </is>
      </c>
      <c r="F5" s="32" t="inlineStr">
        <is>
          <t>Snapshots 419 → 838</t>
        </is>
      </c>
      <c r="G5" s="32" t="inlineStr">
        <is>
          <t>Corrected</t>
        </is>
      </c>
    </row>
    <row r="6">
      <c r="A6" s="32" t="inlineStr">
        <is>
          <t>HindOilExp</t>
        </is>
      </c>
      <c r="B6" s="32" t="inlineStr">
        <is>
          <t>Staged buys</t>
        </is>
      </c>
      <c r="C6" s="32" t="inlineStr">
        <is>
          <t>14-Feb-2017 to 28-Aug-2017</t>
        </is>
      </c>
      <c r="D6" s="32" t="inlineStr">
        <is>
          <t>4,750 + 5,540 as two lumps</t>
        </is>
      </c>
      <c r="E6" s="32" t="inlineStr">
        <is>
          <t>4 dated buys + 3 dated buys</t>
        </is>
      </c>
      <c r="F6" s="32" t="inlineStr">
        <is>
          <t>Snapshots reproduce 1,280/2,560/3,840/4,750 and 6,050/7,350/10,290</t>
        </is>
      </c>
      <c r="G6" s="32" t="inlineStr">
        <is>
          <t>Corrected</t>
        </is>
      </c>
    </row>
    <row r="7">
      <c r="A7" s="32" t="inlineStr">
        <is>
          <t>FSL</t>
        </is>
      </c>
      <c r="B7" s="32" t="inlineStr">
        <is>
          <t>Staged buy</t>
        </is>
      </c>
      <c r="C7" s="32" t="inlineStr">
        <is>
          <t>19-Jun-2017 to 20-Jun-2017</t>
        </is>
      </c>
      <c r="D7" s="32" t="inlineStr">
        <is>
          <t>12,000 on one date</t>
        </is>
      </c>
      <c r="E7" s="32" t="inlineStr">
        <is>
          <t>6,000 + 6,000</t>
        </is>
      </c>
      <c r="F7" s="32" t="inlineStr">
        <is>
          <t>Snapshots 6,000 → 12,000</t>
        </is>
      </c>
      <c r="G7" s="32" t="inlineStr">
        <is>
          <t>Corrected</t>
        </is>
      </c>
    </row>
    <row r="8">
      <c r="A8" s="32" t="inlineStr">
        <is>
          <t>South Indian Bank</t>
        </is>
      </c>
      <c r="B8" s="32" t="inlineStr">
        <is>
          <t>Staged buy</t>
        </is>
      </c>
      <c r="C8" s="32" t="inlineStr">
        <is>
          <t>21-Sep-2017 to 22-Sep-2017</t>
        </is>
      </c>
      <c r="D8" s="32" t="inlineStr">
        <is>
          <t>13,973 on one date</t>
        </is>
      </c>
      <c r="E8" s="32" t="inlineStr">
        <is>
          <t>8,384 + 5,589</t>
        </is>
      </c>
      <c r="F8" s="32" t="inlineStr">
        <is>
          <t>Snapshots 8,384 → 13,973</t>
        </is>
      </c>
      <c r="G8" s="32" t="inlineStr">
        <is>
          <t>Corrected</t>
        </is>
      </c>
    </row>
    <row r="9">
      <c r="A9" s="32" t="inlineStr">
        <is>
          <t>Strides</t>
        </is>
      </c>
      <c r="B9" s="32" t="inlineStr">
        <is>
          <t>No change required</t>
        </is>
      </c>
      <c r="C9" s="32" t="inlineStr">
        <is>
          <t>12-Sep-2017</t>
        </is>
      </c>
      <c r="D9" s="32" t="inlineStr">
        <is>
          <t>Sell -267 on 12-Sep-2017</t>
        </is>
      </c>
      <c r="E9" s="32" t="inlineStr">
        <is>
          <t>Unchanged</t>
        </is>
      </c>
      <c r="F9" s="32" t="inlineStr">
        <is>
          <t>12Sep17 snapshot already shows zero; treated as post-trade snapshot</t>
        </is>
      </c>
      <c r="G9" s="32" t="inlineStr">
        <is>
          <t>Resolved by timing convention</t>
        </is>
      </c>
    </row>
    <row r="10" ht="28" customHeight="1">
      <c r="A10" s="32" t="inlineStr">
        <is>
          <t>Ashiana / Havells / SanghviMov / NIITTech</t>
        </is>
      </c>
      <c r="B10" s="32" t="inlineStr">
        <is>
          <t>No transaction change</t>
        </is>
      </c>
      <c r="C10" s="32" t="inlineStr">
        <is>
          <t>Opening snapshots</t>
        </is>
      </c>
      <c r="D10" s="32" t="inlineStr">
        <is>
          <t>Small fractional/off-by-one differences</t>
        </is>
      </c>
      <c r="E10" s="32" t="inlineStr">
        <is>
          <t>Unchanged</t>
        </is>
      </c>
      <c r="F10" s="32" t="inlineStr">
        <is>
          <t>Opening balances reflect rounded model allocations rather than exact executed quantities</t>
        </is>
      </c>
      <c r="G10" s="32" t="inlineStr">
        <is>
          <t>Low-priority tolerance</t>
        </is>
      </c>
    </row>
    <row r="11" ht="48" customHeight="1">
      <c r="A11" s="58" t="inlineStr">
        <is>
          <t>2012 affected securities</t>
        </is>
      </c>
      <c r="B11" s="58" t="inlineStr">
        <is>
          <t>Reconciliation policy</t>
        </is>
      </c>
      <c r="C11" s="58" t="inlineStr">
        <is>
          <t>01-Jan-2012 to 31-Dec-2012</t>
        </is>
      </c>
      <c r="D11" s="58" t="inlineStr">
        <is>
          <t>Early sheets produced ~119 apparent quantity changes</t>
        </is>
      </c>
      <c r="E11" s="58" t="inlineStr">
        <is>
          <t>No inferred trades; ±1 opening tolerance; soft warnings until 07-Aug; hard from 27-Aug</t>
        </is>
      </c>
      <c r="F11" s="58" t="inlineStr">
        <is>
          <t>All affected positions reconcile at 27-Aug-2012 and afterward</t>
        </is>
      </c>
      <c r="G11" s="58" t="inlineStr">
        <is>
          <t>Policy applied</t>
        </is>
      </c>
    </row>
  </sheetData>
  <conditionalFormatting sqref="G2:G10">
    <cfRule type="expression" priority="1" dxfId="1">
      <formula>ISNUMBER(SEARCH("Corrected",G2))</formula>
    </cfRule>
    <cfRule type="expression" priority="2" dxfId="4">
      <formula>ISNUMBER(SEARCH("review",LOWER(G2)))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10" defaultColWidth="8.83203125" defaultRowHeight="14"/>
  <cols>
    <col width="22" customWidth="1" min="1" max="1"/>
    <col width="15" customWidth="1" min="2" max="2"/>
    <col width="22" customWidth="1" min="3" max="5"/>
    <col width="12" customWidth="1" min="6" max="6"/>
  </cols>
  <sheetData>
    <row r="1" ht="32" customHeight="1">
      <c r="A1" s="48" t="inlineStr">
        <is>
          <t>Stock</t>
        </is>
      </c>
      <c r="B1" s="48" t="inlineStr">
        <is>
          <t>Snapshot Date</t>
        </is>
      </c>
      <c r="C1" s="48" t="inlineStr">
        <is>
          <t>Expected Quantity</t>
        </is>
      </c>
      <c r="D1" s="48" t="inlineStr">
        <is>
          <t>Reconstructed Quantity</t>
        </is>
      </c>
      <c r="E1" s="48" t="inlineStr">
        <is>
          <t>Difference</t>
        </is>
      </c>
      <c r="F1" s="48" t="inlineStr">
        <is>
          <t>Status</t>
        </is>
      </c>
    </row>
    <row r="2">
      <c r="A2" t="inlineStr">
        <is>
          <t>UFO</t>
        </is>
      </c>
      <c r="B2" s="43" t="n">
        <v>42773</v>
      </c>
      <c r="C2" s="49" t="n">
        <v>419</v>
      </c>
      <c r="D2" s="49" t="n">
        <v>419</v>
      </c>
      <c r="E2" s="49" t="n">
        <v>0</v>
      </c>
      <c r="F2" t="inlineStr">
        <is>
          <t>PASS</t>
        </is>
      </c>
    </row>
    <row r="3">
      <c r="A3" t="inlineStr">
        <is>
          <t>UFO</t>
        </is>
      </c>
      <c r="B3" s="43" t="n">
        <v>42774</v>
      </c>
      <c r="C3" s="49" t="n">
        <v>838</v>
      </c>
      <c r="D3" s="49" t="n">
        <v>838</v>
      </c>
      <c r="E3" s="49" t="n">
        <v>0</v>
      </c>
      <c r="F3" t="inlineStr">
        <is>
          <t>PASS</t>
        </is>
      </c>
    </row>
    <row r="4">
      <c r="A4" t="inlineStr">
        <is>
          <t>UFO</t>
        </is>
      </c>
      <c r="B4" s="43" t="n">
        <v>43250</v>
      </c>
      <c r="C4" s="49" t="n">
        <v>1676</v>
      </c>
      <c r="D4" s="49" t="n">
        <v>1676</v>
      </c>
      <c r="E4" s="49" t="n">
        <v>0</v>
      </c>
      <c r="F4" t="inlineStr">
        <is>
          <t>PASS</t>
        </is>
      </c>
    </row>
    <row r="5">
      <c r="A5" t="inlineStr">
        <is>
          <t>FSL</t>
        </is>
      </c>
      <c r="B5" s="43" t="n">
        <v>42905</v>
      </c>
      <c r="C5" s="49" t="n">
        <v>6000</v>
      </c>
      <c r="D5" s="49" t="n">
        <v>6000</v>
      </c>
      <c r="E5" s="49" t="n">
        <v>0</v>
      </c>
      <c r="F5" t="inlineStr">
        <is>
          <t>PASS</t>
        </is>
      </c>
    </row>
    <row r="6">
      <c r="A6" t="inlineStr">
        <is>
          <t>FSL</t>
        </is>
      </c>
      <c r="B6" s="43" t="n">
        <v>42906</v>
      </c>
      <c r="C6" s="49" t="n">
        <v>12000</v>
      </c>
      <c r="D6" s="49" t="n">
        <v>12000</v>
      </c>
      <c r="E6" s="49" t="n">
        <v>0</v>
      </c>
      <c r="F6" t="inlineStr">
        <is>
          <t>PASS</t>
        </is>
      </c>
    </row>
    <row r="7">
      <c r="A7" t="inlineStr">
        <is>
          <t>FSL</t>
        </is>
      </c>
      <c r="B7" s="43" t="n">
        <v>43271</v>
      </c>
      <c r="C7" s="49" t="n">
        <v>3000</v>
      </c>
      <c r="D7" s="49" t="n">
        <v>3000</v>
      </c>
      <c r="E7" s="49" t="n">
        <v>0</v>
      </c>
      <c r="F7" t="inlineStr">
        <is>
          <t>PASS</t>
        </is>
      </c>
    </row>
    <row r="8">
      <c r="A8" t="inlineStr">
        <is>
          <t>FSL</t>
        </is>
      </c>
      <c r="B8" s="43" t="n">
        <v>43291</v>
      </c>
      <c r="C8" s="49" t="n">
        <v>0</v>
      </c>
      <c r="D8" s="49" t="n">
        <v>0</v>
      </c>
      <c r="E8" s="49" t="n">
        <v>0</v>
      </c>
      <c r="F8" t="inlineStr">
        <is>
          <t>PASS</t>
        </is>
      </c>
    </row>
    <row r="9">
      <c r="A9" t="inlineStr">
        <is>
          <t>South Indian Bank</t>
        </is>
      </c>
      <c r="B9" s="43" t="n">
        <v>42999</v>
      </c>
      <c r="C9" s="49" t="n">
        <v>8384</v>
      </c>
      <c r="D9" s="49" t="n">
        <v>8384</v>
      </c>
      <c r="E9" s="49" t="n">
        <v>0</v>
      </c>
      <c r="F9" t="inlineStr">
        <is>
          <t>PASS</t>
        </is>
      </c>
    </row>
    <row r="10">
      <c r="A10" t="inlineStr">
        <is>
          <t>South Indian Bank</t>
        </is>
      </c>
      <c r="B10" s="43" t="n">
        <v>43000</v>
      </c>
      <c r="C10" s="49" t="n">
        <v>13973</v>
      </c>
      <c r="D10" s="49" t="n">
        <v>13973</v>
      </c>
      <c r="E10" s="49" t="n">
        <v>0</v>
      </c>
      <c r="F10" t="inlineStr">
        <is>
          <t>PASS</t>
        </is>
      </c>
    </row>
    <row r="11">
      <c r="A11" t="inlineStr">
        <is>
          <t>South Indian Bank</t>
        </is>
      </c>
      <c r="B11" s="43" t="n">
        <v>43760</v>
      </c>
      <c r="C11" s="49" t="n">
        <v>27946</v>
      </c>
      <c r="D11" s="49" t="n">
        <v>27946</v>
      </c>
      <c r="E11" s="49" t="n">
        <v>0</v>
      </c>
      <c r="F11" t="inlineStr">
        <is>
          <t>PASS</t>
        </is>
      </c>
    </row>
    <row r="12">
      <c r="A12" t="inlineStr">
        <is>
          <t>HindOilExp</t>
        </is>
      </c>
      <c r="B12" s="43" t="n">
        <v>42780</v>
      </c>
      <c r="C12" s="49" t="n">
        <v>1280</v>
      </c>
      <c r="D12" s="49" t="n">
        <v>1280</v>
      </c>
      <c r="E12" s="49" t="n">
        <v>0</v>
      </c>
      <c r="F12" t="inlineStr">
        <is>
          <t>PASS</t>
        </is>
      </c>
    </row>
    <row r="13">
      <c r="A13" t="inlineStr">
        <is>
          <t>HindOilExp</t>
        </is>
      </c>
      <c r="B13" s="43" t="n">
        <v>42781</v>
      </c>
      <c r="C13" s="49" t="n">
        <v>2560</v>
      </c>
      <c r="D13" s="49" t="n">
        <v>2560</v>
      </c>
      <c r="E13" s="49" t="n">
        <v>0</v>
      </c>
      <c r="F13" t="inlineStr">
        <is>
          <t>PASS</t>
        </is>
      </c>
    </row>
    <row r="14">
      <c r="A14" t="inlineStr">
        <is>
          <t>HindOilExp</t>
        </is>
      </c>
      <c r="B14" s="43" t="n">
        <v>42782</v>
      </c>
      <c r="C14" s="49" t="n">
        <v>3840</v>
      </c>
      <c r="D14" s="49" t="n">
        <v>3840</v>
      </c>
      <c r="E14" s="49" t="n">
        <v>0</v>
      </c>
      <c r="F14" t="inlineStr">
        <is>
          <t>PASS</t>
        </is>
      </c>
    </row>
    <row r="15">
      <c r="A15" t="inlineStr">
        <is>
          <t>HindOilExp</t>
        </is>
      </c>
      <c r="B15" s="43" t="n">
        <v>42788</v>
      </c>
      <c r="C15" s="49" t="n">
        <v>4750</v>
      </c>
      <c r="D15" s="49" t="n">
        <v>4750</v>
      </c>
      <c r="E15" s="49" t="n">
        <v>0</v>
      </c>
      <c r="F15" t="inlineStr">
        <is>
          <t>PASS</t>
        </is>
      </c>
    </row>
    <row r="16">
      <c r="A16" t="inlineStr">
        <is>
          <t>HindOilExp</t>
        </is>
      </c>
      <c r="B16" s="43" t="n">
        <v>42968</v>
      </c>
      <c r="C16" s="49" t="n">
        <v>6050</v>
      </c>
      <c r="D16" s="49" t="n">
        <v>6050</v>
      </c>
      <c r="E16" s="49" t="n">
        <v>0</v>
      </c>
      <c r="F16" t="inlineStr">
        <is>
          <t>PASS</t>
        </is>
      </c>
    </row>
    <row r="17">
      <c r="A17" t="inlineStr">
        <is>
          <t>HindOilExp</t>
        </is>
      </c>
      <c r="B17" s="43" t="n">
        <v>42969</v>
      </c>
      <c r="C17" s="49" t="n">
        <v>7350</v>
      </c>
      <c r="D17" s="49" t="n">
        <v>7350</v>
      </c>
      <c r="E17" s="49" t="n">
        <v>0</v>
      </c>
      <c r="F17" t="inlineStr">
        <is>
          <t>PASS</t>
        </is>
      </c>
    </row>
    <row r="18">
      <c r="A18" t="inlineStr">
        <is>
          <t>HindOilExp</t>
        </is>
      </c>
      <c r="B18" s="43" t="n">
        <v>42975</v>
      </c>
      <c r="C18" s="49" t="n">
        <v>10290</v>
      </c>
      <c r="D18" s="49" t="n">
        <v>10290</v>
      </c>
      <c r="E18" s="49" t="n">
        <v>0</v>
      </c>
      <c r="F18" t="inlineStr">
        <is>
          <t>PASS</t>
        </is>
      </c>
    </row>
    <row r="19">
      <c r="A19" t="inlineStr">
        <is>
          <t>Dynamatic Tech</t>
        </is>
      </c>
      <c r="B19" s="43" t="n">
        <v>42900</v>
      </c>
      <c r="C19" s="49" t="n">
        <v>44</v>
      </c>
      <c r="D19" s="49" t="n">
        <v>44</v>
      </c>
      <c r="E19" s="49" t="n">
        <v>0</v>
      </c>
      <c r="F19" t="inlineStr">
        <is>
          <t>PASS</t>
        </is>
      </c>
    </row>
    <row r="20">
      <c r="A20" t="inlineStr">
        <is>
          <t>Dynamatic Tech</t>
        </is>
      </c>
      <c r="B20" s="43" t="n">
        <v>42901</v>
      </c>
      <c r="C20" s="49" t="n">
        <v>74</v>
      </c>
      <c r="D20" s="49" t="n">
        <v>74</v>
      </c>
      <c r="E20" s="49" t="n">
        <v>0</v>
      </c>
      <c r="F20" t="inlineStr">
        <is>
          <t>PASS</t>
        </is>
      </c>
    </row>
    <row r="21">
      <c r="A21" t="inlineStr">
        <is>
          <t>Dynamatic Tech</t>
        </is>
      </c>
      <c r="B21" s="43" t="n">
        <v>42902</v>
      </c>
      <c r="C21" s="49" t="n">
        <v>83</v>
      </c>
      <c r="D21" s="49" t="n">
        <v>83</v>
      </c>
      <c r="E21" s="49" t="n">
        <v>0</v>
      </c>
      <c r="F21" t="inlineStr">
        <is>
          <t>PASS</t>
        </is>
      </c>
    </row>
    <row r="22">
      <c r="A22" t="inlineStr">
        <is>
          <t>Dynamatic Tech</t>
        </is>
      </c>
      <c r="B22" s="43" t="n">
        <v>42914</v>
      </c>
      <c r="C22" s="49" t="n">
        <v>101</v>
      </c>
      <c r="D22" s="49" t="n">
        <v>101</v>
      </c>
      <c r="E22" s="49" t="n">
        <v>0</v>
      </c>
      <c r="F22" t="inlineStr">
        <is>
          <t>PASS</t>
        </is>
      </c>
    </row>
    <row r="23">
      <c r="A23" t="inlineStr">
        <is>
          <t>Dynamatic Tech</t>
        </is>
      </c>
      <c r="B23" s="43" t="n">
        <v>42915</v>
      </c>
      <c r="C23" s="49" t="n">
        <v>114</v>
      </c>
      <c r="D23" s="49" t="n">
        <v>114</v>
      </c>
      <c r="E23" s="49" t="n">
        <v>0</v>
      </c>
      <c r="F23" t="inlineStr">
        <is>
          <t>PASS</t>
        </is>
      </c>
    </row>
    <row r="24">
      <c r="A24" t="inlineStr">
        <is>
          <t>Dynamatic Tech</t>
        </is>
      </c>
      <c r="B24" s="43" t="n">
        <v>42916</v>
      </c>
      <c r="C24" s="49" t="n">
        <v>134</v>
      </c>
      <c r="D24" s="49" t="n">
        <v>134</v>
      </c>
      <c r="E24" s="49" t="n">
        <v>0</v>
      </c>
      <c r="F24" t="inlineStr">
        <is>
          <t>PASS</t>
        </is>
      </c>
    </row>
    <row r="25">
      <c r="A25" t="inlineStr">
        <is>
          <t>Dynamatic Tech</t>
        </is>
      </c>
      <c r="B25" s="43" t="n">
        <v>42928</v>
      </c>
      <c r="C25" s="49" t="n">
        <v>153</v>
      </c>
      <c r="D25" s="49" t="n">
        <v>153</v>
      </c>
      <c r="E25" s="49" t="n">
        <v>0</v>
      </c>
      <c r="F25" t="inlineStr">
        <is>
          <t>PASS</t>
        </is>
      </c>
    </row>
    <row r="26">
      <c r="A26" t="inlineStr">
        <is>
          <t>Dynamatic Tech</t>
        </is>
      </c>
      <c r="B26" s="43" t="n">
        <v>42930</v>
      </c>
      <c r="C26" s="49" t="n">
        <v>165</v>
      </c>
      <c r="D26" s="49" t="n">
        <v>165</v>
      </c>
      <c r="E26" s="49" t="n">
        <v>0</v>
      </c>
      <c r="F26" t="inlineStr">
        <is>
          <t>PASS</t>
        </is>
      </c>
    </row>
    <row r="27">
      <c r="A27" t="inlineStr">
        <is>
          <t>RSSoftware</t>
        </is>
      </c>
      <c r="B27" s="43" t="n">
        <v>42005</v>
      </c>
      <c r="C27" s="49" t="n">
        <v>317</v>
      </c>
      <c r="D27" s="49" t="n">
        <v>317</v>
      </c>
      <c r="E27" s="49" t="n">
        <v>0</v>
      </c>
      <c r="F27" t="inlineStr">
        <is>
          <t>PASS</t>
        </is>
      </c>
    </row>
    <row r="28">
      <c r="A28" t="inlineStr">
        <is>
          <t>RSSoftware</t>
        </is>
      </c>
      <c r="B28" s="43" t="n">
        <v>42034</v>
      </c>
      <c r="C28" s="49" t="n">
        <v>1072</v>
      </c>
      <c r="D28" s="49" t="n">
        <v>1072</v>
      </c>
      <c r="E28" s="49" t="n">
        <v>0</v>
      </c>
      <c r="F28" t="inlineStr">
        <is>
          <t>PASS</t>
        </is>
      </c>
    </row>
    <row r="29">
      <c r="A29" t="inlineStr">
        <is>
          <t>RSSoftware</t>
        </is>
      </c>
      <c r="B29" s="43" t="n">
        <v>42114</v>
      </c>
      <c r="C29" s="49" t="n">
        <v>0</v>
      </c>
      <c r="D29" s="49" t="n">
        <v>0</v>
      </c>
      <c r="E29" s="49" t="n">
        <v>0</v>
      </c>
      <c r="F29" t="inlineStr">
        <is>
          <t>PASS</t>
        </is>
      </c>
    </row>
    <row r="30">
      <c r="A30" t="inlineStr">
        <is>
          <t>Escorts</t>
        </is>
      </c>
      <c r="B30" s="43" t="n">
        <v>42900</v>
      </c>
      <c r="C30" s="49" t="n">
        <v>1660</v>
      </c>
      <c r="D30" s="49" t="n">
        <v>1660</v>
      </c>
      <c r="E30" s="49" t="n">
        <v>0</v>
      </c>
      <c r="F30" t="inlineStr">
        <is>
          <t>PASS</t>
        </is>
      </c>
    </row>
    <row r="31">
      <c r="A31" t="inlineStr">
        <is>
          <t>Escorts</t>
        </is>
      </c>
      <c r="B31" s="43" t="n">
        <v>42901</v>
      </c>
      <c r="C31" s="49" t="n">
        <v>1106</v>
      </c>
      <c r="D31" s="49" t="n">
        <v>1106</v>
      </c>
      <c r="E31" s="49" t="n">
        <v>0</v>
      </c>
      <c r="F31" t="inlineStr">
        <is>
          <t>PASS</t>
        </is>
      </c>
    </row>
    <row r="32">
      <c r="A32" t="inlineStr">
        <is>
          <t>Escorts</t>
        </is>
      </c>
      <c r="B32" s="43" t="n">
        <v>42944</v>
      </c>
      <c r="C32" s="49" t="n">
        <v>0</v>
      </c>
      <c r="D32" s="49" t="n">
        <v>0</v>
      </c>
      <c r="E32" s="49" t="n">
        <v>0</v>
      </c>
      <c r="F32" t="inlineStr">
        <is>
          <t>PASS</t>
        </is>
      </c>
    </row>
  </sheetData>
  <conditionalFormatting sqref="F2:F32">
    <cfRule type="expression" priority="1" dxfId="1">
      <formula>F2="PASS"</formula>
    </cfRule>
    <cfRule type="expression" priority="2" dxfId="3">
      <formula>F2="FAIL"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:B1"/>
    </sheetView>
  </sheetViews>
  <sheetFormatPr baseColWidth="10" defaultColWidth="8.83203125" defaultRowHeight="14"/>
  <cols>
    <col width="34" customWidth="1" min="1" max="1"/>
    <col width="95" customWidth="1" min="2" max="2"/>
  </cols>
  <sheetData>
    <row r="1" ht="37.25" customHeight="1">
      <c r="A1" s="88" t="inlineStr">
        <is>
          <t>2012 RECONCILIATION POLICY</t>
        </is>
      </c>
    </row>
    <row r="2" ht="15" customHeight="1">
      <c r="A2" s="50" t="inlineStr">
        <is>
          <t>Policy item</t>
        </is>
      </c>
      <c r="B2" s="50" t="inlineStr">
        <is>
          <t>Required treatment</t>
        </is>
      </c>
    </row>
    <row r="3" ht="15" customHeight="1">
      <c r="A3" s="51" t="inlineStr">
        <is>
          <t>Authoritative cash-flow source</t>
        </is>
      </c>
      <c r="B3" s="52" t="inlineStr">
        <is>
          <t>The transaction master. Snapshot drift must not create transactions automatically.</t>
        </is>
      </c>
    </row>
    <row r="4" ht="15" customHeight="1">
      <c r="A4" s="51" t="inlineStr">
        <is>
          <t>Opening quantity rule</t>
        </is>
      </c>
      <c r="B4" s="52" t="inlineStr">
        <is>
          <t>Validate the first displayed quantity using the nearest whole share and a ±1-share tolerance.</t>
        </is>
      </c>
    </row>
    <row r="5" ht="15" customHeight="1">
      <c r="A5" s="51" t="inlineStr">
        <is>
          <t>Low-confidence window</t>
        </is>
      </c>
      <c r="B5" s="52" t="inlineStr">
        <is>
          <t>17-Feb-2012 through 07-Aug-2012.</t>
        </is>
      </c>
    </row>
    <row r="6" ht="15" customHeight="1">
      <c r="A6" s="51" t="inlineStr">
        <is>
          <t>Low-confidence treatment</t>
        </is>
      </c>
      <c r="B6" s="52" t="inlineStr">
        <is>
          <t>Report differences as warnings only. Do not block ingestion, episodes, XIRR, profit/loss, or sell analysis.</t>
        </is>
      </c>
    </row>
    <row r="7" ht="15" customHeight="1">
      <c r="A7" s="51" t="inlineStr">
        <is>
          <t>Hard reconciliation resumes</t>
        </is>
      </c>
      <c r="B7" s="52" t="n">
        <v>41148</v>
      </c>
    </row>
    <row r="8" ht="15" customHeight="1">
      <c r="A8" s="51" t="inlineStr">
        <is>
          <t>High-confidence analytics boundary</t>
        </is>
      </c>
      <c r="B8" s="53" t="n">
        <v>41275</v>
      </c>
    </row>
    <row r="9" ht="15" customHeight="1">
      <c r="A9" s="51" t="inlineStr">
        <is>
          <t>Automatic inferred trades</t>
        </is>
      </c>
      <c r="B9" s="53" t="inlineStr">
        <is>
          <t>Disabled.</t>
        </is>
      </c>
    </row>
    <row r="10" ht="15" customHeight="1">
      <c r="A10" s="51" t="inlineStr">
        <is>
          <t>Allowed master changes</t>
        </is>
      </c>
      <c r="B10" s="52" t="inlineStr">
        <is>
          <t>Only source-supported buys/sells and verified corporate actions.</t>
        </is>
      </c>
    </row>
    <row r="11" ht="15" customHeight="1">
      <c r="A11" s="51" t="inlineStr">
        <is>
          <t>Missing stock in soft snapshot</t>
        </is>
      </c>
      <c r="B11" s="52" t="inlineStr">
        <is>
          <t>Treat as not displayed/partial, not automatically as zero.</t>
        </is>
      </c>
    </row>
    <row r="12" ht="15" customHeight="1">
      <c r="A12" s="51" t="inlineStr">
        <is>
          <t>Missing stock in hard snapshot</t>
        </is>
      </c>
      <c r="B12" s="52" t="inlineStr">
        <is>
          <t>Treat as zero when the snapshot is otherwise a complete restored position record.</t>
        </is>
      </c>
    </row>
    <row r="13" ht="15" customHeight="1">
      <c r="A13" s="51" t="inlineStr">
        <is>
          <t>Rounding differences</t>
        </is>
      </c>
      <c r="B13" s="52" t="inlineStr">
        <is>
          <t>Absolute quantity difference ≤ 1 share is accepted as PASS_WITH_ROUNDING_TOLERANCE.</t>
        </is>
      </c>
    </row>
    <row r="14" ht="30" customHeight="1">
      <c r="A14" s="51" t="inlineStr">
        <is>
          <t>Software status values</t>
        </is>
      </c>
      <c r="B14" s="52" t="inlineStr">
        <is>
          <t>PASS; PASS_WITH_ROUNDING_TOLERANCE; WARNING_LOW_CONFIDENCE_SNAPSHOT; FAIL_AUTHORITATIVE_SNAPSHOT.</t>
        </is>
      </c>
    </row>
    <row r="15" ht="15" customHeight="1">
      <c r="A15" s="51" t="inlineStr">
        <is>
          <t>Result</t>
        </is>
      </c>
      <c r="B15" s="52" t="inlineStr">
        <is>
          <t>Early-2012 non-authoritative differences no longer block the system and no fake wash trades are added.</t>
        </is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10" defaultColWidth="8.83203125" defaultRowHeight="14"/>
  <cols>
    <col width="15" customWidth="1" min="1" max="2"/>
    <col width="20" customWidth="1" min="3" max="4"/>
    <col width="18" customWidth="1" min="5" max="6"/>
    <col width="30" customWidth="1" min="7" max="7"/>
    <col width="75" customWidth="1" min="8" max="8"/>
  </cols>
  <sheetData>
    <row r="1" ht="40" customHeight="1">
      <c r="A1" s="54" t="inlineStr">
        <is>
          <t>Snapshot Date</t>
        </is>
      </c>
      <c r="B1" s="54" t="inlineStr">
        <is>
          <t>Sheet</t>
        </is>
      </c>
      <c r="C1" s="54" t="inlineStr">
        <is>
          <t>Confidence</t>
        </is>
      </c>
      <c r="D1" s="54" t="inlineStr">
        <is>
          <t>Reconciliation Mode</t>
        </is>
      </c>
      <c r="E1" s="54" t="inlineStr">
        <is>
          <t>Blocks Pipeline?</t>
        </is>
      </c>
      <c r="F1" s="54" t="inlineStr">
        <is>
          <t>May Infer Trades?</t>
        </is>
      </c>
      <c r="G1" s="54" t="inlineStr">
        <is>
          <t>Treatment</t>
        </is>
      </c>
      <c r="H1" s="54" t="inlineStr">
        <is>
          <t>Reason</t>
        </is>
      </c>
    </row>
    <row r="2" ht="30" customHeight="1">
      <c r="A2" s="55" t="n">
        <v>40909</v>
      </c>
      <c r="B2" s="56" t="inlineStr">
        <is>
          <t>1Jan2012</t>
        </is>
      </c>
      <c r="C2" s="56" t="inlineStr">
        <is>
          <t>MEDIUM</t>
        </is>
      </c>
      <c r="D2" s="56" t="inlineStr">
        <is>
          <t>OPENING</t>
        </is>
      </c>
      <c r="E2" s="56" t="inlineStr">
        <is>
          <t>Only if &gt;1 share</t>
        </is>
      </c>
      <c r="F2" s="56" t="inlineStr">
        <is>
          <t>No</t>
        </is>
      </c>
      <c r="G2" s="52" t="inlineStr">
        <is>
          <t>Validate rounded opening balance</t>
        </is>
      </c>
      <c r="H2" s="52" t="inlineStr">
        <is>
          <t>Opening sheets contain fractional model quantities but round to the recorded whole-share positions.</t>
        </is>
      </c>
    </row>
    <row r="3" ht="30" customHeight="1">
      <c r="A3" s="55" t="n">
        <v>40956</v>
      </c>
      <c r="B3" s="56" t="inlineStr">
        <is>
          <t>17Feb2012</t>
        </is>
      </c>
      <c r="C3" s="56" t="inlineStr">
        <is>
          <t>LOW</t>
        </is>
      </c>
      <c r="D3" s="56" t="inlineStr">
        <is>
          <t>SOFT</t>
        </is>
      </c>
      <c r="E3" s="56" t="inlineStr">
        <is>
          <t>No</t>
        </is>
      </c>
      <c r="F3" s="56" t="inlineStr">
        <is>
          <t>No</t>
        </is>
      </c>
      <c r="G3" s="52" t="inlineStr">
        <is>
          <t>Warning only</t>
        </is>
      </c>
      <c r="H3" s="52" t="inlineStr">
        <is>
          <t>Repeated drift followed by restoration on 27-Aug-2012 indicates partial/weight-based snapshots.</t>
        </is>
      </c>
    </row>
    <row r="4" ht="30" customHeight="1">
      <c r="A4" s="55" t="n">
        <v>41008</v>
      </c>
      <c r="B4" s="56" t="inlineStr">
        <is>
          <t>09Apr2012</t>
        </is>
      </c>
      <c r="C4" s="56" t="inlineStr">
        <is>
          <t>LOW</t>
        </is>
      </c>
      <c r="D4" s="56" t="inlineStr">
        <is>
          <t>SOFT</t>
        </is>
      </c>
      <c r="E4" s="56" t="inlineStr">
        <is>
          <t>No</t>
        </is>
      </c>
      <c r="F4" s="56" t="inlineStr">
        <is>
          <t>No</t>
        </is>
      </c>
      <c r="G4" s="52" t="inlineStr">
        <is>
          <t>Warning only</t>
        </is>
      </c>
      <c r="H4" s="52" t="inlineStr">
        <is>
          <t>Repeated drift followed by restoration on 27-Aug-2012 indicates partial/weight-based snapshots.</t>
        </is>
      </c>
    </row>
    <row r="5" ht="30" customHeight="1">
      <c r="A5" s="55" t="n">
        <v>41023</v>
      </c>
      <c r="B5" s="56" t="inlineStr">
        <is>
          <t>24April2012</t>
        </is>
      </c>
      <c r="C5" s="56" t="inlineStr">
        <is>
          <t>LOW</t>
        </is>
      </c>
      <c r="D5" s="56" t="inlineStr">
        <is>
          <t>SOFT</t>
        </is>
      </c>
      <c r="E5" s="56" t="inlineStr">
        <is>
          <t>No</t>
        </is>
      </c>
      <c r="F5" s="56" t="inlineStr">
        <is>
          <t>No</t>
        </is>
      </c>
      <c r="G5" s="52" t="inlineStr">
        <is>
          <t>Warning only</t>
        </is>
      </c>
      <c r="H5" s="52" t="inlineStr">
        <is>
          <t>Repeated drift followed by restoration on 27-Aug-2012 indicates partial/weight-based snapshots.</t>
        </is>
      </c>
    </row>
    <row r="6" ht="30" customHeight="1">
      <c r="A6" s="55" t="n">
        <v>41036</v>
      </c>
      <c r="B6" s="56" t="inlineStr">
        <is>
          <t>07May2012</t>
        </is>
      </c>
      <c r="C6" s="56" t="inlineStr">
        <is>
          <t>LOW</t>
        </is>
      </c>
      <c r="D6" s="56" t="inlineStr">
        <is>
          <t>SOFT</t>
        </is>
      </c>
      <c r="E6" s="56" t="inlineStr">
        <is>
          <t>No</t>
        </is>
      </c>
      <c r="F6" s="56" t="inlineStr">
        <is>
          <t>No</t>
        </is>
      </c>
      <c r="G6" s="52" t="inlineStr">
        <is>
          <t>Warning only</t>
        </is>
      </c>
      <c r="H6" s="52" t="inlineStr">
        <is>
          <t>Repeated drift followed by restoration on 27-Aug-2012 indicates partial/weight-based snapshots.</t>
        </is>
      </c>
    </row>
    <row r="7" ht="30" customHeight="1">
      <c r="A7" s="55" t="n">
        <v>41060</v>
      </c>
      <c r="B7" s="56" t="inlineStr">
        <is>
          <t>31May2012</t>
        </is>
      </c>
      <c r="C7" s="56" t="inlineStr">
        <is>
          <t>LOW</t>
        </is>
      </c>
      <c r="D7" s="56" t="inlineStr">
        <is>
          <t>SOFT</t>
        </is>
      </c>
      <c r="E7" s="56" t="inlineStr">
        <is>
          <t>No</t>
        </is>
      </c>
      <c r="F7" s="56" t="inlineStr">
        <is>
          <t>No</t>
        </is>
      </c>
      <c r="G7" s="52" t="inlineStr">
        <is>
          <t>Warning only</t>
        </is>
      </c>
      <c r="H7" s="52" t="inlineStr">
        <is>
          <t>Repeated drift followed by restoration on 27-Aug-2012 indicates partial/weight-based snapshots.</t>
        </is>
      </c>
    </row>
    <row r="8" ht="30" customHeight="1">
      <c r="A8" s="55" t="n">
        <v>41064</v>
      </c>
      <c r="B8" s="56" t="inlineStr">
        <is>
          <t>04Jun12</t>
        </is>
      </c>
      <c r="C8" s="56" t="inlineStr">
        <is>
          <t>LOW</t>
        </is>
      </c>
      <c r="D8" s="56" t="inlineStr">
        <is>
          <t>SOFT</t>
        </is>
      </c>
      <c r="E8" s="56" t="inlineStr">
        <is>
          <t>No</t>
        </is>
      </c>
      <c r="F8" s="56" t="inlineStr">
        <is>
          <t>No</t>
        </is>
      </c>
      <c r="G8" s="52" t="inlineStr">
        <is>
          <t>Warning only</t>
        </is>
      </c>
      <c r="H8" s="52" t="inlineStr">
        <is>
          <t>Repeated drift followed by restoration on 27-Aug-2012 indicates partial/weight-based snapshots.</t>
        </is>
      </c>
    </row>
    <row r="9" ht="30" customHeight="1">
      <c r="A9" s="55" t="n">
        <v>41092</v>
      </c>
      <c r="B9" s="56" t="inlineStr">
        <is>
          <t>02Jul12</t>
        </is>
      </c>
      <c r="C9" s="56" t="inlineStr">
        <is>
          <t>LOW</t>
        </is>
      </c>
      <c r="D9" s="56" t="inlineStr">
        <is>
          <t>SOFT</t>
        </is>
      </c>
      <c r="E9" s="56" t="inlineStr">
        <is>
          <t>No</t>
        </is>
      </c>
      <c r="F9" s="56" t="inlineStr">
        <is>
          <t>No</t>
        </is>
      </c>
      <c r="G9" s="52" t="inlineStr">
        <is>
          <t>Warning only</t>
        </is>
      </c>
      <c r="H9" s="52" t="inlineStr">
        <is>
          <t>Repeated drift followed by restoration on 27-Aug-2012 indicates partial/weight-based snapshots.</t>
        </is>
      </c>
    </row>
    <row r="10" ht="30" customHeight="1">
      <c r="A10" s="55" t="n">
        <v>41103</v>
      </c>
      <c r="B10" s="56" t="inlineStr">
        <is>
          <t>13Jul12</t>
        </is>
      </c>
      <c r="C10" s="56" t="inlineStr">
        <is>
          <t>LOW</t>
        </is>
      </c>
      <c r="D10" s="56" t="inlineStr">
        <is>
          <t>SOFT</t>
        </is>
      </c>
      <c r="E10" s="56" t="inlineStr">
        <is>
          <t>No</t>
        </is>
      </c>
      <c r="F10" s="56" t="inlineStr">
        <is>
          <t>No</t>
        </is>
      </c>
      <c r="G10" s="52" t="inlineStr">
        <is>
          <t>Warning only</t>
        </is>
      </c>
      <c r="H10" s="52" t="inlineStr">
        <is>
          <t>Repeated drift followed by restoration on 27-Aug-2012 indicates partial/weight-based snapshots.</t>
        </is>
      </c>
    </row>
    <row r="11" ht="30" customHeight="1">
      <c r="A11" s="55" t="n">
        <v>41107</v>
      </c>
      <c r="B11" s="56" t="inlineStr">
        <is>
          <t>17Jul12</t>
        </is>
      </c>
      <c r="C11" s="56" t="inlineStr">
        <is>
          <t>LOW</t>
        </is>
      </c>
      <c r="D11" s="56" t="inlineStr">
        <is>
          <t>SOFT</t>
        </is>
      </c>
      <c r="E11" s="56" t="inlineStr">
        <is>
          <t>No</t>
        </is>
      </c>
      <c r="F11" s="56" t="inlineStr">
        <is>
          <t>No</t>
        </is>
      </c>
      <c r="G11" s="52" t="inlineStr">
        <is>
          <t>Warning only</t>
        </is>
      </c>
      <c r="H11" s="52" t="inlineStr">
        <is>
          <t>Repeated drift followed by restoration on 27-Aug-2012 indicates partial/weight-based snapshots.</t>
        </is>
      </c>
    </row>
    <row r="12" ht="30" customHeight="1">
      <c r="A12" s="55" t="n">
        <v>41114</v>
      </c>
      <c r="B12" s="56" t="inlineStr">
        <is>
          <t>24Jul12</t>
        </is>
      </c>
      <c r="C12" s="56" t="inlineStr">
        <is>
          <t>LOW</t>
        </is>
      </c>
      <c r="D12" s="56" t="inlineStr">
        <is>
          <t>SOFT</t>
        </is>
      </c>
      <c r="E12" s="56" t="inlineStr">
        <is>
          <t>No</t>
        </is>
      </c>
      <c r="F12" s="56" t="inlineStr">
        <is>
          <t>No</t>
        </is>
      </c>
      <c r="G12" s="52" t="inlineStr">
        <is>
          <t>Warning only</t>
        </is>
      </c>
      <c r="H12" s="52" t="inlineStr">
        <is>
          <t>Repeated drift followed by restoration on 27-Aug-2012 indicates partial/weight-based snapshots.</t>
        </is>
      </c>
    </row>
    <row r="13" ht="30" customHeight="1">
      <c r="A13" s="55" t="n">
        <v>41128</v>
      </c>
      <c r="B13" s="56" t="inlineStr">
        <is>
          <t>07Aug12</t>
        </is>
      </c>
      <c r="C13" s="56" t="inlineStr">
        <is>
          <t>LOW</t>
        </is>
      </c>
      <c r="D13" s="56" t="inlineStr">
        <is>
          <t>SOFT</t>
        </is>
      </c>
      <c r="E13" s="56" t="inlineStr">
        <is>
          <t>No</t>
        </is>
      </c>
      <c r="F13" s="56" t="inlineStr">
        <is>
          <t>No</t>
        </is>
      </c>
      <c r="G13" s="52" t="inlineStr">
        <is>
          <t>Warning only</t>
        </is>
      </c>
      <c r="H13" s="52" t="inlineStr">
        <is>
          <t>Repeated drift followed by restoration on 27-Aug-2012 indicates partial/weight-based snapshots.</t>
        </is>
      </c>
    </row>
    <row r="14" ht="15" customHeight="1">
      <c r="A14" s="55" t="n">
        <v>41148</v>
      </c>
      <c r="B14" s="56" t="inlineStr">
        <is>
          <t>27Aug12</t>
        </is>
      </c>
      <c r="C14" s="56" t="inlineStr">
        <is>
          <t>HIGH</t>
        </is>
      </c>
      <c r="D14" s="56" t="inlineStr">
        <is>
          <t>HARD</t>
        </is>
      </c>
      <c r="E14" s="56" t="inlineStr">
        <is>
          <t>Yes</t>
        </is>
      </c>
      <c r="F14" s="56" t="inlineStr">
        <is>
          <t>No</t>
        </is>
      </c>
      <c r="G14" s="52" t="inlineStr">
        <is>
          <t>Full quantity reconciliation</t>
        </is>
      </c>
      <c r="H14" s="52" t="inlineStr">
        <is>
          <t>Positions restore to transaction-master quantities and remain consistently reconcilable.</t>
        </is>
      </c>
    </row>
    <row r="15" ht="15" customHeight="1">
      <c r="A15" s="55" t="n">
        <v>41180</v>
      </c>
      <c r="B15" s="56" t="inlineStr">
        <is>
          <t>28Sep12</t>
        </is>
      </c>
      <c r="C15" s="56" t="inlineStr">
        <is>
          <t>HIGH</t>
        </is>
      </c>
      <c r="D15" s="56" t="inlineStr">
        <is>
          <t>HARD</t>
        </is>
      </c>
      <c r="E15" s="56" t="inlineStr">
        <is>
          <t>Yes</t>
        </is>
      </c>
      <c r="F15" s="56" t="inlineStr">
        <is>
          <t>No</t>
        </is>
      </c>
      <c r="G15" s="52" t="inlineStr">
        <is>
          <t>Full quantity reconciliation</t>
        </is>
      </c>
      <c r="H15" s="52" t="inlineStr">
        <is>
          <t>Positions restore to transaction-master quantities and remain consistently reconcilable.</t>
        </is>
      </c>
    </row>
    <row r="16" ht="15" customHeight="1">
      <c r="A16" s="55" t="n">
        <v>41191</v>
      </c>
      <c r="B16" s="56" t="inlineStr">
        <is>
          <t>09Oct12</t>
        </is>
      </c>
      <c r="C16" s="56" t="inlineStr">
        <is>
          <t>HIGH</t>
        </is>
      </c>
      <c r="D16" s="56" t="inlineStr">
        <is>
          <t>HARD</t>
        </is>
      </c>
      <c r="E16" s="56" t="inlineStr">
        <is>
          <t>Yes</t>
        </is>
      </c>
      <c r="F16" s="56" t="inlineStr">
        <is>
          <t>No</t>
        </is>
      </c>
      <c r="G16" s="52" t="inlineStr">
        <is>
          <t>Full quantity reconciliation</t>
        </is>
      </c>
      <c r="H16" s="52" t="inlineStr">
        <is>
          <t>Positions restore to transaction-master quantities and remain consistently reconcilable.</t>
        </is>
      </c>
    </row>
    <row r="17" ht="15" customHeight="1">
      <c r="A17" s="55" t="n">
        <v>41211</v>
      </c>
      <c r="B17" s="56" t="inlineStr">
        <is>
          <t>29Oct12</t>
        </is>
      </c>
      <c r="C17" s="56" t="inlineStr">
        <is>
          <t>HIGH</t>
        </is>
      </c>
      <c r="D17" s="56" t="inlineStr">
        <is>
          <t>HARD</t>
        </is>
      </c>
      <c r="E17" s="56" t="inlineStr">
        <is>
          <t>Yes</t>
        </is>
      </c>
      <c r="F17" s="56" t="inlineStr">
        <is>
          <t>No</t>
        </is>
      </c>
      <c r="G17" s="52" t="inlineStr">
        <is>
          <t>Full quantity reconciliation</t>
        </is>
      </c>
      <c r="H17" s="52" t="inlineStr">
        <is>
          <t>Positions restore to transaction-master quantities and remain consistently reconcilable.</t>
        </is>
      </c>
    </row>
    <row r="18" ht="15" customHeight="1">
      <c r="A18" s="55" t="n">
        <v>41212</v>
      </c>
      <c r="B18" s="56" t="inlineStr">
        <is>
          <t>30Oct12</t>
        </is>
      </c>
      <c r="C18" s="56" t="inlineStr">
        <is>
          <t>HIGH</t>
        </is>
      </c>
      <c r="D18" s="56" t="inlineStr">
        <is>
          <t>HARD</t>
        </is>
      </c>
      <c r="E18" s="56" t="inlineStr">
        <is>
          <t>Yes</t>
        </is>
      </c>
      <c r="F18" s="56" t="inlineStr">
        <is>
          <t>No</t>
        </is>
      </c>
      <c r="G18" s="52" t="inlineStr">
        <is>
          <t>Full quantity reconciliation</t>
        </is>
      </c>
      <c r="H18" s="52" t="inlineStr">
        <is>
          <t>Positions restore to transaction-master quantities and remain consistently reconcilable.</t>
        </is>
      </c>
    </row>
    <row r="19" ht="15" customHeight="1">
      <c r="A19" s="55" t="n">
        <v>41254</v>
      </c>
      <c r="B19" s="56" t="inlineStr">
        <is>
          <t>11Dec12</t>
        </is>
      </c>
      <c r="C19" s="56" t="inlineStr">
        <is>
          <t>HIGH</t>
        </is>
      </c>
      <c r="D19" s="56" t="inlineStr">
        <is>
          <t>HARD</t>
        </is>
      </c>
      <c r="E19" s="56" t="inlineStr">
        <is>
          <t>Yes</t>
        </is>
      </c>
      <c r="F19" s="56" t="inlineStr">
        <is>
          <t>No</t>
        </is>
      </c>
      <c r="G19" s="52" t="inlineStr">
        <is>
          <t>Full quantity reconciliation</t>
        </is>
      </c>
      <c r="H19" s="52" t="inlineStr">
        <is>
          <t>Positions restore to transaction-master quantities and remain consistently reconcilable.</t>
        </is>
      </c>
    </row>
  </sheetData>
  <conditionalFormatting sqref="C2:C18">
    <cfRule type="expression" priority="1" dxfId="4">
      <formula>C2="LOW"</formula>
    </cfRule>
    <cfRule type="expression" priority="2" dxfId="1">
      <formula>C2="HIGH"</formula>
    </cfRule>
  </conditionalFormatting>
  <conditionalFormatting sqref="C2:C19">
    <cfRule type="expression" priority="4" dxfId="4">
      <formula>C2="LOW"</formula>
    </cfRule>
    <cfRule type="expression" priority="5" dxfId="1">
      <formula>C2="HIGH"</formula>
    </cfRule>
  </conditionalFormatting>
  <conditionalFormatting sqref="D2:D19">
    <cfRule type="expression" priority="3" dxfId="11">
      <formula>D2="SOFT"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10" defaultColWidth="8.83203125" defaultRowHeight="14"/>
  <cols>
    <col width="15" customWidth="1" min="1" max="1"/>
    <col width="14" customWidth="1" min="2" max="2"/>
    <col width="20" customWidth="1" min="3" max="3"/>
    <col width="21" customWidth="1" min="4" max="6"/>
    <col width="18" customWidth="1" min="7" max="9"/>
    <col width="22" customWidth="1" min="10" max="10"/>
    <col width="36" customWidth="1" min="11" max="11"/>
    <col width="48" customWidth="1" min="12" max="12"/>
  </cols>
  <sheetData>
    <row r="1" ht="42.75" customHeight="1">
      <c r="A1" s="54" t="inlineStr">
        <is>
          <t>Snapshot Date</t>
        </is>
      </c>
      <c r="B1" s="54" t="inlineStr">
        <is>
          <t>Sheet</t>
        </is>
      </c>
      <c r="C1" s="54" t="inlineStr">
        <is>
          <t>Stock</t>
        </is>
      </c>
      <c r="D1" s="54" t="inlineStr">
        <is>
          <t>Snapshot Quantity</t>
        </is>
      </c>
      <c r="E1" s="54" t="inlineStr">
        <is>
          <t>Reconstructed Quantity</t>
        </is>
      </c>
      <c r="F1" s="54" t="inlineStr">
        <is>
          <t>Difference</t>
        </is>
      </c>
      <c r="G1" s="54" t="inlineStr">
        <is>
          <t>Mode</t>
        </is>
      </c>
      <c r="H1" s="54" t="inlineStr">
        <is>
          <t>Confidence</t>
        </is>
      </c>
      <c r="I1" s="54" t="inlineStr">
        <is>
          <t>Blocks Pipeline?</t>
        </is>
      </c>
      <c r="J1" s="54" t="inlineStr">
        <is>
          <t>Documented Event on Date</t>
        </is>
      </c>
      <c r="K1" s="54" t="inlineStr">
        <is>
          <t>Status</t>
        </is>
      </c>
      <c r="L1" s="54" t="inlineStr">
        <is>
          <t>Treatment</t>
        </is>
      </c>
    </row>
    <row r="2" ht="30" customHeight="1">
      <c r="A2" s="55" t="n">
        <v>40909</v>
      </c>
      <c r="B2" s="56" t="inlineStr">
        <is>
          <t>1Jan2012</t>
        </is>
      </c>
      <c r="C2" s="56" t="inlineStr">
        <is>
          <t>Amara Raja</t>
        </is>
      </c>
      <c r="D2" s="57" t="n">
        <v>490.1960784313725</v>
      </c>
      <c r="E2" s="57" t="n">
        <v>490</v>
      </c>
      <c r="F2" s="57">
        <f>IF(D2="","",D2-E2)</f>
        <v/>
      </c>
      <c r="G2" s="56" t="inlineStr">
        <is>
          <t>OPENING</t>
        </is>
      </c>
      <c r="H2" s="56" t="inlineStr">
        <is>
          <t>MEDIUM</t>
        </is>
      </c>
      <c r="I2" s="56" t="inlineStr">
        <is>
          <t>Tolerance-based</t>
        </is>
      </c>
      <c r="J2" s="52" t="inlineStr">
        <is>
          <t>Buy</t>
        </is>
      </c>
      <c r="K2" s="52">
        <f>IF(D2="","NOT_DISPLAYED",IF(G2="OPENING",IF(ABS(F2)&lt;=1,"PASS_WITH_ROUNDING_TOLERANCE","REVIEW_OPENING"),IF(G2="SOFT",IF(ABS(F2)&lt;=1,"PASS_WITH_ROUNDING_TOLERANCE","WARNING_LOW_CONFIDENCE_SNAPSHOT"),IF(ABS(F2)&lt;=1,"PASS","FAIL_AUTHORITATIVE_SNAPSHOT"))))</f>
        <v/>
      </c>
      <c r="L2" s="52" t="inlineStr">
        <is>
          <t>Use for quantity validation under the documented tolerance/cutoff.</t>
        </is>
      </c>
    </row>
    <row r="3" ht="30" customHeight="1">
      <c r="A3" s="55" t="n">
        <v>40909</v>
      </c>
      <c r="B3" s="56" t="inlineStr">
        <is>
          <t>1Jan2012</t>
        </is>
      </c>
      <c r="C3" s="56" t="inlineStr">
        <is>
          <t>Ashiana</t>
        </is>
      </c>
      <c r="D3" s="57" t="n">
        <v>510.948905109489</v>
      </c>
      <c r="E3" s="57" t="n">
        <v>511</v>
      </c>
      <c r="F3" s="57">
        <f>IF(D3="","",D3-E3)</f>
        <v/>
      </c>
      <c r="G3" s="56" t="inlineStr">
        <is>
          <t>OPENING</t>
        </is>
      </c>
      <c r="H3" s="56" t="inlineStr">
        <is>
          <t>MEDIUM</t>
        </is>
      </c>
      <c r="I3" s="56" t="inlineStr">
        <is>
          <t>Tolerance-based</t>
        </is>
      </c>
      <c r="J3" s="52" t="inlineStr">
        <is>
          <t>Buy</t>
        </is>
      </c>
      <c r="K3" s="52">
        <f>IF(D3="","NOT_DISPLAYED",IF(G3="OPENING",IF(ABS(F3)&lt;=1,"PASS_WITH_ROUNDING_TOLERANCE","REVIEW_OPENING"),IF(G3="SOFT",IF(ABS(F3)&lt;=1,"PASS_WITH_ROUNDING_TOLERANCE","WARNING_LOW_CONFIDENCE_SNAPSHOT"),IF(ABS(F3)&lt;=1,"PASS","FAIL_AUTHORITATIVE_SNAPSHOT"))))</f>
        <v/>
      </c>
      <c r="L3" s="52" t="inlineStr">
        <is>
          <t>Use for quantity validation under the documented tolerance/cutoff.</t>
        </is>
      </c>
    </row>
    <row r="4" ht="30" customHeight="1">
      <c r="A4" s="55" t="n">
        <v>40909</v>
      </c>
      <c r="B4" s="56" t="inlineStr">
        <is>
          <t>1Jan2012</t>
        </is>
      </c>
      <c r="C4" s="56" t="inlineStr">
        <is>
          <t>BharatForg</t>
        </is>
      </c>
      <c r="D4" s="57" t="n">
        <v>595.2380952380952</v>
      </c>
      <c r="E4" s="57" t="n">
        <v>595</v>
      </c>
      <c r="F4" s="57">
        <f>IF(D4="","",D4-E4)</f>
        <v/>
      </c>
      <c r="G4" s="56" t="inlineStr">
        <is>
          <t>OPENING</t>
        </is>
      </c>
      <c r="H4" s="56" t="inlineStr">
        <is>
          <t>MEDIUM</t>
        </is>
      </c>
      <c r="I4" s="56" t="inlineStr">
        <is>
          <t>Tolerance-based</t>
        </is>
      </c>
      <c r="J4" s="52" t="inlineStr">
        <is>
          <t>Buy</t>
        </is>
      </c>
      <c r="K4" s="52">
        <f>IF(D4="","NOT_DISPLAYED",IF(G4="OPENING",IF(ABS(F4)&lt;=1,"PASS_WITH_ROUNDING_TOLERANCE","REVIEW_OPENING"),IF(G4="SOFT",IF(ABS(F4)&lt;=1,"PASS_WITH_ROUNDING_TOLERANCE","WARNING_LOW_CONFIDENCE_SNAPSHOT"),IF(ABS(F4)&lt;=1,"PASS","FAIL_AUTHORITATIVE_SNAPSHOT"))))</f>
        <v/>
      </c>
      <c r="L4" s="52" t="inlineStr">
        <is>
          <t>Use for quantity validation under the documented tolerance/cutoff.</t>
        </is>
      </c>
    </row>
    <row r="5" ht="30" customHeight="1">
      <c r="A5" s="55" t="n">
        <v>40909</v>
      </c>
      <c r="B5" s="56" t="inlineStr">
        <is>
          <t>1Jan2012</t>
        </is>
      </c>
      <c r="C5" s="56" t="inlineStr">
        <is>
          <t>Havells</t>
        </is>
      </c>
      <c r="D5" s="57" t="n">
        <v>389.6103896103896</v>
      </c>
      <c r="E5" s="57" t="n">
        <v>390</v>
      </c>
      <c r="F5" s="57">
        <f>IF(D5="","",D5-E5)</f>
        <v/>
      </c>
      <c r="G5" s="56" t="inlineStr">
        <is>
          <t>OPENING</t>
        </is>
      </c>
      <c r="H5" s="56" t="inlineStr">
        <is>
          <t>MEDIUM</t>
        </is>
      </c>
      <c r="I5" s="56" t="inlineStr">
        <is>
          <t>Tolerance-based</t>
        </is>
      </c>
      <c r="J5" s="52" t="inlineStr">
        <is>
          <t>Buy</t>
        </is>
      </c>
      <c r="K5" s="52">
        <f>IF(D5="","NOT_DISPLAYED",IF(G5="OPENING",IF(ABS(F5)&lt;=1,"PASS_WITH_ROUNDING_TOLERANCE","REVIEW_OPENING"),IF(G5="SOFT",IF(ABS(F5)&lt;=1,"PASS_WITH_ROUNDING_TOLERANCE","WARNING_LOW_CONFIDENCE_SNAPSHOT"),IF(ABS(F5)&lt;=1,"PASS","FAIL_AUTHORITATIVE_SNAPSHOT"))))</f>
        <v/>
      </c>
      <c r="L5" s="52" t="inlineStr">
        <is>
          <t>Use for quantity validation under the documented tolerance/cutoff.</t>
        </is>
      </c>
    </row>
    <row r="6" ht="30" customHeight="1">
      <c r="A6" s="55" t="n">
        <v>40909</v>
      </c>
      <c r="B6" s="56" t="inlineStr">
        <is>
          <t>1Jan2012</t>
        </is>
      </c>
      <c r="C6" s="56" t="inlineStr">
        <is>
          <t>Kaveri</t>
        </is>
      </c>
      <c r="D6" s="57" t="n">
        <v>156.25</v>
      </c>
      <c r="E6" s="57" t="n">
        <v>156</v>
      </c>
      <c r="F6" s="57">
        <f>IF(D6="","",D6-E6)</f>
        <v/>
      </c>
      <c r="G6" s="56" t="inlineStr">
        <is>
          <t>OPENING</t>
        </is>
      </c>
      <c r="H6" s="56" t="inlineStr">
        <is>
          <t>MEDIUM</t>
        </is>
      </c>
      <c r="I6" s="56" t="inlineStr">
        <is>
          <t>Tolerance-based</t>
        </is>
      </c>
      <c r="J6" s="52" t="inlineStr">
        <is>
          <t>Buy</t>
        </is>
      </c>
      <c r="K6" s="52">
        <f>IF(D6="","NOT_DISPLAYED",IF(G6="OPENING",IF(ABS(F6)&lt;=1,"PASS_WITH_ROUNDING_TOLERANCE","REVIEW_OPENING"),IF(G6="SOFT",IF(ABS(F6)&lt;=1,"PASS_WITH_ROUNDING_TOLERANCE","WARNING_LOW_CONFIDENCE_SNAPSHOT"),IF(ABS(F6)&lt;=1,"PASS","FAIL_AUTHORITATIVE_SNAPSHOT"))))</f>
        <v/>
      </c>
      <c r="L6" s="52" t="inlineStr">
        <is>
          <t>Use for quantity validation under the documented tolerance/cutoff.</t>
        </is>
      </c>
    </row>
    <row r="7" ht="30" customHeight="1">
      <c r="A7" s="55" t="n">
        <v>40909</v>
      </c>
      <c r="B7" s="56" t="inlineStr">
        <is>
          <t>1Jan2012</t>
        </is>
      </c>
      <c r="C7" s="56" t="inlineStr">
        <is>
          <t>SanghviMov</t>
        </is>
      </c>
      <c r="D7" s="57" t="n">
        <v>919.5402298850574</v>
      </c>
      <c r="E7" s="57" t="n">
        <v>920</v>
      </c>
      <c r="F7" s="57">
        <f>IF(D7="","",D7-E7)</f>
        <v/>
      </c>
      <c r="G7" s="56" t="inlineStr">
        <is>
          <t>OPENING</t>
        </is>
      </c>
      <c r="H7" s="56" t="inlineStr">
        <is>
          <t>MEDIUM</t>
        </is>
      </c>
      <c r="I7" s="56" t="inlineStr">
        <is>
          <t>Tolerance-based</t>
        </is>
      </c>
      <c r="J7" s="52" t="inlineStr">
        <is>
          <t>Buy</t>
        </is>
      </c>
      <c r="K7" s="52">
        <f>IF(D7="","NOT_DISPLAYED",IF(G7="OPENING",IF(ABS(F7)&lt;=1,"PASS_WITH_ROUNDING_TOLERANCE","REVIEW_OPENING"),IF(G7="SOFT",IF(ABS(F7)&lt;=1,"PASS_WITH_ROUNDING_TOLERANCE","WARNING_LOW_CONFIDENCE_SNAPSHOT"),IF(ABS(F7)&lt;=1,"PASS","FAIL_AUTHORITATIVE_SNAPSHOT"))))</f>
        <v/>
      </c>
      <c r="L7" s="52" t="inlineStr">
        <is>
          <t>Use for quantity validation under the documented tolerance/cutoff.</t>
        </is>
      </c>
    </row>
    <row r="8" ht="30" customHeight="1">
      <c r="A8" s="55" t="n">
        <v>40909</v>
      </c>
      <c r="B8" s="56" t="inlineStr">
        <is>
          <t>1Jan2012</t>
        </is>
      </c>
      <c r="C8" s="56" t="inlineStr">
        <is>
          <t>Vguard</t>
        </is>
      </c>
      <c r="D8" s="57" t="n">
        <v>387.0967741935484</v>
      </c>
      <c r="E8" s="57" t="n">
        <v>387</v>
      </c>
      <c r="F8" s="57">
        <f>IF(D8="","",D8-E8)</f>
        <v/>
      </c>
      <c r="G8" s="56" t="inlineStr">
        <is>
          <t>OPENING</t>
        </is>
      </c>
      <c r="H8" s="56" t="inlineStr">
        <is>
          <t>MEDIUM</t>
        </is>
      </c>
      <c r="I8" s="56" t="inlineStr">
        <is>
          <t>Tolerance-based</t>
        </is>
      </c>
      <c r="J8" s="52" t="inlineStr">
        <is>
          <t>Buy</t>
        </is>
      </c>
      <c r="K8" s="52">
        <f>IF(D8="","NOT_DISPLAYED",IF(G8="OPENING",IF(ABS(F8)&lt;=1,"PASS_WITH_ROUNDING_TOLERANCE","REVIEW_OPENING"),IF(G8="SOFT",IF(ABS(F8)&lt;=1,"PASS_WITH_ROUNDING_TOLERANCE","WARNING_LOW_CONFIDENCE_SNAPSHOT"),IF(ABS(F8)&lt;=1,"PASS","FAIL_AUTHORITATIVE_SNAPSHOT"))))</f>
        <v/>
      </c>
      <c r="L8" s="52" t="inlineStr">
        <is>
          <t>Use for quantity validation under the documented tolerance/cutoff.</t>
        </is>
      </c>
    </row>
    <row r="9" ht="32" customHeight="1">
      <c r="A9" s="55" t="n">
        <v>40956</v>
      </c>
      <c r="B9" s="56" t="inlineStr">
        <is>
          <t>17Feb2012</t>
        </is>
      </c>
      <c r="C9" s="56" t="inlineStr">
        <is>
          <t>Amara Raja</t>
        </is>
      </c>
      <c r="D9" s="57" t="n">
        <v>343.6426116838488</v>
      </c>
      <c r="E9" s="57" t="n">
        <v>490</v>
      </c>
      <c r="F9" s="57">
        <f>IF(D9="","",D9-E9)</f>
        <v/>
      </c>
      <c r="G9" s="56" t="inlineStr">
        <is>
          <t>SOFT</t>
        </is>
      </c>
      <c r="H9" s="56" t="inlineStr">
        <is>
          <t>LOW</t>
        </is>
      </c>
      <c r="I9" s="56" t="inlineStr">
        <is>
          <t>No</t>
        </is>
      </c>
      <c r="J9" s="52" t="n"/>
      <c r="K9" s="52">
        <f>IF(D9="","NOT_DISPLAYED",IF(G9="OPENING",IF(ABS(F9)&lt;=1,"PASS_WITH_ROUNDING_TOLERANCE","REVIEW_OPENING"),IF(G9="SOFT",IF(ABS(F9)&lt;=1,"PASS_WITH_ROUNDING_TOLERANCE","WARNING_LOW_CONFIDENCE_SNAPSHOT"),IF(ABS(F9)&lt;=1,"PASS","FAIL_AUTHORITATIVE_SNAPSHOT"))))</f>
        <v/>
      </c>
      <c r="L9" s="52" t="inlineStr">
        <is>
          <t>No inferred transaction permitted from this snapshot.</t>
        </is>
      </c>
    </row>
    <row r="10" ht="32" customHeight="1">
      <c r="A10" s="55" t="n">
        <v>40956</v>
      </c>
      <c r="B10" s="56" t="inlineStr">
        <is>
          <t>17Feb2012</t>
        </is>
      </c>
      <c r="C10" s="56" t="inlineStr">
        <is>
          <t>Ashiana</t>
        </is>
      </c>
      <c r="D10" s="57" t="n">
        <v>400</v>
      </c>
      <c r="E10" s="57" t="n">
        <v>511</v>
      </c>
      <c r="F10" s="57">
        <f>IF(D10="","",D10-E10)</f>
        <v/>
      </c>
      <c r="G10" s="56" t="inlineStr">
        <is>
          <t>SOFT</t>
        </is>
      </c>
      <c r="H10" s="56" t="inlineStr">
        <is>
          <t>LOW</t>
        </is>
      </c>
      <c r="I10" s="56" t="inlineStr">
        <is>
          <t>No</t>
        </is>
      </c>
      <c r="J10" s="52" t="n"/>
      <c r="K10" s="52">
        <f>IF(D10="","NOT_DISPLAYED",IF(G10="OPENING",IF(ABS(F10)&lt;=1,"PASS_WITH_ROUNDING_TOLERANCE","REVIEW_OPENING"),IF(G10="SOFT",IF(ABS(F10)&lt;=1,"PASS_WITH_ROUNDING_TOLERANCE","WARNING_LOW_CONFIDENCE_SNAPSHOT"),IF(ABS(F10)&lt;=1,"PASS","FAIL_AUTHORITATIVE_SNAPSHOT"))))</f>
        <v/>
      </c>
      <c r="L10" s="52" t="inlineStr">
        <is>
          <t>No inferred transaction permitted from this snapshot.</t>
        </is>
      </c>
    </row>
    <row r="11" ht="32" customHeight="1">
      <c r="A11" s="55" t="n">
        <v>40956</v>
      </c>
      <c r="B11" s="56" t="inlineStr">
        <is>
          <t>17Feb2012</t>
        </is>
      </c>
      <c r="C11" s="56" t="inlineStr">
        <is>
          <t>BharatForg</t>
        </is>
      </c>
      <c r="D11" s="57" t="n">
        <v>467.2897196261682</v>
      </c>
      <c r="E11" s="57" t="n">
        <v>595</v>
      </c>
      <c r="F11" s="57">
        <f>IF(D11="","",D11-E11)</f>
        <v/>
      </c>
      <c r="G11" s="56" t="inlineStr">
        <is>
          <t>SOFT</t>
        </is>
      </c>
      <c r="H11" s="56" t="inlineStr">
        <is>
          <t>LOW</t>
        </is>
      </c>
      <c r="I11" s="56" t="inlineStr">
        <is>
          <t>No</t>
        </is>
      </c>
      <c r="J11" s="52" t="n"/>
      <c r="K11" s="52">
        <f>IF(D11="","NOT_DISPLAYED",IF(G11="OPENING",IF(ABS(F11)&lt;=1,"PASS_WITH_ROUNDING_TOLERANCE","REVIEW_OPENING"),IF(G11="SOFT",IF(ABS(F11)&lt;=1,"PASS_WITH_ROUNDING_TOLERANCE","WARNING_LOW_CONFIDENCE_SNAPSHOT"),IF(ABS(F11)&lt;=1,"PASS","FAIL_AUTHORITATIVE_SNAPSHOT"))))</f>
        <v/>
      </c>
      <c r="L11" s="52" t="inlineStr">
        <is>
          <t>No inferred transaction permitted from this snapshot.</t>
        </is>
      </c>
    </row>
    <row r="12" ht="32" customHeight="1">
      <c r="A12" s="55" t="n">
        <v>40956</v>
      </c>
      <c r="B12" s="56" t="inlineStr">
        <is>
          <t>17Feb2012</t>
        </is>
      </c>
      <c r="C12" s="56" t="inlineStr">
        <is>
          <t>Geometric</t>
        </is>
      </c>
      <c r="D12" s="57" t="n">
        <v>1000</v>
      </c>
      <c r="E12" s="57" t="n">
        <v>1250</v>
      </c>
      <c r="F12" s="57">
        <f>IF(D12="","",D12-E12)</f>
        <v/>
      </c>
      <c r="G12" s="56" t="inlineStr">
        <is>
          <t>SOFT</t>
        </is>
      </c>
      <c r="H12" s="56" t="inlineStr">
        <is>
          <t>LOW</t>
        </is>
      </c>
      <c r="I12" s="56" t="inlineStr">
        <is>
          <t>No</t>
        </is>
      </c>
      <c r="J12" s="52" t="inlineStr">
        <is>
          <t>Buy</t>
        </is>
      </c>
      <c r="K12" s="52">
        <f>IF(D12="","NOT_DISPLAYED",IF(G12="OPENING",IF(ABS(F12)&lt;=1,"PASS_WITH_ROUNDING_TOLERANCE","REVIEW_OPENING"),IF(G12="SOFT",IF(ABS(F12)&lt;=1,"PASS_WITH_ROUNDING_TOLERANCE","WARNING_LOW_CONFIDENCE_SNAPSHOT"),IF(ABS(F12)&lt;=1,"PASS","FAIL_AUTHORITATIVE_SNAPSHOT"))))</f>
        <v/>
      </c>
      <c r="L12" s="52" t="inlineStr">
        <is>
          <t>No inferred transaction permitted from this snapshot.</t>
        </is>
      </c>
    </row>
    <row r="13" ht="32" customHeight="1">
      <c r="A13" s="55" t="n">
        <v>40956</v>
      </c>
      <c r="B13" s="56" t="inlineStr">
        <is>
          <t>17Feb2012</t>
        </is>
      </c>
      <c r="C13" s="56" t="inlineStr">
        <is>
          <t>Havells</t>
        </is>
      </c>
      <c r="D13" s="57" t="n">
        <v>276.243093922652</v>
      </c>
      <c r="E13" s="57" t="n">
        <v>390</v>
      </c>
      <c r="F13" s="57">
        <f>IF(D13="","",D13-E13)</f>
        <v/>
      </c>
      <c r="G13" s="56" t="inlineStr">
        <is>
          <t>SOFT</t>
        </is>
      </c>
      <c r="H13" s="56" t="inlineStr">
        <is>
          <t>LOW</t>
        </is>
      </c>
      <c r="I13" s="56" t="inlineStr">
        <is>
          <t>No</t>
        </is>
      </c>
      <c r="J13" s="52" t="n"/>
      <c r="K13" s="52">
        <f>IF(D13="","NOT_DISPLAYED",IF(G13="OPENING",IF(ABS(F13)&lt;=1,"PASS_WITH_ROUNDING_TOLERANCE","REVIEW_OPENING"),IF(G13="SOFT",IF(ABS(F13)&lt;=1,"PASS_WITH_ROUNDING_TOLERANCE","WARNING_LOW_CONFIDENCE_SNAPSHOT"),IF(ABS(F13)&lt;=1,"PASS","FAIL_AUTHORITATIVE_SNAPSHOT"))))</f>
        <v/>
      </c>
      <c r="L13" s="52" t="inlineStr">
        <is>
          <t>No inferred transaction permitted from this snapshot.</t>
        </is>
      </c>
    </row>
    <row r="14" ht="32" customHeight="1">
      <c r="A14" s="55" t="n">
        <v>40956</v>
      </c>
      <c r="B14" s="56" t="inlineStr">
        <is>
          <t>17Feb2012</t>
        </is>
      </c>
      <c r="C14" s="56" t="inlineStr">
        <is>
          <t>Kaveri</t>
        </is>
      </c>
      <c r="D14" s="57" t="n">
        <v>121.7391304347826</v>
      </c>
      <c r="E14" s="57" t="n">
        <v>156</v>
      </c>
      <c r="F14" s="57">
        <f>IF(D14="","",D14-E14)</f>
        <v/>
      </c>
      <c r="G14" s="56" t="inlineStr">
        <is>
          <t>SOFT</t>
        </is>
      </c>
      <c r="H14" s="56" t="inlineStr">
        <is>
          <t>LOW</t>
        </is>
      </c>
      <c r="I14" s="56" t="inlineStr">
        <is>
          <t>No</t>
        </is>
      </c>
      <c r="J14" s="52" t="n"/>
      <c r="K14" s="52">
        <f>IF(D14="","NOT_DISPLAYED",IF(G14="OPENING",IF(ABS(F14)&lt;=1,"PASS_WITH_ROUNDING_TOLERANCE","REVIEW_OPENING"),IF(G14="SOFT",IF(ABS(F14)&lt;=1,"PASS_WITH_ROUNDING_TOLERANCE","WARNING_LOW_CONFIDENCE_SNAPSHOT"),IF(ABS(F14)&lt;=1,"PASS","FAIL_AUTHORITATIVE_SNAPSHOT"))))</f>
        <v/>
      </c>
      <c r="L14" s="52" t="inlineStr">
        <is>
          <t>No inferred transaction permitted from this snapshot.</t>
        </is>
      </c>
    </row>
    <row r="15" ht="32" customHeight="1">
      <c r="A15" s="55" t="n">
        <v>40956</v>
      </c>
      <c r="B15" s="56" t="inlineStr">
        <is>
          <t>17Feb2012</t>
        </is>
      </c>
      <c r="C15" s="56" t="inlineStr">
        <is>
          <t>SanghviMov</t>
        </is>
      </c>
      <c r="D15" s="57" t="n">
        <v>714.2857142857143</v>
      </c>
      <c r="E15" s="57" t="n">
        <v>920</v>
      </c>
      <c r="F15" s="57">
        <f>IF(D15="","",D15-E15)</f>
        <v/>
      </c>
      <c r="G15" s="56" t="inlineStr">
        <is>
          <t>SOFT</t>
        </is>
      </c>
      <c r="H15" s="56" t="inlineStr">
        <is>
          <t>LOW</t>
        </is>
      </c>
      <c r="I15" s="56" t="inlineStr">
        <is>
          <t>No</t>
        </is>
      </c>
      <c r="J15" s="52" t="n"/>
      <c r="K15" s="52">
        <f>IF(D15="","NOT_DISPLAYED",IF(G15="OPENING",IF(ABS(F15)&lt;=1,"PASS_WITH_ROUNDING_TOLERANCE","REVIEW_OPENING"),IF(G15="SOFT",IF(ABS(F15)&lt;=1,"PASS_WITH_ROUNDING_TOLERANCE","WARNING_LOW_CONFIDENCE_SNAPSHOT"),IF(ABS(F15)&lt;=1,"PASS","FAIL_AUTHORITATIVE_SNAPSHOT"))))</f>
        <v/>
      </c>
      <c r="L15" s="52" t="inlineStr">
        <is>
          <t>No inferred transaction permitted from this snapshot.</t>
        </is>
      </c>
    </row>
    <row r="16" ht="32" customHeight="1">
      <c r="A16" s="55" t="n">
        <v>40956</v>
      </c>
      <c r="B16" s="56" t="inlineStr">
        <is>
          <t>17Feb2012</t>
        </is>
      </c>
      <c r="C16" s="56" t="inlineStr">
        <is>
          <t>Vguard</t>
        </is>
      </c>
      <c r="D16" s="57" t="n">
        <v>298.5074626865672</v>
      </c>
      <c r="E16" s="57" t="n">
        <v>387</v>
      </c>
      <c r="F16" s="57">
        <f>IF(D16="","",D16-E16)</f>
        <v/>
      </c>
      <c r="G16" s="56" t="inlineStr">
        <is>
          <t>SOFT</t>
        </is>
      </c>
      <c r="H16" s="56" t="inlineStr">
        <is>
          <t>LOW</t>
        </is>
      </c>
      <c r="I16" s="56" t="inlineStr">
        <is>
          <t>No</t>
        </is>
      </c>
      <c r="J16" s="52" t="n"/>
      <c r="K16" s="52">
        <f>IF(D16="","NOT_DISPLAYED",IF(G16="OPENING",IF(ABS(F16)&lt;=1,"PASS_WITH_ROUNDING_TOLERANCE","REVIEW_OPENING"),IF(G16="SOFT",IF(ABS(F16)&lt;=1,"PASS_WITH_ROUNDING_TOLERANCE","WARNING_LOW_CONFIDENCE_SNAPSHOT"),IF(ABS(F16)&lt;=1,"PASS","FAIL_AUTHORITATIVE_SNAPSHOT"))))</f>
        <v/>
      </c>
      <c r="L16" s="52" t="inlineStr">
        <is>
          <t>No inferred transaction permitted from this snapshot.</t>
        </is>
      </c>
    </row>
    <row r="17" ht="32" customHeight="1">
      <c r="A17" s="55" t="n">
        <v>41008</v>
      </c>
      <c r="B17" s="56" t="inlineStr">
        <is>
          <t>09Apr2012</t>
        </is>
      </c>
      <c r="C17" s="56" t="inlineStr">
        <is>
          <t>Amara Raja</t>
        </is>
      </c>
      <c r="D17" s="57" t="n">
        <v>325.7328990228013</v>
      </c>
      <c r="E17" s="57" t="n">
        <v>490</v>
      </c>
      <c r="F17" s="57">
        <f>IF(D17="","",D17-E17)</f>
        <v/>
      </c>
      <c r="G17" s="56" t="inlineStr">
        <is>
          <t>SOFT</t>
        </is>
      </c>
      <c r="H17" s="56" t="inlineStr">
        <is>
          <t>LOW</t>
        </is>
      </c>
      <c r="I17" s="56" t="inlineStr">
        <is>
          <t>No</t>
        </is>
      </c>
      <c r="J17" s="52" t="n"/>
      <c r="K17" s="52">
        <f>IF(D17="","NOT_DISPLAYED",IF(G17="OPENING",IF(ABS(F17)&lt;=1,"PASS_WITH_ROUNDING_TOLERANCE","REVIEW_OPENING"),IF(G17="SOFT",IF(ABS(F17)&lt;=1,"PASS_WITH_ROUNDING_TOLERANCE","WARNING_LOW_CONFIDENCE_SNAPSHOT"),IF(ABS(F17)&lt;=1,"PASS","FAIL_AUTHORITATIVE_SNAPSHOT"))))</f>
        <v/>
      </c>
      <c r="L17" s="52" t="inlineStr">
        <is>
          <t>No inferred transaction permitted from this snapshot.</t>
        </is>
      </c>
    </row>
    <row r="18" ht="32" customHeight="1">
      <c r="A18" s="55" t="n">
        <v>41008</v>
      </c>
      <c r="B18" s="56" t="inlineStr">
        <is>
          <t>09Apr2012</t>
        </is>
      </c>
      <c r="C18" s="56" t="inlineStr">
        <is>
          <t>Ashiana</t>
        </is>
      </c>
      <c r="D18" s="57" t="n">
        <v>421.6867469879518</v>
      </c>
      <c r="E18" s="57" t="n">
        <v>511</v>
      </c>
      <c r="F18" s="57">
        <f>IF(D18="","",D18-E18)</f>
        <v/>
      </c>
      <c r="G18" s="56" t="inlineStr">
        <is>
          <t>SOFT</t>
        </is>
      </c>
      <c r="H18" s="56" t="inlineStr">
        <is>
          <t>LOW</t>
        </is>
      </c>
      <c r="I18" s="56" t="inlineStr">
        <is>
          <t>No</t>
        </is>
      </c>
      <c r="J18" s="52" t="n"/>
      <c r="K18" s="52">
        <f>IF(D18="","NOT_DISPLAYED",IF(G18="OPENING",IF(ABS(F18)&lt;=1,"PASS_WITH_ROUNDING_TOLERANCE","REVIEW_OPENING"),IF(G18="SOFT",IF(ABS(F18)&lt;=1,"PASS_WITH_ROUNDING_TOLERANCE","WARNING_LOW_CONFIDENCE_SNAPSHOT"),IF(ABS(F18)&lt;=1,"PASS","FAIL_AUTHORITATIVE_SNAPSHOT"))))</f>
        <v/>
      </c>
      <c r="L18" s="52" t="inlineStr">
        <is>
          <t>No inferred transaction permitted from this snapshot.</t>
        </is>
      </c>
    </row>
    <row r="19" ht="32" customHeight="1">
      <c r="A19" s="55" t="n">
        <v>41008</v>
      </c>
      <c r="B19" s="56" t="inlineStr">
        <is>
          <t>09Apr2012</t>
        </is>
      </c>
      <c r="C19" s="56" t="inlineStr">
        <is>
          <t>BharatForg</t>
        </is>
      </c>
      <c r="D19" s="57" t="n">
        <v>476.1904761904762</v>
      </c>
      <c r="E19" s="57" t="n">
        <v>595</v>
      </c>
      <c r="F19" s="57">
        <f>IF(D19="","",D19-E19)</f>
        <v/>
      </c>
      <c r="G19" s="56" t="inlineStr">
        <is>
          <t>SOFT</t>
        </is>
      </c>
      <c r="H19" s="56" t="inlineStr">
        <is>
          <t>LOW</t>
        </is>
      </c>
      <c r="I19" s="56" t="inlineStr">
        <is>
          <t>No</t>
        </is>
      </c>
      <c r="J19" s="52" t="n"/>
      <c r="K19" s="52">
        <f>IF(D19="","NOT_DISPLAYED",IF(G19="OPENING",IF(ABS(F19)&lt;=1,"PASS_WITH_ROUNDING_TOLERANCE","REVIEW_OPENING"),IF(G19="SOFT",IF(ABS(F19)&lt;=1,"PASS_WITH_ROUNDING_TOLERANCE","WARNING_LOW_CONFIDENCE_SNAPSHOT"),IF(ABS(F19)&lt;=1,"PASS","FAIL_AUTHORITATIVE_SNAPSHOT"))))</f>
        <v/>
      </c>
      <c r="L19" s="52" t="inlineStr">
        <is>
          <t>No inferred transaction permitted from this snapshot.</t>
        </is>
      </c>
    </row>
    <row r="20" ht="32" customHeight="1">
      <c r="A20" s="55" t="n">
        <v>41008</v>
      </c>
      <c r="B20" s="56" t="inlineStr">
        <is>
          <t>09Apr2012</t>
        </is>
      </c>
      <c r="C20" s="56" t="inlineStr">
        <is>
          <t>Geometric</t>
        </is>
      </c>
      <c r="D20" s="57" t="n">
        <v>1000</v>
      </c>
      <c r="E20" s="57" t="n">
        <v>1250</v>
      </c>
      <c r="F20" s="57">
        <f>IF(D20="","",D20-E20)</f>
        <v/>
      </c>
      <c r="G20" s="56" t="inlineStr">
        <is>
          <t>SOFT</t>
        </is>
      </c>
      <c r="H20" s="56" t="inlineStr">
        <is>
          <t>LOW</t>
        </is>
      </c>
      <c r="I20" s="56" t="inlineStr">
        <is>
          <t>No</t>
        </is>
      </c>
      <c r="J20" s="52" t="n"/>
      <c r="K20" s="52">
        <f>IF(D20="","NOT_DISPLAYED",IF(G20="OPENING",IF(ABS(F20)&lt;=1,"PASS_WITH_ROUNDING_TOLERANCE","REVIEW_OPENING"),IF(G20="SOFT",IF(ABS(F20)&lt;=1,"PASS_WITH_ROUNDING_TOLERANCE","WARNING_LOW_CONFIDENCE_SNAPSHOT"),IF(ABS(F20)&lt;=1,"PASS","FAIL_AUTHORITATIVE_SNAPSHOT"))))</f>
        <v/>
      </c>
      <c r="L20" s="52" t="inlineStr">
        <is>
          <t>No inferred transaction permitted from this snapshot.</t>
        </is>
      </c>
    </row>
    <row r="21" ht="32" customHeight="1">
      <c r="A21" s="55" t="n">
        <v>41008</v>
      </c>
      <c r="B21" s="56" t="inlineStr">
        <is>
          <t>09Apr2012</t>
        </is>
      </c>
      <c r="C21" s="56" t="inlineStr">
        <is>
          <t>Havells</t>
        </is>
      </c>
      <c r="D21" s="57" t="n">
        <v>259.0673575129534</v>
      </c>
      <c r="E21" s="57" t="n">
        <v>390</v>
      </c>
      <c r="F21" s="57">
        <f>IF(D21="","",D21-E21)</f>
        <v/>
      </c>
      <c r="G21" s="56" t="inlineStr">
        <is>
          <t>SOFT</t>
        </is>
      </c>
      <c r="H21" s="56" t="inlineStr">
        <is>
          <t>LOW</t>
        </is>
      </c>
      <c r="I21" s="56" t="inlineStr">
        <is>
          <t>No</t>
        </is>
      </c>
      <c r="J21" s="52" t="n"/>
      <c r="K21" s="52">
        <f>IF(D21="","NOT_DISPLAYED",IF(G21="OPENING",IF(ABS(F21)&lt;=1,"PASS_WITH_ROUNDING_TOLERANCE","REVIEW_OPENING"),IF(G21="SOFT",IF(ABS(F21)&lt;=1,"PASS_WITH_ROUNDING_TOLERANCE","WARNING_LOW_CONFIDENCE_SNAPSHOT"),IF(ABS(F21)&lt;=1,"PASS","FAIL_AUTHORITATIVE_SNAPSHOT"))))</f>
        <v/>
      </c>
      <c r="L21" s="52" t="inlineStr">
        <is>
          <t>No inferred transaction permitted from this snapshot.</t>
        </is>
      </c>
    </row>
    <row r="22" ht="32" customHeight="1">
      <c r="A22" s="55" t="n">
        <v>41008</v>
      </c>
      <c r="B22" s="56" t="inlineStr">
        <is>
          <t>09Apr2012</t>
        </is>
      </c>
      <c r="C22" s="56" t="inlineStr">
        <is>
          <t>Kaveri</t>
        </is>
      </c>
      <c r="D22" s="57" t="n">
        <v>119.4539249146758</v>
      </c>
      <c r="E22" s="57" t="n">
        <v>156</v>
      </c>
      <c r="F22" s="57">
        <f>IF(D22="","",D22-E22)</f>
        <v/>
      </c>
      <c r="G22" s="56" t="inlineStr">
        <is>
          <t>SOFT</t>
        </is>
      </c>
      <c r="H22" s="56" t="inlineStr">
        <is>
          <t>LOW</t>
        </is>
      </c>
      <c r="I22" s="56" t="inlineStr">
        <is>
          <t>No</t>
        </is>
      </c>
      <c r="J22" s="52" t="n"/>
      <c r="K22" s="52">
        <f>IF(D22="","NOT_DISPLAYED",IF(G22="OPENING",IF(ABS(F22)&lt;=1,"PASS_WITH_ROUNDING_TOLERANCE","REVIEW_OPENING"),IF(G22="SOFT",IF(ABS(F22)&lt;=1,"PASS_WITH_ROUNDING_TOLERANCE","WARNING_LOW_CONFIDENCE_SNAPSHOT"),IF(ABS(F22)&lt;=1,"PASS","FAIL_AUTHORITATIVE_SNAPSHOT"))))</f>
        <v/>
      </c>
      <c r="L22" s="52" t="inlineStr">
        <is>
          <t>No inferred transaction permitted from this snapshot.</t>
        </is>
      </c>
    </row>
    <row r="23" ht="16" customHeight="1">
      <c r="A23" s="55" t="n">
        <v>41008</v>
      </c>
      <c r="B23" s="56" t="inlineStr">
        <is>
          <t>09Apr2012</t>
        </is>
      </c>
      <c r="C23" s="56" t="inlineStr">
        <is>
          <t>NIITTech</t>
        </is>
      </c>
      <c r="D23" s="57" t="n">
        <v>371.7472118959108</v>
      </c>
      <c r="E23" s="57" t="n">
        <v>372</v>
      </c>
      <c r="F23" s="57">
        <f>IF(D23="","",D23-E23)</f>
        <v/>
      </c>
      <c r="G23" s="56" t="inlineStr">
        <is>
          <t>SOFT</t>
        </is>
      </c>
      <c r="H23" s="56" t="inlineStr">
        <is>
          <t>LOW</t>
        </is>
      </c>
      <c r="I23" s="56" t="inlineStr">
        <is>
          <t>No</t>
        </is>
      </c>
      <c r="J23" s="52" t="inlineStr">
        <is>
          <t>Buy</t>
        </is>
      </c>
      <c r="K23" s="52">
        <f>IF(D23="","NOT_DISPLAYED",IF(G23="OPENING",IF(ABS(F23)&lt;=1,"PASS_WITH_ROUNDING_TOLERANCE","REVIEW_OPENING"),IF(G23="SOFT",IF(ABS(F23)&lt;=1,"PASS_WITH_ROUNDING_TOLERANCE","WARNING_LOW_CONFIDENCE_SNAPSHOT"),IF(ABS(F23)&lt;=1,"PASS","FAIL_AUTHORITATIVE_SNAPSHOT"))))</f>
        <v/>
      </c>
      <c r="L23" s="52" t="inlineStr">
        <is>
          <t>No inferred transaction permitted from this snapshot.</t>
        </is>
      </c>
    </row>
    <row r="24" ht="16" customHeight="1">
      <c r="A24" s="55" t="n">
        <v>41008</v>
      </c>
      <c r="B24" s="56" t="inlineStr">
        <is>
          <t>09Apr2012</t>
        </is>
      </c>
      <c r="C24" s="56" t="inlineStr">
        <is>
          <t>RSSoftware</t>
        </is>
      </c>
      <c r="D24" s="57" t="n">
        <v>781.25</v>
      </c>
      <c r="E24" s="57" t="n">
        <v>781</v>
      </c>
      <c r="F24" s="57">
        <f>IF(D24="","",D24-E24)</f>
        <v/>
      </c>
      <c r="G24" s="56" t="inlineStr">
        <is>
          <t>SOFT</t>
        </is>
      </c>
      <c r="H24" s="56" t="inlineStr">
        <is>
          <t>LOW</t>
        </is>
      </c>
      <c r="I24" s="56" t="inlineStr">
        <is>
          <t>No</t>
        </is>
      </c>
      <c r="J24" s="52" t="inlineStr">
        <is>
          <t>Buy</t>
        </is>
      </c>
      <c r="K24" s="52">
        <f>IF(D24="","NOT_DISPLAYED",IF(G24="OPENING",IF(ABS(F24)&lt;=1,"PASS_WITH_ROUNDING_TOLERANCE","REVIEW_OPENING"),IF(G24="SOFT",IF(ABS(F24)&lt;=1,"PASS_WITH_ROUNDING_TOLERANCE","WARNING_LOW_CONFIDENCE_SNAPSHOT"),IF(ABS(F24)&lt;=1,"PASS","FAIL_AUTHORITATIVE_SNAPSHOT"))))</f>
        <v/>
      </c>
      <c r="L24" s="52" t="inlineStr">
        <is>
          <t>No inferred transaction permitted from this snapshot.</t>
        </is>
      </c>
    </row>
    <row r="25" ht="32" customHeight="1">
      <c r="A25" s="55" t="n">
        <v>41008</v>
      </c>
      <c r="B25" s="56" t="inlineStr">
        <is>
          <t>09Apr2012</t>
        </is>
      </c>
      <c r="C25" s="56" t="inlineStr">
        <is>
          <t>SanghviMov</t>
        </is>
      </c>
      <c r="D25" s="57" t="n">
        <v>720.7207207207207</v>
      </c>
      <c r="E25" s="57" t="n">
        <v>920</v>
      </c>
      <c r="F25" s="57">
        <f>IF(D25="","",D25-E25)</f>
        <v/>
      </c>
      <c r="G25" s="56" t="inlineStr">
        <is>
          <t>SOFT</t>
        </is>
      </c>
      <c r="H25" s="56" t="inlineStr">
        <is>
          <t>LOW</t>
        </is>
      </c>
      <c r="I25" s="56" t="inlineStr">
        <is>
          <t>No</t>
        </is>
      </c>
      <c r="J25" s="52" t="n"/>
      <c r="K25" s="52">
        <f>IF(D25="","NOT_DISPLAYED",IF(G25="OPENING",IF(ABS(F25)&lt;=1,"PASS_WITH_ROUNDING_TOLERANCE","REVIEW_OPENING"),IF(G25="SOFT",IF(ABS(F25)&lt;=1,"PASS_WITH_ROUNDING_TOLERANCE","WARNING_LOW_CONFIDENCE_SNAPSHOT"),IF(ABS(F25)&lt;=1,"PASS","FAIL_AUTHORITATIVE_SNAPSHOT"))))</f>
        <v/>
      </c>
      <c r="L25" s="52" t="inlineStr">
        <is>
          <t>No inferred transaction permitted from this snapshot.</t>
        </is>
      </c>
    </row>
    <row r="26" ht="32" customHeight="1">
      <c r="A26" s="55" t="n">
        <v>41008</v>
      </c>
      <c r="B26" s="56" t="inlineStr">
        <is>
          <t>09Apr2012</t>
        </is>
      </c>
      <c r="C26" s="56" t="inlineStr">
        <is>
          <t>Vguard</t>
        </is>
      </c>
      <c r="D26" s="57" t="n">
        <v>310.8808290155441</v>
      </c>
      <c r="E26" s="57" t="n">
        <v>387</v>
      </c>
      <c r="F26" s="57">
        <f>IF(D26="","",D26-E26)</f>
        <v/>
      </c>
      <c r="G26" s="56" t="inlineStr">
        <is>
          <t>SOFT</t>
        </is>
      </c>
      <c r="H26" s="56" t="inlineStr">
        <is>
          <t>LOW</t>
        </is>
      </c>
      <c r="I26" s="56" t="inlineStr">
        <is>
          <t>No</t>
        </is>
      </c>
      <c r="J26" s="52" t="n"/>
      <c r="K26" s="52">
        <f>IF(D26="","NOT_DISPLAYED",IF(G26="OPENING",IF(ABS(F26)&lt;=1,"PASS_WITH_ROUNDING_TOLERANCE","REVIEW_OPENING"),IF(G26="SOFT",IF(ABS(F26)&lt;=1,"PASS_WITH_ROUNDING_TOLERANCE","WARNING_LOW_CONFIDENCE_SNAPSHOT"),IF(ABS(F26)&lt;=1,"PASS","FAIL_AUTHORITATIVE_SNAPSHOT"))))</f>
        <v/>
      </c>
      <c r="L26" s="52" t="inlineStr">
        <is>
          <t>No inferred transaction permitted from this snapshot.</t>
        </is>
      </c>
    </row>
    <row r="27" ht="32" customHeight="1">
      <c r="A27" s="55" t="n">
        <v>41023</v>
      </c>
      <c r="B27" s="56" t="inlineStr">
        <is>
          <t>24April2012</t>
        </is>
      </c>
      <c r="C27" s="56" t="inlineStr">
        <is>
          <t>Amara Raja</t>
        </is>
      </c>
      <c r="D27" s="57" t="n">
        <v>326.797385620915</v>
      </c>
      <c r="E27" s="57" t="n">
        <v>490</v>
      </c>
      <c r="F27" s="57">
        <f>IF(D27="","",D27-E27)</f>
        <v/>
      </c>
      <c r="G27" s="56" t="inlineStr">
        <is>
          <t>SOFT</t>
        </is>
      </c>
      <c r="H27" s="56" t="inlineStr">
        <is>
          <t>LOW</t>
        </is>
      </c>
      <c r="I27" s="56" t="inlineStr">
        <is>
          <t>No</t>
        </is>
      </c>
      <c r="J27" s="52" t="n"/>
      <c r="K27" s="52">
        <f>IF(D27="","NOT_DISPLAYED",IF(G27="OPENING",IF(ABS(F27)&lt;=1,"PASS_WITH_ROUNDING_TOLERANCE","REVIEW_OPENING"),IF(G27="SOFT",IF(ABS(F27)&lt;=1,"PASS_WITH_ROUNDING_TOLERANCE","WARNING_LOW_CONFIDENCE_SNAPSHOT"),IF(ABS(F27)&lt;=1,"PASS","FAIL_AUTHORITATIVE_SNAPSHOT"))))</f>
        <v/>
      </c>
      <c r="L27" s="52" t="inlineStr">
        <is>
          <t>No inferred transaction permitted from this snapshot.</t>
        </is>
      </c>
    </row>
    <row r="28" ht="32" customHeight="1">
      <c r="A28" s="55" t="n">
        <v>41023</v>
      </c>
      <c r="B28" s="56" t="inlineStr">
        <is>
          <t>24April2012</t>
        </is>
      </c>
      <c r="C28" s="56" t="inlineStr">
        <is>
          <t>Ashiana</t>
        </is>
      </c>
      <c r="D28" s="57" t="n">
        <v>414.2011834319526</v>
      </c>
      <c r="E28" s="57" t="n">
        <v>511</v>
      </c>
      <c r="F28" s="57">
        <f>IF(D28="","",D28-E28)</f>
        <v/>
      </c>
      <c r="G28" s="56" t="inlineStr">
        <is>
          <t>SOFT</t>
        </is>
      </c>
      <c r="H28" s="56" t="inlineStr">
        <is>
          <t>LOW</t>
        </is>
      </c>
      <c r="I28" s="56" t="inlineStr">
        <is>
          <t>No</t>
        </is>
      </c>
      <c r="J28" s="52" t="n"/>
      <c r="K28" s="52">
        <f>IF(D28="","NOT_DISPLAYED",IF(G28="OPENING",IF(ABS(F28)&lt;=1,"PASS_WITH_ROUNDING_TOLERANCE","REVIEW_OPENING"),IF(G28="SOFT",IF(ABS(F28)&lt;=1,"PASS_WITH_ROUNDING_TOLERANCE","WARNING_LOW_CONFIDENCE_SNAPSHOT"),IF(ABS(F28)&lt;=1,"PASS","FAIL_AUTHORITATIVE_SNAPSHOT"))))</f>
        <v/>
      </c>
      <c r="L28" s="52" t="inlineStr">
        <is>
          <t>No inferred transaction permitted from this snapshot.</t>
        </is>
      </c>
    </row>
    <row r="29" ht="32" customHeight="1">
      <c r="A29" s="55" t="n">
        <v>41023</v>
      </c>
      <c r="B29" s="56" t="inlineStr">
        <is>
          <t>24April2012</t>
        </is>
      </c>
      <c r="C29" s="56" t="inlineStr">
        <is>
          <t>BharatForg</t>
        </is>
      </c>
      <c r="D29" s="57" t="n">
        <v>470.2194357366771</v>
      </c>
      <c r="E29" s="57" t="n">
        <v>595</v>
      </c>
      <c r="F29" s="57">
        <f>IF(D29="","",D29-E29)</f>
        <v/>
      </c>
      <c r="G29" s="56" t="inlineStr">
        <is>
          <t>SOFT</t>
        </is>
      </c>
      <c r="H29" s="56" t="inlineStr">
        <is>
          <t>LOW</t>
        </is>
      </c>
      <c r="I29" s="56" t="inlineStr">
        <is>
          <t>No</t>
        </is>
      </c>
      <c r="J29" s="52" t="n"/>
      <c r="K29" s="52">
        <f>IF(D29="","NOT_DISPLAYED",IF(G29="OPENING",IF(ABS(F29)&lt;=1,"PASS_WITH_ROUNDING_TOLERANCE","REVIEW_OPENING"),IF(G29="SOFT",IF(ABS(F29)&lt;=1,"PASS_WITH_ROUNDING_TOLERANCE","WARNING_LOW_CONFIDENCE_SNAPSHOT"),IF(ABS(F29)&lt;=1,"PASS","FAIL_AUTHORITATIVE_SNAPSHOT"))))</f>
        <v/>
      </c>
      <c r="L29" s="52" t="inlineStr">
        <is>
          <t>No inferred transaction permitted from this snapshot.</t>
        </is>
      </c>
    </row>
    <row r="30" ht="32" customHeight="1">
      <c r="A30" s="55" t="n">
        <v>41023</v>
      </c>
      <c r="B30" s="56" t="inlineStr">
        <is>
          <t>24April2012</t>
        </is>
      </c>
      <c r="C30" s="56" t="inlineStr">
        <is>
          <t>Geometric</t>
        </is>
      </c>
      <c r="D30" s="57" t="n">
        <v>675.6756756756756</v>
      </c>
      <c r="E30" s="57" t="n">
        <v>1250</v>
      </c>
      <c r="F30" s="57">
        <f>IF(D30="","",D30-E30)</f>
        <v/>
      </c>
      <c r="G30" s="56" t="inlineStr">
        <is>
          <t>SOFT</t>
        </is>
      </c>
      <c r="H30" s="56" t="inlineStr">
        <is>
          <t>LOW</t>
        </is>
      </c>
      <c r="I30" s="56" t="inlineStr">
        <is>
          <t>No</t>
        </is>
      </c>
      <c r="J30" s="52" t="n"/>
      <c r="K30" s="52">
        <f>IF(D30="","NOT_DISPLAYED",IF(G30="OPENING",IF(ABS(F30)&lt;=1,"PASS_WITH_ROUNDING_TOLERANCE","REVIEW_OPENING"),IF(G30="SOFT",IF(ABS(F30)&lt;=1,"PASS_WITH_ROUNDING_TOLERANCE","WARNING_LOW_CONFIDENCE_SNAPSHOT"),IF(ABS(F30)&lt;=1,"PASS","FAIL_AUTHORITATIVE_SNAPSHOT"))))</f>
        <v/>
      </c>
      <c r="L30" s="52" t="inlineStr">
        <is>
          <t>No inferred transaction permitted from this snapshot.</t>
        </is>
      </c>
    </row>
    <row r="31" ht="32" customHeight="1">
      <c r="A31" s="55" t="n">
        <v>41023</v>
      </c>
      <c r="B31" s="56" t="inlineStr">
        <is>
          <t>24April2012</t>
        </is>
      </c>
      <c r="C31" s="56" t="inlineStr">
        <is>
          <t>Havells</t>
        </is>
      </c>
      <c r="D31" s="57" t="n">
        <v>261.7801047120419</v>
      </c>
      <c r="E31" s="57" t="n">
        <v>390</v>
      </c>
      <c r="F31" s="57">
        <f>IF(D31="","",D31-E31)</f>
        <v/>
      </c>
      <c r="G31" s="56" t="inlineStr">
        <is>
          <t>SOFT</t>
        </is>
      </c>
      <c r="H31" s="56" t="inlineStr">
        <is>
          <t>LOW</t>
        </is>
      </c>
      <c r="I31" s="56" t="inlineStr">
        <is>
          <t>No</t>
        </is>
      </c>
      <c r="J31" s="52" t="n"/>
      <c r="K31" s="52">
        <f>IF(D31="","NOT_DISPLAYED",IF(G31="OPENING",IF(ABS(F31)&lt;=1,"PASS_WITH_ROUNDING_TOLERANCE","REVIEW_OPENING"),IF(G31="SOFT",IF(ABS(F31)&lt;=1,"PASS_WITH_ROUNDING_TOLERANCE","WARNING_LOW_CONFIDENCE_SNAPSHOT"),IF(ABS(F31)&lt;=1,"PASS","FAIL_AUTHORITATIVE_SNAPSHOT"))))</f>
        <v/>
      </c>
      <c r="L31" s="52" t="inlineStr">
        <is>
          <t>No inferred transaction permitted from this snapshot.</t>
        </is>
      </c>
    </row>
    <row r="32" ht="32" customHeight="1">
      <c r="A32" s="55" t="n">
        <v>41023</v>
      </c>
      <c r="B32" s="56" t="inlineStr">
        <is>
          <t>24April2012</t>
        </is>
      </c>
      <c r="C32" s="56" t="inlineStr">
        <is>
          <t>Kaveri</t>
        </is>
      </c>
      <c r="D32" s="57" t="n">
        <v>102.9411764705882</v>
      </c>
      <c r="E32" s="57" t="n">
        <v>156</v>
      </c>
      <c r="F32" s="57">
        <f>IF(D32="","",D32-E32)</f>
        <v/>
      </c>
      <c r="G32" s="56" t="inlineStr">
        <is>
          <t>SOFT</t>
        </is>
      </c>
      <c r="H32" s="56" t="inlineStr">
        <is>
          <t>LOW</t>
        </is>
      </c>
      <c r="I32" s="56" t="inlineStr">
        <is>
          <t>No</t>
        </is>
      </c>
      <c r="J32" s="52" t="n"/>
      <c r="K32" s="52">
        <f>IF(D32="","NOT_DISPLAYED",IF(G32="OPENING",IF(ABS(F32)&lt;=1,"PASS_WITH_ROUNDING_TOLERANCE","REVIEW_OPENING"),IF(G32="SOFT",IF(ABS(F32)&lt;=1,"PASS_WITH_ROUNDING_TOLERANCE","WARNING_LOW_CONFIDENCE_SNAPSHOT"),IF(ABS(F32)&lt;=1,"PASS","FAIL_AUTHORITATIVE_SNAPSHOT"))))</f>
        <v/>
      </c>
      <c r="L32" s="52" t="inlineStr">
        <is>
          <t>No inferred transaction permitted from this snapshot.</t>
        </is>
      </c>
    </row>
    <row r="33" ht="32" customHeight="1">
      <c r="A33" s="55" t="n">
        <v>41023</v>
      </c>
      <c r="B33" s="56" t="inlineStr">
        <is>
          <t>24April2012</t>
        </is>
      </c>
      <c r="C33" s="56" t="inlineStr">
        <is>
          <t>NIITTech</t>
        </is>
      </c>
      <c r="D33" s="57" t="n">
        <v>196.8503937007874</v>
      </c>
      <c r="E33" s="57" t="n">
        <v>372</v>
      </c>
      <c r="F33" s="57">
        <f>IF(D33="","",D33-E33)</f>
        <v/>
      </c>
      <c r="G33" s="56" t="inlineStr">
        <is>
          <t>SOFT</t>
        </is>
      </c>
      <c r="H33" s="56" t="inlineStr">
        <is>
          <t>LOW</t>
        </is>
      </c>
      <c r="I33" s="56" t="inlineStr">
        <is>
          <t>No</t>
        </is>
      </c>
      <c r="J33" s="52" t="n"/>
      <c r="K33" s="52">
        <f>IF(D33="","NOT_DISPLAYED",IF(G33="OPENING",IF(ABS(F33)&lt;=1,"PASS_WITH_ROUNDING_TOLERANCE","REVIEW_OPENING"),IF(G33="SOFT",IF(ABS(F33)&lt;=1,"PASS_WITH_ROUNDING_TOLERANCE","WARNING_LOW_CONFIDENCE_SNAPSHOT"),IF(ABS(F33)&lt;=1,"PASS","FAIL_AUTHORITATIVE_SNAPSHOT"))))</f>
        <v/>
      </c>
      <c r="L33" s="52" t="inlineStr">
        <is>
          <t>No inferred transaction permitted from this snapshot.</t>
        </is>
      </c>
    </row>
    <row r="34" ht="32" customHeight="1">
      <c r="A34" s="55" t="n">
        <v>41023</v>
      </c>
      <c r="B34" s="56" t="inlineStr">
        <is>
          <t>24April2012</t>
        </is>
      </c>
      <c r="C34" s="56" t="inlineStr">
        <is>
          <t>RSSoftware</t>
        </is>
      </c>
      <c r="D34" s="57" t="n">
        <v>625</v>
      </c>
      <c r="E34" s="57" t="n">
        <v>781</v>
      </c>
      <c r="F34" s="57">
        <f>IF(D34="","",D34-E34)</f>
        <v/>
      </c>
      <c r="G34" s="56" t="inlineStr">
        <is>
          <t>SOFT</t>
        </is>
      </c>
      <c r="H34" s="56" t="inlineStr">
        <is>
          <t>LOW</t>
        </is>
      </c>
      <c r="I34" s="56" t="inlineStr">
        <is>
          <t>No</t>
        </is>
      </c>
      <c r="J34" s="52" t="n"/>
      <c r="K34" s="52">
        <f>IF(D34="","NOT_DISPLAYED",IF(G34="OPENING",IF(ABS(F34)&lt;=1,"PASS_WITH_ROUNDING_TOLERANCE","REVIEW_OPENING"),IF(G34="SOFT",IF(ABS(F34)&lt;=1,"PASS_WITH_ROUNDING_TOLERANCE","WARNING_LOW_CONFIDENCE_SNAPSHOT"),IF(ABS(F34)&lt;=1,"PASS","FAIL_AUTHORITATIVE_SNAPSHOT"))))</f>
        <v/>
      </c>
      <c r="L34" s="52" t="inlineStr">
        <is>
          <t>No inferred transaction permitted from this snapshot.</t>
        </is>
      </c>
    </row>
    <row r="35" ht="32" customHeight="1">
      <c r="A35" s="55" t="n">
        <v>41023</v>
      </c>
      <c r="B35" s="56" t="inlineStr">
        <is>
          <t>24April2012</t>
        </is>
      </c>
      <c r="C35" s="56" t="inlineStr">
        <is>
          <t>SanghviMov</t>
        </is>
      </c>
      <c r="D35" s="57" t="n">
        <v>636.3636363636364</v>
      </c>
      <c r="E35" s="57" t="n">
        <v>805</v>
      </c>
      <c r="F35" s="57">
        <f>IF(D35="","",D35-E35)</f>
        <v/>
      </c>
      <c r="G35" s="56" t="inlineStr">
        <is>
          <t>SOFT</t>
        </is>
      </c>
      <c r="H35" s="56" t="inlineStr">
        <is>
          <t>LOW</t>
        </is>
      </c>
      <c r="I35" s="56" t="inlineStr">
        <is>
          <t>No</t>
        </is>
      </c>
      <c r="J35" s="52" t="inlineStr">
        <is>
          <t>Sell</t>
        </is>
      </c>
      <c r="K35" s="52">
        <f>IF(D35="","NOT_DISPLAYED",IF(G35="OPENING",IF(ABS(F35)&lt;=1,"PASS_WITH_ROUNDING_TOLERANCE","REVIEW_OPENING"),IF(G35="SOFT",IF(ABS(F35)&lt;=1,"PASS_WITH_ROUNDING_TOLERANCE","WARNING_LOW_CONFIDENCE_SNAPSHOT"),IF(ABS(F35)&lt;=1,"PASS","FAIL_AUTHORITATIVE_SNAPSHOT"))))</f>
        <v/>
      </c>
      <c r="L35" s="52" t="inlineStr">
        <is>
          <t>No inferred transaction permitted from this snapshot.</t>
        </is>
      </c>
    </row>
    <row r="36" ht="32" customHeight="1">
      <c r="A36" s="55" t="n">
        <v>41023</v>
      </c>
      <c r="B36" s="56" t="inlineStr">
        <is>
          <t>24April2012</t>
        </is>
      </c>
      <c r="C36" s="56" t="inlineStr">
        <is>
          <t>Vguard</t>
        </is>
      </c>
      <c r="D36" s="57" t="n">
        <v>372.3404255319149</v>
      </c>
      <c r="E36" s="57" t="n">
        <v>452</v>
      </c>
      <c r="F36" s="57">
        <f>IF(D36="","",D36-E36)</f>
        <v/>
      </c>
      <c r="G36" s="56" t="inlineStr">
        <is>
          <t>SOFT</t>
        </is>
      </c>
      <c r="H36" s="56" t="inlineStr">
        <is>
          <t>LOW</t>
        </is>
      </c>
      <c r="I36" s="56" t="inlineStr">
        <is>
          <t>No</t>
        </is>
      </c>
      <c r="J36" s="52" t="inlineStr">
        <is>
          <t>Buy</t>
        </is>
      </c>
      <c r="K36" s="52">
        <f>IF(D36="","NOT_DISPLAYED",IF(G36="OPENING",IF(ABS(F36)&lt;=1,"PASS_WITH_ROUNDING_TOLERANCE","REVIEW_OPENING"),IF(G36="SOFT",IF(ABS(F36)&lt;=1,"PASS_WITH_ROUNDING_TOLERANCE","WARNING_LOW_CONFIDENCE_SNAPSHOT"),IF(ABS(F36)&lt;=1,"PASS","FAIL_AUTHORITATIVE_SNAPSHOT"))))</f>
        <v/>
      </c>
      <c r="L36" s="52" t="inlineStr">
        <is>
          <t>No inferred transaction permitted from this snapshot.</t>
        </is>
      </c>
    </row>
    <row r="37" ht="16" customHeight="1">
      <c r="A37" s="55" t="n">
        <v>41023</v>
      </c>
      <c r="B37" s="56" t="inlineStr">
        <is>
          <t>24April2012</t>
        </is>
      </c>
      <c r="C37" s="56" t="inlineStr">
        <is>
          <t>Zensar</t>
        </is>
      </c>
      <c r="D37" s="57" t="n">
        <v>225.2252252252252</v>
      </c>
      <c r="E37" s="57" t="n">
        <v>225</v>
      </c>
      <c r="F37" s="57">
        <f>IF(D37="","",D37-E37)</f>
        <v/>
      </c>
      <c r="G37" s="56" t="inlineStr">
        <is>
          <t>SOFT</t>
        </is>
      </c>
      <c r="H37" s="56" t="inlineStr">
        <is>
          <t>LOW</t>
        </is>
      </c>
      <c r="I37" s="56" t="inlineStr">
        <is>
          <t>No</t>
        </is>
      </c>
      <c r="J37" s="52" t="inlineStr">
        <is>
          <t>Buy</t>
        </is>
      </c>
      <c r="K37" s="52">
        <f>IF(D37="","NOT_DISPLAYED",IF(G37="OPENING",IF(ABS(F37)&lt;=1,"PASS_WITH_ROUNDING_TOLERANCE","REVIEW_OPENING"),IF(G37="SOFT",IF(ABS(F37)&lt;=1,"PASS_WITH_ROUNDING_TOLERANCE","WARNING_LOW_CONFIDENCE_SNAPSHOT"),IF(ABS(F37)&lt;=1,"PASS","FAIL_AUTHORITATIVE_SNAPSHOT"))))</f>
        <v/>
      </c>
      <c r="L37" s="52" t="inlineStr">
        <is>
          <t>No inferred transaction permitted from this snapshot.</t>
        </is>
      </c>
    </row>
    <row r="38" ht="32" customHeight="1">
      <c r="A38" s="55" t="n">
        <v>41036</v>
      </c>
      <c r="B38" s="56" t="inlineStr">
        <is>
          <t>07May2012</t>
        </is>
      </c>
      <c r="C38" s="56" t="inlineStr">
        <is>
          <t>Amara Raja</t>
        </is>
      </c>
      <c r="D38" s="57" t="n">
        <v>341.296928327645</v>
      </c>
      <c r="E38" s="57" t="n">
        <v>490</v>
      </c>
      <c r="F38" s="57">
        <f>IF(D38="","",D38-E38)</f>
        <v/>
      </c>
      <c r="G38" s="56" t="inlineStr">
        <is>
          <t>SOFT</t>
        </is>
      </c>
      <c r="H38" s="56" t="inlineStr">
        <is>
          <t>LOW</t>
        </is>
      </c>
      <c r="I38" s="56" t="inlineStr">
        <is>
          <t>No</t>
        </is>
      </c>
      <c r="J38" s="52" t="n"/>
      <c r="K38" s="52">
        <f>IF(D38="","NOT_DISPLAYED",IF(G38="OPENING",IF(ABS(F38)&lt;=1,"PASS_WITH_ROUNDING_TOLERANCE","REVIEW_OPENING"),IF(G38="SOFT",IF(ABS(F38)&lt;=1,"PASS_WITH_ROUNDING_TOLERANCE","WARNING_LOW_CONFIDENCE_SNAPSHOT"),IF(ABS(F38)&lt;=1,"PASS","FAIL_AUTHORITATIVE_SNAPSHOT"))))</f>
        <v/>
      </c>
      <c r="L38" s="52" t="inlineStr">
        <is>
          <t>No inferred transaction permitted from this snapshot.</t>
        </is>
      </c>
    </row>
    <row r="39" ht="32" customHeight="1">
      <c r="A39" s="55" t="n">
        <v>41036</v>
      </c>
      <c r="B39" s="56" t="inlineStr">
        <is>
          <t>07May2012</t>
        </is>
      </c>
      <c r="C39" s="56" t="inlineStr">
        <is>
          <t>Ashiana</t>
        </is>
      </c>
      <c r="D39" s="57" t="n">
        <v>411.7647058823529</v>
      </c>
      <c r="E39" s="57" t="n">
        <v>511</v>
      </c>
      <c r="F39" s="57">
        <f>IF(D39="","",D39-E39)</f>
        <v/>
      </c>
      <c r="G39" s="56" t="inlineStr">
        <is>
          <t>SOFT</t>
        </is>
      </c>
      <c r="H39" s="56" t="inlineStr">
        <is>
          <t>LOW</t>
        </is>
      </c>
      <c r="I39" s="56" t="inlineStr">
        <is>
          <t>No</t>
        </is>
      </c>
      <c r="J39" s="52" t="n"/>
      <c r="K39" s="52">
        <f>IF(D39="","NOT_DISPLAYED",IF(G39="OPENING",IF(ABS(F39)&lt;=1,"PASS_WITH_ROUNDING_TOLERANCE","REVIEW_OPENING"),IF(G39="SOFT",IF(ABS(F39)&lt;=1,"PASS_WITH_ROUNDING_TOLERANCE","WARNING_LOW_CONFIDENCE_SNAPSHOT"),IF(ABS(F39)&lt;=1,"PASS","FAIL_AUTHORITATIVE_SNAPSHOT"))))</f>
        <v/>
      </c>
      <c r="L39" s="52" t="inlineStr">
        <is>
          <t>No inferred transaction permitted from this snapshot.</t>
        </is>
      </c>
    </row>
    <row r="40" ht="32" customHeight="1">
      <c r="A40" s="55" t="n">
        <v>41036</v>
      </c>
      <c r="B40" s="56" t="inlineStr">
        <is>
          <t>07May2012</t>
        </is>
      </c>
      <c r="C40" s="56" t="inlineStr">
        <is>
          <t>BharatForg</t>
        </is>
      </c>
      <c r="D40" s="57" t="n">
        <v>468.75</v>
      </c>
      <c r="E40" s="57" t="n">
        <v>595</v>
      </c>
      <c r="F40" s="57">
        <f>IF(D40="","",D40-E40)</f>
        <v/>
      </c>
      <c r="G40" s="56" t="inlineStr">
        <is>
          <t>SOFT</t>
        </is>
      </c>
      <c r="H40" s="56" t="inlineStr">
        <is>
          <t>LOW</t>
        </is>
      </c>
      <c r="I40" s="56" t="inlineStr">
        <is>
          <t>No</t>
        </is>
      </c>
      <c r="J40" s="52" t="n"/>
      <c r="K40" s="52">
        <f>IF(D40="","NOT_DISPLAYED",IF(G40="OPENING",IF(ABS(F40)&lt;=1,"PASS_WITH_ROUNDING_TOLERANCE","REVIEW_OPENING"),IF(G40="SOFT",IF(ABS(F40)&lt;=1,"PASS_WITH_ROUNDING_TOLERANCE","WARNING_LOW_CONFIDENCE_SNAPSHOT"),IF(ABS(F40)&lt;=1,"PASS","FAIL_AUTHORITATIVE_SNAPSHOT"))))</f>
        <v/>
      </c>
      <c r="L40" s="52" t="inlineStr">
        <is>
          <t>No inferred transaction permitted from this snapshot.</t>
        </is>
      </c>
    </row>
    <row r="41" ht="32" customHeight="1">
      <c r="A41" s="55" t="n">
        <v>41036</v>
      </c>
      <c r="B41" s="56" t="inlineStr">
        <is>
          <t>07May2012</t>
        </is>
      </c>
      <c r="C41" s="56" t="inlineStr">
        <is>
          <t>Geometric</t>
        </is>
      </c>
      <c r="D41" s="57" t="n">
        <v>757.5757575757576</v>
      </c>
      <c r="E41" s="57" t="n">
        <v>1250</v>
      </c>
      <c r="F41" s="57">
        <f>IF(D41="","",D41-E41)</f>
        <v/>
      </c>
      <c r="G41" s="56" t="inlineStr">
        <is>
          <t>SOFT</t>
        </is>
      </c>
      <c r="H41" s="56" t="inlineStr">
        <is>
          <t>LOW</t>
        </is>
      </c>
      <c r="I41" s="56" t="inlineStr">
        <is>
          <t>No</t>
        </is>
      </c>
      <c r="J41" s="52" t="n"/>
      <c r="K41" s="52">
        <f>IF(D41="","NOT_DISPLAYED",IF(G41="OPENING",IF(ABS(F41)&lt;=1,"PASS_WITH_ROUNDING_TOLERANCE","REVIEW_OPENING"),IF(G41="SOFT",IF(ABS(F41)&lt;=1,"PASS_WITH_ROUNDING_TOLERANCE","WARNING_LOW_CONFIDENCE_SNAPSHOT"),IF(ABS(F41)&lt;=1,"PASS","FAIL_AUTHORITATIVE_SNAPSHOT"))))</f>
        <v/>
      </c>
      <c r="L41" s="52" t="inlineStr">
        <is>
          <t>No inferred transaction permitted from this snapshot.</t>
        </is>
      </c>
    </row>
    <row r="42" ht="32" customHeight="1">
      <c r="A42" s="55" t="n">
        <v>41036</v>
      </c>
      <c r="B42" s="56" t="inlineStr">
        <is>
          <t>07May2012</t>
        </is>
      </c>
      <c r="C42" s="56" t="inlineStr">
        <is>
          <t>Havells</t>
        </is>
      </c>
      <c r="D42" s="57" t="n">
        <v>277.264325323475</v>
      </c>
      <c r="E42" s="57" t="n">
        <v>390</v>
      </c>
      <c r="F42" s="57">
        <f>IF(D42="","",D42-E42)</f>
        <v/>
      </c>
      <c r="G42" s="56" t="inlineStr">
        <is>
          <t>SOFT</t>
        </is>
      </c>
      <c r="H42" s="56" t="inlineStr">
        <is>
          <t>LOW</t>
        </is>
      </c>
      <c r="I42" s="56" t="inlineStr">
        <is>
          <t>No</t>
        </is>
      </c>
      <c r="J42" s="52" t="n"/>
      <c r="K42" s="52">
        <f>IF(D42="","NOT_DISPLAYED",IF(G42="OPENING",IF(ABS(F42)&lt;=1,"PASS_WITH_ROUNDING_TOLERANCE","REVIEW_OPENING"),IF(G42="SOFT",IF(ABS(F42)&lt;=1,"PASS_WITH_ROUNDING_TOLERANCE","WARNING_LOW_CONFIDENCE_SNAPSHOT"),IF(ABS(F42)&lt;=1,"PASS","FAIL_AUTHORITATIVE_SNAPSHOT"))))</f>
        <v/>
      </c>
      <c r="L42" s="52" t="inlineStr">
        <is>
          <t>No inferred transaction permitted from this snapshot.</t>
        </is>
      </c>
    </row>
    <row r="43" ht="32" customHeight="1">
      <c r="A43" s="55" t="n">
        <v>41036</v>
      </c>
      <c r="B43" s="56" t="inlineStr">
        <is>
          <t>07May2012</t>
        </is>
      </c>
      <c r="C43" s="56" t="inlineStr">
        <is>
          <t>Kaveri</t>
        </is>
      </c>
      <c r="D43" s="57" t="n">
        <v>106.8702290076336</v>
      </c>
      <c r="E43" s="57" t="n">
        <v>156</v>
      </c>
      <c r="F43" s="57">
        <f>IF(D43="","",D43-E43)</f>
        <v/>
      </c>
      <c r="G43" s="56" t="inlineStr">
        <is>
          <t>SOFT</t>
        </is>
      </c>
      <c r="H43" s="56" t="inlineStr">
        <is>
          <t>LOW</t>
        </is>
      </c>
      <c r="I43" s="56" t="inlineStr">
        <is>
          <t>No</t>
        </is>
      </c>
      <c r="J43" s="52" t="n"/>
      <c r="K43" s="52">
        <f>IF(D43="","NOT_DISPLAYED",IF(G43="OPENING",IF(ABS(F43)&lt;=1,"PASS_WITH_ROUNDING_TOLERANCE","REVIEW_OPENING"),IF(G43="SOFT",IF(ABS(F43)&lt;=1,"PASS_WITH_ROUNDING_TOLERANCE","WARNING_LOW_CONFIDENCE_SNAPSHOT"),IF(ABS(F43)&lt;=1,"PASS","FAIL_AUTHORITATIVE_SNAPSHOT"))))</f>
        <v/>
      </c>
      <c r="L43" s="52" t="inlineStr">
        <is>
          <t>No inferred transaction permitted from this snapshot.</t>
        </is>
      </c>
    </row>
    <row r="44" ht="32" customHeight="1">
      <c r="A44" s="55" t="n">
        <v>41036</v>
      </c>
      <c r="B44" s="56" t="inlineStr">
        <is>
          <t>07May2012</t>
        </is>
      </c>
      <c r="C44" s="56" t="inlineStr">
        <is>
          <t>NIITTech</t>
        </is>
      </c>
      <c r="D44" s="57" t="n">
        <v>278.8844621513944</v>
      </c>
      <c r="E44" s="57" t="n">
        <v>372</v>
      </c>
      <c r="F44" s="57">
        <f>IF(D44="","",D44-E44)</f>
        <v/>
      </c>
      <c r="G44" s="56" t="inlineStr">
        <is>
          <t>SOFT</t>
        </is>
      </c>
      <c r="H44" s="56" t="inlineStr">
        <is>
          <t>LOW</t>
        </is>
      </c>
      <c r="I44" s="56" t="inlineStr">
        <is>
          <t>No</t>
        </is>
      </c>
      <c r="J44" s="52" t="n"/>
      <c r="K44" s="52">
        <f>IF(D44="","NOT_DISPLAYED",IF(G44="OPENING",IF(ABS(F44)&lt;=1,"PASS_WITH_ROUNDING_TOLERANCE","REVIEW_OPENING"),IF(G44="SOFT",IF(ABS(F44)&lt;=1,"PASS_WITH_ROUNDING_TOLERANCE","WARNING_LOW_CONFIDENCE_SNAPSHOT"),IF(ABS(F44)&lt;=1,"PASS","FAIL_AUTHORITATIVE_SNAPSHOT"))))</f>
        <v/>
      </c>
      <c r="L44" s="52" t="inlineStr">
        <is>
          <t>No inferred transaction permitted from this snapshot.</t>
        </is>
      </c>
    </row>
    <row r="45" ht="32" customHeight="1">
      <c r="A45" s="55" t="n">
        <v>41036</v>
      </c>
      <c r="B45" s="56" t="inlineStr">
        <is>
          <t>07May2012</t>
        </is>
      </c>
      <c r="C45" s="56" t="inlineStr">
        <is>
          <t>RSSoftware</t>
        </is>
      </c>
      <c r="D45" s="57" t="n">
        <v>675.6756756756756</v>
      </c>
      <c r="E45" s="57" t="n">
        <v>781</v>
      </c>
      <c r="F45" s="57">
        <f>IF(D45="","",D45-E45)</f>
        <v/>
      </c>
      <c r="G45" s="56" t="inlineStr">
        <is>
          <t>SOFT</t>
        </is>
      </c>
      <c r="H45" s="56" t="inlineStr">
        <is>
          <t>LOW</t>
        </is>
      </c>
      <c r="I45" s="56" t="inlineStr">
        <is>
          <t>No</t>
        </is>
      </c>
      <c r="J45" s="52" t="n"/>
      <c r="K45" s="52">
        <f>IF(D45="","NOT_DISPLAYED",IF(G45="OPENING",IF(ABS(F45)&lt;=1,"PASS_WITH_ROUNDING_TOLERANCE","REVIEW_OPENING"),IF(G45="SOFT",IF(ABS(F45)&lt;=1,"PASS_WITH_ROUNDING_TOLERANCE","WARNING_LOW_CONFIDENCE_SNAPSHOT"),IF(ABS(F45)&lt;=1,"PASS","FAIL_AUTHORITATIVE_SNAPSHOT"))))</f>
        <v/>
      </c>
      <c r="L45" s="52" t="inlineStr">
        <is>
          <t>No inferred transaction permitted from this snapshot.</t>
        </is>
      </c>
    </row>
    <row r="46" ht="32" customHeight="1">
      <c r="A46" s="55" t="n">
        <v>41036</v>
      </c>
      <c r="B46" s="56" t="inlineStr">
        <is>
          <t>07May2012</t>
        </is>
      </c>
      <c r="C46" s="56" t="inlineStr">
        <is>
          <t>SanghviMov</t>
        </is>
      </c>
      <c r="D46" s="57" t="n">
        <v>660.3773584905661</v>
      </c>
      <c r="E46" s="57" t="n">
        <v>805</v>
      </c>
      <c r="F46" s="57">
        <f>IF(D46="","",D46-E46)</f>
        <v/>
      </c>
      <c r="G46" s="56" t="inlineStr">
        <is>
          <t>SOFT</t>
        </is>
      </c>
      <c r="H46" s="56" t="inlineStr">
        <is>
          <t>LOW</t>
        </is>
      </c>
      <c r="I46" s="56" t="inlineStr">
        <is>
          <t>No</t>
        </is>
      </c>
      <c r="J46" s="52" t="n"/>
      <c r="K46" s="52">
        <f>IF(D46="","NOT_DISPLAYED",IF(G46="OPENING",IF(ABS(F46)&lt;=1,"PASS_WITH_ROUNDING_TOLERANCE","REVIEW_OPENING"),IF(G46="SOFT",IF(ABS(F46)&lt;=1,"PASS_WITH_ROUNDING_TOLERANCE","WARNING_LOW_CONFIDENCE_SNAPSHOT"),IF(ABS(F46)&lt;=1,"PASS","FAIL_AUTHORITATIVE_SNAPSHOT"))))</f>
        <v/>
      </c>
      <c r="L46" s="52" t="inlineStr">
        <is>
          <t>No inferred transaction permitted from this snapshot.</t>
        </is>
      </c>
    </row>
    <row r="47" ht="32" customHeight="1">
      <c r="A47" s="55" t="n">
        <v>41036</v>
      </c>
      <c r="B47" s="56" t="inlineStr">
        <is>
          <t>07May2012</t>
        </is>
      </c>
      <c r="C47" s="56" t="inlineStr">
        <is>
          <t>Vguard</t>
        </is>
      </c>
      <c r="D47" s="57" t="n">
        <v>376.3440860215054</v>
      </c>
      <c r="E47" s="57" t="n">
        <v>452</v>
      </c>
      <c r="F47" s="57">
        <f>IF(D47="","",D47-E47)</f>
        <v/>
      </c>
      <c r="G47" s="56" t="inlineStr">
        <is>
          <t>SOFT</t>
        </is>
      </c>
      <c r="H47" s="56" t="inlineStr">
        <is>
          <t>LOW</t>
        </is>
      </c>
      <c r="I47" s="56" t="inlineStr">
        <is>
          <t>No</t>
        </is>
      </c>
      <c r="J47" s="52" t="n"/>
      <c r="K47" s="52">
        <f>IF(D47="","NOT_DISPLAYED",IF(G47="OPENING",IF(ABS(F47)&lt;=1,"PASS_WITH_ROUNDING_TOLERANCE","REVIEW_OPENING"),IF(G47="SOFT",IF(ABS(F47)&lt;=1,"PASS_WITH_ROUNDING_TOLERANCE","WARNING_LOW_CONFIDENCE_SNAPSHOT"),IF(ABS(F47)&lt;=1,"PASS","FAIL_AUTHORITATIVE_SNAPSHOT"))))</f>
        <v/>
      </c>
      <c r="L47" s="52" t="inlineStr">
        <is>
          <t>No inferred transaction permitted from this snapshot.</t>
        </is>
      </c>
    </row>
    <row r="48" ht="32" customHeight="1">
      <c r="A48" s="55" t="n">
        <v>41036</v>
      </c>
      <c r="B48" s="56" t="inlineStr">
        <is>
          <t>07May2012</t>
        </is>
      </c>
      <c r="C48" s="56" t="inlineStr">
        <is>
          <t>Zensar</t>
        </is>
      </c>
      <c r="D48" s="57" t="n">
        <v>247.5247524752475</v>
      </c>
      <c r="E48" s="57" t="n">
        <v>225</v>
      </c>
      <c r="F48" s="57">
        <f>IF(D48="","",D48-E48)</f>
        <v/>
      </c>
      <c r="G48" s="56" t="inlineStr">
        <is>
          <t>SOFT</t>
        </is>
      </c>
      <c r="H48" s="56" t="inlineStr">
        <is>
          <t>LOW</t>
        </is>
      </c>
      <c r="I48" s="56" t="inlineStr">
        <is>
          <t>No</t>
        </is>
      </c>
      <c r="J48" s="52" t="n"/>
      <c r="K48" s="52">
        <f>IF(D48="","NOT_DISPLAYED",IF(G48="OPENING",IF(ABS(F48)&lt;=1,"PASS_WITH_ROUNDING_TOLERANCE","REVIEW_OPENING"),IF(G48="SOFT",IF(ABS(F48)&lt;=1,"PASS_WITH_ROUNDING_TOLERANCE","WARNING_LOW_CONFIDENCE_SNAPSHOT"),IF(ABS(F48)&lt;=1,"PASS","FAIL_AUTHORITATIVE_SNAPSHOT"))))</f>
        <v/>
      </c>
      <c r="L48" s="52" t="inlineStr">
        <is>
          <t>No inferred transaction permitted from this snapshot.</t>
        </is>
      </c>
    </row>
    <row r="49" ht="32" customHeight="1">
      <c r="A49" s="55" t="n">
        <v>41060</v>
      </c>
      <c r="B49" s="56" t="inlineStr">
        <is>
          <t>31May2012</t>
        </is>
      </c>
      <c r="C49" s="56" t="inlineStr">
        <is>
          <t>Amara Raja</t>
        </is>
      </c>
      <c r="D49" s="57" t="n">
        <v>331.1258278145696</v>
      </c>
      <c r="E49" s="57" t="n">
        <v>490</v>
      </c>
      <c r="F49" s="57">
        <f>IF(D49="","",D49-E49)</f>
        <v/>
      </c>
      <c r="G49" s="56" t="inlineStr">
        <is>
          <t>SOFT</t>
        </is>
      </c>
      <c r="H49" s="56" t="inlineStr">
        <is>
          <t>LOW</t>
        </is>
      </c>
      <c r="I49" s="56" t="inlineStr">
        <is>
          <t>No</t>
        </is>
      </c>
      <c r="J49" s="52" t="n"/>
      <c r="K49" s="52">
        <f>IF(D49="","NOT_DISPLAYED",IF(G49="OPENING",IF(ABS(F49)&lt;=1,"PASS_WITH_ROUNDING_TOLERANCE","REVIEW_OPENING"),IF(G49="SOFT",IF(ABS(F49)&lt;=1,"PASS_WITH_ROUNDING_TOLERANCE","WARNING_LOW_CONFIDENCE_SNAPSHOT"),IF(ABS(F49)&lt;=1,"PASS","FAIL_AUTHORITATIVE_SNAPSHOT"))))</f>
        <v/>
      </c>
      <c r="L49" s="52" t="inlineStr">
        <is>
          <t>No inferred transaction permitted from this snapshot.</t>
        </is>
      </c>
    </row>
    <row r="50" ht="32" customHeight="1">
      <c r="A50" s="55" t="n">
        <v>41060</v>
      </c>
      <c r="B50" s="56" t="inlineStr">
        <is>
          <t>31May2012</t>
        </is>
      </c>
      <c r="C50" s="56" t="inlineStr">
        <is>
          <t>Ashiana</t>
        </is>
      </c>
      <c r="D50" s="57" t="n">
        <v>404.6242774566474</v>
      </c>
      <c r="E50" s="57" t="n">
        <v>511</v>
      </c>
      <c r="F50" s="57">
        <f>IF(D50="","",D50-E50)</f>
        <v/>
      </c>
      <c r="G50" s="56" t="inlineStr">
        <is>
          <t>SOFT</t>
        </is>
      </c>
      <c r="H50" s="56" t="inlineStr">
        <is>
          <t>LOW</t>
        </is>
      </c>
      <c r="I50" s="56" t="inlineStr">
        <is>
          <t>No</t>
        </is>
      </c>
      <c r="J50" s="52" t="n"/>
      <c r="K50" s="52">
        <f>IF(D50="","NOT_DISPLAYED",IF(G50="OPENING",IF(ABS(F50)&lt;=1,"PASS_WITH_ROUNDING_TOLERANCE","REVIEW_OPENING"),IF(G50="SOFT",IF(ABS(F50)&lt;=1,"PASS_WITH_ROUNDING_TOLERANCE","WARNING_LOW_CONFIDENCE_SNAPSHOT"),IF(ABS(F50)&lt;=1,"PASS","FAIL_AUTHORITATIVE_SNAPSHOT"))))</f>
        <v/>
      </c>
      <c r="L50" s="52" t="inlineStr">
        <is>
          <t>No inferred transaction permitted from this snapshot.</t>
        </is>
      </c>
    </row>
    <row r="51" ht="32" customHeight="1">
      <c r="A51" s="55" t="n">
        <v>41060</v>
      </c>
      <c r="B51" s="56" t="inlineStr">
        <is>
          <t>31May2012</t>
        </is>
      </c>
      <c r="C51" s="56" t="inlineStr">
        <is>
          <t>BharatForg</t>
        </is>
      </c>
      <c r="D51" s="57" t="n">
        <v>476.1904761904762</v>
      </c>
      <c r="E51" s="57" t="n">
        <v>397</v>
      </c>
      <c r="F51" s="57">
        <f>IF(D51="","",D51-E51)</f>
        <v/>
      </c>
      <c r="G51" s="56" t="inlineStr">
        <is>
          <t>SOFT</t>
        </is>
      </c>
      <c r="H51" s="56" t="inlineStr">
        <is>
          <t>LOW</t>
        </is>
      </c>
      <c r="I51" s="56" t="inlineStr">
        <is>
          <t>No</t>
        </is>
      </c>
      <c r="J51" s="52" t="inlineStr">
        <is>
          <t>Sell</t>
        </is>
      </c>
      <c r="K51" s="52">
        <f>IF(D51="","NOT_DISPLAYED",IF(G51="OPENING",IF(ABS(F51)&lt;=1,"PASS_WITH_ROUNDING_TOLERANCE","REVIEW_OPENING"),IF(G51="SOFT",IF(ABS(F51)&lt;=1,"PASS_WITH_ROUNDING_TOLERANCE","WARNING_LOW_CONFIDENCE_SNAPSHOT"),IF(ABS(F51)&lt;=1,"PASS","FAIL_AUTHORITATIVE_SNAPSHOT"))))</f>
        <v/>
      </c>
      <c r="L51" s="52" t="inlineStr">
        <is>
          <t>No inferred transaction permitted from this snapshot.</t>
        </is>
      </c>
    </row>
    <row r="52" ht="32" customHeight="1">
      <c r="A52" s="55" t="n">
        <v>41060</v>
      </c>
      <c r="B52" s="56" t="inlineStr">
        <is>
          <t>31May2012</t>
        </is>
      </c>
      <c r="C52" s="56" t="inlineStr">
        <is>
          <t>Geometric</t>
        </is>
      </c>
      <c r="D52" s="57" t="n">
        <v>724.6376811594203</v>
      </c>
      <c r="E52" s="57" t="n">
        <v>1250</v>
      </c>
      <c r="F52" s="57">
        <f>IF(D52="","",D52-E52)</f>
        <v/>
      </c>
      <c r="G52" s="56" t="inlineStr">
        <is>
          <t>SOFT</t>
        </is>
      </c>
      <c r="H52" s="56" t="inlineStr">
        <is>
          <t>LOW</t>
        </is>
      </c>
      <c r="I52" s="56" t="inlineStr">
        <is>
          <t>No</t>
        </is>
      </c>
      <c r="J52" s="52" t="n"/>
      <c r="K52" s="52">
        <f>IF(D52="","NOT_DISPLAYED",IF(G52="OPENING",IF(ABS(F52)&lt;=1,"PASS_WITH_ROUNDING_TOLERANCE","REVIEW_OPENING"),IF(G52="SOFT",IF(ABS(F52)&lt;=1,"PASS_WITH_ROUNDING_TOLERANCE","WARNING_LOW_CONFIDENCE_SNAPSHOT"),IF(ABS(F52)&lt;=1,"PASS","FAIL_AUTHORITATIVE_SNAPSHOT"))))</f>
        <v/>
      </c>
      <c r="L52" s="52" t="inlineStr">
        <is>
          <t>No inferred transaction permitted from this snapshot.</t>
        </is>
      </c>
    </row>
    <row r="53" ht="32" customHeight="1">
      <c r="A53" s="55" t="n">
        <v>41060</v>
      </c>
      <c r="B53" s="56" t="inlineStr">
        <is>
          <t>31May2012</t>
        </is>
      </c>
      <c r="C53" s="56" t="inlineStr">
        <is>
          <t>Havells</t>
        </is>
      </c>
      <c r="D53" s="57" t="n">
        <v>182.8153564899451</v>
      </c>
      <c r="E53" s="57" t="n">
        <v>260</v>
      </c>
      <c r="F53" s="57">
        <f>IF(D53="","",D53-E53)</f>
        <v/>
      </c>
      <c r="G53" s="56" t="inlineStr">
        <is>
          <t>SOFT</t>
        </is>
      </c>
      <c r="H53" s="56" t="inlineStr">
        <is>
          <t>LOW</t>
        </is>
      </c>
      <c r="I53" s="56" t="inlineStr">
        <is>
          <t>No</t>
        </is>
      </c>
      <c r="J53" s="52" t="inlineStr">
        <is>
          <t>Sell</t>
        </is>
      </c>
      <c r="K53" s="52">
        <f>IF(D53="","NOT_DISPLAYED",IF(G53="OPENING",IF(ABS(F53)&lt;=1,"PASS_WITH_ROUNDING_TOLERANCE","REVIEW_OPENING"),IF(G53="SOFT",IF(ABS(F53)&lt;=1,"PASS_WITH_ROUNDING_TOLERANCE","WARNING_LOW_CONFIDENCE_SNAPSHOT"),IF(ABS(F53)&lt;=1,"PASS","FAIL_AUTHORITATIVE_SNAPSHOT"))))</f>
        <v/>
      </c>
      <c r="L53" s="52" t="inlineStr">
        <is>
          <t>No inferred transaction permitted from this snapshot.</t>
        </is>
      </c>
    </row>
    <row r="54" ht="32" customHeight="1">
      <c r="A54" s="55" t="n">
        <v>41060</v>
      </c>
      <c r="B54" s="56" t="inlineStr">
        <is>
          <t>31May2012</t>
        </is>
      </c>
      <c r="C54" s="56" t="inlineStr">
        <is>
          <t>Kaveri</t>
        </is>
      </c>
      <c r="D54" s="57" t="n">
        <v>95.49795361527967</v>
      </c>
      <c r="E54" s="57" t="n">
        <v>156</v>
      </c>
      <c r="F54" s="57">
        <f>IF(D54="","",D54-E54)</f>
        <v/>
      </c>
      <c r="G54" s="56" t="inlineStr">
        <is>
          <t>SOFT</t>
        </is>
      </c>
      <c r="H54" s="56" t="inlineStr">
        <is>
          <t>LOW</t>
        </is>
      </c>
      <c r="I54" s="56" t="inlineStr">
        <is>
          <t>No</t>
        </is>
      </c>
      <c r="J54" s="52" t="n"/>
      <c r="K54" s="52">
        <f>IF(D54="","NOT_DISPLAYED",IF(G54="OPENING",IF(ABS(F54)&lt;=1,"PASS_WITH_ROUNDING_TOLERANCE","REVIEW_OPENING"),IF(G54="SOFT",IF(ABS(F54)&lt;=1,"PASS_WITH_ROUNDING_TOLERANCE","WARNING_LOW_CONFIDENCE_SNAPSHOT"),IF(ABS(F54)&lt;=1,"PASS","FAIL_AUTHORITATIVE_SNAPSHOT"))))</f>
        <v/>
      </c>
      <c r="L54" s="52" t="inlineStr">
        <is>
          <t>No inferred transaction permitted from this snapshot.</t>
        </is>
      </c>
    </row>
    <row r="55" ht="32" customHeight="1">
      <c r="A55" s="55" t="n">
        <v>41060</v>
      </c>
      <c r="B55" s="56" t="inlineStr">
        <is>
          <t>31May2012</t>
        </is>
      </c>
      <c r="C55" s="56" t="inlineStr">
        <is>
          <t>NIITTech</t>
        </is>
      </c>
      <c r="D55" s="57" t="n">
        <v>238.9078498293515</v>
      </c>
      <c r="E55" s="57" t="n">
        <v>372</v>
      </c>
      <c r="F55" s="57">
        <f>IF(D55="","",D55-E55)</f>
        <v/>
      </c>
      <c r="G55" s="56" t="inlineStr">
        <is>
          <t>SOFT</t>
        </is>
      </c>
      <c r="H55" s="56" t="inlineStr">
        <is>
          <t>LOW</t>
        </is>
      </c>
      <c r="I55" s="56" t="inlineStr">
        <is>
          <t>No</t>
        </is>
      </c>
      <c r="J55" s="52" t="n"/>
      <c r="K55" s="52">
        <f>IF(D55="","NOT_DISPLAYED",IF(G55="OPENING",IF(ABS(F55)&lt;=1,"PASS_WITH_ROUNDING_TOLERANCE","REVIEW_OPENING"),IF(G55="SOFT",IF(ABS(F55)&lt;=1,"PASS_WITH_ROUNDING_TOLERANCE","WARNING_LOW_CONFIDENCE_SNAPSHOT"),IF(ABS(F55)&lt;=1,"PASS","FAIL_AUTHORITATIVE_SNAPSHOT"))))</f>
        <v/>
      </c>
      <c r="L55" s="52" t="inlineStr">
        <is>
          <t>No inferred transaction permitted from this snapshot.</t>
        </is>
      </c>
    </row>
    <row r="56" ht="32" customHeight="1">
      <c r="A56" s="55" t="n">
        <v>41060</v>
      </c>
      <c r="B56" s="56" t="inlineStr">
        <is>
          <t>31May2012</t>
        </is>
      </c>
      <c r="C56" s="56" t="inlineStr">
        <is>
          <t>RSSoftware</t>
        </is>
      </c>
      <c r="D56" s="57" t="n">
        <v>675.6756756756756</v>
      </c>
      <c r="E56" s="57" t="n">
        <v>781</v>
      </c>
      <c r="F56" s="57">
        <f>IF(D56="","",D56-E56)</f>
        <v/>
      </c>
      <c r="G56" s="56" t="inlineStr">
        <is>
          <t>SOFT</t>
        </is>
      </c>
      <c r="H56" s="56" t="inlineStr">
        <is>
          <t>LOW</t>
        </is>
      </c>
      <c r="I56" s="56" t="inlineStr">
        <is>
          <t>No</t>
        </is>
      </c>
      <c r="J56" s="52" t="n"/>
      <c r="K56" s="52">
        <f>IF(D56="","NOT_DISPLAYED",IF(G56="OPENING",IF(ABS(F56)&lt;=1,"PASS_WITH_ROUNDING_TOLERANCE","REVIEW_OPENING"),IF(G56="SOFT",IF(ABS(F56)&lt;=1,"PASS_WITH_ROUNDING_TOLERANCE","WARNING_LOW_CONFIDENCE_SNAPSHOT"),IF(ABS(F56)&lt;=1,"PASS","FAIL_AUTHORITATIVE_SNAPSHOT"))))</f>
        <v/>
      </c>
      <c r="L56" s="52" t="inlineStr">
        <is>
          <t>No inferred transaction permitted from this snapshot.</t>
        </is>
      </c>
    </row>
    <row r="57" ht="32" customHeight="1">
      <c r="A57" s="55" t="n">
        <v>41060</v>
      </c>
      <c r="B57" s="56" t="inlineStr">
        <is>
          <t>31May2012</t>
        </is>
      </c>
      <c r="C57" s="56" t="inlineStr">
        <is>
          <t>SanghviMov</t>
        </is>
      </c>
      <c r="D57" s="57" t="n">
        <v>673.0769230769231</v>
      </c>
      <c r="E57" s="57" t="n">
        <v>805</v>
      </c>
      <c r="F57" s="57">
        <f>IF(D57="","",D57-E57)</f>
        <v/>
      </c>
      <c r="G57" s="56" t="inlineStr">
        <is>
          <t>SOFT</t>
        </is>
      </c>
      <c r="H57" s="56" t="inlineStr">
        <is>
          <t>LOW</t>
        </is>
      </c>
      <c r="I57" s="56" t="inlineStr">
        <is>
          <t>No</t>
        </is>
      </c>
      <c r="J57" s="52" t="n"/>
      <c r="K57" s="52">
        <f>IF(D57="","NOT_DISPLAYED",IF(G57="OPENING",IF(ABS(F57)&lt;=1,"PASS_WITH_ROUNDING_TOLERANCE","REVIEW_OPENING"),IF(G57="SOFT",IF(ABS(F57)&lt;=1,"PASS_WITH_ROUNDING_TOLERANCE","WARNING_LOW_CONFIDENCE_SNAPSHOT"),IF(ABS(F57)&lt;=1,"PASS","FAIL_AUTHORITATIVE_SNAPSHOT"))))</f>
        <v/>
      </c>
      <c r="L57" s="52" t="inlineStr">
        <is>
          <t>No inferred transaction permitted from this snapshot.</t>
        </is>
      </c>
    </row>
    <row r="58" ht="32" customHeight="1">
      <c r="A58" s="55" t="n">
        <v>41060</v>
      </c>
      <c r="B58" s="56" t="inlineStr">
        <is>
          <t>31May2012</t>
        </is>
      </c>
      <c r="C58" s="56" t="inlineStr">
        <is>
          <t>Vguard</t>
        </is>
      </c>
      <c r="D58" s="57" t="n">
        <v>490.1960784313725</v>
      </c>
      <c r="E58" s="57" t="n">
        <v>646</v>
      </c>
      <c r="F58" s="57">
        <f>IF(D58="","",D58-E58)</f>
        <v/>
      </c>
      <c r="G58" s="56" t="inlineStr">
        <is>
          <t>SOFT</t>
        </is>
      </c>
      <c r="H58" s="56" t="inlineStr">
        <is>
          <t>LOW</t>
        </is>
      </c>
      <c r="I58" s="56" t="inlineStr">
        <is>
          <t>No</t>
        </is>
      </c>
      <c r="J58" s="52" t="inlineStr">
        <is>
          <t>Buy</t>
        </is>
      </c>
      <c r="K58" s="52">
        <f>IF(D58="","NOT_DISPLAYED",IF(G58="OPENING",IF(ABS(F58)&lt;=1,"PASS_WITH_ROUNDING_TOLERANCE","REVIEW_OPENING"),IF(G58="SOFT",IF(ABS(F58)&lt;=1,"PASS_WITH_ROUNDING_TOLERANCE","WARNING_LOW_CONFIDENCE_SNAPSHOT"),IF(ABS(F58)&lt;=1,"PASS","FAIL_AUTHORITATIVE_SNAPSHOT"))))</f>
        <v/>
      </c>
      <c r="L58" s="52" t="inlineStr">
        <is>
          <t>No inferred transaction permitted from this snapshot.</t>
        </is>
      </c>
    </row>
    <row r="59" ht="32" customHeight="1">
      <c r="A59" s="55" t="n">
        <v>41060</v>
      </c>
      <c r="B59" s="56" t="inlineStr">
        <is>
          <t>31May2012</t>
        </is>
      </c>
      <c r="C59" s="56" t="inlineStr">
        <is>
          <t>Zensar</t>
        </is>
      </c>
      <c r="D59" s="57" t="n">
        <v>231.4814814814815</v>
      </c>
      <c r="E59" s="57" t="n">
        <v>225</v>
      </c>
      <c r="F59" s="57">
        <f>IF(D59="","",D59-E59)</f>
        <v/>
      </c>
      <c r="G59" s="56" t="inlineStr">
        <is>
          <t>SOFT</t>
        </is>
      </c>
      <c r="H59" s="56" t="inlineStr">
        <is>
          <t>LOW</t>
        </is>
      </c>
      <c r="I59" s="56" t="inlineStr">
        <is>
          <t>No</t>
        </is>
      </c>
      <c r="J59" s="52" t="n"/>
      <c r="K59" s="52">
        <f>IF(D59="","NOT_DISPLAYED",IF(G59="OPENING",IF(ABS(F59)&lt;=1,"PASS_WITH_ROUNDING_TOLERANCE","REVIEW_OPENING"),IF(G59="SOFT",IF(ABS(F59)&lt;=1,"PASS_WITH_ROUNDING_TOLERANCE","WARNING_LOW_CONFIDENCE_SNAPSHOT"),IF(ABS(F59)&lt;=1,"PASS","FAIL_AUTHORITATIVE_SNAPSHOT"))))</f>
        <v/>
      </c>
      <c r="L59" s="52" t="inlineStr">
        <is>
          <t>No inferred transaction permitted from this snapshot.</t>
        </is>
      </c>
    </row>
    <row r="60" ht="32" customHeight="1">
      <c r="A60" s="55" t="n">
        <v>41064</v>
      </c>
      <c r="B60" s="56" t="inlineStr">
        <is>
          <t>04Jun12</t>
        </is>
      </c>
      <c r="C60" s="56" t="inlineStr">
        <is>
          <t>Amara Raja</t>
        </is>
      </c>
      <c r="D60" s="57" t="n">
        <v>337.8378378378378</v>
      </c>
      <c r="E60" s="57" t="n">
        <v>490</v>
      </c>
      <c r="F60" s="57">
        <f>IF(D60="","",D60-E60)</f>
        <v/>
      </c>
      <c r="G60" s="56" t="inlineStr">
        <is>
          <t>SOFT</t>
        </is>
      </c>
      <c r="H60" s="56" t="inlineStr">
        <is>
          <t>LOW</t>
        </is>
      </c>
      <c r="I60" s="56" t="inlineStr">
        <is>
          <t>No</t>
        </is>
      </c>
      <c r="J60" s="52" t="n"/>
      <c r="K60" s="52">
        <f>IF(D60="","NOT_DISPLAYED",IF(G60="OPENING",IF(ABS(F60)&lt;=1,"PASS_WITH_ROUNDING_TOLERANCE","REVIEW_OPENING"),IF(G60="SOFT",IF(ABS(F60)&lt;=1,"PASS_WITH_ROUNDING_TOLERANCE","WARNING_LOW_CONFIDENCE_SNAPSHOT"),IF(ABS(F60)&lt;=1,"PASS","FAIL_AUTHORITATIVE_SNAPSHOT"))))</f>
        <v/>
      </c>
      <c r="L60" s="52" t="inlineStr">
        <is>
          <t>No inferred transaction permitted from this snapshot.</t>
        </is>
      </c>
    </row>
    <row r="61" ht="32" customHeight="1">
      <c r="A61" s="55" t="n">
        <v>41064</v>
      </c>
      <c r="B61" s="56" t="inlineStr">
        <is>
          <t>04Jun12</t>
        </is>
      </c>
      <c r="C61" s="56" t="inlineStr">
        <is>
          <t>Ashiana</t>
        </is>
      </c>
      <c r="D61" s="57" t="n">
        <v>402.2988505747126</v>
      </c>
      <c r="E61" s="57" t="n">
        <v>511</v>
      </c>
      <c r="F61" s="57">
        <f>IF(D61="","",D61-E61)</f>
        <v/>
      </c>
      <c r="G61" s="56" t="inlineStr">
        <is>
          <t>SOFT</t>
        </is>
      </c>
      <c r="H61" s="56" t="inlineStr">
        <is>
          <t>LOW</t>
        </is>
      </c>
      <c r="I61" s="56" t="inlineStr">
        <is>
          <t>No</t>
        </is>
      </c>
      <c r="J61" s="52" t="n"/>
      <c r="K61" s="52">
        <f>IF(D61="","NOT_DISPLAYED",IF(G61="OPENING",IF(ABS(F61)&lt;=1,"PASS_WITH_ROUNDING_TOLERANCE","REVIEW_OPENING"),IF(G61="SOFT",IF(ABS(F61)&lt;=1,"PASS_WITH_ROUNDING_TOLERANCE","WARNING_LOW_CONFIDENCE_SNAPSHOT"),IF(ABS(F61)&lt;=1,"PASS","FAIL_AUTHORITATIVE_SNAPSHOT"))))</f>
        <v/>
      </c>
      <c r="L61" s="52" t="inlineStr">
        <is>
          <t>No inferred transaction permitted from this snapshot.</t>
        </is>
      </c>
    </row>
    <row r="62" ht="32" customHeight="1">
      <c r="A62" s="55" t="n">
        <v>41064</v>
      </c>
      <c r="B62" s="56" t="inlineStr">
        <is>
          <t>04Jun12</t>
        </is>
      </c>
      <c r="C62" s="56" t="inlineStr">
        <is>
          <t>BharatForg</t>
        </is>
      </c>
      <c r="D62" s="57" t="n">
        <v>331.1258278145696</v>
      </c>
      <c r="E62" s="57" t="n">
        <v>397</v>
      </c>
      <c r="F62" s="57">
        <f>IF(D62="","",D62-E62)</f>
        <v/>
      </c>
      <c r="G62" s="56" t="inlineStr">
        <is>
          <t>SOFT</t>
        </is>
      </c>
      <c r="H62" s="56" t="inlineStr">
        <is>
          <t>LOW</t>
        </is>
      </c>
      <c r="I62" s="56" t="inlineStr">
        <is>
          <t>No</t>
        </is>
      </c>
      <c r="J62" s="52" t="n"/>
      <c r="K62" s="52">
        <f>IF(D62="","NOT_DISPLAYED",IF(G62="OPENING",IF(ABS(F62)&lt;=1,"PASS_WITH_ROUNDING_TOLERANCE","REVIEW_OPENING"),IF(G62="SOFT",IF(ABS(F62)&lt;=1,"PASS_WITH_ROUNDING_TOLERANCE","WARNING_LOW_CONFIDENCE_SNAPSHOT"),IF(ABS(F62)&lt;=1,"PASS","FAIL_AUTHORITATIVE_SNAPSHOT"))))</f>
        <v/>
      </c>
      <c r="L62" s="52" t="inlineStr">
        <is>
          <t>No inferred transaction permitted from this snapshot.</t>
        </is>
      </c>
    </row>
    <row r="63" ht="32" customHeight="1">
      <c r="A63" s="55" t="n">
        <v>41064</v>
      </c>
      <c r="B63" s="56" t="inlineStr">
        <is>
          <t>04Jun12</t>
        </is>
      </c>
      <c r="C63" s="56" t="inlineStr">
        <is>
          <t>Geometric</t>
        </is>
      </c>
      <c r="D63" s="57" t="n">
        <v>675.6756756756756</v>
      </c>
      <c r="E63" s="57" t="n">
        <v>1250</v>
      </c>
      <c r="F63" s="57">
        <f>IF(D63="","",D63-E63)</f>
        <v/>
      </c>
      <c r="G63" s="56" t="inlineStr">
        <is>
          <t>SOFT</t>
        </is>
      </c>
      <c r="H63" s="56" t="inlineStr">
        <is>
          <t>LOW</t>
        </is>
      </c>
      <c r="I63" s="56" t="inlineStr">
        <is>
          <t>No</t>
        </is>
      </c>
      <c r="J63" s="52" t="n"/>
      <c r="K63" s="52">
        <f>IF(D63="","NOT_DISPLAYED",IF(G63="OPENING",IF(ABS(F63)&lt;=1,"PASS_WITH_ROUNDING_TOLERANCE","REVIEW_OPENING"),IF(G63="SOFT",IF(ABS(F63)&lt;=1,"PASS_WITH_ROUNDING_TOLERANCE","WARNING_LOW_CONFIDENCE_SNAPSHOT"),IF(ABS(F63)&lt;=1,"PASS","FAIL_AUTHORITATIVE_SNAPSHOT"))))</f>
        <v/>
      </c>
      <c r="L63" s="52" t="inlineStr">
        <is>
          <t>No inferred transaction permitted from this snapshot.</t>
        </is>
      </c>
    </row>
    <row r="64" ht="32" customHeight="1">
      <c r="A64" s="55" t="n">
        <v>41064</v>
      </c>
      <c r="B64" s="56" t="inlineStr">
        <is>
          <t>04Jun12</t>
        </is>
      </c>
      <c r="C64" s="56" t="inlineStr">
        <is>
          <t>Havells</t>
        </is>
      </c>
      <c r="D64" s="57" t="n">
        <v>189.0359168241966</v>
      </c>
      <c r="E64" s="57" t="n">
        <v>260</v>
      </c>
      <c r="F64" s="57">
        <f>IF(D64="","",D64-E64)</f>
        <v/>
      </c>
      <c r="G64" s="56" t="inlineStr">
        <is>
          <t>SOFT</t>
        </is>
      </c>
      <c r="H64" s="56" t="inlineStr">
        <is>
          <t>LOW</t>
        </is>
      </c>
      <c r="I64" s="56" t="inlineStr">
        <is>
          <t>No</t>
        </is>
      </c>
      <c r="J64" s="52" t="n"/>
      <c r="K64" s="52">
        <f>IF(D64="","NOT_DISPLAYED",IF(G64="OPENING",IF(ABS(F64)&lt;=1,"PASS_WITH_ROUNDING_TOLERANCE","REVIEW_OPENING"),IF(G64="SOFT",IF(ABS(F64)&lt;=1,"PASS_WITH_ROUNDING_TOLERANCE","WARNING_LOW_CONFIDENCE_SNAPSHOT"),IF(ABS(F64)&lt;=1,"PASS","FAIL_AUTHORITATIVE_SNAPSHOT"))))</f>
        <v/>
      </c>
      <c r="L64" s="52" t="inlineStr">
        <is>
          <t>No inferred transaction permitted from this snapshot.</t>
        </is>
      </c>
    </row>
    <row r="65" ht="32" customHeight="1">
      <c r="A65" s="55" t="n">
        <v>41064</v>
      </c>
      <c r="B65" s="56" t="inlineStr">
        <is>
          <t>04Jun12</t>
        </is>
      </c>
      <c r="C65" s="56" t="inlineStr">
        <is>
          <t>Kaveri</t>
        </is>
      </c>
      <c r="D65" s="57" t="n">
        <v>69.54102920723227</v>
      </c>
      <c r="E65" s="57" t="n">
        <v>111</v>
      </c>
      <c r="F65" s="57">
        <f>IF(D65="","",D65-E65)</f>
        <v/>
      </c>
      <c r="G65" s="56" t="inlineStr">
        <is>
          <t>SOFT</t>
        </is>
      </c>
      <c r="H65" s="56" t="inlineStr">
        <is>
          <t>LOW</t>
        </is>
      </c>
      <c r="I65" s="56" t="inlineStr">
        <is>
          <t>No</t>
        </is>
      </c>
      <c r="J65" s="52" t="inlineStr">
        <is>
          <t>Sell</t>
        </is>
      </c>
      <c r="K65" s="52">
        <f>IF(D65="","NOT_DISPLAYED",IF(G65="OPENING",IF(ABS(F65)&lt;=1,"PASS_WITH_ROUNDING_TOLERANCE","REVIEW_OPENING"),IF(G65="SOFT",IF(ABS(F65)&lt;=1,"PASS_WITH_ROUNDING_TOLERANCE","WARNING_LOW_CONFIDENCE_SNAPSHOT"),IF(ABS(F65)&lt;=1,"PASS","FAIL_AUTHORITATIVE_SNAPSHOT"))))</f>
        <v/>
      </c>
      <c r="L65" s="52" t="inlineStr">
        <is>
          <t>No inferred transaction permitted from this snapshot.</t>
        </is>
      </c>
    </row>
    <row r="66" ht="32" customHeight="1">
      <c r="A66" s="55" t="n">
        <v>41064</v>
      </c>
      <c r="B66" s="56" t="inlineStr">
        <is>
          <t>04Jun12</t>
        </is>
      </c>
      <c r="C66" s="56" t="inlineStr">
        <is>
          <t>NIITTech</t>
        </is>
      </c>
      <c r="D66" s="57" t="n">
        <v>239.7260273972603</v>
      </c>
      <c r="E66" s="57" t="n">
        <v>372</v>
      </c>
      <c r="F66" s="57">
        <f>IF(D66="","",D66-E66)</f>
        <v/>
      </c>
      <c r="G66" s="56" t="inlineStr">
        <is>
          <t>SOFT</t>
        </is>
      </c>
      <c r="H66" s="56" t="inlineStr">
        <is>
          <t>LOW</t>
        </is>
      </c>
      <c r="I66" s="56" t="inlineStr">
        <is>
          <t>No</t>
        </is>
      </c>
      <c r="J66" s="52" t="n"/>
      <c r="K66" s="52">
        <f>IF(D66="","NOT_DISPLAYED",IF(G66="OPENING",IF(ABS(F66)&lt;=1,"PASS_WITH_ROUNDING_TOLERANCE","REVIEW_OPENING"),IF(G66="SOFT",IF(ABS(F66)&lt;=1,"PASS_WITH_ROUNDING_TOLERANCE","WARNING_LOW_CONFIDENCE_SNAPSHOT"),IF(ABS(F66)&lt;=1,"PASS","FAIL_AUTHORITATIVE_SNAPSHOT"))))</f>
        <v/>
      </c>
      <c r="L66" s="52" t="inlineStr">
        <is>
          <t>No inferred transaction permitted from this snapshot.</t>
        </is>
      </c>
    </row>
    <row r="67" ht="32" customHeight="1">
      <c r="A67" s="55" t="n">
        <v>41064</v>
      </c>
      <c r="B67" s="56" t="inlineStr">
        <is>
          <t>04Jun12</t>
        </is>
      </c>
      <c r="C67" s="56" t="inlineStr">
        <is>
          <t>RSSoftware</t>
        </is>
      </c>
      <c r="D67" s="57" t="n">
        <v>704.2253521126761</v>
      </c>
      <c r="E67" s="57" t="n">
        <v>781</v>
      </c>
      <c r="F67" s="57">
        <f>IF(D67="","",D67-E67)</f>
        <v/>
      </c>
      <c r="G67" s="56" t="inlineStr">
        <is>
          <t>SOFT</t>
        </is>
      </c>
      <c r="H67" s="56" t="inlineStr">
        <is>
          <t>LOW</t>
        </is>
      </c>
      <c r="I67" s="56" t="inlineStr">
        <is>
          <t>No</t>
        </is>
      </c>
      <c r="J67" s="52" t="n"/>
      <c r="K67" s="52">
        <f>IF(D67="","NOT_DISPLAYED",IF(G67="OPENING",IF(ABS(F67)&lt;=1,"PASS_WITH_ROUNDING_TOLERANCE","REVIEW_OPENING"),IF(G67="SOFT",IF(ABS(F67)&lt;=1,"PASS_WITH_ROUNDING_TOLERANCE","WARNING_LOW_CONFIDENCE_SNAPSHOT"),IF(ABS(F67)&lt;=1,"PASS","FAIL_AUTHORITATIVE_SNAPSHOT"))))</f>
        <v/>
      </c>
      <c r="L67" s="52" t="inlineStr">
        <is>
          <t>No inferred transaction permitted from this snapshot.</t>
        </is>
      </c>
    </row>
    <row r="68" ht="32" customHeight="1">
      <c r="A68" s="55" t="n">
        <v>41064</v>
      </c>
      <c r="B68" s="56" t="inlineStr">
        <is>
          <t>04Jun12</t>
        </is>
      </c>
      <c r="C68" s="56" t="inlineStr">
        <is>
          <t>SanghviMov</t>
        </is>
      </c>
      <c r="D68" s="57" t="n">
        <v>654.2056074766355</v>
      </c>
      <c r="E68" s="57" t="n">
        <v>805</v>
      </c>
      <c r="F68" s="57">
        <f>IF(D68="","",D68-E68)</f>
        <v/>
      </c>
      <c r="G68" s="56" t="inlineStr">
        <is>
          <t>SOFT</t>
        </is>
      </c>
      <c r="H68" s="56" t="inlineStr">
        <is>
          <t>LOW</t>
        </is>
      </c>
      <c r="I68" s="56" t="inlineStr">
        <is>
          <t>No</t>
        </is>
      </c>
      <c r="J68" s="52" t="n"/>
      <c r="K68" s="52">
        <f>IF(D68="","NOT_DISPLAYED",IF(G68="OPENING",IF(ABS(F68)&lt;=1,"PASS_WITH_ROUNDING_TOLERANCE","REVIEW_OPENING"),IF(G68="SOFT",IF(ABS(F68)&lt;=1,"PASS_WITH_ROUNDING_TOLERANCE","WARNING_LOW_CONFIDENCE_SNAPSHOT"),IF(ABS(F68)&lt;=1,"PASS","FAIL_AUTHORITATIVE_SNAPSHOT"))))</f>
        <v/>
      </c>
      <c r="L68" s="52" t="inlineStr">
        <is>
          <t>No inferred transaction permitted from this snapshot.</t>
        </is>
      </c>
    </row>
    <row r="69" ht="32" customHeight="1">
      <c r="A69" s="55" t="n">
        <v>41064</v>
      </c>
      <c r="B69" s="56" t="inlineStr">
        <is>
          <t>04Jun12</t>
        </is>
      </c>
      <c r="C69" s="56" t="inlineStr">
        <is>
          <t>Vguard</t>
        </is>
      </c>
      <c r="D69" s="57" t="n">
        <v>462.962962962963</v>
      </c>
      <c r="E69" s="57" t="n">
        <v>646</v>
      </c>
      <c r="F69" s="57">
        <f>IF(D69="","",D69-E69)</f>
        <v/>
      </c>
      <c r="G69" s="56" t="inlineStr">
        <is>
          <t>SOFT</t>
        </is>
      </c>
      <c r="H69" s="56" t="inlineStr">
        <is>
          <t>LOW</t>
        </is>
      </c>
      <c r="I69" s="56" t="inlineStr">
        <is>
          <t>No</t>
        </is>
      </c>
      <c r="J69" s="52" t="n"/>
      <c r="K69" s="52">
        <f>IF(D69="","NOT_DISPLAYED",IF(G69="OPENING",IF(ABS(F69)&lt;=1,"PASS_WITH_ROUNDING_TOLERANCE","REVIEW_OPENING"),IF(G69="SOFT",IF(ABS(F69)&lt;=1,"PASS_WITH_ROUNDING_TOLERANCE","WARNING_LOW_CONFIDENCE_SNAPSHOT"),IF(ABS(F69)&lt;=1,"PASS","FAIL_AUTHORITATIVE_SNAPSHOT"))))</f>
        <v/>
      </c>
      <c r="L69" s="52" t="inlineStr">
        <is>
          <t>No inferred transaction permitted from this snapshot.</t>
        </is>
      </c>
    </row>
    <row r="70" ht="16" customHeight="1">
      <c r="A70" s="55" t="n">
        <v>41064</v>
      </c>
      <c r="B70" s="56" t="inlineStr">
        <is>
          <t>04Jun12</t>
        </is>
      </c>
      <c r="C70" s="56" t="inlineStr">
        <is>
          <t>Zensar</t>
        </is>
      </c>
      <c r="D70" s="57" t="n">
        <v>225.2252252252252</v>
      </c>
      <c r="E70" s="57" t="n">
        <v>225</v>
      </c>
      <c r="F70" s="57">
        <f>IF(D70="","",D70-E70)</f>
        <v/>
      </c>
      <c r="G70" s="56" t="inlineStr">
        <is>
          <t>SOFT</t>
        </is>
      </c>
      <c r="H70" s="56" t="inlineStr">
        <is>
          <t>LOW</t>
        </is>
      </c>
      <c r="I70" s="56" t="inlineStr">
        <is>
          <t>No</t>
        </is>
      </c>
      <c r="J70" s="52" t="n"/>
      <c r="K70" s="52">
        <f>IF(D70="","NOT_DISPLAYED",IF(G70="OPENING",IF(ABS(F70)&lt;=1,"PASS_WITH_ROUNDING_TOLERANCE","REVIEW_OPENING"),IF(G70="SOFT",IF(ABS(F70)&lt;=1,"PASS_WITH_ROUNDING_TOLERANCE","WARNING_LOW_CONFIDENCE_SNAPSHOT"),IF(ABS(F70)&lt;=1,"PASS","FAIL_AUTHORITATIVE_SNAPSHOT"))))</f>
        <v/>
      </c>
      <c r="L70" s="52" t="inlineStr">
        <is>
          <t>No inferred transaction permitted from this snapshot.</t>
        </is>
      </c>
    </row>
    <row r="71" ht="32" customHeight="1">
      <c r="A71" s="55" t="n">
        <v>41092</v>
      </c>
      <c r="B71" s="56" t="inlineStr">
        <is>
          <t>02Jul12</t>
        </is>
      </c>
      <c r="C71" s="56" t="inlineStr">
        <is>
          <t>Amara Raja</t>
        </is>
      </c>
      <c r="D71" s="57" t="n">
        <v>331.1258278145696</v>
      </c>
      <c r="E71" s="57" t="n">
        <v>490</v>
      </c>
      <c r="F71" s="57">
        <f>IF(D71="","",D71-E71)</f>
        <v/>
      </c>
      <c r="G71" s="56" t="inlineStr">
        <is>
          <t>SOFT</t>
        </is>
      </c>
      <c r="H71" s="56" t="inlineStr">
        <is>
          <t>LOW</t>
        </is>
      </c>
      <c r="I71" s="56" t="inlineStr">
        <is>
          <t>No</t>
        </is>
      </c>
      <c r="J71" s="52" t="n"/>
      <c r="K71" s="52">
        <f>IF(D71="","NOT_DISPLAYED",IF(G71="OPENING",IF(ABS(F71)&lt;=1,"PASS_WITH_ROUNDING_TOLERANCE","REVIEW_OPENING"),IF(G71="SOFT",IF(ABS(F71)&lt;=1,"PASS_WITH_ROUNDING_TOLERANCE","WARNING_LOW_CONFIDENCE_SNAPSHOT"),IF(ABS(F71)&lt;=1,"PASS","FAIL_AUTHORITATIVE_SNAPSHOT"))))</f>
        <v/>
      </c>
      <c r="L71" s="52" t="inlineStr">
        <is>
          <t>No inferred transaction permitted from this snapshot.</t>
        </is>
      </c>
    </row>
    <row r="72" ht="32" customHeight="1">
      <c r="A72" s="55" t="n">
        <v>41092</v>
      </c>
      <c r="B72" s="56" t="inlineStr">
        <is>
          <t>02Jul12</t>
        </is>
      </c>
      <c r="C72" s="56" t="inlineStr">
        <is>
          <t>Ashiana</t>
        </is>
      </c>
      <c r="D72" s="57" t="n">
        <v>414.2011834319526</v>
      </c>
      <c r="E72" s="57" t="n">
        <v>511</v>
      </c>
      <c r="F72" s="57">
        <f>IF(D72="","",D72-E72)</f>
        <v/>
      </c>
      <c r="G72" s="56" t="inlineStr">
        <is>
          <t>SOFT</t>
        </is>
      </c>
      <c r="H72" s="56" t="inlineStr">
        <is>
          <t>LOW</t>
        </is>
      </c>
      <c r="I72" s="56" t="inlineStr">
        <is>
          <t>No</t>
        </is>
      </c>
      <c r="J72" s="52" t="n"/>
      <c r="K72" s="52">
        <f>IF(D72="","NOT_DISPLAYED",IF(G72="OPENING",IF(ABS(F72)&lt;=1,"PASS_WITH_ROUNDING_TOLERANCE","REVIEW_OPENING"),IF(G72="SOFT",IF(ABS(F72)&lt;=1,"PASS_WITH_ROUNDING_TOLERANCE","WARNING_LOW_CONFIDENCE_SNAPSHOT"),IF(ABS(F72)&lt;=1,"PASS","FAIL_AUTHORITATIVE_SNAPSHOT"))))</f>
        <v/>
      </c>
      <c r="L72" s="52" t="inlineStr">
        <is>
          <t>No inferred transaction permitted from this snapshot.</t>
        </is>
      </c>
    </row>
    <row r="73" ht="32" customHeight="1">
      <c r="A73" s="55" t="n">
        <v>41092</v>
      </c>
      <c r="B73" s="56" t="inlineStr">
        <is>
          <t>02Jul12</t>
        </is>
      </c>
      <c r="C73" s="56" t="inlineStr">
        <is>
          <t>BharatForg</t>
        </is>
      </c>
      <c r="D73" s="57" t="n">
        <v>333.3333333333333</v>
      </c>
      <c r="E73" s="57" t="n">
        <v>397</v>
      </c>
      <c r="F73" s="57">
        <f>IF(D73="","",D73-E73)</f>
        <v/>
      </c>
      <c r="G73" s="56" t="inlineStr">
        <is>
          <t>SOFT</t>
        </is>
      </c>
      <c r="H73" s="56" t="inlineStr">
        <is>
          <t>LOW</t>
        </is>
      </c>
      <c r="I73" s="56" t="inlineStr">
        <is>
          <t>No</t>
        </is>
      </c>
      <c r="J73" s="52" t="n"/>
      <c r="K73" s="52">
        <f>IF(D73="","NOT_DISPLAYED",IF(G73="OPENING",IF(ABS(F73)&lt;=1,"PASS_WITH_ROUNDING_TOLERANCE","REVIEW_OPENING"),IF(G73="SOFT",IF(ABS(F73)&lt;=1,"PASS_WITH_ROUNDING_TOLERANCE","WARNING_LOW_CONFIDENCE_SNAPSHOT"),IF(ABS(F73)&lt;=1,"PASS","FAIL_AUTHORITATIVE_SNAPSHOT"))))</f>
        <v/>
      </c>
      <c r="L73" s="52" t="inlineStr">
        <is>
          <t>No inferred transaction permitted from this snapshot.</t>
        </is>
      </c>
    </row>
    <row r="74" ht="32" customHeight="1">
      <c r="A74" s="55" t="n">
        <v>41092</v>
      </c>
      <c r="B74" s="56" t="inlineStr">
        <is>
          <t>02Jul12</t>
        </is>
      </c>
      <c r="C74" s="56" t="inlineStr">
        <is>
          <t>Geometric</t>
        </is>
      </c>
      <c r="D74" s="57" t="n">
        <v>675.6756756756756</v>
      </c>
      <c r="E74" s="57" t="n">
        <v>1250</v>
      </c>
      <c r="F74" s="57">
        <f>IF(D74="","",D74-E74)</f>
        <v/>
      </c>
      <c r="G74" s="56" t="inlineStr">
        <is>
          <t>SOFT</t>
        </is>
      </c>
      <c r="H74" s="56" t="inlineStr">
        <is>
          <t>LOW</t>
        </is>
      </c>
      <c r="I74" s="56" t="inlineStr">
        <is>
          <t>No</t>
        </is>
      </c>
      <c r="J74" s="52" t="n"/>
      <c r="K74" s="52">
        <f>IF(D74="","NOT_DISPLAYED",IF(G74="OPENING",IF(ABS(F74)&lt;=1,"PASS_WITH_ROUNDING_TOLERANCE","REVIEW_OPENING"),IF(G74="SOFT",IF(ABS(F74)&lt;=1,"PASS_WITH_ROUNDING_TOLERANCE","WARNING_LOW_CONFIDENCE_SNAPSHOT"),IF(ABS(F74)&lt;=1,"PASS","FAIL_AUTHORITATIVE_SNAPSHOT"))))</f>
        <v/>
      </c>
      <c r="L74" s="52" t="inlineStr">
        <is>
          <t>No inferred transaction permitted from this snapshot.</t>
        </is>
      </c>
    </row>
    <row r="75" ht="32" customHeight="1">
      <c r="A75" s="55" t="n">
        <v>41092</v>
      </c>
      <c r="B75" s="56" t="inlineStr">
        <is>
          <t>02Jul12</t>
        </is>
      </c>
      <c r="C75" s="56" t="inlineStr">
        <is>
          <t>Havells</t>
        </is>
      </c>
      <c r="D75" s="57" t="n">
        <v>171.5265866209263</v>
      </c>
      <c r="E75" s="57" t="n">
        <v>260</v>
      </c>
      <c r="F75" s="57">
        <f>IF(D75="","",D75-E75)</f>
        <v/>
      </c>
      <c r="G75" s="56" t="inlineStr">
        <is>
          <t>SOFT</t>
        </is>
      </c>
      <c r="H75" s="56" t="inlineStr">
        <is>
          <t>LOW</t>
        </is>
      </c>
      <c r="I75" s="56" t="inlineStr">
        <is>
          <t>No</t>
        </is>
      </c>
      <c r="J75" s="52" t="n"/>
      <c r="K75" s="52">
        <f>IF(D75="","NOT_DISPLAYED",IF(G75="OPENING",IF(ABS(F75)&lt;=1,"PASS_WITH_ROUNDING_TOLERANCE","REVIEW_OPENING"),IF(G75="SOFT",IF(ABS(F75)&lt;=1,"PASS_WITH_ROUNDING_TOLERANCE","WARNING_LOW_CONFIDENCE_SNAPSHOT"),IF(ABS(F75)&lt;=1,"PASS","FAIL_AUTHORITATIVE_SNAPSHOT"))))</f>
        <v/>
      </c>
      <c r="L75" s="52" t="inlineStr">
        <is>
          <t>No inferred transaction permitted from this snapshot.</t>
        </is>
      </c>
    </row>
    <row r="76" ht="32" customHeight="1">
      <c r="A76" s="55" t="n">
        <v>41092</v>
      </c>
      <c r="B76" s="56" t="inlineStr">
        <is>
          <t>02Jul12</t>
        </is>
      </c>
      <c r="C76" s="56" t="inlineStr">
        <is>
          <t>Kaveri</t>
        </is>
      </c>
      <c r="D76" s="57" t="n">
        <v>61.05006105006105</v>
      </c>
      <c r="E76" s="57" t="n">
        <v>111</v>
      </c>
      <c r="F76" s="57">
        <f>IF(D76="","",D76-E76)</f>
        <v/>
      </c>
      <c r="G76" s="56" t="inlineStr">
        <is>
          <t>SOFT</t>
        </is>
      </c>
      <c r="H76" s="56" t="inlineStr">
        <is>
          <t>LOW</t>
        </is>
      </c>
      <c r="I76" s="56" t="inlineStr">
        <is>
          <t>No</t>
        </is>
      </c>
      <c r="J76" s="52" t="n"/>
      <c r="K76" s="52">
        <f>IF(D76="","NOT_DISPLAYED",IF(G76="OPENING",IF(ABS(F76)&lt;=1,"PASS_WITH_ROUNDING_TOLERANCE","REVIEW_OPENING"),IF(G76="SOFT",IF(ABS(F76)&lt;=1,"PASS_WITH_ROUNDING_TOLERANCE","WARNING_LOW_CONFIDENCE_SNAPSHOT"),IF(ABS(F76)&lt;=1,"PASS","FAIL_AUTHORITATIVE_SNAPSHOT"))))</f>
        <v/>
      </c>
      <c r="L76" s="52" t="inlineStr">
        <is>
          <t>No inferred transaction permitted from this snapshot.</t>
        </is>
      </c>
    </row>
    <row r="77" ht="32" customHeight="1">
      <c r="A77" s="55" t="n">
        <v>41092</v>
      </c>
      <c r="B77" s="56" t="inlineStr">
        <is>
          <t>02Jul12</t>
        </is>
      </c>
      <c r="C77" s="56" t="inlineStr">
        <is>
          <t>NIITTech</t>
        </is>
      </c>
      <c r="D77" s="57" t="n">
        <v>244.7552447552447</v>
      </c>
      <c r="E77" s="57" t="n">
        <v>372</v>
      </c>
      <c r="F77" s="57">
        <f>IF(D77="","",D77-E77)</f>
        <v/>
      </c>
      <c r="G77" s="56" t="inlineStr">
        <is>
          <t>SOFT</t>
        </is>
      </c>
      <c r="H77" s="56" t="inlineStr">
        <is>
          <t>LOW</t>
        </is>
      </c>
      <c r="I77" s="56" t="inlineStr">
        <is>
          <t>No</t>
        </is>
      </c>
      <c r="J77" s="52" t="n"/>
      <c r="K77" s="52">
        <f>IF(D77="","NOT_DISPLAYED",IF(G77="OPENING",IF(ABS(F77)&lt;=1,"PASS_WITH_ROUNDING_TOLERANCE","REVIEW_OPENING"),IF(G77="SOFT",IF(ABS(F77)&lt;=1,"PASS_WITH_ROUNDING_TOLERANCE","WARNING_LOW_CONFIDENCE_SNAPSHOT"),IF(ABS(F77)&lt;=1,"PASS","FAIL_AUTHORITATIVE_SNAPSHOT"))))</f>
        <v/>
      </c>
      <c r="L77" s="52" t="inlineStr">
        <is>
          <t>No inferred transaction permitted from this snapshot.</t>
        </is>
      </c>
    </row>
    <row r="78" ht="32" customHeight="1">
      <c r="A78" s="55" t="n">
        <v>41092</v>
      </c>
      <c r="B78" s="56" t="inlineStr">
        <is>
          <t>02Jul12</t>
        </is>
      </c>
      <c r="C78" s="56" t="inlineStr">
        <is>
          <t>RSSoftware</t>
        </is>
      </c>
      <c r="D78" s="57" t="n">
        <v>588.2352941176471</v>
      </c>
      <c r="E78" s="57" t="n">
        <v>781</v>
      </c>
      <c r="F78" s="57">
        <f>IF(D78="","",D78-E78)</f>
        <v/>
      </c>
      <c r="G78" s="56" t="inlineStr">
        <is>
          <t>SOFT</t>
        </is>
      </c>
      <c r="H78" s="56" t="inlineStr">
        <is>
          <t>LOW</t>
        </is>
      </c>
      <c r="I78" s="56" t="inlineStr">
        <is>
          <t>No</t>
        </is>
      </c>
      <c r="J78" s="52" t="n"/>
      <c r="K78" s="52">
        <f>IF(D78="","NOT_DISPLAYED",IF(G78="OPENING",IF(ABS(F78)&lt;=1,"PASS_WITH_ROUNDING_TOLERANCE","REVIEW_OPENING"),IF(G78="SOFT",IF(ABS(F78)&lt;=1,"PASS_WITH_ROUNDING_TOLERANCE","WARNING_LOW_CONFIDENCE_SNAPSHOT"),IF(ABS(F78)&lt;=1,"PASS","FAIL_AUTHORITATIVE_SNAPSHOT"))))</f>
        <v/>
      </c>
      <c r="L78" s="52" t="inlineStr">
        <is>
          <t>No inferred transaction permitted from this snapshot.</t>
        </is>
      </c>
    </row>
    <row r="79" ht="32" customHeight="1">
      <c r="A79" s="55" t="n">
        <v>41092</v>
      </c>
      <c r="B79" s="56" t="inlineStr">
        <is>
          <t>02Jul12</t>
        </is>
      </c>
      <c r="C79" s="56" t="inlineStr">
        <is>
          <t>SanghviMov</t>
        </is>
      </c>
      <c r="D79" s="57" t="n">
        <v>666.6666666666666</v>
      </c>
      <c r="E79" s="57" t="n">
        <v>805</v>
      </c>
      <c r="F79" s="57">
        <f>IF(D79="","",D79-E79)</f>
        <v/>
      </c>
      <c r="G79" s="56" t="inlineStr">
        <is>
          <t>SOFT</t>
        </is>
      </c>
      <c r="H79" s="56" t="inlineStr">
        <is>
          <t>LOW</t>
        </is>
      </c>
      <c r="I79" s="56" t="inlineStr">
        <is>
          <t>No</t>
        </is>
      </c>
      <c r="J79" s="52" t="n"/>
      <c r="K79" s="52">
        <f>IF(D79="","NOT_DISPLAYED",IF(G79="OPENING",IF(ABS(F79)&lt;=1,"PASS_WITH_ROUNDING_TOLERANCE","REVIEW_OPENING"),IF(G79="SOFT",IF(ABS(F79)&lt;=1,"PASS_WITH_ROUNDING_TOLERANCE","WARNING_LOW_CONFIDENCE_SNAPSHOT"),IF(ABS(F79)&lt;=1,"PASS","FAIL_AUTHORITATIVE_SNAPSHOT"))))</f>
        <v/>
      </c>
      <c r="L79" s="52" t="inlineStr">
        <is>
          <t>No inferred transaction permitted from this snapshot.</t>
        </is>
      </c>
    </row>
    <row r="80" ht="16" customHeight="1">
      <c r="A80" s="55" t="n">
        <v>41092</v>
      </c>
      <c r="B80" s="56" t="inlineStr">
        <is>
          <t>02Jul12</t>
        </is>
      </c>
      <c r="C80" s="56" t="inlineStr">
        <is>
          <t>Technofab</t>
        </is>
      </c>
      <c r="D80" s="57" t="n">
        <v>367.6470588235294</v>
      </c>
      <c r="E80" s="57" t="n">
        <v>368</v>
      </c>
      <c r="F80" s="57">
        <f>IF(D80="","",D80-E80)</f>
        <v/>
      </c>
      <c r="G80" s="56" t="inlineStr">
        <is>
          <t>SOFT</t>
        </is>
      </c>
      <c r="H80" s="56" t="inlineStr">
        <is>
          <t>LOW</t>
        </is>
      </c>
      <c r="I80" s="56" t="inlineStr">
        <is>
          <t>No</t>
        </is>
      </c>
      <c r="J80" s="52" t="inlineStr">
        <is>
          <t>Buy</t>
        </is>
      </c>
      <c r="K80" s="52">
        <f>IF(D80="","NOT_DISPLAYED",IF(G80="OPENING",IF(ABS(F80)&lt;=1,"PASS_WITH_ROUNDING_TOLERANCE","REVIEW_OPENING"),IF(G80="SOFT",IF(ABS(F80)&lt;=1,"PASS_WITH_ROUNDING_TOLERANCE","WARNING_LOW_CONFIDENCE_SNAPSHOT"),IF(ABS(F80)&lt;=1,"PASS","FAIL_AUTHORITATIVE_SNAPSHOT"))))</f>
        <v/>
      </c>
      <c r="L80" s="52" t="inlineStr">
        <is>
          <t>No inferred transaction permitted from this snapshot.</t>
        </is>
      </c>
    </row>
    <row r="81" ht="32" customHeight="1">
      <c r="A81" s="55" t="n">
        <v>41092</v>
      </c>
      <c r="B81" s="56" t="inlineStr">
        <is>
          <t>02Jul12</t>
        </is>
      </c>
      <c r="C81" s="56" t="inlineStr">
        <is>
          <t>Vguard</t>
        </is>
      </c>
      <c r="D81" s="57" t="n">
        <v>429.1845493562232</v>
      </c>
      <c r="E81" s="57" t="n">
        <v>646</v>
      </c>
      <c r="F81" s="57">
        <f>IF(D81="","",D81-E81)</f>
        <v/>
      </c>
      <c r="G81" s="56" t="inlineStr">
        <is>
          <t>SOFT</t>
        </is>
      </c>
      <c r="H81" s="56" t="inlineStr">
        <is>
          <t>LOW</t>
        </is>
      </c>
      <c r="I81" s="56" t="inlineStr">
        <is>
          <t>No</t>
        </is>
      </c>
      <c r="J81" s="52" t="n"/>
      <c r="K81" s="52">
        <f>IF(D81="","NOT_DISPLAYED",IF(G81="OPENING",IF(ABS(F81)&lt;=1,"PASS_WITH_ROUNDING_TOLERANCE","REVIEW_OPENING"),IF(G81="SOFT",IF(ABS(F81)&lt;=1,"PASS_WITH_ROUNDING_TOLERANCE","WARNING_LOW_CONFIDENCE_SNAPSHOT"),IF(ABS(F81)&lt;=1,"PASS","FAIL_AUTHORITATIVE_SNAPSHOT"))))</f>
        <v/>
      </c>
      <c r="L81" s="52" t="inlineStr">
        <is>
          <t>No inferred transaction permitted from this snapshot.</t>
        </is>
      </c>
    </row>
    <row r="82" ht="32" customHeight="1">
      <c r="A82" s="55" t="n">
        <v>41092</v>
      </c>
      <c r="B82" s="56" t="inlineStr">
        <is>
          <t>02Jul12</t>
        </is>
      </c>
      <c r="C82" s="56" t="inlineStr">
        <is>
          <t>Zensar</t>
        </is>
      </c>
      <c r="D82" s="57" t="n">
        <v>192.3076923076923</v>
      </c>
      <c r="E82" s="57" t="n">
        <v>225</v>
      </c>
      <c r="F82" s="57">
        <f>IF(D82="","",D82-E82)</f>
        <v/>
      </c>
      <c r="G82" s="56" t="inlineStr">
        <is>
          <t>SOFT</t>
        </is>
      </c>
      <c r="H82" s="56" t="inlineStr">
        <is>
          <t>LOW</t>
        </is>
      </c>
      <c r="I82" s="56" t="inlineStr">
        <is>
          <t>No</t>
        </is>
      </c>
      <c r="J82" s="52" t="n"/>
      <c r="K82" s="52">
        <f>IF(D82="","NOT_DISPLAYED",IF(G82="OPENING",IF(ABS(F82)&lt;=1,"PASS_WITH_ROUNDING_TOLERANCE","REVIEW_OPENING"),IF(G82="SOFT",IF(ABS(F82)&lt;=1,"PASS_WITH_ROUNDING_TOLERANCE","WARNING_LOW_CONFIDENCE_SNAPSHOT"),IF(ABS(F82)&lt;=1,"PASS","FAIL_AUTHORITATIVE_SNAPSHOT"))))</f>
        <v/>
      </c>
      <c r="L82" s="52" t="inlineStr">
        <is>
          <t>No inferred transaction permitted from this snapshot.</t>
        </is>
      </c>
    </row>
    <row r="83" ht="32" customHeight="1">
      <c r="A83" s="55" t="n">
        <v>41103</v>
      </c>
      <c r="B83" s="56" t="inlineStr">
        <is>
          <t>13Jul12</t>
        </is>
      </c>
      <c r="C83" s="56" t="inlineStr">
        <is>
          <t>Amara Raja</t>
        </is>
      </c>
      <c r="D83" s="57" t="n">
        <v>325.7328990228013</v>
      </c>
      <c r="E83" s="57" t="n">
        <v>490</v>
      </c>
      <c r="F83" s="57">
        <f>IF(D83="","",D83-E83)</f>
        <v/>
      </c>
      <c r="G83" s="56" t="inlineStr">
        <is>
          <t>SOFT</t>
        </is>
      </c>
      <c r="H83" s="56" t="inlineStr">
        <is>
          <t>LOW</t>
        </is>
      </c>
      <c r="I83" s="56" t="inlineStr">
        <is>
          <t>No</t>
        </is>
      </c>
      <c r="J83" s="52" t="n"/>
      <c r="K83" s="52">
        <f>IF(D83="","NOT_DISPLAYED",IF(G83="OPENING",IF(ABS(F83)&lt;=1,"PASS_WITH_ROUNDING_TOLERANCE","REVIEW_OPENING"),IF(G83="SOFT",IF(ABS(F83)&lt;=1,"PASS_WITH_ROUNDING_TOLERANCE","WARNING_LOW_CONFIDENCE_SNAPSHOT"),IF(ABS(F83)&lt;=1,"PASS","FAIL_AUTHORITATIVE_SNAPSHOT"))))</f>
        <v/>
      </c>
      <c r="L83" s="52" t="inlineStr">
        <is>
          <t>No inferred transaction permitted from this snapshot.</t>
        </is>
      </c>
    </row>
    <row r="84" ht="32" customHeight="1">
      <c r="A84" s="55" t="n">
        <v>41103</v>
      </c>
      <c r="B84" s="56" t="inlineStr">
        <is>
          <t>13Jul12</t>
        </is>
      </c>
      <c r="C84" s="56" t="inlineStr">
        <is>
          <t>Ashiana</t>
        </is>
      </c>
      <c r="D84" s="57" t="n">
        <v>393.2584269662921</v>
      </c>
      <c r="E84" s="57" t="n">
        <v>511</v>
      </c>
      <c r="F84" s="57">
        <f>IF(D84="","",D84-E84)</f>
        <v/>
      </c>
      <c r="G84" s="56" t="inlineStr">
        <is>
          <t>SOFT</t>
        </is>
      </c>
      <c r="H84" s="56" t="inlineStr">
        <is>
          <t>LOW</t>
        </is>
      </c>
      <c r="I84" s="56" t="inlineStr">
        <is>
          <t>No</t>
        </is>
      </c>
      <c r="J84" s="52" t="n"/>
      <c r="K84" s="52">
        <f>IF(D84="","NOT_DISPLAYED",IF(G84="OPENING",IF(ABS(F84)&lt;=1,"PASS_WITH_ROUNDING_TOLERANCE","REVIEW_OPENING"),IF(G84="SOFT",IF(ABS(F84)&lt;=1,"PASS_WITH_ROUNDING_TOLERANCE","WARNING_LOW_CONFIDENCE_SNAPSHOT"),IF(ABS(F84)&lt;=1,"PASS","FAIL_AUTHORITATIVE_SNAPSHOT"))))</f>
        <v/>
      </c>
      <c r="L84" s="52" t="inlineStr">
        <is>
          <t>No inferred transaction permitted from this snapshot.</t>
        </is>
      </c>
    </row>
    <row r="85" ht="32" customHeight="1">
      <c r="A85" s="55" t="n">
        <v>41103</v>
      </c>
      <c r="B85" s="56" t="inlineStr">
        <is>
          <t>13Jul12</t>
        </is>
      </c>
      <c r="C85" s="56" t="inlineStr">
        <is>
          <t>BharatForg</t>
        </is>
      </c>
      <c r="D85" s="57" t="n">
        <v>330.0330033003301</v>
      </c>
      <c r="E85" s="57" t="n">
        <v>397</v>
      </c>
      <c r="F85" s="57">
        <f>IF(D85="","",D85-E85)</f>
        <v/>
      </c>
      <c r="G85" s="56" t="inlineStr">
        <is>
          <t>SOFT</t>
        </is>
      </c>
      <c r="H85" s="56" t="inlineStr">
        <is>
          <t>LOW</t>
        </is>
      </c>
      <c r="I85" s="56" t="inlineStr">
        <is>
          <t>No</t>
        </is>
      </c>
      <c r="J85" s="52" t="n"/>
      <c r="K85" s="52">
        <f>IF(D85="","NOT_DISPLAYED",IF(G85="OPENING",IF(ABS(F85)&lt;=1,"PASS_WITH_ROUNDING_TOLERANCE","REVIEW_OPENING"),IF(G85="SOFT",IF(ABS(F85)&lt;=1,"PASS_WITH_ROUNDING_TOLERANCE","WARNING_LOW_CONFIDENCE_SNAPSHOT"),IF(ABS(F85)&lt;=1,"PASS","FAIL_AUTHORITATIVE_SNAPSHOT"))))</f>
        <v/>
      </c>
      <c r="L85" s="52" t="inlineStr">
        <is>
          <t>No inferred transaction permitted from this snapshot.</t>
        </is>
      </c>
    </row>
    <row r="86" ht="32" customHeight="1">
      <c r="A86" s="55" t="n">
        <v>41103</v>
      </c>
      <c r="B86" s="56" t="inlineStr">
        <is>
          <t>13Jul12</t>
        </is>
      </c>
      <c r="C86" s="56" t="inlineStr">
        <is>
          <t>Geometric</t>
        </is>
      </c>
      <c r="D86" s="57" t="n">
        <v>675.6756756756756</v>
      </c>
      <c r="E86" s="57" t="n">
        <v>1250</v>
      </c>
      <c r="F86" s="57">
        <f>IF(D86="","",D86-E86)</f>
        <v/>
      </c>
      <c r="G86" s="56" t="inlineStr">
        <is>
          <t>SOFT</t>
        </is>
      </c>
      <c r="H86" s="56" t="inlineStr">
        <is>
          <t>LOW</t>
        </is>
      </c>
      <c r="I86" s="56" t="inlineStr">
        <is>
          <t>No</t>
        </is>
      </c>
      <c r="J86" s="52" t="n"/>
      <c r="K86" s="52">
        <f>IF(D86="","NOT_DISPLAYED",IF(G86="OPENING",IF(ABS(F86)&lt;=1,"PASS_WITH_ROUNDING_TOLERANCE","REVIEW_OPENING"),IF(G86="SOFT",IF(ABS(F86)&lt;=1,"PASS_WITH_ROUNDING_TOLERANCE","WARNING_LOW_CONFIDENCE_SNAPSHOT"),IF(ABS(F86)&lt;=1,"PASS","FAIL_AUTHORITATIVE_SNAPSHOT"))))</f>
        <v/>
      </c>
      <c r="L86" s="52" t="inlineStr">
        <is>
          <t>No inferred transaction permitted from this snapshot.</t>
        </is>
      </c>
    </row>
    <row r="87" ht="32" customHeight="1">
      <c r="A87" s="55" t="n">
        <v>41103</v>
      </c>
      <c r="B87" s="56" t="inlineStr">
        <is>
          <t>13Jul12</t>
        </is>
      </c>
      <c r="C87" s="56" t="inlineStr">
        <is>
          <t>Havells</t>
        </is>
      </c>
      <c r="D87" s="57" t="n">
        <v>173.3102253032929</v>
      </c>
      <c r="E87" s="57" t="n">
        <v>260</v>
      </c>
      <c r="F87" s="57">
        <f>IF(D87="","",D87-E87)</f>
        <v/>
      </c>
      <c r="G87" s="56" t="inlineStr">
        <is>
          <t>SOFT</t>
        </is>
      </c>
      <c r="H87" s="56" t="inlineStr">
        <is>
          <t>LOW</t>
        </is>
      </c>
      <c r="I87" s="56" t="inlineStr">
        <is>
          <t>No</t>
        </is>
      </c>
      <c r="J87" s="52" t="n"/>
      <c r="K87" s="52">
        <f>IF(D87="","NOT_DISPLAYED",IF(G87="OPENING",IF(ABS(F87)&lt;=1,"PASS_WITH_ROUNDING_TOLERANCE","REVIEW_OPENING"),IF(G87="SOFT",IF(ABS(F87)&lt;=1,"PASS_WITH_ROUNDING_TOLERANCE","WARNING_LOW_CONFIDENCE_SNAPSHOT"),IF(ABS(F87)&lt;=1,"PASS","FAIL_AUTHORITATIVE_SNAPSHOT"))))</f>
        <v/>
      </c>
      <c r="L87" s="52" t="inlineStr">
        <is>
          <t>No inferred transaction permitted from this snapshot.</t>
        </is>
      </c>
    </row>
    <row r="88" ht="32" customHeight="1">
      <c r="A88" s="55" t="n">
        <v>41103</v>
      </c>
      <c r="B88" s="56" t="inlineStr">
        <is>
          <t>13Jul12</t>
        </is>
      </c>
      <c r="C88" s="56" t="inlineStr">
        <is>
          <t>Kaveri</t>
        </is>
      </c>
      <c r="D88" s="57" t="n">
        <v>60.45949214026602</v>
      </c>
      <c r="E88" s="57" t="n">
        <v>111</v>
      </c>
      <c r="F88" s="57">
        <f>IF(D88="","",D88-E88)</f>
        <v/>
      </c>
      <c r="G88" s="56" t="inlineStr">
        <is>
          <t>SOFT</t>
        </is>
      </c>
      <c r="H88" s="56" t="inlineStr">
        <is>
          <t>LOW</t>
        </is>
      </c>
      <c r="I88" s="56" t="inlineStr">
        <is>
          <t>No</t>
        </is>
      </c>
      <c r="J88" s="52" t="n"/>
      <c r="K88" s="52">
        <f>IF(D88="","NOT_DISPLAYED",IF(G88="OPENING",IF(ABS(F88)&lt;=1,"PASS_WITH_ROUNDING_TOLERANCE","REVIEW_OPENING"),IF(G88="SOFT",IF(ABS(F88)&lt;=1,"PASS_WITH_ROUNDING_TOLERANCE","WARNING_LOW_CONFIDENCE_SNAPSHOT"),IF(ABS(F88)&lt;=1,"PASS","FAIL_AUTHORITATIVE_SNAPSHOT"))))</f>
        <v/>
      </c>
      <c r="L88" s="52" t="inlineStr">
        <is>
          <t>No inferred transaction permitted from this snapshot.</t>
        </is>
      </c>
    </row>
    <row r="89" ht="32" customHeight="1">
      <c r="A89" s="55" t="n">
        <v>41103</v>
      </c>
      <c r="B89" s="56" t="inlineStr">
        <is>
          <t>13Jul12</t>
        </is>
      </c>
      <c r="C89" s="56" t="inlineStr">
        <is>
          <t>NIITTech</t>
        </is>
      </c>
      <c r="D89" s="57" t="n">
        <v>247.3498233215548</v>
      </c>
      <c r="E89" s="57" t="n">
        <v>372</v>
      </c>
      <c r="F89" s="57">
        <f>IF(D89="","",D89-E89)</f>
        <v/>
      </c>
      <c r="G89" s="56" t="inlineStr">
        <is>
          <t>SOFT</t>
        </is>
      </c>
      <c r="H89" s="56" t="inlineStr">
        <is>
          <t>LOW</t>
        </is>
      </c>
      <c r="I89" s="56" t="inlineStr">
        <is>
          <t>No</t>
        </is>
      </c>
      <c r="J89" s="52" t="n"/>
      <c r="K89" s="52">
        <f>IF(D89="","NOT_DISPLAYED",IF(G89="OPENING",IF(ABS(F89)&lt;=1,"PASS_WITH_ROUNDING_TOLERANCE","REVIEW_OPENING"),IF(G89="SOFT",IF(ABS(F89)&lt;=1,"PASS_WITH_ROUNDING_TOLERANCE","WARNING_LOW_CONFIDENCE_SNAPSHOT"),IF(ABS(F89)&lt;=1,"PASS","FAIL_AUTHORITATIVE_SNAPSHOT"))))</f>
        <v/>
      </c>
      <c r="L89" s="52" t="inlineStr">
        <is>
          <t>No inferred transaction permitted from this snapshot.</t>
        </is>
      </c>
    </row>
    <row r="90" ht="32" customHeight="1">
      <c r="A90" s="55" t="n">
        <v>41103</v>
      </c>
      <c r="B90" s="56" t="inlineStr">
        <is>
          <t>13Jul12</t>
        </is>
      </c>
      <c r="C90" s="56" t="inlineStr">
        <is>
          <t>RSSoftware</t>
        </is>
      </c>
      <c r="D90" s="57" t="n">
        <v>813.953488372093</v>
      </c>
      <c r="E90" s="57" t="n">
        <v>1093</v>
      </c>
      <c r="F90" s="57">
        <f>IF(D90="","",D90-E90)</f>
        <v/>
      </c>
      <c r="G90" s="56" t="inlineStr">
        <is>
          <t>SOFT</t>
        </is>
      </c>
      <c r="H90" s="56" t="inlineStr">
        <is>
          <t>LOW</t>
        </is>
      </c>
      <c r="I90" s="56" t="inlineStr">
        <is>
          <t>No</t>
        </is>
      </c>
      <c r="J90" s="52" t="inlineStr">
        <is>
          <t>Buy</t>
        </is>
      </c>
      <c r="K90" s="52">
        <f>IF(D90="","NOT_DISPLAYED",IF(G90="OPENING",IF(ABS(F90)&lt;=1,"PASS_WITH_ROUNDING_TOLERANCE","REVIEW_OPENING"),IF(G90="SOFT",IF(ABS(F90)&lt;=1,"PASS_WITH_ROUNDING_TOLERANCE","WARNING_LOW_CONFIDENCE_SNAPSHOT"),IF(ABS(F90)&lt;=1,"PASS","FAIL_AUTHORITATIVE_SNAPSHOT"))))</f>
        <v/>
      </c>
      <c r="L90" s="52" t="inlineStr">
        <is>
          <t>No inferred transaction permitted from this snapshot.</t>
        </is>
      </c>
    </row>
    <row r="91" ht="32" customHeight="1">
      <c r="A91" s="55" t="n">
        <v>41103</v>
      </c>
      <c r="B91" s="56" t="inlineStr">
        <is>
          <t>13Jul12</t>
        </is>
      </c>
      <c r="C91" s="56" t="inlineStr">
        <is>
          <t>SanghviMov</t>
        </is>
      </c>
      <c r="D91" s="57" t="n">
        <v>679.6116504854369</v>
      </c>
      <c r="E91" s="57" t="n">
        <v>805</v>
      </c>
      <c r="F91" s="57">
        <f>IF(D91="","",D91-E91)</f>
        <v/>
      </c>
      <c r="G91" s="56" t="inlineStr">
        <is>
          <t>SOFT</t>
        </is>
      </c>
      <c r="H91" s="56" t="inlineStr">
        <is>
          <t>LOW</t>
        </is>
      </c>
      <c r="I91" s="56" t="inlineStr">
        <is>
          <t>No</t>
        </is>
      </c>
      <c r="J91" s="52" t="n"/>
      <c r="K91" s="52">
        <f>IF(D91="","NOT_DISPLAYED",IF(G91="OPENING",IF(ABS(F91)&lt;=1,"PASS_WITH_ROUNDING_TOLERANCE","REVIEW_OPENING"),IF(G91="SOFT",IF(ABS(F91)&lt;=1,"PASS_WITH_ROUNDING_TOLERANCE","WARNING_LOW_CONFIDENCE_SNAPSHOT"),IF(ABS(F91)&lt;=1,"PASS","FAIL_AUTHORITATIVE_SNAPSHOT"))))</f>
        <v/>
      </c>
      <c r="L91" s="52" t="inlineStr">
        <is>
          <t>No inferred transaction permitted from this snapshot.</t>
        </is>
      </c>
    </row>
    <row r="92" ht="32" customHeight="1">
      <c r="A92" s="55" t="n">
        <v>41103</v>
      </c>
      <c r="B92" s="56" t="inlineStr">
        <is>
          <t>13Jul12</t>
        </is>
      </c>
      <c r="C92" s="56" t="inlineStr">
        <is>
          <t>Technofab</t>
        </is>
      </c>
      <c r="D92" s="57" t="n">
        <v>347.2222222222222</v>
      </c>
      <c r="E92" s="57" t="n">
        <v>368</v>
      </c>
      <c r="F92" s="57">
        <f>IF(D92="","",D92-E92)</f>
        <v/>
      </c>
      <c r="G92" s="56" t="inlineStr">
        <is>
          <t>SOFT</t>
        </is>
      </c>
      <c r="H92" s="56" t="inlineStr">
        <is>
          <t>LOW</t>
        </is>
      </c>
      <c r="I92" s="56" t="inlineStr">
        <is>
          <t>No</t>
        </is>
      </c>
      <c r="J92" s="52" t="n"/>
      <c r="K92" s="52">
        <f>IF(D92="","NOT_DISPLAYED",IF(G92="OPENING",IF(ABS(F92)&lt;=1,"PASS_WITH_ROUNDING_TOLERANCE","REVIEW_OPENING"),IF(G92="SOFT",IF(ABS(F92)&lt;=1,"PASS_WITH_ROUNDING_TOLERANCE","WARNING_LOW_CONFIDENCE_SNAPSHOT"),IF(ABS(F92)&lt;=1,"PASS","FAIL_AUTHORITATIVE_SNAPSHOT"))))</f>
        <v/>
      </c>
      <c r="L92" s="52" t="inlineStr">
        <is>
          <t>No inferred transaction permitted from this snapshot.</t>
        </is>
      </c>
    </row>
    <row r="93" ht="32" customHeight="1">
      <c r="A93" s="55" t="n">
        <v>41103</v>
      </c>
      <c r="B93" s="56" t="inlineStr">
        <is>
          <t>13Jul12</t>
        </is>
      </c>
      <c r="C93" s="56" t="inlineStr">
        <is>
          <t>Vguard</t>
        </is>
      </c>
      <c r="D93" s="57" t="n">
        <v>322.5806451612903</v>
      </c>
      <c r="E93" s="57" t="n">
        <v>646</v>
      </c>
      <c r="F93" s="57">
        <f>IF(D93="","",D93-E93)</f>
        <v/>
      </c>
      <c r="G93" s="56" t="inlineStr">
        <is>
          <t>SOFT</t>
        </is>
      </c>
      <c r="H93" s="56" t="inlineStr">
        <is>
          <t>LOW</t>
        </is>
      </c>
      <c r="I93" s="56" t="inlineStr">
        <is>
          <t>No</t>
        </is>
      </c>
      <c r="J93" s="52" t="n"/>
      <c r="K93" s="52">
        <f>IF(D93="","NOT_DISPLAYED",IF(G93="OPENING",IF(ABS(F93)&lt;=1,"PASS_WITH_ROUNDING_TOLERANCE","REVIEW_OPENING"),IF(G93="SOFT",IF(ABS(F93)&lt;=1,"PASS_WITH_ROUNDING_TOLERANCE","WARNING_LOW_CONFIDENCE_SNAPSHOT"),IF(ABS(F93)&lt;=1,"PASS","FAIL_AUTHORITATIVE_SNAPSHOT"))))</f>
        <v/>
      </c>
      <c r="L93" s="52" t="inlineStr">
        <is>
          <t>No inferred transaction permitted from this snapshot.</t>
        </is>
      </c>
    </row>
    <row r="94" ht="32" customHeight="1">
      <c r="A94" s="55" t="n">
        <v>41103</v>
      </c>
      <c r="B94" s="56" t="inlineStr">
        <is>
          <t>13Jul12</t>
        </is>
      </c>
      <c r="C94" s="56" t="inlineStr">
        <is>
          <t>Zensar</t>
        </is>
      </c>
      <c r="D94" s="57" t="n">
        <v>192.3076923076923</v>
      </c>
      <c r="E94" s="57" t="n">
        <v>225</v>
      </c>
      <c r="F94" s="57">
        <f>IF(D94="","",D94-E94)</f>
        <v/>
      </c>
      <c r="G94" s="56" t="inlineStr">
        <is>
          <t>SOFT</t>
        </is>
      </c>
      <c r="H94" s="56" t="inlineStr">
        <is>
          <t>LOW</t>
        </is>
      </c>
      <c r="I94" s="56" t="inlineStr">
        <is>
          <t>No</t>
        </is>
      </c>
      <c r="J94" s="52" t="n"/>
      <c r="K94" s="52">
        <f>IF(D94="","NOT_DISPLAYED",IF(G94="OPENING",IF(ABS(F94)&lt;=1,"PASS_WITH_ROUNDING_TOLERANCE","REVIEW_OPENING"),IF(G94="SOFT",IF(ABS(F94)&lt;=1,"PASS_WITH_ROUNDING_TOLERANCE","WARNING_LOW_CONFIDENCE_SNAPSHOT"),IF(ABS(F94)&lt;=1,"PASS","FAIL_AUTHORITATIVE_SNAPSHOT"))))</f>
        <v/>
      </c>
      <c r="L94" s="52" t="inlineStr">
        <is>
          <t>No inferred transaction permitted from this snapshot.</t>
        </is>
      </c>
    </row>
    <row r="95" ht="32" customHeight="1">
      <c r="A95" s="55" t="n">
        <v>41107</v>
      </c>
      <c r="B95" s="56" t="inlineStr">
        <is>
          <t>17Jul12</t>
        </is>
      </c>
      <c r="C95" s="56" t="inlineStr">
        <is>
          <t>Amara Raja</t>
        </is>
      </c>
      <c r="D95" s="57" t="n">
        <v>328.9473684210527</v>
      </c>
      <c r="E95" s="57" t="n">
        <v>490</v>
      </c>
      <c r="F95" s="57">
        <f>IF(D95="","",D95-E95)</f>
        <v/>
      </c>
      <c r="G95" s="56" t="inlineStr">
        <is>
          <t>SOFT</t>
        </is>
      </c>
      <c r="H95" s="56" t="inlineStr">
        <is>
          <t>LOW</t>
        </is>
      </c>
      <c r="I95" s="56" t="inlineStr">
        <is>
          <t>No</t>
        </is>
      </c>
      <c r="J95" s="52" t="n"/>
      <c r="K95" s="52">
        <f>IF(D95="","NOT_DISPLAYED",IF(G95="OPENING",IF(ABS(F95)&lt;=1,"PASS_WITH_ROUNDING_TOLERANCE","REVIEW_OPENING"),IF(G95="SOFT",IF(ABS(F95)&lt;=1,"PASS_WITH_ROUNDING_TOLERANCE","WARNING_LOW_CONFIDENCE_SNAPSHOT"),IF(ABS(F95)&lt;=1,"PASS","FAIL_AUTHORITATIVE_SNAPSHOT"))))</f>
        <v/>
      </c>
      <c r="L95" s="52" t="inlineStr">
        <is>
          <t>No inferred transaction permitted from this snapshot.</t>
        </is>
      </c>
    </row>
    <row r="96" ht="32" customHeight="1">
      <c r="A96" s="55" t="n">
        <v>41107</v>
      </c>
      <c r="B96" s="56" t="inlineStr">
        <is>
          <t>17Jul12</t>
        </is>
      </c>
      <c r="C96" s="56" t="inlineStr">
        <is>
          <t>Ashiana</t>
        </is>
      </c>
      <c r="D96" s="57" t="n">
        <v>416.6666666666667</v>
      </c>
      <c r="E96" s="57" t="n">
        <v>511</v>
      </c>
      <c r="F96" s="57">
        <f>IF(D96="","",D96-E96)</f>
        <v/>
      </c>
      <c r="G96" s="56" t="inlineStr">
        <is>
          <t>SOFT</t>
        </is>
      </c>
      <c r="H96" s="56" t="inlineStr">
        <is>
          <t>LOW</t>
        </is>
      </c>
      <c r="I96" s="56" t="inlineStr">
        <is>
          <t>No</t>
        </is>
      </c>
      <c r="J96" s="52" t="n"/>
      <c r="K96" s="52">
        <f>IF(D96="","NOT_DISPLAYED",IF(G96="OPENING",IF(ABS(F96)&lt;=1,"PASS_WITH_ROUNDING_TOLERANCE","REVIEW_OPENING"),IF(G96="SOFT",IF(ABS(F96)&lt;=1,"PASS_WITH_ROUNDING_TOLERANCE","WARNING_LOW_CONFIDENCE_SNAPSHOT"),IF(ABS(F96)&lt;=1,"PASS","FAIL_AUTHORITATIVE_SNAPSHOT"))))</f>
        <v/>
      </c>
      <c r="L96" s="52" t="inlineStr">
        <is>
          <t>No inferred transaction permitted from this snapshot.</t>
        </is>
      </c>
    </row>
    <row r="97" ht="32" customHeight="1">
      <c r="A97" s="55" t="n">
        <v>41107</v>
      </c>
      <c r="B97" s="56" t="inlineStr">
        <is>
          <t>17Jul12</t>
        </is>
      </c>
      <c r="C97" s="56" t="inlineStr">
        <is>
          <t>BharatForg</t>
        </is>
      </c>
      <c r="D97" s="57" t="n">
        <v>331.1258278145696</v>
      </c>
      <c r="E97" s="57" t="n">
        <v>397</v>
      </c>
      <c r="F97" s="57">
        <f>IF(D97="","",D97-E97)</f>
        <v/>
      </c>
      <c r="G97" s="56" t="inlineStr">
        <is>
          <t>SOFT</t>
        </is>
      </c>
      <c r="H97" s="56" t="inlineStr">
        <is>
          <t>LOW</t>
        </is>
      </c>
      <c r="I97" s="56" t="inlineStr">
        <is>
          <t>No</t>
        </is>
      </c>
      <c r="J97" s="52" t="n"/>
      <c r="K97" s="52">
        <f>IF(D97="","NOT_DISPLAYED",IF(G97="OPENING",IF(ABS(F97)&lt;=1,"PASS_WITH_ROUNDING_TOLERANCE","REVIEW_OPENING"),IF(G97="SOFT",IF(ABS(F97)&lt;=1,"PASS_WITH_ROUNDING_TOLERANCE","WARNING_LOW_CONFIDENCE_SNAPSHOT"),IF(ABS(F97)&lt;=1,"PASS","FAIL_AUTHORITATIVE_SNAPSHOT"))))</f>
        <v/>
      </c>
      <c r="L97" s="52" t="inlineStr">
        <is>
          <t>No inferred transaction permitted from this snapshot.</t>
        </is>
      </c>
    </row>
    <row r="98" ht="32" customHeight="1">
      <c r="A98" s="55" t="n">
        <v>41107</v>
      </c>
      <c r="B98" s="56" t="inlineStr">
        <is>
          <t>17Jul12</t>
        </is>
      </c>
      <c r="C98" s="56" t="inlineStr">
        <is>
          <t>Geometric</t>
        </is>
      </c>
      <c r="D98" s="57" t="n">
        <v>704.2253521126761</v>
      </c>
      <c r="E98" s="57" t="n">
        <v>1250</v>
      </c>
      <c r="F98" s="57">
        <f>IF(D98="","",D98-E98)</f>
        <v/>
      </c>
      <c r="G98" s="56" t="inlineStr">
        <is>
          <t>SOFT</t>
        </is>
      </c>
      <c r="H98" s="56" t="inlineStr">
        <is>
          <t>LOW</t>
        </is>
      </c>
      <c r="I98" s="56" t="inlineStr">
        <is>
          <t>No</t>
        </is>
      </c>
      <c r="J98" s="52" t="n"/>
      <c r="K98" s="52">
        <f>IF(D98="","NOT_DISPLAYED",IF(G98="OPENING",IF(ABS(F98)&lt;=1,"PASS_WITH_ROUNDING_TOLERANCE","REVIEW_OPENING"),IF(G98="SOFT",IF(ABS(F98)&lt;=1,"PASS_WITH_ROUNDING_TOLERANCE","WARNING_LOW_CONFIDENCE_SNAPSHOT"),IF(ABS(F98)&lt;=1,"PASS","FAIL_AUTHORITATIVE_SNAPSHOT"))))</f>
        <v/>
      </c>
      <c r="L98" s="52" t="inlineStr">
        <is>
          <t>No inferred transaction permitted from this snapshot.</t>
        </is>
      </c>
    </row>
    <row r="99" ht="32" customHeight="1">
      <c r="A99" s="55" t="n">
        <v>41107</v>
      </c>
      <c r="B99" s="56" t="inlineStr">
        <is>
          <t>17Jul12</t>
        </is>
      </c>
      <c r="C99" s="56" t="inlineStr">
        <is>
          <t>Havells</t>
        </is>
      </c>
      <c r="D99" s="57" t="n">
        <v>170.9401709401709</v>
      </c>
      <c r="E99" s="57" t="n">
        <v>260</v>
      </c>
      <c r="F99" s="57">
        <f>IF(D99="","",D99-E99)</f>
        <v/>
      </c>
      <c r="G99" s="56" t="inlineStr">
        <is>
          <t>SOFT</t>
        </is>
      </c>
      <c r="H99" s="56" t="inlineStr">
        <is>
          <t>LOW</t>
        </is>
      </c>
      <c r="I99" s="56" t="inlineStr">
        <is>
          <t>No</t>
        </is>
      </c>
      <c r="J99" s="52" t="n"/>
      <c r="K99" s="52">
        <f>IF(D99="","NOT_DISPLAYED",IF(G99="OPENING",IF(ABS(F99)&lt;=1,"PASS_WITH_ROUNDING_TOLERANCE","REVIEW_OPENING"),IF(G99="SOFT",IF(ABS(F99)&lt;=1,"PASS_WITH_ROUNDING_TOLERANCE","WARNING_LOW_CONFIDENCE_SNAPSHOT"),IF(ABS(F99)&lt;=1,"PASS","FAIL_AUTHORITATIVE_SNAPSHOT"))))</f>
        <v/>
      </c>
      <c r="L99" s="52" t="inlineStr">
        <is>
          <t>No inferred transaction permitted from this snapshot.</t>
        </is>
      </c>
    </row>
    <row r="100" ht="32" customHeight="1">
      <c r="A100" s="55" t="n">
        <v>41107</v>
      </c>
      <c r="B100" s="56" t="inlineStr">
        <is>
          <t>17Jul12</t>
        </is>
      </c>
      <c r="C100" s="56" t="inlineStr">
        <is>
          <t>Kaveri</t>
        </is>
      </c>
      <c r="D100" s="57" t="n">
        <v>65.1890482398957</v>
      </c>
      <c r="E100" s="57" t="n">
        <v>111</v>
      </c>
      <c r="F100" s="57">
        <f>IF(D100="","",D100-E100)</f>
        <v/>
      </c>
      <c r="G100" s="56" t="inlineStr">
        <is>
          <t>SOFT</t>
        </is>
      </c>
      <c r="H100" s="56" t="inlineStr">
        <is>
          <t>LOW</t>
        </is>
      </c>
      <c r="I100" s="56" t="inlineStr">
        <is>
          <t>No</t>
        </is>
      </c>
      <c r="J100" s="52" t="n"/>
      <c r="K100" s="52">
        <f>IF(D100="","NOT_DISPLAYED",IF(G100="OPENING",IF(ABS(F100)&lt;=1,"PASS_WITH_ROUNDING_TOLERANCE","REVIEW_OPENING"),IF(G100="SOFT",IF(ABS(F100)&lt;=1,"PASS_WITH_ROUNDING_TOLERANCE","WARNING_LOW_CONFIDENCE_SNAPSHOT"),IF(ABS(F100)&lt;=1,"PASS","FAIL_AUTHORITATIVE_SNAPSHOT"))))</f>
        <v/>
      </c>
      <c r="L100" s="52" t="inlineStr">
        <is>
          <t>No inferred transaction permitted from this snapshot.</t>
        </is>
      </c>
    </row>
    <row r="101" ht="32" customHeight="1">
      <c r="A101" s="55" t="n">
        <v>41107</v>
      </c>
      <c r="B101" s="56" t="inlineStr">
        <is>
          <t>17Jul12</t>
        </is>
      </c>
      <c r="C101" s="56" t="inlineStr">
        <is>
          <t>NIITTech</t>
        </is>
      </c>
      <c r="D101" s="57" t="n">
        <v>250.8960573476703</v>
      </c>
      <c r="E101" s="57" t="n">
        <v>372</v>
      </c>
      <c r="F101" s="57">
        <f>IF(D101="","",D101-E101)</f>
        <v/>
      </c>
      <c r="G101" s="56" t="inlineStr">
        <is>
          <t>SOFT</t>
        </is>
      </c>
      <c r="H101" s="56" t="inlineStr">
        <is>
          <t>LOW</t>
        </is>
      </c>
      <c r="I101" s="56" t="inlineStr">
        <is>
          <t>No</t>
        </is>
      </c>
      <c r="J101" s="52" t="n"/>
      <c r="K101" s="52">
        <f>IF(D101="","NOT_DISPLAYED",IF(G101="OPENING",IF(ABS(F101)&lt;=1,"PASS_WITH_ROUNDING_TOLERANCE","REVIEW_OPENING"),IF(G101="SOFT",IF(ABS(F101)&lt;=1,"PASS_WITH_ROUNDING_TOLERANCE","WARNING_LOW_CONFIDENCE_SNAPSHOT"),IF(ABS(F101)&lt;=1,"PASS","FAIL_AUTHORITATIVE_SNAPSHOT"))))</f>
        <v/>
      </c>
      <c r="L101" s="52" t="inlineStr">
        <is>
          <t>No inferred transaction permitted from this snapshot.</t>
        </is>
      </c>
    </row>
    <row r="102" ht="32" customHeight="1">
      <c r="A102" s="55" t="n">
        <v>41107</v>
      </c>
      <c r="B102" s="56" t="inlineStr">
        <is>
          <t>17Jul12</t>
        </is>
      </c>
      <c r="C102" s="56" t="inlineStr">
        <is>
          <t>RSSoftware</t>
        </is>
      </c>
      <c r="D102" s="57" t="n">
        <v>660.3773584905661</v>
      </c>
      <c r="E102" s="57" t="n">
        <v>1093</v>
      </c>
      <c r="F102" s="57">
        <f>IF(D102="","",D102-E102)</f>
        <v/>
      </c>
      <c r="G102" s="56" t="inlineStr">
        <is>
          <t>SOFT</t>
        </is>
      </c>
      <c r="H102" s="56" t="inlineStr">
        <is>
          <t>LOW</t>
        </is>
      </c>
      <c r="I102" s="56" t="inlineStr">
        <is>
          <t>No</t>
        </is>
      </c>
      <c r="J102" s="52" t="n"/>
      <c r="K102" s="52">
        <f>IF(D102="","NOT_DISPLAYED",IF(G102="OPENING",IF(ABS(F102)&lt;=1,"PASS_WITH_ROUNDING_TOLERANCE","REVIEW_OPENING"),IF(G102="SOFT",IF(ABS(F102)&lt;=1,"PASS_WITH_ROUNDING_TOLERANCE","WARNING_LOW_CONFIDENCE_SNAPSHOT"),IF(ABS(F102)&lt;=1,"PASS","FAIL_AUTHORITATIVE_SNAPSHOT"))))</f>
        <v/>
      </c>
      <c r="L102" s="52" t="inlineStr">
        <is>
          <t>No inferred transaction permitted from this snapshot.</t>
        </is>
      </c>
    </row>
    <row r="103" ht="32" customHeight="1">
      <c r="A103" s="55" t="n">
        <v>41107</v>
      </c>
      <c r="B103" s="56" t="inlineStr">
        <is>
          <t>17Jul12</t>
        </is>
      </c>
      <c r="C103" s="56" t="inlineStr">
        <is>
          <t>SanghviMov</t>
        </is>
      </c>
      <c r="D103" s="57" t="n">
        <v>300</v>
      </c>
      <c r="E103" s="57" t="n">
        <v>345</v>
      </c>
      <c r="F103" s="57">
        <f>IF(D103="","",D103-E103)</f>
        <v/>
      </c>
      <c r="G103" s="56" t="inlineStr">
        <is>
          <t>SOFT</t>
        </is>
      </c>
      <c r="H103" s="56" t="inlineStr">
        <is>
          <t>LOW</t>
        </is>
      </c>
      <c r="I103" s="56" t="inlineStr">
        <is>
          <t>No</t>
        </is>
      </c>
      <c r="J103" s="52" t="inlineStr">
        <is>
          <t>Sell</t>
        </is>
      </c>
      <c r="K103" s="52">
        <f>IF(D103="","NOT_DISPLAYED",IF(G103="OPENING",IF(ABS(F103)&lt;=1,"PASS_WITH_ROUNDING_TOLERANCE","REVIEW_OPENING"),IF(G103="SOFT",IF(ABS(F103)&lt;=1,"PASS_WITH_ROUNDING_TOLERANCE","WARNING_LOW_CONFIDENCE_SNAPSHOT"),IF(ABS(F103)&lt;=1,"PASS","FAIL_AUTHORITATIVE_SNAPSHOT"))))</f>
        <v/>
      </c>
      <c r="L103" s="52" t="inlineStr">
        <is>
          <t>No inferred transaction permitted from this snapshot.</t>
        </is>
      </c>
    </row>
    <row r="104" ht="32" customHeight="1">
      <c r="A104" s="55" t="n">
        <v>41107</v>
      </c>
      <c r="B104" s="56" t="inlineStr">
        <is>
          <t>17Jul12</t>
        </is>
      </c>
      <c r="C104" s="56" t="inlineStr">
        <is>
          <t>Technofab</t>
        </is>
      </c>
      <c r="D104" s="57" t="n">
        <v>357.1428571428572</v>
      </c>
      <c r="E104" s="57" t="n">
        <v>368</v>
      </c>
      <c r="F104" s="57">
        <f>IF(D104="","",D104-E104)</f>
        <v/>
      </c>
      <c r="G104" s="56" t="inlineStr">
        <is>
          <t>SOFT</t>
        </is>
      </c>
      <c r="H104" s="56" t="inlineStr">
        <is>
          <t>LOW</t>
        </is>
      </c>
      <c r="I104" s="56" t="inlineStr">
        <is>
          <t>No</t>
        </is>
      </c>
      <c r="J104" s="52" t="n"/>
      <c r="K104" s="52">
        <f>IF(D104="","NOT_DISPLAYED",IF(G104="OPENING",IF(ABS(F104)&lt;=1,"PASS_WITH_ROUNDING_TOLERANCE","REVIEW_OPENING"),IF(G104="SOFT",IF(ABS(F104)&lt;=1,"PASS_WITH_ROUNDING_TOLERANCE","WARNING_LOW_CONFIDENCE_SNAPSHOT"),IF(ABS(F104)&lt;=1,"PASS","FAIL_AUTHORITATIVE_SNAPSHOT"))))</f>
        <v/>
      </c>
      <c r="L104" s="52" t="inlineStr">
        <is>
          <t>No inferred transaction permitted from this snapshot.</t>
        </is>
      </c>
    </row>
    <row r="105" ht="32" customHeight="1">
      <c r="A105" s="55" t="n">
        <v>41107</v>
      </c>
      <c r="B105" s="56" t="inlineStr">
        <is>
          <t>17Jul12</t>
        </is>
      </c>
      <c r="C105" s="56" t="inlineStr">
        <is>
          <t>Vguard</t>
        </is>
      </c>
      <c r="D105" s="57" t="n">
        <v>324.6753246753247</v>
      </c>
      <c r="E105" s="57" t="n">
        <v>646</v>
      </c>
      <c r="F105" s="57">
        <f>IF(D105="","",D105-E105)</f>
        <v/>
      </c>
      <c r="G105" s="56" t="inlineStr">
        <is>
          <t>SOFT</t>
        </is>
      </c>
      <c r="H105" s="56" t="inlineStr">
        <is>
          <t>LOW</t>
        </is>
      </c>
      <c r="I105" s="56" t="inlineStr">
        <is>
          <t>No</t>
        </is>
      </c>
      <c r="J105" s="52" t="n"/>
      <c r="K105" s="52">
        <f>IF(D105="","NOT_DISPLAYED",IF(G105="OPENING",IF(ABS(F105)&lt;=1,"PASS_WITH_ROUNDING_TOLERANCE","REVIEW_OPENING"),IF(G105="SOFT",IF(ABS(F105)&lt;=1,"PASS_WITH_ROUNDING_TOLERANCE","WARNING_LOW_CONFIDENCE_SNAPSHOT"),IF(ABS(F105)&lt;=1,"PASS","FAIL_AUTHORITATIVE_SNAPSHOT"))))</f>
        <v/>
      </c>
      <c r="L105" s="52" t="inlineStr">
        <is>
          <t>No inferred transaction permitted from this snapshot.</t>
        </is>
      </c>
    </row>
    <row r="106" ht="32" customHeight="1">
      <c r="A106" s="55" t="n">
        <v>41107</v>
      </c>
      <c r="B106" s="56" t="inlineStr">
        <is>
          <t>17Jul12</t>
        </is>
      </c>
      <c r="C106" s="56" t="inlineStr">
        <is>
          <t>Zensar</t>
        </is>
      </c>
      <c r="D106" s="57" t="n">
        <v>195.3125</v>
      </c>
      <c r="E106" s="57" t="n">
        <v>225</v>
      </c>
      <c r="F106" s="57">
        <f>IF(D106="","",D106-E106)</f>
        <v/>
      </c>
      <c r="G106" s="56" t="inlineStr">
        <is>
          <t>SOFT</t>
        </is>
      </c>
      <c r="H106" s="56" t="inlineStr">
        <is>
          <t>LOW</t>
        </is>
      </c>
      <c r="I106" s="56" t="inlineStr">
        <is>
          <t>No</t>
        </is>
      </c>
      <c r="J106" s="52" t="n"/>
      <c r="K106" s="52">
        <f>IF(D106="","NOT_DISPLAYED",IF(G106="OPENING",IF(ABS(F106)&lt;=1,"PASS_WITH_ROUNDING_TOLERANCE","REVIEW_OPENING"),IF(G106="SOFT",IF(ABS(F106)&lt;=1,"PASS_WITH_ROUNDING_TOLERANCE","WARNING_LOW_CONFIDENCE_SNAPSHOT"),IF(ABS(F106)&lt;=1,"PASS","FAIL_AUTHORITATIVE_SNAPSHOT"))))</f>
        <v/>
      </c>
      <c r="L106" s="52" t="inlineStr">
        <is>
          <t>No inferred transaction permitted from this snapshot.</t>
        </is>
      </c>
    </row>
    <row r="107" ht="32" customHeight="1">
      <c r="A107" s="55" t="n">
        <v>41114</v>
      </c>
      <c r="B107" s="56" t="inlineStr">
        <is>
          <t>24Jul12</t>
        </is>
      </c>
      <c r="C107" s="56" t="inlineStr">
        <is>
          <t>Amara Raja</t>
        </is>
      </c>
      <c r="D107" s="57" t="n">
        <v>334.448160535117</v>
      </c>
      <c r="E107" s="57" t="n">
        <v>490</v>
      </c>
      <c r="F107" s="57">
        <f>IF(D107="","",D107-E107)</f>
        <v/>
      </c>
      <c r="G107" s="56" t="inlineStr">
        <is>
          <t>SOFT</t>
        </is>
      </c>
      <c r="H107" s="56" t="inlineStr">
        <is>
          <t>LOW</t>
        </is>
      </c>
      <c r="I107" s="56" t="inlineStr">
        <is>
          <t>No</t>
        </is>
      </c>
      <c r="J107" s="52" t="n"/>
      <c r="K107" s="52">
        <f>IF(D107="","NOT_DISPLAYED",IF(G107="OPENING",IF(ABS(F107)&lt;=1,"PASS_WITH_ROUNDING_TOLERANCE","REVIEW_OPENING"),IF(G107="SOFT",IF(ABS(F107)&lt;=1,"PASS_WITH_ROUNDING_TOLERANCE","WARNING_LOW_CONFIDENCE_SNAPSHOT"),IF(ABS(F107)&lt;=1,"PASS","FAIL_AUTHORITATIVE_SNAPSHOT"))))</f>
        <v/>
      </c>
      <c r="L107" s="52" t="inlineStr">
        <is>
          <t>No inferred transaction permitted from this snapshot.</t>
        </is>
      </c>
    </row>
    <row r="108" ht="32" customHeight="1">
      <c r="A108" s="55" t="n">
        <v>41114</v>
      </c>
      <c r="B108" s="56" t="inlineStr">
        <is>
          <t>24Jul12</t>
        </is>
      </c>
      <c r="C108" s="56" t="inlineStr">
        <is>
          <t>Ashiana</t>
        </is>
      </c>
      <c r="D108" s="57" t="n">
        <v>402.2988505747126</v>
      </c>
      <c r="E108" s="57" t="n">
        <v>511</v>
      </c>
      <c r="F108" s="57">
        <f>IF(D108="","",D108-E108)</f>
        <v/>
      </c>
      <c r="G108" s="56" t="inlineStr">
        <is>
          <t>SOFT</t>
        </is>
      </c>
      <c r="H108" s="56" t="inlineStr">
        <is>
          <t>LOW</t>
        </is>
      </c>
      <c r="I108" s="56" t="inlineStr">
        <is>
          <t>No</t>
        </is>
      </c>
      <c r="J108" s="52" t="n"/>
      <c r="K108" s="52">
        <f>IF(D108="","NOT_DISPLAYED",IF(G108="OPENING",IF(ABS(F108)&lt;=1,"PASS_WITH_ROUNDING_TOLERANCE","REVIEW_OPENING"),IF(G108="SOFT",IF(ABS(F108)&lt;=1,"PASS_WITH_ROUNDING_TOLERANCE","WARNING_LOW_CONFIDENCE_SNAPSHOT"),IF(ABS(F108)&lt;=1,"PASS","FAIL_AUTHORITATIVE_SNAPSHOT"))))</f>
        <v/>
      </c>
      <c r="L108" s="52" t="inlineStr">
        <is>
          <t>No inferred transaction permitted from this snapshot.</t>
        </is>
      </c>
    </row>
    <row r="109" ht="32" customHeight="1">
      <c r="A109" s="55" t="n">
        <v>41114</v>
      </c>
      <c r="B109" s="56" t="inlineStr">
        <is>
          <t>24Jul12</t>
        </is>
      </c>
      <c r="C109" s="56" t="inlineStr">
        <is>
          <t>BharatForg</t>
        </is>
      </c>
      <c r="D109" s="57" t="n">
        <v>341.296928327645</v>
      </c>
      <c r="E109" s="57" t="n">
        <v>397</v>
      </c>
      <c r="F109" s="57">
        <f>IF(D109="","",D109-E109)</f>
        <v/>
      </c>
      <c r="G109" s="56" t="inlineStr">
        <is>
          <t>SOFT</t>
        </is>
      </c>
      <c r="H109" s="56" t="inlineStr">
        <is>
          <t>LOW</t>
        </is>
      </c>
      <c r="I109" s="56" t="inlineStr">
        <is>
          <t>No</t>
        </is>
      </c>
      <c r="J109" s="52" t="n"/>
      <c r="K109" s="52">
        <f>IF(D109="","NOT_DISPLAYED",IF(G109="OPENING",IF(ABS(F109)&lt;=1,"PASS_WITH_ROUNDING_TOLERANCE","REVIEW_OPENING"),IF(G109="SOFT",IF(ABS(F109)&lt;=1,"PASS_WITH_ROUNDING_TOLERANCE","WARNING_LOW_CONFIDENCE_SNAPSHOT"),IF(ABS(F109)&lt;=1,"PASS","FAIL_AUTHORITATIVE_SNAPSHOT"))))</f>
        <v/>
      </c>
      <c r="L109" s="52" t="inlineStr">
        <is>
          <t>No inferred transaction permitted from this snapshot.</t>
        </is>
      </c>
    </row>
    <row r="110" ht="32" customHeight="1">
      <c r="A110" s="55" t="n">
        <v>41114</v>
      </c>
      <c r="B110" s="56" t="inlineStr">
        <is>
          <t>24Jul12</t>
        </is>
      </c>
      <c r="C110" s="56" t="inlineStr">
        <is>
          <t>Geometric</t>
        </is>
      </c>
      <c r="D110" s="57" t="n">
        <v>886.0759493670886</v>
      </c>
      <c r="E110" s="57" t="n">
        <v>1250</v>
      </c>
      <c r="F110" s="57">
        <f>IF(D110="","",D110-E110)</f>
        <v/>
      </c>
      <c r="G110" s="56" t="inlineStr">
        <is>
          <t>SOFT</t>
        </is>
      </c>
      <c r="H110" s="56" t="inlineStr">
        <is>
          <t>LOW</t>
        </is>
      </c>
      <c r="I110" s="56" t="inlineStr">
        <is>
          <t>No</t>
        </is>
      </c>
      <c r="J110" s="52" t="n"/>
      <c r="K110" s="52">
        <f>IF(D110="","NOT_DISPLAYED",IF(G110="OPENING",IF(ABS(F110)&lt;=1,"PASS_WITH_ROUNDING_TOLERANCE","REVIEW_OPENING"),IF(G110="SOFT",IF(ABS(F110)&lt;=1,"PASS_WITH_ROUNDING_TOLERANCE","WARNING_LOW_CONFIDENCE_SNAPSHOT"),IF(ABS(F110)&lt;=1,"PASS","FAIL_AUTHORITATIVE_SNAPSHOT"))))</f>
        <v/>
      </c>
      <c r="L110" s="52" t="inlineStr">
        <is>
          <t>No inferred transaction permitted from this snapshot.</t>
        </is>
      </c>
    </row>
    <row r="111" ht="32" customHeight="1">
      <c r="A111" s="55" t="n">
        <v>41114</v>
      </c>
      <c r="B111" s="56" t="inlineStr">
        <is>
          <t>24Jul12</t>
        </is>
      </c>
      <c r="C111" s="56" t="inlineStr">
        <is>
          <t>Havells</t>
        </is>
      </c>
      <c r="D111" s="57" t="n">
        <v>165.8374792703151</v>
      </c>
      <c r="E111" s="57" t="n">
        <v>260</v>
      </c>
      <c r="F111" s="57">
        <f>IF(D111="","",D111-E111)</f>
        <v/>
      </c>
      <c r="G111" s="56" t="inlineStr">
        <is>
          <t>SOFT</t>
        </is>
      </c>
      <c r="H111" s="56" t="inlineStr">
        <is>
          <t>LOW</t>
        </is>
      </c>
      <c r="I111" s="56" t="inlineStr">
        <is>
          <t>No</t>
        </is>
      </c>
      <c r="J111" s="52" t="n"/>
      <c r="K111" s="52">
        <f>IF(D111="","NOT_DISPLAYED",IF(G111="OPENING",IF(ABS(F111)&lt;=1,"PASS_WITH_ROUNDING_TOLERANCE","REVIEW_OPENING"),IF(G111="SOFT",IF(ABS(F111)&lt;=1,"PASS_WITH_ROUNDING_TOLERANCE","WARNING_LOW_CONFIDENCE_SNAPSHOT"),IF(ABS(F111)&lt;=1,"PASS","FAIL_AUTHORITATIVE_SNAPSHOT"))))</f>
        <v/>
      </c>
      <c r="L111" s="52" t="inlineStr">
        <is>
          <t>No inferred transaction permitted from this snapshot.</t>
        </is>
      </c>
    </row>
    <row r="112" ht="32" customHeight="1">
      <c r="A112" s="55" t="n">
        <v>41114</v>
      </c>
      <c r="B112" s="56" t="inlineStr">
        <is>
          <t>24Jul12</t>
        </is>
      </c>
      <c r="C112" s="56" t="inlineStr">
        <is>
          <t>Kaveri</t>
        </is>
      </c>
      <c r="D112" s="57" t="n">
        <v>65.87615283267458</v>
      </c>
      <c r="E112" s="57" t="n">
        <v>111</v>
      </c>
      <c r="F112" s="57">
        <f>IF(D112="","",D112-E112)</f>
        <v/>
      </c>
      <c r="G112" s="56" t="inlineStr">
        <is>
          <t>SOFT</t>
        </is>
      </c>
      <c r="H112" s="56" t="inlineStr">
        <is>
          <t>LOW</t>
        </is>
      </c>
      <c r="I112" s="56" t="inlineStr">
        <is>
          <t>No</t>
        </is>
      </c>
      <c r="J112" s="52" t="n"/>
      <c r="K112" s="52">
        <f>IF(D112="","NOT_DISPLAYED",IF(G112="OPENING",IF(ABS(F112)&lt;=1,"PASS_WITH_ROUNDING_TOLERANCE","REVIEW_OPENING"),IF(G112="SOFT",IF(ABS(F112)&lt;=1,"PASS_WITH_ROUNDING_TOLERANCE","WARNING_LOW_CONFIDENCE_SNAPSHOT"),IF(ABS(F112)&lt;=1,"PASS","FAIL_AUTHORITATIVE_SNAPSHOT"))))</f>
        <v/>
      </c>
      <c r="L112" s="52" t="inlineStr">
        <is>
          <t>No inferred transaction permitted from this snapshot.</t>
        </is>
      </c>
    </row>
    <row r="113" ht="32" customHeight="1">
      <c r="A113" s="55" t="n">
        <v>41114</v>
      </c>
      <c r="B113" s="56" t="inlineStr">
        <is>
          <t>24Jul12</t>
        </is>
      </c>
      <c r="C113" s="56" t="inlineStr">
        <is>
          <t>NIITTech</t>
        </is>
      </c>
      <c r="D113" s="57" t="n">
        <v>243.9024390243902</v>
      </c>
      <c r="E113" s="57" t="n">
        <v>372</v>
      </c>
      <c r="F113" s="57">
        <f>IF(D113="","",D113-E113)</f>
        <v/>
      </c>
      <c r="G113" s="56" t="inlineStr">
        <is>
          <t>SOFT</t>
        </is>
      </c>
      <c r="H113" s="56" t="inlineStr">
        <is>
          <t>LOW</t>
        </is>
      </c>
      <c r="I113" s="56" t="inlineStr">
        <is>
          <t>No</t>
        </is>
      </c>
      <c r="J113" s="52" t="n"/>
      <c r="K113" s="52">
        <f>IF(D113="","NOT_DISPLAYED",IF(G113="OPENING",IF(ABS(F113)&lt;=1,"PASS_WITH_ROUNDING_TOLERANCE","REVIEW_OPENING"),IF(G113="SOFT",IF(ABS(F113)&lt;=1,"PASS_WITH_ROUNDING_TOLERANCE","WARNING_LOW_CONFIDENCE_SNAPSHOT"),IF(ABS(F113)&lt;=1,"PASS","FAIL_AUTHORITATIVE_SNAPSHOT"))))</f>
        <v/>
      </c>
      <c r="L113" s="52" t="inlineStr">
        <is>
          <t>No inferred transaction permitted from this snapshot.</t>
        </is>
      </c>
    </row>
    <row r="114" ht="32" customHeight="1">
      <c r="A114" s="55" t="n">
        <v>41114</v>
      </c>
      <c r="B114" s="56" t="inlineStr">
        <is>
          <t>24Jul12</t>
        </is>
      </c>
      <c r="C114" s="56" t="inlineStr">
        <is>
          <t>RSSoftware</t>
        </is>
      </c>
      <c r="D114" s="57" t="n">
        <v>608.695652173913</v>
      </c>
      <c r="E114" s="57" t="n">
        <v>1093</v>
      </c>
      <c r="F114" s="57">
        <f>IF(D114="","",D114-E114)</f>
        <v/>
      </c>
      <c r="G114" s="56" t="inlineStr">
        <is>
          <t>SOFT</t>
        </is>
      </c>
      <c r="H114" s="56" t="inlineStr">
        <is>
          <t>LOW</t>
        </is>
      </c>
      <c r="I114" s="56" t="inlineStr">
        <is>
          <t>No</t>
        </is>
      </c>
      <c r="J114" s="52" t="n"/>
      <c r="K114" s="52">
        <f>IF(D114="","NOT_DISPLAYED",IF(G114="OPENING",IF(ABS(F114)&lt;=1,"PASS_WITH_ROUNDING_TOLERANCE","REVIEW_OPENING"),IF(G114="SOFT",IF(ABS(F114)&lt;=1,"PASS_WITH_ROUNDING_TOLERANCE","WARNING_LOW_CONFIDENCE_SNAPSHOT"),IF(ABS(F114)&lt;=1,"PASS","FAIL_AUTHORITATIVE_SNAPSHOT"))))</f>
        <v/>
      </c>
      <c r="L114" s="52" t="inlineStr">
        <is>
          <t>No inferred transaction permitted from this snapshot.</t>
        </is>
      </c>
    </row>
    <row r="115" ht="32" customHeight="1">
      <c r="A115" s="55" t="n">
        <v>41114</v>
      </c>
      <c r="B115" s="56" t="inlineStr">
        <is>
          <t>24Jul12</t>
        </is>
      </c>
      <c r="C115" s="56" t="inlineStr">
        <is>
          <t>SanghviMov</t>
        </is>
      </c>
      <c r="D115" s="57" t="n">
        <v>312.5</v>
      </c>
      <c r="E115" s="57" t="n">
        <v>345</v>
      </c>
      <c r="F115" s="57">
        <f>IF(D115="","",D115-E115)</f>
        <v/>
      </c>
      <c r="G115" s="56" t="inlineStr">
        <is>
          <t>SOFT</t>
        </is>
      </c>
      <c r="H115" s="56" t="inlineStr">
        <is>
          <t>LOW</t>
        </is>
      </c>
      <c r="I115" s="56" t="inlineStr">
        <is>
          <t>No</t>
        </is>
      </c>
      <c r="J115" s="52" t="n"/>
      <c r="K115" s="52">
        <f>IF(D115="","NOT_DISPLAYED",IF(G115="OPENING",IF(ABS(F115)&lt;=1,"PASS_WITH_ROUNDING_TOLERANCE","REVIEW_OPENING"),IF(G115="SOFT",IF(ABS(F115)&lt;=1,"PASS_WITH_ROUNDING_TOLERANCE","WARNING_LOW_CONFIDENCE_SNAPSHOT"),IF(ABS(F115)&lt;=1,"PASS","FAIL_AUTHORITATIVE_SNAPSHOT"))))</f>
        <v/>
      </c>
      <c r="L115" s="52" t="inlineStr">
        <is>
          <t>No inferred transaction permitted from this snapshot.</t>
        </is>
      </c>
    </row>
    <row r="116" ht="32" customHeight="1">
      <c r="A116" s="55" t="n">
        <v>41114</v>
      </c>
      <c r="B116" s="56" t="inlineStr">
        <is>
          <t>24Jul12</t>
        </is>
      </c>
      <c r="C116" s="56" t="inlineStr">
        <is>
          <t>Technofab</t>
        </is>
      </c>
      <c r="D116" s="57" t="n">
        <v>375.9398496240602</v>
      </c>
      <c r="E116" s="57" t="n">
        <v>368</v>
      </c>
      <c r="F116" s="57">
        <f>IF(D116="","",D116-E116)</f>
        <v/>
      </c>
      <c r="G116" s="56" t="inlineStr">
        <is>
          <t>SOFT</t>
        </is>
      </c>
      <c r="H116" s="56" t="inlineStr">
        <is>
          <t>LOW</t>
        </is>
      </c>
      <c r="I116" s="56" t="inlineStr">
        <is>
          <t>No</t>
        </is>
      </c>
      <c r="J116" s="52" t="n"/>
      <c r="K116" s="52">
        <f>IF(D116="","NOT_DISPLAYED",IF(G116="OPENING",IF(ABS(F116)&lt;=1,"PASS_WITH_ROUNDING_TOLERANCE","REVIEW_OPENING"),IF(G116="SOFT",IF(ABS(F116)&lt;=1,"PASS_WITH_ROUNDING_TOLERANCE","WARNING_LOW_CONFIDENCE_SNAPSHOT"),IF(ABS(F116)&lt;=1,"PASS","FAIL_AUTHORITATIVE_SNAPSHOT"))))</f>
        <v/>
      </c>
      <c r="L116" s="52" t="inlineStr">
        <is>
          <t>No inferred transaction permitted from this snapshot.</t>
        </is>
      </c>
    </row>
    <row r="117" ht="32" customHeight="1">
      <c r="A117" s="55" t="n">
        <v>41114</v>
      </c>
      <c r="B117" s="56" t="inlineStr">
        <is>
          <t>24Jul12</t>
        </is>
      </c>
      <c r="C117" s="56" t="inlineStr">
        <is>
          <t>Vguard</t>
        </is>
      </c>
      <c r="D117" s="57" t="n">
        <v>338.9830508474576</v>
      </c>
      <c r="E117" s="57" t="n">
        <v>646</v>
      </c>
      <c r="F117" s="57">
        <f>IF(D117="","",D117-E117)</f>
        <v/>
      </c>
      <c r="G117" s="56" t="inlineStr">
        <is>
          <t>SOFT</t>
        </is>
      </c>
      <c r="H117" s="56" t="inlineStr">
        <is>
          <t>LOW</t>
        </is>
      </c>
      <c r="I117" s="56" t="inlineStr">
        <is>
          <t>No</t>
        </is>
      </c>
      <c r="J117" s="52" t="n"/>
      <c r="K117" s="52">
        <f>IF(D117="","NOT_DISPLAYED",IF(G117="OPENING",IF(ABS(F117)&lt;=1,"PASS_WITH_ROUNDING_TOLERANCE","REVIEW_OPENING"),IF(G117="SOFT",IF(ABS(F117)&lt;=1,"PASS_WITH_ROUNDING_TOLERANCE","WARNING_LOW_CONFIDENCE_SNAPSHOT"),IF(ABS(F117)&lt;=1,"PASS","FAIL_AUTHORITATIVE_SNAPSHOT"))))</f>
        <v/>
      </c>
      <c r="L117" s="52" t="inlineStr">
        <is>
          <t>No inferred transaction permitted from this snapshot.</t>
        </is>
      </c>
    </row>
    <row r="118" ht="32" customHeight="1">
      <c r="A118" s="55" t="n">
        <v>41114</v>
      </c>
      <c r="B118" s="56" t="inlineStr">
        <is>
          <t>24Jul12</t>
        </is>
      </c>
      <c r="C118" s="56" t="inlineStr">
        <is>
          <t>Zensar</t>
        </is>
      </c>
      <c r="D118" s="57" t="n">
        <v>186.5671641791045</v>
      </c>
      <c r="E118" s="57" t="n">
        <v>225</v>
      </c>
      <c r="F118" s="57">
        <f>IF(D118="","",D118-E118)</f>
        <v/>
      </c>
      <c r="G118" s="56" t="inlineStr">
        <is>
          <t>SOFT</t>
        </is>
      </c>
      <c r="H118" s="56" t="inlineStr">
        <is>
          <t>LOW</t>
        </is>
      </c>
      <c r="I118" s="56" t="inlineStr">
        <is>
          <t>No</t>
        </is>
      </c>
      <c r="J118" s="52" t="n"/>
      <c r="K118" s="52">
        <f>IF(D118="","NOT_DISPLAYED",IF(G118="OPENING",IF(ABS(F118)&lt;=1,"PASS_WITH_ROUNDING_TOLERANCE","REVIEW_OPENING"),IF(G118="SOFT",IF(ABS(F118)&lt;=1,"PASS_WITH_ROUNDING_TOLERANCE","WARNING_LOW_CONFIDENCE_SNAPSHOT"),IF(ABS(F118)&lt;=1,"PASS","FAIL_AUTHORITATIVE_SNAPSHOT"))))</f>
        <v/>
      </c>
      <c r="L118" s="52" t="inlineStr">
        <is>
          <t>No inferred transaction permitted from this snapshot.</t>
        </is>
      </c>
    </row>
    <row r="119" ht="32" customHeight="1">
      <c r="A119" s="55" t="n">
        <v>41128</v>
      </c>
      <c r="B119" s="56" t="inlineStr">
        <is>
          <t>07Aug12</t>
        </is>
      </c>
      <c r="C119" s="56" t="inlineStr">
        <is>
          <t>Amara Raja</t>
        </is>
      </c>
      <c r="D119" s="57" t="n">
        <v>322.5806451612903</v>
      </c>
      <c r="E119" s="57" t="n">
        <v>490</v>
      </c>
      <c r="F119" s="57">
        <f>IF(D119="","",D119-E119)</f>
        <v/>
      </c>
      <c r="G119" s="56" t="inlineStr">
        <is>
          <t>SOFT</t>
        </is>
      </c>
      <c r="H119" s="56" t="inlineStr">
        <is>
          <t>LOW</t>
        </is>
      </c>
      <c r="I119" s="56" t="inlineStr">
        <is>
          <t>No</t>
        </is>
      </c>
      <c r="J119" s="52" t="n"/>
      <c r="K119" s="52">
        <f>IF(D119="","NOT_DISPLAYED",IF(G119="OPENING",IF(ABS(F119)&lt;=1,"PASS_WITH_ROUNDING_TOLERANCE","REVIEW_OPENING"),IF(G119="SOFT",IF(ABS(F119)&lt;=1,"PASS_WITH_ROUNDING_TOLERANCE","WARNING_LOW_CONFIDENCE_SNAPSHOT"),IF(ABS(F119)&lt;=1,"PASS","FAIL_AUTHORITATIVE_SNAPSHOT"))))</f>
        <v/>
      </c>
      <c r="L119" s="52" t="inlineStr">
        <is>
          <t>No inferred transaction permitted from this snapshot.</t>
        </is>
      </c>
    </row>
    <row r="120" ht="32" customHeight="1">
      <c r="A120" s="55" t="n">
        <v>41128</v>
      </c>
      <c r="B120" s="56" t="inlineStr">
        <is>
          <t>07Aug12</t>
        </is>
      </c>
      <c r="C120" s="56" t="inlineStr">
        <is>
          <t>Ashiana</t>
        </is>
      </c>
      <c r="D120" s="57" t="n">
        <v>443.0379746835443</v>
      </c>
      <c r="E120" s="57" t="n">
        <v>511</v>
      </c>
      <c r="F120" s="57">
        <f>IF(D120="","",D120-E120)</f>
        <v/>
      </c>
      <c r="G120" s="56" t="inlineStr">
        <is>
          <t>SOFT</t>
        </is>
      </c>
      <c r="H120" s="56" t="inlineStr">
        <is>
          <t>LOW</t>
        </is>
      </c>
      <c r="I120" s="56" t="inlineStr">
        <is>
          <t>No</t>
        </is>
      </c>
      <c r="J120" s="52" t="n"/>
      <c r="K120" s="52">
        <f>IF(D120="","NOT_DISPLAYED",IF(G120="OPENING",IF(ABS(F120)&lt;=1,"PASS_WITH_ROUNDING_TOLERANCE","REVIEW_OPENING"),IF(G120="SOFT",IF(ABS(F120)&lt;=1,"PASS_WITH_ROUNDING_TOLERANCE","WARNING_LOW_CONFIDENCE_SNAPSHOT"),IF(ABS(F120)&lt;=1,"PASS","FAIL_AUTHORITATIVE_SNAPSHOT"))))</f>
        <v/>
      </c>
      <c r="L120" s="52" t="inlineStr">
        <is>
          <t>No inferred transaction permitted from this snapshot.</t>
        </is>
      </c>
    </row>
    <row r="121" ht="32" customHeight="1">
      <c r="A121" s="55" t="n">
        <v>41128</v>
      </c>
      <c r="B121" s="56" t="inlineStr">
        <is>
          <t>07Aug12</t>
        </is>
      </c>
      <c r="C121" s="56" t="inlineStr">
        <is>
          <t>BharatForg</t>
        </is>
      </c>
      <c r="D121" s="57" t="n">
        <v>333.3333333333333</v>
      </c>
      <c r="E121" s="57" t="n">
        <v>397</v>
      </c>
      <c r="F121" s="57">
        <f>IF(D121="","",D121-E121)</f>
        <v/>
      </c>
      <c r="G121" s="56" t="inlineStr">
        <is>
          <t>SOFT</t>
        </is>
      </c>
      <c r="H121" s="56" t="inlineStr">
        <is>
          <t>LOW</t>
        </is>
      </c>
      <c r="I121" s="56" t="inlineStr">
        <is>
          <t>No</t>
        </is>
      </c>
      <c r="J121" s="52" t="n"/>
      <c r="K121" s="52">
        <f>IF(D121="","NOT_DISPLAYED",IF(G121="OPENING",IF(ABS(F121)&lt;=1,"PASS_WITH_ROUNDING_TOLERANCE","REVIEW_OPENING"),IF(G121="SOFT",IF(ABS(F121)&lt;=1,"PASS_WITH_ROUNDING_TOLERANCE","WARNING_LOW_CONFIDENCE_SNAPSHOT"),IF(ABS(F121)&lt;=1,"PASS","FAIL_AUTHORITATIVE_SNAPSHOT"))))</f>
        <v/>
      </c>
      <c r="L121" s="52" t="inlineStr">
        <is>
          <t>No inferred transaction permitted from this snapshot.</t>
        </is>
      </c>
    </row>
    <row r="122" ht="32" customHeight="1">
      <c r="A122" s="55" t="n">
        <v>41128</v>
      </c>
      <c r="B122" s="56" t="inlineStr">
        <is>
          <t>07Aug12</t>
        </is>
      </c>
      <c r="C122" s="56" t="inlineStr">
        <is>
          <t>Geometric</t>
        </is>
      </c>
      <c r="D122" s="57" t="n">
        <v>752.6881720430108</v>
      </c>
      <c r="E122" s="57" t="n">
        <v>1250</v>
      </c>
      <c r="F122" s="57">
        <f>IF(D122="","",D122-E122)</f>
        <v/>
      </c>
      <c r="G122" s="56" t="inlineStr">
        <is>
          <t>SOFT</t>
        </is>
      </c>
      <c r="H122" s="56" t="inlineStr">
        <is>
          <t>LOW</t>
        </is>
      </c>
      <c r="I122" s="56" t="inlineStr">
        <is>
          <t>No</t>
        </is>
      </c>
      <c r="J122" s="52" t="n"/>
      <c r="K122" s="52">
        <f>IF(D122="","NOT_DISPLAYED",IF(G122="OPENING",IF(ABS(F122)&lt;=1,"PASS_WITH_ROUNDING_TOLERANCE","REVIEW_OPENING"),IF(G122="SOFT",IF(ABS(F122)&lt;=1,"PASS_WITH_ROUNDING_TOLERANCE","WARNING_LOW_CONFIDENCE_SNAPSHOT"),IF(ABS(F122)&lt;=1,"PASS","FAIL_AUTHORITATIVE_SNAPSHOT"))))</f>
        <v/>
      </c>
      <c r="L122" s="52" t="inlineStr">
        <is>
          <t>No inferred transaction permitted from this snapshot.</t>
        </is>
      </c>
    </row>
    <row r="123" ht="32" customHeight="1">
      <c r="A123" s="55" t="n">
        <v>41128</v>
      </c>
      <c r="B123" s="56" t="inlineStr">
        <is>
          <t>07Aug12</t>
        </is>
      </c>
      <c r="C123" s="56" t="inlineStr">
        <is>
          <t>Havells</t>
        </is>
      </c>
      <c r="D123" s="57" t="n">
        <v>183.4862385321101</v>
      </c>
      <c r="E123" s="57" t="n">
        <v>260</v>
      </c>
      <c r="F123" s="57">
        <f>IF(D123="","",D123-E123)</f>
        <v/>
      </c>
      <c r="G123" s="56" t="inlineStr">
        <is>
          <t>SOFT</t>
        </is>
      </c>
      <c r="H123" s="56" t="inlineStr">
        <is>
          <t>LOW</t>
        </is>
      </c>
      <c r="I123" s="56" t="inlineStr">
        <is>
          <t>No</t>
        </is>
      </c>
      <c r="J123" s="52" t="n"/>
      <c r="K123" s="52">
        <f>IF(D123="","NOT_DISPLAYED",IF(G123="OPENING",IF(ABS(F123)&lt;=1,"PASS_WITH_ROUNDING_TOLERANCE","REVIEW_OPENING"),IF(G123="SOFT",IF(ABS(F123)&lt;=1,"PASS_WITH_ROUNDING_TOLERANCE","WARNING_LOW_CONFIDENCE_SNAPSHOT"),IF(ABS(F123)&lt;=1,"PASS","FAIL_AUTHORITATIVE_SNAPSHOT"))))</f>
        <v/>
      </c>
      <c r="L123" s="52" t="inlineStr">
        <is>
          <t>No inferred transaction permitted from this snapshot.</t>
        </is>
      </c>
    </row>
    <row r="124" ht="32" customHeight="1">
      <c r="A124" s="55" t="n">
        <v>41128</v>
      </c>
      <c r="B124" s="56" t="inlineStr">
        <is>
          <t>07Aug12</t>
        </is>
      </c>
      <c r="C124" s="56" t="inlineStr">
        <is>
          <t>Kaveri</t>
        </is>
      </c>
      <c r="D124" s="57" t="n">
        <v>66.75567423230974</v>
      </c>
      <c r="E124" s="57" t="n">
        <v>111</v>
      </c>
      <c r="F124" s="57">
        <f>IF(D124="","",D124-E124)</f>
        <v/>
      </c>
      <c r="G124" s="56" t="inlineStr">
        <is>
          <t>SOFT</t>
        </is>
      </c>
      <c r="H124" s="56" t="inlineStr">
        <is>
          <t>LOW</t>
        </is>
      </c>
      <c r="I124" s="56" t="inlineStr">
        <is>
          <t>No</t>
        </is>
      </c>
      <c r="J124" s="52" t="n"/>
      <c r="K124" s="52">
        <f>IF(D124="","NOT_DISPLAYED",IF(G124="OPENING",IF(ABS(F124)&lt;=1,"PASS_WITH_ROUNDING_TOLERANCE","REVIEW_OPENING"),IF(G124="SOFT",IF(ABS(F124)&lt;=1,"PASS_WITH_ROUNDING_TOLERANCE","WARNING_LOW_CONFIDENCE_SNAPSHOT"),IF(ABS(F124)&lt;=1,"PASS","FAIL_AUTHORITATIVE_SNAPSHOT"))))</f>
        <v/>
      </c>
      <c r="L124" s="52" t="inlineStr">
        <is>
          <t>No inferred transaction permitted from this snapshot.</t>
        </is>
      </c>
    </row>
    <row r="125" ht="32" customHeight="1">
      <c r="A125" s="55" t="n">
        <v>41128</v>
      </c>
      <c r="B125" s="56" t="inlineStr">
        <is>
          <t>07Aug12</t>
        </is>
      </c>
      <c r="C125" s="56" t="inlineStr">
        <is>
          <t>NIITTech</t>
        </is>
      </c>
      <c r="D125" s="57" t="n">
        <v>255.4744525547445</v>
      </c>
      <c r="E125" s="57" t="n">
        <v>372</v>
      </c>
      <c r="F125" s="57">
        <f>IF(D125="","",D125-E125)</f>
        <v/>
      </c>
      <c r="G125" s="56" t="inlineStr">
        <is>
          <t>SOFT</t>
        </is>
      </c>
      <c r="H125" s="56" t="inlineStr">
        <is>
          <t>LOW</t>
        </is>
      </c>
      <c r="I125" s="56" t="inlineStr">
        <is>
          <t>No</t>
        </is>
      </c>
      <c r="J125" s="52" t="n"/>
      <c r="K125" s="52">
        <f>IF(D125="","NOT_DISPLAYED",IF(G125="OPENING",IF(ABS(F125)&lt;=1,"PASS_WITH_ROUNDING_TOLERANCE","REVIEW_OPENING"),IF(G125="SOFT",IF(ABS(F125)&lt;=1,"PASS_WITH_ROUNDING_TOLERANCE","WARNING_LOW_CONFIDENCE_SNAPSHOT"),IF(ABS(F125)&lt;=1,"PASS","FAIL_AUTHORITATIVE_SNAPSHOT"))))</f>
        <v/>
      </c>
      <c r="L125" s="52" t="inlineStr">
        <is>
          <t>No inferred transaction permitted from this snapshot.</t>
        </is>
      </c>
    </row>
    <row r="126" ht="32" customHeight="1">
      <c r="A126" s="55" t="n">
        <v>41128</v>
      </c>
      <c r="B126" s="56" t="inlineStr">
        <is>
          <t>07Aug12</t>
        </is>
      </c>
      <c r="C126" s="56" t="inlineStr">
        <is>
          <t>RSSoftware</t>
        </is>
      </c>
      <c r="D126" s="57" t="n">
        <v>578.5123966942149</v>
      </c>
      <c r="E126" s="57" t="n">
        <v>1093</v>
      </c>
      <c r="F126" s="57">
        <f>IF(D126="","",D126-E126)</f>
        <v/>
      </c>
      <c r="G126" s="56" t="inlineStr">
        <is>
          <t>SOFT</t>
        </is>
      </c>
      <c r="H126" s="56" t="inlineStr">
        <is>
          <t>LOW</t>
        </is>
      </c>
      <c r="I126" s="56" t="inlineStr">
        <is>
          <t>No</t>
        </is>
      </c>
      <c r="J126" s="52" t="n"/>
      <c r="K126" s="52">
        <f>IF(D126="","NOT_DISPLAYED",IF(G126="OPENING",IF(ABS(F126)&lt;=1,"PASS_WITH_ROUNDING_TOLERANCE","REVIEW_OPENING"),IF(G126="SOFT",IF(ABS(F126)&lt;=1,"PASS_WITH_ROUNDING_TOLERANCE","WARNING_LOW_CONFIDENCE_SNAPSHOT"),IF(ABS(F126)&lt;=1,"PASS","FAIL_AUTHORITATIVE_SNAPSHOT"))))</f>
        <v/>
      </c>
      <c r="L126" s="52" t="inlineStr">
        <is>
          <t>No inferred transaction permitted from this snapshot.</t>
        </is>
      </c>
    </row>
    <row r="127" ht="16" customHeight="1">
      <c r="A127" s="55" t="n">
        <v>41128</v>
      </c>
      <c r="B127" s="56" t="inlineStr">
        <is>
          <t>07Aug12</t>
        </is>
      </c>
      <c r="C127" s="56" t="inlineStr">
        <is>
          <t>SanghviMov</t>
        </is>
      </c>
      <c r="D127" s="57" t="n">
        <v>0</v>
      </c>
      <c r="E127" s="57" t="n">
        <v>0</v>
      </c>
      <c r="F127" s="57">
        <f>IF(D127="","",D127-E127)</f>
        <v/>
      </c>
      <c r="G127" s="56" t="inlineStr">
        <is>
          <t>SOFT</t>
        </is>
      </c>
      <c r="H127" s="56" t="inlineStr">
        <is>
          <t>LOW</t>
        </is>
      </c>
      <c r="I127" s="56" t="inlineStr">
        <is>
          <t>No</t>
        </is>
      </c>
      <c r="J127" s="52" t="inlineStr">
        <is>
          <t>Sell</t>
        </is>
      </c>
      <c r="K127" s="52">
        <f>IF(D127="","NOT_DISPLAYED",IF(G127="OPENING",IF(ABS(F127)&lt;=1,"PASS_WITH_ROUNDING_TOLERANCE","REVIEW_OPENING"),IF(G127="SOFT",IF(ABS(F127)&lt;=1,"PASS_WITH_ROUNDING_TOLERANCE","WARNING_LOW_CONFIDENCE_SNAPSHOT"),IF(ABS(F127)&lt;=1,"PASS","FAIL_AUTHORITATIVE_SNAPSHOT"))))</f>
        <v/>
      </c>
      <c r="L127" s="52" t="inlineStr">
        <is>
          <t>No inferred transaction permitted from this snapshot.</t>
        </is>
      </c>
    </row>
    <row r="128" ht="32" customHeight="1">
      <c r="A128" s="55" t="n">
        <v>41128</v>
      </c>
      <c r="B128" s="56" t="inlineStr">
        <is>
          <t>07Aug12</t>
        </is>
      </c>
      <c r="C128" s="56" t="inlineStr">
        <is>
          <t>Technofab</t>
        </is>
      </c>
      <c r="D128" s="57" t="n">
        <v>390.625</v>
      </c>
      <c r="E128" s="57" t="n">
        <v>368</v>
      </c>
      <c r="F128" s="57">
        <f>IF(D128="","",D128-E128)</f>
        <v/>
      </c>
      <c r="G128" s="56" t="inlineStr">
        <is>
          <t>SOFT</t>
        </is>
      </c>
      <c r="H128" s="56" t="inlineStr">
        <is>
          <t>LOW</t>
        </is>
      </c>
      <c r="I128" s="56" t="inlineStr">
        <is>
          <t>No</t>
        </is>
      </c>
      <c r="J128" s="52" t="n"/>
      <c r="K128" s="52">
        <f>IF(D128="","NOT_DISPLAYED",IF(G128="OPENING",IF(ABS(F128)&lt;=1,"PASS_WITH_ROUNDING_TOLERANCE","REVIEW_OPENING"),IF(G128="SOFT",IF(ABS(F128)&lt;=1,"PASS_WITH_ROUNDING_TOLERANCE","WARNING_LOW_CONFIDENCE_SNAPSHOT"),IF(ABS(F128)&lt;=1,"PASS","FAIL_AUTHORITATIVE_SNAPSHOT"))))</f>
        <v/>
      </c>
      <c r="L128" s="52" t="inlineStr">
        <is>
          <t>No inferred transaction permitted from this snapshot.</t>
        </is>
      </c>
    </row>
    <row r="129" ht="32" customHeight="1">
      <c r="A129" s="55" t="n">
        <v>41128</v>
      </c>
      <c r="B129" s="56" t="inlineStr">
        <is>
          <t>07Aug12</t>
        </is>
      </c>
      <c r="C129" s="56" t="inlineStr">
        <is>
          <t>Vguard</t>
        </is>
      </c>
      <c r="D129" s="57" t="n">
        <v>297.6190476190476</v>
      </c>
      <c r="E129" s="57" t="n">
        <v>646</v>
      </c>
      <c r="F129" s="57">
        <f>IF(D129="","",D129-E129)</f>
        <v/>
      </c>
      <c r="G129" s="56" t="inlineStr">
        <is>
          <t>SOFT</t>
        </is>
      </c>
      <c r="H129" s="56" t="inlineStr">
        <is>
          <t>LOW</t>
        </is>
      </c>
      <c r="I129" s="56" t="inlineStr">
        <is>
          <t>No</t>
        </is>
      </c>
      <c r="J129" s="52" t="n"/>
      <c r="K129" s="52">
        <f>IF(D129="","NOT_DISPLAYED",IF(G129="OPENING",IF(ABS(F129)&lt;=1,"PASS_WITH_ROUNDING_TOLERANCE","REVIEW_OPENING"),IF(G129="SOFT",IF(ABS(F129)&lt;=1,"PASS_WITH_ROUNDING_TOLERANCE","WARNING_LOW_CONFIDENCE_SNAPSHOT"),IF(ABS(F129)&lt;=1,"PASS","FAIL_AUTHORITATIVE_SNAPSHOT"))))</f>
        <v/>
      </c>
      <c r="L129" s="52" t="inlineStr">
        <is>
          <t>No inferred transaction permitted from this snapshot.</t>
        </is>
      </c>
    </row>
    <row r="130" ht="32" customHeight="1">
      <c r="A130" s="55" t="n">
        <v>41128</v>
      </c>
      <c r="B130" s="56" t="inlineStr">
        <is>
          <t>07Aug12</t>
        </is>
      </c>
      <c r="C130" s="56" t="inlineStr">
        <is>
          <t>Zensar</t>
        </is>
      </c>
      <c r="D130" s="57" t="n">
        <v>190.8396946564885</v>
      </c>
      <c r="E130" s="57" t="n">
        <v>225</v>
      </c>
      <c r="F130" s="57">
        <f>IF(D130="","",D130-E130)</f>
        <v/>
      </c>
      <c r="G130" s="56" t="inlineStr">
        <is>
          <t>SOFT</t>
        </is>
      </c>
      <c r="H130" s="56" t="inlineStr">
        <is>
          <t>LOW</t>
        </is>
      </c>
      <c r="I130" s="56" t="inlineStr">
        <is>
          <t>No</t>
        </is>
      </c>
      <c r="J130" s="52" t="n"/>
      <c r="K130" s="52">
        <f>IF(D130="","NOT_DISPLAYED",IF(G130="OPENING",IF(ABS(F130)&lt;=1,"PASS_WITH_ROUNDING_TOLERANCE","REVIEW_OPENING"),IF(G130="SOFT",IF(ABS(F130)&lt;=1,"PASS_WITH_ROUNDING_TOLERANCE","WARNING_LOW_CONFIDENCE_SNAPSHOT"),IF(ABS(F130)&lt;=1,"PASS","FAIL_AUTHORITATIVE_SNAPSHOT"))))</f>
        <v/>
      </c>
      <c r="L130" s="52" t="inlineStr">
        <is>
          <t>No inferred transaction permitted from this snapshot.</t>
        </is>
      </c>
    </row>
    <row r="131" ht="30" customHeight="1">
      <c r="A131" s="55" t="n">
        <v>41148</v>
      </c>
      <c r="B131" s="56" t="inlineStr">
        <is>
          <t>27Aug12</t>
        </is>
      </c>
      <c r="C131" s="56" t="inlineStr">
        <is>
          <t>Amara Raja</t>
        </is>
      </c>
      <c r="D131" s="57" t="n">
        <v>490</v>
      </c>
      <c r="E131" s="57" t="n">
        <v>490</v>
      </c>
      <c r="F131" s="57">
        <f>IF(D131="","",D131-E131)</f>
        <v/>
      </c>
      <c r="G131" s="56" t="inlineStr">
        <is>
          <t>HARD</t>
        </is>
      </c>
      <c r="H131" s="56" t="inlineStr">
        <is>
          <t>HIGH</t>
        </is>
      </c>
      <c r="I131" s="56" t="inlineStr">
        <is>
          <t>Yes</t>
        </is>
      </c>
      <c r="J131" s="52" t="n"/>
      <c r="K131" s="52">
        <f>IF(D131="","NOT_DISPLAYED",IF(G131="OPENING",IF(ABS(F131)&lt;=1,"PASS_WITH_ROUNDING_TOLERANCE","REVIEW_OPENING"),IF(G131="SOFT",IF(ABS(F131)&lt;=1,"PASS_WITH_ROUNDING_TOLERANCE","WARNING_LOW_CONFIDENCE_SNAPSHOT"),IF(ABS(F131)&lt;=1,"PASS","FAIL_AUTHORITATIVE_SNAPSHOT"))))</f>
        <v/>
      </c>
      <c r="L131" s="52" t="inlineStr">
        <is>
          <t>Use for quantity validation under the documented tolerance/cutoff.</t>
        </is>
      </c>
    </row>
    <row r="132" ht="30" customHeight="1">
      <c r="A132" s="55" t="n">
        <v>41148</v>
      </c>
      <c r="B132" s="56" t="inlineStr">
        <is>
          <t>27Aug12</t>
        </is>
      </c>
      <c r="C132" s="56" t="inlineStr">
        <is>
          <t>Ashiana</t>
        </is>
      </c>
      <c r="D132" s="57" t="n">
        <v>511</v>
      </c>
      <c r="E132" s="57" t="n">
        <v>511</v>
      </c>
      <c r="F132" s="57">
        <f>IF(D132="","",D132-E132)</f>
        <v/>
      </c>
      <c r="G132" s="56" t="inlineStr">
        <is>
          <t>HARD</t>
        </is>
      </c>
      <c r="H132" s="56" t="inlineStr">
        <is>
          <t>HIGH</t>
        </is>
      </c>
      <c r="I132" s="56" t="inlineStr">
        <is>
          <t>Yes</t>
        </is>
      </c>
      <c r="J132" s="52" t="n"/>
      <c r="K132" s="52">
        <f>IF(D132="","NOT_DISPLAYED",IF(G132="OPENING",IF(ABS(F132)&lt;=1,"PASS_WITH_ROUNDING_TOLERANCE","REVIEW_OPENING"),IF(G132="SOFT",IF(ABS(F132)&lt;=1,"PASS_WITH_ROUNDING_TOLERANCE","WARNING_LOW_CONFIDENCE_SNAPSHOT"),IF(ABS(F132)&lt;=1,"PASS","FAIL_AUTHORITATIVE_SNAPSHOT"))))</f>
        <v/>
      </c>
      <c r="L132" s="52" t="inlineStr">
        <is>
          <t>Use for quantity validation under the documented tolerance/cutoff.</t>
        </is>
      </c>
    </row>
    <row r="133" ht="30" customHeight="1">
      <c r="A133" s="55" t="n">
        <v>41148</v>
      </c>
      <c r="B133" s="56" t="inlineStr">
        <is>
          <t>27Aug12</t>
        </is>
      </c>
      <c r="C133" s="56" t="inlineStr">
        <is>
          <t>BharatForg</t>
        </is>
      </c>
      <c r="D133" s="57" t="n">
        <v>397</v>
      </c>
      <c r="E133" s="57" t="n">
        <v>397</v>
      </c>
      <c r="F133" s="57">
        <f>IF(D133="","",D133-E133)</f>
        <v/>
      </c>
      <c r="G133" s="56" t="inlineStr">
        <is>
          <t>HARD</t>
        </is>
      </c>
      <c r="H133" s="56" t="inlineStr">
        <is>
          <t>HIGH</t>
        </is>
      </c>
      <c r="I133" s="56" t="inlineStr">
        <is>
          <t>Yes</t>
        </is>
      </c>
      <c r="J133" s="52" t="n"/>
      <c r="K133" s="52">
        <f>IF(D133="","NOT_DISPLAYED",IF(G133="OPENING",IF(ABS(F133)&lt;=1,"PASS_WITH_ROUNDING_TOLERANCE","REVIEW_OPENING"),IF(G133="SOFT",IF(ABS(F133)&lt;=1,"PASS_WITH_ROUNDING_TOLERANCE","WARNING_LOW_CONFIDENCE_SNAPSHOT"),IF(ABS(F133)&lt;=1,"PASS","FAIL_AUTHORITATIVE_SNAPSHOT"))))</f>
        <v/>
      </c>
      <c r="L133" s="52" t="inlineStr">
        <is>
          <t>Use for quantity validation under the documented tolerance/cutoff.</t>
        </is>
      </c>
    </row>
    <row r="134" ht="30" customHeight="1">
      <c r="A134" s="55" t="n">
        <v>41148</v>
      </c>
      <c r="B134" s="56" t="inlineStr">
        <is>
          <t>27Aug12</t>
        </is>
      </c>
      <c r="C134" s="56" t="inlineStr">
        <is>
          <t>Geometric</t>
        </is>
      </c>
      <c r="D134" s="57" t="n">
        <v>1250</v>
      </c>
      <c r="E134" s="57" t="n">
        <v>1250</v>
      </c>
      <c r="F134" s="57">
        <f>IF(D134="","",D134-E134)</f>
        <v/>
      </c>
      <c r="G134" s="56" t="inlineStr">
        <is>
          <t>HARD</t>
        </is>
      </c>
      <c r="H134" s="56" t="inlineStr">
        <is>
          <t>HIGH</t>
        </is>
      </c>
      <c r="I134" s="56" t="inlineStr">
        <is>
          <t>Yes</t>
        </is>
      </c>
      <c r="J134" s="52" t="n"/>
      <c r="K134" s="52">
        <f>IF(D134="","NOT_DISPLAYED",IF(G134="OPENING",IF(ABS(F134)&lt;=1,"PASS_WITH_ROUNDING_TOLERANCE","REVIEW_OPENING"),IF(G134="SOFT",IF(ABS(F134)&lt;=1,"PASS_WITH_ROUNDING_TOLERANCE","WARNING_LOW_CONFIDENCE_SNAPSHOT"),IF(ABS(F134)&lt;=1,"PASS","FAIL_AUTHORITATIVE_SNAPSHOT"))))</f>
        <v/>
      </c>
      <c r="L134" s="52" t="inlineStr">
        <is>
          <t>Use for quantity validation under the documented tolerance/cutoff.</t>
        </is>
      </c>
    </row>
    <row r="135" ht="30" customHeight="1">
      <c r="A135" s="55" t="n">
        <v>41148</v>
      </c>
      <c r="B135" s="56" t="inlineStr">
        <is>
          <t>27Aug12</t>
        </is>
      </c>
      <c r="C135" s="56" t="inlineStr">
        <is>
          <t>Havells</t>
        </is>
      </c>
      <c r="D135" s="57" t="n">
        <v>260</v>
      </c>
      <c r="E135" s="57" t="n">
        <v>260</v>
      </c>
      <c r="F135" s="57">
        <f>IF(D135="","",D135-E135)</f>
        <v/>
      </c>
      <c r="G135" s="56" t="inlineStr">
        <is>
          <t>HARD</t>
        </is>
      </c>
      <c r="H135" s="56" t="inlineStr">
        <is>
          <t>HIGH</t>
        </is>
      </c>
      <c r="I135" s="56" t="inlineStr">
        <is>
          <t>Yes</t>
        </is>
      </c>
      <c r="J135" s="52" t="n"/>
      <c r="K135" s="52">
        <f>IF(D135="","NOT_DISPLAYED",IF(G135="OPENING",IF(ABS(F135)&lt;=1,"PASS_WITH_ROUNDING_TOLERANCE","REVIEW_OPENING"),IF(G135="SOFT",IF(ABS(F135)&lt;=1,"PASS_WITH_ROUNDING_TOLERANCE","WARNING_LOW_CONFIDENCE_SNAPSHOT"),IF(ABS(F135)&lt;=1,"PASS","FAIL_AUTHORITATIVE_SNAPSHOT"))))</f>
        <v/>
      </c>
      <c r="L135" s="52" t="inlineStr">
        <is>
          <t>Use for quantity validation under the documented tolerance/cutoff.</t>
        </is>
      </c>
    </row>
    <row r="136" ht="30" customHeight="1">
      <c r="A136" s="55" t="n">
        <v>41148</v>
      </c>
      <c r="B136" s="56" t="inlineStr">
        <is>
          <t>27Aug12</t>
        </is>
      </c>
      <c r="C136" s="56" t="inlineStr">
        <is>
          <t>Kaveri</t>
        </is>
      </c>
      <c r="D136" s="57" t="n">
        <v>111</v>
      </c>
      <c r="E136" s="57" t="n">
        <v>111</v>
      </c>
      <c r="F136" s="57">
        <f>IF(D136="","",D136-E136)</f>
        <v/>
      </c>
      <c r="G136" s="56" t="inlineStr">
        <is>
          <t>HARD</t>
        </is>
      </c>
      <c r="H136" s="56" t="inlineStr">
        <is>
          <t>HIGH</t>
        </is>
      </c>
      <c r="I136" s="56" t="inlineStr">
        <is>
          <t>Yes</t>
        </is>
      </c>
      <c r="J136" s="52" t="n"/>
      <c r="K136" s="52">
        <f>IF(D136="","NOT_DISPLAYED",IF(G136="OPENING",IF(ABS(F136)&lt;=1,"PASS_WITH_ROUNDING_TOLERANCE","REVIEW_OPENING"),IF(G136="SOFT",IF(ABS(F136)&lt;=1,"PASS_WITH_ROUNDING_TOLERANCE","WARNING_LOW_CONFIDENCE_SNAPSHOT"),IF(ABS(F136)&lt;=1,"PASS","FAIL_AUTHORITATIVE_SNAPSHOT"))))</f>
        <v/>
      </c>
      <c r="L136" s="52" t="inlineStr">
        <is>
          <t>Use for quantity validation under the documented tolerance/cutoff.</t>
        </is>
      </c>
    </row>
    <row r="137" ht="30" customHeight="1">
      <c r="A137" s="55" t="n">
        <v>41148</v>
      </c>
      <c r="B137" s="56" t="inlineStr">
        <is>
          <t>27Aug12</t>
        </is>
      </c>
      <c r="C137" s="56" t="inlineStr">
        <is>
          <t>NIITTech</t>
        </is>
      </c>
      <c r="D137" s="57" t="n">
        <v>372</v>
      </c>
      <c r="E137" s="57" t="n">
        <v>372</v>
      </c>
      <c r="F137" s="57">
        <f>IF(D137="","",D137-E137)</f>
        <v/>
      </c>
      <c r="G137" s="56" t="inlineStr">
        <is>
          <t>HARD</t>
        </is>
      </c>
      <c r="H137" s="56" t="inlineStr">
        <is>
          <t>HIGH</t>
        </is>
      </c>
      <c r="I137" s="56" t="inlineStr">
        <is>
          <t>Yes</t>
        </is>
      </c>
      <c r="J137" s="52" t="n"/>
      <c r="K137" s="52">
        <f>IF(D137="","NOT_DISPLAYED",IF(G137="OPENING",IF(ABS(F137)&lt;=1,"PASS_WITH_ROUNDING_TOLERANCE","REVIEW_OPENING"),IF(G137="SOFT",IF(ABS(F137)&lt;=1,"PASS_WITH_ROUNDING_TOLERANCE","WARNING_LOW_CONFIDENCE_SNAPSHOT"),IF(ABS(F137)&lt;=1,"PASS","FAIL_AUTHORITATIVE_SNAPSHOT"))))</f>
        <v/>
      </c>
      <c r="L137" s="52" t="inlineStr">
        <is>
          <t>Use for quantity validation under the documented tolerance/cutoff.</t>
        </is>
      </c>
    </row>
    <row r="138" ht="30" customHeight="1">
      <c r="A138" s="55" t="n">
        <v>41148</v>
      </c>
      <c r="B138" s="56" t="inlineStr">
        <is>
          <t>27Aug12</t>
        </is>
      </c>
      <c r="C138" s="56" t="inlineStr">
        <is>
          <t>RSSoftware</t>
        </is>
      </c>
      <c r="D138" s="57" t="n">
        <v>1093</v>
      </c>
      <c r="E138" s="57" t="n">
        <v>1093</v>
      </c>
      <c r="F138" s="57">
        <f>IF(D138="","",D138-E138)</f>
        <v/>
      </c>
      <c r="G138" s="56" t="inlineStr">
        <is>
          <t>HARD</t>
        </is>
      </c>
      <c r="H138" s="56" t="inlineStr">
        <is>
          <t>HIGH</t>
        </is>
      </c>
      <c r="I138" s="56" t="inlineStr">
        <is>
          <t>Yes</t>
        </is>
      </c>
      <c r="J138" s="52" t="n"/>
      <c r="K138" s="52">
        <f>IF(D138="","NOT_DISPLAYED",IF(G138="OPENING",IF(ABS(F138)&lt;=1,"PASS_WITH_ROUNDING_TOLERANCE","REVIEW_OPENING"),IF(G138="SOFT",IF(ABS(F138)&lt;=1,"PASS_WITH_ROUNDING_TOLERANCE","WARNING_LOW_CONFIDENCE_SNAPSHOT"),IF(ABS(F138)&lt;=1,"PASS","FAIL_AUTHORITATIVE_SNAPSHOT"))))</f>
        <v/>
      </c>
      <c r="L138" s="52" t="inlineStr">
        <is>
          <t>Use for quantity validation under the documented tolerance/cutoff.</t>
        </is>
      </c>
    </row>
    <row r="139" ht="30" customHeight="1">
      <c r="A139" s="55" t="n">
        <v>41148</v>
      </c>
      <c r="B139" s="56" t="inlineStr">
        <is>
          <t>27Aug12</t>
        </is>
      </c>
      <c r="C139" s="56" t="inlineStr">
        <is>
          <t>SanghviMov</t>
        </is>
      </c>
      <c r="D139" s="57" t="n">
        <v>0</v>
      </c>
      <c r="E139" s="57" t="n">
        <v>0</v>
      </c>
      <c r="F139" s="57">
        <f>IF(D139="","",D139-E139)</f>
        <v/>
      </c>
      <c r="G139" s="56" t="inlineStr">
        <is>
          <t>HARD</t>
        </is>
      </c>
      <c r="H139" s="56" t="inlineStr">
        <is>
          <t>HIGH</t>
        </is>
      </c>
      <c r="I139" s="56" t="inlineStr">
        <is>
          <t>Yes</t>
        </is>
      </c>
      <c r="J139" s="52" t="n"/>
      <c r="K139" s="52">
        <f>IF(D139="","NOT_DISPLAYED",IF(G139="OPENING",IF(ABS(F139)&lt;=1,"PASS_WITH_ROUNDING_TOLERANCE","REVIEW_OPENING"),IF(G139="SOFT",IF(ABS(F139)&lt;=1,"PASS_WITH_ROUNDING_TOLERANCE","WARNING_LOW_CONFIDENCE_SNAPSHOT"),IF(ABS(F139)&lt;=1,"PASS","FAIL_AUTHORITATIVE_SNAPSHOT"))))</f>
        <v/>
      </c>
      <c r="L139" s="52" t="inlineStr">
        <is>
          <t>Use for quantity validation under the documented tolerance/cutoff.</t>
        </is>
      </c>
    </row>
    <row r="140" ht="30" customHeight="1">
      <c r="A140" s="55" t="n">
        <v>41148</v>
      </c>
      <c r="B140" s="56" t="inlineStr">
        <is>
          <t>27Aug12</t>
        </is>
      </c>
      <c r="C140" s="56" t="inlineStr">
        <is>
          <t>Technofab</t>
        </is>
      </c>
      <c r="D140" s="57" t="n">
        <v>368</v>
      </c>
      <c r="E140" s="57" t="n">
        <v>368</v>
      </c>
      <c r="F140" s="57">
        <f>IF(D140="","",D140-E140)</f>
        <v/>
      </c>
      <c r="G140" s="56" t="inlineStr">
        <is>
          <t>HARD</t>
        </is>
      </c>
      <c r="H140" s="56" t="inlineStr">
        <is>
          <t>HIGH</t>
        </is>
      </c>
      <c r="I140" s="56" t="inlineStr">
        <is>
          <t>Yes</t>
        </is>
      </c>
      <c r="J140" s="52" t="n"/>
      <c r="K140" s="52">
        <f>IF(D140="","NOT_DISPLAYED",IF(G140="OPENING",IF(ABS(F140)&lt;=1,"PASS_WITH_ROUNDING_TOLERANCE","REVIEW_OPENING"),IF(G140="SOFT",IF(ABS(F140)&lt;=1,"PASS_WITH_ROUNDING_TOLERANCE","WARNING_LOW_CONFIDENCE_SNAPSHOT"),IF(ABS(F140)&lt;=1,"PASS","FAIL_AUTHORITATIVE_SNAPSHOT"))))</f>
        <v/>
      </c>
      <c r="L140" s="52" t="inlineStr">
        <is>
          <t>Use for quantity validation under the documented tolerance/cutoff.</t>
        </is>
      </c>
    </row>
    <row r="141" ht="30" customHeight="1">
      <c r="A141" s="55" t="n">
        <v>41148</v>
      </c>
      <c r="B141" s="56" t="inlineStr">
        <is>
          <t>27Aug12</t>
        </is>
      </c>
      <c r="C141" s="56" t="inlineStr">
        <is>
          <t>Vguard</t>
        </is>
      </c>
      <c r="D141" s="57" t="n">
        <v>646</v>
      </c>
      <c r="E141" s="57" t="n">
        <v>646</v>
      </c>
      <c r="F141" s="57">
        <f>IF(D141="","",D141-E141)</f>
        <v/>
      </c>
      <c r="G141" s="56" t="inlineStr">
        <is>
          <t>HARD</t>
        </is>
      </c>
      <c r="H141" s="56" t="inlineStr">
        <is>
          <t>HIGH</t>
        </is>
      </c>
      <c r="I141" s="56" t="inlineStr">
        <is>
          <t>Yes</t>
        </is>
      </c>
      <c r="J141" s="52" t="n"/>
      <c r="K141" s="52">
        <f>IF(D141="","NOT_DISPLAYED",IF(G141="OPENING",IF(ABS(F141)&lt;=1,"PASS_WITH_ROUNDING_TOLERANCE","REVIEW_OPENING"),IF(G141="SOFT",IF(ABS(F141)&lt;=1,"PASS_WITH_ROUNDING_TOLERANCE","WARNING_LOW_CONFIDENCE_SNAPSHOT"),IF(ABS(F141)&lt;=1,"PASS","FAIL_AUTHORITATIVE_SNAPSHOT"))))</f>
        <v/>
      </c>
      <c r="L141" s="52" t="inlineStr">
        <is>
          <t>Use for quantity validation under the documented tolerance/cutoff.</t>
        </is>
      </c>
    </row>
    <row r="142" ht="30" customHeight="1">
      <c r="A142" s="55" t="n">
        <v>41148</v>
      </c>
      <c r="B142" s="56" t="inlineStr">
        <is>
          <t>27Aug12</t>
        </is>
      </c>
      <c r="C142" s="56" t="inlineStr">
        <is>
          <t>Zensar</t>
        </is>
      </c>
      <c r="D142" s="57" t="n">
        <v>225</v>
      </c>
      <c r="E142" s="57" t="n">
        <v>225</v>
      </c>
      <c r="F142" s="57">
        <f>IF(D142="","",D142-E142)</f>
        <v/>
      </c>
      <c r="G142" s="56" t="inlineStr">
        <is>
          <t>HARD</t>
        </is>
      </c>
      <c r="H142" s="56" t="inlineStr">
        <is>
          <t>HIGH</t>
        </is>
      </c>
      <c r="I142" s="56" t="inlineStr">
        <is>
          <t>Yes</t>
        </is>
      </c>
      <c r="J142" s="52" t="n"/>
      <c r="K142" s="52">
        <f>IF(D142="","NOT_DISPLAYED",IF(G142="OPENING",IF(ABS(F142)&lt;=1,"PASS_WITH_ROUNDING_TOLERANCE","REVIEW_OPENING"),IF(G142="SOFT",IF(ABS(F142)&lt;=1,"PASS_WITH_ROUNDING_TOLERANCE","WARNING_LOW_CONFIDENCE_SNAPSHOT"),IF(ABS(F142)&lt;=1,"PASS","FAIL_AUTHORITATIVE_SNAPSHOT"))))</f>
        <v/>
      </c>
      <c r="L142" s="52" t="inlineStr">
        <is>
          <t>Use for quantity validation under the documented tolerance/cutoff.</t>
        </is>
      </c>
    </row>
    <row r="143" ht="30" customHeight="1">
      <c r="A143" s="55" t="n">
        <v>41148</v>
      </c>
      <c r="B143" s="56" t="inlineStr">
        <is>
          <t>27Aug12</t>
        </is>
      </c>
      <c r="C143" s="56" t="inlineStr">
        <is>
          <t>Everest</t>
        </is>
      </c>
      <c r="D143" s="57" t="n">
        <v>0</v>
      </c>
      <c r="E143" s="57" t="n">
        <v>0</v>
      </c>
      <c r="F143" s="57">
        <f>IF(D143="","",D143-E143)</f>
        <v/>
      </c>
      <c r="G143" s="56" t="inlineStr">
        <is>
          <t>HARD</t>
        </is>
      </c>
      <c r="H143" s="56" t="inlineStr">
        <is>
          <t>HIGH</t>
        </is>
      </c>
      <c r="I143" s="56" t="inlineStr">
        <is>
          <t>Yes</t>
        </is>
      </c>
      <c r="J143" s="52" t="n"/>
      <c r="K143" s="52">
        <f>IF(D143="","NOT_DISPLAYED",IF(G143="OPENING",IF(ABS(F143)&lt;=1,"PASS_WITH_ROUNDING_TOLERANCE","REVIEW_OPENING"),IF(G143="SOFT",IF(ABS(F143)&lt;=1,"PASS_WITH_ROUNDING_TOLERANCE","WARNING_LOW_CONFIDENCE_SNAPSHOT"),IF(ABS(F143)&lt;=1,"PASS","FAIL_AUTHORITATIVE_SNAPSHOT"))))</f>
        <v/>
      </c>
      <c r="L143" s="52" t="inlineStr">
        <is>
          <t>Use for quantity validation under the documented tolerance/cutoff.</t>
        </is>
      </c>
    </row>
    <row r="144" ht="30" customHeight="1">
      <c r="A144" s="55" t="n">
        <v>41148</v>
      </c>
      <c r="B144" s="56" t="inlineStr">
        <is>
          <t>27Aug12</t>
        </is>
      </c>
      <c r="C144" s="56" t="inlineStr">
        <is>
          <t>Take</t>
        </is>
      </c>
      <c r="D144" s="57" t="n">
        <v>1850</v>
      </c>
      <c r="E144" s="57" t="n">
        <v>1850</v>
      </c>
      <c r="F144" s="57">
        <f>IF(D144="","",D144-E144)</f>
        <v/>
      </c>
      <c r="G144" s="56" t="inlineStr">
        <is>
          <t>HARD</t>
        </is>
      </c>
      <c r="H144" s="56" t="inlineStr">
        <is>
          <t>HIGH</t>
        </is>
      </c>
      <c r="I144" s="56" t="inlineStr">
        <is>
          <t>Yes</t>
        </is>
      </c>
      <c r="J144" s="52" t="inlineStr">
        <is>
          <t>Buy</t>
        </is>
      </c>
      <c r="K144" s="52">
        <f>IF(D144="","NOT_DISPLAYED",IF(G144="OPENING",IF(ABS(F144)&lt;=1,"PASS_WITH_ROUNDING_TOLERANCE","REVIEW_OPENING"),IF(G144="SOFT",IF(ABS(F144)&lt;=1,"PASS_WITH_ROUNDING_TOLERANCE","WARNING_LOW_CONFIDENCE_SNAPSHOT"),IF(ABS(F144)&lt;=1,"PASS","FAIL_AUTHORITATIVE_SNAPSHOT"))))</f>
        <v/>
      </c>
      <c r="L144" s="52" t="inlineStr">
        <is>
          <t>Use for quantity validation under the documented tolerance/cutoff.</t>
        </is>
      </c>
    </row>
    <row r="145" ht="30" customHeight="1">
      <c r="A145" s="55" t="n">
        <v>41148</v>
      </c>
      <c r="B145" s="56" t="inlineStr">
        <is>
          <t>27Aug12</t>
        </is>
      </c>
      <c r="C145" s="56" t="inlineStr">
        <is>
          <t>Heritage</t>
        </is>
      </c>
      <c r="D145" s="57" t="n">
        <v>0</v>
      </c>
      <c r="E145" s="57" t="n">
        <v>0</v>
      </c>
      <c r="F145" s="57">
        <f>IF(D145="","",D145-E145)</f>
        <v/>
      </c>
      <c r="G145" s="56" t="inlineStr">
        <is>
          <t>HARD</t>
        </is>
      </c>
      <c r="H145" s="56" t="inlineStr">
        <is>
          <t>HIGH</t>
        </is>
      </c>
      <c r="I145" s="56" t="inlineStr">
        <is>
          <t>Yes</t>
        </is>
      </c>
      <c r="J145" s="52" t="n"/>
      <c r="K145" s="52">
        <f>IF(D145="","NOT_DISPLAYED",IF(G145="OPENING",IF(ABS(F145)&lt;=1,"PASS_WITH_ROUNDING_TOLERANCE","REVIEW_OPENING"),IF(G145="SOFT",IF(ABS(F145)&lt;=1,"PASS_WITH_ROUNDING_TOLERANCE","WARNING_LOW_CONFIDENCE_SNAPSHOT"),IF(ABS(F145)&lt;=1,"PASS","FAIL_AUTHORITATIVE_SNAPSHOT"))))</f>
        <v/>
      </c>
      <c r="L145" s="52" t="inlineStr">
        <is>
          <t>Use for quantity validation under the documented tolerance/cutoff.</t>
        </is>
      </c>
    </row>
    <row r="146" ht="30" customHeight="1">
      <c r="A146" s="55" t="n">
        <v>41180</v>
      </c>
      <c r="B146" s="56" t="inlineStr">
        <is>
          <t>28Sep12</t>
        </is>
      </c>
      <c r="C146" s="56" t="inlineStr">
        <is>
          <t>Amara Raja</t>
        </is>
      </c>
      <c r="D146" s="57" t="n">
        <v>980</v>
      </c>
      <c r="E146" s="57" t="n">
        <v>980</v>
      </c>
      <c r="F146" s="57">
        <f>IF(D146="","",D146-E146)</f>
        <v/>
      </c>
      <c r="G146" s="56" t="inlineStr">
        <is>
          <t>HARD</t>
        </is>
      </c>
      <c r="H146" s="56" t="inlineStr">
        <is>
          <t>HIGH</t>
        </is>
      </c>
      <c r="I146" s="56" t="inlineStr">
        <is>
          <t>Yes</t>
        </is>
      </c>
      <c r="J146" s="52" t="n"/>
      <c r="K146" s="52">
        <f>IF(D146="","NOT_DISPLAYED",IF(G146="OPENING",IF(ABS(F146)&lt;=1,"PASS_WITH_ROUNDING_TOLERANCE","REVIEW_OPENING"),IF(G146="SOFT",IF(ABS(F146)&lt;=1,"PASS_WITH_ROUNDING_TOLERANCE","WARNING_LOW_CONFIDENCE_SNAPSHOT"),IF(ABS(F146)&lt;=1,"PASS","FAIL_AUTHORITATIVE_SNAPSHOT"))))</f>
        <v/>
      </c>
      <c r="L146" s="52" t="inlineStr">
        <is>
          <t>Use for quantity validation under the documented tolerance/cutoff.</t>
        </is>
      </c>
    </row>
    <row r="147" ht="30" customHeight="1">
      <c r="A147" s="55" t="n">
        <v>41180</v>
      </c>
      <c r="B147" s="56" t="inlineStr">
        <is>
          <t>28Sep12</t>
        </is>
      </c>
      <c r="C147" s="56" t="inlineStr">
        <is>
          <t>Ashiana</t>
        </is>
      </c>
      <c r="D147" s="57" t="n">
        <v>511</v>
      </c>
      <c r="E147" s="57" t="n">
        <v>511</v>
      </c>
      <c r="F147" s="57">
        <f>IF(D147="","",D147-E147)</f>
        <v/>
      </c>
      <c r="G147" s="56" t="inlineStr">
        <is>
          <t>HARD</t>
        </is>
      </c>
      <c r="H147" s="56" t="inlineStr">
        <is>
          <t>HIGH</t>
        </is>
      </c>
      <c r="I147" s="56" t="inlineStr">
        <is>
          <t>Yes</t>
        </is>
      </c>
      <c r="J147" s="52" t="n"/>
      <c r="K147" s="52">
        <f>IF(D147="","NOT_DISPLAYED",IF(G147="OPENING",IF(ABS(F147)&lt;=1,"PASS_WITH_ROUNDING_TOLERANCE","REVIEW_OPENING"),IF(G147="SOFT",IF(ABS(F147)&lt;=1,"PASS_WITH_ROUNDING_TOLERANCE","WARNING_LOW_CONFIDENCE_SNAPSHOT"),IF(ABS(F147)&lt;=1,"PASS","FAIL_AUTHORITATIVE_SNAPSHOT"))))</f>
        <v/>
      </c>
      <c r="L147" s="52" t="inlineStr">
        <is>
          <t>Use for quantity validation under the documented tolerance/cutoff.</t>
        </is>
      </c>
    </row>
    <row r="148" ht="30" customHeight="1">
      <c r="A148" s="55" t="n">
        <v>41180</v>
      </c>
      <c r="B148" s="56" t="inlineStr">
        <is>
          <t>28Sep12</t>
        </is>
      </c>
      <c r="C148" s="56" t="inlineStr">
        <is>
          <t>BharatForg</t>
        </is>
      </c>
      <c r="D148" s="57" t="n">
        <v>397</v>
      </c>
      <c r="E148" s="57" t="n">
        <v>397</v>
      </c>
      <c r="F148" s="57">
        <f>IF(D148="","",D148-E148)</f>
        <v/>
      </c>
      <c r="G148" s="56" t="inlineStr">
        <is>
          <t>HARD</t>
        </is>
      </c>
      <c r="H148" s="56" t="inlineStr">
        <is>
          <t>HIGH</t>
        </is>
      </c>
      <c r="I148" s="56" t="inlineStr">
        <is>
          <t>Yes</t>
        </is>
      </c>
      <c r="J148" s="52" t="n"/>
      <c r="K148" s="52">
        <f>IF(D148="","NOT_DISPLAYED",IF(G148="OPENING",IF(ABS(F148)&lt;=1,"PASS_WITH_ROUNDING_TOLERANCE","REVIEW_OPENING"),IF(G148="SOFT",IF(ABS(F148)&lt;=1,"PASS_WITH_ROUNDING_TOLERANCE","WARNING_LOW_CONFIDENCE_SNAPSHOT"),IF(ABS(F148)&lt;=1,"PASS","FAIL_AUTHORITATIVE_SNAPSHOT"))))</f>
        <v/>
      </c>
      <c r="L148" s="52" t="inlineStr">
        <is>
          <t>Use for quantity validation under the documented tolerance/cutoff.</t>
        </is>
      </c>
    </row>
    <row r="149" ht="30" customHeight="1">
      <c r="A149" s="55" t="n">
        <v>41180</v>
      </c>
      <c r="B149" s="56" t="inlineStr">
        <is>
          <t>28Sep12</t>
        </is>
      </c>
      <c r="C149" s="56" t="inlineStr">
        <is>
          <t>Geometric</t>
        </is>
      </c>
      <c r="D149" s="57" t="n">
        <v>1250</v>
      </c>
      <c r="E149" s="57" t="n">
        <v>1250</v>
      </c>
      <c r="F149" s="57">
        <f>IF(D149="","",D149-E149)</f>
        <v/>
      </c>
      <c r="G149" s="56" t="inlineStr">
        <is>
          <t>HARD</t>
        </is>
      </c>
      <c r="H149" s="56" t="inlineStr">
        <is>
          <t>HIGH</t>
        </is>
      </c>
      <c r="I149" s="56" t="inlineStr">
        <is>
          <t>Yes</t>
        </is>
      </c>
      <c r="J149" s="52" t="n"/>
      <c r="K149" s="52">
        <f>IF(D149="","NOT_DISPLAYED",IF(G149="OPENING",IF(ABS(F149)&lt;=1,"PASS_WITH_ROUNDING_TOLERANCE","REVIEW_OPENING"),IF(G149="SOFT",IF(ABS(F149)&lt;=1,"PASS_WITH_ROUNDING_TOLERANCE","WARNING_LOW_CONFIDENCE_SNAPSHOT"),IF(ABS(F149)&lt;=1,"PASS","FAIL_AUTHORITATIVE_SNAPSHOT"))))</f>
        <v/>
      </c>
      <c r="L149" s="52" t="inlineStr">
        <is>
          <t>Use for quantity validation under the documented tolerance/cutoff.</t>
        </is>
      </c>
    </row>
    <row r="150" ht="30" customHeight="1">
      <c r="A150" s="55" t="n">
        <v>41180</v>
      </c>
      <c r="B150" s="56" t="inlineStr">
        <is>
          <t>28Sep12</t>
        </is>
      </c>
      <c r="C150" s="56" t="inlineStr">
        <is>
          <t>Havells</t>
        </is>
      </c>
      <c r="D150" s="57" t="n">
        <v>260</v>
      </c>
      <c r="E150" s="57" t="n">
        <v>260</v>
      </c>
      <c r="F150" s="57">
        <f>IF(D150="","",D150-E150)</f>
        <v/>
      </c>
      <c r="G150" s="56" t="inlineStr">
        <is>
          <t>HARD</t>
        </is>
      </c>
      <c r="H150" s="56" t="inlineStr">
        <is>
          <t>HIGH</t>
        </is>
      </c>
      <c r="I150" s="56" t="inlineStr">
        <is>
          <t>Yes</t>
        </is>
      </c>
      <c r="J150" s="52" t="n"/>
      <c r="K150" s="52">
        <f>IF(D150="","NOT_DISPLAYED",IF(G150="OPENING",IF(ABS(F150)&lt;=1,"PASS_WITH_ROUNDING_TOLERANCE","REVIEW_OPENING"),IF(G150="SOFT",IF(ABS(F150)&lt;=1,"PASS_WITH_ROUNDING_TOLERANCE","WARNING_LOW_CONFIDENCE_SNAPSHOT"),IF(ABS(F150)&lt;=1,"PASS","FAIL_AUTHORITATIVE_SNAPSHOT"))))</f>
        <v/>
      </c>
      <c r="L150" s="52" t="inlineStr">
        <is>
          <t>Use for quantity validation under the documented tolerance/cutoff.</t>
        </is>
      </c>
    </row>
    <row r="151" ht="30" customHeight="1">
      <c r="A151" s="55" t="n">
        <v>41180</v>
      </c>
      <c r="B151" s="56" t="inlineStr">
        <is>
          <t>28Sep12</t>
        </is>
      </c>
      <c r="C151" s="56" t="inlineStr">
        <is>
          <t>Kaveri</t>
        </is>
      </c>
      <c r="D151" s="57" t="n">
        <v>111</v>
      </c>
      <c r="E151" s="57" t="n">
        <v>111</v>
      </c>
      <c r="F151" s="57">
        <f>IF(D151="","",D151-E151)</f>
        <v/>
      </c>
      <c r="G151" s="56" t="inlineStr">
        <is>
          <t>HARD</t>
        </is>
      </c>
      <c r="H151" s="56" t="inlineStr">
        <is>
          <t>HIGH</t>
        </is>
      </c>
      <c r="I151" s="56" t="inlineStr">
        <is>
          <t>Yes</t>
        </is>
      </c>
      <c r="J151" s="52" t="n"/>
      <c r="K151" s="52">
        <f>IF(D151="","NOT_DISPLAYED",IF(G151="OPENING",IF(ABS(F151)&lt;=1,"PASS_WITH_ROUNDING_TOLERANCE","REVIEW_OPENING"),IF(G151="SOFT",IF(ABS(F151)&lt;=1,"PASS_WITH_ROUNDING_TOLERANCE","WARNING_LOW_CONFIDENCE_SNAPSHOT"),IF(ABS(F151)&lt;=1,"PASS","FAIL_AUTHORITATIVE_SNAPSHOT"))))</f>
        <v/>
      </c>
      <c r="L151" s="52" t="inlineStr">
        <is>
          <t>Use for quantity validation under the documented tolerance/cutoff.</t>
        </is>
      </c>
    </row>
    <row r="152" ht="30" customHeight="1">
      <c r="A152" s="55" t="n">
        <v>41180</v>
      </c>
      <c r="B152" s="56" t="inlineStr">
        <is>
          <t>28Sep12</t>
        </is>
      </c>
      <c r="C152" s="56" t="inlineStr">
        <is>
          <t>NIITTech</t>
        </is>
      </c>
      <c r="D152" s="57" t="n">
        <v>372</v>
      </c>
      <c r="E152" s="57" t="n">
        <v>372</v>
      </c>
      <c r="F152" s="57">
        <f>IF(D152="","",D152-E152)</f>
        <v/>
      </c>
      <c r="G152" s="56" t="inlineStr">
        <is>
          <t>HARD</t>
        </is>
      </c>
      <c r="H152" s="56" t="inlineStr">
        <is>
          <t>HIGH</t>
        </is>
      </c>
      <c r="I152" s="56" t="inlineStr">
        <is>
          <t>Yes</t>
        </is>
      </c>
      <c r="J152" s="52" t="n"/>
      <c r="K152" s="52">
        <f>IF(D152="","NOT_DISPLAYED",IF(G152="OPENING",IF(ABS(F152)&lt;=1,"PASS_WITH_ROUNDING_TOLERANCE","REVIEW_OPENING"),IF(G152="SOFT",IF(ABS(F152)&lt;=1,"PASS_WITH_ROUNDING_TOLERANCE","WARNING_LOW_CONFIDENCE_SNAPSHOT"),IF(ABS(F152)&lt;=1,"PASS","FAIL_AUTHORITATIVE_SNAPSHOT"))))</f>
        <v/>
      </c>
      <c r="L152" s="52" t="inlineStr">
        <is>
          <t>Use for quantity validation under the documented tolerance/cutoff.</t>
        </is>
      </c>
    </row>
    <row r="153" ht="30" customHeight="1">
      <c r="A153" s="55" t="n">
        <v>41180</v>
      </c>
      <c r="B153" s="56" t="inlineStr">
        <is>
          <t>28Sep12</t>
        </is>
      </c>
      <c r="C153" s="56" t="inlineStr">
        <is>
          <t>RSSoftware</t>
        </is>
      </c>
      <c r="D153" s="57" t="n">
        <v>1093</v>
      </c>
      <c r="E153" s="57" t="n">
        <v>1093</v>
      </c>
      <c r="F153" s="57">
        <f>IF(D153="","",D153-E153)</f>
        <v/>
      </c>
      <c r="G153" s="56" t="inlineStr">
        <is>
          <t>HARD</t>
        </is>
      </c>
      <c r="H153" s="56" t="inlineStr">
        <is>
          <t>HIGH</t>
        </is>
      </c>
      <c r="I153" s="56" t="inlineStr">
        <is>
          <t>Yes</t>
        </is>
      </c>
      <c r="J153" s="52" t="n"/>
      <c r="K153" s="52">
        <f>IF(D153="","NOT_DISPLAYED",IF(G153="OPENING",IF(ABS(F153)&lt;=1,"PASS_WITH_ROUNDING_TOLERANCE","REVIEW_OPENING"),IF(G153="SOFT",IF(ABS(F153)&lt;=1,"PASS_WITH_ROUNDING_TOLERANCE","WARNING_LOW_CONFIDENCE_SNAPSHOT"),IF(ABS(F153)&lt;=1,"PASS","FAIL_AUTHORITATIVE_SNAPSHOT"))))</f>
        <v/>
      </c>
      <c r="L153" s="52" t="inlineStr">
        <is>
          <t>Use for quantity validation under the documented tolerance/cutoff.</t>
        </is>
      </c>
    </row>
    <row r="154" ht="30" customHeight="1">
      <c r="A154" s="55" t="n">
        <v>41180</v>
      </c>
      <c r="B154" s="56" t="inlineStr">
        <is>
          <t>28Sep12</t>
        </is>
      </c>
      <c r="C154" s="56" t="inlineStr">
        <is>
          <t>SanghviMov</t>
        </is>
      </c>
      <c r="D154" s="57" t="n">
        <v>0</v>
      </c>
      <c r="E154" s="57" t="n">
        <v>0</v>
      </c>
      <c r="F154" s="57">
        <f>IF(D154="","",D154-E154)</f>
        <v/>
      </c>
      <c r="G154" s="56" t="inlineStr">
        <is>
          <t>HARD</t>
        </is>
      </c>
      <c r="H154" s="56" t="inlineStr">
        <is>
          <t>HIGH</t>
        </is>
      </c>
      <c r="I154" s="56" t="inlineStr">
        <is>
          <t>Yes</t>
        </is>
      </c>
      <c r="J154" s="52" t="n"/>
      <c r="K154" s="52">
        <f>IF(D154="","NOT_DISPLAYED",IF(G154="OPENING",IF(ABS(F154)&lt;=1,"PASS_WITH_ROUNDING_TOLERANCE","REVIEW_OPENING"),IF(G154="SOFT",IF(ABS(F154)&lt;=1,"PASS_WITH_ROUNDING_TOLERANCE","WARNING_LOW_CONFIDENCE_SNAPSHOT"),IF(ABS(F154)&lt;=1,"PASS","FAIL_AUTHORITATIVE_SNAPSHOT"))))</f>
        <v/>
      </c>
      <c r="L154" s="52" t="inlineStr">
        <is>
          <t>Use for quantity validation under the documented tolerance/cutoff.</t>
        </is>
      </c>
    </row>
    <row r="155" ht="30" customHeight="1">
      <c r="A155" s="55" t="n">
        <v>41180</v>
      </c>
      <c r="B155" s="56" t="inlineStr">
        <is>
          <t>28Sep12</t>
        </is>
      </c>
      <c r="C155" s="56" t="inlineStr">
        <is>
          <t>Technofab</t>
        </is>
      </c>
      <c r="D155" s="57" t="n">
        <v>368</v>
      </c>
      <c r="E155" s="57" t="n">
        <v>368</v>
      </c>
      <c r="F155" s="57">
        <f>IF(D155="","",D155-E155)</f>
        <v/>
      </c>
      <c r="G155" s="56" t="inlineStr">
        <is>
          <t>HARD</t>
        </is>
      </c>
      <c r="H155" s="56" t="inlineStr">
        <is>
          <t>HIGH</t>
        </is>
      </c>
      <c r="I155" s="56" t="inlineStr">
        <is>
          <t>Yes</t>
        </is>
      </c>
      <c r="J155" s="52" t="n"/>
      <c r="K155" s="52">
        <f>IF(D155="","NOT_DISPLAYED",IF(G155="OPENING",IF(ABS(F155)&lt;=1,"PASS_WITH_ROUNDING_TOLERANCE","REVIEW_OPENING"),IF(G155="SOFT",IF(ABS(F155)&lt;=1,"PASS_WITH_ROUNDING_TOLERANCE","WARNING_LOW_CONFIDENCE_SNAPSHOT"),IF(ABS(F155)&lt;=1,"PASS","FAIL_AUTHORITATIVE_SNAPSHOT"))))</f>
        <v/>
      </c>
      <c r="L155" s="52" t="inlineStr">
        <is>
          <t>Use for quantity validation under the documented tolerance/cutoff.</t>
        </is>
      </c>
    </row>
    <row r="156" ht="30" customHeight="1">
      <c r="A156" s="55" t="n">
        <v>41180</v>
      </c>
      <c r="B156" s="56" t="inlineStr">
        <is>
          <t>28Sep12</t>
        </is>
      </c>
      <c r="C156" s="56" t="inlineStr">
        <is>
          <t>Vguard</t>
        </is>
      </c>
      <c r="D156" s="57" t="n">
        <v>646</v>
      </c>
      <c r="E156" s="57" t="n">
        <v>646</v>
      </c>
      <c r="F156" s="57">
        <f>IF(D156="","",D156-E156)</f>
        <v/>
      </c>
      <c r="G156" s="56" t="inlineStr">
        <is>
          <t>HARD</t>
        </is>
      </c>
      <c r="H156" s="56" t="inlineStr">
        <is>
          <t>HIGH</t>
        </is>
      </c>
      <c r="I156" s="56" t="inlineStr">
        <is>
          <t>Yes</t>
        </is>
      </c>
      <c r="J156" s="52" t="n"/>
      <c r="K156" s="52">
        <f>IF(D156="","NOT_DISPLAYED",IF(G156="OPENING",IF(ABS(F156)&lt;=1,"PASS_WITH_ROUNDING_TOLERANCE","REVIEW_OPENING"),IF(G156="SOFT",IF(ABS(F156)&lt;=1,"PASS_WITH_ROUNDING_TOLERANCE","WARNING_LOW_CONFIDENCE_SNAPSHOT"),IF(ABS(F156)&lt;=1,"PASS","FAIL_AUTHORITATIVE_SNAPSHOT"))))</f>
        <v/>
      </c>
      <c r="L156" s="52" t="inlineStr">
        <is>
          <t>Use for quantity validation under the documented tolerance/cutoff.</t>
        </is>
      </c>
    </row>
    <row r="157" ht="30" customHeight="1">
      <c r="A157" s="55" t="n">
        <v>41180</v>
      </c>
      <c r="B157" s="56" t="inlineStr">
        <is>
          <t>28Sep12</t>
        </is>
      </c>
      <c r="C157" s="56" t="inlineStr">
        <is>
          <t>Zensar</t>
        </is>
      </c>
      <c r="D157" s="57" t="n">
        <v>225</v>
      </c>
      <c r="E157" s="57" t="n">
        <v>225</v>
      </c>
      <c r="F157" s="57">
        <f>IF(D157="","",D157-E157)</f>
        <v/>
      </c>
      <c r="G157" s="56" t="inlineStr">
        <is>
          <t>HARD</t>
        </is>
      </c>
      <c r="H157" s="56" t="inlineStr">
        <is>
          <t>HIGH</t>
        </is>
      </c>
      <c r="I157" s="56" t="inlineStr">
        <is>
          <t>Yes</t>
        </is>
      </c>
      <c r="J157" s="52" t="n"/>
      <c r="K157" s="52">
        <f>IF(D157="","NOT_DISPLAYED",IF(G157="OPENING",IF(ABS(F157)&lt;=1,"PASS_WITH_ROUNDING_TOLERANCE","REVIEW_OPENING"),IF(G157="SOFT",IF(ABS(F157)&lt;=1,"PASS_WITH_ROUNDING_TOLERANCE","WARNING_LOW_CONFIDENCE_SNAPSHOT"),IF(ABS(F157)&lt;=1,"PASS","FAIL_AUTHORITATIVE_SNAPSHOT"))))</f>
        <v/>
      </c>
      <c r="L157" s="52" t="inlineStr">
        <is>
          <t>Use for quantity validation under the documented tolerance/cutoff.</t>
        </is>
      </c>
    </row>
    <row r="158" ht="30" customHeight="1">
      <c r="A158" s="55" t="n">
        <v>41180</v>
      </c>
      <c r="B158" s="56" t="inlineStr">
        <is>
          <t>28Sep12</t>
        </is>
      </c>
      <c r="C158" s="56" t="inlineStr">
        <is>
          <t>Everest</t>
        </is>
      </c>
      <c r="D158" s="57" t="n">
        <v>0</v>
      </c>
      <c r="E158" s="57" t="n">
        <v>0</v>
      </c>
      <c r="F158" s="57">
        <f>IF(D158="","",D158-E158)</f>
        <v/>
      </c>
      <c r="G158" s="56" t="inlineStr">
        <is>
          <t>HARD</t>
        </is>
      </c>
      <c r="H158" s="56" t="inlineStr">
        <is>
          <t>HIGH</t>
        </is>
      </c>
      <c r="I158" s="56" t="inlineStr">
        <is>
          <t>Yes</t>
        </is>
      </c>
      <c r="J158" s="52" t="n"/>
      <c r="K158" s="52">
        <f>IF(D158="","NOT_DISPLAYED",IF(G158="OPENING",IF(ABS(F158)&lt;=1,"PASS_WITH_ROUNDING_TOLERANCE","REVIEW_OPENING"),IF(G158="SOFT",IF(ABS(F158)&lt;=1,"PASS_WITH_ROUNDING_TOLERANCE","WARNING_LOW_CONFIDENCE_SNAPSHOT"),IF(ABS(F158)&lt;=1,"PASS","FAIL_AUTHORITATIVE_SNAPSHOT"))))</f>
        <v/>
      </c>
      <c r="L158" s="52" t="inlineStr">
        <is>
          <t>Use for quantity validation under the documented tolerance/cutoff.</t>
        </is>
      </c>
    </row>
    <row r="159" ht="30" customHeight="1">
      <c r="A159" s="55" t="n">
        <v>41180</v>
      </c>
      <c r="B159" s="56" t="inlineStr">
        <is>
          <t>28Sep12</t>
        </is>
      </c>
      <c r="C159" s="56" t="inlineStr">
        <is>
          <t>Take</t>
        </is>
      </c>
      <c r="D159" s="57" t="n">
        <v>1850</v>
      </c>
      <c r="E159" s="57" t="n">
        <v>1850</v>
      </c>
      <c r="F159" s="57">
        <f>IF(D159="","",D159-E159)</f>
        <v/>
      </c>
      <c r="G159" s="56" t="inlineStr">
        <is>
          <t>HARD</t>
        </is>
      </c>
      <c r="H159" s="56" t="inlineStr">
        <is>
          <t>HIGH</t>
        </is>
      </c>
      <c r="I159" s="56" t="inlineStr">
        <is>
          <t>Yes</t>
        </is>
      </c>
      <c r="J159" s="52" t="n"/>
      <c r="K159" s="52">
        <f>IF(D159="","NOT_DISPLAYED",IF(G159="OPENING",IF(ABS(F159)&lt;=1,"PASS_WITH_ROUNDING_TOLERANCE","REVIEW_OPENING"),IF(G159="SOFT",IF(ABS(F159)&lt;=1,"PASS_WITH_ROUNDING_TOLERANCE","WARNING_LOW_CONFIDENCE_SNAPSHOT"),IF(ABS(F159)&lt;=1,"PASS","FAIL_AUTHORITATIVE_SNAPSHOT"))))</f>
        <v/>
      </c>
      <c r="L159" s="52" t="inlineStr">
        <is>
          <t>Use for quantity validation under the documented tolerance/cutoff.</t>
        </is>
      </c>
    </row>
    <row r="160" ht="30" customHeight="1">
      <c r="A160" s="55" t="n">
        <v>41180</v>
      </c>
      <c r="B160" s="56" t="inlineStr">
        <is>
          <t>28Sep12</t>
        </is>
      </c>
      <c r="C160" s="56" t="inlineStr">
        <is>
          <t>Heritage</t>
        </is>
      </c>
      <c r="D160" s="57" t="n">
        <v>245</v>
      </c>
      <c r="E160" s="57" t="n">
        <v>245</v>
      </c>
      <c r="F160" s="57">
        <f>IF(D160="","",D160-E160)</f>
        <v/>
      </c>
      <c r="G160" s="56" t="inlineStr">
        <is>
          <t>HARD</t>
        </is>
      </c>
      <c r="H160" s="56" t="inlineStr">
        <is>
          <t>HIGH</t>
        </is>
      </c>
      <c r="I160" s="56" t="inlineStr">
        <is>
          <t>Yes</t>
        </is>
      </c>
      <c r="J160" s="52" t="inlineStr">
        <is>
          <t>Buy</t>
        </is>
      </c>
      <c r="K160" s="52">
        <f>IF(D160="","NOT_DISPLAYED",IF(G160="OPENING",IF(ABS(F160)&lt;=1,"PASS_WITH_ROUNDING_TOLERANCE","REVIEW_OPENING"),IF(G160="SOFT",IF(ABS(F160)&lt;=1,"PASS_WITH_ROUNDING_TOLERANCE","WARNING_LOW_CONFIDENCE_SNAPSHOT"),IF(ABS(F160)&lt;=1,"PASS","FAIL_AUTHORITATIVE_SNAPSHOT"))))</f>
        <v/>
      </c>
      <c r="L160" s="52" t="inlineStr">
        <is>
          <t>Use for quantity validation under the documented tolerance/cutoff.</t>
        </is>
      </c>
    </row>
    <row r="161" ht="30" customHeight="1">
      <c r="A161" s="55" t="n">
        <v>41191</v>
      </c>
      <c r="B161" s="56" t="inlineStr">
        <is>
          <t>09Oct12</t>
        </is>
      </c>
      <c r="C161" s="56" t="inlineStr">
        <is>
          <t>Amara Raja</t>
        </is>
      </c>
      <c r="D161" s="57" t="n">
        <v>980</v>
      </c>
      <c r="E161" s="57" t="n">
        <v>980</v>
      </c>
      <c r="F161" s="57">
        <f>IF(D161="","",D161-E161)</f>
        <v/>
      </c>
      <c r="G161" s="56" t="inlineStr">
        <is>
          <t>HARD</t>
        </is>
      </c>
      <c r="H161" s="56" t="inlineStr">
        <is>
          <t>HIGH</t>
        </is>
      </c>
      <c r="I161" s="56" t="inlineStr">
        <is>
          <t>Yes</t>
        </is>
      </c>
      <c r="J161" s="52" t="n"/>
      <c r="K161" s="52">
        <f>IF(D161="","NOT_DISPLAYED",IF(G161="OPENING",IF(ABS(F161)&lt;=1,"PASS_WITH_ROUNDING_TOLERANCE","REVIEW_OPENING"),IF(G161="SOFT",IF(ABS(F161)&lt;=1,"PASS_WITH_ROUNDING_TOLERANCE","WARNING_LOW_CONFIDENCE_SNAPSHOT"),IF(ABS(F161)&lt;=1,"PASS","FAIL_AUTHORITATIVE_SNAPSHOT"))))</f>
        <v/>
      </c>
      <c r="L161" s="52" t="inlineStr">
        <is>
          <t>Use for quantity validation under the documented tolerance/cutoff.</t>
        </is>
      </c>
    </row>
    <row r="162" ht="30" customHeight="1">
      <c r="A162" s="55" t="n">
        <v>41191</v>
      </c>
      <c r="B162" s="56" t="inlineStr">
        <is>
          <t>09Oct12</t>
        </is>
      </c>
      <c r="C162" s="56" t="inlineStr">
        <is>
          <t>Ashiana</t>
        </is>
      </c>
      <c r="D162" s="57" t="n">
        <v>511</v>
      </c>
      <c r="E162" s="57" t="n">
        <v>511</v>
      </c>
      <c r="F162" s="57">
        <f>IF(D162="","",D162-E162)</f>
        <v/>
      </c>
      <c r="G162" s="56" t="inlineStr">
        <is>
          <t>HARD</t>
        </is>
      </c>
      <c r="H162" s="56" t="inlineStr">
        <is>
          <t>HIGH</t>
        </is>
      </c>
      <c r="I162" s="56" t="inlineStr">
        <is>
          <t>Yes</t>
        </is>
      </c>
      <c r="J162" s="52" t="n"/>
      <c r="K162" s="52">
        <f>IF(D162="","NOT_DISPLAYED",IF(G162="OPENING",IF(ABS(F162)&lt;=1,"PASS_WITH_ROUNDING_TOLERANCE","REVIEW_OPENING"),IF(G162="SOFT",IF(ABS(F162)&lt;=1,"PASS_WITH_ROUNDING_TOLERANCE","WARNING_LOW_CONFIDENCE_SNAPSHOT"),IF(ABS(F162)&lt;=1,"PASS","FAIL_AUTHORITATIVE_SNAPSHOT"))))</f>
        <v/>
      </c>
      <c r="L162" s="52" t="inlineStr">
        <is>
          <t>Use for quantity validation under the documented tolerance/cutoff.</t>
        </is>
      </c>
    </row>
    <row r="163" ht="30" customHeight="1">
      <c r="A163" s="55" t="n">
        <v>41191</v>
      </c>
      <c r="B163" s="56" t="inlineStr">
        <is>
          <t>09Oct12</t>
        </is>
      </c>
      <c r="C163" s="56" t="inlineStr">
        <is>
          <t>BharatForg</t>
        </is>
      </c>
      <c r="D163" s="57" t="n">
        <v>397</v>
      </c>
      <c r="E163" s="57" t="n">
        <v>397</v>
      </c>
      <c r="F163" s="57">
        <f>IF(D163="","",D163-E163)</f>
        <v/>
      </c>
      <c r="G163" s="56" t="inlineStr">
        <is>
          <t>HARD</t>
        </is>
      </c>
      <c r="H163" s="56" t="inlineStr">
        <is>
          <t>HIGH</t>
        </is>
      </c>
      <c r="I163" s="56" t="inlineStr">
        <is>
          <t>Yes</t>
        </is>
      </c>
      <c r="J163" s="52" t="n"/>
      <c r="K163" s="52">
        <f>IF(D163="","NOT_DISPLAYED",IF(G163="OPENING",IF(ABS(F163)&lt;=1,"PASS_WITH_ROUNDING_TOLERANCE","REVIEW_OPENING"),IF(G163="SOFT",IF(ABS(F163)&lt;=1,"PASS_WITH_ROUNDING_TOLERANCE","WARNING_LOW_CONFIDENCE_SNAPSHOT"),IF(ABS(F163)&lt;=1,"PASS","FAIL_AUTHORITATIVE_SNAPSHOT"))))</f>
        <v/>
      </c>
      <c r="L163" s="52" t="inlineStr">
        <is>
          <t>Use for quantity validation under the documented tolerance/cutoff.</t>
        </is>
      </c>
    </row>
    <row r="164" ht="30" customHeight="1">
      <c r="A164" s="55" t="n">
        <v>41191</v>
      </c>
      <c r="B164" s="56" t="inlineStr">
        <is>
          <t>09Oct12</t>
        </is>
      </c>
      <c r="C164" s="56" t="inlineStr">
        <is>
          <t>Geometric</t>
        </is>
      </c>
      <c r="D164" s="57" t="n">
        <v>1250</v>
      </c>
      <c r="E164" s="57" t="n">
        <v>1250</v>
      </c>
      <c r="F164" s="57">
        <f>IF(D164="","",D164-E164)</f>
        <v/>
      </c>
      <c r="G164" s="56" t="inlineStr">
        <is>
          <t>HARD</t>
        </is>
      </c>
      <c r="H164" s="56" t="inlineStr">
        <is>
          <t>HIGH</t>
        </is>
      </c>
      <c r="I164" s="56" t="inlineStr">
        <is>
          <t>Yes</t>
        </is>
      </c>
      <c r="J164" s="52" t="n"/>
      <c r="K164" s="52">
        <f>IF(D164="","NOT_DISPLAYED",IF(G164="OPENING",IF(ABS(F164)&lt;=1,"PASS_WITH_ROUNDING_TOLERANCE","REVIEW_OPENING"),IF(G164="SOFT",IF(ABS(F164)&lt;=1,"PASS_WITH_ROUNDING_TOLERANCE","WARNING_LOW_CONFIDENCE_SNAPSHOT"),IF(ABS(F164)&lt;=1,"PASS","FAIL_AUTHORITATIVE_SNAPSHOT"))))</f>
        <v/>
      </c>
      <c r="L164" s="52" t="inlineStr">
        <is>
          <t>Use for quantity validation under the documented tolerance/cutoff.</t>
        </is>
      </c>
    </row>
    <row r="165" ht="30" customHeight="1">
      <c r="A165" s="55" t="n">
        <v>41191</v>
      </c>
      <c r="B165" s="56" t="inlineStr">
        <is>
          <t>09Oct12</t>
        </is>
      </c>
      <c r="C165" s="56" t="inlineStr">
        <is>
          <t>Havells</t>
        </is>
      </c>
      <c r="D165" s="57" t="n">
        <v>132</v>
      </c>
      <c r="E165" s="57" t="n">
        <v>132</v>
      </c>
      <c r="F165" s="57">
        <f>IF(D165="","",D165-E165)</f>
        <v/>
      </c>
      <c r="G165" s="56" t="inlineStr">
        <is>
          <t>HARD</t>
        </is>
      </c>
      <c r="H165" s="56" t="inlineStr">
        <is>
          <t>HIGH</t>
        </is>
      </c>
      <c r="I165" s="56" t="inlineStr">
        <is>
          <t>Yes</t>
        </is>
      </c>
      <c r="J165" s="52" t="inlineStr">
        <is>
          <t>Sell</t>
        </is>
      </c>
      <c r="K165" s="52">
        <f>IF(D165="","NOT_DISPLAYED",IF(G165="OPENING",IF(ABS(F165)&lt;=1,"PASS_WITH_ROUNDING_TOLERANCE","REVIEW_OPENING"),IF(G165="SOFT",IF(ABS(F165)&lt;=1,"PASS_WITH_ROUNDING_TOLERANCE","WARNING_LOW_CONFIDENCE_SNAPSHOT"),IF(ABS(F165)&lt;=1,"PASS","FAIL_AUTHORITATIVE_SNAPSHOT"))))</f>
        <v/>
      </c>
      <c r="L165" s="52" t="inlineStr">
        <is>
          <t>Use for quantity validation under the documented tolerance/cutoff.</t>
        </is>
      </c>
    </row>
    <row r="166" ht="30" customHeight="1">
      <c r="A166" s="55" t="n">
        <v>41191</v>
      </c>
      <c r="B166" s="56" t="inlineStr">
        <is>
          <t>09Oct12</t>
        </is>
      </c>
      <c r="C166" s="56" t="inlineStr">
        <is>
          <t>Kaveri</t>
        </is>
      </c>
      <c r="D166" s="57" t="n">
        <v>111</v>
      </c>
      <c r="E166" s="57" t="n">
        <v>111</v>
      </c>
      <c r="F166" s="57">
        <f>IF(D166="","",D166-E166)</f>
        <v/>
      </c>
      <c r="G166" s="56" t="inlineStr">
        <is>
          <t>HARD</t>
        </is>
      </c>
      <c r="H166" s="56" t="inlineStr">
        <is>
          <t>HIGH</t>
        </is>
      </c>
      <c r="I166" s="56" t="inlineStr">
        <is>
          <t>Yes</t>
        </is>
      </c>
      <c r="J166" s="52" t="n"/>
      <c r="K166" s="52">
        <f>IF(D166="","NOT_DISPLAYED",IF(G166="OPENING",IF(ABS(F166)&lt;=1,"PASS_WITH_ROUNDING_TOLERANCE","REVIEW_OPENING"),IF(G166="SOFT",IF(ABS(F166)&lt;=1,"PASS_WITH_ROUNDING_TOLERANCE","WARNING_LOW_CONFIDENCE_SNAPSHOT"),IF(ABS(F166)&lt;=1,"PASS","FAIL_AUTHORITATIVE_SNAPSHOT"))))</f>
        <v/>
      </c>
      <c r="L166" s="52" t="inlineStr">
        <is>
          <t>Use for quantity validation under the documented tolerance/cutoff.</t>
        </is>
      </c>
    </row>
    <row r="167" ht="30" customHeight="1">
      <c r="A167" s="55" t="n">
        <v>41191</v>
      </c>
      <c r="B167" s="56" t="inlineStr">
        <is>
          <t>09Oct12</t>
        </is>
      </c>
      <c r="C167" s="56" t="inlineStr">
        <is>
          <t>NIITTech</t>
        </is>
      </c>
      <c r="D167" s="57" t="n">
        <v>372</v>
      </c>
      <c r="E167" s="57" t="n">
        <v>372</v>
      </c>
      <c r="F167" s="57">
        <f>IF(D167="","",D167-E167)</f>
        <v/>
      </c>
      <c r="G167" s="56" t="inlineStr">
        <is>
          <t>HARD</t>
        </is>
      </c>
      <c r="H167" s="56" t="inlineStr">
        <is>
          <t>HIGH</t>
        </is>
      </c>
      <c r="I167" s="56" t="inlineStr">
        <is>
          <t>Yes</t>
        </is>
      </c>
      <c r="J167" s="52" t="n"/>
      <c r="K167" s="52">
        <f>IF(D167="","NOT_DISPLAYED",IF(G167="OPENING",IF(ABS(F167)&lt;=1,"PASS_WITH_ROUNDING_TOLERANCE","REVIEW_OPENING"),IF(G167="SOFT",IF(ABS(F167)&lt;=1,"PASS_WITH_ROUNDING_TOLERANCE","WARNING_LOW_CONFIDENCE_SNAPSHOT"),IF(ABS(F167)&lt;=1,"PASS","FAIL_AUTHORITATIVE_SNAPSHOT"))))</f>
        <v/>
      </c>
      <c r="L167" s="52" t="inlineStr">
        <is>
          <t>Use for quantity validation under the documented tolerance/cutoff.</t>
        </is>
      </c>
    </row>
    <row r="168" ht="30" customHeight="1">
      <c r="A168" s="55" t="n">
        <v>41191</v>
      </c>
      <c r="B168" s="56" t="inlineStr">
        <is>
          <t>09Oct12</t>
        </is>
      </c>
      <c r="C168" s="56" t="inlineStr">
        <is>
          <t>RSSoftware</t>
        </is>
      </c>
      <c r="D168" s="57" t="n">
        <v>1093</v>
      </c>
      <c r="E168" s="57" t="n">
        <v>1093</v>
      </c>
      <c r="F168" s="57">
        <f>IF(D168="","",D168-E168)</f>
        <v/>
      </c>
      <c r="G168" s="56" t="inlineStr">
        <is>
          <t>HARD</t>
        </is>
      </c>
      <c r="H168" s="56" t="inlineStr">
        <is>
          <t>HIGH</t>
        </is>
      </c>
      <c r="I168" s="56" t="inlineStr">
        <is>
          <t>Yes</t>
        </is>
      </c>
      <c r="J168" s="52" t="n"/>
      <c r="K168" s="52">
        <f>IF(D168="","NOT_DISPLAYED",IF(G168="OPENING",IF(ABS(F168)&lt;=1,"PASS_WITH_ROUNDING_TOLERANCE","REVIEW_OPENING"),IF(G168="SOFT",IF(ABS(F168)&lt;=1,"PASS_WITH_ROUNDING_TOLERANCE","WARNING_LOW_CONFIDENCE_SNAPSHOT"),IF(ABS(F168)&lt;=1,"PASS","FAIL_AUTHORITATIVE_SNAPSHOT"))))</f>
        <v/>
      </c>
      <c r="L168" s="52" t="inlineStr">
        <is>
          <t>Use for quantity validation under the documented tolerance/cutoff.</t>
        </is>
      </c>
    </row>
    <row r="169" ht="30" customHeight="1">
      <c r="A169" s="55" t="n">
        <v>41191</v>
      </c>
      <c r="B169" s="56" t="inlineStr">
        <is>
          <t>09Oct12</t>
        </is>
      </c>
      <c r="C169" s="56" t="inlineStr">
        <is>
          <t>SanghviMov</t>
        </is>
      </c>
      <c r="D169" s="57" t="n">
        <v>0</v>
      </c>
      <c r="E169" s="57" t="n">
        <v>0</v>
      </c>
      <c r="F169" s="57">
        <f>IF(D169="","",D169-E169)</f>
        <v/>
      </c>
      <c r="G169" s="56" t="inlineStr">
        <is>
          <t>HARD</t>
        </is>
      </c>
      <c r="H169" s="56" t="inlineStr">
        <is>
          <t>HIGH</t>
        </is>
      </c>
      <c r="I169" s="56" t="inlineStr">
        <is>
          <t>Yes</t>
        </is>
      </c>
      <c r="J169" s="52" t="n"/>
      <c r="K169" s="52">
        <f>IF(D169="","NOT_DISPLAYED",IF(G169="OPENING",IF(ABS(F169)&lt;=1,"PASS_WITH_ROUNDING_TOLERANCE","REVIEW_OPENING"),IF(G169="SOFT",IF(ABS(F169)&lt;=1,"PASS_WITH_ROUNDING_TOLERANCE","WARNING_LOW_CONFIDENCE_SNAPSHOT"),IF(ABS(F169)&lt;=1,"PASS","FAIL_AUTHORITATIVE_SNAPSHOT"))))</f>
        <v/>
      </c>
      <c r="L169" s="52" t="inlineStr">
        <is>
          <t>Use for quantity validation under the documented tolerance/cutoff.</t>
        </is>
      </c>
    </row>
    <row r="170" ht="30" customHeight="1">
      <c r="A170" s="55" t="n">
        <v>41191</v>
      </c>
      <c r="B170" s="56" t="inlineStr">
        <is>
          <t>09Oct12</t>
        </is>
      </c>
      <c r="C170" s="56" t="inlineStr">
        <is>
          <t>Technofab</t>
        </is>
      </c>
      <c r="D170" s="57" t="n">
        <v>368</v>
      </c>
      <c r="E170" s="57" t="n">
        <v>368</v>
      </c>
      <c r="F170" s="57">
        <f>IF(D170="","",D170-E170)</f>
        <v/>
      </c>
      <c r="G170" s="56" t="inlineStr">
        <is>
          <t>HARD</t>
        </is>
      </c>
      <c r="H170" s="56" t="inlineStr">
        <is>
          <t>HIGH</t>
        </is>
      </c>
      <c r="I170" s="56" t="inlineStr">
        <is>
          <t>Yes</t>
        </is>
      </c>
      <c r="J170" s="52" t="n"/>
      <c r="K170" s="52">
        <f>IF(D170="","NOT_DISPLAYED",IF(G170="OPENING",IF(ABS(F170)&lt;=1,"PASS_WITH_ROUNDING_TOLERANCE","REVIEW_OPENING"),IF(G170="SOFT",IF(ABS(F170)&lt;=1,"PASS_WITH_ROUNDING_TOLERANCE","WARNING_LOW_CONFIDENCE_SNAPSHOT"),IF(ABS(F170)&lt;=1,"PASS","FAIL_AUTHORITATIVE_SNAPSHOT"))))</f>
        <v/>
      </c>
      <c r="L170" s="52" t="inlineStr">
        <is>
          <t>Use for quantity validation under the documented tolerance/cutoff.</t>
        </is>
      </c>
    </row>
    <row r="171" ht="30" customHeight="1">
      <c r="A171" s="55" t="n">
        <v>41191</v>
      </c>
      <c r="B171" s="56" t="inlineStr">
        <is>
          <t>09Oct12</t>
        </is>
      </c>
      <c r="C171" s="56" t="inlineStr">
        <is>
          <t>Vguard</t>
        </is>
      </c>
      <c r="D171" s="57" t="n">
        <v>646</v>
      </c>
      <c r="E171" s="57" t="n">
        <v>646</v>
      </c>
      <c r="F171" s="57">
        <f>IF(D171="","",D171-E171)</f>
        <v/>
      </c>
      <c r="G171" s="56" t="inlineStr">
        <is>
          <t>HARD</t>
        </is>
      </c>
      <c r="H171" s="56" t="inlineStr">
        <is>
          <t>HIGH</t>
        </is>
      </c>
      <c r="I171" s="56" t="inlineStr">
        <is>
          <t>Yes</t>
        </is>
      </c>
      <c r="J171" s="52" t="n"/>
      <c r="K171" s="52">
        <f>IF(D171="","NOT_DISPLAYED",IF(G171="OPENING",IF(ABS(F171)&lt;=1,"PASS_WITH_ROUNDING_TOLERANCE","REVIEW_OPENING"),IF(G171="SOFT",IF(ABS(F171)&lt;=1,"PASS_WITH_ROUNDING_TOLERANCE","WARNING_LOW_CONFIDENCE_SNAPSHOT"),IF(ABS(F171)&lt;=1,"PASS","FAIL_AUTHORITATIVE_SNAPSHOT"))))</f>
        <v/>
      </c>
      <c r="L171" s="52" t="inlineStr">
        <is>
          <t>Use for quantity validation under the documented tolerance/cutoff.</t>
        </is>
      </c>
    </row>
    <row r="172" ht="30" customHeight="1">
      <c r="A172" s="55" t="n">
        <v>41191</v>
      </c>
      <c r="B172" s="56" t="inlineStr">
        <is>
          <t>09Oct12</t>
        </is>
      </c>
      <c r="C172" s="56" t="inlineStr">
        <is>
          <t>Zensar</t>
        </is>
      </c>
      <c r="D172" s="57" t="n">
        <v>225</v>
      </c>
      <c r="E172" s="57" t="n">
        <v>225</v>
      </c>
      <c r="F172" s="57">
        <f>IF(D172="","",D172-E172)</f>
        <v/>
      </c>
      <c r="G172" s="56" t="inlineStr">
        <is>
          <t>HARD</t>
        </is>
      </c>
      <c r="H172" s="56" t="inlineStr">
        <is>
          <t>HIGH</t>
        </is>
      </c>
      <c r="I172" s="56" t="inlineStr">
        <is>
          <t>Yes</t>
        </is>
      </c>
      <c r="J172" s="52" t="n"/>
      <c r="K172" s="52">
        <f>IF(D172="","NOT_DISPLAYED",IF(G172="OPENING",IF(ABS(F172)&lt;=1,"PASS_WITH_ROUNDING_TOLERANCE","REVIEW_OPENING"),IF(G172="SOFT",IF(ABS(F172)&lt;=1,"PASS_WITH_ROUNDING_TOLERANCE","WARNING_LOW_CONFIDENCE_SNAPSHOT"),IF(ABS(F172)&lt;=1,"PASS","FAIL_AUTHORITATIVE_SNAPSHOT"))))</f>
        <v/>
      </c>
      <c r="L172" s="52" t="inlineStr">
        <is>
          <t>Use for quantity validation under the documented tolerance/cutoff.</t>
        </is>
      </c>
    </row>
    <row r="173" ht="30" customHeight="1">
      <c r="A173" s="55" t="n">
        <v>41191</v>
      </c>
      <c r="B173" s="56" t="inlineStr">
        <is>
          <t>09Oct12</t>
        </is>
      </c>
      <c r="C173" s="56" t="inlineStr">
        <is>
          <t>Everest</t>
        </is>
      </c>
      <c r="D173" s="57" t="n">
        <v>0</v>
      </c>
      <c r="E173" s="57" t="n">
        <v>0</v>
      </c>
      <c r="F173" s="57">
        <f>IF(D173="","",D173-E173)</f>
        <v/>
      </c>
      <c r="G173" s="56" t="inlineStr">
        <is>
          <t>HARD</t>
        </is>
      </c>
      <c r="H173" s="56" t="inlineStr">
        <is>
          <t>HIGH</t>
        </is>
      </c>
      <c r="I173" s="56" t="inlineStr">
        <is>
          <t>Yes</t>
        </is>
      </c>
      <c r="J173" s="52" t="n"/>
      <c r="K173" s="52">
        <f>IF(D173="","NOT_DISPLAYED",IF(G173="OPENING",IF(ABS(F173)&lt;=1,"PASS_WITH_ROUNDING_TOLERANCE","REVIEW_OPENING"),IF(G173="SOFT",IF(ABS(F173)&lt;=1,"PASS_WITH_ROUNDING_TOLERANCE","WARNING_LOW_CONFIDENCE_SNAPSHOT"),IF(ABS(F173)&lt;=1,"PASS","FAIL_AUTHORITATIVE_SNAPSHOT"))))</f>
        <v/>
      </c>
      <c r="L173" s="52" t="inlineStr">
        <is>
          <t>Use for quantity validation under the documented tolerance/cutoff.</t>
        </is>
      </c>
    </row>
    <row r="174" ht="30" customHeight="1">
      <c r="A174" s="55" t="n">
        <v>41191</v>
      </c>
      <c r="B174" s="56" t="inlineStr">
        <is>
          <t>09Oct12</t>
        </is>
      </c>
      <c r="C174" s="56" t="inlineStr">
        <is>
          <t>Take</t>
        </is>
      </c>
      <c r="D174" s="57" t="n">
        <v>1850</v>
      </c>
      <c r="E174" s="57" t="n">
        <v>1850</v>
      </c>
      <c r="F174" s="57">
        <f>IF(D174="","",D174-E174)</f>
        <v/>
      </c>
      <c r="G174" s="56" t="inlineStr">
        <is>
          <t>HARD</t>
        </is>
      </c>
      <c r="H174" s="56" t="inlineStr">
        <is>
          <t>HIGH</t>
        </is>
      </c>
      <c r="I174" s="56" t="inlineStr">
        <is>
          <t>Yes</t>
        </is>
      </c>
      <c r="J174" s="52" t="n"/>
      <c r="K174" s="52">
        <f>IF(D174="","NOT_DISPLAYED",IF(G174="OPENING",IF(ABS(F174)&lt;=1,"PASS_WITH_ROUNDING_TOLERANCE","REVIEW_OPENING"),IF(G174="SOFT",IF(ABS(F174)&lt;=1,"PASS_WITH_ROUNDING_TOLERANCE","WARNING_LOW_CONFIDENCE_SNAPSHOT"),IF(ABS(F174)&lt;=1,"PASS","FAIL_AUTHORITATIVE_SNAPSHOT"))))</f>
        <v/>
      </c>
      <c r="L174" s="52" t="inlineStr">
        <is>
          <t>Use for quantity validation under the documented tolerance/cutoff.</t>
        </is>
      </c>
    </row>
    <row r="175" ht="30" customHeight="1">
      <c r="A175" s="55" t="n">
        <v>41191</v>
      </c>
      <c r="B175" s="56" t="inlineStr">
        <is>
          <t>09Oct12</t>
        </is>
      </c>
      <c r="C175" s="56" t="inlineStr">
        <is>
          <t>Heritage</t>
        </is>
      </c>
      <c r="D175" s="57" t="n">
        <v>245</v>
      </c>
      <c r="E175" s="57" t="n">
        <v>245</v>
      </c>
      <c r="F175" s="57">
        <f>IF(D175="","",D175-E175)</f>
        <v/>
      </c>
      <c r="G175" s="56" t="inlineStr">
        <is>
          <t>HARD</t>
        </is>
      </c>
      <c r="H175" s="56" t="inlineStr">
        <is>
          <t>HIGH</t>
        </is>
      </c>
      <c r="I175" s="56" t="inlineStr">
        <is>
          <t>Yes</t>
        </is>
      </c>
      <c r="J175" s="52" t="n"/>
      <c r="K175" s="52">
        <f>IF(D175="","NOT_DISPLAYED",IF(G175="OPENING",IF(ABS(F175)&lt;=1,"PASS_WITH_ROUNDING_TOLERANCE","REVIEW_OPENING"),IF(G175="SOFT",IF(ABS(F175)&lt;=1,"PASS_WITH_ROUNDING_TOLERANCE","WARNING_LOW_CONFIDENCE_SNAPSHOT"),IF(ABS(F175)&lt;=1,"PASS","FAIL_AUTHORITATIVE_SNAPSHOT"))))</f>
        <v/>
      </c>
      <c r="L175" s="52" t="inlineStr">
        <is>
          <t>Use for quantity validation under the documented tolerance/cutoff.</t>
        </is>
      </c>
    </row>
    <row r="176" ht="30" customHeight="1">
      <c r="A176" s="55" t="n">
        <v>41211</v>
      </c>
      <c r="B176" s="56" t="inlineStr">
        <is>
          <t>29Oct12</t>
        </is>
      </c>
      <c r="C176" s="56" t="inlineStr">
        <is>
          <t>Amara Raja</t>
        </is>
      </c>
      <c r="D176" s="57" t="n">
        <v>980</v>
      </c>
      <c r="E176" s="57" t="n">
        <v>980</v>
      </c>
      <c r="F176" s="57">
        <f>IF(D176="","",D176-E176)</f>
        <v/>
      </c>
      <c r="G176" s="56" t="inlineStr">
        <is>
          <t>HARD</t>
        </is>
      </c>
      <c r="H176" s="56" t="inlineStr">
        <is>
          <t>HIGH</t>
        </is>
      </c>
      <c r="I176" s="56" t="inlineStr">
        <is>
          <t>Yes</t>
        </is>
      </c>
      <c r="J176" s="52" t="n"/>
      <c r="K176" s="52">
        <f>IF(D176="","NOT_DISPLAYED",IF(G176="OPENING",IF(ABS(F176)&lt;=1,"PASS_WITH_ROUNDING_TOLERANCE","REVIEW_OPENING"),IF(G176="SOFT",IF(ABS(F176)&lt;=1,"PASS_WITH_ROUNDING_TOLERANCE","WARNING_LOW_CONFIDENCE_SNAPSHOT"),IF(ABS(F176)&lt;=1,"PASS","FAIL_AUTHORITATIVE_SNAPSHOT"))))</f>
        <v/>
      </c>
      <c r="L176" s="52" t="inlineStr">
        <is>
          <t>Use for quantity validation under the documented tolerance/cutoff.</t>
        </is>
      </c>
    </row>
    <row r="177" ht="30" customHeight="1">
      <c r="A177" s="55" t="n">
        <v>41211</v>
      </c>
      <c r="B177" s="56" t="inlineStr">
        <is>
          <t>29Oct12</t>
        </is>
      </c>
      <c r="C177" s="56" t="inlineStr">
        <is>
          <t>Ashiana</t>
        </is>
      </c>
      <c r="D177" s="57" t="n">
        <v>511</v>
      </c>
      <c r="E177" s="57" t="n">
        <v>511</v>
      </c>
      <c r="F177" s="57">
        <f>IF(D177="","",D177-E177)</f>
        <v/>
      </c>
      <c r="G177" s="56" t="inlineStr">
        <is>
          <t>HARD</t>
        </is>
      </c>
      <c r="H177" s="56" t="inlineStr">
        <is>
          <t>HIGH</t>
        </is>
      </c>
      <c r="I177" s="56" t="inlineStr">
        <is>
          <t>Yes</t>
        </is>
      </c>
      <c r="J177" s="52" t="n"/>
      <c r="K177" s="52">
        <f>IF(D177="","NOT_DISPLAYED",IF(G177="OPENING",IF(ABS(F177)&lt;=1,"PASS_WITH_ROUNDING_TOLERANCE","REVIEW_OPENING"),IF(G177="SOFT",IF(ABS(F177)&lt;=1,"PASS_WITH_ROUNDING_TOLERANCE","WARNING_LOW_CONFIDENCE_SNAPSHOT"),IF(ABS(F177)&lt;=1,"PASS","FAIL_AUTHORITATIVE_SNAPSHOT"))))</f>
        <v/>
      </c>
      <c r="L177" s="52" t="inlineStr">
        <is>
          <t>Use for quantity validation under the documented tolerance/cutoff.</t>
        </is>
      </c>
    </row>
    <row r="178" ht="30" customHeight="1">
      <c r="A178" s="55" t="n">
        <v>41211</v>
      </c>
      <c r="B178" s="56" t="inlineStr">
        <is>
          <t>29Oct12</t>
        </is>
      </c>
      <c r="C178" s="56" t="inlineStr">
        <is>
          <t>BharatForg</t>
        </is>
      </c>
      <c r="D178" s="57" t="n">
        <v>397</v>
      </c>
      <c r="E178" s="57" t="n">
        <v>397</v>
      </c>
      <c r="F178" s="57">
        <f>IF(D178="","",D178-E178)</f>
        <v/>
      </c>
      <c r="G178" s="56" t="inlineStr">
        <is>
          <t>HARD</t>
        </is>
      </c>
      <c r="H178" s="56" t="inlineStr">
        <is>
          <t>HIGH</t>
        </is>
      </c>
      <c r="I178" s="56" t="inlineStr">
        <is>
          <t>Yes</t>
        </is>
      </c>
      <c r="J178" s="52" t="n"/>
      <c r="K178" s="52">
        <f>IF(D178="","NOT_DISPLAYED",IF(G178="OPENING",IF(ABS(F178)&lt;=1,"PASS_WITH_ROUNDING_TOLERANCE","REVIEW_OPENING"),IF(G178="SOFT",IF(ABS(F178)&lt;=1,"PASS_WITH_ROUNDING_TOLERANCE","WARNING_LOW_CONFIDENCE_SNAPSHOT"),IF(ABS(F178)&lt;=1,"PASS","FAIL_AUTHORITATIVE_SNAPSHOT"))))</f>
        <v/>
      </c>
      <c r="L178" s="52" t="inlineStr">
        <is>
          <t>Use for quantity validation under the documented tolerance/cutoff.</t>
        </is>
      </c>
    </row>
    <row r="179" ht="30" customHeight="1">
      <c r="A179" s="55" t="n">
        <v>41211</v>
      </c>
      <c r="B179" s="56" t="inlineStr">
        <is>
          <t>29Oct12</t>
        </is>
      </c>
      <c r="C179" s="56" t="inlineStr">
        <is>
          <t>Geometric</t>
        </is>
      </c>
      <c r="D179" s="57" t="n">
        <v>1250</v>
      </c>
      <c r="E179" s="57" t="n">
        <v>1250</v>
      </c>
      <c r="F179" s="57">
        <f>IF(D179="","",D179-E179)</f>
        <v/>
      </c>
      <c r="G179" s="56" t="inlineStr">
        <is>
          <t>HARD</t>
        </is>
      </c>
      <c r="H179" s="56" t="inlineStr">
        <is>
          <t>HIGH</t>
        </is>
      </c>
      <c r="I179" s="56" t="inlineStr">
        <is>
          <t>Yes</t>
        </is>
      </c>
      <c r="J179" s="52" t="n"/>
      <c r="K179" s="52">
        <f>IF(D179="","NOT_DISPLAYED",IF(G179="OPENING",IF(ABS(F179)&lt;=1,"PASS_WITH_ROUNDING_TOLERANCE","REVIEW_OPENING"),IF(G179="SOFT",IF(ABS(F179)&lt;=1,"PASS_WITH_ROUNDING_TOLERANCE","WARNING_LOW_CONFIDENCE_SNAPSHOT"),IF(ABS(F179)&lt;=1,"PASS","FAIL_AUTHORITATIVE_SNAPSHOT"))))</f>
        <v/>
      </c>
      <c r="L179" s="52" t="inlineStr">
        <is>
          <t>Use for quantity validation under the documented tolerance/cutoff.</t>
        </is>
      </c>
    </row>
    <row r="180" ht="30" customHeight="1">
      <c r="A180" s="55" t="n">
        <v>41211</v>
      </c>
      <c r="B180" s="56" t="inlineStr">
        <is>
          <t>29Oct12</t>
        </is>
      </c>
      <c r="C180" s="56" t="inlineStr">
        <is>
          <t>Havells</t>
        </is>
      </c>
      <c r="D180" s="57" t="n">
        <v>0</v>
      </c>
      <c r="E180" s="57" t="n">
        <v>0</v>
      </c>
      <c r="F180" s="57">
        <f>IF(D180="","",D180-E180)</f>
        <v/>
      </c>
      <c r="G180" s="56" t="inlineStr">
        <is>
          <t>HARD</t>
        </is>
      </c>
      <c r="H180" s="56" t="inlineStr">
        <is>
          <t>HIGH</t>
        </is>
      </c>
      <c r="I180" s="56" t="inlineStr">
        <is>
          <t>Yes</t>
        </is>
      </c>
      <c r="J180" s="52" t="inlineStr">
        <is>
          <t>Sell</t>
        </is>
      </c>
      <c r="K180" s="52">
        <f>IF(D180="","NOT_DISPLAYED",IF(G180="OPENING",IF(ABS(F180)&lt;=1,"PASS_WITH_ROUNDING_TOLERANCE","REVIEW_OPENING"),IF(G180="SOFT",IF(ABS(F180)&lt;=1,"PASS_WITH_ROUNDING_TOLERANCE","WARNING_LOW_CONFIDENCE_SNAPSHOT"),IF(ABS(F180)&lt;=1,"PASS","FAIL_AUTHORITATIVE_SNAPSHOT"))))</f>
        <v/>
      </c>
      <c r="L180" s="52" t="inlineStr">
        <is>
          <t>Use for quantity validation under the documented tolerance/cutoff.</t>
        </is>
      </c>
    </row>
    <row r="181" ht="30" customHeight="1">
      <c r="A181" s="55" t="n">
        <v>41211</v>
      </c>
      <c r="B181" s="56" t="inlineStr">
        <is>
          <t>29Oct12</t>
        </is>
      </c>
      <c r="C181" s="56" t="inlineStr">
        <is>
          <t>Kaveri</t>
        </is>
      </c>
      <c r="D181" s="57" t="n">
        <v>111</v>
      </c>
      <c r="E181" s="57" t="n">
        <v>111</v>
      </c>
      <c r="F181" s="57">
        <f>IF(D181="","",D181-E181)</f>
        <v/>
      </c>
      <c r="G181" s="56" t="inlineStr">
        <is>
          <t>HARD</t>
        </is>
      </c>
      <c r="H181" s="56" t="inlineStr">
        <is>
          <t>HIGH</t>
        </is>
      </c>
      <c r="I181" s="56" t="inlineStr">
        <is>
          <t>Yes</t>
        </is>
      </c>
      <c r="J181" s="52" t="n"/>
      <c r="K181" s="52">
        <f>IF(D181="","NOT_DISPLAYED",IF(G181="OPENING",IF(ABS(F181)&lt;=1,"PASS_WITH_ROUNDING_TOLERANCE","REVIEW_OPENING"),IF(G181="SOFT",IF(ABS(F181)&lt;=1,"PASS_WITH_ROUNDING_TOLERANCE","WARNING_LOW_CONFIDENCE_SNAPSHOT"),IF(ABS(F181)&lt;=1,"PASS","FAIL_AUTHORITATIVE_SNAPSHOT"))))</f>
        <v/>
      </c>
      <c r="L181" s="52" t="inlineStr">
        <is>
          <t>Use for quantity validation under the documented tolerance/cutoff.</t>
        </is>
      </c>
    </row>
    <row r="182" ht="30" customHeight="1">
      <c r="A182" s="55" t="n">
        <v>41211</v>
      </c>
      <c r="B182" s="56" t="inlineStr">
        <is>
          <t>29Oct12</t>
        </is>
      </c>
      <c r="C182" s="56" t="inlineStr">
        <is>
          <t>NIITTech</t>
        </is>
      </c>
      <c r="D182" s="57" t="n">
        <v>372</v>
      </c>
      <c r="E182" s="57" t="n">
        <v>372</v>
      </c>
      <c r="F182" s="57">
        <f>IF(D182="","",D182-E182)</f>
        <v/>
      </c>
      <c r="G182" s="56" t="inlineStr">
        <is>
          <t>HARD</t>
        </is>
      </c>
      <c r="H182" s="56" t="inlineStr">
        <is>
          <t>HIGH</t>
        </is>
      </c>
      <c r="I182" s="56" t="inlineStr">
        <is>
          <t>Yes</t>
        </is>
      </c>
      <c r="J182" s="52" t="n"/>
      <c r="K182" s="52">
        <f>IF(D182="","NOT_DISPLAYED",IF(G182="OPENING",IF(ABS(F182)&lt;=1,"PASS_WITH_ROUNDING_TOLERANCE","REVIEW_OPENING"),IF(G182="SOFT",IF(ABS(F182)&lt;=1,"PASS_WITH_ROUNDING_TOLERANCE","WARNING_LOW_CONFIDENCE_SNAPSHOT"),IF(ABS(F182)&lt;=1,"PASS","FAIL_AUTHORITATIVE_SNAPSHOT"))))</f>
        <v/>
      </c>
      <c r="L182" s="52" t="inlineStr">
        <is>
          <t>Use for quantity validation under the documented tolerance/cutoff.</t>
        </is>
      </c>
    </row>
    <row r="183" ht="30" customHeight="1">
      <c r="A183" s="55" t="n">
        <v>41211</v>
      </c>
      <c r="B183" s="56" t="inlineStr">
        <is>
          <t>29Oct12</t>
        </is>
      </c>
      <c r="C183" s="56" t="inlineStr">
        <is>
          <t>RSSoftware</t>
        </is>
      </c>
      <c r="D183" s="57" t="n">
        <v>1093</v>
      </c>
      <c r="E183" s="57" t="n">
        <v>1093</v>
      </c>
      <c r="F183" s="57">
        <f>IF(D183="","",D183-E183)</f>
        <v/>
      </c>
      <c r="G183" s="56" t="inlineStr">
        <is>
          <t>HARD</t>
        </is>
      </c>
      <c r="H183" s="56" t="inlineStr">
        <is>
          <t>HIGH</t>
        </is>
      </c>
      <c r="I183" s="56" t="inlineStr">
        <is>
          <t>Yes</t>
        </is>
      </c>
      <c r="J183" s="52" t="n"/>
      <c r="K183" s="52">
        <f>IF(D183="","NOT_DISPLAYED",IF(G183="OPENING",IF(ABS(F183)&lt;=1,"PASS_WITH_ROUNDING_TOLERANCE","REVIEW_OPENING"),IF(G183="SOFT",IF(ABS(F183)&lt;=1,"PASS_WITH_ROUNDING_TOLERANCE","WARNING_LOW_CONFIDENCE_SNAPSHOT"),IF(ABS(F183)&lt;=1,"PASS","FAIL_AUTHORITATIVE_SNAPSHOT"))))</f>
        <v/>
      </c>
      <c r="L183" s="52" t="inlineStr">
        <is>
          <t>Use for quantity validation under the documented tolerance/cutoff.</t>
        </is>
      </c>
    </row>
    <row r="184" ht="30" customHeight="1">
      <c r="A184" s="55" t="n">
        <v>41211</v>
      </c>
      <c r="B184" s="56" t="inlineStr">
        <is>
          <t>29Oct12</t>
        </is>
      </c>
      <c r="C184" s="56" t="inlineStr">
        <is>
          <t>SanghviMov</t>
        </is>
      </c>
      <c r="D184" s="57" t="n">
        <v>0</v>
      </c>
      <c r="E184" s="57" t="n">
        <v>0</v>
      </c>
      <c r="F184" s="57">
        <f>IF(D184="","",D184-E184)</f>
        <v/>
      </c>
      <c r="G184" s="56" t="inlineStr">
        <is>
          <t>HARD</t>
        </is>
      </c>
      <c r="H184" s="56" t="inlineStr">
        <is>
          <t>HIGH</t>
        </is>
      </c>
      <c r="I184" s="56" t="inlineStr">
        <is>
          <t>Yes</t>
        </is>
      </c>
      <c r="J184" s="52" t="n"/>
      <c r="K184" s="52">
        <f>IF(D184="","NOT_DISPLAYED",IF(G184="OPENING",IF(ABS(F184)&lt;=1,"PASS_WITH_ROUNDING_TOLERANCE","REVIEW_OPENING"),IF(G184="SOFT",IF(ABS(F184)&lt;=1,"PASS_WITH_ROUNDING_TOLERANCE","WARNING_LOW_CONFIDENCE_SNAPSHOT"),IF(ABS(F184)&lt;=1,"PASS","FAIL_AUTHORITATIVE_SNAPSHOT"))))</f>
        <v/>
      </c>
      <c r="L184" s="52" t="inlineStr">
        <is>
          <t>Use for quantity validation under the documented tolerance/cutoff.</t>
        </is>
      </c>
    </row>
    <row r="185" ht="30" customHeight="1">
      <c r="A185" s="55" t="n">
        <v>41211</v>
      </c>
      <c r="B185" s="56" t="inlineStr">
        <is>
          <t>29Oct12</t>
        </is>
      </c>
      <c r="C185" s="56" t="inlineStr">
        <is>
          <t>Technofab</t>
        </is>
      </c>
      <c r="D185" s="57" t="n">
        <v>368</v>
      </c>
      <c r="E185" s="57" t="n">
        <v>368</v>
      </c>
      <c r="F185" s="57">
        <f>IF(D185="","",D185-E185)</f>
        <v/>
      </c>
      <c r="G185" s="56" t="inlineStr">
        <is>
          <t>HARD</t>
        </is>
      </c>
      <c r="H185" s="56" t="inlineStr">
        <is>
          <t>HIGH</t>
        </is>
      </c>
      <c r="I185" s="56" t="inlineStr">
        <is>
          <t>Yes</t>
        </is>
      </c>
      <c r="J185" s="52" t="n"/>
      <c r="K185" s="52">
        <f>IF(D185="","NOT_DISPLAYED",IF(G185="OPENING",IF(ABS(F185)&lt;=1,"PASS_WITH_ROUNDING_TOLERANCE","REVIEW_OPENING"),IF(G185="SOFT",IF(ABS(F185)&lt;=1,"PASS_WITH_ROUNDING_TOLERANCE","WARNING_LOW_CONFIDENCE_SNAPSHOT"),IF(ABS(F185)&lt;=1,"PASS","FAIL_AUTHORITATIVE_SNAPSHOT"))))</f>
        <v/>
      </c>
      <c r="L185" s="52" t="inlineStr">
        <is>
          <t>Use for quantity validation under the documented tolerance/cutoff.</t>
        </is>
      </c>
    </row>
    <row r="186" ht="30" customHeight="1">
      <c r="A186" s="55" t="n">
        <v>41211</v>
      </c>
      <c r="B186" s="56" t="inlineStr">
        <is>
          <t>29Oct12</t>
        </is>
      </c>
      <c r="C186" s="56" t="inlineStr">
        <is>
          <t>Vguard</t>
        </is>
      </c>
      <c r="D186" s="57" t="n">
        <v>646</v>
      </c>
      <c r="E186" s="57" t="n">
        <v>646</v>
      </c>
      <c r="F186" s="57">
        <f>IF(D186="","",D186-E186)</f>
        <v/>
      </c>
      <c r="G186" s="56" t="inlineStr">
        <is>
          <t>HARD</t>
        </is>
      </c>
      <c r="H186" s="56" t="inlineStr">
        <is>
          <t>HIGH</t>
        </is>
      </c>
      <c r="I186" s="56" t="inlineStr">
        <is>
          <t>Yes</t>
        </is>
      </c>
      <c r="J186" s="52" t="n"/>
      <c r="K186" s="52">
        <f>IF(D186="","NOT_DISPLAYED",IF(G186="OPENING",IF(ABS(F186)&lt;=1,"PASS_WITH_ROUNDING_TOLERANCE","REVIEW_OPENING"),IF(G186="SOFT",IF(ABS(F186)&lt;=1,"PASS_WITH_ROUNDING_TOLERANCE","WARNING_LOW_CONFIDENCE_SNAPSHOT"),IF(ABS(F186)&lt;=1,"PASS","FAIL_AUTHORITATIVE_SNAPSHOT"))))</f>
        <v/>
      </c>
      <c r="L186" s="52" t="inlineStr">
        <is>
          <t>Use for quantity validation under the documented tolerance/cutoff.</t>
        </is>
      </c>
    </row>
    <row r="187" ht="30" customHeight="1">
      <c r="A187" s="55" t="n">
        <v>41211</v>
      </c>
      <c r="B187" s="56" t="inlineStr">
        <is>
          <t>29Oct12</t>
        </is>
      </c>
      <c r="C187" s="56" t="inlineStr">
        <is>
          <t>Zensar</t>
        </is>
      </c>
      <c r="D187" s="57" t="n">
        <v>225</v>
      </c>
      <c r="E187" s="57" t="n">
        <v>225</v>
      </c>
      <c r="F187" s="57">
        <f>IF(D187="","",D187-E187)</f>
        <v/>
      </c>
      <c r="G187" s="56" t="inlineStr">
        <is>
          <t>HARD</t>
        </is>
      </c>
      <c r="H187" s="56" t="inlineStr">
        <is>
          <t>HIGH</t>
        </is>
      </c>
      <c r="I187" s="56" t="inlineStr">
        <is>
          <t>Yes</t>
        </is>
      </c>
      <c r="J187" s="52" t="n"/>
      <c r="K187" s="52">
        <f>IF(D187="","NOT_DISPLAYED",IF(G187="OPENING",IF(ABS(F187)&lt;=1,"PASS_WITH_ROUNDING_TOLERANCE","REVIEW_OPENING"),IF(G187="SOFT",IF(ABS(F187)&lt;=1,"PASS_WITH_ROUNDING_TOLERANCE","WARNING_LOW_CONFIDENCE_SNAPSHOT"),IF(ABS(F187)&lt;=1,"PASS","FAIL_AUTHORITATIVE_SNAPSHOT"))))</f>
        <v/>
      </c>
      <c r="L187" s="52" t="inlineStr">
        <is>
          <t>Use for quantity validation under the documented tolerance/cutoff.</t>
        </is>
      </c>
    </row>
    <row r="188" ht="30" customHeight="1">
      <c r="A188" s="55" t="n">
        <v>41211</v>
      </c>
      <c r="B188" s="56" t="inlineStr">
        <is>
          <t>29Oct12</t>
        </is>
      </c>
      <c r="C188" s="56" t="inlineStr">
        <is>
          <t>Everest</t>
        </is>
      </c>
      <c r="D188" s="57" t="n">
        <v>0</v>
      </c>
      <c r="E188" s="57" t="n">
        <v>0</v>
      </c>
      <c r="F188" s="57">
        <f>IF(D188="","",D188-E188)</f>
        <v/>
      </c>
      <c r="G188" s="56" t="inlineStr">
        <is>
          <t>HARD</t>
        </is>
      </c>
      <c r="H188" s="56" t="inlineStr">
        <is>
          <t>HIGH</t>
        </is>
      </c>
      <c r="I188" s="56" t="inlineStr">
        <is>
          <t>Yes</t>
        </is>
      </c>
      <c r="J188" s="52" t="n"/>
      <c r="K188" s="52">
        <f>IF(D188="","NOT_DISPLAYED",IF(G188="OPENING",IF(ABS(F188)&lt;=1,"PASS_WITH_ROUNDING_TOLERANCE","REVIEW_OPENING"),IF(G188="SOFT",IF(ABS(F188)&lt;=1,"PASS_WITH_ROUNDING_TOLERANCE","WARNING_LOW_CONFIDENCE_SNAPSHOT"),IF(ABS(F188)&lt;=1,"PASS","FAIL_AUTHORITATIVE_SNAPSHOT"))))</f>
        <v/>
      </c>
      <c r="L188" s="52" t="inlineStr">
        <is>
          <t>Use for quantity validation under the documented tolerance/cutoff.</t>
        </is>
      </c>
    </row>
    <row r="189" ht="30" customHeight="1">
      <c r="A189" s="55" t="n">
        <v>41211</v>
      </c>
      <c r="B189" s="56" t="inlineStr">
        <is>
          <t>29Oct12</t>
        </is>
      </c>
      <c r="C189" s="56" t="inlineStr">
        <is>
          <t>Take</t>
        </is>
      </c>
      <c r="D189" s="57" t="n">
        <v>1850</v>
      </c>
      <c r="E189" s="57" t="n">
        <v>1850</v>
      </c>
      <c r="F189" s="57">
        <f>IF(D189="","",D189-E189)</f>
        <v/>
      </c>
      <c r="G189" s="56" t="inlineStr">
        <is>
          <t>HARD</t>
        </is>
      </c>
      <c r="H189" s="56" t="inlineStr">
        <is>
          <t>HIGH</t>
        </is>
      </c>
      <c r="I189" s="56" t="inlineStr">
        <is>
          <t>Yes</t>
        </is>
      </c>
      <c r="J189" s="52" t="n"/>
      <c r="K189" s="52">
        <f>IF(D189="","NOT_DISPLAYED",IF(G189="OPENING",IF(ABS(F189)&lt;=1,"PASS_WITH_ROUNDING_TOLERANCE","REVIEW_OPENING"),IF(G189="SOFT",IF(ABS(F189)&lt;=1,"PASS_WITH_ROUNDING_TOLERANCE","WARNING_LOW_CONFIDENCE_SNAPSHOT"),IF(ABS(F189)&lt;=1,"PASS","FAIL_AUTHORITATIVE_SNAPSHOT"))))</f>
        <v/>
      </c>
      <c r="L189" s="52" t="inlineStr">
        <is>
          <t>Use for quantity validation under the documented tolerance/cutoff.</t>
        </is>
      </c>
    </row>
    <row r="190" ht="30" customHeight="1">
      <c r="A190" s="55" t="n">
        <v>41211</v>
      </c>
      <c r="B190" s="56" t="inlineStr">
        <is>
          <t>29Oct12</t>
        </is>
      </c>
      <c r="C190" s="56" t="inlineStr">
        <is>
          <t>Heritage</t>
        </is>
      </c>
      <c r="D190" s="57" t="n">
        <v>245</v>
      </c>
      <c r="E190" s="57" t="n">
        <v>245</v>
      </c>
      <c r="F190" s="57">
        <f>IF(D190="","",D190-E190)</f>
        <v/>
      </c>
      <c r="G190" s="56" t="inlineStr">
        <is>
          <t>HARD</t>
        </is>
      </c>
      <c r="H190" s="56" t="inlineStr">
        <is>
          <t>HIGH</t>
        </is>
      </c>
      <c r="I190" s="56" t="inlineStr">
        <is>
          <t>Yes</t>
        </is>
      </c>
      <c r="J190" s="52" t="n"/>
      <c r="K190" s="52">
        <f>IF(D190="","NOT_DISPLAYED",IF(G190="OPENING",IF(ABS(F190)&lt;=1,"PASS_WITH_ROUNDING_TOLERANCE","REVIEW_OPENING"),IF(G190="SOFT",IF(ABS(F190)&lt;=1,"PASS_WITH_ROUNDING_TOLERANCE","WARNING_LOW_CONFIDENCE_SNAPSHOT"),IF(ABS(F190)&lt;=1,"PASS","FAIL_AUTHORITATIVE_SNAPSHOT"))))</f>
        <v/>
      </c>
      <c r="L190" s="52" t="inlineStr">
        <is>
          <t>Use for quantity validation under the documented tolerance/cutoff.</t>
        </is>
      </c>
    </row>
    <row r="191" ht="30" customHeight="1">
      <c r="A191" s="55" t="n">
        <v>41212</v>
      </c>
      <c r="B191" s="56" t="inlineStr">
        <is>
          <t>30Oct12</t>
        </is>
      </c>
      <c r="C191" s="56" t="inlineStr">
        <is>
          <t>Amara Raja</t>
        </is>
      </c>
      <c r="D191" s="57" t="n">
        <v>980</v>
      </c>
      <c r="E191" s="57" t="n">
        <v>980</v>
      </c>
      <c r="F191" s="57">
        <f>IF(D191="","",D191-E191)</f>
        <v/>
      </c>
      <c r="G191" s="56" t="inlineStr">
        <is>
          <t>HARD</t>
        </is>
      </c>
      <c r="H191" s="56" t="inlineStr">
        <is>
          <t>HIGH</t>
        </is>
      </c>
      <c r="I191" s="56" t="inlineStr">
        <is>
          <t>Yes</t>
        </is>
      </c>
      <c r="J191" s="52" t="n"/>
      <c r="K191" s="52">
        <f>IF(D191="","NOT_DISPLAYED",IF(G191="OPENING",IF(ABS(F191)&lt;=1,"PASS_WITH_ROUNDING_TOLERANCE","REVIEW_OPENING"),IF(G191="SOFT",IF(ABS(F191)&lt;=1,"PASS_WITH_ROUNDING_TOLERANCE","WARNING_LOW_CONFIDENCE_SNAPSHOT"),IF(ABS(F191)&lt;=1,"PASS","FAIL_AUTHORITATIVE_SNAPSHOT"))))</f>
        <v/>
      </c>
      <c r="L191" s="52" t="inlineStr">
        <is>
          <t>Use for quantity validation under the documented tolerance/cutoff.</t>
        </is>
      </c>
    </row>
    <row r="192" ht="30" customHeight="1">
      <c r="A192" s="55" t="n">
        <v>41212</v>
      </c>
      <c r="B192" s="56" t="inlineStr">
        <is>
          <t>30Oct12</t>
        </is>
      </c>
      <c r="C192" s="56" t="inlineStr">
        <is>
          <t>Ashiana</t>
        </is>
      </c>
      <c r="D192" s="57" t="n">
        <v>511</v>
      </c>
      <c r="E192" s="57" t="n">
        <v>511</v>
      </c>
      <c r="F192" s="57">
        <f>IF(D192="","",D192-E192)</f>
        <v/>
      </c>
      <c r="G192" s="56" t="inlineStr">
        <is>
          <t>HARD</t>
        </is>
      </c>
      <c r="H192" s="56" t="inlineStr">
        <is>
          <t>HIGH</t>
        </is>
      </c>
      <c r="I192" s="56" t="inlineStr">
        <is>
          <t>Yes</t>
        </is>
      </c>
      <c r="J192" s="52" t="n"/>
      <c r="K192" s="52">
        <f>IF(D192="","NOT_DISPLAYED",IF(G192="OPENING",IF(ABS(F192)&lt;=1,"PASS_WITH_ROUNDING_TOLERANCE","REVIEW_OPENING"),IF(G192="SOFT",IF(ABS(F192)&lt;=1,"PASS_WITH_ROUNDING_TOLERANCE","WARNING_LOW_CONFIDENCE_SNAPSHOT"),IF(ABS(F192)&lt;=1,"PASS","FAIL_AUTHORITATIVE_SNAPSHOT"))))</f>
        <v/>
      </c>
      <c r="L192" s="52" t="inlineStr">
        <is>
          <t>Use for quantity validation under the documented tolerance/cutoff.</t>
        </is>
      </c>
    </row>
    <row r="193" ht="30" customHeight="1">
      <c r="A193" s="55" t="n">
        <v>41212</v>
      </c>
      <c r="B193" s="56" t="inlineStr">
        <is>
          <t>30Oct12</t>
        </is>
      </c>
      <c r="C193" s="56" t="inlineStr">
        <is>
          <t>BharatForg</t>
        </is>
      </c>
      <c r="D193" s="57" t="n">
        <v>397</v>
      </c>
      <c r="E193" s="57" t="n">
        <v>397</v>
      </c>
      <c r="F193" s="57">
        <f>IF(D193="","",D193-E193)</f>
        <v/>
      </c>
      <c r="G193" s="56" t="inlineStr">
        <is>
          <t>HARD</t>
        </is>
      </c>
      <c r="H193" s="56" t="inlineStr">
        <is>
          <t>HIGH</t>
        </is>
      </c>
      <c r="I193" s="56" t="inlineStr">
        <is>
          <t>Yes</t>
        </is>
      </c>
      <c r="J193" s="52" t="n"/>
      <c r="K193" s="52">
        <f>IF(D193="","NOT_DISPLAYED",IF(G193="OPENING",IF(ABS(F193)&lt;=1,"PASS_WITH_ROUNDING_TOLERANCE","REVIEW_OPENING"),IF(G193="SOFT",IF(ABS(F193)&lt;=1,"PASS_WITH_ROUNDING_TOLERANCE","WARNING_LOW_CONFIDENCE_SNAPSHOT"),IF(ABS(F193)&lt;=1,"PASS","FAIL_AUTHORITATIVE_SNAPSHOT"))))</f>
        <v/>
      </c>
      <c r="L193" s="52" t="inlineStr">
        <is>
          <t>Use for quantity validation under the documented tolerance/cutoff.</t>
        </is>
      </c>
    </row>
    <row r="194" ht="30" customHeight="1">
      <c r="A194" s="55" t="n">
        <v>41212</v>
      </c>
      <c r="B194" s="56" t="inlineStr">
        <is>
          <t>30Oct12</t>
        </is>
      </c>
      <c r="C194" s="56" t="inlineStr">
        <is>
          <t>Geometric</t>
        </is>
      </c>
      <c r="D194" s="57" t="n">
        <v>1250</v>
      </c>
      <c r="E194" s="57" t="n">
        <v>1250</v>
      </c>
      <c r="F194" s="57">
        <f>IF(D194="","",D194-E194)</f>
        <v/>
      </c>
      <c r="G194" s="56" t="inlineStr">
        <is>
          <t>HARD</t>
        </is>
      </c>
      <c r="H194" s="56" t="inlineStr">
        <is>
          <t>HIGH</t>
        </is>
      </c>
      <c r="I194" s="56" t="inlineStr">
        <is>
          <t>Yes</t>
        </is>
      </c>
      <c r="J194" s="52" t="n"/>
      <c r="K194" s="52">
        <f>IF(D194="","NOT_DISPLAYED",IF(G194="OPENING",IF(ABS(F194)&lt;=1,"PASS_WITH_ROUNDING_TOLERANCE","REVIEW_OPENING"),IF(G194="SOFT",IF(ABS(F194)&lt;=1,"PASS_WITH_ROUNDING_TOLERANCE","WARNING_LOW_CONFIDENCE_SNAPSHOT"),IF(ABS(F194)&lt;=1,"PASS","FAIL_AUTHORITATIVE_SNAPSHOT"))))</f>
        <v/>
      </c>
      <c r="L194" s="52" t="inlineStr">
        <is>
          <t>Use for quantity validation under the documented tolerance/cutoff.</t>
        </is>
      </c>
    </row>
    <row r="195" ht="30" customHeight="1">
      <c r="A195" s="55" t="n">
        <v>41212</v>
      </c>
      <c r="B195" s="56" t="inlineStr">
        <is>
          <t>30Oct12</t>
        </is>
      </c>
      <c r="C195" s="56" t="inlineStr">
        <is>
          <t>Havells</t>
        </is>
      </c>
      <c r="D195" s="57" t="n">
        <v>0</v>
      </c>
      <c r="E195" s="57" t="n">
        <v>0</v>
      </c>
      <c r="F195" s="57">
        <f>IF(D195="","",D195-E195)</f>
        <v/>
      </c>
      <c r="G195" s="56" t="inlineStr">
        <is>
          <t>HARD</t>
        </is>
      </c>
      <c r="H195" s="56" t="inlineStr">
        <is>
          <t>HIGH</t>
        </is>
      </c>
      <c r="I195" s="56" t="inlineStr">
        <is>
          <t>Yes</t>
        </is>
      </c>
      <c r="J195" s="52" t="n"/>
      <c r="K195" s="52">
        <f>IF(D195="","NOT_DISPLAYED",IF(G195="OPENING",IF(ABS(F195)&lt;=1,"PASS_WITH_ROUNDING_TOLERANCE","REVIEW_OPENING"),IF(G195="SOFT",IF(ABS(F195)&lt;=1,"PASS_WITH_ROUNDING_TOLERANCE","WARNING_LOW_CONFIDENCE_SNAPSHOT"),IF(ABS(F195)&lt;=1,"PASS","FAIL_AUTHORITATIVE_SNAPSHOT"))))</f>
        <v/>
      </c>
      <c r="L195" s="52" t="inlineStr">
        <is>
          <t>Use for quantity validation under the documented tolerance/cutoff.</t>
        </is>
      </c>
    </row>
    <row r="196" ht="30" customHeight="1">
      <c r="A196" s="55" t="n">
        <v>41212</v>
      </c>
      <c r="B196" s="56" t="inlineStr">
        <is>
          <t>30Oct12</t>
        </is>
      </c>
      <c r="C196" s="56" t="inlineStr">
        <is>
          <t>Kaveri</t>
        </is>
      </c>
      <c r="D196" s="57" t="n">
        <v>111</v>
      </c>
      <c r="E196" s="57" t="n">
        <v>111</v>
      </c>
      <c r="F196" s="57">
        <f>IF(D196="","",D196-E196)</f>
        <v/>
      </c>
      <c r="G196" s="56" t="inlineStr">
        <is>
          <t>HARD</t>
        </is>
      </c>
      <c r="H196" s="56" t="inlineStr">
        <is>
          <t>HIGH</t>
        </is>
      </c>
      <c r="I196" s="56" t="inlineStr">
        <is>
          <t>Yes</t>
        </is>
      </c>
      <c r="J196" s="52" t="n"/>
      <c r="K196" s="52">
        <f>IF(D196="","NOT_DISPLAYED",IF(G196="OPENING",IF(ABS(F196)&lt;=1,"PASS_WITH_ROUNDING_TOLERANCE","REVIEW_OPENING"),IF(G196="SOFT",IF(ABS(F196)&lt;=1,"PASS_WITH_ROUNDING_TOLERANCE","WARNING_LOW_CONFIDENCE_SNAPSHOT"),IF(ABS(F196)&lt;=1,"PASS","FAIL_AUTHORITATIVE_SNAPSHOT"))))</f>
        <v/>
      </c>
      <c r="L196" s="52" t="inlineStr">
        <is>
          <t>Use for quantity validation under the documented tolerance/cutoff.</t>
        </is>
      </c>
    </row>
    <row r="197" ht="30" customHeight="1">
      <c r="A197" s="55" t="n">
        <v>41212</v>
      </c>
      <c r="B197" s="56" t="inlineStr">
        <is>
          <t>30Oct12</t>
        </is>
      </c>
      <c r="C197" s="56" t="inlineStr">
        <is>
          <t>NIITTech</t>
        </is>
      </c>
      <c r="D197" s="57" t="n">
        <v>372</v>
      </c>
      <c r="E197" s="57" t="n">
        <v>372</v>
      </c>
      <c r="F197" s="57">
        <f>IF(D197="","",D197-E197)</f>
        <v/>
      </c>
      <c r="G197" s="56" t="inlineStr">
        <is>
          <t>HARD</t>
        </is>
      </c>
      <c r="H197" s="56" t="inlineStr">
        <is>
          <t>HIGH</t>
        </is>
      </c>
      <c r="I197" s="56" t="inlineStr">
        <is>
          <t>Yes</t>
        </is>
      </c>
      <c r="J197" s="52" t="n"/>
      <c r="K197" s="52">
        <f>IF(D197="","NOT_DISPLAYED",IF(G197="OPENING",IF(ABS(F197)&lt;=1,"PASS_WITH_ROUNDING_TOLERANCE","REVIEW_OPENING"),IF(G197="SOFT",IF(ABS(F197)&lt;=1,"PASS_WITH_ROUNDING_TOLERANCE","WARNING_LOW_CONFIDENCE_SNAPSHOT"),IF(ABS(F197)&lt;=1,"PASS","FAIL_AUTHORITATIVE_SNAPSHOT"))))</f>
        <v/>
      </c>
      <c r="L197" s="52" t="inlineStr">
        <is>
          <t>Use for quantity validation under the documented tolerance/cutoff.</t>
        </is>
      </c>
    </row>
    <row r="198" ht="30" customHeight="1">
      <c r="A198" s="55" t="n">
        <v>41212</v>
      </c>
      <c r="B198" s="56" t="inlineStr">
        <is>
          <t>30Oct12</t>
        </is>
      </c>
      <c r="C198" s="56" t="inlineStr">
        <is>
          <t>RSSoftware</t>
        </is>
      </c>
      <c r="D198" s="57" t="n">
        <v>1093</v>
      </c>
      <c r="E198" s="57" t="n">
        <v>1093</v>
      </c>
      <c r="F198" s="57">
        <f>IF(D198="","",D198-E198)</f>
        <v/>
      </c>
      <c r="G198" s="56" t="inlineStr">
        <is>
          <t>HARD</t>
        </is>
      </c>
      <c r="H198" s="56" t="inlineStr">
        <is>
          <t>HIGH</t>
        </is>
      </c>
      <c r="I198" s="56" t="inlineStr">
        <is>
          <t>Yes</t>
        </is>
      </c>
      <c r="J198" s="52" t="n"/>
      <c r="K198" s="52">
        <f>IF(D198="","NOT_DISPLAYED",IF(G198="OPENING",IF(ABS(F198)&lt;=1,"PASS_WITH_ROUNDING_TOLERANCE","REVIEW_OPENING"),IF(G198="SOFT",IF(ABS(F198)&lt;=1,"PASS_WITH_ROUNDING_TOLERANCE","WARNING_LOW_CONFIDENCE_SNAPSHOT"),IF(ABS(F198)&lt;=1,"PASS","FAIL_AUTHORITATIVE_SNAPSHOT"))))</f>
        <v/>
      </c>
      <c r="L198" s="52" t="inlineStr">
        <is>
          <t>Use for quantity validation under the documented tolerance/cutoff.</t>
        </is>
      </c>
    </row>
    <row r="199" ht="30" customHeight="1">
      <c r="A199" s="55" t="n">
        <v>41212</v>
      </c>
      <c r="B199" s="56" t="inlineStr">
        <is>
          <t>30Oct12</t>
        </is>
      </c>
      <c r="C199" s="56" t="inlineStr">
        <is>
          <t>SanghviMov</t>
        </is>
      </c>
      <c r="D199" s="57" t="n">
        <v>0</v>
      </c>
      <c r="E199" s="57" t="n">
        <v>0</v>
      </c>
      <c r="F199" s="57">
        <f>IF(D199="","",D199-E199)</f>
        <v/>
      </c>
      <c r="G199" s="56" t="inlineStr">
        <is>
          <t>HARD</t>
        </is>
      </c>
      <c r="H199" s="56" t="inlineStr">
        <is>
          <t>HIGH</t>
        </is>
      </c>
      <c r="I199" s="56" t="inlineStr">
        <is>
          <t>Yes</t>
        </is>
      </c>
      <c r="J199" s="52" t="n"/>
      <c r="K199" s="52">
        <f>IF(D199="","NOT_DISPLAYED",IF(G199="OPENING",IF(ABS(F199)&lt;=1,"PASS_WITH_ROUNDING_TOLERANCE","REVIEW_OPENING"),IF(G199="SOFT",IF(ABS(F199)&lt;=1,"PASS_WITH_ROUNDING_TOLERANCE","WARNING_LOW_CONFIDENCE_SNAPSHOT"),IF(ABS(F199)&lt;=1,"PASS","FAIL_AUTHORITATIVE_SNAPSHOT"))))</f>
        <v/>
      </c>
      <c r="L199" s="52" t="inlineStr">
        <is>
          <t>Use for quantity validation under the documented tolerance/cutoff.</t>
        </is>
      </c>
    </row>
    <row r="200" ht="30" customHeight="1">
      <c r="A200" s="55" t="n">
        <v>41212</v>
      </c>
      <c r="B200" s="56" t="inlineStr">
        <is>
          <t>30Oct12</t>
        </is>
      </c>
      <c r="C200" s="56" t="inlineStr">
        <is>
          <t>Technofab</t>
        </is>
      </c>
      <c r="D200" s="57" t="n">
        <v>368</v>
      </c>
      <c r="E200" s="57" t="n">
        <v>368</v>
      </c>
      <c r="F200" s="57">
        <f>IF(D200="","",D200-E200)</f>
        <v/>
      </c>
      <c r="G200" s="56" t="inlineStr">
        <is>
          <t>HARD</t>
        </is>
      </c>
      <c r="H200" s="56" t="inlineStr">
        <is>
          <t>HIGH</t>
        </is>
      </c>
      <c r="I200" s="56" t="inlineStr">
        <is>
          <t>Yes</t>
        </is>
      </c>
      <c r="J200" s="52" t="n"/>
      <c r="K200" s="52">
        <f>IF(D200="","NOT_DISPLAYED",IF(G200="OPENING",IF(ABS(F200)&lt;=1,"PASS_WITH_ROUNDING_TOLERANCE","REVIEW_OPENING"),IF(G200="SOFT",IF(ABS(F200)&lt;=1,"PASS_WITH_ROUNDING_TOLERANCE","WARNING_LOW_CONFIDENCE_SNAPSHOT"),IF(ABS(F200)&lt;=1,"PASS","FAIL_AUTHORITATIVE_SNAPSHOT"))))</f>
        <v/>
      </c>
      <c r="L200" s="52" t="inlineStr">
        <is>
          <t>Use for quantity validation under the documented tolerance/cutoff.</t>
        </is>
      </c>
    </row>
    <row r="201" ht="30" customHeight="1">
      <c r="A201" s="55" t="n">
        <v>41212</v>
      </c>
      <c r="B201" s="56" t="inlineStr">
        <is>
          <t>30Oct12</t>
        </is>
      </c>
      <c r="C201" s="56" t="inlineStr">
        <is>
          <t>Vguard</t>
        </is>
      </c>
      <c r="D201" s="57" t="n">
        <v>646</v>
      </c>
      <c r="E201" s="57" t="n">
        <v>646</v>
      </c>
      <c r="F201" s="57">
        <f>IF(D201="","",D201-E201)</f>
        <v/>
      </c>
      <c r="G201" s="56" t="inlineStr">
        <is>
          <t>HARD</t>
        </is>
      </c>
      <c r="H201" s="56" t="inlineStr">
        <is>
          <t>HIGH</t>
        </is>
      </c>
      <c r="I201" s="56" t="inlineStr">
        <is>
          <t>Yes</t>
        </is>
      </c>
      <c r="J201" s="52" t="n"/>
      <c r="K201" s="52">
        <f>IF(D201="","NOT_DISPLAYED",IF(G201="OPENING",IF(ABS(F201)&lt;=1,"PASS_WITH_ROUNDING_TOLERANCE","REVIEW_OPENING"),IF(G201="SOFT",IF(ABS(F201)&lt;=1,"PASS_WITH_ROUNDING_TOLERANCE","WARNING_LOW_CONFIDENCE_SNAPSHOT"),IF(ABS(F201)&lt;=1,"PASS","FAIL_AUTHORITATIVE_SNAPSHOT"))))</f>
        <v/>
      </c>
      <c r="L201" s="52" t="inlineStr">
        <is>
          <t>Use for quantity validation under the documented tolerance/cutoff.</t>
        </is>
      </c>
    </row>
    <row r="202" ht="30" customHeight="1">
      <c r="A202" s="55" t="n">
        <v>41212</v>
      </c>
      <c r="B202" s="56" t="inlineStr">
        <is>
          <t>30Oct12</t>
        </is>
      </c>
      <c r="C202" s="56" t="inlineStr">
        <is>
          <t>Zensar</t>
        </is>
      </c>
      <c r="D202" s="57" t="n">
        <v>225</v>
      </c>
      <c r="E202" s="57" t="n">
        <v>225</v>
      </c>
      <c r="F202" s="57">
        <f>IF(D202="","",D202-E202)</f>
        <v/>
      </c>
      <c r="G202" s="56" t="inlineStr">
        <is>
          <t>HARD</t>
        </is>
      </c>
      <c r="H202" s="56" t="inlineStr">
        <is>
          <t>HIGH</t>
        </is>
      </c>
      <c r="I202" s="56" t="inlineStr">
        <is>
          <t>Yes</t>
        </is>
      </c>
      <c r="J202" s="52" t="n"/>
      <c r="K202" s="52">
        <f>IF(D202="","NOT_DISPLAYED",IF(G202="OPENING",IF(ABS(F202)&lt;=1,"PASS_WITH_ROUNDING_TOLERANCE","REVIEW_OPENING"),IF(G202="SOFT",IF(ABS(F202)&lt;=1,"PASS_WITH_ROUNDING_TOLERANCE","WARNING_LOW_CONFIDENCE_SNAPSHOT"),IF(ABS(F202)&lt;=1,"PASS","FAIL_AUTHORITATIVE_SNAPSHOT"))))</f>
        <v/>
      </c>
      <c r="L202" s="52" t="inlineStr">
        <is>
          <t>Use for quantity validation under the documented tolerance/cutoff.</t>
        </is>
      </c>
    </row>
    <row r="203" ht="30" customHeight="1">
      <c r="A203" s="55" t="n">
        <v>41212</v>
      </c>
      <c r="B203" s="56" t="inlineStr">
        <is>
          <t>30Oct12</t>
        </is>
      </c>
      <c r="C203" s="56" t="inlineStr">
        <is>
          <t>Everest</t>
        </is>
      </c>
      <c r="D203" s="57" t="n">
        <v>0</v>
      </c>
      <c r="E203" s="57" t="n">
        <v>0</v>
      </c>
      <c r="F203" s="57">
        <f>IF(D203="","",D203-E203)</f>
        <v/>
      </c>
      <c r="G203" s="56" t="inlineStr">
        <is>
          <t>HARD</t>
        </is>
      </c>
      <c r="H203" s="56" t="inlineStr">
        <is>
          <t>HIGH</t>
        </is>
      </c>
      <c r="I203" s="56" t="inlineStr">
        <is>
          <t>Yes</t>
        </is>
      </c>
      <c r="J203" s="52" t="n"/>
      <c r="K203" s="52">
        <f>IF(D203="","NOT_DISPLAYED",IF(G203="OPENING",IF(ABS(F203)&lt;=1,"PASS_WITH_ROUNDING_TOLERANCE","REVIEW_OPENING"),IF(G203="SOFT",IF(ABS(F203)&lt;=1,"PASS_WITH_ROUNDING_TOLERANCE","WARNING_LOW_CONFIDENCE_SNAPSHOT"),IF(ABS(F203)&lt;=1,"PASS","FAIL_AUTHORITATIVE_SNAPSHOT"))))</f>
        <v/>
      </c>
      <c r="L203" s="52" t="inlineStr">
        <is>
          <t>Use for quantity validation under the documented tolerance/cutoff.</t>
        </is>
      </c>
    </row>
    <row r="204" ht="30" customHeight="1">
      <c r="A204" s="55" t="n">
        <v>41212</v>
      </c>
      <c r="B204" s="56" t="inlineStr">
        <is>
          <t>30Oct12</t>
        </is>
      </c>
      <c r="C204" s="56" t="inlineStr">
        <is>
          <t>Take</t>
        </is>
      </c>
      <c r="D204" s="57" t="n">
        <v>1850</v>
      </c>
      <c r="E204" s="57" t="n">
        <v>1850</v>
      </c>
      <c r="F204" s="57">
        <f>IF(D204="","",D204-E204)</f>
        <v/>
      </c>
      <c r="G204" s="56" t="inlineStr">
        <is>
          <t>HARD</t>
        </is>
      </c>
      <c r="H204" s="56" t="inlineStr">
        <is>
          <t>HIGH</t>
        </is>
      </c>
      <c r="I204" s="56" t="inlineStr">
        <is>
          <t>Yes</t>
        </is>
      </c>
      <c r="J204" s="52" t="n"/>
      <c r="K204" s="52">
        <f>IF(D204="","NOT_DISPLAYED",IF(G204="OPENING",IF(ABS(F204)&lt;=1,"PASS_WITH_ROUNDING_TOLERANCE","REVIEW_OPENING"),IF(G204="SOFT",IF(ABS(F204)&lt;=1,"PASS_WITH_ROUNDING_TOLERANCE","WARNING_LOW_CONFIDENCE_SNAPSHOT"),IF(ABS(F204)&lt;=1,"PASS","FAIL_AUTHORITATIVE_SNAPSHOT"))))</f>
        <v/>
      </c>
      <c r="L204" s="52" t="inlineStr">
        <is>
          <t>Use for quantity validation under the documented tolerance/cutoff.</t>
        </is>
      </c>
    </row>
    <row r="205" ht="30" customHeight="1">
      <c r="A205" s="55" t="n">
        <v>41212</v>
      </c>
      <c r="B205" s="56" t="inlineStr">
        <is>
          <t>30Oct12</t>
        </is>
      </c>
      <c r="C205" s="56" t="inlineStr">
        <is>
          <t>Heritage</t>
        </is>
      </c>
      <c r="D205" s="57" t="n">
        <v>340</v>
      </c>
      <c r="E205" s="57" t="n">
        <v>340</v>
      </c>
      <c r="F205" s="57">
        <f>IF(D205="","",D205-E205)</f>
        <v/>
      </c>
      <c r="G205" s="56" t="inlineStr">
        <is>
          <t>HARD</t>
        </is>
      </c>
      <c r="H205" s="56" t="inlineStr">
        <is>
          <t>HIGH</t>
        </is>
      </c>
      <c r="I205" s="56" t="inlineStr">
        <is>
          <t>Yes</t>
        </is>
      </c>
      <c r="J205" s="52" t="inlineStr">
        <is>
          <t>Buy</t>
        </is>
      </c>
      <c r="K205" s="52">
        <f>IF(D205="","NOT_DISPLAYED",IF(G205="OPENING",IF(ABS(F205)&lt;=1,"PASS_WITH_ROUNDING_TOLERANCE","REVIEW_OPENING"),IF(G205="SOFT",IF(ABS(F205)&lt;=1,"PASS_WITH_ROUNDING_TOLERANCE","WARNING_LOW_CONFIDENCE_SNAPSHOT"),IF(ABS(F205)&lt;=1,"PASS","FAIL_AUTHORITATIVE_SNAPSHOT"))))</f>
        <v/>
      </c>
      <c r="L205" s="52" t="inlineStr">
        <is>
          <t>Use for quantity validation under the documented tolerance/cutoff.</t>
        </is>
      </c>
    </row>
    <row r="206" ht="30" customHeight="1">
      <c r="A206" s="55" t="n">
        <v>41254</v>
      </c>
      <c r="B206" s="56" t="inlineStr">
        <is>
          <t>11Dec12</t>
        </is>
      </c>
      <c r="C206" s="56" t="inlineStr">
        <is>
          <t>Amara Raja</t>
        </is>
      </c>
      <c r="D206" s="57" t="n">
        <v>980</v>
      </c>
      <c r="E206" s="57" t="n">
        <v>980</v>
      </c>
      <c r="F206" s="57">
        <f>IF(D206="","",D206-E206)</f>
        <v/>
      </c>
      <c r="G206" s="56" t="inlineStr">
        <is>
          <t>HARD</t>
        </is>
      </c>
      <c r="H206" s="56" t="inlineStr">
        <is>
          <t>HIGH</t>
        </is>
      </c>
      <c r="I206" s="56" t="inlineStr">
        <is>
          <t>Yes</t>
        </is>
      </c>
      <c r="J206" s="52" t="n"/>
      <c r="K206" s="52">
        <f>IF(D206="","NOT_DISPLAYED",IF(G206="OPENING",IF(ABS(F206)&lt;=1,"PASS_WITH_ROUNDING_TOLERANCE","REVIEW_OPENING"),IF(G206="SOFT",IF(ABS(F206)&lt;=1,"PASS_WITH_ROUNDING_TOLERANCE","WARNING_LOW_CONFIDENCE_SNAPSHOT"),IF(ABS(F206)&lt;=1,"PASS","FAIL_AUTHORITATIVE_SNAPSHOT"))))</f>
        <v/>
      </c>
      <c r="L206" s="52" t="inlineStr">
        <is>
          <t>Use for quantity validation under the documented tolerance/cutoff.</t>
        </is>
      </c>
    </row>
    <row r="207" ht="30" customHeight="1">
      <c r="A207" s="55" t="n">
        <v>41254</v>
      </c>
      <c r="B207" s="56" t="inlineStr">
        <is>
          <t>11Dec12</t>
        </is>
      </c>
      <c r="C207" s="56" t="inlineStr">
        <is>
          <t>Ashiana</t>
        </is>
      </c>
      <c r="D207" s="57" t="n">
        <v>511</v>
      </c>
      <c r="E207" s="57" t="n">
        <v>511</v>
      </c>
      <c r="F207" s="57">
        <f>IF(D207="","",D207-E207)</f>
        <v/>
      </c>
      <c r="G207" s="56" t="inlineStr">
        <is>
          <t>HARD</t>
        </is>
      </c>
      <c r="H207" s="56" t="inlineStr">
        <is>
          <t>HIGH</t>
        </is>
      </c>
      <c r="I207" s="56" t="inlineStr">
        <is>
          <t>Yes</t>
        </is>
      </c>
      <c r="J207" s="52" t="n"/>
      <c r="K207" s="52">
        <f>IF(D207="","NOT_DISPLAYED",IF(G207="OPENING",IF(ABS(F207)&lt;=1,"PASS_WITH_ROUNDING_TOLERANCE","REVIEW_OPENING"),IF(G207="SOFT",IF(ABS(F207)&lt;=1,"PASS_WITH_ROUNDING_TOLERANCE","WARNING_LOW_CONFIDENCE_SNAPSHOT"),IF(ABS(F207)&lt;=1,"PASS","FAIL_AUTHORITATIVE_SNAPSHOT"))))</f>
        <v/>
      </c>
      <c r="L207" s="52" t="inlineStr">
        <is>
          <t>Use for quantity validation under the documented tolerance/cutoff.</t>
        </is>
      </c>
    </row>
    <row r="208" ht="30" customHeight="1">
      <c r="A208" s="55" t="n">
        <v>41254</v>
      </c>
      <c r="B208" s="56" t="inlineStr">
        <is>
          <t>11Dec12</t>
        </is>
      </c>
      <c r="C208" s="56" t="inlineStr">
        <is>
          <t>BharatForg</t>
        </is>
      </c>
      <c r="D208" s="57" t="n">
        <v>397</v>
      </c>
      <c r="E208" s="57" t="n">
        <v>397</v>
      </c>
      <c r="F208" s="57">
        <f>IF(D208="","",D208-E208)</f>
        <v/>
      </c>
      <c r="G208" s="56" t="inlineStr">
        <is>
          <t>HARD</t>
        </is>
      </c>
      <c r="H208" s="56" t="inlineStr">
        <is>
          <t>HIGH</t>
        </is>
      </c>
      <c r="I208" s="56" t="inlineStr">
        <is>
          <t>Yes</t>
        </is>
      </c>
      <c r="J208" s="52" t="n"/>
      <c r="K208" s="52">
        <f>IF(D208="","NOT_DISPLAYED",IF(G208="OPENING",IF(ABS(F208)&lt;=1,"PASS_WITH_ROUNDING_TOLERANCE","REVIEW_OPENING"),IF(G208="SOFT",IF(ABS(F208)&lt;=1,"PASS_WITH_ROUNDING_TOLERANCE","WARNING_LOW_CONFIDENCE_SNAPSHOT"),IF(ABS(F208)&lt;=1,"PASS","FAIL_AUTHORITATIVE_SNAPSHOT"))))</f>
        <v/>
      </c>
      <c r="L208" s="52" t="inlineStr">
        <is>
          <t>Use for quantity validation under the documented tolerance/cutoff.</t>
        </is>
      </c>
    </row>
    <row r="209" ht="30" customHeight="1">
      <c r="A209" s="55" t="n">
        <v>41254</v>
      </c>
      <c r="B209" s="56" t="inlineStr">
        <is>
          <t>11Dec12</t>
        </is>
      </c>
      <c r="C209" s="56" t="inlineStr">
        <is>
          <t>Geometric</t>
        </is>
      </c>
      <c r="D209" s="57" t="n">
        <v>1250</v>
      </c>
      <c r="E209" s="57" t="n">
        <v>1250</v>
      </c>
      <c r="F209" s="57">
        <f>IF(D209="","",D209-E209)</f>
        <v/>
      </c>
      <c r="G209" s="56" t="inlineStr">
        <is>
          <t>HARD</t>
        </is>
      </c>
      <c r="H209" s="56" t="inlineStr">
        <is>
          <t>HIGH</t>
        </is>
      </c>
      <c r="I209" s="56" t="inlineStr">
        <is>
          <t>Yes</t>
        </is>
      </c>
      <c r="J209" s="52" t="n"/>
      <c r="K209" s="52">
        <f>IF(D209="","NOT_DISPLAYED",IF(G209="OPENING",IF(ABS(F209)&lt;=1,"PASS_WITH_ROUNDING_TOLERANCE","REVIEW_OPENING"),IF(G209="SOFT",IF(ABS(F209)&lt;=1,"PASS_WITH_ROUNDING_TOLERANCE","WARNING_LOW_CONFIDENCE_SNAPSHOT"),IF(ABS(F209)&lt;=1,"PASS","FAIL_AUTHORITATIVE_SNAPSHOT"))))</f>
        <v/>
      </c>
      <c r="L209" s="52" t="inlineStr">
        <is>
          <t>Use for quantity validation under the documented tolerance/cutoff.</t>
        </is>
      </c>
    </row>
    <row r="210" ht="30" customHeight="1">
      <c r="A210" s="55" t="n">
        <v>41254</v>
      </c>
      <c r="B210" s="56" t="inlineStr">
        <is>
          <t>11Dec12</t>
        </is>
      </c>
      <c r="C210" s="56" t="inlineStr">
        <is>
          <t>Havells</t>
        </is>
      </c>
      <c r="D210" s="57" t="n">
        <v>0</v>
      </c>
      <c r="E210" s="57" t="n">
        <v>0</v>
      </c>
      <c r="F210" s="57">
        <f>IF(D210="","",D210-E210)</f>
        <v/>
      </c>
      <c r="G210" s="56" t="inlineStr">
        <is>
          <t>HARD</t>
        </is>
      </c>
      <c r="H210" s="56" t="inlineStr">
        <is>
          <t>HIGH</t>
        </is>
      </c>
      <c r="I210" s="56" t="inlineStr">
        <is>
          <t>Yes</t>
        </is>
      </c>
      <c r="J210" s="52" t="n"/>
      <c r="K210" s="52">
        <f>IF(D210="","NOT_DISPLAYED",IF(G210="OPENING",IF(ABS(F210)&lt;=1,"PASS_WITH_ROUNDING_TOLERANCE","REVIEW_OPENING"),IF(G210="SOFT",IF(ABS(F210)&lt;=1,"PASS_WITH_ROUNDING_TOLERANCE","WARNING_LOW_CONFIDENCE_SNAPSHOT"),IF(ABS(F210)&lt;=1,"PASS","FAIL_AUTHORITATIVE_SNAPSHOT"))))</f>
        <v/>
      </c>
      <c r="L210" s="52" t="inlineStr">
        <is>
          <t>Use for quantity validation under the documented tolerance/cutoff.</t>
        </is>
      </c>
    </row>
    <row r="211" ht="30" customHeight="1">
      <c r="A211" s="55" t="n">
        <v>41254</v>
      </c>
      <c r="B211" s="56" t="inlineStr">
        <is>
          <t>11Dec12</t>
        </is>
      </c>
      <c r="C211" s="56" t="inlineStr">
        <is>
          <t>Kaveri</t>
        </is>
      </c>
      <c r="D211" s="57" t="n">
        <v>111</v>
      </c>
      <c r="E211" s="57" t="n">
        <v>111</v>
      </c>
      <c r="F211" s="57">
        <f>IF(D211="","",D211-E211)</f>
        <v/>
      </c>
      <c r="G211" s="56" t="inlineStr">
        <is>
          <t>HARD</t>
        </is>
      </c>
      <c r="H211" s="56" t="inlineStr">
        <is>
          <t>HIGH</t>
        </is>
      </c>
      <c r="I211" s="56" t="inlineStr">
        <is>
          <t>Yes</t>
        </is>
      </c>
      <c r="J211" s="52" t="n"/>
      <c r="K211" s="52">
        <f>IF(D211="","NOT_DISPLAYED",IF(G211="OPENING",IF(ABS(F211)&lt;=1,"PASS_WITH_ROUNDING_TOLERANCE","REVIEW_OPENING"),IF(G211="SOFT",IF(ABS(F211)&lt;=1,"PASS_WITH_ROUNDING_TOLERANCE","WARNING_LOW_CONFIDENCE_SNAPSHOT"),IF(ABS(F211)&lt;=1,"PASS","FAIL_AUTHORITATIVE_SNAPSHOT"))))</f>
        <v/>
      </c>
      <c r="L211" s="52" t="inlineStr">
        <is>
          <t>Use for quantity validation under the documented tolerance/cutoff.</t>
        </is>
      </c>
    </row>
    <row r="212" ht="30" customHeight="1">
      <c r="A212" s="55" t="n">
        <v>41254</v>
      </c>
      <c r="B212" s="56" t="inlineStr">
        <is>
          <t>11Dec12</t>
        </is>
      </c>
      <c r="C212" s="56" t="inlineStr">
        <is>
          <t>NIITTech</t>
        </is>
      </c>
      <c r="D212" s="57" t="n">
        <v>372</v>
      </c>
      <c r="E212" s="57" t="n">
        <v>372</v>
      </c>
      <c r="F212" s="57">
        <f>IF(D212="","",D212-E212)</f>
        <v/>
      </c>
      <c r="G212" s="56" t="inlineStr">
        <is>
          <t>HARD</t>
        </is>
      </c>
      <c r="H212" s="56" t="inlineStr">
        <is>
          <t>HIGH</t>
        </is>
      </c>
      <c r="I212" s="56" t="inlineStr">
        <is>
          <t>Yes</t>
        </is>
      </c>
      <c r="J212" s="52" t="n"/>
      <c r="K212" s="52">
        <f>IF(D212="","NOT_DISPLAYED",IF(G212="OPENING",IF(ABS(F212)&lt;=1,"PASS_WITH_ROUNDING_TOLERANCE","REVIEW_OPENING"),IF(G212="SOFT",IF(ABS(F212)&lt;=1,"PASS_WITH_ROUNDING_TOLERANCE","WARNING_LOW_CONFIDENCE_SNAPSHOT"),IF(ABS(F212)&lt;=1,"PASS","FAIL_AUTHORITATIVE_SNAPSHOT"))))</f>
        <v/>
      </c>
      <c r="L212" s="52" t="inlineStr">
        <is>
          <t>Use for quantity validation under the documented tolerance/cutoff.</t>
        </is>
      </c>
    </row>
    <row r="213" ht="30" customHeight="1">
      <c r="A213" s="55" t="n">
        <v>41254</v>
      </c>
      <c r="B213" s="56" t="inlineStr">
        <is>
          <t>11Dec12</t>
        </is>
      </c>
      <c r="C213" s="56" t="inlineStr">
        <is>
          <t>RSSoftware</t>
        </is>
      </c>
      <c r="D213" s="57" t="n">
        <v>1093</v>
      </c>
      <c r="E213" s="57" t="n">
        <v>1093</v>
      </c>
      <c r="F213" s="57">
        <f>IF(D213="","",D213-E213)</f>
        <v/>
      </c>
      <c r="G213" s="56" t="inlineStr">
        <is>
          <t>HARD</t>
        </is>
      </c>
      <c r="H213" s="56" t="inlineStr">
        <is>
          <t>HIGH</t>
        </is>
      </c>
      <c r="I213" s="56" t="inlineStr">
        <is>
          <t>Yes</t>
        </is>
      </c>
      <c r="J213" s="52" t="n"/>
      <c r="K213" s="52">
        <f>IF(D213="","NOT_DISPLAYED",IF(G213="OPENING",IF(ABS(F213)&lt;=1,"PASS_WITH_ROUNDING_TOLERANCE","REVIEW_OPENING"),IF(G213="SOFT",IF(ABS(F213)&lt;=1,"PASS_WITH_ROUNDING_TOLERANCE","WARNING_LOW_CONFIDENCE_SNAPSHOT"),IF(ABS(F213)&lt;=1,"PASS","FAIL_AUTHORITATIVE_SNAPSHOT"))))</f>
        <v/>
      </c>
      <c r="L213" s="52" t="inlineStr">
        <is>
          <t>Use for quantity validation under the documented tolerance/cutoff.</t>
        </is>
      </c>
    </row>
    <row r="214" ht="30" customHeight="1">
      <c r="A214" s="55" t="n">
        <v>41254</v>
      </c>
      <c r="B214" s="56" t="inlineStr">
        <is>
          <t>11Dec12</t>
        </is>
      </c>
      <c r="C214" s="56" t="inlineStr">
        <is>
          <t>SanghviMov</t>
        </is>
      </c>
      <c r="D214" s="57" t="n">
        <v>0</v>
      </c>
      <c r="E214" s="57" t="n">
        <v>0</v>
      </c>
      <c r="F214" s="57">
        <f>IF(D214="","",D214-E214)</f>
        <v/>
      </c>
      <c r="G214" s="56" t="inlineStr">
        <is>
          <t>HARD</t>
        </is>
      </c>
      <c r="H214" s="56" t="inlineStr">
        <is>
          <t>HIGH</t>
        </is>
      </c>
      <c r="I214" s="56" t="inlineStr">
        <is>
          <t>Yes</t>
        </is>
      </c>
      <c r="J214" s="52" t="n"/>
      <c r="K214" s="52">
        <f>IF(D214="","NOT_DISPLAYED",IF(G214="OPENING",IF(ABS(F214)&lt;=1,"PASS_WITH_ROUNDING_TOLERANCE","REVIEW_OPENING"),IF(G214="SOFT",IF(ABS(F214)&lt;=1,"PASS_WITH_ROUNDING_TOLERANCE","WARNING_LOW_CONFIDENCE_SNAPSHOT"),IF(ABS(F214)&lt;=1,"PASS","FAIL_AUTHORITATIVE_SNAPSHOT"))))</f>
        <v/>
      </c>
      <c r="L214" s="52" t="inlineStr">
        <is>
          <t>Use for quantity validation under the documented tolerance/cutoff.</t>
        </is>
      </c>
    </row>
    <row r="215" ht="30" customHeight="1">
      <c r="A215" s="55" t="n">
        <v>41254</v>
      </c>
      <c r="B215" s="56" t="inlineStr">
        <is>
          <t>11Dec12</t>
        </is>
      </c>
      <c r="C215" s="56" t="inlineStr">
        <is>
          <t>Technofab</t>
        </is>
      </c>
      <c r="D215" s="57" t="n">
        <v>368</v>
      </c>
      <c r="E215" s="57" t="n">
        <v>368</v>
      </c>
      <c r="F215" s="57">
        <f>IF(D215="","",D215-E215)</f>
        <v/>
      </c>
      <c r="G215" s="56" t="inlineStr">
        <is>
          <t>HARD</t>
        </is>
      </c>
      <c r="H215" s="56" t="inlineStr">
        <is>
          <t>HIGH</t>
        </is>
      </c>
      <c r="I215" s="56" t="inlineStr">
        <is>
          <t>Yes</t>
        </is>
      </c>
      <c r="J215" s="52" t="n"/>
      <c r="K215" s="52">
        <f>IF(D215="","NOT_DISPLAYED",IF(G215="OPENING",IF(ABS(F215)&lt;=1,"PASS_WITH_ROUNDING_TOLERANCE","REVIEW_OPENING"),IF(G215="SOFT",IF(ABS(F215)&lt;=1,"PASS_WITH_ROUNDING_TOLERANCE","WARNING_LOW_CONFIDENCE_SNAPSHOT"),IF(ABS(F215)&lt;=1,"PASS","FAIL_AUTHORITATIVE_SNAPSHOT"))))</f>
        <v/>
      </c>
      <c r="L215" s="52" t="inlineStr">
        <is>
          <t>Use for quantity validation under the documented tolerance/cutoff.</t>
        </is>
      </c>
    </row>
    <row r="216" ht="30" customHeight="1">
      <c r="A216" s="55" t="n">
        <v>41254</v>
      </c>
      <c r="B216" s="56" t="inlineStr">
        <is>
          <t>11Dec12</t>
        </is>
      </c>
      <c r="C216" s="56" t="inlineStr">
        <is>
          <t>Vguard</t>
        </is>
      </c>
      <c r="D216" s="57" t="n">
        <v>646</v>
      </c>
      <c r="E216" s="57" t="n">
        <v>646</v>
      </c>
      <c r="F216" s="57">
        <f>IF(D216="","",D216-E216)</f>
        <v/>
      </c>
      <c r="G216" s="56" t="inlineStr">
        <is>
          <t>HARD</t>
        </is>
      </c>
      <c r="H216" s="56" t="inlineStr">
        <is>
          <t>HIGH</t>
        </is>
      </c>
      <c r="I216" s="56" t="inlineStr">
        <is>
          <t>Yes</t>
        </is>
      </c>
      <c r="J216" s="52" t="n"/>
      <c r="K216" s="52">
        <f>IF(D216="","NOT_DISPLAYED",IF(G216="OPENING",IF(ABS(F216)&lt;=1,"PASS_WITH_ROUNDING_TOLERANCE","REVIEW_OPENING"),IF(G216="SOFT",IF(ABS(F216)&lt;=1,"PASS_WITH_ROUNDING_TOLERANCE","WARNING_LOW_CONFIDENCE_SNAPSHOT"),IF(ABS(F216)&lt;=1,"PASS","FAIL_AUTHORITATIVE_SNAPSHOT"))))</f>
        <v/>
      </c>
      <c r="L216" s="52" t="inlineStr">
        <is>
          <t>Use for quantity validation under the documented tolerance/cutoff.</t>
        </is>
      </c>
    </row>
    <row r="217" ht="30" customHeight="1">
      <c r="A217" s="55" t="n">
        <v>41254</v>
      </c>
      <c r="B217" s="56" t="inlineStr">
        <is>
          <t>11Dec12</t>
        </is>
      </c>
      <c r="C217" s="56" t="inlineStr">
        <is>
          <t>Zensar</t>
        </is>
      </c>
      <c r="D217" s="57" t="n">
        <v>225</v>
      </c>
      <c r="E217" s="57" t="n">
        <v>225</v>
      </c>
      <c r="F217" s="57">
        <f>IF(D217="","",D217-E217)</f>
        <v/>
      </c>
      <c r="G217" s="56" t="inlineStr">
        <is>
          <t>HARD</t>
        </is>
      </c>
      <c r="H217" s="56" t="inlineStr">
        <is>
          <t>HIGH</t>
        </is>
      </c>
      <c r="I217" s="56" t="inlineStr">
        <is>
          <t>Yes</t>
        </is>
      </c>
      <c r="J217" s="52" t="n"/>
      <c r="K217" s="52">
        <f>IF(D217="","NOT_DISPLAYED",IF(G217="OPENING",IF(ABS(F217)&lt;=1,"PASS_WITH_ROUNDING_TOLERANCE","REVIEW_OPENING"),IF(G217="SOFT",IF(ABS(F217)&lt;=1,"PASS_WITH_ROUNDING_TOLERANCE","WARNING_LOW_CONFIDENCE_SNAPSHOT"),IF(ABS(F217)&lt;=1,"PASS","FAIL_AUTHORITATIVE_SNAPSHOT"))))</f>
        <v/>
      </c>
      <c r="L217" s="52" t="inlineStr">
        <is>
          <t>Use for quantity validation under the documented tolerance/cutoff.</t>
        </is>
      </c>
    </row>
    <row r="218" ht="30" customHeight="1">
      <c r="A218" s="55" t="n">
        <v>41254</v>
      </c>
      <c r="B218" s="56" t="inlineStr">
        <is>
          <t>11Dec12</t>
        </is>
      </c>
      <c r="C218" s="56" t="inlineStr">
        <is>
          <t>Everest</t>
        </is>
      </c>
      <c r="D218" s="57" t="n">
        <v>350</v>
      </c>
      <c r="E218" s="57" t="n">
        <v>350</v>
      </c>
      <c r="F218" s="57">
        <f>IF(D218="","",D218-E218)</f>
        <v/>
      </c>
      <c r="G218" s="56" t="inlineStr">
        <is>
          <t>HARD</t>
        </is>
      </c>
      <c r="H218" s="56" t="inlineStr">
        <is>
          <t>HIGH</t>
        </is>
      </c>
      <c r="I218" s="56" t="inlineStr">
        <is>
          <t>Yes</t>
        </is>
      </c>
      <c r="J218" s="52" t="inlineStr">
        <is>
          <t>Buy</t>
        </is>
      </c>
      <c r="K218" s="52">
        <f>IF(D218="","NOT_DISPLAYED",IF(G218="OPENING",IF(ABS(F218)&lt;=1,"PASS_WITH_ROUNDING_TOLERANCE","REVIEW_OPENING"),IF(G218="SOFT",IF(ABS(F218)&lt;=1,"PASS_WITH_ROUNDING_TOLERANCE","WARNING_LOW_CONFIDENCE_SNAPSHOT"),IF(ABS(F218)&lt;=1,"PASS","FAIL_AUTHORITATIVE_SNAPSHOT"))))</f>
        <v/>
      </c>
      <c r="L218" s="52" t="inlineStr">
        <is>
          <t>Use for quantity validation under the documented tolerance/cutoff.</t>
        </is>
      </c>
    </row>
    <row r="219" ht="30" customHeight="1">
      <c r="A219" s="55" t="n">
        <v>41254</v>
      </c>
      <c r="B219" s="56" t="inlineStr">
        <is>
          <t>11Dec12</t>
        </is>
      </c>
      <c r="C219" s="56" t="inlineStr">
        <is>
          <t>Take</t>
        </is>
      </c>
      <c r="D219" s="57" t="n">
        <v>1850</v>
      </c>
      <c r="E219" s="57" t="n">
        <v>1850</v>
      </c>
      <c r="F219" s="57">
        <f>IF(D219="","",D219-E219)</f>
        <v/>
      </c>
      <c r="G219" s="56" t="inlineStr">
        <is>
          <t>HARD</t>
        </is>
      </c>
      <c r="H219" s="56" t="inlineStr">
        <is>
          <t>HIGH</t>
        </is>
      </c>
      <c r="I219" s="56" t="inlineStr">
        <is>
          <t>Yes</t>
        </is>
      </c>
      <c r="J219" s="52" t="n"/>
      <c r="K219" s="52">
        <f>IF(D219="","NOT_DISPLAYED",IF(G219="OPENING",IF(ABS(F219)&lt;=1,"PASS_WITH_ROUNDING_TOLERANCE","REVIEW_OPENING"),IF(G219="SOFT",IF(ABS(F219)&lt;=1,"PASS_WITH_ROUNDING_TOLERANCE","WARNING_LOW_CONFIDENCE_SNAPSHOT"),IF(ABS(F219)&lt;=1,"PASS","FAIL_AUTHORITATIVE_SNAPSHOT"))))</f>
        <v/>
      </c>
      <c r="L219" s="52" t="inlineStr">
        <is>
          <t>Use for quantity validation under the documented tolerance/cutoff.</t>
        </is>
      </c>
    </row>
    <row r="220" ht="30" customHeight="1">
      <c r="A220" s="55" t="n">
        <v>41254</v>
      </c>
      <c r="B220" s="56" t="inlineStr">
        <is>
          <t>11Dec12</t>
        </is>
      </c>
      <c r="C220" s="56" t="inlineStr">
        <is>
          <t>Heritage</t>
        </is>
      </c>
      <c r="D220" s="57" t="n">
        <v>340</v>
      </c>
      <c r="E220" s="57" t="n">
        <v>340</v>
      </c>
      <c r="F220" s="57">
        <f>IF(D220="","",D220-E220)</f>
        <v/>
      </c>
      <c r="G220" s="56" t="inlineStr">
        <is>
          <t>HARD</t>
        </is>
      </c>
      <c r="H220" s="56" t="inlineStr">
        <is>
          <t>HIGH</t>
        </is>
      </c>
      <c r="I220" s="56" t="inlineStr">
        <is>
          <t>Yes</t>
        </is>
      </c>
      <c r="J220" s="52" t="n"/>
      <c r="K220" s="52">
        <f>IF(D220="","NOT_DISPLAYED",IF(G220="OPENING",IF(ABS(F220)&lt;=1,"PASS_WITH_ROUNDING_TOLERANCE","REVIEW_OPENING"),IF(G220="SOFT",IF(ABS(F220)&lt;=1,"PASS_WITH_ROUNDING_TOLERANCE","WARNING_LOW_CONFIDENCE_SNAPSHOT"),IF(ABS(F220)&lt;=1,"PASS","FAIL_AUTHORITATIVE_SNAPSHOT"))))</f>
        <v/>
      </c>
      <c r="L220" s="52" t="inlineStr">
        <is>
          <t>Use for quantity validation under the documented tolerance/cutoff.</t>
        </is>
      </c>
    </row>
  </sheetData>
  <conditionalFormatting sqref="K2:K209">
    <cfRule type="expression" priority="1" dxfId="1">
      <formula>K2="PASS"</formula>
    </cfRule>
    <cfRule type="expression" priority="2" dxfId="5">
      <formula>K2="PASS_WITH_ROUNDING_TOLERANCE"</formula>
    </cfRule>
    <cfRule type="expression" priority="3" dxfId="4">
      <formula>K2="WARNING_LOW_CONFIDENCE_SNAPSHOT"</formula>
    </cfRule>
    <cfRule type="expression" priority="4" dxfId="3">
      <formula>ISNUMBER(SEARCH("FAIL",K2))</formula>
    </cfRule>
  </conditionalFormatting>
  <conditionalFormatting sqref="K2:K220">
    <cfRule type="expression" priority="5" dxfId="1">
      <formula>K2="PASS"</formula>
    </cfRule>
    <cfRule type="expression" priority="6" dxfId="5">
      <formula>K2="PASS_WITH_ROUNDING_TOLERANCE"</formula>
    </cfRule>
    <cfRule type="expression" priority="7" dxfId="4">
      <formula>K2="WARNING_LOW_CONFIDENCE_SNAPSHOT"</formula>
    </cfRule>
    <cfRule type="expression" priority="8" dxfId="3">
      <formula>ISNUMBER(SEARCH("FAIL",K2))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18" customWidth="1" min="2" max="3"/>
    <col width="21" customWidth="1" min="4" max="11"/>
    <col width="28" customWidth="1" min="12" max="12"/>
    <col width="58" customWidth="1" min="13" max="13"/>
  </cols>
  <sheetData>
    <row r="1" ht="45.25" customHeight="1">
      <c r="A1" s="54" t="inlineStr">
        <is>
          <t>Stock</t>
        </is>
      </c>
      <c r="B1" s="54" t="inlineStr">
        <is>
          <t>First Available Snapshot</t>
        </is>
      </c>
      <c r="C1" s="54" t="inlineStr">
        <is>
          <t>First Snapshot Mode</t>
        </is>
      </c>
      <c r="D1" s="54" t="inlineStr">
        <is>
          <t>First Snapshot Qty</t>
        </is>
      </c>
      <c r="E1" s="54" t="inlineStr">
        <is>
          <t>Rounded First Qty</t>
        </is>
      </c>
      <c r="F1" s="54" t="inlineStr">
        <is>
          <t>Master Qty at First Snapshot</t>
        </is>
      </c>
      <c r="G1" s="54" t="inlineStr">
        <is>
          <t>First Snapshot Difference</t>
        </is>
      </c>
      <c r="H1" s="54" t="inlineStr">
        <is>
          <t>Max Soft-Window Difference</t>
        </is>
      </c>
      <c r="I1" s="54" t="inlineStr">
        <is>
          <t>27-Aug Snapshot Qty</t>
        </is>
      </c>
      <c r="J1" s="54" t="inlineStr">
        <is>
          <t>Master Qty at 27-Aug</t>
        </is>
      </c>
      <c r="K1" s="54" t="inlineStr">
        <is>
          <t>Post-Cutoff Hard Failures</t>
        </is>
      </c>
      <c r="L1" s="54" t="inlineStr">
        <is>
          <t>Master Transaction Changes</t>
        </is>
      </c>
      <c r="M1" s="54" t="inlineStr">
        <is>
          <t>Final Treatment</t>
        </is>
      </c>
    </row>
    <row r="2" ht="30" customHeight="1">
      <c r="A2" s="56" t="inlineStr">
        <is>
          <t>Amara Raja</t>
        </is>
      </c>
      <c r="B2" s="55" t="n">
        <v>40909</v>
      </c>
      <c r="C2" s="57" t="inlineStr">
        <is>
          <t>OPENING</t>
        </is>
      </c>
      <c r="D2" s="57" t="n">
        <v>490.1960784313725</v>
      </c>
      <c r="E2" s="57" t="n">
        <v>490</v>
      </c>
      <c r="F2" s="57" t="n">
        <v>490</v>
      </c>
      <c r="G2" s="57" t="n">
        <v>0</v>
      </c>
      <c r="H2" s="57" t="n">
        <v>167.4193548387097</v>
      </c>
      <c r="I2" s="57" t="n">
        <v>490</v>
      </c>
      <c r="J2" s="57" t="n">
        <v>490</v>
      </c>
      <c r="K2" s="59" t="n">
        <v>0</v>
      </c>
      <c r="L2" s="52" t="inlineStr">
        <is>
          <t>None under 2012 drift policy</t>
        </is>
      </c>
      <c r="M2" s="52" t="inlineStr">
        <is>
          <t>Soft warnings before 27-Aug-2012; hard reconciliation from 27-Aug-2012</t>
        </is>
      </c>
    </row>
    <row r="3" ht="30" customHeight="1">
      <c r="A3" s="56" t="inlineStr">
        <is>
          <t>Ashiana</t>
        </is>
      </c>
      <c r="B3" s="55" t="n">
        <v>40909</v>
      </c>
      <c r="C3" s="57" t="inlineStr">
        <is>
          <t>OPENING</t>
        </is>
      </c>
      <c r="D3" s="57" t="n">
        <v>510.948905109489</v>
      </c>
      <c r="E3" s="57" t="n">
        <v>511</v>
      </c>
      <c r="F3" s="57" t="n">
        <v>511</v>
      </c>
      <c r="G3" s="57" t="n">
        <v>0</v>
      </c>
      <c r="H3" s="57" t="n">
        <v>117.7415730337079</v>
      </c>
      <c r="I3" s="57" t="n">
        <v>511</v>
      </c>
      <c r="J3" s="57" t="n">
        <v>511</v>
      </c>
      <c r="K3" s="59" t="n">
        <v>0</v>
      </c>
      <c r="L3" s="52" t="inlineStr">
        <is>
          <t>None under 2012 drift policy</t>
        </is>
      </c>
      <c r="M3" s="52" t="inlineStr">
        <is>
          <t>Soft warnings before 27-Aug-2012; hard reconciliation from 27-Aug-2012</t>
        </is>
      </c>
    </row>
    <row r="4" ht="30" customHeight="1">
      <c r="A4" s="56" t="inlineStr">
        <is>
          <t>BharatForg</t>
        </is>
      </c>
      <c r="B4" s="55" t="n">
        <v>40909</v>
      </c>
      <c r="C4" s="57" t="inlineStr">
        <is>
          <t>OPENING</t>
        </is>
      </c>
      <c r="D4" s="57" t="n">
        <v>595.2380952380952</v>
      </c>
      <c r="E4" s="57" t="n">
        <v>595</v>
      </c>
      <c r="F4" s="57" t="n">
        <v>595</v>
      </c>
      <c r="G4" s="57" t="n">
        <v>0</v>
      </c>
      <c r="H4" s="57" t="n">
        <v>127.7102803738318</v>
      </c>
      <c r="I4" s="57" t="n">
        <v>397</v>
      </c>
      <c r="J4" s="57" t="n">
        <v>397</v>
      </c>
      <c r="K4" s="59" t="n">
        <v>0</v>
      </c>
      <c r="L4" s="52" t="inlineStr">
        <is>
          <t>None under 2012 drift policy</t>
        </is>
      </c>
      <c r="M4" s="52" t="inlineStr">
        <is>
          <t>Soft warnings before 27-Aug-2012; hard reconciliation from 27-Aug-2012</t>
        </is>
      </c>
    </row>
    <row r="5" ht="30" customHeight="1">
      <c r="A5" s="56" t="inlineStr">
        <is>
          <t>Geometric</t>
        </is>
      </c>
      <c r="B5" s="55" t="n">
        <v>40956</v>
      </c>
      <c r="C5" s="57" t="inlineStr">
        <is>
          <t>SOFT</t>
        </is>
      </c>
      <c r="D5" s="57" t="n">
        <v>1000</v>
      </c>
      <c r="E5" s="57" t="n">
        <v>1000</v>
      </c>
      <c r="F5" s="57" t="n">
        <v>1250</v>
      </c>
      <c r="G5" s="57" t="n">
        <v>-250</v>
      </c>
      <c r="H5" s="57" t="n">
        <v>574.3243243243244</v>
      </c>
      <c r="I5" s="57" t="n">
        <v>1250</v>
      </c>
      <c r="J5" s="57" t="n">
        <v>1250</v>
      </c>
      <c r="K5" s="59" t="n">
        <v>0</v>
      </c>
      <c r="L5" s="52" t="inlineStr">
        <is>
          <t>None under 2012 drift policy</t>
        </is>
      </c>
      <c r="M5" s="52" t="inlineStr">
        <is>
          <t>Soft warnings before 27-Aug-2012; hard reconciliation from 27-Aug-2012</t>
        </is>
      </c>
    </row>
    <row r="6" ht="30" customHeight="1">
      <c r="A6" s="56" t="inlineStr">
        <is>
          <t>Havells</t>
        </is>
      </c>
      <c r="B6" s="55" t="n">
        <v>40909</v>
      </c>
      <c r="C6" s="57" t="inlineStr">
        <is>
          <t>OPENING</t>
        </is>
      </c>
      <c r="D6" s="57" t="n">
        <v>389.6103896103896</v>
      </c>
      <c r="E6" s="57" t="n">
        <v>390</v>
      </c>
      <c r="F6" s="57" t="n">
        <v>390</v>
      </c>
      <c r="G6" s="57" t="n">
        <v>0</v>
      </c>
      <c r="H6" s="57" t="n">
        <v>130.9326424870466</v>
      </c>
      <c r="I6" s="57" t="n">
        <v>260</v>
      </c>
      <c r="J6" s="57" t="n">
        <v>260</v>
      </c>
      <c r="K6" s="59" t="n">
        <v>0</v>
      </c>
      <c r="L6" s="52" t="inlineStr">
        <is>
          <t>None under 2012 drift policy</t>
        </is>
      </c>
      <c r="M6" s="52" t="inlineStr">
        <is>
          <t>Soft warnings before 27-Aug-2012; hard reconciliation from 27-Aug-2012</t>
        </is>
      </c>
    </row>
    <row r="7" ht="30" customHeight="1">
      <c r="A7" s="56" t="inlineStr">
        <is>
          <t>Kaveri</t>
        </is>
      </c>
      <c r="B7" s="55" t="n">
        <v>40909</v>
      </c>
      <c r="C7" s="57" t="inlineStr">
        <is>
          <t>OPENING</t>
        </is>
      </c>
      <c r="D7" s="57" t="n">
        <v>156.25</v>
      </c>
      <c r="E7" s="57" t="n">
        <v>156</v>
      </c>
      <c r="F7" s="57" t="n">
        <v>156</v>
      </c>
      <c r="G7" s="57" t="n">
        <v>0</v>
      </c>
      <c r="H7" s="57" t="n">
        <v>60.50204638472033</v>
      </c>
      <c r="I7" s="57" t="n">
        <v>111</v>
      </c>
      <c r="J7" s="57" t="n">
        <v>111</v>
      </c>
      <c r="K7" s="59" t="n">
        <v>0</v>
      </c>
      <c r="L7" s="52" t="inlineStr">
        <is>
          <t>None under 2012 drift policy</t>
        </is>
      </c>
      <c r="M7" s="52" t="inlineStr">
        <is>
          <t>Soft warnings before 27-Aug-2012; hard reconciliation from 27-Aug-2012</t>
        </is>
      </c>
    </row>
    <row r="8" ht="30" customHeight="1">
      <c r="A8" s="56" t="inlineStr">
        <is>
          <t>NIITTech</t>
        </is>
      </c>
      <c r="B8" s="55" t="n">
        <v>41008</v>
      </c>
      <c r="C8" s="57" t="inlineStr">
        <is>
          <t>SOFT</t>
        </is>
      </c>
      <c r="D8" s="57" t="n">
        <v>371.7472118959108</v>
      </c>
      <c r="E8" s="57" t="n">
        <v>372</v>
      </c>
      <c r="F8" s="57" t="n">
        <v>372</v>
      </c>
      <c r="G8" s="57" t="n">
        <v>0</v>
      </c>
      <c r="H8" s="57" t="n">
        <v>175.1496062992126</v>
      </c>
      <c r="I8" s="57" t="n">
        <v>372</v>
      </c>
      <c r="J8" s="57" t="n">
        <v>372</v>
      </c>
      <c r="K8" s="59" t="n">
        <v>0</v>
      </c>
      <c r="L8" s="52" t="inlineStr">
        <is>
          <t>None under 2012 drift policy</t>
        </is>
      </c>
      <c r="M8" s="52" t="inlineStr">
        <is>
          <t>Soft warnings before 27-Aug-2012; hard reconciliation from 27-Aug-2012</t>
        </is>
      </c>
    </row>
    <row r="9" ht="30" customHeight="1">
      <c r="A9" s="56" t="inlineStr">
        <is>
          <t>RSSoftware</t>
        </is>
      </c>
      <c r="B9" s="55" t="n">
        <v>41008</v>
      </c>
      <c r="C9" s="57" t="inlineStr">
        <is>
          <t>SOFT</t>
        </is>
      </c>
      <c r="D9" s="57" t="n">
        <v>781.25</v>
      </c>
      <c r="E9" s="57" t="n">
        <v>781</v>
      </c>
      <c r="F9" s="57" t="n">
        <v>781</v>
      </c>
      <c r="G9" s="57" t="n">
        <v>0</v>
      </c>
      <c r="H9" s="57" t="n">
        <v>514.4876033057851</v>
      </c>
      <c r="I9" s="57" t="n">
        <v>1093</v>
      </c>
      <c r="J9" s="57" t="n">
        <v>1093</v>
      </c>
      <c r="K9" s="59" t="n">
        <v>0</v>
      </c>
      <c r="L9" s="52" t="inlineStr">
        <is>
          <t>None under 2012 drift policy</t>
        </is>
      </c>
      <c r="M9" s="52" t="inlineStr">
        <is>
          <t>Soft warnings before 27-Aug-2012; hard reconciliation from 27-Aug-2012</t>
        </is>
      </c>
    </row>
    <row r="10" ht="30" customHeight="1">
      <c r="A10" s="56" t="inlineStr">
        <is>
          <t>SanghviMov</t>
        </is>
      </c>
      <c r="B10" s="55" t="n">
        <v>40909</v>
      </c>
      <c r="C10" s="57" t="inlineStr">
        <is>
          <t>OPENING</t>
        </is>
      </c>
      <c r="D10" s="57" t="n">
        <v>919.5402298850574</v>
      </c>
      <c r="E10" s="57" t="n">
        <v>920</v>
      </c>
      <c r="F10" s="57" t="n">
        <v>920</v>
      </c>
      <c r="G10" s="57" t="n">
        <v>0</v>
      </c>
      <c r="H10" s="57" t="n">
        <v>205.7142857142857</v>
      </c>
      <c r="I10" s="57" t="n">
        <v>0</v>
      </c>
      <c r="J10" s="57" t="n">
        <v>0</v>
      </c>
      <c r="K10" s="59" t="n">
        <v>0</v>
      </c>
      <c r="L10" s="52" t="inlineStr">
        <is>
          <t>None under 2012 drift policy</t>
        </is>
      </c>
      <c r="M10" s="52" t="inlineStr">
        <is>
          <t>Soft warnings before 27-Aug-2012; hard reconciliation from 27-Aug-2012</t>
        </is>
      </c>
    </row>
    <row r="11" ht="30" customHeight="1">
      <c r="A11" s="56" t="inlineStr">
        <is>
          <t>Technofab</t>
        </is>
      </c>
      <c r="B11" s="55" t="n">
        <v>41092</v>
      </c>
      <c r="C11" s="57" t="inlineStr">
        <is>
          <t>SOFT</t>
        </is>
      </c>
      <c r="D11" s="57" t="n">
        <v>367.6470588235294</v>
      </c>
      <c r="E11" s="57" t="n">
        <v>368</v>
      </c>
      <c r="F11" s="57" t="n">
        <v>368</v>
      </c>
      <c r="G11" s="57" t="n">
        <v>0</v>
      </c>
      <c r="H11" s="57" t="n">
        <v>22.625</v>
      </c>
      <c r="I11" s="57" t="n">
        <v>368</v>
      </c>
      <c r="J11" s="57" t="n">
        <v>368</v>
      </c>
      <c r="K11" s="59" t="n">
        <v>0</v>
      </c>
      <c r="L11" s="52" t="inlineStr">
        <is>
          <t>None under 2012 drift policy</t>
        </is>
      </c>
      <c r="M11" s="52" t="inlineStr">
        <is>
          <t>Soft warnings before 27-Aug-2012; hard reconciliation from 27-Aug-2012</t>
        </is>
      </c>
    </row>
    <row r="12" ht="30" customHeight="1">
      <c r="A12" s="56" t="inlineStr">
        <is>
          <t>Vguard</t>
        </is>
      </c>
      <c r="B12" s="55" t="n">
        <v>40909</v>
      </c>
      <c r="C12" s="57" t="inlineStr">
        <is>
          <t>OPENING</t>
        </is>
      </c>
      <c r="D12" s="57" t="n">
        <v>387.0967741935484</v>
      </c>
      <c r="E12" s="57" t="n">
        <v>387</v>
      </c>
      <c r="F12" s="57" t="n">
        <v>387</v>
      </c>
      <c r="G12" s="57" t="n">
        <v>0</v>
      </c>
      <c r="H12" s="57" t="n">
        <v>348.3809523809524</v>
      </c>
      <c r="I12" s="57" t="n">
        <v>646</v>
      </c>
      <c r="J12" s="57" t="n">
        <v>646</v>
      </c>
      <c r="K12" s="59" t="n">
        <v>0</v>
      </c>
      <c r="L12" s="52" t="inlineStr">
        <is>
          <t>None under 2012 drift policy</t>
        </is>
      </c>
      <c r="M12" s="52" t="inlineStr">
        <is>
          <t>Soft warnings before 27-Aug-2012; hard reconciliation from 27-Aug-2012</t>
        </is>
      </c>
    </row>
    <row r="13" ht="30" customHeight="1">
      <c r="A13" s="56" t="inlineStr">
        <is>
          <t>Zensar</t>
        </is>
      </c>
      <c r="B13" s="55" t="n">
        <v>41023</v>
      </c>
      <c r="C13" s="57" t="inlineStr">
        <is>
          <t>SOFT</t>
        </is>
      </c>
      <c r="D13" s="57" t="n">
        <v>225.2252252252252</v>
      </c>
      <c r="E13" s="57" t="n">
        <v>225</v>
      </c>
      <c r="F13" s="57" t="n">
        <v>225</v>
      </c>
      <c r="G13" s="57" t="n">
        <v>0</v>
      </c>
      <c r="H13" s="57" t="n">
        <v>38.43283582089552</v>
      </c>
      <c r="I13" s="57" t="n">
        <v>225</v>
      </c>
      <c r="J13" s="57" t="n">
        <v>225</v>
      </c>
      <c r="K13" s="59" t="n">
        <v>0</v>
      </c>
      <c r="L13" s="52" t="inlineStr">
        <is>
          <t>None under 2012 drift policy</t>
        </is>
      </c>
      <c r="M13" s="52" t="inlineStr">
        <is>
          <t>Soft warnings before 27-Aug-2012; hard reconciliation from 27-Aug-2012</t>
        </is>
      </c>
    </row>
  </sheetData>
  <conditionalFormatting sqref="J2:K13">
    <cfRule type="expression" priority="1" dxfId="1">
      <formula>J2=0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4"/>
  <cols>
    <col width="34" customWidth="1" min="1" max="1"/>
    <col width="95" customWidth="1" min="2" max="2"/>
  </cols>
  <sheetData>
    <row r="1" ht="18" customHeight="1">
      <c r="A1" s="84" t="inlineStr">
        <is>
          <t>TRANSACTION MASTER VERSION</t>
        </is>
      </c>
      <c r="B1" s="84" t="inlineStr">
        <is>
          <t>V5</t>
        </is>
      </c>
    </row>
    <row r="2" ht="16" customHeight="1">
      <c r="A2" s="85" t="inlineStr">
        <is>
          <t>Filename</t>
        </is>
      </c>
      <c r="B2" s="44" t="inlineStr">
        <is>
          <t>TRANSACTIONS_MASTER_V5_HARD_RECON_FIXES.xlsx</t>
        </is>
      </c>
    </row>
    <row r="3" ht="16" customHeight="1">
      <c r="A3" s="85" t="inlineStr">
        <is>
          <t>Based on</t>
        </is>
      </c>
      <c r="B3" s="44" t="inlineStr">
        <is>
          <t>V4 final with 2012 reconciliation policy</t>
        </is>
      </c>
    </row>
    <row r="4" ht="16" customHeight="1">
      <c r="A4" s="85" t="inlineStr">
        <is>
          <t>V5 changes</t>
        </is>
      </c>
      <c r="B4" s="44" t="inlineStr">
        <is>
          <t>Applied Geometric/Vguard staged sells, Dynamatic missing buy/exit, E2E and Strides date corrections</t>
        </is>
      </c>
    </row>
    <row r="5" ht="16" customHeight="1">
      <c r="A5" s="85" t="inlineStr">
        <is>
          <t>Unresolved priced item</t>
        </is>
      </c>
      <c r="B5" s="44" t="inlineStr">
        <is>
          <t>Dynamatic Tech 31-May-2016 exit price/proceeds</t>
        </is>
      </c>
    </row>
    <row r="6" ht="15" customHeight="1">
      <c r="A6" s="85" t="inlineStr">
        <is>
          <t>Created</t>
        </is>
      </c>
      <c r="B6" s="61" t="n">
        <v>46217.46326298611</v>
      </c>
    </row>
    <row r="7" ht="15" customHeight="1">
      <c r="A7" s="60" t="n"/>
      <c r="B7" s="6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3203125" defaultRowHeight="14"/>
  <cols>
    <col width="22" customWidth="1" min="1" max="2"/>
    <col width="40" customWidth="1" min="3" max="4"/>
    <col width="55" customWidth="1" min="5" max="5"/>
    <col width="28" customWidth="1" min="6" max="6"/>
  </cols>
  <sheetData>
    <row r="1" ht="16" customHeight="1">
      <c r="A1" s="82" t="inlineStr">
        <is>
          <t>Stock</t>
        </is>
      </c>
      <c r="B1" s="82" t="inlineStr">
        <is>
          <t>Change Type</t>
        </is>
      </c>
      <c r="C1" s="82" t="inlineStr">
        <is>
          <t>Old</t>
        </is>
      </c>
      <c r="D1" s="82" t="inlineStr">
        <is>
          <t>New</t>
        </is>
      </c>
      <c r="E1" s="82" t="inlineStr">
        <is>
          <t>Evidence</t>
        </is>
      </c>
      <c r="F1" s="82" t="inlineStr">
        <is>
          <t>Status</t>
        </is>
      </c>
    </row>
    <row r="2" ht="30" customHeight="1">
      <c r="A2" s="52" t="inlineStr">
        <is>
          <t>Vguard</t>
        </is>
      </c>
      <c r="B2" s="52" t="inlineStr">
        <is>
          <t>Staged sells</t>
        </is>
      </c>
      <c r="C2" s="52" t="inlineStr">
        <is>
          <t>16-May-2013 Sell -394; 27-Nov-2013 Sell -181</t>
        </is>
      </c>
      <c r="D2" s="52" t="inlineStr">
        <is>
          <t>11-May -98; 16-May -296; 31-Oct -8; 27-Nov -173</t>
        </is>
      </c>
      <c r="E2" s="52" t="inlineStr">
        <is>
          <t>Snapshot ladders 646 → 548 → 252 and 181 → 173 → 0</t>
        </is>
      </c>
      <c r="F2" s="52" t="inlineStr">
        <is>
          <t>Applied</t>
        </is>
      </c>
    </row>
    <row r="3" ht="16" customHeight="1">
      <c r="A3" s="52" t="inlineStr">
        <is>
          <t>Geometric</t>
        </is>
      </c>
      <c r="B3" s="52" t="inlineStr">
        <is>
          <t>Staged sell</t>
        </is>
      </c>
      <c r="C3" s="52" t="inlineStr">
        <is>
          <t>06-May-2013 Sell -625</t>
        </is>
      </c>
      <c r="D3" s="52" t="inlineStr">
        <is>
          <t>02-May-2013 Sell -295; 06-May-2013 Sell -330</t>
        </is>
      </c>
      <c r="E3" s="52" t="inlineStr">
        <is>
          <t>Snapshot ladder 625 → 330 → 0</t>
        </is>
      </c>
      <c r="F3" s="52" t="inlineStr">
        <is>
          <t>Applied</t>
        </is>
      </c>
    </row>
    <row r="4" ht="16" customHeight="1">
      <c r="A4" s="52" t="inlineStr">
        <is>
          <t>Strides</t>
        </is>
      </c>
      <c r="B4" s="52" t="inlineStr">
        <is>
          <t>Date correction</t>
        </is>
      </c>
      <c r="C4" s="52" t="inlineStr">
        <is>
          <t>2017-09-17 Sell -267</t>
        </is>
      </c>
      <c r="D4" s="52" t="inlineStr">
        <is>
          <t>12-Sep-2017 Sell -267</t>
        </is>
      </c>
      <c r="E4" s="52" t="inlineStr">
        <is>
          <t>12Sep17 snapshot shows zero</t>
        </is>
      </c>
      <c r="F4" s="52" t="inlineStr">
        <is>
          <t>Applied</t>
        </is>
      </c>
    </row>
    <row r="5" ht="30" customHeight="1">
      <c r="A5" s="52" t="inlineStr">
        <is>
          <t>Dynamatic Tech</t>
        </is>
      </c>
      <c r="B5" s="52" t="inlineStr">
        <is>
          <t>Missing buy and inferred exit</t>
        </is>
      </c>
      <c r="C5" s="52" t="inlineStr">
        <is>
          <t>No pre-Jun-2016 rows</t>
        </is>
      </c>
      <c r="D5" s="52" t="inlineStr">
        <is>
          <t>04-Apr-2016 Buy +157 @1700; 31-May-2016 Sell -157 with price blank</t>
        </is>
      </c>
      <c r="E5" s="52" t="inlineStr">
        <is>
          <t>Snapshot 157 → 0 before separate 10-Jun-2016 Buy +44</t>
        </is>
      </c>
      <c r="F5" s="52" t="inlineStr">
        <is>
          <t>Applied; exit price unresolved</t>
        </is>
      </c>
    </row>
    <row r="6" ht="16" customHeight="1">
      <c r="A6" s="52" t="inlineStr">
        <is>
          <t>E2E</t>
        </is>
      </c>
      <c r="B6" s="52" t="inlineStr">
        <is>
          <t>Date correction</t>
        </is>
      </c>
      <c r="C6" s="52" t="inlineStr">
        <is>
          <t>2026-05-06 Split +9,585</t>
        </is>
      </c>
      <c r="D6" s="52" t="inlineStr">
        <is>
          <t>05-Jun-2026 Split +9,585</t>
        </is>
      </c>
      <c r="E6" s="52" t="inlineStr">
        <is>
          <t>Existing source note points to 05Jun26</t>
        </is>
      </c>
      <c r="F6" s="52" t="inlineStr">
        <is>
          <t>Applied</t>
        </is>
      </c>
    </row>
  </sheetData>
  <conditionalFormatting sqref="F2:F6">
    <cfRule type="expression" priority="1" dxfId="1">
      <formula>ISNUMBER(SEARCH("Applied",F2))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10" defaultColWidth="8.83203125" defaultRowHeight="14"/>
  <cols>
    <col width="22" customWidth="1" min="1" max="1"/>
    <col width="14" customWidth="1" min="2" max="2"/>
    <col width="20" customWidth="1" min="3" max="5"/>
    <col width="12" customWidth="1" min="6" max="6"/>
  </cols>
  <sheetData>
    <row r="1" ht="15" customHeight="1">
      <c r="A1" s="86" t="inlineStr">
        <is>
          <t>Stock</t>
        </is>
      </c>
      <c r="B1" s="86" t="inlineStr">
        <is>
          <t>Date</t>
        </is>
      </c>
      <c r="C1" s="86" t="inlineStr">
        <is>
          <t>Expected Qty</t>
        </is>
      </c>
      <c r="D1" s="86" t="inlineStr">
        <is>
          <t>Reconstructed Qty</t>
        </is>
      </c>
      <c r="E1" s="86" t="inlineStr">
        <is>
          <t>Difference</t>
        </is>
      </c>
      <c r="F1" s="86" t="inlineStr">
        <is>
          <t>Status</t>
        </is>
      </c>
    </row>
    <row r="2">
      <c r="A2" t="inlineStr">
        <is>
          <t>Geometric</t>
        </is>
      </c>
      <c r="B2" s="43" t="n">
        <v>41394</v>
      </c>
      <c r="C2" s="49" t="n">
        <v>625</v>
      </c>
      <c r="D2" s="49" t="n">
        <v>625</v>
      </c>
      <c r="E2" s="49" t="n">
        <v>0</v>
      </c>
      <c r="F2" t="inlineStr">
        <is>
          <t>PASS</t>
        </is>
      </c>
    </row>
    <row r="3">
      <c r="A3" t="inlineStr">
        <is>
          <t>Geometric</t>
        </is>
      </c>
      <c r="B3" s="43" t="n">
        <v>41396</v>
      </c>
      <c r="C3" s="49" t="n">
        <v>330</v>
      </c>
      <c r="D3" s="49" t="n">
        <v>330</v>
      </c>
      <c r="E3" s="49" t="n">
        <v>0</v>
      </c>
      <c r="F3" t="inlineStr">
        <is>
          <t>PASS</t>
        </is>
      </c>
    </row>
    <row r="4">
      <c r="A4" t="inlineStr">
        <is>
          <t>Geometric</t>
        </is>
      </c>
      <c r="B4" s="43" t="n">
        <v>41400</v>
      </c>
      <c r="C4" s="49" t="n">
        <v>0</v>
      </c>
      <c r="D4" s="49" t="n">
        <v>0</v>
      </c>
      <c r="E4" s="49" t="n">
        <v>0</v>
      </c>
      <c r="F4" t="inlineStr">
        <is>
          <t>PASS</t>
        </is>
      </c>
    </row>
    <row r="5">
      <c r="A5" t="inlineStr">
        <is>
          <t>Vguard</t>
        </is>
      </c>
      <c r="B5" s="43" t="n">
        <v>41405</v>
      </c>
      <c r="C5" s="49" t="n">
        <v>548</v>
      </c>
      <c r="D5" s="49" t="n">
        <v>548</v>
      </c>
      <c r="E5" s="49" t="n">
        <v>0</v>
      </c>
      <c r="F5" t="inlineStr">
        <is>
          <t>PASS</t>
        </is>
      </c>
    </row>
    <row r="6">
      <c r="A6" t="inlineStr">
        <is>
          <t>Vguard</t>
        </is>
      </c>
      <c r="B6" s="43" t="n">
        <v>41410</v>
      </c>
      <c r="C6" s="49" t="n">
        <v>252</v>
      </c>
      <c r="D6" s="49" t="n">
        <v>252</v>
      </c>
      <c r="E6" s="49" t="n">
        <v>0</v>
      </c>
      <c r="F6" t="inlineStr">
        <is>
          <t>PASS</t>
        </is>
      </c>
    </row>
    <row r="7">
      <c r="A7" t="inlineStr">
        <is>
          <t>Vguard</t>
        </is>
      </c>
      <c r="B7" s="43" t="n">
        <v>41570</v>
      </c>
      <c r="C7" s="49" t="n">
        <v>181</v>
      </c>
      <c r="D7" s="49" t="n">
        <v>181</v>
      </c>
      <c r="E7" s="49" t="n">
        <v>0</v>
      </c>
      <c r="F7" t="inlineStr">
        <is>
          <t>PASS</t>
        </is>
      </c>
    </row>
    <row r="8">
      <c r="A8" t="inlineStr">
        <is>
          <t>Vguard</t>
        </is>
      </c>
      <c r="B8" s="43" t="n">
        <v>41578</v>
      </c>
      <c r="C8" s="49" t="n">
        <v>173</v>
      </c>
      <c r="D8" s="49" t="n">
        <v>173</v>
      </c>
      <c r="E8" s="49" t="n">
        <v>0</v>
      </c>
      <c r="F8" t="inlineStr">
        <is>
          <t>PASS</t>
        </is>
      </c>
    </row>
    <row r="9">
      <c r="A9" t="inlineStr">
        <is>
          <t>Vguard</t>
        </is>
      </c>
      <c r="B9" s="43" t="n">
        <v>41605</v>
      </c>
      <c r="C9" s="49" t="n">
        <v>0</v>
      </c>
      <c r="D9" s="49" t="n">
        <v>0</v>
      </c>
      <c r="E9" s="49" t="n">
        <v>0</v>
      </c>
      <c r="F9" t="inlineStr">
        <is>
          <t>PASS</t>
        </is>
      </c>
    </row>
    <row r="10">
      <c r="A10" t="inlineStr">
        <is>
          <t>Dynamatic Tech</t>
        </is>
      </c>
      <c r="B10" s="43" t="n">
        <v>42464</v>
      </c>
      <c r="C10" s="49" t="n">
        <v>157</v>
      </c>
      <c r="D10" s="49" t="n">
        <v>157</v>
      </c>
      <c r="E10" s="49" t="n">
        <v>0</v>
      </c>
      <c r="F10" t="inlineStr">
        <is>
          <t>PASS</t>
        </is>
      </c>
    </row>
    <row r="11">
      <c r="A11" t="inlineStr">
        <is>
          <t>Dynamatic Tech</t>
        </is>
      </c>
      <c r="B11" s="43" t="n">
        <v>42521</v>
      </c>
      <c r="C11" s="49" t="n">
        <v>0</v>
      </c>
      <c r="D11" s="49" t="n">
        <v>0</v>
      </c>
      <c r="E11" s="49" t="n">
        <v>0</v>
      </c>
      <c r="F11" t="inlineStr">
        <is>
          <t>PASS</t>
        </is>
      </c>
    </row>
    <row r="12">
      <c r="A12" t="inlineStr">
        <is>
          <t>Dynamatic Tech</t>
        </is>
      </c>
      <c r="B12" s="43" t="n">
        <v>42531</v>
      </c>
      <c r="C12" s="49" t="n">
        <v>44</v>
      </c>
      <c r="D12" s="49" t="n">
        <v>44</v>
      </c>
      <c r="E12" s="49" t="n">
        <v>0</v>
      </c>
      <c r="F12" t="inlineStr">
        <is>
          <t>PASS</t>
        </is>
      </c>
    </row>
    <row r="13">
      <c r="A13" t="inlineStr">
        <is>
          <t>E2E</t>
        </is>
      </c>
      <c r="B13" s="43" t="n">
        <v>46178</v>
      </c>
      <c r="C13" s="49" t="n">
        <v>10650</v>
      </c>
      <c r="D13" s="49" t="n">
        <v>10650</v>
      </c>
      <c r="E13" s="49" t="n">
        <v>0</v>
      </c>
      <c r="F13" t="inlineStr">
        <is>
          <t>PASS</t>
        </is>
      </c>
    </row>
    <row r="14">
      <c r="A14" t="inlineStr">
        <is>
          <t>E2E</t>
        </is>
      </c>
      <c r="B14" s="43" t="n">
        <v>46195</v>
      </c>
      <c r="C14" s="49" t="n">
        <v>7556</v>
      </c>
      <c r="D14" s="49" t="n">
        <v>7556</v>
      </c>
      <c r="E14" s="49" t="n">
        <v>0</v>
      </c>
      <c r="F14" t="inlineStr">
        <is>
          <t>PASS</t>
        </is>
      </c>
    </row>
    <row r="15">
      <c r="A15" t="inlineStr">
        <is>
          <t>Strides</t>
        </is>
      </c>
      <c r="B15" s="43" t="n">
        <v>42990</v>
      </c>
      <c r="C15" s="49" t="n">
        <v>0</v>
      </c>
      <c r="D15" s="49" t="n">
        <v>0</v>
      </c>
      <c r="E15" s="49" t="n">
        <v>0</v>
      </c>
      <c r="F15" t="inlineStr">
        <is>
          <t>PASS</t>
        </is>
      </c>
    </row>
  </sheetData>
  <conditionalFormatting sqref="F2:F15">
    <cfRule type="expression" priority="1" dxfId="0">
      <formula>F2="PASS"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2026-07-14T11:23:14Z</dcterms:created>
  <dcterms:modified xsi:type="dcterms:W3CDTF">2026-07-14T11:23:14Z</dcterms:modified>
  <cp:lastModifiedBy>Yash Patel</cp:lastModifiedBy>
</cp:coreProperties>
</file>