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7400" windowHeight="9495" tabRatio="873"/>
  </bookViews>
  <sheets>
    <sheet name="Model" sheetId="3" r:id="rId1"/>
    <sheet name="1Jan13" sheetId="25" r:id="rId2"/>
    <sheet name="31Jan13" sheetId="26" r:id="rId3"/>
    <sheet name="12Feb13" sheetId="27" r:id="rId4"/>
    <sheet name="20Feb13" sheetId="28" r:id="rId5"/>
    <sheet name="01Apr13" sheetId="29" r:id="rId6"/>
    <sheet name="30Apr13" sheetId="30" r:id="rId7"/>
    <sheet name="02May13" sheetId="31" r:id="rId8"/>
    <sheet name="06May13" sheetId="32" r:id="rId9"/>
    <sheet name="11May13" sheetId="33" r:id="rId10"/>
    <sheet name="16May13" sheetId="34" r:id="rId11"/>
    <sheet name="24May13" sheetId="35" r:id="rId12"/>
    <sheet name="27May13" sheetId="36" r:id="rId13"/>
    <sheet name="08Aug13" sheetId="37" r:id="rId14"/>
    <sheet name="05Sept13" sheetId="38" r:id="rId15"/>
    <sheet name="18Oct13" sheetId="39" r:id="rId16"/>
    <sheet name="22Oct13" sheetId="40" r:id="rId17"/>
    <sheet name="23Oct13" sheetId="41" r:id="rId18"/>
    <sheet name="31Oct13" sheetId="42" r:id="rId19"/>
    <sheet name="27Nov13" sheetId="43" r:id="rId20"/>
    <sheet name="09Dec13" sheetId="44" r:id="rId21"/>
  </sheets>
  <calcPr calcId="124519"/>
</workbook>
</file>

<file path=xl/calcChain.xml><?xml version="1.0" encoding="utf-8"?>
<calcChain xmlns="http://schemas.openxmlformats.org/spreadsheetml/2006/main">
  <c r="B14" i="44"/>
  <c r="D14" s="1"/>
  <c r="B15"/>
  <c r="B16"/>
  <c r="D7"/>
  <c r="D21"/>
  <c r="D20"/>
  <c r="D19"/>
  <c r="D18"/>
  <c r="B17"/>
  <c r="D17" s="1"/>
  <c r="D16"/>
  <c r="D15"/>
  <c r="D13"/>
  <c r="B13"/>
  <c r="B12"/>
  <c r="D12" s="1"/>
  <c r="D11"/>
  <c r="D10"/>
  <c r="D9"/>
  <c r="D8"/>
  <c r="B8"/>
  <c r="B6"/>
  <c r="D6" s="1"/>
  <c r="B5"/>
  <c r="D5" s="1"/>
  <c r="B19" i="43"/>
  <c r="D13"/>
  <c r="D21"/>
  <c r="D20"/>
  <c r="D19"/>
  <c r="D18"/>
  <c r="D17"/>
  <c r="B16"/>
  <c r="D16" s="1"/>
  <c r="D15"/>
  <c r="D14"/>
  <c r="D12"/>
  <c r="B12"/>
  <c r="B11"/>
  <c r="D11" s="1"/>
  <c r="D10"/>
  <c r="D9"/>
  <c r="D8"/>
  <c r="D7"/>
  <c r="B7"/>
  <c r="B6"/>
  <c r="D6" s="1"/>
  <c r="D5"/>
  <c r="B5"/>
  <c r="B6" i="42"/>
  <c r="B18"/>
  <c r="B20"/>
  <c r="D20" s="1"/>
  <c r="B11"/>
  <c r="D11" s="1"/>
  <c r="D19"/>
  <c r="D18"/>
  <c r="D17"/>
  <c r="D16"/>
  <c r="B15"/>
  <c r="D15" s="1"/>
  <c r="D14"/>
  <c r="D13"/>
  <c r="D12"/>
  <c r="B12"/>
  <c r="D10"/>
  <c r="D9"/>
  <c r="D8"/>
  <c r="B7"/>
  <c r="D7" s="1"/>
  <c r="D6"/>
  <c r="B5"/>
  <c r="D5" s="1"/>
  <c r="B18" i="41"/>
  <c r="D20"/>
  <c r="D19"/>
  <c r="D18"/>
  <c r="D17"/>
  <c r="D16"/>
  <c r="B15"/>
  <c r="D15" s="1"/>
  <c r="D14"/>
  <c r="D13"/>
  <c r="D12"/>
  <c r="B12"/>
  <c r="D11"/>
  <c r="D10"/>
  <c r="D9"/>
  <c r="D8"/>
  <c r="B7"/>
  <c r="D7" s="1"/>
  <c r="D6"/>
  <c r="B6"/>
  <c r="B5"/>
  <c r="D5" s="1"/>
  <c r="B5" i="40"/>
  <c r="B20"/>
  <c r="D11"/>
  <c r="D20"/>
  <c r="D19"/>
  <c r="B18"/>
  <c r="D18" s="1"/>
  <c r="D17"/>
  <c r="D16"/>
  <c r="D15"/>
  <c r="B15"/>
  <c r="D14"/>
  <c r="D13"/>
  <c r="D12"/>
  <c r="B12"/>
  <c r="D10"/>
  <c r="D9"/>
  <c r="D8"/>
  <c r="D7"/>
  <c r="B7"/>
  <c r="D6"/>
  <c r="B6"/>
  <c r="D5"/>
  <c r="B19" i="39"/>
  <c r="D19" s="1"/>
  <c r="B14"/>
  <c r="D18"/>
  <c r="B17"/>
  <c r="D17" s="1"/>
  <c r="D16"/>
  <c r="D15"/>
  <c r="D14"/>
  <c r="D13"/>
  <c r="D12"/>
  <c r="B11"/>
  <c r="D11" s="1"/>
  <c r="D10"/>
  <c r="D9"/>
  <c r="D8"/>
  <c r="D7"/>
  <c r="B7"/>
  <c r="B6"/>
  <c r="D6" s="1"/>
  <c r="D5"/>
  <c r="B19" i="38"/>
  <c r="D9"/>
  <c r="D19"/>
  <c r="D18"/>
  <c r="B17"/>
  <c r="D17" s="1"/>
  <c r="D16"/>
  <c r="D15"/>
  <c r="D14"/>
  <c r="D13"/>
  <c r="D12"/>
  <c r="D11"/>
  <c r="B11"/>
  <c r="D10"/>
  <c r="D8"/>
  <c r="B7"/>
  <c r="D7" s="1"/>
  <c r="D6"/>
  <c r="B6"/>
  <c r="D5"/>
  <c r="B18" i="37"/>
  <c r="B7"/>
  <c r="D7" s="1"/>
  <c r="D18"/>
  <c r="D17"/>
  <c r="B16"/>
  <c r="D16" s="1"/>
  <c r="D15"/>
  <c r="D14"/>
  <c r="D13"/>
  <c r="D12"/>
  <c r="D11"/>
  <c r="D10"/>
  <c r="B10"/>
  <c r="D9"/>
  <c r="D8"/>
  <c r="B6"/>
  <c r="D6" s="1"/>
  <c r="D5"/>
  <c r="B19" i="36"/>
  <c r="D19"/>
  <c r="D18"/>
  <c r="D17"/>
  <c r="B17"/>
  <c r="D16"/>
  <c r="D15"/>
  <c r="D14"/>
  <c r="D13"/>
  <c r="D12"/>
  <c r="D11"/>
  <c r="D10"/>
  <c r="B10"/>
  <c r="D9"/>
  <c r="B9"/>
  <c r="D8"/>
  <c r="D7"/>
  <c r="B6"/>
  <c r="D6" s="1"/>
  <c r="D5"/>
  <c r="B19" i="35"/>
  <c r="D19" s="1"/>
  <c r="B10"/>
  <c r="D10" s="1"/>
  <c r="D18"/>
  <c r="B17"/>
  <c r="D17" s="1"/>
  <c r="D16"/>
  <c r="D15"/>
  <c r="D14"/>
  <c r="D13"/>
  <c r="D12"/>
  <c r="D11"/>
  <c r="D9"/>
  <c r="B9"/>
  <c r="D8"/>
  <c r="D7"/>
  <c r="B6"/>
  <c r="D6" s="1"/>
  <c r="D5"/>
  <c r="B19" i="34"/>
  <c r="B17"/>
  <c r="D17" s="1"/>
  <c r="D19"/>
  <c r="D18"/>
  <c r="D16"/>
  <c r="D15"/>
  <c r="D14"/>
  <c r="D13"/>
  <c r="D12"/>
  <c r="D11"/>
  <c r="D10"/>
  <c r="D9"/>
  <c r="B9"/>
  <c r="D8"/>
  <c r="D7"/>
  <c r="B6"/>
  <c r="D6" s="1"/>
  <c r="D5"/>
  <c r="B19" i="33"/>
  <c r="D19" s="1"/>
  <c r="D11"/>
  <c r="B17"/>
  <c r="D18"/>
  <c r="D17"/>
  <c r="D16"/>
  <c r="D15"/>
  <c r="D14"/>
  <c r="D13"/>
  <c r="D12"/>
  <c r="D10"/>
  <c r="B9"/>
  <c r="D9" s="1"/>
  <c r="D8"/>
  <c r="D7"/>
  <c r="B6"/>
  <c r="D6" s="1"/>
  <c r="D5"/>
  <c r="B19" i="32"/>
  <c r="D19" s="1"/>
  <c r="D18"/>
  <c r="D17"/>
  <c r="D16"/>
  <c r="D15"/>
  <c r="D14"/>
  <c r="D13"/>
  <c r="D12"/>
  <c r="D11"/>
  <c r="D10"/>
  <c r="B10"/>
  <c r="D9"/>
  <c r="D8"/>
  <c r="D7"/>
  <c r="B6"/>
  <c r="D6" s="1"/>
  <c r="D5"/>
  <c r="B9" i="31"/>
  <c r="D9" s="1"/>
  <c r="B8" i="30"/>
  <c r="B19" i="31"/>
  <c r="D19"/>
  <c r="D7"/>
  <c r="D18"/>
  <c r="D17"/>
  <c r="D16"/>
  <c r="D15"/>
  <c r="D14"/>
  <c r="D13"/>
  <c r="D12"/>
  <c r="D11"/>
  <c r="B10"/>
  <c r="D10" s="1"/>
  <c r="D8"/>
  <c r="B6"/>
  <c r="D6" s="1"/>
  <c r="D5"/>
  <c r="B18" i="30"/>
  <c r="D18"/>
  <c r="D17"/>
  <c r="D16"/>
  <c r="D15"/>
  <c r="D14"/>
  <c r="D13"/>
  <c r="D12"/>
  <c r="D11"/>
  <c r="D10"/>
  <c r="D9"/>
  <c r="B9"/>
  <c r="D8"/>
  <c r="D7"/>
  <c r="D6"/>
  <c r="B6"/>
  <c r="D5"/>
  <c r="B18" i="29"/>
  <c r="D18" s="1"/>
  <c r="D15"/>
  <c r="D17"/>
  <c r="D16"/>
  <c r="D14"/>
  <c r="D13"/>
  <c r="D12"/>
  <c r="D11"/>
  <c r="D10"/>
  <c r="D9"/>
  <c r="B9"/>
  <c r="D8"/>
  <c r="D7"/>
  <c r="B6"/>
  <c r="D6" s="1"/>
  <c r="D5"/>
  <c r="B17" i="28"/>
  <c r="B6"/>
  <c r="D17"/>
  <c r="D16"/>
  <c r="D15"/>
  <c r="D14"/>
  <c r="D13"/>
  <c r="D12"/>
  <c r="D11"/>
  <c r="D10"/>
  <c r="B9"/>
  <c r="D9" s="1"/>
  <c r="D8"/>
  <c r="D7"/>
  <c r="D6"/>
  <c r="D5"/>
  <c r="B18" i="27"/>
  <c r="D18"/>
  <c r="D17"/>
  <c r="D16"/>
  <c r="D15"/>
  <c r="D14"/>
  <c r="D13"/>
  <c r="D12"/>
  <c r="D11"/>
  <c r="B10"/>
  <c r="D10" s="1"/>
  <c r="D9"/>
  <c r="D8"/>
  <c r="D7"/>
  <c r="D6"/>
  <c r="D5"/>
  <c r="B18" i="26"/>
  <c r="B10"/>
  <c r="D10" s="1"/>
  <c r="D18"/>
  <c r="D17"/>
  <c r="D16"/>
  <c r="D15"/>
  <c r="D14"/>
  <c r="D13"/>
  <c r="D12"/>
  <c r="D11"/>
  <c r="D9"/>
  <c r="D8"/>
  <c r="D7"/>
  <c r="D6"/>
  <c r="D5"/>
  <c r="D8" i="25"/>
  <c r="D18"/>
  <c r="D17"/>
  <c r="D16"/>
  <c r="D15"/>
  <c r="D14"/>
  <c r="D13"/>
  <c r="D12"/>
  <c r="D11"/>
  <c r="B10"/>
  <c r="D10" s="1"/>
  <c r="D9"/>
  <c r="D7"/>
  <c r="D6"/>
  <c r="D5"/>
  <c r="D23" i="44" l="1"/>
  <c r="E7" s="1"/>
  <c r="D23" i="43"/>
  <c r="E6" s="1"/>
  <c r="D22" i="42"/>
  <c r="E5" s="1"/>
  <c r="D22" i="41"/>
  <c r="E13" s="1"/>
  <c r="D22" i="40"/>
  <c r="E11" s="1"/>
  <c r="D21" i="39"/>
  <c r="D21" i="38"/>
  <c r="E9" s="1"/>
  <c r="D20" i="37"/>
  <c r="E5" s="1"/>
  <c r="D21" i="36"/>
  <c r="E19" s="1"/>
  <c r="D21" i="35"/>
  <c r="E15" s="1"/>
  <c r="D21" i="34"/>
  <c r="E11" s="1"/>
  <c r="D21" i="33"/>
  <c r="D21" i="32"/>
  <c r="E16" s="1"/>
  <c r="D21" i="31"/>
  <c r="E7" s="1"/>
  <c r="D20" i="30"/>
  <c r="D20" i="29"/>
  <c r="E15" s="1"/>
  <c r="D19" i="28"/>
  <c r="E17" s="1"/>
  <c r="D20" i="27"/>
  <c r="E18" s="1"/>
  <c r="D20" i="26"/>
  <c r="E6" s="1"/>
  <c r="D20" i="25"/>
  <c r="E8" i="44" l="1"/>
  <c r="E14"/>
  <c r="E19"/>
  <c r="E13"/>
  <c r="E17"/>
  <c r="E21"/>
  <c r="E15"/>
  <c r="E16"/>
  <c r="E12"/>
  <c r="E20"/>
  <c r="E5"/>
  <c r="E6"/>
  <c r="E18"/>
  <c r="E9"/>
  <c r="E10"/>
  <c r="E11"/>
  <c r="E15" i="43"/>
  <c r="E8"/>
  <c r="E9"/>
  <c r="E17"/>
  <c r="E19"/>
  <c r="E18"/>
  <c r="E16"/>
  <c r="E12"/>
  <c r="E10"/>
  <c r="E7"/>
  <c r="E20"/>
  <c r="E14"/>
  <c r="E11"/>
  <c r="E5"/>
  <c r="E21"/>
  <c r="E12" i="42"/>
  <c r="E6"/>
  <c r="E18"/>
  <c r="E14"/>
  <c r="E15"/>
  <c r="E19"/>
  <c r="E20"/>
  <c r="E13"/>
  <c r="E7"/>
  <c r="E16"/>
  <c r="E11"/>
  <c r="E9"/>
  <c r="E17"/>
  <c r="E10"/>
  <c r="E8"/>
  <c r="E5" i="41"/>
  <c r="E7"/>
  <c r="E14"/>
  <c r="E18"/>
  <c r="E19"/>
  <c r="E6"/>
  <c r="E16"/>
  <c r="E8"/>
  <c r="E17"/>
  <c r="E10"/>
  <c r="E11"/>
  <c r="E9"/>
  <c r="E20"/>
  <c r="E15"/>
  <c r="E12"/>
  <c r="E10" i="40"/>
  <c r="E17"/>
  <c r="E18"/>
  <c r="E20"/>
  <c r="E12"/>
  <c r="E19"/>
  <c r="E15"/>
  <c r="E8"/>
  <c r="E14"/>
  <c r="E9"/>
  <c r="E5"/>
  <c r="E6"/>
  <c r="E7"/>
  <c r="E13"/>
  <c r="E16"/>
  <c r="E10" i="39"/>
  <c r="E16"/>
  <c r="E14"/>
  <c r="E12"/>
  <c r="E8"/>
  <c r="E5"/>
  <c r="E13"/>
  <c r="E15"/>
  <c r="E17"/>
  <c r="E18"/>
  <c r="E19"/>
  <c r="E6"/>
  <c r="E7"/>
  <c r="E9"/>
  <c r="E11"/>
  <c r="E10" i="38"/>
  <c r="E19"/>
  <c r="E5"/>
  <c r="E8"/>
  <c r="E6"/>
  <c r="E12"/>
  <c r="E17"/>
  <c r="E7"/>
  <c r="E16"/>
  <c r="E18"/>
  <c r="E14"/>
  <c r="E11"/>
  <c r="E13"/>
  <c r="E15"/>
  <c r="E7" i="37"/>
  <c r="E13"/>
  <c r="E8"/>
  <c r="E17"/>
  <c r="E18"/>
  <c r="E16"/>
  <c r="E10"/>
  <c r="E9"/>
  <c r="E11"/>
  <c r="E12"/>
  <c r="E6"/>
  <c r="E14"/>
  <c r="E15"/>
  <c r="E18" i="36"/>
  <c r="E14"/>
  <c r="E15"/>
  <c r="E5"/>
  <c r="E12"/>
  <c r="E13"/>
  <c r="E10"/>
  <c r="E17"/>
  <c r="E6"/>
  <c r="E7"/>
  <c r="E16"/>
  <c r="E11"/>
  <c r="E9"/>
  <c r="E8"/>
  <c r="E12" i="35"/>
  <c r="E5"/>
  <c r="E19"/>
  <c r="E18"/>
  <c r="E17"/>
  <c r="E7"/>
  <c r="E16"/>
  <c r="E10"/>
  <c r="E13"/>
  <c r="E6"/>
  <c r="E8"/>
  <c r="E14"/>
  <c r="E9"/>
  <c r="E11"/>
  <c r="E13" i="34"/>
  <c r="E14"/>
  <c r="E8"/>
  <c r="E18"/>
  <c r="E7"/>
  <c r="E5"/>
  <c r="E17"/>
  <c r="E15"/>
  <c r="E12"/>
  <c r="E6"/>
  <c r="E19"/>
  <c r="E16"/>
  <c r="E9"/>
  <c r="E10"/>
  <c r="E9" i="33"/>
  <c r="E11"/>
  <c r="E7"/>
  <c r="E10"/>
  <c r="E17"/>
  <c r="E8"/>
  <c r="E6"/>
  <c r="E15"/>
  <c r="E13"/>
  <c r="E18"/>
  <c r="E16"/>
  <c r="E14"/>
  <c r="E12"/>
  <c r="E5"/>
  <c r="E19"/>
  <c r="E5" i="32"/>
  <c r="E14"/>
  <c r="E13"/>
  <c r="E11"/>
  <c r="E9"/>
  <c r="E15"/>
  <c r="E8"/>
  <c r="E17"/>
  <c r="E12"/>
  <c r="E6"/>
  <c r="E19"/>
  <c r="E10"/>
  <c r="E18"/>
  <c r="E7"/>
  <c r="E10" i="31"/>
  <c r="E18"/>
  <c r="E16"/>
  <c r="E5"/>
  <c r="E12"/>
  <c r="E6"/>
  <c r="E13"/>
  <c r="E8"/>
  <c r="E9"/>
  <c r="E19"/>
  <c r="E17"/>
  <c r="E14"/>
  <c r="E15"/>
  <c r="E11"/>
  <c r="E7" i="30"/>
  <c r="E17"/>
  <c r="E13"/>
  <c r="E11"/>
  <c r="E9"/>
  <c r="E15"/>
  <c r="E12"/>
  <c r="E10"/>
  <c r="E16"/>
  <c r="E14"/>
  <c r="E5"/>
  <c r="E18"/>
  <c r="E8"/>
  <c r="E6"/>
  <c r="E10" i="29"/>
  <c r="E18"/>
  <c r="E5"/>
  <c r="E17"/>
  <c r="E11"/>
  <c r="E14"/>
  <c r="E12"/>
  <c r="E6"/>
  <c r="E7"/>
  <c r="E16"/>
  <c r="E8"/>
  <c r="E9"/>
  <c r="E13"/>
  <c r="E6" i="28"/>
  <c r="E12"/>
  <c r="E10"/>
  <c r="E13"/>
  <c r="E8"/>
  <c r="E7"/>
  <c r="E5"/>
  <c r="E16"/>
  <c r="E15"/>
  <c r="E14"/>
  <c r="E11"/>
  <c r="E9"/>
  <c r="E12" i="27"/>
  <c r="E11"/>
  <c r="E6"/>
  <c r="E13"/>
  <c r="E7"/>
  <c r="E10"/>
  <c r="E8"/>
  <c r="E5"/>
  <c r="E16"/>
  <c r="E17"/>
  <c r="E14"/>
  <c r="E15"/>
  <c r="E9"/>
  <c r="E10" i="26"/>
  <c r="E5"/>
  <c r="E14"/>
  <c r="E15"/>
  <c r="E12"/>
  <c r="E13"/>
  <c r="E9"/>
  <c r="E8"/>
  <c r="E18"/>
  <c r="E11"/>
  <c r="E7"/>
  <c r="E16"/>
  <c r="E17"/>
  <c r="E18" i="25"/>
  <c r="E8"/>
  <c r="E6"/>
  <c r="E9"/>
  <c r="E7"/>
  <c r="E16"/>
  <c r="E14"/>
  <c r="E12"/>
  <c r="E17"/>
  <c r="E15"/>
  <c r="E13"/>
  <c r="E11"/>
  <c r="E5"/>
  <c r="E10"/>
</calcChain>
</file>

<file path=xl/sharedStrings.xml><?xml version="1.0" encoding="utf-8"?>
<sst xmlns="http://schemas.openxmlformats.org/spreadsheetml/2006/main" count="497" uniqueCount="67">
  <si>
    <t>Stock</t>
  </si>
  <si>
    <t>CMP</t>
  </si>
  <si>
    <t>Percentage</t>
  </si>
  <si>
    <t>Ashiana</t>
  </si>
  <si>
    <t>BharatForg</t>
  </si>
  <si>
    <t>Vguard</t>
  </si>
  <si>
    <t>Kaveri</t>
  </si>
  <si>
    <t>Amaraja</t>
  </si>
  <si>
    <t>Amount</t>
  </si>
  <si>
    <t>Number of shares</t>
  </si>
  <si>
    <t>Geometric</t>
  </si>
  <si>
    <t>RSSoftware</t>
  </si>
  <si>
    <t>NIIT Tech</t>
  </si>
  <si>
    <t>Zensar</t>
  </si>
  <si>
    <t>Change</t>
  </si>
  <si>
    <t>Technofab</t>
  </si>
  <si>
    <t>Model</t>
  </si>
  <si>
    <t>Take</t>
  </si>
  <si>
    <t>Model Portfolio</t>
  </si>
  <si>
    <t>LiquidBees</t>
  </si>
  <si>
    <t>Heritage</t>
  </si>
  <si>
    <t>Everest</t>
  </si>
  <si>
    <t>EverestInds</t>
  </si>
  <si>
    <t>Weightage increased to 10%</t>
  </si>
  <si>
    <t>Removed from Portfolio</t>
  </si>
  <si>
    <t>Increased to max 10%</t>
  </si>
  <si>
    <t>TreeHouse</t>
  </si>
  <si>
    <t>New Addition</t>
  </si>
  <si>
    <t>Weightage cut to half</t>
  </si>
  <si>
    <t>EicherMotors</t>
  </si>
  <si>
    <t>Sold</t>
  </si>
  <si>
    <t>Reduce for cash</t>
  </si>
  <si>
    <t>EicherMot</t>
  </si>
  <si>
    <t>Removed completely 98-99</t>
  </si>
  <si>
    <t>NDTV</t>
  </si>
  <si>
    <t>Bought for avg 92</t>
  </si>
  <si>
    <t>Reduce holding for shortage</t>
  </si>
  <si>
    <t>Reduce weightage to 7%</t>
  </si>
  <si>
    <t>Increase to 10%</t>
  </si>
  <si>
    <t>Removed</t>
  </si>
  <si>
    <t>Heritage Bonus 1:1</t>
  </si>
  <si>
    <t>Added 2% of PortValue</t>
  </si>
  <si>
    <t>Federal Bank</t>
  </si>
  <si>
    <t>New Addition Avg Price 260</t>
  </si>
  <si>
    <t>FederalBank</t>
  </si>
  <si>
    <t>Federal Split 10 to 2</t>
  </si>
  <si>
    <t>Increase to 10% of PV</t>
  </si>
  <si>
    <t>JBChem</t>
  </si>
  <si>
    <t>10 LiquidBees sold</t>
  </si>
  <si>
    <t>208 AR at avg price 315</t>
  </si>
  <si>
    <t>Avg PP 98.3+.2=98.5 / 4%add</t>
  </si>
  <si>
    <t>Sold to 5%. Avg Price 509</t>
  </si>
  <si>
    <t>Ashiana Split 10 to 2</t>
  </si>
  <si>
    <t>Added 50% to exisiting taking to 6%</t>
  </si>
  <si>
    <t>Avg Price 102.8</t>
  </si>
  <si>
    <t>Sold all</t>
  </si>
  <si>
    <t>Sold 8 avg of 486</t>
  </si>
  <si>
    <t>MCX</t>
  </si>
  <si>
    <t>New Add 4%</t>
  </si>
  <si>
    <t xml:space="preserve">Completed Sold </t>
  </si>
  <si>
    <t>Difference added to Liquidbees</t>
  </si>
  <si>
    <t>Escorts</t>
  </si>
  <si>
    <t>New Addition. Avg Price 130 Value 61490</t>
  </si>
  <si>
    <t>Sold 20000. 45 Shares at 444</t>
  </si>
  <si>
    <t>Sold 2000. Qty 2</t>
  </si>
  <si>
    <t>Sold 250 Shares at 79.5. Value 19875</t>
  </si>
  <si>
    <t>Sold 59 Shares at 332. Value 19600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</si>
</sst>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0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5"/>
  <sheetViews>
    <sheetView tabSelected="1" workbookViewId="0">
      <pane xSplit="1" topLeftCell="P1" activePane="topRight" state="frozen"/>
      <selection activeCell="C16" sqref="C16"/>
      <selection pane="topRight" activeCell="X13" sqref="X13"/>
    </sheetView>
  </sheetViews>
  <sheetFormatPr defaultRowHeight="15"/>
  <cols>
    <col min="1" max="1" width="11.7109375" bestFit="1" customWidth="1"/>
    <col min="2" max="2" width="9.7109375" bestFit="1" customWidth="1"/>
    <col min="3" max="3" width="9.28515625" bestFit="1" customWidth="1"/>
    <col min="4" max="5" width="9.7109375" bestFit="1" customWidth="1"/>
    <col min="6" max="7" width="9.5703125" bestFit="1" customWidth="1"/>
    <col min="8" max="13" width="10.140625" bestFit="1" customWidth="1"/>
    <col min="14" max="14" width="17.5703125" customWidth="1"/>
    <col min="15" max="16" width="9.85546875" bestFit="1" customWidth="1"/>
    <col min="17" max="17" width="18.5703125" bestFit="1" customWidth="1"/>
    <col min="18" max="18" width="9.85546875" bestFit="1" customWidth="1"/>
    <col min="19" max="20" width="10.7109375" bestFit="1" customWidth="1"/>
    <col min="21" max="21" width="18.85546875" bestFit="1" customWidth="1"/>
    <col min="22" max="22" width="9.42578125" bestFit="1" customWidth="1"/>
    <col min="23" max="24" width="10" bestFit="1" customWidth="1"/>
  </cols>
  <sheetData>
    <row r="1" spans="1:24">
      <c r="A1" t="s">
        <v>16</v>
      </c>
      <c r="B1" s="3">
        <v>41275</v>
      </c>
      <c r="C1" s="3">
        <v>41305</v>
      </c>
      <c r="D1" s="3">
        <v>41317</v>
      </c>
      <c r="E1" s="3">
        <v>41325</v>
      </c>
      <c r="F1" s="3">
        <v>41365</v>
      </c>
      <c r="G1" s="3">
        <v>41394</v>
      </c>
      <c r="H1" s="3">
        <v>41396</v>
      </c>
      <c r="I1" s="3">
        <v>41400</v>
      </c>
      <c r="J1" s="3">
        <v>41405</v>
      </c>
      <c r="K1" s="3">
        <v>41410</v>
      </c>
      <c r="L1" s="3">
        <v>41418</v>
      </c>
      <c r="M1" s="3">
        <v>41421</v>
      </c>
      <c r="N1" s="3">
        <v>41481</v>
      </c>
      <c r="O1" s="3">
        <v>41494</v>
      </c>
      <c r="P1" s="3">
        <v>41522</v>
      </c>
      <c r="Q1" s="3">
        <v>41564</v>
      </c>
      <c r="R1" s="3">
        <v>41565</v>
      </c>
      <c r="S1" s="3">
        <v>41569</v>
      </c>
      <c r="T1" s="3">
        <v>41570</v>
      </c>
      <c r="U1" s="3">
        <v>41570</v>
      </c>
      <c r="V1" s="3">
        <v>41578</v>
      </c>
      <c r="W1" s="3">
        <v>41605</v>
      </c>
      <c r="X1" s="3">
        <v>41617</v>
      </c>
    </row>
    <row r="3" spans="1:24">
      <c r="A3" t="s">
        <v>7</v>
      </c>
      <c r="B3" s="1">
        <v>980</v>
      </c>
      <c r="C3" s="1">
        <v>980</v>
      </c>
      <c r="D3" s="1">
        <v>980</v>
      </c>
      <c r="E3" s="1">
        <v>980</v>
      </c>
      <c r="F3" s="1">
        <v>980</v>
      </c>
      <c r="G3" s="1">
        <v>980</v>
      </c>
      <c r="H3" s="1">
        <v>980</v>
      </c>
      <c r="I3" s="1">
        <v>980</v>
      </c>
      <c r="J3" s="1">
        <v>980</v>
      </c>
      <c r="K3" s="1">
        <v>980</v>
      </c>
      <c r="L3" s="1">
        <v>980</v>
      </c>
      <c r="M3" s="1">
        <v>980</v>
      </c>
      <c r="N3" s="1">
        <v>980</v>
      </c>
      <c r="O3" s="1">
        <v>980</v>
      </c>
      <c r="P3" s="1">
        <v>980</v>
      </c>
      <c r="Q3" s="1">
        <v>980</v>
      </c>
      <c r="R3" s="1">
        <v>980</v>
      </c>
      <c r="S3" s="1">
        <v>772</v>
      </c>
      <c r="T3" s="1">
        <v>772</v>
      </c>
      <c r="U3" s="1">
        <v>772</v>
      </c>
      <c r="V3" s="1">
        <v>772</v>
      </c>
      <c r="W3" s="1">
        <v>772</v>
      </c>
      <c r="X3">
        <v>772</v>
      </c>
    </row>
    <row r="4" spans="1:24">
      <c r="A4" t="s">
        <v>3</v>
      </c>
      <c r="B4" s="1">
        <v>511</v>
      </c>
      <c r="C4" s="1">
        <v>511</v>
      </c>
      <c r="D4" s="1">
        <v>511</v>
      </c>
      <c r="E4" s="1">
        <v>766</v>
      </c>
      <c r="F4" s="1">
        <v>766</v>
      </c>
      <c r="G4" s="1">
        <v>766</v>
      </c>
      <c r="H4" s="1">
        <v>766</v>
      </c>
      <c r="I4" s="1">
        <v>766</v>
      </c>
      <c r="J4" s="1">
        <v>766</v>
      </c>
      <c r="K4" s="1">
        <v>766</v>
      </c>
      <c r="L4" s="1">
        <v>766</v>
      </c>
      <c r="M4" s="1">
        <v>766</v>
      </c>
      <c r="N4" s="1">
        <v>766</v>
      </c>
      <c r="O4" s="1">
        <v>766</v>
      </c>
      <c r="P4" s="1">
        <v>766</v>
      </c>
      <c r="Q4" s="1">
        <v>766</v>
      </c>
      <c r="R4" s="1">
        <v>766</v>
      </c>
      <c r="S4" s="1">
        <v>766</v>
      </c>
      <c r="T4" s="1">
        <v>766</v>
      </c>
      <c r="U4" s="1">
        <v>3830</v>
      </c>
      <c r="V4" s="1">
        <v>3830</v>
      </c>
      <c r="W4" s="1">
        <v>3830</v>
      </c>
      <c r="X4">
        <v>3830</v>
      </c>
    </row>
    <row r="5" spans="1:24">
      <c r="A5" t="s">
        <v>4</v>
      </c>
      <c r="B5" s="1">
        <v>396.66666666666669</v>
      </c>
      <c r="C5" s="1">
        <v>396.66666666666669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>
        <v>0</v>
      </c>
    </row>
    <row r="6" spans="1:24">
      <c r="A6" t="s">
        <v>61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>
        <v>473</v>
      </c>
    </row>
    <row r="7" spans="1:24">
      <c r="A7" t="s">
        <v>32</v>
      </c>
      <c r="B7" s="1"/>
      <c r="C7" s="1"/>
      <c r="D7" s="1"/>
      <c r="E7" s="1"/>
      <c r="F7" s="1"/>
      <c r="G7" s="1"/>
      <c r="H7" s="1">
        <v>29</v>
      </c>
      <c r="I7" s="1">
        <v>29</v>
      </c>
      <c r="J7" s="1">
        <v>29</v>
      </c>
      <c r="K7" s="1">
        <v>29</v>
      </c>
      <c r="L7" s="1">
        <v>29</v>
      </c>
      <c r="M7" s="1">
        <v>29</v>
      </c>
      <c r="N7" s="1">
        <v>29</v>
      </c>
      <c r="O7" s="1">
        <v>39</v>
      </c>
      <c r="P7" s="1">
        <v>39</v>
      </c>
      <c r="Q7" s="1">
        <v>39</v>
      </c>
      <c r="R7" s="1">
        <v>39</v>
      </c>
      <c r="S7" s="1">
        <v>39</v>
      </c>
      <c r="T7" s="1">
        <v>39</v>
      </c>
      <c r="U7" s="1">
        <v>39</v>
      </c>
      <c r="V7" s="1">
        <v>39</v>
      </c>
      <c r="W7" s="1">
        <v>39</v>
      </c>
      <c r="X7">
        <v>39</v>
      </c>
    </row>
    <row r="8" spans="1:24">
      <c r="A8" t="s">
        <v>22</v>
      </c>
      <c r="B8" s="1">
        <v>350</v>
      </c>
      <c r="C8" s="1">
        <v>350</v>
      </c>
      <c r="D8" s="1">
        <v>350</v>
      </c>
      <c r="E8" s="1">
        <v>350</v>
      </c>
      <c r="F8" s="1">
        <v>350</v>
      </c>
      <c r="G8" s="1">
        <v>350</v>
      </c>
      <c r="H8" s="1">
        <v>350</v>
      </c>
      <c r="I8" s="1">
        <v>350</v>
      </c>
      <c r="J8" s="1">
        <v>350</v>
      </c>
      <c r="K8" s="1">
        <v>350</v>
      </c>
      <c r="L8" s="1">
        <v>350</v>
      </c>
      <c r="M8" s="1">
        <v>350</v>
      </c>
      <c r="N8" s="1">
        <v>350</v>
      </c>
      <c r="O8" s="1">
        <v>350</v>
      </c>
      <c r="P8" s="1">
        <v>350</v>
      </c>
      <c r="Q8" s="1">
        <v>350</v>
      </c>
      <c r="R8" s="1">
        <v>350</v>
      </c>
      <c r="S8" s="1">
        <v>350</v>
      </c>
      <c r="T8" s="1">
        <v>350</v>
      </c>
      <c r="U8" s="1">
        <v>350</v>
      </c>
      <c r="V8" s="1">
        <v>350</v>
      </c>
      <c r="W8" s="1">
        <v>350</v>
      </c>
      <c r="X8">
        <v>350</v>
      </c>
    </row>
    <row r="9" spans="1:24">
      <c r="A9" t="s">
        <v>44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>
        <v>329</v>
      </c>
      <c r="Q9" s="1">
        <v>1645</v>
      </c>
      <c r="R9" s="1">
        <v>1645</v>
      </c>
      <c r="S9" s="1">
        <v>1645</v>
      </c>
      <c r="T9" s="1">
        <v>1645</v>
      </c>
      <c r="U9" s="1">
        <v>1645</v>
      </c>
      <c r="V9" s="1">
        <v>1645</v>
      </c>
      <c r="W9" s="1">
        <v>1645</v>
      </c>
      <c r="X9">
        <v>1645</v>
      </c>
    </row>
    <row r="10" spans="1:24">
      <c r="A10" t="s">
        <v>10</v>
      </c>
      <c r="B10" s="1">
        <v>1250</v>
      </c>
      <c r="C10" s="1">
        <v>1250</v>
      </c>
      <c r="D10" s="1">
        <v>1250</v>
      </c>
      <c r="E10" s="1">
        <v>1250</v>
      </c>
      <c r="F10" s="1">
        <v>1250</v>
      </c>
      <c r="G10" s="1">
        <v>625</v>
      </c>
      <c r="H10" s="1">
        <v>330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>
        <v>0</v>
      </c>
    </row>
    <row r="11" spans="1:24">
      <c r="A11" t="s">
        <v>20</v>
      </c>
      <c r="B11" s="1">
        <v>340</v>
      </c>
      <c r="C11" s="1">
        <v>420</v>
      </c>
      <c r="D11" s="1">
        <v>420</v>
      </c>
      <c r="E11" s="1">
        <v>420</v>
      </c>
      <c r="F11" s="1">
        <v>420</v>
      </c>
      <c r="G11" s="1">
        <v>420</v>
      </c>
      <c r="H11" s="1">
        <v>420</v>
      </c>
      <c r="I11" s="1">
        <v>420</v>
      </c>
      <c r="J11" s="1">
        <v>420</v>
      </c>
      <c r="K11" s="1">
        <v>420</v>
      </c>
      <c r="L11" s="1">
        <v>420</v>
      </c>
      <c r="M11" s="1">
        <v>420</v>
      </c>
      <c r="N11" s="1">
        <v>840</v>
      </c>
      <c r="O11" s="1">
        <v>840</v>
      </c>
      <c r="P11" s="1">
        <v>840</v>
      </c>
      <c r="Q11" s="1">
        <v>840</v>
      </c>
      <c r="R11" s="1">
        <v>840</v>
      </c>
      <c r="S11" s="1">
        <v>840</v>
      </c>
      <c r="T11" s="1">
        <v>840</v>
      </c>
      <c r="U11" s="1">
        <v>840</v>
      </c>
      <c r="V11" s="1">
        <v>840</v>
      </c>
      <c r="W11" s="1">
        <v>840</v>
      </c>
      <c r="X11">
        <v>840</v>
      </c>
    </row>
    <row r="12" spans="1:24">
      <c r="A12" t="s">
        <v>47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>
        <v>766</v>
      </c>
      <c r="T12" s="1">
        <v>766</v>
      </c>
      <c r="U12" s="1">
        <v>766</v>
      </c>
      <c r="V12" s="1">
        <v>1149</v>
      </c>
      <c r="W12" s="1">
        <v>1149</v>
      </c>
      <c r="X12">
        <v>1149</v>
      </c>
    </row>
    <row r="13" spans="1:24">
      <c r="A13" t="s">
        <v>6</v>
      </c>
      <c r="B13" s="1">
        <v>111.42857142857143</v>
      </c>
      <c r="C13" s="1">
        <v>111.42857142857143</v>
      </c>
      <c r="D13" s="1">
        <v>111.42857142857143</v>
      </c>
      <c r="E13" s="1">
        <v>111.42857142857143</v>
      </c>
      <c r="F13" s="1">
        <v>111.42857142857143</v>
      </c>
      <c r="G13" s="1">
        <v>111.42857142857143</v>
      </c>
      <c r="H13" s="1">
        <v>111.42857142857143</v>
      </c>
      <c r="I13" s="1">
        <v>111.42857142857143</v>
      </c>
      <c r="J13" s="1">
        <v>111.42857142857143</v>
      </c>
      <c r="K13" s="1">
        <v>111.42857142857143</v>
      </c>
      <c r="L13" s="1">
        <v>141</v>
      </c>
      <c r="M13" s="1">
        <v>141</v>
      </c>
      <c r="N13" s="1">
        <v>141</v>
      </c>
      <c r="O13" s="1">
        <v>141</v>
      </c>
      <c r="P13" s="1">
        <v>141</v>
      </c>
      <c r="Q13" s="1">
        <v>141</v>
      </c>
      <c r="R13" s="1">
        <v>141</v>
      </c>
      <c r="S13" s="1">
        <v>141</v>
      </c>
      <c r="T13" s="1">
        <v>141</v>
      </c>
      <c r="U13" s="1">
        <v>141</v>
      </c>
      <c r="V13" s="1">
        <v>141</v>
      </c>
      <c r="W13" s="1">
        <v>141</v>
      </c>
      <c r="X13">
        <v>141</v>
      </c>
    </row>
    <row r="14" spans="1:24">
      <c r="A14" t="s">
        <v>57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>
        <v>170</v>
      </c>
      <c r="X14">
        <v>125</v>
      </c>
    </row>
    <row r="15" spans="1:24">
      <c r="A15" t="s">
        <v>34</v>
      </c>
      <c r="B15" s="1"/>
      <c r="C15" s="1"/>
      <c r="D15" s="1"/>
      <c r="E15" s="1"/>
      <c r="F15" s="1"/>
      <c r="G15" s="1"/>
      <c r="H15" s="1"/>
      <c r="I15" s="1"/>
      <c r="J15" s="1">
        <v>900</v>
      </c>
      <c r="K15" s="1">
        <v>900</v>
      </c>
      <c r="L15" s="1">
        <v>900</v>
      </c>
      <c r="M15" s="1">
        <v>900</v>
      </c>
      <c r="N15" s="1">
        <v>900</v>
      </c>
      <c r="O15" s="1">
        <v>900</v>
      </c>
      <c r="P15" s="1">
        <v>900</v>
      </c>
      <c r="Q15" s="1">
        <v>900</v>
      </c>
      <c r="R15" s="1">
        <v>900</v>
      </c>
      <c r="S15" s="1">
        <v>900</v>
      </c>
      <c r="T15" s="1">
        <v>900</v>
      </c>
      <c r="U15" s="1">
        <v>900</v>
      </c>
      <c r="V15" s="1">
        <v>900</v>
      </c>
      <c r="W15" s="1">
        <v>900</v>
      </c>
      <c r="X15">
        <v>650</v>
      </c>
    </row>
    <row r="16" spans="1:24">
      <c r="A16" t="s">
        <v>12</v>
      </c>
      <c r="B16" s="1">
        <v>372.4</v>
      </c>
      <c r="C16" s="1">
        <v>372.4</v>
      </c>
      <c r="D16" s="1">
        <v>372.4</v>
      </c>
      <c r="E16" s="1">
        <v>372.4</v>
      </c>
      <c r="F16" s="1">
        <v>372.4</v>
      </c>
      <c r="G16" s="1">
        <v>372.4</v>
      </c>
      <c r="H16" s="1">
        <v>372.4</v>
      </c>
      <c r="I16" s="1">
        <v>372.4</v>
      </c>
      <c r="J16" s="1">
        <v>372.4</v>
      </c>
      <c r="K16" s="1">
        <v>372.4</v>
      </c>
      <c r="L16" s="1">
        <v>372.4</v>
      </c>
      <c r="M16" s="1">
        <v>372.4</v>
      </c>
      <c r="N16" s="1">
        <v>372.4</v>
      </c>
      <c r="O16" s="1">
        <v>372.4</v>
      </c>
      <c r="P16" s="1">
        <v>372.4</v>
      </c>
      <c r="Q16" s="1">
        <v>372.4</v>
      </c>
      <c r="R16" s="1">
        <v>372.4</v>
      </c>
      <c r="S16" s="1">
        <v>372.4</v>
      </c>
      <c r="T16" s="1">
        <v>372.4</v>
      </c>
      <c r="U16" s="1">
        <v>372.4</v>
      </c>
      <c r="V16" s="1">
        <v>372.4</v>
      </c>
      <c r="W16" s="1">
        <v>372.4</v>
      </c>
      <c r="X16">
        <v>313</v>
      </c>
    </row>
    <row r="17" spans="1:24">
      <c r="A17" t="s">
        <v>11</v>
      </c>
      <c r="B17" s="1">
        <v>1093.4000000000001</v>
      </c>
      <c r="C17" s="1">
        <v>1093.4000000000001</v>
      </c>
      <c r="D17" s="1">
        <v>1093.4000000000001</v>
      </c>
      <c r="E17" s="1">
        <v>1093.4000000000001</v>
      </c>
      <c r="F17" s="1">
        <v>1093.4000000000001</v>
      </c>
      <c r="G17" s="1">
        <v>1093.4000000000001</v>
      </c>
      <c r="H17" s="1">
        <v>1093.4000000000001</v>
      </c>
      <c r="I17" s="1">
        <v>1093.4000000000001</v>
      </c>
      <c r="J17" s="1">
        <v>1093.4000000000001</v>
      </c>
      <c r="K17" s="1">
        <v>1093.4000000000001</v>
      </c>
      <c r="L17" s="1">
        <v>1093.4000000000001</v>
      </c>
      <c r="M17" s="1">
        <v>1093.4000000000001</v>
      </c>
      <c r="N17" s="1">
        <v>1093.4000000000001</v>
      </c>
      <c r="O17" s="1">
        <v>1093.4000000000001</v>
      </c>
      <c r="P17" s="1">
        <v>1093.4000000000001</v>
      </c>
      <c r="Q17" s="1">
        <v>1093.4000000000001</v>
      </c>
      <c r="R17" s="1">
        <v>1312</v>
      </c>
      <c r="S17" s="1">
        <v>1312</v>
      </c>
      <c r="T17" s="1">
        <v>1312</v>
      </c>
      <c r="U17" s="1">
        <v>1312</v>
      </c>
      <c r="V17" s="1">
        <v>1312</v>
      </c>
      <c r="W17" s="1">
        <v>1312</v>
      </c>
      <c r="X17">
        <v>1312</v>
      </c>
    </row>
    <row r="18" spans="1:24">
      <c r="A18" t="s">
        <v>17</v>
      </c>
      <c r="B18" s="1">
        <v>1850</v>
      </c>
      <c r="C18" s="1">
        <v>1850</v>
      </c>
      <c r="D18" s="1">
        <v>1850</v>
      </c>
      <c r="E18" s="1">
        <v>1850</v>
      </c>
      <c r="F18" s="1">
        <v>1850</v>
      </c>
      <c r="G18" s="1">
        <v>1850</v>
      </c>
      <c r="H18" s="1">
        <v>1850</v>
      </c>
      <c r="I18" s="1">
        <v>1850</v>
      </c>
      <c r="J18" s="1">
        <v>1850</v>
      </c>
      <c r="K18" s="1">
        <v>1850</v>
      </c>
      <c r="L18" s="1">
        <v>1850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</row>
    <row r="19" spans="1:24">
      <c r="A19" t="s">
        <v>15</v>
      </c>
      <c r="B19" s="1">
        <v>368</v>
      </c>
      <c r="C19" s="1">
        <v>368</v>
      </c>
      <c r="D19" s="1">
        <v>368</v>
      </c>
      <c r="E19" s="1">
        <v>368</v>
      </c>
      <c r="F19" s="1">
        <v>368</v>
      </c>
      <c r="G19" s="1">
        <v>368</v>
      </c>
      <c r="H19" s="1">
        <v>368</v>
      </c>
      <c r="I19" s="1">
        <v>368</v>
      </c>
      <c r="J19" s="1">
        <v>368</v>
      </c>
      <c r="K19" s="1">
        <v>368</v>
      </c>
      <c r="L19" s="1">
        <v>368</v>
      </c>
      <c r="M19" s="1">
        <v>368</v>
      </c>
      <c r="N19" s="1">
        <v>368</v>
      </c>
      <c r="O19" s="1">
        <v>368</v>
      </c>
      <c r="P19" s="1">
        <v>368</v>
      </c>
      <c r="Q19" s="1">
        <v>368</v>
      </c>
      <c r="R19" s="1">
        <v>368</v>
      </c>
      <c r="S19" s="1">
        <v>368</v>
      </c>
      <c r="T19" s="1">
        <v>368</v>
      </c>
      <c r="U19" s="1">
        <v>368</v>
      </c>
      <c r="V19" s="1">
        <v>368</v>
      </c>
      <c r="W19" s="1">
        <v>368</v>
      </c>
      <c r="X19">
        <v>368</v>
      </c>
    </row>
    <row r="20" spans="1:24">
      <c r="A20" t="s">
        <v>26</v>
      </c>
      <c r="B20" s="1"/>
      <c r="C20" s="1"/>
      <c r="D20" s="1"/>
      <c r="E20" s="1"/>
      <c r="F20" s="1">
        <v>365</v>
      </c>
      <c r="G20" s="1">
        <v>365</v>
      </c>
      <c r="H20" s="1">
        <v>365</v>
      </c>
      <c r="I20" s="1">
        <v>365</v>
      </c>
      <c r="J20" s="1">
        <v>365</v>
      </c>
      <c r="K20" s="1">
        <v>365</v>
      </c>
      <c r="L20" s="1">
        <v>365</v>
      </c>
      <c r="M20" s="1">
        <v>365</v>
      </c>
      <c r="N20" s="1">
        <v>365</v>
      </c>
      <c r="O20" s="1">
        <v>365</v>
      </c>
      <c r="P20" s="1">
        <v>365</v>
      </c>
      <c r="Q20" s="1">
        <v>365</v>
      </c>
      <c r="R20" s="1">
        <v>365</v>
      </c>
      <c r="S20" s="1">
        <v>365</v>
      </c>
      <c r="T20" s="1">
        <v>365</v>
      </c>
      <c r="U20" s="1">
        <v>365</v>
      </c>
      <c r="V20" s="1">
        <v>365</v>
      </c>
      <c r="W20" s="1">
        <v>365</v>
      </c>
      <c r="X20">
        <v>365</v>
      </c>
    </row>
    <row r="21" spans="1:24">
      <c r="A21" t="s">
        <v>5</v>
      </c>
      <c r="B21" s="1">
        <v>645.71428571428567</v>
      </c>
      <c r="C21" s="1">
        <v>645.71428571428567</v>
      </c>
      <c r="D21" s="1">
        <v>645.71428571428567</v>
      </c>
      <c r="E21" s="1">
        <v>645.71428571428567</v>
      </c>
      <c r="F21" s="1">
        <v>645.71428571428567</v>
      </c>
      <c r="G21" s="1">
        <v>645.71428571428567</v>
      </c>
      <c r="H21" s="1">
        <v>645.71428571428567</v>
      </c>
      <c r="I21" s="1">
        <v>645.71428571428567</v>
      </c>
      <c r="J21" s="1">
        <v>548</v>
      </c>
      <c r="K21" s="1">
        <v>252</v>
      </c>
      <c r="L21" s="1">
        <v>252</v>
      </c>
      <c r="M21" s="1">
        <v>252</v>
      </c>
      <c r="N21" s="1">
        <v>252</v>
      </c>
      <c r="O21" s="1">
        <v>252</v>
      </c>
      <c r="P21" s="1">
        <v>252</v>
      </c>
      <c r="Q21" s="1">
        <v>252</v>
      </c>
      <c r="R21" s="1">
        <v>252</v>
      </c>
      <c r="S21" s="1">
        <v>252</v>
      </c>
      <c r="T21" s="1">
        <v>181</v>
      </c>
      <c r="U21" s="1">
        <v>181</v>
      </c>
      <c r="V21" s="1">
        <v>173</v>
      </c>
      <c r="W21" s="1">
        <v>0</v>
      </c>
      <c r="X21">
        <v>0</v>
      </c>
    </row>
    <row r="22" spans="1:24">
      <c r="A22" t="s">
        <v>13</v>
      </c>
      <c r="B22" s="1">
        <v>225</v>
      </c>
      <c r="C22" s="1">
        <v>225</v>
      </c>
      <c r="D22" s="1">
        <v>225</v>
      </c>
      <c r="E22" s="1">
        <v>225</v>
      </c>
      <c r="F22" s="1">
        <v>225</v>
      </c>
      <c r="G22" s="1">
        <v>225</v>
      </c>
      <c r="H22" s="1">
        <v>225</v>
      </c>
      <c r="I22" s="1">
        <v>225</v>
      </c>
      <c r="J22" s="1">
        <v>225</v>
      </c>
      <c r="K22" s="1">
        <v>225</v>
      </c>
      <c r="L22" s="1">
        <v>225</v>
      </c>
      <c r="M22" s="1">
        <v>225</v>
      </c>
      <c r="N22" s="1">
        <v>225</v>
      </c>
      <c r="O22" s="1">
        <v>225</v>
      </c>
      <c r="P22" s="1">
        <v>225</v>
      </c>
      <c r="Q22" s="1">
        <v>225</v>
      </c>
      <c r="R22" s="1">
        <v>225</v>
      </c>
      <c r="S22" s="1">
        <v>225</v>
      </c>
      <c r="T22" s="1">
        <v>225</v>
      </c>
      <c r="U22" s="1">
        <v>225</v>
      </c>
      <c r="V22" s="1">
        <v>225</v>
      </c>
      <c r="W22" s="1">
        <v>225</v>
      </c>
      <c r="X22">
        <v>225</v>
      </c>
    </row>
    <row r="23" spans="1:24">
      <c r="A23" t="s">
        <v>19</v>
      </c>
      <c r="B23" s="1">
        <v>102</v>
      </c>
      <c r="C23" s="1">
        <v>63</v>
      </c>
      <c r="D23" s="1">
        <v>149</v>
      </c>
      <c r="E23" s="1">
        <v>88</v>
      </c>
      <c r="F23" s="1">
        <v>2</v>
      </c>
      <c r="G23" s="1">
        <v>60</v>
      </c>
      <c r="H23" s="1">
        <v>0</v>
      </c>
      <c r="I23" s="1">
        <v>32</v>
      </c>
      <c r="J23" s="1">
        <v>0</v>
      </c>
      <c r="K23" s="1">
        <v>148</v>
      </c>
      <c r="L23" s="1">
        <v>110</v>
      </c>
      <c r="M23" s="1">
        <v>162</v>
      </c>
      <c r="N23" s="1">
        <v>162</v>
      </c>
      <c r="O23" s="1">
        <v>127</v>
      </c>
      <c r="P23" s="1">
        <v>42</v>
      </c>
      <c r="Q23" s="1">
        <v>42</v>
      </c>
      <c r="R23" s="1">
        <v>10</v>
      </c>
      <c r="S23" s="1">
        <v>0</v>
      </c>
      <c r="T23" s="1">
        <v>36</v>
      </c>
      <c r="U23" s="1">
        <v>36</v>
      </c>
      <c r="V23" s="1">
        <v>0</v>
      </c>
      <c r="W23" s="1">
        <v>2</v>
      </c>
      <c r="X23">
        <v>0</v>
      </c>
    </row>
    <row r="25" spans="1:24">
      <c r="N25" t="s">
        <v>40</v>
      </c>
      <c r="Q25" t="s">
        <v>45</v>
      </c>
      <c r="U25" t="s">
        <v>52</v>
      </c>
    </row>
  </sheetData>
  <pageMargins left="0.7" right="0.7" top="0.75" bottom="0.75" header="0.3" footer="0.3"/>
  <pageSetup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>
      <selection activeCell="F5" sqref="F5"/>
    </sheetView>
  </sheetViews>
  <sheetFormatPr defaultRowHeight="15"/>
  <cols>
    <col min="1" max="1" width="14.5703125" bestFit="1" customWidth="1"/>
    <col min="2" max="2" width="16.85546875" style="1" bestFit="1" customWidth="1"/>
    <col min="5" max="5" width="11" style="2" bestFit="1" customWidth="1"/>
    <col min="6" max="6" width="11" bestFit="1" customWidth="1"/>
    <col min="7" max="7" width="13.42578125" bestFit="1" customWidth="1"/>
  </cols>
  <sheetData>
    <row r="1" spans="1:7">
      <c r="A1" t="s">
        <v>18</v>
      </c>
    </row>
    <row r="3" spans="1:7">
      <c r="A3" t="s">
        <v>0</v>
      </c>
      <c r="B3" s="1" t="s">
        <v>9</v>
      </c>
      <c r="C3" t="s">
        <v>1</v>
      </c>
      <c r="D3" t="s">
        <v>8</v>
      </c>
      <c r="E3" s="2" t="s">
        <v>2</v>
      </c>
      <c r="G3" t="s">
        <v>14</v>
      </c>
    </row>
    <row r="5" spans="1:7">
      <c r="A5" t="s">
        <v>7</v>
      </c>
      <c r="B5" s="1">
        <v>980</v>
      </c>
      <c r="C5">
        <v>238</v>
      </c>
      <c r="D5">
        <f>C5*B5</f>
        <v>233240</v>
      </c>
      <c r="E5" s="2">
        <f t="shared" ref="E5:E18" si="0">D5/$D$20</f>
        <v>0.12621936106724738</v>
      </c>
    </row>
    <row r="6" spans="1:7">
      <c r="A6" t="s">
        <v>3</v>
      </c>
      <c r="B6" s="1">
        <v>511</v>
      </c>
      <c r="C6">
        <v>220</v>
      </c>
      <c r="D6">
        <f t="shared" ref="D6:D18" si="1">C6*B6</f>
        <v>112420</v>
      </c>
      <c r="E6" s="2">
        <f t="shared" si="0"/>
        <v>6.0836822891356321E-2</v>
      </c>
    </row>
    <row r="7" spans="1:7">
      <c r="A7" t="s">
        <v>4</v>
      </c>
      <c r="B7" s="1">
        <v>397</v>
      </c>
      <c r="C7">
        <v>252</v>
      </c>
      <c r="D7">
        <f t="shared" si="1"/>
        <v>100044</v>
      </c>
      <c r="E7" s="2">
        <f t="shared" si="0"/>
        <v>5.4139469038808501E-2</v>
      </c>
    </row>
    <row r="8" spans="1:7">
      <c r="A8" t="s">
        <v>21</v>
      </c>
      <c r="B8" s="1">
        <v>350</v>
      </c>
      <c r="C8">
        <v>240</v>
      </c>
      <c r="D8">
        <f t="shared" si="1"/>
        <v>84000</v>
      </c>
      <c r="E8" s="2">
        <f t="shared" si="0"/>
        <v>4.5457152845347189E-2</v>
      </c>
    </row>
    <row r="9" spans="1:7">
      <c r="A9" t="s">
        <v>10</v>
      </c>
      <c r="B9" s="1">
        <v>1250</v>
      </c>
      <c r="C9">
        <v>100</v>
      </c>
      <c r="D9">
        <f t="shared" si="1"/>
        <v>125000</v>
      </c>
      <c r="E9" s="2">
        <f t="shared" si="0"/>
        <v>6.7644572686528556E-2</v>
      </c>
    </row>
    <row r="10" spans="1:7">
      <c r="A10" t="s">
        <v>20</v>
      </c>
      <c r="B10" s="1">
        <f>245+95</f>
        <v>340</v>
      </c>
      <c r="C10">
        <v>499</v>
      </c>
      <c r="D10">
        <f t="shared" si="1"/>
        <v>169660</v>
      </c>
      <c r="E10" s="2">
        <f t="shared" si="0"/>
        <v>9.1812625615971477E-2</v>
      </c>
    </row>
    <row r="11" spans="1:7">
      <c r="A11" t="s">
        <v>6</v>
      </c>
      <c r="B11" s="1">
        <v>111</v>
      </c>
      <c r="C11">
        <v>1286</v>
      </c>
      <c r="D11">
        <f t="shared" si="1"/>
        <v>142746</v>
      </c>
      <c r="E11" s="2">
        <f t="shared" si="0"/>
        <v>7.7247937381689641E-2</v>
      </c>
    </row>
    <row r="12" spans="1:7">
      <c r="A12" t="s">
        <v>12</v>
      </c>
      <c r="B12" s="1">
        <v>372</v>
      </c>
      <c r="C12">
        <v>242</v>
      </c>
      <c r="D12">
        <f t="shared" si="1"/>
        <v>90024</v>
      </c>
      <c r="E12" s="2">
        <f t="shared" si="0"/>
        <v>4.8717080092256372E-2</v>
      </c>
    </row>
    <row r="13" spans="1:7">
      <c r="A13" t="s">
        <v>11</v>
      </c>
      <c r="B13" s="1">
        <v>1093</v>
      </c>
      <c r="C13">
        <v>189</v>
      </c>
      <c r="D13">
        <f t="shared" si="1"/>
        <v>206577</v>
      </c>
      <c r="E13" s="2">
        <f t="shared" si="0"/>
        <v>0.11179050313492007</v>
      </c>
    </row>
    <row r="14" spans="1:7">
      <c r="A14" t="s">
        <v>17</v>
      </c>
      <c r="B14" s="1">
        <v>1850</v>
      </c>
      <c r="C14">
        <v>27</v>
      </c>
      <c r="D14">
        <f t="shared" si="1"/>
        <v>49950</v>
      </c>
      <c r="E14" s="2">
        <f t="shared" si="0"/>
        <v>2.7030771245536812E-2</v>
      </c>
    </row>
    <row r="15" spans="1:7">
      <c r="A15" t="s">
        <v>15</v>
      </c>
      <c r="B15" s="1">
        <v>368</v>
      </c>
      <c r="C15">
        <v>118</v>
      </c>
      <c r="D15">
        <f t="shared" si="1"/>
        <v>43424</v>
      </c>
      <c r="E15" s="2">
        <f t="shared" si="0"/>
        <v>2.3499183394718529E-2</v>
      </c>
    </row>
    <row r="16" spans="1:7">
      <c r="A16" t="s">
        <v>5</v>
      </c>
      <c r="B16" s="1">
        <v>646</v>
      </c>
      <c r="C16">
        <v>504</v>
      </c>
      <c r="D16">
        <f t="shared" si="1"/>
        <v>325584</v>
      </c>
      <c r="E16" s="2">
        <f t="shared" si="0"/>
        <v>0.17619192442856571</v>
      </c>
    </row>
    <row r="17" spans="1:5">
      <c r="A17" t="s">
        <v>13</v>
      </c>
      <c r="B17" s="1">
        <v>225</v>
      </c>
      <c r="C17">
        <v>281</v>
      </c>
      <c r="D17">
        <f t="shared" si="1"/>
        <v>63225</v>
      </c>
      <c r="E17" s="2">
        <f t="shared" si="0"/>
        <v>3.4214624864846145E-2</v>
      </c>
    </row>
    <row r="18" spans="1:5">
      <c r="A18" t="s">
        <v>19</v>
      </c>
      <c r="B18" s="1">
        <v>102</v>
      </c>
      <c r="C18">
        <v>1000</v>
      </c>
      <c r="D18">
        <f t="shared" si="1"/>
        <v>102000</v>
      </c>
      <c r="E18" s="2">
        <f t="shared" si="0"/>
        <v>5.51979713122073E-2</v>
      </c>
    </row>
    <row r="20" spans="1:5">
      <c r="D20">
        <f>SUM(D5:D18)</f>
        <v>1847894</v>
      </c>
      <c r="E20"/>
    </row>
  </sheetData>
  <pageMargins left="0.7" right="0.7" top="0.75" bottom="0.75" header="0.3" footer="0.3"/>
  <pageSetup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>
      <selection activeCell="C20" sqref="C20"/>
    </sheetView>
  </sheetViews>
  <sheetFormatPr defaultRowHeight="15"/>
  <cols>
    <col min="1" max="1" width="14.5703125" bestFit="1" customWidth="1"/>
    <col min="2" max="2" width="16.85546875" style="1" bestFit="1" customWidth="1"/>
    <col min="5" max="5" width="11" style="2" bestFit="1" customWidth="1"/>
    <col min="6" max="6" width="11" bestFit="1" customWidth="1"/>
    <col min="7" max="7" width="13.42578125" bestFit="1" customWidth="1"/>
  </cols>
  <sheetData>
    <row r="1" spans="1:7">
      <c r="A1" t="s">
        <v>18</v>
      </c>
    </row>
    <row r="3" spans="1:7">
      <c r="A3" t="s">
        <v>0</v>
      </c>
      <c r="B3" s="1" t="s">
        <v>9</v>
      </c>
      <c r="C3" t="s">
        <v>1</v>
      </c>
      <c r="D3" t="s">
        <v>8</v>
      </c>
      <c r="E3" s="2" t="s">
        <v>2</v>
      </c>
      <c r="G3" t="s">
        <v>14</v>
      </c>
    </row>
    <row r="5" spans="1:7">
      <c r="A5" t="s">
        <v>7</v>
      </c>
      <c r="B5" s="1">
        <v>980</v>
      </c>
      <c r="C5">
        <v>313</v>
      </c>
      <c r="D5">
        <f>C5*B5</f>
        <v>306740</v>
      </c>
      <c r="E5" s="2">
        <f t="shared" ref="E5:E18" si="0">D5/$D$20</f>
        <v>0.16428545414425241</v>
      </c>
    </row>
    <row r="6" spans="1:7">
      <c r="A6" t="s">
        <v>3</v>
      </c>
      <c r="B6" s="1">
        <v>511</v>
      </c>
      <c r="C6">
        <v>218</v>
      </c>
      <c r="D6">
        <f t="shared" ref="D6:D18" si="1">C6*B6</f>
        <v>111398</v>
      </c>
      <c r="E6" s="2">
        <f t="shared" si="0"/>
        <v>5.9663138230297424E-2</v>
      </c>
    </row>
    <row r="7" spans="1:7">
      <c r="A7" t="s">
        <v>4</v>
      </c>
      <c r="B7" s="1">
        <v>397</v>
      </c>
      <c r="C7">
        <v>234</v>
      </c>
      <c r="D7">
        <f t="shared" si="1"/>
        <v>92898</v>
      </c>
      <c r="E7" s="2">
        <f t="shared" si="0"/>
        <v>4.9754809020971381E-2</v>
      </c>
    </row>
    <row r="8" spans="1:7">
      <c r="A8" t="s">
        <v>21</v>
      </c>
      <c r="B8" s="1">
        <v>350</v>
      </c>
      <c r="C8">
        <v>246</v>
      </c>
      <c r="D8">
        <f t="shared" si="1"/>
        <v>86100</v>
      </c>
      <c r="E8" s="2">
        <f t="shared" si="0"/>
        <v>4.6113899725566058E-2</v>
      </c>
    </row>
    <row r="9" spans="1:7">
      <c r="A9" t="s">
        <v>10</v>
      </c>
      <c r="B9" s="1">
        <v>1250</v>
      </c>
      <c r="C9">
        <v>101</v>
      </c>
      <c r="D9">
        <f t="shared" si="1"/>
        <v>126250</v>
      </c>
      <c r="E9" s="2">
        <f t="shared" si="0"/>
        <v>6.7617652036616904E-2</v>
      </c>
    </row>
    <row r="10" spans="1:7">
      <c r="A10" t="s">
        <v>20</v>
      </c>
      <c r="B10" s="1">
        <f>245+95+80</f>
        <v>420</v>
      </c>
      <c r="C10">
        <v>486</v>
      </c>
      <c r="D10">
        <f t="shared" si="1"/>
        <v>204120</v>
      </c>
      <c r="E10" s="2">
        <f t="shared" si="0"/>
        <v>0.10932368422743954</v>
      </c>
      <c r="G10" t="s">
        <v>23</v>
      </c>
    </row>
    <row r="11" spans="1:7">
      <c r="A11" t="s">
        <v>6</v>
      </c>
      <c r="B11" s="1">
        <v>111</v>
      </c>
      <c r="C11">
        <v>1381</v>
      </c>
      <c r="D11">
        <f t="shared" si="1"/>
        <v>153291</v>
      </c>
      <c r="E11" s="2">
        <f t="shared" si="0"/>
        <v>8.2100415828475576E-2</v>
      </c>
    </row>
    <row r="12" spans="1:7">
      <c r="A12" t="s">
        <v>12</v>
      </c>
      <c r="B12" s="1">
        <v>372</v>
      </c>
      <c r="C12">
        <v>250</v>
      </c>
      <c r="D12">
        <f t="shared" si="1"/>
        <v>93000</v>
      </c>
      <c r="E12" s="2">
        <f t="shared" si="0"/>
        <v>4.980943872796334E-2</v>
      </c>
    </row>
    <row r="13" spans="1:7">
      <c r="A13" t="s">
        <v>11</v>
      </c>
      <c r="B13" s="1">
        <v>1093</v>
      </c>
      <c r="C13">
        <v>147</v>
      </c>
      <c r="D13">
        <f t="shared" si="1"/>
        <v>160671</v>
      </c>
      <c r="E13" s="2">
        <f t="shared" si="0"/>
        <v>8.605303580495266E-2</v>
      </c>
    </row>
    <row r="14" spans="1:7">
      <c r="A14" t="s">
        <v>17</v>
      </c>
      <c r="B14" s="1">
        <v>1850</v>
      </c>
      <c r="C14">
        <v>27</v>
      </c>
      <c r="D14">
        <f t="shared" si="1"/>
        <v>49950</v>
      </c>
      <c r="E14" s="2">
        <f t="shared" si="0"/>
        <v>2.6752488865180311E-2</v>
      </c>
    </row>
    <row r="15" spans="1:7">
      <c r="A15" t="s">
        <v>15</v>
      </c>
      <c r="B15" s="1">
        <v>368</v>
      </c>
      <c r="C15">
        <v>118</v>
      </c>
      <c r="D15">
        <f t="shared" si="1"/>
        <v>43424</v>
      </c>
      <c r="E15" s="2">
        <f t="shared" si="0"/>
        <v>2.3257258788420217E-2</v>
      </c>
    </row>
    <row r="16" spans="1:7">
      <c r="A16" t="s">
        <v>5</v>
      </c>
      <c r="B16" s="1">
        <v>646</v>
      </c>
      <c r="C16">
        <v>494</v>
      </c>
      <c r="D16">
        <f t="shared" si="1"/>
        <v>319124</v>
      </c>
      <c r="E16" s="2">
        <f t="shared" si="0"/>
        <v>0.17091814327551152</v>
      </c>
    </row>
    <row r="17" spans="1:5">
      <c r="A17" t="s">
        <v>13</v>
      </c>
      <c r="B17" s="1">
        <v>225</v>
      </c>
      <c r="C17">
        <v>254</v>
      </c>
      <c r="D17">
        <f t="shared" si="1"/>
        <v>57150</v>
      </c>
      <c r="E17" s="2">
        <f t="shared" si="0"/>
        <v>3.0608703476377473E-2</v>
      </c>
    </row>
    <row r="18" spans="1:5">
      <c r="A18" t="s">
        <v>19</v>
      </c>
      <c r="B18" s="1">
        <f>102-39</f>
        <v>63</v>
      </c>
      <c r="C18">
        <v>1000</v>
      </c>
      <c r="D18">
        <f t="shared" si="1"/>
        <v>63000</v>
      </c>
      <c r="E18" s="2">
        <f t="shared" si="0"/>
        <v>3.3741877847975166E-2</v>
      </c>
    </row>
    <row r="20" spans="1:5">
      <c r="D20">
        <f>SUM(D5:D18)</f>
        <v>1867116</v>
      </c>
      <c r="E20"/>
    </row>
  </sheetData>
  <pageMargins left="0.7" right="0.7" top="0.75" bottom="0.75" header="0.3" footer="0.3"/>
  <pageSetup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0"/>
  <sheetViews>
    <sheetView workbookViewId="0">
      <selection activeCell="B10" sqref="B10"/>
    </sheetView>
  </sheetViews>
  <sheetFormatPr defaultRowHeight="15"/>
  <cols>
    <col min="1" max="1" width="14.5703125" bestFit="1" customWidth="1"/>
    <col min="2" max="2" width="16.85546875" style="1" bestFit="1" customWidth="1"/>
    <col min="5" max="5" width="11" style="2" bestFit="1" customWidth="1"/>
    <col min="6" max="6" width="11" bestFit="1" customWidth="1"/>
    <col min="7" max="7" width="22.85546875" bestFit="1" customWidth="1"/>
  </cols>
  <sheetData>
    <row r="1" spans="1:7">
      <c r="A1" t="s">
        <v>18</v>
      </c>
    </row>
    <row r="3" spans="1:7">
      <c r="A3" t="s">
        <v>0</v>
      </c>
      <c r="B3" s="1" t="s">
        <v>9</v>
      </c>
      <c r="C3" t="s">
        <v>1</v>
      </c>
      <c r="D3" t="s">
        <v>8</v>
      </c>
      <c r="E3" s="2" t="s">
        <v>2</v>
      </c>
      <c r="G3" t="s">
        <v>14</v>
      </c>
    </row>
    <row r="5" spans="1:7">
      <c r="A5" t="s">
        <v>7</v>
      </c>
      <c r="B5" s="1">
        <v>980</v>
      </c>
      <c r="C5">
        <v>291</v>
      </c>
      <c r="D5">
        <f>C5*B5</f>
        <v>285180</v>
      </c>
      <c r="E5" s="2">
        <f t="shared" ref="E5:E18" si="0">D5/$D$20</f>
        <v>0.15876515250206263</v>
      </c>
    </row>
    <row r="6" spans="1:7">
      <c r="A6" t="s">
        <v>3</v>
      </c>
      <c r="B6" s="1">
        <v>511</v>
      </c>
      <c r="C6">
        <v>220</v>
      </c>
      <c r="D6">
        <f t="shared" ref="D6:D18" si="1">C6*B6</f>
        <v>112420</v>
      </c>
      <c r="E6" s="2">
        <f t="shared" si="0"/>
        <v>6.2586361050150363E-2</v>
      </c>
    </row>
    <row r="7" spans="1:7">
      <c r="A7" t="s">
        <v>4</v>
      </c>
      <c r="B7" s="1">
        <v>0</v>
      </c>
      <c r="C7">
        <v>217</v>
      </c>
      <c r="D7">
        <f t="shared" si="1"/>
        <v>0</v>
      </c>
      <c r="E7" s="2">
        <f t="shared" si="0"/>
        <v>0</v>
      </c>
      <c r="G7" t="s">
        <v>24</v>
      </c>
    </row>
    <row r="8" spans="1:7">
      <c r="A8" t="s">
        <v>21</v>
      </c>
      <c r="B8" s="1">
        <v>350</v>
      </c>
      <c r="C8">
        <v>230</v>
      </c>
      <c r="D8">
        <f t="shared" si="1"/>
        <v>80500</v>
      </c>
      <c r="E8" s="2">
        <f t="shared" si="0"/>
        <v>4.4815887426944534E-2</v>
      </c>
    </row>
    <row r="9" spans="1:7">
      <c r="A9" t="s">
        <v>10</v>
      </c>
      <c r="B9" s="1">
        <v>1250</v>
      </c>
      <c r="C9">
        <v>104</v>
      </c>
      <c r="D9">
        <f t="shared" si="1"/>
        <v>130000</v>
      </c>
      <c r="E9" s="2">
        <f t="shared" si="0"/>
        <v>7.2373482801276895E-2</v>
      </c>
    </row>
    <row r="10" spans="1:7">
      <c r="A10" t="s">
        <v>20</v>
      </c>
      <c r="B10" s="1">
        <f>245+95+80</f>
        <v>420</v>
      </c>
      <c r="C10">
        <v>429</v>
      </c>
      <c r="D10">
        <f t="shared" si="1"/>
        <v>180180</v>
      </c>
      <c r="E10" s="2">
        <f t="shared" si="0"/>
        <v>0.10030964716256976</v>
      </c>
    </row>
    <row r="11" spans="1:7">
      <c r="A11" t="s">
        <v>6</v>
      </c>
      <c r="B11" s="1">
        <v>111</v>
      </c>
      <c r="C11">
        <v>1332</v>
      </c>
      <c r="D11">
        <f t="shared" si="1"/>
        <v>147852</v>
      </c>
      <c r="E11" s="2">
        <f t="shared" si="0"/>
        <v>8.2312032147187617E-2</v>
      </c>
    </row>
    <row r="12" spans="1:7">
      <c r="A12" t="s">
        <v>12</v>
      </c>
      <c r="B12" s="1">
        <v>372</v>
      </c>
      <c r="C12">
        <v>259</v>
      </c>
      <c r="D12">
        <f t="shared" si="1"/>
        <v>96348</v>
      </c>
      <c r="E12" s="2">
        <f t="shared" si="0"/>
        <v>5.363877169951866E-2</v>
      </c>
    </row>
    <row r="13" spans="1:7">
      <c r="A13" t="s">
        <v>11</v>
      </c>
      <c r="B13" s="1">
        <v>1093</v>
      </c>
      <c r="C13">
        <v>144</v>
      </c>
      <c r="D13">
        <f t="shared" si="1"/>
        <v>157392</v>
      </c>
      <c r="E13" s="2">
        <f t="shared" si="0"/>
        <v>8.7623132346604404E-2</v>
      </c>
    </row>
    <row r="14" spans="1:7">
      <c r="A14" t="s">
        <v>17</v>
      </c>
      <c r="B14" s="1">
        <v>1850</v>
      </c>
      <c r="C14">
        <v>28</v>
      </c>
      <c r="D14">
        <f t="shared" si="1"/>
        <v>51800</v>
      </c>
      <c r="E14" s="2">
        <f t="shared" si="0"/>
        <v>2.8838049300816484E-2</v>
      </c>
    </row>
    <row r="15" spans="1:7">
      <c r="A15" t="s">
        <v>15</v>
      </c>
      <c r="B15" s="1">
        <v>368</v>
      </c>
      <c r="C15">
        <v>118</v>
      </c>
      <c r="D15">
        <f t="shared" si="1"/>
        <v>43424</v>
      </c>
      <c r="E15" s="2">
        <f t="shared" si="0"/>
        <v>2.4174970132020367E-2</v>
      </c>
    </row>
    <row r="16" spans="1:7">
      <c r="A16" t="s">
        <v>5</v>
      </c>
      <c r="B16" s="1">
        <v>646</v>
      </c>
      <c r="C16">
        <v>477</v>
      </c>
      <c r="D16">
        <f t="shared" si="1"/>
        <v>308142</v>
      </c>
      <c r="E16" s="2">
        <f t="shared" si="0"/>
        <v>0.17154853644116203</v>
      </c>
    </row>
    <row r="17" spans="1:5">
      <c r="A17" t="s">
        <v>13</v>
      </c>
      <c r="B17" s="1">
        <v>225</v>
      </c>
      <c r="C17">
        <v>240</v>
      </c>
      <c r="D17">
        <f t="shared" si="1"/>
        <v>54000</v>
      </c>
      <c r="E17" s="2">
        <f t="shared" si="0"/>
        <v>3.0062831317453478E-2</v>
      </c>
    </row>
    <row r="18" spans="1:5">
      <c r="A18" t="s">
        <v>19</v>
      </c>
      <c r="B18" s="1">
        <f>102-39+86</f>
        <v>149</v>
      </c>
      <c r="C18">
        <v>1000</v>
      </c>
      <c r="D18">
        <f t="shared" si="1"/>
        <v>149000</v>
      </c>
      <c r="E18" s="2">
        <f t="shared" si="0"/>
        <v>8.2951145672232746E-2</v>
      </c>
    </row>
    <row r="20" spans="1:5">
      <c r="D20">
        <f>SUM(D5:D18)</f>
        <v>1796238</v>
      </c>
      <c r="E20"/>
    </row>
  </sheetData>
  <pageMargins left="0.7" right="0.7" top="0.75" bottom="0.75" header="0.3" footer="0.3"/>
  <pageSetup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9"/>
  <sheetViews>
    <sheetView workbookViewId="0">
      <selection activeCell="B18" sqref="B18"/>
    </sheetView>
  </sheetViews>
  <sheetFormatPr defaultRowHeight="15"/>
  <cols>
    <col min="1" max="1" width="14.5703125" bestFit="1" customWidth="1"/>
    <col min="2" max="2" width="16.85546875" style="1" bestFit="1" customWidth="1"/>
    <col min="5" max="5" width="11" style="2" bestFit="1" customWidth="1"/>
    <col min="6" max="6" width="11" bestFit="1" customWidth="1"/>
    <col min="7" max="7" width="22.85546875" bestFit="1" customWidth="1"/>
  </cols>
  <sheetData>
    <row r="1" spans="1:7">
      <c r="A1" t="s">
        <v>18</v>
      </c>
    </row>
    <row r="3" spans="1:7">
      <c r="A3" t="s">
        <v>0</v>
      </c>
      <c r="B3" s="1" t="s">
        <v>9</v>
      </c>
      <c r="C3" t="s">
        <v>1</v>
      </c>
      <c r="D3" t="s">
        <v>8</v>
      </c>
      <c r="E3" s="2" t="s">
        <v>2</v>
      </c>
      <c r="G3" t="s">
        <v>14</v>
      </c>
    </row>
    <row r="5" spans="1:7">
      <c r="A5" t="s">
        <v>7</v>
      </c>
      <c r="B5" s="1">
        <v>980</v>
      </c>
      <c r="C5">
        <v>289</v>
      </c>
      <c r="D5">
        <f>C5*B5</f>
        <v>283220</v>
      </c>
      <c r="E5" s="2">
        <f t="shared" ref="E5:E17" si="0">D5/$D$19</f>
        <v>0.15626508676458661</v>
      </c>
    </row>
    <row r="6" spans="1:7">
      <c r="A6" t="s">
        <v>3</v>
      </c>
      <c r="B6" s="1">
        <f>511+255</f>
        <v>766</v>
      </c>
      <c r="C6">
        <v>235</v>
      </c>
      <c r="D6">
        <f t="shared" ref="D6:D17" si="1">C6*B6</f>
        <v>180010</v>
      </c>
      <c r="E6" s="2">
        <f t="shared" si="0"/>
        <v>9.931953346689229E-2</v>
      </c>
      <c r="G6" t="s">
        <v>25</v>
      </c>
    </row>
    <row r="7" spans="1:7">
      <c r="A7" t="s">
        <v>21</v>
      </c>
      <c r="B7" s="1">
        <v>350</v>
      </c>
      <c r="C7">
        <v>229</v>
      </c>
      <c r="D7">
        <f t="shared" si="1"/>
        <v>80150</v>
      </c>
      <c r="E7" s="2">
        <f t="shared" si="0"/>
        <v>4.4222324356265857E-2</v>
      </c>
    </row>
    <row r="8" spans="1:7">
      <c r="A8" t="s">
        <v>10</v>
      </c>
      <c r="B8" s="1">
        <v>1250</v>
      </c>
      <c r="C8">
        <v>103</v>
      </c>
      <c r="D8">
        <f t="shared" si="1"/>
        <v>128750</v>
      </c>
      <c r="E8" s="2">
        <f t="shared" si="0"/>
        <v>7.1037108682086458E-2</v>
      </c>
    </row>
    <row r="9" spans="1:7">
      <c r="A9" t="s">
        <v>20</v>
      </c>
      <c r="B9" s="1">
        <f>245+95+80</f>
        <v>420</v>
      </c>
      <c r="C9">
        <v>464</v>
      </c>
      <c r="D9">
        <f t="shared" si="1"/>
        <v>194880</v>
      </c>
      <c r="E9" s="2">
        <f t="shared" si="0"/>
        <v>0.10752397467933987</v>
      </c>
    </row>
    <row r="10" spans="1:7">
      <c r="A10" t="s">
        <v>6</v>
      </c>
      <c r="B10" s="1">
        <v>111</v>
      </c>
      <c r="C10">
        <v>1350</v>
      </c>
      <c r="D10">
        <f t="shared" si="1"/>
        <v>149850</v>
      </c>
      <c r="E10" s="2">
        <f t="shared" si="0"/>
        <v>8.2678918337946841E-2</v>
      </c>
    </row>
    <row r="11" spans="1:7">
      <c r="A11" t="s">
        <v>12</v>
      </c>
      <c r="B11" s="1">
        <v>372</v>
      </c>
      <c r="C11">
        <v>261</v>
      </c>
      <c r="D11">
        <f t="shared" si="1"/>
        <v>97092</v>
      </c>
      <c r="E11" s="2">
        <f t="shared" si="0"/>
        <v>5.3569980242028255E-2</v>
      </c>
    </row>
    <row r="12" spans="1:7">
      <c r="A12" t="s">
        <v>11</v>
      </c>
      <c r="B12" s="1">
        <v>1093</v>
      </c>
      <c r="C12">
        <v>139</v>
      </c>
      <c r="D12">
        <f t="shared" si="1"/>
        <v>151927</v>
      </c>
      <c r="E12" s="2">
        <f t="shared" si="0"/>
        <v>8.3824891733928916E-2</v>
      </c>
    </row>
    <row r="13" spans="1:7">
      <c r="A13" t="s">
        <v>17</v>
      </c>
      <c r="B13" s="1">
        <v>1850</v>
      </c>
      <c r="C13">
        <v>25</v>
      </c>
      <c r="D13">
        <f t="shared" si="1"/>
        <v>46250</v>
      </c>
      <c r="E13" s="2">
        <f t="shared" si="0"/>
        <v>2.5518184672205815E-2</v>
      </c>
    </row>
    <row r="14" spans="1:7">
      <c r="A14" t="s">
        <v>15</v>
      </c>
      <c r="B14" s="1">
        <v>368</v>
      </c>
      <c r="C14">
        <v>127</v>
      </c>
      <c r="D14">
        <f t="shared" si="1"/>
        <v>46736</v>
      </c>
      <c r="E14" s="2">
        <f t="shared" si="0"/>
        <v>2.5786332515464021E-2</v>
      </c>
    </row>
    <row r="15" spans="1:7">
      <c r="A15" t="s">
        <v>5</v>
      </c>
      <c r="B15" s="1">
        <v>646</v>
      </c>
      <c r="C15">
        <v>483</v>
      </c>
      <c r="D15">
        <f t="shared" si="1"/>
        <v>312018</v>
      </c>
      <c r="E15" s="2">
        <f t="shared" si="0"/>
        <v>0.17215422583896894</v>
      </c>
    </row>
    <row r="16" spans="1:7">
      <c r="A16" t="s">
        <v>13</v>
      </c>
      <c r="B16" s="1">
        <v>225</v>
      </c>
      <c r="C16">
        <v>238</v>
      </c>
      <c r="D16">
        <f t="shared" si="1"/>
        <v>53550</v>
      </c>
      <c r="E16" s="2">
        <f t="shared" si="0"/>
        <v>2.9545919766413433E-2</v>
      </c>
    </row>
    <row r="17" spans="1:5">
      <c r="A17" t="s">
        <v>19</v>
      </c>
      <c r="B17" s="1">
        <f>102-39+86-61</f>
        <v>88</v>
      </c>
      <c r="C17">
        <v>1000</v>
      </c>
      <c r="D17">
        <f t="shared" si="1"/>
        <v>88000</v>
      </c>
      <c r="E17" s="2">
        <f t="shared" si="0"/>
        <v>4.8553518943872685E-2</v>
      </c>
    </row>
    <row r="19" spans="1:5">
      <c r="D19">
        <f>SUM(D5:D17)</f>
        <v>1812433</v>
      </c>
      <c r="E19"/>
    </row>
  </sheetData>
  <pageMargins left="0.7" right="0.7" top="0.75" bottom="0.75" header="0.3" footer="0.3"/>
  <pageSetup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0"/>
  <sheetViews>
    <sheetView workbookViewId="0">
      <selection activeCell="B8" sqref="B8"/>
    </sheetView>
  </sheetViews>
  <sheetFormatPr defaultRowHeight="15"/>
  <cols>
    <col min="1" max="1" width="14.5703125" bestFit="1" customWidth="1"/>
    <col min="2" max="2" width="16.85546875" style="1" bestFit="1" customWidth="1"/>
    <col min="5" max="5" width="11" style="2" bestFit="1" customWidth="1"/>
    <col min="6" max="6" width="11" bestFit="1" customWidth="1"/>
    <col min="7" max="7" width="22.85546875" bestFit="1" customWidth="1"/>
  </cols>
  <sheetData>
    <row r="1" spans="1:7">
      <c r="A1" t="s">
        <v>18</v>
      </c>
    </row>
    <row r="3" spans="1:7">
      <c r="A3" t="s">
        <v>0</v>
      </c>
      <c r="B3" s="1" t="s">
        <v>9</v>
      </c>
      <c r="C3" t="s">
        <v>1</v>
      </c>
      <c r="D3" t="s">
        <v>8</v>
      </c>
      <c r="E3" s="2" t="s">
        <v>2</v>
      </c>
      <c r="G3" t="s">
        <v>14</v>
      </c>
    </row>
    <row r="5" spans="1:7">
      <c r="A5" t="s">
        <v>7</v>
      </c>
      <c r="B5" s="1">
        <v>980</v>
      </c>
      <c r="C5">
        <v>275</v>
      </c>
      <c r="D5">
        <f>C5*B5</f>
        <v>269500</v>
      </c>
      <c r="E5" s="2">
        <f t="shared" ref="E5:E18" si="0">D5/$D$20</f>
        <v>0.15710227620503858</v>
      </c>
    </row>
    <row r="6" spans="1:7">
      <c r="A6" t="s">
        <v>3</v>
      </c>
      <c r="B6" s="1">
        <f>511+255</f>
        <v>766</v>
      </c>
      <c r="C6">
        <v>250</v>
      </c>
      <c r="D6">
        <f t="shared" ref="D6:D18" si="1">C6*B6</f>
        <v>191500</v>
      </c>
      <c r="E6" s="2">
        <f t="shared" si="0"/>
        <v>0.11163297177463781</v>
      </c>
    </row>
    <row r="7" spans="1:7">
      <c r="A7" t="s">
        <v>21</v>
      </c>
      <c r="B7" s="1">
        <v>350</v>
      </c>
      <c r="C7">
        <v>204</v>
      </c>
      <c r="D7">
        <f t="shared" si="1"/>
        <v>71400</v>
      </c>
      <c r="E7" s="2">
        <f t="shared" si="0"/>
        <v>4.1621901747828406E-2</v>
      </c>
    </row>
    <row r="8" spans="1:7">
      <c r="A8" t="s">
        <v>10</v>
      </c>
      <c r="B8" s="1">
        <v>1250</v>
      </c>
      <c r="C8">
        <v>100</v>
      </c>
      <c r="D8">
        <f t="shared" si="1"/>
        <v>125000</v>
      </c>
      <c r="E8" s="2">
        <f t="shared" si="0"/>
        <v>7.2867475048719196E-2</v>
      </c>
    </row>
    <row r="9" spans="1:7">
      <c r="A9" t="s">
        <v>20</v>
      </c>
      <c r="B9" s="1">
        <f>245+95+80</f>
        <v>420</v>
      </c>
      <c r="C9">
        <v>406</v>
      </c>
      <c r="D9">
        <f t="shared" si="1"/>
        <v>170520</v>
      </c>
      <c r="E9" s="2">
        <f t="shared" si="0"/>
        <v>9.9402894762460781E-2</v>
      </c>
    </row>
    <row r="10" spans="1:7">
      <c r="A10" t="s">
        <v>6</v>
      </c>
      <c r="B10" s="1">
        <v>111</v>
      </c>
      <c r="C10">
        <v>1200</v>
      </c>
      <c r="D10">
        <f t="shared" si="1"/>
        <v>133200</v>
      </c>
      <c r="E10" s="2">
        <f t="shared" si="0"/>
        <v>7.7647581411915176E-2</v>
      </c>
    </row>
    <row r="11" spans="1:7">
      <c r="A11" t="s">
        <v>12</v>
      </c>
      <c r="B11" s="1">
        <v>372</v>
      </c>
      <c r="C11">
        <v>282</v>
      </c>
      <c r="D11">
        <f t="shared" si="1"/>
        <v>104904</v>
      </c>
      <c r="E11" s="2">
        <f t="shared" si="0"/>
        <v>6.115271682008671E-2</v>
      </c>
    </row>
    <row r="12" spans="1:7">
      <c r="A12" t="s">
        <v>11</v>
      </c>
      <c r="B12" s="1">
        <v>1093</v>
      </c>
      <c r="C12">
        <v>130</v>
      </c>
      <c r="D12">
        <f t="shared" si="1"/>
        <v>142090</v>
      </c>
      <c r="E12" s="2">
        <f t="shared" si="0"/>
        <v>8.2829916237380077E-2</v>
      </c>
    </row>
    <row r="13" spans="1:7">
      <c r="A13" t="s">
        <v>17</v>
      </c>
      <c r="B13" s="1">
        <v>1850</v>
      </c>
      <c r="C13">
        <v>22</v>
      </c>
      <c r="D13">
        <f t="shared" si="1"/>
        <v>40700</v>
      </c>
      <c r="E13" s="2">
        <f t="shared" si="0"/>
        <v>2.372564987586297E-2</v>
      </c>
    </row>
    <row r="14" spans="1:7">
      <c r="A14" t="s">
        <v>15</v>
      </c>
      <c r="B14" s="1">
        <v>368</v>
      </c>
      <c r="C14">
        <v>117</v>
      </c>
      <c r="D14">
        <f t="shared" si="1"/>
        <v>43056</v>
      </c>
      <c r="E14" s="2">
        <f t="shared" si="0"/>
        <v>2.5099056045581228E-2</v>
      </c>
    </row>
    <row r="15" spans="1:7">
      <c r="A15" t="s">
        <v>26</v>
      </c>
      <c r="B15" s="1">
        <v>365</v>
      </c>
      <c r="C15">
        <v>230</v>
      </c>
      <c r="D15">
        <f t="shared" si="1"/>
        <v>83950</v>
      </c>
      <c r="E15" s="2">
        <f t="shared" si="0"/>
        <v>4.8937796242719808E-2</v>
      </c>
      <c r="G15" t="s">
        <v>27</v>
      </c>
    </row>
    <row r="16" spans="1:7">
      <c r="A16" t="s">
        <v>5</v>
      </c>
      <c r="B16" s="1">
        <v>646</v>
      </c>
      <c r="C16">
        <v>438</v>
      </c>
      <c r="D16">
        <f t="shared" si="1"/>
        <v>282948</v>
      </c>
      <c r="E16" s="2">
        <f t="shared" si="0"/>
        <v>0.16494165064067998</v>
      </c>
    </row>
    <row r="17" spans="1:5">
      <c r="A17" t="s">
        <v>13</v>
      </c>
      <c r="B17" s="1">
        <v>225</v>
      </c>
      <c r="C17">
        <v>243</v>
      </c>
      <c r="D17">
        <f t="shared" si="1"/>
        <v>54675</v>
      </c>
      <c r="E17" s="2">
        <f t="shared" si="0"/>
        <v>3.1872233586309778E-2</v>
      </c>
    </row>
    <row r="18" spans="1:5">
      <c r="A18" t="s">
        <v>19</v>
      </c>
      <c r="B18" s="1">
        <f>102-39+86-61-86</f>
        <v>2</v>
      </c>
      <c r="C18">
        <v>1000</v>
      </c>
      <c r="D18">
        <f t="shared" si="1"/>
        <v>2000</v>
      </c>
      <c r="E18" s="2">
        <f t="shared" si="0"/>
        <v>1.1658796007795072E-3</v>
      </c>
    </row>
    <row r="20" spans="1:5">
      <c r="D20">
        <f>SUM(D5:D18)</f>
        <v>1715443</v>
      </c>
      <c r="E20"/>
    </row>
  </sheetData>
  <pageMargins left="0.7" right="0.7" top="0.75" bottom="0.75" header="0.3" footer="0.3"/>
  <pageSetup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0"/>
  <sheetViews>
    <sheetView workbookViewId="0">
      <selection activeCell="B9" sqref="B9"/>
    </sheetView>
  </sheetViews>
  <sheetFormatPr defaultRowHeight="15"/>
  <cols>
    <col min="1" max="1" width="14.5703125" bestFit="1" customWidth="1"/>
    <col min="2" max="2" width="16.85546875" style="1" bestFit="1" customWidth="1"/>
    <col min="5" max="5" width="11" style="2" bestFit="1" customWidth="1"/>
    <col min="6" max="6" width="11" bestFit="1" customWidth="1"/>
    <col min="7" max="7" width="22.85546875" bestFit="1" customWidth="1"/>
  </cols>
  <sheetData>
    <row r="1" spans="1:7">
      <c r="A1" t="s">
        <v>18</v>
      </c>
    </row>
    <row r="3" spans="1:7">
      <c r="A3" t="s">
        <v>0</v>
      </c>
      <c r="B3" s="1" t="s">
        <v>9</v>
      </c>
      <c r="C3" t="s">
        <v>1</v>
      </c>
      <c r="D3" t="s">
        <v>8</v>
      </c>
      <c r="E3" s="2" t="s">
        <v>2</v>
      </c>
      <c r="G3" t="s">
        <v>14</v>
      </c>
    </row>
    <row r="5" spans="1:7">
      <c r="A5" t="s">
        <v>7</v>
      </c>
      <c r="B5" s="1">
        <v>980</v>
      </c>
      <c r="C5">
        <v>266</v>
      </c>
      <c r="D5">
        <f>C5*B5</f>
        <v>260680</v>
      </c>
      <c r="E5" s="2">
        <f t="shared" ref="E5:E18" si="0">D5/$D$20</f>
        <v>0.14688009393835069</v>
      </c>
    </row>
    <row r="6" spans="1:7">
      <c r="A6" t="s">
        <v>3</v>
      </c>
      <c r="B6" s="1">
        <f>511+255</f>
        <v>766</v>
      </c>
      <c r="C6">
        <v>252</v>
      </c>
      <c r="D6">
        <f t="shared" ref="D6:D18" si="1">C6*B6</f>
        <v>193032</v>
      </c>
      <c r="E6" s="2">
        <f t="shared" si="0"/>
        <v>0.10876384184865626</v>
      </c>
    </row>
    <row r="7" spans="1:7">
      <c r="A7" t="s">
        <v>21</v>
      </c>
      <c r="B7" s="1">
        <v>350</v>
      </c>
      <c r="C7">
        <v>202</v>
      </c>
      <c r="D7">
        <f t="shared" si="1"/>
        <v>70700</v>
      </c>
      <c r="E7" s="2">
        <f t="shared" si="0"/>
        <v>3.9835900880164934E-2</v>
      </c>
    </row>
    <row r="8" spans="1:7">
      <c r="A8" t="s">
        <v>10</v>
      </c>
      <c r="B8" s="1">
        <f>1250-625</f>
        <v>625</v>
      </c>
      <c r="C8">
        <v>96</v>
      </c>
      <c r="D8">
        <f t="shared" si="1"/>
        <v>60000</v>
      </c>
      <c r="E8" s="2">
        <f t="shared" si="0"/>
        <v>3.3806988017113099E-2</v>
      </c>
      <c r="G8" t="s">
        <v>28</v>
      </c>
    </row>
    <row r="9" spans="1:7">
      <c r="A9" t="s">
        <v>20</v>
      </c>
      <c r="B9" s="1">
        <f>245+95+80</f>
        <v>420</v>
      </c>
      <c r="C9">
        <v>439</v>
      </c>
      <c r="D9">
        <f t="shared" si="1"/>
        <v>184380</v>
      </c>
      <c r="E9" s="2">
        <f t="shared" si="0"/>
        <v>0.10388887417658854</v>
      </c>
    </row>
    <row r="10" spans="1:7">
      <c r="A10" t="s">
        <v>6</v>
      </c>
      <c r="B10" s="1">
        <v>111</v>
      </c>
      <c r="C10">
        <v>1200</v>
      </c>
      <c r="D10">
        <f t="shared" si="1"/>
        <v>133200</v>
      </c>
      <c r="E10" s="2">
        <f t="shared" si="0"/>
        <v>7.5051513397991071E-2</v>
      </c>
    </row>
    <row r="11" spans="1:7">
      <c r="A11" t="s">
        <v>12</v>
      </c>
      <c r="B11" s="1">
        <v>372</v>
      </c>
      <c r="C11">
        <v>261</v>
      </c>
      <c r="D11">
        <f t="shared" si="1"/>
        <v>97092</v>
      </c>
      <c r="E11" s="2">
        <f t="shared" si="0"/>
        <v>5.4706468009292415E-2</v>
      </c>
    </row>
    <row r="12" spans="1:7">
      <c r="A12" t="s">
        <v>11</v>
      </c>
      <c r="B12" s="1">
        <v>1093</v>
      </c>
      <c r="C12">
        <v>122</v>
      </c>
      <c r="D12">
        <f t="shared" si="1"/>
        <v>133346</v>
      </c>
      <c r="E12" s="2">
        <f t="shared" si="0"/>
        <v>7.5133777068832716E-2</v>
      </c>
    </row>
    <row r="13" spans="1:7">
      <c r="A13" t="s">
        <v>17</v>
      </c>
      <c r="B13" s="1">
        <v>1850</v>
      </c>
      <c r="C13">
        <v>30</v>
      </c>
      <c r="D13">
        <f t="shared" si="1"/>
        <v>55500</v>
      </c>
      <c r="E13" s="2">
        <f t="shared" si="0"/>
        <v>3.1271463915829613E-2</v>
      </c>
    </row>
    <row r="14" spans="1:7">
      <c r="A14" t="s">
        <v>15</v>
      </c>
      <c r="B14" s="1">
        <v>368</v>
      </c>
      <c r="C14">
        <v>112</v>
      </c>
      <c r="D14">
        <f t="shared" si="1"/>
        <v>41216</v>
      </c>
      <c r="E14" s="2">
        <f t="shared" si="0"/>
        <v>2.3223146968555555E-2</v>
      </c>
    </row>
    <row r="15" spans="1:7">
      <c r="A15" t="s">
        <v>26</v>
      </c>
      <c r="B15" s="1">
        <v>365</v>
      </c>
      <c r="C15">
        <v>268</v>
      </c>
      <c r="D15">
        <f t="shared" si="1"/>
        <v>97820</v>
      </c>
      <c r="E15" s="2">
        <f t="shared" si="0"/>
        <v>5.5116659463900056E-2</v>
      </c>
    </row>
    <row r="16" spans="1:7">
      <c r="A16" t="s">
        <v>5</v>
      </c>
      <c r="B16" s="1">
        <v>646</v>
      </c>
      <c r="C16">
        <v>515</v>
      </c>
      <c r="D16">
        <f t="shared" si="1"/>
        <v>332690</v>
      </c>
      <c r="E16" s="2">
        <f t="shared" si="0"/>
        <v>0.18745411405688928</v>
      </c>
    </row>
    <row r="17" spans="1:5">
      <c r="A17" t="s">
        <v>13</v>
      </c>
      <c r="B17" s="1">
        <v>225</v>
      </c>
      <c r="C17">
        <v>245</v>
      </c>
      <c r="D17">
        <f t="shared" si="1"/>
        <v>55125</v>
      </c>
      <c r="E17" s="2">
        <f t="shared" si="0"/>
        <v>3.1060170240722659E-2</v>
      </c>
    </row>
    <row r="18" spans="1:5">
      <c r="A18" t="s">
        <v>19</v>
      </c>
      <c r="B18" s="1">
        <f>102-39+86-61-86+58</f>
        <v>60</v>
      </c>
      <c r="C18">
        <v>1000</v>
      </c>
      <c r="D18">
        <f t="shared" si="1"/>
        <v>60000</v>
      </c>
      <c r="E18" s="2">
        <f t="shared" si="0"/>
        <v>3.3806988017113099E-2</v>
      </c>
    </row>
    <row r="20" spans="1:5">
      <c r="D20">
        <f>SUM(D5:D18)</f>
        <v>1774781</v>
      </c>
      <c r="E20"/>
    </row>
  </sheetData>
  <pageMargins left="0.7" right="0.7" top="0.75" bottom="0.75" header="0.3" footer="0.3"/>
  <pageSetup orientation="portrait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1"/>
  <sheetViews>
    <sheetView workbookViewId="0">
      <selection activeCell="B10" sqref="B10"/>
    </sheetView>
  </sheetViews>
  <sheetFormatPr defaultRowHeight="15"/>
  <cols>
    <col min="1" max="1" width="14.5703125" bestFit="1" customWidth="1"/>
    <col min="2" max="2" width="16.85546875" style="1" bestFit="1" customWidth="1"/>
    <col min="5" max="5" width="11" style="2" bestFit="1" customWidth="1"/>
    <col min="6" max="6" width="11" bestFit="1" customWidth="1"/>
    <col min="7" max="7" width="22.85546875" bestFit="1" customWidth="1"/>
  </cols>
  <sheetData>
    <row r="1" spans="1:7">
      <c r="A1" t="s">
        <v>18</v>
      </c>
    </row>
    <row r="3" spans="1:7">
      <c r="A3" t="s">
        <v>0</v>
      </c>
      <c r="B3" s="1" t="s">
        <v>9</v>
      </c>
      <c r="C3" t="s">
        <v>1</v>
      </c>
      <c r="D3" t="s">
        <v>8</v>
      </c>
      <c r="E3" s="2" t="s">
        <v>2</v>
      </c>
      <c r="G3" t="s">
        <v>14</v>
      </c>
    </row>
    <row r="5" spans="1:7">
      <c r="A5" t="s">
        <v>7</v>
      </c>
      <c r="B5" s="1">
        <v>980</v>
      </c>
      <c r="C5">
        <v>266</v>
      </c>
      <c r="D5">
        <f>C5*B5</f>
        <v>260680</v>
      </c>
      <c r="E5" s="2">
        <f t="shared" ref="E5:E19" si="0">D5/$D$21</f>
        <v>0.14709043850081507</v>
      </c>
    </row>
    <row r="6" spans="1:7">
      <c r="A6" t="s">
        <v>3</v>
      </c>
      <c r="B6" s="1">
        <f>511+255</f>
        <v>766</v>
      </c>
      <c r="C6">
        <v>252</v>
      </c>
      <c r="D6">
        <f t="shared" ref="D6:D19" si="1">C6*B6</f>
        <v>193032</v>
      </c>
      <c r="E6" s="2">
        <f t="shared" si="0"/>
        <v>0.10891960075452407</v>
      </c>
    </row>
    <row r="7" spans="1:7">
      <c r="A7" t="s">
        <v>29</v>
      </c>
      <c r="B7" s="1">
        <v>29</v>
      </c>
      <c r="C7">
        <v>2958</v>
      </c>
      <c r="D7">
        <f t="shared" si="1"/>
        <v>85782</v>
      </c>
      <c r="E7" s="2">
        <f t="shared" si="0"/>
        <v>4.8403068879380534E-2</v>
      </c>
      <c r="G7" t="s">
        <v>27</v>
      </c>
    </row>
    <row r="8" spans="1:7">
      <c r="A8" t="s">
        <v>21</v>
      </c>
      <c r="B8" s="1">
        <v>350</v>
      </c>
      <c r="C8">
        <v>202</v>
      </c>
      <c r="D8">
        <f t="shared" si="1"/>
        <v>70700</v>
      </c>
      <c r="E8" s="2">
        <f t="shared" si="0"/>
        <v>3.9892949217460588E-2</v>
      </c>
    </row>
    <row r="9" spans="1:7">
      <c r="A9" t="s">
        <v>10</v>
      </c>
      <c r="B9" s="1">
        <f>1250-625-295</f>
        <v>330</v>
      </c>
      <c r="C9">
        <v>96</v>
      </c>
      <c r="D9">
        <f t="shared" si="1"/>
        <v>31680</v>
      </c>
      <c r="E9" s="2">
        <f t="shared" si="0"/>
        <v>1.787565249235009E-2</v>
      </c>
      <c r="G9" t="s">
        <v>31</v>
      </c>
    </row>
    <row r="10" spans="1:7">
      <c r="A10" t="s">
        <v>20</v>
      </c>
      <c r="B10" s="1">
        <f>245+95+80</f>
        <v>420</v>
      </c>
      <c r="C10">
        <v>439</v>
      </c>
      <c r="D10">
        <f t="shared" si="1"/>
        <v>184380</v>
      </c>
      <c r="E10" s="2">
        <f t="shared" si="0"/>
        <v>0.10403765172157543</v>
      </c>
    </row>
    <row r="11" spans="1:7">
      <c r="A11" t="s">
        <v>6</v>
      </c>
      <c r="B11" s="1">
        <v>111</v>
      </c>
      <c r="C11">
        <v>1200</v>
      </c>
      <c r="D11">
        <f t="shared" si="1"/>
        <v>133200</v>
      </c>
      <c r="E11" s="2">
        <f t="shared" si="0"/>
        <v>7.51589934337447E-2</v>
      </c>
    </row>
    <row r="12" spans="1:7">
      <c r="A12" t="s">
        <v>12</v>
      </c>
      <c r="B12" s="1">
        <v>372</v>
      </c>
      <c r="C12">
        <v>261</v>
      </c>
      <c r="D12">
        <f t="shared" si="1"/>
        <v>97092</v>
      </c>
      <c r="E12" s="2">
        <f t="shared" si="0"/>
        <v>5.478481224075931E-2</v>
      </c>
    </row>
    <row r="13" spans="1:7">
      <c r="A13" t="s">
        <v>11</v>
      </c>
      <c r="B13" s="1">
        <v>1093</v>
      </c>
      <c r="C13">
        <v>122</v>
      </c>
      <c r="D13">
        <f t="shared" si="1"/>
        <v>133346</v>
      </c>
      <c r="E13" s="2">
        <f t="shared" si="0"/>
        <v>7.524137491303394E-2</v>
      </c>
    </row>
    <row r="14" spans="1:7">
      <c r="A14" t="s">
        <v>17</v>
      </c>
      <c r="B14" s="1">
        <v>1850</v>
      </c>
      <c r="C14">
        <v>30</v>
      </c>
      <c r="D14">
        <f t="shared" si="1"/>
        <v>55500</v>
      </c>
      <c r="E14" s="2">
        <f t="shared" si="0"/>
        <v>3.1316247264060293E-2</v>
      </c>
    </row>
    <row r="15" spans="1:7">
      <c r="A15" t="s">
        <v>15</v>
      </c>
      <c r="B15" s="1">
        <v>368</v>
      </c>
      <c r="C15">
        <v>112</v>
      </c>
      <c r="D15">
        <f t="shared" si="1"/>
        <v>41216</v>
      </c>
      <c r="E15" s="2">
        <f t="shared" si="0"/>
        <v>2.3256404454693853E-2</v>
      </c>
    </row>
    <row r="16" spans="1:7">
      <c r="A16" t="s">
        <v>26</v>
      </c>
      <c r="B16" s="1">
        <v>365</v>
      </c>
      <c r="C16">
        <v>268</v>
      </c>
      <c r="D16">
        <f t="shared" si="1"/>
        <v>97820</v>
      </c>
      <c r="E16" s="2">
        <f t="shared" si="0"/>
        <v>5.5195591123790584E-2</v>
      </c>
    </row>
    <row r="17" spans="1:7">
      <c r="A17" t="s">
        <v>5</v>
      </c>
      <c r="B17" s="1">
        <v>646</v>
      </c>
      <c r="C17">
        <v>515</v>
      </c>
      <c r="D17">
        <f t="shared" si="1"/>
        <v>332690</v>
      </c>
      <c r="E17" s="2">
        <f t="shared" si="0"/>
        <v>0.18772256400504897</v>
      </c>
    </row>
    <row r="18" spans="1:7">
      <c r="A18" t="s">
        <v>13</v>
      </c>
      <c r="B18" s="1">
        <v>225</v>
      </c>
      <c r="C18">
        <v>245</v>
      </c>
      <c r="D18">
        <f t="shared" si="1"/>
        <v>55125</v>
      </c>
      <c r="E18" s="2">
        <f t="shared" si="0"/>
        <v>3.1104650998762584E-2</v>
      </c>
    </row>
    <row r="19" spans="1:7">
      <c r="A19" t="s">
        <v>19</v>
      </c>
      <c r="B19" s="1">
        <f>102-39+86-61-86+58-60</f>
        <v>0</v>
      </c>
      <c r="C19">
        <v>1000</v>
      </c>
      <c r="D19">
        <f t="shared" si="1"/>
        <v>0</v>
      </c>
      <c r="E19" s="2">
        <f t="shared" si="0"/>
        <v>0</v>
      </c>
      <c r="G19" t="s">
        <v>30</v>
      </c>
    </row>
    <row r="21" spans="1:7">
      <c r="D21">
        <f>SUM(D5:D19)</f>
        <v>1772243</v>
      </c>
      <c r="E21"/>
    </row>
  </sheetData>
  <pageMargins left="0.7" right="0.7" top="0.75" bottom="0.75" header="0.3" footer="0.3"/>
  <pageSetup orientation="portrait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1"/>
  <sheetViews>
    <sheetView workbookViewId="0">
      <selection activeCell="C18" sqref="C18"/>
    </sheetView>
  </sheetViews>
  <sheetFormatPr defaultRowHeight="15"/>
  <cols>
    <col min="1" max="1" width="14.5703125" bestFit="1" customWidth="1"/>
    <col min="2" max="2" width="16.85546875" style="1" bestFit="1" customWidth="1"/>
    <col min="5" max="5" width="11" style="2" bestFit="1" customWidth="1"/>
    <col min="6" max="6" width="11" bestFit="1" customWidth="1"/>
    <col min="7" max="7" width="25.5703125" bestFit="1" customWidth="1"/>
  </cols>
  <sheetData>
    <row r="1" spans="1:7">
      <c r="A1" t="s">
        <v>18</v>
      </c>
    </row>
    <row r="3" spans="1:7">
      <c r="A3" t="s">
        <v>0</v>
      </c>
      <c r="B3" s="1" t="s">
        <v>9</v>
      </c>
      <c r="C3" t="s">
        <v>1</v>
      </c>
      <c r="D3" t="s">
        <v>8</v>
      </c>
      <c r="E3" s="2" t="s">
        <v>2</v>
      </c>
      <c r="G3" t="s">
        <v>14</v>
      </c>
    </row>
    <row r="5" spans="1:7">
      <c r="A5" t="s">
        <v>7</v>
      </c>
      <c r="B5" s="1">
        <v>980</v>
      </c>
      <c r="C5">
        <v>261</v>
      </c>
      <c r="D5">
        <f>C5*B5</f>
        <v>255780</v>
      </c>
      <c r="E5" s="2">
        <f t="shared" ref="E5:E19" si="0">D5/$D$21</f>
        <v>0.14610623290629049</v>
      </c>
    </row>
    <row r="6" spans="1:7">
      <c r="A6" t="s">
        <v>3</v>
      </c>
      <c r="B6" s="1">
        <f>511+255</f>
        <v>766</v>
      </c>
      <c r="C6">
        <v>250</v>
      </c>
      <c r="D6">
        <f t="shared" ref="D6:D19" si="1">C6*B6</f>
        <v>191500</v>
      </c>
      <c r="E6" s="2">
        <f t="shared" si="0"/>
        <v>0.10938831652808909</v>
      </c>
    </row>
    <row r="7" spans="1:7">
      <c r="A7" t="s">
        <v>29</v>
      </c>
      <c r="B7" s="1">
        <v>29</v>
      </c>
      <c r="C7">
        <v>3133</v>
      </c>
      <c r="D7">
        <f t="shared" si="1"/>
        <v>90857</v>
      </c>
      <c r="E7" s="2">
        <f t="shared" si="0"/>
        <v>5.1899186813538334E-2</v>
      </c>
    </row>
    <row r="8" spans="1:7">
      <c r="A8" t="s">
        <v>21</v>
      </c>
      <c r="B8" s="1">
        <v>350</v>
      </c>
      <c r="C8">
        <v>190</v>
      </c>
      <c r="D8">
        <f t="shared" si="1"/>
        <v>66500</v>
      </c>
      <c r="E8" s="2">
        <f t="shared" si="0"/>
        <v>3.798602114421893E-2</v>
      </c>
    </row>
    <row r="9" spans="1:7">
      <c r="A9" t="s">
        <v>10</v>
      </c>
      <c r="B9" s="1">
        <v>0</v>
      </c>
      <c r="C9">
        <v>97</v>
      </c>
      <c r="D9">
        <f t="shared" si="1"/>
        <v>0</v>
      </c>
      <c r="E9" s="2">
        <f t="shared" si="0"/>
        <v>0</v>
      </c>
      <c r="G9" t="s">
        <v>33</v>
      </c>
    </row>
    <row r="10" spans="1:7">
      <c r="A10" t="s">
        <v>20</v>
      </c>
      <c r="B10" s="1">
        <f>245+95+80</f>
        <v>420</v>
      </c>
      <c r="C10">
        <v>432</v>
      </c>
      <c r="D10">
        <f t="shared" si="1"/>
        <v>181440</v>
      </c>
      <c r="E10" s="2">
        <f t="shared" si="0"/>
        <v>0.10364185979559522</v>
      </c>
    </row>
    <row r="11" spans="1:7">
      <c r="A11" t="s">
        <v>6</v>
      </c>
      <c r="B11" s="1">
        <v>111</v>
      </c>
      <c r="C11">
        <v>1166</v>
      </c>
      <c r="D11">
        <f t="shared" si="1"/>
        <v>129426</v>
      </c>
      <c r="E11" s="2">
        <f t="shared" si="0"/>
        <v>7.3930507858822242E-2</v>
      </c>
    </row>
    <row r="12" spans="1:7">
      <c r="A12" t="s">
        <v>12</v>
      </c>
      <c r="B12" s="1">
        <v>372</v>
      </c>
      <c r="C12">
        <v>258</v>
      </c>
      <c r="D12">
        <f t="shared" si="1"/>
        <v>95976</v>
      </c>
      <c r="E12" s="2">
        <f t="shared" si="0"/>
        <v>5.482325361409858E-2</v>
      </c>
    </row>
    <row r="13" spans="1:7">
      <c r="A13" t="s">
        <v>11</v>
      </c>
      <c r="B13" s="1">
        <v>1093</v>
      </c>
      <c r="C13">
        <v>119</v>
      </c>
      <c r="D13">
        <f t="shared" si="1"/>
        <v>130067</v>
      </c>
      <c r="E13" s="2">
        <f t="shared" si="0"/>
        <v>7.4296658829550721E-2</v>
      </c>
    </row>
    <row r="14" spans="1:7">
      <c r="A14" t="s">
        <v>17</v>
      </c>
      <c r="B14" s="1">
        <v>1850</v>
      </c>
      <c r="C14">
        <v>31</v>
      </c>
      <c r="D14">
        <f t="shared" si="1"/>
        <v>57350</v>
      </c>
      <c r="E14" s="2">
        <f t="shared" si="0"/>
        <v>3.2759373122119628E-2</v>
      </c>
    </row>
    <row r="15" spans="1:7">
      <c r="A15" t="s">
        <v>15</v>
      </c>
      <c r="B15" s="1">
        <v>368</v>
      </c>
      <c r="C15">
        <v>113</v>
      </c>
      <c r="D15">
        <f t="shared" si="1"/>
        <v>41584</v>
      </c>
      <c r="E15" s="2">
        <f t="shared" si="0"/>
        <v>2.3753544409942855E-2</v>
      </c>
    </row>
    <row r="16" spans="1:7">
      <c r="A16" t="s">
        <v>26</v>
      </c>
      <c r="B16" s="1">
        <v>365</v>
      </c>
      <c r="C16">
        <v>267</v>
      </c>
      <c r="D16">
        <f t="shared" si="1"/>
        <v>97455</v>
      </c>
      <c r="E16" s="2">
        <f t="shared" si="0"/>
        <v>5.5668085573080534E-2</v>
      </c>
    </row>
    <row r="17" spans="1:5">
      <c r="A17" t="s">
        <v>5</v>
      </c>
      <c r="B17" s="1">
        <v>646</v>
      </c>
      <c r="C17">
        <v>504</v>
      </c>
      <c r="D17">
        <f t="shared" si="1"/>
        <v>325584</v>
      </c>
      <c r="E17" s="2">
        <f t="shared" si="0"/>
        <v>0.18597955952209586</v>
      </c>
    </row>
    <row r="18" spans="1:5">
      <c r="A18" t="s">
        <v>13</v>
      </c>
      <c r="B18" s="1">
        <v>225</v>
      </c>
      <c r="C18">
        <v>245</v>
      </c>
      <c r="D18">
        <f t="shared" si="1"/>
        <v>55125</v>
      </c>
      <c r="E18" s="2">
        <f t="shared" si="0"/>
        <v>3.1488412264286746E-2</v>
      </c>
    </row>
    <row r="19" spans="1:5">
      <c r="A19" t="s">
        <v>19</v>
      </c>
      <c r="B19" s="1">
        <f>102-39+86-61-86+58-60+32</f>
        <v>32</v>
      </c>
      <c r="C19">
        <v>1000</v>
      </c>
      <c r="D19">
        <f t="shared" si="1"/>
        <v>32000</v>
      </c>
      <c r="E19" s="2">
        <f t="shared" si="0"/>
        <v>1.8278987618270761E-2</v>
      </c>
    </row>
    <row r="21" spans="1:5">
      <c r="D21">
        <f>SUM(D5:D19)</f>
        <v>1750644</v>
      </c>
      <c r="E21"/>
    </row>
  </sheetData>
  <pageMargins left="0.7" right="0.7" top="0.75" bottom="0.75" header="0.3" footer="0.3"/>
  <pageSetup orientation="portrait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1"/>
  <sheetViews>
    <sheetView workbookViewId="0">
      <selection activeCell="C21" sqref="C21"/>
    </sheetView>
  </sheetViews>
  <sheetFormatPr defaultRowHeight="15"/>
  <cols>
    <col min="1" max="1" width="14.5703125" bestFit="1" customWidth="1"/>
    <col min="2" max="2" width="16.85546875" style="1" bestFit="1" customWidth="1"/>
    <col min="5" max="5" width="11" style="2" bestFit="1" customWidth="1"/>
    <col min="6" max="6" width="11" bestFit="1" customWidth="1"/>
    <col min="7" max="7" width="25.5703125" bestFit="1" customWidth="1"/>
  </cols>
  <sheetData>
    <row r="1" spans="1:7">
      <c r="A1" t="s">
        <v>18</v>
      </c>
    </row>
    <row r="3" spans="1:7">
      <c r="A3" t="s">
        <v>0</v>
      </c>
      <c r="B3" s="1" t="s">
        <v>9</v>
      </c>
      <c r="C3" t="s">
        <v>1</v>
      </c>
      <c r="D3" t="s">
        <v>8</v>
      </c>
      <c r="E3" s="2" t="s">
        <v>2</v>
      </c>
      <c r="G3" t="s">
        <v>14</v>
      </c>
    </row>
    <row r="5" spans="1:7">
      <c r="A5" t="s">
        <v>7</v>
      </c>
      <c r="B5" s="1">
        <v>980</v>
      </c>
      <c r="C5">
        <v>284</v>
      </c>
      <c r="D5">
        <f>C5*B5</f>
        <v>278320</v>
      </c>
      <c r="E5" s="2">
        <f t="shared" ref="E5:E19" si="0">D5/$D$21</f>
        <v>0.15392043057017255</v>
      </c>
    </row>
    <row r="6" spans="1:7">
      <c r="A6" t="s">
        <v>3</v>
      </c>
      <c r="B6" s="1">
        <f>511+255</f>
        <v>766</v>
      </c>
      <c r="C6">
        <v>250</v>
      </c>
      <c r="D6">
        <f t="shared" ref="D6:D19" si="1">C6*B6</f>
        <v>191500</v>
      </c>
      <c r="E6" s="2">
        <f t="shared" si="0"/>
        <v>0.10590601629127638</v>
      </c>
    </row>
    <row r="7" spans="1:7">
      <c r="A7" t="s">
        <v>29</v>
      </c>
      <c r="B7" s="1">
        <v>29</v>
      </c>
      <c r="C7">
        <v>3065</v>
      </c>
      <c r="D7">
        <f t="shared" si="1"/>
        <v>88885</v>
      </c>
      <c r="E7" s="2">
        <f t="shared" si="0"/>
        <v>4.9156429545953534E-2</v>
      </c>
    </row>
    <row r="8" spans="1:7">
      <c r="A8" t="s">
        <v>21</v>
      </c>
      <c r="B8" s="1">
        <v>350</v>
      </c>
      <c r="C8">
        <v>187</v>
      </c>
      <c r="D8">
        <f t="shared" si="1"/>
        <v>65450</v>
      </c>
      <c r="E8" s="2">
        <f t="shared" si="0"/>
        <v>3.6196077108428405E-2</v>
      </c>
    </row>
    <row r="9" spans="1:7">
      <c r="A9" t="s">
        <v>20</v>
      </c>
      <c r="B9" s="1">
        <f>245+95+80</f>
        <v>420</v>
      </c>
      <c r="C9">
        <v>453</v>
      </c>
      <c r="D9">
        <f t="shared" si="1"/>
        <v>190260</v>
      </c>
      <c r="E9" s="2">
        <f t="shared" si="0"/>
        <v>0.10522025409701434</v>
      </c>
    </row>
    <row r="10" spans="1:7">
      <c r="A10" t="s">
        <v>6</v>
      </c>
      <c r="B10" s="1">
        <v>111</v>
      </c>
      <c r="C10">
        <v>1226</v>
      </c>
      <c r="D10">
        <f t="shared" si="1"/>
        <v>136086</v>
      </c>
      <c r="E10" s="2">
        <f t="shared" si="0"/>
        <v>7.5260188684149548E-2</v>
      </c>
    </row>
    <row r="11" spans="1:7">
      <c r="A11" t="s">
        <v>34</v>
      </c>
      <c r="B11" s="1">
        <v>900</v>
      </c>
      <c r="C11">
        <v>90</v>
      </c>
      <c r="D11">
        <f t="shared" si="1"/>
        <v>81000</v>
      </c>
      <c r="E11" s="2">
        <f t="shared" si="0"/>
        <v>4.4795756238085571E-2</v>
      </c>
      <c r="G11" t="s">
        <v>35</v>
      </c>
    </row>
    <row r="12" spans="1:7">
      <c r="A12" t="s">
        <v>12</v>
      </c>
      <c r="B12" s="1">
        <v>372</v>
      </c>
      <c r="C12">
        <v>263</v>
      </c>
      <c r="D12">
        <f t="shared" si="1"/>
        <v>97836</v>
      </c>
      <c r="E12" s="2">
        <f t="shared" si="0"/>
        <v>5.4106637127275807E-2</v>
      </c>
    </row>
    <row r="13" spans="1:7">
      <c r="A13" t="s">
        <v>11</v>
      </c>
      <c r="B13" s="1">
        <v>1093</v>
      </c>
      <c r="C13">
        <v>120</v>
      </c>
      <c r="D13">
        <f t="shared" si="1"/>
        <v>131160</v>
      </c>
      <c r="E13" s="2">
        <f t="shared" si="0"/>
        <v>7.2535943064040792E-2</v>
      </c>
    </row>
    <row r="14" spans="1:7">
      <c r="A14" t="s">
        <v>17</v>
      </c>
      <c r="B14" s="1">
        <v>1850</v>
      </c>
      <c r="C14">
        <v>32</v>
      </c>
      <c r="D14">
        <f t="shared" si="1"/>
        <v>59200</v>
      </c>
      <c r="E14" s="2">
        <f t="shared" si="0"/>
        <v>3.2739614435736614E-2</v>
      </c>
    </row>
    <row r="15" spans="1:7">
      <c r="A15" t="s">
        <v>15</v>
      </c>
      <c r="B15" s="1">
        <v>368</v>
      </c>
      <c r="C15">
        <v>109</v>
      </c>
      <c r="D15">
        <f t="shared" si="1"/>
        <v>40112</v>
      </c>
      <c r="E15" s="2">
        <f t="shared" si="0"/>
        <v>2.218330091632208E-2</v>
      </c>
    </row>
    <row r="16" spans="1:7">
      <c r="A16" t="s">
        <v>26</v>
      </c>
      <c r="B16" s="1">
        <v>365</v>
      </c>
      <c r="C16">
        <v>279</v>
      </c>
      <c r="D16">
        <f t="shared" si="1"/>
        <v>101835</v>
      </c>
      <c r="E16" s="2">
        <f t="shared" si="0"/>
        <v>5.6318220203770919E-2</v>
      </c>
    </row>
    <row r="17" spans="1:7">
      <c r="A17" t="s">
        <v>5</v>
      </c>
      <c r="B17" s="1">
        <f>646-98</f>
        <v>548</v>
      </c>
      <c r="C17">
        <v>531</v>
      </c>
      <c r="D17">
        <f t="shared" si="1"/>
        <v>290988</v>
      </c>
      <c r="E17" s="2">
        <f t="shared" si="0"/>
        <v>0.16092626563219808</v>
      </c>
      <c r="G17" t="s">
        <v>36</v>
      </c>
    </row>
    <row r="18" spans="1:7">
      <c r="A18" t="s">
        <v>13</v>
      </c>
      <c r="B18" s="1">
        <v>225</v>
      </c>
      <c r="C18">
        <v>247</v>
      </c>
      <c r="D18">
        <f t="shared" si="1"/>
        <v>55575</v>
      </c>
      <c r="E18" s="2">
        <f t="shared" si="0"/>
        <v>3.073486608557538E-2</v>
      </c>
    </row>
    <row r="19" spans="1:7">
      <c r="A19" t="s">
        <v>19</v>
      </c>
      <c r="B19" s="1">
        <f>102-39+86-61-86+58-60+32-32</f>
        <v>0</v>
      </c>
      <c r="C19">
        <v>1000</v>
      </c>
      <c r="D19">
        <f t="shared" si="1"/>
        <v>0</v>
      </c>
      <c r="E19" s="2">
        <f t="shared" si="0"/>
        <v>0</v>
      </c>
    </row>
    <row r="21" spans="1:7">
      <c r="D21">
        <f>SUM(D5:D19)</f>
        <v>1808207</v>
      </c>
      <c r="E21"/>
    </row>
  </sheetData>
  <pageMargins left="0.7" right="0.7" top="0.75" bottom="0.75" header="0.3" footer="0.3"/>
  <pageSetup orientation="portrait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1"/>
  <sheetViews>
    <sheetView workbookViewId="0">
      <selection activeCell="B21" sqref="B21"/>
    </sheetView>
  </sheetViews>
  <sheetFormatPr defaultRowHeight="15"/>
  <cols>
    <col min="1" max="1" width="14.5703125" bestFit="1" customWidth="1"/>
    <col min="2" max="2" width="16.85546875" style="1" bestFit="1" customWidth="1"/>
    <col min="5" max="5" width="11" style="2" bestFit="1" customWidth="1"/>
    <col min="6" max="6" width="11" bestFit="1" customWidth="1"/>
    <col min="7" max="7" width="25.5703125" bestFit="1" customWidth="1"/>
  </cols>
  <sheetData>
    <row r="1" spans="1:7">
      <c r="A1" t="s">
        <v>18</v>
      </c>
    </row>
    <row r="3" spans="1:7">
      <c r="A3" t="s">
        <v>0</v>
      </c>
      <c r="B3" s="1" t="s">
        <v>9</v>
      </c>
      <c r="C3" t="s">
        <v>1</v>
      </c>
      <c r="D3" t="s">
        <v>8</v>
      </c>
      <c r="E3" s="2" t="s">
        <v>2</v>
      </c>
      <c r="G3" t="s">
        <v>14</v>
      </c>
    </row>
    <row r="5" spans="1:7">
      <c r="A5" t="s">
        <v>7</v>
      </c>
      <c r="B5" s="1">
        <v>980</v>
      </c>
      <c r="C5">
        <v>259</v>
      </c>
      <c r="D5">
        <f>C5*B5</f>
        <v>253820</v>
      </c>
      <c r="E5" s="2">
        <f t="shared" ref="E5:E19" si="0">D5/$D$21</f>
        <v>0.14126523156656251</v>
      </c>
    </row>
    <row r="6" spans="1:7">
      <c r="A6" t="s">
        <v>3</v>
      </c>
      <c r="B6" s="1">
        <f>511+255</f>
        <v>766</v>
      </c>
      <c r="C6">
        <v>248</v>
      </c>
      <c r="D6">
        <f t="shared" ref="D6:D19" si="1">C6*B6</f>
        <v>189968</v>
      </c>
      <c r="E6" s="2">
        <f t="shared" si="0"/>
        <v>0.1057279706494238</v>
      </c>
    </row>
    <row r="7" spans="1:7">
      <c r="A7" t="s">
        <v>29</v>
      </c>
      <c r="B7" s="1">
        <v>29</v>
      </c>
      <c r="C7">
        <v>3401</v>
      </c>
      <c r="D7">
        <f t="shared" si="1"/>
        <v>98629</v>
      </c>
      <c r="E7" s="2">
        <f t="shared" si="0"/>
        <v>5.4892634639423586E-2</v>
      </c>
    </row>
    <row r="8" spans="1:7">
      <c r="A8" t="s">
        <v>21</v>
      </c>
      <c r="B8" s="1">
        <v>350</v>
      </c>
      <c r="C8">
        <v>185</v>
      </c>
      <c r="D8">
        <f t="shared" si="1"/>
        <v>64750</v>
      </c>
      <c r="E8" s="2">
        <f t="shared" si="0"/>
        <v>3.6037048869021052E-2</v>
      </c>
    </row>
    <row r="9" spans="1:7">
      <c r="A9" t="s">
        <v>20</v>
      </c>
      <c r="B9" s="1">
        <f>245+95+80</f>
        <v>420</v>
      </c>
      <c r="C9">
        <v>507</v>
      </c>
      <c r="D9">
        <f t="shared" si="1"/>
        <v>212940</v>
      </c>
      <c r="E9" s="2">
        <f t="shared" si="0"/>
        <v>0.11851319206439138</v>
      </c>
    </row>
    <row r="10" spans="1:7">
      <c r="A10" t="s">
        <v>6</v>
      </c>
      <c r="B10" s="1">
        <v>111</v>
      </c>
      <c r="C10">
        <v>1222</v>
      </c>
      <c r="D10">
        <f t="shared" si="1"/>
        <v>135642</v>
      </c>
      <c r="E10" s="2">
        <f t="shared" si="0"/>
        <v>7.5492469230760667E-2</v>
      </c>
    </row>
    <row r="11" spans="1:7">
      <c r="A11" t="s">
        <v>34</v>
      </c>
      <c r="B11" s="1">
        <v>900</v>
      </c>
      <c r="C11">
        <v>93</v>
      </c>
      <c r="D11">
        <f t="shared" si="1"/>
        <v>83700</v>
      </c>
      <c r="E11" s="2">
        <f t="shared" si="0"/>
        <v>4.6583799078564664E-2</v>
      </c>
    </row>
    <row r="12" spans="1:7">
      <c r="A12" t="s">
        <v>12</v>
      </c>
      <c r="B12" s="1">
        <v>372</v>
      </c>
      <c r="C12">
        <v>261</v>
      </c>
      <c r="D12">
        <f t="shared" si="1"/>
        <v>97092</v>
      </c>
      <c r="E12" s="2">
        <f t="shared" si="0"/>
        <v>5.4037206931135007E-2</v>
      </c>
    </row>
    <row r="13" spans="1:7">
      <c r="A13" t="s">
        <v>11</v>
      </c>
      <c r="B13" s="1">
        <v>1093</v>
      </c>
      <c r="C13">
        <v>120</v>
      </c>
      <c r="D13">
        <f t="shared" si="1"/>
        <v>131160</v>
      </c>
      <c r="E13" s="2">
        <f t="shared" si="0"/>
        <v>7.2997981925263342E-2</v>
      </c>
    </row>
    <row r="14" spans="1:7">
      <c r="A14" t="s">
        <v>17</v>
      </c>
      <c r="B14" s="1">
        <v>1850</v>
      </c>
      <c r="C14">
        <v>30</v>
      </c>
      <c r="D14">
        <f t="shared" si="1"/>
        <v>55500</v>
      </c>
      <c r="E14" s="2">
        <f t="shared" si="0"/>
        <v>3.0888899030589473E-2</v>
      </c>
    </row>
    <row r="15" spans="1:7">
      <c r="A15" t="s">
        <v>15</v>
      </c>
      <c r="B15" s="1">
        <v>368</v>
      </c>
      <c r="C15">
        <v>111</v>
      </c>
      <c r="D15">
        <f t="shared" si="1"/>
        <v>40848</v>
      </c>
      <c r="E15" s="2">
        <f t="shared" si="0"/>
        <v>2.2734229686513851E-2</v>
      </c>
    </row>
    <row r="16" spans="1:7">
      <c r="A16" t="s">
        <v>26</v>
      </c>
      <c r="B16" s="1">
        <v>365</v>
      </c>
      <c r="C16">
        <v>266</v>
      </c>
      <c r="D16">
        <f t="shared" si="1"/>
        <v>97090</v>
      </c>
      <c r="E16" s="2">
        <f t="shared" si="0"/>
        <v>5.4036093817656429E-2</v>
      </c>
    </row>
    <row r="17" spans="1:7">
      <c r="A17" t="s">
        <v>5</v>
      </c>
      <c r="B17" s="1">
        <f>646-98-296</f>
        <v>252</v>
      </c>
      <c r="C17">
        <v>524</v>
      </c>
      <c r="D17">
        <f t="shared" si="1"/>
        <v>132048</v>
      </c>
      <c r="E17" s="2">
        <f t="shared" si="0"/>
        <v>7.3492204309752771E-2</v>
      </c>
      <c r="G17" t="s">
        <v>37</v>
      </c>
    </row>
    <row r="18" spans="1:7">
      <c r="A18" t="s">
        <v>13</v>
      </c>
      <c r="B18" s="1">
        <v>225</v>
      </c>
      <c r="C18">
        <v>247</v>
      </c>
      <c r="D18">
        <f t="shared" si="1"/>
        <v>55575</v>
      </c>
      <c r="E18" s="2">
        <f t="shared" si="0"/>
        <v>3.0930640786036214E-2</v>
      </c>
    </row>
    <row r="19" spans="1:7">
      <c r="A19" t="s">
        <v>19</v>
      </c>
      <c r="B19" s="1">
        <f>102-39+86-61-86+58-60+32-32+148</f>
        <v>148</v>
      </c>
      <c r="C19">
        <v>1000</v>
      </c>
      <c r="D19">
        <f t="shared" si="1"/>
        <v>148000</v>
      </c>
      <c r="E19" s="2">
        <f t="shared" si="0"/>
        <v>8.2370397414905261E-2</v>
      </c>
    </row>
    <row r="21" spans="1:7">
      <c r="D21">
        <f>SUM(D5:D19)</f>
        <v>1796762</v>
      </c>
      <c r="E21"/>
    </row>
  </sheetData>
  <pageMargins left="0.7" right="0.7" top="0.75" bottom="0.75" header="0.3" footer="0.3"/>
  <pageSetup orientation="portrait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21"/>
  <sheetViews>
    <sheetView workbookViewId="0">
      <selection activeCell="A21" sqref="A21"/>
    </sheetView>
  </sheetViews>
  <sheetFormatPr defaultRowHeight="15"/>
  <cols>
    <col min="1" max="1" width="14.5703125" bestFit="1" customWidth="1"/>
    <col min="2" max="2" width="16.85546875" style="1" bestFit="1" customWidth="1"/>
    <col min="5" max="5" width="11" style="2" bestFit="1" customWidth="1"/>
    <col min="6" max="6" width="11" bestFit="1" customWidth="1"/>
    <col min="7" max="7" width="25.5703125" bestFit="1" customWidth="1"/>
  </cols>
  <sheetData>
    <row r="1" spans="1:7">
      <c r="A1" t="s">
        <v>18</v>
      </c>
    </row>
    <row r="3" spans="1:7">
      <c r="A3" t="s">
        <v>0</v>
      </c>
      <c r="B3" s="1" t="s">
        <v>9</v>
      </c>
      <c r="C3" t="s">
        <v>1</v>
      </c>
      <c r="D3" t="s">
        <v>8</v>
      </c>
      <c r="E3" s="2" t="s">
        <v>2</v>
      </c>
      <c r="G3" t="s">
        <v>14</v>
      </c>
    </row>
    <row r="5" spans="1:7">
      <c r="A5" t="s">
        <v>7</v>
      </c>
      <c r="B5" s="1">
        <v>980</v>
      </c>
      <c r="C5">
        <v>244</v>
      </c>
      <c r="D5">
        <f>C5*B5</f>
        <v>239120</v>
      </c>
      <c r="E5" s="2">
        <f t="shared" ref="E5:E19" si="0">D5/$D$21</f>
        <v>0.13817732139864666</v>
      </c>
    </row>
    <row r="6" spans="1:7">
      <c r="A6" t="s">
        <v>3</v>
      </c>
      <c r="B6" s="1">
        <f>511+255</f>
        <v>766</v>
      </c>
      <c r="C6">
        <v>249</v>
      </c>
      <c r="D6">
        <f t="shared" ref="D6:D19" si="1">C6*B6</f>
        <v>190734</v>
      </c>
      <c r="E6" s="2">
        <f t="shared" si="0"/>
        <v>0.11021710111931027</v>
      </c>
    </row>
    <row r="7" spans="1:7">
      <c r="A7" t="s">
        <v>29</v>
      </c>
      <c r="B7" s="1">
        <v>29</v>
      </c>
      <c r="C7">
        <v>3454</v>
      </c>
      <c r="D7">
        <f t="shared" si="1"/>
        <v>100166</v>
      </c>
      <c r="E7" s="2">
        <f t="shared" si="0"/>
        <v>5.7881689424627139E-2</v>
      </c>
    </row>
    <row r="8" spans="1:7">
      <c r="A8" t="s">
        <v>21</v>
      </c>
      <c r="B8" s="1">
        <v>350</v>
      </c>
      <c r="C8">
        <v>173</v>
      </c>
      <c r="D8">
        <f t="shared" si="1"/>
        <v>60550</v>
      </c>
      <c r="E8" s="2">
        <f t="shared" si="0"/>
        <v>3.4989280740582364E-2</v>
      </c>
    </row>
    <row r="9" spans="1:7">
      <c r="A9" t="s">
        <v>20</v>
      </c>
      <c r="B9" s="1">
        <f>245+95+80</f>
        <v>420</v>
      </c>
      <c r="C9">
        <v>460</v>
      </c>
      <c r="D9">
        <f t="shared" si="1"/>
        <v>193200</v>
      </c>
      <c r="E9" s="2">
        <f t="shared" si="0"/>
        <v>0.1116420980855576</v>
      </c>
    </row>
    <row r="10" spans="1:7">
      <c r="A10" t="s">
        <v>6</v>
      </c>
      <c r="B10" s="1">
        <f>111+30</f>
        <v>141</v>
      </c>
      <c r="C10">
        <v>1230</v>
      </c>
      <c r="D10">
        <f t="shared" si="1"/>
        <v>173430</v>
      </c>
      <c r="E10" s="2">
        <f t="shared" si="0"/>
        <v>0.10021785233425598</v>
      </c>
      <c r="G10" t="s">
        <v>38</v>
      </c>
    </row>
    <row r="11" spans="1:7">
      <c r="A11" t="s">
        <v>34</v>
      </c>
      <c r="B11" s="1">
        <v>900</v>
      </c>
      <c r="C11">
        <v>85</v>
      </c>
      <c r="D11">
        <f t="shared" si="1"/>
        <v>76500</v>
      </c>
      <c r="E11" s="2">
        <f t="shared" si="0"/>
        <v>4.4206110266796876E-2</v>
      </c>
    </row>
    <row r="12" spans="1:7">
      <c r="A12" t="s">
        <v>12</v>
      </c>
      <c r="B12" s="1">
        <v>372</v>
      </c>
      <c r="C12">
        <v>262</v>
      </c>
      <c r="D12">
        <f t="shared" si="1"/>
        <v>97464</v>
      </c>
      <c r="E12" s="2">
        <f t="shared" si="0"/>
        <v>5.6320318052850864E-2</v>
      </c>
    </row>
    <row r="13" spans="1:7">
      <c r="A13" t="s">
        <v>11</v>
      </c>
      <c r="B13" s="1">
        <v>1093</v>
      </c>
      <c r="C13">
        <v>120</v>
      </c>
      <c r="D13">
        <f t="shared" si="1"/>
        <v>131160</v>
      </c>
      <c r="E13" s="2">
        <f t="shared" si="0"/>
        <v>7.5791809445661162E-2</v>
      </c>
    </row>
    <row r="14" spans="1:7">
      <c r="A14" t="s">
        <v>17</v>
      </c>
      <c r="B14" s="1">
        <v>1850</v>
      </c>
      <c r="C14">
        <v>28</v>
      </c>
      <c r="D14">
        <f t="shared" si="1"/>
        <v>51800</v>
      </c>
      <c r="E14" s="2">
        <f t="shared" si="0"/>
        <v>2.9933026298301676E-2</v>
      </c>
    </row>
    <row r="15" spans="1:7">
      <c r="A15" t="s">
        <v>15</v>
      </c>
      <c r="B15" s="1">
        <v>368</v>
      </c>
      <c r="C15">
        <v>107</v>
      </c>
      <c r="D15">
        <f t="shared" si="1"/>
        <v>39376</v>
      </c>
      <c r="E15" s="2">
        <f t="shared" si="0"/>
        <v>2.2753722847913646E-2</v>
      </c>
    </row>
    <row r="16" spans="1:7">
      <c r="A16" t="s">
        <v>26</v>
      </c>
      <c r="B16" s="1">
        <v>365</v>
      </c>
      <c r="C16">
        <v>252</v>
      </c>
      <c r="D16">
        <f t="shared" si="1"/>
        <v>91980</v>
      </c>
      <c r="E16" s="2">
        <f t="shared" si="0"/>
        <v>5.3151346697254596E-2</v>
      </c>
    </row>
    <row r="17" spans="1:5">
      <c r="A17" t="s">
        <v>5</v>
      </c>
      <c r="B17" s="1">
        <f>646-98-296</f>
        <v>252</v>
      </c>
      <c r="C17">
        <v>475</v>
      </c>
      <c r="D17">
        <f t="shared" si="1"/>
        <v>119700</v>
      </c>
      <c r="E17" s="2">
        <f t="shared" si="0"/>
        <v>6.9169560770399818E-2</v>
      </c>
    </row>
    <row r="18" spans="1:5">
      <c r="A18" t="s">
        <v>13</v>
      </c>
      <c r="B18" s="1">
        <v>225</v>
      </c>
      <c r="C18">
        <v>246</v>
      </c>
      <c r="D18">
        <f t="shared" si="1"/>
        <v>55350</v>
      </c>
      <c r="E18" s="2">
        <f t="shared" si="0"/>
        <v>3.1984420957741268E-2</v>
      </c>
    </row>
    <row r="19" spans="1:5">
      <c r="A19" t="s">
        <v>19</v>
      </c>
      <c r="B19" s="1">
        <f>102-39+86-61-86+58-60+32-32+148-38</f>
        <v>110</v>
      </c>
      <c r="C19">
        <v>1000</v>
      </c>
      <c r="D19">
        <f t="shared" si="1"/>
        <v>110000</v>
      </c>
      <c r="E19" s="2">
        <f t="shared" si="0"/>
        <v>6.3564341560100088E-2</v>
      </c>
    </row>
    <row r="21" spans="1:5">
      <c r="D21">
        <f>SUM(D5:D19)</f>
        <v>1730530</v>
      </c>
      <c r="E21"/>
    </row>
  </sheetData>
  <pageMargins left="0.7" right="0.7" top="0.75" bottom="0.75" header="0.3" footer="0.3"/>
  <pageSetup orientation="portrait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1"/>
  <sheetViews>
    <sheetView workbookViewId="0">
      <selection activeCell="C21" sqref="C21"/>
    </sheetView>
  </sheetViews>
  <sheetFormatPr defaultRowHeight="15"/>
  <cols>
    <col min="1" max="1" width="14.5703125" bestFit="1" customWidth="1"/>
    <col min="2" max="2" width="16.85546875" style="1" bestFit="1" customWidth="1"/>
    <col min="5" max="5" width="11" style="2" bestFit="1" customWidth="1"/>
    <col min="6" max="6" width="11" bestFit="1" customWidth="1"/>
    <col min="7" max="7" width="25.5703125" bestFit="1" customWidth="1"/>
  </cols>
  <sheetData>
    <row r="1" spans="1:7">
      <c r="A1" t="s">
        <v>18</v>
      </c>
    </row>
    <row r="3" spans="1:7">
      <c r="A3" t="s">
        <v>0</v>
      </c>
      <c r="B3" s="1" t="s">
        <v>9</v>
      </c>
      <c r="C3" t="s">
        <v>1</v>
      </c>
      <c r="D3" t="s">
        <v>8</v>
      </c>
      <c r="E3" s="2" t="s">
        <v>2</v>
      </c>
      <c r="G3" t="s">
        <v>14</v>
      </c>
    </row>
    <row r="5" spans="1:7">
      <c r="A5" t="s">
        <v>7</v>
      </c>
      <c r="B5" s="1">
        <v>980</v>
      </c>
      <c r="C5">
        <v>259</v>
      </c>
      <c r="D5">
        <f>C5*B5</f>
        <v>253820</v>
      </c>
      <c r="E5" s="2">
        <f t="shared" ref="E5:E19" si="0">D5/$D$21</f>
        <v>0.142891564094596</v>
      </c>
    </row>
    <row r="6" spans="1:7">
      <c r="A6" t="s">
        <v>3</v>
      </c>
      <c r="B6" s="1">
        <f>511+255</f>
        <v>766</v>
      </c>
      <c r="C6">
        <v>255</v>
      </c>
      <c r="D6">
        <f t="shared" ref="D6:D19" si="1">C6*B6</f>
        <v>195330</v>
      </c>
      <c r="E6" s="2">
        <f t="shared" si="0"/>
        <v>0.10996379014497454</v>
      </c>
    </row>
    <row r="7" spans="1:7">
      <c r="A7" t="s">
        <v>29</v>
      </c>
      <c r="B7" s="1">
        <v>29</v>
      </c>
      <c r="C7">
        <v>3582</v>
      </c>
      <c r="D7">
        <f t="shared" si="1"/>
        <v>103878</v>
      </c>
      <c r="E7" s="2">
        <f t="shared" si="0"/>
        <v>5.847959142312837E-2</v>
      </c>
    </row>
    <row r="8" spans="1:7">
      <c r="A8" t="s">
        <v>21</v>
      </c>
      <c r="B8" s="1">
        <v>350</v>
      </c>
      <c r="C8">
        <v>174</v>
      </c>
      <c r="D8">
        <f t="shared" si="1"/>
        <v>60900</v>
      </c>
      <c r="E8" s="2">
        <f t="shared" si="0"/>
        <v>3.4284517584748625E-2</v>
      </c>
    </row>
    <row r="9" spans="1:7">
      <c r="A9" t="s">
        <v>20</v>
      </c>
      <c r="B9" s="1">
        <f>245+95+80</f>
        <v>420</v>
      </c>
      <c r="C9">
        <v>467</v>
      </c>
      <c r="D9">
        <f t="shared" si="1"/>
        <v>196140</v>
      </c>
      <c r="E9" s="2">
        <f t="shared" si="0"/>
        <v>0.11041979111777661</v>
      </c>
    </row>
    <row r="10" spans="1:7">
      <c r="A10" t="s">
        <v>6</v>
      </c>
      <c r="B10" s="1">
        <f>111+30</f>
        <v>141</v>
      </c>
      <c r="C10">
        <v>1367</v>
      </c>
      <c r="D10">
        <f t="shared" si="1"/>
        <v>192747</v>
      </c>
      <c r="E10" s="2">
        <f t="shared" si="0"/>
        <v>0.10850965370948347</v>
      </c>
    </row>
    <row r="11" spans="1:7">
      <c r="A11" t="s">
        <v>34</v>
      </c>
      <c r="B11" s="1">
        <v>900</v>
      </c>
      <c r="C11">
        <v>89</v>
      </c>
      <c r="D11">
        <f t="shared" si="1"/>
        <v>80100</v>
      </c>
      <c r="E11" s="2">
        <f t="shared" si="0"/>
        <v>4.5093429532649672E-2</v>
      </c>
    </row>
    <row r="12" spans="1:7">
      <c r="A12" t="s">
        <v>12</v>
      </c>
      <c r="B12" s="1">
        <v>372</v>
      </c>
      <c r="C12">
        <v>263</v>
      </c>
      <c r="D12">
        <f t="shared" si="1"/>
        <v>97836</v>
      </c>
      <c r="E12" s="2">
        <f t="shared" si="0"/>
        <v>5.5078161944523259E-2</v>
      </c>
    </row>
    <row r="13" spans="1:7">
      <c r="A13" t="s">
        <v>11</v>
      </c>
      <c r="B13" s="1">
        <v>1093</v>
      </c>
      <c r="C13">
        <v>118</v>
      </c>
      <c r="D13">
        <f t="shared" si="1"/>
        <v>128974</v>
      </c>
      <c r="E13" s="2">
        <f t="shared" si="0"/>
        <v>7.2607740081697361E-2</v>
      </c>
    </row>
    <row r="14" spans="1:7">
      <c r="A14" t="s">
        <v>17</v>
      </c>
      <c r="B14" s="1">
        <v>0</v>
      </c>
      <c r="C14">
        <v>28</v>
      </c>
      <c r="D14">
        <f t="shared" si="1"/>
        <v>0</v>
      </c>
      <c r="E14" s="2">
        <f t="shared" si="0"/>
        <v>0</v>
      </c>
      <c r="G14" t="s">
        <v>39</v>
      </c>
    </row>
    <row r="15" spans="1:7">
      <c r="A15" t="s">
        <v>15</v>
      </c>
      <c r="B15" s="1">
        <v>368</v>
      </c>
      <c r="C15">
        <v>112</v>
      </c>
      <c r="D15">
        <f t="shared" si="1"/>
        <v>41216</v>
      </c>
      <c r="E15" s="2">
        <f t="shared" si="0"/>
        <v>2.3203130981494242E-2</v>
      </c>
    </row>
    <row r="16" spans="1:7">
      <c r="A16" t="s">
        <v>26</v>
      </c>
      <c r="B16" s="1">
        <v>365</v>
      </c>
      <c r="C16">
        <v>260</v>
      </c>
      <c r="D16">
        <f t="shared" si="1"/>
        <v>94900</v>
      </c>
      <c r="E16" s="2">
        <f t="shared" si="0"/>
        <v>5.3425299159156725E-2</v>
      </c>
    </row>
    <row r="17" spans="1:5">
      <c r="A17" t="s">
        <v>5</v>
      </c>
      <c r="B17" s="1">
        <f>646-98-296</f>
        <v>252</v>
      </c>
      <c r="C17">
        <v>448</v>
      </c>
      <c r="D17">
        <f t="shared" si="1"/>
        <v>112896</v>
      </c>
      <c r="E17" s="2">
        <f t="shared" si="0"/>
        <v>6.3556402253658148E-2</v>
      </c>
    </row>
    <row r="18" spans="1:5">
      <c r="A18" t="s">
        <v>13</v>
      </c>
      <c r="B18" s="1">
        <v>225</v>
      </c>
      <c r="C18">
        <v>247</v>
      </c>
      <c r="D18">
        <f t="shared" si="1"/>
        <v>55575</v>
      </c>
      <c r="E18" s="2">
        <f t="shared" si="0"/>
        <v>3.1286733411697944E-2</v>
      </c>
    </row>
    <row r="19" spans="1:5">
      <c r="A19" t="s">
        <v>19</v>
      </c>
      <c r="B19" s="1">
        <f>102-39+86-61-86+58-60+32-32+148-38+52</f>
        <v>162</v>
      </c>
      <c r="C19">
        <v>1000</v>
      </c>
      <c r="D19">
        <f t="shared" si="1"/>
        <v>162000</v>
      </c>
      <c r="E19" s="2">
        <f t="shared" si="0"/>
        <v>9.120019456041506E-2</v>
      </c>
    </row>
    <row r="21" spans="1:5">
      <c r="D21">
        <f>SUM(D5:D19)</f>
        <v>1776312</v>
      </c>
      <c r="E21"/>
    </row>
  </sheetData>
  <pageMargins left="0.7" right="0.7" top="0.75" bottom="0.75" header="0.3" footer="0.3"/>
  <pageSetup orientation="portrait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20"/>
  <sheetViews>
    <sheetView workbookViewId="0">
      <selection activeCell="B19" sqref="B19"/>
    </sheetView>
  </sheetViews>
  <sheetFormatPr defaultRowHeight="15"/>
  <cols>
    <col min="1" max="1" width="14.5703125" bestFit="1" customWidth="1"/>
    <col min="2" max="2" width="16.85546875" style="1" bestFit="1" customWidth="1"/>
    <col min="5" max="5" width="11" style="2" bestFit="1" customWidth="1"/>
    <col min="6" max="6" width="11" bestFit="1" customWidth="1"/>
    <col min="7" max="7" width="25.5703125" bestFit="1" customWidth="1"/>
  </cols>
  <sheetData>
    <row r="1" spans="1:7">
      <c r="A1" t="s">
        <v>18</v>
      </c>
    </row>
    <row r="3" spans="1:7">
      <c r="A3" t="s">
        <v>0</v>
      </c>
      <c r="B3" s="1" t="s">
        <v>9</v>
      </c>
      <c r="C3" t="s">
        <v>1</v>
      </c>
      <c r="D3" t="s">
        <v>8</v>
      </c>
      <c r="E3" s="2" t="s">
        <v>2</v>
      </c>
      <c r="G3" t="s">
        <v>14</v>
      </c>
    </row>
    <row r="5" spans="1:7">
      <c r="A5" t="s">
        <v>7</v>
      </c>
      <c r="B5" s="1">
        <v>980</v>
      </c>
      <c r="C5">
        <v>218</v>
      </c>
      <c r="D5">
        <f>C5*B5</f>
        <v>213640</v>
      </c>
      <c r="E5" s="2">
        <f t="shared" ref="E5:E18" si="0">D5/$D$20</f>
        <v>0.12802067122764776</v>
      </c>
    </row>
    <row r="6" spans="1:7">
      <c r="A6" t="s">
        <v>3</v>
      </c>
      <c r="B6" s="1">
        <f>511+255</f>
        <v>766</v>
      </c>
      <c r="C6">
        <v>204</v>
      </c>
      <c r="D6">
        <f t="shared" ref="D6:D18" si="1">C6*B6</f>
        <v>156264</v>
      </c>
      <c r="E6" s="2">
        <f t="shared" si="0"/>
        <v>9.3638935446157798E-2</v>
      </c>
    </row>
    <row r="7" spans="1:7">
      <c r="A7" t="s">
        <v>29</v>
      </c>
      <c r="B7" s="1">
        <f>29+10</f>
        <v>39</v>
      </c>
      <c r="C7">
        <v>3202</v>
      </c>
      <c r="D7">
        <f t="shared" si="1"/>
        <v>124878</v>
      </c>
      <c r="E7" s="2">
        <f t="shared" si="0"/>
        <v>7.4831330188944944E-2</v>
      </c>
      <c r="G7" t="s">
        <v>41</v>
      </c>
    </row>
    <row r="8" spans="1:7">
      <c r="A8" t="s">
        <v>21</v>
      </c>
      <c r="B8" s="1">
        <v>350</v>
      </c>
      <c r="C8">
        <v>126</v>
      </c>
      <c r="D8">
        <f t="shared" si="1"/>
        <v>44100</v>
      </c>
      <c r="E8" s="2">
        <f t="shared" si="0"/>
        <v>2.6426285345156651E-2</v>
      </c>
    </row>
    <row r="9" spans="1:7">
      <c r="A9" t="s">
        <v>20</v>
      </c>
      <c r="B9" s="1">
        <v>840</v>
      </c>
      <c r="C9">
        <v>217</v>
      </c>
      <c r="D9">
        <f t="shared" si="1"/>
        <v>182280</v>
      </c>
      <c r="E9" s="2">
        <f t="shared" si="0"/>
        <v>0.10922864609331415</v>
      </c>
    </row>
    <row r="10" spans="1:7">
      <c r="A10" t="s">
        <v>6</v>
      </c>
      <c r="B10" s="1">
        <f>111+30</f>
        <v>141</v>
      </c>
      <c r="C10">
        <v>1497</v>
      </c>
      <c r="D10">
        <f t="shared" si="1"/>
        <v>211077</v>
      </c>
      <c r="E10" s="2">
        <f t="shared" si="0"/>
        <v>0.12648483065305283</v>
      </c>
    </row>
    <row r="11" spans="1:7">
      <c r="A11" t="s">
        <v>34</v>
      </c>
      <c r="B11" s="1">
        <v>900</v>
      </c>
      <c r="C11">
        <v>81</v>
      </c>
      <c r="D11">
        <f t="shared" si="1"/>
        <v>72900</v>
      </c>
      <c r="E11" s="2">
        <f t="shared" si="0"/>
        <v>4.3684267611381403E-2</v>
      </c>
    </row>
    <row r="12" spans="1:7">
      <c r="A12" t="s">
        <v>12</v>
      </c>
      <c r="B12" s="1">
        <v>372</v>
      </c>
      <c r="C12">
        <v>257</v>
      </c>
      <c r="D12">
        <f t="shared" si="1"/>
        <v>95604</v>
      </c>
      <c r="E12" s="2">
        <f t="shared" si="0"/>
        <v>5.7289310297921912E-2</v>
      </c>
    </row>
    <row r="13" spans="1:7">
      <c r="A13" t="s">
        <v>11</v>
      </c>
      <c r="B13" s="1">
        <v>1093</v>
      </c>
      <c r="C13">
        <v>120</v>
      </c>
      <c r="D13">
        <f t="shared" si="1"/>
        <v>131160</v>
      </c>
      <c r="E13" s="2">
        <f t="shared" si="0"/>
        <v>7.8595727570765217E-2</v>
      </c>
    </row>
    <row r="14" spans="1:7">
      <c r="A14" t="s">
        <v>15</v>
      </c>
      <c r="B14" s="1">
        <v>368</v>
      </c>
      <c r="C14">
        <v>85</v>
      </c>
      <c r="D14">
        <f t="shared" si="1"/>
        <v>31280</v>
      </c>
      <c r="E14" s="2">
        <f t="shared" si="0"/>
        <v>1.8744086294705215E-2</v>
      </c>
    </row>
    <row r="15" spans="1:7">
      <c r="A15" t="s">
        <v>26</v>
      </c>
      <c r="B15" s="1">
        <v>365</v>
      </c>
      <c r="C15">
        <v>246</v>
      </c>
      <c r="D15">
        <f t="shared" si="1"/>
        <v>89790</v>
      </c>
      <c r="E15" s="2">
        <f t="shared" si="0"/>
        <v>5.3805355127927793E-2</v>
      </c>
    </row>
    <row r="16" spans="1:7">
      <c r="A16" t="s">
        <v>5</v>
      </c>
      <c r="B16" s="1">
        <f>646-98-296</f>
        <v>252</v>
      </c>
      <c r="C16">
        <v>560</v>
      </c>
      <c r="D16">
        <f t="shared" si="1"/>
        <v>141120</v>
      </c>
      <c r="E16" s="2">
        <f t="shared" si="0"/>
        <v>8.4564113104501279E-2</v>
      </c>
    </row>
    <row r="17" spans="1:5">
      <c r="A17" t="s">
        <v>13</v>
      </c>
      <c r="B17" s="1">
        <v>225</v>
      </c>
      <c r="C17">
        <v>212</v>
      </c>
      <c r="D17">
        <f t="shared" si="1"/>
        <v>47700</v>
      </c>
      <c r="E17" s="2">
        <f t="shared" si="0"/>
        <v>2.8583533128434743E-2</v>
      </c>
    </row>
    <row r="18" spans="1:5">
      <c r="A18" t="s">
        <v>19</v>
      </c>
      <c r="B18" s="1">
        <f>102-39+86-61-86+58-60+32-32+148-38+52-35</f>
        <v>127</v>
      </c>
      <c r="C18">
        <v>1000</v>
      </c>
      <c r="D18">
        <f t="shared" si="1"/>
        <v>127000</v>
      </c>
      <c r="E18" s="2">
        <f t="shared" si="0"/>
        <v>7.6102907910088308E-2</v>
      </c>
    </row>
    <row r="20" spans="1:5">
      <c r="D20">
        <f>SUM(D5:D18)</f>
        <v>1668793</v>
      </c>
      <c r="E20"/>
    </row>
  </sheetData>
  <pageMargins left="0.7" right="0.7" top="0.75" bottom="0.75" header="0.3" footer="0.3"/>
  <pageSetup orientation="portrait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21"/>
  <sheetViews>
    <sheetView workbookViewId="0">
      <selection activeCell="C21" sqref="C21"/>
    </sheetView>
  </sheetViews>
  <sheetFormatPr defaultRowHeight="15"/>
  <cols>
    <col min="1" max="1" width="14.5703125" bestFit="1" customWidth="1"/>
    <col min="2" max="2" width="16.85546875" style="1" bestFit="1" customWidth="1"/>
    <col min="5" max="5" width="11" style="2" bestFit="1" customWidth="1"/>
    <col min="6" max="6" width="11" bestFit="1" customWidth="1"/>
    <col min="7" max="7" width="25.5703125" bestFit="1" customWidth="1"/>
  </cols>
  <sheetData>
    <row r="1" spans="1:7">
      <c r="A1" t="s">
        <v>18</v>
      </c>
    </row>
    <row r="3" spans="1:7">
      <c r="A3" t="s">
        <v>0</v>
      </c>
      <c r="B3" s="1" t="s">
        <v>9</v>
      </c>
      <c r="C3" t="s">
        <v>1</v>
      </c>
      <c r="D3" t="s">
        <v>8</v>
      </c>
      <c r="E3" s="2" t="s">
        <v>2</v>
      </c>
      <c r="G3" t="s">
        <v>14</v>
      </c>
    </row>
    <row r="5" spans="1:7">
      <c r="A5" t="s">
        <v>7</v>
      </c>
      <c r="B5" s="1">
        <v>980</v>
      </c>
      <c r="C5">
        <v>267</v>
      </c>
      <c r="D5">
        <f>C5*B5</f>
        <v>261660</v>
      </c>
      <c r="E5" s="2">
        <f t="shared" ref="E5:E19" si="0">D5/$D$21</f>
        <v>0.15355741941844661</v>
      </c>
    </row>
    <row r="6" spans="1:7">
      <c r="A6" t="s">
        <v>3</v>
      </c>
      <c r="B6" s="1">
        <f>511+255</f>
        <v>766</v>
      </c>
      <c r="C6">
        <v>202</v>
      </c>
      <c r="D6">
        <f t="shared" ref="D6:D19" si="1">C6*B6</f>
        <v>154732</v>
      </c>
      <c r="E6" s="2">
        <f t="shared" si="0"/>
        <v>9.0805803796740359E-2</v>
      </c>
    </row>
    <row r="7" spans="1:7">
      <c r="A7" t="s">
        <v>29</v>
      </c>
      <c r="B7" s="1">
        <f>29+10</f>
        <v>39</v>
      </c>
      <c r="C7">
        <v>3169</v>
      </c>
      <c r="D7">
        <f t="shared" si="1"/>
        <v>123591</v>
      </c>
      <c r="E7" s="2">
        <f t="shared" si="0"/>
        <v>7.2530440355213763E-2</v>
      </c>
    </row>
    <row r="8" spans="1:7">
      <c r="A8" t="s">
        <v>21</v>
      </c>
      <c r="B8" s="1">
        <v>350</v>
      </c>
      <c r="C8">
        <v>137</v>
      </c>
      <c r="D8">
        <f t="shared" si="1"/>
        <v>47950</v>
      </c>
      <c r="E8" s="2">
        <f t="shared" si="0"/>
        <v>2.8139869529597628E-2</v>
      </c>
    </row>
    <row r="9" spans="1:7">
      <c r="A9" t="s">
        <v>42</v>
      </c>
      <c r="B9" s="1">
        <v>329</v>
      </c>
      <c r="C9">
        <v>244</v>
      </c>
      <c r="D9">
        <f t="shared" si="1"/>
        <v>80276</v>
      </c>
      <c r="E9" s="2">
        <f t="shared" si="0"/>
        <v>4.7110660403711764E-2</v>
      </c>
      <c r="G9" t="s">
        <v>43</v>
      </c>
    </row>
    <row r="10" spans="1:7">
      <c r="A10" t="s">
        <v>20</v>
      </c>
      <c r="B10" s="1">
        <v>840</v>
      </c>
      <c r="C10">
        <v>208</v>
      </c>
      <c r="D10">
        <f t="shared" si="1"/>
        <v>174720</v>
      </c>
      <c r="E10" s="2">
        <f t="shared" si="0"/>
        <v>0.10253593335164332</v>
      </c>
    </row>
    <row r="11" spans="1:7">
      <c r="A11" t="s">
        <v>6</v>
      </c>
      <c r="B11" s="1">
        <f>111+30</f>
        <v>141</v>
      </c>
      <c r="C11">
        <v>1445</v>
      </c>
      <c r="D11">
        <f t="shared" si="1"/>
        <v>203745</v>
      </c>
      <c r="E11" s="2">
        <f t="shared" si="0"/>
        <v>0.11956950401059162</v>
      </c>
    </row>
    <row r="12" spans="1:7">
      <c r="A12" t="s">
        <v>34</v>
      </c>
      <c r="B12" s="1">
        <v>900</v>
      </c>
      <c r="C12">
        <v>83</v>
      </c>
      <c r="D12">
        <f t="shared" si="1"/>
        <v>74700</v>
      </c>
      <c r="E12" s="2">
        <f t="shared" si="0"/>
        <v>4.3838336889696405E-2</v>
      </c>
    </row>
    <row r="13" spans="1:7">
      <c r="A13" t="s">
        <v>12</v>
      </c>
      <c r="B13" s="1">
        <v>372</v>
      </c>
      <c r="C13">
        <v>289</v>
      </c>
      <c r="D13">
        <f t="shared" si="1"/>
        <v>107508</v>
      </c>
      <c r="E13" s="2">
        <f t="shared" si="0"/>
        <v>6.3091993605588773E-2</v>
      </c>
    </row>
    <row r="14" spans="1:7">
      <c r="A14" t="s">
        <v>11</v>
      </c>
      <c r="B14" s="1">
        <v>1093</v>
      </c>
      <c r="C14">
        <v>122</v>
      </c>
      <c r="D14">
        <f t="shared" si="1"/>
        <v>133346</v>
      </c>
      <c r="E14" s="2">
        <f t="shared" si="0"/>
        <v>7.8255245928961936E-2</v>
      </c>
    </row>
    <row r="15" spans="1:7">
      <c r="A15" t="s">
        <v>15</v>
      </c>
      <c r="B15" s="1">
        <v>368</v>
      </c>
      <c r="C15">
        <v>82</v>
      </c>
      <c r="D15">
        <f t="shared" si="1"/>
        <v>30176</v>
      </c>
      <c r="E15" s="2">
        <f t="shared" si="0"/>
        <v>1.7709044899377226E-2</v>
      </c>
    </row>
    <row r="16" spans="1:7">
      <c r="A16" t="s">
        <v>26</v>
      </c>
      <c r="B16" s="1">
        <v>365</v>
      </c>
      <c r="C16">
        <v>239</v>
      </c>
      <c r="D16">
        <f t="shared" si="1"/>
        <v>87235</v>
      </c>
      <c r="E16" s="2">
        <f t="shared" si="0"/>
        <v>5.1194609351709053E-2</v>
      </c>
    </row>
    <row r="17" spans="1:5">
      <c r="A17" t="s">
        <v>5</v>
      </c>
      <c r="B17" s="1">
        <f>646-98-296</f>
        <v>252</v>
      </c>
      <c r="C17">
        <v>512</v>
      </c>
      <c r="D17">
        <f t="shared" si="1"/>
        <v>129024</v>
      </c>
      <c r="E17" s="2">
        <f t="shared" si="0"/>
        <v>7.5718843090444299E-2</v>
      </c>
    </row>
    <row r="18" spans="1:5">
      <c r="A18" t="s">
        <v>13</v>
      </c>
      <c r="B18" s="1">
        <v>225</v>
      </c>
      <c r="C18">
        <v>237</v>
      </c>
      <c r="D18">
        <f t="shared" si="1"/>
        <v>53325</v>
      </c>
      <c r="E18" s="2">
        <f t="shared" si="0"/>
        <v>3.1294234466439905E-2</v>
      </c>
    </row>
    <row r="19" spans="1:5">
      <c r="A19" t="s">
        <v>19</v>
      </c>
      <c r="B19" s="1">
        <f>102-39+86-61-86+58-60+32-32+148-38+52-35-85</f>
        <v>42</v>
      </c>
      <c r="C19">
        <v>1000</v>
      </c>
      <c r="D19">
        <f t="shared" si="1"/>
        <v>42000</v>
      </c>
      <c r="E19" s="2">
        <f t="shared" si="0"/>
        <v>2.4648060901837337E-2</v>
      </c>
    </row>
    <row r="21" spans="1:5">
      <c r="D21">
        <f>SUM(D5:D19)</f>
        <v>1703988</v>
      </c>
      <c r="E21"/>
    </row>
  </sheetData>
  <pageMargins left="0.7" right="0.7" top="0.75" bottom="0.75" header="0.3" footer="0.3"/>
  <pageSetup orientation="portrait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21"/>
  <sheetViews>
    <sheetView workbookViewId="0">
      <selection activeCell="B19" sqref="B19"/>
    </sheetView>
  </sheetViews>
  <sheetFormatPr defaultRowHeight="15"/>
  <cols>
    <col min="1" max="1" width="14.5703125" bestFit="1" customWidth="1"/>
    <col min="2" max="2" width="16.85546875" style="1" bestFit="1" customWidth="1"/>
    <col min="5" max="5" width="11" style="2" bestFit="1" customWidth="1"/>
    <col min="6" max="6" width="11" bestFit="1" customWidth="1"/>
    <col min="7" max="7" width="25.5703125" bestFit="1" customWidth="1"/>
  </cols>
  <sheetData>
    <row r="1" spans="1:7">
      <c r="A1" t="s">
        <v>18</v>
      </c>
    </row>
    <row r="3" spans="1:7">
      <c r="A3" t="s">
        <v>0</v>
      </c>
      <c r="B3" s="1" t="s">
        <v>9</v>
      </c>
      <c r="C3" t="s">
        <v>1</v>
      </c>
      <c r="D3" t="s">
        <v>8</v>
      </c>
      <c r="E3" s="2" t="s">
        <v>2</v>
      </c>
      <c r="G3" t="s">
        <v>14</v>
      </c>
    </row>
    <row r="5" spans="1:7">
      <c r="A5" t="s">
        <v>7</v>
      </c>
      <c r="B5" s="1">
        <v>980</v>
      </c>
      <c r="C5">
        <v>310</v>
      </c>
      <c r="D5">
        <f>C5*B5</f>
        <v>303800</v>
      </c>
      <c r="E5" s="2">
        <f t="shared" ref="E5:E19" si="0">D5/$D$21</f>
        <v>0.1628846124976141</v>
      </c>
    </row>
    <row r="6" spans="1:7">
      <c r="A6" t="s">
        <v>3</v>
      </c>
      <c r="B6" s="1">
        <f>511+255</f>
        <v>766</v>
      </c>
      <c r="C6">
        <v>227</v>
      </c>
      <c r="D6">
        <f t="shared" ref="D6:D19" si="1">C6*B6</f>
        <v>173882</v>
      </c>
      <c r="E6" s="2">
        <f t="shared" si="0"/>
        <v>9.3228117808789118E-2</v>
      </c>
    </row>
    <row r="7" spans="1:7">
      <c r="A7" t="s">
        <v>29</v>
      </c>
      <c r="B7" s="1">
        <f>29+10</f>
        <v>39</v>
      </c>
      <c r="C7">
        <v>3876</v>
      </c>
      <c r="D7">
        <f t="shared" si="1"/>
        <v>151164</v>
      </c>
      <c r="E7" s="2">
        <f t="shared" si="0"/>
        <v>8.1047694416028104E-2</v>
      </c>
    </row>
    <row r="8" spans="1:7">
      <c r="A8" t="s">
        <v>21</v>
      </c>
      <c r="B8" s="1">
        <v>350</v>
      </c>
      <c r="C8">
        <v>146</v>
      </c>
      <c r="D8">
        <f t="shared" si="1"/>
        <v>51100</v>
      </c>
      <c r="E8" s="2">
        <f t="shared" si="0"/>
        <v>2.7397642194299146E-2</v>
      </c>
    </row>
    <row r="9" spans="1:7">
      <c r="A9" t="s">
        <v>42</v>
      </c>
      <c r="B9" s="1">
        <v>1645</v>
      </c>
      <c r="C9">
        <v>69</v>
      </c>
      <c r="D9">
        <f t="shared" si="1"/>
        <v>113505</v>
      </c>
      <c r="E9" s="2">
        <f t="shared" si="0"/>
        <v>6.0856543586378174E-2</v>
      </c>
    </row>
    <row r="10" spans="1:7">
      <c r="A10" t="s">
        <v>20</v>
      </c>
      <c r="B10" s="1">
        <v>840</v>
      </c>
      <c r="C10">
        <v>215</v>
      </c>
      <c r="D10">
        <f t="shared" si="1"/>
        <v>180600</v>
      </c>
      <c r="E10" s="2">
        <f t="shared" si="0"/>
        <v>9.6830023097659992E-2</v>
      </c>
    </row>
    <row r="11" spans="1:7">
      <c r="A11" t="s">
        <v>6</v>
      </c>
      <c r="B11" s="1">
        <f>111+30</f>
        <v>141</v>
      </c>
      <c r="C11">
        <v>1496</v>
      </c>
      <c r="D11">
        <f t="shared" si="1"/>
        <v>210936</v>
      </c>
      <c r="E11" s="2">
        <f t="shared" si="0"/>
        <v>0.11309489342263571</v>
      </c>
    </row>
    <row r="12" spans="1:7">
      <c r="A12" t="s">
        <v>34</v>
      </c>
      <c r="B12" s="1">
        <v>900</v>
      </c>
      <c r="C12">
        <v>83</v>
      </c>
      <c r="D12">
        <f t="shared" si="1"/>
        <v>74700</v>
      </c>
      <c r="E12" s="2">
        <f t="shared" si="0"/>
        <v>4.0050956397537106E-2</v>
      </c>
    </row>
    <row r="13" spans="1:7">
      <c r="A13" t="s">
        <v>12</v>
      </c>
      <c r="B13" s="1">
        <v>372</v>
      </c>
      <c r="C13">
        <v>278</v>
      </c>
      <c r="D13">
        <f t="shared" si="1"/>
        <v>103416</v>
      </c>
      <c r="E13" s="2">
        <f t="shared" si="0"/>
        <v>5.5447251764493943E-2</v>
      </c>
    </row>
    <row r="14" spans="1:7">
      <c r="A14" t="s">
        <v>11</v>
      </c>
      <c r="B14" s="1">
        <f>1093+219</f>
        <v>1312</v>
      </c>
      <c r="C14">
        <v>142</v>
      </c>
      <c r="D14">
        <f t="shared" si="1"/>
        <v>186304</v>
      </c>
      <c r="E14" s="2">
        <f t="shared" si="0"/>
        <v>9.9888264801696824E-2</v>
      </c>
      <c r="G14" t="s">
        <v>46</v>
      </c>
    </row>
    <row r="15" spans="1:7">
      <c r="A15" t="s">
        <v>15</v>
      </c>
      <c r="B15" s="1">
        <v>368</v>
      </c>
      <c r="C15">
        <v>74</v>
      </c>
      <c r="D15">
        <f t="shared" si="1"/>
        <v>27232</v>
      </c>
      <c r="E15" s="2">
        <f t="shared" si="0"/>
        <v>1.4600637812821024E-2</v>
      </c>
    </row>
    <row r="16" spans="1:7">
      <c r="A16" t="s">
        <v>26</v>
      </c>
      <c r="B16" s="1">
        <v>365</v>
      </c>
      <c r="C16">
        <v>248</v>
      </c>
      <c r="D16">
        <f t="shared" si="1"/>
        <v>90520</v>
      </c>
      <c r="E16" s="2">
        <f t="shared" si="0"/>
        <v>4.8532966172758485E-2</v>
      </c>
    </row>
    <row r="17" spans="1:5">
      <c r="A17" t="s">
        <v>5</v>
      </c>
      <c r="B17" s="1">
        <f>646-98-296</f>
        <v>252</v>
      </c>
      <c r="C17">
        <v>520</v>
      </c>
      <c r="D17">
        <f t="shared" si="1"/>
        <v>131040</v>
      </c>
      <c r="E17" s="2">
        <f t="shared" si="0"/>
        <v>7.0258063270860274E-2</v>
      </c>
    </row>
    <row r="18" spans="1:5">
      <c r="A18" t="s">
        <v>13</v>
      </c>
      <c r="B18" s="1">
        <v>225</v>
      </c>
      <c r="C18">
        <v>253</v>
      </c>
      <c r="D18">
        <f t="shared" si="1"/>
        <v>56925</v>
      </c>
      <c r="E18" s="2">
        <f t="shared" si="0"/>
        <v>3.052075894149665E-2</v>
      </c>
    </row>
    <row r="19" spans="1:5">
      <c r="A19" t="s">
        <v>19</v>
      </c>
      <c r="B19" s="1">
        <f>102-39+86-61-86+58-60+32-32+148-38+52-35-85-32</f>
        <v>10</v>
      </c>
      <c r="C19">
        <v>1000</v>
      </c>
      <c r="D19">
        <f t="shared" si="1"/>
        <v>10000</v>
      </c>
      <c r="E19" s="2">
        <f t="shared" si="0"/>
        <v>5.36157381493134E-3</v>
      </c>
    </row>
    <row r="21" spans="1:5">
      <c r="D21">
        <f>SUM(D5:D19)</f>
        <v>1865124</v>
      </c>
      <c r="E21"/>
    </row>
  </sheetData>
  <pageMargins left="0.7" right="0.7" top="0.75" bottom="0.75" header="0.3" footer="0.3"/>
  <pageSetup orientation="portrait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22"/>
  <sheetViews>
    <sheetView workbookViewId="0">
      <selection activeCell="G12" sqref="G12"/>
    </sheetView>
  </sheetViews>
  <sheetFormatPr defaultRowHeight="15"/>
  <cols>
    <col min="1" max="1" width="14.5703125" bestFit="1" customWidth="1"/>
    <col min="2" max="2" width="16.85546875" style="1" bestFit="1" customWidth="1"/>
    <col min="5" max="5" width="11" style="2" bestFit="1" customWidth="1"/>
    <col min="6" max="6" width="11" bestFit="1" customWidth="1"/>
    <col min="7" max="7" width="25.5703125" bestFit="1" customWidth="1"/>
  </cols>
  <sheetData>
    <row r="1" spans="1:7">
      <c r="A1" t="s">
        <v>18</v>
      </c>
    </row>
    <row r="3" spans="1:7">
      <c r="A3" t="s">
        <v>0</v>
      </c>
      <c r="B3" s="1" t="s">
        <v>9</v>
      </c>
      <c r="C3" t="s">
        <v>1</v>
      </c>
      <c r="D3" t="s">
        <v>8</v>
      </c>
      <c r="E3" s="2" t="s">
        <v>2</v>
      </c>
      <c r="G3" t="s">
        <v>14</v>
      </c>
    </row>
    <row r="5" spans="1:7">
      <c r="A5" t="s">
        <v>7</v>
      </c>
      <c r="B5" s="1">
        <f>980-208</f>
        <v>772</v>
      </c>
      <c r="C5">
        <v>310</v>
      </c>
      <c r="D5">
        <f>C5*B5</f>
        <v>239320</v>
      </c>
      <c r="E5" s="2">
        <f t="shared" ref="E5:E20" si="0">D5/$D$22</f>
        <v>0.12640269918249164</v>
      </c>
      <c r="G5" t="s">
        <v>49</v>
      </c>
    </row>
    <row r="6" spans="1:7">
      <c r="A6" t="s">
        <v>3</v>
      </c>
      <c r="B6" s="1">
        <f>511+255</f>
        <v>766</v>
      </c>
      <c r="C6">
        <v>240</v>
      </c>
      <c r="D6">
        <f t="shared" ref="D6:D20" si="1">C6*B6</f>
        <v>183840</v>
      </c>
      <c r="E6" s="2">
        <f t="shared" si="0"/>
        <v>9.7099583059122793E-2</v>
      </c>
    </row>
    <row r="7" spans="1:7">
      <c r="A7" t="s">
        <v>29</v>
      </c>
      <c r="B7" s="1">
        <f>29+10</f>
        <v>39</v>
      </c>
      <c r="C7">
        <v>3845</v>
      </c>
      <c r="D7">
        <f t="shared" si="1"/>
        <v>149955</v>
      </c>
      <c r="E7" s="2">
        <f t="shared" si="0"/>
        <v>7.9202393263874876E-2</v>
      </c>
    </row>
    <row r="8" spans="1:7">
      <c r="A8" t="s">
        <v>21</v>
      </c>
      <c r="B8" s="1">
        <v>350</v>
      </c>
      <c r="C8">
        <v>150</v>
      </c>
      <c r="D8">
        <f t="shared" si="1"/>
        <v>52500</v>
      </c>
      <c r="E8" s="2">
        <f t="shared" si="0"/>
        <v>2.772915638927299E-2</v>
      </c>
    </row>
    <row r="9" spans="1:7">
      <c r="A9" t="s">
        <v>42</v>
      </c>
      <c r="B9" s="1">
        <v>1645</v>
      </c>
      <c r="C9">
        <v>78</v>
      </c>
      <c r="D9">
        <f t="shared" si="1"/>
        <v>128310</v>
      </c>
      <c r="E9" s="2">
        <f t="shared" si="0"/>
        <v>6.7770058215383192E-2</v>
      </c>
    </row>
    <row r="10" spans="1:7">
      <c r="A10" t="s">
        <v>20</v>
      </c>
      <c r="B10" s="1">
        <v>840</v>
      </c>
      <c r="C10">
        <v>215</v>
      </c>
      <c r="D10">
        <f t="shared" si="1"/>
        <v>180600</v>
      </c>
      <c r="E10" s="2">
        <f t="shared" si="0"/>
        <v>9.5388297979099076E-2</v>
      </c>
    </row>
    <row r="11" spans="1:7">
      <c r="A11" t="s">
        <v>47</v>
      </c>
      <c r="B11" s="1">
        <v>766</v>
      </c>
      <c r="C11">
        <v>94</v>
      </c>
      <c r="D11">
        <f t="shared" si="1"/>
        <v>72004</v>
      </c>
      <c r="E11" s="2">
        <f t="shared" si="0"/>
        <v>3.8030670031489758E-2</v>
      </c>
      <c r="G11" t="s">
        <v>50</v>
      </c>
    </row>
    <row r="12" spans="1:7">
      <c r="A12" t="s">
        <v>6</v>
      </c>
      <c r="B12" s="1">
        <f>111+30</f>
        <v>141</v>
      </c>
      <c r="C12">
        <v>1488</v>
      </c>
      <c r="D12">
        <f t="shared" si="1"/>
        <v>209808</v>
      </c>
      <c r="E12" s="2">
        <f t="shared" si="0"/>
        <v>0.11081521607086833</v>
      </c>
    </row>
    <row r="13" spans="1:7">
      <c r="A13" t="s">
        <v>34</v>
      </c>
      <c r="B13" s="1">
        <v>900</v>
      </c>
      <c r="C13">
        <v>84</v>
      </c>
      <c r="D13">
        <f t="shared" si="1"/>
        <v>75600</v>
      </c>
      <c r="E13" s="2">
        <f t="shared" si="0"/>
        <v>3.9929985200553103E-2</v>
      </c>
    </row>
    <row r="14" spans="1:7">
      <c r="A14" t="s">
        <v>12</v>
      </c>
      <c r="B14" s="1">
        <v>372</v>
      </c>
      <c r="C14">
        <v>275</v>
      </c>
      <c r="D14">
        <f t="shared" si="1"/>
        <v>102300</v>
      </c>
      <c r="E14" s="2">
        <f t="shared" si="0"/>
        <v>5.4032241878526226E-2</v>
      </c>
    </row>
    <row r="15" spans="1:7">
      <c r="A15" t="s">
        <v>11</v>
      </c>
      <c r="B15" s="1">
        <f>1093+219</f>
        <v>1312</v>
      </c>
      <c r="C15">
        <v>148</v>
      </c>
      <c r="D15">
        <f t="shared" si="1"/>
        <v>194176</v>
      </c>
      <c r="E15" s="2">
        <f t="shared" si="0"/>
        <v>0.10255879373416137</v>
      </c>
    </row>
    <row r="16" spans="1:7">
      <c r="A16" t="s">
        <v>15</v>
      </c>
      <c r="B16" s="1">
        <v>368</v>
      </c>
      <c r="C16">
        <v>74</v>
      </c>
      <c r="D16">
        <f t="shared" si="1"/>
        <v>27232</v>
      </c>
      <c r="E16" s="2">
        <f t="shared" si="0"/>
        <v>1.4383245462717752E-2</v>
      </c>
    </row>
    <row r="17" spans="1:7">
      <c r="A17" t="s">
        <v>26</v>
      </c>
      <c r="B17" s="1">
        <v>365</v>
      </c>
      <c r="C17">
        <v>245</v>
      </c>
      <c r="D17">
        <f t="shared" si="1"/>
        <v>89425</v>
      </c>
      <c r="E17" s="2">
        <f t="shared" si="0"/>
        <v>4.7231996383061657E-2</v>
      </c>
    </row>
    <row r="18" spans="1:7">
      <c r="A18" t="s">
        <v>5</v>
      </c>
      <c r="B18" s="1">
        <f>646-98-296</f>
        <v>252</v>
      </c>
      <c r="C18">
        <v>522</v>
      </c>
      <c r="D18">
        <f t="shared" si="1"/>
        <v>131544</v>
      </c>
      <c r="E18" s="2">
        <f t="shared" si="0"/>
        <v>6.9478174248962396E-2</v>
      </c>
    </row>
    <row r="19" spans="1:7">
      <c r="A19" t="s">
        <v>13</v>
      </c>
      <c r="B19" s="1">
        <v>225</v>
      </c>
      <c r="C19">
        <v>252</v>
      </c>
      <c r="D19">
        <f t="shared" si="1"/>
        <v>56700</v>
      </c>
      <c r="E19" s="2">
        <f t="shared" si="0"/>
        <v>2.9947488900414827E-2</v>
      </c>
    </row>
    <row r="20" spans="1:7">
      <c r="A20" t="s">
        <v>19</v>
      </c>
      <c r="B20" s="1">
        <f>102-39+86-61-86+58-60+32-32+148-38+52-35-85-32-10</f>
        <v>0</v>
      </c>
      <c r="C20">
        <v>1000</v>
      </c>
      <c r="D20">
        <f t="shared" si="1"/>
        <v>0</v>
      </c>
      <c r="E20" s="2">
        <f t="shared" si="0"/>
        <v>0</v>
      </c>
      <c r="G20" t="s">
        <v>48</v>
      </c>
    </row>
    <row r="22" spans="1:7">
      <c r="D22">
        <f>SUM(D5:D20)</f>
        <v>1893314</v>
      </c>
      <c r="E22"/>
    </row>
  </sheetData>
  <pageMargins left="0.7" right="0.7" top="0.75" bottom="0.75" header="0.3" footer="0.3"/>
  <pageSetup orientation="portrait" horizontalDpi="180" verticalDpi="180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22"/>
  <sheetViews>
    <sheetView workbookViewId="0">
      <selection activeCell="B22" sqref="B22"/>
    </sheetView>
  </sheetViews>
  <sheetFormatPr defaultRowHeight="15"/>
  <cols>
    <col min="1" max="1" width="14.5703125" bestFit="1" customWidth="1"/>
    <col min="2" max="2" width="16.85546875" style="1" bestFit="1" customWidth="1"/>
    <col min="5" max="5" width="11" style="2" bestFit="1" customWidth="1"/>
    <col min="6" max="6" width="11" bestFit="1" customWidth="1"/>
    <col min="7" max="7" width="25.5703125" bestFit="1" customWidth="1"/>
  </cols>
  <sheetData>
    <row r="1" spans="1:7">
      <c r="A1" t="s">
        <v>18</v>
      </c>
    </row>
    <row r="3" spans="1:7">
      <c r="A3" t="s">
        <v>0</v>
      </c>
      <c r="B3" s="1" t="s">
        <v>9</v>
      </c>
      <c r="C3" t="s">
        <v>1</v>
      </c>
      <c r="D3" t="s">
        <v>8</v>
      </c>
      <c r="E3" s="2" t="s">
        <v>2</v>
      </c>
      <c r="G3" t="s">
        <v>14</v>
      </c>
    </row>
    <row r="5" spans="1:7">
      <c r="A5" t="s">
        <v>7</v>
      </c>
      <c r="B5" s="1">
        <f>980-208</f>
        <v>772</v>
      </c>
      <c r="C5">
        <v>315</v>
      </c>
      <c r="D5">
        <f>C5*B5</f>
        <v>243180</v>
      </c>
      <c r="E5" s="2">
        <f t="shared" ref="E5:E20" si="0">D5/$D$22</f>
        <v>0.12837046370781494</v>
      </c>
    </row>
    <row r="6" spans="1:7">
      <c r="A6" t="s">
        <v>3</v>
      </c>
      <c r="B6" s="1">
        <f>511+255</f>
        <v>766</v>
      </c>
      <c r="C6">
        <v>240</v>
      </c>
      <c r="D6">
        <f t="shared" ref="D6:D20" si="1">C6*B6</f>
        <v>183840</v>
      </c>
      <c r="E6" s="2">
        <f t="shared" si="0"/>
        <v>9.7045916802552423E-2</v>
      </c>
    </row>
    <row r="7" spans="1:7">
      <c r="A7" t="s">
        <v>29</v>
      </c>
      <c r="B7" s="1">
        <f>29+10</f>
        <v>39</v>
      </c>
      <c r="C7">
        <v>3958</v>
      </c>
      <c r="D7">
        <f t="shared" si="1"/>
        <v>154362</v>
      </c>
      <c r="E7" s="2">
        <f t="shared" si="0"/>
        <v>8.1484996787835051E-2</v>
      </c>
    </row>
    <row r="8" spans="1:7">
      <c r="A8" t="s">
        <v>21</v>
      </c>
      <c r="B8" s="1">
        <v>350</v>
      </c>
      <c r="C8">
        <v>152</v>
      </c>
      <c r="D8">
        <f t="shared" si="1"/>
        <v>53200</v>
      </c>
      <c r="E8" s="2">
        <f t="shared" si="0"/>
        <v>2.8083348421974481E-2</v>
      </c>
    </row>
    <row r="9" spans="1:7">
      <c r="A9" t="s">
        <v>42</v>
      </c>
      <c r="B9" s="1">
        <v>1645</v>
      </c>
      <c r="C9">
        <v>79</v>
      </c>
      <c r="D9">
        <f t="shared" si="1"/>
        <v>129955</v>
      </c>
      <c r="E9" s="2">
        <f t="shared" si="0"/>
        <v>6.8600968875520557E-2</v>
      </c>
    </row>
    <row r="10" spans="1:7">
      <c r="A10" t="s">
        <v>20</v>
      </c>
      <c r="B10" s="1">
        <v>840</v>
      </c>
      <c r="C10">
        <v>201</v>
      </c>
      <c r="D10">
        <f t="shared" si="1"/>
        <v>168840</v>
      </c>
      <c r="E10" s="2">
        <f t="shared" si="0"/>
        <v>8.9127679465529533E-2</v>
      </c>
    </row>
    <row r="11" spans="1:7">
      <c r="A11" t="s">
        <v>47</v>
      </c>
      <c r="B11" s="1">
        <v>766</v>
      </c>
      <c r="C11">
        <v>98</v>
      </c>
      <c r="D11">
        <f t="shared" si="1"/>
        <v>75068</v>
      </c>
      <c r="E11" s="2">
        <f t="shared" si="0"/>
        <v>3.9627082694375572E-2</v>
      </c>
    </row>
    <row r="12" spans="1:7">
      <c r="A12" t="s">
        <v>6</v>
      </c>
      <c r="B12" s="1">
        <f>111+30</f>
        <v>141</v>
      </c>
      <c r="C12">
        <v>1500</v>
      </c>
      <c r="D12">
        <f t="shared" si="1"/>
        <v>211500</v>
      </c>
      <c r="E12" s="2">
        <f t="shared" si="0"/>
        <v>0.1116471464520226</v>
      </c>
    </row>
    <row r="13" spans="1:7">
      <c r="A13" t="s">
        <v>34</v>
      </c>
      <c r="B13" s="1">
        <v>900</v>
      </c>
      <c r="C13">
        <v>86</v>
      </c>
      <c r="D13">
        <f t="shared" si="1"/>
        <v>77400</v>
      </c>
      <c r="E13" s="2">
        <f t="shared" si="0"/>
        <v>4.0858104659038059E-2</v>
      </c>
    </row>
    <row r="14" spans="1:7">
      <c r="A14" t="s">
        <v>12</v>
      </c>
      <c r="B14" s="1">
        <v>372</v>
      </c>
      <c r="C14">
        <v>277</v>
      </c>
      <c r="D14">
        <f t="shared" si="1"/>
        <v>103044</v>
      </c>
      <c r="E14" s="2">
        <f t="shared" si="0"/>
        <v>5.4395123210412379E-2</v>
      </c>
    </row>
    <row r="15" spans="1:7">
      <c r="A15" t="s">
        <v>11</v>
      </c>
      <c r="B15" s="1">
        <f>1093+219</f>
        <v>1312</v>
      </c>
      <c r="C15">
        <v>146</v>
      </c>
      <c r="D15">
        <f t="shared" si="1"/>
        <v>191552</v>
      </c>
      <c r="E15" s="2">
        <f t="shared" si="0"/>
        <v>0.10111694655876045</v>
      </c>
    </row>
    <row r="16" spans="1:7">
      <c r="A16" t="s">
        <v>15</v>
      </c>
      <c r="B16" s="1">
        <v>368</v>
      </c>
      <c r="C16">
        <v>74</v>
      </c>
      <c r="D16">
        <f t="shared" si="1"/>
        <v>27232</v>
      </c>
      <c r="E16" s="2">
        <f t="shared" si="0"/>
        <v>1.4375295944120471E-2</v>
      </c>
    </row>
    <row r="17" spans="1:7">
      <c r="A17" t="s">
        <v>26</v>
      </c>
      <c r="B17" s="1">
        <v>365</v>
      </c>
      <c r="C17">
        <v>240</v>
      </c>
      <c r="D17">
        <f t="shared" si="1"/>
        <v>87600</v>
      </c>
      <c r="E17" s="2">
        <f t="shared" si="0"/>
        <v>4.6242506048213616E-2</v>
      </c>
    </row>
    <row r="18" spans="1:7">
      <c r="A18" t="s">
        <v>5</v>
      </c>
      <c r="B18" s="1">
        <f>646-98-296-71</f>
        <v>181</v>
      </c>
      <c r="C18">
        <v>523</v>
      </c>
      <c r="D18">
        <f t="shared" si="1"/>
        <v>94663</v>
      </c>
      <c r="E18" s="2">
        <f t="shared" si="0"/>
        <v>4.9970940068973124E-2</v>
      </c>
      <c r="G18" t="s">
        <v>51</v>
      </c>
    </row>
    <row r="19" spans="1:7">
      <c r="A19" t="s">
        <v>13</v>
      </c>
      <c r="B19" s="1">
        <v>225</v>
      </c>
      <c r="C19">
        <v>253</v>
      </c>
      <c r="D19">
        <f t="shared" si="1"/>
        <v>56925</v>
      </c>
      <c r="E19" s="2">
        <f t="shared" si="0"/>
        <v>3.0049710694001829E-2</v>
      </c>
    </row>
    <row r="20" spans="1:7">
      <c r="A20" t="s">
        <v>19</v>
      </c>
      <c r="B20" s="1">
        <v>36</v>
      </c>
      <c r="C20">
        <v>1000</v>
      </c>
      <c r="D20">
        <f t="shared" si="1"/>
        <v>36000</v>
      </c>
      <c r="E20" s="2">
        <f t="shared" si="0"/>
        <v>1.9003769608854911E-2</v>
      </c>
    </row>
    <row r="22" spans="1:7">
      <c r="D22">
        <f>SUM(D5:D20)</f>
        <v>1894361</v>
      </c>
      <c r="E22"/>
    </row>
  </sheetData>
  <pageMargins left="0.7" right="0.7" top="0.75" bottom="0.75" header="0.3" footer="0.3"/>
  <pageSetup orientation="portrait" horizontalDpi="180" verticalDpi="180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22"/>
  <sheetViews>
    <sheetView workbookViewId="0">
      <selection activeCell="C20" sqref="C20"/>
    </sheetView>
  </sheetViews>
  <sheetFormatPr defaultRowHeight="15"/>
  <cols>
    <col min="1" max="1" width="14.5703125" bestFit="1" customWidth="1"/>
    <col min="2" max="2" width="16.85546875" style="1" bestFit="1" customWidth="1"/>
    <col min="5" max="5" width="11" style="2" bestFit="1" customWidth="1"/>
    <col min="6" max="6" width="11" bestFit="1" customWidth="1"/>
    <col min="7" max="7" width="33" bestFit="1" customWidth="1"/>
  </cols>
  <sheetData>
    <row r="1" spans="1:8">
      <c r="A1" t="s">
        <v>18</v>
      </c>
    </row>
    <row r="3" spans="1:8">
      <c r="A3" t="s">
        <v>0</v>
      </c>
      <c r="B3" s="1" t="s">
        <v>9</v>
      </c>
      <c r="C3" t="s">
        <v>1</v>
      </c>
      <c r="D3" t="s">
        <v>8</v>
      </c>
      <c r="E3" s="2" t="s">
        <v>2</v>
      </c>
      <c r="G3" t="s">
        <v>14</v>
      </c>
    </row>
    <row r="5" spans="1:8">
      <c r="A5" t="s">
        <v>7</v>
      </c>
      <c r="B5" s="1">
        <f>980-208</f>
        <v>772</v>
      </c>
      <c r="C5">
        <v>311</v>
      </c>
      <c r="D5">
        <f>C5*B5</f>
        <v>240092</v>
      </c>
      <c r="E5" s="2">
        <f t="shared" ref="E5:E20" si="0">D5/$D$22</f>
        <v>0.12797535286341735</v>
      </c>
    </row>
    <row r="6" spans="1:8">
      <c r="A6" t="s">
        <v>3</v>
      </c>
      <c r="B6" s="1">
        <f>(511+255)*5</f>
        <v>3830</v>
      </c>
      <c r="C6">
        <v>48</v>
      </c>
      <c r="D6">
        <f t="shared" ref="D6:D20" si="1">C6*B6</f>
        <v>183840</v>
      </c>
      <c r="E6" s="2">
        <f t="shared" si="0"/>
        <v>9.7991556863246773E-2</v>
      </c>
    </row>
    <row r="7" spans="1:8">
      <c r="A7" t="s">
        <v>29</v>
      </c>
      <c r="B7" s="1">
        <f>29+10</f>
        <v>39</v>
      </c>
      <c r="C7">
        <v>3893</v>
      </c>
      <c r="D7">
        <f t="shared" si="1"/>
        <v>151827</v>
      </c>
      <c r="E7" s="2">
        <f t="shared" si="0"/>
        <v>8.0927785595496987E-2</v>
      </c>
    </row>
    <row r="8" spans="1:8">
      <c r="A8" t="s">
        <v>21</v>
      </c>
      <c r="B8" s="1">
        <v>350</v>
      </c>
      <c r="C8">
        <v>129</v>
      </c>
      <c r="D8">
        <f t="shared" si="1"/>
        <v>45150</v>
      </c>
      <c r="E8" s="2">
        <f t="shared" si="0"/>
        <v>2.4066137904566968E-2</v>
      </c>
    </row>
    <row r="9" spans="1:8">
      <c r="A9" t="s">
        <v>42</v>
      </c>
      <c r="B9" s="1">
        <v>1645</v>
      </c>
      <c r="C9">
        <v>80</v>
      </c>
      <c r="D9">
        <f t="shared" si="1"/>
        <v>131600</v>
      </c>
      <c r="E9" s="2">
        <f t="shared" si="0"/>
        <v>7.0146262419513022E-2</v>
      </c>
    </row>
    <row r="10" spans="1:8">
      <c r="A10" t="s">
        <v>20</v>
      </c>
      <c r="B10" s="1">
        <v>840</v>
      </c>
      <c r="C10">
        <v>180</v>
      </c>
      <c r="D10">
        <f t="shared" si="1"/>
        <v>151200</v>
      </c>
      <c r="E10" s="2">
        <f t="shared" si="0"/>
        <v>8.0593578099014962E-2</v>
      </c>
    </row>
    <row r="11" spans="1:8">
      <c r="A11" t="s">
        <v>47</v>
      </c>
      <c r="B11" s="1">
        <f>766+383</f>
        <v>1149</v>
      </c>
      <c r="C11">
        <v>96</v>
      </c>
      <c r="D11">
        <f t="shared" si="1"/>
        <v>110304</v>
      </c>
      <c r="E11" s="2">
        <f t="shared" si="0"/>
        <v>5.8794934117948061E-2</v>
      </c>
      <c r="G11" t="s">
        <v>53</v>
      </c>
      <c r="H11" t="s">
        <v>54</v>
      </c>
    </row>
    <row r="12" spans="1:8">
      <c r="A12" t="s">
        <v>6</v>
      </c>
      <c r="B12" s="1">
        <f>111+30</f>
        <v>141</v>
      </c>
      <c r="C12">
        <v>1598</v>
      </c>
      <c r="D12">
        <f t="shared" si="1"/>
        <v>225318</v>
      </c>
      <c r="E12" s="2">
        <f t="shared" si="0"/>
        <v>0.12010042215683767</v>
      </c>
    </row>
    <row r="13" spans="1:8">
      <c r="A13" t="s">
        <v>34</v>
      </c>
      <c r="B13" s="1">
        <v>900</v>
      </c>
      <c r="C13">
        <v>82</v>
      </c>
      <c r="D13">
        <f t="shared" si="1"/>
        <v>73800</v>
      </c>
      <c r="E13" s="2">
        <f t="shared" si="0"/>
        <v>3.9337341691185877E-2</v>
      </c>
    </row>
    <row r="14" spans="1:8">
      <c r="A14" t="s">
        <v>12</v>
      </c>
      <c r="B14" s="1">
        <v>372</v>
      </c>
      <c r="C14">
        <v>278</v>
      </c>
      <c r="D14">
        <f t="shared" si="1"/>
        <v>103416</v>
      </c>
      <c r="E14" s="2">
        <f t="shared" si="0"/>
        <v>5.5123448893437378E-2</v>
      </c>
    </row>
    <row r="15" spans="1:8">
      <c r="A15" t="s">
        <v>11</v>
      </c>
      <c r="B15" s="1">
        <f>1093+219</f>
        <v>1312</v>
      </c>
      <c r="C15">
        <v>147</v>
      </c>
      <c r="D15">
        <f t="shared" si="1"/>
        <v>192864</v>
      </c>
      <c r="E15" s="2">
        <f t="shared" si="0"/>
        <v>0.1028015862862991</v>
      </c>
    </row>
    <row r="16" spans="1:8">
      <c r="A16" t="s">
        <v>15</v>
      </c>
      <c r="B16" s="1">
        <v>368</v>
      </c>
      <c r="C16">
        <v>75</v>
      </c>
      <c r="D16">
        <f t="shared" si="1"/>
        <v>27600</v>
      </c>
      <c r="E16" s="2">
        <f t="shared" si="0"/>
        <v>1.4711526160931304E-2</v>
      </c>
    </row>
    <row r="17" spans="1:7">
      <c r="A17" t="s">
        <v>26</v>
      </c>
      <c r="B17" s="1">
        <v>365</v>
      </c>
      <c r="C17">
        <v>259</v>
      </c>
      <c r="D17">
        <f t="shared" si="1"/>
        <v>94535</v>
      </c>
      <c r="E17" s="2">
        <f t="shared" si="0"/>
        <v>5.038964223274061E-2</v>
      </c>
    </row>
    <row r="18" spans="1:7">
      <c r="A18" t="s">
        <v>5</v>
      </c>
      <c r="B18" s="1">
        <f>646-98-296-71-8</f>
        <v>173</v>
      </c>
      <c r="C18">
        <v>483</v>
      </c>
      <c r="D18">
        <f t="shared" si="1"/>
        <v>83559</v>
      </c>
      <c r="E18" s="2">
        <f t="shared" si="0"/>
        <v>4.4539145452219521E-2</v>
      </c>
      <c r="G18" t="s">
        <v>56</v>
      </c>
    </row>
    <row r="19" spans="1:7">
      <c r="A19" t="s">
        <v>13</v>
      </c>
      <c r="B19" s="1">
        <v>225</v>
      </c>
      <c r="C19">
        <v>271</v>
      </c>
      <c r="D19">
        <f t="shared" si="1"/>
        <v>60975</v>
      </c>
      <c r="E19" s="2">
        <f t="shared" si="0"/>
        <v>3.2501279263144431E-2</v>
      </c>
    </row>
    <row r="20" spans="1:7">
      <c r="A20" t="s">
        <v>19</v>
      </c>
      <c r="B20" s="1">
        <f>36-36</f>
        <v>0</v>
      </c>
      <c r="C20">
        <v>1000</v>
      </c>
      <c r="D20">
        <f t="shared" si="1"/>
        <v>0</v>
      </c>
      <c r="E20" s="2">
        <f t="shared" si="0"/>
        <v>0</v>
      </c>
      <c r="G20" t="s">
        <v>55</v>
      </c>
    </row>
    <row r="22" spans="1:7">
      <c r="D22">
        <f>SUM(D5:D20)</f>
        <v>1876080</v>
      </c>
      <c r="E22"/>
    </row>
  </sheetData>
  <pageMargins left="0.7" right="0.7" top="0.75" bottom="0.75" header="0.3" footer="0.3"/>
  <pageSetup orientation="portrait" horizontalDpi="180" verticalDpi="180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23"/>
  <sheetViews>
    <sheetView workbookViewId="0">
      <selection activeCell="G22" sqref="G22"/>
    </sheetView>
  </sheetViews>
  <sheetFormatPr defaultRowHeight="15"/>
  <cols>
    <col min="1" max="1" width="14.5703125" bestFit="1" customWidth="1"/>
    <col min="2" max="2" width="16.85546875" style="1" bestFit="1" customWidth="1"/>
    <col min="5" max="5" width="11" style="2" bestFit="1" customWidth="1"/>
    <col min="6" max="6" width="11" bestFit="1" customWidth="1"/>
    <col min="7" max="7" width="33" bestFit="1" customWidth="1"/>
  </cols>
  <sheetData>
    <row r="1" spans="1:7">
      <c r="A1" t="s">
        <v>18</v>
      </c>
    </row>
    <row r="3" spans="1:7">
      <c r="A3" t="s">
        <v>0</v>
      </c>
      <c r="B3" s="1" t="s">
        <v>9</v>
      </c>
      <c r="C3" t="s">
        <v>1</v>
      </c>
      <c r="D3" t="s">
        <v>8</v>
      </c>
      <c r="E3" s="2" t="s">
        <v>2</v>
      </c>
      <c r="G3" t="s">
        <v>14</v>
      </c>
    </row>
    <row r="5" spans="1:7">
      <c r="A5" t="s">
        <v>7</v>
      </c>
      <c r="B5" s="1">
        <f>980-208</f>
        <v>772</v>
      </c>
      <c r="C5">
        <v>321</v>
      </c>
      <c r="D5">
        <f>C5*B5</f>
        <v>247812</v>
      </c>
      <c r="E5" s="2">
        <f t="shared" ref="E5:E21" si="0">D5/$D$23</f>
        <v>0.12489302961303179</v>
      </c>
    </row>
    <row r="6" spans="1:7">
      <c r="A6" t="s">
        <v>3</v>
      </c>
      <c r="B6" s="1">
        <f>(511+255)*5</f>
        <v>3830</v>
      </c>
      <c r="C6">
        <v>59</v>
      </c>
      <c r="D6">
        <f t="shared" ref="D6:D21" si="1">C6*B6</f>
        <v>225970</v>
      </c>
      <c r="E6" s="2">
        <f t="shared" si="0"/>
        <v>0.11388503341911124</v>
      </c>
    </row>
    <row r="7" spans="1:7">
      <c r="A7" t="s">
        <v>29</v>
      </c>
      <c r="B7" s="1">
        <f>29+10</f>
        <v>39</v>
      </c>
      <c r="C7">
        <v>4325</v>
      </c>
      <c r="D7">
        <f t="shared" si="1"/>
        <v>168675</v>
      </c>
      <c r="E7" s="2">
        <f t="shared" si="0"/>
        <v>8.5009328724912986E-2</v>
      </c>
    </row>
    <row r="8" spans="1:7">
      <c r="A8" t="s">
        <v>21</v>
      </c>
      <c r="B8" s="1">
        <v>350</v>
      </c>
      <c r="C8">
        <v>132</v>
      </c>
      <c r="D8">
        <f t="shared" si="1"/>
        <v>46200</v>
      </c>
      <c r="E8" s="2">
        <f t="shared" si="0"/>
        <v>2.3284013559158025E-2</v>
      </c>
    </row>
    <row r="9" spans="1:7">
      <c r="A9" t="s">
        <v>42</v>
      </c>
      <c r="B9" s="1">
        <v>1645</v>
      </c>
      <c r="C9">
        <v>78</v>
      </c>
      <c r="D9">
        <f t="shared" si="1"/>
        <v>128310</v>
      </c>
      <c r="E9" s="2">
        <f t="shared" si="0"/>
        <v>6.4666055839297978E-2</v>
      </c>
    </row>
    <row r="10" spans="1:7">
      <c r="A10" t="s">
        <v>20</v>
      </c>
      <c r="B10" s="1">
        <v>840</v>
      </c>
      <c r="C10">
        <v>183</v>
      </c>
      <c r="D10">
        <f t="shared" si="1"/>
        <v>153720</v>
      </c>
      <c r="E10" s="2">
        <f t="shared" si="0"/>
        <v>7.747226329683489E-2</v>
      </c>
    </row>
    <row r="11" spans="1:7">
      <c r="A11" t="s">
        <v>47</v>
      </c>
      <c r="B11" s="1">
        <f>766+383</f>
        <v>1149</v>
      </c>
      <c r="C11">
        <v>114</v>
      </c>
      <c r="D11">
        <f t="shared" si="1"/>
        <v>130986</v>
      </c>
      <c r="E11" s="2">
        <f t="shared" si="0"/>
        <v>6.6014714287010237E-2</v>
      </c>
    </row>
    <row r="12" spans="1:7">
      <c r="A12" t="s">
        <v>6</v>
      </c>
      <c r="B12" s="1">
        <f>111+30</f>
        <v>141</v>
      </c>
      <c r="C12">
        <v>1569</v>
      </c>
      <c r="D12">
        <f t="shared" si="1"/>
        <v>221229</v>
      </c>
      <c r="E12" s="2">
        <f t="shared" si="0"/>
        <v>0.11149565012292145</v>
      </c>
    </row>
    <row r="13" spans="1:7">
      <c r="A13" t="s">
        <v>57</v>
      </c>
      <c r="B13" s="1">
        <v>170</v>
      </c>
      <c r="C13">
        <v>466</v>
      </c>
      <c r="D13">
        <f t="shared" si="1"/>
        <v>79220</v>
      </c>
      <c r="G13" t="s">
        <v>58</v>
      </c>
    </row>
    <row r="14" spans="1:7">
      <c r="A14" t="s">
        <v>34</v>
      </c>
      <c r="B14" s="1">
        <v>900</v>
      </c>
      <c r="C14">
        <v>82</v>
      </c>
      <c r="D14">
        <f t="shared" si="1"/>
        <v>73800</v>
      </c>
      <c r="E14" s="2">
        <f t="shared" si="0"/>
        <v>3.7193943737356329E-2</v>
      </c>
    </row>
    <row r="15" spans="1:7">
      <c r="A15" t="s">
        <v>12</v>
      </c>
      <c r="B15" s="1">
        <v>372</v>
      </c>
      <c r="C15">
        <v>323</v>
      </c>
      <c r="D15">
        <f t="shared" si="1"/>
        <v>120156</v>
      </c>
      <c r="E15" s="2">
        <f t="shared" si="0"/>
        <v>6.0556578640999822E-2</v>
      </c>
    </row>
    <row r="16" spans="1:7">
      <c r="A16" t="s">
        <v>11</v>
      </c>
      <c r="B16" s="1">
        <f>1093+219</f>
        <v>1312</v>
      </c>
      <c r="C16">
        <v>150</v>
      </c>
      <c r="D16">
        <f t="shared" si="1"/>
        <v>196800</v>
      </c>
      <c r="E16" s="2">
        <f t="shared" si="0"/>
        <v>9.9183849966283544E-2</v>
      </c>
    </row>
    <row r="17" spans="1:7">
      <c r="A17" t="s">
        <v>15</v>
      </c>
      <c r="B17" s="1">
        <v>368</v>
      </c>
      <c r="C17">
        <v>67</v>
      </c>
      <c r="D17">
        <f t="shared" si="1"/>
        <v>24656</v>
      </c>
      <c r="E17" s="2">
        <f t="shared" si="0"/>
        <v>1.2426204292523816E-2</v>
      </c>
    </row>
    <row r="18" spans="1:7">
      <c r="A18" t="s">
        <v>26</v>
      </c>
      <c r="B18" s="1">
        <v>365</v>
      </c>
      <c r="C18">
        <v>244</v>
      </c>
      <c r="D18">
        <f t="shared" si="1"/>
        <v>89060</v>
      </c>
      <c r="E18" s="2">
        <f t="shared" si="0"/>
        <v>4.4884723973563072E-2</v>
      </c>
    </row>
    <row r="19" spans="1:7">
      <c r="A19" t="s">
        <v>5</v>
      </c>
      <c r="B19" s="1">
        <f>646-98-296-71-8-173</f>
        <v>0</v>
      </c>
      <c r="C19">
        <v>475</v>
      </c>
      <c r="D19">
        <f t="shared" si="1"/>
        <v>0</v>
      </c>
      <c r="E19" s="2">
        <f t="shared" si="0"/>
        <v>0</v>
      </c>
      <c r="G19" t="s">
        <v>59</v>
      </c>
    </row>
    <row r="20" spans="1:7">
      <c r="A20" t="s">
        <v>13</v>
      </c>
      <c r="B20" s="1">
        <v>225</v>
      </c>
      <c r="C20">
        <v>336</v>
      </c>
      <c r="D20">
        <f t="shared" si="1"/>
        <v>75600</v>
      </c>
      <c r="E20" s="2">
        <f t="shared" si="0"/>
        <v>3.8101113096804043E-2</v>
      </c>
    </row>
    <row r="21" spans="1:7">
      <c r="A21" t="s">
        <v>19</v>
      </c>
      <c r="B21" s="1">
        <v>2</v>
      </c>
      <c r="C21">
        <v>1000</v>
      </c>
      <c r="D21">
        <f t="shared" si="1"/>
        <v>2000</v>
      </c>
      <c r="E21" s="2">
        <f t="shared" si="0"/>
        <v>1.0079659549419059E-3</v>
      </c>
      <c r="G21" t="s">
        <v>60</v>
      </c>
    </row>
    <row r="23" spans="1:7">
      <c r="D23">
        <f>SUM(D5:D21)</f>
        <v>1984194</v>
      </c>
      <c r="E23"/>
    </row>
  </sheetData>
  <pageMargins left="0.7" right="0.7" top="0.75" bottom="0.75" header="0.3" footer="0.3"/>
  <pageSetup orientation="portrait" horizontalDpi="180" verticalDpi="180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23"/>
  <sheetViews>
    <sheetView workbookViewId="0">
      <selection activeCell="B6" sqref="B6"/>
    </sheetView>
  </sheetViews>
  <sheetFormatPr defaultRowHeight="15"/>
  <cols>
    <col min="1" max="1" width="14.5703125" bestFit="1" customWidth="1"/>
    <col min="2" max="2" width="16.85546875" style="1" bestFit="1" customWidth="1"/>
    <col min="5" max="5" width="11" style="2" bestFit="1" customWidth="1"/>
    <col min="6" max="6" width="11" bestFit="1" customWidth="1"/>
    <col min="7" max="7" width="33" bestFit="1" customWidth="1"/>
  </cols>
  <sheetData>
    <row r="1" spans="1:7">
      <c r="A1" t="s">
        <v>18</v>
      </c>
    </row>
    <row r="3" spans="1:7">
      <c r="A3" t="s">
        <v>0</v>
      </c>
      <c r="B3" s="1" t="s">
        <v>9</v>
      </c>
      <c r="C3" t="s">
        <v>1</v>
      </c>
      <c r="D3" t="s">
        <v>8</v>
      </c>
      <c r="E3" s="2" t="s">
        <v>2</v>
      </c>
      <c r="G3" t="s">
        <v>14</v>
      </c>
    </row>
    <row r="5" spans="1:7">
      <c r="A5" t="s">
        <v>7</v>
      </c>
      <c r="B5" s="1">
        <f>980-208</f>
        <v>772</v>
      </c>
      <c r="C5">
        <v>345</v>
      </c>
      <c r="D5">
        <f>C5*B5</f>
        <v>266340</v>
      </c>
      <c r="E5" s="2">
        <f t="shared" ref="E5:E21" si="0">D5/$D$23</f>
        <v>0.12986341765955248</v>
      </c>
    </row>
    <row r="6" spans="1:7">
      <c r="A6" t="s">
        <v>3</v>
      </c>
      <c r="B6" s="1">
        <f>(511+255)*5</f>
        <v>3830</v>
      </c>
      <c r="C6">
        <v>60</v>
      </c>
      <c r="D6">
        <f t="shared" ref="D6:D21" si="1">C6*B6</f>
        <v>229800</v>
      </c>
      <c r="E6" s="2">
        <f t="shared" si="0"/>
        <v>0.11204705781394142</v>
      </c>
    </row>
    <row r="7" spans="1:7">
      <c r="A7" t="s">
        <v>61</v>
      </c>
      <c r="B7" s="1">
        <v>473</v>
      </c>
      <c r="C7">
        <v>128</v>
      </c>
      <c r="D7">
        <f t="shared" si="1"/>
        <v>60544</v>
      </c>
      <c r="E7" s="2">
        <f t="shared" si="0"/>
        <v>2.9520352777577325E-2</v>
      </c>
      <c r="G7" t="s">
        <v>62</v>
      </c>
    </row>
    <row r="8" spans="1:7">
      <c r="A8" t="s">
        <v>29</v>
      </c>
      <c r="B8" s="1">
        <f>29+10</f>
        <v>39</v>
      </c>
      <c r="C8">
        <v>4829</v>
      </c>
      <c r="D8">
        <f t="shared" si="1"/>
        <v>188331</v>
      </c>
      <c r="E8" s="2">
        <f t="shared" si="0"/>
        <v>9.1827390971094006E-2</v>
      </c>
    </row>
    <row r="9" spans="1:7">
      <c r="A9" t="s">
        <v>21</v>
      </c>
      <c r="B9" s="1">
        <v>350</v>
      </c>
      <c r="C9">
        <v>145</v>
      </c>
      <c r="D9">
        <f t="shared" si="1"/>
        <v>50750</v>
      </c>
      <c r="E9" s="2">
        <f t="shared" si="0"/>
        <v>2.4744944230015348E-2</v>
      </c>
    </row>
    <row r="10" spans="1:7">
      <c r="A10" t="s">
        <v>42</v>
      </c>
      <c r="B10" s="1">
        <v>1645</v>
      </c>
      <c r="C10">
        <v>79</v>
      </c>
      <c r="D10">
        <f t="shared" si="1"/>
        <v>129955</v>
      </c>
      <c r="E10" s="2">
        <f t="shared" si="0"/>
        <v>6.3364122707618611E-2</v>
      </c>
    </row>
    <row r="11" spans="1:7">
      <c r="A11" t="s">
        <v>20</v>
      </c>
      <c r="B11" s="1">
        <v>840</v>
      </c>
      <c r="C11">
        <v>178</v>
      </c>
      <c r="D11">
        <f t="shared" si="1"/>
        <v>149520</v>
      </c>
      <c r="E11" s="2">
        <f t="shared" si="0"/>
        <v>7.2903725345259018E-2</v>
      </c>
    </row>
    <row r="12" spans="1:7">
      <c r="A12" t="s">
        <v>47</v>
      </c>
      <c r="B12" s="1">
        <f>766+383</f>
        <v>1149</v>
      </c>
      <c r="C12">
        <v>113</v>
      </c>
      <c r="D12">
        <f t="shared" si="1"/>
        <v>129837</v>
      </c>
      <c r="E12" s="2">
        <f t="shared" si="0"/>
        <v>6.3306587664876901E-2</v>
      </c>
    </row>
    <row r="13" spans="1:7">
      <c r="A13" t="s">
        <v>6</v>
      </c>
      <c r="B13" s="1">
        <f>111+30</f>
        <v>141</v>
      </c>
      <c r="C13">
        <v>1560</v>
      </c>
      <c r="D13">
        <f t="shared" si="1"/>
        <v>219960</v>
      </c>
      <c r="E13" s="2">
        <f t="shared" si="0"/>
        <v>0.10724922035141234</v>
      </c>
    </row>
    <row r="14" spans="1:7">
      <c r="A14" t="s">
        <v>57</v>
      </c>
      <c r="B14" s="1">
        <f>170-45</f>
        <v>125</v>
      </c>
      <c r="C14">
        <v>451</v>
      </c>
      <c r="D14">
        <f t="shared" si="1"/>
        <v>56375</v>
      </c>
      <c r="E14" s="2">
        <f t="shared" si="0"/>
        <v>2.7487610462406213E-2</v>
      </c>
      <c r="G14" t="s">
        <v>63</v>
      </c>
    </row>
    <row r="15" spans="1:7">
      <c r="A15" t="s">
        <v>34</v>
      </c>
      <c r="B15" s="1">
        <f>900-250</f>
        <v>650</v>
      </c>
      <c r="C15">
        <v>79</v>
      </c>
      <c r="D15">
        <f t="shared" si="1"/>
        <v>51350</v>
      </c>
      <c r="E15" s="2">
        <f t="shared" si="0"/>
        <v>2.5037495294803709E-2</v>
      </c>
      <c r="G15" t="s">
        <v>65</v>
      </c>
    </row>
    <row r="16" spans="1:7">
      <c r="A16" t="s">
        <v>12</v>
      </c>
      <c r="B16" s="1">
        <f>372-59</f>
        <v>313</v>
      </c>
      <c r="C16">
        <v>333</v>
      </c>
      <c r="D16">
        <f t="shared" si="1"/>
        <v>104229</v>
      </c>
      <c r="E16" s="2">
        <f t="shared" si="0"/>
        <v>5.0820508219709751E-2</v>
      </c>
      <c r="G16" t="s">
        <v>66</v>
      </c>
    </row>
    <row r="17" spans="1:7">
      <c r="A17" t="s">
        <v>11</v>
      </c>
      <c r="B17" s="1">
        <f>1093+219</f>
        <v>1312</v>
      </c>
      <c r="C17">
        <v>169</v>
      </c>
      <c r="D17">
        <f t="shared" si="1"/>
        <v>221728</v>
      </c>
      <c r="E17" s="2">
        <f t="shared" si="0"/>
        <v>0.10811127082232204</v>
      </c>
    </row>
    <row r="18" spans="1:7">
      <c r="A18" t="s">
        <v>15</v>
      </c>
      <c r="B18" s="1">
        <v>368</v>
      </c>
      <c r="C18">
        <v>65</v>
      </c>
      <c r="D18">
        <f t="shared" si="1"/>
        <v>23920</v>
      </c>
      <c r="E18" s="2">
        <f t="shared" si="0"/>
        <v>1.1663035782895905E-2</v>
      </c>
    </row>
    <row r="19" spans="1:7">
      <c r="A19" t="s">
        <v>26</v>
      </c>
      <c r="B19" s="1">
        <v>365</v>
      </c>
      <c r="C19">
        <v>254</v>
      </c>
      <c r="D19">
        <f t="shared" si="1"/>
        <v>92710</v>
      </c>
      <c r="E19" s="2">
        <f t="shared" si="0"/>
        <v>4.5204015360881242E-2</v>
      </c>
    </row>
    <row r="20" spans="1:7">
      <c r="A20" t="s">
        <v>13</v>
      </c>
      <c r="B20" s="1">
        <v>225</v>
      </c>
      <c r="C20">
        <v>327</v>
      </c>
      <c r="D20">
        <f t="shared" si="1"/>
        <v>73575</v>
      </c>
      <c r="E20" s="2">
        <f t="shared" si="0"/>
        <v>3.5874074319672496E-2</v>
      </c>
    </row>
    <row r="21" spans="1:7">
      <c r="A21" t="s">
        <v>19</v>
      </c>
      <c r="B21" s="1">
        <v>2</v>
      </c>
      <c r="C21">
        <v>1000</v>
      </c>
      <c r="D21">
        <f t="shared" si="1"/>
        <v>2000</v>
      </c>
      <c r="E21" s="2">
        <f t="shared" si="0"/>
        <v>9.75170215961196E-4</v>
      </c>
      <c r="G21" t="s">
        <v>64</v>
      </c>
    </row>
    <row r="23" spans="1:7">
      <c r="D23">
        <f>SUM(D5:D21)</f>
        <v>2050924</v>
      </c>
      <c r="E23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Model</vt:lpstr>
      <vt:lpstr>1Jan13</vt:lpstr>
      <vt:lpstr>31Jan13</vt:lpstr>
      <vt:lpstr>12Feb13</vt:lpstr>
      <vt:lpstr>20Feb13</vt:lpstr>
      <vt:lpstr>01Apr13</vt:lpstr>
      <vt:lpstr>30Apr13</vt:lpstr>
      <vt:lpstr>02May13</vt:lpstr>
      <vt:lpstr>06May13</vt:lpstr>
      <vt:lpstr>11May13</vt:lpstr>
      <vt:lpstr>16May13</vt:lpstr>
      <vt:lpstr>24May13</vt:lpstr>
      <vt:lpstr>27May13</vt:lpstr>
      <vt:lpstr>08Aug13</vt:lpstr>
      <vt:lpstr>05Sept13</vt:lpstr>
      <vt:lpstr>18Oct13</vt:lpstr>
      <vt:lpstr>22Oct13</vt:lpstr>
      <vt:lpstr>23Oct13</vt:lpstr>
      <vt:lpstr>31Oct13</vt:lpstr>
      <vt:lpstr>27Nov13</vt:lpstr>
      <vt:lpstr>09Dec13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2011-12-31T05:17:18Z</dcterms:created>
  <dcterms:modified xsi:type="dcterms:W3CDTF">2013-12-10T06:34:32Z</dcterms:modified>
</cp:coreProperties>
</file>