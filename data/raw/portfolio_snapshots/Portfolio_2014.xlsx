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3b54154a9f56a2/Samir/Research/Portfolio/"/>
    </mc:Choice>
  </mc:AlternateContent>
  <xr:revisionPtr revIDLastSave="0" documentId="11_651D3A8CBD61218B2920876713A34DB933DAE5E9" xr6:coauthVersionLast="47" xr6:coauthVersionMax="47" xr10:uidLastSave="{00000000-0000-0000-0000-000000000000}"/>
  <bookViews>
    <workbookView xWindow="-108" yWindow="-108" windowWidth="23256" windowHeight="12456" tabRatio="873" firstSheet="3" activeTab="16" xr2:uid="{00000000-000D-0000-FFFF-FFFF00000000}"/>
  </bookViews>
  <sheets>
    <sheet name="Model" sheetId="3" r:id="rId1"/>
    <sheet name="01Jan14" sheetId="45" r:id="rId2"/>
    <sheet name="24Jan14" sheetId="44" r:id="rId3"/>
    <sheet name="17Feb14" sheetId="46" r:id="rId4"/>
    <sheet name="26Feb14" sheetId="47" r:id="rId5"/>
    <sheet name="28Feb14" sheetId="48" r:id="rId6"/>
    <sheet name="14Mar14" sheetId="49" r:id="rId7"/>
    <sheet name="18Mar14" sheetId="50" r:id="rId8"/>
    <sheet name="23Apr14" sheetId="51" r:id="rId9"/>
    <sheet name="15Jul14" sheetId="52" r:id="rId10"/>
    <sheet name="22Jul14" sheetId="53" r:id="rId11"/>
    <sheet name="05Aug14" sheetId="54" r:id="rId12"/>
    <sheet name="06Aug14" sheetId="55" r:id="rId13"/>
    <sheet name="16Oct14" sheetId="56" r:id="rId14"/>
    <sheet name="17Oct14" sheetId="57" r:id="rId15"/>
    <sheet name="12Nov14" sheetId="58" r:id="rId16"/>
    <sheet name="18Nov14" sheetId="59" r:id="rId17"/>
    <sheet name="09Dec14" sheetId="60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60" l="1"/>
  <c r="D22" i="60" s="1"/>
  <c r="B13" i="60"/>
  <c r="D13" i="60" s="1"/>
  <c r="B21" i="60"/>
  <c r="D21" i="60" s="1"/>
  <c r="D20" i="60"/>
  <c r="B20" i="60"/>
  <c r="D19" i="60"/>
  <c r="D18" i="60"/>
  <c r="D17" i="60"/>
  <c r="B16" i="60"/>
  <c r="D16" i="60" s="1"/>
  <c r="B15" i="60"/>
  <c r="D15" i="60" s="1"/>
  <c r="D14" i="60"/>
  <c r="B12" i="60"/>
  <c r="D12" i="60" s="1"/>
  <c r="D11" i="60"/>
  <c r="D10" i="60"/>
  <c r="D9" i="60"/>
  <c r="B8" i="60"/>
  <c r="D8" i="60" s="1"/>
  <c r="D7" i="60"/>
  <c r="D6" i="60"/>
  <c r="B6" i="60"/>
  <c r="B5" i="60"/>
  <c r="D5" i="60" s="1"/>
  <c r="B20" i="59"/>
  <c r="D20" i="59" s="1"/>
  <c r="B22" i="59"/>
  <c r="D22" i="59" s="1"/>
  <c r="D14" i="59"/>
  <c r="B21" i="59"/>
  <c r="D21" i="59" s="1"/>
  <c r="D19" i="59"/>
  <c r="D18" i="59"/>
  <c r="D17" i="59"/>
  <c r="B16" i="59"/>
  <c r="D16" i="59" s="1"/>
  <c r="B15" i="59"/>
  <c r="D15" i="59" s="1"/>
  <c r="B13" i="59"/>
  <c r="D13" i="59" s="1"/>
  <c r="B12" i="59"/>
  <c r="D12" i="59" s="1"/>
  <c r="D11" i="59"/>
  <c r="D10" i="59"/>
  <c r="D9" i="59"/>
  <c r="B8" i="59"/>
  <c r="D8" i="59" s="1"/>
  <c r="D7" i="59"/>
  <c r="B6" i="59"/>
  <c r="D6" i="59" s="1"/>
  <c r="B5" i="59"/>
  <c r="D5" i="59" s="1"/>
  <c r="B21" i="58"/>
  <c r="D21" i="58" s="1"/>
  <c r="B15" i="58"/>
  <c r="D15" i="58" s="1"/>
  <c r="B20" i="58"/>
  <c r="D20" i="58" s="1"/>
  <c r="D19" i="58"/>
  <c r="D18" i="58"/>
  <c r="D17" i="58"/>
  <c r="D16" i="58"/>
  <c r="B14" i="58"/>
  <c r="D14" i="58" s="1"/>
  <c r="B13" i="58"/>
  <c r="D13" i="58" s="1"/>
  <c r="D12" i="58"/>
  <c r="B12" i="58"/>
  <c r="D11" i="58"/>
  <c r="D10" i="58"/>
  <c r="D9" i="58"/>
  <c r="B8" i="58"/>
  <c r="D8" i="58" s="1"/>
  <c r="D7" i="58"/>
  <c r="B6" i="58"/>
  <c r="D6" i="58" s="1"/>
  <c r="B5" i="58"/>
  <c r="D5" i="58" s="1"/>
  <c r="B14" i="57"/>
  <c r="B21" i="57"/>
  <c r="D21" i="57" s="1"/>
  <c r="B20" i="57"/>
  <c r="D20" i="57" s="1"/>
  <c r="D19" i="57"/>
  <c r="D18" i="57"/>
  <c r="D17" i="57"/>
  <c r="D16" i="57"/>
  <c r="D15" i="57"/>
  <c r="D14" i="57"/>
  <c r="B13" i="57"/>
  <c r="D13" i="57" s="1"/>
  <c r="D12" i="57"/>
  <c r="B12" i="57"/>
  <c r="D11" i="57"/>
  <c r="D10" i="57"/>
  <c r="D9" i="57"/>
  <c r="B8" i="57"/>
  <c r="D8" i="57" s="1"/>
  <c r="D7" i="57"/>
  <c r="B6" i="57"/>
  <c r="D6" i="57" s="1"/>
  <c r="B5" i="57"/>
  <c r="D5" i="57" s="1"/>
  <c r="B21" i="56"/>
  <c r="D21" i="56"/>
  <c r="B20" i="56"/>
  <c r="D20" i="56" s="1"/>
  <c r="D19" i="56"/>
  <c r="D18" i="56"/>
  <c r="D17" i="56"/>
  <c r="D16" i="56"/>
  <c r="D15" i="56"/>
  <c r="B14" i="56"/>
  <c r="D14" i="56" s="1"/>
  <c r="B13" i="56"/>
  <c r="D13" i="56" s="1"/>
  <c r="B12" i="56"/>
  <c r="D12" i="56" s="1"/>
  <c r="D11" i="56"/>
  <c r="D10" i="56"/>
  <c r="D9" i="56"/>
  <c r="B8" i="56"/>
  <c r="D8" i="56" s="1"/>
  <c r="D7" i="56"/>
  <c r="B6" i="56"/>
  <c r="D6" i="56" s="1"/>
  <c r="B5" i="56"/>
  <c r="D5" i="56" s="1"/>
  <c r="B12" i="55"/>
  <c r="D12" i="55" s="1"/>
  <c r="B21" i="55"/>
  <c r="D21" i="55" s="1"/>
  <c r="D20" i="55"/>
  <c r="B20" i="55"/>
  <c r="D19" i="55"/>
  <c r="D18" i="55"/>
  <c r="D17" i="55"/>
  <c r="D16" i="55"/>
  <c r="D15" i="55"/>
  <c r="B14" i="55"/>
  <c r="D14" i="55" s="1"/>
  <c r="D13" i="55"/>
  <c r="B13" i="55"/>
  <c r="D11" i="55"/>
  <c r="D10" i="55"/>
  <c r="D9" i="55"/>
  <c r="B8" i="55"/>
  <c r="D8" i="55" s="1"/>
  <c r="D7" i="55"/>
  <c r="B6" i="55"/>
  <c r="D6" i="55" s="1"/>
  <c r="B5" i="55"/>
  <c r="D5" i="55" s="1"/>
  <c r="B21" i="54"/>
  <c r="D21" i="54" s="1"/>
  <c r="D19" i="54"/>
  <c r="B20" i="54"/>
  <c r="D20" i="54" s="1"/>
  <c r="D18" i="54"/>
  <c r="D17" i="54"/>
  <c r="D16" i="54"/>
  <c r="D15" i="54"/>
  <c r="B14" i="54"/>
  <c r="D14" i="54" s="1"/>
  <c r="B13" i="54"/>
  <c r="D13" i="54" s="1"/>
  <c r="B12" i="54"/>
  <c r="D12" i="54" s="1"/>
  <c r="D11" i="54"/>
  <c r="D10" i="54"/>
  <c r="D9" i="54"/>
  <c r="B8" i="54"/>
  <c r="D8" i="54" s="1"/>
  <c r="D7" i="54"/>
  <c r="B6" i="54"/>
  <c r="D6" i="54" s="1"/>
  <c r="D5" i="54"/>
  <c r="B5" i="54"/>
  <c r="B13" i="53"/>
  <c r="B20" i="53"/>
  <c r="D20" i="53" s="1"/>
  <c r="B19" i="53"/>
  <c r="D19" i="53" s="1"/>
  <c r="D18" i="53"/>
  <c r="D17" i="53"/>
  <c r="D16" i="53"/>
  <c r="D15" i="53"/>
  <c r="B14" i="53"/>
  <c r="D14" i="53" s="1"/>
  <c r="D13" i="53"/>
  <c r="B12" i="53"/>
  <c r="D12" i="53" s="1"/>
  <c r="D11" i="53"/>
  <c r="D10" i="53"/>
  <c r="D9" i="53"/>
  <c r="B8" i="53"/>
  <c r="D8" i="53" s="1"/>
  <c r="D7" i="53"/>
  <c r="B6" i="53"/>
  <c r="D6" i="53" s="1"/>
  <c r="B5" i="53"/>
  <c r="D5" i="53" s="1"/>
  <c r="B21" i="52"/>
  <c r="D21" i="52" s="1"/>
  <c r="B14" i="52"/>
  <c r="D14" i="52" s="1"/>
  <c r="B20" i="52"/>
  <c r="D20" i="52" s="1"/>
  <c r="D19" i="52"/>
  <c r="D18" i="52"/>
  <c r="D17" i="52"/>
  <c r="D16" i="52"/>
  <c r="B15" i="52"/>
  <c r="D15" i="52" s="1"/>
  <c r="D13" i="52"/>
  <c r="B12" i="52"/>
  <c r="D12" i="52" s="1"/>
  <c r="D11" i="52"/>
  <c r="D10" i="52"/>
  <c r="D9" i="52"/>
  <c r="B8" i="52"/>
  <c r="D8" i="52" s="1"/>
  <c r="D7" i="52"/>
  <c r="B6" i="52"/>
  <c r="D6" i="52" s="1"/>
  <c r="B5" i="52"/>
  <c r="D5" i="52" s="1"/>
  <c r="I15" i="3"/>
  <c r="I14" i="3"/>
  <c r="I10" i="3"/>
  <c r="I6" i="3"/>
  <c r="I4" i="3"/>
  <c r="I3" i="3"/>
  <c r="B21" i="51"/>
  <c r="D21" i="51" s="1"/>
  <c r="B20" i="51"/>
  <c r="D20" i="51" s="1"/>
  <c r="D19" i="51"/>
  <c r="D18" i="51"/>
  <c r="D17" i="51"/>
  <c r="D16" i="51"/>
  <c r="B15" i="51"/>
  <c r="D15" i="51" s="1"/>
  <c r="B14" i="51"/>
  <c r="D14" i="51" s="1"/>
  <c r="D13" i="51"/>
  <c r="B12" i="51"/>
  <c r="D12" i="51" s="1"/>
  <c r="D11" i="51"/>
  <c r="D10" i="51"/>
  <c r="D9" i="51"/>
  <c r="B8" i="51"/>
  <c r="D8" i="51" s="1"/>
  <c r="D7" i="51"/>
  <c r="B6" i="51"/>
  <c r="D6" i="51" s="1"/>
  <c r="B5" i="51"/>
  <c r="D5" i="51" s="1"/>
  <c r="H21" i="3"/>
  <c r="H20" i="3"/>
  <c r="H15" i="3"/>
  <c r="H14" i="3"/>
  <c r="H10" i="3"/>
  <c r="H6" i="3"/>
  <c r="H4" i="3"/>
  <c r="H3" i="3"/>
  <c r="B21" i="50"/>
  <c r="D21" i="50" s="1"/>
  <c r="D17" i="50"/>
  <c r="B20" i="50"/>
  <c r="D20" i="50" s="1"/>
  <c r="D19" i="50"/>
  <c r="D18" i="50"/>
  <c r="D16" i="50"/>
  <c r="B15" i="50"/>
  <c r="D15" i="50" s="1"/>
  <c r="D14" i="50"/>
  <c r="B14" i="50"/>
  <c r="D13" i="50"/>
  <c r="B12" i="50"/>
  <c r="D12" i="50" s="1"/>
  <c r="D11" i="50"/>
  <c r="D10" i="50"/>
  <c r="D9" i="50"/>
  <c r="B8" i="50"/>
  <c r="D8" i="50" s="1"/>
  <c r="D7" i="50"/>
  <c r="B6" i="50"/>
  <c r="D6" i="50" s="1"/>
  <c r="B5" i="50"/>
  <c r="D5" i="50" s="1"/>
  <c r="B14" i="49"/>
  <c r="D14" i="49" s="1"/>
  <c r="B21" i="49"/>
  <c r="G20" i="3"/>
  <c r="G15" i="3"/>
  <c r="G14" i="3"/>
  <c r="G10" i="3"/>
  <c r="G6" i="3"/>
  <c r="G4" i="3"/>
  <c r="G3" i="3"/>
  <c r="F21" i="3"/>
  <c r="F20" i="3"/>
  <c r="F15" i="3"/>
  <c r="F14" i="3"/>
  <c r="F12" i="3"/>
  <c r="F10" i="3"/>
  <c r="F6" i="3"/>
  <c r="F4" i="3"/>
  <c r="F3" i="3"/>
  <c r="E15" i="3"/>
  <c r="E14" i="3"/>
  <c r="E12" i="3"/>
  <c r="E10" i="3"/>
  <c r="E6" i="3"/>
  <c r="E4" i="3"/>
  <c r="E3" i="3"/>
  <c r="D15" i="3"/>
  <c r="D14" i="3"/>
  <c r="D12" i="3"/>
  <c r="D10" i="3"/>
  <c r="D6" i="3"/>
  <c r="D4" i="3"/>
  <c r="D3" i="3"/>
  <c r="D21" i="49"/>
  <c r="B20" i="49"/>
  <c r="D20" i="49" s="1"/>
  <c r="D19" i="49"/>
  <c r="D18" i="49"/>
  <c r="D17" i="49"/>
  <c r="B16" i="49"/>
  <c r="D16" i="49" s="1"/>
  <c r="D15" i="49"/>
  <c r="B15" i="49"/>
  <c r="D13" i="49"/>
  <c r="D12" i="49"/>
  <c r="B12" i="49"/>
  <c r="D11" i="49"/>
  <c r="D10" i="49"/>
  <c r="D9" i="49"/>
  <c r="B8" i="49"/>
  <c r="D8" i="49" s="1"/>
  <c r="D7" i="49"/>
  <c r="B6" i="49"/>
  <c r="D6" i="49" s="1"/>
  <c r="B5" i="49"/>
  <c r="D5" i="49" s="1"/>
  <c r="B21" i="48"/>
  <c r="B20" i="48"/>
  <c r="D20" i="48" s="1"/>
  <c r="B15" i="48"/>
  <c r="B5" i="48"/>
  <c r="D5" i="48" s="1"/>
  <c r="D21" i="48"/>
  <c r="D19" i="48"/>
  <c r="D18" i="48"/>
  <c r="D17" i="48"/>
  <c r="B16" i="48"/>
  <c r="D16" i="48" s="1"/>
  <c r="D15" i="48"/>
  <c r="B14" i="48"/>
  <c r="D14" i="48" s="1"/>
  <c r="D13" i="48"/>
  <c r="B12" i="48"/>
  <c r="D12" i="48" s="1"/>
  <c r="D11" i="48"/>
  <c r="D10" i="48"/>
  <c r="D9" i="48"/>
  <c r="B8" i="48"/>
  <c r="D8" i="48" s="1"/>
  <c r="D7" i="48"/>
  <c r="B6" i="48"/>
  <c r="D6" i="48" s="1"/>
  <c r="B5" i="47"/>
  <c r="D5" i="47" s="1"/>
  <c r="D21" i="47"/>
  <c r="D20" i="47"/>
  <c r="D19" i="47"/>
  <c r="D18" i="47"/>
  <c r="D17" i="47"/>
  <c r="B16" i="47"/>
  <c r="D16" i="47" s="1"/>
  <c r="B15" i="47"/>
  <c r="D15" i="47" s="1"/>
  <c r="B14" i="47"/>
  <c r="D14" i="47" s="1"/>
  <c r="D13" i="47"/>
  <c r="D12" i="47"/>
  <c r="B12" i="47"/>
  <c r="D11" i="47"/>
  <c r="D10" i="47"/>
  <c r="D9" i="47"/>
  <c r="B8" i="47"/>
  <c r="D8" i="47" s="1"/>
  <c r="D7" i="47"/>
  <c r="B6" i="47"/>
  <c r="D6" i="47" s="1"/>
  <c r="B5" i="46"/>
  <c r="D5" i="46" s="1"/>
  <c r="B14" i="46"/>
  <c r="D14" i="46" s="1"/>
  <c r="D21" i="46"/>
  <c r="D20" i="46"/>
  <c r="D19" i="46"/>
  <c r="D18" i="46"/>
  <c r="D17" i="46"/>
  <c r="B16" i="46"/>
  <c r="D16" i="46" s="1"/>
  <c r="B15" i="46"/>
  <c r="D15" i="46" s="1"/>
  <c r="D13" i="46"/>
  <c r="B12" i="46"/>
  <c r="D12" i="46" s="1"/>
  <c r="D11" i="46"/>
  <c r="D10" i="46"/>
  <c r="D9" i="46"/>
  <c r="B8" i="46"/>
  <c r="D8" i="46" s="1"/>
  <c r="D7" i="46"/>
  <c r="B6" i="46"/>
  <c r="D6" i="46" s="1"/>
  <c r="B5" i="44"/>
  <c r="D21" i="45"/>
  <c r="D20" i="45"/>
  <c r="D19" i="45"/>
  <c r="D18" i="45"/>
  <c r="B17" i="45"/>
  <c r="D17" i="45" s="1"/>
  <c r="B16" i="45"/>
  <c r="D16" i="45" s="1"/>
  <c r="B15" i="45"/>
  <c r="D15" i="45" s="1"/>
  <c r="B14" i="45"/>
  <c r="D14" i="45" s="1"/>
  <c r="D13" i="45"/>
  <c r="B13" i="45"/>
  <c r="B12" i="45"/>
  <c r="D12" i="45" s="1"/>
  <c r="D11" i="45"/>
  <c r="D10" i="45"/>
  <c r="D9" i="45"/>
  <c r="B8" i="45"/>
  <c r="D8" i="45" s="1"/>
  <c r="D7" i="45"/>
  <c r="B6" i="45"/>
  <c r="D6" i="45" s="1"/>
  <c r="D5" i="45"/>
  <c r="B5" i="45"/>
  <c r="D24" i="60" l="1"/>
  <c r="D24" i="59"/>
  <c r="E5" i="59" s="1"/>
  <c r="D23" i="58"/>
  <c r="E13" i="58" s="1"/>
  <c r="D23" i="57"/>
  <c r="E18" i="57" s="1"/>
  <c r="D23" i="56"/>
  <c r="E10" i="56" s="1"/>
  <c r="D23" i="55"/>
  <c r="E21" i="55" s="1"/>
  <c r="D23" i="54"/>
  <c r="D22" i="53"/>
  <c r="E16" i="53" s="1"/>
  <c r="D23" i="52"/>
  <c r="E8" i="52" s="1"/>
  <c r="D23" i="51"/>
  <c r="E6" i="51" s="1"/>
  <c r="D23" i="50"/>
  <c r="D23" i="49"/>
  <c r="D23" i="48"/>
  <c r="E5" i="48" s="1"/>
  <c r="D23" i="47"/>
  <c r="E12" i="47" s="1"/>
  <c r="D23" i="46"/>
  <c r="E20" i="46" s="1"/>
  <c r="D23" i="45"/>
  <c r="E19" i="45" s="1"/>
  <c r="E17" i="60" l="1"/>
  <c r="E14" i="60"/>
  <c r="E11" i="60"/>
  <c r="E9" i="60"/>
  <c r="E19" i="60"/>
  <c r="E18" i="60"/>
  <c r="E10" i="60"/>
  <c r="E13" i="60"/>
  <c r="E21" i="60"/>
  <c r="E6" i="60"/>
  <c r="E12" i="60"/>
  <c r="E7" i="60"/>
  <c r="E15" i="60"/>
  <c r="E16" i="60"/>
  <c r="E5" i="60"/>
  <c r="E20" i="60"/>
  <c r="E8" i="60"/>
  <c r="E22" i="60"/>
  <c r="E14" i="59"/>
  <c r="E7" i="59"/>
  <c r="E13" i="59"/>
  <c r="E22" i="59"/>
  <c r="E18" i="59"/>
  <c r="E11" i="59"/>
  <c r="E9" i="59"/>
  <c r="E19" i="59"/>
  <c r="E17" i="59"/>
  <c r="E10" i="59"/>
  <c r="E12" i="59"/>
  <c r="E16" i="59"/>
  <c r="E21" i="59"/>
  <c r="E8" i="59"/>
  <c r="E20" i="59"/>
  <c r="E6" i="59"/>
  <c r="E15" i="59"/>
  <c r="E16" i="58"/>
  <c r="E8" i="58"/>
  <c r="E14" i="58"/>
  <c r="E19" i="58"/>
  <c r="E20" i="58"/>
  <c r="E18" i="58"/>
  <c r="E21" i="58"/>
  <c r="E5" i="58"/>
  <c r="E17" i="58"/>
  <c r="E15" i="58"/>
  <c r="E12" i="58"/>
  <c r="E7" i="58"/>
  <c r="E11" i="58"/>
  <c r="E9" i="58"/>
  <c r="E10" i="58"/>
  <c r="E6" i="58"/>
  <c r="E16" i="57"/>
  <c r="E19" i="57"/>
  <c r="E14" i="57"/>
  <c r="E8" i="57"/>
  <c r="E15" i="57"/>
  <c r="E13" i="57"/>
  <c r="E7" i="57"/>
  <c r="E17" i="57"/>
  <c r="E11" i="57"/>
  <c r="E9" i="57"/>
  <c r="E10" i="57"/>
  <c r="E20" i="57"/>
  <c r="E21" i="57"/>
  <c r="E5" i="57"/>
  <c r="E12" i="57"/>
  <c r="E6" i="57"/>
  <c r="E18" i="56"/>
  <c r="E14" i="56"/>
  <c r="E15" i="56"/>
  <c r="E12" i="56"/>
  <c r="E13" i="56"/>
  <c r="E19" i="56"/>
  <c r="E16" i="56"/>
  <c r="E7" i="56"/>
  <c r="E20" i="56"/>
  <c r="E5" i="56"/>
  <c r="E11" i="56"/>
  <c r="E8" i="56"/>
  <c r="E9" i="56"/>
  <c r="E6" i="56"/>
  <c r="E17" i="56"/>
  <c r="E21" i="56"/>
  <c r="E7" i="55"/>
  <c r="E19" i="55"/>
  <c r="E20" i="55"/>
  <c r="E16" i="55"/>
  <c r="E11" i="55"/>
  <c r="E14" i="55"/>
  <c r="E5" i="55"/>
  <c r="E8" i="55"/>
  <c r="E6" i="55"/>
  <c r="E10" i="55"/>
  <c r="E12" i="55"/>
  <c r="E9" i="55"/>
  <c r="E13" i="55"/>
  <c r="E15" i="55"/>
  <c r="E18" i="55"/>
  <c r="E17" i="55"/>
  <c r="E11" i="54"/>
  <c r="E19" i="54"/>
  <c r="E13" i="54"/>
  <c r="E20" i="54"/>
  <c r="E17" i="54"/>
  <c r="E15" i="54"/>
  <c r="E7" i="54"/>
  <c r="E18" i="54"/>
  <c r="E16" i="54"/>
  <c r="E8" i="54"/>
  <c r="E12" i="54"/>
  <c r="E9" i="54"/>
  <c r="E10" i="54"/>
  <c r="E14" i="54"/>
  <c r="E5" i="54"/>
  <c r="E21" i="54"/>
  <c r="E6" i="54"/>
  <c r="E5" i="53"/>
  <c r="E13" i="53"/>
  <c r="E7" i="53"/>
  <c r="E11" i="53"/>
  <c r="E9" i="53"/>
  <c r="E17" i="53"/>
  <c r="E15" i="53"/>
  <c r="E19" i="53"/>
  <c r="E10" i="53"/>
  <c r="E12" i="53"/>
  <c r="E14" i="53"/>
  <c r="E6" i="53"/>
  <c r="E8" i="53"/>
  <c r="E18" i="53"/>
  <c r="E20" i="53"/>
  <c r="E18" i="52"/>
  <c r="E13" i="52"/>
  <c r="E6" i="52"/>
  <c r="E21" i="52"/>
  <c r="E10" i="52"/>
  <c r="E19" i="52"/>
  <c r="E17" i="52"/>
  <c r="E15" i="52"/>
  <c r="E12" i="52"/>
  <c r="E7" i="52"/>
  <c r="E14" i="52"/>
  <c r="E11" i="52"/>
  <c r="E9" i="52"/>
  <c r="E5" i="52"/>
  <c r="E20" i="52"/>
  <c r="E16" i="52"/>
  <c r="E12" i="51"/>
  <c r="E16" i="51"/>
  <c r="E8" i="51"/>
  <c r="E10" i="51"/>
  <c r="E15" i="51"/>
  <c r="E20" i="51"/>
  <c r="E14" i="51"/>
  <c r="E11" i="51"/>
  <c r="E9" i="51"/>
  <c r="E17" i="51"/>
  <c r="E7" i="51"/>
  <c r="E19" i="51"/>
  <c r="E21" i="51"/>
  <c r="E18" i="51"/>
  <c r="E5" i="51"/>
  <c r="E13" i="51"/>
  <c r="E5" i="50"/>
  <c r="E17" i="50"/>
  <c r="E13" i="50"/>
  <c r="E6" i="50"/>
  <c r="E21" i="50"/>
  <c r="E18" i="50"/>
  <c r="E10" i="50"/>
  <c r="E19" i="50"/>
  <c r="E16" i="50"/>
  <c r="E11" i="50"/>
  <c r="E9" i="50"/>
  <c r="E7" i="50"/>
  <c r="E15" i="50"/>
  <c r="E12" i="50"/>
  <c r="E14" i="50"/>
  <c r="E20" i="50"/>
  <c r="E8" i="50"/>
  <c r="E13" i="49"/>
  <c r="E16" i="49"/>
  <c r="E10" i="49"/>
  <c r="E8" i="49"/>
  <c r="E5" i="49"/>
  <c r="E12" i="49"/>
  <c r="E7" i="49"/>
  <c r="E18" i="49"/>
  <c r="E15" i="49"/>
  <c r="E20" i="49"/>
  <c r="E21" i="49"/>
  <c r="E9" i="49"/>
  <c r="E11" i="49"/>
  <c r="E17" i="49"/>
  <c r="E14" i="49"/>
  <c r="E19" i="49"/>
  <c r="E6" i="49"/>
  <c r="E8" i="48"/>
  <c r="E13" i="48"/>
  <c r="E15" i="48"/>
  <c r="E21" i="48"/>
  <c r="E7" i="48"/>
  <c r="E19" i="48"/>
  <c r="E17" i="48"/>
  <c r="E14" i="48"/>
  <c r="E11" i="48"/>
  <c r="E9" i="48"/>
  <c r="E12" i="48"/>
  <c r="E16" i="48"/>
  <c r="E6" i="48"/>
  <c r="E18" i="48"/>
  <c r="E20" i="48"/>
  <c r="E10" i="48"/>
  <c r="E21" i="47"/>
  <c r="E9" i="47"/>
  <c r="E18" i="47"/>
  <c r="E10" i="47"/>
  <c r="E19" i="47"/>
  <c r="E17" i="47"/>
  <c r="E11" i="47"/>
  <c r="E20" i="47"/>
  <c r="E7" i="47"/>
  <c r="E5" i="47"/>
  <c r="E14" i="47"/>
  <c r="E6" i="47"/>
  <c r="E8" i="47"/>
  <c r="E13" i="47"/>
  <c r="E15" i="47"/>
  <c r="E16" i="47"/>
  <c r="E15" i="46"/>
  <c r="E14" i="46"/>
  <c r="E21" i="46"/>
  <c r="E8" i="46"/>
  <c r="E5" i="46"/>
  <c r="E9" i="46"/>
  <c r="E13" i="46"/>
  <c r="E11" i="46"/>
  <c r="E18" i="46"/>
  <c r="E6" i="46"/>
  <c r="E10" i="46"/>
  <c r="E19" i="46"/>
  <c r="E12" i="46"/>
  <c r="E17" i="46"/>
  <c r="E7" i="46"/>
  <c r="E16" i="46"/>
  <c r="E15" i="45"/>
  <c r="E20" i="45"/>
  <c r="E21" i="45"/>
  <c r="E7" i="45"/>
  <c r="E5" i="45"/>
  <c r="E10" i="45"/>
  <c r="E13" i="45"/>
  <c r="E11" i="45"/>
  <c r="E6" i="45"/>
  <c r="E14" i="45"/>
  <c r="E8" i="45"/>
  <c r="E9" i="45"/>
  <c r="E18" i="45"/>
  <c r="E12" i="45"/>
  <c r="E16" i="45"/>
  <c r="E17" i="45"/>
  <c r="D18" i="44"/>
  <c r="B14" i="44"/>
  <c r="D14" i="44" s="1"/>
  <c r="B16" i="44"/>
  <c r="D16" i="44" s="1"/>
  <c r="D7" i="44"/>
  <c r="D22" i="44"/>
  <c r="D21" i="44"/>
  <c r="D20" i="44"/>
  <c r="D19" i="44"/>
  <c r="B17" i="44"/>
  <c r="D17" i="44" s="1"/>
  <c r="D15" i="44"/>
  <c r="B13" i="44"/>
  <c r="D13" i="44" s="1"/>
  <c r="B12" i="44"/>
  <c r="D12" i="44" s="1"/>
  <c r="D11" i="44"/>
  <c r="D10" i="44"/>
  <c r="D9" i="44"/>
  <c r="B8" i="44"/>
  <c r="D8" i="44" s="1"/>
  <c r="B6" i="44"/>
  <c r="D6" i="44" s="1"/>
  <c r="D5" i="44"/>
  <c r="D24" i="44" l="1"/>
  <c r="E7" i="44" l="1"/>
  <c r="E18" i="44"/>
  <c r="E8" i="44"/>
  <c r="E14" i="44"/>
  <c r="E20" i="44"/>
  <c r="E13" i="44"/>
  <c r="E17" i="44"/>
  <c r="E22" i="44"/>
  <c r="E15" i="44"/>
  <c r="E16" i="44"/>
  <c r="E12" i="44"/>
  <c r="E21" i="44"/>
  <c r="E5" i="44"/>
  <c r="E6" i="44"/>
  <c r="E19" i="44"/>
  <c r="E9" i="44"/>
  <c r="E10" i="44"/>
  <c r="E11" i="44"/>
</calcChain>
</file>

<file path=xl/sharedStrings.xml><?xml version="1.0" encoding="utf-8"?>
<sst xmlns="http://schemas.openxmlformats.org/spreadsheetml/2006/main" count="465" uniqueCount="67">
  <si>
    <t>Stock</t>
  </si>
  <si>
    <t>CMP</t>
  </si>
  <si>
    <t>Percentage</t>
  </si>
  <si>
    <t>Ashiana</t>
  </si>
  <si>
    <t>Kaveri</t>
  </si>
  <si>
    <t>Amaraja</t>
  </si>
  <si>
    <t>Amount</t>
  </si>
  <si>
    <t>Number of shares</t>
  </si>
  <si>
    <t>RSSoftware</t>
  </si>
  <si>
    <t>NIIT Tech</t>
  </si>
  <si>
    <t>Zensar</t>
  </si>
  <si>
    <t>Change</t>
  </si>
  <si>
    <t>Technofab</t>
  </si>
  <si>
    <t>Model</t>
  </si>
  <si>
    <t>Model Portfolio</t>
  </si>
  <si>
    <t>LiquidBees</t>
  </si>
  <si>
    <t>Heritage</t>
  </si>
  <si>
    <t>Everest</t>
  </si>
  <si>
    <t>EverestInds</t>
  </si>
  <si>
    <t>TreeHouse</t>
  </si>
  <si>
    <t>EicherMotors</t>
  </si>
  <si>
    <t>EicherMot</t>
  </si>
  <si>
    <t>NDTV</t>
  </si>
  <si>
    <t>Federal Bank</t>
  </si>
  <si>
    <t>FederalBank</t>
  </si>
  <si>
    <t>JBChem</t>
  </si>
  <si>
    <t>MCX</t>
  </si>
  <si>
    <t>Escorts</t>
  </si>
  <si>
    <t>Selan</t>
  </si>
  <si>
    <t>New Addition - 3%. Avg Price 365</t>
  </si>
  <si>
    <t>Sold Completely 650. Avg Price 75</t>
  </si>
  <si>
    <t>Sold 56 for remaining amount for Avg 345</t>
  </si>
  <si>
    <t>Kaveri split on 27/1</t>
  </si>
  <si>
    <t>Added 3% of port. 143 shares at 500.5 Rs.</t>
  </si>
  <si>
    <t>Sold for amount 71775 at 368.7 Avg. 194 shares</t>
  </si>
  <si>
    <t>Sold for 2%. 48400 Avg Price 397.</t>
  </si>
  <si>
    <t>48.4 LiquidBees</t>
  </si>
  <si>
    <t>Reduced to 5%. 95 sold at 390 Avg</t>
  </si>
  <si>
    <t>Reduced to 4%. 100 Sold at 448 Avg</t>
  </si>
  <si>
    <t>Inc to 5%. 87 buy at 395</t>
  </si>
  <si>
    <t>47.4 LiquidBees</t>
  </si>
  <si>
    <t>Sold Completely. Rate 483.5 Amt 129578</t>
  </si>
  <si>
    <t>StridesArco</t>
  </si>
  <si>
    <t>4% Added. 267 shares @ 365. Total 97455</t>
  </si>
  <si>
    <t>Remove 97.5</t>
  </si>
  <si>
    <t>Strides</t>
  </si>
  <si>
    <t>Add. Buy to 6% of the portfolio. Amt 55970. Avg Buy Price 388.2 incl charges</t>
  </si>
  <si>
    <t xml:space="preserve">Complete Sell 213. Avg Price 407. </t>
  </si>
  <si>
    <t>Sell till 5%. So 10.56% i.e. 473 shares @ 828. Value = 391644</t>
  </si>
  <si>
    <t>Buy 391.64 Liquid</t>
  </si>
  <si>
    <t>TVToday</t>
  </si>
  <si>
    <t>4%. 920 @ 164 = 150880</t>
  </si>
  <si>
    <t>150.9 Liquid Sold</t>
  </si>
  <si>
    <t>229 shares @ 195. Value 44655</t>
  </si>
  <si>
    <t>Liquid Less by 44655</t>
  </si>
  <si>
    <t>Spl Dividend Rs 105 per share. Added as LiquidBees 28035.</t>
  </si>
  <si>
    <t>28 LiquidBees Added</t>
  </si>
  <si>
    <t>995 Sold at Avg 670. Amount 666650</t>
  </si>
  <si>
    <t>666.65 LiquidBees Added</t>
  </si>
  <si>
    <t xml:space="preserve">Buy till 5%. 349 shares at 451. </t>
  </si>
  <si>
    <t>157.4 liquid reduced</t>
  </si>
  <si>
    <t>MBL Infra</t>
  </si>
  <si>
    <t>Buy 614 @ 390.8. Total 239951</t>
  </si>
  <si>
    <t>Sell Total Value 239951+63321 = 303272. Sell 303.27</t>
  </si>
  <si>
    <t>Buy TVToday 319 to 5% of portfolio @198.5. Value 63321</t>
  </si>
  <si>
    <t>Sell Total. 232 @791. value 183512</t>
  </si>
  <si>
    <t>Buy 183.51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</si>
</sst>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pane xSplit="1" topLeftCell="B1" activePane="topRight" state="frozen"/>
      <selection activeCell="C16" sqref="C16"/>
      <selection pane="topRight" activeCell="I22" sqref="I22"/>
    </sheetView>
  </sheetViews>
  <sheetFormatPr defaultRowHeight="14.4" x14ac:dyDescent="0.3"/>
  <cols>
    <col min="1" max="1" width="11.6640625" bestFit="1" customWidth="1"/>
    <col min="2" max="3" width="10" bestFit="1" customWidth="1"/>
    <col min="4" max="4" width="10.6640625" bestFit="1" customWidth="1"/>
    <col min="5" max="6" width="9.6640625" bestFit="1" customWidth="1"/>
    <col min="7" max="9" width="9.88671875" bestFit="1" customWidth="1"/>
  </cols>
  <sheetData>
    <row r="1" spans="1:12" x14ac:dyDescent="0.3">
      <c r="A1" t="s">
        <v>13</v>
      </c>
      <c r="B1" s="3">
        <v>41640</v>
      </c>
      <c r="C1" s="3">
        <v>41663</v>
      </c>
      <c r="D1" s="3">
        <v>41687</v>
      </c>
      <c r="E1" s="3">
        <v>41696</v>
      </c>
      <c r="F1" s="3">
        <v>41698</v>
      </c>
      <c r="G1" s="3">
        <v>41712</v>
      </c>
      <c r="H1" s="3">
        <v>41716</v>
      </c>
      <c r="I1" s="3">
        <v>41752</v>
      </c>
      <c r="J1" s="3"/>
      <c r="K1" s="3"/>
      <c r="L1" s="3"/>
    </row>
    <row r="3" spans="1:12" x14ac:dyDescent="0.3">
      <c r="A3" t="s">
        <v>5</v>
      </c>
      <c r="B3">
        <v>772</v>
      </c>
      <c r="C3">
        <v>716</v>
      </c>
      <c r="D3" s="1">
        <f>980-208-56-194</f>
        <v>522</v>
      </c>
      <c r="E3" s="1">
        <f>980-208-56-194-122</f>
        <v>400</v>
      </c>
      <c r="F3" s="1">
        <f>980-208-56-194-122-95</f>
        <v>305</v>
      </c>
      <c r="G3" s="1">
        <f>980-208-56-194-122-95</f>
        <v>305</v>
      </c>
      <c r="H3" s="1">
        <f>980-208-56-194-122-95</f>
        <v>305</v>
      </c>
      <c r="I3" s="1">
        <f>980-208-56-194-122-95</f>
        <v>305</v>
      </c>
    </row>
    <row r="4" spans="1:12" x14ac:dyDescent="0.3">
      <c r="A4" t="s">
        <v>3</v>
      </c>
      <c r="B4">
        <v>3830</v>
      </c>
      <c r="C4">
        <v>3830</v>
      </c>
      <c r="D4" s="1">
        <f t="shared" ref="D4:I4" si="0">(511+255)*5</f>
        <v>3830</v>
      </c>
      <c r="E4" s="1">
        <f t="shared" si="0"/>
        <v>3830</v>
      </c>
      <c r="F4" s="1">
        <f t="shared" si="0"/>
        <v>3830</v>
      </c>
      <c r="G4" s="1">
        <f t="shared" si="0"/>
        <v>3830</v>
      </c>
      <c r="H4" s="1">
        <f t="shared" si="0"/>
        <v>3830</v>
      </c>
      <c r="I4" s="1">
        <f t="shared" si="0"/>
        <v>3830</v>
      </c>
    </row>
    <row r="5" spans="1:12" x14ac:dyDescent="0.3">
      <c r="A5" t="s">
        <v>27</v>
      </c>
      <c r="B5">
        <v>473</v>
      </c>
      <c r="C5">
        <v>473</v>
      </c>
      <c r="D5" s="1">
        <v>473</v>
      </c>
      <c r="E5" s="1">
        <v>473</v>
      </c>
      <c r="F5" s="1">
        <v>473</v>
      </c>
      <c r="G5" s="1">
        <v>473</v>
      </c>
      <c r="H5" s="1">
        <v>473</v>
      </c>
      <c r="I5" s="1">
        <v>473</v>
      </c>
    </row>
    <row r="6" spans="1:12" x14ac:dyDescent="0.3">
      <c r="A6" t="s">
        <v>21</v>
      </c>
      <c r="B6">
        <v>39</v>
      </c>
      <c r="C6">
        <v>39</v>
      </c>
      <c r="D6" s="1">
        <f t="shared" ref="D6:I6" si="1">29+10</f>
        <v>39</v>
      </c>
      <c r="E6" s="1">
        <f t="shared" si="1"/>
        <v>39</v>
      </c>
      <c r="F6" s="1">
        <f t="shared" si="1"/>
        <v>39</v>
      </c>
      <c r="G6" s="1">
        <f t="shared" si="1"/>
        <v>39</v>
      </c>
      <c r="H6" s="1">
        <f t="shared" si="1"/>
        <v>39</v>
      </c>
      <c r="I6" s="1">
        <f t="shared" si="1"/>
        <v>39</v>
      </c>
    </row>
    <row r="7" spans="1:12" x14ac:dyDescent="0.3">
      <c r="A7" t="s">
        <v>18</v>
      </c>
      <c r="B7">
        <v>350</v>
      </c>
      <c r="C7">
        <v>350</v>
      </c>
      <c r="D7" s="1">
        <v>350</v>
      </c>
      <c r="E7" s="1">
        <v>350</v>
      </c>
      <c r="F7" s="1">
        <v>350</v>
      </c>
      <c r="G7" s="1">
        <v>350</v>
      </c>
      <c r="H7" s="1">
        <v>350</v>
      </c>
      <c r="I7" s="1">
        <v>350</v>
      </c>
    </row>
    <row r="8" spans="1:12" x14ac:dyDescent="0.3">
      <c r="A8" t="s">
        <v>24</v>
      </c>
      <c r="B8">
        <v>1645</v>
      </c>
      <c r="C8">
        <v>1645</v>
      </c>
      <c r="D8" s="1">
        <v>1645</v>
      </c>
      <c r="E8" s="1">
        <v>1645</v>
      </c>
      <c r="F8" s="1">
        <v>1645</v>
      </c>
      <c r="G8" s="1">
        <v>1645</v>
      </c>
      <c r="H8" s="1">
        <v>1645</v>
      </c>
      <c r="I8" s="1">
        <v>1645</v>
      </c>
    </row>
    <row r="9" spans="1:12" x14ac:dyDescent="0.3">
      <c r="A9" t="s">
        <v>16</v>
      </c>
      <c r="B9">
        <v>840</v>
      </c>
      <c r="C9">
        <v>840</v>
      </c>
      <c r="D9" s="1">
        <v>840</v>
      </c>
      <c r="E9" s="1">
        <v>840</v>
      </c>
      <c r="F9" s="1">
        <v>840</v>
      </c>
      <c r="G9" s="1">
        <v>840</v>
      </c>
      <c r="H9" s="1">
        <v>840</v>
      </c>
      <c r="I9" s="1">
        <v>840</v>
      </c>
    </row>
    <row r="10" spans="1:12" x14ac:dyDescent="0.3">
      <c r="A10" t="s">
        <v>25</v>
      </c>
      <c r="B10">
        <v>1149</v>
      </c>
      <c r="C10">
        <v>1149</v>
      </c>
      <c r="D10" s="1">
        <f t="shared" ref="D10:I10" si="2">766+383</f>
        <v>1149</v>
      </c>
      <c r="E10" s="1">
        <f t="shared" si="2"/>
        <v>1149</v>
      </c>
      <c r="F10" s="1">
        <f t="shared" si="2"/>
        <v>1149</v>
      </c>
      <c r="G10" s="1">
        <f t="shared" si="2"/>
        <v>1149</v>
      </c>
      <c r="H10" s="1">
        <f t="shared" si="2"/>
        <v>1149</v>
      </c>
      <c r="I10" s="1">
        <f t="shared" si="2"/>
        <v>1149</v>
      </c>
    </row>
    <row r="11" spans="1:12" x14ac:dyDescent="0.3">
      <c r="A11" t="s">
        <v>4</v>
      </c>
      <c r="B11">
        <v>141</v>
      </c>
      <c r="C11">
        <v>141</v>
      </c>
      <c r="D11" s="1">
        <v>705</v>
      </c>
      <c r="E11" s="1">
        <v>705</v>
      </c>
      <c r="F11" s="1">
        <v>705</v>
      </c>
      <c r="G11" s="1">
        <v>705</v>
      </c>
      <c r="H11" s="1">
        <v>705</v>
      </c>
      <c r="I11" s="1">
        <v>705</v>
      </c>
    </row>
    <row r="12" spans="1:12" x14ac:dyDescent="0.3">
      <c r="A12" t="s">
        <v>26</v>
      </c>
      <c r="B12">
        <v>125</v>
      </c>
      <c r="C12">
        <v>125</v>
      </c>
      <c r="D12" s="1">
        <f>170-45+143</f>
        <v>268</v>
      </c>
      <c r="E12" s="1">
        <f>170-45+143</f>
        <v>268</v>
      </c>
      <c r="F12" s="1">
        <f>170-45+143</f>
        <v>268</v>
      </c>
      <c r="G12" s="1">
        <v>0</v>
      </c>
      <c r="H12" s="1">
        <v>0</v>
      </c>
      <c r="I12" s="1">
        <v>0</v>
      </c>
      <c r="J12" s="1">
        <v>0</v>
      </c>
    </row>
    <row r="13" spans="1:12" x14ac:dyDescent="0.3">
      <c r="A13" t="s">
        <v>22</v>
      </c>
      <c r="B13">
        <v>650</v>
      </c>
      <c r="C13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2" x14ac:dyDescent="0.3">
      <c r="A14" t="s">
        <v>9</v>
      </c>
      <c r="B14">
        <v>313</v>
      </c>
      <c r="C14">
        <v>313</v>
      </c>
      <c r="D14" s="1">
        <f>372-59</f>
        <v>313</v>
      </c>
      <c r="E14" s="1">
        <f>372-59</f>
        <v>313</v>
      </c>
      <c r="F14" s="1">
        <f>372-59-100</f>
        <v>213</v>
      </c>
      <c r="G14" s="1">
        <f>372-59-100</f>
        <v>213</v>
      </c>
      <c r="H14" s="1">
        <f>372-59-100</f>
        <v>213</v>
      </c>
      <c r="I14" s="1">
        <f>372-59-100</f>
        <v>213</v>
      </c>
    </row>
    <row r="15" spans="1:12" x14ac:dyDescent="0.3">
      <c r="A15" t="s">
        <v>8</v>
      </c>
      <c r="B15">
        <v>1312</v>
      </c>
      <c r="C15">
        <v>1312</v>
      </c>
      <c r="D15" s="1">
        <f t="shared" ref="D15:I15" si="3">1093+219</f>
        <v>1312</v>
      </c>
      <c r="E15" s="1">
        <f t="shared" si="3"/>
        <v>1312</v>
      </c>
      <c r="F15" s="1">
        <f t="shared" si="3"/>
        <v>1312</v>
      </c>
      <c r="G15" s="1">
        <f t="shared" si="3"/>
        <v>1312</v>
      </c>
      <c r="H15" s="1">
        <f t="shared" si="3"/>
        <v>1312</v>
      </c>
      <c r="I15" s="1">
        <f t="shared" si="3"/>
        <v>1312</v>
      </c>
    </row>
    <row r="16" spans="1:12" x14ac:dyDescent="0.3">
      <c r="A16" t="s">
        <v>28</v>
      </c>
      <c r="C16">
        <v>186</v>
      </c>
      <c r="D16" s="1">
        <v>186</v>
      </c>
      <c r="E16" s="1">
        <v>186</v>
      </c>
      <c r="F16" s="1">
        <v>186</v>
      </c>
      <c r="G16" s="1">
        <v>186</v>
      </c>
      <c r="H16" s="1">
        <v>186</v>
      </c>
      <c r="I16" s="1">
        <v>186</v>
      </c>
    </row>
    <row r="17" spans="1:9" x14ac:dyDescent="0.3">
      <c r="A17" t="s">
        <v>45</v>
      </c>
      <c r="D17" s="1"/>
      <c r="E17" s="1"/>
      <c r="F17" s="1"/>
      <c r="G17" s="1"/>
      <c r="H17" s="1">
        <v>267</v>
      </c>
      <c r="I17" s="1">
        <v>267</v>
      </c>
    </row>
    <row r="18" spans="1:9" x14ac:dyDescent="0.3">
      <c r="A18" t="s">
        <v>12</v>
      </c>
      <c r="B18">
        <v>368</v>
      </c>
      <c r="C18">
        <v>368</v>
      </c>
      <c r="D18" s="1">
        <v>368</v>
      </c>
      <c r="E18" s="1">
        <v>368</v>
      </c>
      <c r="F18" s="1">
        <v>368</v>
      </c>
      <c r="G18" s="1">
        <v>368</v>
      </c>
      <c r="H18" s="1">
        <v>368</v>
      </c>
      <c r="I18" s="1">
        <v>368</v>
      </c>
    </row>
    <row r="19" spans="1:9" x14ac:dyDescent="0.3">
      <c r="A19" t="s">
        <v>19</v>
      </c>
      <c r="B19">
        <v>365</v>
      </c>
      <c r="C19">
        <v>365</v>
      </c>
      <c r="D19" s="1">
        <v>365</v>
      </c>
      <c r="E19" s="1">
        <v>365</v>
      </c>
      <c r="F19" s="1">
        <v>365</v>
      </c>
      <c r="G19" s="1">
        <v>365</v>
      </c>
      <c r="H19" s="1">
        <v>365</v>
      </c>
      <c r="I19" s="1">
        <v>365</v>
      </c>
    </row>
    <row r="20" spans="1:9" x14ac:dyDescent="0.3">
      <c r="A20" t="s">
        <v>10</v>
      </c>
      <c r="B20">
        <v>225</v>
      </c>
      <c r="C20">
        <v>225</v>
      </c>
      <c r="D20" s="1">
        <v>225</v>
      </c>
      <c r="E20" s="1">
        <v>225</v>
      </c>
      <c r="F20" s="1">
        <f>225+87</f>
        <v>312</v>
      </c>
      <c r="G20" s="1">
        <f>225+87</f>
        <v>312</v>
      </c>
      <c r="H20" s="1">
        <f>225+87</f>
        <v>312</v>
      </c>
      <c r="I20" s="1">
        <v>456</v>
      </c>
    </row>
    <row r="21" spans="1:9" x14ac:dyDescent="0.3">
      <c r="A21" t="s">
        <v>15</v>
      </c>
      <c r="B21">
        <v>0</v>
      </c>
      <c r="C21">
        <v>0</v>
      </c>
      <c r="D21" s="1">
        <v>0</v>
      </c>
      <c r="E21" s="1">
        <v>48.4</v>
      </c>
      <c r="F21" s="1">
        <f>48.4+47.4</f>
        <v>95.8</v>
      </c>
      <c r="G21" s="1">
        <v>225</v>
      </c>
      <c r="H21" s="1">
        <f>48.4+47.4+129.5-97.5</f>
        <v>127.80000000000001</v>
      </c>
      <c r="I21" s="1">
        <v>72</v>
      </c>
    </row>
  </sheetData>
  <pageMargins left="0.7" right="0.7" top="0.75" bottom="0.75" header="0.3" footer="0.3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activeCell="C23" sqref="C23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33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</f>
        <v>772</v>
      </c>
      <c r="C5">
        <v>345</v>
      </c>
      <c r="D5">
        <f>C5*B5</f>
        <v>266340</v>
      </c>
      <c r="E5" s="2">
        <f t="shared" ref="E5:E21" si="0">D5/$D$23</f>
        <v>0.12999018021166231</v>
      </c>
    </row>
    <row r="6" spans="1:7" x14ac:dyDescent="0.3">
      <c r="A6" t="s">
        <v>3</v>
      </c>
      <c r="B6" s="1">
        <f>(511+255)*5</f>
        <v>3830</v>
      </c>
      <c r="C6">
        <v>60</v>
      </c>
      <c r="D6">
        <f t="shared" ref="D6:D21" si="1">C6*B6</f>
        <v>229800</v>
      </c>
      <c r="E6" s="2">
        <f t="shared" si="0"/>
        <v>0.11215642942344373</v>
      </c>
    </row>
    <row r="7" spans="1:7" x14ac:dyDescent="0.3">
      <c r="A7" t="s">
        <v>27</v>
      </c>
      <c r="B7" s="1">
        <v>473</v>
      </c>
      <c r="C7">
        <v>128</v>
      </c>
      <c r="D7">
        <f t="shared" si="1"/>
        <v>60544</v>
      </c>
      <c r="E7" s="2">
        <f t="shared" si="0"/>
        <v>2.9549168246357602E-2</v>
      </c>
    </row>
    <row r="8" spans="1:7" x14ac:dyDescent="0.3">
      <c r="A8" t="s">
        <v>20</v>
      </c>
      <c r="B8" s="1">
        <f>29+10</f>
        <v>39</v>
      </c>
      <c r="C8">
        <v>4829</v>
      </c>
      <c r="D8">
        <f t="shared" si="1"/>
        <v>188331</v>
      </c>
      <c r="E8" s="2">
        <f t="shared" si="0"/>
        <v>9.1917025716912876E-2</v>
      </c>
    </row>
    <row r="9" spans="1:7" x14ac:dyDescent="0.3">
      <c r="A9" t="s">
        <v>17</v>
      </c>
      <c r="B9" s="1">
        <v>350</v>
      </c>
      <c r="C9">
        <v>145</v>
      </c>
      <c r="D9">
        <f t="shared" si="1"/>
        <v>50750</v>
      </c>
      <c r="E9" s="2">
        <f t="shared" si="0"/>
        <v>2.4769098316970273E-2</v>
      </c>
    </row>
    <row r="10" spans="1:7" x14ac:dyDescent="0.3">
      <c r="A10" t="s">
        <v>23</v>
      </c>
      <c r="B10" s="1">
        <v>1645</v>
      </c>
      <c r="C10">
        <v>79</v>
      </c>
      <c r="D10">
        <f t="shared" si="1"/>
        <v>129955</v>
      </c>
      <c r="E10" s="2">
        <f t="shared" si="0"/>
        <v>6.342597382821423E-2</v>
      </c>
    </row>
    <row r="11" spans="1:7" x14ac:dyDescent="0.3">
      <c r="A11" t="s">
        <v>16</v>
      </c>
      <c r="B11" s="1">
        <v>840</v>
      </c>
      <c r="C11">
        <v>178</v>
      </c>
      <c r="D11">
        <f t="shared" si="1"/>
        <v>149520</v>
      </c>
      <c r="E11" s="2">
        <f t="shared" si="0"/>
        <v>7.2974888282825529E-2</v>
      </c>
    </row>
    <row r="12" spans="1:7" x14ac:dyDescent="0.3">
      <c r="A12" t="s">
        <v>25</v>
      </c>
      <c r="B12" s="1">
        <f>766+383</f>
        <v>1149</v>
      </c>
      <c r="C12">
        <v>113</v>
      </c>
      <c r="D12">
        <f t="shared" si="1"/>
        <v>129837</v>
      </c>
      <c r="E12" s="2">
        <f t="shared" si="0"/>
        <v>6.3368382624245698E-2</v>
      </c>
    </row>
    <row r="13" spans="1:7" x14ac:dyDescent="0.3">
      <c r="A13" t="s">
        <v>4</v>
      </c>
      <c r="B13" s="1">
        <f>111+30</f>
        <v>141</v>
      </c>
      <c r="C13">
        <v>1560</v>
      </c>
      <c r="D13">
        <f t="shared" si="1"/>
        <v>219960</v>
      </c>
      <c r="E13" s="2">
        <f t="shared" si="0"/>
        <v>0.10735390868572968</v>
      </c>
    </row>
    <row r="14" spans="1:7" x14ac:dyDescent="0.3">
      <c r="A14" t="s">
        <v>26</v>
      </c>
      <c r="B14" s="1">
        <f>170-45</f>
        <v>125</v>
      </c>
      <c r="C14">
        <v>451</v>
      </c>
      <c r="D14">
        <f t="shared" si="1"/>
        <v>56375</v>
      </c>
      <c r="E14" s="2">
        <f t="shared" si="0"/>
        <v>2.7514441726486684E-2</v>
      </c>
    </row>
    <row r="15" spans="1:7" x14ac:dyDescent="0.3">
      <c r="A15" t="s">
        <v>22</v>
      </c>
      <c r="B15" s="1">
        <f>900-250</f>
        <v>650</v>
      </c>
      <c r="C15">
        <v>79</v>
      </c>
      <c r="D15">
        <f t="shared" si="1"/>
        <v>51350</v>
      </c>
      <c r="E15" s="2">
        <f t="shared" si="0"/>
        <v>2.506193494731869E-2</v>
      </c>
    </row>
    <row r="16" spans="1:7" x14ac:dyDescent="0.3">
      <c r="A16" t="s">
        <v>9</v>
      </c>
      <c r="B16" s="1">
        <f>372-59</f>
        <v>313</v>
      </c>
      <c r="C16">
        <v>333</v>
      </c>
      <c r="D16">
        <f t="shared" si="1"/>
        <v>104229</v>
      </c>
      <c r="E16" s="2">
        <f t="shared" si="0"/>
        <v>5.0870115240975261E-2</v>
      </c>
    </row>
    <row r="17" spans="1:5" x14ac:dyDescent="0.3">
      <c r="A17" t="s">
        <v>8</v>
      </c>
      <c r="B17" s="1">
        <f>1093+219</f>
        <v>1312</v>
      </c>
      <c r="C17">
        <v>169</v>
      </c>
      <c r="D17">
        <f t="shared" si="1"/>
        <v>221728</v>
      </c>
      <c r="E17" s="2">
        <f t="shared" si="0"/>
        <v>0.10821680062315635</v>
      </c>
    </row>
    <row r="18" spans="1:5" x14ac:dyDescent="0.3">
      <c r="A18" t="s">
        <v>12</v>
      </c>
      <c r="B18" s="1">
        <v>368</v>
      </c>
      <c r="C18">
        <v>65</v>
      </c>
      <c r="D18">
        <f t="shared" si="1"/>
        <v>23920</v>
      </c>
      <c r="E18" s="2">
        <f t="shared" si="0"/>
        <v>1.1674420329890226E-2</v>
      </c>
    </row>
    <row r="19" spans="1:5" x14ac:dyDescent="0.3">
      <c r="A19" t="s">
        <v>19</v>
      </c>
      <c r="B19" s="1">
        <v>365</v>
      </c>
      <c r="C19">
        <v>254</v>
      </c>
      <c r="D19">
        <f t="shared" si="1"/>
        <v>92710</v>
      </c>
      <c r="E19" s="2">
        <f t="shared" si="0"/>
        <v>4.5248139999336238E-2</v>
      </c>
    </row>
    <row r="20" spans="1:5" x14ac:dyDescent="0.3">
      <c r="A20" t="s">
        <v>10</v>
      </c>
      <c r="B20" s="1">
        <v>225</v>
      </c>
      <c r="C20">
        <v>327</v>
      </c>
      <c r="D20">
        <f t="shared" si="1"/>
        <v>73575</v>
      </c>
      <c r="E20" s="2">
        <f t="shared" si="0"/>
        <v>3.590909179647464E-2</v>
      </c>
    </row>
    <row r="21" spans="1:5" x14ac:dyDescent="0.3">
      <c r="A21" t="s">
        <v>15</v>
      </c>
      <c r="B21" s="1">
        <v>0</v>
      </c>
      <c r="C21">
        <v>1000</v>
      </c>
      <c r="D21">
        <f t="shared" si="1"/>
        <v>0</v>
      </c>
      <c r="E21" s="2">
        <f t="shared" si="0"/>
        <v>0</v>
      </c>
    </row>
    <row r="23" spans="1:5" x14ac:dyDescent="0.3">
      <c r="D23">
        <f>SUM(D5:D21)</f>
        <v>2048924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selection activeCell="B18" sqref="B18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38.109375" bestFit="1" customWidth="1"/>
  </cols>
  <sheetData>
    <row r="1" spans="1:8" x14ac:dyDescent="0.3">
      <c r="A1" t="s">
        <v>14</v>
      </c>
    </row>
    <row r="3" spans="1:8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8" x14ac:dyDescent="0.3">
      <c r="A5" t="s">
        <v>5</v>
      </c>
      <c r="B5" s="1">
        <f>980-208-56</f>
        <v>716</v>
      </c>
      <c r="C5">
        <v>339</v>
      </c>
      <c r="D5">
        <f>C5*B5</f>
        <v>242724</v>
      </c>
      <c r="E5" s="2">
        <f t="shared" ref="E5:E22" si="0">D5/$D$24</f>
        <v>0.10764338836927743</v>
      </c>
      <c r="G5" t="s">
        <v>31</v>
      </c>
    </row>
    <row r="6" spans="1:8" x14ac:dyDescent="0.3">
      <c r="A6" t="s">
        <v>3</v>
      </c>
      <c r="B6" s="1">
        <f>(511+255)*5</f>
        <v>3830</v>
      </c>
      <c r="C6">
        <v>77</v>
      </c>
      <c r="D6">
        <f t="shared" ref="D6:D22" si="1">C6*B6</f>
        <v>294910</v>
      </c>
      <c r="E6" s="2">
        <f t="shared" si="0"/>
        <v>0.13078686765208059</v>
      </c>
    </row>
    <row r="7" spans="1:8" x14ac:dyDescent="0.3">
      <c r="A7" t="s">
        <v>27</v>
      </c>
      <c r="B7" s="1">
        <v>473</v>
      </c>
      <c r="C7">
        <v>125</v>
      </c>
      <c r="D7">
        <f t="shared" si="1"/>
        <v>59125</v>
      </c>
      <c r="E7" s="2">
        <f t="shared" si="0"/>
        <v>2.6220791258110152E-2</v>
      </c>
    </row>
    <row r="8" spans="1:8" x14ac:dyDescent="0.3">
      <c r="A8" t="s">
        <v>20</v>
      </c>
      <c r="B8" s="1">
        <f>29+10</f>
        <v>39</v>
      </c>
      <c r="C8">
        <v>5045</v>
      </c>
      <c r="D8">
        <f t="shared" si="1"/>
        <v>196755</v>
      </c>
      <c r="E8" s="2">
        <f t="shared" si="0"/>
        <v>8.7257028059018402E-2</v>
      </c>
    </row>
    <row r="9" spans="1:8" x14ac:dyDescent="0.3">
      <c r="A9" t="s">
        <v>17</v>
      </c>
      <c r="B9" s="1">
        <v>350</v>
      </c>
      <c r="C9">
        <v>153</v>
      </c>
      <c r="D9">
        <f t="shared" si="1"/>
        <v>53550</v>
      </c>
      <c r="E9" s="2">
        <f t="shared" si="0"/>
        <v>2.3748386839269321E-2</v>
      </c>
    </row>
    <row r="10" spans="1:8" x14ac:dyDescent="0.3">
      <c r="A10" t="s">
        <v>23</v>
      </c>
      <c r="B10" s="1">
        <v>1645</v>
      </c>
      <c r="C10">
        <v>84</v>
      </c>
      <c r="D10">
        <f t="shared" si="1"/>
        <v>138180</v>
      </c>
      <c r="E10" s="2">
        <f t="shared" si="0"/>
        <v>6.1280151138192997E-2</v>
      </c>
    </row>
    <row r="11" spans="1:8" x14ac:dyDescent="0.3">
      <c r="A11" t="s">
        <v>16</v>
      </c>
      <c r="B11" s="1">
        <v>840</v>
      </c>
      <c r="C11">
        <v>222</v>
      </c>
      <c r="D11">
        <f t="shared" si="1"/>
        <v>186480</v>
      </c>
      <c r="E11" s="2">
        <f t="shared" si="0"/>
        <v>8.2700264757926106E-2</v>
      </c>
    </row>
    <row r="12" spans="1:8" x14ac:dyDescent="0.3">
      <c r="A12" t="s">
        <v>25</v>
      </c>
      <c r="B12" s="1">
        <f>766+383</f>
        <v>1149</v>
      </c>
      <c r="C12">
        <v>131</v>
      </c>
      <c r="D12">
        <f t="shared" si="1"/>
        <v>150519</v>
      </c>
      <c r="E12" s="2">
        <f t="shared" si="0"/>
        <v>6.6752258425022956E-2</v>
      </c>
    </row>
    <row r="13" spans="1:8" x14ac:dyDescent="0.3">
      <c r="A13" t="s">
        <v>4</v>
      </c>
      <c r="B13" s="1">
        <f>111+30</f>
        <v>141</v>
      </c>
      <c r="C13">
        <v>2029</v>
      </c>
      <c r="D13">
        <f t="shared" si="1"/>
        <v>286089</v>
      </c>
      <c r="E13" s="2">
        <f t="shared" si="0"/>
        <v>0.12687492516264651</v>
      </c>
      <c r="H13" t="s">
        <v>32</v>
      </c>
    </row>
    <row r="14" spans="1:8" x14ac:dyDescent="0.3">
      <c r="A14" t="s">
        <v>26</v>
      </c>
      <c r="B14" s="1">
        <f>170-45</f>
        <v>125</v>
      </c>
      <c r="C14">
        <v>506</v>
      </c>
      <c r="D14">
        <f t="shared" si="1"/>
        <v>63250</v>
      </c>
      <c r="E14" s="2">
        <f t="shared" si="0"/>
        <v>2.8050148787745744E-2</v>
      </c>
    </row>
    <row r="15" spans="1:8" x14ac:dyDescent="0.3">
      <c r="A15" t="s">
        <v>22</v>
      </c>
      <c r="B15" s="1">
        <v>0</v>
      </c>
      <c r="C15">
        <v>78</v>
      </c>
      <c r="D15">
        <f t="shared" si="1"/>
        <v>0</v>
      </c>
      <c r="E15" s="2">
        <f t="shared" si="0"/>
        <v>0</v>
      </c>
      <c r="G15" t="s">
        <v>30</v>
      </c>
    </row>
    <row r="16" spans="1:8" x14ac:dyDescent="0.3">
      <c r="A16" t="s">
        <v>9</v>
      </c>
      <c r="B16" s="1">
        <f>372-59</f>
        <v>313</v>
      </c>
      <c r="C16">
        <v>333</v>
      </c>
      <c r="D16">
        <f t="shared" si="1"/>
        <v>104229</v>
      </c>
      <c r="E16" s="2">
        <f t="shared" si="0"/>
        <v>4.6223540837912268E-2</v>
      </c>
    </row>
    <row r="17" spans="1:7" x14ac:dyDescent="0.3">
      <c r="A17" t="s">
        <v>8</v>
      </c>
      <c r="B17" s="1">
        <f>1093+219</f>
        <v>1312</v>
      </c>
      <c r="C17">
        <v>169</v>
      </c>
      <c r="D17">
        <f t="shared" si="1"/>
        <v>221728</v>
      </c>
      <c r="E17" s="2">
        <f t="shared" si="0"/>
        <v>9.8332069413585591E-2</v>
      </c>
    </row>
    <row r="18" spans="1:7" x14ac:dyDescent="0.3">
      <c r="A18" t="s">
        <v>28</v>
      </c>
      <c r="B18" s="1">
        <v>186</v>
      </c>
      <c r="C18">
        <v>361</v>
      </c>
      <c r="D18">
        <f t="shared" si="1"/>
        <v>67146</v>
      </c>
      <c r="E18" s="2">
        <f t="shared" si="0"/>
        <v>2.9777949256948232E-2</v>
      </c>
      <c r="G18" t="s">
        <v>29</v>
      </c>
    </row>
    <row r="19" spans="1:7" x14ac:dyDescent="0.3">
      <c r="A19" t="s">
        <v>12</v>
      </c>
      <c r="B19" s="1">
        <v>368</v>
      </c>
      <c r="C19">
        <v>65</v>
      </c>
      <c r="D19">
        <f t="shared" si="1"/>
        <v>23920</v>
      </c>
      <c r="E19" s="2">
        <f t="shared" si="0"/>
        <v>1.0608056268820209E-2</v>
      </c>
    </row>
    <row r="20" spans="1:7" x14ac:dyDescent="0.3">
      <c r="A20" t="s">
        <v>19</v>
      </c>
      <c r="B20" s="1">
        <v>365</v>
      </c>
      <c r="C20">
        <v>254</v>
      </c>
      <c r="D20">
        <f t="shared" si="1"/>
        <v>92710</v>
      </c>
      <c r="E20" s="2">
        <f t="shared" si="0"/>
        <v>4.1115087653943207E-2</v>
      </c>
    </row>
    <row r="21" spans="1:7" x14ac:dyDescent="0.3">
      <c r="A21" t="s">
        <v>10</v>
      </c>
      <c r="B21" s="1">
        <v>225</v>
      </c>
      <c r="C21">
        <v>327</v>
      </c>
      <c r="D21">
        <f t="shared" si="1"/>
        <v>73575</v>
      </c>
      <c r="E21" s="2">
        <f t="shared" si="0"/>
        <v>3.2629086119500286E-2</v>
      </c>
    </row>
    <row r="22" spans="1:7" x14ac:dyDescent="0.3">
      <c r="A22" t="s">
        <v>15</v>
      </c>
      <c r="B22" s="1">
        <v>0</v>
      </c>
      <c r="C22">
        <v>1000</v>
      </c>
      <c r="D22">
        <f t="shared" si="1"/>
        <v>0</v>
      </c>
      <c r="E22" s="2">
        <f t="shared" si="0"/>
        <v>0</v>
      </c>
    </row>
    <row r="24" spans="1:7" x14ac:dyDescent="0.3">
      <c r="D24">
        <f>SUM(D5:D22)</f>
        <v>2254890</v>
      </c>
      <c r="E24"/>
    </row>
  </sheetData>
  <pageMargins left="0.7" right="0.7" top="0.75" bottom="0.75" header="0.3" footer="0.3"/>
  <pageSetup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>
      <selection activeCell="B14" sqref="B14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41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</f>
        <v>522</v>
      </c>
      <c r="C5">
        <v>380</v>
      </c>
      <c r="D5">
        <f>C5*B5</f>
        <v>198360</v>
      </c>
      <c r="E5" s="2">
        <f t="shared" ref="E5:E21" si="0">D5/$D$23</f>
        <v>8.3236959291268925E-2</v>
      </c>
      <c r="G5" t="s">
        <v>34</v>
      </c>
    </row>
    <row r="6" spans="1:7" x14ac:dyDescent="0.3">
      <c r="A6" t="s">
        <v>3</v>
      </c>
      <c r="B6" s="1">
        <f>(511+255)*5</f>
        <v>3830</v>
      </c>
      <c r="C6">
        <v>78</v>
      </c>
      <c r="D6">
        <f t="shared" ref="D6:D21" si="1">C6*B6</f>
        <v>298740</v>
      </c>
      <c r="E6" s="2">
        <f t="shared" si="0"/>
        <v>0.12535898980980884</v>
      </c>
    </row>
    <row r="7" spans="1:7" x14ac:dyDescent="0.3">
      <c r="A7" t="s">
        <v>27</v>
      </c>
      <c r="B7" s="1">
        <v>473</v>
      </c>
      <c r="C7">
        <v>110</v>
      </c>
      <c r="D7">
        <f t="shared" si="1"/>
        <v>52030</v>
      </c>
      <c r="E7" s="2">
        <f t="shared" si="0"/>
        <v>2.1833126597724958E-2</v>
      </c>
    </row>
    <row r="8" spans="1:7" x14ac:dyDescent="0.3">
      <c r="A8" t="s">
        <v>20</v>
      </c>
      <c r="B8" s="1">
        <f>29+10</f>
        <v>39</v>
      </c>
      <c r="C8">
        <v>4850</v>
      </c>
      <c r="D8">
        <f t="shared" si="1"/>
        <v>189150</v>
      </c>
      <c r="E8" s="2">
        <f t="shared" si="0"/>
        <v>7.9372206341719695E-2</v>
      </c>
    </row>
    <row r="9" spans="1:7" x14ac:dyDescent="0.3">
      <c r="A9" t="s">
        <v>17</v>
      </c>
      <c r="B9" s="1">
        <v>350</v>
      </c>
      <c r="C9">
        <v>142</v>
      </c>
      <c r="D9">
        <f t="shared" si="1"/>
        <v>49700</v>
      </c>
      <c r="E9" s="2">
        <f t="shared" si="0"/>
        <v>2.0855398652833566E-2</v>
      </c>
    </row>
    <row r="10" spans="1:7" x14ac:dyDescent="0.3">
      <c r="A10" t="s">
        <v>23</v>
      </c>
      <c r="B10" s="1">
        <v>1645</v>
      </c>
      <c r="C10">
        <v>74</v>
      </c>
      <c r="D10">
        <f t="shared" si="1"/>
        <v>121730</v>
      </c>
      <c r="E10" s="2">
        <f t="shared" si="0"/>
        <v>5.1081039798982493E-2</v>
      </c>
    </row>
    <row r="11" spans="1:7" x14ac:dyDescent="0.3">
      <c r="A11" t="s">
        <v>16</v>
      </c>
      <c r="B11" s="1">
        <v>840</v>
      </c>
      <c r="C11">
        <v>206</v>
      </c>
      <c r="D11">
        <f t="shared" si="1"/>
        <v>173040</v>
      </c>
      <c r="E11" s="2">
        <f t="shared" si="0"/>
        <v>7.2612035872964192E-2</v>
      </c>
    </row>
    <row r="12" spans="1:7" x14ac:dyDescent="0.3">
      <c r="A12" t="s">
        <v>25</v>
      </c>
      <c r="B12" s="1">
        <f>766+383</f>
        <v>1149</v>
      </c>
      <c r="C12">
        <v>131</v>
      </c>
      <c r="D12">
        <f t="shared" si="1"/>
        <v>150519</v>
      </c>
      <c r="E12" s="2">
        <f t="shared" si="0"/>
        <v>6.316164486571138E-2</v>
      </c>
    </row>
    <row r="13" spans="1:7" x14ac:dyDescent="0.3">
      <c r="A13" t="s">
        <v>4</v>
      </c>
      <c r="B13" s="1">
        <v>705</v>
      </c>
      <c r="C13">
        <v>521</v>
      </c>
      <c r="D13">
        <f t="shared" si="1"/>
        <v>367305</v>
      </c>
      <c r="E13" s="2">
        <f t="shared" si="0"/>
        <v>0.15413062781044332</v>
      </c>
      <c r="G13" t="s">
        <v>32</v>
      </c>
    </row>
    <row r="14" spans="1:7" x14ac:dyDescent="0.3">
      <c r="A14" t="s">
        <v>26</v>
      </c>
      <c r="B14" s="1">
        <f>170-45+143</f>
        <v>268</v>
      </c>
      <c r="C14">
        <v>490</v>
      </c>
      <c r="D14">
        <f t="shared" si="1"/>
        <v>131320</v>
      </c>
      <c r="E14" s="2">
        <f t="shared" si="0"/>
        <v>5.5105250524951785E-2</v>
      </c>
      <c r="G14" t="s">
        <v>33</v>
      </c>
    </row>
    <row r="15" spans="1:7" x14ac:dyDescent="0.3">
      <c r="A15" t="s">
        <v>9</v>
      </c>
      <c r="B15" s="1">
        <f>372-59</f>
        <v>313</v>
      </c>
      <c r="C15">
        <v>407</v>
      </c>
      <c r="D15">
        <f t="shared" si="1"/>
        <v>127391</v>
      </c>
      <c r="E15" s="2">
        <f t="shared" si="0"/>
        <v>5.3456541041913899E-2</v>
      </c>
    </row>
    <row r="16" spans="1:7" x14ac:dyDescent="0.3">
      <c r="A16" t="s">
        <v>8</v>
      </c>
      <c r="B16" s="1">
        <f>1093+219</f>
        <v>1312</v>
      </c>
      <c r="C16">
        <v>189</v>
      </c>
      <c r="D16">
        <f t="shared" si="1"/>
        <v>247968</v>
      </c>
      <c r="E16" s="2">
        <f t="shared" si="0"/>
        <v>0.10405375237717975</v>
      </c>
    </row>
    <row r="17" spans="1:5" x14ac:dyDescent="0.3">
      <c r="A17" t="s">
        <v>28</v>
      </c>
      <c r="B17" s="1">
        <v>186</v>
      </c>
      <c r="C17">
        <v>445</v>
      </c>
      <c r="D17">
        <f t="shared" si="1"/>
        <v>82770</v>
      </c>
      <c r="E17" s="2">
        <f t="shared" si="0"/>
        <v>3.4732421458652601E-2</v>
      </c>
    </row>
    <row r="18" spans="1:5" x14ac:dyDescent="0.3">
      <c r="A18" t="s">
        <v>12</v>
      </c>
      <c r="B18" s="1">
        <v>368</v>
      </c>
      <c r="C18">
        <v>71</v>
      </c>
      <c r="D18">
        <f t="shared" si="1"/>
        <v>26128</v>
      </c>
      <c r="E18" s="2">
        <f t="shared" si="0"/>
        <v>1.0963981006061075E-2</v>
      </c>
    </row>
    <row r="19" spans="1:5" x14ac:dyDescent="0.3">
      <c r="A19" t="s">
        <v>19</v>
      </c>
      <c r="B19" s="1">
        <v>365</v>
      </c>
      <c r="C19">
        <v>220</v>
      </c>
      <c r="D19">
        <f t="shared" si="1"/>
        <v>80300</v>
      </c>
      <c r="E19" s="2">
        <f t="shared" si="0"/>
        <v>3.3695945911922237E-2</v>
      </c>
    </row>
    <row r="20" spans="1:5" x14ac:dyDescent="0.3">
      <c r="A20" t="s">
        <v>10</v>
      </c>
      <c r="B20" s="1">
        <v>225</v>
      </c>
      <c r="C20">
        <v>385</v>
      </c>
      <c r="D20">
        <f t="shared" si="1"/>
        <v>86625</v>
      </c>
      <c r="E20" s="2">
        <f t="shared" si="0"/>
        <v>3.635007863786132E-2</v>
      </c>
    </row>
    <row r="21" spans="1:5" x14ac:dyDescent="0.3">
      <c r="A21" t="s">
        <v>15</v>
      </c>
      <c r="B21" s="1">
        <v>0</v>
      </c>
      <c r="C21">
        <v>1000</v>
      </c>
      <c r="D21">
        <f t="shared" si="1"/>
        <v>0</v>
      </c>
      <c r="E21" s="2">
        <f t="shared" si="0"/>
        <v>0</v>
      </c>
    </row>
    <row r="23" spans="1:5" x14ac:dyDescent="0.3">
      <c r="D23">
        <f>SUM(D5:D21)</f>
        <v>2383076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workbookViewId="0">
      <selection activeCell="B5" sqref="B5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41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</f>
        <v>400</v>
      </c>
      <c r="C5">
        <v>399</v>
      </c>
      <c r="D5">
        <f>C5*B5</f>
        <v>159600</v>
      </c>
      <c r="E5" s="2">
        <f t="shared" ref="E5:E21" si="0">D5/$D$23</f>
        <v>6.6047136798683695E-2</v>
      </c>
      <c r="G5" t="s">
        <v>35</v>
      </c>
    </row>
    <row r="6" spans="1:7" x14ac:dyDescent="0.3">
      <c r="A6" t="s">
        <v>3</v>
      </c>
      <c r="B6" s="1">
        <f>(511+255)*5</f>
        <v>3830</v>
      </c>
      <c r="C6">
        <v>79</v>
      </c>
      <c r="D6">
        <f t="shared" ref="D6:D21" si="1">C6*B6</f>
        <v>302570</v>
      </c>
      <c r="E6" s="2">
        <f t="shared" si="0"/>
        <v>0.12521229436828149</v>
      </c>
    </row>
    <row r="7" spans="1:7" x14ac:dyDescent="0.3">
      <c r="A7" t="s">
        <v>27</v>
      </c>
      <c r="B7" s="1">
        <v>473</v>
      </c>
      <c r="C7">
        <v>115</v>
      </c>
      <c r="D7">
        <f t="shared" si="1"/>
        <v>54395</v>
      </c>
      <c r="E7" s="2">
        <f t="shared" si="0"/>
        <v>2.2510238133862152E-2</v>
      </c>
    </row>
    <row r="8" spans="1:7" x14ac:dyDescent="0.3">
      <c r="A8" t="s">
        <v>20</v>
      </c>
      <c r="B8" s="1">
        <f>29+10</f>
        <v>39</v>
      </c>
      <c r="C8">
        <v>4916</v>
      </c>
      <c r="D8">
        <f t="shared" si="1"/>
        <v>191724</v>
      </c>
      <c r="E8" s="2">
        <f t="shared" si="0"/>
        <v>7.9340985310719495E-2</v>
      </c>
    </row>
    <row r="9" spans="1:7" x14ac:dyDescent="0.3">
      <c r="A9" t="s">
        <v>17</v>
      </c>
      <c r="B9" s="1">
        <v>350</v>
      </c>
      <c r="C9">
        <v>140</v>
      </c>
      <c r="D9">
        <f t="shared" si="1"/>
        <v>49000</v>
      </c>
      <c r="E9" s="2">
        <f t="shared" si="0"/>
        <v>2.0277629718894116E-2</v>
      </c>
    </row>
    <row r="10" spans="1:7" x14ac:dyDescent="0.3">
      <c r="A10" t="s">
        <v>23</v>
      </c>
      <c r="B10" s="1">
        <v>1645</v>
      </c>
      <c r="C10">
        <v>75</v>
      </c>
      <c r="D10">
        <f t="shared" si="1"/>
        <v>123375</v>
      </c>
      <c r="E10" s="2">
        <f t="shared" si="0"/>
        <v>5.1056174827929825E-2</v>
      </c>
    </row>
    <row r="11" spans="1:7" x14ac:dyDescent="0.3">
      <c r="A11" t="s">
        <v>16</v>
      </c>
      <c r="B11" s="1">
        <v>840</v>
      </c>
      <c r="C11">
        <v>203</v>
      </c>
      <c r="D11">
        <f t="shared" si="1"/>
        <v>170520</v>
      </c>
      <c r="E11" s="2">
        <f t="shared" si="0"/>
        <v>7.056615142175153E-2</v>
      </c>
    </row>
    <row r="12" spans="1:7" x14ac:dyDescent="0.3">
      <c r="A12" t="s">
        <v>25</v>
      </c>
      <c r="B12" s="1">
        <f>766+383</f>
        <v>1149</v>
      </c>
      <c r="C12">
        <v>129</v>
      </c>
      <c r="D12">
        <f t="shared" si="1"/>
        <v>148221</v>
      </c>
      <c r="E12" s="2">
        <f t="shared" si="0"/>
        <v>6.1338174582942953E-2</v>
      </c>
    </row>
    <row r="13" spans="1:7" x14ac:dyDescent="0.3">
      <c r="A13" t="s">
        <v>4</v>
      </c>
      <c r="B13" s="1">
        <v>705</v>
      </c>
      <c r="C13">
        <v>513</v>
      </c>
      <c r="D13">
        <f t="shared" si="1"/>
        <v>361665</v>
      </c>
      <c r="E13" s="2">
        <f t="shared" si="0"/>
        <v>0.14966752963844573</v>
      </c>
    </row>
    <row r="14" spans="1:7" x14ac:dyDescent="0.3">
      <c r="A14" t="s">
        <v>26</v>
      </c>
      <c r="B14" s="1">
        <f>170-45+143</f>
        <v>268</v>
      </c>
      <c r="C14">
        <v>527</v>
      </c>
      <c r="D14">
        <f t="shared" si="1"/>
        <v>141236</v>
      </c>
      <c r="E14" s="2">
        <f t="shared" si="0"/>
        <v>5.8447577775055701E-2</v>
      </c>
    </row>
    <row r="15" spans="1:7" x14ac:dyDescent="0.3">
      <c r="A15" t="s">
        <v>9</v>
      </c>
      <c r="B15" s="1">
        <f>372-59</f>
        <v>313</v>
      </c>
      <c r="C15">
        <v>453</v>
      </c>
      <c r="D15">
        <f t="shared" si="1"/>
        <v>141789</v>
      </c>
      <c r="E15" s="2">
        <f t="shared" si="0"/>
        <v>5.8676425310454652E-2</v>
      </c>
    </row>
    <row r="16" spans="1:7" x14ac:dyDescent="0.3">
      <c r="A16" t="s">
        <v>8</v>
      </c>
      <c r="B16" s="1">
        <f>1093+219</f>
        <v>1312</v>
      </c>
      <c r="C16">
        <v>185</v>
      </c>
      <c r="D16">
        <f t="shared" si="1"/>
        <v>242720</v>
      </c>
      <c r="E16" s="2">
        <f t="shared" si="0"/>
        <v>0.1004446180687751</v>
      </c>
    </row>
    <row r="17" spans="1:7" x14ac:dyDescent="0.3">
      <c r="A17" t="s">
        <v>28</v>
      </c>
      <c r="B17" s="1">
        <v>186</v>
      </c>
      <c r="C17">
        <v>454</v>
      </c>
      <c r="D17">
        <f t="shared" si="1"/>
        <v>84444</v>
      </c>
      <c r="E17" s="2">
        <f t="shared" si="0"/>
        <v>3.4945391101679484E-2</v>
      </c>
    </row>
    <row r="18" spans="1:7" x14ac:dyDescent="0.3">
      <c r="A18" t="s">
        <v>12</v>
      </c>
      <c r="B18" s="1">
        <v>368</v>
      </c>
      <c r="C18">
        <v>64</v>
      </c>
      <c r="D18">
        <f t="shared" si="1"/>
        <v>23552</v>
      </c>
      <c r="E18" s="2">
        <f t="shared" si="0"/>
        <v>9.7465047987631472E-3</v>
      </c>
    </row>
    <row r="19" spans="1:7" x14ac:dyDescent="0.3">
      <c r="A19" t="s">
        <v>19</v>
      </c>
      <c r="B19" s="1">
        <v>365</v>
      </c>
      <c r="C19">
        <v>233</v>
      </c>
      <c r="D19">
        <f t="shared" si="1"/>
        <v>85045</v>
      </c>
      <c r="E19" s="2">
        <f t="shared" si="0"/>
        <v>3.519410243761939E-2</v>
      </c>
    </row>
    <row r="20" spans="1:7" x14ac:dyDescent="0.3">
      <c r="A20" t="s">
        <v>10</v>
      </c>
      <c r="B20" s="1">
        <v>225</v>
      </c>
      <c r="C20">
        <v>392</v>
      </c>
      <c r="D20">
        <f t="shared" si="1"/>
        <v>88200</v>
      </c>
      <c r="E20" s="2">
        <f t="shared" si="0"/>
        <v>3.6499733494009409E-2</v>
      </c>
    </row>
    <row r="21" spans="1:7" x14ac:dyDescent="0.3">
      <c r="A21" t="s">
        <v>15</v>
      </c>
      <c r="B21" s="1">
        <v>48.4</v>
      </c>
      <c r="C21">
        <v>1000</v>
      </c>
      <c r="D21">
        <f t="shared" si="1"/>
        <v>48400</v>
      </c>
      <c r="E21" s="2">
        <f t="shared" si="0"/>
        <v>2.0029332212132146E-2</v>
      </c>
      <c r="G21" t="s">
        <v>36</v>
      </c>
    </row>
    <row r="23" spans="1:7" x14ac:dyDescent="0.3">
      <c r="D23">
        <f>SUM(D5:D21)</f>
        <v>2416456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workbookViewId="0">
      <selection activeCell="B20" sqref="B20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41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395</v>
      </c>
      <c r="D5">
        <f>C5*B5</f>
        <v>120475</v>
      </c>
      <c r="E5" s="2">
        <f t="shared" ref="E5:E21" si="0">D5/$D$23</f>
        <v>5.0001037581190726E-2</v>
      </c>
      <c r="G5" t="s">
        <v>37</v>
      </c>
    </row>
    <row r="6" spans="1:7" x14ac:dyDescent="0.3">
      <c r="A6" t="s">
        <v>3</v>
      </c>
      <c r="B6" s="1">
        <f>(511+255)*5</f>
        <v>3830</v>
      </c>
      <c r="C6">
        <v>79</v>
      </c>
      <c r="D6">
        <f t="shared" ref="D6:D21" si="1">C6*B6</f>
        <v>302570</v>
      </c>
      <c r="E6" s="2">
        <f t="shared" si="0"/>
        <v>0.1255763763514495</v>
      </c>
    </row>
    <row r="7" spans="1:7" x14ac:dyDescent="0.3">
      <c r="A7" t="s">
        <v>27</v>
      </c>
      <c r="B7" s="1">
        <v>473</v>
      </c>
      <c r="C7">
        <v>114</v>
      </c>
      <c r="D7">
        <f t="shared" si="1"/>
        <v>53922</v>
      </c>
      <c r="E7" s="2">
        <f t="shared" si="0"/>
        <v>2.2379381186577851E-2</v>
      </c>
    </row>
    <row r="8" spans="1:7" x14ac:dyDescent="0.3">
      <c r="A8" t="s">
        <v>20</v>
      </c>
      <c r="B8" s="1">
        <f>29+10</f>
        <v>39</v>
      </c>
      <c r="C8">
        <v>5013</v>
      </c>
      <c r="D8">
        <f t="shared" si="1"/>
        <v>195507</v>
      </c>
      <c r="E8" s="2">
        <f t="shared" si="0"/>
        <v>8.1141754342277286E-2</v>
      </c>
    </row>
    <row r="9" spans="1:7" x14ac:dyDescent="0.3">
      <c r="A9" t="s">
        <v>17</v>
      </c>
      <c r="B9" s="1">
        <v>350</v>
      </c>
      <c r="C9">
        <v>139</v>
      </c>
      <c r="D9">
        <f t="shared" si="1"/>
        <v>48650</v>
      </c>
      <c r="E9" s="2">
        <f t="shared" si="0"/>
        <v>2.0191329971570277E-2</v>
      </c>
    </row>
    <row r="10" spans="1:7" x14ac:dyDescent="0.3">
      <c r="A10" t="s">
        <v>23</v>
      </c>
      <c r="B10" s="1">
        <v>1645</v>
      </c>
      <c r="C10">
        <v>75</v>
      </c>
      <c r="D10">
        <f t="shared" si="1"/>
        <v>123375</v>
      </c>
      <c r="E10" s="2">
        <f t="shared" si="0"/>
        <v>5.1204631762435414E-2</v>
      </c>
    </row>
    <row r="11" spans="1:7" x14ac:dyDescent="0.3">
      <c r="A11" t="s">
        <v>16</v>
      </c>
      <c r="B11" s="1">
        <v>840</v>
      </c>
      <c r="C11">
        <v>200</v>
      </c>
      <c r="D11">
        <f t="shared" si="1"/>
        <v>168000</v>
      </c>
      <c r="E11" s="2">
        <f t="shared" si="0"/>
        <v>6.9725456016933321E-2</v>
      </c>
    </row>
    <row r="12" spans="1:7" x14ac:dyDescent="0.3">
      <c r="A12" t="s">
        <v>25</v>
      </c>
      <c r="B12" s="1">
        <f>766+383</f>
        <v>1149</v>
      </c>
      <c r="C12">
        <v>128</v>
      </c>
      <c r="D12">
        <f t="shared" si="1"/>
        <v>147072</v>
      </c>
      <c r="E12" s="2">
        <f t="shared" si="0"/>
        <v>6.103965635310963E-2</v>
      </c>
    </row>
    <row r="13" spans="1:7" x14ac:dyDescent="0.3">
      <c r="A13" t="s">
        <v>4</v>
      </c>
      <c r="B13" s="1">
        <v>705</v>
      </c>
      <c r="C13">
        <v>514</v>
      </c>
      <c r="D13">
        <f t="shared" si="1"/>
        <v>362370</v>
      </c>
      <c r="E13" s="2">
        <f t="shared" si="0"/>
        <v>0.15039531843366744</v>
      </c>
    </row>
    <row r="14" spans="1:7" x14ac:dyDescent="0.3">
      <c r="A14" t="s">
        <v>26</v>
      </c>
      <c r="B14" s="1">
        <f>170-45+143</f>
        <v>268</v>
      </c>
      <c r="C14">
        <v>524</v>
      </c>
      <c r="D14">
        <f t="shared" si="1"/>
        <v>140432</v>
      </c>
      <c r="E14" s="2">
        <f t="shared" si="0"/>
        <v>5.8283840710535599E-2</v>
      </c>
    </row>
    <row r="15" spans="1:7" x14ac:dyDescent="0.3">
      <c r="A15" t="s">
        <v>9</v>
      </c>
      <c r="B15" s="1">
        <f>372-59-100</f>
        <v>213</v>
      </c>
      <c r="C15">
        <v>445</v>
      </c>
      <c r="D15">
        <f t="shared" si="1"/>
        <v>94785</v>
      </c>
      <c r="E15" s="2">
        <f t="shared" si="0"/>
        <v>3.9338853265268009E-2</v>
      </c>
      <c r="G15" t="s">
        <v>38</v>
      </c>
    </row>
    <row r="16" spans="1:7" x14ac:dyDescent="0.3">
      <c r="A16" t="s">
        <v>8</v>
      </c>
      <c r="B16" s="1">
        <f>1093+219</f>
        <v>1312</v>
      </c>
      <c r="C16">
        <v>182</v>
      </c>
      <c r="D16">
        <f t="shared" si="1"/>
        <v>238784</v>
      </c>
      <c r="E16" s="2">
        <f t="shared" si="0"/>
        <v>9.9103114818734572E-2</v>
      </c>
    </row>
    <row r="17" spans="1:7" x14ac:dyDescent="0.3">
      <c r="A17" t="s">
        <v>28</v>
      </c>
      <c r="B17" s="1">
        <v>186</v>
      </c>
      <c r="C17">
        <v>479</v>
      </c>
      <c r="D17">
        <f t="shared" si="1"/>
        <v>89094</v>
      </c>
      <c r="E17" s="2">
        <f t="shared" si="0"/>
        <v>3.6976903442694393E-2</v>
      </c>
    </row>
    <row r="18" spans="1:7" x14ac:dyDescent="0.3">
      <c r="A18" t="s">
        <v>12</v>
      </c>
      <c r="B18" s="1">
        <v>368</v>
      </c>
      <c r="C18">
        <v>65</v>
      </c>
      <c r="D18">
        <f t="shared" si="1"/>
        <v>23920</v>
      </c>
      <c r="E18" s="2">
        <f t="shared" si="0"/>
        <v>9.9275768328871729E-3</v>
      </c>
    </row>
    <row r="19" spans="1:7" x14ac:dyDescent="0.3">
      <c r="A19" t="s">
        <v>19</v>
      </c>
      <c r="B19" s="1">
        <v>365</v>
      </c>
      <c r="C19">
        <v>230</v>
      </c>
      <c r="D19">
        <f t="shared" si="1"/>
        <v>83950</v>
      </c>
      <c r="E19" s="2">
        <f t="shared" si="0"/>
        <v>3.4841976384652099E-2</v>
      </c>
    </row>
    <row r="20" spans="1:7" x14ac:dyDescent="0.3">
      <c r="A20" t="s">
        <v>10</v>
      </c>
      <c r="B20" s="1">
        <f>225+87</f>
        <v>312</v>
      </c>
      <c r="C20">
        <v>387</v>
      </c>
      <c r="D20">
        <f t="shared" si="1"/>
        <v>120744</v>
      </c>
      <c r="E20" s="2">
        <f t="shared" si="0"/>
        <v>5.0112681317313078E-2</v>
      </c>
      <c r="G20" t="s">
        <v>39</v>
      </c>
    </row>
    <row r="21" spans="1:7" x14ac:dyDescent="0.3">
      <c r="A21" t="s">
        <v>15</v>
      </c>
      <c r="B21" s="1">
        <f>48.4+47.4</f>
        <v>95.8</v>
      </c>
      <c r="C21">
        <v>1000</v>
      </c>
      <c r="D21">
        <f t="shared" si="1"/>
        <v>95800</v>
      </c>
      <c r="E21" s="2">
        <f t="shared" si="0"/>
        <v>3.9760111228703647E-2</v>
      </c>
      <c r="G21" t="s">
        <v>40</v>
      </c>
    </row>
    <row r="23" spans="1:7" x14ac:dyDescent="0.3">
      <c r="D23">
        <f>SUM(D5:D21)</f>
        <v>2409450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"/>
  <sheetViews>
    <sheetView workbookViewId="0">
      <selection activeCell="B14" sqref="B14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41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374</v>
      </c>
      <c r="D5">
        <f>C5*B5</f>
        <v>114070</v>
      </c>
      <c r="E5" s="2">
        <f t="shared" ref="E5:E21" si="0">D5/$D$23</f>
        <v>4.6891250282613609E-2</v>
      </c>
    </row>
    <row r="6" spans="1:7" x14ac:dyDescent="0.3">
      <c r="A6" t="s">
        <v>3</v>
      </c>
      <c r="B6" s="1">
        <f>(511+255)*5</f>
        <v>3830</v>
      </c>
      <c r="C6">
        <v>78</v>
      </c>
      <c r="D6">
        <f t="shared" ref="D6:D21" si="1">C6*B6</f>
        <v>298740</v>
      </c>
      <c r="E6" s="2">
        <f t="shared" si="0"/>
        <v>0.12280434916654677</v>
      </c>
    </row>
    <row r="7" spans="1:7" x14ac:dyDescent="0.3">
      <c r="A7" t="s">
        <v>27</v>
      </c>
      <c r="B7" s="1">
        <v>473</v>
      </c>
      <c r="C7">
        <v>117</v>
      </c>
      <c r="D7">
        <f t="shared" si="1"/>
        <v>55341</v>
      </c>
      <c r="E7" s="2">
        <f t="shared" si="0"/>
        <v>2.2749265204612255E-2</v>
      </c>
    </row>
    <row r="8" spans="1:7" x14ac:dyDescent="0.3">
      <c r="A8" t="s">
        <v>20</v>
      </c>
      <c r="B8" s="1">
        <f>29+10</f>
        <v>39</v>
      </c>
      <c r="C8">
        <v>5547</v>
      </c>
      <c r="D8">
        <f t="shared" si="1"/>
        <v>216333</v>
      </c>
      <c r="E8" s="2">
        <f t="shared" si="0"/>
        <v>8.8928945799847905E-2</v>
      </c>
    </row>
    <row r="9" spans="1:7" x14ac:dyDescent="0.3">
      <c r="A9" t="s">
        <v>17</v>
      </c>
      <c r="B9" s="1">
        <v>350</v>
      </c>
      <c r="C9">
        <v>141</v>
      </c>
      <c r="D9">
        <f t="shared" si="1"/>
        <v>49350</v>
      </c>
      <c r="E9" s="2">
        <f t="shared" si="0"/>
        <v>2.0286518816928042E-2</v>
      </c>
    </row>
    <row r="10" spans="1:7" x14ac:dyDescent="0.3">
      <c r="A10" t="s">
        <v>23</v>
      </c>
      <c r="B10" s="1">
        <v>1645</v>
      </c>
      <c r="C10">
        <v>83</v>
      </c>
      <c r="D10">
        <f t="shared" si="1"/>
        <v>136535</v>
      </c>
      <c r="E10" s="2">
        <f t="shared" si="0"/>
        <v>5.6126035393500917E-2</v>
      </c>
    </row>
    <row r="11" spans="1:7" x14ac:dyDescent="0.3">
      <c r="A11" t="s">
        <v>16</v>
      </c>
      <c r="B11" s="1">
        <v>840</v>
      </c>
      <c r="C11">
        <v>202</v>
      </c>
      <c r="D11">
        <f t="shared" si="1"/>
        <v>169680</v>
      </c>
      <c r="E11" s="2">
        <f t="shared" si="0"/>
        <v>6.975109448543769E-2</v>
      </c>
    </row>
    <row r="12" spans="1:7" x14ac:dyDescent="0.3">
      <c r="A12" t="s">
        <v>25</v>
      </c>
      <c r="B12" s="1">
        <f>766+383</f>
        <v>1149</v>
      </c>
      <c r="C12">
        <v>130</v>
      </c>
      <c r="D12">
        <f t="shared" si="1"/>
        <v>149370</v>
      </c>
      <c r="E12" s="2">
        <f t="shared" si="0"/>
        <v>6.1402174583273385E-2</v>
      </c>
    </row>
    <row r="13" spans="1:7" x14ac:dyDescent="0.3">
      <c r="A13" t="s">
        <v>4</v>
      </c>
      <c r="B13" s="1">
        <v>705</v>
      </c>
      <c r="C13">
        <v>544</v>
      </c>
      <c r="D13">
        <f t="shared" si="1"/>
        <v>383520</v>
      </c>
      <c r="E13" s="2">
        <f t="shared" si="0"/>
        <v>0.15765523194869793</v>
      </c>
    </row>
    <row r="14" spans="1:7" x14ac:dyDescent="0.3">
      <c r="A14" t="s">
        <v>26</v>
      </c>
      <c r="B14" s="1">
        <f>170-45+143-268</f>
        <v>0</v>
      </c>
      <c r="C14">
        <v>517</v>
      </c>
      <c r="D14">
        <f t="shared" si="1"/>
        <v>0</v>
      </c>
      <c r="E14" s="2">
        <f t="shared" si="0"/>
        <v>0</v>
      </c>
      <c r="G14" t="s">
        <v>41</v>
      </c>
    </row>
    <row r="15" spans="1:7" x14ac:dyDescent="0.3">
      <c r="A15" t="s">
        <v>9</v>
      </c>
      <c r="B15" s="1">
        <f>372-59-100</f>
        <v>213</v>
      </c>
      <c r="C15">
        <v>401</v>
      </c>
      <c r="D15">
        <f t="shared" si="1"/>
        <v>85413</v>
      </c>
      <c r="E15" s="2">
        <f t="shared" si="0"/>
        <v>3.5111092841140321E-2</v>
      </c>
    </row>
    <row r="16" spans="1:7" x14ac:dyDescent="0.3">
      <c r="A16" t="s">
        <v>8</v>
      </c>
      <c r="B16" s="1">
        <f>1093+219</f>
        <v>1312</v>
      </c>
      <c r="C16">
        <v>188</v>
      </c>
      <c r="D16">
        <f t="shared" si="1"/>
        <v>246656</v>
      </c>
      <c r="E16" s="2">
        <f t="shared" si="0"/>
        <v>0.10139395309641749</v>
      </c>
    </row>
    <row r="17" spans="1:5" x14ac:dyDescent="0.3">
      <c r="A17" t="s">
        <v>28</v>
      </c>
      <c r="B17" s="1">
        <v>186</v>
      </c>
      <c r="C17">
        <v>424</v>
      </c>
      <c r="D17">
        <f t="shared" si="1"/>
        <v>78864</v>
      </c>
      <c r="E17" s="2">
        <f t="shared" si="0"/>
        <v>3.2418966970176558E-2</v>
      </c>
    </row>
    <row r="18" spans="1:5" x14ac:dyDescent="0.3">
      <c r="A18" t="s">
        <v>12</v>
      </c>
      <c r="B18" s="1">
        <v>368</v>
      </c>
      <c r="C18">
        <v>70</v>
      </c>
      <c r="D18">
        <f t="shared" si="1"/>
        <v>25760</v>
      </c>
      <c r="E18" s="2">
        <f t="shared" si="0"/>
        <v>1.0589275070396481E-2</v>
      </c>
    </row>
    <row r="19" spans="1:5" x14ac:dyDescent="0.3">
      <c r="A19" t="s">
        <v>19</v>
      </c>
      <c r="B19" s="1">
        <v>365</v>
      </c>
      <c r="C19">
        <v>222</v>
      </c>
      <c r="D19">
        <f t="shared" si="1"/>
        <v>81030</v>
      </c>
      <c r="E19" s="2">
        <f t="shared" si="0"/>
        <v>3.3309353996670295E-2</v>
      </c>
    </row>
    <row r="20" spans="1:5" x14ac:dyDescent="0.3">
      <c r="A20" t="s">
        <v>10</v>
      </c>
      <c r="B20" s="1">
        <f>225+87</f>
        <v>312</v>
      </c>
      <c r="C20">
        <v>374</v>
      </c>
      <c r="D20">
        <f t="shared" si="1"/>
        <v>116688</v>
      </c>
      <c r="E20" s="2">
        <f t="shared" si="0"/>
        <v>4.7967442912050642E-2</v>
      </c>
    </row>
    <row r="21" spans="1:5" x14ac:dyDescent="0.3">
      <c r="A21" t="s">
        <v>15</v>
      </c>
      <c r="B21" s="1">
        <f>48.4+47.4+129.5</f>
        <v>225.3</v>
      </c>
      <c r="C21">
        <v>1000</v>
      </c>
      <c r="D21">
        <f t="shared" si="1"/>
        <v>225300</v>
      </c>
      <c r="E21" s="2">
        <f t="shared" si="0"/>
        <v>9.2615049431689717E-2</v>
      </c>
    </row>
    <row r="23" spans="1:5" x14ac:dyDescent="0.3">
      <c r="D23">
        <f>SUM(D5:D21)</f>
        <v>2432650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workbookViewId="0">
      <selection activeCell="F18" sqref="F18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41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367</v>
      </c>
      <c r="D5">
        <f>C5*B5</f>
        <v>111935</v>
      </c>
      <c r="E5" s="2">
        <f t="shared" ref="E5:E21" si="0">D5/$D$23</f>
        <v>4.5904951099241802E-2</v>
      </c>
    </row>
    <row r="6" spans="1:7" x14ac:dyDescent="0.3">
      <c r="A6" t="s">
        <v>3</v>
      </c>
      <c r="B6" s="1">
        <f>(511+255)*5</f>
        <v>3830</v>
      </c>
      <c r="C6">
        <v>79</v>
      </c>
      <c r="D6">
        <f t="shared" ref="D6:D21" si="1">C6*B6</f>
        <v>302570</v>
      </c>
      <c r="E6" s="2">
        <f t="shared" si="0"/>
        <v>0.12408505877605389</v>
      </c>
    </row>
    <row r="7" spans="1:7" x14ac:dyDescent="0.3">
      <c r="A7" t="s">
        <v>27</v>
      </c>
      <c r="B7" s="1">
        <v>473</v>
      </c>
      <c r="C7">
        <v>117</v>
      </c>
      <c r="D7">
        <f t="shared" si="1"/>
        <v>55341</v>
      </c>
      <c r="E7" s="2">
        <f t="shared" si="0"/>
        <v>2.2695545618288654E-2</v>
      </c>
    </row>
    <row r="8" spans="1:7" x14ac:dyDescent="0.3">
      <c r="A8" t="s">
        <v>20</v>
      </c>
      <c r="B8" s="1">
        <f>29+10</f>
        <v>39</v>
      </c>
      <c r="C8">
        <v>5571</v>
      </c>
      <c r="D8">
        <f t="shared" si="1"/>
        <v>217269</v>
      </c>
      <c r="E8" s="2">
        <f t="shared" si="0"/>
        <v>8.9102808061653341E-2</v>
      </c>
    </row>
    <row r="9" spans="1:7" x14ac:dyDescent="0.3">
      <c r="A9" t="s">
        <v>17</v>
      </c>
      <c r="B9" s="1">
        <v>350</v>
      </c>
      <c r="C9">
        <v>141</v>
      </c>
      <c r="D9">
        <f t="shared" si="1"/>
        <v>49350</v>
      </c>
      <c r="E9" s="2">
        <f t="shared" si="0"/>
        <v>2.0238614702707668E-2</v>
      </c>
    </row>
    <row r="10" spans="1:7" x14ac:dyDescent="0.3">
      <c r="A10" t="s">
        <v>23</v>
      </c>
      <c r="B10" s="1">
        <v>1645</v>
      </c>
      <c r="C10">
        <v>84</v>
      </c>
      <c r="D10">
        <f t="shared" si="1"/>
        <v>138180</v>
      </c>
      <c r="E10" s="2">
        <f t="shared" si="0"/>
        <v>5.6668121167581471E-2</v>
      </c>
    </row>
    <row r="11" spans="1:7" x14ac:dyDescent="0.3">
      <c r="A11" t="s">
        <v>16</v>
      </c>
      <c r="B11" s="1">
        <v>840</v>
      </c>
      <c r="C11">
        <v>201</v>
      </c>
      <c r="D11">
        <f t="shared" si="1"/>
        <v>168840</v>
      </c>
      <c r="E11" s="2">
        <f t="shared" si="0"/>
        <v>6.9241898812667943E-2</v>
      </c>
    </row>
    <row r="12" spans="1:7" x14ac:dyDescent="0.3">
      <c r="A12" t="s">
        <v>25</v>
      </c>
      <c r="B12" s="1">
        <f>766+383</f>
        <v>1149</v>
      </c>
      <c r="C12">
        <v>130</v>
      </c>
      <c r="D12">
        <f t="shared" si="1"/>
        <v>149370</v>
      </c>
      <c r="E12" s="2">
        <f t="shared" si="0"/>
        <v>6.1257180914760775E-2</v>
      </c>
    </row>
    <row r="13" spans="1:7" x14ac:dyDescent="0.3">
      <c r="A13" t="s">
        <v>4</v>
      </c>
      <c r="B13" s="1">
        <v>705</v>
      </c>
      <c r="C13">
        <v>535</v>
      </c>
      <c r="D13">
        <f t="shared" si="1"/>
        <v>377175</v>
      </c>
      <c r="E13" s="2">
        <f t="shared" si="0"/>
        <v>0.15468084094212289</v>
      </c>
    </row>
    <row r="14" spans="1:7" x14ac:dyDescent="0.3">
      <c r="A14" t="s">
        <v>9</v>
      </c>
      <c r="B14" s="1">
        <f>372-59-100</f>
        <v>213</v>
      </c>
      <c r="C14">
        <v>402</v>
      </c>
      <c r="D14">
        <f t="shared" si="1"/>
        <v>85626</v>
      </c>
      <c r="E14" s="2">
        <f t="shared" si="0"/>
        <v>3.5115534397853025E-2</v>
      </c>
    </row>
    <row r="15" spans="1:7" x14ac:dyDescent="0.3">
      <c r="A15" t="s">
        <v>8</v>
      </c>
      <c r="B15" s="1">
        <f>1093+219</f>
        <v>1312</v>
      </c>
      <c r="C15">
        <v>187</v>
      </c>
      <c r="D15">
        <f t="shared" si="1"/>
        <v>245344</v>
      </c>
      <c r="E15" s="2">
        <f t="shared" si="0"/>
        <v>0.10061646779374084</v>
      </c>
    </row>
    <row r="16" spans="1:7" x14ac:dyDescent="0.3">
      <c r="A16" t="s">
        <v>28</v>
      </c>
      <c r="B16" s="1">
        <v>186</v>
      </c>
      <c r="C16">
        <v>451</v>
      </c>
      <c r="D16">
        <f t="shared" si="1"/>
        <v>83886</v>
      </c>
      <c r="E16" s="2">
        <f t="shared" si="0"/>
        <v>3.4401954061830504E-2</v>
      </c>
    </row>
    <row r="17" spans="1:7" x14ac:dyDescent="0.3">
      <c r="A17" t="s">
        <v>42</v>
      </c>
      <c r="B17" s="1">
        <v>267</v>
      </c>
      <c r="C17">
        <v>365</v>
      </c>
      <c r="D17">
        <f t="shared" si="1"/>
        <v>97455</v>
      </c>
      <c r="E17" s="2">
        <f t="shared" si="0"/>
        <v>3.9966650371881983E-2</v>
      </c>
      <c r="G17" t="s">
        <v>43</v>
      </c>
    </row>
    <row r="18" spans="1:7" x14ac:dyDescent="0.3">
      <c r="A18" t="s">
        <v>12</v>
      </c>
      <c r="B18" s="1">
        <v>368</v>
      </c>
      <c r="C18">
        <v>71</v>
      </c>
      <c r="D18">
        <f t="shared" si="1"/>
        <v>26128</v>
      </c>
      <c r="E18" s="2">
        <f t="shared" si="0"/>
        <v>1.0715187942296778E-2</v>
      </c>
    </row>
    <row r="19" spans="1:7" x14ac:dyDescent="0.3">
      <c r="A19" t="s">
        <v>19</v>
      </c>
      <c r="B19" s="1">
        <v>365</v>
      </c>
      <c r="C19">
        <v>223</v>
      </c>
      <c r="D19">
        <f t="shared" si="1"/>
        <v>81395</v>
      </c>
      <c r="E19" s="2">
        <f t="shared" si="0"/>
        <v>3.3380385891122404E-2</v>
      </c>
    </row>
    <row r="20" spans="1:7" x14ac:dyDescent="0.3">
      <c r="A20" t="s">
        <v>10</v>
      </c>
      <c r="B20" s="1">
        <f>225+87</f>
        <v>312</v>
      </c>
      <c r="C20">
        <v>387</v>
      </c>
      <c r="D20">
        <f t="shared" si="1"/>
        <v>120744</v>
      </c>
      <c r="E20" s="2">
        <f t="shared" si="0"/>
        <v>4.9517554076266151E-2</v>
      </c>
    </row>
    <row r="21" spans="1:7" x14ac:dyDescent="0.3">
      <c r="A21" t="s">
        <v>15</v>
      </c>
      <c r="B21" s="1">
        <f>48.4+47.4+129.5-97.5</f>
        <v>127.80000000000001</v>
      </c>
      <c r="C21">
        <v>1000</v>
      </c>
      <c r="D21">
        <f t="shared" si="1"/>
        <v>127800.00000000001</v>
      </c>
      <c r="E21" s="2">
        <f t="shared" si="0"/>
        <v>5.2411245369929894E-2</v>
      </c>
      <c r="G21" t="s">
        <v>44</v>
      </c>
    </row>
    <row r="23" spans="1:7" x14ac:dyDescent="0.3">
      <c r="D23">
        <f>SUM(D5:D21)</f>
        <v>2438408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3"/>
  <sheetViews>
    <sheetView workbookViewId="0">
      <selection activeCell="B20" sqref="B20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406</v>
      </c>
      <c r="D5">
        <f>C5*B5</f>
        <v>123830</v>
      </c>
      <c r="E5" s="2">
        <f t="shared" ref="E5:E21" si="0">D5/$D$23</f>
        <v>4.3404652075767984E-2</v>
      </c>
    </row>
    <row r="6" spans="1:7" x14ac:dyDescent="0.3">
      <c r="A6" t="s">
        <v>3</v>
      </c>
      <c r="B6" s="1">
        <f>(511+255)*5</f>
        <v>3830</v>
      </c>
      <c r="C6">
        <v>98</v>
      </c>
      <c r="D6">
        <f t="shared" ref="D6:D21" si="1">C6*B6</f>
        <v>375340</v>
      </c>
      <c r="E6" s="2">
        <f t="shared" si="0"/>
        <v>0.13156345078025322</v>
      </c>
    </row>
    <row r="7" spans="1:7" x14ac:dyDescent="0.3">
      <c r="A7" t="s">
        <v>27</v>
      </c>
      <c r="B7" s="1">
        <v>473</v>
      </c>
      <c r="C7">
        <v>128</v>
      </c>
      <c r="D7">
        <f t="shared" si="1"/>
        <v>60544</v>
      </c>
      <c r="E7" s="2">
        <f t="shared" si="0"/>
        <v>2.1221765769807777E-2</v>
      </c>
    </row>
    <row r="8" spans="1:7" x14ac:dyDescent="0.3">
      <c r="A8" t="s">
        <v>20</v>
      </c>
      <c r="B8" s="1">
        <f>29+10</f>
        <v>39</v>
      </c>
      <c r="C8">
        <v>6067</v>
      </c>
      <c r="D8">
        <f t="shared" si="1"/>
        <v>236613</v>
      </c>
      <c r="E8" s="2">
        <f t="shared" si="0"/>
        <v>8.2937131079735854E-2</v>
      </c>
    </row>
    <row r="9" spans="1:7" x14ac:dyDescent="0.3">
      <c r="A9" t="s">
        <v>17</v>
      </c>
      <c r="B9" s="1">
        <v>350</v>
      </c>
      <c r="C9">
        <v>163</v>
      </c>
      <c r="D9">
        <f t="shared" si="1"/>
        <v>57050</v>
      </c>
      <c r="E9" s="2">
        <f t="shared" si="0"/>
        <v>1.9997055648248111E-2</v>
      </c>
    </row>
    <row r="10" spans="1:7" x14ac:dyDescent="0.3">
      <c r="A10" t="s">
        <v>23</v>
      </c>
      <c r="B10" s="1">
        <v>1645</v>
      </c>
      <c r="C10">
        <v>93</v>
      </c>
      <c r="D10">
        <f t="shared" si="1"/>
        <v>152985</v>
      </c>
      <c r="E10" s="2">
        <f t="shared" si="0"/>
        <v>5.3624006281283734E-2</v>
      </c>
    </row>
    <row r="11" spans="1:7" x14ac:dyDescent="0.3">
      <c r="A11" t="s">
        <v>16</v>
      </c>
      <c r="B11" s="1">
        <v>840</v>
      </c>
      <c r="C11">
        <v>309</v>
      </c>
      <c r="D11">
        <f t="shared" si="1"/>
        <v>259560</v>
      </c>
      <c r="E11" s="2">
        <f t="shared" si="0"/>
        <v>9.0980469133379135E-2</v>
      </c>
    </row>
    <row r="12" spans="1:7" x14ac:dyDescent="0.3">
      <c r="A12" t="s">
        <v>25</v>
      </c>
      <c r="B12" s="1">
        <f>766+383</f>
        <v>1149</v>
      </c>
      <c r="C12">
        <v>154</v>
      </c>
      <c r="D12">
        <f t="shared" si="1"/>
        <v>176946</v>
      </c>
      <c r="E12" s="2">
        <f t="shared" si="0"/>
        <v>6.2022769653547943E-2</v>
      </c>
    </row>
    <row r="13" spans="1:7" x14ac:dyDescent="0.3">
      <c r="A13" t="s">
        <v>4</v>
      </c>
      <c r="B13" s="1">
        <v>705</v>
      </c>
      <c r="C13">
        <v>616</v>
      </c>
      <c r="D13">
        <f t="shared" si="1"/>
        <v>434280</v>
      </c>
      <c r="E13" s="2">
        <f t="shared" si="0"/>
        <v>0.15222298557267641</v>
      </c>
    </row>
    <row r="14" spans="1:7" x14ac:dyDescent="0.3">
      <c r="A14" t="s">
        <v>9</v>
      </c>
      <c r="B14" s="1">
        <f>372-59-100</f>
        <v>213</v>
      </c>
      <c r="C14">
        <v>406</v>
      </c>
      <c r="D14">
        <f t="shared" si="1"/>
        <v>86478</v>
      </c>
      <c r="E14" s="2">
        <f t="shared" si="0"/>
        <v>3.0312101285700267E-2</v>
      </c>
    </row>
    <row r="15" spans="1:7" x14ac:dyDescent="0.3">
      <c r="A15" t="s">
        <v>8</v>
      </c>
      <c r="B15" s="1">
        <f>1093+219</f>
        <v>1312</v>
      </c>
      <c r="C15">
        <v>215</v>
      </c>
      <c r="D15">
        <f t="shared" si="1"/>
        <v>282080</v>
      </c>
      <c r="E15" s="2">
        <f t="shared" si="0"/>
        <v>9.8874135972968041E-2</v>
      </c>
    </row>
    <row r="16" spans="1:7" x14ac:dyDescent="0.3">
      <c r="A16" t="s">
        <v>28</v>
      </c>
      <c r="B16" s="1">
        <v>186</v>
      </c>
      <c r="C16">
        <v>517</v>
      </c>
      <c r="D16">
        <f t="shared" si="1"/>
        <v>96162</v>
      </c>
      <c r="E16" s="2">
        <f t="shared" si="0"/>
        <v>3.3706518233949781E-2</v>
      </c>
    </row>
    <row r="17" spans="1:7" x14ac:dyDescent="0.3">
      <c r="A17" t="s">
        <v>42</v>
      </c>
      <c r="B17" s="1">
        <v>267</v>
      </c>
      <c r="C17">
        <v>460</v>
      </c>
      <c r="D17">
        <f t="shared" si="1"/>
        <v>122820</v>
      </c>
      <c r="E17" s="2">
        <f t="shared" si="0"/>
        <v>4.3050628829409868E-2</v>
      </c>
    </row>
    <row r="18" spans="1:7" x14ac:dyDescent="0.3">
      <c r="A18" t="s">
        <v>12</v>
      </c>
      <c r="B18" s="1">
        <v>368</v>
      </c>
      <c r="C18">
        <v>84</v>
      </c>
      <c r="D18">
        <f t="shared" si="1"/>
        <v>30912</v>
      </c>
      <c r="E18" s="2">
        <f t="shared" si="0"/>
        <v>1.0835214446952596E-2</v>
      </c>
    </row>
    <row r="19" spans="1:7" x14ac:dyDescent="0.3">
      <c r="A19" t="s">
        <v>19</v>
      </c>
      <c r="B19" s="1">
        <v>365</v>
      </c>
      <c r="C19">
        <v>320</v>
      </c>
      <c r="D19">
        <f t="shared" si="1"/>
        <v>116800</v>
      </c>
      <c r="E19" s="2">
        <f t="shared" si="0"/>
        <v>4.0940510073889207E-2</v>
      </c>
    </row>
    <row r="20" spans="1:7" x14ac:dyDescent="0.3">
      <c r="A20" t="s">
        <v>10</v>
      </c>
      <c r="B20" s="1">
        <f>225+87+144</f>
        <v>456</v>
      </c>
      <c r="C20">
        <v>370</v>
      </c>
      <c r="D20">
        <f t="shared" si="1"/>
        <v>168720</v>
      </c>
      <c r="E20" s="2">
        <f t="shared" si="0"/>
        <v>5.9139408045090644E-2</v>
      </c>
      <c r="G20" t="s">
        <v>46</v>
      </c>
    </row>
    <row r="21" spans="1:7" x14ac:dyDescent="0.3">
      <c r="A21" t="s">
        <v>15</v>
      </c>
      <c r="B21" s="1">
        <f>48.4+47.4+129.5-97.5-56</f>
        <v>71.800000000000011</v>
      </c>
      <c r="C21">
        <v>1000</v>
      </c>
      <c r="D21">
        <f t="shared" si="1"/>
        <v>71800.000000000015</v>
      </c>
      <c r="E21" s="2">
        <f t="shared" si="0"/>
        <v>2.5167197117339432E-2</v>
      </c>
    </row>
    <row r="23" spans="1:7" x14ac:dyDescent="0.3">
      <c r="D23">
        <f>SUM(D5:D21)</f>
        <v>2852920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workbookViewId="0">
      <selection activeCell="B23" sqref="B23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456</v>
      </c>
      <c r="D5">
        <f>C5*B5</f>
        <v>139080</v>
      </c>
      <c r="E5" s="2">
        <f t="shared" ref="E5:E21" si="0">D5/$D$23</f>
        <v>4.0766520802562302E-2</v>
      </c>
    </row>
    <row r="6" spans="1:7" x14ac:dyDescent="0.3">
      <c r="A6" t="s">
        <v>3</v>
      </c>
      <c r="B6" s="1">
        <f>(511+255)*5</f>
        <v>3830</v>
      </c>
      <c r="C6">
        <v>120</v>
      </c>
      <c r="D6">
        <f t="shared" ref="D6:D21" si="1">C6*B6</f>
        <v>459600</v>
      </c>
      <c r="E6" s="2">
        <f t="shared" si="0"/>
        <v>0.1347159401844811</v>
      </c>
    </row>
    <row r="7" spans="1:7" x14ac:dyDescent="0.3">
      <c r="A7" t="s">
        <v>27</v>
      </c>
      <c r="B7" s="1">
        <v>473</v>
      </c>
      <c r="C7">
        <v>119</v>
      </c>
      <c r="D7">
        <f t="shared" si="1"/>
        <v>56287</v>
      </c>
      <c r="E7" s="2">
        <f t="shared" si="0"/>
        <v>1.6498599053881392E-2</v>
      </c>
    </row>
    <row r="8" spans="1:7" x14ac:dyDescent="0.3">
      <c r="A8" t="s">
        <v>20</v>
      </c>
      <c r="B8" s="1">
        <f>29+10</f>
        <v>39</v>
      </c>
      <c r="C8">
        <v>8260</v>
      </c>
      <c r="D8">
        <f t="shared" si="1"/>
        <v>322140</v>
      </c>
      <c r="E8" s="2">
        <f t="shared" si="0"/>
        <v>9.4424266690663061E-2</v>
      </c>
    </row>
    <row r="9" spans="1:7" x14ac:dyDescent="0.3">
      <c r="A9" t="s">
        <v>17</v>
      </c>
      <c r="B9" s="1">
        <v>350</v>
      </c>
      <c r="C9">
        <v>223</v>
      </c>
      <c r="D9">
        <f t="shared" si="1"/>
        <v>78050</v>
      </c>
      <c r="E9" s="2">
        <f t="shared" si="0"/>
        <v>2.2877674350301896E-2</v>
      </c>
    </row>
    <row r="10" spans="1:7" x14ac:dyDescent="0.3">
      <c r="A10" t="s">
        <v>23</v>
      </c>
      <c r="B10" s="1">
        <v>1645</v>
      </c>
      <c r="C10">
        <v>117</v>
      </c>
      <c r="D10">
        <f t="shared" si="1"/>
        <v>192465</v>
      </c>
      <c r="E10" s="2">
        <f t="shared" si="0"/>
        <v>5.641449831942158E-2</v>
      </c>
    </row>
    <row r="11" spans="1:7" x14ac:dyDescent="0.3">
      <c r="A11" t="s">
        <v>16</v>
      </c>
      <c r="B11" s="1">
        <v>840</v>
      </c>
      <c r="C11">
        <v>289</v>
      </c>
      <c r="D11">
        <f t="shared" si="1"/>
        <v>242760</v>
      </c>
      <c r="E11" s="2">
        <f t="shared" si="0"/>
        <v>7.1156748562194588E-2</v>
      </c>
    </row>
    <row r="12" spans="1:7" x14ac:dyDescent="0.3">
      <c r="A12" t="s">
        <v>25</v>
      </c>
      <c r="B12" s="1">
        <f>766+383</f>
        <v>1149</v>
      </c>
      <c r="C12">
        <v>152</v>
      </c>
      <c r="D12">
        <f t="shared" si="1"/>
        <v>174648</v>
      </c>
      <c r="E12" s="2">
        <f t="shared" si="0"/>
        <v>5.1192057270102821E-2</v>
      </c>
    </row>
    <row r="13" spans="1:7" x14ac:dyDescent="0.3">
      <c r="A13" t="s">
        <v>4</v>
      </c>
      <c r="B13" s="1">
        <v>705</v>
      </c>
      <c r="C13">
        <v>691</v>
      </c>
      <c r="D13">
        <f t="shared" si="1"/>
        <v>487155</v>
      </c>
      <c r="E13" s="2">
        <f t="shared" si="0"/>
        <v>0.14279274116747367</v>
      </c>
    </row>
    <row r="14" spans="1:7" x14ac:dyDescent="0.3">
      <c r="A14" t="s">
        <v>9</v>
      </c>
      <c r="B14" s="1">
        <f>372-59-100-213</f>
        <v>0</v>
      </c>
      <c r="C14">
        <v>463</v>
      </c>
      <c r="D14">
        <f t="shared" si="1"/>
        <v>0</v>
      </c>
      <c r="E14" s="2">
        <f t="shared" si="0"/>
        <v>0</v>
      </c>
      <c r="G14" t="s">
        <v>47</v>
      </c>
    </row>
    <row r="15" spans="1:7" x14ac:dyDescent="0.3">
      <c r="A15" t="s">
        <v>8</v>
      </c>
      <c r="B15" s="1">
        <f>1093+219</f>
        <v>1312</v>
      </c>
      <c r="C15">
        <v>337</v>
      </c>
      <c r="D15">
        <f t="shared" si="1"/>
        <v>442144</v>
      </c>
      <c r="E15" s="2">
        <f t="shared" si="0"/>
        <v>0.12959931387495044</v>
      </c>
    </row>
    <row r="16" spans="1:7" x14ac:dyDescent="0.3">
      <c r="A16" t="s">
        <v>28</v>
      </c>
      <c r="B16" s="1">
        <v>186</v>
      </c>
      <c r="C16">
        <v>624</v>
      </c>
      <c r="D16">
        <f t="shared" si="1"/>
        <v>116064</v>
      </c>
      <c r="E16" s="2">
        <f t="shared" si="0"/>
        <v>3.4020171630921706E-2</v>
      </c>
    </row>
    <row r="17" spans="1:5" x14ac:dyDescent="0.3">
      <c r="A17" t="s">
        <v>42</v>
      </c>
      <c r="B17" s="1">
        <v>267</v>
      </c>
      <c r="C17">
        <v>627</v>
      </c>
      <c r="D17">
        <f t="shared" si="1"/>
        <v>167409</v>
      </c>
      <c r="E17" s="2">
        <f t="shared" si="0"/>
        <v>4.9070193277510443E-2</v>
      </c>
    </row>
    <row r="18" spans="1:5" x14ac:dyDescent="0.3">
      <c r="A18" t="s">
        <v>12</v>
      </c>
      <c r="B18" s="1">
        <v>368</v>
      </c>
      <c r="C18">
        <v>136</v>
      </c>
      <c r="D18">
        <f t="shared" si="1"/>
        <v>50048</v>
      </c>
      <c r="E18" s="2">
        <f t="shared" si="0"/>
        <v>1.4669850683970649E-2</v>
      </c>
    </row>
    <row r="19" spans="1:5" x14ac:dyDescent="0.3">
      <c r="A19" t="s">
        <v>19</v>
      </c>
      <c r="B19" s="1">
        <v>365</v>
      </c>
      <c r="C19">
        <v>357</v>
      </c>
      <c r="D19">
        <f t="shared" si="1"/>
        <v>130305</v>
      </c>
      <c r="E19" s="2">
        <f t="shared" si="0"/>
        <v>3.8194431213530923E-2</v>
      </c>
    </row>
    <row r="20" spans="1:5" x14ac:dyDescent="0.3">
      <c r="A20" t="s">
        <v>10</v>
      </c>
      <c r="B20" s="1">
        <f>225+87+144</f>
        <v>456</v>
      </c>
      <c r="C20">
        <v>428</v>
      </c>
      <c r="D20">
        <f t="shared" si="1"/>
        <v>195168</v>
      </c>
      <c r="E20" s="2">
        <f t="shared" si="0"/>
        <v>5.7206789847530047E-2</v>
      </c>
    </row>
    <row r="21" spans="1:5" x14ac:dyDescent="0.3">
      <c r="A21" t="s">
        <v>15</v>
      </c>
      <c r="B21" s="1">
        <f>48.4+47.4+129.5-97.5-56+86.5</f>
        <v>158.30000000000001</v>
      </c>
      <c r="C21">
        <v>1000</v>
      </c>
      <c r="D21">
        <f t="shared" si="1"/>
        <v>158300</v>
      </c>
      <c r="E21" s="2">
        <f t="shared" si="0"/>
        <v>4.6400203070503396E-2</v>
      </c>
    </row>
    <row r="23" spans="1:5" x14ac:dyDescent="0.3">
      <c r="D23">
        <f>SUM(D5:D21)</f>
        <v>3411623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workbookViewId="0">
      <selection activeCell="B13" sqref="B13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479</v>
      </c>
      <c r="D5">
        <f>C5*B5</f>
        <v>146095</v>
      </c>
      <c r="E5" s="2">
        <f t="shared" ref="E5:E20" si="0">D5/$D$22</f>
        <v>3.9335765538966894E-2</v>
      </c>
    </row>
    <row r="6" spans="1:7" x14ac:dyDescent="0.3">
      <c r="A6" t="s">
        <v>3</v>
      </c>
      <c r="B6" s="1">
        <f>(511+255)*5</f>
        <v>3830</v>
      </c>
      <c r="C6">
        <v>132</v>
      </c>
      <c r="D6">
        <f t="shared" ref="D6:D20" si="1">C6*B6</f>
        <v>505560</v>
      </c>
      <c r="E6" s="2">
        <f t="shared" si="0"/>
        <v>0.13612094613696638</v>
      </c>
    </row>
    <row r="7" spans="1:7" x14ac:dyDescent="0.3">
      <c r="A7" t="s">
        <v>27</v>
      </c>
      <c r="B7" s="1">
        <v>473</v>
      </c>
      <c r="C7">
        <v>126</v>
      </c>
      <c r="D7">
        <f t="shared" si="1"/>
        <v>59598</v>
      </c>
      <c r="E7" s="2">
        <f t="shared" si="0"/>
        <v>1.6046633728678934E-2</v>
      </c>
    </row>
    <row r="8" spans="1:7" x14ac:dyDescent="0.3">
      <c r="A8" t="s">
        <v>20</v>
      </c>
      <c r="B8" s="1">
        <f>29+10</f>
        <v>39</v>
      </c>
      <c r="C8">
        <v>8556</v>
      </c>
      <c r="D8">
        <f t="shared" si="1"/>
        <v>333684</v>
      </c>
      <c r="E8" s="2">
        <f t="shared" si="0"/>
        <v>8.9843701619525859E-2</v>
      </c>
    </row>
    <row r="9" spans="1:7" x14ac:dyDescent="0.3">
      <c r="A9" t="s">
        <v>17</v>
      </c>
      <c r="B9" s="1">
        <v>350</v>
      </c>
      <c r="C9">
        <v>248</v>
      </c>
      <c r="D9">
        <f t="shared" si="1"/>
        <v>86800</v>
      </c>
      <c r="E9" s="2">
        <f t="shared" si="0"/>
        <v>2.3370713910690486E-2</v>
      </c>
    </row>
    <row r="10" spans="1:7" x14ac:dyDescent="0.3">
      <c r="A10" t="s">
        <v>23</v>
      </c>
      <c r="B10" s="1">
        <v>1645</v>
      </c>
      <c r="C10">
        <v>125</v>
      </c>
      <c r="D10">
        <f t="shared" si="1"/>
        <v>205625</v>
      </c>
      <c r="E10" s="2">
        <f t="shared" si="0"/>
        <v>5.5364090413430087E-2</v>
      </c>
    </row>
    <row r="11" spans="1:7" x14ac:dyDescent="0.3">
      <c r="A11" t="s">
        <v>16</v>
      </c>
      <c r="B11" s="1">
        <v>840</v>
      </c>
      <c r="C11">
        <v>313</v>
      </c>
      <c r="D11">
        <f t="shared" si="1"/>
        <v>262920</v>
      </c>
      <c r="E11" s="2">
        <f t="shared" si="0"/>
        <v>7.0790646329478596E-2</v>
      </c>
    </row>
    <row r="12" spans="1:7" x14ac:dyDescent="0.3">
      <c r="A12" t="s">
        <v>25</v>
      </c>
      <c r="B12" s="1">
        <f>766+383</f>
        <v>1149</v>
      </c>
      <c r="C12">
        <v>162</v>
      </c>
      <c r="D12">
        <f t="shared" si="1"/>
        <v>186138</v>
      </c>
      <c r="E12" s="2">
        <f t="shared" si="0"/>
        <v>5.0117257441337625E-2</v>
      </c>
    </row>
    <row r="13" spans="1:7" x14ac:dyDescent="0.3">
      <c r="A13" t="s">
        <v>4</v>
      </c>
      <c r="B13" s="1">
        <f>705-473</f>
        <v>232</v>
      </c>
      <c r="C13">
        <v>819</v>
      </c>
      <c r="D13">
        <f t="shared" si="1"/>
        <v>190008</v>
      </c>
      <c r="E13" s="2">
        <f t="shared" si="0"/>
        <v>5.1159246644498592E-2</v>
      </c>
      <c r="G13" t="s">
        <v>48</v>
      </c>
    </row>
    <row r="14" spans="1:7" x14ac:dyDescent="0.3">
      <c r="A14" t="s">
        <v>8</v>
      </c>
      <c r="B14" s="1">
        <f>1093+219</f>
        <v>1312</v>
      </c>
      <c r="C14">
        <v>385</v>
      </c>
      <c r="D14">
        <f t="shared" si="1"/>
        <v>505120</v>
      </c>
      <c r="E14" s="2">
        <f t="shared" si="0"/>
        <v>0.13600247708027624</v>
      </c>
    </row>
    <row r="15" spans="1:7" x14ac:dyDescent="0.3">
      <c r="A15" t="s">
        <v>28</v>
      </c>
      <c r="B15" s="1">
        <v>186</v>
      </c>
      <c r="C15">
        <v>650</v>
      </c>
      <c r="D15">
        <f t="shared" si="1"/>
        <v>120900</v>
      </c>
      <c r="E15" s="2">
        <f t="shared" si="0"/>
        <v>3.2552065804176036E-2</v>
      </c>
    </row>
    <row r="16" spans="1:7" x14ac:dyDescent="0.3">
      <c r="A16" t="s">
        <v>42</v>
      </c>
      <c r="B16" s="1">
        <v>267</v>
      </c>
      <c r="C16">
        <v>668</v>
      </c>
      <c r="D16">
        <f t="shared" si="1"/>
        <v>178356</v>
      </c>
      <c r="E16" s="2">
        <f t="shared" si="0"/>
        <v>4.8021970625058898E-2</v>
      </c>
    </row>
    <row r="17" spans="1:7" x14ac:dyDescent="0.3">
      <c r="A17" t="s">
        <v>12</v>
      </c>
      <c r="B17" s="1">
        <v>368</v>
      </c>
      <c r="C17">
        <v>146</v>
      </c>
      <c r="D17">
        <f t="shared" si="1"/>
        <v>53728</v>
      </c>
      <c r="E17" s="2">
        <f t="shared" si="0"/>
        <v>1.4466148813290074E-2</v>
      </c>
    </row>
    <row r="18" spans="1:7" x14ac:dyDescent="0.3">
      <c r="A18" t="s">
        <v>19</v>
      </c>
      <c r="B18" s="1">
        <v>365</v>
      </c>
      <c r="C18">
        <v>362</v>
      </c>
      <c r="D18">
        <f t="shared" si="1"/>
        <v>132130</v>
      </c>
      <c r="E18" s="2">
        <f t="shared" si="0"/>
        <v>3.5575719228335648E-2</v>
      </c>
    </row>
    <row r="19" spans="1:7" x14ac:dyDescent="0.3">
      <c r="A19" t="s">
        <v>10</v>
      </c>
      <c r="B19" s="1">
        <f>225+87+144</f>
        <v>456</v>
      </c>
      <c r="C19">
        <v>433</v>
      </c>
      <c r="D19">
        <f t="shared" si="1"/>
        <v>197448</v>
      </c>
      <c r="E19" s="2">
        <f t="shared" si="0"/>
        <v>5.3162450693986348E-2</v>
      </c>
    </row>
    <row r="20" spans="1:7" x14ac:dyDescent="0.3">
      <c r="A20" t="s">
        <v>15</v>
      </c>
      <c r="B20" s="1">
        <f>48.4+47.4+129.5-97.5-56+86.5+391.64</f>
        <v>549.94000000000005</v>
      </c>
      <c r="C20">
        <v>1000</v>
      </c>
      <c r="D20">
        <f t="shared" si="1"/>
        <v>549940</v>
      </c>
      <c r="E20" s="2">
        <f t="shared" si="0"/>
        <v>0.14807016599130329</v>
      </c>
      <c r="G20" t="s">
        <v>49</v>
      </c>
    </row>
    <row r="22" spans="1:7" x14ac:dyDescent="0.3">
      <c r="D22">
        <f>SUM(D5:D20)</f>
        <v>3714050</v>
      </c>
      <c r="E22"/>
    </row>
  </sheetData>
  <pageMargins left="0.7" right="0.7" top="0.75" bottom="0.75" header="0.3" footer="0.3"/>
  <pageSetup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3"/>
  <sheetViews>
    <sheetView workbookViewId="0">
      <selection activeCell="D24" sqref="D24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486</v>
      </c>
      <c r="D5">
        <f>C5*B5</f>
        <v>148230</v>
      </c>
      <c r="E5" s="2">
        <f t="shared" ref="E5:E21" si="0">D5/$D$23</f>
        <v>3.9297350749335234E-2</v>
      </c>
    </row>
    <row r="6" spans="1:7" x14ac:dyDescent="0.3">
      <c r="A6" t="s">
        <v>3</v>
      </c>
      <c r="B6" s="1">
        <f>(511+255)*5</f>
        <v>3830</v>
      </c>
      <c r="C6">
        <v>163</v>
      </c>
      <c r="D6">
        <f t="shared" ref="D6:D21" si="1">C6*B6</f>
        <v>624290</v>
      </c>
      <c r="E6" s="2">
        <f t="shared" si="0"/>
        <v>0.16550592389733856</v>
      </c>
    </row>
    <row r="7" spans="1:7" x14ac:dyDescent="0.3">
      <c r="A7" t="s">
        <v>27</v>
      </c>
      <c r="B7" s="1">
        <v>473</v>
      </c>
      <c r="C7">
        <v>116</v>
      </c>
      <c r="D7">
        <f t="shared" si="1"/>
        <v>54868</v>
      </c>
      <c r="E7" s="2">
        <f t="shared" si="0"/>
        <v>1.4546090810999971E-2</v>
      </c>
    </row>
    <row r="8" spans="1:7" x14ac:dyDescent="0.3">
      <c r="A8" t="s">
        <v>20</v>
      </c>
      <c r="B8" s="1">
        <f>29+10</f>
        <v>39</v>
      </c>
      <c r="C8">
        <v>8427</v>
      </c>
      <c r="D8">
        <f t="shared" si="1"/>
        <v>328653</v>
      </c>
      <c r="E8" s="2">
        <f t="shared" si="0"/>
        <v>8.7129408458620203E-2</v>
      </c>
    </row>
    <row r="9" spans="1:7" x14ac:dyDescent="0.3">
      <c r="A9" t="s">
        <v>17</v>
      </c>
      <c r="B9" s="1">
        <v>350</v>
      </c>
      <c r="C9">
        <v>249</v>
      </c>
      <c r="D9">
        <f t="shared" si="1"/>
        <v>87150</v>
      </c>
      <c r="E9" s="2">
        <f t="shared" si="0"/>
        <v>2.310439261825923E-2</v>
      </c>
    </row>
    <row r="10" spans="1:7" x14ac:dyDescent="0.3">
      <c r="A10" t="s">
        <v>23</v>
      </c>
      <c r="B10" s="1">
        <v>1645</v>
      </c>
      <c r="C10">
        <v>120</v>
      </c>
      <c r="D10">
        <f t="shared" si="1"/>
        <v>197400</v>
      </c>
      <c r="E10" s="2">
        <f t="shared" si="0"/>
        <v>5.2332841111237774E-2</v>
      </c>
    </row>
    <row r="11" spans="1:7" x14ac:dyDescent="0.3">
      <c r="A11" t="s">
        <v>16</v>
      </c>
      <c r="B11" s="1">
        <v>840</v>
      </c>
      <c r="C11">
        <v>280</v>
      </c>
      <c r="D11">
        <f t="shared" si="1"/>
        <v>235200</v>
      </c>
      <c r="E11" s="2">
        <f t="shared" si="0"/>
        <v>6.2354023451687564E-2</v>
      </c>
    </row>
    <row r="12" spans="1:7" x14ac:dyDescent="0.3">
      <c r="A12" t="s">
        <v>25</v>
      </c>
      <c r="B12" s="1">
        <f>766+383</f>
        <v>1149</v>
      </c>
      <c r="C12">
        <v>170</v>
      </c>
      <c r="D12">
        <f t="shared" si="1"/>
        <v>195330</v>
      </c>
      <c r="E12" s="2">
        <f t="shared" si="0"/>
        <v>5.1784062078308379E-2</v>
      </c>
    </row>
    <row r="13" spans="1:7" x14ac:dyDescent="0.3">
      <c r="A13" t="s">
        <v>4</v>
      </c>
      <c r="B13" s="1">
        <f>705-473</f>
        <v>232</v>
      </c>
      <c r="C13">
        <v>733</v>
      </c>
      <c r="D13">
        <f t="shared" si="1"/>
        <v>170056</v>
      </c>
      <c r="E13" s="2">
        <f t="shared" si="0"/>
        <v>4.5083655663691241E-2</v>
      </c>
    </row>
    <row r="14" spans="1:7" x14ac:dyDescent="0.3">
      <c r="A14" t="s">
        <v>8</v>
      </c>
      <c r="B14" s="1">
        <f>1093+219</f>
        <v>1312</v>
      </c>
      <c r="C14">
        <v>395</v>
      </c>
      <c r="D14">
        <f t="shared" si="1"/>
        <v>518240</v>
      </c>
      <c r="E14" s="2">
        <f t="shared" si="0"/>
        <v>0.13739094010885444</v>
      </c>
    </row>
    <row r="15" spans="1:7" x14ac:dyDescent="0.3">
      <c r="A15" t="s">
        <v>28</v>
      </c>
      <c r="B15" s="1">
        <v>186</v>
      </c>
      <c r="C15">
        <v>585</v>
      </c>
      <c r="D15">
        <f t="shared" si="1"/>
        <v>108810</v>
      </c>
      <c r="E15" s="2">
        <f t="shared" si="0"/>
        <v>2.8846689165723315E-2</v>
      </c>
    </row>
    <row r="16" spans="1:7" x14ac:dyDescent="0.3">
      <c r="A16" t="s">
        <v>42</v>
      </c>
      <c r="B16" s="1">
        <v>267</v>
      </c>
      <c r="C16">
        <v>662</v>
      </c>
      <c r="D16">
        <f t="shared" si="1"/>
        <v>176754</v>
      </c>
      <c r="E16" s="2">
        <f t="shared" si="0"/>
        <v>4.6859366756715919E-2</v>
      </c>
    </row>
    <row r="17" spans="1:7" x14ac:dyDescent="0.3">
      <c r="A17" t="s">
        <v>12</v>
      </c>
      <c r="B17" s="1">
        <v>368</v>
      </c>
      <c r="C17">
        <v>148</v>
      </c>
      <c r="D17">
        <f t="shared" si="1"/>
        <v>54464</v>
      </c>
      <c r="E17" s="2">
        <f t="shared" si="0"/>
        <v>1.4438986110853364E-2</v>
      </c>
    </row>
    <row r="18" spans="1:7" x14ac:dyDescent="0.3">
      <c r="A18" t="s">
        <v>19</v>
      </c>
      <c r="B18" s="1">
        <v>365</v>
      </c>
      <c r="C18">
        <v>353</v>
      </c>
      <c r="D18">
        <f t="shared" si="1"/>
        <v>128845</v>
      </c>
      <c r="E18" s="2">
        <f t="shared" si="0"/>
        <v>3.4158180916805628E-2</v>
      </c>
    </row>
    <row r="19" spans="1:7" x14ac:dyDescent="0.3">
      <c r="A19" t="s">
        <v>50</v>
      </c>
      <c r="B19" s="1">
        <v>920</v>
      </c>
      <c r="C19">
        <v>164</v>
      </c>
      <c r="D19">
        <f t="shared" si="1"/>
        <v>150880</v>
      </c>
      <c r="E19" s="2">
        <f t="shared" si="0"/>
        <v>3.9999893955742431E-2</v>
      </c>
      <c r="G19" t="s">
        <v>51</v>
      </c>
    </row>
    <row r="20" spans="1:7" x14ac:dyDescent="0.3">
      <c r="A20" t="s">
        <v>10</v>
      </c>
      <c r="B20" s="1">
        <f>225+87+144</f>
        <v>456</v>
      </c>
      <c r="C20">
        <v>425</v>
      </c>
      <c r="D20">
        <f t="shared" si="1"/>
        <v>193800</v>
      </c>
      <c r="E20" s="2">
        <f t="shared" si="0"/>
        <v>5.13784427930997E-2</v>
      </c>
    </row>
    <row r="21" spans="1:7" x14ac:dyDescent="0.3">
      <c r="A21" t="s">
        <v>15</v>
      </c>
      <c r="B21" s="1">
        <f>48.4+47.4+129.5-97.5-56+86.5+391.64-150.9</f>
        <v>399.04000000000008</v>
      </c>
      <c r="C21">
        <v>1000</v>
      </c>
      <c r="D21">
        <f t="shared" si="1"/>
        <v>399040.00000000006</v>
      </c>
      <c r="E21" s="2">
        <f t="shared" si="0"/>
        <v>0.10578975135272707</v>
      </c>
      <c r="G21" t="s">
        <v>52</v>
      </c>
    </row>
    <row r="23" spans="1:7" x14ac:dyDescent="0.3">
      <c r="D23">
        <f>SUM(D5:D21)</f>
        <v>3772010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3"/>
  <sheetViews>
    <sheetView workbookViewId="0">
      <selection activeCell="B12" sqref="B12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498</v>
      </c>
      <c r="D5">
        <f>C5*B5</f>
        <v>151890</v>
      </c>
      <c r="E5" s="2">
        <f t="shared" ref="E5:E21" si="0">D5/$D$23</f>
        <v>3.9564877516631236E-2</v>
      </c>
    </row>
    <row r="6" spans="1:7" x14ac:dyDescent="0.3">
      <c r="A6" t="s">
        <v>3</v>
      </c>
      <c r="B6" s="1">
        <f>(511+255)*5</f>
        <v>3830</v>
      </c>
      <c r="C6">
        <v>165</v>
      </c>
      <c r="D6">
        <f t="shared" ref="D6:D21" si="1">C6*B6</f>
        <v>631950</v>
      </c>
      <c r="E6" s="2">
        <f t="shared" si="0"/>
        <v>0.16461270884610646</v>
      </c>
    </row>
    <row r="7" spans="1:7" x14ac:dyDescent="0.3">
      <c r="A7" t="s">
        <v>27</v>
      </c>
      <c r="B7" s="1">
        <v>473</v>
      </c>
      <c r="C7">
        <v>116</v>
      </c>
      <c r="D7">
        <f t="shared" si="1"/>
        <v>54868</v>
      </c>
      <c r="E7" s="2">
        <f t="shared" si="0"/>
        <v>1.4292222658387798E-2</v>
      </c>
    </row>
    <row r="8" spans="1:7" x14ac:dyDescent="0.3">
      <c r="A8" t="s">
        <v>20</v>
      </c>
      <c r="B8" s="1">
        <f>29+10</f>
        <v>39</v>
      </c>
      <c r="C8">
        <v>8448</v>
      </c>
      <c r="D8">
        <f t="shared" si="1"/>
        <v>329472</v>
      </c>
      <c r="E8" s="2">
        <f t="shared" si="0"/>
        <v>8.5822103661594096E-2</v>
      </c>
    </row>
    <row r="9" spans="1:7" x14ac:dyDescent="0.3">
      <c r="A9" t="s">
        <v>17</v>
      </c>
      <c r="B9" s="1">
        <v>350</v>
      </c>
      <c r="C9">
        <v>258</v>
      </c>
      <c r="D9">
        <f t="shared" si="1"/>
        <v>90300</v>
      </c>
      <c r="E9" s="2">
        <f t="shared" si="0"/>
        <v>2.3521683058475216E-2</v>
      </c>
    </row>
    <row r="10" spans="1:7" x14ac:dyDescent="0.3">
      <c r="A10" t="s">
        <v>23</v>
      </c>
      <c r="B10" s="1">
        <v>1645</v>
      </c>
      <c r="C10">
        <v>120</v>
      </c>
      <c r="D10">
        <f t="shared" si="1"/>
        <v>197400</v>
      </c>
      <c r="E10" s="2">
        <f t="shared" si="0"/>
        <v>5.1419493197596984E-2</v>
      </c>
    </row>
    <row r="11" spans="1:7" x14ac:dyDescent="0.3">
      <c r="A11" t="s">
        <v>16</v>
      </c>
      <c r="B11" s="1">
        <v>840</v>
      </c>
      <c r="C11">
        <v>282</v>
      </c>
      <c r="D11">
        <f t="shared" si="1"/>
        <v>236880</v>
      </c>
      <c r="E11" s="2">
        <f t="shared" si="0"/>
        <v>6.1703391837116379E-2</v>
      </c>
    </row>
    <row r="12" spans="1:7" x14ac:dyDescent="0.3">
      <c r="A12" t="s">
        <v>25</v>
      </c>
      <c r="B12" s="1">
        <f>766+383+229</f>
        <v>1378</v>
      </c>
      <c r="C12">
        <v>195</v>
      </c>
      <c r="D12">
        <f t="shared" si="1"/>
        <v>268710</v>
      </c>
      <c r="E12" s="2">
        <f t="shared" si="0"/>
        <v>6.9994589752412795E-2</v>
      </c>
      <c r="G12" t="s">
        <v>53</v>
      </c>
    </row>
    <row r="13" spans="1:7" x14ac:dyDescent="0.3">
      <c r="A13" t="s">
        <v>4</v>
      </c>
      <c r="B13" s="1">
        <f>705-473</f>
        <v>232</v>
      </c>
      <c r="C13">
        <v>769</v>
      </c>
      <c r="D13">
        <f t="shared" si="1"/>
        <v>178408</v>
      </c>
      <c r="E13" s="2">
        <f t="shared" si="0"/>
        <v>4.6472385726427978E-2</v>
      </c>
    </row>
    <row r="14" spans="1:7" x14ac:dyDescent="0.3">
      <c r="A14" t="s">
        <v>8</v>
      </c>
      <c r="B14" s="1">
        <f>1093+219</f>
        <v>1312</v>
      </c>
      <c r="C14">
        <v>397</v>
      </c>
      <c r="D14">
        <f t="shared" si="1"/>
        <v>520864</v>
      </c>
      <c r="E14" s="2">
        <f t="shared" si="0"/>
        <v>0.13567661046035034</v>
      </c>
    </row>
    <row r="15" spans="1:7" x14ac:dyDescent="0.3">
      <c r="A15" t="s">
        <v>28</v>
      </c>
      <c r="B15" s="1">
        <v>186</v>
      </c>
      <c r="C15">
        <v>589</v>
      </c>
      <c r="D15">
        <f t="shared" si="1"/>
        <v>109554</v>
      </c>
      <c r="E15" s="2">
        <f t="shared" si="0"/>
        <v>2.8537037273401927E-2</v>
      </c>
    </row>
    <row r="16" spans="1:7" x14ac:dyDescent="0.3">
      <c r="A16" t="s">
        <v>42</v>
      </c>
      <c r="B16" s="1">
        <v>267</v>
      </c>
      <c r="C16">
        <v>655</v>
      </c>
      <c r="D16">
        <f t="shared" si="1"/>
        <v>174885</v>
      </c>
      <c r="E16" s="2">
        <f t="shared" si="0"/>
        <v>4.5554701458266206E-2</v>
      </c>
    </row>
    <row r="17" spans="1:7" x14ac:dyDescent="0.3">
      <c r="A17" t="s">
        <v>12</v>
      </c>
      <c r="B17" s="1">
        <v>368</v>
      </c>
      <c r="C17">
        <v>149</v>
      </c>
      <c r="D17">
        <f t="shared" si="1"/>
        <v>54832</v>
      </c>
      <c r="E17" s="2">
        <f t="shared" si="0"/>
        <v>1.4282845243214983E-2</v>
      </c>
    </row>
    <row r="18" spans="1:7" x14ac:dyDescent="0.3">
      <c r="A18" t="s">
        <v>19</v>
      </c>
      <c r="B18" s="1">
        <v>365</v>
      </c>
      <c r="C18">
        <v>376</v>
      </c>
      <c r="D18">
        <f t="shared" si="1"/>
        <v>137240</v>
      </c>
      <c r="E18" s="2">
        <f t="shared" si="0"/>
        <v>3.5748790508805521E-2</v>
      </c>
    </row>
    <row r="19" spans="1:7" x14ac:dyDescent="0.3">
      <c r="A19" t="s">
        <v>50</v>
      </c>
      <c r="B19" s="1">
        <v>920</v>
      </c>
      <c r="C19">
        <v>158</v>
      </c>
      <c r="D19">
        <f t="shared" si="1"/>
        <v>145360</v>
      </c>
      <c r="E19" s="2">
        <f t="shared" si="0"/>
        <v>3.7863918597784693E-2</v>
      </c>
    </row>
    <row r="20" spans="1:7" x14ac:dyDescent="0.3">
      <c r="A20" t="s">
        <v>10</v>
      </c>
      <c r="B20" s="1">
        <f>225+87+144</f>
        <v>456</v>
      </c>
      <c r="C20">
        <v>443</v>
      </c>
      <c r="D20">
        <f t="shared" si="1"/>
        <v>202008</v>
      </c>
      <c r="E20" s="2">
        <f t="shared" si="0"/>
        <v>5.2619802339717185E-2</v>
      </c>
    </row>
    <row r="21" spans="1:7" x14ac:dyDescent="0.3">
      <c r="A21" t="s">
        <v>15</v>
      </c>
      <c r="B21" s="1">
        <f>48.4+47.4+129.5-97.5-56+86.5+391.64-150.9-44.65</f>
        <v>354.3900000000001</v>
      </c>
      <c r="C21">
        <v>1000</v>
      </c>
      <c r="D21">
        <f t="shared" si="1"/>
        <v>354390.00000000012</v>
      </c>
      <c r="E21" s="2">
        <f t="shared" si="0"/>
        <v>9.2312837863710237E-2</v>
      </c>
      <c r="G21" t="s">
        <v>54</v>
      </c>
    </row>
    <row r="23" spans="1:7" x14ac:dyDescent="0.3">
      <c r="D23">
        <f>SUM(D5:D21)</f>
        <v>3839011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3"/>
  <sheetViews>
    <sheetView workbookViewId="0">
      <selection activeCell="C23" sqref="C23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582</v>
      </c>
      <c r="D5">
        <f>C5*B5</f>
        <v>177510</v>
      </c>
      <c r="E5" s="2">
        <f t="shared" ref="E5:E21" si="0">D5/$D$23</f>
        <v>3.7431022728734421E-2</v>
      </c>
    </row>
    <row r="6" spans="1:7" x14ac:dyDescent="0.3">
      <c r="A6" t="s">
        <v>3</v>
      </c>
      <c r="B6" s="1">
        <f>(511+255)*5</f>
        <v>3830</v>
      </c>
      <c r="C6">
        <v>156</v>
      </c>
      <c r="D6">
        <f t="shared" ref="D6:D21" si="1">C6*B6</f>
        <v>597480</v>
      </c>
      <c r="E6" s="2">
        <f t="shared" si="0"/>
        <v>0.12598888772443378</v>
      </c>
    </row>
    <row r="7" spans="1:7" x14ac:dyDescent="0.3">
      <c r="A7" t="s">
        <v>27</v>
      </c>
      <c r="B7" s="1">
        <v>473</v>
      </c>
      <c r="C7">
        <v>163</v>
      </c>
      <c r="D7">
        <f t="shared" si="1"/>
        <v>77099</v>
      </c>
      <c r="E7" s="2">
        <f t="shared" si="0"/>
        <v>1.6257644196736493E-2</v>
      </c>
    </row>
    <row r="8" spans="1:7" x14ac:dyDescent="0.3">
      <c r="A8" t="s">
        <v>20</v>
      </c>
      <c r="B8" s="1">
        <f>29+10</f>
        <v>39</v>
      </c>
      <c r="C8">
        <v>11212</v>
      </c>
      <c r="D8">
        <f t="shared" si="1"/>
        <v>437268</v>
      </c>
      <c r="E8" s="2">
        <f t="shared" si="0"/>
        <v>9.2205444462555589E-2</v>
      </c>
    </row>
    <row r="9" spans="1:7" x14ac:dyDescent="0.3">
      <c r="A9" t="s">
        <v>17</v>
      </c>
      <c r="B9" s="1">
        <v>350</v>
      </c>
      <c r="C9">
        <v>260</v>
      </c>
      <c r="D9">
        <f t="shared" si="1"/>
        <v>91000</v>
      </c>
      <c r="E9" s="2">
        <f t="shared" si="0"/>
        <v>1.9188908052024292E-2</v>
      </c>
    </row>
    <row r="10" spans="1:7" x14ac:dyDescent="0.3">
      <c r="A10" t="s">
        <v>23</v>
      </c>
      <c r="B10" s="1">
        <v>1645</v>
      </c>
      <c r="C10">
        <v>139</v>
      </c>
      <c r="D10">
        <f t="shared" si="1"/>
        <v>228655</v>
      </c>
      <c r="E10" s="2">
        <f t="shared" si="0"/>
        <v>4.8215821655336423E-2</v>
      </c>
    </row>
    <row r="11" spans="1:7" x14ac:dyDescent="0.3">
      <c r="A11" t="s">
        <v>16</v>
      </c>
      <c r="B11" s="1">
        <v>840</v>
      </c>
      <c r="C11">
        <v>331</v>
      </c>
      <c r="D11">
        <f t="shared" si="1"/>
        <v>278040</v>
      </c>
      <c r="E11" s="2">
        <f t="shared" si="0"/>
        <v>5.8629494448184993E-2</v>
      </c>
    </row>
    <row r="12" spans="1:7" x14ac:dyDescent="0.3">
      <c r="A12" t="s">
        <v>25</v>
      </c>
      <c r="B12" s="1">
        <f>766+383+229</f>
        <v>1378</v>
      </c>
      <c r="C12">
        <v>230</v>
      </c>
      <c r="D12">
        <f t="shared" si="1"/>
        <v>316940</v>
      </c>
      <c r="E12" s="2">
        <f t="shared" si="0"/>
        <v>6.6832225472621756E-2</v>
      </c>
    </row>
    <row r="13" spans="1:7" x14ac:dyDescent="0.3">
      <c r="A13" t="s">
        <v>4</v>
      </c>
      <c r="B13" s="1">
        <f>705-473</f>
        <v>232</v>
      </c>
      <c r="C13">
        <v>844</v>
      </c>
      <c r="D13">
        <f t="shared" si="1"/>
        <v>195808</v>
      </c>
      <c r="E13" s="2">
        <f t="shared" si="0"/>
        <v>4.1289469317041458E-2</v>
      </c>
    </row>
    <row r="14" spans="1:7" x14ac:dyDescent="0.3">
      <c r="A14" t="s">
        <v>8</v>
      </c>
      <c r="B14" s="1">
        <f>1093+219</f>
        <v>1312</v>
      </c>
      <c r="C14">
        <v>720</v>
      </c>
      <c r="D14">
        <f t="shared" si="1"/>
        <v>944640</v>
      </c>
      <c r="E14" s="2">
        <f t="shared" si="0"/>
        <v>0.1991935176072992</v>
      </c>
    </row>
    <row r="15" spans="1:7" x14ac:dyDescent="0.3">
      <c r="A15" t="s">
        <v>28</v>
      </c>
      <c r="B15" s="1">
        <v>186</v>
      </c>
      <c r="C15">
        <v>480</v>
      </c>
      <c r="D15">
        <f t="shared" si="1"/>
        <v>89280</v>
      </c>
      <c r="E15" s="2">
        <f t="shared" si="0"/>
        <v>1.8826216603128887E-2</v>
      </c>
    </row>
    <row r="16" spans="1:7" x14ac:dyDescent="0.3">
      <c r="A16" t="s">
        <v>42</v>
      </c>
      <c r="B16" s="1">
        <v>267</v>
      </c>
      <c r="C16">
        <v>797</v>
      </c>
      <c r="D16">
        <f t="shared" si="1"/>
        <v>212799</v>
      </c>
      <c r="E16" s="2">
        <f t="shared" si="0"/>
        <v>4.4872312577612282E-2</v>
      </c>
      <c r="G16" t="s">
        <v>55</v>
      </c>
    </row>
    <row r="17" spans="1:7" x14ac:dyDescent="0.3">
      <c r="A17" t="s">
        <v>12</v>
      </c>
      <c r="B17" s="1">
        <v>368</v>
      </c>
      <c r="C17">
        <v>125</v>
      </c>
      <c r="D17">
        <f t="shared" si="1"/>
        <v>46000</v>
      </c>
      <c r="E17" s="2">
        <f t="shared" si="0"/>
        <v>9.6998875867375552E-3</v>
      </c>
    </row>
    <row r="18" spans="1:7" x14ac:dyDescent="0.3">
      <c r="A18" t="s">
        <v>19</v>
      </c>
      <c r="B18" s="1">
        <v>365</v>
      </c>
      <c r="C18">
        <v>502</v>
      </c>
      <c r="D18">
        <f t="shared" si="1"/>
        <v>183230</v>
      </c>
      <c r="E18" s="2">
        <f t="shared" si="0"/>
        <v>3.8637182663433092E-2</v>
      </c>
    </row>
    <row r="19" spans="1:7" x14ac:dyDescent="0.3">
      <c r="A19" t="s">
        <v>50</v>
      </c>
      <c r="B19" s="1">
        <v>920</v>
      </c>
      <c r="C19">
        <v>217</v>
      </c>
      <c r="D19">
        <f t="shared" si="1"/>
        <v>199640</v>
      </c>
      <c r="E19" s="2">
        <f t="shared" si="0"/>
        <v>4.2097512126440986E-2</v>
      </c>
    </row>
    <row r="20" spans="1:7" x14ac:dyDescent="0.3">
      <c r="A20" t="s">
        <v>10</v>
      </c>
      <c r="B20" s="1">
        <f>225+87+144</f>
        <v>456</v>
      </c>
      <c r="C20">
        <v>624</v>
      </c>
      <c r="D20">
        <f t="shared" si="1"/>
        <v>284544</v>
      </c>
      <c r="E20" s="2">
        <f t="shared" si="0"/>
        <v>6.00009742061011E-2</v>
      </c>
    </row>
    <row r="21" spans="1:7" x14ac:dyDescent="0.3">
      <c r="A21" t="s">
        <v>15</v>
      </c>
      <c r="B21" s="1">
        <f>48.4+47.4+129.5-97.5-56+86.5+391.64-150.9-44.65+28</f>
        <v>382.3900000000001</v>
      </c>
      <c r="C21">
        <v>1000</v>
      </c>
      <c r="D21">
        <f t="shared" si="1"/>
        <v>382390.00000000012</v>
      </c>
      <c r="E21" s="2">
        <f t="shared" si="0"/>
        <v>8.063347857157771E-2</v>
      </c>
      <c r="G21" t="s">
        <v>56</v>
      </c>
    </row>
    <row r="23" spans="1:7" x14ac:dyDescent="0.3">
      <c r="D23">
        <f>SUM(D5:D21)</f>
        <v>4742323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3"/>
  <sheetViews>
    <sheetView workbookViewId="0">
      <selection activeCell="B14" sqref="B14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587</v>
      </c>
      <c r="D5">
        <f>C5*B5</f>
        <v>179035</v>
      </c>
      <c r="E5" s="2">
        <f t="shared" ref="E5:E21" si="0">D5/$D$23</f>
        <v>3.9160904321928071E-2</v>
      </c>
    </row>
    <row r="6" spans="1:7" x14ac:dyDescent="0.3">
      <c r="A6" t="s">
        <v>3</v>
      </c>
      <c r="B6" s="1">
        <f>(511+255)*5</f>
        <v>3830</v>
      </c>
      <c r="C6">
        <v>153</v>
      </c>
      <c r="D6">
        <f t="shared" ref="D6:D21" si="1">C6*B6</f>
        <v>585990</v>
      </c>
      <c r="E6" s="2">
        <f t="shared" si="0"/>
        <v>0.128175487047821</v>
      </c>
    </row>
    <row r="7" spans="1:7" x14ac:dyDescent="0.3">
      <c r="A7" t="s">
        <v>27</v>
      </c>
      <c r="B7" s="1">
        <v>473</v>
      </c>
      <c r="C7">
        <v>157</v>
      </c>
      <c r="D7">
        <f t="shared" si="1"/>
        <v>74261</v>
      </c>
      <c r="E7" s="2">
        <f t="shared" si="0"/>
        <v>1.6243348595809202E-2</v>
      </c>
    </row>
    <row r="8" spans="1:7" x14ac:dyDescent="0.3">
      <c r="A8" t="s">
        <v>20</v>
      </c>
      <c r="B8" s="1">
        <f>29+10</f>
        <v>39</v>
      </c>
      <c r="C8">
        <v>11033</v>
      </c>
      <c r="D8">
        <f t="shared" si="1"/>
        <v>430287</v>
      </c>
      <c r="E8" s="2">
        <f t="shared" si="0"/>
        <v>9.4118066511963944E-2</v>
      </c>
    </row>
    <row r="9" spans="1:7" x14ac:dyDescent="0.3">
      <c r="A9" t="s">
        <v>17</v>
      </c>
      <c r="B9" s="1">
        <v>350</v>
      </c>
      <c r="C9">
        <v>252</v>
      </c>
      <c r="D9">
        <f t="shared" si="1"/>
        <v>88200</v>
      </c>
      <c r="E9" s="2">
        <f t="shared" si="0"/>
        <v>1.9292271126841433E-2</v>
      </c>
    </row>
    <row r="10" spans="1:7" x14ac:dyDescent="0.3">
      <c r="A10" t="s">
        <v>23</v>
      </c>
      <c r="B10" s="1">
        <v>1645</v>
      </c>
      <c r="C10">
        <v>132</v>
      </c>
      <c r="D10">
        <f t="shared" si="1"/>
        <v>217140</v>
      </c>
      <c r="E10" s="2">
        <f t="shared" si="0"/>
        <v>4.7495734155128672E-2</v>
      </c>
    </row>
    <row r="11" spans="1:7" x14ac:dyDescent="0.3">
      <c r="A11" t="s">
        <v>16</v>
      </c>
      <c r="B11" s="1">
        <v>840</v>
      </c>
      <c r="C11">
        <v>323</v>
      </c>
      <c r="D11">
        <f t="shared" si="1"/>
        <v>271320</v>
      </c>
      <c r="E11" s="2">
        <f t="shared" si="0"/>
        <v>5.934670070447412E-2</v>
      </c>
    </row>
    <row r="12" spans="1:7" x14ac:dyDescent="0.3">
      <c r="A12" t="s">
        <v>25</v>
      </c>
      <c r="B12" s="1">
        <f>766+383+229</f>
        <v>1378</v>
      </c>
      <c r="C12">
        <v>219</v>
      </c>
      <c r="D12">
        <f t="shared" si="1"/>
        <v>301782</v>
      </c>
      <c r="E12" s="2">
        <f t="shared" si="0"/>
        <v>6.6009752439914526E-2</v>
      </c>
    </row>
    <row r="13" spans="1:7" x14ac:dyDescent="0.3">
      <c r="A13" t="s">
        <v>4</v>
      </c>
      <c r="B13" s="1">
        <f>705-473</f>
        <v>232</v>
      </c>
      <c r="C13">
        <v>832</v>
      </c>
      <c r="D13">
        <f t="shared" si="1"/>
        <v>193024</v>
      </c>
      <c r="E13" s="2">
        <f t="shared" si="0"/>
        <v>4.2220763514596832E-2</v>
      </c>
    </row>
    <row r="14" spans="1:7" x14ac:dyDescent="0.3">
      <c r="A14" t="s">
        <v>8</v>
      </c>
      <c r="B14" s="1">
        <f>1093+219-995</f>
        <v>317</v>
      </c>
      <c r="C14">
        <v>731</v>
      </c>
      <c r="D14">
        <f t="shared" si="1"/>
        <v>231727</v>
      </c>
      <c r="E14" s="2">
        <f t="shared" si="0"/>
        <v>5.0686395820970349E-2</v>
      </c>
      <c r="G14" t="s">
        <v>57</v>
      </c>
    </row>
    <row r="15" spans="1:7" x14ac:dyDescent="0.3">
      <c r="A15" t="s">
        <v>28</v>
      </c>
      <c r="B15" s="1">
        <v>186</v>
      </c>
      <c r="C15">
        <v>452</v>
      </c>
      <c r="D15">
        <f t="shared" si="1"/>
        <v>84072</v>
      </c>
      <c r="E15" s="2">
        <f t="shared" si="0"/>
        <v>1.8389340342129398E-2</v>
      </c>
    </row>
    <row r="16" spans="1:7" x14ac:dyDescent="0.3">
      <c r="A16" t="s">
        <v>42</v>
      </c>
      <c r="B16" s="1">
        <v>267</v>
      </c>
      <c r="C16">
        <v>647</v>
      </c>
      <c r="D16">
        <f t="shared" si="1"/>
        <v>172749</v>
      </c>
      <c r="E16" s="2">
        <f t="shared" si="0"/>
        <v>3.7785947220983343E-2</v>
      </c>
    </row>
    <row r="17" spans="1:7" x14ac:dyDescent="0.3">
      <c r="A17" t="s">
        <v>12</v>
      </c>
      <c r="B17" s="1">
        <v>368</v>
      </c>
      <c r="C17">
        <v>122</v>
      </c>
      <c r="D17">
        <f t="shared" si="1"/>
        <v>44896</v>
      </c>
      <c r="E17" s="2">
        <f t="shared" si="0"/>
        <v>9.8202472166742973E-3</v>
      </c>
    </row>
    <row r="18" spans="1:7" x14ac:dyDescent="0.3">
      <c r="A18" t="s">
        <v>19</v>
      </c>
      <c r="B18" s="1">
        <v>365</v>
      </c>
      <c r="C18">
        <v>496</v>
      </c>
      <c r="D18">
        <f t="shared" si="1"/>
        <v>181040</v>
      </c>
      <c r="E18" s="2">
        <f t="shared" si="0"/>
        <v>3.9599464453552981E-2</v>
      </c>
    </row>
    <row r="19" spans="1:7" x14ac:dyDescent="0.3">
      <c r="A19" t="s">
        <v>50</v>
      </c>
      <c r="B19" s="1">
        <v>920</v>
      </c>
      <c r="C19">
        <v>205</v>
      </c>
      <c r="D19">
        <f t="shared" si="1"/>
        <v>188600</v>
      </c>
      <c r="E19" s="2">
        <f t="shared" si="0"/>
        <v>4.1253087692996536E-2</v>
      </c>
    </row>
    <row r="20" spans="1:7" x14ac:dyDescent="0.3">
      <c r="A20" t="s">
        <v>10</v>
      </c>
      <c r="B20" s="1">
        <f>225+87+144</f>
        <v>456</v>
      </c>
      <c r="C20">
        <v>611</v>
      </c>
      <c r="D20">
        <f t="shared" si="1"/>
        <v>278616</v>
      </c>
      <c r="E20" s="2">
        <f t="shared" si="0"/>
        <v>6.0942578370476785E-2</v>
      </c>
    </row>
    <row r="21" spans="1:7" x14ac:dyDescent="0.3">
      <c r="A21" t="s">
        <v>15</v>
      </c>
      <c r="B21" s="1">
        <f>48.4+47.4+129.5-97.5-56+86.5+391.64-150.9-44.65+28+666.65</f>
        <v>1049.04</v>
      </c>
      <c r="C21">
        <v>1000</v>
      </c>
      <c r="D21">
        <f t="shared" si="1"/>
        <v>1049040</v>
      </c>
      <c r="E21" s="2">
        <f t="shared" si="0"/>
        <v>0.22945991046373851</v>
      </c>
      <c r="G21" t="s">
        <v>58</v>
      </c>
    </row>
    <row r="23" spans="1:7" x14ac:dyDescent="0.3">
      <c r="D23">
        <f>SUM(D5:D21)</f>
        <v>4571779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3"/>
  <sheetViews>
    <sheetView workbookViewId="0">
      <selection activeCell="B15" sqref="B15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704</v>
      </c>
      <c r="D5">
        <f>C5*B5</f>
        <v>214720</v>
      </c>
      <c r="E5" s="2">
        <f t="shared" ref="E5:E21" si="0">D5/$D$23</f>
        <v>4.4362518134873463E-2</v>
      </c>
    </row>
    <row r="6" spans="1:7" x14ac:dyDescent="0.3">
      <c r="A6" t="s">
        <v>3</v>
      </c>
      <c r="B6" s="1">
        <f>(511+255)*5</f>
        <v>3830</v>
      </c>
      <c r="C6">
        <v>182</v>
      </c>
      <c r="D6">
        <f t="shared" ref="D6:D21" si="1">C6*B6</f>
        <v>697060</v>
      </c>
      <c r="E6" s="2">
        <f t="shared" si="0"/>
        <v>0.14401703097566548</v>
      </c>
    </row>
    <row r="7" spans="1:7" x14ac:dyDescent="0.3">
      <c r="A7" t="s">
        <v>27</v>
      </c>
      <c r="B7" s="1">
        <v>473</v>
      </c>
      <c r="C7">
        <v>155</v>
      </c>
      <c r="D7">
        <f t="shared" si="1"/>
        <v>73315</v>
      </c>
      <c r="E7" s="2">
        <f t="shared" si="0"/>
        <v>1.5147345459473955E-2</v>
      </c>
    </row>
    <row r="8" spans="1:7" x14ac:dyDescent="0.3">
      <c r="A8" t="s">
        <v>20</v>
      </c>
      <c r="B8" s="1">
        <f>29+10</f>
        <v>39</v>
      </c>
      <c r="C8">
        <v>12994</v>
      </c>
      <c r="D8">
        <f t="shared" si="1"/>
        <v>506766</v>
      </c>
      <c r="E8" s="2">
        <f t="shared" si="0"/>
        <v>0.10470107984881373</v>
      </c>
    </row>
    <row r="9" spans="1:7" x14ac:dyDescent="0.3">
      <c r="A9" t="s">
        <v>17</v>
      </c>
      <c r="B9" s="1">
        <v>350</v>
      </c>
      <c r="C9">
        <v>286</v>
      </c>
      <c r="D9">
        <f t="shared" si="1"/>
        <v>100100</v>
      </c>
      <c r="E9" s="2">
        <f t="shared" si="0"/>
        <v>2.0681296876401051E-2</v>
      </c>
    </row>
    <row r="10" spans="1:7" x14ac:dyDescent="0.3">
      <c r="A10" t="s">
        <v>23</v>
      </c>
      <c r="B10" s="1">
        <v>1645</v>
      </c>
      <c r="C10">
        <v>147</v>
      </c>
      <c r="D10">
        <f t="shared" si="1"/>
        <v>241815</v>
      </c>
      <c r="E10" s="2">
        <f t="shared" si="0"/>
        <v>4.996051752414505E-2</v>
      </c>
    </row>
    <row r="11" spans="1:7" x14ac:dyDescent="0.3">
      <c r="A11" t="s">
        <v>16</v>
      </c>
      <c r="B11" s="1">
        <v>840</v>
      </c>
      <c r="C11">
        <v>342</v>
      </c>
      <c r="D11">
        <f t="shared" si="1"/>
        <v>287280</v>
      </c>
      <c r="E11" s="2">
        <f t="shared" si="0"/>
        <v>5.9353875790734201E-2</v>
      </c>
    </row>
    <row r="12" spans="1:7" x14ac:dyDescent="0.3">
      <c r="A12" t="s">
        <v>25</v>
      </c>
      <c r="B12" s="1">
        <f>766+383+229</f>
        <v>1378</v>
      </c>
      <c r="C12">
        <v>218</v>
      </c>
      <c r="D12">
        <f t="shared" si="1"/>
        <v>300404</v>
      </c>
      <c r="E12" s="2">
        <f t="shared" si="0"/>
        <v>6.2065377690892917E-2</v>
      </c>
    </row>
    <row r="13" spans="1:7" x14ac:dyDescent="0.3">
      <c r="A13" t="s">
        <v>4</v>
      </c>
      <c r="B13" s="1">
        <f>705-473</f>
        <v>232</v>
      </c>
      <c r="C13">
        <v>928</v>
      </c>
      <c r="D13">
        <f t="shared" si="1"/>
        <v>215296</v>
      </c>
      <c r="E13" s="2">
        <f t="shared" si="0"/>
        <v>4.4481523399616786E-2</v>
      </c>
    </row>
    <row r="14" spans="1:7" x14ac:dyDescent="0.3">
      <c r="A14" t="s">
        <v>8</v>
      </c>
      <c r="B14" s="1">
        <f>1093+219-995</f>
        <v>317</v>
      </c>
      <c r="C14">
        <v>633</v>
      </c>
      <c r="D14">
        <f t="shared" si="1"/>
        <v>200661</v>
      </c>
      <c r="E14" s="2">
        <f t="shared" si="0"/>
        <v>4.1457839285869241E-2</v>
      </c>
    </row>
    <row r="15" spans="1:7" x14ac:dyDescent="0.3">
      <c r="A15" t="s">
        <v>28</v>
      </c>
      <c r="B15" s="1">
        <f>186+349</f>
        <v>535</v>
      </c>
      <c r="C15">
        <v>454</v>
      </c>
      <c r="D15">
        <f t="shared" si="1"/>
        <v>242890</v>
      </c>
      <c r="E15" s="2">
        <f t="shared" si="0"/>
        <v>5.0182619363726783E-2</v>
      </c>
      <c r="G15" t="s">
        <v>59</v>
      </c>
    </row>
    <row r="16" spans="1:7" x14ac:dyDescent="0.3">
      <c r="A16" t="s">
        <v>42</v>
      </c>
      <c r="B16" s="1">
        <v>267</v>
      </c>
      <c r="C16">
        <v>682</v>
      </c>
      <c r="D16">
        <f t="shared" si="1"/>
        <v>182094</v>
      </c>
      <c r="E16" s="2">
        <f t="shared" si="0"/>
        <v>3.7621778955158565E-2</v>
      </c>
    </row>
    <row r="17" spans="1:7" x14ac:dyDescent="0.3">
      <c r="A17" t="s">
        <v>12</v>
      </c>
      <c r="B17" s="1">
        <v>368</v>
      </c>
      <c r="C17">
        <v>150</v>
      </c>
      <c r="D17">
        <f t="shared" si="1"/>
        <v>55200</v>
      </c>
      <c r="E17" s="2">
        <f t="shared" si="0"/>
        <v>1.140467120456881E-2</v>
      </c>
    </row>
    <row r="18" spans="1:7" x14ac:dyDescent="0.3">
      <c r="A18" t="s">
        <v>19</v>
      </c>
      <c r="B18" s="1">
        <v>365</v>
      </c>
      <c r="C18">
        <v>437</v>
      </c>
      <c r="D18">
        <f t="shared" si="1"/>
        <v>159505</v>
      </c>
      <c r="E18" s="2">
        <f t="shared" si="0"/>
        <v>3.2954747834868625E-2</v>
      </c>
    </row>
    <row r="19" spans="1:7" x14ac:dyDescent="0.3">
      <c r="A19" t="s">
        <v>50</v>
      </c>
      <c r="B19" s="1">
        <v>920</v>
      </c>
      <c r="C19">
        <v>212</v>
      </c>
      <c r="D19">
        <f t="shared" si="1"/>
        <v>195040</v>
      </c>
      <c r="E19" s="2">
        <f t="shared" si="0"/>
        <v>4.0296504922809798E-2</v>
      </c>
    </row>
    <row r="20" spans="1:7" x14ac:dyDescent="0.3">
      <c r="A20" t="s">
        <v>10</v>
      </c>
      <c r="B20" s="1">
        <f>225+87+144</f>
        <v>456</v>
      </c>
      <c r="C20">
        <v>606</v>
      </c>
      <c r="D20">
        <f t="shared" si="1"/>
        <v>276336</v>
      </c>
      <c r="E20" s="2">
        <f t="shared" si="0"/>
        <v>5.7092775760610996E-2</v>
      </c>
    </row>
    <row r="21" spans="1:7" x14ac:dyDescent="0.3">
      <c r="A21" t="s">
        <v>15</v>
      </c>
      <c r="B21" s="1">
        <f>48.4+47.4+129.5-97.5-56+86.5+391.64-150.9-44.65+28+666.65-157.4</f>
        <v>891.64</v>
      </c>
      <c r="C21">
        <v>1000</v>
      </c>
      <c r="D21">
        <f t="shared" si="1"/>
        <v>891640</v>
      </c>
      <c r="E21" s="2">
        <f t="shared" si="0"/>
        <v>0.18421849697177053</v>
      </c>
      <c r="G21" t="s">
        <v>60</v>
      </c>
    </row>
    <row r="23" spans="1:7" x14ac:dyDescent="0.3">
      <c r="D23">
        <f>SUM(D5:D21)</f>
        <v>4840122</v>
      </c>
      <c r="E23"/>
    </row>
  </sheetData>
  <pageMargins left="0.7" right="0.7" top="0.75" bottom="0.75" header="0.3" footer="0.3"/>
  <pageSetup orientation="portrait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4"/>
  <sheetViews>
    <sheetView tabSelected="1" workbookViewId="0">
      <selection activeCell="G21" sqref="G21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700</v>
      </c>
      <c r="D5">
        <f>C5*B5</f>
        <v>213500</v>
      </c>
      <c r="E5" s="2">
        <f t="shared" ref="E5:E22" si="0">D5/$D$24</f>
        <v>4.4586294528081744E-2</v>
      </c>
    </row>
    <row r="6" spans="1:7" x14ac:dyDescent="0.3">
      <c r="A6" t="s">
        <v>3</v>
      </c>
      <c r="B6" s="1">
        <f>(511+255)*5</f>
        <v>3830</v>
      </c>
      <c r="C6">
        <v>174</v>
      </c>
      <c r="D6">
        <f t="shared" ref="D6:D22" si="1">C6*B6</f>
        <v>666420</v>
      </c>
      <c r="E6" s="2">
        <f t="shared" si="0"/>
        <v>0.13917188945856784</v>
      </c>
    </row>
    <row r="7" spans="1:7" x14ac:dyDescent="0.3">
      <c r="A7" t="s">
        <v>27</v>
      </c>
      <c r="B7" s="1">
        <v>473</v>
      </c>
      <c r="C7">
        <v>149</v>
      </c>
      <c r="D7">
        <f t="shared" si="1"/>
        <v>70477</v>
      </c>
      <c r="E7" s="2">
        <f t="shared" si="0"/>
        <v>1.4718071566536848E-2</v>
      </c>
    </row>
    <row r="8" spans="1:7" x14ac:dyDescent="0.3">
      <c r="A8" t="s">
        <v>20</v>
      </c>
      <c r="B8" s="1">
        <f>29+10</f>
        <v>39</v>
      </c>
      <c r="C8">
        <v>13846</v>
      </c>
      <c r="D8">
        <f t="shared" si="1"/>
        <v>539994</v>
      </c>
      <c r="E8" s="2">
        <f t="shared" si="0"/>
        <v>0.11276970270443547</v>
      </c>
    </row>
    <row r="9" spans="1:7" x14ac:dyDescent="0.3">
      <c r="A9" t="s">
        <v>17</v>
      </c>
      <c r="B9" s="1">
        <v>350</v>
      </c>
      <c r="C9">
        <v>300</v>
      </c>
      <c r="D9">
        <f t="shared" si="1"/>
        <v>105000</v>
      </c>
      <c r="E9" s="2">
        <f t="shared" si="0"/>
        <v>2.1927685833482823E-2</v>
      </c>
    </row>
    <row r="10" spans="1:7" x14ac:dyDescent="0.3">
      <c r="A10" t="s">
        <v>23</v>
      </c>
      <c r="B10" s="1">
        <v>1645</v>
      </c>
      <c r="C10">
        <v>144</v>
      </c>
      <c r="D10">
        <f t="shared" si="1"/>
        <v>236880</v>
      </c>
      <c r="E10" s="2">
        <f t="shared" si="0"/>
        <v>4.9468859240337254E-2</v>
      </c>
    </row>
    <row r="11" spans="1:7" x14ac:dyDescent="0.3">
      <c r="A11" t="s">
        <v>16</v>
      </c>
      <c r="B11" s="1">
        <v>840</v>
      </c>
      <c r="C11">
        <v>319</v>
      </c>
      <c r="D11">
        <f t="shared" si="1"/>
        <v>267960</v>
      </c>
      <c r="E11" s="2">
        <f t="shared" si="0"/>
        <v>5.5959454247048165E-2</v>
      </c>
    </row>
    <row r="12" spans="1:7" x14ac:dyDescent="0.3">
      <c r="A12" t="s">
        <v>25</v>
      </c>
      <c r="B12" s="1">
        <f>766+383+229</f>
        <v>1378</v>
      </c>
      <c r="C12">
        <v>220</v>
      </c>
      <c r="D12">
        <f t="shared" si="1"/>
        <v>303160</v>
      </c>
      <c r="E12" s="2">
        <f t="shared" si="0"/>
        <v>6.3310449878844322E-2</v>
      </c>
    </row>
    <row r="13" spans="1:7" x14ac:dyDescent="0.3">
      <c r="A13" t="s">
        <v>4</v>
      </c>
      <c r="B13" s="1">
        <f>705-473</f>
        <v>232</v>
      </c>
      <c r="C13">
        <v>927</v>
      </c>
      <c r="D13">
        <f t="shared" si="1"/>
        <v>215064</v>
      </c>
      <c r="E13" s="2">
        <f t="shared" si="0"/>
        <v>4.4912912629449048E-2</v>
      </c>
    </row>
    <row r="14" spans="1:7" x14ac:dyDescent="0.3">
      <c r="A14" t="s">
        <v>61</v>
      </c>
      <c r="B14" s="1">
        <v>614</v>
      </c>
      <c r="C14">
        <v>376</v>
      </c>
      <c r="D14">
        <f>C14*B14</f>
        <v>230864</v>
      </c>
      <c r="E14" s="2">
        <f t="shared" si="0"/>
        <v>4.8212507259630277E-2</v>
      </c>
      <c r="G14" t="s">
        <v>62</v>
      </c>
    </row>
    <row r="15" spans="1:7" x14ac:dyDescent="0.3">
      <c r="A15" t="s">
        <v>8</v>
      </c>
      <c r="B15" s="1">
        <f>1093+219-995</f>
        <v>317</v>
      </c>
      <c r="C15">
        <v>617</v>
      </c>
      <c r="D15">
        <f t="shared" si="1"/>
        <v>195589</v>
      </c>
      <c r="E15" s="2">
        <f t="shared" si="0"/>
        <v>4.0845848995095926E-2</v>
      </c>
    </row>
    <row r="16" spans="1:7" x14ac:dyDescent="0.3">
      <c r="A16" t="s">
        <v>28</v>
      </c>
      <c r="B16" s="1">
        <f>186+349</f>
        <v>535</v>
      </c>
      <c r="C16">
        <v>434</v>
      </c>
      <c r="D16">
        <f t="shared" si="1"/>
        <v>232190</v>
      </c>
      <c r="E16" s="2">
        <f t="shared" si="0"/>
        <v>4.8489422606441686E-2</v>
      </c>
    </row>
    <row r="17" spans="1:7" x14ac:dyDescent="0.3">
      <c r="A17" t="s">
        <v>42</v>
      </c>
      <c r="B17" s="1">
        <v>267</v>
      </c>
      <c r="C17">
        <v>714</v>
      </c>
      <c r="D17">
        <f t="shared" si="1"/>
        <v>190638</v>
      </c>
      <c r="E17" s="2">
        <f t="shared" si="0"/>
        <v>3.9811906399271416E-2</v>
      </c>
    </row>
    <row r="18" spans="1:7" x14ac:dyDescent="0.3">
      <c r="A18" t="s">
        <v>12</v>
      </c>
      <c r="B18" s="1">
        <v>368</v>
      </c>
      <c r="C18">
        <v>139</v>
      </c>
      <c r="D18">
        <f t="shared" si="1"/>
        <v>51152</v>
      </c>
      <c r="E18" s="2">
        <f t="shared" si="0"/>
        <v>1.0682333197660128E-2</v>
      </c>
    </row>
    <row r="19" spans="1:7" x14ac:dyDescent="0.3">
      <c r="A19" t="s">
        <v>19</v>
      </c>
      <c r="B19" s="1">
        <v>365</v>
      </c>
      <c r="C19">
        <v>445</v>
      </c>
      <c r="D19">
        <f t="shared" si="1"/>
        <v>162425</v>
      </c>
      <c r="E19" s="2">
        <f t="shared" si="0"/>
        <v>3.392004163336617E-2</v>
      </c>
    </row>
    <row r="20" spans="1:7" x14ac:dyDescent="0.3">
      <c r="A20" t="s">
        <v>50</v>
      </c>
      <c r="B20" s="1">
        <f>920+319</f>
        <v>1239</v>
      </c>
      <c r="C20">
        <v>192</v>
      </c>
      <c r="D20">
        <f t="shared" si="1"/>
        <v>237888</v>
      </c>
      <c r="E20" s="2">
        <f t="shared" si="0"/>
        <v>4.9679365024338687E-2</v>
      </c>
      <c r="G20" t="s">
        <v>64</v>
      </c>
    </row>
    <row r="21" spans="1:7" x14ac:dyDescent="0.3">
      <c r="A21" t="s">
        <v>10</v>
      </c>
      <c r="B21" s="1">
        <f>225+87+144</f>
        <v>456</v>
      </c>
      <c r="C21">
        <v>616</v>
      </c>
      <c r="D21">
        <f t="shared" si="1"/>
        <v>280896</v>
      </c>
      <c r="E21" s="2">
        <f t="shared" si="0"/>
        <v>5.8660945141733249E-2</v>
      </c>
    </row>
    <row r="22" spans="1:7" x14ac:dyDescent="0.3">
      <c r="A22" t="s">
        <v>15</v>
      </c>
      <c r="B22" s="1">
        <f>48.4+47.4+129.5-97.5-56+86.5+391.64-150.9-44.65+28+666.65-157.4-303.27</f>
        <v>588.37</v>
      </c>
      <c r="C22">
        <v>1000</v>
      </c>
      <c r="D22">
        <f t="shared" si="1"/>
        <v>588370</v>
      </c>
      <c r="E22" s="2">
        <f t="shared" si="0"/>
        <v>0.12287230965567894</v>
      </c>
      <c r="G22" t="s">
        <v>63</v>
      </c>
    </row>
    <row r="24" spans="1:7" x14ac:dyDescent="0.3">
      <c r="D24">
        <f>SUM(D5:D22)</f>
        <v>4788467</v>
      </c>
      <c r="E24"/>
    </row>
  </sheetData>
  <pageMargins left="0.7" right="0.7" top="0.75" bottom="0.75" header="0.3" footer="0.3"/>
  <pageSetup orientation="portrait" horizontalDpi="180" verticalDpi="18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4"/>
  <sheetViews>
    <sheetView workbookViewId="0">
      <selection activeCell="B23" sqref="B23"/>
    </sheetView>
  </sheetViews>
  <sheetFormatPr defaultRowHeight="14.4" x14ac:dyDescent="0.3"/>
  <cols>
    <col min="1" max="1" width="14.5546875" bestFit="1" customWidth="1"/>
    <col min="2" max="2" width="16.88671875" style="1" bestFit="1" customWidth="1"/>
    <col min="5" max="5" width="11" style="2" bestFit="1" customWidth="1"/>
    <col min="6" max="6" width="11" bestFit="1" customWidth="1"/>
    <col min="7" max="7" width="69.5546875" bestFit="1" customWidth="1"/>
  </cols>
  <sheetData>
    <row r="1" spans="1:7" x14ac:dyDescent="0.3">
      <c r="A1" t="s">
        <v>14</v>
      </c>
    </row>
    <row r="3" spans="1:7" x14ac:dyDescent="0.3">
      <c r="A3" t="s">
        <v>0</v>
      </c>
      <c r="B3" s="1" t="s">
        <v>7</v>
      </c>
      <c r="C3" t="s">
        <v>1</v>
      </c>
      <c r="D3" t="s">
        <v>6</v>
      </c>
      <c r="E3" s="2" t="s">
        <v>2</v>
      </c>
      <c r="G3" t="s">
        <v>11</v>
      </c>
    </row>
    <row r="5" spans="1:7" x14ac:dyDescent="0.3">
      <c r="A5" t="s">
        <v>5</v>
      </c>
      <c r="B5" s="1">
        <f>980-208-56-194-122-95</f>
        <v>305</v>
      </c>
      <c r="C5">
        <v>733</v>
      </c>
      <c r="D5">
        <f>C5*B5</f>
        <v>223565</v>
      </c>
      <c r="E5" s="2">
        <f t="shared" ref="E5:E22" si="0">D5/$D$24</f>
        <v>4.4598924869967596E-2</v>
      </c>
    </row>
    <row r="6" spans="1:7" x14ac:dyDescent="0.3">
      <c r="A6" t="s">
        <v>3</v>
      </c>
      <c r="B6" s="1">
        <f>(511+255)*5</f>
        <v>3830</v>
      </c>
      <c r="C6">
        <v>201</v>
      </c>
      <c r="D6">
        <f t="shared" ref="D6:D22" si="1">C6*B6</f>
        <v>769830</v>
      </c>
      <c r="E6" s="2">
        <f t="shared" si="0"/>
        <v>0.1535731904933561</v>
      </c>
    </row>
    <row r="7" spans="1:7" x14ac:dyDescent="0.3">
      <c r="A7" t="s">
        <v>27</v>
      </c>
      <c r="B7" s="1">
        <v>473</v>
      </c>
      <c r="C7">
        <v>131</v>
      </c>
      <c r="D7">
        <f t="shared" si="1"/>
        <v>61963</v>
      </c>
      <c r="E7" s="2">
        <f t="shared" si="0"/>
        <v>1.236098307748441E-2</v>
      </c>
    </row>
    <row r="8" spans="1:7" x14ac:dyDescent="0.3">
      <c r="A8" t="s">
        <v>20</v>
      </c>
      <c r="B8" s="1">
        <f>29+10</f>
        <v>39</v>
      </c>
      <c r="C8">
        <v>14952</v>
      </c>
      <c r="D8">
        <f t="shared" si="1"/>
        <v>583128</v>
      </c>
      <c r="E8" s="2">
        <f t="shared" si="0"/>
        <v>0.11632805609811225</v>
      </c>
    </row>
    <row r="9" spans="1:7" x14ac:dyDescent="0.3">
      <c r="A9" t="s">
        <v>17</v>
      </c>
      <c r="B9" s="1">
        <v>350</v>
      </c>
      <c r="C9">
        <v>300</v>
      </c>
      <c r="D9">
        <f t="shared" si="1"/>
        <v>105000</v>
      </c>
      <c r="E9" s="2">
        <f t="shared" si="0"/>
        <v>2.0946423238640207E-2</v>
      </c>
    </row>
    <row r="10" spans="1:7" x14ac:dyDescent="0.3">
      <c r="A10" t="s">
        <v>23</v>
      </c>
      <c r="B10" s="1">
        <v>1645</v>
      </c>
      <c r="C10">
        <v>141</v>
      </c>
      <c r="D10">
        <f t="shared" si="1"/>
        <v>231945</v>
      </c>
      <c r="E10" s="2">
        <f t="shared" si="0"/>
        <v>4.6270648934156215E-2</v>
      </c>
    </row>
    <row r="11" spans="1:7" x14ac:dyDescent="0.3">
      <c r="A11" t="s">
        <v>16</v>
      </c>
      <c r="B11" s="1">
        <v>840</v>
      </c>
      <c r="C11">
        <v>408</v>
      </c>
      <c r="D11">
        <f t="shared" si="1"/>
        <v>342720</v>
      </c>
      <c r="E11" s="2">
        <f t="shared" si="0"/>
        <v>6.8369125450921636E-2</v>
      </c>
    </row>
    <row r="12" spans="1:7" x14ac:dyDescent="0.3">
      <c r="A12" t="s">
        <v>25</v>
      </c>
      <c r="B12" s="1">
        <f>766+383+229</f>
        <v>1378</v>
      </c>
      <c r="C12">
        <v>220</v>
      </c>
      <c r="D12">
        <f t="shared" si="1"/>
        <v>303160</v>
      </c>
      <c r="E12" s="2">
        <f t="shared" si="0"/>
        <v>6.0477311133582526E-2</v>
      </c>
    </row>
    <row r="13" spans="1:7" x14ac:dyDescent="0.3">
      <c r="A13" t="s">
        <v>4</v>
      </c>
      <c r="B13" s="1">
        <f>705-473-232</f>
        <v>0</v>
      </c>
      <c r="C13">
        <v>779</v>
      </c>
      <c r="D13">
        <f t="shared" si="1"/>
        <v>0</v>
      </c>
      <c r="E13" s="2">
        <f t="shared" si="0"/>
        <v>0</v>
      </c>
      <c r="G13" t="s">
        <v>65</v>
      </c>
    </row>
    <row r="14" spans="1:7" x14ac:dyDescent="0.3">
      <c r="A14" t="s">
        <v>61</v>
      </c>
      <c r="B14" s="1">
        <v>614</v>
      </c>
      <c r="C14">
        <v>385</v>
      </c>
      <c r="D14">
        <f>C14*B14</f>
        <v>236390</v>
      </c>
      <c r="E14" s="2">
        <f t="shared" si="0"/>
        <v>4.7157380851258653E-2</v>
      </c>
    </row>
    <row r="15" spans="1:7" x14ac:dyDescent="0.3">
      <c r="A15" t="s">
        <v>8</v>
      </c>
      <c r="B15" s="1">
        <f>1093+219-995</f>
        <v>317</v>
      </c>
      <c r="C15">
        <v>504</v>
      </c>
      <c r="D15">
        <f t="shared" si="1"/>
        <v>159768</v>
      </c>
      <c r="E15" s="2">
        <f t="shared" si="0"/>
        <v>3.1872077599914936E-2</v>
      </c>
    </row>
    <row r="16" spans="1:7" x14ac:dyDescent="0.3">
      <c r="A16" t="s">
        <v>28</v>
      </c>
      <c r="B16" s="1">
        <f>186+349</f>
        <v>535</v>
      </c>
      <c r="C16">
        <v>396</v>
      </c>
      <c r="D16">
        <f t="shared" si="1"/>
        <v>211860</v>
      </c>
      <c r="E16" s="2">
        <f t="shared" si="0"/>
        <v>4.2263897403222041E-2</v>
      </c>
    </row>
    <row r="17" spans="1:7" x14ac:dyDescent="0.3">
      <c r="A17" t="s">
        <v>42</v>
      </c>
      <c r="B17" s="1">
        <v>267</v>
      </c>
      <c r="C17">
        <v>936</v>
      </c>
      <c r="D17">
        <f t="shared" si="1"/>
        <v>249912</v>
      </c>
      <c r="E17" s="2">
        <f t="shared" si="0"/>
        <v>4.9854881184905248E-2</v>
      </c>
    </row>
    <row r="18" spans="1:7" x14ac:dyDescent="0.3">
      <c r="A18" t="s">
        <v>12</v>
      </c>
      <c r="B18" s="1">
        <v>368</v>
      </c>
      <c r="C18">
        <v>137</v>
      </c>
      <c r="D18">
        <f t="shared" si="1"/>
        <v>50416</v>
      </c>
      <c r="E18" s="2">
        <f t="shared" si="0"/>
        <v>1.0057474990469377E-2</v>
      </c>
    </row>
    <row r="19" spans="1:7" x14ac:dyDescent="0.3">
      <c r="A19" t="s">
        <v>19</v>
      </c>
      <c r="B19" s="1">
        <v>365</v>
      </c>
      <c r="C19">
        <v>456</v>
      </c>
      <c r="D19">
        <f t="shared" si="1"/>
        <v>166440</v>
      </c>
      <c r="E19" s="2">
        <f t="shared" si="0"/>
        <v>3.3203073179421679E-2</v>
      </c>
    </row>
    <row r="20" spans="1:7" x14ac:dyDescent="0.3">
      <c r="A20" t="s">
        <v>50</v>
      </c>
      <c r="B20" s="1">
        <f>920+319</f>
        <v>1239</v>
      </c>
      <c r="C20">
        <v>220</v>
      </c>
      <c r="D20">
        <f t="shared" si="1"/>
        <v>272580</v>
      </c>
      <c r="E20" s="2">
        <f t="shared" si="0"/>
        <v>5.4376914727509974E-2</v>
      </c>
    </row>
    <row r="21" spans="1:7" x14ac:dyDescent="0.3">
      <c r="A21" t="s">
        <v>10</v>
      </c>
      <c r="B21" s="1">
        <f>225+87+144</f>
        <v>456</v>
      </c>
      <c r="C21">
        <v>597</v>
      </c>
      <c r="D21">
        <f t="shared" si="1"/>
        <v>272232</v>
      </c>
      <c r="E21" s="2">
        <f t="shared" si="0"/>
        <v>5.4307492296204768E-2</v>
      </c>
    </row>
    <row r="22" spans="1:7" x14ac:dyDescent="0.3">
      <c r="A22" t="s">
        <v>15</v>
      </c>
      <c r="B22" s="1">
        <f>48.4+47.4+129.5-97.5-56+86.5+391.64-150.9-44.65+28+666.65-157.4-303.27+183.51</f>
        <v>771.88</v>
      </c>
      <c r="C22">
        <v>1000</v>
      </c>
      <c r="D22">
        <f t="shared" si="1"/>
        <v>771880</v>
      </c>
      <c r="E22" s="2">
        <f t="shared" si="0"/>
        <v>0.15398214447087241</v>
      </c>
      <c r="G22" t="s">
        <v>66</v>
      </c>
    </row>
    <row r="24" spans="1:7" x14ac:dyDescent="0.3">
      <c r="D24">
        <f>SUM(D5:D22)</f>
        <v>5012789</v>
      </c>
      <c r="E24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Model</vt:lpstr>
      <vt:lpstr>01Jan14</vt:lpstr>
      <vt:lpstr>24Jan14</vt:lpstr>
      <vt:lpstr>17Feb14</vt:lpstr>
      <vt:lpstr>26Feb14</vt:lpstr>
      <vt:lpstr>28Feb14</vt:lpstr>
      <vt:lpstr>14Mar14</vt:lpstr>
      <vt:lpstr>18Mar14</vt:lpstr>
      <vt:lpstr>23Apr14</vt:lpstr>
      <vt:lpstr>15Jul14</vt:lpstr>
      <vt:lpstr>22Jul14</vt:lpstr>
      <vt:lpstr>05Aug14</vt:lpstr>
      <vt:lpstr>06Aug14</vt:lpstr>
      <vt:lpstr>16Oct14</vt:lpstr>
      <vt:lpstr>17Oct14</vt:lpstr>
      <vt:lpstr>12Nov14</vt:lpstr>
      <vt:lpstr>18Nov14</vt:lpstr>
      <vt:lpstr>09Dec14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Samir Patel</cp:lastModifiedBy>
  <dcterms:created xsi:type="dcterms:W3CDTF">2011-12-31T05:17:18Z</dcterms:created>
  <dcterms:modified xsi:type="dcterms:W3CDTF">2023-06-22T09:42:39Z</dcterms:modified>
</cp:coreProperties>
</file>