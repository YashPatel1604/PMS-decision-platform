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codeName="ThisWorkbook" defaultThemeVersion="124226"/>
  <xr:revisionPtr revIDLastSave="0" documentId="13_ncr:1_{A3DF38A6-95E0-48D4-ADE2-CC83AE03DFEC}" xr6:coauthVersionLast="47" xr6:coauthVersionMax="47" xr10:uidLastSave="{00000000-0000-0000-0000-000000000000}"/>
  <bookViews>
    <workbookView xWindow="-108" yWindow="-108" windowWidth="23256" windowHeight="12456" firstSheet="9" activeTab="16" xr2:uid="{00000000-000D-0000-FFFF-FFFF00000000}"/>
  </bookViews>
  <sheets>
    <sheet name="01Jan18" sheetId="41" r:id="rId1"/>
    <sheet name="08Feb18" sheetId="42" r:id="rId2"/>
    <sheet name="19Mar18" sheetId="43" r:id="rId3"/>
    <sheet name="04Apr18" sheetId="44" r:id="rId4"/>
    <sheet name="23Apr18" sheetId="45" r:id="rId5"/>
    <sheet name="24April18" sheetId="46" r:id="rId6"/>
    <sheet name="17May18" sheetId="47" r:id="rId7"/>
    <sheet name="30May18" sheetId="48" r:id="rId8"/>
    <sheet name="20Jun18" sheetId="49" r:id="rId9"/>
    <sheet name="25Jun18" sheetId="50" r:id="rId10"/>
    <sheet name="09Jul18" sheetId="51" r:id="rId11"/>
    <sheet name="10Jul18" sheetId="52" r:id="rId12"/>
    <sheet name="10Jul18_2" sheetId="53" r:id="rId13"/>
    <sheet name="17Jul18" sheetId="54" r:id="rId14"/>
    <sheet name="16Aug18" sheetId="55" r:id="rId15"/>
    <sheet name="24Aug18" sheetId="56" r:id="rId16"/>
    <sheet name="01Oct18" sheetId="57" r:id="rId17"/>
    <sheet name="23Oct18" sheetId="58" r:id="rId18"/>
    <sheet name="27Nov18" sheetId="59" r:id="rId19"/>
    <sheet name="03Dec18" sheetId="60" r:id="rId20"/>
    <sheet name="07Dec18" sheetId="61" r:id="rId21"/>
    <sheet name="31Dec18" sheetId="62" r:id="rId22"/>
    <sheet name="Liquid" sheetId="2" r:id="rId23"/>
    <sheet name="Sheet3" sheetId="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2" l="1"/>
  <c r="D22" i="62" s="1"/>
  <c r="B21" i="62"/>
  <c r="D21" i="62" s="1"/>
  <c r="B20" i="62"/>
  <c r="D20" i="62" s="1"/>
  <c r="D19" i="62"/>
  <c r="B19" i="62"/>
  <c r="B18" i="62"/>
  <c r="D18" i="62" s="1"/>
  <c r="B17" i="62"/>
  <c r="D17" i="62" s="1"/>
  <c r="B16" i="62"/>
  <c r="D16" i="62" s="1"/>
  <c r="D15" i="62"/>
  <c r="D14" i="62"/>
  <c r="D13" i="62"/>
  <c r="D12" i="62"/>
  <c r="D11" i="62"/>
  <c r="B11" i="62"/>
  <c r="B10" i="62"/>
  <c r="D10" i="62" s="1"/>
  <c r="B9" i="62"/>
  <c r="D9" i="62" s="1"/>
  <c r="D8" i="62"/>
  <c r="B7" i="62"/>
  <c r="D7" i="62" s="1"/>
  <c r="B6" i="62"/>
  <c r="D6" i="62" s="1"/>
  <c r="B5" i="62"/>
  <c r="D5" i="62" s="1"/>
  <c r="D24" i="62" l="1"/>
  <c r="E8" i="62" s="1"/>
  <c r="B22" i="61"/>
  <c r="E6" i="62" l="1"/>
  <c r="E22" i="62"/>
  <c r="E21" i="62"/>
  <c r="E18" i="62"/>
  <c r="E19" i="62"/>
  <c r="E20" i="62"/>
  <c r="E9" i="62"/>
  <c r="E11" i="62"/>
  <c r="E17" i="62"/>
  <c r="E5" i="62"/>
  <c r="E13" i="62"/>
  <c r="E16" i="62"/>
  <c r="E15" i="62"/>
  <c r="E7" i="62"/>
  <c r="E10" i="62"/>
  <c r="E12" i="62"/>
  <c r="E14" i="62"/>
  <c r="B17" i="61"/>
  <c r="D17" i="61" s="1"/>
  <c r="D14" i="61"/>
  <c r="D22" i="61"/>
  <c r="B21" i="61"/>
  <c r="D21" i="61" s="1"/>
  <c r="B20" i="61"/>
  <c r="D20" i="61" s="1"/>
  <c r="B19" i="61"/>
  <c r="D19" i="61" s="1"/>
  <c r="B18" i="61"/>
  <c r="D18" i="61" s="1"/>
  <c r="D16" i="61"/>
  <c r="B16" i="61"/>
  <c r="D15" i="61"/>
  <c r="D13" i="61"/>
  <c r="D12" i="61"/>
  <c r="D11" i="61"/>
  <c r="B11" i="61"/>
  <c r="B10" i="61"/>
  <c r="D10" i="61" s="1"/>
  <c r="D9" i="61"/>
  <c r="B9" i="61"/>
  <c r="D8" i="61"/>
  <c r="B7" i="61"/>
  <c r="D7" i="61" s="1"/>
  <c r="D6" i="61"/>
  <c r="B6" i="61"/>
  <c r="B5" i="61"/>
  <c r="D5" i="61" s="1"/>
  <c r="B15" i="60"/>
  <c r="D24" i="61" l="1"/>
  <c r="B22" i="60"/>
  <c r="D22" i="60" s="1"/>
  <c r="B21" i="60"/>
  <c r="D21" i="60" s="1"/>
  <c r="B20" i="60"/>
  <c r="D20" i="60" s="1"/>
  <c r="B19" i="60"/>
  <c r="D19" i="60" s="1"/>
  <c r="B18" i="60"/>
  <c r="D18" i="60" s="1"/>
  <c r="D17" i="60"/>
  <c r="D16" i="60"/>
  <c r="B16" i="60"/>
  <c r="D15" i="60"/>
  <c r="D14" i="60"/>
  <c r="D13" i="60"/>
  <c r="D12" i="60"/>
  <c r="D11" i="60"/>
  <c r="B11" i="60"/>
  <c r="B10" i="60"/>
  <c r="D10" i="60" s="1"/>
  <c r="B9" i="60"/>
  <c r="D9" i="60" s="1"/>
  <c r="D8" i="60"/>
  <c r="B7" i="60"/>
  <c r="D7" i="60" s="1"/>
  <c r="B6" i="60"/>
  <c r="D6" i="60" s="1"/>
  <c r="B5" i="60"/>
  <c r="D5" i="60" s="1"/>
  <c r="B22" i="59"/>
  <c r="E8" i="61" l="1"/>
  <c r="E14" i="61"/>
  <c r="E5" i="61"/>
  <c r="E11" i="61"/>
  <c r="E13" i="61"/>
  <c r="E20" i="61"/>
  <c r="E9" i="61"/>
  <c r="E10" i="61"/>
  <c r="E6" i="61"/>
  <c r="E22" i="61"/>
  <c r="E17" i="61"/>
  <c r="E19" i="61"/>
  <c r="E7" i="61"/>
  <c r="E18" i="61"/>
  <c r="E21" i="61"/>
  <c r="E15" i="61"/>
  <c r="E16" i="61"/>
  <c r="E12" i="61"/>
  <c r="D24" i="60"/>
  <c r="E21" i="60" s="1"/>
  <c r="E9" i="60"/>
  <c r="E6" i="60"/>
  <c r="E16" i="60"/>
  <c r="D22" i="59"/>
  <c r="D8" i="59"/>
  <c r="B21" i="59"/>
  <c r="D21" i="59" s="1"/>
  <c r="B20" i="59"/>
  <c r="D20" i="59" s="1"/>
  <c r="B19" i="59"/>
  <c r="D19" i="59" s="1"/>
  <c r="B18" i="59"/>
  <c r="D18" i="59" s="1"/>
  <c r="D17" i="59"/>
  <c r="B16" i="59"/>
  <c r="D16" i="59" s="1"/>
  <c r="B15" i="59"/>
  <c r="D15" i="59" s="1"/>
  <c r="D14" i="59"/>
  <c r="D13" i="59"/>
  <c r="D12" i="59"/>
  <c r="B11" i="59"/>
  <c r="D11" i="59" s="1"/>
  <c r="B10" i="59"/>
  <c r="D10" i="59" s="1"/>
  <c r="B9" i="59"/>
  <c r="D9" i="59" s="1"/>
  <c r="B7" i="59"/>
  <c r="D7" i="59" s="1"/>
  <c r="B6" i="59"/>
  <c r="D6" i="59" s="1"/>
  <c r="B5" i="59"/>
  <c r="D5" i="59" s="1"/>
  <c r="E19" i="60" l="1"/>
  <c r="E17" i="60"/>
  <c r="E14" i="60"/>
  <c r="E12" i="60"/>
  <c r="E20" i="60"/>
  <c r="E8" i="60"/>
  <c r="E5" i="60"/>
  <c r="E13" i="60"/>
  <c r="E18" i="60"/>
  <c r="E15" i="60"/>
  <c r="E22" i="60"/>
  <c r="E10" i="60"/>
  <c r="E11" i="60"/>
  <c r="E7" i="60"/>
  <c r="D24" i="59"/>
  <c r="E7" i="59" s="1"/>
  <c r="B21" i="58"/>
  <c r="E8" i="59" l="1"/>
  <c r="E5" i="59"/>
  <c r="E17" i="59"/>
  <c r="E18" i="59"/>
  <c r="E16" i="59"/>
  <c r="E9" i="59"/>
  <c r="E15" i="59"/>
  <c r="E14" i="59"/>
  <c r="E13" i="59"/>
  <c r="E22" i="59"/>
  <c r="E6" i="59"/>
  <c r="E11" i="59"/>
  <c r="E10" i="59"/>
  <c r="E12" i="59"/>
  <c r="E21" i="59"/>
  <c r="E20" i="59"/>
  <c r="E19" i="59"/>
  <c r="B8" i="58"/>
  <c r="D8" i="58" s="1"/>
  <c r="D21" i="58"/>
  <c r="B20" i="58"/>
  <c r="D20" i="58" s="1"/>
  <c r="B19" i="58"/>
  <c r="D19" i="58" s="1"/>
  <c r="B18" i="58"/>
  <c r="D18" i="58" s="1"/>
  <c r="B17" i="58"/>
  <c r="D17" i="58" s="1"/>
  <c r="D16" i="58"/>
  <c r="B15" i="58"/>
  <c r="D15" i="58" s="1"/>
  <c r="B14" i="58"/>
  <c r="D14" i="58" s="1"/>
  <c r="D13" i="58"/>
  <c r="D12" i="58"/>
  <c r="D11" i="58"/>
  <c r="D10" i="58"/>
  <c r="B10" i="58"/>
  <c r="B9" i="58"/>
  <c r="D9" i="58" s="1"/>
  <c r="B7" i="58"/>
  <c r="D7" i="58" s="1"/>
  <c r="B6" i="58"/>
  <c r="D6" i="58" s="1"/>
  <c r="B5" i="58"/>
  <c r="D5" i="58" s="1"/>
  <c r="D23" i="58" l="1"/>
  <c r="E5" i="58" s="1"/>
  <c r="B21" i="57"/>
  <c r="D21" i="57" s="1"/>
  <c r="B9" i="57"/>
  <c r="D9" i="57" s="1"/>
  <c r="B20" i="57"/>
  <c r="D20" i="57" s="1"/>
  <c r="B19" i="57"/>
  <c r="D19" i="57" s="1"/>
  <c r="B18" i="57"/>
  <c r="D18" i="57" s="1"/>
  <c r="B17" i="57"/>
  <c r="D17" i="57" s="1"/>
  <c r="D16" i="57"/>
  <c r="B15" i="57"/>
  <c r="D15" i="57" s="1"/>
  <c r="B14" i="57"/>
  <c r="D14" i="57" s="1"/>
  <c r="D13" i="57"/>
  <c r="D12" i="57"/>
  <c r="D11" i="57"/>
  <c r="B10" i="57"/>
  <c r="D10" i="57" s="1"/>
  <c r="B8" i="57"/>
  <c r="D8" i="57" s="1"/>
  <c r="B7" i="57"/>
  <c r="D7" i="57" s="1"/>
  <c r="D6" i="57"/>
  <c r="B6" i="57"/>
  <c r="B5" i="57"/>
  <c r="D5" i="57" s="1"/>
  <c r="E9" i="58" l="1"/>
  <c r="E21" i="58"/>
  <c r="E14" i="58"/>
  <c r="E12" i="58"/>
  <c r="E20" i="58"/>
  <c r="E18" i="58"/>
  <c r="E6" i="58"/>
  <c r="E17" i="58"/>
  <c r="E15" i="58"/>
  <c r="E8" i="58"/>
  <c r="E10" i="58"/>
  <c r="E7" i="58"/>
  <c r="E16" i="58"/>
  <c r="E13" i="58"/>
  <c r="E11" i="58"/>
  <c r="E19" i="58"/>
  <c r="D23" i="57"/>
  <c r="E7" i="57" s="1"/>
  <c r="B21" i="56"/>
  <c r="E21" i="57" l="1"/>
  <c r="E9" i="57"/>
  <c r="E5" i="57"/>
  <c r="E20" i="57"/>
  <c r="E18" i="57"/>
  <c r="E19" i="57"/>
  <c r="E17" i="57"/>
  <c r="E11" i="57"/>
  <c r="E10" i="57"/>
  <c r="E16" i="57"/>
  <c r="E13" i="57"/>
  <c r="E15" i="57"/>
  <c r="E8" i="57"/>
  <c r="E14" i="57"/>
  <c r="E12" i="57"/>
  <c r="E6" i="57"/>
  <c r="D11" i="56"/>
  <c r="D21" i="56"/>
  <c r="B20" i="56"/>
  <c r="D20" i="56" s="1"/>
  <c r="B19" i="56"/>
  <c r="D19" i="56" s="1"/>
  <c r="B18" i="56"/>
  <c r="D18" i="56" s="1"/>
  <c r="B17" i="56"/>
  <c r="D17" i="56" s="1"/>
  <c r="D16" i="56"/>
  <c r="B15" i="56"/>
  <c r="D15" i="56" s="1"/>
  <c r="B14" i="56"/>
  <c r="D14" i="56" s="1"/>
  <c r="D13" i="56"/>
  <c r="D12" i="56"/>
  <c r="B10" i="56"/>
  <c r="D10" i="56" s="1"/>
  <c r="B9" i="56"/>
  <c r="D9" i="56" s="1"/>
  <c r="B8" i="56"/>
  <c r="D8" i="56" s="1"/>
  <c r="B7" i="56"/>
  <c r="D7" i="56" s="1"/>
  <c r="B6" i="56"/>
  <c r="D6" i="56" s="1"/>
  <c r="B5" i="56"/>
  <c r="D5" i="56" s="1"/>
  <c r="D23" i="56" l="1"/>
  <c r="E5" i="56" s="1"/>
  <c r="B20" i="55"/>
  <c r="B9" i="55"/>
  <c r="E16" i="56" l="1"/>
  <c r="E12" i="56"/>
  <c r="E7" i="56"/>
  <c r="E13" i="56"/>
  <c r="E6" i="56"/>
  <c r="E17" i="56"/>
  <c r="E10" i="56"/>
  <c r="E11" i="56"/>
  <c r="E9" i="56"/>
  <c r="E8" i="56"/>
  <c r="E21" i="56"/>
  <c r="E20" i="56"/>
  <c r="E19" i="56"/>
  <c r="E15" i="56"/>
  <c r="E18" i="56"/>
  <c r="E14" i="56"/>
  <c r="D20" i="55"/>
  <c r="B19" i="55"/>
  <c r="D19" i="55" s="1"/>
  <c r="B18" i="55"/>
  <c r="D18" i="55" s="1"/>
  <c r="B17" i="55"/>
  <c r="D17" i="55" s="1"/>
  <c r="B16" i="55"/>
  <c r="D16" i="55" s="1"/>
  <c r="D15" i="55"/>
  <c r="B14" i="55"/>
  <c r="D14" i="55" s="1"/>
  <c r="B13" i="55"/>
  <c r="D13" i="55" s="1"/>
  <c r="D12" i="55"/>
  <c r="D11" i="55"/>
  <c r="B10" i="55"/>
  <c r="D10" i="55" s="1"/>
  <c r="D9" i="55"/>
  <c r="B8" i="55"/>
  <c r="D8" i="55" s="1"/>
  <c r="B7" i="55"/>
  <c r="D7" i="55" s="1"/>
  <c r="D6" i="55"/>
  <c r="B6" i="55"/>
  <c r="B5" i="55"/>
  <c r="D5" i="55" s="1"/>
  <c r="D22" i="55" l="1"/>
  <c r="E18" i="55" s="1"/>
  <c r="B20" i="54"/>
  <c r="D20" i="54" s="1"/>
  <c r="B10" i="54"/>
  <c r="D10" i="54" s="1"/>
  <c r="B19" i="54"/>
  <c r="D19" i="54" s="1"/>
  <c r="B18" i="54"/>
  <c r="D18" i="54" s="1"/>
  <c r="B17" i="54"/>
  <c r="D17" i="54" s="1"/>
  <c r="B16" i="54"/>
  <c r="D16" i="54" s="1"/>
  <c r="D15" i="54"/>
  <c r="B14" i="54"/>
  <c r="D14" i="54" s="1"/>
  <c r="B13" i="54"/>
  <c r="D13" i="54" s="1"/>
  <c r="D12" i="54"/>
  <c r="D11" i="54"/>
  <c r="B9" i="54"/>
  <c r="D9" i="54" s="1"/>
  <c r="B8" i="54"/>
  <c r="D8" i="54" s="1"/>
  <c r="B7" i="54"/>
  <c r="D7" i="54" s="1"/>
  <c r="B6" i="54"/>
  <c r="D6" i="54" s="1"/>
  <c r="B5" i="54"/>
  <c r="D5" i="54" s="1"/>
  <c r="E5" i="55" l="1"/>
  <c r="E12" i="55"/>
  <c r="E17" i="55"/>
  <c r="E13" i="55"/>
  <c r="E14" i="55"/>
  <c r="E6" i="55"/>
  <c r="E9" i="55"/>
  <c r="E11" i="55"/>
  <c r="E7" i="55"/>
  <c r="E19" i="55"/>
  <c r="E16" i="55"/>
  <c r="E20" i="55"/>
  <c r="E8" i="55"/>
  <c r="E15" i="55"/>
  <c r="E10" i="55"/>
  <c r="D22" i="54"/>
  <c r="E7" i="54" s="1"/>
  <c r="B10" i="53"/>
  <c r="B21" i="53"/>
  <c r="D21" i="53" s="1"/>
  <c r="B20" i="53"/>
  <c r="D20" i="53" s="1"/>
  <c r="B19" i="53"/>
  <c r="D19" i="53" s="1"/>
  <c r="B18" i="53"/>
  <c r="D18" i="53" s="1"/>
  <c r="B17" i="53"/>
  <c r="D17" i="53" s="1"/>
  <c r="D16" i="53"/>
  <c r="B15" i="53"/>
  <c r="D15" i="53" s="1"/>
  <c r="B14" i="53"/>
  <c r="D14" i="53" s="1"/>
  <c r="D13" i="53"/>
  <c r="D12" i="53"/>
  <c r="D11" i="53"/>
  <c r="D10" i="53"/>
  <c r="B9" i="53"/>
  <c r="D9" i="53" s="1"/>
  <c r="B8" i="53"/>
  <c r="D8" i="53" s="1"/>
  <c r="B7" i="53"/>
  <c r="D7" i="53" s="1"/>
  <c r="B6" i="53"/>
  <c r="D6" i="53" s="1"/>
  <c r="B5" i="53"/>
  <c r="D5" i="53" s="1"/>
  <c r="B6" i="52"/>
  <c r="D6" i="52" s="1"/>
  <c r="B21" i="52"/>
  <c r="D21" i="52" s="1"/>
  <c r="B21" i="51"/>
  <c r="B10" i="51"/>
  <c r="B20" i="52"/>
  <c r="D20" i="52" s="1"/>
  <c r="B19" i="52"/>
  <c r="D19" i="52" s="1"/>
  <c r="B18" i="52"/>
  <c r="D18" i="52" s="1"/>
  <c r="B17" i="52"/>
  <c r="D17" i="52" s="1"/>
  <c r="D16" i="52"/>
  <c r="B15" i="52"/>
  <c r="D15" i="52" s="1"/>
  <c r="B14" i="52"/>
  <c r="D14" i="52" s="1"/>
  <c r="D13" i="52"/>
  <c r="D12" i="52"/>
  <c r="D11" i="52"/>
  <c r="D10" i="52"/>
  <c r="B9" i="52"/>
  <c r="D9" i="52" s="1"/>
  <c r="B8" i="52"/>
  <c r="D8" i="52" s="1"/>
  <c r="D7" i="52"/>
  <c r="B7" i="52"/>
  <c r="B5" i="52"/>
  <c r="D5" i="52" s="1"/>
  <c r="D21" i="51"/>
  <c r="B20" i="51"/>
  <c r="D20" i="51" s="1"/>
  <c r="B19" i="51"/>
  <c r="D19" i="51" s="1"/>
  <c r="B18" i="51"/>
  <c r="D18" i="51" s="1"/>
  <c r="B17" i="51"/>
  <c r="D17" i="51" s="1"/>
  <c r="D16" i="51"/>
  <c r="B15" i="51"/>
  <c r="D15" i="51" s="1"/>
  <c r="B14" i="51"/>
  <c r="D14" i="51" s="1"/>
  <c r="D13" i="51"/>
  <c r="D12" i="51"/>
  <c r="D11" i="51"/>
  <c r="D10" i="51"/>
  <c r="B9" i="51"/>
  <c r="D9" i="51" s="1"/>
  <c r="B8" i="51"/>
  <c r="D8" i="51" s="1"/>
  <c r="B7" i="51"/>
  <c r="D7" i="51" s="1"/>
  <c r="B6" i="51"/>
  <c r="D6" i="51" s="1"/>
  <c r="B5" i="51"/>
  <c r="D5" i="51" s="1"/>
  <c r="E5" i="54" l="1"/>
  <c r="E13" i="54"/>
  <c r="E17" i="54"/>
  <c r="E18" i="54"/>
  <c r="E14" i="54"/>
  <c r="E15" i="54"/>
  <c r="E9" i="54"/>
  <c r="E16" i="54"/>
  <c r="E10" i="54"/>
  <c r="E20" i="54"/>
  <c r="E12" i="54"/>
  <c r="E8" i="54"/>
  <c r="E19" i="54"/>
  <c r="E11" i="54"/>
  <c r="E6" i="54"/>
  <c r="D23" i="53"/>
  <c r="E7" i="53" s="1"/>
  <c r="D23" i="52"/>
  <c r="E15" i="52" s="1"/>
  <c r="E5" i="52"/>
  <c r="E8" i="52"/>
  <c r="E13" i="52"/>
  <c r="E10" i="52"/>
  <c r="E14" i="52"/>
  <c r="E11" i="52"/>
  <c r="E21" i="52"/>
  <c r="D23" i="51"/>
  <c r="E8" i="51" s="1"/>
  <c r="E9" i="51"/>
  <c r="E14" i="51"/>
  <c r="B21" i="50"/>
  <c r="E10" i="51" l="1"/>
  <c r="E6" i="52"/>
  <c r="E17" i="52"/>
  <c r="E5" i="51"/>
  <c r="E17" i="51"/>
  <c r="E15" i="51"/>
  <c r="E7" i="52"/>
  <c r="E19" i="52"/>
  <c r="E18" i="52"/>
  <c r="E9" i="52"/>
  <c r="E21" i="51"/>
  <c r="E13" i="51"/>
  <c r="E11" i="51"/>
  <c r="E20" i="52"/>
  <c r="E16" i="52"/>
  <c r="E12" i="52"/>
  <c r="E18" i="53"/>
  <c r="E6" i="53"/>
  <c r="E21" i="53"/>
  <c r="E14" i="53"/>
  <c r="E12" i="53"/>
  <c r="E9" i="53"/>
  <c r="E20" i="53"/>
  <c r="E15" i="53"/>
  <c r="E5" i="53"/>
  <c r="E17" i="53"/>
  <c r="E16" i="53"/>
  <c r="E13" i="53"/>
  <c r="E11" i="53"/>
  <c r="E19" i="53"/>
  <c r="E8" i="53"/>
  <c r="E10" i="53"/>
  <c r="E7" i="51"/>
  <c r="E16" i="51"/>
  <c r="E12" i="51"/>
  <c r="E18" i="51"/>
  <c r="E20" i="51"/>
  <c r="E6" i="51"/>
  <c r="E19" i="51"/>
  <c r="B9" i="50"/>
  <c r="D21" i="50"/>
  <c r="B20" i="50"/>
  <c r="D20" i="50" s="1"/>
  <c r="B19" i="50"/>
  <c r="D19" i="50" s="1"/>
  <c r="B18" i="50"/>
  <c r="D18" i="50" s="1"/>
  <c r="B17" i="50"/>
  <c r="D17" i="50" s="1"/>
  <c r="D16" i="50"/>
  <c r="B15" i="50"/>
  <c r="D15" i="50" s="1"/>
  <c r="B14" i="50"/>
  <c r="D14" i="50" s="1"/>
  <c r="D13" i="50"/>
  <c r="D12" i="50"/>
  <c r="D11" i="50"/>
  <c r="D10" i="50"/>
  <c r="D9" i="50"/>
  <c r="B8" i="50"/>
  <c r="D8" i="50" s="1"/>
  <c r="B7" i="50"/>
  <c r="D7" i="50" s="1"/>
  <c r="D6" i="50"/>
  <c r="B6" i="50"/>
  <c r="B5" i="50"/>
  <c r="D5" i="50" s="1"/>
  <c r="B6" i="49"/>
  <c r="D6" i="49" s="1"/>
  <c r="B21" i="49"/>
  <c r="D21" i="49" s="1"/>
  <c r="B20" i="49"/>
  <c r="D20" i="49" s="1"/>
  <c r="B19" i="49"/>
  <c r="D19" i="49" s="1"/>
  <c r="B18" i="49"/>
  <c r="D18" i="49" s="1"/>
  <c r="B17" i="49"/>
  <c r="D17" i="49" s="1"/>
  <c r="D16" i="49"/>
  <c r="B15" i="49"/>
  <c r="D15" i="49" s="1"/>
  <c r="B14" i="49"/>
  <c r="D14" i="49" s="1"/>
  <c r="D13" i="49"/>
  <c r="D12" i="49"/>
  <c r="D11" i="49"/>
  <c r="D10" i="49"/>
  <c r="D9" i="49"/>
  <c r="B8" i="49"/>
  <c r="D8" i="49" s="1"/>
  <c r="B7" i="49"/>
  <c r="D7" i="49" s="1"/>
  <c r="D5" i="49"/>
  <c r="B5" i="49"/>
  <c r="D23" i="50" l="1"/>
  <c r="E7" i="50" s="1"/>
  <c r="D23" i="49"/>
  <c r="E15" i="49" s="1"/>
  <c r="B20" i="48"/>
  <c r="D20" i="48" s="1"/>
  <c r="B21" i="48"/>
  <c r="D21" i="48" s="1"/>
  <c r="B19" i="48"/>
  <c r="D19" i="48" s="1"/>
  <c r="B18" i="48"/>
  <c r="D18" i="48" s="1"/>
  <c r="B17" i="48"/>
  <c r="D17" i="48" s="1"/>
  <c r="D16" i="48"/>
  <c r="B15" i="48"/>
  <c r="D15" i="48" s="1"/>
  <c r="B14" i="48"/>
  <c r="D14" i="48" s="1"/>
  <c r="D13" i="48"/>
  <c r="D12" i="48"/>
  <c r="D11" i="48"/>
  <c r="D10" i="48"/>
  <c r="D9" i="48"/>
  <c r="B8" i="48"/>
  <c r="D8" i="48" s="1"/>
  <c r="B7" i="48"/>
  <c r="D7" i="48" s="1"/>
  <c r="B6" i="48"/>
  <c r="D6" i="48" s="1"/>
  <c r="B5" i="48"/>
  <c r="D5" i="48" s="1"/>
  <c r="E13" i="50" l="1"/>
  <c r="E5" i="50"/>
  <c r="E21" i="50"/>
  <c r="E18" i="50"/>
  <c r="E8" i="50"/>
  <c r="E9" i="50"/>
  <c r="E20" i="50"/>
  <c r="E17" i="50"/>
  <c r="E15" i="50"/>
  <c r="E11" i="50"/>
  <c r="E16" i="50"/>
  <c r="E19" i="50"/>
  <c r="E12" i="50"/>
  <c r="E10" i="50"/>
  <c r="E14" i="50"/>
  <c r="E6" i="50"/>
  <c r="E12" i="49"/>
  <c r="E14" i="49"/>
  <c r="E7" i="49"/>
  <c r="E17" i="49"/>
  <c r="E8" i="49"/>
  <c r="E21" i="49"/>
  <c r="E20" i="49"/>
  <c r="E19" i="49"/>
  <c r="E10" i="49"/>
  <c r="E5" i="49"/>
  <c r="E16" i="49"/>
  <c r="E11" i="49"/>
  <c r="E9" i="49"/>
  <c r="E13" i="49"/>
  <c r="E6" i="49"/>
  <c r="E18" i="49"/>
  <c r="D23" i="48"/>
  <c r="E6" i="48" s="1"/>
  <c r="E20" i="48"/>
  <c r="B21" i="47"/>
  <c r="D13" i="47"/>
  <c r="E8" i="48" l="1"/>
  <c r="E18" i="48"/>
  <c r="E17" i="48"/>
  <c r="E12" i="48"/>
  <c r="E7" i="48"/>
  <c r="E15" i="48"/>
  <c r="E14" i="48"/>
  <c r="E16" i="48"/>
  <c r="E13" i="48"/>
  <c r="E11" i="48"/>
  <c r="E9" i="48"/>
  <c r="E19" i="48"/>
  <c r="E10" i="48"/>
  <c r="E21" i="48"/>
  <c r="E5" i="48"/>
  <c r="D21" i="47"/>
  <c r="B20" i="47"/>
  <c r="D20" i="47" s="1"/>
  <c r="B19" i="47"/>
  <c r="D19" i="47" s="1"/>
  <c r="B18" i="47"/>
  <c r="D18" i="47" s="1"/>
  <c r="B17" i="47"/>
  <c r="D17" i="47" s="1"/>
  <c r="D16" i="47"/>
  <c r="B15" i="47"/>
  <c r="D15" i="47" s="1"/>
  <c r="B14" i="47"/>
  <c r="D14" i="47" s="1"/>
  <c r="D12" i="47"/>
  <c r="D11" i="47"/>
  <c r="D10" i="47"/>
  <c r="D9" i="47"/>
  <c r="B8" i="47"/>
  <c r="D8" i="47" s="1"/>
  <c r="B7" i="47"/>
  <c r="D7" i="47" s="1"/>
  <c r="B6" i="47"/>
  <c r="D6" i="47" s="1"/>
  <c r="B5" i="47"/>
  <c r="D5" i="47" s="1"/>
  <c r="D23" i="47" l="1"/>
  <c r="B12" i="46"/>
  <c r="B21" i="46"/>
  <c r="D21" i="46" s="1"/>
  <c r="D13" i="46"/>
  <c r="D9" i="46"/>
  <c r="B20" i="46"/>
  <c r="D20" i="46" s="1"/>
  <c r="B19" i="46"/>
  <c r="D19" i="46" s="1"/>
  <c r="B18" i="46"/>
  <c r="D18" i="46" s="1"/>
  <c r="B17" i="46"/>
  <c r="D16" i="46"/>
  <c r="B15" i="46"/>
  <c r="D15" i="46" s="1"/>
  <c r="B14" i="46"/>
  <c r="D14" i="46" s="1"/>
  <c r="D12" i="46"/>
  <c r="D11" i="46"/>
  <c r="D10" i="46"/>
  <c r="B8" i="46"/>
  <c r="D8" i="46" s="1"/>
  <c r="B7" i="46"/>
  <c r="D7" i="46" s="1"/>
  <c r="B6" i="46"/>
  <c r="D6" i="46" s="1"/>
  <c r="B5" i="46"/>
  <c r="E8" i="47" l="1"/>
  <c r="E13" i="47"/>
  <c r="E6" i="47"/>
  <c r="E10" i="47"/>
  <c r="E5" i="47"/>
  <c r="E17" i="47"/>
  <c r="E18" i="47"/>
  <c r="E12" i="47"/>
  <c r="E21" i="47"/>
  <c r="E15" i="47"/>
  <c r="E11" i="47"/>
  <c r="E9" i="47"/>
  <c r="E19" i="47"/>
  <c r="E14" i="47"/>
  <c r="E20" i="47"/>
  <c r="E16" i="47"/>
  <c r="E7" i="47"/>
  <c r="D5" i="46"/>
  <c r="D17" i="46"/>
  <c r="B22" i="45"/>
  <c r="D22" i="45" s="1"/>
  <c r="B14" i="45"/>
  <c r="D14" i="45" s="1"/>
  <c r="B21" i="45"/>
  <c r="D21" i="45" s="1"/>
  <c r="B20" i="45"/>
  <c r="D20" i="45" s="1"/>
  <c r="B19" i="45"/>
  <c r="D19" i="45" s="1"/>
  <c r="B18" i="45"/>
  <c r="D18" i="45" s="1"/>
  <c r="D17" i="45"/>
  <c r="B16" i="45"/>
  <c r="D16" i="45" s="1"/>
  <c r="B15" i="45"/>
  <c r="D15" i="45" s="1"/>
  <c r="D13" i="45"/>
  <c r="D12" i="45"/>
  <c r="D11" i="45"/>
  <c r="D10" i="45"/>
  <c r="D9" i="45"/>
  <c r="B8" i="45"/>
  <c r="D8" i="45" s="1"/>
  <c r="B7" i="45"/>
  <c r="D7" i="45" s="1"/>
  <c r="B6" i="45"/>
  <c r="D6" i="45" s="1"/>
  <c r="B5" i="45"/>
  <c r="D5" i="45" s="1"/>
  <c r="D23" i="46" l="1"/>
  <c r="E16" i="46"/>
  <c r="E12" i="46"/>
  <c r="E11" i="46"/>
  <c r="E18" i="46"/>
  <c r="E17" i="46"/>
  <c r="E9" i="46"/>
  <c r="E15" i="46"/>
  <c r="E14" i="46"/>
  <c r="E5" i="46"/>
  <c r="E8" i="46"/>
  <c r="E10" i="46"/>
  <c r="E19" i="46"/>
  <c r="E21" i="46"/>
  <c r="E7" i="46"/>
  <c r="E20" i="46"/>
  <c r="E6" i="46"/>
  <c r="E13" i="46"/>
  <c r="D24" i="45"/>
  <c r="E7" i="45" s="1"/>
  <c r="B23" i="44"/>
  <c r="D23" i="44" s="1"/>
  <c r="B13" i="44"/>
  <c r="D13" i="44" s="1"/>
  <c r="B22" i="44"/>
  <c r="D22" i="44" s="1"/>
  <c r="B21" i="44"/>
  <c r="D21" i="44" s="1"/>
  <c r="B20" i="44"/>
  <c r="D20" i="44" s="1"/>
  <c r="B19" i="44"/>
  <c r="D19" i="44" s="1"/>
  <c r="D18" i="44"/>
  <c r="B17" i="44"/>
  <c r="D17" i="44" s="1"/>
  <c r="B16" i="44"/>
  <c r="D16" i="44" s="1"/>
  <c r="B15" i="44"/>
  <c r="D15" i="44" s="1"/>
  <c r="D14" i="44"/>
  <c r="D12" i="44"/>
  <c r="D11" i="44"/>
  <c r="D10" i="44"/>
  <c r="B9" i="44"/>
  <c r="D9" i="44" s="1"/>
  <c r="B8" i="44"/>
  <c r="D8" i="44" s="1"/>
  <c r="B7" i="44"/>
  <c r="D7" i="44" s="1"/>
  <c r="B6" i="44"/>
  <c r="D6" i="44" s="1"/>
  <c r="B5" i="44"/>
  <c r="D5" i="44" s="1"/>
  <c r="E13" i="45" l="1"/>
  <c r="E19" i="45"/>
  <c r="E5" i="45"/>
  <c r="E21" i="45"/>
  <c r="E8" i="45"/>
  <c r="E14" i="45"/>
  <c r="E6" i="45"/>
  <c r="E22" i="45"/>
  <c r="E16" i="45"/>
  <c r="E15" i="45"/>
  <c r="E18" i="45"/>
  <c r="E12" i="45"/>
  <c r="E17" i="45"/>
  <c r="E10" i="45"/>
  <c r="E20" i="45"/>
  <c r="E11" i="45"/>
  <c r="E9" i="45"/>
  <c r="D25" i="44"/>
  <c r="E21" i="44" s="1"/>
  <c r="E9" i="44"/>
  <c r="B23" i="43"/>
  <c r="D23" i="43" s="1"/>
  <c r="B21" i="43"/>
  <c r="D21" i="43" s="1"/>
  <c r="D22" i="43"/>
  <c r="B22" i="43"/>
  <c r="B20" i="43"/>
  <c r="D20" i="43" s="1"/>
  <c r="B19" i="43"/>
  <c r="D19" i="43" s="1"/>
  <c r="D18" i="43"/>
  <c r="B17" i="43"/>
  <c r="D17" i="43" s="1"/>
  <c r="B16" i="43"/>
  <c r="D16" i="43" s="1"/>
  <c r="B15" i="43"/>
  <c r="D15" i="43" s="1"/>
  <c r="D14" i="43"/>
  <c r="B13" i="43"/>
  <c r="D13" i="43" s="1"/>
  <c r="D12" i="43"/>
  <c r="D11" i="43"/>
  <c r="D10" i="43"/>
  <c r="B9" i="43"/>
  <c r="D9" i="43" s="1"/>
  <c r="B8" i="43"/>
  <c r="D8" i="43" s="1"/>
  <c r="B7" i="43"/>
  <c r="D7" i="43" s="1"/>
  <c r="B6" i="43"/>
  <c r="D6" i="43" s="1"/>
  <c r="B5" i="43"/>
  <c r="D5" i="43" s="1"/>
  <c r="E11" i="44" l="1"/>
  <c r="E17" i="44"/>
  <c r="E5" i="44"/>
  <c r="E7" i="44"/>
  <c r="E19" i="44"/>
  <c r="E8" i="44"/>
  <c r="E10" i="44"/>
  <c r="E6" i="44"/>
  <c r="E23" i="44"/>
  <c r="E22" i="44"/>
  <c r="E16" i="44"/>
  <c r="E12" i="44"/>
  <c r="E20" i="44"/>
  <c r="E13" i="44"/>
  <c r="E15" i="44"/>
  <c r="E14" i="44"/>
  <c r="E18" i="44"/>
  <c r="D25" i="43"/>
  <c r="E14" i="43" s="1"/>
  <c r="B23" i="42"/>
  <c r="D23" i="42" s="1"/>
  <c r="B13" i="42"/>
  <c r="D13" i="42" s="1"/>
  <c r="B22" i="42"/>
  <c r="D22" i="42" s="1"/>
  <c r="B21" i="42"/>
  <c r="D21" i="42" s="1"/>
  <c r="B20" i="42"/>
  <c r="D20" i="42" s="1"/>
  <c r="B19" i="42"/>
  <c r="D19" i="42" s="1"/>
  <c r="D18" i="42"/>
  <c r="B17" i="42"/>
  <c r="D17" i="42" s="1"/>
  <c r="B16" i="42"/>
  <c r="D16" i="42" s="1"/>
  <c r="B15" i="42"/>
  <c r="D15" i="42" s="1"/>
  <c r="D14" i="42"/>
  <c r="D12" i="42"/>
  <c r="D11" i="42"/>
  <c r="D10" i="42"/>
  <c r="B9" i="42"/>
  <c r="D9" i="42" s="1"/>
  <c r="B8" i="42"/>
  <c r="D8" i="42" s="1"/>
  <c r="B7" i="42"/>
  <c r="D7" i="42" s="1"/>
  <c r="B6" i="42"/>
  <c r="D6" i="42" s="1"/>
  <c r="B5" i="42"/>
  <c r="D5" i="42" s="1"/>
  <c r="E20" i="43" l="1"/>
  <c r="E19" i="43"/>
  <c r="E13" i="43"/>
  <c r="E8" i="43"/>
  <c r="E18" i="43"/>
  <c r="E23" i="43"/>
  <c r="E10" i="43"/>
  <c r="E12" i="43"/>
  <c r="E7" i="43"/>
  <c r="E16" i="43"/>
  <c r="E17" i="43"/>
  <c r="E21" i="43"/>
  <c r="E6" i="43"/>
  <c r="E5" i="43"/>
  <c r="E9" i="43"/>
  <c r="E22" i="43"/>
  <c r="E15" i="43"/>
  <c r="E11" i="43"/>
  <c r="D25" i="42"/>
  <c r="B7" i="41"/>
  <c r="B23" i="41"/>
  <c r="D23" i="41" s="1"/>
  <c r="B22" i="41"/>
  <c r="D22" i="41" s="1"/>
  <c r="B21" i="41"/>
  <c r="D21" i="41" s="1"/>
  <c r="D20" i="41"/>
  <c r="B20" i="41"/>
  <c r="B19" i="41"/>
  <c r="D19" i="41" s="1"/>
  <c r="D18" i="41"/>
  <c r="B17" i="41"/>
  <c r="D17" i="41" s="1"/>
  <c r="B16" i="41"/>
  <c r="D16" i="41" s="1"/>
  <c r="B15" i="41"/>
  <c r="D15" i="41" s="1"/>
  <c r="D14" i="41"/>
  <c r="B13" i="41"/>
  <c r="D13" i="41" s="1"/>
  <c r="D12" i="41"/>
  <c r="D11" i="41"/>
  <c r="D10" i="41"/>
  <c r="B9" i="41"/>
  <c r="D9" i="41" s="1"/>
  <c r="B8" i="41"/>
  <c r="D8" i="41" s="1"/>
  <c r="D7" i="41"/>
  <c r="B6" i="41"/>
  <c r="D6" i="41" s="1"/>
  <c r="B5" i="41"/>
  <c r="D5" i="41" s="1"/>
  <c r="E23" i="42" l="1"/>
  <c r="E13" i="42"/>
  <c r="E11" i="42"/>
  <c r="E9" i="42"/>
  <c r="E17" i="42"/>
  <c r="E12" i="42"/>
  <c r="E6" i="42"/>
  <c r="E19" i="42"/>
  <c r="E14" i="42"/>
  <c r="E20" i="42"/>
  <c r="E5" i="42"/>
  <c r="E15" i="42"/>
  <c r="E7" i="42"/>
  <c r="E16" i="42"/>
  <c r="E21" i="42"/>
  <c r="E18" i="42"/>
  <c r="E10" i="42"/>
  <c r="E22" i="42"/>
  <c r="E8" i="42"/>
  <c r="D25" i="41"/>
  <c r="E14" i="41" s="1"/>
  <c r="E9" i="41" l="1"/>
  <c r="E8" i="41"/>
  <c r="E19" i="41"/>
  <c r="E18" i="41"/>
  <c r="E5" i="41"/>
  <c r="E6" i="41"/>
  <c r="E17" i="41"/>
  <c r="E16" i="41"/>
  <c r="E15" i="41"/>
  <c r="E13" i="41"/>
  <c r="E11" i="41"/>
  <c r="E22" i="41"/>
  <c r="E23" i="41"/>
  <c r="E21" i="41"/>
  <c r="E7" i="41"/>
  <c r="E12" i="41"/>
  <c r="E20" i="41"/>
  <c r="E10" i="41"/>
  <c r="C14" i="2" l="1"/>
  <c r="C13" i="2"/>
  <c r="C12" i="2"/>
  <c r="C11" i="2"/>
  <c r="C10" i="2"/>
  <c r="C9" i="2"/>
  <c r="C8" i="2"/>
  <c r="C7" i="2"/>
  <c r="C6" i="2"/>
  <c r="C5" i="2"/>
  <c r="C4" i="2"/>
  <c r="C3" i="2"/>
  <c r="C16" i="2" l="1"/>
</calcChain>
</file>

<file path=xl/sharedStrings.xml><?xml version="1.0" encoding="utf-8"?>
<sst xmlns="http://schemas.openxmlformats.org/spreadsheetml/2006/main" count="594" uniqueCount="85">
  <si>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</si>
  <si>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</si>
  <si>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</si>
  <si>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</si>
  <si>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</si>
  <si>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</si>
  <si>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</si>
  <si>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</si>
  <si>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JBChem</t>
  </si>
  <si>
    <t>J&amp;Kbank</t>
  </si>
  <si>
    <t>MBL Infra</t>
  </si>
  <si>
    <t>NeulandLab</t>
  </si>
  <si>
    <t>Nucleus</t>
  </si>
  <si>
    <t>RamcoSys</t>
  </si>
  <si>
    <t>Selan</t>
  </si>
  <si>
    <t>Technofab</t>
  </si>
  <si>
    <t>TV18Broadcast</t>
  </si>
  <si>
    <t>TVToday</t>
  </si>
  <si>
    <t>LiquidBees</t>
  </si>
  <si>
    <t>Dynamatic</t>
  </si>
  <si>
    <t>Magma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</si>
  <si>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</si>
  <si>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</si>
  <si>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</si>
  <si>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</si>
  <si>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</si>
  <si>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</si>
  <si>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</si>
  <si>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</si>
  <si>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</si>
  <si>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</si>
  <si>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</si>
  <si>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</si>
  <si>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UFO</t>
  </si>
  <si>
    <t>HindOilExp</t>
  </si>
  <si>
    <t>FSL</t>
  </si>
  <si>
    <t>TataGlobal</t>
  </si>
  <si>
    <t>South Indian Bank</t>
  </si>
  <si>
    <t>Sell Half 278@707.55</t>
  </si>
  <si>
    <t>Add 196.7</t>
  </si>
  <si>
    <t>Sell Half 785 @480.7 = 377350</t>
  </si>
  <si>
    <t>Add 377.35</t>
  </si>
  <si>
    <t>Sell Full 278@748.34 = 208038</t>
  </si>
  <si>
    <t>Add 208.038</t>
  </si>
  <si>
    <t>Sell 244@499.5 = 121878</t>
  </si>
  <si>
    <t>Add 121.878</t>
  </si>
  <si>
    <t>Sell 1228@ 22.95 = 28182.6</t>
  </si>
  <si>
    <t>Add 28.182</t>
  </si>
  <si>
    <t>Saregama</t>
  </si>
  <si>
    <t>New Buy 570@851.35 = 485269.5</t>
  </si>
  <si>
    <t>Sub 485.270</t>
  </si>
  <si>
    <t>Add 838@384.45 = 322169.1</t>
  </si>
  <si>
    <t>Sub 322.169</t>
  </si>
  <si>
    <t>Sell 75%. 9000@74.27 = 668430</t>
  </si>
  <si>
    <t>Add 668.43</t>
  </si>
  <si>
    <t>Add 2928@54.19 = 158668</t>
  </si>
  <si>
    <t>Sell 158.668</t>
  </si>
  <si>
    <t>Sell 3000@74.9 = 224700</t>
  </si>
  <si>
    <t>Add 224.7</t>
  </si>
  <si>
    <t>Add 229@250.15 = 57284</t>
  </si>
  <si>
    <t>Sell 57.284</t>
  </si>
  <si>
    <t>Add 460@255.15 = 117369</t>
  </si>
  <si>
    <t>Sell 117.369</t>
  </si>
  <si>
    <t>Add 1375@144.2 = 198275</t>
  </si>
  <si>
    <t>Sell 198.275</t>
  </si>
  <si>
    <t>Add 413@312.55 = 129083</t>
  </si>
  <si>
    <t>Sell 129.083</t>
  </si>
  <si>
    <t>MotilalOFS</t>
  </si>
  <si>
    <t>Add 545@848.5 = 462433</t>
  </si>
  <si>
    <t>Sell 462.433</t>
  </si>
  <si>
    <t>Add 10% of total 248@293.85</t>
  </si>
  <si>
    <t>Sell 72.875</t>
  </si>
  <si>
    <t>Add 50%of existing 2928@42.15</t>
  </si>
  <si>
    <t>Sell 123.419</t>
  </si>
  <si>
    <t>Insecticides</t>
  </si>
  <si>
    <t>Buy 3% of portfolio. 460@532.13 = 244779.8</t>
  </si>
  <si>
    <t>Sell 244.780</t>
  </si>
  <si>
    <t>Sell 535@175.84 = 94074</t>
  </si>
  <si>
    <t>Add 94.074</t>
  </si>
  <si>
    <t>RKForge</t>
  </si>
  <si>
    <t>Add 3%. 425@529.41 = 224999</t>
  </si>
  <si>
    <t>Sell 505@205.35 = 103702</t>
  </si>
  <si>
    <t>Add 103.702, Less 224.999</t>
  </si>
  <si>
    <t>LiquidFund Value for 2018</t>
  </si>
  <si>
    <t>Add 35.566 Dividend for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</si>
</sst>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opLeftCell="A5" workbookViewId="0">
      <selection activeCell="D23" sqref="D23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43101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2178.4499999999998</v>
      </c>
      <c r="D5">
        <f>B5*C5</f>
        <v>359444.24999999994</v>
      </c>
      <c r="E5" s="3">
        <f t="shared" ref="E5:E23" si="0">D5/$D$25</f>
        <v>3.4642912431759078E-2</v>
      </c>
    </row>
    <row r="6" spans="1:11" x14ac:dyDescent="0.3">
      <c r="A6" t="s">
        <v>35</v>
      </c>
      <c r="B6" s="1">
        <f>6000+6000</f>
        <v>12000</v>
      </c>
      <c r="C6">
        <v>40.85</v>
      </c>
      <c r="D6">
        <f t="shared" ref="D6:D23" si="1">C6*B6</f>
        <v>490200</v>
      </c>
      <c r="E6" s="3">
        <f t="shared" si="0"/>
        <v>4.7245033615222115E-2</v>
      </c>
    </row>
    <row r="7" spans="1:11" x14ac:dyDescent="0.3">
      <c r="A7" t="s">
        <v>7</v>
      </c>
      <c r="B7" s="1">
        <f>(840+420)*2</f>
        <v>2520</v>
      </c>
      <c r="C7">
        <v>827.7</v>
      </c>
      <c r="D7">
        <f t="shared" si="1"/>
        <v>2085804</v>
      </c>
      <c r="E7" s="3">
        <f t="shared" si="0"/>
        <v>0.20102790717006272</v>
      </c>
    </row>
    <row r="8" spans="1:11" x14ac:dyDescent="0.3">
      <c r="A8" t="s">
        <v>34</v>
      </c>
      <c r="B8" s="1">
        <f>1280+1280+1280+910+1300+1300+2940</f>
        <v>10290</v>
      </c>
      <c r="C8">
        <v>132.69999999999999</v>
      </c>
      <c r="D8">
        <f t="shared" si="1"/>
        <v>1365482.9999999998</v>
      </c>
      <c r="E8" s="3">
        <f t="shared" si="0"/>
        <v>0.13160401924931522</v>
      </c>
    </row>
    <row r="9" spans="1:11" x14ac:dyDescent="0.3">
      <c r="A9" t="s">
        <v>8</v>
      </c>
      <c r="B9" s="1">
        <f>766+383+229</f>
        <v>1378</v>
      </c>
      <c r="C9">
        <v>336.4</v>
      </c>
      <c r="D9">
        <f t="shared" si="1"/>
        <v>463559.19999999995</v>
      </c>
      <c r="E9" s="3">
        <f t="shared" si="0"/>
        <v>4.4677417353417931E-2</v>
      </c>
      <c r="K9" s="5"/>
    </row>
    <row r="10" spans="1:11" x14ac:dyDescent="0.3">
      <c r="A10" t="s">
        <v>9</v>
      </c>
      <c r="B10" s="1">
        <v>2928</v>
      </c>
      <c r="C10">
        <v>78.55</v>
      </c>
      <c r="D10">
        <f t="shared" si="1"/>
        <v>229994.4</v>
      </c>
      <c r="E10" s="3">
        <f t="shared" si="0"/>
        <v>2.2166652711776501E-2</v>
      </c>
    </row>
    <row r="11" spans="1:11" x14ac:dyDescent="0.3">
      <c r="A11" t="s">
        <v>20</v>
      </c>
      <c r="B11" s="1">
        <v>2750</v>
      </c>
      <c r="C11">
        <v>160.55000000000001</v>
      </c>
      <c r="D11">
        <f t="shared" si="1"/>
        <v>441512.50000000006</v>
      </c>
      <c r="E11" s="3">
        <f t="shared" si="0"/>
        <v>4.2552576303632718E-2</v>
      </c>
    </row>
    <row r="12" spans="1:11" x14ac:dyDescent="0.3">
      <c r="A12" t="s">
        <v>10</v>
      </c>
      <c r="B12" s="1">
        <v>1228</v>
      </c>
      <c r="C12">
        <v>26.2</v>
      </c>
      <c r="D12">
        <f>C12*B12</f>
        <v>32173.599999999999</v>
      </c>
      <c r="E12" s="3">
        <f t="shared" si="0"/>
        <v>3.1008625326860674E-3</v>
      </c>
    </row>
    <row r="13" spans="1:11" x14ac:dyDescent="0.3">
      <c r="A13" t="s">
        <v>11</v>
      </c>
      <c r="B13" s="1">
        <f>278+278</f>
        <v>556</v>
      </c>
      <c r="C13">
        <v>892.85</v>
      </c>
      <c r="D13">
        <f>C13*B13</f>
        <v>496424.60000000003</v>
      </c>
      <c r="E13" s="3">
        <f t="shared" si="0"/>
        <v>4.7844954945783752E-2</v>
      </c>
    </row>
    <row r="14" spans="1:11" x14ac:dyDescent="0.3">
      <c r="A14" t="s">
        <v>12</v>
      </c>
      <c r="B14" s="1">
        <v>1011</v>
      </c>
      <c r="C14">
        <v>520.6</v>
      </c>
      <c r="D14">
        <f>C14*B14</f>
        <v>526326.6</v>
      </c>
      <c r="E14" s="3">
        <f t="shared" si="0"/>
        <v>5.0726882720492784E-2</v>
      </c>
    </row>
    <row r="15" spans="1:11" x14ac:dyDescent="0.3">
      <c r="A15" t="s">
        <v>13</v>
      </c>
      <c r="B15" s="1">
        <f>265+65+158-244</f>
        <v>244</v>
      </c>
      <c r="C15">
        <v>526.70000000000005</v>
      </c>
      <c r="D15">
        <f>C15*B15</f>
        <v>128514.80000000002</v>
      </c>
      <c r="E15" s="3">
        <f t="shared" si="0"/>
        <v>1.2386140444825678E-2</v>
      </c>
    </row>
    <row r="16" spans="1:11" x14ac:dyDescent="0.3">
      <c r="A16" t="s">
        <v>14</v>
      </c>
      <c r="B16" s="1">
        <f>186+349</f>
        <v>535</v>
      </c>
      <c r="C16">
        <v>231.9</v>
      </c>
      <c r="D16">
        <f t="shared" si="1"/>
        <v>124066.5</v>
      </c>
      <c r="E16" s="3">
        <f t="shared" si="0"/>
        <v>1.1957417305228386E-2</v>
      </c>
    </row>
    <row r="17" spans="1:5" x14ac:dyDescent="0.3">
      <c r="A17" t="s">
        <v>37</v>
      </c>
      <c r="B17" s="1">
        <f>8384+5589</f>
        <v>13973</v>
      </c>
      <c r="C17">
        <v>31</v>
      </c>
      <c r="D17">
        <f t="shared" si="1"/>
        <v>433163</v>
      </c>
      <c r="E17" s="3">
        <f t="shared" si="0"/>
        <v>4.1747859028703503E-2</v>
      </c>
    </row>
    <row r="18" spans="1:5" x14ac:dyDescent="0.3">
      <c r="A18" t="s">
        <v>36</v>
      </c>
      <c r="B18" s="1">
        <v>2345</v>
      </c>
      <c r="C18">
        <v>316.39999999999998</v>
      </c>
      <c r="D18">
        <f t="shared" si="1"/>
        <v>741958</v>
      </c>
      <c r="E18" s="3">
        <f t="shared" si="0"/>
        <v>7.1509242454269623E-2</v>
      </c>
    </row>
    <row r="19" spans="1:5" x14ac:dyDescent="0.3">
      <c r="A19" t="s">
        <v>15</v>
      </c>
      <c r="B19" s="1">
        <f>368+532</f>
        <v>900</v>
      </c>
      <c r="C19">
        <v>241</v>
      </c>
      <c r="D19">
        <f t="shared" si="1"/>
        <v>216900</v>
      </c>
      <c r="E19" s="3">
        <f t="shared" si="0"/>
        <v>2.0904626256918964E-2</v>
      </c>
    </row>
    <row r="20" spans="1:5" x14ac:dyDescent="0.3">
      <c r="A20" t="s">
        <v>16</v>
      </c>
      <c r="B20" s="1">
        <f>6886+2045</f>
        <v>8931</v>
      </c>
      <c r="C20">
        <v>61.4</v>
      </c>
      <c r="D20">
        <f t="shared" si="1"/>
        <v>548363.4</v>
      </c>
      <c r="E20" s="3">
        <f t="shared" si="0"/>
        <v>5.2850769617212343E-2</v>
      </c>
    </row>
    <row r="21" spans="1:5" x14ac:dyDescent="0.3">
      <c r="A21" t="s">
        <v>17</v>
      </c>
      <c r="B21" s="1">
        <f>920+319+331</f>
        <v>1570</v>
      </c>
      <c r="C21">
        <v>431</v>
      </c>
      <c r="D21">
        <f t="shared" si="1"/>
        <v>676670</v>
      </c>
      <c r="E21" s="3">
        <f t="shared" si="0"/>
        <v>6.5216843933929722E-2</v>
      </c>
    </row>
    <row r="22" spans="1:5" x14ac:dyDescent="0.3">
      <c r="A22" t="s">
        <v>33</v>
      </c>
      <c r="B22" s="1">
        <f>419+419</f>
        <v>838</v>
      </c>
      <c r="C22">
        <v>523.54999999999995</v>
      </c>
      <c r="D22">
        <f t="shared" si="1"/>
        <v>438734.89999999997</v>
      </c>
      <c r="E22" s="3">
        <f t="shared" si="0"/>
        <v>4.228487372229929E-2</v>
      </c>
    </row>
    <row r="23" spans="1:5" x14ac:dyDescent="0.3">
      <c r="A23" t="s">
        <v>18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</f>
        <v>576.40099999999927</v>
      </c>
      <c r="C23">
        <v>1000</v>
      </c>
      <c r="D23">
        <f t="shared" si="1"/>
        <v>576400.9999999993</v>
      </c>
      <c r="E23" s="3">
        <f t="shared" si="0"/>
        <v>5.5553008202463505E-2</v>
      </c>
    </row>
    <row r="24" spans="1:5" x14ac:dyDescent="0.3">
      <c r="B24" s="1"/>
      <c r="E24" s="3"/>
    </row>
    <row r="25" spans="1:5" x14ac:dyDescent="0.3">
      <c r="B25" s="1"/>
      <c r="D25">
        <f>SUM(D5:D23)</f>
        <v>10375693.75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5"/>
  <sheetViews>
    <sheetView workbookViewId="0">
      <selection activeCell="B24" sqref="B24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43139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1784</v>
      </c>
      <c r="D5">
        <f>B5*C5</f>
        <v>294360</v>
      </c>
      <c r="E5" s="3">
        <f t="shared" ref="E5:E23" si="0">D5/$D$25</f>
        <v>3.1509619040185059E-2</v>
      </c>
    </row>
    <row r="6" spans="1:11" x14ac:dyDescent="0.3">
      <c r="A6" t="s">
        <v>35</v>
      </c>
      <c r="B6" s="1">
        <f>6000+6000</f>
        <v>12000</v>
      </c>
      <c r="C6">
        <v>41.25</v>
      </c>
      <c r="D6">
        <f t="shared" ref="D6:D23" si="1">C6*B6</f>
        <v>495000</v>
      </c>
      <c r="E6" s="3">
        <f t="shared" si="0"/>
        <v>5.2987027533943486E-2</v>
      </c>
    </row>
    <row r="7" spans="1:11" x14ac:dyDescent="0.3">
      <c r="A7" t="s">
        <v>7</v>
      </c>
      <c r="B7" s="1">
        <f>(840+420)*2</f>
        <v>2520</v>
      </c>
      <c r="C7">
        <v>696.25</v>
      </c>
      <c r="D7">
        <f t="shared" si="1"/>
        <v>1754550</v>
      </c>
      <c r="E7" s="3">
        <f t="shared" si="0"/>
        <v>0.18781492759531421</v>
      </c>
    </row>
    <row r="8" spans="1:11" x14ac:dyDescent="0.3">
      <c r="A8" t="s">
        <v>34</v>
      </c>
      <c r="B8" s="1">
        <f>1280+1280+1280+910+1300+1300+2940</f>
        <v>10290</v>
      </c>
      <c r="C8">
        <v>121.7</v>
      </c>
      <c r="D8">
        <f t="shared" si="1"/>
        <v>1252293</v>
      </c>
      <c r="E8" s="3">
        <f t="shared" si="0"/>
        <v>0.13405107812437311</v>
      </c>
    </row>
    <row r="9" spans="1:11" x14ac:dyDescent="0.3">
      <c r="A9" t="s">
        <v>8</v>
      </c>
      <c r="B9" s="1">
        <f>766+383+229</f>
        <v>1378</v>
      </c>
      <c r="C9">
        <v>302.8</v>
      </c>
      <c r="D9">
        <f t="shared" si="1"/>
        <v>417258.4</v>
      </c>
      <c r="E9" s="3">
        <f t="shared" si="0"/>
        <v>4.4665216827412535E-2</v>
      </c>
      <c r="K9" s="5"/>
    </row>
    <row r="10" spans="1:11" x14ac:dyDescent="0.3">
      <c r="A10" t="s">
        <v>9</v>
      </c>
      <c r="B10" s="1">
        <v>2928</v>
      </c>
      <c r="C10">
        <v>70.650000000000006</v>
      </c>
      <c r="D10">
        <f t="shared" si="1"/>
        <v>206863.2</v>
      </c>
      <c r="E10" s="3">
        <f t="shared" si="0"/>
        <v>2.2143567826585168E-2</v>
      </c>
    </row>
    <row r="11" spans="1:11" x14ac:dyDescent="0.3">
      <c r="A11" t="s">
        <v>20</v>
      </c>
      <c r="B11" s="1">
        <v>2750</v>
      </c>
      <c r="C11">
        <v>159.15</v>
      </c>
      <c r="D11">
        <f t="shared" si="1"/>
        <v>437662.5</v>
      </c>
      <c r="E11" s="3">
        <f t="shared" si="0"/>
        <v>4.6849363511261698E-2</v>
      </c>
    </row>
    <row r="12" spans="1:11" x14ac:dyDescent="0.3">
      <c r="A12" t="s">
        <v>10</v>
      </c>
      <c r="B12" s="1">
        <v>1228</v>
      </c>
      <c r="C12">
        <v>23.85</v>
      </c>
      <c r="D12">
        <f>C12*B12</f>
        <v>29287.800000000003</v>
      </c>
      <c r="E12" s="3">
        <f t="shared" si="0"/>
        <v>3.1350979091083436E-3</v>
      </c>
    </row>
    <row r="13" spans="1:11" x14ac:dyDescent="0.3">
      <c r="A13" t="s">
        <v>11</v>
      </c>
      <c r="B13" s="1">
        <f>278+278-278</f>
        <v>278</v>
      </c>
      <c r="C13">
        <v>700.55</v>
      </c>
      <c r="D13">
        <f>C13*B13</f>
        <v>194752.9</v>
      </c>
      <c r="E13" s="3">
        <f t="shared" si="0"/>
        <v>2.0847226817404731E-2</v>
      </c>
      <c r="G13" t="s">
        <v>38</v>
      </c>
    </row>
    <row r="14" spans="1:11" x14ac:dyDescent="0.3">
      <c r="A14" t="s">
        <v>12</v>
      </c>
      <c r="B14" s="1">
        <v>1011</v>
      </c>
      <c r="C14">
        <v>419</v>
      </c>
      <c r="D14">
        <f>C14*B14</f>
        <v>423609</v>
      </c>
      <c r="E14" s="3">
        <f t="shared" si="0"/>
        <v>4.5345013629548007E-2</v>
      </c>
    </row>
    <row r="15" spans="1:11" x14ac:dyDescent="0.3">
      <c r="A15" t="s">
        <v>13</v>
      </c>
      <c r="B15" s="1">
        <f>265+65+158-244</f>
        <v>244</v>
      </c>
      <c r="C15">
        <v>460.8</v>
      </c>
      <c r="D15">
        <f>C15*B15</f>
        <v>112435.2</v>
      </c>
      <c r="E15" s="3">
        <f t="shared" si="0"/>
        <v>1.2035569774109984E-2</v>
      </c>
    </row>
    <row r="16" spans="1:11" x14ac:dyDescent="0.3">
      <c r="A16" t="s">
        <v>14</v>
      </c>
      <c r="B16" s="1">
        <f>186+349</f>
        <v>535</v>
      </c>
      <c r="C16">
        <v>225.75</v>
      </c>
      <c r="D16">
        <f t="shared" si="1"/>
        <v>120776.25</v>
      </c>
      <c r="E16" s="3">
        <f t="shared" si="0"/>
        <v>1.2928433301406953E-2</v>
      </c>
    </row>
    <row r="17" spans="1:7" x14ac:dyDescent="0.3">
      <c r="A17" t="s">
        <v>37</v>
      </c>
      <c r="B17" s="1">
        <f>8384+5589</f>
        <v>13973</v>
      </c>
      <c r="C17">
        <v>27.7</v>
      </c>
      <c r="D17">
        <f t="shared" si="1"/>
        <v>387052.1</v>
      </c>
      <c r="E17" s="3">
        <f t="shared" si="0"/>
        <v>4.1431798544991204E-2</v>
      </c>
    </row>
    <row r="18" spans="1:7" x14ac:dyDescent="0.3">
      <c r="A18" t="s">
        <v>36</v>
      </c>
      <c r="B18" s="1">
        <v>2345</v>
      </c>
      <c r="C18">
        <v>280.45</v>
      </c>
      <c r="D18">
        <f t="shared" si="1"/>
        <v>657655.25</v>
      </c>
      <c r="E18" s="3">
        <f t="shared" si="0"/>
        <v>7.0398377453722197E-2</v>
      </c>
    </row>
    <row r="19" spans="1:7" x14ac:dyDescent="0.3">
      <c r="A19" t="s">
        <v>15</v>
      </c>
      <c r="B19" s="1">
        <f>368+532</f>
        <v>900</v>
      </c>
      <c r="C19">
        <v>235.25</v>
      </c>
      <c r="D19">
        <f t="shared" si="1"/>
        <v>211725</v>
      </c>
      <c r="E19" s="3">
        <f t="shared" si="0"/>
        <v>2.2663996777018552E-2</v>
      </c>
    </row>
    <row r="20" spans="1:7" x14ac:dyDescent="0.3">
      <c r="A20" t="s">
        <v>16</v>
      </c>
      <c r="B20" s="1">
        <f>6886+2045</f>
        <v>8931</v>
      </c>
      <c r="C20">
        <v>54.7</v>
      </c>
      <c r="D20">
        <f t="shared" si="1"/>
        <v>488525.7</v>
      </c>
      <c r="E20" s="3">
        <f t="shared" si="0"/>
        <v>5.2293989327149522E-2</v>
      </c>
    </row>
    <row r="21" spans="1:7" x14ac:dyDescent="0.3">
      <c r="A21" t="s">
        <v>17</v>
      </c>
      <c r="B21" s="1">
        <f>920+319+331</f>
        <v>1570</v>
      </c>
      <c r="C21">
        <v>451.4</v>
      </c>
      <c r="D21">
        <f t="shared" si="1"/>
        <v>708698</v>
      </c>
      <c r="E21" s="3">
        <f t="shared" si="0"/>
        <v>7.5862223109597338E-2</v>
      </c>
    </row>
    <row r="22" spans="1:7" x14ac:dyDescent="0.3">
      <c r="A22" t="s">
        <v>33</v>
      </c>
      <c r="B22" s="1">
        <f>419+419</f>
        <v>838</v>
      </c>
      <c r="C22">
        <v>449.05</v>
      </c>
      <c r="D22">
        <f t="shared" si="1"/>
        <v>376303.9</v>
      </c>
      <c r="E22" s="3">
        <f t="shared" si="0"/>
        <v>4.0281262849354176E-2</v>
      </c>
    </row>
    <row r="23" spans="1:7" x14ac:dyDescent="0.3">
      <c r="A23" t="s">
        <v>18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</f>
        <v>773.1009999999992</v>
      </c>
      <c r="C23">
        <v>1000</v>
      </c>
      <c r="D23">
        <f t="shared" si="1"/>
        <v>773100.99999999919</v>
      </c>
      <c r="E23" s="3">
        <f t="shared" si="0"/>
        <v>8.2756210047513531E-2</v>
      </c>
      <c r="G23" t="s">
        <v>39</v>
      </c>
    </row>
    <row r="24" spans="1:7" x14ac:dyDescent="0.3">
      <c r="B24" s="1"/>
      <c r="E24" s="3"/>
    </row>
    <row r="25" spans="1:7" x14ac:dyDescent="0.3">
      <c r="B25" s="1"/>
      <c r="D25">
        <f>SUM(D5:D23)</f>
        <v>9341909.2000000011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5"/>
  <sheetViews>
    <sheetView topLeftCell="A4" workbookViewId="0">
      <selection activeCell="B5" sqref="B5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43178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1745.85</v>
      </c>
      <c r="D5">
        <f>B5*C5</f>
        <v>288065.25</v>
      </c>
      <c r="E5" s="3">
        <f t="shared" ref="E5:E23" si="0">D5/$D$25</f>
        <v>3.0476392689214184E-2</v>
      </c>
    </row>
    <row r="6" spans="1:11" x14ac:dyDescent="0.3">
      <c r="A6" t="s">
        <v>35</v>
      </c>
      <c r="B6" s="1">
        <f>6000+6000</f>
        <v>12000</v>
      </c>
      <c r="C6">
        <v>48.4</v>
      </c>
      <c r="D6">
        <f t="shared" ref="D6:D23" si="1">C6*B6</f>
        <v>580800</v>
      </c>
      <c r="E6" s="3">
        <f t="shared" si="0"/>
        <v>6.1446803715115232E-2</v>
      </c>
    </row>
    <row r="7" spans="1:11" x14ac:dyDescent="0.3">
      <c r="A7" t="s">
        <v>7</v>
      </c>
      <c r="B7" s="1">
        <f>(840+420)*2</f>
        <v>2520</v>
      </c>
      <c r="C7">
        <v>757.6</v>
      </c>
      <c r="D7">
        <f t="shared" si="1"/>
        <v>1909152</v>
      </c>
      <c r="E7" s="3">
        <f t="shared" si="0"/>
        <v>0.20198224553429697</v>
      </c>
    </row>
    <row r="8" spans="1:11" x14ac:dyDescent="0.3">
      <c r="A8" t="s">
        <v>34</v>
      </c>
      <c r="B8" s="1">
        <f>1280+1280+1280+910+1300+1300+2940</f>
        <v>10290</v>
      </c>
      <c r="C8">
        <v>109.4</v>
      </c>
      <c r="D8">
        <f t="shared" si="1"/>
        <v>1125726</v>
      </c>
      <c r="E8" s="3">
        <f t="shared" si="0"/>
        <v>0.11909825165117391</v>
      </c>
    </row>
    <row r="9" spans="1:11" x14ac:dyDescent="0.3">
      <c r="A9" t="s">
        <v>8</v>
      </c>
      <c r="B9" s="1">
        <f>766+383+229</f>
        <v>1378</v>
      </c>
      <c r="C9">
        <v>295.14999999999998</v>
      </c>
      <c r="D9">
        <f t="shared" si="1"/>
        <v>406716.69999999995</v>
      </c>
      <c r="E9" s="3">
        <f t="shared" si="0"/>
        <v>4.3029340965150487E-2</v>
      </c>
      <c r="K9" s="5"/>
    </row>
    <row r="10" spans="1:11" x14ac:dyDescent="0.3">
      <c r="A10" t="s">
        <v>9</v>
      </c>
      <c r="B10" s="1">
        <v>2928</v>
      </c>
      <c r="C10">
        <v>58.9</v>
      </c>
      <c r="D10">
        <f t="shared" si="1"/>
        <v>172459.19999999998</v>
      </c>
      <c r="E10" s="3">
        <f t="shared" si="0"/>
        <v>1.8245638104796486E-2</v>
      </c>
    </row>
    <row r="11" spans="1:11" x14ac:dyDescent="0.3">
      <c r="A11" t="s">
        <v>20</v>
      </c>
      <c r="B11" s="1">
        <v>2750</v>
      </c>
      <c r="C11">
        <v>154.9</v>
      </c>
      <c r="D11">
        <f t="shared" si="1"/>
        <v>425975</v>
      </c>
      <c r="E11" s="3">
        <f t="shared" si="0"/>
        <v>4.5066808217193888E-2</v>
      </c>
    </row>
    <row r="12" spans="1:11" x14ac:dyDescent="0.3">
      <c r="A12" t="s">
        <v>10</v>
      </c>
      <c r="B12" s="1">
        <v>1228</v>
      </c>
      <c r="C12">
        <v>20.45</v>
      </c>
      <c r="D12">
        <f>C12*B12</f>
        <v>25112.6</v>
      </c>
      <c r="E12" s="3">
        <f t="shared" si="0"/>
        <v>2.6568336828102662E-3</v>
      </c>
    </row>
    <row r="13" spans="1:11" x14ac:dyDescent="0.3">
      <c r="A13" t="s">
        <v>11</v>
      </c>
      <c r="B13" s="1">
        <f>278+278-278</f>
        <v>278</v>
      </c>
      <c r="C13">
        <v>728.35</v>
      </c>
      <c r="D13">
        <f>C13*B13</f>
        <v>202481.30000000002</v>
      </c>
      <c r="E13" s="3">
        <f t="shared" si="0"/>
        <v>2.1421881365498215E-2</v>
      </c>
    </row>
    <row r="14" spans="1:11" x14ac:dyDescent="0.3">
      <c r="A14" t="s">
        <v>12</v>
      </c>
      <c r="B14" s="1">
        <v>1011</v>
      </c>
      <c r="C14">
        <v>426.3</v>
      </c>
      <c r="D14">
        <f>C14*B14</f>
        <v>430989.3</v>
      </c>
      <c r="E14" s="3">
        <f t="shared" si="0"/>
        <v>4.5597305303744687E-2</v>
      </c>
    </row>
    <row r="15" spans="1:11" x14ac:dyDescent="0.3">
      <c r="A15" t="s">
        <v>13</v>
      </c>
      <c r="B15" s="1">
        <f>265+65+158-244</f>
        <v>244</v>
      </c>
      <c r="C15">
        <v>415</v>
      </c>
      <c r="D15">
        <f>C15*B15</f>
        <v>101260</v>
      </c>
      <c r="E15" s="3">
        <f t="shared" si="0"/>
        <v>1.0712987851571227E-2</v>
      </c>
    </row>
    <row r="16" spans="1:11" x14ac:dyDescent="0.3">
      <c r="A16" t="s">
        <v>14</v>
      </c>
      <c r="B16" s="1">
        <f>186+349</f>
        <v>535</v>
      </c>
      <c r="C16">
        <v>194.15</v>
      </c>
      <c r="D16">
        <f t="shared" si="1"/>
        <v>103870.25</v>
      </c>
      <c r="E16" s="3">
        <f t="shared" si="0"/>
        <v>1.0989144048880765E-2</v>
      </c>
    </row>
    <row r="17" spans="1:7" x14ac:dyDescent="0.3">
      <c r="A17" t="s">
        <v>37</v>
      </c>
      <c r="B17" s="1">
        <f>8384+5589</f>
        <v>13973</v>
      </c>
      <c r="C17">
        <v>25.1</v>
      </c>
      <c r="D17">
        <f t="shared" si="1"/>
        <v>350722.30000000005</v>
      </c>
      <c r="E17" s="3">
        <f t="shared" si="0"/>
        <v>3.7105310479706888E-2</v>
      </c>
    </row>
    <row r="18" spans="1:7" x14ac:dyDescent="0.3">
      <c r="A18" t="s">
        <v>36</v>
      </c>
      <c r="B18" s="1">
        <v>2345</v>
      </c>
      <c r="C18">
        <v>272.39999999999998</v>
      </c>
      <c r="D18">
        <f t="shared" si="1"/>
        <v>638778</v>
      </c>
      <c r="E18" s="3">
        <f t="shared" si="0"/>
        <v>6.7580692809114801E-2</v>
      </c>
    </row>
    <row r="19" spans="1:7" x14ac:dyDescent="0.3">
      <c r="A19" t="s">
        <v>15</v>
      </c>
      <c r="B19" s="1">
        <f>368+532</f>
        <v>900</v>
      </c>
      <c r="C19">
        <v>217.85</v>
      </c>
      <c r="D19">
        <f t="shared" si="1"/>
        <v>196065</v>
      </c>
      <c r="E19" s="3">
        <f t="shared" si="0"/>
        <v>2.0743057111577253E-2</v>
      </c>
    </row>
    <row r="20" spans="1:7" x14ac:dyDescent="0.3">
      <c r="A20" t="s">
        <v>16</v>
      </c>
      <c r="B20" s="1">
        <f>6886+2045</f>
        <v>8931</v>
      </c>
      <c r="C20">
        <v>66.5</v>
      </c>
      <c r="D20">
        <f t="shared" si="1"/>
        <v>593911.5</v>
      </c>
      <c r="E20" s="3">
        <f t="shared" si="0"/>
        <v>6.2833958961173664E-2</v>
      </c>
    </row>
    <row r="21" spans="1:7" x14ac:dyDescent="0.3">
      <c r="A21" t="s">
        <v>17</v>
      </c>
      <c r="B21" s="1">
        <f>920+319+331-785</f>
        <v>785</v>
      </c>
      <c r="C21">
        <v>521.1</v>
      </c>
      <c r="D21">
        <f t="shared" si="1"/>
        <v>409063.5</v>
      </c>
      <c r="E21" s="3">
        <f t="shared" si="0"/>
        <v>4.3277624985396071E-2</v>
      </c>
      <c r="G21" t="s">
        <v>40</v>
      </c>
    </row>
    <row r="22" spans="1:7" x14ac:dyDescent="0.3">
      <c r="A22" t="s">
        <v>33</v>
      </c>
      <c r="B22" s="1">
        <f>419+419</f>
        <v>838</v>
      </c>
      <c r="C22">
        <v>406.3</v>
      </c>
      <c r="D22">
        <f t="shared" si="1"/>
        <v>340479.4</v>
      </c>
      <c r="E22" s="3">
        <f t="shared" si="0"/>
        <v>3.6021644044146359E-2</v>
      </c>
    </row>
    <row r="23" spans="1:7" x14ac:dyDescent="0.3">
      <c r="A23" t="s">
        <v>18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</f>
        <v>1150.4509999999991</v>
      </c>
      <c r="C23">
        <v>1000</v>
      </c>
      <c r="D23">
        <f t="shared" si="1"/>
        <v>1150450.9999999991</v>
      </c>
      <c r="E23" s="3">
        <f t="shared" si="0"/>
        <v>0.12171407847943866</v>
      </c>
      <c r="G23" t="s">
        <v>41</v>
      </c>
    </row>
    <row r="24" spans="1:7" x14ac:dyDescent="0.3">
      <c r="B24" s="1"/>
      <c r="E24" s="3"/>
    </row>
    <row r="25" spans="1:7" x14ac:dyDescent="0.3">
      <c r="B25" s="1"/>
      <c r="D25">
        <f>SUM(D5:D23)</f>
        <v>9452078.2999999989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8A89-2015-4DD3-8C8A-0BEBCD689DC0}">
  <sheetPr>
    <pageSetUpPr fitToPage="1"/>
  </sheetPr>
  <dimension ref="A1:K25"/>
  <sheetViews>
    <sheetView topLeftCell="A5"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43194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1756.75</v>
      </c>
      <c r="D5">
        <f>B5*C5</f>
        <v>289863.75</v>
      </c>
      <c r="E5" s="3">
        <f t="shared" ref="E5:E23" si="0">D5/$D$25</f>
        <v>3.0286256431677865E-2</v>
      </c>
    </row>
    <row r="6" spans="1:11" x14ac:dyDescent="0.3">
      <c r="A6" t="s">
        <v>35</v>
      </c>
      <c r="B6" s="1">
        <f>6000+6000</f>
        <v>12000</v>
      </c>
      <c r="C6">
        <v>57.2</v>
      </c>
      <c r="D6">
        <f t="shared" ref="D6:D23" si="1">C6*B6</f>
        <v>686400</v>
      </c>
      <c r="E6" s="3">
        <f t="shared" si="0"/>
        <v>7.1718131069178834E-2</v>
      </c>
    </row>
    <row r="7" spans="1:11" x14ac:dyDescent="0.3">
      <c r="A7" t="s">
        <v>7</v>
      </c>
      <c r="B7" s="1">
        <f>(840+420)*2</f>
        <v>2520</v>
      </c>
      <c r="C7">
        <v>728.05</v>
      </c>
      <c r="D7">
        <f t="shared" si="1"/>
        <v>1834686</v>
      </c>
      <c r="E7" s="3">
        <f t="shared" si="0"/>
        <v>0.19169616989916585</v>
      </c>
    </row>
    <row r="8" spans="1:11" x14ac:dyDescent="0.3">
      <c r="A8" t="s">
        <v>34</v>
      </c>
      <c r="B8" s="1">
        <f>1280+1280+1280+910+1300+1300+2940</f>
        <v>10290</v>
      </c>
      <c r="C8">
        <v>114.55</v>
      </c>
      <c r="D8">
        <f t="shared" si="1"/>
        <v>1178719.5</v>
      </c>
      <c r="E8" s="3">
        <f t="shared" si="0"/>
        <v>0.12315786654253634</v>
      </c>
    </row>
    <row r="9" spans="1:11" x14ac:dyDescent="0.3">
      <c r="A9" t="s">
        <v>8</v>
      </c>
      <c r="B9" s="1">
        <f>766+383+229</f>
        <v>1378</v>
      </c>
      <c r="C9">
        <v>315.75</v>
      </c>
      <c r="D9">
        <f t="shared" si="1"/>
        <v>435103.5</v>
      </c>
      <c r="E9" s="3">
        <f t="shared" si="0"/>
        <v>4.5461552799618957E-2</v>
      </c>
      <c r="K9" s="5"/>
    </row>
    <row r="10" spans="1:11" x14ac:dyDescent="0.3">
      <c r="A10" t="s">
        <v>9</v>
      </c>
      <c r="B10" s="1">
        <v>2928</v>
      </c>
      <c r="C10">
        <v>57.8</v>
      </c>
      <c r="D10">
        <f t="shared" si="1"/>
        <v>169238.39999999999</v>
      </c>
      <c r="E10" s="3">
        <f t="shared" si="0"/>
        <v>1.7682782274385366E-2</v>
      </c>
    </row>
    <row r="11" spans="1:11" x14ac:dyDescent="0.3">
      <c r="A11" t="s">
        <v>20</v>
      </c>
      <c r="B11" s="1">
        <v>2750</v>
      </c>
      <c r="C11">
        <v>162.15</v>
      </c>
      <c r="D11">
        <f t="shared" si="1"/>
        <v>445912.5</v>
      </c>
      <c r="E11" s="3">
        <f t="shared" si="0"/>
        <v>4.6590925291936487E-2</v>
      </c>
    </row>
    <row r="12" spans="1:11" x14ac:dyDescent="0.3">
      <c r="A12" t="s">
        <v>10</v>
      </c>
      <c r="B12" s="1">
        <v>1228</v>
      </c>
      <c r="C12">
        <v>21.35</v>
      </c>
      <c r="D12">
        <f>C12*B12</f>
        <v>26217.800000000003</v>
      </c>
      <c r="E12" s="3">
        <f t="shared" si="0"/>
        <v>2.7393525884987138E-3</v>
      </c>
    </row>
    <row r="13" spans="1:11" x14ac:dyDescent="0.3">
      <c r="A13" t="s">
        <v>11</v>
      </c>
      <c r="B13" s="1">
        <f>278+278-278-278</f>
        <v>0</v>
      </c>
      <c r="C13">
        <v>746.8</v>
      </c>
      <c r="D13">
        <f>C13*B13</f>
        <v>0</v>
      </c>
      <c r="E13" s="3">
        <f t="shared" si="0"/>
        <v>0</v>
      </c>
      <c r="G13" t="s">
        <v>42</v>
      </c>
    </row>
    <row r="14" spans="1:11" x14ac:dyDescent="0.3">
      <c r="A14" t="s">
        <v>12</v>
      </c>
      <c r="B14" s="1">
        <v>1011</v>
      </c>
      <c r="C14">
        <v>410.45</v>
      </c>
      <c r="D14">
        <f>C14*B14</f>
        <v>414964.95</v>
      </c>
      <c r="E14" s="3">
        <f t="shared" si="0"/>
        <v>4.3357387344427803E-2</v>
      </c>
    </row>
    <row r="15" spans="1:11" x14ac:dyDescent="0.3">
      <c r="A15" t="s">
        <v>13</v>
      </c>
      <c r="B15" s="1">
        <f>265+65+158-244</f>
        <v>244</v>
      </c>
      <c r="C15">
        <v>404.7</v>
      </c>
      <c r="D15">
        <f>C15*B15</f>
        <v>98746.8</v>
      </c>
      <c r="E15" s="3">
        <f t="shared" si="0"/>
        <v>1.0317505747467932E-2</v>
      </c>
    </row>
    <row r="16" spans="1:11" x14ac:dyDescent="0.3">
      <c r="A16" t="s">
        <v>14</v>
      </c>
      <c r="B16" s="1">
        <f>186+349</f>
        <v>535</v>
      </c>
      <c r="C16">
        <v>200.95</v>
      </c>
      <c r="D16">
        <f t="shared" si="1"/>
        <v>107508.25</v>
      </c>
      <c r="E16" s="3">
        <f t="shared" si="0"/>
        <v>1.1232941090498319E-2</v>
      </c>
    </row>
    <row r="17" spans="1:7" x14ac:dyDescent="0.3">
      <c r="A17" t="s">
        <v>37</v>
      </c>
      <c r="B17" s="1">
        <f>8384+5589</f>
        <v>13973</v>
      </c>
      <c r="C17">
        <v>24.15</v>
      </c>
      <c r="D17">
        <f t="shared" si="1"/>
        <v>337447.94999999995</v>
      </c>
      <c r="E17" s="3">
        <f t="shared" si="0"/>
        <v>3.5258065715509476E-2</v>
      </c>
    </row>
    <row r="18" spans="1:7" x14ac:dyDescent="0.3">
      <c r="A18" t="s">
        <v>36</v>
      </c>
      <c r="B18" s="1">
        <v>2345</v>
      </c>
      <c r="C18">
        <v>274.8</v>
      </c>
      <c r="D18">
        <f t="shared" si="1"/>
        <v>644406</v>
      </c>
      <c r="E18" s="3">
        <f t="shared" si="0"/>
        <v>6.7330410795112552E-2</v>
      </c>
    </row>
    <row r="19" spans="1:7" x14ac:dyDescent="0.3">
      <c r="A19" t="s">
        <v>15</v>
      </c>
      <c r="B19" s="1">
        <f>368+532</f>
        <v>900</v>
      </c>
      <c r="C19">
        <v>216.05</v>
      </c>
      <c r="D19">
        <f t="shared" si="1"/>
        <v>194445</v>
      </c>
      <c r="E19" s="3">
        <f t="shared" si="0"/>
        <v>2.0316480180283331E-2</v>
      </c>
    </row>
    <row r="20" spans="1:7" x14ac:dyDescent="0.3">
      <c r="A20" t="s">
        <v>16</v>
      </c>
      <c r="B20" s="1">
        <f>6886+2045</f>
        <v>8931</v>
      </c>
      <c r="C20">
        <v>70.25</v>
      </c>
      <c r="D20">
        <f t="shared" si="1"/>
        <v>627402.75</v>
      </c>
      <c r="E20" s="3">
        <f t="shared" si="0"/>
        <v>6.5553835456968593E-2</v>
      </c>
    </row>
    <row r="21" spans="1:7" x14ac:dyDescent="0.3">
      <c r="A21" t="s">
        <v>17</v>
      </c>
      <c r="B21" s="1">
        <f>920+319+331-785</f>
        <v>785</v>
      </c>
      <c r="C21">
        <v>496.8</v>
      </c>
      <c r="D21">
        <f t="shared" si="1"/>
        <v>389988</v>
      </c>
      <c r="E21" s="3">
        <f t="shared" si="0"/>
        <v>4.0747684294007741E-2</v>
      </c>
    </row>
    <row r="22" spans="1:7" x14ac:dyDescent="0.3">
      <c r="A22" t="s">
        <v>33</v>
      </c>
      <c r="B22" s="1">
        <f>419+419</f>
        <v>838</v>
      </c>
      <c r="C22">
        <v>395.3</v>
      </c>
      <c r="D22">
        <f t="shared" si="1"/>
        <v>331261.40000000002</v>
      </c>
      <c r="E22" s="3">
        <f t="shared" si="0"/>
        <v>3.4611667399999532E-2</v>
      </c>
    </row>
    <row r="23" spans="1:7" x14ac:dyDescent="0.3">
      <c r="A23" t="s">
        <v>18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</f>
        <v>1358.4889999999991</v>
      </c>
      <c r="C23">
        <v>1000</v>
      </c>
      <c r="D23">
        <f t="shared" si="1"/>
        <v>1358488.9999999991</v>
      </c>
      <c r="E23" s="3">
        <f t="shared" si="0"/>
        <v>0.14194098507872613</v>
      </c>
      <c r="G23" t="s">
        <v>43</v>
      </c>
    </row>
    <row r="24" spans="1:7" x14ac:dyDescent="0.3">
      <c r="B24" s="1"/>
      <c r="E24" s="3"/>
    </row>
    <row r="25" spans="1:7" x14ac:dyDescent="0.3">
      <c r="B25" s="1"/>
      <c r="D25">
        <f>SUM(D5:D23)</f>
        <v>9570801.5500000007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D594-A488-49E4-848F-C1541C06AAC1}">
  <sheetPr>
    <pageSetUpPr fitToPage="1"/>
  </sheetPr>
  <dimension ref="A1:K24"/>
  <sheetViews>
    <sheetView topLeftCell="A4" workbookViewId="0">
      <selection activeCell="B23" sqref="B23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43213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1929.15</v>
      </c>
      <c r="D5">
        <f>B5*C5</f>
        <v>318309.75</v>
      </c>
      <c r="E5" s="3">
        <f t="shared" ref="E5:E22" si="0">D5/$D$24</f>
        <v>3.2261540422010793E-2</v>
      </c>
    </row>
    <row r="6" spans="1:11" x14ac:dyDescent="0.3">
      <c r="A6" t="s">
        <v>35</v>
      </c>
      <c r="B6" s="1">
        <f>6000+6000</f>
        <v>12000</v>
      </c>
      <c r="C6">
        <v>59.7</v>
      </c>
      <c r="D6">
        <f t="shared" ref="D6:D22" si="1">C6*B6</f>
        <v>716400</v>
      </c>
      <c r="E6" s="3">
        <f t="shared" si="0"/>
        <v>7.2609046874399966E-2</v>
      </c>
    </row>
    <row r="7" spans="1:11" x14ac:dyDescent="0.3">
      <c r="A7" t="s">
        <v>7</v>
      </c>
      <c r="B7" s="1">
        <f>(840+420)*2</f>
        <v>2520</v>
      </c>
      <c r="C7">
        <v>725.85</v>
      </c>
      <c r="D7">
        <f t="shared" si="1"/>
        <v>1829142</v>
      </c>
      <c r="E7" s="3">
        <f t="shared" si="0"/>
        <v>0.18538841041029272</v>
      </c>
    </row>
    <row r="8" spans="1:11" x14ac:dyDescent="0.3">
      <c r="A8" t="s">
        <v>34</v>
      </c>
      <c r="B8" s="1">
        <f>1280+1280+1280+910+1300+1300+2940</f>
        <v>10290</v>
      </c>
      <c r="C8">
        <v>124.85</v>
      </c>
      <c r="D8">
        <f t="shared" si="1"/>
        <v>1284706.5</v>
      </c>
      <c r="E8" s="3">
        <f t="shared" si="0"/>
        <v>0.13020842333660848</v>
      </c>
    </row>
    <row r="9" spans="1:11" x14ac:dyDescent="0.3">
      <c r="A9" t="s">
        <v>9</v>
      </c>
      <c r="B9" s="1">
        <v>2928</v>
      </c>
      <c r="C9">
        <v>58.15</v>
      </c>
      <c r="D9">
        <f t="shared" si="1"/>
        <v>170263.19999999998</v>
      </c>
      <c r="E9" s="3">
        <f t="shared" si="0"/>
        <v>1.7256628517288295E-2</v>
      </c>
      <c r="K9" s="5"/>
    </row>
    <row r="10" spans="1:11" x14ac:dyDescent="0.3">
      <c r="A10" t="s">
        <v>8</v>
      </c>
      <c r="B10" s="1">
        <v>1378</v>
      </c>
      <c r="C10">
        <v>315.64999999999998</v>
      </c>
      <c r="D10">
        <f t="shared" si="1"/>
        <v>434965.69999999995</v>
      </c>
      <c r="E10" s="3">
        <f t="shared" si="0"/>
        <v>4.408493146294834E-2</v>
      </c>
    </row>
    <row r="11" spans="1:11" x14ac:dyDescent="0.3">
      <c r="A11" t="s">
        <v>20</v>
      </c>
      <c r="B11" s="1">
        <v>2750</v>
      </c>
      <c r="C11">
        <v>172.4</v>
      </c>
      <c r="D11">
        <f t="shared" si="1"/>
        <v>474100</v>
      </c>
      <c r="E11" s="3">
        <f t="shared" si="0"/>
        <v>4.8051296933491097E-2</v>
      </c>
    </row>
    <row r="12" spans="1:11" x14ac:dyDescent="0.3">
      <c r="A12" t="s">
        <v>10</v>
      </c>
      <c r="B12" s="1">
        <v>1228</v>
      </c>
      <c r="C12">
        <v>26.25</v>
      </c>
      <c r="D12">
        <f>C12*B12</f>
        <v>32235</v>
      </c>
      <c r="E12" s="3">
        <f t="shared" si="0"/>
        <v>3.2671030513627621E-3</v>
      </c>
    </row>
    <row r="13" spans="1:11" x14ac:dyDescent="0.3">
      <c r="A13" t="s">
        <v>12</v>
      </c>
      <c r="B13" s="1">
        <v>1011</v>
      </c>
      <c r="C13">
        <v>447.35</v>
      </c>
      <c r="D13">
        <f>C13*B13</f>
        <v>452270.85000000003</v>
      </c>
      <c r="E13" s="3">
        <f t="shared" si="0"/>
        <v>4.5838854477351643E-2</v>
      </c>
    </row>
    <row r="14" spans="1:11" x14ac:dyDescent="0.3">
      <c r="A14" t="s">
        <v>13</v>
      </c>
      <c r="B14" s="1">
        <f>265+65+158-244-244</f>
        <v>0</v>
      </c>
      <c r="C14">
        <v>483.8</v>
      </c>
      <c r="D14">
        <f>C14*B14</f>
        <v>0</v>
      </c>
      <c r="E14" s="3">
        <f t="shared" si="0"/>
        <v>0</v>
      </c>
      <c r="G14" t="s">
        <v>44</v>
      </c>
    </row>
    <row r="15" spans="1:11" x14ac:dyDescent="0.3">
      <c r="A15" t="s">
        <v>14</v>
      </c>
      <c r="B15" s="1">
        <f>186+349</f>
        <v>535</v>
      </c>
      <c r="C15">
        <v>229.4</v>
      </c>
      <c r="D15">
        <f t="shared" si="1"/>
        <v>122729</v>
      </c>
      <c r="E15" s="3">
        <f t="shared" si="0"/>
        <v>1.243891082335041E-2</v>
      </c>
    </row>
    <row r="16" spans="1:11" x14ac:dyDescent="0.3">
      <c r="A16" t="s">
        <v>37</v>
      </c>
      <c r="B16" s="1">
        <f>8384+5589</f>
        <v>13973</v>
      </c>
      <c r="C16">
        <v>26.05</v>
      </c>
      <c r="D16">
        <f t="shared" si="1"/>
        <v>363996.65</v>
      </c>
      <c r="E16" s="3">
        <f t="shared" si="0"/>
        <v>3.6892029343906417E-2</v>
      </c>
    </row>
    <row r="17" spans="1:7" x14ac:dyDescent="0.3">
      <c r="A17" t="s">
        <v>36</v>
      </c>
      <c r="B17" s="1">
        <v>2345</v>
      </c>
      <c r="C17">
        <v>286.3</v>
      </c>
      <c r="D17">
        <f t="shared" si="1"/>
        <v>671373.5</v>
      </c>
      <c r="E17" s="3">
        <f t="shared" si="0"/>
        <v>6.8045491250321E-2</v>
      </c>
    </row>
    <row r="18" spans="1:7" x14ac:dyDescent="0.3">
      <c r="A18" t="s">
        <v>15</v>
      </c>
      <c r="B18" s="1">
        <f>368+532</f>
        <v>900</v>
      </c>
      <c r="C18">
        <v>233.45</v>
      </c>
      <c r="D18">
        <f t="shared" si="1"/>
        <v>210105</v>
      </c>
      <c r="E18" s="3">
        <f t="shared" si="0"/>
        <v>2.1294700996015919E-2</v>
      </c>
    </row>
    <row r="19" spans="1:7" x14ac:dyDescent="0.3">
      <c r="A19" t="s">
        <v>16</v>
      </c>
      <c r="B19" s="1">
        <f>6886+2045</f>
        <v>8931</v>
      </c>
      <c r="C19">
        <v>67.3</v>
      </c>
      <c r="D19">
        <f t="shared" si="1"/>
        <v>601056.29999999993</v>
      </c>
      <c r="E19" s="3">
        <f t="shared" si="0"/>
        <v>6.0918655863837802E-2</v>
      </c>
    </row>
    <row r="20" spans="1:7" x14ac:dyDescent="0.3">
      <c r="A20" t="s">
        <v>17</v>
      </c>
      <c r="B20" s="1">
        <f>920+319+331-785</f>
        <v>785</v>
      </c>
      <c r="C20">
        <v>470.95</v>
      </c>
      <c r="D20">
        <f t="shared" si="1"/>
        <v>369695.75</v>
      </c>
      <c r="E20" s="3">
        <f t="shared" si="0"/>
        <v>3.7469648298459592E-2</v>
      </c>
    </row>
    <row r="21" spans="1:7" x14ac:dyDescent="0.3">
      <c r="A21" t="s">
        <v>33</v>
      </c>
      <c r="B21" s="1">
        <f>419+419</f>
        <v>838</v>
      </c>
      <c r="C21">
        <v>399.55</v>
      </c>
      <c r="D21">
        <f t="shared" si="1"/>
        <v>334822.90000000002</v>
      </c>
      <c r="E21" s="3">
        <f t="shared" si="0"/>
        <v>3.3935192128311746E-2</v>
      </c>
    </row>
    <row r="22" spans="1:7" x14ac:dyDescent="0.3">
      <c r="A22" t="s">
        <v>18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</f>
        <v>1480.3669999999991</v>
      </c>
      <c r="C22">
        <v>1000</v>
      </c>
      <c r="D22">
        <f t="shared" si="1"/>
        <v>1480366.9999999991</v>
      </c>
      <c r="E22" s="3">
        <f t="shared" si="0"/>
        <v>0.15003913581004297</v>
      </c>
      <c r="G22" t="s">
        <v>45</v>
      </c>
    </row>
    <row r="23" spans="1:7" x14ac:dyDescent="0.3">
      <c r="B23" s="1"/>
      <c r="E23" s="3"/>
    </row>
    <row r="24" spans="1:7" x14ac:dyDescent="0.3">
      <c r="B24" s="1"/>
      <c r="D24">
        <f>SUM(D5:D22)</f>
        <v>9866539.0999999996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52DB-1A88-46B4-8812-C29F387ACB2A}">
  <sheetPr>
    <pageSetUpPr fitToPage="1"/>
  </sheetPr>
  <dimension ref="A1:K23"/>
  <sheetViews>
    <sheetView topLeftCell="A4" workbookViewId="0">
      <selection activeCell="B13" sqref="B13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43214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1929.15</v>
      </c>
      <c r="D5">
        <f>B5*C5</f>
        <v>318309.75</v>
      </c>
      <c r="E5" s="3">
        <f t="shared" ref="E5:E21" si="0">D5/$D$23</f>
        <v>3.2274798339132771E-2</v>
      </c>
    </row>
    <row r="6" spans="1:11" x14ac:dyDescent="0.3">
      <c r="A6" t="s">
        <v>35</v>
      </c>
      <c r="B6" s="1">
        <f>6000+6000</f>
        <v>12000</v>
      </c>
      <c r="C6">
        <v>59.7</v>
      </c>
      <c r="D6">
        <f t="shared" ref="D6:D21" si="1">C6*B6</f>
        <v>716400</v>
      </c>
      <c r="E6" s="3">
        <f t="shared" si="0"/>
        <v>7.2638885645679135E-2</v>
      </c>
    </row>
    <row r="7" spans="1:11" x14ac:dyDescent="0.3">
      <c r="A7" t="s">
        <v>7</v>
      </c>
      <c r="B7" s="1">
        <f>(840+420)*2</f>
        <v>2520</v>
      </c>
      <c r="C7">
        <v>725.85</v>
      </c>
      <c r="D7">
        <f t="shared" si="1"/>
        <v>1829142</v>
      </c>
      <c r="E7" s="3">
        <f t="shared" si="0"/>
        <v>0.18546459599066001</v>
      </c>
    </row>
    <row r="8" spans="1:11" x14ac:dyDescent="0.3">
      <c r="A8" t="s">
        <v>34</v>
      </c>
      <c r="B8" s="1">
        <f>1280+1280+1280+910+1300+1300+2940</f>
        <v>10290</v>
      </c>
      <c r="C8">
        <v>124.85</v>
      </c>
      <c r="D8">
        <f t="shared" si="1"/>
        <v>1284706.5</v>
      </c>
      <c r="E8" s="3">
        <f t="shared" si="0"/>
        <v>0.1302619326378569</v>
      </c>
    </row>
    <row r="9" spans="1:11" x14ac:dyDescent="0.3">
      <c r="A9" t="s">
        <v>9</v>
      </c>
      <c r="B9" s="1">
        <v>2928</v>
      </c>
      <c r="C9">
        <v>58.15</v>
      </c>
      <c r="D9">
        <f t="shared" si="1"/>
        <v>170263.19999999998</v>
      </c>
      <c r="E9" s="3">
        <f t="shared" si="0"/>
        <v>1.7263720148614454E-2</v>
      </c>
      <c r="K9" s="5"/>
    </row>
    <row r="10" spans="1:11" x14ac:dyDescent="0.3">
      <c r="A10" t="s">
        <v>8</v>
      </c>
      <c r="B10" s="1">
        <v>1378</v>
      </c>
      <c r="C10">
        <v>315.64999999999998</v>
      </c>
      <c r="D10">
        <f t="shared" si="1"/>
        <v>434965.69999999995</v>
      </c>
      <c r="E10" s="3">
        <f t="shared" si="0"/>
        <v>4.4103048216209903E-2</v>
      </c>
    </row>
    <row r="11" spans="1:11" x14ac:dyDescent="0.3">
      <c r="A11" t="s">
        <v>20</v>
      </c>
      <c r="B11" s="1">
        <v>2750</v>
      </c>
      <c r="C11">
        <v>172.4</v>
      </c>
      <c r="D11">
        <f t="shared" si="1"/>
        <v>474100</v>
      </c>
      <c r="E11" s="3">
        <f t="shared" si="0"/>
        <v>4.8071043669202236E-2</v>
      </c>
    </row>
    <row r="12" spans="1:11" x14ac:dyDescent="0.3">
      <c r="A12" t="s">
        <v>10</v>
      </c>
      <c r="B12" s="1">
        <f>1228-1228</f>
        <v>0</v>
      </c>
      <c r="C12">
        <v>26.25</v>
      </c>
      <c r="D12">
        <f>C12*B12</f>
        <v>0</v>
      </c>
      <c r="E12" s="3">
        <f t="shared" si="0"/>
        <v>0</v>
      </c>
      <c r="G12" t="s">
        <v>46</v>
      </c>
    </row>
    <row r="13" spans="1:11" x14ac:dyDescent="0.3">
      <c r="A13" t="s">
        <v>12</v>
      </c>
      <c r="B13" s="1">
        <v>1011</v>
      </c>
      <c r="C13">
        <v>447.35</v>
      </c>
      <c r="D13">
        <f>C13*B13</f>
        <v>452270.85000000003</v>
      </c>
      <c r="E13" s="3">
        <f t="shared" si="0"/>
        <v>4.5857692007292165E-2</v>
      </c>
    </row>
    <row r="14" spans="1:11" x14ac:dyDescent="0.3">
      <c r="A14" t="s">
        <v>14</v>
      </c>
      <c r="B14" s="1">
        <f>186+349</f>
        <v>535</v>
      </c>
      <c r="C14">
        <v>229.4</v>
      </c>
      <c r="D14">
        <f t="shared" si="1"/>
        <v>122729</v>
      </c>
      <c r="E14" s="3">
        <f t="shared" si="0"/>
        <v>1.2444022608052142E-2</v>
      </c>
    </row>
    <row r="15" spans="1:11" x14ac:dyDescent="0.3">
      <c r="A15" t="s">
        <v>37</v>
      </c>
      <c r="B15" s="1">
        <f>8384+5589</f>
        <v>13973</v>
      </c>
      <c r="C15">
        <v>26.05</v>
      </c>
      <c r="D15">
        <f t="shared" si="1"/>
        <v>363996.65</v>
      </c>
      <c r="E15" s="3">
        <f t="shared" si="0"/>
        <v>3.6907190165773721E-2</v>
      </c>
    </row>
    <row r="16" spans="1:11" x14ac:dyDescent="0.3">
      <c r="A16" t="s">
        <v>36</v>
      </c>
      <c r="B16" s="1">
        <v>2345</v>
      </c>
      <c r="C16">
        <v>286.3</v>
      </c>
      <c r="D16">
        <f t="shared" si="1"/>
        <v>671373.5</v>
      </c>
      <c r="E16" s="3">
        <f t="shared" si="0"/>
        <v>6.8073454623170521E-2</v>
      </c>
    </row>
    <row r="17" spans="1:7" x14ac:dyDescent="0.3">
      <c r="A17" t="s">
        <v>15</v>
      </c>
      <c r="B17" s="1">
        <f>368+532</f>
        <v>900</v>
      </c>
      <c r="C17">
        <v>233.45</v>
      </c>
      <c r="D17">
        <f t="shared" si="1"/>
        <v>210105</v>
      </c>
      <c r="E17" s="3">
        <f t="shared" si="0"/>
        <v>2.130345207786909E-2</v>
      </c>
    </row>
    <row r="18" spans="1:7" x14ac:dyDescent="0.3">
      <c r="A18" t="s">
        <v>16</v>
      </c>
      <c r="B18" s="1">
        <f>6886+2045</f>
        <v>8931</v>
      </c>
      <c r="C18">
        <v>67.3</v>
      </c>
      <c r="D18">
        <f t="shared" si="1"/>
        <v>601056.29999999993</v>
      </c>
      <c r="E18" s="3">
        <f t="shared" si="0"/>
        <v>6.0943690455492756E-2</v>
      </c>
    </row>
    <row r="19" spans="1:7" x14ac:dyDescent="0.3">
      <c r="A19" t="s">
        <v>17</v>
      </c>
      <c r="B19" s="1">
        <f>920+319+331-785</f>
        <v>785</v>
      </c>
      <c r="C19">
        <v>470.95</v>
      </c>
      <c r="D19">
        <f t="shared" si="1"/>
        <v>369695.75</v>
      </c>
      <c r="E19" s="3">
        <f t="shared" si="0"/>
        <v>3.7485046493500256E-2</v>
      </c>
    </row>
    <row r="20" spans="1:7" x14ac:dyDescent="0.3">
      <c r="A20" t="s">
        <v>33</v>
      </c>
      <c r="B20" s="1">
        <f>419+419</f>
        <v>838</v>
      </c>
      <c r="C20">
        <v>399.55</v>
      </c>
      <c r="D20">
        <f t="shared" si="1"/>
        <v>334822.90000000002</v>
      </c>
      <c r="E20" s="3">
        <f t="shared" si="0"/>
        <v>3.3949137834526327E-2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</f>
        <v>1508.5489999999991</v>
      </c>
      <c r="C21">
        <v>1000</v>
      </c>
      <c r="D21">
        <f t="shared" si="1"/>
        <v>1508548.9999999991</v>
      </c>
      <c r="E21" s="3">
        <f t="shared" si="0"/>
        <v>0.15295828908696754</v>
      </c>
      <c r="G21" t="s">
        <v>47</v>
      </c>
    </row>
    <row r="22" spans="1:7" x14ac:dyDescent="0.3">
      <c r="B22" s="1"/>
      <c r="E22" s="3"/>
    </row>
    <row r="23" spans="1:7" x14ac:dyDescent="0.3">
      <c r="B23" s="1"/>
      <c r="D23">
        <f>SUM(D5:D21)</f>
        <v>9862486.0999999996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E64C-3704-4E30-888A-164A0CC08DA1}">
  <sheetPr>
    <pageSetUpPr fitToPage="1"/>
  </sheetPr>
  <dimension ref="A1:K23"/>
  <sheetViews>
    <sheetView topLeftCell="A3"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43237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>
        <v>1857.55</v>
      </c>
      <c r="D5">
        <f>B5*C5</f>
        <v>306495.75</v>
      </c>
      <c r="E5" s="3">
        <f t="shared" ref="E5:E13" si="0">D5/$D$23</f>
        <v>3.1573693760406654E-2</v>
      </c>
    </row>
    <row r="6" spans="1:11" x14ac:dyDescent="0.3">
      <c r="A6" t="s">
        <v>35</v>
      </c>
      <c r="B6" s="1">
        <f>6000+6000</f>
        <v>12000</v>
      </c>
      <c r="C6">
        <v>68</v>
      </c>
      <c r="D6">
        <f t="shared" ref="D6:D21" si="1">C6*B6</f>
        <v>816000</v>
      </c>
      <c r="E6" s="3">
        <f t="shared" si="0"/>
        <v>8.4060330717446591E-2</v>
      </c>
    </row>
    <row r="7" spans="1:11" x14ac:dyDescent="0.3">
      <c r="A7" t="s">
        <v>7</v>
      </c>
      <c r="B7" s="1">
        <f>(840+420)*2</f>
        <v>2520</v>
      </c>
      <c r="C7">
        <v>693.45</v>
      </c>
      <c r="D7">
        <f t="shared" si="1"/>
        <v>1747494</v>
      </c>
      <c r="E7" s="3">
        <f t="shared" si="0"/>
        <v>0.18001828868474706</v>
      </c>
    </row>
    <row r="8" spans="1:11" x14ac:dyDescent="0.3">
      <c r="A8" t="s">
        <v>34</v>
      </c>
      <c r="B8" s="1">
        <f>1280+1280+1280+910+1300+1300+2940</f>
        <v>10290</v>
      </c>
      <c r="C8">
        <v>140.19999999999999</v>
      </c>
      <c r="D8">
        <f t="shared" si="1"/>
        <v>1442657.9999999998</v>
      </c>
      <c r="E8" s="3">
        <f t="shared" si="0"/>
        <v>0.14861557425511035</v>
      </c>
    </row>
    <row r="9" spans="1:11" x14ac:dyDescent="0.3">
      <c r="A9" t="s">
        <v>9</v>
      </c>
      <c r="B9" s="1">
        <v>2928</v>
      </c>
      <c r="C9">
        <v>52.25</v>
      </c>
      <c r="D9">
        <f t="shared" si="1"/>
        <v>152988</v>
      </c>
      <c r="E9" s="3">
        <f t="shared" si="0"/>
        <v>1.5760075828187156E-2</v>
      </c>
      <c r="K9" s="5"/>
    </row>
    <row r="10" spans="1:11" x14ac:dyDescent="0.3">
      <c r="A10" t="s">
        <v>8</v>
      </c>
      <c r="B10" s="1">
        <v>1378</v>
      </c>
      <c r="C10">
        <v>315.25</v>
      </c>
      <c r="D10">
        <f t="shared" si="1"/>
        <v>434414.5</v>
      </c>
      <c r="E10" s="3">
        <f t="shared" si="0"/>
        <v>4.4751258012811518E-2</v>
      </c>
    </row>
    <row r="11" spans="1:11" x14ac:dyDescent="0.3">
      <c r="A11" t="s">
        <v>20</v>
      </c>
      <c r="B11" s="1">
        <v>2750</v>
      </c>
      <c r="C11">
        <v>184.4</v>
      </c>
      <c r="D11">
        <f t="shared" si="1"/>
        <v>507100</v>
      </c>
      <c r="E11" s="3">
        <f t="shared" si="0"/>
        <v>5.2238962876001424E-2</v>
      </c>
    </row>
    <row r="12" spans="1:11" x14ac:dyDescent="0.3">
      <c r="A12" t="s">
        <v>12</v>
      </c>
      <c r="B12" s="1">
        <v>1011</v>
      </c>
      <c r="C12">
        <v>391.55</v>
      </c>
      <c r="D12">
        <f>C12*B12</f>
        <v>395857.05</v>
      </c>
      <c r="E12" s="3">
        <f t="shared" si="0"/>
        <v>4.0779258014500969E-2</v>
      </c>
    </row>
    <row r="13" spans="1:11" x14ac:dyDescent="0.3">
      <c r="A13" t="s">
        <v>48</v>
      </c>
      <c r="B13" s="1">
        <v>570</v>
      </c>
      <c r="C13">
        <v>822.8</v>
      </c>
      <c r="D13">
        <f>C13*B13</f>
        <v>468996</v>
      </c>
      <c r="E13" s="3">
        <f t="shared" si="0"/>
        <v>4.8313675079852424E-2</v>
      </c>
      <c r="G13" t="s">
        <v>49</v>
      </c>
    </row>
    <row r="14" spans="1:11" x14ac:dyDescent="0.3">
      <c r="A14" t="s">
        <v>14</v>
      </c>
      <c r="B14" s="1">
        <f>186+349</f>
        <v>535</v>
      </c>
      <c r="C14">
        <v>242.1</v>
      </c>
      <c r="D14">
        <f t="shared" si="1"/>
        <v>129523.5</v>
      </c>
      <c r="E14" s="3">
        <f t="shared" ref="E14:E21" si="2">D14/$D$23</f>
        <v>1.3342877752060285E-2</v>
      </c>
    </row>
    <row r="15" spans="1:11" x14ac:dyDescent="0.3">
      <c r="A15" t="s">
        <v>37</v>
      </c>
      <c r="B15" s="1">
        <f>8384+5589</f>
        <v>13973</v>
      </c>
      <c r="C15">
        <v>26.15</v>
      </c>
      <c r="D15">
        <f t="shared" si="1"/>
        <v>365393.94999999995</v>
      </c>
      <c r="E15" s="3">
        <f t="shared" si="2"/>
        <v>3.7641098381316344E-2</v>
      </c>
    </row>
    <row r="16" spans="1:11" x14ac:dyDescent="0.3">
      <c r="A16" t="s">
        <v>36</v>
      </c>
      <c r="B16" s="1">
        <v>2345</v>
      </c>
      <c r="C16">
        <v>241.1</v>
      </c>
      <c r="D16">
        <f t="shared" si="1"/>
        <v>565379.5</v>
      </c>
      <c r="E16" s="3">
        <f t="shared" si="2"/>
        <v>5.8242632047628175E-2</v>
      </c>
    </row>
    <row r="17" spans="1:7" x14ac:dyDescent="0.3">
      <c r="A17" t="s">
        <v>15</v>
      </c>
      <c r="B17" s="1">
        <f>368+532</f>
        <v>900</v>
      </c>
      <c r="C17">
        <v>208.8</v>
      </c>
      <c r="D17">
        <f t="shared" si="1"/>
        <v>187920</v>
      </c>
      <c r="E17" s="3">
        <f t="shared" si="2"/>
        <v>1.9358599691694317E-2</v>
      </c>
    </row>
    <row r="18" spans="1:7" x14ac:dyDescent="0.3">
      <c r="A18" t="s">
        <v>16</v>
      </c>
      <c r="B18" s="1">
        <f>6886+2045</f>
        <v>8931</v>
      </c>
      <c r="C18">
        <v>57.8</v>
      </c>
      <c r="D18">
        <f t="shared" si="1"/>
        <v>516211.8</v>
      </c>
      <c r="E18" s="3">
        <f t="shared" si="2"/>
        <v>5.3177615965990674E-2</v>
      </c>
    </row>
    <row r="19" spans="1:7" x14ac:dyDescent="0.3">
      <c r="A19" t="s">
        <v>17</v>
      </c>
      <c r="B19" s="1">
        <f>920+319+331-785</f>
        <v>785</v>
      </c>
      <c r="C19">
        <v>445.95</v>
      </c>
      <c r="D19">
        <f t="shared" si="1"/>
        <v>350070.75</v>
      </c>
      <c r="E19" s="3">
        <f t="shared" si="2"/>
        <v>3.6062577229785002E-2</v>
      </c>
    </row>
    <row r="20" spans="1:7" x14ac:dyDescent="0.3">
      <c r="A20" t="s">
        <v>33</v>
      </c>
      <c r="B20" s="1">
        <f>419+419</f>
        <v>838</v>
      </c>
      <c r="C20">
        <v>355.05</v>
      </c>
      <c r="D20">
        <f t="shared" si="1"/>
        <v>297531.90000000002</v>
      </c>
      <c r="E20" s="3">
        <f t="shared" si="2"/>
        <v>3.0650281756115498E-2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</f>
        <v>1023.2789999999991</v>
      </c>
      <c r="C21">
        <v>1000</v>
      </c>
      <c r="D21">
        <f t="shared" si="1"/>
        <v>1023278.9999999991</v>
      </c>
      <c r="E21" s="3">
        <f t="shared" si="2"/>
        <v>0.10541319994634551</v>
      </c>
      <c r="G21" t="s">
        <v>50</v>
      </c>
    </row>
    <row r="22" spans="1:7" x14ac:dyDescent="0.3">
      <c r="B22" s="1"/>
      <c r="E22" s="3"/>
    </row>
    <row r="23" spans="1:7" x14ac:dyDescent="0.3">
      <c r="B23" s="1"/>
      <c r="D23">
        <f>SUM(D5:D21)</f>
        <v>9707313.6999999993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2316-6D32-4125-8B13-47E0D3C410A6}">
  <sheetPr>
    <pageSetUpPr fitToPage="1"/>
  </sheetPr>
  <dimension ref="A1:K23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43250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1822.45</v>
      </c>
      <c r="D5">
        <f>B5*C5</f>
        <v>300704.25</v>
      </c>
      <c r="E5" s="3">
        <f t="shared" ref="E5:E21" si="0">D5/$D$23</f>
        <v>3.1185740438237883E-2</v>
      </c>
    </row>
    <row r="6" spans="1:11" x14ac:dyDescent="0.3">
      <c r="A6" t="s">
        <v>35</v>
      </c>
      <c r="B6" s="1">
        <f>6000+6000</f>
        <v>12000</v>
      </c>
      <c r="C6" s="4">
        <v>73.25</v>
      </c>
      <c r="D6">
        <f t="shared" ref="D6:D21" si="1">C6*B6</f>
        <v>879000</v>
      </c>
      <c r="E6" s="3">
        <f t="shared" si="0"/>
        <v>9.1160220865555114E-2</v>
      </c>
    </row>
    <row r="7" spans="1:11" x14ac:dyDescent="0.3">
      <c r="A7" t="s">
        <v>7</v>
      </c>
      <c r="B7" s="1">
        <f>(840+420)*2</f>
        <v>2520</v>
      </c>
      <c r="C7" s="4">
        <v>712</v>
      </c>
      <c r="D7">
        <f t="shared" si="1"/>
        <v>1794240</v>
      </c>
      <c r="E7" s="3">
        <f t="shared" si="0"/>
        <v>0.18607885629785392</v>
      </c>
    </row>
    <row r="8" spans="1:11" x14ac:dyDescent="0.3">
      <c r="A8" t="s">
        <v>34</v>
      </c>
      <c r="B8" s="1">
        <f>1280+1280+1280+910+1300+1300+2940</f>
        <v>10290</v>
      </c>
      <c r="C8" s="4">
        <v>127.85</v>
      </c>
      <c r="D8">
        <f t="shared" si="1"/>
        <v>1315576.5</v>
      </c>
      <c r="E8" s="3">
        <f t="shared" si="0"/>
        <v>0.13643713800402044</v>
      </c>
    </row>
    <row r="9" spans="1:11" x14ac:dyDescent="0.3">
      <c r="A9" t="s">
        <v>9</v>
      </c>
      <c r="B9" s="1">
        <v>2928</v>
      </c>
      <c r="C9" s="4">
        <v>57.9</v>
      </c>
      <c r="D9">
        <f t="shared" si="1"/>
        <v>169531.19999999998</v>
      </c>
      <c r="E9" s="3">
        <f t="shared" si="0"/>
        <v>1.758191312355244E-2</v>
      </c>
      <c r="K9" s="5"/>
    </row>
    <row r="10" spans="1:11" x14ac:dyDescent="0.3">
      <c r="A10" t="s">
        <v>8</v>
      </c>
      <c r="B10" s="1">
        <v>1378</v>
      </c>
      <c r="C10" s="4">
        <v>287.60000000000002</v>
      </c>
      <c r="D10">
        <f t="shared" si="1"/>
        <v>396312.80000000005</v>
      </c>
      <c r="E10" s="3">
        <f t="shared" si="0"/>
        <v>4.1101208623261179E-2</v>
      </c>
    </row>
    <row r="11" spans="1:11" x14ac:dyDescent="0.3">
      <c r="A11" t="s">
        <v>20</v>
      </c>
      <c r="B11" s="1">
        <v>2750</v>
      </c>
      <c r="C11" s="4">
        <v>179.55</v>
      </c>
      <c r="D11">
        <f t="shared" si="1"/>
        <v>493762.50000000006</v>
      </c>
      <c r="E11" s="3">
        <f t="shared" si="0"/>
        <v>5.1207620654298819E-2</v>
      </c>
    </row>
    <row r="12" spans="1:11" x14ac:dyDescent="0.3">
      <c r="A12" t="s">
        <v>12</v>
      </c>
      <c r="B12" s="1">
        <v>1011</v>
      </c>
      <c r="C12" s="4">
        <v>402.2</v>
      </c>
      <c r="D12">
        <f>C12*B12</f>
        <v>406624.2</v>
      </c>
      <c r="E12" s="3">
        <f t="shared" si="0"/>
        <v>4.2170593721592327E-2</v>
      </c>
    </row>
    <row r="13" spans="1:11" x14ac:dyDescent="0.3">
      <c r="A13" t="s">
        <v>48</v>
      </c>
      <c r="B13" s="1">
        <v>570</v>
      </c>
      <c r="C13" s="4">
        <v>814.55</v>
      </c>
      <c r="D13">
        <f>C13*B13</f>
        <v>464293.5</v>
      </c>
      <c r="E13" s="3">
        <f t="shared" si="0"/>
        <v>4.8151419802550187E-2</v>
      </c>
    </row>
    <row r="14" spans="1:11" x14ac:dyDescent="0.3">
      <c r="A14" t="s">
        <v>14</v>
      </c>
      <c r="B14" s="1">
        <f>186+349</f>
        <v>535</v>
      </c>
      <c r="C14" s="4">
        <v>205.95</v>
      </c>
      <c r="D14">
        <f t="shared" si="1"/>
        <v>110183.25</v>
      </c>
      <c r="E14" s="3">
        <f t="shared" si="0"/>
        <v>1.1426995910904068E-2</v>
      </c>
    </row>
    <row r="15" spans="1:11" x14ac:dyDescent="0.3">
      <c r="A15" t="s">
        <v>37</v>
      </c>
      <c r="B15" s="1">
        <f>8384+5589</f>
        <v>13973</v>
      </c>
      <c r="C15" s="4">
        <v>24.7</v>
      </c>
      <c r="D15">
        <f t="shared" si="1"/>
        <v>345133.1</v>
      </c>
      <c r="E15" s="3">
        <f t="shared" si="0"/>
        <v>3.5793412541540066E-2</v>
      </c>
    </row>
    <row r="16" spans="1:11" x14ac:dyDescent="0.3">
      <c r="A16" t="s">
        <v>36</v>
      </c>
      <c r="B16" s="1">
        <v>2345</v>
      </c>
      <c r="C16" s="4">
        <v>257.5</v>
      </c>
      <c r="D16">
        <f t="shared" si="1"/>
        <v>603837.5</v>
      </c>
      <c r="E16" s="3">
        <f t="shared" si="0"/>
        <v>6.2623390064737924E-2</v>
      </c>
    </row>
    <row r="17" spans="1:7" x14ac:dyDescent="0.3">
      <c r="A17" t="s">
        <v>15</v>
      </c>
      <c r="B17" s="1">
        <f>368+532</f>
        <v>900</v>
      </c>
      <c r="C17" s="4">
        <v>201.35</v>
      </c>
      <c r="D17">
        <f t="shared" si="1"/>
        <v>181215</v>
      </c>
      <c r="E17" s="3">
        <f t="shared" si="0"/>
        <v>1.879362846888688E-2</v>
      </c>
    </row>
    <row r="18" spans="1:7" x14ac:dyDescent="0.3">
      <c r="A18" t="s">
        <v>16</v>
      </c>
      <c r="B18" s="1">
        <f>6886+2045</f>
        <v>8931</v>
      </c>
      <c r="C18" s="4">
        <v>56.3</v>
      </c>
      <c r="D18">
        <f t="shared" si="1"/>
        <v>502815.3</v>
      </c>
      <c r="E18" s="3">
        <f t="shared" si="0"/>
        <v>5.2146477591103926E-2</v>
      </c>
    </row>
    <row r="19" spans="1:7" x14ac:dyDescent="0.3">
      <c r="A19" t="s">
        <v>17</v>
      </c>
      <c r="B19" s="1">
        <f>920+319+331-785</f>
        <v>785</v>
      </c>
      <c r="C19" s="4">
        <v>448.35</v>
      </c>
      <c r="D19">
        <f t="shared" si="1"/>
        <v>351954.75</v>
      </c>
      <c r="E19" s="3">
        <f t="shared" si="0"/>
        <v>3.6500879117953619E-2</v>
      </c>
    </row>
    <row r="20" spans="1:7" x14ac:dyDescent="0.3">
      <c r="A20" t="s">
        <v>33</v>
      </c>
      <c r="B20" s="1">
        <f>419+419+838</f>
        <v>1676</v>
      </c>
      <c r="C20" s="4">
        <v>373.55</v>
      </c>
      <c r="D20">
        <f t="shared" si="1"/>
        <v>626069.80000000005</v>
      </c>
      <c r="E20" s="3">
        <f t="shared" si="0"/>
        <v>6.4929079914964646E-2</v>
      </c>
      <c r="G20" t="s">
        <v>51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</f>
        <v>701.1099999999991</v>
      </c>
      <c r="C21" s="4">
        <v>1000</v>
      </c>
      <c r="D21">
        <f t="shared" si="1"/>
        <v>701109.99999999907</v>
      </c>
      <c r="E21" s="3">
        <f t="shared" si="0"/>
        <v>7.2711424858986642E-2</v>
      </c>
      <c r="G21" t="s">
        <v>52</v>
      </c>
    </row>
    <row r="22" spans="1:7" x14ac:dyDescent="0.3">
      <c r="B22" s="1"/>
      <c r="E22" s="3"/>
    </row>
    <row r="23" spans="1:7" x14ac:dyDescent="0.3">
      <c r="B23" s="1"/>
      <c r="D23">
        <f>SUM(D5:D21)</f>
        <v>9642363.6499999985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AB61-1ABB-491C-A8AC-7C6F4AD5CFF6}">
  <sheetPr>
    <pageSetUpPr fitToPage="1"/>
  </sheetPr>
  <dimension ref="A1:K23"/>
  <sheetViews>
    <sheetView workbookViewId="0">
      <selection activeCell="G7" sqref="G7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43271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1727.6</v>
      </c>
      <c r="D5">
        <f>B5*C5</f>
        <v>285054</v>
      </c>
      <c r="E5" s="3">
        <f t="shared" ref="E5:E21" si="0">D5/$D$23</f>
        <v>3.0245706175337433E-2</v>
      </c>
    </row>
    <row r="6" spans="1:11" x14ac:dyDescent="0.3">
      <c r="A6" t="s">
        <v>35</v>
      </c>
      <c r="B6" s="1">
        <f>6000+6000-9000</f>
        <v>3000</v>
      </c>
      <c r="C6" s="4">
        <v>74.400000000000006</v>
      </c>
      <c r="D6">
        <f t="shared" ref="D6:D21" si="1">C6*B6</f>
        <v>223200.00000000003</v>
      </c>
      <c r="E6" s="3">
        <f t="shared" si="0"/>
        <v>2.3682676329170316E-2</v>
      </c>
      <c r="G6" t="s">
        <v>53</v>
      </c>
    </row>
    <row r="7" spans="1:11" x14ac:dyDescent="0.3">
      <c r="A7" t="s">
        <v>7</v>
      </c>
      <c r="B7" s="1">
        <f>(840+420)*2</f>
        <v>2520</v>
      </c>
      <c r="C7" s="4">
        <v>672.95</v>
      </c>
      <c r="D7">
        <f t="shared" si="1"/>
        <v>1695834</v>
      </c>
      <c r="E7" s="3">
        <f t="shared" si="0"/>
        <v>0.17993677298388086</v>
      </c>
    </row>
    <row r="8" spans="1:11" x14ac:dyDescent="0.3">
      <c r="A8" t="s">
        <v>34</v>
      </c>
      <c r="B8" s="1">
        <f>1280+1280+1280+910+1300+1300+2940</f>
        <v>10290</v>
      </c>
      <c r="C8" s="4">
        <v>131.65</v>
      </c>
      <c r="D8">
        <f t="shared" si="1"/>
        <v>1354678.5</v>
      </c>
      <c r="E8" s="3">
        <f t="shared" si="0"/>
        <v>0.14373840701427396</v>
      </c>
    </row>
    <row r="9" spans="1:11" x14ac:dyDescent="0.3">
      <c r="A9" t="s">
        <v>9</v>
      </c>
      <c r="B9" s="1">
        <v>2928</v>
      </c>
      <c r="C9" s="4">
        <v>56.2</v>
      </c>
      <c r="D9">
        <f t="shared" si="1"/>
        <v>164553.60000000001</v>
      </c>
      <c r="E9" s="3">
        <f t="shared" si="0"/>
        <v>1.7459989460572402E-2</v>
      </c>
      <c r="K9" s="5"/>
    </row>
    <row r="10" spans="1:11" x14ac:dyDescent="0.3">
      <c r="A10" t="s">
        <v>8</v>
      </c>
      <c r="B10" s="1">
        <v>1378</v>
      </c>
      <c r="C10" s="4">
        <v>280.05</v>
      </c>
      <c r="D10">
        <f t="shared" si="1"/>
        <v>385908.9</v>
      </c>
      <c r="E10" s="3">
        <f t="shared" si="0"/>
        <v>4.0946933562930797E-2</v>
      </c>
    </row>
    <row r="11" spans="1:11" x14ac:dyDescent="0.3">
      <c r="A11" t="s">
        <v>20</v>
      </c>
      <c r="B11" s="1">
        <v>2750</v>
      </c>
      <c r="C11" s="4">
        <v>164.6</v>
      </c>
      <c r="D11">
        <f t="shared" si="1"/>
        <v>452650</v>
      </c>
      <c r="E11" s="3">
        <f t="shared" si="0"/>
        <v>4.8028510037629674E-2</v>
      </c>
    </row>
    <row r="12" spans="1:11" x14ac:dyDescent="0.3">
      <c r="A12" t="s">
        <v>12</v>
      </c>
      <c r="B12" s="1">
        <v>1011</v>
      </c>
      <c r="C12" s="4">
        <v>366</v>
      </c>
      <c r="D12">
        <f>C12*B12</f>
        <v>370026</v>
      </c>
      <c r="E12" s="3">
        <f t="shared" si="0"/>
        <v>3.9261675588609206E-2</v>
      </c>
    </row>
    <row r="13" spans="1:11" x14ac:dyDescent="0.3">
      <c r="A13" t="s">
        <v>48</v>
      </c>
      <c r="B13" s="1">
        <v>570</v>
      </c>
      <c r="C13" s="4">
        <v>720.05</v>
      </c>
      <c r="D13">
        <f>C13*B13</f>
        <v>410428.5</v>
      </c>
      <c r="E13" s="3">
        <f t="shared" si="0"/>
        <v>4.3548590151285295E-2</v>
      </c>
    </row>
    <row r="14" spans="1:11" x14ac:dyDescent="0.3">
      <c r="A14" t="s">
        <v>14</v>
      </c>
      <c r="B14" s="1">
        <f>186+349</f>
        <v>535</v>
      </c>
      <c r="C14" s="4">
        <v>198.85</v>
      </c>
      <c r="D14">
        <f t="shared" si="1"/>
        <v>106384.75</v>
      </c>
      <c r="E14" s="3">
        <f t="shared" si="0"/>
        <v>1.1287973121011208E-2</v>
      </c>
    </row>
    <row r="15" spans="1:11" x14ac:dyDescent="0.3">
      <c r="A15" t="s">
        <v>37</v>
      </c>
      <c r="B15" s="1">
        <f>8384+5589</f>
        <v>13973</v>
      </c>
      <c r="C15" s="4">
        <v>23.35</v>
      </c>
      <c r="D15">
        <f t="shared" si="1"/>
        <v>326269.55000000005</v>
      </c>
      <c r="E15" s="3">
        <f t="shared" si="0"/>
        <v>3.4618889555170479E-2</v>
      </c>
    </row>
    <row r="16" spans="1:11" x14ac:dyDescent="0.3">
      <c r="A16" t="s">
        <v>36</v>
      </c>
      <c r="B16" s="1">
        <v>2345</v>
      </c>
      <c r="C16" s="4">
        <v>267.10000000000002</v>
      </c>
      <c r="D16">
        <f t="shared" si="1"/>
        <v>626349.5</v>
      </c>
      <c r="E16" s="3">
        <f t="shared" si="0"/>
        <v>6.6458926870240423E-2</v>
      </c>
    </row>
    <row r="17" spans="1:7" x14ac:dyDescent="0.3">
      <c r="A17" t="s">
        <v>15</v>
      </c>
      <c r="B17" s="1">
        <f>368+532</f>
        <v>900</v>
      </c>
      <c r="C17" s="4">
        <v>187.4</v>
      </c>
      <c r="D17">
        <f t="shared" si="1"/>
        <v>168660</v>
      </c>
      <c r="E17" s="3">
        <f t="shared" si="0"/>
        <v>1.7895699774542407E-2</v>
      </c>
    </row>
    <row r="18" spans="1:7" x14ac:dyDescent="0.3">
      <c r="A18" t="s">
        <v>16</v>
      </c>
      <c r="B18" s="1">
        <f>6886+2045</f>
        <v>8931</v>
      </c>
      <c r="C18" s="4">
        <v>56.2</v>
      </c>
      <c r="D18">
        <f t="shared" si="1"/>
        <v>501922.2</v>
      </c>
      <c r="E18" s="3">
        <f t="shared" si="0"/>
        <v>5.3256545721438571E-2</v>
      </c>
    </row>
    <row r="19" spans="1:7" x14ac:dyDescent="0.3">
      <c r="A19" t="s">
        <v>17</v>
      </c>
      <c r="B19" s="1">
        <f>920+319+331-785</f>
        <v>785</v>
      </c>
      <c r="C19" s="4">
        <v>471</v>
      </c>
      <c r="D19">
        <f t="shared" si="1"/>
        <v>369735</v>
      </c>
      <c r="E19" s="3">
        <f t="shared" si="0"/>
        <v>3.9230798981029505E-2</v>
      </c>
    </row>
    <row r="20" spans="1:7" x14ac:dyDescent="0.3">
      <c r="A20" t="s">
        <v>33</v>
      </c>
      <c r="B20" s="1">
        <f>419+419+838</f>
        <v>1676</v>
      </c>
      <c r="C20" s="4">
        <v>366</v>
      </c>
      <c r="D20">
        <f t="shared" si="1"/>
        <v>613416</v>
      </c>
      <c r="E20" s="3">
        <f t="shared" si="0"/>
        <v>6.5086615515834848E-2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</f>
        <v>1369.5399999999991</v>
      </c>
      <c r="C21" s="4">
        <v>1000</v>
      </c>
      <c r="D21">
        <f t="shared" si="1"/>
        <v>1369539.9999999991</v>
      </c>
      <c r="E21" s="3">
        <f t="shared" si="0"/>
        <v>0.14531528915704253</v>
      </c>
      <c r="G21" t="s">
        <v>54</v>
      </c>
    </row>
    <row r="22" spans="1:7" x14ac:dyDescent="0.3">
      <c r="B22" s="1"/>
      <c r="E22" s="3"/>
    </row>
    <row r="23" spans="1:7" x14ac:dyDescent="0.3">
      <c r="B23" s="1"/>
      <c r="D23">
        <f>SUM(D5:D21)</f>
        <v>9424610.5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F785-F187-4943-936D-BBD050CE4AF6}">
  <sheetPr>
    <pageSetUpPr fitToPage="1"/>
  </sheetPr>
  <dimension ref="A1:K23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43276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1697.45</v>
      </c>
      <c r="D5">
        <f>B5*C5</f>
        <v>280079.25</v>
      </c>
      <c r="E5" s="3">
        <f t="shared" ref="E5:E21" si="0">D5/$D$23</f>
        <v>3.0087703182509341E-2</v>
      </c>
    </row>
    <row r="6" spans="1:11" x14ac:dyDescent="0.3">
      <c r="A6" t="s">
        <v>35</v>
      </c>
      <c r="B6" s="1">
        <f>6000+6000-9000</f>
        <v>3000</v>
      </c>
      <c r="C6" s="4">
        <v>74.3</v>
      </c>
      <c r="D6">
        <f t="shared" ref="D6:D21" si="1">C6*B6</f>
        <v>222900</v>
      </c>
      <c r="E6" s="3">
        <f t="shared" si="0"/>
        <v>2.3945183512814078E-2</v>
      </c>
    </row>
    <row r="7" spans="1:11" x14ac:dyDescent="0.3">
      <c r="A7" t="s">
        <v>7</v>
      </c>
      <c r="B7" s="1">
        <f>(840+420)*2</f>
        <v>2520</v>
      </c>
      <c r="C7" s="4">
        <v>658.75</v>
      </c>
      <c r="D7">
        <f t="shared" si="1"/>
        <v>1660050</v>
      </c>
      <c r="E7" s="3">
        <f t="shared" si="0"/>
        <v>0.1783319959194572</v>
      </c>
    </row>
    <row r="8" spans="1:11" x14ac:dyDescent="0.3">
      <c r="A8" t="s">
        <v>34</v>
      </c>
      <c r="B8" s="1">
        <f>1280+1280+1280+910+1300+1300+2940</f>
        <v>10290</v>
      </c>
      <c r="C8" s="4">
        <v>128.5</v>
      </c>
      <c r="D8">
        <f t="shared" si="1"/>
        <v>1322265</v>
      </c>
      <c r="E8" s="3">
        <f t="shared" si="0"/>
        <v>0.1420452134480534</v>
      </c>
    </row>
    <row r="9" spans="1:11" x14ac:dyDescent="0.3">
      <c r="A9" t="s">
        <v>9</v>
      </c>
      <c r="B9" s="1">
        <f>2928+2928</f>
        <v>5856</v>
      </c>
      <c r="C9" s="4">
        <v>53.8</v>
      </c>
      <c r="D9">
        <f t="shared" si="1"/>
        <v>315052.79999999999</v>
      </c>
      <c r="E9" s="3">
        <f t="shared" si="0"/>
        <v>3.384476048553571E-2</v>
      </c>
      <c r="G9" t="s">
        <v>55</v>
      </c>
      <c r="K9" s="5"/>
    </row>
    <row r="10" spans="1:11" x14ac:dyDescent="0.3">
      <c r="A10" t="s">
        <v>8</v>
      </c>
      <c r="B10" s="1">
        <v>1378</v>
      </c>
      <c r="C10" s="4">
        <v>267.7</v>
      </c>
      <c r="D10">
        <f t="shared" si="1"/>
        <v>368890.6</v>
      </c>
      <c r="E10" s="3">
        <f t="shared" si="0"/>
        <v>3.9628322625177619E-2</v>
      </c>
    </row>
    <row r="11" spans="1:11" x14ac:dyDescent="0.3">
      <c r="A11" t="s">
        <v>20</v>
      </c>
      <c r="B11" s="1">
        <v>2750</v>
      </c>
      <c r="C11" s="4">
        <v>165.2</v>
      </c>
      <c r="D11">
        <f t="shared" si="1"/>
        <v>454299.99999999994</v>
      </c>
      <c r="E11" s="3">
        <f t="shared" si="0"/>
        <v>4.8803485284304324E-2</v>
      </c>
    </row>
    <row r="12" spans="1:11" x14ac:dyDescent="0.3">
      <c r="A12" t="s">
        <v>12</v>
      </c>
      <c r="B12" s="1">
        <v>1011</v>
      </c>
      <c r="C12" s="4">
        <v>365.35</v>
      </c>
      <c r="D12">
        <f>C12*B12</f>
        <v>369368.85000000003</v>
      </c>
      <c r="E12" s="3">
        <f t="shared" si="0"/>
        <v>3.9679698955437846E-2</v>
      </c>
    </row>
    <row r="13" spans="1:11" x14ac:dyDescent="0.3">
      <c r="A13" t="s">
        <v>48</v>
      </c>
      <c r="B13" s="1">
        <v>570</v>
      </c>
      <c r="C13" s="4">
        <v>706.1</v>
      </c>
      <c r="D13">
        <f>C13*B13</f>
        <v>402477</v>
      </c>
      <c r="E13" s="3">
        <f t="shared" si="0"/>
        <v>4.323636439967192E-2</v>
      </c>
    </row>
    <row r="14" spans="1:11" x14ac:dyDescent="0.3">
      <c r="A14" t="s">
        <v>14</v>
      </c>
      <c r="B14" s="1">
        <f>186+349</f>
        <v>535</v>
      </c>
      <c r="C14" s="4">
        <v>190.95</v>
      </c>
      <c r="D14">
        <f t="shared" si="1"/>
        <v>102158.25</v>
      </c>
      <c r="E14" s="3">
        <f t="shared" si="0"/>
        <v>1.0974419217577113E-2</v>
      </c>
    </row>
    <row r="15" spans="1:11" x14ac:dyDescent="0.3">
      <c r="A15" t="s">
        <v>37</v>
      </c>
      <c r="B15" s="1">
        <f>8384+5589</f>
        <v>13973</v>
      </c>
      <c r="C15" s="4">
        <v>23.45</v>
      </c>
      <c r="D15">
        <f t="shared" si="1"/>
        <v>327666.84999999998</v>
      </c>
      <c r="E15" s="3">
        <f t="shared" si="0"/>
        <v>3.5199833352695033E-2</v>
      </c>
    </row>
    <row r="16" spans="1:11" x14ac:dyDescent="0.3">
      <c r="A16" t="s">
        <v>36</v>
      </c>
      <c r="B16" s="1">
        <v>2345</v>
      </c>
      <c r="C16" s="4">
        <v>262.10000000000002</v>
      </c>
      <c r="D16">
        <f t="shared" si="1"/>
        <v>614624.5</v>
      </c>
      <c r="E16" s="3">
        <f t="shared" si="0"/>
        <v>6.6026453315260636E-2</v>
      </c>
    </row>
    <row r="17" spans="1:7" x14ac:dyDescent="0.3">
      <c r="A17" t="s">
        <v>15</v>
      </c>
      <c r="B17" s="1">
        <f>368+532</f>
        <v>900</v>
      </c>
      <c r="C17" s="4">
        <v>184.55</v>
      </c>
      <c r="D17">
        <f t="shared" si="1"/>
        <v>166095</v>
      </c>
      <c r="E17" s="3">
        <f t="shared" si="0"/>
        <v>1.7842867902919939E-2</v>
      </c>
    </row>
    <row r="18" spans="1:7" x14ac:dyDescent="0.3">
      <c r="A18" t="s">
        <v>16</v>
      </c>
      <c r="B18" s="1">
        <f>6886+2045</f>
        <v>8931</v>
      </c>
      <c r="C18" s="4">
        <v>57.35</v>
      </c>
      <c r="D18">
        <f t="shared" si="1"/>
        <v>512192.85000000003</v>
      </c>
      <c r="E18" s="3">
        <f t="shared" si="0"/>
        <v>5.5022663917457401E-2</v>
      </c>
    </row>
    <row r="19" spans="1:7" x14ac:dyDescent="0.3">
      <c r="A19" t="s">
        <v>17</v>
      </c>
      <c r="B19" s="1">
        <f>920+319+331-785</f>
        <v>785</v>
      </c>
      <c r="C19" s="4">
        <v>448.65</v>
      </c>
      <c r="D19">
        <f t="shared" si="1"/>
        <v>352190.25</v>
      </c>
      <c r="E19" s="3">
        <f t="shared" si="0"/>
        <v>3.7834276212085544E-2</v>
      </c>
    </row>
    <row r="20" spans="1:7" x14ac:dyDescent="0.3">
      <c r="A20" t="s">
        <v>33</v>
      </c>
      <c r="B20" s="1">
        <f>419+419+838</f>
        <v>1676</v>
      </c>
      <c r="C20" s="4">
        <v>374.45</v>
      </c>
      <c r="D20">
        <f t="shared" si="1"/>
        <v>627578.19999999995</v>
      </c>
      <c r="E20" s="3">
        <f t="shared" si="0"/>
        <v>6.7418013313779876E-2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</f>
        <v>1210.8719999999989</v>
      </c>
      <c r="C21" s="4">
        <v>1000</v>
      </c>
      <c r="D21">
        <f t="shared" si="1"/>
        <v>1210871.9999999988</v>
      </c>
      <c r="E21" s="3">
        <f t="shared" si="0"/>
        <v>0.13007874495526325</v>
      </c>
      <c r="G21" t="s">
        <v>56</v>
      </c>
    </row>
    <row r="22" spans="1:7" x14ac:dyDescent="0.3">
      <c r="B22" s="1"/>
      <c r="E22" s="3"/>
    </row>
    <row r="23" spans="1:7" x14ac:dyDescent="0.3">
      <c r="B23" s="1"/>
      <c r="D23">
        <f>SUM(D5:D21)</f>
        <v>9308761.3999999966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13DB-346C-4C19-9F28-B74AD82C736F}">
  <sheetPr>
    <pageSetUpPr fitToPage="1"/>
  </sheetPr>
  <dimension ref="A1:K23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43290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1605</v>
      </c>
      <c r="D5">
        <f>B5*C5</f>
        <v>264825</v>
      </c>
      <c r="E5" s="3">
        <f t="shared" ref="E5:E21" si="0">D5/$D$23</f>
        <v>2.9868081708650299E-2</v>
      </c>
    </row>
    <row r="6" spans="1:11" x14ac:dyDescent="0.3">
      <c r="A6" t="s">
        <v>35</v>
      </c>
      <c r="B6" s="1">
        <f>6000+6000-9000</f>
        <v>3000</v>
      </c>
      <c r="C6" s="4">
        <v>69.7</v>
      </c>
      <c r="D6">
        <f t="shared" ref="D6:D21" si="1">C6*B6</f>
        <v>209100</v>
      </c>
      <c r="E6" s="3">
        <f t="shared" si="0"/>
        <v>2.3583180912975652E-2</v>
      </c>
    </row>
    <row r="7" spans="1:11" x14ac:dyDescent="0.3">
      <c r="A7" t="s">
        <v>7</v>
      </c>
      <c r="B7" s="1">
        <f>(840+420)*2</f>
        <v>2520</v>
      </c>
      <c r="C7" s="4">
        <v>574.35</v>
      </c>
      <c r="D7">
        <f t="shared" si="1"/>
        <v>1447362</v>
      </c>
      <c r="E7" s="3">
        <f t="shared" si="0"/>
        <v>0.16323959776454455</v>
      </c>
    </row>
    <row r="8" spans="1:11" x14ac:dyDescent="0.3">
      <c r="A8" t="s">
        <v>34</v>
      </c>
      <c r="B8" s="1">
        <f>1280+1280+1280+910+1300+1300+2940</f>
        <v>10290</v>
      </c>
      <c r="C8" s="4">
        <v>126.4</v>
      </c>
      <c r="D8">
        <f t="shared" si="1"/>
        <v>1300656</v>
      </c>
      <c r="E8" s="3">
        <f t="shared" si="0"/>
        <v>0.14669347562672053</v>
      </c>
    </row>
    <row r="9" spans="1:11" x14ac:dyDescent="0.3">
      <c r="A9" t="s">
        <v>9</v>
      </c>
      <c r="B9" s="1">
        <f>2928+2928</f>
        <v>5856</v>
      </c>
      <c r="C9" s="4">
        <v>50.5</v>
      </c>
      <c r="D9">
        <f t="shared" si="1"/>
        <v>295728</v>
      </c>
      <c r="E9" s="3">
        <f t="shared" si="0"/>
        <v>3.335345253482766E-2</v>
      </c>
      <c r="K9" s="5"/>
    </row>
    <row r="10" spans="1:11" x14ac:dyDescent="0.3">
      <c r="A10" t="s">
        <v>8</v>
      </c>
      <c r="B10" s="1">
        <f>1378+229</f>
        <v>1607</v>
      </c>
      <c r="C10" s="4">
        <v>248.1</v>
      </c>
      <c r="D10">
        <f t="shared" si="1"/>
        <v>398696.7</v>
      </c>
      <c r="E10" s="3">
        <f t="shared" si="0"/>
        <v>4.4966697300365281E-2</v>
      </c>
      <c r="G10" t="s">
        <v>59</v>
      </c>
    </row>
    <row r="11" spans="1:11" x14ac:dyDescent="0.3">
      <c r="A11" t="s">
        <v>20</v>
      </c>
      <c r="B11" s="1">
        <v>2750</v>
      </c>
      <c r="C11" s="4">
        <v>162.15</v>
      </c>
      <c r="D11">
        <f t="shared" si="1"/>
        <v>445912.5</v>
      </c>
      <c r="E11" s="3">
        <f t="shared" si="0"/>
        <v>5.0291894590422076E-2</v>
      </c>
    </row>
    <row r="12" spans="1:11" x14ac:dyDescent="0.3">
      <c r="A12" t="s">
        <v>12</v>
      </c>
      <c r="B12" s="1">
        <v>1011</v>
      </c>
      <c r="C12" s="4">
        <v>372.3</v>
      </c>
      <c r="D12">
        <f>C12*B12</f>
        <v>376395.3</v>
      </c>
      <c r="E12" s="3">
        <f t="shared" si="0"/>
        <v>4.2451451241959565E-2</v>
      </c>
    </row>
    <row r="13" spans="1:11" x14ac:dyDescent="0.3">
      <c r="A13" t="s">
        <v>48</v>
      </c>
      <c r="B13" s="1">
        <v>570</v>
      </c>
      <c r="C13" s="4">
        <v>705.5</v>
      </c>
      <c r="D13">
        <f>C13*B13</f>
        <v>402135</v>
      </c>
      <c r="E13" s="3">
        <f t="shared" si="0"/>
        <v>4.5354483292393423E-2</v>
      </c>
    </row>
    <row r="14" spans="1:11" x14ac:dyDescent="0.3">
      <c r="A14" t="s">
        <v>14</v>
      </c>
      <c r="B14" s="1">
        <f>186+349</f>
        <v>535</v>
      </c>
      <c r="C14" s="4">
        <v>192.9</v>
      </c>
      <c r="D14">
        <f t="shared" si="1"/>
        <v>103201.5</v>
      </c>
      <c r="E14" s="3">
        <f t="shared" si="0"/>
        <v>1.1639500932522509E-2</v>
      </c>
    </row>
    <row r="15" spans="1:11" x14ac:dyDescent="0.3">
      <c r="A15" t="s">
        <v>37</v>
      </c>
      <c r="B15" s="1">
        <f>8384+5589</f>
        <v>13973</v>
      </c>
      <c r="C15" s="4">
        <v>21.7</v>
      </c>
      <c r="D15">
        <f t="shared" si="1"/>
        <v>303214.09999999998</v>
      </c>
      <c r="E15" s="3">
        <f t="shared" si="0"/>
        <v>3.4197766502463367E-2</v>
      </c>
    </row>
    <row r="16" spans="1:11" x14ac:dyDescent="0.3">
      <c r="A16" t="s">
        <v>36</v>
      </c>
      <c r="B16" s="1">
        <v>2345</v>
      </c>
      <c r="C16" s="4">
        <v>266.3</v>
      </c>
      <c r="D16">
        <f t="shared" si="1"/>
        <v>624473.5</v>
      </c>
      <c r="E16" s="3">
        <f t="shared" si="0"/>
        <v>7.0430758134189864E-2</v>
      </c>
    </row>
    <row r="17" spans="1:7" x14ac:dyDescent="0.3">
      <c r="A17" t="s">
        <v>15</v>
      </c>
      <c r="B17" s="1">
        <f>368+532</f>
        <v>900</v>
      </c>
      <c r="C17" s="4">
        <v>181.3</v>
      </c>
      <c r="D17">
        <f t="shared" si="1"/>
        <v>163170</v>
      </c>
      <c r="E17" s="3">
        <f t="shared" si="0"/>
        <v>1.8403001576136956E-2</v>
      </c>
    </row>
    <row r="18" spans="1:7" x14ac:dyDescent="0.3">
      <c r="A18" t="s">
        <v>16</v>
      </c>
      <c r="B18" s="1">
        <f>6886+2045</f>
        <v>8931</v>
      </c>
      <c r="C18" s="4">
        <v>47.8</v>
      </c>
      <c r="D18">
        <f t="shared" si="1"/>
        <v>426901.8</v>
      </c>
      <c r="E18" s="3">
        <f t="shared" si="0"/>
        <v>4.8147787572811809E-2</v>
      </c>
    </row>
    <row r="19" spans="1:7" x14ac:dyDescent="0.3">
      <c r="A19" t="s">
        <v>17</v>
      </c>
      <c r="B19" s="1">
        <f>920+319+331-785</f>
        <v>785</v>
      </c>
      <c r="C19" s="4">
        <v>420.6</v>
      </c>
      <c r="D19">
        <f t="shared" si="1"/>
        <v>330171</v>
      </c>
      <c r="E19" s="3">
        <f t="shared" si="0"/>
        <v>3.7238079508455688E-2</v>
      </c>
    </row>
    <row r="20" spans="1:7" x14ac:dyDescent="0.3">
      <c r="A20" t="s">
        <v>33</v>
      </c>
      <c r="B20" s="1">
        <f>419+419+838</f>
        <v>1676</v>
      </c>
      <c r="C20" s="4">
        <v>370.5</v>
      </c>
      <c r="D20">
        <f t="shared" si="1"/>
        <v>620958</v>
      </c>
      <c r="E20" s="3">
        <f t="shared" si="0"/>
        <v>7.0034265200189072E-2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</f>
        <v>1153.5879999999988</v>
      </c>
      <c r="C21" s="4">
        <v>1000</v>
      </c>
      <c r="D21">
        <f t="shared" si="1"/>
        <v>1153587.9999999988</v>
      </c>
      <c r="E21" s="3">
        <f t="shared" si="0"/>
        <v>0.13010652560037173</v>
      </c>
      <c r="G21" t="s">
        <v>60</v>
      </c>
    </row>
    <row r="22" spans="1:7" x14ac:dyDescent="0.3">
      <c r="B22" s="1"/>
      <c r="E22" s="3"/>
    </row>
    <row r="23" spans="1:7" x14ac:dyDescent="0.3">
      <c r="B23" s="1"/>
      <c r="D23">
        <f>SUM(D5:D21)</f>
        <v>8866488.3999999985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325E-50E7-42C2-A788-E69295C0EDE0}">
  <sheetPr>
    <pageSetUpPr fitToPage="1"/>
  </sheetPr>
  <dimension ref="A1:K23"/>
  <sheetViews>
    <sheetView topLeftCell="A3" workbookViewId="0">
      <selection activeCell="F9" sqref="F9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43291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1627.9</v>
      </c>
      <c r="D5">
        <f>B5*C5</f>
        <v>268603.5</v>
      </c>
      <c r="E5" s="3">
        <f t="shared" ref="E5:E21" si="0">D5/$D$23</f>
        <v>3.002865793352032E-2</v>
      </c>
    </row>
    <row r="6" spans="1:11" x14ac:dyDescent="0.3">
      <c r="A6" t="s">
        <v>35</v>
      </c>
      <c r="B6" s="1">
        <f>6000+6000-9000-3000</f>
        <v>0</v>
      </c>
      <c r="C6" s="4">
        <v>72.25</v>
      </c>
      <c r="D6">
        <f t="shared" ref="D6:D21" si="1">C6*B6</f>
        <v>0</v>
      </c>
      <c r="E6" s="3">
        <f t="shared" si="0"/>
        <v>0</v>
      </c>
      <c r="G6" t="s">
        <v>57</v>
      </c>
    </row>
    <row r="7" spans="1:11" x14ac:dyDescent="0.3">
      <c r="A7" t="s">
        <v>7</v>
      </c>
      <c r="B7" s="1">
        <f>(840+420)*2</f>
        <v>2520</v>
      </c>
      <c r="C7" s="4">
        <v>585.20000000000005</v>
      </c>
      <c r="D7">
        <f t="shared" si="1"/>
        <v>1474704</v>
      </c>
      <c r="E7" s="3">
        <f t="shared" si="0"/>
        <v>0.16486524549826845</v>
      </c>
    </row>
    <row r="8" spans="1:11" x14ac:dyDescent="0.3">
      <c r="A8" t="s">
        <v>34</v>
      </c>
      <c r="B8" s="1">
        <f>1280+1280+1280+910+1300+1300+2940</f>
        <v>10290</v>
      </c>
      <c r="C8" s="4">
        <v>128.55000000000001</v>
      </c>
      <c r="D8">
        <f t="shared" si="1"/>
        <v>1322779.5000000002</v>
      </c>
      <c r="E8" s="3">
        <f t="shared" si="0"/>
        <v>0.14788077268901206</v>
      </c>
    </row>
    <row r="9" spans="1:11" x14ac:dyDescent="0.3">
      <c r="A9" t="s">
        <v>9</v>
      </c>
      <c r="B9" s="1">
        <f>2928+2928</f>
        <v>5856</v>
      </c>
      <c r="C9" s="4">
        <v>50.9</v>
      </c>
      <c r="D9">
        <f t="shared" si="1"/>
        <v>298070.39999999997</v>
      </c>
      <c r="E9" s="3">
        <f t="shared" si="0"/>
        <v>3.3322924242266294E-2</v>
      </c>
      <c r="K9" s="5"/>
    </row>
    <row r="10" spans="1:11" x14ac:dyDescent="0.3">
      <c r="A10" t="s">
        <v>8</v>
      </c>
      <c r="B10" s="1">
        <v>1378</v>
      </c>
      <c r="C10" s="4">
        <v>250.1</v>
      </c>
      <c r="D10">
        <f t="shared" si="1"/>
        <v>344637.8</v>
      </c>
      <c r="E10" s="3">
        <f t="shared" si="0"/>
        <v>3.8528949202676022E-2</v>
      </c>
    </row>
    <row r="11" spans="1:11" x14ac:dyDescent="0.3">
      <c r="A11" t="s">
        <v>20</v>
      </c>
      <c r="B11" s="1">
        <v>2750</v>
      </c>
      <c r="C11" s="4">
        <v>162.15</v>
      </c>
      <c r="D11">
        <f t="shared" si="1"/>
        <v>445912.5</v>
      </c>
      <c r="E11" s="3">
        <f t="shared" si="0"/>
        <v>4.9851003173007349E-2</v>
      </c>
    </row>
    <row r="12" spans="1:11" x14ac:dyDescent="0.3">
      <c r="A12" t="s">
        <v>12</v>
      </c>
      <c r="B12" s="1">
        <v>1011</v>
      </c>
      <c r="C12" s="4">
        <v>386.95</v>
      </c>
      <c r="D12">
        <f>C12*B12</f>
        <v>391206.45</v>
      </c>
      <c r="E12" s="3">
        <f t="shared" si="0"/>
        <v>4.3735113907439109E-2</v>
      </c>
    </row>
    <row r="13" spans="1:11" x14ac:dyDescent="0.3">
      <c r="A13" t="s">
        <v>48</v>
      </c>
      <c r="B13" s="1">
        <v>570</v>
      </c>
      <c r="C13" s="4">
        <v>716.7</v>
      </c>
      <c r="D13">
        <f>C13*B13</f>
        <v>408519</v>
      </c>
      <c r="E13" s="3">
        <f t="shared" si="0"/>
        <v>4.5670578791206319E-2</v>
      </c>
    </row>
    <row r="14" spans="1:11" x14ac:dyDescent="0.3">
      <c r="A14" t="s">
        <v>14</v>
      </c>
      <c r="B14" s="1">
        <f>186+349</f>
        <v>535</v>
      </c>
      <c r="C14" s="4">
        <v>197.35</v>
      </c>
      <c r="D14">
        <f t="shared" si="1"/>
        <v>105582.25</v>
      </c>
      <c r="E14" s="3">
        <f t="shared" si="0"/>
        <v>1.1803618601773341E-2</v>
      </c>
    </row>
    <row r="15" spans="1:11" x14ac:dyDescent="0.3">
      <c r="A15" t="s">
        <v>37</v>
      </c>
      <c r="B15" s="1">
        <f>8384+5589</f>
        <v>13973</v>
      </c>
      <c r="C15" s="4">
        <v>22.35</v>
      </c>
      <c r="D15">
        <f t="shared" si="1"/>
        <v>312296.55000000005</v>
      </c>
      <c r="E15" s="3">
        <f t="shared" si="0"/>
        <v>3.4913343548272927E-2</v>
      </c>
    </row>
    <row r="16" spans="1:11" x14ac:dyDescent="0.3">
      <c r="A16" t="s">
        <v>36</v>
      </c>
      <c r="B16" s="1">
        <v>2345</v>
      </c>
      <c r="C16" s="4">
        <v>275.25</v>
      </c>
      <c r="D16">
        <f t="shared" si="1"/>
        <v>645461.25</v>
      </c>
      <c r="E16" s="3">
        <f t="shared" si="0"/>
        <v>7.2159651998549693E-2</v>
      </c>
    </row>
    <row r="17" spans="1:7" x14ac:dyDescent="0.3">
      <c r="A17" t="s">
        <v>15</v>
      </c>
      <c r="B17" s="1">
        <f>368+532</f>
        <v>900</v>
      </c>
      <c r="C17" s="4">
        <v>183.15</v>
      </c>
      <c r="D17">
        <f t="shared" si="1"/>
        <v>164835</v>
      </c>
      <c r="E17" s="3">
        <f t="shared" si="0"/>
        <v>1.8427808388467842E-2</v>
      </c>
    </row>
    <row r="18" spans="1:7" x14ac:dyDescent="0.3">
      <c r="A18" t="s">
        <v>16</v>
      </c>
      <c r="B18" s="1">
        <f>6886+2045</f>
        <v>8931</v>
      </c>
      <c r="C18" s="4">
        <v>48.35</v>
      </c>
      <c r="D18">
        <f t="shared" si="1"/>
        <v>431813.85000000003</v>
      </c>
      <c r="E18" s="3">
        <f t="shared" si="0"/>
        <v>4.8274837791043135E-2</v>
      </c>
    </row>
    <row r="19" spans="1:7" x14ac:dyDescent="0.3">
      <c r="A19" t="s">
        <v>17</v>
      </c>
      <c r="B19" s="1">
        <f>920+319+331-785</f>
        <v>785</v>
      </c>
      <c r="C19" s="4">
        <v>424.2</v>
      </c>
      <c r="D19">
        <f t="shared" si="1"/>
        <v>332997</v>
      </c>
      <c r="E19" s="3">
        <f t="shared" si="0"/>
        <v>3.722756034783041E-2</v>
      </c>
    </row>
    <row r="20" spans="1:7" x14ac:dyDescent="0.3">
      <c r="A20" t="s">
        <v>33</v>
      </c>
      <c r="B20" s="1">
        <f>419+419+838</f>
        <v>1676</v>
      </c>
      <c r="C20" s="4">
        <v>369.45</v>
      </c>
      <c r="D20">
        <f t="shared" si="1"/>
        <v>619198.19999999995</v>
      </c>
      <c r="E20" s="3">
        <f t="shared" si="0"/>
        <v>6.9223561647005716E-2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</f>
        <v>1378.2879999999989</v>
      </c>
      <c r="C21" s="4">
        <v>1000</v>
      </c>
      <c r="D21">
        <f t="shared" si="1"/>
        <v>1378287.9999999988</v>
      </c>
      <c r="E21" s="3">
        <f t="shared" si="0"/>
        <v>0.15408637223966112</v>
      </c>
      <c r="G21" t="s">
        <v>58</v>
      </c>
    </row>
    <row r="22" spans="1:7" x14ac:dyDescent="0.3">
      <c r="B22" s="1"/>
      <c r="E22" s="3"/>
    </row>
    <row r="23" spans="1:7" x14ac:dyDescent="0.3">
      <c r="B23" s="1"/>
      <c r="D23">
        <f>SUM(D5:D21)</f>
        <v>8944905.2499999981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F066-BA17-45D1-B999-E629BD431FE2}">
  <sheetPr>
    <pageSetUpPr fitToPage="1"/>
  </sheetPr>
  <dimension ref="A1:K23"/>
  <sheetViews>
    <sheetView workbookViewId="0">
      <selection activeCell="C1" sqref="C1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43291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1627.9</v>
      </c>
      <c r="D5">
        <f>B5*C5</f>
        <v>268603.5</v>
      </c>
      <c r="E5" s="3">
        <f t="shared" ref="E5:E21" si="0">D5/$D$23</f>
        <v>2.9845313677076241E-2</v>
      </c>
    </row>
    <row r="6" spans="1:11" x14ac:dyDescent="0.3">
      <c r="A6" t="s">
        <v>35</v>
      </c>
      <c r="B6" s="1">
        <f>6000+6000-9000-3000</f>
        <v>0</v>
      </c>
      <c r="C6" s="4">
        <v>72.25</v>
      </c>
      <c r="D6">
        <f t="shared" ref="D6:D21" si="1">C6*B6</f>
        <v>0</v>
      </c>
      <c r="E6" s="3">
        <f t="shared" si="0"/>
        <v>0</v>
      </c>
    </row>
    <row r="7" spans="1:11" x14ac:dyDescent="0.3">
      <c r="A7" t="s">
        <v>7</v>
      </c>
      <c r="B7" s="1">
        <f>(840+420)*2</f>
        <v>2520</v>
      </c>
      <c r="C7" s="4">
        <v>585.20000000000005</v>
      </c>
      <c r="D7">
        <f t="shared" si="1"/>
        <v>1474704</v>
      </c>
      <c r="E7" s="3">
        <f t="shared" si="0"/>
        <v>0.16385863721373339</v>
      </c>
    </row>
    <row r="8" spans="1:11" x14ac:dyDescent="0.3">
      <c r="A8" t="s">
        <v>34</v>
      </c>
      <c r="B8" s="1">
        <f>1280+1280+1280+910+1300+1300+2940</f>
        <v>10290</v>
      </c>
      <c r="C8" s="4">
        <v>128.55000000000001</v>
      </c>
      <c r="D8">
        <f t="shared" si="1"/>
        <v>1322779.5000000002</v>
      </c>
      <c r="E8" s="3">
        <f t="shared" si="0"/>
        <v>0.14697786552709133</v>
      </c>
    </row>
    <row r="9" spans="1:11" x14ac:dyDescent="0.3">
      <c r="A9" t="s">
        <v>9</v>
      </c>
      <c r="B9" s="1">
        <f>2928+2928</f>
        <v>5856</v>
      </c>
      <c r="C9" s="4">
        <v>50.9</v>
      </c>
      <c r="D9">
        <f t="shared" si="1"/>
        <v>298070.39999999997</v>
      </c>
      <c r="E9" s="3">
        <f t="shared" si="0"/>
        <v>3.3119466372744898E-2</v>
      </c>
      <c r="K9" s="5"/>
    </row>
    <row r="10" spans="1:11" x14ac:dyDescent="0.3">
      <c r="A10" t="s">
        <v>8</v>
      </c>
      <c r="B10" s="1">
        <f>1378+229+460</f>
        <v>2067</v>
      </c>
      <c r="C10" s="4">
        <v>250.1</v>
      </c>
      <c r="D10">
        <f t="shared" si="1"/>
        <v>516956.7</v>
      </c>
      <c r="E10" s="3">
        <f t="shared" si="0"/>
        <v>5.7440557807199831E-2</v>
      </c>
      <c r="G10" t="s">
        <v>61</v>
      </c>
    </row>
    <row r="11" spans="1:11" x14ac:dyDescent="0.3">
      <c r="A11" t="s">
        <v>20</v>
      </c>
      <c r="B11" s="1">
        <v>2750</v>
      </c>
      <c r="C11" s="4">
        <v>162.15</v>
      </c>
      <c r="D11">
        <f t="shared" si="1"/>
        <v>445912.5</v>
      </c>
      <c r="E11" s="3">
        <f t="shared" si="0"/>
        <v>4.95466307588295E-2</v>
      </c>
    </row>
    <row r="12" spans="1:11" x14ac:dyDescent="0.3">
      <c r="A12" t="s">
        <v>12</v>
      </c>
      <c r="B12" s="1">
        <v>1011</v>
      </c>
      <c r="C12" s="4">
        <v>386.95</v>
      </c>
      <c r="D12">
        <f>C12*B12</f>
        <v>391206.45</v>
      </c>
      <c r="E12" s="3">
        <f t="shared" si="0"/>
        <v>4.3468082927979136E-2</v>
      </c>
    </row>
    <row r="13" spans="1:11" x14ac:dyDescent="0.3">
      <c r="A13" t="s">
        <v>48</v>
      </c>
      <c r="B13" s="1">
        <v>570</v>
      </c>
      <c r="C13" s="4">
        <v>716.7</v>
      </c>
      <c r="D13">
        <f>C13*B13</f>
        <v>408519</v>
      </c>
      <c r="E13" s="3">
        <f t="shared" si="0"/>
        <v>4.5391730554685657E-2</v>
      </c>
    </row>
    <row r="14" spans="1:11" x14ac:dyDescent="0.3">
      <c r="A14" t="s">
        <v>14</v>
      </c>
      <c r="B14" s="1">
        <f>186+349</f>
        <v>535</v>
      </c>
      <c r="C14" s="4">
        <v>197.35</v>
      </c>
      <c r="D14">
        <f t="shared" si="1"/>
        <v>105582.25</v>
      </c>
      <c r="E14" s="3">
        <f t="shared" si="0"/>
        <v>1.173154992388961E-2</v>
      </c>
    </row>
    <row r="15" spans="1:11" x14ac:dyDescent="0.3">
      <c r="A15" t="s">
        <v>37</v>
      </c>
      <c r="B15" s="1">
        <f>8384+5589</f>
        <v>13973</v>
      </c>
      <c r="C15" s="4">
        <v>22.35</v>
      </c>
      <c r="D15">
        <f t="shared" si="1"/>
        <v>312296.55000000005</v>
      </c>
      <c r="E15" s="3">
        <f t="shared" si="0"/>
        <v>3.4700175146707792E-2</v>
      </c>
    </row>
    <row r="16" spans="1:11" x14ac:dyDescent="0.3">
      <c r="A16" t="s">
        <v>36</v>
      </c>
      <c r="B16" s="1">
        <v>2345</v>
      </c>
      <c r="C16" s="4">
        <v>275.25</v>
      </c>
      <c r="D16">
        <f t="shared" si="1"/>
        <v>645461.25</v>
      </c>
      <c r="E16" s="3">
        <f t="shared" si="0"/>
        <v>7.1719070945269608E-2</v>
      </c>
    </row>
    <row r="17" spans="1:7" x14ac:dyDescent="0.3">
      <c r="A17" t="s">
        <v>15</v>
      </c>
      <c r="B17" s="1">
        <f>368+532</f>
        <v>900</v>
      </c>
      <c r="C17" s="4">
        <v>183.15</v>
      </c>
      <c r="D17">
        <f t="shared" si="1"/>
        <v>164835</v>
      </c>
      <c r="E17" s="3">
        <f t="shared" si="0"/>
        <v>1.8315294774494235E-2</v>
      </c>
    </row>
    <row r="18" spans="1:7" x14ac:dyDescent="0.3">
      <c r="A18" t="s">
        <v>16</v>
      </c>
      <c r="B18" s="1">
        <f>6886+2045</f>
        <v>8931</v>
      </c>
      <c r="C18" s="4">
        <v>48.35</v>
      </c>
      <c r="D18">
        <f t="shared" si="1"/>
        <v>431813.85000000003</v>
      </c>
      <c r="E18" s="3">
        <f t="shared" si="0"/>
        <v>4.7980088879541589E-2</v>
      </c>
    </row>
    <row r="19" spans="1:7" x14ac:dyDescent="0.3">
      <c r="A19" t="s">
        <v>17</v>
      </c>
      <c r="B19" s="1">
        <f>920+319+331-785</f>
        <v>785</v>
      </c>
      <c r="C19" s="4">
        <v>424.2</v>
      </c>
      <c r="D19">
        <f t="shared" si="1"/>
        <v>332997</v>
      </c>
      <c r="E19" s="3">
        <f t="shared" si="0"/>
        <v>3.7000262165330519E-2</v>
      </c>
    </row>
    <row r="20" spans="1:7" x14ac:dyDescent="0.3">
      <c r="A20" t="s">
        <v>33</v>
      </c>
      <c r="B20" s="1">
        <f>419+419+838</f>
        <v>1676</v>
      </c>
      <c r="C20" s="4">
        <v>369.45</v>
      </c>
      <c r="D20">
        <f t="shared" si="1"/>
        <v>619198.19999999995</v>
      </c>
      <c r="E20" s="3">
        <f t="shared" si="0"/>
        <v>6.8800907312380477E-2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</f>
        <v>1260.918999999999</v>
      </c>
      <c r="C21" s="4">
        <v>1000</v>
      </c>
      <c r="D21">
        <f t="shared" si="1"/>
        <v>1260918.9999999991</v>
      </c>
      <c r="E21" s="3">
        <f t="shared" si="0"/>
        <v>0.14010436601304624</v>
      </c>
      <c r="G21" t="s">
        <v>62</v>
      </c>
    </row>
    <row r="22" spans="1:7" x14ac:dyDescent="0.3">
      <c r="B22" s="1"/>
      <c r="E22" s="3"/>
    </row>
    <row r="23" spans="1:7" x14ac:dyDescent="0.3">
      <c r="B23" s="1"/>
      <c r="D23">
        <f>SUM(D5:D21)</f>
        <v>8999855.1499999985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E609-3DD0-4B05-8001-6B08121A43C2}">
  <sheetPr>
    <pageSetUpPr fitToPage="1"/>
  </sheetPr>
  <dimension ref="A1:K22"/>
  <sheetViews>
    <sheetView workbookViewId="0">
      <selection activeCell="B10" sqref="B10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43298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1624.85</v>
      </c>
      <c r="D5">
        <f>B5*C5</f>
        <v>268100.25</v>
      </c>
      <c r="E5" s="3">
        <f t="shared" ref="E5:E20" si="0">D5/$D$22</f>
        <v>3.0248718189196763E-2</v>
      </c>
    </row>
    <row r="6" spans="1:11" x14ac:dyDescent="0.3">
      <c r="A6" t="s">
        <v>7</v>
      </c>
      <c r="B6" s="1">
        <f>(840+420)*2</f>
        <v>2520</v>
      </c>
      <c r="C6" s="4">
        <v>588.35</v>
      </c>
      <c r="D6">
        <f t="shared" ref="D6:D20" si="1">C6*B6</f>
        <v>1482642</v>
      </c>
      <c r="E6" s="3">
        <f t="shared" si="0"/>
        <v>0.16728078408530789</v>
      </c>
    </row>
    <row r="7" spans="1:11" x14ac:dyDescent="0.3">
      <c r="A7" t="s">
        <v>34</v>
      </c>
      <c r="B7" s="1">
        <f>1280+1280+1280+910+1300+1300+2940</f>
        <v>10290</v>
      </c>
      <c r="C7" s="4">
        <v>135.75</v>
      </c>
      <c r="D7">
        <f t="shared" si="1"/>
        <v>1396867.5</v>
      </c>
      <c r="E7" s="3">
        <f t="shared" si="0"/>
        <v>0.15760317774842733</v>
      </c>
    </row>
    <row r="8" spans="1:11" x14ac:dyDescent="0.3">
      <c r="A8" t="s">
        <v>9</v>
      </c>
      <c r="B8" s="1">
        <f>2928+2928</f>
        <v>5856</v>
      </c>
      <c r="C8" s="4">
        <v>45.65</v>
      </c>
      <c r="D8">
        <f t="shared" si="1"/>
        <v>267326.39999999997</v>
      </c>
      <c r="E8" s="3">
        <f t="shared" si="0"/>
        <v>3.0161407675421744E-2</v>
      </c>
      <c r="K8" s="5"/>
    </row>
    <row r="9" spans="1:11" x14ac:dyDescent="0.3">
      <c r="A9" t="s">
        <v>8</v>
      </c>
      <c r="B9" s="1">
        <f>1378+229+460</f>
        <v>2067</v>
      </c>
      <c r="C9" s="4">
        <v>254.95</v>
      </c>
      <c r="D9">
        <f t="shared" si="1"/>
        <v>526981.65</v>
      </c>
      <c r="E9" s="3">
        <f t="shared" si="0"/>
        <v>5.9457309054086756E-2</v>
      </c>
    </row>
    <row r="10" spans="1:11" x14ac:dyDescent="0.3">
      <c r="A10" t="s">
        <v>20</v>
      </c>
      <c r="B10" s="1">
        <f>2750+1375</f>
        <v>4125</v>
      </c>
      <c r="C10" s="4">
        <v>149.4</v>
      </c>
      <c r="D10">
        <f t="shared" si="1"/>
        <v>616275</v>
      </c>
      <c r="E10" s="3">
        <f t="shared" si="0"/>
        <v>6.9531933677970212E-2</v>
      </c>
      <c r="G10" t="s">
        <v>63</v>
      </c>
    </row>
    <row r="11" spans="1:11" x14ac:dyDescent="0.3">
      <c r="A11" t="s">
        <v>12</v>
      </c>
      <c r="B11" s="1">
        <v>1011</v>
      </c>
      <c r="C11" s="4">
        <v>375.5</v>
      </c>
      <c r="D11">
        <f>C11*B11</f>
        <v>379630.5</v>
      </c>
      <c r="E11" s="3">
        <f t="shared" si="0"/>
        <v>4.2832246558978819E-2</v>
      </c>
    </row>
    <row r="12" spans="1:11" x14ac:dyDescent="0.3">
      <c r="A12" t="s">
        <v>48</v>
      </c>
      <c r="B12" s="1">
        <v>570</v>
      </c>
      <c r="C12" s="4">
        <v>675.15</v>
      </c>
      <c r="D12">
        <f>C12*B12</f>
        <v>384835.5</v>
      </c>
      <c r="E12" s="3">
        <f t="shared" si="0"/>
        <v>4.3419506653569438E-2</v>
      </c>
    </row>
    <row r="13" spans="1:11" x14ac:dyDescent="0.3">
      <c r="A13" t="s">
        <v>14</v>
      </c>
      <c r="B13" s="1">
        <f>186+349</f>
        <v>535</v>
      </c>
      <c r="C13" s="4">
        <v>196.4</v>
      </c>
      <c r="D13">
        <f t="shared" si="1"/>
        <v>105074</v>
      </c>
      <c r="E13" s="3">
        <f t="shared" si="0"/>
        <v>1.1855094558888552E-2</v>
      </c>
    </row>
    <row r="14" spans="1:11" x14ac:dyDescent="0.3">
      <c r="A14" t="s">
        <v>37</v>
      </c>
      <c r="B14" s="1">
        <f>8384+5589</f>
        <v>13973</v>
      </c>
      <c r="C14" s="4">
        <v>21.05</v>
      </c>
      <c r="D14">
        <f t="shared" si="1"/>
        <v>294131.65000000002</v>
      </c>
      <c r="E14" s="3">
        <f t="shared" si="0"/>
        <v>3.3185740749490003E-2</v>
      </c>
    </row>
    <row r="15" spans="1:11" x14ac:dyDescent="0.3">
      <c r="A15" t="s">
        <v>36</v>
      </c>
      <c r="B15" s="1">
        <v>2345</v>
      </c>
      <c r="C15" s="4">
        <v>243.25</v>
      </c>
      <c r="D15">
        <f t="shared" si="1"/>
        <v>570421.25</v>
      </c>
      <c r="E15" s="3">
        <f t="shared" si="0"/>
        <v>6.4358431744764702E-2</v>
      </c>
    </row>
    <row r="16" spans="1:11" x14ac:dyDescent="0.3">
      <c r="A16" t="s">
        <v>15</v>
      </c>
      <c r="B16" s="1">
        <f>368+532</f>
        <v>900</v>
      </c>
      <c r="C16" s="4">
        <v>185.45</v>
      </c>
      <c r="D16">
        <f t="shared" si="1"/>
        <v>166905</v>
      </c>
      <c r="E16" s="3">
        <f t="shared" si="0"/>
        <v>1.883124804757879E-2</v>
      </c>
    </row>
    <row r="17" spans="1:7" x14ac:dyDescent="0.3">
      <c r="A17" t="s">
        <v>16</v>
      </c>
      <c r="B17" s="1">
        <f>6886+2045</f>
        <v>8931</v>
      </c>
      <c r="C17" s="4">
        <v>44.85</v>
      </c>
      <c r="D17">
        <f t="shared" si="1"/>
        <v>400555.35000000003</v>
      </c>
      <c r="E17" s="3">
        <f t="shared" si="0"/>
        <v>4.5193116758843292E-2</v>
      </c>
    </row>
    <row r="18" spans="1:7" x14ac:dyDescent="0.3">
      <c r="A18" t="s">
        <v>17</v>
      </c>
      <c r="B18" s="1">
        <f>920+319+331-785</f>
        <v>785</v>
      </c>
      <c r="C18" s="4">
        <v>424.1</v>
      </c>
      <c r="D18">
        <f t="shared" si="1"/>
        <v>332918.5</v>
      </c>
      <c r="E18" s="3">
        <f t="shared" si="0"/>
        <v>3.7561911585200322E-2</v>
      </c>
    </row>
    <row r="19" spans="1:7" x14ac:dyDescent="0.3">
      <c r="A19" t="s">
        <v>33</v>
      </c>
      <c r="B19" s="1">
        <f>419+419+838</f>
        <v>1676</v>
      </c>
      <c r="C19" s="4">
        <v>362.7</v>
      </c>
      <c r="D19">
        <f t="shared" si="1"/>
        <v>607885.19999999995</v>
      </c>
      <c r="E19" s="3">
        <f t="shared" si="0"/>
        <v>6.8585344870747078E-2</v>
      </c>
    </row>
    <row r="20" spans="1:7" x14ac:dyDescent="0.3">
      <c r="A20" t="s">
        <v>18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</f>
        <v>1062.6439999999989</v>
      </c>
      <c r="C20" s="4">
        <v>1000</v>
      </c>
      <c r="D20">
        <f t="shared" si="1"/>
        <v>1062643.9999999988</v>
      </c>
      <c r="E20" s="3">
        <f t="shared" si="0"/>
        <v>0.11989402804152838</v>
      </c>
      <c r="G20" t="s">
        <v>64</v>
      </c>
    </row>
    <row r="21" spans="1:7" x14ac:dyDescent="0.3">
      <c r="B21" s="1"/>
      <c r="E21" s="3"/>
    </row>
    <row r="22" spans="1:7" x14ac:dyDescent="0.3">
      <c r="B22" s="1"/>
      <c r="D22">
        <f>SUM(D5:D20)</f>
        <v>8863193.7499999981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5F7E-6862-4A21-9482-E371D28D0CE2}">
  <sheetPr>
    <pageSetUpPr fitToPage="1"/>
  </sheetPr>
  <dimension ref="A1:K22"/>
  <sheetViews>
    <sheetView workbookViewId="0">
      <selection activeCell="B21" sqref="B21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43328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1645.35</v>
      </c>
      <c r="D5">
        <f>B5*C5</f>
        <v>271482.75</v>
      </c>
      <c r="E5" s="3">
        <f t="shared" ref="E5:E20" si="0">D5/$D$22</f>
        <v>2.9702909688259484E-2</v>
      </c>
    </row>
    <row r="6" spans="1:11" x14ac:dyDescent="0.3">
      <c r="A6" t="s">
        <v>7</v>
      </c>
      <c r="B6" s="1">
        <f>(840+420)*2</f>
        <v>2520</v>
      </c>
      <c r="C6" s="4">
        <v>591.45000000000005</v>
      </c>
      <c r="D6">
        <f t="shared" ref="D6:D20" si="1">C6*B6</f>
        <v>1490454</v>
      </c>
      <c r="E6" s="3">
        <f t="shared" si="0"/>
        <v>0.16307047337816161</v>
      </c>
    </row>
    <row r="7" spans="1:11" x14ac:dyDescent="0.3">
      <c r="A7" t="s">
        <v>34</v>
      </c>
      <c r="B7" s="1">
        <f>1280+1280+1280+910+1300+1300+2940</f>
        <v>10290</v>
      </c>
      <c r="C7" s="4">
        <v>149.6</v>
      </c>
      <c r="D7">
        <f t="shared" si="1"/>
        <v>1539384</v>
      </c>
      <c r="E7" s="3">
        <f t="shared" si="0"/>
        <v>0.16842390143591679</v>
      </c>
    </row>
    <row r="8" spans="1:11" x14ac:dyDescent="0.3">
      <c r="A8" t="s">
        <v>9</v>
      </c>
      <c r="B8" s="1">
        <f>2928+2928</f>
        <v>5856</v>
      </c>
      <c r="C8" s="4">
        <v>59</v>
      </c>
      <c r="D8">
        <f t="shared" si="1"/>
        <v>345504</v>
      </c>
      <c r="E8" s="3">
        <f t="shared" si="0"/>
        <v>3.780156974589511E-2</v>
      </c>
      <c r="K8" s="5"/>
    </row>
    <row r="9" spans="1:11" x14ac:dyDescent="0.3">
      <c r="A9" t="s">
        <v>8</v>
      </c>
      <c r="B9" s="1">
        <f>1378+229+460+413</f>
        <v>2480</v>
      </c>
      <c r="C9" s="4">
        <v>309.60000000000002</v>
      </c>
      <c r="D9">
        <f t="shared" si="1"/>
        <v>767808</v>
      </c>
      <c r="E9" s="3">
        <f t="shared" si="0"/>
        <v>8.4005822402797733E-2</v>
      </c>
      <c r="G9" t="s">
        <v>65</v>
      </c>
    </row>
    <row r="10" spans="1:11" x14ac:dyDescent="0.3">
      <c r="A10" t="s">
        <v>20</v>
      </c>
      <c r="B10" s="1">
        <f>2750+1375</f>
        <v>4125</v>
      </c>
      <c r="C10" s="4">
        <v>139.94999999999999</v>
      </c>
      <c r="D10">
        <f t="shared" si="1"/>
        <v>577293.75</v>
      </c>
      <c r="E10" s="3">
        <f t="shared" si="0"/>
        <v>6.3161670934328784E-2</v>
      </c>
    </row>
    <row r="11" spans="1:11" x14ac:dyDescent="0.3">
      <c r="A11" t="s">
        <v>12</v>
      </c>
      <c r="B11" s="1">
        <v>1011</v>
      </c>
      <c r="C11" s="4">
        <v>375.15</v>
      </c>
      <c r="D11">
        <f>C11*B11</f>
        <v>379276.64999999997</v>
      </c>
      <c r="E11" s="3">
        <f t="shared" si="0"/>
        <v>4.1496633144520602E-2</v>
      </c>
    </row>
    <row r="12" spans="1:11" x14ac:dyDescent="0.3">
      <c r="A12" t="s">
        <v>48</v>
      </c>
      <c r="B12" s="1">
        <v>570</v>
      </c>
      <c r="C12" s="4">
        <v>636.65</v>
      </c>
      <c r="D12">
        <f>C12*B12</f>
        <v>362890.5</v>
      </c>
      <c r="E12" s="3">
        <f t="shared" si="0"/>
        <v>3.9703825558814798E-2</v>
      </c>
    </row>
    <row r="13" spans="1:11" x14ac:dyDescent="0.3">
      <c r="A13" t="s">
        <v>14</v>
      </c>
      <c r="B13" s="1">
        <f>186+349</f>
        <v>535</v>
      </c>
      <c r="C13" s="4">
        <v>253.85</v>
      </c>
      <c r="D13">
        <f t="shared" si="1"/>
        <v>135809.75</v>
      </c>
      <c r="E13" s="3">
        <f t="shared" si="0"/>
        <v>1.4858935748349015E-2</v>
      </c>
    </row>
    <row r="14" spans="1:11" x14ac:dyDescent="0.3">
      <c r="A14" t="s">
        <v>37</v>
      </c>
      <c r="B14" s="1">
        <f>8384+5589</f>
        <v>13973</v>
      </c>
      <c r="C14" s="4">
        <v>17.899999999999999</v>
      </c>
      <c r="D14">
        <f t="shared" si="1"/>
        <v>250116.69999999998</v>
      </c>
      <c r="E14" s="3">
        <f t="shared" si="0"/>
        <v>2.7365251573536406E-2</v>
      </c>
    </row>
    <row r="15" spans="1:11" x14ac:dyDescent="0.3">
      <c r="A15" t="s">
        <v>36</v>
      </c>
      <c r="B15" s="1">
        <v>2345</v>
      </c>
      <c r="C15" s="4">
        <v>237.55</v>
      </c>
      <c r="D15">
        <f t="shared" si="1"/>
        <v>557054.75</v>
      </c>
      <c r="E15" s="3">
        <f t="shared" si="0"/>
        <v>6.0947323285424085E-2</v>
      </c>
    </row>
    <row r="16" spans="1:11" x14ac:dyDescent="0.3">
      <c r="A16" t="s">
        <v>15</v>
      </c>
      <c r="B16" s="1">
        <f>368+532</f>
        <v>900</v>
      </c>
      <c r="C16" s="4">
        <v>167.85</v>
      </c>
      <c r="D16">
        <f t="shared" si="1"/>
        <v>151065</v>
      </c>
      <c r="E16" s="3">
        <f t="shared" si="0"/>
        <v>1.6528011639991562E-2</v>
      </c>
    </row>
    <row r="17" spans="1:7" x14ac:dyDescent="0.3">
      <c r="A17" t="s">
        <v>16</v>
      </c>
      <c r="B17" s="1">
        <f>6886+2045</f>
        <v>8931</v>
      </c>
      <c r="C17" s="4">
        <v>47.9</v>
      </c>
      <c r="D17">
        <f t="shared" si="1"/>
        <v>427794.89999999997</v>
      </c>
      <c r="E17" s="3">
        <f t="shared" si="0"/>
        <v>4.6805011662059547E-2</v>
      </c>
    </row>
    <row r="18" spans="1:7" x14ac:dyDescent="0.3">
      <c r="A18" t="s">
        <v>17</v>
      </c>
      <c r="B18" s="1">
        <f>920+319+331-785</f>
        <v>785</v>
      </c>
      <c r="C18" s="4">
        <v>434.35</v>
      </c>
      <c r="D18">
        <f t="shared" si="1"/>
        <v>340964.75</v>
      </c>
      <c r="E18" s="3">
        <f t="shared" si="0"/>
        <v>3.7304930704179076E-2</v>
      </c>
    </row>
    <row r="19" spans="1:7" x14ac:dyDescent="0.3">
      <c r="A19" t="s">
        <v>33</v>
      </c>
      <c r="B19" s="1">
        <f>419+419+838</f>
        <v>1676</v>
      </c>
      <c r="C19" s="4">
        <v>363.65</v>
      </c>
      <c r="D19">
        <f t="shared" si="1"/>
        <v>609477.39999999991</v>
      </c>
      <c r="E19" s="3">
        <f t="shared" si="0"/>
        <v>6.6682881948246064E-2</v>
      </c>
    </row>
    <row r="20" spans="1:7" x14ac:dyDescent="0.3">
      <c r="A20" t="s">
        <v>18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</f>
        <v>933.5609999999989</v>
      </c>
      <c r="C20" s="4">
        <v>1000</v>
      </c>
      <c r="D20">
        <f t="shared" si="1"/>
        <v>933560.99999999895</v>
      </c>
      <c r="E20" s="3">
        <f t="shared" si="0"/>
        <v>0.10214084714951938</v>
      </c>
      <c r="G20" t="s">
        <v>66</v>
      </c>
    </row>
    <row r="21" spans="1:7" x14ac:dyDescent="0.3">
      <c r="B21" s="1"/>
      <c r="E21" s="3"/>
    </row>
    <row r="22" spans="1:7" x14ac:dyDescent="0.3">
      <c r="B22" s="1"/>
      <c r="D22">
        <f>SUM(D5:D20)</f>
        <v>9139937.8999999985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402A-16EB-4693-9E8B-F3715947530A}">
  <sheetPr>
    <pageSetUpPr fitToPage="1"/>
  </sheetPr>
  <dimension ref="A1:K23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43336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1640.65</v>
      </c>
      <c r="D5">
        <f>B5*C5</f>
        <v>270707.25</v>
      </c>
      <c r="E5" s="3">
        <f t="shared" ref="E5:E21" si="0">D5/$D$23</f>
        <v>2.9359226023897959E-2</v>
      </c>
    </row>
    <row r="6" spans="1:11" x14ac:dyDescent="0.3">
      <c r="A6" t="s">
        <v>7</v>
      </c>
      <c r="B6" s="1">
        <f>(840+420)*2</f>
        <v>2520</v>
      </c>
      <c r="C6" s="4">
        <v>611.1</v>
      </c>
      <c r="D6">
        <f t="shared" ref="D6:D21" si="1">C6*B6</f>
        <v>1539972</v>
      </c>
      <c r="E6" s="3">
        <f t="shared" si="0"/>
        <v>0.16701579295890373</v>
      </c>
    </row>
    <row r="7" spans="1:11" x14ac:dyDescent="0.3">
      <c r="A7" t="s">
        <v>34</v>
      </c>
      <c r="B7" s="1">
        <f>1280+1280+1280+910+1300+1300+2940</f>
        <v>10290</v>
      </c>
      <c r="C7" s="4">
        <v>147.35</v>
      </c>
      <c r="D7">
        <f t="shared" si="1"/>
        <v>1516231.5</v>
      </c>
      <c r="E7" s="3">
        <f t="shared" si="0"/>
        <v>0.16444104586431962</v>
      </c>
    </row>
    <row r="8" spans="1:11" x14ac:dyDescent="0.3">
      <c r="A8" t="s">
        <v>9</v>
      </c>
      <c r="B8" s="1">
        <f>2928+2928</f>
        <v>5856</v>
      </c>
      <c r="C8" s="4">
        <v>56.95</v>
      </c>
      <c r="D8">
        <f t="shared" si="1"/>
        <v>333499.2</v>
      </c>
      <c r="E8" s="3">
        <f t="shared" si="0"/>
        <v>3.6169250700116645E-2</v>
      </c>
      <c r="K8" s="5"/>
    </row>
    <row r="9" spans="1:11" x14ac:dyDescent="0.3">
      <c r="A9" t="s">
        <v>8</v>
      </c>
      <c r="B9" s="1">
        <f>1378+229+460+413</f>
        <v>2480</v>
      </c>
      <c r="C9" s="4">
        <v>324.3</v>
      </c>
      <c r="D9">
        <f t="shared" si="1"/>
        <v>804264</v>
      </c>
      <c r="E9" s="3">
        <f t="shared" si="0"/>
        <v>8.7225475338707295E-2</v>
      </c>
    </row>
    <row r="10" spans="1:11" x14ac:dyDescent="0.3">
      <c r="A10" t="s">
        <v>20</v>
      </c>
      <c r="B10" s="1">
        <f>2750+1375</f>
        <v>4125</v>
      </c>
      <c r="C10" s="4">
        <v>142.4</v>
      </c>
      <c r="D10">
        <f t="shared" si="1"/>
        <v>587400</v>
      </c>
      <c r="E10" s="3">
        <f t="shared" si="0"/>
        <v>6.3705753600753812E-2</v>
      </c>
    </row>
    <row r="11" spans="1:11" x14ac:dyDescent="0.3">
      <c r="A11" t="s">
        <v>67</v>
      </c>
      <c r="B11" s="1">
        <v>545</v>
      </c>
      <c r="C11" s="4">
        <v>841</v>
      </c>
      <c r="D11">
        <f t="shared" si="1"/>
        <v>458345</v>
      </c>
      <c r="E11" s="3">
        <f t="shared" si="0"/>
        <v>4.9709250313478899E-2</v>
      </c>
      <c r="G11" t="s">
        <v>68</v>
      </c>
    </row>
    <row r="12" spans="1:11" x14ac:dyDescent="0.3">
      <c r="A12" t="s">
        <v>12</v>
      </c>
      <c r="B12" s="1">
        <v>1011</v>
      </c>
      <c r="C12" s="4">
        <v>397.7</v>
      </c>
      <c r="D12">
        <f>C12*B12</f>
        <v>402074.7</v>
      </c>
      <c r="E12" s="3">
        <f t="shared" si="0"/>
        <v>4.3606523267444686E-2</v>
      </c>
    </row>
    <row r="13" spans="1:11" x14ac:dyDescent="0.3">
      <c r="A13" t="s">
        <v>48</v>
      </c>
      <c r="B13" s="1">
        <v>570</v>
      </c>
      <c r="C13" s="4">
        <v>630.95000000000005</v>
      </c>
      <c r="D13">
        <f>C13*B13</f>
        <v>359641.5</v>
      </c>
      <c r="E13" s="3">
        <f t="shared" si="0"/>
        <v>3.9004482096706677E-2</v>
      </c>
    </row>
    <row r="14" spans="1:11" x14ac:dyDescent="0.3">
      <c r="A14" t="s">
        <v>14</v>
      </c>
      <c r="B14" s="1">
        <f>186+349</f>
        <v>535</v>
      </c>
      <c r="C14" s="4">
        <v>257.7</v>
      </c>
      <c r="D14">
        <f t="shared" si="1"/>
        <v>137869.5</v>
      </c>
      <c r="E14" s="3">
        <f t="shared" si="0"/>
        <v>1.4952469179535457E-2</v>
      </c>
    </row>
    <row r="15" spans="1:11" x14ac:dyDescent="0.3">
      <c r="A15" t="s">
        <v>37</v>
      </c>
      <c r="B15" s="1">
        <f>8384+5589</f>
        <v>13973</v>
      </c>
      <c r="C15" s="4">
        <v>17.55</v>
      </c>
      <c r="D15">
        <f t="shared" si="1"/>
        <v>245226.15000000002</v>
      </c>
      <c r="E15" s="3">
        <f t="shared" si="0"/>
        <v>2.6595704270278339E-2</v>
      </c>
    </row>
    <row r="16" spans="1:11" x14ac:dyDescent="0.3">
      <c r="A16" t="s">
        <v>36</v>
      </c>
      <c r="B16" s="1">
        <v>2345</v>
      </c>
      <c r="C16" s="4">
        <v>235.45</v>
      </c>
      <c r="D16">
        <f t="shared" si="1"/>
        <v>552130.25</v>
      </c>
      <c r="E16" s="3">
        <f t="shared" si="0"/>
        <v>5.9880615699732041E-2</v>
      </c>
    </row>
    <row r="17" spans="1:7" x14ac:dyDescent="0.3">
      <c r="A17" t="s">
        <v>15</v>
      </c>
      <c r="B17" s="1">
        <f>368+532</f>
        <v>900</v>
      </c>
      <c r="C17" s="4">
        <v>160.80000000000001</v>
      </c>
      <c r="D17">
        <f t="shared" si="1"/>
        <v>144720</v>
      </c>
      <c r="E17" s="3">
        <f t="shared" si="0"/>
        <v>1.5695431837080508E-2</v>
      </c>
    </row>
    <row r="18" spans="1:7" x14ac:dyDescent="0.3">
      <c r="A18" t="s">
        <v>16</v>
      </c>
      <c r="B18" s="1">
        <f>6886+2045</f>
        <v>8931</v>
      </c>
      <c r="C18" s="4">
        <v>48.35</v>
      </c>
      <c r="D18">
        <f t="shared" si="1"/>
        <v>431813.85000000003</v>
      </c>
      <c r="E18" s="3">
        <f t="shared" si="0"/>
        <v>4.683184666239848E-2</v>
      </c>
    </row>
    <row r="19" spans="1:7" x14ac:dyDescent="0.3">
      <c r="A19" t="s">
        <v>17</v>
      </c>
      <c r="B19" s="1">
        <f>920+319+331-785</f>
        <v>785</v>
      </c>
      <c r="C19" s="4">
        <v>434.95</v>
      </c>
      <c r="D19">
        <f t="shared" si="1"/>
        <v>341435.75</v>
      </c>
      <c r="E19" s="3">
        <f t="shared" si="0"/>
        <v>3.7029999591400374E-2</v>
      </c>
    </row>
    <row r="20" spans="1:7" x14ac:dyDescent="0.3">
      <c r="A20" t="s">
        <v>33</v>
      </c>
      <c r="B20" s="1">
        <f>419+419+838</f>
        <v>1676</v>
      </c>
      <c r="C20" s="4">
        <v>372.35</v>
      </c>
      <c r="D20">
        <f t="shared" si="1"/>
        <v>624058.60000000009</v>
      </c>
      <c r="E20" s="3">
        <f t="shared" si="0"/>
        <v>6.7681517541762659E-2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</f>
        <v>471.12799999999891</v>
      </c>
      <c r="C21" s="4">
        <v>1000</v>
      </c>
      <c r="D21">
        <f t="shared" si="1"/>
        <v>471127.99999999889</v>
      </c>
      <c r="E21" s="3">
        <f t="shared" si="0"/>
        <v>5.1095615053482923E-2</v>
      </c>
      <c r="G21" t="s">
        <v>69</v>
      </c>
    </row>
    <row r="22" spans="1:7" x14ac:dyDescent="0.3">
      <c r="B22" s="1"/>
      <c r="E22" s="3"/>
    </row>
    <row r="23" spans="1:7" x14ac:dyDescent="0.3">
      <c r="B23" s="1"/>
      <c r="D23">
        <f>SUM(D5:D21)</f>
        <v>9220517.2499999981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7EB5-D78A-4808-928E-8D3819652F2B}">
  <sheetPr>
    <pageSetUpPr fitToPage="1"/>
  </sheetPr>
  <dimension ref="A1:K23"/>
  <sheetViews>
    <sheetView tabSelected="1" topLeftCell="A2" workbookViewId="0">
      <selection activeCell="B8" sqref="B8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43374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1542.45</v>
      </c>
      <c r="D5">
        <f>B5*C5</f>
        <v>254504.25</v>
      </c>
      <c r="E5" s="3">
        <f t="shared" ref="E5:E21" si="0">D5/$D$23</f>
        <v>3.2183779743251463E-2</v>
      </c>
    </row>
    <row r="6" spans="1:11" x14ac:dyDescent="0.3">
      <c r="A6" t="s">
        <v>7</v>
      </c>
      <c r="B6" s="1">
        <f>(840+420)*2</f>
        <v>2520</v>
      </c>
      <c r="C6" s="4">
        <v>510</v>
      </c>
      <c r="D6">
        <f t="shared" ref="D6:D21" si="1">C6*B6</f>
        <v>1285200</v>
      </c>
      <c r="E6" s="3">
        <f t="shared" si="0"/>
        <v>0.16252221220677759</v>
      </c>
    </row>
    <row r="7" spans="1:11" x14ac:dyDescent="0.3">
      <c r="A7" t="s">
        <v>34</v>
      </c>
      <c r="B7" s="1">
        <f>1280+1280+1280+910+1300+1300+2940</f>
        <v>10290</v>
      </c>
      <c r="C7" s="4">
        <v>125.6</v>
      </c>
      <c r="D7">
        <f t="shared" si="1"/>
        <v>1292424</v>
      </c>
      <c r="E7" s="3">
        <f t="shared" si="0"/>
        <v>0.16343573575251505</v>
      </c>
    </row>
    <row r="8" spans="1:11" x14ac:dyDescent="0.3">
      <c r="A8" t="s">
        <v>9</v>
      </c>
      <c r="B8" s="1">
        <f>2928+2928</f>
        <v>5856</v>
      </c>
      <c r="C8" s="4">
        <v>41.3</v>
      </c>
      <c r="D8">
        <f t="shared" si="1"/>
        <v>241852.79999999999</v>
      </c>
      <c r="E8" s="3">
        <f t="shared" si="0"/>
        <v>3.0583918521944708E-2</v>
      </c>
      <c r="K8" s="5"/>
    </row>
    <row r="9" spans="1:11" x14ac:dyDescent="0.3">
      <c r="A9" t="s">
        <v>8</v>
      </c>
      <c r="B9" s="1">
        <f>1378+229+460+413+248</f>
        <v>2728</v>
      </c>
      <c r="C9" s="4">
        <v>292.8</v>
      </c>
      <c r="D9">
        <f t="shared" si="1"/>
        <v>798758.40000000002</v>
      </c>
      <c r="E9" s="3">
        <f t="shared" si="0"/>
        <v>0.10100838950104742</v>
      </c>
      <c r="G9" t="s">
        <v>70</v>
      </c>
    </row>
    <row r="10" spans="1:11" x14ac:dyDescent="0.3">
      <c r="A10" t="s">
        <v>20</v>
      </c>
      <c r="B10" s="1">
        <f>2750+1375</f>
        <v>4125</v>
      </c>
      <c r="C10" s="4">
        <v>115.05</v>
      </c>
      <c r="D10">
        <f t="shared" si="1"/>
        <v>474581.25</v>
      </c>
      <c r="E10" s="3">
        <f t="shared" si="0"/>
        <v>6.0014001417567513E-2</v>
      </c>
    </row>
    <row r="11" spans="1:11" x14ac:dyDescent="0.3">
      <c r="A11" t="s">
        <v>67</v>
      </c>
      <c r="B11" s="1">
        <v>545</v>
      </c>
      <c r="C11" s="4">
        <v>672</v>
      </c>
      <c r="D11">
        <f t="shared" si="1"/>
        <v>366240</v>
      </c>
      <c r="E11" s="3">
        <f t="shared" si="0"/>
        <v>4.6313519295526163E-2</v>
      </c>
    </row>
    <row r="12" spans="1:11" x14ac:dyDescent="0.3">
      <c r="A12" t="s">
        <v>12</v>
      </c>
      <c r="B12" s="1">
        <v>1011</v>
      </c>
      <c r="C12" s="4">
        <v>365.3</v>
      </c>
      <c r="D12">
        <f>C12*B12</f>
        <v>369318.3</v>
      </c>
      <c r="E12" s="3">
        <f t="shared" si="0"/>
        <v>4.670279110212134E-2</v>
      </c>
    </row>
    <row r="13" spans="1:11" x14ac:dyDescent="0.3">
      <c r="A13" t="s">
        <v>48</v>
      </c>
      <c r="B13" s="1">
        <v>570</v>
      </c>
      <c r="C13" s="4">
        <v>518.70000000000005</v>
      </c>
      <c r="D13">
        <f>C13*B13</f>
        <v>295659</v>
      </c>
      <c r="E13" s="3">
        <f t="shared" si="0"/>
        <v>3.7388075582667026E-2</v>
      </c>
    </row>
    <row r="14" spans="1:11" x14ac:dyDescent="0.3">
      <c r="A14" t="s">
        <v>14</v>
      </c>
      <c r="B14" s="1">
        <f>186+349</f>
        <v>535</v>
      </c>
      <c r="C14" s="4">
        <v>209.5</v>
      </c>
      <c r="D14">
        <f t="shared" si="1"/>
        <v>112082.5</v>
      </c>
      <c r="E14" s="3">
        <f t="shared" si="0"/>
        <v>1.4173588429556606E-2</v>
      </c>
    </row>
    <row r="15" spans="1:11" x14ac:dyDescent="0.3">
      <c r="A15" t="s">
        <v>37</v>
      </c>
      <c r="B15" s="1">
        <f>8384+5589</f>
        <v>13973</v>
      </c>
      <c r="C15" s="4">
        <v>13.15</v>
      </c>
      <c r="D15">
        <f t="shared" si="1"/>
        <v>183744.95</v>
      </c>
      <c r="E15" s="3">
        <f t="shared" si="0"/>
        <v>2.3235788792268706E-2</v>
      </c>
    </row>
    <row r="16" spans="1:11" x14ac:dyDescent="0.3">
      <c r="A16" t="s">
        <v>36</v>
      </c>
      <c r="B16" s="1">
        <v>2345</v>
      </c>
      <c r="C16" s="4">
        <v>233.75</v>
      </c>
      <c r="D16">
        <f t="shared" si="1"/>
        <v>548143.75</v>
      </c>
      <c r="E16" s="3">
        <f t="shared" si="0"/>
        <v>6.9316475923839757E-2</v>
      </c>
    </row>
    <row r="17" spans="1:7" x14ac:dyDescent="0.3">
      <c r="A17" t="s">
        <v>15</v>
      </c>
      <c r="B17" s="1">
        <f>368+532</f>
        <v>900</v>
      </c>
      <c r="C17" s="4">
        <v>145.94999999999999</v>
      </c>
      <c r="D17">
        <f t="shared" si="1"/>
        <v>131355</v>
      </c>
      <c r="E17" s="3">
        <f t="shared" si="0"/>
        <v>1.6610726100545651E-2</v>
      </c>
    </row>
    <row r="18" spans="1:7" x14ac:dyDescent="0.3">
      <c r="A18" t="s">
        <v>16</v>
      </c>
      <c r="B18" s="1">
        <f>6886+2045</f>
        <v>8931</v>
      </c>
      <c r="C18" s="4">
        <v>35.1</v>
      </c>
      <c r="D18">
        <f t="shared" si="1"/>
        <v>313478.10000000003</v>
      </c>
      <c r="E18" s="3">
        <f t="shared" si="0"/>
        <v>3.9641421016477947E-2</v>
      </c>
    </row>
    <row r="19" spans="1:7" x14ac:dyDescent="0.3">
      <c r="A19" t="s">
        <v>17</v>
      </c>
      <c r="B19" s="1">
        <f>920+319+331-785</f>
        <v>785</v>
      </c>
      <c r="C19" s="4">
        <v>407.65</v>
      </c>
      <c r="D19">
        <f t="shared" si="1"/>
        <v>320005.25</v>
      </c>
      <c r="E19" s="3">
        <f t="shared" si="0"/>
        <v>4.0466823177546622E-2</v>
      </c>
    </row>
    <row r="20" spans="1:7" x14ac:dyDescent="0.3">
      <c r="A20" t="s">
        <v>33</v>
      </c>
      <c r="B20" s="1">
        <f>419+419+838</f>
        <v>1676</v>
      </c>
      <c r="C20" s="4">
        <v>311.60000000000002</v>
      </c>
      <c r="D20">
        <f t="shared" si="1"/>
        <v>522241.60000000003</v>
      </c>
      <c r="E20" s="3">
        <f t="shared" si="0"/>
        <v>6.6040974275137776E-2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</f>
        <v>398.25299999999891</v>
      </c>
      <c r="C21" s="4">
        <v>1000</v>
      </c>
      <c r="D21">
        <f t="shared" si="1"/>
        <v>398252.99999999889</v>
      </c>
      <c r="E21" s="3">
        <f t="shared" si="0"/>
        <v>5.0361779161208854E-2</v>
      </c>
      <c r="G21" t="s">
        <v>71</v>
      </c>
    </row>
    <row r="22" spans="1:7" x14ac:dyDescent="0.3">
      <c r="B22" s="1"/>
      <c r="E22" s="3"/>
    </row>
    <row r="23" spans="1:7" x14ac:dyDescent="0.3">
      <c r="B23" s="1"/>
      <c r="D23">
        <f>SUM(D5:D21)</f>
        <v>7907842.1499999976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3428-6374-4A78-B7F6-E6CD200BBDD8}">
  <sheetPr>
    <pageSetUpPr fitToPage="1"/>
  </sheetPr>
  <dimension ref="A1:K23"/>
  <sheetViews>
    <sheetView topLeftCell="A3" workbookViewId="0">
      <selection activeCell="F9" sqref="F9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43396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1409.1</v>
      </c>
      <c r="D5">
        <f>B5*C5</f>
        <v>232501.49999999997</v>
      </c>
      <c r="E5" s="3">
        <f t="shared" ref="E5:E21" si="0">D5/$D$23</f>
        <v>2.9953268371662265E-2</v>
      </c>
    </row>
    <row r="6" spans="1:11" x14ac:dyDescent="0.3">
      <c r="A6" t="s">
        <v>7</v>
      </c>
      <c r="B6" s="1">
        <f>(840+420)*2</f>
        <v>2520</v>
      </c>
      <c r="C6" s="4">
        <v>461.55</v>
      </c>
      <c r="D6">
        <f t="shared" ref="D6:D21" si="1">C6*B6</f>
        <v>1163106</v>
      </c>
      <c r="E6" s="3">
        <f t="shared" si="0"/>
        <v>0.14984344687105508</v>
      </c>
    </row>
    <row r="7" spans="1:11" x14ac:dyDescent="0.3">
      <c r="A7" t="s">
        <v>34</v>
      </c>
      <c r="B7" s="1">
        <f>1280+1280+1280+910+1300+1300+2940</f>
        <v>10290</v>
      </c>
      <c r="C7" s="4">
        <v>141.6</v>
      </c>
      <c r="D7">
        <f t="shared" si="1"/>
        <v>1457064</v>
      </c>
      <c r="E7" s="3">
        <f t="shared" si="0"/>
        <v>0.18771418260393036</v>
      </c>
    </row>
    <row r="8" spans="1:11" x14ac:dyDescent="0.3">
      <c r="A8" t="s">
        <v>9</v>
      </c>
      <c r="B8" s="1">
        <f>2928+2928+2928</f>
        <v>8784</v>
      </c>
      <c r="C8" s="4">
        <v>41</v>
      </c>
      <c r="D8">
        <f t="shared" si="1"/>
        <v>360144</v>
      </c>
      <c r="E8" s="3">
        <f t="shared" si="0"/>
        <v>4.6397506615845213E-2</v>
      </c>
      <c r="G8" t="s">
        <v>72</v>
      </c>
      <c r="K8" s="5"/>
    </row>
    <row r="9" spans="1:11" x14ac:dyDescent="0.3">
      <c r="A9" t="s">
        <v>8</v>
      </c>
      <c r="B9" s="1">
        <f>1378+229+460+413+248</f>
        <v>2728</v>
      </c>
      <c r="C9" s="4">
        <v>297.10000000000002</v>
      </c>
      <c r="D9">
        <f t="shared" si="1"/>
        <v>810488.8</v>
      </c>
      <c r="E9" s="3">
        <f t="shared" si="0"/>
        <v>0.10441562114062278</v>
      </c>
    </row>
    <row r="10" spans="1:11" x14ac:dyDescent="0.3">
      <c r="A10" t="s">
        <v>20</v>
      </c>
      <c r="B10" s="1">
        <f>2750+1375</f>
        <v>4125</v>
      </c>
      <c r="C10" s="4">
        <v>95.7</v>
      </c>
      <c r="D10">
        <f t="shared" si="1"/>
        <v>394762.5</v>
      </c>
      <c r="E10" s="3">
        <f t="shared" si="0"/>
        <v>5.0857422879286053E-2</v>
      </c>
    </row>
    <row r="11" spans="1:11" x14ac:dyDescent="0.3">
      <c r="A11" t="s">
        <v>67</v>
      </c>
      <c r="B11" s="1">
        <v>545</v>
      </c>
      <c r="C11" s="4">
        <v>629.85</v>
      </c>
      <c r="D11">
        <f t="shared" si="1"/>
        <v>343268.25</v>
      </c>
      <c r="E11" s="3">
        <f t="shared" si="0"/>
        <v>4.4223396475811368E-2</v>
      </c>
    </row>
    <row r="12" spans="1:11" x14ac:dyDescent="0.3">
      <c r="A12" t="s">
        <v>12</v>
      </c>
      <c r="B12" s="1">
        <v>1011</v>
      </c>
      <c r="C12" s="4">
        <v>357.45</v>
      </c>
      <c r="D12">
        <f>C12*B12</f>
        <v>361381.95</v>
      </c>
      <c r="E12" s="3">
        <f t="shared" si="0"/>
        <v>4.6556992247467802E-2</v>
      </c>
    </row>
    <row r="13" spans="1:11" x14ac:dyDescent="0.3">
      <c r="A13" t="s">
        <v>48</v>
      </c>
      <c r="B13" s="1">
        <v>570</v>
      </c>
      <c r="C13" s="4">
        <v>492.85</v>
      </c>
      <c r="D13">
        <f>C13*B13</f>
        <v>280924.5</v>
      </c>
      <c r="E13" s="3">
        <f t="shared" si="0"/>
        <v>3.6191624315004577E-2</v>
      </c>
    </row>
    <row r="14" spans="1:11" x14ac:dyDescent="0.3">
      <c r="A14" t="s">
        <v>14</v>
      </c>
      <c r="B14" s="1">
        <f>186+349</f>
        <v>535</v>
      </c>
      <c r="C14" s="4">
        <v>210.65</v>
      </c>
      <c r="D14">
        <f t="shared" si="1"/>
        <v>112697.75</v>
      </c>
      <c r="E14" s="3">
        <f t="shared" si="0"/>
        <v>1.4518899665733345E-2</v>
      </c>
    </row>
    <row r="15" spans="1:11" x14ac:dyDescent="0.3">
      <c r="A15" t="s">
        <v>37</v>
      </c>
      <c r="B15" s="1">
        <f>8384+5589</f>
        <v>13973</v>
      </c>
      <c r="C15" s="4">
        <v>14.2</v>
      </c>
      <c r="D15">
        <f t="shared" si="1"/>
        <v>198416.59999999998</v>
      </c>
      <c r="E15" s="3">
        <f t="shared" si="0"/>
        <v>2.5562096026016019E-2</v>
      </c>
    </row>
    <row r="16" spans="1:11" x14ac:dyDescent="0.3">
      <c r="A16" t="s">
        <v>36</v>
      </c>
      <c r="B16" s="1">
        <v>2345</v>
      </c>
      <c r="C16" s="4">
        <v>223.25</v>
      </c>
      <c r="D16">
        <f t="shared" si="1"/>
        <v>523521.25</v>
      </c>
      <c r="E16" s="3">
        <f t="shared" si="0"/>
        <v>6.7445468091681546E-2</v>
      </c>
    </row>
    <row r="17" spans="1:7" x14ac:dyDescent="0.3">
      <c r="A17" t="s">
        <v>15</v>
      </c>
      <c r="B17" s="1">
        <f>368+532</f>
        <v>900</v>
      </c>
      <c r="C17" s="4">
        <v>138.05000000000001</v>
      </c>
      <c r="D17">
        <f t="shared" si="1"/>
        <v>124245.00000000001</v>
      </c>
      <c r="E17" s="3">
        <f t="shared" si="0"/>
        <v>1.6006536856051162E-2</v>
      </c>
    </row>
    <row r="18" spans="1:7" x14ac:dyDescent="0.3">
      <c r="A18" t="s">
        <v>16</v>
      </c>
      <c r="B18" s="1">
        <f>6886+2045</f>
        <v>8931</v>
      </c>
      <c r="C18" s="4">
        <v>36.25</v>
      </c>
      <c r="D18">
        <f t="shared" si="1"/>
        <v>323748.75</v>
      </c>
      <c r="E18" s="3">
        <f t="shared" si="0"/>
        <v>4.1708690884747816E-2</v>
      </c>
    </row>
    <row r="19" spans="1:7" x14ac:dyDescent="0.3">
      <c r="A19" t="s">
        <v>17</v>
      </c>
      <c r="B19" s="1">
        <f>920+319+331-785</f>
        <v>785</v>
      </c>
      <c r="C19" s="4">
        <v>381.2</v>
      </c>
      <c r="D19">
        <f t="shared" si="1"/>
        <v>299242</v>
      </c>
      <c r="E19" s="3">
        <f t="shared" si="0"/>
        <v>3.855147572842739E-2</v>
      </c>
    </row>
    <row r="20" spans="1:7" x14ac:dyDescent="0.3">
      <c r="A20" t="s">
        <v>33</v>
      </c>
      <c r="B20" s="1">
        <f>419+419+838</f>
        <v>1676</v>
      </c>
      <c r="C20" s="4">
        <v>299.39999999999998</v>
      </c>
      <c r="D20">
        <f t="shared" si="1"/>
        <v>501794.39999999997</v>
      </c>
      <c r="E20" s="3">
        <f t="shared" si="0"/>
        <v>6.4646388649523739E-2</v>
      </c>
    </row>
    <row r="21" spans="1:7" x14ac:dyDescent="0.3">
      <c r="A21" t="s">
        <v>18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</f>
        <v>274.83399999999892</v>
      </c>
      <c r="C21" s="4">
        <v>1000</v>
      </c>
      <c r="D21">
        <f t="shared" si="1"/>
        <v>274833.99999999895</v>
      </c>
      <c r="E21" s="3">
        <f t="shared" si="0"/>
        <v>3.540698257713347E-2</v>
      </c>
      <c r="G21" t="s">
        <v>73</v>
      </c>
    </row>
    <row r="22" spans="1:7" x14ac:dyDescent="0.3">
      <c r="B22" s="1"/>
      <c r="E22" s="3"/>
    </row>
    <row r="23" spans="1:7" x14ac:dyDescent="0.3">
      <c r="B23" s="1"/>
      <c r="D23">
        <f>SUM(D5:D21)</f>
        <v>7762141.2499999991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165D-DAA9-4011-ABA5-08F3E99F7070}">
  <sheetPr>
    <pageSetUpPr fitToPage="1"/>
  </sheetPr>
  <dimension ref="A1:K24"/>
  <sheetViews>
    <sheetView topLeftCell="A4"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43431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1608.85</v>
      </c>
      <c r="D5">
        <f>B5*C5</f>
        <v>265460.25</v>
      </c>
      <c r="E5" s="3">
        <f t="shared" ref="E5:E22" si="0">D5/$D$24</f>
        <v>3.4281465625418173E-2</v>
      </c>
    </row>
    <row r="6" spans="1:11" x14ac:dyDescent="0.3">
      <c r="A6" t="s">
        <v>7</v>
      </c>
      <c r="B6" s="1">
        <f>(840+420)*2</f>
        <v>2520</v>
      </c>
      <c r="C6" s="4">
        <v>515.6</v>
      </c>
      <c r="D6">
        <f t="shared" ref="D6:D22" si="1">C6*B6</f>
        <v>1299312</v>
      </c>
      <c r="E6" s="3">
        <f t="shared" si="0"/>
        <v>0.16779280387437795</v>
      </c>
    </row>
    <row r="7" spans="1:11" x14ac:dyDescent="0.3">
      <c r="A7" t="s">
        <v>34</v>
      </c>
      <c r="B7" s="1">
        <f>1280+1280+1280+910+1300+1300+2940</f>
        <v>10290</v>
      </c>
      <c r="C7" s="4">
        <v>122.55</v>
      </c>
      <c r="D7">
        <f t="shared" si="1"/>
        <v>1261039.5</v>
      </c>
      <c r="E7" s="3">
        <f t="shared" si="0"/>
        <v>0.16285030346933119</v>
      </c>
    </row>
    <row r="8" spans="1:11" x14ac:dyDescent="0.3">
      <c r="A8" t="s">
        <v>74</v>
      </c>
      <c r="B8" s="1">
        <v>460</v>
      </c>
      <c r="C8" s="4">
        <v>510.45</v>
      </c>
      <c r="D8">
        <f t="shared" si="1"/>
        <v>234807</v>
      </c>
      <c r="E8" s="3">
        <f t="shared" si="0"/>
        <v>3.0322913125816635E-2</v>
      </c>
      <c r="G8" t="s">
        <v>75</v>
      </c>
    </row>
    <row r="9" spans="1:11" x14ac:dyDescent="0.3">
      <c r="A9" t="s">
        <v>9</v>
      </c>
      <c r="B9" s="1">
        <f>2928+2928+2928</f>
        <v>8784</v>
      </c>
      <c r="C9" s="4">
        <v>38.4</v>
      </c>
      <c r="D9">
        <f t="shared" si="1"/>
        <v>337305.59999999998</v>
      </c>
      <c r="E9" s="3">
        <f t="shared" si="0"/>
        <v>4.3559554892534949E-2</v>
      </c>
      <c r="K9" s="5"/>
    </row>
    <row r="10" spans="1:11" x14ac:dyDescent="0.3">
      <c r="A10" t="s">
        <v>8</v>
      </c>
      <c r="B10" s="1">
        <f>1378+229+460+413+248</f>
        <v>2728</v>
      </c>
      <c r="C10" s="4">
        <v>296.45</v>
      </c>
      <c r="D10">
        <f t="shared" si="1"/>
        <v>808715.6</v>
      </c>
      <c r="E10" s="3">
        <f t="shared" si="0"/>
        <v>0.10443731610340694</v>
      </c>
    </row>
    <row r="11" spans="1:11" x14ac:dyDescent="0.3">
      <c r="A11" t="s">
        <v>20</v>
      </c>
      <c r="B11" s="1">
        <f>2750+1375</f>
        <v>4125</v>
      </c>
      <c r="C11" s="4">
        <v>110.85</v>
      </c>
      <c r="D11">
        <f t="shared" si="1"/>
        <v>457256.25</v>
      </c>
      <c r="E11" s="3">
        <f t="shared" si="0"/>
        <v>5.904994972461082E-2</v>
      </c>
    </row>
    <row r="12" spans="1:11" x14ac:dyDescent="0.3">
      <c r="A12" t="s">
        <v>67</v>
      </c>
      <c r="B12" s="1">
        <v>545</v>
      </c>
      <c r="C12" s="4">
        <v>624.75</v>
      </c>
      <c r="D12">
        <f t="shared" si="1"/>
        <v>340488.75</v>
      </c>
      <c r="E12" s="3">
        <f t="shared" si="0"/>
        <v>4.3970626031455191E-2</v>
      </c>
    </row>
    <row r="13" spans="1:11" x14ac:dyDescent="0.3">
      <c r="A13" t="s">
        <v>12</v>
      </c>
      <c r="B13" s="1">
        <v>1011</v>
      </c>
      <c r="C13" s="4">
        <v>363.8</v>
      </c>
      <c r="D13">
        <f>C13*B13</f>
        <v>367801.8</v>
      </c>
      <c r="E13" s="3">
        <f t="shared" si="0"/>
        <v>4.7497825997176335E-2</v>
      </c>
    </row>
    <row r="14" spans="1:11" x14ac:dyDescent="0.3">
      <c r="A14" t="s">
        <v>48</v>
      </c>
      <c r="B14" s="1">
        <v>570</v>
      </c>
      <c r="C14" s="4">
        <v>569.04999999999995</v>
      </c>
      <c r="D14">
        <f>C14*B14</f>
        <v>324358.5</v>
      </c>
      <c r="E14" s="3">
        <f t="shared" si="0"/>
        <v>4.1887569864272341E-2</v>
      </c>
    </row>
    <row r="15" spans="1:11" x14ac:dyDescent="0.3">
      <c r="A15" t="s">
        <v>14</v>
      </c>
      <c r="B15" s="1">
        <f>186+349</f>
        <v>535</v>
      </c>
      <c r="C15" s="4">
        <v>181.05</v>
      </c>
      <c r="D15">
        <f t="shared" si="1"/>
        <v>96861.75</v>
      </c>
      <c r="E15" s="3">
        <f t="shared" si="0"/>
        <v>1.250870046661543E-2</v>
      </c>
    </row>
    <row r="16" spans="1:11" x14ac:dyDescent="0.3">
      <c r="A16" t="s">
        <v>37</v>
      </c>
      <c r="B16" s="1">
        <f>8384+5589</f>
        <v>13973</v>
      </c>
      <c r="C16" s="4">
        <v>14.9</v>
      </c>
      <c r="D16">
        <f t="shared" si="1"/>
        <v>208197.7</v>
      </c>
      <c r="E16" s="3">
        <f t="shared" si="0"/>
        <v>2.6886595246712552E-2</v>
      </c>
    </row>
    <row r="17" spans="1:7" x14ac:dyDescent="0.3">
      <c r="A17" t="s">
        <v>36</v>
      </c>
      <c r="B17" s="1">
        <v>2345</v>
      </c>
      <c r="C17" s="4">
        <v>217.65</v>
      </c>
      <c r="D17">
        <f t="shared" si="1"/>
        <v>510389.25</v>
      </c>
      <c r="E17" s="3">
        <f t="shared" si="0"/>
        <v>6.5911531121732772E-2</v>
      </c>
    </row>
    <row r="18" spans="1:7" x14ac:dyDescent="0.3">
      <c r="A18" t="s">
        <v>15</v>
      </c>
      <c r="B18" s="1">
        <f>368+532</f>
        <v>900</v>
      </c>
      <c r="C18" s="4">
        <v>150.15</v>
      </c>
      <c r="D18">
        <f t="shared" si="1"/>
        <v>135135</v>
      </c>
      <c r="E18" s="3">
        <f t="shared" si="0"/>
        <v>1.7451297726461437E-2</v>
      </c>
    </row>
    <row r="19" spans="1:7" x14ac:dyDescent="0.3">
      <c r="A19" t="s">
        <v>16</v>
      </c>
      <c r="B19" s="1">
        <f>6886+2045</f>
        <v>8931</v>
      </c>
      <c r="C19" s="4">
        <v>35.049999999999997</v>
      </c>
      <c r="D19">
        <f t="shared" si="1"/>
        <v>313031.55</v>
      </c>
      <c r="E19" s="3">
        <f t="shared" si="0"/>
        <v>4.0424810573320751E-2</v>
      </c>
    </row>
    <row r="20" spans="1:7" x14ac:dyDescent="0.3">
      <c r="A20" t="s">
        <v>17</v>
      </c>
      <c r="B20" s="1">
        <f>920+319+331-785</f>
        <v>785</v>
      </c>
      <c r="C20" s="4">
        <v>368.9</v>
      </c>
      <c r="D20">
        <f t="shared" si="1"/>
        <v>289586.5</v>
      </c>
      <c r="E20" s="3">
        <f t="shared" si="0"/>
        <v>3.7397123092196137E-2</v>
      </c>
    </row>
    <row r="21" spans="1:7" x14ac:dyDescent="0.3">
      <c r="A21" t="s">
        <v>33</v>
      </c>
      <c r="B21" s="1">
        <f>419+419+838</f>
        <v>1676</v>
      </c>
      <c r="C21" s="4">
        <v>276.7</v>
      </c>
      <c r="D21">
        <f t="shared" si="1"/>
        <v>463749.19999999995</v>
      </c>
      <c r="E21" s="3">
        <f t="shared" si="0"/>
        <v>5.9888447549549043E-2</v>
      </c>
    </row>
    <row r="22" spans="1:7" x14ac:dyDescent="0.3">
      <c r="A22" t="s">
        <v>18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</f>
        <v>30.053999999998922</v>
      </c>
      <c r="C22" s="4">
        <v>1000</v>
      </c>
      <c r="D22">
        <f t="shared" si="1"/>
        <v>30053.999999998923</v>
      </c>
      <c r="E22" s="3">
        <f t="shared" si="0"/>
        <v>3.881165515011309E-3</v>
      </c>
      <c r="G22" t="s">
        <v>76</v>
      </c>
    </row>
    <row r="23" spans="1:7" x14ac:dyDescent="0.3">
      <c r="B23" s="1"/>
      <c r="E23" s="3"/>
    </row>
    <row r="24" spans="1:7" x14ac:dyDescent="0.3">
      <c r="B24" s="1"/>
      <c r="D24">
        <f>SUM(D5:D22)</f>
        <v>7743550.1999999993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6E7D-E4A4-4B2D-9542-8DCDB5BB8EC1}">
  <sheetPr>
    <pageSetUpPr fitToPage="1"/>
  </sheetPr>
  <dimension ref="A1:K24"/>
  <sheetViews>
    <sheetView topLeftCell="A3" workbookViewId="0">
      <selection activeCell="G16" sqref="G16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9.6640625" bestFit="1" customWidth="1"/>
    <col min="10" max="10" width="9.109375" style="4"/>
  </cols>
  <sheetData>
    <row r="1" spans="1:11" x14ac:dyDescent="0.3">
      <c r="A1" t="s">
        <v>0</v>
      </c>
      <c r="B1" s="2">
        <v>43437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1562.6</v>
      </c>
      <c r="D5">
        <f>B5*C5</f>
        <v>257828.99999999997</v>
      </c>
      <c r="E5" s="3">
        <f t="shared" ref="E5:E22" si="0">D5/$D$24</f>
        <v>3.3145306512291875E-2</v>
      </c>
    </row>
    <row r="6" spans="1:11" x14ac:dyDescent="0.3">
      <c r="A6" t="s">
        <v>7</v>
      </c>
      <c r="B6" s="1">
        <f>(840+420)*2</f>
        <v>2520</v>
      </c>
      <c r="C6" s="4">
        <v>513.15</v>
      </c>
      <c r="D6">
        <f t="shared" ref="D6:D22" si="1">C6*B6</f>
        <v>1293138</v>
      </c>
      <c r="E6" s="3">
        <f t="shared" si="0"/>
        <v>0.16623985421613585</v>
      </c>
    </row>
    <row r="7" spans="1:11" x14ac:dyDescent="0.3">
      <c r="A7" t="s">
        <v>34</v>
      </c>
      <c r="B7" s="1">
        <f>1280+1280+1280+910+1300+1300+2940</f>
        <v>10290</v>
      </c>
      <c r="C7" s="4">
        <v>123.4</v>
      </c>
      <c r="D7">
        <f t="shared" si="1"/>
        <v>1269786</v>
      </c>
      <c r="E7" s="3">
        <f t="shared" si="0"/>
        <v>0.1632378288517469</v>
      </c>
    </row>
    <row r="8" spans="1:11" x14ac:dyDescent="0.3">
      <c r="A8" t="s">
        <v>74</v>
      </c>
      <c r="B8" s="1">
        <v>460</v>
      </c>
      <c r="C8" s="4">
        <v>553.29999999999995</v>
      </c>
      <c r="D8">
        <f t="shared" si="1"/>
        <v>254517.99999999997</v>
      </c>
      <c r="E8" s="3">
        <f t="shared" si="0"/>
        <v>3.2719659630590439E-2</v>
      </c>
    </row>
    <row r="9" spans="1:11" x14ac:dyDescent="0.3">
      <c r="A9" t="s">
        <v>9</v>
      </c>
      <c r="B9" s="1">
        <f>2928+2928+2928</f>
        <v>8784</v>
      </c>
      <c r="C9" s="4">
        <v>36.799999999999997</v>
      </c>
      <c r="D9">
        <f t="shared" si="1"/>
        <v>323251.19999999995</v>
      </c>
      <c r="E9" s="3">
        <f t="shared" si="0"/>
        <v>4.1555682659693685E-2</v>
      </c>
      <c r="K9" s="5"/>
    </row>
    <row r="10" spans="1:11" x14ac:dyDescent="0.3">
      <c r="A10" t="s">
        <v>8</v>
      </c>
      <c r="B10" s="1">
        <f>1378+229+460+413+248</f>
        <v>2728</v>
      </c>
      <c r="C10" s="4">
        <v>298.55</v>
      </c>
      <c r="D10">
        <f t="shared" si="1"/>
        <v>814444.4</v>
      </c>
      <c r="E10" s="3">
        <f t="shared" si="0"/>
        <v>0.10470121388679959</v>
      </c>
    </row>
    <row r="11" spans="1:11" x14ac:dyDescent="0.3">
      <c r="A11" t="s">
        <v>20</v>
      </c>
      <c r="B11" s="1">
        <f>2750+1375</f>
        <v>4125</v>
      </c>
      <c r="C11" s="4">
        <v>112.35</v>
      </c>
      <c r="D11">
        <f t="shared" si="1"/>
        <v>463443.75</v>
      </c>
      <c r="E11" s="3">
        <f t="shared" si="0"/>
        <v>5.9578189982337007E-2</v>
      </c>
    </row>
    <row r="12" spans="1:11" x14ac:dyDescent="0.3">
      <c r="A12" t="s">
        <v>67</v>
      </c>
      <c r="B12" s="1">
        <v>545</v>
      </c>
      <c r="C12" s="4">
        <v>613.95000000000005</v>
      </c>
      <c r="D12">
        <f t="shared" si="1"/>
        <v>334602.75</v>
      </c>
      <c r="E12" s="3">
        <f t="shared" si="0"/>
        <v>4.3014985547032224E-2</v>
      </c>
    </row>
    <row r="13" spans="1:11" x14ac:dyDescent="0.3">
      <c r="A13" t="s">
        <v>12</v>
      </c>
      <c r="B13" s="1">
        <v>1011</v>
      </c>
      <c r="C13" s="4">
        <v>378</v>
      </c>
      <c r="D13">
        <f>C13*B13</f>
        <v>382158</v>
      </c>
      <c r="E13" s="3">
        <f t="shared" si="0"/>
        <v>4.9128469047796948E-2</v>
      </c>
    </row>
    <row r="14" spans="1:11" x14ac:dyDescent="0.3">
      <c r="A14" t="s">
        <v>48</v>
      </c>
      <c r="B14" s="1">
        <v>570</v>
      </c>
      <c r="C14" s="4">
        <v>571.65</v>
      </c>
      <c r="D14">
        <f>C14*B14</f>
        <v>325840.5</v>
      </c>
      <c r="E14" s="3">
        <f t="shared" si="0"/>
        <v>4.1888551119611997E-2</v>
      </c>
    </row>
    <row r="15" spans="1:11" x14ac:dyDescent="0.3">
      <c r="A15" t="s">
        <v>14</v>
      </c>
      <c r="B15" s="1">
        <f>186+349-535</f>
        <v>0</v>
      </c>
      <c r="C15" s="4">
        <v>175.65</v>
      </c>
      <c r="D15">
        <f t="shared" si="1"/>
        <v>0</v>
      </c>
      <c r="E15" s="3">
        <f t="shared" si="0"/>
        <v>0</v>
      </c>
      <c r="G15" t="s">
        <v>77</v>
      </c>
    </row>
    <row r="16" spans="1:11" x14ac:dyDescent="0.3">
      <c r="A16" t="s">
        <v>37</v>
      </c>
      <c r="B16" s="1">
        <f>8384+5589</f>
        <v>13973</v>
      </c>
      <c r="C16" s="4">
        <v>16.100000000000001</v>
      </c>
      <c r="D16">
        <f t="shared" si="1"/>
        <v>224965.30000000002</v>
      </c>
      <c r="E16" s="3">
        <f t="shared" si="0"/>
        <v>2.8920500886749342E-2</v>
      </c>
    </row>
    <row r="17" spans="1:7" x14ac:dyDescent="0.3">
      <c r="A17" t="s">
        <v>36</v>
      </c>
      <c r="B17" s="1">
        <v>2345</v>
      </c>
      <c r="C17" s="4">
        <v>218.65</v>
      </c>
      <c r="D17">
        <f t="shared" si="1"/>
        <v>512734.25</v>
      </c>
      <c r="E17" s="3">
        <f t="shared" si="0"/>
        <v>6.5914749215953569E-2</v>
      </c>
    </row>
    <row r="18" spans="1:7" x14ac:dyDescent="0.3">
      <c r="A18" t="s">
        <v>15</v>
      </c>
      <c r="B18" s="1">
        <f>368+532</f>
        <v>900</v>
      </c>
      <c r="C18" s="4">
        <v>140.19999999999999</v>
      </c>
      <c r="D18">
        <f t="shared" si="1"/>
        <v>126179.99999999999</v>
      </c>
      <c r="E18" s="3">
        <f t="shared" si="0"/>
        <v>1.6221118554239394E-2</v>
      </c>
    </row>
    <row r="19" spans="1:7" x14ac:dyDescent="0.3">
      <c r="A19" t="s">
        <v>16</v>
      </c>
      <c r="B19" s="1">
        <f>6886+2045</f>
        <v>8931</v>
      </c>
      <c r="C19" s="4">
        <v>35.9</v>
      </c>
      <c r="D19">
        <f t="shared" si="1"/>
        <v>320622.89999999997</v>
      </c>
      <c r="E19" s="3">
        <f t="shared" si="0"/>
        <v>4.1217800539737212E-2</v>
      </c>
    </row>
    <row r="20" spans="1:7" x14ac:dyDescent="0.3">
      <c r="A20" t="s">
        <v>17</v>
      </c>
      <c r="B20" s="1">
        <f>920+319+331-785</f>
        <v>785</v>
      </c>
      <c r="C20" s="4">
        <v>378.55</v>
      </c>
      <c r="D20">
        <f t="shared" si="1"/>
        <v>297161.75</v>
      </c>
      <c r="E20" s="3">
        <f t="shared" si="0"/>
        <v>3.8201743355010691E-2</v>
      </c>
    </row>
    <row r="21" spans="1:7" x14ac:dyDescent="0.3">
      <c r="A21" t="s">
        <v>33</v>
      </c>
      <c r="B21" s="1">
        <f>419+419+838</f>
        <v>1676</v>
      </c>
      <c r="C21" s="4">
        <v>270.85000000000002</v>
      </c>
      <c r="D21">
        <f t="shared" si="1"/>
        <v>453944.60000000003</v>
      </c>
      <c r="E21" s="3">
        <f t="shared" si="0"/>
        <v>5.8357023091272636E-2</v>
      </c>
    </row>
    <row r="22" spans="1:7" x14ac:dyDescent="0.3">
      <c r="A22" t="s">
        <v>18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</f>
        <v>124.12799999999892</v>
      </c>
      <c r="C22" s="4">
        <v>1000</v>
      </c>
      <c r="D22">
        <f t="shared" si="1"/>
        <v>124127.99999999892</v>
      </c>
      <c r="E22" s="3">
        <f t="shared" si="0"/>
        <v>1.5957322903000556E-2</v>
      </c>
      <c r="G22" t="s">
        <v>78</v>
      </c>
    </row>
    <row r="23" spans="1:7" x14ac:dyDescent="0.3">
      <c r="B23" s="1"/>
      <c r="E23" s="3"/>
    </row>
    <row r="24" spans="1:7" x14ac:dyDescent="0.3">
      <c r="B24" s="1"/>
      <c r="D24">
        <f>SUM(D5:D22)</f>
        <v>7778748.3999999994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3D1A-4126-41CE-8EEA-9808F29A9D96}">
  <sheetPr>
    <pageSetUpPr fitToPage="1"/>
  </sheetPr>
  <dimension ref="A1:K24"/>
  <sheetViews>
    <sheetView topLeftCell="A3" workbookViewId="0">
      <selection activeCell="B23" sqref="B23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9.6640625" bestFit="1" customWidth="1"/>
    <col min="10" max="10" width="9.109375" style="4"/>
  </cols>
  <sheetData>
    <row r="1" spans="1:11" x14ac:dyDescent="0.3">
      <c r="A1" t="s">
        <v>0</v>
      </c>
      <c r="B1" s="2">
        <v>43441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1468.35</v>
      </c>
      <c r="D5">
        <f>B5*C5</f>
        <v>242277.74999999997</v>
      </c>
      <c r="E5" s="3">
        <f t="shared" ref="E5:E22" si="0">D5/$D$24</f>
        <v>3.2115366711404088E-2</v>
      </c>
    </row>
    <row r="6" spans="1:11" x14ac:dyDescent="0.3">
      <c r="A6" t="s">
        <v>7</v>
      </c>
      <c r="B6" s="1">
        <f>(840+420)*2</f>
        <v>2520</v>
      </c>
      <c r="C6" s="4">
        <v>482.55</v>
      </c>
      <c r="D6">
        <f t="shared" ref="D6:D22" si="1">C6*B6</f>
        <v>1216026</v>
      </c>
      <c r="E6" s="3">
        <f t="shared" si="0"/>
        <v>0.16119152881600507</v>
      </c>
    </row>
    <row r="7" spans="1:11" x14ac:dyDescent="0.3">
      <c r="A7" t="s">
        <v>34</v>
      </c>
      <c r="B7" s="1">
        <f>1280+1280+1280+910+1300+1300+2940</f>
        <v>10290</v>
      </c>
      <c r="C7" s="4">
        <v>117.05</v>
      </c>
      <c r="D7">
        <f t="shared" si="1"/>
        <v>1204444.5</v>
      </c>
      <c r="E7" s="3">
        <f t="shared" si="0"/>
        <v>0.15965633163191315</v>
      </c>
    </row>
    <row r="8" spans="1:11" x14ac:dyDescent="0.3">
      <c r="A8" t="s">
        <v>74</v>
      </c>
      <c r="B8" s="1">
        <v>460</v>
      </c>
      <c r="C8" s="4">
        <v>551</v>
      </c>
      <c r="D8">
        <f t="shared" si="1"/>
        <v>253460</v>
      </c>
      <c r="E8" s="3">
        <f t="shared" si="0"/>
        <v>3.3597640916974349E-2</v>
      </c>
    </row>
    <row r="9" spans="1:11" x14ac:dyDescent="0.3">
      <c r="A9" t="s">
        <v>9</v>
      </c>
      <c r="B9" s="1">
        <f>2928+2928+2928</f>
        <v>8784</v>
      </c>
      <c r="C9" s="4">
        <v>38.1</v>
      </c>
      <c r="D9">
        <f t="shared" si="1"/>
        <v>334670.40000000002</v>
      </c>
      <c r="E9" s="3">
        <f t="shared" si="0"/>
        <v>4.4362565788448563E-2</v>
      </c>
      <c r="K9" s="5"/>
    </row>
    <row r="10" spans="1:11" x14ac:dyDescent="0.3">
      <c r="A10" t="s">
        <v>8</v>
      </c>
      <c r="B10" s="1">
        <f>1378+229+460+413+248</f>
        <v>2728</v>
      </c>
      <c r="C10" s="4">
        <v>302</v>
      </c>
      <c r="D10">
        <f t="shared" si="1"/>
        <v>823856</v>
      </c>
      <c r="E10" s="3">
        <f t="shared" si="0"/>
        <v>0.10920704669492155</v>
      </c>
    </row>
    <row r="11" spans="1:11" x14ac:dyDescent="0.3">
      <c r="A11" t="s">
        <v>20</v>
      </c>
      <c r="B11" s="1">
        <f>2750+1375</f>
        <v>4125</v>
      </c>
      <c r="C11" s="4">
        <v>115.45</v>
      </c>
      <c r="D11">
        <f t="shared" si="1"/>
        <v>476231.25</v>
      </c>
      <c r="E11" s="3">
        <f t="shared" si="0"/>
        <v>6.3127304233180137E-2</v>
      </c>
    </row>
    <row r="12" spans="1:11" x14ac:dyDescent="0.3">
      <c r="A12" t="s">
        <v>67</v>
      </c>
      <c r="B12" s="1">
        <v>545</v>
      </c>
      <c r="C12" s="4">
        <v>614.79999999999995</v>
      </c>
      <c r="D12">
        <f t="shared" si="1"/>
        <v>335066</v>
      </c>
      <c r="E12" s="3">
        <f t="shared" si="0"/>
        <v>4.4415004937611163E-2</v>
      </c>
    </row>
    <row r="13" spans="1:11" x14ac:dyDescent="0.3">
      <c r="A13" t="s">
        <v>12</v>
      </c>
      <c r="B13" s="1">
        <v>1011</v>
      </c>
      <c r="C13" s="4">
        <v>378.95</v>
      </c>
      <c r="D13">
        <f>C13*B13</f>
        <v>383118.45</v>
      </c>
      <c r="E13" s="3">
        <f t="shared" si="0"/>
        <v>5.0784644960813502E-2</v>
      </c>
    </row>
    <row r="14" spans="1:11" x14ac:dyDescent="0.3">
      <c r="A14" t="s">
        <v>79</v>
      </c>
      <c r="B14" s="1">
        <v>425</v>
      </c>
      <c r="C14" s="4">
        <v>528.9</v>
      </c>
      <c r="D14">
        <f>C14*B14</f>
        <v>224782.5</v>
      </c>
      <c r="E14" s="3">
        <f t="shared" si="0"/>
        <v>2.9796266548645884E-2</v>
      </c>
      <c r="G14" t="s">
        <v>80</v>
      </c>
    </row>
    <row r="15" spans="1:11" x14ac:dyDescent="0.3">
      <c r="A15" t="s">
        <v>48</v>
      </c>
      <c r="B15" s="1">
        <v>570</v>
      </c>
      <c r="C15" s="4">
        <v>541.5</v>
      </c>
      <c r="D15">
        <f>C15*B15</f>
        <v>308655</v>
      </c>
      <c r="E15" s="3">
        <f t="shared" si="0"/>
        <v>4.0914068717859686E-2</v>
      </c>
    </row>
    <row r="16" spans="1:11" x14ac:dyDescent="0.3">
      <c r="A16" t="s">
        <v>37</v>
      </c>
      <c r="B16" s="1">
        <f>8384+5589</f>
        <v>13973</v>
      </c>
      <c r="C16" s="4">
        <v>15.1</v>
      </c>
      <c r="D16">
        <f t="shared" si="1"/>
        <v>210992.3</v>
      </c>
      <c r="E16" s="3">
        <f t="shared" si="0"/>
        <v>2.7968292952128642E-2</v>
      </c>
    </row>
    <row r="17" spans="1:7" x14ac:dyDescent="0.3">
      <c r="A17" t="s">
        <v>36</v>
      </c>
      <c r="B17" s="1">
        <f>2345-505</f>
        <v>1840</v>
      </c>
      <c r="C17" s="4">
        <v>208.15</v>
      </c>
      <c r="D17">
        <f t="shared" si="1"/>
        <v>382996</v>
      </c>
      <c r="E17" s="3">
        <f t="shared" si="0"/>
        <v>5.0768413479987007E-2</v>
      </c>
      <c r="G17" t="s">
        <v>81</v>
      </c>
    </row>
    <row r="18" spans="1:7" x14ac:dyDescent="0.3">
      <c r="A18" t="s">
        <v>15</v>
      </c>
      <c r="B18" s="1">
        <f>368+532</f>
        <v>900</v>
      </c>
      <c r="C18" s="4">
        <v>138.15</v>
      </c>
      <c r="D18">
        <f t="shared" si="1"/>
        <v>124335</v>
      </c>
      <c r="E18" s="3">
        <f t="shared" si="0"/>
        <v>1.6481348865351554E-2</v>
      </c>
    </row>
    <row r="19" spans="1:7" x14ac:dyDescent="0.3">
      <c r="A19" t="s">
        <v>16</v>
      </c>
      <c r="B19" s="1">
        <f>6886+2045</f>
        <v>8931</v>
      </c>
      <c r="C19" s="4">
        <v>34.15</v>
      </c>
      <c r="D19">
        <f t="shared" si="1"/>
        <v>304993.64999999997</v>
      </c>
      <c r="E19" s="3">
        <f t="shared" si="0"/>
        <v>4.042873484832854E-2</v>
      </c>
    </row>
    <row r="20" spans="1:7" x14ac:dyDescent="0.3">
      <c r="A20" t="s">
        <v>17</v>
      </c>
      <c r="B20" s="1">
        <f>920+319+331-785</f>
        <v>785</v>
      </c>
      <c r="C20" s="4">
        <v>376.85</v>
      </c>
      <c r="D20">
        <f t="shared" si="1"/>
        <v>295827.25</v>
      </c>
      <c r="E20" s="3">
        <f t="shared" si="0"/>
        <v>3.9213673632746783E-2</v>
      </c>
    </row>
    <row r="21" spans="1:7" x14ac:dyDescent="0.3">
      <c r="A21" t="s">
        <v>33</v>
      </c>
      <c r="B21" s="1">
        <f>419+419+838</f>
        <v>1676</v>
      </c>
      <c r="C21" s="4">
        <v>250.25</v>
      </c>
      <c r="D21">
        <f t="shared" si="1"/>
        <v>419419</v>
      </c>
      <c r="E21" s="3">
        <f t="shared" si="0"/>
        <v>5.5596500259435272E-2</v>
      </c>
    </row>
    <row r="22" spans="1:7" x14ac:dyDescent="0.3">
      <c r="A22" t="s">
        <v>18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</f>
        <v>2.8309999999989088</v>
      </c>
      <c r="C22" s="4">
        <v>1000</v>
      </c>
      <c r="D22">
        <f t="shared" si="1"/>
        <v>2830.9999999989086</v>
      </c>
      <c r="E22" s="3">
        <f t="shared" si="0"/>
        <v>3.7526600424492111E-4</v>
      </c>
      <c r="G22" t="s">
        <v>82</v>
      </c>
    </row>
    <row r="23" spans="1:7" x14ac:dyDescent="0.3">
      <c r="B23" s="1"/>
      <c r="E23" s="3"/>
    </row>
    <row r="24" spans="1:7" x14ac:dyDescent="0.3">
      <c r="B24" s="1"/>
      <c r="D24">
        <f>SUM(D5:D22)</f>
        <v>7543982.0499999998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5C36-B270-447E-B320-BBF0080AB407}">
  <sheetPr>
    <pageSetUpPr fitToPage="1"/>
  </sheetPr>
  <dimension ref="A1:K24"/>
  <sheetViews>
    <sheetView topLeftCell="A3" workbookViewId="0">
      <selection activeCell="B23" sqref="B23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39.6640625" bestFit="1" customWidth="1"/>
    <col min="10" max="10" width="9.109375" style="4"/>
  </cols>
  <sheetData>
    <row r="1" spans="1:11" x14ac:dyDescent="0.3">
      <c r="A1" t="s">
        <v>0</v>
      </c>
      <c r="B1" s="2">
        <v>43441</v>
      </c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19</v>
      </c>
      <c r="B5" s="1">
        <f>44+30+9+18+13+20+19+12</f>
        <v>165</v>
      </c>
      <c r="C5" s="4">
        <v>1503</v>
      </c>
      <c r="D5">
        <f>B5*C5</f>
        <v>247995</v>
      </c>
      <c r="E5" s="3">
        <f t="shared" ref="E5:E22" si="0">D5/$D$24</f>
        <v>3.1618330497454022E-2</v>
      </c>
    </row>
    <row r="6" spans="1:11" x14ac:dyDescent="0.3">
      <c r="A6" t="s">
        <v>7</v>
      </c>
      <c r="B6" s="1">
        <f>(840+420)*2</f>
        <v>2520</v>
      </c>
      <c r="C6" s="4">
        <v>527.25</v>
      </c>
      <c r="D6">
        <f t="shared" ref="D6:D22" si="1">C6*B6</f>
        <v>1328670</v>
      </c>
      <c r="E6" s="3">
        <f t="shared" si="0"/>
        <v>0.16939989589327301</v>
      </c>
    </row>
    <row r="7" spans="1:11" x14ac:dyDescent="0.3">
      <c r="A7" t="s">
        <v>34</v>
      </c>
      <c r="B7" s="1">
        <f>1280+1280+1280+910+1300+1300+2940</f>
        <v>10290</v>
      </c>
      <c r="C7" s="4">
        <v>118.1</v>
      </c>
      <c r="D7">
        <f t="shared" si="1"/>
        <v>1215249</v>
      </c>
      <c r="E7" s="3">
        <f t="shared" si="0"/>
        <v>0.15493919038166296</v>
      </c>
    </row>
    <row r="8" spans="1:11" x14ac:dyDescent="0.3">
      <c r="A8" t="s">
        <v>74</v>
      </c>
      <c r="B8" s="1">
        <v>460</v>
      </c>
      <c r="C8" s="4">
        <v>565.25</v>
      </c>
      <c r="D8">
        <f t="shared" si="1"/>
        <v>260015</v>
      </c>
      <c r="E8" s="3">
        <f t="shared" si="0"/>
        <v>3.3150830477612483E-2</v>
      </c>
    </row>
    <row r="9" spans="1:11" x14ac:dyDescent="0.3">
      <c r="A9" t="s">
        <v>9</v>
      </c>
      <c r="B9" s="1">
        <f>2928+2928+2928</f>
        <v>8784</v>
      </c>
      <c r="C9" s="4">
        <v>37.700000000000003</v>
      </c>
      <c r="D9">
        <f t="shared" si="1"/>
        <v>331156.80000000005</v>
      </c>
      <c r="E9" s="3">
        <f t="shared" si="0"/>
        <v>4.2221113929229559E-2</v>
      </c>
      <c r="K9" s="5"/>
    </row>
    <row r="10" spans="1:11" x14ac:dyDescent="0.3">
      <c r="A10" t="s">
        <v>8</v>
      </c>
      <c r="B10" s="1">
        <f>1378+229+460+413+248</f>
        <v>2728</v>
      </c>
      <c r="C10" s="4">
        <v>305.89999999999998</v>
      </c>
      <c r="D10">
        <f t="shared" si="1"/>
        <v>834495.2</v>
      </c>
      <c r="E10" s="3">
        <f t="shared" si="0"/>
        <v>0.10639466534461982</v>
      </c>
    </row>
    <row r="11" spans="1:11" x14ac:dyDescent="0.3">
      <c r="A11" t="s">
        <v>20</v>
      </c>
      <c r="B11" s="1">
        <f>2750+1375</f>
        <v>4125</v>
      </c>
      <c r="C11" s="4">
        <v>110</v>
      </c>
      <c r="D11">
        <f t="shared" si="1"/>
        <v>453750</v>
      </c>
      <c r="E11" s="3">
        <f t="shared" si="0"/>
        <v>5.78512367717888E-2</v>
      </c>
    </row>
    <row r="12" spans="1:11" x14ac:dyDescent="0.3">
      <c r="A12" t="s">
        <v>67</v>
      </c>
      <c r="B12" s="1">
        <v>545</v>
      </c>
      <c r="C12" s="4">
        <v>670.15</v>
      </c>
      <c r="D12">
        <f t="shared" si="1"/>
        <v>365231.75</v>
      </c>
      <c r="E12" s="3">
        <f t="shared" si="0"/>
        <v>4.656552825526121E-2</v>
      </c>
    </row>
    <row r="13" spans="1:11" x14ac:dyDescent="0.3">
      <c r="A13" t="s">
        <v>12</v>
      </c>
      <c r="B13" s="1">
        <v>1011</v>
      </c>
      <c r="C13" s="4">
        <v>378.3</v>
      </c>
      <c r="D13">
        <f>C13*B13</f>
        <v>382461.3</v>
      </c>
      <c r="E13" s="3">
        <f t="shared" si="0"/>
        <v>4.8762224181479109E-2</v>
      </c>
    </row>
    <row r="14" spans="1:11" x14ac:dyDescent="0.3">
      <c r="A14" t="s">
        <v>79</v>
      </c>
      <c r="B14" s="1">
        <v>425</v>
      </c>
      <c r="C14" s="4">
        <v>537.6</v>
      </c>
      <c r="D14">
        <f>C14*B14</f>
        <v>228480</v>
      </c>
      <c r="E14" s="3">
        <f t="shared" si="0"/>
        <v>2.9130249206872297E-2</v>
      </c>
    </row>
    <row r="15" spans="1:11" x14ac:dyDescent="0.3">
      <c r="A15" t="s">
        <v>48</v>
      </c>
      <c r="B15" s="1">
        <v>570</v>
      </c>
      <c r="C15" s="4">
        <v>600.35</v>
      </c>
      <c r="D15">
        <f>C15*B15</f>
        <v>342199.5</v>
      </c>
      <c r="E15" s="3">
        <f t="shared" si="0"/>
        <v>4.362901222630907E-2</v>
      </c>
    </row>
    <row r="16" spans="1:11" x14ac:dyDescent="0.3">
      <c r="A16" t="s">
        <v>37</v>
      </c>
      <c r="B16" s="1">
        <f>8384+5589</f>
        <v>13973</v>
      </c>
      <c r="C16" s="4">
        <v>15.55</v>
      </c>
      <c r="D16">
        <f t="shared" si="1"/>
        <v>217280.15000000002</v>
      </c>
      <c r="E16" s="3">
        <f t="shared" si="0"/>
        <v>2.7702314938754351E-2</v>
      </c>
    </row>
    <row r="17" spans="1:7" x14ac:dyDescent="0.3">
      <c r="A17" t="s">
        <v>36</v>
      </c>
      <c r="B17" s="1">
        <f>2345-505</f>
        <v>1840</v>
      </c>
      <c r="C17" s="4">
        <v>219.4</v>
      </c>
      <c r="D17">
        <f t="shared" si="1"/>
        <v>403696</v>
      </c>
      <c r="E17" s="3">
        <f t="shared" si="0"/>
        <v>5.1469560065727935E-2</v>
      </c>
    </row>
    <row r="18" spans="1:7" x14ac:dyDescent="0.3">
      <c r="A18" t="s">
        <v>15</v>
      </c>
      <c r="B18" s="1">
        <f>368+532</f>
        <v>900</v>
      </c>
      <c r="C18" s="4">
        <v>140.15</v>
      </c>
      <c r="D18">
        <f t="shared" si="1"/>
        <v>126135</v>
      </c>
      <c r="E18" s="3">
        <f t="shared" si="0"/>
        <v>1.6081687603767669E-2</v>
      </c>
    </row>
    <row r="19" spans="1:7" x14ac:dyDescent="0.3">
      <c r="A19" t="s">
        <v>16</v>
      </c>
      <c r="B19" s="1">
        <f>6886+2045</f>
        <v>8931</v>
      </c>
      <c r="C19" s="4">
        <v>38.200000000000003</v>
      </c>
      <c r="D19">
        <f t="shared" si="1"/>
        <v>341164.2</v>
      </c>
      <c r="E19" s="3">
        <f t="shared" si="0"/>
        <v>4.3497015784590434E-2</v>
      </c>
    </row>
    <row r="20" spans="1:7" x14ac:dyDescent="0.3">
      <c r="A20" t="s">
        <v>17</v>
      </c>
      <c r="B20" s="1">
        <f>920+319+331-785</f>
        <v>785</v>
      </c>
      <c r="C20" s="4">
        <v>372.95</v>
      </c>
      <c r="D20">
        <f t="shared" si="1"/>
        <v>292765.75</v>
      </c>
      <c r="E20" s="3">
        <f t="shared" si="0"/>
        <v>3.7326414814149479E-2</v>
      </c>
    </row>
    <row r="21" spans="1:7" x14ac:dyDescent="0.3">
      <c r="A21" t="s">
        <v>33</v>
      </c>
      <c r="B21" s="1">
        <f>419+419+838</f>
        <v>1676</v>
      </c>
      <c r="C21" s="4">
        <v>259.10000000000002</v>
      </c>
      <c r="D21">
        <f t="shared" si="1"/>
        <v>434251.60000000003</v>
      </c>
      <c r="E21" s="3">
        <f t="shared" si="0"/>
        <v>5.5365271912128096E-2</v>
      </c>
    </row>
    <row r="22" spans="1:7" x14ac:dyDescent="0.3">
      <c r="A22" t="s">
        <v>18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</f>
        <v>38.396999999998911</v>
      </c>
      <c r="C22" s="4">
        <v>1000</v>
      </c>
      <c r="D22">
        <f t="shared" si="1"/>
        <v>38396.999999998909</v>
      </c>
      <c r="E22" s="3">
        <f t="shared" si="0"/>
        <v>4.8954577153196947E-3</v>
      </c>
      <c r="G22" t="s">
        <v>84</v>
      </c>
    </row>
    <row r="23" spans="1:7" x14ac:dyDescent="0.3">
      <c r="B23" s="1"/>
      <c r="E23" s="3"/>
    </row>
    <row r="24" spans="1:7" x14ac:dyDescent="0.3">
      <c r="B24" s="1"/>
      <c r="D24">
        <f>SUM(D5:D22)</f>
        <v>7843393.2499999991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16"/>
  <sheetViews>
    <sheetView workbookViewId="0">
      <selection activeCell="B16" sqref="B16"/>
    </sheetView>
  </sheetViews>
  <sheetFormatPr defaultRowHeight="14.4" x14ac:dyDescent="0.3"/>
  <cols>
    <col min="3" max="3" width="9.109375" style="4"/>
  </cols>
  <sheetData>
    <row r="1" spans="1:3" x14ac:dyDescent="0.3">
      <c r="A1" t="s">
        <v>83</v>
      </c>
    </row>
    <row r="3" spans="1:3" x14ac:dyDescent="0.3">
      <c r="A3" t="s">
        <v>21</v>
      </c>
      <c r="B3">
        <v>576401</v>
      </c>
      <c r="C3" s="4">
        <f>B3*0.005</f>
        <v>2882.0050000000001</v>
      </c>
    </row>
    <row r="4" spans="1:3" x14ac:dyDescent="0.3">
      <c r="A4" t="s">
        <v>22</v>
      </c>
      <c r="B4">
        <v>576401</v>
      </c>
      <c r="C4" s="4">
        <f t="shared" ref="C4:C14" si="0">B4*0.005</f>
        <v>2882.0050000000001</v>
      </c>
    </row>
    <row r="5" spans="1:3" x14ac:dyDescent="0.3">
      <c r="A5" t="s">
        <v>23</v>
      </c>
      <c r="B5">
        <v>773101</v>
      </c>
      <c r="C5" s="4">
        <f t="shared" si="0"/>
        <v>3865.5050000000001</v>
      </c>
    </row>
    <row r="6" spans="1:3" x14ac:dyDescent="0.3">
      <c r="A6" t="s">
        <v>24</v>
      </c>
      <c r="B6">
        <v>1150451</v>
      </c>
      <c r="C6" s="4">
        <f t="shared" si="0"/>
        <v>5752.2550000000001</v>
      </c>
    </row>
    <row r="7" spans="1:3" x14ac:dyDescent="0.3">
      <c r="A7" t="s">
        <v>25</v>
      </c>
      <c r="B7">
        <v>1023279</v>
      </c>
      <c r="C7" s="4">
        <f t="shared" si="0"/>
        <v>5116.3950000000004</v>
      </c>
    </row>
    <row r="8" spans="1:3" x14ac:dyDescent="0.3">
      <c r="A8" t="s">
        <v>26</v>
      </c>
      <c r="B8">
        <v>701110</v>
      </c>
      <c r="C8" s="4">
        <f t="shared" si="0"/>
        <v>3505.55</v>
      </c>
    </row>
    <row r="9" spans="1:3" x14ac:dyDescent="0.3">
      <c r="A9" t="s">
        <v>27</v>
      </c>
      <c r="B9">
        <v>1062644</v>
      </c>
      <c r="C9" s="4">
        <f t="shared" si="0"/>
        <v>5313.22</v>
      </c>
    </row>
    <row r="10" spans="1:3" x14ac:dyDescent="0.3">
      <c r="A10" t="s">
        <v>28</v>
      </c>
      <c r="B10">
        <v>471128</v>
      </c>
      <c r="C10" s="4">
        <f t="shared" si="0"/>
        <v>2355.64</v>
      </c>
    </row>
    <row r="11" spans="1:3" x14ac:dyDescent="0.3">
      <c r="A11" t="s">
        <v>29</v>
      </c>
      <c r="B11">
        <v>471128</v>
      </c>
      <c r="C11" s="4">
        <f t="shared" si="0"/>
        <v>2355.64</v>
      </c>
    </row>
    <row r="12" spans="1:3" x14ac:dyDescent="0.3">
      <c r="A12" t="s">
        <v>30</v>
      </c>
      <c r="B12">
        <v>274834</v>
      </c>
      <c r="C12" s="4">
        <f t="shared" si="0"/>
        <v>1374.17</v>
      </c>
    </row>
    <row r="13" spans="1:3" x14ac:dyDescent="0.3">
      <c r="A13" t="s">
        <v>31</v>
      </c>
      <c r="B13">
        <v>30054</v>
      </c>
      <c r="C13" s="4">
        <f t="shared" si="0"/>
        <v>150.27000000000001</v>
      </c>
    </row>
    <row r="14" spans="1:3" x14ac:dyDescent="0.3">
      <c r="A14" t="s">
        <v>32</v>
      </c>
      <c r="B14">
        <v>2831</v>
      </c>
      <c r="C14" s="4">
        <f t="shared" si="0"/>
        <v>14.155000000000001</v>
      </c>
    </row>
    <row r="16" spans="1:3" x14ac:dyDescent="0.3">
      <c r="C16" s="4">
        <f>SUM(C3:C15)</f>
        <v>35566.81</v>
      </c>
    </row>
  </sheetData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01Jan18</vt:lpstr>
      <vt:lpstr>08Feb18</vt:lpstr>
      <vt:lpstr>19Mar18</vt:lpstr>
      <vt:lpstr>04Apr18</vt:lpstr>
      <vt:lpstr>23Apr18</vt:lpstr>
      <vt:lpstr>24April18</vt:lpstr>
      <vt:lpstr>17May18</vt:lpstr>
      <vt:lpstr>30May18</vt:lpstr>
      <vt:lpstr>20Jun18</vt:lpstr>
      <vt:lpstr>25Jun18</vt:lpstr>
      <vt:lpstr>09Jul18</vt:lpstr>
      <vt:lpstr>10Jul18</vt:lpstr>
      <vt:lpstr>10Jul18_2</vt:lpstr>
      <vt:lpstr>17Jul18</vt:lpstr>
      <vt:lpstr>16Aug18</vt:lpstr>
      <vt:lpstr>24Aug18</vt:lpstr>
      <vt:lpstr>01Oct18</vt:lpstr>
      <vt:lpstr>23Oct18</vt:lpstr>
      <vt:lpstr>27Nov18</vt:lpstr>
      <vt:lpstr>03Dec18</vt:lpstr>
      <vt:lpstr>07Dec18</vt:lpstr>
      <vt:lpstr>31Dec18</vt:lpstr>
      <vt:lpstr>Liquid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2023-12-09T05:49:25Z</dcterms:modified>
</cp:coreProperties>
</file>