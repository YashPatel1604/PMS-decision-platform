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codeName="ThisWorkbook" defaultThemeVersion="124226"/>
  <xr:revisionPtr revIDLastSave="791" documentId="11_D36A57AAB285EA47AE23C02CF18E6DBA1DE0E9F0" xr6:coauthVersionLast="47" xr6:coauthVersionMax="47" xr10:uidLastSave="{7938254B-48ED-4561-83A2-877561A0242F}"/>
  <bookViews>
    <workbookView xWindow="-108" yWindow="-108" windowWidth="23256" windowHeight="12456" firstSheet="5" activeTab="13" xr2:uid="{00000000-000D-0000-FFFF-FFFF00000000}"/>
  </bookViews>
  <sheets>
    <sheet name="01Jan22" sheetId="114" r:id="rId1"/>
    <sheet name="17Jan22" sheetId="115" r:id="rId2"/>
    <sheet name="26Apr22" sheetId="116" r:id="rId3"/>
    <sheet name="04May22" sheetId="117" r:id="rId4"/>
    <sheet name="09May22" sheetId="118" r:id="rId5"/>
    <sheet name="25Jul22" sheetId="119" r:id="rId6"/>
    <sheet name="16Aug22" sheetId="120" r:id="rId7"/>
    <sheet name="30Aug22" sheetId="123" r:id="rId8"/>
    <sheet name="14Sep22" sheetId="121" r:id="rId9"/>
    <sheet name="17Oct22" sheetId="122" r:id="rId10"/>
    <sheet name="14Nov22" sheetId="124" r:id="rId11"/>
    <sheet name="21Nov22" sheetId="125" r:id="rId12"/>
    <sheet name="27Dec22" sheetId="126" r:id="rId13"/>
    <sheet name="31Dec22" sheetId="127" r:id="rId14"/>
    <sheet name="Liquid" sheetId="2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27" l="1"/>
  <c r="D21" i="127" s="1"/>
  <c r="B20" i="127"/>
  <c r="D20" i="127" s="1"/>
  <c r="D19" i="127"/>
  <c r="D18" i="127"/>
  <c r="B18" i="127"/>
  <c r="D17" i="127"/>
  <c r="B17" i="127"/>
  <c r="D16" i="127"/>
  <c r="B16" i="127"/>
  <c r="B15" i="127"/>
  <c r="D15" i="127" s="1"/>
  <c r="B14" i="127"/>
  <c r="D14" i="127" s="1"/>
  <c r="B13" i="127"/>
  <c r="D13" i="127" s="1"/>
  <c r="B12" i="127"/>
  <c r="D12" i="127" s="1"/>
  <c r="B11" i="127"/>
  <c r="D11" i="127" s="1"/>
  <c r="D10" i="127"/>
  <c r="B10" i="127"/>
  <c r="D9" i="127"/>
  <c r="B9" i="127"/>
  <c r="D8" i="127"/>
  <c r="B8" i="127"/>
  <c r="D7" i="127"/>
  <c r="B7" i="127"/>
  <c r="B6" i="127"/>
  <c r="D6" i="127" s="1"/>
  <c r="B5" i="127"/>
  <c r="D5" i="127" s="1"/>
  <c r="B21" i="126"/>
  <c r="D21" i="126" s="1"/>
  <c r="B9" i="126"/>
  <c r="D9" i="126" s="1"/>
  <c r="B13" i="126"/>
  <c r="B11" i="126"/>
  <c r="D11" i="126" s="1"/>
  <c r="B20" i="126"/>
  <c r="D20" i="126" s="1"/>
  <c r="D19" i="126"/>
  <c r="B18" i="126"/>
  <c r="D18" i="126" s="1"/>
  <c r="B17" i="126"/>
  <c r="D17" i="126" s="1"/>
  <c r="B16" i="126"/>
  <c r="D16" i="126" s="1"/>
  <c r="B15" i="126"/>
  <c r="D15" i="126" s="1"/>
  <c r="B14" i="126"/>
  <c r="D14" i="126" s="1"/>
  <c r="D13" i="126"/>
  <c r="B12" i="126"/>
  <c r="D12" i="126" s="1"/>
  <c r="B10" i="126"/>
  <c r="D10" i="126" s="1"/>
  <c r="B8" i="126"/>
  <c r="D8" i="126" s="1"/>
  <c r="B7" i="126"/>
  <c r="D7" i="126" s="1"/>
  <c r="B6" i="126"/>
  <c r="D6" i="126" s="1"/>
  <c r="B5" i="126"/>
  <c r="D5" i="126" s="1"/>
  <c r="B14" i="119"/>
  <c r="D14" i="119" s="1"/>
  <c r="B23" i="125"/>
  <c r="D23" i="125" s="1"/>
  <c r="B12" i="125"/>
  <c r="B15" i="125"/>
  <c r="D15" i="125" s="1"/>
  <c r="B9" i="125"/>
  <c r="D9" i="125" s="1"/>
  <c r="B22" i="124"/>
  <c r="D12" i="125"/>
  <c r="D21" i="125"/>
  <c r="B22" i="125"/>
  <c r="D22" i="125" s="1"/>
  <c r="B20" i="125"/>
  <c r="D20" i="125" s="1"/>
  <c r="B19" i="125"/>
  <c r="D19" i="125" s="1"/>
  <c r="B18" i="125"/>
  <c r="D18" i="125" s="1"/>
  <c r="B17" i="125"/>
  <c r="D17" i="125" s="1"/>
  <c r="D16" i="125"/>
  <c r="B16" i="125"/>
  <c r="B14" i="125"/>
  <c r="D14" i="125" s="1"/>
  <c r="B13" i="125"/>
  <c r="D13" i="125" s="1"/>
  <c r="B11" i="125"/>
  <c r="D11" i="125" s="1"/>
  <c r="D10" i="125"/>
  <c r="B10" i="125"/>
  <c r="B8" i="125"/>
  <c r="D8" i="125" s="1"/>
  <c r="B7" i="125"/>
  <c r="D7" i="125" s="1"/>
  <c r="B6" i="125"/>
  <c r="D6" i="125" s="1"/>
  <c r="B5" i="125"/>
  <c r="D5" i="125" s="1"/>
  <c r="B15" i="124"/>
  <c r="D15" i="124" s="1"/>
  <c r="B11" i="124"/>
  <c r="B10" i="124"/>
  <c r="D10" i="124" s="1"/>
  <c r="D22" i="124"/>
  <c r="D21" i="124"/>
  <c r="B21" i="124"/>
  <c r="D20" i="124"/>
  <c r="B20" i="124"/>
  <c r="B19" i="124"/>
  <c r="D19" i="124" s="1"/>
  <c r="B18" i="124"/>
  <c r="D18" i="124" s="1"/>
  <c r="B17" i="124"/>
  <c r="D17" i="124" s="1"/>
  <c r="B16" i="124"/>
  <c r="D16" i="124" s="1"/>
  <c r="D14" i="124"/>
  <c r="B14" i="124"/>
  <c r="B13" i="124"/>
  <c r="D13" i="124" s="1"/>
  <c r="D12" i="124"/>
  <c r="D11" i="124"/>
  <c r="D9" i="124"/>
  <c r="D8" i="124"/>
  <c r="B8" i="124"/>
  <c r="B7" i="124"/>
  <c r="D7" i="124" s="1"/>
  <c r="D6" i="124"/>
  <c r="B6" i="124"/>
  <c r="B5" i="124"/>
  <c r="D5" i="124" s="1"/>
  <c r="B10" i="122"/>
  <c r="B22" i="122"/>
  <c r="D22" i="122" s="1"/>
  <c r="D12" i="122"/>
  <c r="E12" i="121"/>
  <c r="D12" i="121"/>
  <c r="E12" i="123"/>
  <c r="D12" i="123"/>
  <c r="B21" i="123"/>
  <c r="D21" i="123" s="1"/>
  <c r="B20" i="123"/>
  <c r="D20" i="123" s="1"/>
  <c r="B19" i="123"/>
  <c r="D19" i="123" s="1"/>
  <c r="B18" i="123"/>
  <c r="D18" i="123" s="1"/>
  <c r="B17" i="123"/>
  <c r="D17" i="123" s="1"/>
  <c r="D16" i="123"/>
  <c r="B16" i="123"/>
  <c r="B15" i="123"/>
  <c r="D15" i="123" s="1"/>
  <c r="B14" i="123"/>
  <c r="D14" i="123" s="1"/>
  <c r="B13" i="123"/>
  <c r="D13" i="123" s="1"/>
  <c r="B11" i="123"/>
  <c r="D11" i="123" s="1"/>
  <c r="D10" i="123"/>
  <c r="D9" i="123"/>
  <c r="B8" i="123"/>
  <c r="D8" i="123" s="1"/>
  <c r="B7" i="123"/>
  <c r="D7" i="123" s="1"/>
  <c r="B6" i="123"/>
  <c r="D6" i="123" s="1"/>
  <c r="B5" i="123"/>
  <c r="D5" i="123" s="1"/>
  <c r="D15" i="122"/>
  <c r="D16" i="122"/>
  <c r="D17" i="122"/>
  <c r="B15" i="122"/>
  <c r="B13" i="122"/>
  <c r="D13" i="122" s="1"/>
  <c r="B21" i="122"/>
  <c r="D21" i="122" s="1"/>
  <c r="B20" i="122"/>
  <c r="D20" i="122" s="1"/>
  <c r="B19" i="122"/>
  <c r="D19" i="122" s="1"/>
  <c r="B18" i="122"/>
  <c r="D18" i="122" s="1"/>
  <c r="B17" i="122"/>
  <c r="B16" i="122"/>
  <c r="B14" i="122"/>
  <c r="D14" i="122" s="1"/>
  <c r="B11" i="122"/>
  <c r="D11" i="122" s="1"/>
  <c r="D10" i="122"/>
  <c r="D9" i="122"/>
  <c r="B8" i="122"/>
  <c r="D8" i="122" s="1"/>
  <c r="B7" i="122"/>
  <c r="D7" i="122" s="1"/>
  <c r="B6" i="122"/>
  <c r="D6" i="122" s="1"/>
  <c r="B5" i="122"/>
  <c r="D5" i="122" s="1"/>
  <c r="B22" i="121"/>
  <c r="D22" i="121" s="1"/>
  <c r="B10" i="121"/>
  <c r="D10" i="121" s="1"/>
  <c r="D13" i="121"/>
  <c r="B21" i="121"/>
  <c r="D21" i="121" s="1"/>
  <c r="B20" i="121"/>
  <c r="D20" i="121" s="1"/>
  <c r="B19" i="121"/>
  <c r="D19" i="121" s="1"/>
  <c r="B18" i="121"/>
  <c r="D18" i="121" s="1"/>
  <c r="B17" i="121"/>
  <c r="D17" i="121" s="1"/>
  <c r="B16" i="121"/>
  <c r="D16" i="121" s="1"/>
  <c r="B15" i="121"/>
  <c r="D15" i="121" s="1"/>
  <c r="B14" i="121"/>
  <c r="D14" i="121" s="1"/>
  <c r="B11" i="121"/>
  <c r="D11" i="121" s="1"/>
  <c r="D9" i="121"/>
  <c r="B8" i="121"/>
  <c r="D8" i="121" s="1"/>
  <c r="B7" i="121"/>
  <c r="D7" i="121" s="1"/>
  <c r="B6" i="121"/>
  <c r="D6" i="121" s="1"/>
  <c r="B5" i="121"/>
  <c r="D5" i="121" s="1"/>
  <c r="B20" i="120"/>
  <c r="D20" i="120"/>
  <c r="B12" i="120"/>
  <c r="D12" i="120" s="1"/>
  <c r="B11" i="120"/>
  <c r="D11" i="120" s="1"/>
  <c r="B16" i="120"/>
  <c r="D10" i="120"/>
  <c r="D13" i="120"/>
  <c r="D14" i="120"/>
  <c r="D15" i="120"/>
  <c r="D16" i="120"/>
  <c r="D17" i="120"/>
  <c r="D18" i="120"/>
  <c r="D19" i="120"/>
  <c r="B19" i="120"/>
  <c r="B18" i="120"/>
  <c r="B17" i="120"/>
  <c r="B15" i="120"/>
  <c r="B14" i="120"/>
  <c r="B13" i="120"/>
  <c r="D9" i="120"/>
  <c r="B8" i="120"/>
  <c r="D8" i="120" s="1"/>
  <c r="B7" i="120"/>
  <c r="D7" i="120" s="1"/>
  <c r="B6" i="120"/>
  <c r="D6" i="120" s="1"/>
  <c r="B5" i="120"/>
  <c r="D5" i="120" s="1"/>
  <c r="B20" i="119"/>
  <c r="D20" i="119" s="1"/>
  <c r="D10" i="119"/>
  <c r="B19" i="119"/>
  <c r="D19" i="119" s="1"/>
  <c r="B18" i="119"/>
  <c r="D18" i="119" s="1"/>
  <c r="B17" i="119"/>
  <c r="D17" i="119" s="1"/>
  <c r="D16" i="119"/>
  <c r="B15" i="119"/>
  <c r="D15" i="119" s="1"/>
  <c r="B13" i="119"/>
  <c r="D13" i="119" s="1"/>
  <c r="B12" i="119"/>
  <c r="D12" i="119" s="1"/>
  <c r="D11" i="119"/>
  <c r="D9" i="119"/>
  <c r="B8" i="119"/>
  <c r="D8" i="119" s="1"/>
  <c r="B7" i="119"/>
  <c r="D7" i="119" s="1"/>
  <c r="B6" i="119"/>
  <c r="D6" i="119" s="1"/>
  <c r="B5" i="119"/>
  <c r="D5" i="119" s="1"/>
  <c r="B19" i="118"/>
  <c r="B7" i="118"/>
  <c r="D23" i="127" l="1"/>
  <c r="E7" i="127" s="1"/>
  <c r="E5" i="127"/>
  <c r="E20" i="127"/>
  <c r="E6" i="127"/>
  <c r="E21" i="127"/>
  <c r="D23" i="126"/>
  <c r="E14" i="126" s="1"/>
  <c r="D25" i="125"/>
  <c r="D24" i="124"/>
  <c r="E20" i="124" s="1"/>
  <c r="D23" i="123"/>
  <c r="E9" i="123" s="1"/>
  <c r="D24" i="122"/>
  <c r="D24" i="121"/>
  <c r="D22" i="120"/>
  <c r="D22" i="119"/>
  <c r="E11" i="119" s="1"/>
  <c r="D19" i="118"/>
  <c r="D18" i="118"/>
  <c r="B18" i="118"/>
  <c r="B17" i="118"/>
  <c r="D17" i="118" s="1"/>
  <c r="D16" i="118"/>
  <c r="B16" i="118"/>
  <c r="D15" i="118"/>
  <c r="B14" i="118"/>
  <c r="D14" i="118" s="1"/>
  <c r="B13" i="118"/>
  <c r="D13" i="118" s="1"/>
  <c r="B12" i="118"/>
  <c r="D12" i="118" s="1"/>
  <c r="D11" i="118"/>
  <c r="B11" i="118"/>
  <c r="D10" i="118"/>
  <c r="D9" i="118"/>
  <c r="B8" i="118"/>
  <c r="D8" i="118" s="1"/>
  <c r="D7" i="118"/>
  <c r="B6" i="118"/>
  <c r="D6" i="118" s="1"/>
  <c r="D5" i="118"/>
  <c r="B5" i="118"/>
  <c r="B19" i="117"/>
  <c r="D19" i="117" s="1"/>
  <c r="B16" i="117"/>
  <c r="D16" i="117" s="1"/>
  <c r="B18" i="117"/>
  <c r="D18" i="117" s="1"/>
  <c r="D17" i="117"/>
  <c r="B17" i="117"/>
  <c r="D15" i="117"/>
  <c r="D14" i="117"/>
  <c r="B14" i="117"/>
  <c r="D13" i="117"/>
  <c r="B13" i="117"/>
  <c r="B12" i="117"/>
  <c r="D12" i="117" s="1"/>
  <c r="B11" i="117"/>
  <c r="D11" i="117" s="1"/>
  <c r="D10" i="117"/>
  <c r="D9" i="117"/>
  <c r="D8" i="117"/>
  <c r="B8" i="117"/>
  <c r="D7" i="117"/>
  <c r="B7" i="117"/>
  <c r="B6" i="117"/>
  <c r="D6" i="117" s="1"/>
  <c r="B5" i="117"/>
  <c r="D5" i="117" s="1"/>
  <c r="B11" i="116"/>
  <c r="D11" i="116" s="1"/>
  <c r="B19" i="116"/>
  <c r="D19" i="116" s="1"/>
  <c r="B18" i="116"/>
  <c r="D18" i="116" s="1"/>
  <c r="D15" i="116"/>
  <c r="B17" i="116"/>
  <c r="D17" i="116" s="1"/>
  <c r="B16" i="116"/>
  <c r="D16" i="116" s="1"/>
  <c r="B14" i="116"/>
  <c r="D14" i="116" s="1"/>
  <c r="D13" i="116"/>
  <c r="B13" i="116"/>
  <c r="B12" i="116"/>
  <c r="D12" i="116" s="1"/>
  <c r="D10" i="116"/>
  <c r="D9" i="116"/>
  <c r="B8" i="116"/>
  <c r="D8" i="116" s="1"/>
  <c r="B7" i="116"/>
  <c r="D7" i="116" s="1"/>
  <c r="B6" i="116"/>
  <c r="D6" i="116" s="1"/>
  <c r="B5" i="116"/>
  <c r="D5" i="116" s="1"/>
  <c r="B20" i="115"/>
  <c r="D20" i="115" s="1"/>
  <c r="B11" i="115"/>
  <c r="D11" i="115" s="1"/>
  <c r="B13" i="115"/>
  <c r="D13" i="115" s="1"/>
  <c r="B18" i="115"/>
  <c r="D18" i="115" s="1"/>
  <c r="D17" i="115"/>
  <c r="B19" i="115"/>
  <c r="D19" i="115" s="1"/>
  <c r="B16" i="115"/>
  <c r="D16" i="115" s="1"/>
  <c r="B15" i="115"/>
  <c r="D15" i="115" s="1"/>
  <c r="B14" i="115"/>
  <c r="D14" i="115" s="1"/>
  <c r="B12" i="115"/>
  <c r="D12" i="115" s="1"/>
  <c r="D10" i="115"/>
  <c r="D9" i="115"/>
  <c r="B8" i="115"/>
  <c r="D8" i="115" s="1"/>
  <c r="B7" i="115"/>
  <c r="D7" i="115" s="1"/>
  <c r="B6" i="115"/>
  <c r="D6" i="115" s="1"/>
  <c r="B5" i="115"/>
  <c r="D5" i="115" s="1"/>
  <c r="B13" i="114"/>
  <c r="B19" i="114"/>
  <c r="C4" i="2"/>
  <c r="C5" i="2"/>
  <c r="C6" i="2"/>
  <c r="C7" i="2"/>
  <c r="C8" i="2"/>
  <c r="C9" i="2"/>
  <c r="C10" i="2"/>
  <c r="C11" i="2"/>
  <c r="C12" i="2"/>
  <c r="C13" i="2"/>
  <c r="C14" i="2"/>
  <c r="C3" i="2"/>
  <c r="E9" i="127" l="1"/>
  <c r="E17" i="127"/>
  <c r="E15" i="127"/>
  <c r="E18" i="127"/>
  <c r="E19" i="127"/>
  <c r="E13" i="127"/>
  <c r="E14" i="127"/>
  <c r="E12" i="127"/>
  <c r="E8" i="127"/>
  <c r="E10" i="127"/>
  <c r="E11" i="127"/>
  <c r="E16" i="127"/>
  <c r="E19" i="126"/>
  <c r="E12" i="126"/>
  <c r="E5" i="126"/>
  <c r="E20" i="126"/>
  <c r="E13" i="126"/>
  <c r="E8" i="126"/>
  <c r="E7" i="126"/>
  <c r="E15" i="126"/>
  <c r="E11" i="126"/>
  <c r="E10" i="126"/>
  <c r="E9" i="126"/>
  <c r="E18" i="126"/>
  <c r="E17" i="126"/>
  <c r="E21" i="126"/>
  <c r="E16" i="126"/>
  <c r="E6" i="126"/>
  <c r="E16" i="125"/>
  <c r="E21" i="125"/>
  <c r="E23" i="125"/>
  <c r="E18" i="125"/>
  <c r="E19" i="125"/>
  <c r="E6" i="125"/>
  <c r="E13" i="125"/>
  <c r="E10" i="125"/>
  <c r="E7" i="125"/>
  <c r="E17" i="125"/>
  <c r="E14" i="125"/>
  <c r="E22" i="125"/>
  <c r="E8" i="125"/>
  <c r="E15" i="125"/>
  <c r="E12" i="125"/>
  <c r="E5" i="125"/>
  <c r="E20" i="125"/>
  <c r="E9" i="125"/>
  <c r="E11" i="125"/>
  <c r="E16" i="124"/>
  <c r="E15" i="124"/>
  <c r="E9" i="124"/>
  <c r="E12" i="124"/>
  <c r="E21" i="124"/>
  <c r="E6" i="124"/>
  <c r="E18" i="124"/>
  <c r="E11" i="124"/>
  <c r="E10" i="124"/>
  <c r="E7" i="124"/>
  <c r="E14" i="124"/>
  <c r="E17" i="124"/>
  <c r="E8" i="124"/>
  <c r="E13" i="124"/>
  <c r="E22" i="124"/>
  <c r="E19" i="124"/>
  <c r="E5" i="124"/>
  <c r="E13" i="122"/>
  <c r="E12" i="122"/>
  <c r="E20" i="123"/>
  <c r="E5" i="123"/>
  <c r="E14" i="123"/>
  <c r="E18" i="123"/>
  <c r="E13" i="123"/>
  <c r="E21" i="123"/>
  <c r="E16" i="123"/>
  <c r="E7" i="123"/>
  <c r="E8" i="123"/>
  <c r="E15" i="123"/>
  <c r="E6" i="123"/>
  <c r="E17" i="123"/>
  <c r="E11" i="123"/>
  <c r="E19" i="123"/>
  <c r="E10" i="123"/>
  <c r="E5" i="122"/>
  <c r="E18" i="122"/>
  <c r="E15" i="122"/>
  <c r="E14" i="122"/>
  <c r="E10" i="122"/>
  <c r="E7" i="122"/>
  <c r="E17" i="122"/>
  <c r="E21" i="122"/>
  <c r="E8" i="122"/>
  <c r="E11" i="122"/>
  <c r="E9" i="122"/>
  <c r="E22" i="122"/>
  <c r="E16" i="122"/>
  <c r="E20" i="122"/>
  <c r="E6" i="122"/>
  <c r="E19" i="122"/>
  <c r="E19" i="121"/>
  <c r="E13" i="121"/>
  <c r="E7" i="121"/>
  <c r="E6" i="121"/>
  <c r="E18" i="121"/>
  <c r="E21" i="121"/>
  <c r="E22" i="121"/>
  <c r="E14" i="121"/>
  <c r="E9" i="121"/>
  <c r="E16" i="121"/>
  <c r="E8" i="121"/>
  <c r="E11" i="121"/>
  <c r="E5" i="121"/>
  <c r="E20" i="121"/>
  <c r="E17" i="121"/>
  <c r="E15" i="121"/>
  <c r="E10" i="121"/>
  <c r="E11" i="120"/>
  <c r="E10" i="120"/>
  <c r="E18" i="120"/>
  <c r="E14" i="120"/>
  <c r="E13" i="120"/>
  <c r="E15" i="120"/>
  <c r="E20" i="120"/>
  <c r="E7" i="120"/>
  <c r="E5" i="120"/>
  <c r="E8" i="120"/>
  <c r="E17" i="120"/>
  <c r="E19" i="120"/>
  <c r="E12" i="120"/>
  <c r="E16" i="120"/>
  <c r="E6" i="120"/>
  <c r="E9" i="120"/>
  <c r="E10" i="119"/>
  <c r="E17" i="119"/>
  <c r="E16" i="119"/>
  <c r="E12" i="119"/>
  <c r="E9" i="119"/>
  <c r="E20" i="119"/>
  <c r="E18" i="119"/>
  <c r="E5" i="119"/>
  <c r="E14" i="119"/>
  <c r="E19" i="119"/>
  <c r="E8" i="119"/>
  <c r="E7" i="119"/>
  <c r="E15" i="119"/>
  <c r="E6" i="119"/>
  <c r="E13" i="119"/>
  <c r="D21" i="118"/>
  <c r="E7" i="118"/>
  <c r="E14" i="118"/>
  <c r="E17" i="118"/>
  <c r="E8" i="118"/>
  <c r="E11" i="118"/>
  <c r="E15" i="118"/>
  <c r="E9" i="118"/>
  <c r="E12" i="118"/>
  <c r="E18" i="118"/>
  <c r="E6" i="118"/>
  <c r="E10" i="118"/>
  <c r="E13" i="118"/>
  <c r="E16" i="118"/>
  <c r="E19" i="118"/>
  <c r="E5" i="118"/>
  <c r="D21" i="117"/>
  <c r="E19" i="117" s="1"/>
  <c r="D21" i="116"/>
  <c r="E12" i="116"/>
  <c r="E6" i="116"/>
  <c r="E16" i="116"/>
  <c r="E17" i="116"/>
  <c r="E18" i="116"/>
  <c r="E15" i="116"/>
  <c r="E10" i="116"/>
  <c r="E9" i="116"/>
  <c r="E7" i="116"/>
  <c r="E13" i="116"/>
  <c r="E8" i="116"/>
  <c r="E11" i="116"/>
  <c r="E14" i="116"/>
  <c r="E19" i="116"/>
  <c r="E5" i="116"/>
  <c r="D22" i="115"/>
  <c r="E20" i="115" s="1"/>
  <c r="D19" i="114"/>
  <c r="B18" i="114"/>
  <c r="D18" i="114" s="1"/>
  <c r="D17" i="114"/>
  <c r="B17" i="114"/>
  <c r="D16" i="114"/>
  <c r="B16" i="114"/>
  <c r="B15" i="114"/>
  <c r="D15" i="114" s="1"/>
  <c r="B14" i="114"/>
  <c r="D14" i="114" s="1"/>
  <c r="D13" i="114"/>
  <c r="D12" i="114"/>
  <c r="B12" i="114"/>
  <c r="B11" i="114"/>
  <c r="D11" i="114" s="1"/>
  <c r="D10" i="114"/>
  <c r="D9" i="114"/>
  <c r="B8" i="114"/>
  <c r="D8" i="114" s="1"/>
  <c r="B7" i="114"/>
  <c r="D7" i="114" s="1"/>
  <c r="B6" i="114"/>
  <c r="D6" i="114" s="1"/>
  <c r="B5" i="114"/>
  <c r="D5" i="114" s="1"/>
  <c r="E17" i="117" l="1"/>
  <c r="E14" i="117"/>
  <c r="E10" i="117"/>
  <c r="E8" i="117"/>
  <c r="E15" i="117"/>
  <c r="E16" i="117"/>
  <c r="E18" i="117"/>
  <c r="E9" i="117"/>
  <c r="E11" i="117"/>
  <c r="E13" i="117"/>
  <c r="E12" i="117"/>
  <c r="E5" i="117"/>
  <c r="E7" i="117"/>
  <c r="E6" i="117"/>
  <c r="E6" i="115"/>
  <c r="E19" i="115"/>
  <c r="E18" i="115"/>
  <c r="E17" i="115"/>
  <c r="E15" i="115"/>
  <c r="E16" i="115"/>
  <c r="E7" i="115"/>
  <c r="E5" i="115"/>
  <c r="E9" i="115"/>
  <c r="E10" i="115"/>
  <c r="E14" i="115"/>
  <c r="E11" i="115"/>
  <c r="E12" i="115"/>
  <c r="E8" i="115"/>
  <c r="E13" i="115"/>
  <c r="D21" i="114"/>
  <c r="E16" i="114" s="1"/>
  <c r="E13" i="114" l="1"/>
  <c r="E10" i="114"/>
  <c r="E17" i="114"/>
  <c r="E8" i="114"/>
  <c r="E6" i="114"/>
  <c r="E7" i="114"/>
  <c r="E5" i="114"/>
  <c r="E9" i="114"/>
  <c r="E18" i="114"/>
  <c r="E15" i="114"/>
  <c r="E19" i="114"/>
  <c r="E12" i="114"/>
  <c r="E11" i="114"/>
  <c r="E14" i="114"/>
  <c r="C16" i="2" l="1"/>
</calcChain>
</file>

<file path=xl/sharedStrings.xml><?xml version="1.0" encoding="utf-8"?>
<sst xmlns="http://schemas.openxmlformats.org/spreadsheetml/2006/main" count="383" uniqueCount="81">
  <si>
    <t>Model Portfolio</t>
  </si>
  <si>
    <t>Stock</t>
  </si>
  <si>
    <t>Number of shares</t>
  </si>
  <si>
    <t>CMP</t>
  </si>
  <si>
    <t>Amount</t>
  </si>
  <si>
    <t>Percentage</t>
  </si>
  <si>
    <t>Change</t>
  </si>
  <si>
    <t>Heritage</t>
  </si>
  <si>
    <t>TV18Broadcast</t>
  </si>
  <si>
    <t>TVToday</t>
  </si>
  <si>
    <t>LiquidBees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</si>
  <si>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</si>
  <si>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</si>
  <si>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</si>
  <si>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</si>
  <si>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</si>
  <si>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</si>
  <si>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</si>
  <si>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</si>
  <si>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</si>
  <si>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</si>
  <si>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</si>
  <si>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</si>
  <si>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UFO</t>
  </si>
  <si>
    <t>HindOilExp</t>
  </si>
  <si>
    <t>Saregama</t>
  </si>
  <si>
    <t>TIIndia</t>
  </si>
  <si>
    <t>Tanla</t>
  </si>
  <si>
    <t>HIL</t>
  </si>
  <si>
    <t>PrincePipes</t>
  </si>
  <si>
    <t>VRLLogistics</t>
  </si>
  <si>
    <t>GPIL</t>
  </si>
  <si>
    <t>SuryaRosni</t>
  </si>
  <si>
    <t>Idea</t>
  </si>
  <si>
    <t>TWL</t>
  </si>
  <si>
    <t>Buy 10500@113.85 = 1195425</t>
  </si>
  <si>
    <t>Sell 1676@98.4 = 164918</t>
  </si>
  <si>
    <t>Sell 252@1806 = 455112</t>
  </si>
  <si>
    <t>Sell 56@4748 = 265888</t>
  </si>
  <si>
    <t>Sell 310@1000</t>
  </si>
  <si>
    <t>Split 10 to 1</t>
  </si>
  <si>
    <t>*26/4/22 closing prices</t>
  </si>
  <si>
    <t>Sell 20183@54.15 = 1092909</t>
  </si>
  <si>
    <t>Add 1092.909</t>
  </si>
  <si>
    <t>Add 130@3831 = 498030</t>
  </si>
  <si>
    <t>Less 498.030</t>
  </si>
  <si>
    <t>PEL</t>
  </si>
  <si>
    <t>Sell 3813@657.75 = 2508000.75</t>
  </si>
  <si>
    <t>Buy 635@1825.5 = 1159192.5</t>
  </si>
  <si>
    <t>Buy 1348.808</t>
  </si>
  <si>
    <t>MAS Financial</t>
  </si>
  <si>
    <t>Buy 5250@145.97 = 766342.5</t>
  </si>
  <si>
    <t>Sell 863@587.85 = 507314.55</t>
  </si>
  <si>
    <t>Buy 862@688.83 = 593771.46</t>
  </si>
  <si>
    <t>Less 852.799</t>
  </si>
  <si>
    <t>PowerMech</t>
  </si>
  <si>
    <t>Buy 410@1650.71 = 676791.1</t>
  </si>
  <si>
    <t>Buy 390@730.02 =284707.8</t>
  </si>
  <si>
    <t>Sell 961.499</t>
  </si>
  <si>
    <t>Buy 205@1787.93 = 366525.65</t>
  </si>
  <si>
    <t>Sell 1150@364.67 = 419370.5</t>
  </si>
  <si>
    <t>PiramalPharma</t>
  </si>
  <si>
    <t>New Shares Allocated. 4 shares for every 1 shares in PEL</t>
  </si>
  <si>
    <t>Buy 71@703.07 = 49917.97</t>
  </si>
  <si>
    <t>Add 2.927</t>
  </si>
  <si>
    <t>VadilalInd</t>
  </si>
  <si>
    <t>Sell 575@394.9 = 227068</t>
  </si>
  <si>
    <t>Add 317@822.5 = 260733</t>
  </si>
  <si>
    <t>Add 35@760.2 = 26607</t>
  </si>
  <si>
    <t>Sell 60.272</t>
  </si>
  <si>
    <t>Sell 48000@8.39 = 402720</t>
  </si>
  <si>
    <t>Sell 575@371.77 = 213767.8</t>
  </si>
  <si>
    <t>Sell 2540@137.4 = 348996</t>
  </si>
  <si>
    <t>Buy 458@2487.9 = 1139458</t>
  </si>
  <si>
    <t>Sell 173.975</t>
  </si>
  <si>
    <t>Sell 12000@7.91 = 94920</t>
  </si>
  <si>
    <t>Buy 317@823.74 = 261126</t>
  </si>
  <si>
    <t>Sell 216@578.02 = 124852</t>
  </si>
  <si>
    <t>Less 41.354</t>
  </si>
  <si>
    <t>LiquidFund Value for 2022</t>
  </si>
  <si>
    <t>Add 10.883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</si>
</sst>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F163-BA8F-443C-AC68-1F4BBA4DF774}">
  <sheetPr>
    <pageSetUpPr fitToPage="1"/>
  </sheetPr>
  <dimension ref="A1:J21"/>
  <sheetViews>
    <sheetView workbookViewId="0">
      <selection activeCell="G13" sqref="G13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41.5546875" bestFit="1" customWidth="1"/>
    <col min="10" max="10" width="9.109375" style="4"/>
  </cols>
  <sheetData>
    <row r="1" spans="1:7" x14ac:dyDescent="0.3">
      <c r="A1" t="s">
        <v>0</v>
      </c>
      <c r="B1" s="2">
        <v>44562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277.45</v>
      </c>
      <c r="D5">
        <f>C5*B5</f>
        <v>1218560.3999999999</v>
      </c>
      <c r="E5" s="3">
        <f t="shared" ref="E5:E19" si="0">D5/$D$21</f>
        <v>4.3195561665265558E-2</v>
      </c>
    </row>
    <row r="6" spans="1:7" x14ac:dyDescent="0.3">
      <c r="A6" t="s">
        <v>7</v>
      </c>
      <c r="B6" s="1">
        <f>(840+420)*2+290+562</f>
        <v>3372</v>
      </c>
      <c r="C6" s="4">
        <v>407.9</v>
      </c>
      <c r="D6">
        <f t="shared" ref="D6:D19" si="1">C6*B6</f>
        <v>1375438.7999999998</v>
      </c>
      <c r="E6" s="3">
        <f t="shared" si="0"/>
        <v>4.8756591386195432E-2</v>
      </c>
    </row>
    <row r="7" spans="1:7" x14ac:dyDescent="0.3">
      <c r="A7" t="s">
        <v>28</v>
      </c>
      <c r="B7" s="1">
        <f>130+126+33+57+173</f>
        <v>519</v>
      </c>
      <c r="C7" s="4">
        <v>4485</v>
      </c>
      <c r="D7">
        <f t="shared" si="1"/>
        <v>2327715</v>
      </c>
      <c r="E7" s="3">
        <f t="shared" si="0"/>
        <v>8.2512903604666316E-2</v>
      </c>
    </row>
    <row r="8" spans="1:7" x14ac:dyDescent="0.3">
      <c r="A8" t="s">
        <v>24</v>
      </c>
      <c r="B8" s="1">
        <f>1280+1280+1280+910+1300+1300+2940+1300</f>
        <v>11590</v>
      </c>
      <c r="C8" s="4">
        <v>182.45</v>
      </c>
      <c r="D8">
        <f t="shared" si="1"/>
        <v>2114595.5</v>
      </c>
      <c r="E8" s="3">
        <f t="shared" si="0"/>
        <v>7.4958237866045094E-2</v>
      </c>
    </row>
    <row r="9" spans="1:7" x14ac:dyDescent="0.3">
      <c r="A9" t="s">
        <v>33</v>
      </c>
      <c r="B9" s="1">
        <v>96000</v>
      </c>
      <c r="C9" s="4">
        <v>15.35</v>
      </c>
      <c r="D9">
        <f t="shared" si="1"/>
        <v>1473600</v>
      </c>
      <c r="E9" s="3">
        <f t="shared" si="0"/>
        <v>5.2236212230378838E-2</v>
      </c>
    </row>
    <row r="10" spans="1:7" x14ac:dyDescent="0.3">
      <c r="A10" t="s">
        <v>29</v>
      </c>
      <c r="B10" s="1">
        <v>1727</v>
      </c>
      <c r="C10" s="4">
        <v>700.1</v>
      </c>
      <c r="D10">
        <f t="shared" si="1"/>
        <v>1209072.7</v>
      </c>
      <c r="E10" s="3">
        <f t="shared" si="0"/>
        <v>4.2859241421795036E-2</v>
      </c>
    </row>
    <row r="11" spans="1:7" x14ac:dyDescent="0.3">
      <c r="A11" t="s">
        <v>25</v>
      </c>
      <c r="B11" s="1">
        <f>570-142-142</f>
        <v>286</v>
      </c>
      <c r="C11" s="4">
        <v>5243.7</v>
      </c>
      <c r="D11">
        <f>C11*B11</f>
        <v>1499698.2</v>
      </c>
      <c r="E11" s="3">
        <f t="shared" si="0"/>
        <v>5.3161341922310756E-2</v>
      </c>
    </row>
    <row r="12" spans="1:7" x14ac:dyDescent="0.3">
      <c r="A12" t="s">
        <v>32</v>
      </c>
      <c r="B12" s="1">
        <f>1875+937+309+619</f>
        <v>3740</v>
      </c>
      <c r="C12" s="4">
        <v>583.5</v>
      </c>
      <c r="D12">
        <f t="shared" si="1"/>
        <v>2182290</v>
      </c>
      <c r="E12" s="3">
        <f t="shared" si="0"/>
        <v>7.7357874313404879E-2</v>
      </c>
    </row>
    <row r="13" spans="1:7" x14ac:dyDescent="0.3">
      <c r="A13" t="s">
        <v>27</v>
      </c>
      <c r="B13" s="1">
        <f>1000+1150+450+500+1000+900+900+500+160-656-590-797-452</f>
        <v>4065</v>
      </c>
      <c r="C13" s="4">
        <v>1883.25</v>
      </c>
      <c r="D13">
        <f t="shared" si="1"/>
        <v>7655411.25</v>
      </c>
      <c r="E13" s="3">
        <f t="shared" si="0"/>
        <v>0.27136922283240345</v>
      </c>
    </row>
    <row r="14" spans="1:7" x14ac:dyDescent="0.3">
      <c r="A14" t="s">
        <v>26</v>
      </c>
      <c r="B14" s="1">
        <f>480+154+159+192</f>
        <v>985</v>
      </c>
      <c r="C14" s="4">
        <v>1754.8</v>
      </c>
      <c r="D14">
        <f>C14*B14</f>
        <v>1728478</v>
      </c>
      <c r="E14" s="3">
        <f t="shared" si="0"/>
        <v>6.127113439436805E-2</v>
      </c>
    </row>
    <row r="15" spans="1:7" x14ac:dyDescent="0.3">
      <c r="A15" t="s">
        <v>8</v>
      </c>
      <c r="B15" s="1">
        <f>6886+2045-4465+4466+4466+13398+9475</f>
        <v>36271</v>
      </c>
      <c r="C15" s="4">
        <v>44.85</v>
      </c>
      <c r="D15">
        <f t="shared" si="1"/>
        <v>1626754.35</v>
      </c>
      <c r="E15" s="3">
        <f t="shared" si="0"/>
        <v>5.7665231727261117E-2</v>
      </c>
    </row>
    <row r="16" spans="1:7" x14ac:dyDescent="0.3">
      <c r="A16" t="s">
        <v>9</v>
      </c>
      <c r="B16" s="1">
        <f>920+319+331-785+393+355</f>
        <v>1533</v>
      </c>
      <c r="C16" s="4">
        <v>424.2</v>
      </c>
      <c r="D16">
        <f t="shared" si="1"/>
        <v>650298.6</v>
      </c>
      <c r="E16" s="3">
        <f t="shared" si="0"/>
        <v>2.3051802173397282E-2</v>
      </c>
    </row>
    <row r="17" spans="1:5" x14ac:dyDescent="0.3">
      <c r="A17" t="s">
        <v>23</v>
      </c>
      <c r="B17" s="1">
        <f>419+419+838</f>
        <v>1676</v>
      </c>
      <c r="C17" s="4">
        <v>93.05</v>
      </c>
      <c r="D17">
        <f t="shared" si="1"/>
        <v>155951.79999999999</v>
      </c>
      <c r="E17" s="3">
        <f t="shared" si="0"/>
        <v>5.5281835793360434E-3</v>
      </c>
    </row>
    <row r="18" spans="1:5" x14ac:dyDescent="0.3">
      <c r="A18" t="s">
        <v>30</v>
      </c>
      <c r="B18" s="1">
        <f>3075+1537+1153</f>
        <v>5765</v>
      </c>
      <c r="C18" s="4">
        <v>428.4</v>
      </c>
      <c r="D18">
        <f t="shared" si="1"/>
        <v>2469726</v>
      </c>
      <c r="E18" s="3">
        <f t="shared" si="0"/>
        <v>8.7546913332576415E-2</v>
      </c>
    </row>
    <row r="19" spans="1:5" x14ac:dyDescent="0.3">
      <c r="A19" t="s">
        <v>10</v>
      </c>
      <c r="B19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</f>
        <v>522.72959999999887</v>
      </c>
      <c r="C19" s="4">
        <v>999.99</v>
      </c>
      <c r="D19">
        <f t="shared" si="1"/>
        <v>522724.37270399887</v>
      </c>
      <c r="E19" s="3">
        <f t="shared" si="0"/>
        <v>1.8529547550595639E-2</v>
      </c>
    </row>
    <row r="20" spans="1:5" x14ac:dyDescent="0.3">
      <c r="B20" s="1"/>
      <c r="E20" s="3"/>
    </row>
    <row r="21" spans="1:5" x14ac:dyDescent="0.3">
      <c r="B21" s="1"/>
      <c r="D21">
        <f>SUM(D5:D19)</f>
        <v>28210314.972704001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227A-0375-4131-862A-D00B4E7355AC}">
  <sheetPr>
    <pageSetUpPr fitToPage="1"/>
  </sheetPr>
  <dimension ref="A1:J22"/>
  <sheetViews>
    <sheetView workbookViewId="0">
      <selection activeCell="B11" sqref="B11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41.5546875" bestFit="1" customWidth="1"/>
    <col min="10" max="10" width="9.109375" style="4"/>
  </cols>
  <sheetData>
    <row r="1" spans="1:7" x14ac:dyDescent="0.3">
      <c r="A1" t="s">
        <v>0</v>
      </c>
      <c r="B1" s="2">
        <v>44578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281</v>
      </c>
      <c r="D5">
        <f>C5*B5</f>
        <v>1234152</v>
      </c>
      <c r="E5" s="3">
        <f t="shared" ref="E5:E20" si="0">D5/$D$22</f>
        <v>4.1578763353833266E-2</v>
      </c>
    </row>
    <row r="6" spans="1:7" x14ac:dyDescent="0.3">
      <c r="A6" t="s">
        <v>7</v>
      </c>
      <c r="B6" s="1">
        <f>(840+420)*2+290+562</f>
        <v>3372</v>
      </c>
      <c r="C6" s="4">
        <v>435.6</v>
      </c>
      <c r="D6">
        <f t="shared" ref="D6:D20" si="1">C6*B6</f>
        <v>1468843.2000000002</v>
      </c>
      <c r="E6" s="3">
        <f t="shared" si="0"/>
        <v>4.9485544581775336E-2</v>
      </c>
    </row>
    <row r="7" spans="1:7" x14ac:dyDescent="0.3">
      <c r="A7" t="s">
        <v>28</v>
      </c>
      <c r="B7" s="1">
        <f>130+126+33+57+173</f>
        <v>519</v>
      </c>
      <c r="C7" s="4">
        <v>4543.8500000000004</v>
      </c>
      <c r="D7">
        <f t="shared" si="1"/>
        <v>2358258.1500000004</v>
      </c>
      <c r="E7" s="3">
        <f t="shared" si="0"/>
        <v>7.9450065750489934E-2</v>
      </c>
    </row>
    <row r="8" spans="1:7" x14ac:dyDescent="0.3">
      <c r="A8" t="s">
        <v>24</v>
      </c>
      <c r="B8" s="1">
        <f>1280+1280+1280+910+1300+1300+2940+1300</f>
        <v>11590</v>
      </c>
      <c r="C8" s="4">
        <v>226.6</v>
      </c>
      <c r="D8">
        <f t="shared" si="1"/>
        <v>2626294</v>
      </c>
      <c r="E8" s="3">
        <f t="shared" si="0"/>
        <v>8.8480233167058983E-2</v>
      </c>
    </row>
    <row r="9" spans="1:7" x14ac:dyDescent="0.3">
      <c r="A9" t="s">
        <v>33</v>
      </c>
      <c r="B9" s="1">
        <v>96000</v>
      </c>
      <c r="C9" s="4">
        <v>12.75</v>
      </c>
      <c r="D9">
        <f t="shared" si="1"/>
        <v>1224000</v>
      </c>
      <c r="E9" s="3">
        <f t="shared" si="0"/>
        <v>4.1236740972823378E-2</v>
      </c>
    </row>
    <row r="10" spans="1:7" x14ac:dyDescent="0.3">
      <c r="A10" t="s">
        <v>29</v>
      </c>
      <c r="B10" s="1">
        <v>1727</v>
      </c>
      <c r="C10" s="4">
        <v>731.85</v>
      </c>
      <c r="D10">
        <f t="shared" si="1"/>
        <v>1263904.95</v>
      </c>
      <c r="E10" s="3">
        <f t="shared" si="0"/>
        <v>4.2581144638414448E-2</v>
      </c>
    </row>
    <row r="11" spans="1:7" x14ac:dyDescent="0.3">
      <c r="A11" t="s">
        <v>25</v>
      </c>
      <c r="B11" s="1">
        <f>570-142-142-56</f>
        <v>230</v>
      </c>
      <c r="C11" s="4">
        <v>5249.3</v>
      </c>
      <c r="D11">
        <f>C11*B11</f>
        <v>1207339</v>
      </c>
      <c r="E11" s="3">
        <f t="shared" si="0"/>
        <v>4.067542941943432E-2</v>
      </c>
      <c r="G11" t="s">
        <v>38</v>
      </c>
    </row>
    <row r="12" spans="1:7" x14ac:dyDescent="0.3">
      <c r="A12" t="s">
        <v>32</v>
      </c>
      <c r="B12" s="1">
        <f>1875+937+309+619</f>
        <v>3740</v>
      </c>
      <c r="C12" s="4">
        <v>551.5</v>
      </c>
      <c r="D12">
        <f t="shared" si="1"/>
        <v>2062610</v>
      </c>
      <c r="E12" s="3">
        <f t="shared" si="0"/>
        <v>6.9489635864342508E-2</v>
      </c>
    </row>
    <row r="13" spans="1:7" x14ac:dyDescent="0.3">
      <c r="A13" t="s">
        <v>27</v>
      </c>
      <c r="B13" s="1">
        <f>1000+1150+450+500+1000+900+900+500+160-656-590-797-452-252</f>
        <v>3813</v>
      </c>
      <c r="C13" s="4">
        <v>2061.6999999999998</v>
      </c>
      <c r="D13">
        <f t="shared" si="1"/>
        <v>7861262.0999999996</v>
      </c>
      <c r="E13" s="3">
        <f t="shared" si="0"/>
        <v>0.26484708246501104</v>
      </c>
      <c r="G13" t="s">
        <v>37</v>
      </c>
    </row>
    <row r="14" spans="1:7" x14ac:dyDescent="0.3">
      <c r="A14" t="s">
        <v>26</v>
      </c>
      <c r="B14" s="1">
        <f>480+154+159+192</f>
        <v>985</v>
      </c>
      <c r="C14" s="4">
        <v>1794.85</v>
      </c>
      <c r="D14">
        <f>C14*B14</f>
        <v>1767927.25</v>
      </c>
      <c r="E14" s="3">
        <f t="shared" si="0"/>
        <v>5.956173044693297E-2</v>
      </c>
    </row>
    <row r="15" spans="1:7" x14ac:dyDescent="0.3">
      <c r="A15" t="s">
        <v>8</v>
      </c>
      <c r="B15" s="1">
        <f>6886+2045-4465+4466+4466+13398+9475</f>
        <v>36271</v>
      </c>
      <c r="C15" s="4">
        <v>48.2</v>
      </c>
      <c r="D15">
        <f t="shared" si="1"/>
        <v>1748262.2000000002</v>
      </c>
      <c r="E15" s="3">
        <f t="shared" si="0"/>
        <v>5.8899212004884266E-2</v>
      </c>
    </row>
    <row r="16" spans="1:7" x14ac:dyDescent="0.3">
      <c r="A16" t="s">
        <v>9</v>
      </c>
      <c r="B16" s="1">
        <f>920+319+331-785+393+355</f>
        <v>1533</v>
      </c>
      <c r="C16" s="4">
        <v>417</v>
      </c>
      <c r="D16">
        <f t="shared" si="1"/>
        <v>639261</v>
      </c>
      <c r="E16" s="3">
        <f t="shared" si="0"/>
        <v>2.1536797607049057E-2</v>
      </c>
    </row>
    <row r="17" spans="1:7" x14ac:dyDescent="0.3">
      <c r="A17" t="s">
        <v>34</v>
      </c>
      <c r="B17" s="1">
        <v>10500</v>
      </c>
      <c r="C17" s="4">
        <v>114.85</v>
      </c>
      <c r="D17">
        <f t="shared" si="1"/>
        <v>1205925</v>
      </c>
      <c r="E17" s="3">
        <f t="shared" si="0"/>
        <v>4.0627791550369309E-2</v>
      </c>
      <c r="G17" t="s">
        <v>35</v>
      </c>
    </row>
    <row r="18" spans="1:7" x14ac:dyDescent="0.3">
      <c r="A18" t="s">
        <v>23</v>
      </c>
      <c r="B18" s="1">
        <f>419+419+838-1676</f>
        <v>0</v>
      </c>
      <c r="C18" s="4">
        <v>99.6</v>
      </c>
      <c r="D18">
        <f t="shared" si="1"/>
        <v>0</v>
      </c>
      <c r="E18" s="3">
        <f t="shared" si="0"/>
        <v>0</v>
      </c>
      <c r="G18" t="s">
        <v>36</v>
      </c>
    </row>
    <row r="19" spans="1:7" x14ac:dyDescent="0.3">
      <c r="A19" t="s">
        <v>30</v>
      </c>
      <c r="B19" s="1">
        <f>3075+1537+1153</f>
        <v>5765</v>
      </c>
      <c r="C19" s="4">
        <v>485.95</v>
      </c>
      <c r="D19">
        <f t="shared" si="1"/>
        <v>2801501.75</v>
      </c>
      <c r="E19" s="3">
        <f t="shared" si="0"/>
        <v>9.4383008169658E-2</v>
      </c>
    </row>
    <row r="20" spans="1:7" x14ac:dyDescent="0.3">
      <c r="A20" t="s">
        <v>10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</f>
        <v>212.72959999999887</v>
      </c>
      <c r="C20" s="4">
        <v>999.99</v>
      </c>
      <c r="D20">
        <f t="shared" si="1"/>
        <v>212727.47270399888</v>
      </c>
      <c r="E20" s="3">
        <f t="shared" si="0"/>
        <v>7.1668200079233312E-3</v>
      </c>
      <c r="G20" t="s">
        <v>39</v>
      </c>
    </row>
    <row r="21" spans="1:7" x14ac:dyDescent="0.3">
      <c r="B21" s="1"/>
      <c r="E21" s="3"/>
    </row>
    <row r="22" spans="1:7" x14ac:dyDescent="0.3">
      <c r="B22" s="1"/>
      <c r="D22">
        <f>SUM(D5:D20)</f>
        <v>29682268.072703995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354E-89CC-4CAE-B17B-3371A0D308B5}">
  <sheetPr>
    <pageSetUpPr fitToPage="1"/>
  </sheetPr>
  <dimension ref="A1:J22"/>
  <sheetViews>
    <sheetView workbookViewId="0">
      <selection activeCell="D26" sqref="D26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41.5546875" bestFit="1" customWidth="1"/>
    <col min="10" max="10" width="9.109375" style="4"/>
  </cols>
  <sheetData>
    <row r="1" spans="1:7" x14ac:dyDescent="0.3">
      <c r="A1" t="s">
        <v>0</v>
      </c>
      <c r="B1" s="2">
        <v>44677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422.5</v>
      </c>
      <c r="D5">
        <f>C5*B5</f>
        <v>1855620</v>
      </c>
      <c r="E5" s="3">
        <f t="shared" ref="E5:E19" si="0">D5/$D$21</f>
        <v>6.7290963924971817E-2</v>
      </c>
    </row>
    <row r="6" spans="1:7" x14ac:dyDescent="0.3">
      <c r="A6" t="s">
        <v>7</v>
      </c>
      <c r="B6" s="1">
        <f>(840+420)*2+290+562</f>
        <v>3372</v>
      </c>
      <c r="C6" s="4">
        <v>327.75</v>
      </c>
      <c r="D6">
        <f t="shared" ref="D6:D19" si="1">C6*B6</f>
        <v>1105173</v>
      </c>
      <c r="E6" s="3">
        <f t="shared" si="0"/>
        <v>4.0077255296802623E-2</v>
      </c>
    </row>
    <row r="7" spans="1:7" x14ac:dyDescent="0.3">
      <c r="A7" t="s">
        <v>28</v>
      </c>
      <c r="B7" s="1">
        <f>130+126+33+57+173</f>
        <v>519</v>
      </c>
      <c r="C7" s="4">
        <v>3930.55</v>
      </c>
      <c r="D7">
        <f t="shared" si="1"/>
        <v>2039955.4500000002</v>
      </c>
      <c r="E7" s="3">
        <f t="shared" si="0"/>
        <v>7.3975581527737186E-2</v>
      </c>
    </row>
    <row r="8" spans="1:7" x14ac:dyDescent="0.3">
      <c r="A8" t="s">
        <v>24</v>
      </c>
      <c r="B8" s="1">
        <f>1280+1280+1280+910+1300+1300+2940+1300</f>
        <v>11590</v>
      </c>
      <c r="C8" s="4">
        <v>182.25</v>
      </c>
      <c r="D8">
        <f t="shared" si="1"/>
        <v>2112277.5</v>
      </c>
      <c r="E8" s="3">
        <f t="shared" si="0"/>
        <v>7.6598220029979014E-2</v>
      </c>
    </row>
    <row r="9" spans="1:7" x14ac:dyDescent="0.3">
      <c r="A9" t="s">
        <v>33</v>
      </c>
      <c r="B9" s="1">
        <v>96000</v>
      </c>
      <c r="C9" s="4">
        <v>10</v>
      </c>
      <c r="D9">
        <f t="shared" si="1"/>
        <v>960000</v>
      </c>
      <c r="E9" s="3">
        <f t="shared" si="0"/>
        <v>3.4812798616081393E-2</v>
      </c>
    </row>
    <row r="10" spans="1:7" x14ac:dyDescent="0.3">
      <c r="A10" t="s">
        <v>29</v>
      </c>
      <c r="B10" s="1">
        <v>1727</v>
      </c>
      <c r="C10" s="4">
        <v>668.2</v>
      </c>
      <c r="D10">
        <f t="shared" si="1"/>
        <v>1153981.4000000001</v>
      </c>
      <c r="E10" s="3">
        <f t="shared" si="0"/>
        <v>4.1847210505107993E-2</v>
      </c>
    </row>
    <row r="11" spans="1:7" x14ac:dyDescent="0.3">
      <c r="A11" t="s">
        <v>25</v>
      </c>
      <c r="B11" s="1">
        <f>(570-142-142-56)*10</f>
        <v>2300</v>
      </c>
      <c r="C11" s="4">
        <v>449.15</v>
      </c>
      <c r="D11">
        <f>C11*B11</f>
        <v>1033045</v>
      </c>
      <c r="E11" s="3">
        <f t="shared" si="0"/>
        <v>3.7461653694114375E-2</v>
      </c>
      <c r="G11" t="s">
        <v>40</v>
      </c>
    </row>
    <row r="12" spans="1:7" x14ac:dyDescent="0.3">
      <c r="A12" t="s">
        <v>32</v>
      </c>
      <c r="B12" s="1">
        <f>1875+937+309+619</f>
        <v>3740</v>
      </c>
      <c r="C12" s="4">
        <v>459.8</v>
      </c>
      <c r="D12">
        <f t="shared" si="1"/>
        <v>1719652</v>
      </c>
      <c r="E12" s="3">
        <f t="shared" si="0"/>
        <v>6.2360311214314165E-2</v>
      </c>
    </row>
    <row r="13" spans="1:7" x14ac:dyDescent="0.3">
      <c r="A13" t="s">
        <v>27</v>
      </c>
      <c r="B13" s="1">
        <f>1000+1150+450+500+1000+900+900+500+160-656-590-797-452-252</f>
        <v>3813</v>
      </c>
      <c r="C13" s="4">
        <v>1514.2</v>
      </c>
      <c r="D13">
        <f t="shared" si="1"/>
        <v>5773644.6000000006</v>
      </c>
      <c r="E13" s="3">
        <f t="shared" si="0"/>
        <v>0.20937159035481856</v>
      </c>
    </row>
    <row r="14" spans="1:7" x14ac:dyDescent="0.3">
      <c r="A14" t="s">
        <v>26</v>
      </c>
      <c r="B14" s="1">
        <f>480+154+159+192</f>
        <v>985</v>
      </c>
      <c r="C14" s="4">
        <v>1870.15</v>
      </c>
      <c r="D14">
        <f>C14*B14</f>
        <v>1842097.75</v>
      </c>
      <c r="E14" s="3">
        <f t="shared" si="0"/>
        <v>6.6800602085298588E-2</v>
      </c>
    </row>
    <row r="15" spans="1:7" x14ac:dyDescent="0.3">
      <c r="A15" t="s">
        <v>34</v>
      </c>
      <c r="B15" s="1">
        <v>10500</v>
      </c>
      <c r="C15" s="4">
        <v>109.4</v>
      </c>
      <c r="D15">
        <f>C15*B15</f>
        <v>1148700</v>
      </c>
      <c r="E15" s="3">
        <f t="shared" si="0"/>
        <v>4.1655689344054891E-2</v>
      </c>
    </row>
    <row r="16" spans="1:7" x14ac:dyDescent="0.3">
      <c r="A16" t="s">
        <v>8</v>
      </c>
      <c r="B16" s="1">
        <f>6886+2045-4465+4466+4466+13398+9475</f>
        <v>36271</v>
      </c>
      <c r="C16" s="4">
        <v>72.45</v>
      </c>
      <c r="D16">
        <f t="shared" si="1"/>
        <v>2627833.9500000002</v>
      </c>
      <c r="E16" s="3">
        <f t="shared" si="0"/>
        <v>9.5294014685262191E-2</v>
      </c>
    </row>
    <row r="17" spans="1:5" x14ac:dyDescent="0.3">
      <c r="A17" t="s">
        <v>9</v>
      </c>
      <c r="B17" s="1">
        <f>920+319+331-785+393+355</f>
        <v>1533</v>
      </c>
      <c r="C17" s="4">
        <v>417.4</v>
      </c>
      <c r="D17">
        <f t="shared" si="1"/>
        <v>639874.19999999995</v>
      </c>
      <c r="E17" s="3">
        <f t="shared" si="0"/>
        <v>2.3203970483568943E-2</v>
      </c>
    </row>
    <row r="18" spans="1:5" x14ac:dyDescent="0.3">
      <c r="A18" t="s">
        <v>30</v>
      </c>
      <c r="B18" s="1">
        <f>3075+1537+1153</f>
        <v>5765</v>
      </c>
      <c r="C18" s="4">
        <v>581.35</v>
      </c>
      <c r="D18">
        <f t="shared" si="1"/>
        <v>3351482.75</v>
      </c>
      <c r="E18" s="3">
        <f t="shared" si="0"/>
        <v>0.12153593129272984</v>
      </c>
    </row>
    <row r="19" spans="1:5" x14ac:dyDescent="0.3">
      <c r="A19" t="s">
        <v>10</v>
      </c>
      <c r="B19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</f>
        <v>212.72959999999887</v>
      </c>
      <c r="C19" s="4">
        <v>999.99</v>
      </c>
      <c r="D19">
        <f t="shared" si="1"/>
        <v>212727.47270399888</v>
      </c>
      <c r="E19" s="3">
        <f t="shared" si="0"/>
        <v>7.714206945158608E-3</v>
      </c>
    </row>
    <row r="20" spans="1:5" x14ac:dyDescent="0.3">
      <c r="B20" s="1"/>
      <c r="E20" s="3"/>
    </row>
    <row r="21" spans="1:5" x14ac:dyDescent="0.3">
      <c r="B21" s="1"/>
      <c r="D21">
        <f>SUM(D5:D19)</f>
        <v>27576065.072703995</v>
      </c>
    </row>
    <row r="22" spans="1:5" x14ac:dyDescent="0.3">
      <c r="A22" t="s">
        <v>41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4E35-EC67-45DB-ADD0-3C4F4D37C920}">
  <sheetPr>
    <pageSetUpPr fitToPage="1"/>
  </sheetPr>
  <dimension ref="A1:J21"/>
  <sheetViews>
    <sheetView workbookViewId="0">
      <selection activeCell="B16" sqref="B16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41.5546875" bestFit="1" customWidth="1"/>
    <col min="10" max="10" width="9.109375" style="4"/>
  </cols>
  <sheetData>
    <row r="1" spans="1:7" x14ac:dyDescent="0.3">
      <c r="A1" t="s">
        <v>0</v>
      </c>
      <c r="B1" s="2">
        <v>44685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421.25</v>
      </c>
      <c r="D5">
        <f>C5*B5</f>
        <v>1850130</v>
      </c>
      <c r="E5" s="3">
        <f t="shared" ref="E5:E19" si="0">D5/$D$21</f>
        <v>7.0169976186499533E-2</v>
      </c>
    </row>
    <row r="6" spans="1:7" x14ac:dyDescent="0.3">
      <c r="A6" t="s">
        <v>7</v>
      </c>
      <c r="B6" s="1">
        <f>(840+420)*2+290+562</f>
        <v>3372</v>
      </c>
      <c r="C6" s="4">
        <v>313.95</v>
      </c>
      <c r="D6">
        <f t="shared" ref="D6:D19" si="1">C6*B6</f>
        <v>1058639.3999999999</v>
      </c>
      <c r="E6" s="3">
        <f t="shared" si="0"/>
        <v>4.0151071269635186E-2</v>
      </c>
    </row>
    <row r="7" spans="1:7" x14ac:dyDescent="0.3">
      <c r="A7" t="s">
        <v>28</v>
      </c>
      <c r="B7" s="1">
        <f>130+126+33+57+173</f>
        <v>519</v>
      </c>
      <c r="C7" s="4">
        <v>3834.45</v>
      </c>
      <c r="D7">
        <f t="shared" si="1"/>
        <v>1990079.5499999998</v>
      </c>
      <c r="E7" s="3">
        <f t="shared" si="0"/>
        <v>7.5477850006615582E-2</v>
      </c>
    </row>
    <row r="8" spans="1:7" x14ac:dyDescent="0.3">
      <c r="A8" t="s">
        <v>24</v>
      </c>
      <c r="B8" s="1">
        <f>1280+1280+1280+910+1300+1300+2940+1300</f>
        <v>11590</v>
      </c>
      <c r="C8" s="4">
        <v>197.75</v>
      </c>
      <c r="D8">
        <f t="shared" si="1"/>
        <v>2291922.5</v>
      </c>
      <c r="E8" s="3">
        <f t="shared" si="0"/>
        <v>8.6925863180588647E-2</v>
      </c>
    </row>
    <row r="9" spans="1:7" x14ac:dyDescent="0.3">
      <c r="A9" t="s">
        <v>33</v>
      </c>
      <c r="B9" s="1">
        <v>96000</v>
      </c>
      <c r="C9" s="4">
        <v>9.3000000000000007</v>
      </c>
      <c r="D9">
        <f t="shared" si="1"/>
        <v>892800.00000000012</v>
      </c>
      <c r="E9" s="3">
        <f t="shared" si="0"/>
        <v>3.3861271769717149E-2</v>
      </c>
    </row>
    <row r="10" spans="1:7" x14ac:dyDescent="0.3">
      <c r="A10" t="s">
        <v>29</v>
      </c>
      <c r="B10" s="1">
        <v>1727</v>
      </c>
      <c r="C10" s="4">
        <v>691.4</v>
      </c>
      <c r="D10">
        <f t="shared" si="1"/>
        <v>1194047.8</v>
      </c>
      <c r="E10" s="3">
        <f t="shared" si="0"/>
        <v>4.5286712658862978E-2</v>
      </c>
    </row>
    <row r="11" spans="1:7" x14ac:dyDescent="0.3">
      <c r="A11" t="s">
        <v>25</v>
      </c>
      <c r="B11" s="1">
        <f>(570-142-142-56)*10</f>
        <v>2300</v>
      </c>
      <c r="C11" s="4">
        <v>429.25</v>
      </c>
      <c r="D11">
        <f>C11*B11</f>
        <v>987275</v>
      </c>
      <c r="E11" s="3">
        <f t="shared" si="0"/>
        <v>3.7444429980339936E-2</v>
      </c>
    </row>
    <row r="12" spans="1:7" x14ac:dyDescent="0.3">
      <c r="A12" t="s">
        <v>32</v>
      </c>
      <c r="B12" s="1">
        <f>1875+937+309+619</f>
        <v>3740</v>
      </c>
      <c r="C12" s="4">
        <v>434.6</v>
      </c>
      <c r="D12">
        <f t="shared" si="1"/>
        <v>1625404</v>
      </c>
      <c r="E12" s="3">
        <f t="shared" si="0"/>
        <v>6.1646781563155603E-2</v>
      </c>
    </row>
    <row r="13" spans="1:7" x14ac:dyDescent="0.3">
      <c r="A13" t="s">
        <v>27</v>
      </c>
      <c r="B13" s="1">
        <f>1000+1150+450+500+1000+900+900+500+160-656-590-797-452-252</f>
        <v>3813</v>
      </c>
      <c r="C13" s="4">
        <v>1430.4</v>
      </c>
      <c r="D13">
        <f t="shared" si="1"/>
        <v>5454115.2000000002</v>
      </c>
      <c r="E13" s="3">
        <f t="shared" si="0"/>
        <v>0.20685850924120203</v>
      </c>
    </row>
    <row r="14" spans="1:7" x14ac:dyDescent="0.3">
      <c r="A14" t="s">
        <v>26</v>
      </c>
      <c r="B14" s="1">
        <f>480+154+159+192</f>
        <v>985</v>
      </c>
      <c r="C14" s="4">
        <v>1845.45</v>
      </c>
      <c r="D14">
        <f>C14*B14</f>
        <v>1817768.25</v>
      </c>
      <c r="E14" s="3">
        <f t="shared" si="0"/>
        <v>6.8942590420713643E-2</v>
      </c>
    </row>
    <row r="15" spans="1:7" x14ac:dyDescent="0.3">
      <c r="A15" t="s">
        <v>34</v>
      </c>
      <c r="B15" s="1">
        <v>10500</v>
      </c>
      <c r="C15" s="4">
        <v>104.75</v>
      </c>
      <c r="D15">
        <f>C15*B15</f>
        <v>1099875</v>
      </c>
      <c r="E15" s="3">
        <f t="shared" si="0"/>
        <v>4.171501600326797E-2</v>
      </c>
    </row>
    <row r="16" spans="1:7" x14ac:dyDescent="0.3">
      <c r="A16" t="s">
        <v>8</v>
      </c>
      <c r="B16" s="1">
        <f>6886+2045-4465+4466+4466+13398+9475-20183</f>
        <v>16088</v>
      </c>
      <c r="C16" s="4">
        <v>52.9</v>
      </c>
      <c r="D16">
        <f t="shared" si="1"/>
        <v>851055.2</v>
      </c>
      <c r="E16" s="3">
        <f t="shared" si="0"/>
        <v>3.2278014581351898E-2</v>
      </c>
      <c r="G16" t="s">
        <v>42</v>
      </c>
    </row>
    <row r="17" spans="1:7" x14ac:dyDescent="0.3">
      <c r="A17" t="s">
        <v>9</v>
      </c>
      <c r="B17" s="1">
        <f>920+319+331-785+393+355</f>
        <v>1533</v>
      </c>
      <c r="C17" s="4">
        <v>397.55</v>
      </c>
      <c r="D17">
        <f t="shared" si="1"/>
        <v>609444.15</v>
      </c>
      <c r="E17" s="3">
        <f t="shared" si="0"/>
        <v>2.3114419793474755E-2</v>
      </c>
    </row>
    <row r="18" spans="1:7" x14ac:dyDescent="0.3">
      <c r="A18" t="s">
        <v>30</v>
      </c>
      <c r="B18" s="1">
        <f>3075+1537+1153</f>
        <v>5765</v>
      </c>
      <c r="C18" s="4">
        <v>579.04999999999995</v>
      </c>
      <c r="D18">
        <f t="shared" si="1"/>
        <v>3338223.2499999995</v>
      </c>
      <c r="E18" s="3">
        <f t="shared" si="0"/>
        <v>0.12660896583360035</v>
      </c>
    </row>
    <row r="19" spans="1:7" x14ac:dyDescent="0.3">
      <c r="A19" t="s">
        <v>10</v>
      </c>
      <c r="B19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</f>
        <v>1305.6385999999989</v>
      </c>
      <c r="C19" s="4">
        <v>999.99</v>
      </c>
      <c r="D19">
        <f t="shared" si="1"/>
        <v>1305625.5436139989</v>
      </c>
      <c r="E19" s="3">
        <f t="shared" si="0"/>
        <v>4.9518527510974797E-2</v>
      </c>
      <c r="G19" t="s">
        <v>43</v>
      </c>
    </row>
    <row r="20" spans="1:7" x14ac:dyDescent="0.3">
      <c r="B20" s="1"/>
      <c r="E20" s="3"/>
    </row>
    <row r="21" spans="1:7" x14ac:dyDescent="0.3">
      <c r="B21" s="1"/>
      <c r="D21">
        <f>SUM(D5:D19)</f>
        <v>26366404.843613997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07E2-9C7C-4E3D-9B2F-535C32121221}">
  <sheetPr>
    <pageSetUpPr fitToPage="1"/>
  </sheetPr>
  <dimension ref="A1:J21"/>
  <sheetViews>
    <sheetView workbookViewId="0">
      <selection activeCell="B2" sqref="B2"/>
    </sheetView>
  </sheetViews>
  <sheetFormatPr defaultRowHeight="14.4" x14ac:dyDescent="0.3"/>
  <cols>
    <col min="1" max="1" width="17" bestFit="1" customWidth="1"/>
    <col min="2" max="2" width="16.88671875" customWidth="1"/>
    <col min="3" max="3" width="9.109375" style="4"/>
    <col min="4" max="4" width="12" bestFit="1" customWidth="1"/>
    <col min="5" max="5" width="11" customWidth="1"/>
    <col min="7" max="7" width="41.5546875" bestFit="1" customWidth="1"/>
    <col min="10" max="10" width="9.109375" style="4"/>
  </cols>
  <sheetData>
    <row r="1" spans="1:7" x14ac:dyDescent="0.3">
      <c r="A1" t="s">
        <v>0</v>
      </c>
      <c r="B1" s="2">
        <v>44690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379.15</v>
      </c>
      <c r="D5">
        <f>C5*B5</f>
        <v>1665226.7999999998</v>
      </c>
      <c r="E5" s="3">
        <f t="shared" ref="E5:E19" si="0">D5/$D$21</f>
        <v>6.653626010926382E-2</v>
      </c>
    </row>
    <row r="6" spans="1:7" x14ac:dyDescent="0.3">
      <c r="A6" t="s">
        <v>7</v>
      </c>
      <c r="B6" s="1">
        <f>(840+420)*2+290+562</f>
        <v>3372</v>
      </c>
      <c r="C6" s="4">
        <v>295.14999999999998</v>
      </c>
      <c r="D6">
        <f t="shared" ref="D6:D19" si="1">C6*B6</f>
        <v>995245.79999999993</v>
      </c>
      <c r="E6" s="3">
        <f t="shared" si="0"/>
        <v>3.9766314967698307E-2</v>
      </c>
    </row>
    <row r="7" spans="1:7" x14ac:dyDescent="0.3">
      <c r="A7" t="s">
        <v>28</v>
      </c>
      <c r="B7" s="1">
        <f>130+126+33+57+173+130</f>
        <v>649</v>
      </c>
      <c r="C7" s="4">
        <v>3639.95</v>
      </c>
      <c r="D7">
        <f t="shared" si="1"/>
        <v>2362327.5499999998</v>
      </c>
      <c r="E7" s="3">
        <f t="shared" si="0"/>
        <v>9.4389809442221279E-2</v>
      </c>
      <c r="G7" t="s">
        <v>44</v>
      </c>
    </row>
    <row r="8" spans="1:7" x14ac:dyDescent="0.3">
      <c r="A8" t="s">
        <v>24</v>
      </c>
      <c r="B8" s="1">
        <f>1280+1280+1280+910+1300+1300+2940+1300</f>
        <v>11590</v>
      </c>
      <c r="C8" s="4">
        <v>183.8</v>
      </c>
      <c r="D8">
        <f t="shared" si="1"/>
        <v>2130242</v>
      </c>
      <c r="E8" s="3">
        <f t="shared" si="0"/>
        <v>8.5116535361836831E-2</v>
      </c>
    </row>
    <row r="9" spans="1:7" x14ac:dyDescent="0.3">
      <c r="A9" t="s">
        <v>33</v>
      </c>
      <c r="B9" s="1">
        <v>96000</v>
      </c>
      <c r="C9" s="4">
        <v>9.0500000000000007</v>
      </c>
      <c r="D9">
        <f t="shared" si="1"/>
        <v>868800.00000000012</v>
      </c>
      <c r="E9" s="3">
        <f t="shared" si="0"/>
        <v>3.4714011798830297E-2</v>
      </c>
    </row>
    <row r="10" spans="1:7" x14ac:dyDescent="0.3">
      <c r="A10" t="s">
        <v>29</v>
      </c>
      <c r="B10" s="1">
        <v>1727</v>
      </c>
      <c r="C10" s="4">
        <v>649.45000000000005</v>
      </c>
      <c r="D10">
        <f t="shared" si="1"/>
        <v>1121600.1500000001</v>
      </c>
      <c r="E10" s="3">
        <f t="shared" si="0"/>
        <v>4.4814964135209287E-2</v>
      </c>
    </row>
    <row r="11" spans="1:7" x14ac:dyDescent="0.3">
      <c r="A11" t="s">
        <v>25</v>
      </c>
      <c r="B11" s="1">
        <f>(570-142-142-56)*10</f>
        <v>2300</v>
      </c>
      <c r="C11" s="4">
        <v>395.1</v>
      </c>
      <c r="D11">
        <f>C11*B11</f>
        <v>908730</v>
      </c>
      <c r="E11" s="3">
        <f t="shared" si="0"/>
        <v>3.6309465863203327E-2</v>
      </c>
    </row>
    <row r="12" spans="1:7" x14ac:dyDescent="0.3">
      <c r="A12" t="s">
        <v>32</v>
      </c>
      <c r="B12" s="1">
        <f>1875+937+309+619</f>
        <v>3740</v>
      </c>
      <c r="C12" s="4">
        <v>411.3</v>
      </c>
      <c r="D12">
        <f t="shared" si="1"/>
        <v>1538262</v>
      </c>
      <c r="E12" s="3">
        <f t="shared" si="0"/>
        <v>6.1463219633623709E-2</v>
      </c>
    </row>
    <row r="13" spans="1:7" x14ac:dyDescent="0.3">
      <c r="A13" t="s">
        <v>27</v>
      </c>
      <c r="B13" s="1">
        <f>1000+1150+450+500+1000+900+900+500+160-656-590-797-452-252</f>
        <v>3813</v>
      </c>
      <c r="C13" s="4">
        <v>1367.4</v>
      </c>
      <c r="D13">
        <f t="shared" si="1"/>
        <v>5213896.2</v>
      </c>
      <c r="E13" s="3">
        <f t="shared" si="0"/>
        <v>0.20832787086173621</v>
      </c>
    </row>
    <row r="14" spans="1:7" x14ac:dyDescent="0.3">
      <c r="A14" t="s">
        <v>26</v>
      </c>
      <c r="B14" s="1">
        <f>480+154+159+192</f>
        <v>985</v>
      </c>
      <c r="C14" s="4">
        <v>1822.45</v>
      </c>
      <c r="D14">
        <f>C14*B14</f>
        <v>1795113.25</v>
      </c>
      <c r="E14" s="3">
        <f t="shared" si="0"/>
        <v>7.1726038836022785E-2</v>
      </c>
    </row>
    <row r="15" spans="1:7" x14ac:dyDescent="0.3">
      <c r="A15" t="s">
        <v>34</v>
      </c>
      <c r="B15" s="1">
        <v>10500</v>
      </c>
      <c r="C15" s="4">
        <v>102.05</v>
      </c>
      <c r="D15">
        <f>C15*B15</f>
        <v>1071525</v>
      </c>
      <c r="E15" s="3">
        <f t="shared" si="0"/>
        <v>4.2814147666599481E-2</v>
      </c>
    </row>
    <row r="16" spans="1:7" x14ac:dyDescent="0.3">
      <c r="A16" t="s">
        <v>8</v>
      </c>
      <c r="B16" s="1">
        <f>6886+2045-4465+4466+4466+13398+9475-20183</f>
        <v>16088</v>
      </c>
      <c r="C16" s="4">
        <v>44.95</v>
      </c>
      <c r="D16">
        <f t="shared" si="1"/>
        <v>723155.60000000009</v>
      </c>
      <c r="E16" s="3">
        <f t="shared" si="0"/>
        <v>2.8894604087005296E-2</v>
      </c>
    </row>
    <row r="17" spans="1:7" x14ac:dyDescent="0.3">
      <c r="A17" t="s">
        <v>9</v>
      </c>
      <c r="B17" s="1">
        <f>920+319+331-785+393+355</f>
        <v>1533</v>
      </c>
      <c r="C17" s="4">
        <v>386.2</v>
      </c>
      <c r="D17">
        <f t="shared" si="1"/>
        <v>592044.6</v>
      </c>
      <c r="E17" s="3">
        <f t="shared" si="0"/>
        <v>2.3655896903583978E-2</v>
      </c>
    </row>
    <row r="18" spans="1:7" x14ac:dyDescent="0.3">
      <c r="A18" t="s">
        <v>30</v>
      </c>
      <c r="B18" s="1">
        <f>3075+1537+1153</f>
        <v>5765</v>
      </c>
      <c r="C18" s="4">
        <v>560.9</v>
      </c>
      <c r="D18">
        <f t="shared" si="1"/>
        <v>3233588.5</v>
      </c>
      <c r="E18" s="3">
        <f t="shared" si="0"/>
        <v>0.12920215163623613</v>
      </c>
    </row>
    <row r="19" spans="1:7" x14ac:dyDescent="0.3">
      <c r="A19" t="s">
        <v>10</v>
      </c>
      <c r="B19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</f>
        <v>807.60859999999889</v>
      </c>
      <c r="C19" s="4">
        <v>999.99</v>
      </c>
      <c r="D19">
        <f t="shared" si="1"/>
        <v>807600.52391399886</v>
      </c>
      <c r="E19" s="3">
        <f t="shared" si="0"/>
        <v>3.2268708696929188E-2</v>
      </c>
      <c r="G19" t="s">
        <v>45</v>
      </c>
    </row>
    <row r="20" spans="1:7" x14ac:dyDescent="0.3">
      <c r="B20" s="1"/>
      <c r="E20" s="3"/>
    </row>
    <row r="21" spans="1:7" x14ac:dyDescent="0.3">
      <c r="B21" s="1"/>
      <c r="D21">
        <f>SUM(D5:D19)</f>
        <v>25027357.973914001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16A3-860B-40DD-98F1-87B1A065B6B0}">
  <sheetPr>
    <pageSetUpPr fitToPage="1"/>
  </sheetPr>
  <dimension ref="A1:J22"/>
  <sheetViews>
    <sheetView workbookViewId="0">
      <selection activeCell="B14" sqref="B14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4"/>
    <col min="4" max="4" width="12" bestFit="1" customWidth="1"/>
    <col min="5" max="5" width="11" customWidth="1"/>
    <col min="7" max="7" width="41.5546875" bestFit="1" customWidth="1"/>
    <col min="10" max="10" width="8.88671875" style="4"/>
  </cols>
  <sheetData>
    <row r="1" spans="1:7" x14ac:dyDescent="0.3">
      <c r="A1" t="s">
        <v>0</v>
      </c>
      <c r="B1" s="2">
        <v>44767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276.25</v>
      </c>
      <c r="D5">
        <f>C5*B5</f>
        <v>1213290</v>
      </c>
      <c r="E5" s="3">
        <f t="shared" ref="E5:E20" si="0">D5/$D$22</f>
        <v>5.4094038875231086E-2</v>
      </c>
    </row>
    <row r="6" spans="1:7" x14ac:dyDescent="0.3">
      <c r="A6" t="s">
        <v>7</v>
      </c>
      <c r="B6" s="1">
        <f>(840+420)*2+290+562</f>
        <v>3372</v>
      </c>
      <c r="C6" s="4">
        <v>287.75</v>
      </c>
      <c r="D6">
        <f t="shared" ref="D6:D20" si="1">C6*B6</f>
        <v>970293</v>
      </c>
      <c r="E6" s="3">
        <f t="shared" si="0"/>
        <v>4.3260116923707112E-2</v>
      </c>
    </row>
    <row r="7" spans="1:7" x14ac:dyDescent="0.3">
      <c r="A7" t="s">
        <v>28</v>
      </c>
      <c r="B7" s="1">
        <f>130+126+33+57+173+130</f>
        <v>649</v>
      </c>
      <c r="C7" s="4">
        <v>3509.55</v>
      </c>
      <c r="D7">
        <f t="shared" si="1"/>
        <v>2277697.9500000002</v>
      </c>
      <c r="E7" s="3">
        <f t="shared" si="0"/>
        <v>0.10155023238742111</v>
      </c>
    </row>
    <row r="8" spans="1:7" x14ac:dyDescent="0.3">
      <c r="A8" t="s">
        <v>24</v>
      </c>
      <c r="B8" s="1">
        <f>1280+1280+1280+910+1300+1300+2940+1300</f>
        <v>11590</v>
      </c>
      <c r="C8" s="4">
        <v>166.85</v>
      </c>
      <c r="D8">
        <f t="shared" si="1"/>
        <v>1933791.5</v>
      </c>
      <c r="E8" s="3">
        <f t="shared" si="0"/>
        <v>8.6217303841283982E-2</v>
      </c>
    </row>
    <row r="9" spans="1:7" x14ac:dyDescent="0.3">
      <c r="A9" t="s">
        <v>33</v>
      </c>
      <c r="B9" s="1">
        <v>96000</v>
      </c>
      <c r="C9" s="4">
        <v>8.9499999999999993</v>
      </c>
      <c r="D9">
        <f t="shared" si="1"/>
        <v>859199.99999999988</v>
      </c>
      <c r="E9" s="3">
        <f t="shared" si="0"/>
        <v>3.8307080913547911E-2</v>
      </c>
    </row>
    <row r="10" spans="1:7" x14ac:dyDescent="0.3">
      <c r="A10" t="s">
        <v>46</v>
      </c>
      <c r="B10" s="1">
        <v>635</v>
      </c>
      <c r="C10" s="4">
        <v>1841</v>
      </c>
      <c r="D10">
        <f t="shared" si="1"/>
        <v>1169035</v>
      </c>
      <c r="E10" s="3">
        <f t="shared" si="0"/>
        <v>5.2120947783716814E-2</v>
      </c>
      <c r="G10" t="s">
        <v>48</v>
      </c>
    </row>
    <row r="11" spans="1:7" x14ac:dyDescent="0.3">
      <c r="A11" t="s">
        <v>29</v>
      </c>
      <c r="B11" s="1">
        <v>1727</v>
      </c>
      <c r="C11" s="4">
        <v>595</v>
      </c>
      <c r="D11">
        <f t="shared" si="1"/>
        <v>1027565</v>
      </c>
      <c r="E11" s="3">
        <f t="shared" si="0"/>
        <v>4.5813565641212597E-2</v>
      </c>
    </row>
    <row r="12" spans="1:7" x14ac:dyDescent="0.3">
      <c r="A12" t="s">
        <v>25</v>
      </c>
      <c r="B12" s="1">
        <f>(570-142-142-56)*10</f>
        <v>2300</v>
      </c>
      <c r="C12" s="4">
        <v>401.05</v>
      </c>
      <c r="D12">
        <f>C12*B12</f>
        <v>922415</v>
      </c>
      <c r="E12" s="3">
        <f t="shared" si="0"/>
        <v>4.112549585762372E-2</v>
      </c>
    </row>
    <row r="13" spans="1:7" x14ac:dyDescent="0.3">
      <c r="A13" t="s">
        <v>32</v>
      </c>
      <c r="B13" s="1">
        <f>1875+937+309+619</f>
        <v>3740</v>
      </c>
      <c r="C13" s="4">
        <v>378.65</v>
      </c>
      <c r="D13">
        <f t="shared" si="1"/>
        <v>1416151</v>
      </c>
      <c r="E13" s="3">
        <f t="shared" si="0"/>
        <v>6.3138513667134299E-2</v>
      </c>
    </row>
    <row r="14" spans="1:7" x14ac:dyDescent="0.3">
      <c r="A14" t="s">
        <v>27</v>
      </c>
      <c r="B14" s="1">
        <f>1000+1150+450+500+1000+900+900+500+160-656-590-797-452-252-3813</f>
        <v>0</v>
      </c>
      <c r="C14" s="4">
        <v>943.6</v>
      </c>
      <c r="D14">
        <f t="shared" si="1"/>
        <v>0</v>
      </c>
      <c r="E14" s="3">
        <f t="shared" si="0"/>
        <v>0</v>
      </c>
      <c r="G14" t="s">
        <v>47</v>
      </c>
    </row>
    <row r="15" spans="1:7" x14ac:dyDescent="0.3">
      <c r="A15" t="s">
        <v>26</v>
      </c>
      <c r="B15" s="1">
        <f>480+154+159+192</f>
        <v>985</v>
      </c>
      <c r="C15" s="4">
        <v>2150.6</v>
      </c>
      <c r="D15">
        <f>C15*B15</f>
        <v>2118341</v>
      </c>
      <c r="E15" s="3">
        <f t="shared" si="0"/>
        <v>9.4445367888135484E-2</v>
      </c>
    </row>
    <row r="16" spans="1:7" x14ac:dyDescent="0.3">
      <c r="A16" t="s">
        <v>34</v>
      </c>
      <c r="B16" s="1">
        <v>10500</v>
      </c>
      <c r="C16" s="4">
        <v>131.30000000000001</v>
      </c>
      <c r="D16">
        <f>C16*B16</f>
        <v>1378650.0000000002</v>
      </c>
      <c r="E16" s="3">
        <f t="shared" si="0"/>
        <v>6.1466546905799398E-2</v>
      </c>
    </row>
    <row r="17" spans="1:7" x14ac:dyDescent="0.3">
      <c r="A17" t="s">
        <v>8</v>
      </c>
      <c r="B17" s="1">
        <f>6886+2045-4465+4466+4466+13398+9475-20183</f>
        <v>16088</v>
      </c>
      <c r="C17" s="4">
        <v>37.65</v>
      </c>
      <c r="D17">
        <f t="shared" si="1"/>
        <v>605713.19999999995</v>
      </c>
      <c r="E17" s="3">
        <f t="shared" si="0"/>
        <v>2.7005475515367819E-2</v>
      </c>
    </row>
    <row r="18" spans="1:7" x14ac:dyDescent="0.3">
      <c r="A18" t="s">
        <v>9</v>
      </c>
      <c r="B18" s="1">
        <f>920+319+331-785+393+355</f>
        <v>1533</v>
      </c>
      <c r="C18" s="4">
        <v>295.14999999999998</v>
      </c>
      <c r="D18">
        <f t="shared" si="1"/>
        <v>452464.94999999995</v>
      </c>
      <c r="E18" s="3">
        <f t="shared" si="0"/>
        <v>2.0172964909444147E-2</v>
      </c>
    </row>
    <row r="19" spans="1:7" x14ac:dyDescent="0.3">
      <c r="A19" t="s">
        <v>30</v>
      </c>
      <c r="B19" s="1">
        <f>3075+1537+1153</f>
        <v>5765</v>
      </c>
      <c r="C19" s="4">
        <v>681.4</v>
      </c>
      <c r="D19">
        <f t="shared" si="1"/>
        <v>3928271</v>
      </c>
      <c r="E19" s="3">
        <f t="shared" si="0"/>
        <v>0.17514035736422695</v>
      </c>
    </row>
    <row r="20" spans="1:7" x14ac:dyDescent="0.3">
      <c r="A20" t="s">
        <v>10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</f>
        <v>2156.4165999999987</v>
      </c>
      <c r="C20" s="4">
        <v>999.99</v>
      </c>
      <c r="D20">
        <f t="shared" si="1"/>
        <v>2156395.0358339986</v>
      </c>
      <c r="E20" s="3">
        <f t="shared" si="0"/>
        <v>9.6141991526147635E-2</v>
      </c>
      <c r="G20" t="s">
        <v>49</v>
      </c>
    </row>
    <row r="21" spans="1:7" x14ac:dyDescent="0.3">
      <c r="B21" s="1"/>
      <c r="E21" s="3"/>
    </row>
    <row r="22" spans="1:7" x14ac:dyDescent="0.3">
      <c r="B22" s="1"/>
      <c r="D22">
        <f>SUM(D5:D20)</f>
        <v>22429273.635833997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2565-1F35-465B-B1B3-99B8A6F8729C}">
  <sheetPr>
    <pageSetUpPr fitToPage="1"/>
  </sheetPr>
  <dimension ref="A1:J22"/>
  <sheetViews>
    <sheetView workbookViewId="0">
      <selection activeCell="B2" sqref="B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4"/>
    <col min="4" max="4" width="12" bestFit="1" customWidth="1"/>
    <col min="5" max="5" width="11" customWidth="1"/>
    <col min="7" max="7" width="41.5546875" bestFit="1" customWidth="1"/>
    <col min="10" max="10" width="8.88671875" style="4"/>
  </cols>
  <sheetData>
    <row r="1" spans="1:8" x14ac:dyDescent="0.3">
      <c r="A1" t="s">
        <v>0</v>
      </c>
      <c r="B1" s="2">
        <v>44789</v>
      </c>
      <c r="E1" s="3"/>
    </row>
    <row r="2" spans="1:8" x14ac:dyDescent="0.3">
      <c r="B2" s="1"/>
      <c r="E2" s="3"/>
    </row>
    <row r="3" spans="1:8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8" x14ac:dyDescent="0.3">
      <c r="B4" s="1"/>
      <c r="E4" s="3"/>
    </row>
    <row r="5" spans="1:8" x14ac:dyDescent="0.3">
      <c r="A5" t="s">
        <v>31</v>
      </c>
      <c r="B5" s="1">
        <f>1098*4</f>
        <v>4392</v>
      </c>
      <c r="C5" s="4">
        <v>291.2</v>
      </c>
      <c r="D5">
        <f>C5*B5</f>
        <v>1278950.3999999999</v>
      </c>
      <c r="E5" s="3">
        <f t="shared" ref="E5:E20" si="0">D5/$D$22</f>
        <v>5.7361951482403715E-2</v>
      </c>
    </row>
    <row r="6" spans="1:8" x14ac:dyDescent="0.3">
      <c r="A6" t="s">
        <v>7</v>
      </c>
      <c r="B6" s="1">
        <f>(840+420)*2+290+562</f>
        <v>3372</v>
      </c>
      <c r="C6" s="4">
        <v>301.95</v>
      </c>
      <c r="D6">
        <f t="shared" ref="D6:D20" si="1">C6*B6</f>
        <v>1018175.3999999999</v>
      </c>
      <c r="E6" s="3">
        <f t="shared" si="0"/>
        <v>4.5665983524753574E-2</v>
      </c>
    </row>
    <row r="7" spans="1:8" x14ac:dyDescent="0.3">
      <c r="A7" t="s">
        <v>28</v>
      </c>
      <c r="B7" s="1">
        <f>130+126+33+57+173+130</f>
        <v>649</v>
      </c>
      <c r="C7" s="4">
        <v>3580.4</v>
      </c>
      <c r="D7">
        <f t="shared" si="1"/>
        <v>2323679.6</v>
      </c>
      <c r="E7" s="3">
        <f t="shared" si="0"/>
        <v>0.10421889424003565</v>
      </c>
    </row>
    <row r="8" spans="1:8" x14ac:dyDescent="0.3">
      <c r="A8" t="s">
        <v>24</v>
      </c>
      <c r="B8" s="1">
        <f>1280+1280+1280+910+1300+1300+2940+1300</f>
        <v>11590</v>
      </c>
      <c r="C8" s="4">
        <v>170.4</v>
      </c>
      <c r="D8">
        <f t="shared" si="1"/>
        <v>1974936</v>
      </c>
      <c r="E8" s="3">
        <f t="shared" si="0"/>
        <v>8.8577463999270398E-2</v>
      </c>
    </row>
    <row r="9" spans="1:8" x14ac:dyDescent="0.3">
      <c r="A9" t="s">
        <v>33</v>
      </c>
      <c r="B9" s="1">
        <v>96000</v>
      </c>
      <c r="C9" s="4">
        <v>8.6999999999999993</v>
      </c>
      <c r="D9">
        <f t="shared" si="1"/>
        <v>835199.99999999988</v>
      </c>
      <c r="E9" s="3">
        <f t="shared" si="0"/>
        <v>3.7459390042102948E-2</v>
      </c>
    </row>
    <row r="10" spans="1:8" x14ac:dyDescent="0.3">
      <c r="A10" t="s">
        <v>50</v>
      </c>
      <c r="B10" s="1">
        <v>862</v>
      </c>
      <c r="C10" s="4">
        <v>650</v>
      </c>
      <c r="D10">
        <f t="shared" si="1"/>
        <v>560300</v>
      </c>
      <c r="E10" s="3">
        <f t="shared" si="0"/>
        <v>2.5129904502622466E-2</v>
      </c>
      <c r="G10" t="s">
        <v>53</v>
      </c>
      <c r="H10">
        <v>1723</v>
      </c>
    </row>
    <row r="11" spans="1:8" x14ac:dyDescent="0.3">
      <c r="A11" t="s">
        <v>46</v>
      </c>
      <c r="B11" s="1">
        <f>635</f>
        <v>635</v>
      </c>
      <c r="C11" s="4">
        <v>1921.35</v>
      </c>
      <c r="D11">
        <f t="shared" si="1"/>
        <v>1220057.25</v>
      </c>
      <c r="E11" s="3">
        <f t="shared" si="0"/>
        <v>5.4720546457669432E-2</v>
      </c>
    </row>
    <row r="12" spans="1:8" x14ac:dyDescent="0.3">
      <c r="A12" t="s">
        <v>29</v>
      </c>
      <c r="B12" s="1">
        <f>1727-863</f>
        <v>864</v>
      </c>
      <c r="C12" s="4">
        <v>599.85</v>
      </c>
      <c r="D12">
        <f t="shared" si="1"/>
        <v>518270.4</v>
      </c>
      <c r="E12" s="3">
        <f t="shared" si="0"/>
        <v>2.3244843224229782E-2</v>
      </c>
      <c r="G12" t="s">
        <v>52</v>
      </c>
    </row>
    <row r="13" spans="1:8" x14ac:dyDescent="0.3">
      <c r="A13" t="s">
        <v>25</v>
      </c>
      <c r="B13" s="1">
        <f>(570-142-142-56)*10</f>
        <v>2300</v>
      </c>
      <c r="C13" s="4">
        <v>400.1</v>
      </c>
      <c r="D13">
        <f t="shared" si="1"/>
        <v>920230</v>
      </c>
      <c r="E13" s="3">
        <f t="shared" si="0"/>
        <v>4.1273053757715998E-2</v>
      </c>
    </row>
    <row r="14" spans="1:8" x14ac:dyDescent="0.3">
      <c r="A14" t="s">
        <v>32</v>
      </c>
      <c r="B14" s="1">
        <f>1875+937+309+619</f>
        <v>3740</v>
      </c>
      <c r="C14" s="4">
        <v>379.7</v>
      </c>
      <c r="D14">
        <f t="shared" si="1"/>
        <v>1420078</v>
      </c>
      <c r="E14" s="3">
        <f t="shared" si="0"/>
        <v>6.3691637562511338E-2</v>
      </c>
    </row>
    <row r="15" spans="1:8" x14ac:dyDescent="0.3">
      <c r="A15" t="s">
        <v>26</v>
      </c>
      <c r="B15" s="1">
        <f>480+154+159+192</f>
        <v>985</v>
      </c>
      <c r="C15" s="4">
        <v>2239.4</v>
      </c>
      <c r="D15">
        <f t="shared" si="1"/>
        <v>2205809</v>
      </c>
      <c r="E15" s="3">
        <f t="shared" si="0"/>
        <v>9.8932303267937102E-2</v>
      </c>
    </row>
    <row r="16" spans="1:8" x14ac:dyDescent="0.3">
      <c r="A16" t="s">
        <v>34</v>
      </c>
      <c r="B16" s="1">
        <f>10500+5250</f>
        <v>15750</v>
      </c>
      <c r="C16" s="4">
        <v>133.75</v>
      </c>
      <c r="D16">
        <f t="shared" si="1"/>
        <v>2106562.5</v>
      </c>
      <c r="E16" s="3">
        <f t="shared" si="0"/>
        <v>9.4481018122087521E-2</v>
      </c>
      <c r="G16" t="s">
        <v>51</v>
      </c>
    </row>
    <row r="17" spans="1:7" x14ac:dyDescent="0.3">
      <c r="A17" t="s">
        <v>8</v>
      </c>
      <c r="B17" s="1">
        <f>6886+2045-4465+4466+4466+13398+9475-20183</f>
        <v>16088</v>
      </c>
      <c r="C17" s="4">
        <v>37.299999999999997</v>
      </c>
      <c r="D17">
        <f t="shared" si="1"/>
        <v>600082.39999999991</v>
      </c>
      <c r="E17" s="3">
        <f t="shared" si="0"/>
        <v>2.6914177058191137E-2</v>
      </c>
    </row>
    <row r="18" spans="1:7" x14ac:dyDescent="0.3">
      <c r="A18" t="s">
        <v>9</v>
      </c>
      <c r="B18" s="1">
        <f>920+319+331-785+393+355</f>
        <v>1533</v>
      </c>
      <c r="C18" s="4">
        <v>279.64999999999998</v>
      </c>
      <c r="D18">
        <f t="shared" si="1"/>
        <v>428703.44999999995</v>
      </c>
      <c r="E18" s="3">
        <f t="shared" si="0"/>
        <v>1.9227693661332829E-2</v>
      </c>
    </row>
    <row r="19" spans="1:7" x14ac:dyDescent="0.3">
      <c r="A19" t="s">
        <v>30</v>
      </c>
      <c r="B19" s="1">
        <f>3075+1537+1153</f>
        <v>5765</v>
      </c>
      <c r="C19" s="4">
        <v>621.25</v>
      </c>
      <c r="D19">
        <f t="shared" si="1"/>
        <v>3581506.25</v>
      </c>
      <c r="E19" s="3">
        <f t="shared" si="0"/>
        <v>0.16063342858833751</v>
      </c>
    </row>
    <row r="20" spans="1:7" x14ac:dyDescent="0.3">
      <c r="A20" t="s">
        <v>10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</f>
        <v>1303.6175999999987</v>
      </c>
      <c r="C20" s="4">
        <v>999.99</v>
      </c>
      <c r="D20">
        <f t="shared" si="1"/>
        <v>1303604.5638239987</v>
      </c>
      <c r="E20" s="3">
        <f t="shared" si="0"/>
        <v>5.8467710508798683E-2</v>
      </c>
      <c r="G20" t="s">
        <v>54</v>
      </c>
    </row>
    <row r="21" spans="1:7" x14ac:dyDescent="0.3">
      <c r="B21" s="1"/>
      <c r="E21" s="3"/>
    </row>
    <row r="22" spans="1:7" x14ac:dyDescent="0.3">
      <c r="B22" s="1"/>
      <c r="D22">
        <f>SUM(D5:D20)</f>
        <v>22296145.213823996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C8E2-804A-4759-A09A-78559EBF77C5}">
  <sheetPr>
    <pageSetUpPr fitToPage="1"/>
  </sheetPr>
  <dimension ref="A1:J23"/>
  <sheetViews>
    <sheetView workbookViewId="0">
      <selection activeCell="B2" sqref="B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4"/>
    <col min="4" max="4" width="12" bestFit="1" customWidth="1"/>
    <col min="5" max="5" width="11" customWidth="1"/>
    <col min="7" max="7" width="41.5546875" bestFit="1" customWidth="1"/>
    <col min="10" max="10" width="8.88671875" style="4"/>
  </cols>
  <sheetData>
    <row r="1" spans="1:7" x14ac:dyDescent="0.3">
      <c r="A1" t="s">
        <v>0</v>
      </c>
      <c r="B1" s="2">
        <v>44803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291.2</v>
      </c>
      <c r="D5">
        <f>C5*B5</f>
        <v>1278950.3999999999</v>
      </c>
      <c r="E5" s="3">
        <f t="shared" ref="E5:E21" si="0">D5/$D$23</f>
        <v>5.5972772353338925E-2</v>
      </c>
    </row>
    <row r="6" spans="1:7" x14ac:dyDescent="0.3">
      <c r="A6" t="s">
        <v>7</v>
      </c>
      <c r="B6" s="1">
        <f>(840+420)*2+290+562</f>
        <v>3372</v>
      </c>
      <c r="C6" s="4">
        <v>301.95</v>
      </c>
      <c r="D6">
        <f t="shared" ref="D6:D21" si="1">C6*B6</f>
        <v>1018175.3999999999</v>
      </c>
      <c r="E6" s="3">
        <f t="shared" si="0"/>
        <v>4.4560054776142846E-2</v>
      </c>
    </row>
    <row r="7" spans="1:7" x14ac:dyDescent="0.3">
      <c r="A7" t="s">
        <v>28</v>
      </c>
      <c r="B7" s="1">
        <f>130+126+33+57+173+130</f>
        <v>649</v>
      </c>
      <c r="C7" s="4">
        <v>3580.4</v>
      </c>
      <c r="D7">
        <f t="shared" si="1"/>
        <v>2323679.6</v>
      </c>
      <c r="E7" s="3">
        <f t="shared" si="0"/>
        <v>0.10169494397350957</v>
      </c>
    </row>
    <row r="8" spans="1:7" x14ac:dyDescent="0.3">
      <c r="A8" t="s">
        <v>24</v>
      </c>
      <c r="B8" s="1">
        <f>1280+1280+1280+910+1300+1300+2940+1300</f>
        <v>11590</v>
      </c>
      <c r="C8" s="4">
        <v>170.4</v>
      </c>
      <c r="D8">
        <f t="shared" si="1"/>
        <v>1974936</v>
      </c>
      <c r="E8" s="3">
        <f t="shared" si="0"/>
        <v>8.6432314451298328E-2</v>
      </c>
    </row>
    <row r="9" spans="1:7" x14ac:dyDescent="0.3">
      <c r="A9" t="s">
        <v>33</v>
      </c>
      <c r="B9" s="1">
        <v>96000</v>
      </c>
      <c r="C9" s="4">
        <v>8.6999999999999993</v>
      </c>
      <c r="D9">
        <f t="shared" si="1"/>
        <v>835199.99999999988</v>
      </c>
      <c r="E9" s="3">
        <f t="shared" si="0"/>
        <v>3.6552206770105136E-2</v>
      </c>
    </row>
    <row r="10" spans="1:7" x14ac:dyDescent="0.3">
      <c r="A10" t="s">
        <v>50</v>
      </c>
      <c r="B10" s="1">
        <v>862</v>
      </c>
      <c r="C10" s="4">
        <v>650</v>
      </c>
      <c r="D10">
        <f t="shared" si="1"/>
        <v>560300</v>
      </c>
      <c r="E10" s="3">
        <f t="shared" si="0"/>
        <v>2.4521314000586575E-2</v>
      </c>
    </row>
    <row r="11" spans="1:7" x14ac:dyDescent="0.3">
      <c r="A11" t="s">
        <v>46</v>
      </c>
      <c r="B11" s="1">
        <f>635</f>
        <v>635</v>
      </c>
      <c r="C11" s="4">
        <v>1921.35</v>
      </c>
      <c r="D11">
        <f t="shared" si="1"/>
        <v>1220057.25</v>
      </c>
      <c r="E11" s="3">
        <f t="shared" si="0"/>
        <v>5.3395336294738811E-2</v>
      </c>
    </row>
    <row r="12" spans="1:7" x14ac:dyDescent="0.3">
      <c r="A12" t="s">
        <v>61</v>
      </c>
      <c r="B12" s="1">
        <v>2540</v>
      </c>
      <c r="C12" s="4">
        <v>217.86</v>
      </c>
      <c r="D12">
        <f t="shared" si="1"/>
        <v>553364.4</v>
      </c>
      <c r="E12" s="3">
        <f t="shared" si="0"/>
        <v>2.4217780134117777E-2</v>
      </c>
      <c r="G12" t="s">
        <v>62</v>
      </c>
    </row>
    <row r="13" spans="1:7" x14ac:dyDescent="0.3">
      <c r="A13" t="s">
        <v>29</v>
      </c>
      <c r="B13" s="1">
        <f>1727-863</f>
        <v>864</v>
      </c>
      <c r="C13" s="4">
        <v>599.85</v>
      </c>
      <c r="D13">
        <f t="shared" si="1"/>
        <v>518270.4</v>
      </c>
      <c r="E13" s="3">
        <f t="shared" si="0"/>
        <v>2.2681904721773345E-2</v>
      </c>
    </row>
    <row r="14" spans="1:7" x14ac:dyDescent="0.3">
      <c r="A14" t="s">
        <v>25</v>
      </c>
      <c r="B14" s="1">
        <f>(570-142-142-56)*10</f>
        <v>2300</v>
      </c>
      <c r="C14" s="4">
        <v>400.1</v>
      </c>
      <c r="D14">
        <f t="shared" si="1"/>
        <v>920230</v>
      </c>
      <c r="E14" s="3">
        <f t="shared" si="0"/>
        <v>4.0273512016348004E-2</v>
      </c>
    </row>
    <row r="15" spans="1:7" x14ac:dyDescent="0.3">
      <c r="A15" t="s">
        <v>32</v>
      </c>
      <c r="B15" s="1">
        <f>1875+937+309+619</f>
        <v>3740</v>
      </c>
      <c r="C15" s="4">
        <v>379.7</v>
      </c>
      <c r="D15">
        <f t="shared" si="1"/>
        <v>1420078</v>
      </c>
      <c r="E15" s="3">
        <f t="shared" si="0"/>
        <v>6.2149167487640523E-2</v>
      </c>
    </row>
    <row r="16" spans="1:7" x14ac:dyDescent="0.3">
      <c r="A16" t="s">
        <v>26</v>
      </c>
      <c r="B16" s="1">
        <f>480+154+159+192</f>
        <v>985</v>
      </c>
      <c r="C16" s="4">
        <v>2239.4</v>
      </c>
      <c r="D16">
        <f t="shared" si="1"/>
        <v>2205809</v>
      </c>
      <c r="E16" s="3">
        <f t="shared" si="0"/>
        <v>9.6536382499232326E-2</v>
      </c>
    </row>
    <row r="17" spans="1:5" x14ac:dyDescent="0.3">
      <c r="A17" t="s">
        <v>34</v>
      </c>
      <c r="B17" s="1">
        <f>10500+5250</f>
        <v>15750</v>
      </c>
      <c r="C17" s="4">
        <v>133.75</v>
      </c>
      <c r="D17">
        <f t="shared" si="1"/>
        <v>2106562.5</v>
      </c>
      <c r="E17" s="3">
        <f t="shared" si="0"/>
        <v>9.2192897598359205E-2</v>
      </c>
    </row>
    <row r="18" spans="1:5" x14ac:dyDescent="0.3">
      <c r="A18" t="s">
        <v>8</v>
      </c>
      <c r="B18" s="1">
        <f>6886+2045-4465+4466+4466+13398+9475-20183</f>
        <v>16088</v>
      </c>
      <c r="C18" s="4">
        <v>37.299999999999997</v>
      </c>
      <c r="D18">
        <f t="shared" si="1"/>
        <v>600082.39999999991</v>
      </c>
      <c r="E18" s="3">
        <f t="shared" si="0"/>
        <v>2.6262375435705143E-2</v>
      </c>
    </row>
    <row r="19" spans="1:5" x14ac:dyDescent="0.3">
      <c r="A19" t="s">
        <v>9</v>
      </c>
      <c r="B19" s="1">
        <f>920+319+331-785+393+355</f>
        <v>1533</v>
      </c>
      <c r="C19" s="4">
        <v>279.64999999999998</v>
      </c>
      <c r="D19">
        <f t="shared" si="1"/>
        <v>428703.44999999995</v>
      </c>
      <c r="E19" s="3">
        <f t="shared" si="0"/>
        <v>1.87620416037565E-2</v>
      </c>
    </row>
    <row r="20" spans="1:5" x14ac:dyDescent="0.3">
      <c r="A20" t="s">
        <v>30</v>
      </c>
      <c r="B20" s="1">
        <f>3075+1537+1153</f>
        <v>5765</v>
      </c>
      <c r="C20" s="4">
        <v>621.25</v>
      </c>
      <c r="D20">
        <f t="shared" si="1"/>
        <v>3581506.25</v>
      </c>
      <c r="E20" s="3">
        <f t="shared" si="0"/>
        <v>0.15674324353259561</v>
      </c>
    </row>
    <row r="21" spans="1:5" x14ac:dyDescent="0.3">
      <c r="A21" t="s">
        <v>10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</f>
        <v>1303.6175999999987</v>
      </c>
      <c r="C21" s="4">
        <v>999.99</v>
      </c>
      <c r="D21">
        <f t="shared" si="1"/>
        <v>1303604.5638239987</v>
      </c>
      <c r="E21" s="3">
        <f t="shared" si="0"/>
        <v>5.7051752350751342E-2</v>
      </c>
    </row>
    <row r="22" spans="1:5" x14ac:dyDescent="0.3">
      <c r="B22" s="1"/>
      <c r="E22" s="3"/>
    </row>
    <row r="23" spans="1:5" x14ac:dyDescent="0.3">
      <c r="B23" s="1"/>
      <c r="D23">
        <f>SUM(D5:D21)</f>
        <v>22849509.613823999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3419-ECE3-436B-820A-7212D34F8C4B}">
  <sheetPr>
    <pageSetUpPr fitToPage="1"/>
  </sheetPr>
  <dimension ref="A1:J24"/>
  <sheetViews>
    <sheetView workbookViewId="0">
      <selection activeCell="B2" sqref="B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4"/>
    <col min="4" max="4" width="12" bestFit="1" customWidth="1"/>
    <col min="5" max="5" width="11" customWidth="1"/>
    <col min="7" max="7" width="41.5546875" bestFit="1" customWidth="1"/>
    <col min="10" max="10" width="8.88671875" style="4"/>
  </cols>
  <sheetData>
    <row r="1" spans="1:7" x14ac:dyDescent="0.3">
      <c r="A1" t="s">
        <v>0</v>
      </c>
      <c r="B1" s="2">
        <v>44818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300.89999999999998</v>
      </c>
      <c r="D5">
        <f>C5*B5</f>
        <v>1321552.7999999998</v>
      </c>
      <c r="E5" s="3">
        <f t="shared" ref="E5:E22" si="0">D5/$D$24</f>
        <v>5.4303771392750021E-2</v>
      </c>
    </row>
    <row r="6" spans="1:7" x14ac:dyDescent="0.3">
      <c r="A6" t="s">
        <v>7</v>
      </c>
      <c r="B6" s="1">
        <f>(840+420)*2+290+562</f>
        <v>3372</v>
      </c>
      <c r="C6" s="4">
        <v>325.7</v>
      </c>
      <c r="D6">
        <f t="shared" ref="D6:D22" si="1">C6*B6</f>
        <v>1098260.3999999999</v>
      </c>
      <c r="E6" s="3">
        <f t="shared" si="0"/>
        <v>4.5128489524830333E-2</v>
      </c>
    </row>
    <row r="7" spans="1:7" x14ac:dyDescent="0.3">
      <c r="A7" t="s">
        <v>28</v>
      </c>
      <c r="B7" s="1">
        <f>130+126+33+57+173+130</f>
        <v>649</v>
      </c>
      <c r="C7" s="4">
        <v>3535.9</v>
      </c>
      <c r="D7">
        <f t="shared" si="1"/>
        <v>2294799.1</v>
      </c>
      <c r="E7" s="3">
        <f t="shared" si="0"/>
        <v>9.4295321169678967E-2</v>
      </c>
    </row>
    <row r="8" spans="1:7" x14ac:dyDescent="0.3">
      <c r="A8" t="s">
        <v>24</v>
      </c>
      <c r="B8" s="1">
        <f>1280+1280+1280+910+1300+1300+2940+1300</f>
        <v>11590</v>
      </c>
      <c r="C8" s="4">
        <v>160.65</v>
      </c>
      <c r="D8">
        <f t="shared" si="1"/>
        <v>1861933.5</v>
      </c>
      <c r="E8" s="3">
        <f t="shared" si="0"/>
        <v>7.6508491474955018E-2</v>
      </c>
    </row>
    <row r="9" spans="1:7" x14ac:dyDescent="0.3">
      <c r="A9" t="s">
        <v>33</v>
      </c>
      <c r="B9" s="1">
        <v>96000</v>
      </c>
      <c r="C9" s="4">
        <v>9.9</v>
      </c>
      <c r="D9">
        <f t="shared" si="1"/>
        <v>950400</v>
      </c>
      <c r="E9" s="3">
        <f t="shared" si="0"/>
        <v>3.9052775138208345E-2</v>
      </c>
    </row>
    <row r="10" spans="1:7" x14ac:dyDescent="0.3">
      <c r="A10" t="s">
        <v>50</v>
      </c>
      <c r="B10" s="1">
        <f>862+390</f>
        <v>1252</v>
      </c>
      <c r="C10" s="4">
        <v>784.65</v>
      </c>
      <c r="D10">
        <f t="shared" si="1"/>
        <v>982381.79999999993</v>
      </c>
      <c r="E10" s="3">
        <f t="shared" si="0"/>
        <v>4.0366935537950711E-2</v>
      </c>
      <c r="G10" t="s">
        <v>57</v>
      </c>
    </row>
    <row r="11" spans="1:7" x14ac:dyDescent="0.3">
      <c r="A11" t="s">
        <v>46</v>
      </c>
      <c r="B11" s="1">
        <f>635</f>
        <v>635</v>
      </c>
      <c r="C11" s="4">
        <v>1926.5</v>
      </c>
      <c r="D11">
        <f t="shared" si="1"/>
        <v>1223327.5</v>
      </c>
      <c r="E11" s="3">
        <f t="shared" si="0"/>
        <v>5.0267607089527114E-2</v>
      </c>
    </row>
    <row r="12" spans="1:7" x14ac:dyDescent="0.3">
      <c r="A12" t="s">
        <v>61</v>
      </c>
      <c r="B12" s="1">
        <v>2540</v>
      </c>
      <c r="C12" s="4">
        <v>217.86</v>
      </c>
      <c r="D12">
        <f t="shared" si="1"/>
        <v>553364.4</v>
      </c>
      <c r="E12" s="3">
        <f t="shared" si="0"/>
        <v>2.2738231778924218E-2</v>
      </c>
    </row>
    <row r="13" spans="1:7" x14ac:dyDescent="0.3">
      <c r="A13" t="s">
        <v>55</v>
      </c>
      <c r="B13" s="1">
        <v>410</v>
      </c>
      <c r="C13" s="4">
        <v>1450</v>
      </c>
      <c r="D13">
        <f t="shared" si="1"/>
        <v>594500</v>
      </c>
      <c r="E13" s="3">
        <f t="shared" si="0"/>
        <v>2.4428529902846025E-2</v>
      </c>
      <c r="G13" t="s">
        <v>56</v>
      </c>
    </row>
    <row r="14" spans="1:7" x14ac:dyDescent="0.3">
      <c r="A14" t="s">
        <v>29</v>
      </c>
      <c r="B14" s="1">
        <f>1727-863</f>
        <v>864</v>
      </c>
      <c r="C14" s="4">
        <v>606.45000000000005</v>
      </c>
      <c r="D14">
        <f t="shared" si="1"/>
        <v>523972.80000000005</v>
      </c>
      <c r="E14" s="3">
        <f t="shared" si="0"/>
        <v>2.1530504984151322E-2</v>
      </c>
    </row>
    <row r="15" spans="1:7" x14ac:dyDescent="0.3">
      <c r="A15" t="s">
        <v>25</v>
      </c>
      <c r="B15" s="1">
        <f>(570-142-142-56)*10</f>
        <v>2300</v>
      </c>
      <c r="C15" s="4">
        <v>412.9</v>
      </c>
      <c r="D15">
        <f t="shared" si="1"/>
        <v>949670</v>
      </c>
      <c r="E15" s="3">
        <f t="shared" si="0"/>
        <v>3.9022778793668264E-2</v>
      </c>
    </row>
    <row r="16" spans="1:7" x14ac:dyDescent="0.3">
      <c r="A16" t="s">
        <v>32</v>
      </c>
      <c r="B16" s="1">
        <f>1875+937+309+619</f>
        <v>3740</v>
      </c>
      <c r="C16" s="4">
        <v>498.7</v>
      </c>
      <c r="D16">
        <f t="shared" si="1"/>
        <v>1865138</v>
      </c>
      <c r="E16" s="3">
        <f t="shared" si="0"/>
        <v>7.6640167209309384E-2</v>
      </c>
    </row>
    <row r="17" spans="1:7" x14ac:dyDescent="0.3">
      <c r="A17" t="s">
        <v>26</v>
      </c>
      <c r="B17" s="1">
        <f>480+154+159+192</f>
        <v>985</v>
      </c>
      <c r="C17" s="4">
        <v>2649.65</v>
      </c>
      <c r="D17">
        <f t="shared" si="1"/>
        <v>2609905.25</v>
      </c>
      <c r="E17" s="3">
        <f t="shared" si="0"/>
        <v>0.10724331109036135</v>
      </c>
    </row>
    <row r="18" spans="1:7" x14ac:dyDescent="0.3">
      <c r="A18" t="s">
        <v>34</v>
      </c>
      <c r="B18" s="1">
        <f>10500+5250</f>
        <v>15750</v>
      </c>
      <c r="C18" s="4">
        <v>155.94999999999999</v>
      </c>
      <c r="D18">
        <f t="shared" si="1"/>
        <v>2456212.5</v>
      </c>
      <c r="E18" s="3">
        <f t="shared" si="0"/>
        <v>0.10092794029267314</v>
      </c>
    </row>
    <row r="19" spans="1:7" x14ac:dyDescent="0.3">
      <c r="A19" t="s">
        <v>8</v>
      </c>
      <c r="B19" s="1">
        <f>6886+2045-4465+4466+4466+13398+9475-20183</f>
        <v>16088</v>
      </c>
      <c r="C19" s="4">
        <v>42.45</v>
      </c>
      <c r="D19">
        <f t="shared" si="1"/>
        <v>682935.60000000009</v>
      </c>
      <c r="E19" s="3">
        <f t="shared" si="0"/>
        <v>2.8062426789433294E-2</v>
      </c>
    </row>
    <row r="20" spans="1:7" x14ac:dyDescent="0.3">
      <c r="A20" t="s">
        <v>9</v>
      </c>
      <c r="B20" s="1">
        <f>920+319+331-785+393+355</f>
        <v>1533</v>
      </c>
      <c r="C20" s="4">
        <v>306.95</v>
      </c>
      <c r="D20">
        <f t="shared" si="1"/>
        <v>470554.35</v>
      </c>
      <c r="E20" s="3">
        <f t="shared" si="0"/>
        <v>1.9335493708812906E-2</v>
      </c>
    </row>
    <row r="21" spans="1:7" x14ac:dyDescent="0.3">
      <c r="A21" t="s">
        <v>30</v>
      </c>
      <c r="B21" s="1">
        <f>3075+1537+1153</f>
        <v>5765</v>
      </c>
      <c r="C21" s="4">
        <v>616.70000000000005</v>
      </c>
      <c r="D21">
        <f t="shared" si="1"/>
        <v>3555275.5000000005</v>
      </c>
      <c r="E21" s="3">
        <f t="shared" si="0"/>
        <v>0.14608940936014442</v>
      </c>
    </row>
    <row r="22" spans="1:7" x14ac:dyDescent="0.3">
      <c r="A22" t="s">
        <v>10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</f>
        <v>342.11859999999865</v>
      </c>
      <c r="C22" s="4">
        <v>999.99</v>
      </c>
      <c r="D22">
        <f t="shared" si="1"/>
        <v>342115.17881399865</v>
      </c>
      <c r="E22" s="3">
        <f t="shared" si="0"/>
        <v>1.4057814761775072E-2</v>
      </c>
      <c r="G22" t="s">
        <v>58</v>
      </c>
    </row>
    <row r="23" spans="1:7" x14ac:dyDescent="0.3">
      <c r="B23" s="1"/>
      <c r="E23" s="3"/>
    </row>
    <row r="24" spans="1:7" x14ac:dyDescent="0.3">
      <c r="B24" s="1"/>
      <c r="D24">
        <f>SUM(D5:D22)</f>
        <v>24336298.678814001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552A-35A0-4042-BA6B-4CCB70DFA99E}">
  <sheetPr>
    <pageSetUpPr fitToPage="1"/>
  </sheetPr>
  <dimension ref="A1:J24"/>
  <sheetViews>
    <sheetView workbookViewId="0">
      <selection activeCell="B24" sqref="B24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4"/>
    <col min="4" max="4" width="12" bestFit="1" customWidth="1"/>
    <col min="5" max="5" width="11" customWidth="1"/>
    <col min="7" max="7" width="41.5546875" bestFit="1" customWidth="1"/>
    <col min="10" max="10" width="8.88671875" style="4"/>
  </cols>
  <sheetData>
    <row r="1" spans="1:7" x14ac:dyDescent="0.3">
      <c r="A1" t="s">
        <v>0</v>
      </c>
      <c r="B1" s="2">
        <v>44851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264.75</v>
      </c>
      <c r="D5">
        <f>C5*B5</f>
        <v>1162782</v>
      </c>
      <c r="E5" s="3">
        <f t="shared" ref="E5:E22" si="0">D5/$D$24</f>
        <v>5.2177831884771424E-2</v>
      </c>
    </row>
    <row r="6" spans="1:7" x14ac:dyDescent="0.3">
      <c r="A6" t="s">
        <v>7</v>
      </c>
      <c r="B6" s="1">
        <f>(840+420)*2+290+562</f>
        <v>3372</v>
      </c>
      <c r="C6" s="4">
        <v>313.89999999999998</v>
      </c>
      <c r="D6">
        <f t="shared" ref="D6:D22" si="1">C6*B6</f>
        <v>1058470.7999999998</v>
      </c>
      <c r="E6" s="3">
        <f t="shared" si="0"/>
        <v>4.7497047131224518E-2</v>
      </c>
    </row>
    <row r="7" spans="1:7" x14ac:dyDescent="0.3">
      <c r="A7" t="s">
        <v>28</v>
      </c>
      <c r="B7" s="1">
        <f>130+126+33+57+173+130</f>
        <v>649</v>
      </c>
      <c r="C7" s="4">
        <v>2734.05</v>
      </c>
      <c r="D7">
        <f t="shared" si="1"/>
        <v>1774398.4500000002</v>
      </c>
      <c r="E7" s="3">
        <f t="shared" si="0"/>
        <v>7.9623062638309677E-2</v>
      </c>
    </row>
    <row r="8" spans="1:7" x14ac:dyDescent="0.3">
      <c r="A8" t="s">
        <v>24</v>
      </c>
      <c r="B8" s="1">
        <f>1280+1280+1280+910+1300+1300+2940+1300</f>
        <v>11590</v>
      </c>
      <c r="C8" s="4">
        <v>145</v>
      </c>
      <c r="D8">
        <f t="shared" si="1"/>
        <v>1680550</v>
      </c>
      <c r="E8" s="3">
        <f t="shared" si="0"/>
        <v>7.5411775701681491E-2</v>
      </c>
    </row>
    <row r="9" spans="1:7" x14ac:dyDescent="0.3">
      <c r="A9" t="s">
        <v>33</v>
      </c>
      <c r="B9" s="1">
        <v>96000</v>
      </c>
      <c r="C9" s="4">
        <v>8.4</v>
      </c>
      <c r="D9">
        <f t="shared" si="1"/>
        <v>806400</v>
      </c>
      <c r="E9" s="3">
        <f t="shared" si="0"/>
        <v>3.6185805793243854E-2</v>
      </c>
    </row>
    <row r="10" spans="1:7" x14ac:dyDescent="0.3">
      <c r="A10" t="s">
        <v>50</v>
      </c>
      <c r="B10" s="1">
        <f>862+390+71</f>
        <v>1323</v>
      </c>
      <c r="C10" s="4">
        <v>782.6</v>
      </c>
      <c r="D10">
        <f t="shared" si="1"/>
        <v>1035379.8</v>
      </c>
      <c r="E10" s="3">
        <f t="shared" si="0"/>
        <v>4.6460878428878548E-2</v>
      </c>
      <c r="G10" t="s">
        <v>63</v>
      </c>
    </row>
    <row r="11" spans="1:7" x14ac:dyDescent="0.3">
      <c r="A11" t="s">
        <v>46</v>
      </c>
      <c r="B11" s="1">
        <f>635</f>
        <v>635</v>
      </c>
      <c r="C11" s="4">
        <v>803.25</v>
      </c>
      <c r="D11">
        <f t="shared" si="1"/>
        <v>510063.75</v>
      </c>
      <c r="E11" s="3">
        <f t="shared" si="0"/>
        <v>2.2888228918246135E-2</v>
      </c>
    </row>
    <row r="12" spans="1:7" x14ac:dyDescent="0.3">
      <c r="A12" t="s">
        <v>61</v>
      </c>
      <c r="B12" s="1">
        <v>2540</v>
      </c>
      <c r="C12" s="4">
        <v>217.86</v>
      </c>
      <c r="D12">
        <f t="shared" si="1"/>
        <v>553364.4</v>
      </c>
      <c r="E12" s="3">
        <f t="shared" si="0"/>
        <v>2.483127072333198E-2</v>
      </c>
    </row>
    <row r="13" spans="1:7" x14ac:dyDescent="0.3">
      <c r="A13" t="s">
        <v>55</v>
      </c>
      <c r="B13" s="1">
        <f>410+205</f>
        <v>615</v>
      </c>
      <c r="C13" s="4">
        <v>1766.8</v>
      </c>
      <c r="D13">
        <f t="shared" si="1"/>
        <v>1086582</v>
      </c>
      <c r="E13" s="3">
        <f t="shared" si="0"/>
        <v>4.8758488629011026E-2</v>
      </c>
      <c r="G13" t="s">
        <v>59</v>
      </c>
    </row>
    <row r="14" spans="1:7" x14ac:dyDescent="0.3">
      <c r="A14" t="s">
        <v>29</v>
      </c>
      <c r="B14" s="1">
        <f>1727-863</f>
        <v>864</v>
      </c>
      <c r="C14" s="4">
        <v>570.20000000000005</v>
      </c>
      <c r="D14">
        <f t="shared" si="1"/>
        <v>492652.80000000005</v>
      </c>
      <c r="E14" s="3">
        <f t="shared" si="0"/>
        <v>2.2106942639258192E-2</v>
      </c>
    </row>
    <row r="15" spans="1:7" x14ac:dyDescent="0.3">
      <c r="A15" t="s">
        <v>25</v>
      </c>
      <c r="B15" s="1">
        <f>(570-142-142-56)*10-1150</f>
        <v>1150</v>
      </c>
      <c r="C15" s="4">
        <v>372.75</v>
      </c>
      <c r="D15">
        <f t="shared" si="1"/>
        <v>428662.5</v>
      </c>
      <c r="E15" s="3">
        <f t="shared" si="0"/>
        <v>1.9235488561317453E-2</v>
      </c>
      <c r="G15" t="s">
        <v>60</v>
      </c>
    </row>
    <row r="16" spans="1:7" x14ac:dyDescent="0.3">
      <c r="A16" t="s">
        <v>32</v>
      </c>
      <c r="B16" s="1">
        <f>1875+937+309+619</f>
        <v>3740</v>
      </c>
      <c r="C16" s="4">
        <v>463.3</v>
      </c>
      <c r="D16">
        <f t="shared" si="1"/>
        <v>1732742</v>
      </c>
      <c r="E16" s="3">
        <f t="shared" si="0"/>
        <v>7.7753801465521993E-2</v>
      </c>
    </row>
    <row r="17" spans="1:7" x14ac:dyDescent="0.3">
      <c r="A17" t="s">
        <v>26</v>
      </c>
      <c r="B17" s="1">
        <f>480+154+159+192</f>
        <v>985</v>
      </c>
      <c r="C17" s="4">
        <v>2669.3</v>
      </c>
      <c r="D17">
        <f t="shared" si="1"/>
        <v>2629260.5</v>
      </c>
      <c r="E17" s="3">
        <f t="shared" si="0"/>
        <v>0.11798351913795539</v>
      </c>
    </row>
    <row r="18" spans="1:7" x14ac:dyDescent="0.3">
      <c r="A18" t="s">
        <v>34</v>
      </c>
      <c r="B18" s="1">
        <f>10500+5250</f>
        <v>15750</v>
      </c>
      <c r="C18" s="4">
        <v>162.5</v>
      </c>
      <c r="D18">
        <f t="shared" si="1"/>
        <v>2559375</v>
      </c>
      <c r="E18" s="3">
        <f t="shared" si="0"/>
        <v>0.11484752815238528</v>
      </c>
    </row>
    <row r="19" spans="1:7" x14ac:dyDescent="0.3">
      <c r="A19" t="s">
        <v>8</v>
      </c>
      <c r="B19" s="1">
        <f>6886+2045-4465+4466+4466+13398+9475-20183</f>
        <v>16088</v>
      </c>
      <c r="C19" s="4">
        <v>36.15</v>
      </c>
      <c r="D19">
        <f t="shared" si="1"/>
        <v>581581.19999999995</v>
      </c>
      <c r="E19" s="3">
        <f t="shared" si="0"/>
        <v>2.6097450838543788E-2</v>
      </c>
    </row>
    <row r="20" spans="1:7" x14ac:dyDescent="0.3">
      <c r="A20" t="s">
        <v>9</v>
      </c>
      <c r="B20" s="1">
        <f>920+319+331-785+393+355</f>
        <v>1533</v>
      </c>
      <c r="C20" s="4">
        <v>267.45</v>
      </c>
      <c r="D20">
        <f t="shared" si="1"/>
        <v>410000.85</v>
      </c>
      <c r="E20" s="3">
        <f t="shared" si="0"/>
        <v>1.839807928219854E-2</v>
      </c>
    </row>
    <row r="21" spans="1:7" x14ac:dyDescent="0.3">
      <c r="A21" t="s">
        <v>30</v>
      </c>
      <c r="B21" s="1">
        <f>3075+1537+1153</f>
        <v>5765</v>
      </c>
      <c r="C21" s="4">
        <v>596.29999999999995</v>
      </c>
      <c r="D21">
        <f t="shared" si="1"/>
        <v>3437669.4999999995</v>
      </c>
      <c r="E21" s="3">
        <f t="shared" si="0"/>
        <v>0.15425947533278483</v>
      </c>
    </row>
    <row r="22" spans="1:7" x14ac:dyDescent="0.3">
      <c r="A22" t="s">
        <v>10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</f>
        <v>345.04559999999867</v>
      </c>
      <c r="C22" s="4">
        <v>1000</v>
      </c>
      <c r="D22">
        <f t="shared" si="1"/>
        <v>345045.5999999987</v>
      </c>
      <c r="E22" s="3">
        <f t="shared" si="0"/>
        <v>1.548332474133588E-2</v>
      </c>
      <c r="G22" t="s">
        <v>64</v>
      </c>
    </row>
    <row r="23" spans="1:7" x14ac:dyDescent="0.3">
      <c r="B23" s="1"/>
      <c r="E23" s="3"/>
    </row>
    <row r="24" spans="1:7" x14ac:dyDescent="0.3">
      <c r="B24" s="1"/>
      <c r="D24">
        <f>SUM(D5:D22)</f>
        <v>22284981.149999999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4280-BBD5-44CE-9D14-7E4AA9F4827D}">
  <sheetPr>
    <pageSetUpPr fitToPage="1"/>
  </sheetPr>
  <dimension ref="A1:J24"/>
  <sheetViews>
    <sheetView workbookViewId="0">
      <selection activeCell="B22" sqref="B2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4"/>
    <col min="4" max="4" width="12" bestFit="1" customWidth="1"/>
    <col min="5" max="5" width="11" customWidth="1"/>
    <col min="7" max="7" width="41.5546875" bestFit="1" customWidth="1"/>
    <col min="10" max="10" width="8.88671875" style="4"/>
  </cols>
  <sheetData>
    <row r="1" spans="1:7" x14ac:dyDescent="0.3">
      <c r="A1" t="s">
        <v>0</v>
      </c>
      <c r="B1" s="2">
        <v>44879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281.2</v>
      </c>
      <c r="D5">
        <f>C5*B5</f>
        <v>1235030.3999999999</v>
      </c>
      <c r="E5" s="3">
        <f t="shared" ref="E5:E22" si="0">D5/$D$24</f>
        <v>5.5665797915473998E-2</v>
      </c>
    </row>
    <row r="6" spans="1:7" x14ac:dyDescent="0.3">
      <c r="A6" t="s">
        <v>7</v>
      </c>
      <c r="B6" s="1">
        <f>(840+420)*2+290+562</f>
        <v>3372</v>
      </c>
      <c r="C6" s="4">
        <v>316.89999999999998</v>
      </c>
      <c r="D6">
        <f t="shared" ref="D6:D22" si="1">C6*B6</f>
        <v>1068586.7999999998</v>
      </c>
      <c r="E6" s="3">
        <f t="shared" si="0"/>
        <v>4.8163783550545007E-2</v>
      </c>
    </row>
    <row r="7" spans="1:7" x14ac:dyDescent="0.3">
      <c r="A7" t="s">
        <v>28</v>
      </c>
      <c r="B7" s="1">
        <f>130+126+33+57+173+130</f>
        <v>649</v>
      </c>
      <c r="C7" s="4">
        <v>2638.55</v>
      </c>
      <c r="D7">
        <f t="shared" si="1"/>
        <v>1712418.9500000002</v>
      </c>
      <c r="E7" s="3">
        <f t="shared" si="0"/>
        <v>7.7182850897701133E-2</v>
      </c>
    </row>
    <row r="8" spans="1:7" x14ac:dyDescent="0.3">
      <c r="A8" t="s">
        <v>24</v>
      </c>
      <c r="B8" s="1">
        <f>1280+1280+1280+910+1300+1300+2940+1300</f>
        <v>11590</v>
      </c>
      <c r="C8" s="4">
        <v>142.80000000000001</v>
      </c>
      <c r="D8">
        <f t="shared" si="1"/>
        <v>1655052.0000000002</v>
      </c>
      <c r="E8" s="3">
        <f t="shared" si="0"/>
        <v>7.4597184143484319E-2</v>
      </c>
    </row>
    <row r="9" spans="1:7" x14ac:dyDescent="0.3">
      <c r="A9" t="s">
        <v>33</v>
      </c>
      <c r="B9" s="1">
        <v>96000</v>
      </c>
      <c r="C9" s="4">
        <v>8.5</v>
      </c>
      <c r="D9">
        <f t="shared" si="1"/>
        <v>816000</v>
      </c>
      <c r="E9" s="3">
        <f t="shared" si="0"/>
        <v>3.6779087461350571E-2</v>
      </c>
    </row>
    <row r="10" spans="1:7" x14ac:dyDescent="0.3">
      <c r="A10" t="s">
        <v>50</v>
      </c>
      <c r="B10" s="1">
        <f>862+390+71+35</f>
        <v>1358</v>
      </c>
      <c r="C10" s="4">
        <v>875.1</v>
      </c>
      <c r="D10">
        <f t="shared" si="1"/>
        <v>1188385.8</v>
      </c>
      <c r="E10" s="3">
        <f t="shared" si="0"/>
        <v>5.3563413328464551E-2</v>
      </c>
      <c r="G10" t="s">
        <v>68</v>
      </c>
    </row>
    <row r="11" spans="1:7" x14ac:dyDescent="0.3">
      <c r="A11" t="s">
        <v>46</v>
      </c>
      <c r="B11" s="1">
        <f>635+317</f>
        <v>952</v>
      </c>
      <c r="C11" s="4">
        <v>820.05</v>
      </c>
      <c r="D11">
        <f t="shared" si="1"/>
        <v>780687.6</v>
      </c>
      <c r="E11" s="3">
        <f t="shared" si="0"/>
        <v>3.518747245146063E-2</v>
      </c>
      <c r="G11" t="s">
        <v>67</v>
      </c>
    </row>
    <row r="12" spans="1:7" x14ac:dyDescent="0.3">
      <c r="A12" t="s">
        <v>61</v>
      </c>
      <c r="B12" s="1">
        <v>2540</v>
      </c>
      <c r="C12" s="4">
        <v>140.69999999999999</v>
      </c>
      <c r="D12">
        <f t="shared" si="1"/>
        <v>357378</v>
      </c>
      <c r="E12" s="3">
        <f t="shared" si="0"/>
        <v>1.6107888135738414E-2</v>
      </c>
    </row>
    <row r="13" spans="1:7" x14ac:dyDescent="0.3">
      <c r="A13" t="s">
        <v>55</v>
      </c>
      <c r="B13" s="1">
        <f>410+205</f>
        <v>615</v>
      </c>
      <c r="C13" s="4">
        <v>1780.9</v>
      </c>
      <c r="D13">
        <f t="shared" si="1"/>
        <v>1095253.5</v>
      </c>
      <c r="E13" s="3">
        <f t="shared" si="0"/>
        <v>4.9365716015747955E-2</v>
      </c>
    </row>
    <row r="14" spans="1:7" x14ac:dyDescent="0.3">
      <c r="A14" t="s">
        <v>29</v>
      </c>
      <c r="B14" s="1">
        <f>1727-863</f>
        <v>864</v>
      </c>
      <c r="C14" s="4">
        <v>572.1</v>
      </c>
      <c r="D14">
        <f t="shared" si="1"/>
        <v>494294.4</v>
      </c>
      <c r="E14" s="3">
        <f t="shared" si="0"/>
        <v>2.2279040403499761E-2</v>
      </c>
    </row>
    <row r="15" spans="1:7" x14ac:dyDescent="0.3">
      <c r="A15" t="s">
        <v>25</v>
      </c>
      <c r="B15" s="1">
        <f>(570-142-142-56)*10-1150-575</f>
        <v>575</v>
      </c>
      <c r="C15" s="4">
        <v>391.35</v>
      </c>
      <c r="D15">
        <f t="shared" si="1"/>
        <v>225026.25</v>
      </c>
      <c r="E15" s="3">
        <f t="shared" si="0"/>
        <v>1.0142475649325661E-2</v>
      </c>
      <c r="G15" t="s">
        <v>66</v>
      </c>
    </row>
    <row r="16" spans="1:7" x14ac:dyDescent="0.3">
      <c r="A16" t="s">
        <v>32</v>
      </c>
      <c r="B16" s="1">
        <f>1875+937+309+619</f>
        <v>3740</v>
      </c>
      <c r="C16" s="4">
        <v>468.35</v>
      </c>
      <c r="D16">
        <f t="shared" si="1"/>
        <v>1751629</v>
      </c>
      <c r="E16" s="3">
        <f t="shared" si="0"/>
        <v>7.8950142390732891E-2</v>
      </c>
    </row>
    <row r="17" spans="1:7" x14ac:dyDescent="0.3">
      <c r="A17" t="s">
        <v>26</v>
      </c>
      <c r="B17" s="1">
        <f>480+154+159+192</f>
        <v>985</v>
      </c>
      <c r="C17" s="4">
        <v>2573.15</v>
      </c>
      <c r="D17">
        <f t="shared" si="1"/>
        <v>2534552.75</v>
      </c>
      <c r="E17" s="3">
        <f t="shared" si="0"/>
        <v>0.11423840351428508</v>
      </c>
    </row>
    <row r="18" spans="1:7" x14ac:dyDescent="0.3">
      <c r="A18" t="s">
        <v>34</v>
      </c>
      <c r="B18" s="1">
        <f>10500+5250</f>
        <v>15750</v>
      </c>
      <c r="C18" s="4">
        <v>164.1</v>
      </c>
      <c r="D18">
        <f t="shared" si="1"/>
        <v>2584575</v>
      </c>
      <c r="E18" s="3">
        <f t="shared" si="0"/>
        <v>0.11649302693066196</v>
      </c>
    </row>
    <row r="19" spans="1:7" x14ac:dyDescent="0.3">
      <c r="A19" t="s">
        <v>8</v>
      </c>
      <c r="B19" s="1">
        <f>6886+2045-4465+4466+4466+13398+9475-20183</f>
        <v>16088</v>
      </c>
      <c r="C19" s="4">
        <v>35.6</v>
      </c>
      <c r="D19">
        <f t="shared" si="1"/>
        <v>572732.80000000005</v>
      </c>
      <c r="E19" s="3">
        <f t="shared" si="0"/>
        <v>2.5814448214686529E-2</v>
      </c>
    </row>
    <row r="20" spans="1:7" x14ac:dyDescent="0.3">
      <c r="A20" t="s">
        <v>9</v>
      </c>
      <c r="B20" s="1">
        <f>920+319+331-785+393+355</f>
        <v>1533</v>
      </c>
      <c r="C20" s="4">
        <v>272</v>
      </c>
      <c r="D20">
        <f t="shared" si="1"/>
        <v>416976</v>
      </c>
      <c r="E20" s="3">
        <f t="shared" si="0"/>
        <v>1.8794113692750143E-2</v>
      </c>
    </row>
    <row r="21" spans="1:7" x14ac:dyDescent="0.3">
      <c r="A21" t="s">
        <v>30</v>
      </c>
      <c r="B21" s="1">
        <f>3075+1537+1153</f>
        <v>5765</v>
      </c>
      <c r="C21" s="4">
        <v>592.04999999999995</v>
      </c>
      <c r="D21">
        <f t="shared" si="1"/>
        <v>3413168.2499999995</v>
      </c>
      <c r="E21" s="3">
        <f t="shared" si="0"/>
        <v>0.15383972253315548</v>
      </c>
    </row>
    <row r="22" spans="1:7" x14ac:dyDescent="0.3">
      <c r="A22" t="s">
        <v>10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</f>
        <v>284.77359999999868</v>
      </c>
      <c r="C22" s="4">
        <v>1000</v>
      </c>
      <c r="D22">
        <f t="shared" si="1"/>
        <v>284773.5999999987</v>
      </c>
      <c r="E22" s="3">
        <f t="shared" si="0"/>
        <v>1.2835432770935804E-2</v>
      </c>
      <c r="G22" t="s">
        <v>69</v>
      </c>
    </row>
    <row r="23" spans="1:7" x14ac:dyDescent="0.3">
      <c r="B23" s="1"/>
      <c r="E23" s="3"/>
    </row>
    <row r="24" spans="1:7" x14ac:dyDescent="0.3">
      <c r="B24" s="1"/>
      <c r="D24">
        <f>SUM(D5:D22)</f>
        <v>22186521.100000001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8132-4687-42C9-9D57-1940D5D3D1B5}">
  <sheetPr>
    <pageSetUpPr fitToPage="1"/>
  </sheetPr>
  <dimension ref="A1:J25"/>
  <sheetViews>
    <sheetView workbookViewId="0">
      <selection activeCell="B2" sqref="B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4"/>
    <col min="4" max="4" width="12" bestFit="1" customWidth="1"/>
    <col min="5" max="5" width="11" customWidth="1"/>
    <col min="7" max="7" width="41.5546875" bestFit="1" customWidth="1"/>
    <col min="8" max="8" width="11.5546875" bestFit="1" customWidth="1"/>
    <col min="10" max="10" width="11.5546875" style="4" bestFit="1" customWidth="1"/>
  </cols>
  <sheetData>
    <row r="1" spans="1:7" x14ac:dyDescent="0.3">
      <c r="A1" t="s">
        <v>0</v>
      </c>
      <c r="B1" s="2">
        <v>44886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281.2</v>
      </c>
      <c r="D5">
        <f>C5*B5</f>
        <v>1235030.3999999999</v>
      </c>
      <c r="E5" s="3">
        <f t="shared" ref="E5:E23" si="0">D5/$D$25</f>
        <v>5.5921279646069667E-2</v>
      </c>
    </row>
    <row r="6" spans="1:7" x14ac:dyDescent="0.3">
      <c r="A6" t="s">
        <v>7</v>
      </c>
      <c r="B6" s="1">
        <f>(840+420)*2+290+562</f>
        <v>3372</v>
      </c>
      <c r="C6" s="4">
        <v>316.89999999999998</v>
      </c>
      <c r="D6">
        <f t="shared" ref="D6:D23" si="1">C6*B6</f>
        <v>1068586.7999999998</v>
      </c>
      <c r="E6" s="3">
        <f t="shared" si="0"/>
        <v>4.838483430764029E-2</v>
      </c>
    </row>
    <row r="7" spans="1:7" x14ac:dyDescent="0.3">
      <c r="A7" t="s">
        <v>28</v>
      </c>
      <c r="B7" s="1">
        <f>130+126+33+57+173+130</f>
        <v>649</v>
      </c>
      <c r="C7" s="4">
        <v>2638.55</v>
      </c>
      <c r="D7">
        <f t="shared" si="1"/>
        <v>1712418.9500000002</v>
      </c>
      <c r="E7" s="3">
        <f t="shared" si="0"/>
        <v>7.7537086515586176E-2</v>
      </c>
    </row>
    <row r="8" spans="1:7" x14ac:dyDescent="0.3">
      <c r="A8" t="s">
        <v>24</v>
      </c>
      <c r="B8" s="1">
        <f>1280+1280+1280+910+1300+1300+2940+1300</f>
        <v>11590</v>
      </c>
      <c r="C8" s="4">
        <v>142.80000000000001</v>
      </c>
      <c r="D8">
        <f t="shared" si="1"/>
        <v>1655052.0000000002</v>
      </c>
      <c r="E8" s="3">
        <f t="shared" si="0"/>
        <v>7.4939552678854632E-2</v>
      </c>
    </row>
    <row r="9" spans="1:7" x14ac:dyDescent="0.3">
      <c r="A9" t="s">
        <v>33</v>
      </c>
      <c r="B9" s="1">
        <f>96000-48000</f>
        <v>48000</v>
      </c>
      <c r="C9" s="4">
        <v>8.5</v>
      </c>
      <c r="D9">
        <f t="shared" si="1"/>
        <v>408000</v>
      </c>
      <c r="E9" s="3">
        <f t="shared" si="0"/>
        <v>1.8473943714742914E-2</v>
      </c>
      <c r="G9" t="s">
        <v>70</v>
      </c>
    </row>
    <row r="10" spans="1:7" x14ac:dyDescent="0.3">
      <c r="A10" t="s">
        <v>50</v>
      </c>
      <c r="B10" s="1">
        <f>862+390+71+35</f>
        <v>1358</v>
      </c>
      <c r="C10" s="4">
        <v>875.1</v>
      </c>
      <c r="D10">
        <f t="shared" si="1"/>
        <v>1188385.8</v>
      </c>
      <c r="E10" s="3">
        <f t="shared" si="0"/>
        <v>5.3809246030881691E-2</v>
      </c>
    </row>
    <row r="11" spans="1:7" x14ac:dyDescent="0.3">
      <c r="A11" t="s">
        <v>46</v>
      </c>
      <c r="B11" s="1">
        <f>635+317</f>
        <v>952</v>
      </c>
      <c r="C11" s="4">
        <v>820.05</v>
      </c>
      <c r="D11">
        <f t="shared" si="1"/>
        <v>780687.6</v>
      </c>
      <c r="E11" s="3">
        <f t="shared" si="0"/>
        <v>3.5348967600974827E-2</v>
      </c>
    </row>
    <row r="12" spans="1:7" x14ac:dyDescent="0.3">
      <c r="A12" t="s">
        <v>61</v>
      </c>
      <c r="B12" s="1">
        <f>2540-2540</f>
        <v>0</v>
      </c>
      <c r="C12" s="4">
        <v>140.69999999999999</v>
      </c>
      <c r="D12">
        <f t="shared" si="1"/>
        <v>0</v>
      </c>
      <c r="E12" s="3">
        <f t="shared" si="0"/>
        <v>0</v>
      </c>
      <c r="G12" t="s">
        <v>72</v>
      </c>
    </row>
    <row r="13" spans="1:7" x14ac:dyDescent="0.3">
      <c r="A13" t="s">
        <v>55</v>
      </c>
      <c r="B13" s="1">
        <f>410+205</f>
        <v>615</v>
      </c>
      <c r="C13" s="4">
        <v>1780.9</v>
      </c>
      <c r="D13">
        <f t="shared" si="1"/>
        <v>1095253.5</v>
      </c>
      <c r="E13" s="3">
        <f t="shared" si="0"/>
        <v>4.9592283118566609E-2</v>
      </c>
    </row>
    <row r="14" spans="1:7" x14ac:dyDescent="0.3">
      <c r="A14" t="s">
        <v>29</v>
      </c>
      <c r="B14" s="1">
        <f>1727-863</f>
        <v>864</v>
      </c>
      <c r="C14" s="4">
        <v>572.1</v>
      </c>
      <c r="D14">
        <f t="shared" si="1"/>
        <v>494294.4</v>
      </c>
      <c r="E14" s="3">
        <f t="shared" si="0"/>
        <v>2.2381291480668187E-2</v>
      </c>
    </row>
    <row r="15" spans="1:7" x14ac:dyDescent="0.3">
      <c r="A15" t="s">
        <v>25</v>
      </c>
      <c r="B15" s="1">
        <f>(570-142-142-56)*10-1150-575-575</f>
        <v>0</v>
      </c>
      <c r="C15" s="4">
        <v>391.35</v>
      </c>
      <c r="D15">
        <f t="shared" si="1"/>
        <v>0</v>
      </c>
      <c r="E15" s="3">
        <f t="shared" si="0"/>
        <v>0</v>
      </c>
      <c r="G15" t="s">
        <v>71</v>
      </c>
    </row>
    <row r="16" spans="1:7" x14ac:dyDescent="0.3">
      <c r="A16" t="s">
        <v>32</v>
      </c>
      <c r="B16" s="1">
        <f>1875+937+309+619</f>
        <v>3740</v>
      </c>
      <c r="C16" s="4">
        <v>468.35</v>
      </c>
      <c r="D16">
        <f t="shared" si="1"/>
        <v>1751629</v>
      </c>
      <c r="E16" s="3">
        <f t="shared" si="0"/>
        <v>7.9312489105665226E-2</v>
      </c>
    </row>
    <row r="17" spans="1:7" x14ac:dyDescent="0.3">
      <c r="A17" t="s">
        <v>26</v>
      </c>
      <c r="B17" s="1">
        <f>480+154+159+192</f>
        <v>985</v>
      </c>
      <c r="C17" s="4">
        <v>2573.15</v>
      </c>
      <c r="D17">
        <f t="shared" si="1"/>
        <v>2534552.75</v>
      </c>
      <c r="E17" s="3">
        <f t="shared" si="0"/>
        <v>0.11476270795477173</v>
      </c>
    </row>
    <row r="18" spans="1:7" x14ac:dyDescent="0.3">
      <c r="A18" t="s">
        <v>34</v>
      </c>
      <c r="B18" s="1">
        <f>10500+5250</f>
        <v>15750</v>
      </c>
      <c r="C18" s="4">
        <v>164.1</v>
      </c>
      <c r="D18">
        <f t="shared" si="1"/>
        <v>2584575</v>
      </c>
      <c r="E18" s="3">
        <f t="shared" si="0"/>
        <v>0.11702767910914624</v>
      </c>
    </row>
    <row r="19" spans="1:7" x14ac:dyDescent="0.3">
      <c r="A19" t="s">
        <v>8</v>
      </c>
      <c r="B19" s="1">
        <f>6886+2045-4465+4466+4466+13398+9475-20183</f>
        <v>16088</v>
      </c>
      <c r="C19" s="4">
        <v>35.6</v>
      </c>
      <c r="D19">
        <f t="shared" si="1"/>
        <v>572732.80000000005</v>
      </c>
      <c r="E19" s="3">
        <f t="shared" si="0"/>
        <v>2.5932925271537035E-2</v>
      </c>
    </row>
    <row r="20" spans="1:7" x14ac:dyDescent="0.3">
      <c r="A20" t="s">
        <v>9</v>
      </c>
      <c r="B20" s="1">
        <f>920+319+331-785+393+355</f>
        <v>1533</v>
      </c>
      <c r="C20" s="4">
        <v>272</v>
      </c>
      <c r="D20">
        <f t="shared" si="1"/>
        <v>416976</v>
      </c>
      <c r="E20" s="3">
        <f t="shared" si="0"/>
        <v>1.8880370476467258E-2</v>
      </c>
    </row>
    <row r="21" spans="1:7" x14ac:dyDescent="0.3">
      <c r="A21" t="s">
        <v>65</v>
      </c>
      <c r="B21" s="1">
        <v>458</v>
      </c>
      <c r="C21" s="4">
        <v>2321</v>
      </c>
      <c r="D21">
        <f t="shared" si="1"/>
        <v>1063018</v>
      </c>
      <c r="E21" s="3">
        <f t="shared" si="0"/>
        <v>4.8132683087643582E-2</v>
      </c>
      <c r="G21" t="s">
        <v>73</v>
      </c>
    </row>
    <row r="22" spans="1:7" x14ac:dyDescent="0.3">
      <c r="A22" t="s">
        <v>30</v>
      </c>
      <c r="B22" s="1">
        <f>3075+1537+1153</f>
        <v>5765</v>
      </c>
      <c r="C22" s="4">
        <v>592.04999999999995</v>
      </c>
      <c r="D22">
        <f t="shared" si="1"/>
        <v>3413168.2499999995</v>
      </c>
      <c r="E22" s="3">
        <f t="shared" si="0"/>
        <v>0.15454577975354794</v>
      </c>
    </row>
    <row r="23" spans="1:7" x14ac:dyDescent="0.3">
      <c r="A23" t="s">
        <v>10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</f>
        <v>110.79859999999869</v>
      </c>
      <c r="C23" s="4">
        <v>1000</v>
      </c>
      <c r="D23">
        <f t="shared" si="1"/>
        <v>110798.59999999868</v>
      </c>
      <c r="E23" s="3">
        <f t="shared" si="0"/>
        <v>5.0168801472360042E-3</v>
      </c>
      <c r="G23" t="s">
        <v>74</v>
      </c>
    </row>
    <row r="24" spans="1:7" x14ac:dyDescent="0.3">
      <c r="B24" s="1"/>
      <c r="E24" s="3"/>
    </row>
    <row r="25" spans="1:7" x14ac:dyDescent="0.3">
      <c r="B25" s="1"/>
      <c r="D25">
        <f>SUM(D5:D23)</f>
        <v>22085159.849999998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DBE3-8EDB-423D-A7DF-64DD4EEAFAB8}">
  <sheetPr>
    <pageSetUpPr fitToPage="1"/>
  </sheetPr>
  <dimension ref="A1:J23"/>
  <sheetViews>
    <sheetView workbookViewId="0">
      <selection activeCell="B22" sqref="B2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4"/>
    <col min="4" max="4" width="12" bestFit="1" customWidth="1"/>
    <col min="5" max="5" width="11" customWidth="1"/>
    <col min="7" max="7" width="41.5546875" bestFit="1" customWidth="1"/>
    <col min="8" max="8" width="11.5546875" bestFit="1" customWidth="1"/>
    <col min="10" max="10" width="11.5546875" style="4" bestFit="1" customWidth="1"/>
  </cols>
  <sheetData>
    <row r="1" spans="1:7" x14ac:dyDescent="0.3">
      <c r="A1" t="s">
        <v>0</v>
      </c>
      <c r="B1" s="2">
        <v>44886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336.9</v>
      </c>
      <c r="D5">
        <f>C5*B5</f>
        <v>1479664.7999999998</v>
      </c>
      <c r="E5" s="3">
        <f t="shared" ref="E5:E21" si="0">D5/$D$23</f>
        <v>6.5552888895424002E-2</v>
      </c>
    </row>
    <row r="6" spans="1:7" x14ac:dyDescent="0.3">
      <c r="A6" t="s">
        <v>7</v>
      </c>
      <c r="B6" s="1">
        <f>(840+420)*2+290+562</f>
        <v>3372</v>
      </c>
      <c r="C6" s="4">
        <v>338.8</v>
      </c>
      <c r="D6">
        <f t="shared" ref="D6:D21" si="1">C6*B6</f>
        <v>1142433.6000000001</v>
      </c>
      <c r="E6" s="3">
        <f t="shared" si="0"/>
        <v>5.0612694747620729E-2</v>
      </c>
    </row>
    <row r="7" spans="1:7" x14ac:dyDescent="0.3">
      <c r="A7" t="s">
        <v>28</v>
      </c>
      <c r="B7" s="1">
        <f>130+126+33+57+173+130</f>
        <v>649</v>
      </c>
      <c r="C7" s="4">
        <v>2609.1</v>
      </c>
      <c r="D7">
        <f t="shared" si="1"/>
        <v>1693305.9</v>
      </c>
      <c r="E7" s="3">
        <f t="shared" si="0"/>
        <v>7.5017729372670053E-2</v>
      </c>
    </row>
    <row r="8" spans="1:7" x14ac:dyDescent="0.3">
      <c r="A8" t="s">
        <v>24</v>
      </c>
      <c r="B8" s="1">
        <f>1280+1280+1280+910+1300+1300+2940+1300</f>
        <v>11590</v>
      </c>
      <c r="C8" s="4">
        <v>130.9</v>
      </c>
      <c r="D8">
        <f t="shared" si="1"/>
        <v>1517131</v>
      </c>
      <c r="E8" s="3">
        <f t="shared" si="0"/>
        <v>6.7212736210798235E-2</v>
      </c>
    </row>
    <row r="9" spans="1:7" x14ac:dyDescent="0.3">
      <c r="A9" t="s">
        <v>33</v>
      </c>
      <c r="B9" s="1">
        <f>96000-48000-12000</f>
        <v>36000</v>
      </c>
      <c r="C9" s="4">
        <v>7.85</v>
      </c>
      <c r="D9">
        <f t="shared" si="1"/>
        <v>282600</v>
      </c>
      <c r="E9" s="3">
        <f t="shared" si="0"/>
        <v>1.251989396642187E-2</v>
      </c>
      <c r="G9" t="s">
        <v>75</v>
      </c>
    </row>
    <row r="10" spans="1:7" x14ac:dyDescent="0.3">
      <c r="A10" t="s">
        <v>50</v>
      </c>
      <c r="B10" s="1">
        <f>862+390+71+35</f>
        <v>1358</v>
      </c>
      <c r="C10" s="4">
        <v>753.5</v>
      </c>
      <c r="D10">
        <f t="shared" si="1"/>
        <v>1023253</v>
      </c>
      <c r="E10" s="3">
        <f t="shared" si="0"/>
        <v>4.5332693067314501E-2</v>
      </c>
    </row>
    <row r="11" spans="1:7" x14ac:dyDescent="0.3">
      <c r="A11" t="s">
        <v>46</v>
      </c>
      <c r="B11" s="1">
        <f>635+317+317</f>
        <v>1269</v>
      </c>
      <c r="C11" s="4">
        <v>810.1</v>
      </c>
      <c r="D11">
        <f t="shared" si="1"/>
        <v>1028016.9</v>
      </c>
      <c r="E11" s="3">
        <f t="shared" si="0"/>
        <v>4.5543745872928934E-2</v>
      </c>
      <c r="G11" t="s">
        <v>76</v>
      </c>
    </row>
    <row r="12" spans="1:7" x14ac:dyDescent="0.3">
      <c r="A12" t="s">
        <v>55</v>
      </c>
      <c r="B12" s="1">
        <f>410+205</f>
        <v>615</v>
      </c>
      <c r="C12" s="4">
        <v>1965.45</v>
      </c>
      <c r="D12">
        <f t="shared" si="1"/>
        <v>1208751.75</v>
      </c>
      <c r="E12" s="3">
        <f t="shared" si="0"/>
        <v>5.3550756340151724E-2</v>
      </c>
    </row>
    <row r="13" spans="1:7" x14ac:dyDescent="0.3">
      <c r="A13" t="s">
        <v>29</v>
      </c>
      <c r="B13" s="1">
        <f>1727-863-216</f>
        <v>648</v>
      </c>
      <c r="C13" s="4">
        <v>568.95000000000005</v>
      </c>
      <c r="D13">
        <f t="shared" si="1"/>
        <v>368679.60000000003</v>
      </c>
      <c r="E13" s="3">
        <f t="shared" si="0"/>
        <v>1.6333437719684464E-2</v>
      </c>
      <c r="G13" t="s">
        <v>77</v>
      </c>
    </row>
    <row r="14" spans="1:7" x14ac:dyDescent="0.3">
      <c r="A14" t="s">
        <v>32</v>
      </c>
      <c r="B14" s="1">
        <f>1875+937+309+619</f>
        <v>3740</v>
      </c>
      <c r="C14" s="4">
        <v>469.9</v>
      </c>
      <c r="D14">
        <f t="shared" si="1"/>
        <v>1757426</v>
      </c>
      <c r="E14" s="3">
        <f t="shared" si="0"/>
        <v>7.7858411797002564E-2</v>
      </c>
    </row>
    <row r="15" spans="1:7" x14ac:dyDescent="0.3">
      <c r="A15" t="s">
        <v>26</v>
      </c>
      <c r="B15" s="1">
        <f>480+154+159+192</f>
        <v>985</v>
      </c>
      <c r="C15" s="4">
        <v>2759.4</v>
      </c>
      <c r="D15">
        <f t="shared" si="1"/>
        <v>2718009</v>
      </c>
      <c r="E15" s="3">
        <f t="shared" si="0"/>
        <v>0.12041466553354686</v>
      </c>
    </row>
    <row r="16" spans="1:7" x14ac:dyDescent="0.3">
      <c r="A16" t="s">
        <v>34</v>
      </c>
      <c r="B16" s="1">
        <f>10500+5250</f>
        <v>15750</v>
      </c>
      <c r="C16" s="4">
        <v>193.45</v>
      </c>
      <c r="D16">
        <f t="shared" si="1"/>
        <v>3046837.5</v>
      </c>
      <c r="E16" s="3">
        <f t="shared" si="0"/>
        <v>0.13498259884259695</v>
      </c>
    </row>
    <row r="17" spans="1:7" x14ac:dyDescent="0.3">
      <c r="A17" t="s">
        <v>8</v>
      </c>
      <c r="B17" s="1">
        <f>6886+2045-4465+4466+4466+13398+9475-20183</f>
        <v>16088</v>
      </c>
      <c r="C17" s="4">
        <v>36.200000000000003</v>
      </c>
      <c r="D17">
        <f t="shared" si="1"/>
        <v>582385.60000000009</v>
      </c>
      <c r="E17" s="3">
        <f t="shared" si="0"/>
        <v>2.5801153430895195E-2</v>
      </c>
    </row>
    <row r="18" spans="1:7" x14ac:dyDescent="0.3">
      <c r="A18" t="s">
        <v>9</v>
      </c>
      <c r="B18" s="1">
        <f>920+319+331-785+393+355</f>
        <v>1533</v>
      </c>
      <c r="C18" s="4">
        <v>234.85</v>
      </c>
      <c r="D18">
        <f t="shared" si="1"/>
        <v>360025.05</v>
      </c>
      <c r="E18" s="3">
        <f t="shared" si="0"/>
        <v>1.5950019289652274E-2</v>
      </c>
    </row>
    <row r="19" spans="1:7" x14ac:dyDescent="0.3">
      <c r="A19" t="s">
        <v>65</v>
      </c>
      <c r="B19" s="1">
        <v>458</v>
      </c>
      <c r="C19" s="4">
        <v>2606.9499999999998</v>
      </c>
      <c r="D19">
        <f t="shared" si="1"/>
        <v>1193983.0999999999</v>
      </c>
      <c r="E19" s="3">
        <f t="shared" si="0"/>
        <v>5.2896467833332197E-2</v>
      </c>
    </row>
    <row r="20" spans="1:7" x14ac:dyDescent="0.3">
      <c r="A20" t="s">
        <v>30</v>
      </c>
      <c r="B20" s="1">
        <f>3075+1537+1153</f>
        <v>5765</v>
      </c>
      <c r="C20" s="4">
        <v>537.75</v>
      </c>
      <c r="D20">
        <f t="shared" si="1"/>
        <v>3100128.75</v>
      </c>
      <c r="E20" s="3">
        <f t="shared" si="0"/>
        <v>0.13734353585370127</v>
      </c>
    </row>
    <row r="21" spans="1:7" x14ac:dyDescent="0.3">
      <c r="A21" t="s">
        <v>10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</f>
        <v>69.444599999998687</v>
      </c>
      <c r="C21" s="4">
        <v>1000</v>
      </c>
      <c r="D21">
        <f t="shared" si="1"/>
        <v>69444.599999998682</v>
      </c>
      <c r="E21" s="3">
        <f t="shared" si="0"/>
        <v>3.0765712262581873E-3</v>
      </c>
      <c r="G21" t="s">
        <v>78</v>
      </c>
    </row>
    <row r="22" spans="1:7" x14ac:dyDescent="0.3">
      <c r="B22" s="1"/>
      <c r="E22" s="3"/>
    </row>
    <row r="23" spans="1:7" x14ac:dyDescent="0.3">
      <c r="B23" s="1"/>
      <c r="D23">
        <f>SUM(D5:D21)</f>
        <v>22572076.149999999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67F6-3376-4F70-A52A-26659AF5AABF}">
  <sheetPr>
    <pageSetUpPr fitToPage="1"/>
  </sheetPr>
  <dimension ref="A1:J23"/>
  <sheetViews>
    <sheetView tabSelected="1" workbookViewId="0">
      <selection activeCell="B22" sqref="B2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4"/>
    <col min="4" max="4" width="12" bestFit="1" customWidth="1"/>
    <col min="5" max="5" width="11" customWidth="1"/>
    <col min="7" max="7" width="41.5546875" bestFit="1" customWidth="1"/>
    <col min="8" max="8" width="11.5546875" bestFit="1" customWidth="1"/>
    <col min="10" max="10" width="11.5546875" style="4" bestFit="1" customWidth="1"/>
  </cols>
  <sheetData>
    <row r="1" spans="1:7" x14ac:dyDescent="0.3">
      <c r="A1" t="s">
        <v>0</v>
      </c>
      <c r="B1" s="2">
        <v>44886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31</v>
      </c>
      <c r="B5" s="1">
        <f>1098*4</f>
        <v>4392</v>
      </c>
      <c r="C5" s="4">
        <v>336.9</v>
      </c>
      <c r="D5">
        <f>C5*B5</f>
        <v>1479664.7999999998</v>
      </c>
      <c r="E5" s="3">
        <f t="shared" ref="E5:E21" si="0">D5/$D$23</f>
        <v>6.5521298168756598E-2</v>
      </c>
    </row>
    <row r="6" spans="1:7" x14ac:dyDescent="0.3">
      <c r="A6" t="s">
        <v>7</v>
      </c>
      <c r="B6" s="1">
        <f>(840+420)*2+290+562</f>
        <v>3372</v>
      </c>
      <c r="C6" s="4">
        <v>338.8</v>
      </c>
      <c r="D6">
        <f t="shared" ref="D6:D21" si="1">C6*B6</f>
        <v>1142433.6000000001</v>
      </c>
      <c r="E6" s="3">
        <f t="shared" si="0"/>
        <v>5.0588303880450505E-2</v>
      </c>
    </row>
    <row r="7" spans="1:7" x14ac:dyDescent="0.3">
      <c r="A7" t="s">
        <v>28</v>
      </c>
      <c r="B7" s="1">
        <f>130+126+33+57+173+130</f>
        <v>649</v>
      </c>
      <c r="C7" s="4">
        <v>2609.1</v>
      </c>
      <c r="D7">
        <f t="shared" si="1"/>
        <v>1693305.9</v>
      </c>
      <c r="E7" s="3">
        <f t="shared" si="0"/>
        <v>7.4981577425383597E-2</v>
      </c>
    </row>
    <row r="8" spans="1:7" x14ac:dyDescent="0.3">
      <c r="A8" t="s">
        <v>24</v>
      </c>
      <c r="B8" s="1">
        <f>1280+1280+1280+910+1300+1300+2940+1300</f>
        <v>11590</v>
      </c>
      <c r="C8" s="4">
        <v>130.9</v>
      </c>
      <c r="D8">
        <f t="shared" si="1"/>
        <v>1517131</v>
      </c>
      <c r="E8" s="3">
        <f t="shared" si="0"/>
        <v>6.7180345583718604E-2</v>
      </c>
    </row>
    <row r="9" spans="1:7" x14ac:dyDescent="0.3">
      <c r="A9" t="s">
        <v>33</v>
      </c>
      <c r="B9" s="1">
        <f>96000-48000-12000</f>
        <v>36000</v>
      </c>
      <c r="C9" s="4">
        <v>7.85</v>
      </c>
      <c r="D9">
        <f t="shared" si="1"/>
        <v>282600</v>
      </c>
      <c r="E9" s="3">
        <f t="shared" si="0"/>
        <v>1.2513860478731815E-2</v>
      </c>
    </row>
    <row r="10" spans="1:7" x14ac:dyDescent="0.3">
      <c r="A10" t="s">
        <v>50</v>
      </c>
      <c r="B10" s="1">
        <f>862+390+71+35</f>
        <v>1358</v>
      </c>
      <c r="C10" s="4">
        <v>753.5</v>
      </c>
      <c r="D10">
        <f t="shared" si="1"/>
        <v>1023253</v>
      </c>
      <c r="E10" s="3">
        <f t="shared" si="0"/>
        <v>4.5310846696545524E-2</v>
      </c>
    </row>
    <row r="11" spans="1:7" x14ac:dyDescent="0.3">
      <c r="A11" t="s">
        <v>46</v>
      </c>
      <c r="B11" s="1">
        <f>635+317+317</f>
        <v>1269</v>
      </c>
      <c r="C11" s="4">
        <v>810.1</v>
      </c>
      <c r="D11">
        <f t="shared" si="1"/>
        <v>1028016.9</v>
      </c>
      <c r="E11" s="3">
        <f t="shared" si="0"/>
        <v>4.5521797793271042E-2</v>
      </c>
    </row>
    <row r="12" spans="1:7" x14ac:dyDescent="0.3">
      <c r="A12" t="s">
        <v>55</v>
      </c>
      <c r="B12" s="1">
        <f>410+205</f>
        <v>615</v>
      </c>
      <c r="C12" s="4">
        <v>1965.45</v>
      </c>
      <c r="D12">
        <f t="shared" si="1"/>
        <v>1208751.75</v>
      </c>
      <c r="E12" s="3">
        <f t="shared" si="0"/>
        <v>5.3524949585714507E-2</v>
      </c>
    </row>
    <row r="13" spans="1:7" x14ac:dyDescent="0.3">
      <c r="A13" t="s">
        <v>29</v>
      </c>
      <c r="B13" s="1">
        <f>1727-863-216</f>
        <v>648</v>
      </c>
      <c r="C13" s="4">
        <v>568.95000000000005</v>
      </c>
      <c r="D13">
        <f t="shared" si="1"/>
        <v>368679.60000000003</v>
      </c>
      <c r="E13" s="3">
        <f t="shared" si="0"/>
        <v>1.6325566439329989E-2</v>
      </c>
    </row>
    <row r="14" spans="1:7" x14ac:dyDescent="0.3">
      <c r="A14" t="s">
        <v>32</v>
      </c>
      <c r="B14" s="1">
        <f>1875+937+309+619</f>
        <v>3740</v>
      </c>
      <c r="C14" s="4">
        <v>469.9</v>
      </c>
      <c r="D14">
        <f t="shared" si="1"/>
        <v>1757426</v>
      </c>
      <c r="E14" s="3">
        <f t="shared" si="0"/>
        <v>7.7820890890643091E-2</v>
      </c>
    </row>
    <row r="15" spans="1:7" x14ac:dyDescent="0.3">
      <c r="A15" t="s">
        <v>26</v>
      </c>
      <c r="B15" s="1">
        <f>480+154+159+192</f>
        <v>985</v>
      </c>
      <c r="C15" s="4">
        <v>2759.4</v>
      </c>
      <c r="D15">
        <f t="shared" si="1"/>
        <v>2718009</v>
      </c>
      <c r="E15" s="3">
        <f t="shared" si="0"/>
        <v>0.12035663625597091</v>
      </c>
    </row>
    <row r="16" spans="1:7" x14ac:dyDescent="0.3">
      <c r="A16" t="s">
        <v>34</v>
      </c>
      <c r="B16" s="1">
        <f>10500+5250</f>
        <v>15750</v>
      </c>
      <c r="C16" s="4">
        <v>193.45</v>
      </c>
      <c r="D16">
        <f t="shared" si="1"/>
        <v>3046837.5</v>
      </c>
      <c r="E16" s="3">
        <f t="shared" si="0"/>
        <v>0.13491754910250547</v>
      </c>
    </row>
    <row r="17" spans="1:7" x14ac:dyDescent="0.3">
      <c r="A17" t="s">
        <v>8</v>
      </c>
      <c r="B17" s="1">
        <f>6886+2045-4465+4466+4466+13398+9475-20183</f>
        <v>16088</v>
      </c>
      <c r="C17" s="4">
        <v>36.200000000000003</v>
      </c>
      <c r="D17">
        <f t="shared" si="1"/>
        <v>582385.60000000009</v>
      </c>
      <c r="E17" s="3">
        <f t="shared" si="0"/>
        <v>2.5788719544311806E-2</v>
      </c>
    </row>
    <row r="18" spans="1:7" x14ac:dyDescent="0.3">
      <c r="A18" t="s">
        <v>9</v>
      </c>
      <c r="B18" s="1">
        <f>920+319+331-785+393+355</f>
        <v>1533</v>
      </c>
      <c r="C18" s="4">
        <v>234.85</v>
      </c>
      <c r="D18">
        <f t="shared" si="1"/>
        <v>360025.05</v>
      </c>
      <c r="E18" s="3">
        <f t="shared" si="0"/>
        <v>1.594233278325706E-2</v>
      </c>
    </row>
    <row r="19" spans="1:7" x14ac:dyDescent="0.3">
      <c r="A19" t="s">
        <v>65</v>
      </c>
      <c r="B19" s="1">
        <v>458</v>
      </c>
      <c r="C19" s="4">
        <v>2606.9499999999998</v>
      </c>
      <c r="D19">
        <f t="shared" si="1"/>
        <v>1193983.0999999999</v>
      </c>
      <c r="E19" s="3">
        <f t="shared" si="0"/>
        <v>5.2870976388406564E-2</v>
      </c>
    </row>
    <row r="20" spans="1:7" x14ac:dyDescent="0.3">
      <c r="A20" t="s">
        <v>30</v>
      </c>
      <c r="B20" s="1">
        <f>3075+1537+1153</f>
        <v>5765</v>
      </c>
      <c r="C20" s="4">
        <v>537.75</v>
      </c>
      <c r="D20">
        <f t="shared" si="1"/>
        <v>3100128.75</v>
      </c>
      <c r="E20" s="3">
        <f t="shared" si="0"/>
        <v>0.13727734834962937</v>
      </c>
    </row>
    <row r="21" spans="1:7" x14ac:dyDescent="0.3">
      <c r="A21" t="s">
        <v>10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</f>
        <v>80.327599999998682</v>
      </c>
      <c r="C21" s="4">
        <v>1000</v>
      </c>
      <c r="D21">
        <f t="shared" si="1"/>
        <v>80327.599999998682</v>
      </c>
      <c r="E21" s="3">
        <f t="shared" si="0"/>
        <v>3.5570006333735357E-3</v>
      </c>
      <c r="G21" t="s">
        <v>80</v>
      </c>
    </row>
    <row r="22" spans="1:7" x14ac:dyDescent="0.3">
      <c r="B22" s="1"/>
      <c r="E22" s="3"/>
    </row>
    <row r="23" spans="1:7" x14ac:dyDescent="0.3">
      <c r="B23" s="1"/>
      <c r="D23">
        <f>SUM(D5:D21)</f>
        <v>22582959.149999999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"/>
  <dimension ref="A1:C16"/>
  <sheetViews>
    <sheetView workbookViewId="0">
      <selection activeCell="B15" sqref="B15"/>
    </sheetView>
  </sheetViews>
  <sheetFormatPr defaultRowHeight="14.4" x14ac:dyDescent="0.3"/>
  <cols>
    <col min="3" max="3" width="9.109375" style="4"/>
  </cols>
  <sheetData>
    <row r="1" spans="1:3" x14ac:dyDescent="0.3">
      <c r="A1" t="s">
        <v>79</v>
      </c>
    </row>
    <row r="3" spans="1:3" x14ac:dyDescent="0.3">
      <c r="A3" t="s">
        <v>11</v>
      </c>
      <c r="B3">
        <v>212727</v>
      </c>
      <c r="C3" s="4">
        <f>B3*0.002</f>
        <v>425.45400000000001</v>
      </c>
    </row>
    <row r="4" spans="1:3" x14ac:dyDescent="0.3">
      <c r="A4" t="s">
        <v>12</v>
      </c>
      <c r="B4">
        <v>212727</v>
      </c>
      <c r="C4" s="4">
        <f t="shared" ref="C4:C14" si="0">B4*0.002</f>
        <v>425.45400000000001</v>
      </c>
    </row>
    <row r="5" spans="1:3" x14ac:dyDescent="0.3">
      <c r="A5" t="s">
        <v>13</v>
      </c>
      <c r="B5">
        <v>212727</v>
      </c>
      <c r="C5" s="4">
        <f t="shared" si="0"/>
        <v>425.45400000000001</v>
      </c>
    </row>
    <row r="6" spans="1:3" x14ac:dyDescent="0.3">
      <c r="A6" t="s">
        <v>14</v>
      </c>
      <c r="B6">
        <v>212727</v>
      </c>
      <c r="C6" s="4">
        <f t="shared" si="0"/>
        <v>425.45400000000001</v>
      </c>
    </row>
    <row r="7" spans="1:3" x14ac:dyDescent="0.3">
      <c r="A7" t="s">
        <v>15</v>
      </c>
      <c r="B7">
        <v>807600</v>
      </c>
      <c r="C7" s="4">
        <f t="shared" si="0"/>
        <v>1615.2</v>
      </c>
    </row>
    <row r="8" spans="1:3" x14ac:dyDescent="0.3">
      <c r="A8" t="s">
        <v>16</v>
      </c>
      <c r="B8">
        <v>807600</v>
      </c>
      <c r="C8" s="4">
        <f t="shared" si="0"/>
        <v>1615.2</v>
      </c>
    </row>
    <row r="9" spans="1:3" x14ac:dyDescent="0.3">
      <c r="A9" t="s">
        <v>17</v>
      </c>
      <c r="B9">
        <v>807600</v>
      </c>
      <c r="C9" s="4">
        <f t="shared" si="0"/>
        <v>1615.2</v>
      </c>
    </row>
    <row r="10" spans="1:3" x14ac:dyDescent="0.3">
      <c r="A10" t="s">
        <v>18</v>
      </c>
      <c r="B10">
        <v>1303604</v>
      </c>
      <c r="C10" s="4">
        <f t="shared" si="0"/>
        <v>2607.2080000000001</v>
      </c>
    </row>
    <row r="11" spans="1:3" x14ac:dyDescent="0.3">
      <c r="A11" t="s">
        <v>19</v>
      </c>
      <c r="B11">
        <v>342115</v>
      </c>
      <c r="C11" s="4">
        <f t="shared" si="0"/>
        <v>684.23</v>
      </c>
    </row>
    <row r="12" spans="1:3" x14ac:dyDescent="0.3">
      <c r="A12" t="s">
        <v>20</v>
      </c>
      <c r="B12">
        <v>342115</v>
      </c>
      <c r="C12" s="4">
        <f t="shared" si="0"/>
        <v>684.23</v>
      </c>
    </row>
    <row r="13" spans="1:3" x14ac:dyDescent="0.3">
      <c r="A13" t="s">
        <v>21</v>
      </c>
      <c r="B13">
        <v>110798</v>
      </c>
      <c r="C13" s="4">
        <f t="shared" si="0"/>
        <v>221.596</v>
      </c>
    </row>
    <row r="14" spans="1:3" x14ac:dyDescent="0.3">
      <c r="A14" t="s">
        <v>22</v>
      </c>
      <c r="B14">
        <v>69444</v>
      </c>
      <c r="C14" s="4">
        <f t="shared" si="0"/>
        <v>138.88800000000001</v>
      </c>
    </row>
    <row r="16" spans="1:3" x14ac:dyDescent="0.3">
      <c r="C16" s="4">
        <f>SUM(C3:C15)</f>
        <v>10883.567999999999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01Jan22</vt:lpstr>
      <vt:lpstr>17Jan22</vt:lpstr>
      <vt:lpstr>26Apr22</vt:lpstr>
      <vt:lpstr>04May22</vt:lpstr>
      <vt:lpstr>09May22</vt:lpstr>
      <vt:lpstr>25Jul22</vt:lpstr>
      <vt:lpstr>16Aug22</vt:lpstr>
      <vt:lpstr>30Aug22</vt:lpstr>
      <vt:lpstr>14Sep22</vt:lpstr>
      <vt:lpstr>17Oct22</vt:lpstr>
      <vt:lpstr>14Nov22</vt:lpstr>
      <vt:lpstr>21Nov22</vt:lpstr>
      <vt:lpstr>27Dec22</vt:lpstr>
      <vt:lpstr>31Dec22</vt:lpstr>
      <vt:lpstr>Liquid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2023-01-17T10:22:45Z</dcterms:modified>
</cp:coreProperties>
</file>