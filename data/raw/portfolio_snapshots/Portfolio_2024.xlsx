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3b54154a9f56a2/Samir/Research/Portfolio/Portfolio Yearly/"/>
    </mc:Choice>
  </mc:AlternateContent>
  <xr:revisionPtr revIDLastSave="936" documentId="8_{EDF33660-9B23-4888-B529-2B640994E33F}" xr6:coauthVersionLast="47" xr6:coauthVersionMax="47" xr10:uidLastSave="{EB233030-82C4-4F3A-BAEB-D022E591D20A}"/>
  <bookViews>
    <workbookView xWindow="-108" yWindow="-108" windowWidth="23256" windowHeight="13896" firstSheet="12" activeTab="17" xr2:uid="{D1491BFC-AA9E-4856-B603-CFD392162666}"/>
  </bookViews>
  <sheets>
    <sheet name="01Jan24" sheetId="30" r:id="rId1"/>
    <sheet name="10Jan24" sheetId="31" r:id="rId2"/>
    <sheet name="15Jan24" sheetId="32" r:id="rId3"/>
    <sheet name="31Jan24" sheetId="33" r:id="rId4"/>
    <sheet name="06Feb24" sheetId="34" r:id="rId5"/>
    <sheet name="12Feb24" sheetId="35" r:id="rId6"/>
    <sheet name="07Mar24" sheetId="36" r:id="rId7"/>
    <sheet name="24Apr24" sheetId="37" r:id="rId8"/>
    <sheet name="17May24" sheetId="38" r:id="rId9"/>
    <sheet name="29May24" sheetId="39" r:id="rId10"/>
    <sheet name="04Jun24" sheetId="40" r:id="rId11"/>
    <sheet name="27Jun24" sheetId="41" r:id="rId12"/>
    <sheet name="31Jul24" sheetId="42" r:id="rId13"/>
    <sheet name="05Aug24" sheetId="43" r:id="rId14"/>
    <sheet name="14Aug24" sheetId="44" r:id="rId15"/>
    <sheet name="08Oct24" sheetId="45" r:id="rId16"/>
    <sheet name="31Oct24" sheetId="46" r:id="rId17"/>
    <sheet name="11Dec24" sheetId="47" r:id="rId18"/>
    <sheet name="18Dec24" sheetId="48" r:id="rId19"/>
    <sheet name="Liquid" sheetId="3" r:id="rId20"/>
    <sheet name="31stDec24" sheetId="49" r:id="rId21"/>
    <sheet name="Sheet1" sheetId="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9" l="1"/>
  <c r="D21" i="49"/>
  <c r="B20" i="49"/>
  <c r="D20" i="49" s="1"/>
  <c r="B19" i="49"/>
  <c r="D19" i="49" s="1"/>
  <c r="B18" i="49"/>
  <c r="D18" i="49" s="1"/>
  <c r="B17" i="49"/>
  <c r="D17" i="49" s="1"/>
  <c r="B16" i="49"/>
  <c r="D16" i="49" s="1"/>
  <c r="B15" i="49"/>
  <c r="D15" i="49" s="1"/>
  <c r="B14" i="49"/>
  <c r="D14" i="49" s="1"/>
  <c r="B13" i="49"/>
  <c r="D13" i="49" s="1"/>
  <c r="B12" i="49"/>
  <c r="D12" i="49" s="1"/>
  <c r="D11" i="49"/>
  <c r="B10" i="49"/>
  <c r="D10" i="49" s="1"/>
  <c r="B9" i="49"/>
  <c r="D9" i="49" s="1"/>
  <c r="B8" i="49"/>
  <c r="D8" i="49" s="1"/>
  <c r="D7" i="49"/>
  <c r="B6" i="49"/>
  <c r="D6" i="49" s="1"/>
  <c r="B5" i="49"/>
  <c r="D5" i="49" s="1"/>
  <c r="B21" i="48"/>
  <c r="D21" i="48" s="1"/>
  <c r="D7" i="48"/>
  <c r="B20" i="48"/>
  <c r="D20" i="48" s="1"/>
  <c r="B19" i="48"/>
  <c r="D19" i="48" s="1"/>
  <c r="B18" i="48"/>
  <c r="D18" i="48" s="1"/>
  <c r="B17" i="48"/>
  <c r="D17" i="48" s="1"/>
  <c r="B16" i="48"/>
  <c r="D16" i="48" s="1"/>
  <c r="B15" i="48"/>
  <c r="D15" i="48" s="1"/>
  <c r="B14" i="48"/>
  <c r="D14" i="48" s="1"/>
  <c r="B13" i="48"/>
  <c r="D13" i="48" s="1"/>
  <c r="B12" i="48"/>
  <c r="D12" i="48" s="1"/>
  <c r="D11" i="48"/>
  <c r="B10" i="48"/>
  <c r="D10" i="48" s="1"/>
  <c r="B9" i="48"/>
  <c r="D9" i="48" s="1"/>
  <c r="B8" i="48"/>
  <c r="D8" i="48" s="1"/>
  <c r="B6" i="48"/>
  <c r="D6" i="48" s="1"/>
  <c r="B5" i="48"/>
  <c r="D5" i="48" s="1"/>
  <c r="B15" i="47"/>
  <c r="B20" i="47"/>
  <c r="D20" i="47"/>
  <c r="B19" i="47"/>
  <c r="D19" i="47" s="1"/>
  <c r="B18" i="47"/>
  <c r="D18" i="47" s="1"/>
  <c r="D17" i="47"/>
  <c r="B17" i="47"/>
  <c r="B16" i="47"/>
  <c r="D16" i="47" s="1"/>
  <c r="D15" i="47"/>
  <c r="D14" i="47"/>
  <c r="B14" i="47"/>
  <c r="D13" i="47"/>
  <c r="B13" i="47"/>
  <c r="D12" i="47"/>
  <c r="B12" i="47"/>
  <c r="D11" i="47"/>
  <c r="B11" i="47"/>
  <c r="D10" i="47"/>
  <c r="B9" i="47"/>
  <c r="D9" i="47" s="1"/>
  <c r="B8" i="47"/>
  <c r="D8" i="47" s="1"/>
  <c r="B7" i="47"/>
  <c r="D7" i="47" s="1"/>
  <c r="D6" i="47"/>
  <c r="B6" i="47"/>
  <c r="D5" i="47"/>
  <c r="B5" i="47"/>
  <c r="B20" i="46"/>
  <c r="B18" i="46"/>
  <c r="E14" i="49" l="1"/>
  <c r="E15" i="49"/>
  <c r="E16" i="49"/>
  <c r="E17" i="49"/>
  <c r="D23" i="49"/>
  <c r="E5" i="49" s="1"/>
  <c r="E6" i="49"/>
  <c r="E7" i="49"/>
  <c r="E8" i="49"/>
  <c r="E9" i="49"/>
  <c r="E10" i="49"/>
  <c r="E11" i="49"/>
  <c r="E12" i="49"/>
  <c r="E13" i="49"/>
  <c r="D23" i="48"/>
  <c r="E5" i="48" s="1"/>
  <c r="D22" i="47"/>
  <c r="E15" i="47"/>
  <c r="E16" i="47"/>
  <c r="E17" i="47"/>
  <c r="E18" i="47"/>
  <c r="E6" i="47"/>
  <c r="E19" i="47"/>
  <c r="E5" i="47"/>
  <c r="D20" i="46"/>
  <c r="B19" i="46"/>
  <c r="D19" i="46" s="1"/>
  <c r="D18" i="46"/>
  <c r="B17" i="46"/>
  <c r="D17" i="46" s="1"/>
  <c r="B16" i="46"/>
  <c r="D16" i="46" s="1"/>
  <c r="D15" i="46"/>
  <c r="B15" i="46"/>
  <c r="B14" i="46"/>
  <c r="D14" i="46" s="1"/>
  <c r="B13" i="46"/>
  <c r="D13" i="46" s="1"/>
  <c r="D12" i="46"/>
  <c r="B12" i="46"/>
  <c r="B11" i="46"/>
  <c r="D11" i="46" s="1"/>
  <c r="D10" i="46"/>
  <c r="B9" i="46"/>
  <c r="D9" i="46" s="1"/>
  <c r="B8" i="46"/>
  <c r="D8" i="46" s="1"/>
  <c r="B7" i="46"/>
  <c r="D7" i="46" s="1"/>
  <c r="D6" i="46"/>
  <c r="B6" i="46"/>
  <c r="B5" i="46"/>
  <c r="D5" i="46" s="1"/>
  <c r="B11" i="45"/>
  <c r="B20" i="45"/>
  <c r="D20" i="45" s="1"/>
  <c r="B19" i="45"/>
  <c r="D19" i="45" s="1"/>
  <c r="B18" i="45"/>
  <c r="D18" i="45" s="1"/>
  <c r="B17" i="45"/>
  <c r="D17" i="45" s="1"/>
  <c r="B16" i="45"/>
  <c r="D16" i="45" s="1"/>
  <c r="B15" i="45"/>
  <c r="D15" i="45" s="1"/>
  <c r="B14" i="45"/>
  <c r="D14" i="45" s="1"/>
  <c r="B13" i="45"/>
  <c r="D13" i="45" s="1"/>
  <c r="B12" i="45"/>
  <c r="D12" i="45" s="1"/>
  <c r="D11" i="45"/>
  <c r="D10" i="45"/>
  <c r="B9" i="45"/>
  <c r="D9" i="45" s="1"/>
  <c r="B8" i="45"/>
  <c r="D8" i="45" s="1"/>
  <c r="B7" i="45"/>
  <c r="D7" i="45" s="1"/>
  <c r="B6" i="45"/>
  <c r="D6" i="45" s="1"/>
  <c r="B5" i="45"/>
  <c r="D5" i="45" s="1"/>
  <c r="B20" i="44"/>
  <c r="D20" i="44" s="1"/>
  <c r="D10" i="44"/>
  <c r="B19" i="44"/>
  <c r="D19" i="44" s="1"/>
  <c r="B18" i="44"/>
  <c r="D18" i="44" s="1"/>
  <c r="B17" i="44"/>
  <c r="D17" i="44" s="1"/>
  <c r="B16" i="44"/>
  <c r="D16" i="44" s="1"/>
  <c r="B15" i="44"/>
  <c r="D15" i="44" s="1"/>
  <c r="B14" i="44"/>
  <c r="D14" i="44" s="1"/>
  <c r="B13" i="44"/>
  <c r="D13" i="44" s="1"/>
  <c r="B12" i="44"/>
  <c r="D12" i="44" s="1"/>
  <c r="B11" i="44"/>
  <c r="D11" i="44" s="1"/>
  <c r="B9" i="44"/>
  <c r="D9" i="44" s="1"/>
  <c r="B8" i="44"/>
  <c r="D8" i="44" s="1"/>
  <c r="B7" i="44"/>
  <c r="D7" i="44" s="1"/>
  <c r="B6" i="44"/>
  <c r="D6" i="44" s="1"/>
  <c r="B5" i="44"/>
  <c r="D5" i="44" s="1"/>
  <c r="B9" i="43"/>
  <c r="D9" i="43" s="1"/>
  <c r="B14" i="43"/>
  <c r="D14" i="43" s="1"/>
  <c r="B19" i="43"/>
  <c r="D19" i="43" s="1"/>
  <c r="B18" i="43"/>
  <c r="D18" i="43" s="1"/>
  <c r="D17" i="43"/>
  <c r="B17" i="43"/>
  <c r="D16" i="43"/>
  <c r="B16" i="43"/>
  <c r="B15" i="43"/>
  <c r="D15" i="43" s="1"/>
  <c r="D13" i="43"/>
  <c r="B13" i="43"/>
  <c r="B12" i="43"/>
  <c r="D12" i="43" s="1"/>
  <c r="B11" i="43"/>
  <c r="D11" i="43" s="1"/>
  <c r="B10" i="43"/>
  <c r="D10" i="43" s="1"/>
  <c r="D8" i="43"/>
  <c r="B8" i="43"/>
  <c r="B7" i="43"/>
  <c r="D7" i="43" s="1"/>
  <c r="D6" i="43"/>
  <c r="B6" i="43"/>
  <c r="D5" i="43"/>
  <c r="B5" i="43"/>
  <c r="B19" i="42"/>
  <c r="D19" i="42" s="1"/>
  <c r="B14" i="42"/>
  <c r="D14" i="42" s="1"/>
  <c r="D18" i="42"/>
  <c r="B18" i="42"/>
  <c r="B17" i="42"/>
  <c r="D17" i="42" s="1"/>
  <c r="B16" i="42"/>
  <c r="D16" i="42" s="1"/>
  <c r="D15" i="42"/>
  <c r="B15" i="42"/>
  <c r="B13" i="42"/>
  <c r="D13" i="42" s="1"/>
  <c r="B12" i="42"/>
  <c r="D12" i="42" s="1"/>
  <c r="B11" i="42"/>
  <c r="D11" i="42" s="1"/>
  <c r="D10" i="42"/>
  <c r="B10" i="42"/>
  <c r="B9" i="42"/>
  <c r="D9" i="42" s="1"/>
  <c r="B8" i="42"/>
  <c r="D8" i="42" s="1"/>
  <c r="D7" i="42"/>
  <c r="B7" i="42"/>
  <c r="B6" i="42"/>
  <c r="D6" i="42" s="1"/>
  <c r="B5" i="42"/>
  <c r="D5" i="42" s="1"/>
  <c r="B6" i="41"/>
  <c r="D6" i="41" s="1"/>
  <c r="B19" i="41"/>
  <c r="D19" i="41" s="1"/>
  <c r="B18" i="41"/>
  <c r="D18" i="41" s="1"/>
  <c r="B17" i="41"/>
  <c r="D17" i="41" s="1"/>
  <c r="B16" i="41"/>
  <c r="D16" i="41" s="1"/>
  <c r="B15" i="41"/>
  <c r="D15" i="41" s="1"/>
  <c r="B14" i="41"/>
  <c r="D14" i="41" s="1"/>
  <c r="D13" i="41"/>
  <c r="B13" i="41"/>
  <c r="D12" i="41"/>
  <c r="B12" i="41"/>
  <c r="B11" i="41"/>
  <c r="D11" i="41" s="1"/>
  <c r="B10" i="41"/>
  <c r="D10" i="41" s="1"/>
  <c r="B9" i="41"/>
  <c r="D9" i="41" s="1"/>
  <c r="B8" i="41"/>
  <c r="D8" i="41" s="1"/>
  <c r="B7" i="41"/>
  <c r="D7" i="41" s="1"/>
  <c r="B5" i="41"/>
  <c r="D5" i="41" s="1"/>
  <c r="B19" i="40"/>
  <c r="B10" i="40"/>
  <c r="D10" i="40" s="1"/>
  <c r="D19" i="40"/>
  <c r="D18" i="40"/>
  <c r="B18" i="40"/>
  <c r="B17" i="40"/>
  <c r="D17" i="40" s="1"/>
  <c r="B16" i="40"/>
  <c r="D16" i="40" s="1"/>
  <c r="B15" i="40"/>
  <c r="D15" i="40" s="1"/>
  <c r="B14" i="40"/>
  <c r="D14" i="40" s="1"/>
  <c r="D13" i="40"/>
  <c r="B13" i="40"/>
  <c r="B12" i="40"/>
  <c r="D12" i="40" s="1"/>
  <c r="B11" i="40"/>
  <c r="D11" i="40" s="1"/>
  <c r="B9" i="40"/>
  <c r="D9" i="40" s="1"/>
  <c r="B8" i="40"/>
  <c r="D8" i="40" s="1"/>
  <c r="D7" i="40"/>
  <c r="B7" i="40"/>
  <c r="D6" i="40"/>
  <c r="B5" i="40"/>
  <c r="D5" i="40" s="1"/>
  <c r="B19" i="39"/>
  <c r="D19" i="39" s="1"/>
  <c r="D6" i="39"/>
  <c r="B18" i="39"/>
  <c r="D18" i="39" s="1"/>
  <c r="B17" i="39"/>
  <c r="D17" i="39" s="1"/>
  <c r="B16" i="39"/>
  <c r="D16" i="39" s="1"/>
  <c r="B15" i="39"/>
  <c r="D15" i="39" s="1"/>
  <c r="D14" i="39"/>
  <c r="B14" i="39"/>
  <c r="B13" i="39"/>
  <c r="D13" i="39" s="1"/>
  <c r="B12" i="39"/>
  <c r="D12" i="39" s="1"/>
  <c r="B11" i="39"/>
  <c r="D11" i="39" s="1"/>
  <c r="B10" i="39"/>
  <c r="D10" i="39" s="1"/>
  <c r="B9" i="39"/>
  <c r="D9" i="39" s="1"/>
  <c r="D8" i="39"/>
  <c r="B8" i="39"/>
  <c r="B7" i="39"/>
  <c r="D7" i="39" s="1"/>
  <c r="B5" i="39"/>
  <c r="D5" i="39" s="1"/>
  <c r="B13" i="38"/>
  <c r="B18" i="38"/>
  <c r="D18" i="38" s="1"/>
  <c r="B17" i="38"/>
  <c r="D17" i="38" s="1"/>
  <c r="D16" i="38"/>
  <c r="B16" i="38"/>
  <c r="B15" i="38"/>
  <c r="D15" i="38" s="1"/>
  <c r="B14" i="38"/>
  <c r="D14" i="38" s="1"/>
  <c r="D13" i="38"/>
  <c r="B12" i="38"/>
  <c r="D12" i="38" s="1"/>
  <c r="B11" i="38"/>
  <c r="D11" i="38" s="1"/>
  <c r="D10" i="38"/>
  <c r="B10" i="38"/>
  <c r="D9" i="38"/>
  <c r="B9" i="38"/>
  <c r="D8" i="38"/>
  <c r="B8" i="38"/>
  <c r="B7" i="38"/>
  <c r="D7" i="38" s="1"/>
  <c r="B6" i="38"/>
  <c r="D6" i="38" s="1"/>
  <c r="D5" i="38"/>
  <c r="B5" i="38"/>
  <c r="B13" i="37"/>
  <c r="D13" i="37" s="1"/>
  <c r="B18" i="37"/>
  <c r="D18" i="37"/>
  <c r="D17" i="37"/>
  <c r="B17" i="37"/>
  <c r="D16" i="37"/>
  <c r="B16" i="37"/>
  <c r="B15" i="37"/>
  <c r="D15" i="37" s="1"/>
  <c r="B14" i="37"/>
  <c r="D14" i="37" s="1"/>
  <c r="D12" i="37"/>
  <c r="B12" i="37"/>
  <c r="B11" i="37"/>
  <c r="D11" i="37" s="1"/>
  <c r="D10" i="37"/>
  <c r="B10" i="37"/>
  <c r="B9" i="37"/>
  <c r="D9" i="37" s="1"/>
  <c r="D8" i="37"/>
  <c r="B8" i="37"/>
  <c r="B7" i="37"/>
  <c r="D7" i="37" s="1"/>
  <c r="D6" i="37"/>
  <c r="B6" i="37"/>
  <c r="B5" i="37"/>
  <c r="D5" i="37" s="1"/>
  <c r="B9" i="36"/>
  <c r="B18" i="36"/>
  <c r="D18" i="36" s="1"/>
  <c r="B16" i="36"/>
  <c r="D16" i="36" s="1"/>
  <c r="B11" i="36"/>
  <c r="D11" i="36" s="1"/>
  <c r="B15" i="36"/>
  <c r="D15" i="36" s="1"/>
  <c r="D17" i="36"/>
  <c r="B17" i="36"/>
  <c r="B14" i="36"/>
  <c r="D14" i="36" s="1"/>
  <c r="B13" i="36"/>
  <c r="D13" i="36" s="1"/>
  <c r="D12" i="36"/>
  <c r="B12" i="36"/>
  <c r="B10" i="36"/>
  <c r="D10" i="36" s="1"/>
  <c r="D9" i="36"/>
  <c r="D8" i="36"/>
  <c r="B8" i="36"/>
  <c r="B7" i="36"/>
  <c r="D7" i="36" s="1"/>
  <c r="B6" i="36"/>
  <c r="D6" i="36" s="1"/>
  <c r="B5" i="36"/>
  <c r="D5" i="36" s="1"/>
  <c r="B18" i="35"/>
  <c r="D18" i="35" s="1"/>
  <c r="B11" i="35"/>
  <c r="D11" i="35" s="1"/>
  <c r="B15" i="35"/>
  <c r="D15" i="35" s="1"/>
  <c r="B17" i="35"/>
  <c r="D17" i="35" s="1"/>
  <c r="B16" i="35"/>
  <c r="D16" i="35" s="1"/>
  <c r="B14" i="35"/>
  <c r="D14" i="35" s="1"/>
  <c r="B13" i="35"/>
  <c r="D13" i="35" s="1"/>
  <c r="B12" i="35"/>
  <c r="D12" i="35" s="1"/>
  <c r="D10" i="35"/>
  <c r="B10" i="35"/>
  <c r="B9" i="35"/>
  <c r="D9" i="35" s="1"/>
  <c r="B8" i="35"/>
  <c r="D8" i="35" s="1"/>
  <c r="D7" i="35"/>
  <c r="B7" i="35"/>
  <c r="B6" i="35"/>
  <c r="D6" i="35" s="1"/>
  <c r="B5" i="35"/>
  <c r="D5" i="35" s="1"/>
  <c r="B11" i="34"/>
  <c r="D11" i="34" s="1"/>
  <c r="B18" i="34"/>
  <c r="D18" i="34" s="1"/>
  <c r="B17" i="34"/>
  <c r="D17" i="34" s="1"/>
  <c r="D16" i="34"/>
  <c r="B16" i="34"/>
  <c r="B15" i="34"/>
  <c r="D15" i="34" s="1"/>
  <c r="B14" i="34"/>
  <c r="D14" i="34" s="1"/>
  <c r="D13" i="34"/>
  <c r="B13" i="34"/>
  <c r="B12" i="34"/>
  <c r="D12" i="34" s="1"/>
  <c r="B10" i="34"/>
  <c r="D10" i="34" s="1"/>
  <c r="B9" i="34"/>
  <c r="D9" i="34" s="1"/>
  <c r="D8" i="34"/>
  <c r="B8" i="34"/>
  <c r="D7" i="34"/>
  <c r="B7" i="34"/>
  <c r="D6" i="34"/>
  <c r="B6" i="34"/>
  <c r="D5" i="34"/>
  <c r="B5" i="34"/>
  <c r="B18" i="33"/>
  <c r="D18" i="33" s="1"/>
  <c r="B15" i="33"/>
  <c r="D15" i="33" s="1"/>
  <c r="B17" i="33"/>
  <c r="D17" i="33" s="1"/>
  <c r="B16" i="33"/>
  <c r="D16" i="33" s="1"/>
  <c r="B14" i="33"/>
  <c r="D14" i="33" s="1"/>
  <c r="B13" i="33"/>
  <c r="D13" i="33" s="1"/>
  <c r="B12" i="33"/>
  <c r="D12" i="33" s="1"/>
  <c r="B11" i="33"/>
  <c r="D11" i="33" s="1"/>
  <c r="B10" i="33"/>
  <c r="D10" i="33" s="1"/>
  <c r="D9" i="33"/>
  <c r="B9" i="33"/>
  <c r="B8" i="33"/>
  <c r="D8" i="33" s="1"/>
  <c r="D7" i="33"/>
  <c r="B7" i="33"/>
  <c r="B6" i="33"/>
  <c r="D6" i="33" s="1"/>
  <c r="B5" i="33"/>
  <c r="D5" i="33" s="1"/>
  <c r="B19" i="32"/>
  <c r="D19" i="32" s="1"/>
  <c r="B14" i="32"/>
  <c r="D14" i="32" s="1"/>
  <c r="B9" i="32"/>
  <c r="D9" i="32" s="1"/>
  <c r="D18" i="32"/>
  <c r="B18" i="32"/>
  <c r="D17" i="32"/>
  <c r="B17" i="32"/>
  <c r="B16" i="32"/>
  <c r="D16" i="32" s="1"/>
  <c r="B15" i="32"/>
  <c r="D15" i="32" s="1"/>
  <c r="D13" i="32"/>
  <c r="B13" i="32"/>
  <c r="B12" i="32"/>
  <c r="D12" i="32" s="1"/>
  <c r="D11" i="32"/>
  <c r="B11" i="32"/>
  <c r="B10" i="32"/>
  <c r="D10" i="32" s="1"/>
  <c r="B8" i="32"/>
  <c r="D8" i="32" s="1"/>
  <c r="B7" i="32"/>
  <c r="D7" i="32" s="1"/>
  <c r="B6" i="32"/>
  <c r="D6" i="32" s="1"/>
  <c r="D5" i="32"/>
  <c r="B5" i="32"/>
  <c r="B19" i="31"/>
  <c r="D19" i="31" s="1"/>
  <c r="B13" i="31"/>
  <c r="D13" i="31" s="1"/>
  <c r="D18" i="31"/>
  <c r="B18" i="31"/>
  <c r="B17" i="31"/>
  <c r="D17" i="31" s="1"/>
  <c r="B16" i="31"/>
  <c r="D16" i="31" s="1"/>
  <c r="B15" i="31"/>
  <c r="D15" i="31" s="1"/>
  <c r="B14" i="31"/>
  <c r="D14" i="31" s="1"/>
  <c r="B12" i="31"/>
  <c r="D12" i="31" s="1"/>
  <c r="D11" i="31"/>
  <c r="B11" i="31"/>
  <c r="D10" i="31"/>
  <c r="B10" i="31"/>
  <c r="B9" i="31"/>
  <c r="D9" i="31" s="1"/>
  <c r="D8" i="31"/>
  <c r="B8" i="31"/>
  <c r="B7" i="31"/>
  <c r="D7" i="31" s="1"/>
  <c r="B6" i="31"/>
  <c r="D6" i="31" s="1"/>
  <c r="B5" i="31"/>
  <c r="D5" i="31" s="1"/>
  <c r="B19" i="30"/>
  <c r="D19" i="30" s="1"/>
  <c r="B18" i="30"/>
  <c r="D18" i="30" s="1"/>
  <c r="D17" i="30"/>
  <c r="B17" i="30"/>
  <c r="B16" i="30"/>
  <c r="D16" i="30" s="1"/>
  <c r="B15" i="30"/>
  <c r="D15" i="30" s="1"/>
  <c r="D14" i="30"/>
  <c r="B14" i="30"/>
  <c r="B13" i="30"/>
  <c r="D13" i="30" s="1"/>
  <c r="B12" i="30"/>
  <c r="D12" i="30" s="1"/>
  <c r="B11" i="30"/>
  <c r="D11" i="30" s="1"/>
  <c r="B10" i="30"/>
  <c r="D10" i="30" s="1"/>
  <c r="D9" i="30"/>
  <c r="B9" i="30"/>
  <c r="B8" i="30"/>
  <c r="D8" i="30" s="1"/>
  <c r="B7" i="30"/>
  <c r="D7" i="30" s="1"/>
  <c r="D6" i="30"/>
  <c r="B6" i="30"/>
  <c r="B5" i="30"/>
  <c r="D5" i="30" s="1"/>
  <c r="E21" i="49" l="1"/>
  <c r="E20" i="49"/>
  <c r="E19" i="49"/>
  <c r="E18" i="49"/>
  <c r="E9" i="48"/>
  <c r="E8" i="48"/>
  <c r="E6" i="48"/>
  <c r="E12" i="48"/>
  <c r="E7" i="48"/>
  <c r="E11" i="48"/>
  <c r="E10" i="48"/>
  <c r="E21" i="48"/>
  <c r="E20" i="48"/>
  <c r="E19" i="48"/>
  <c r="E18" i="48"/>
  <c r="E17" i="48"/>
  <c r="E16" i="48"/>
  <c r="E15" i="48"/>
  <c r="E14" i="48"/>
  <c r="E13" i="48"/>
  <c r="E11" i="47"/>
  <c r="E12" i="47"/>
  <c r="E14" i="47"/>
  <c r="E13" i="47"/>
  <c r="E10" i="47"/>
  <c r="E9" i="47"/>
  <c r="E20" i="47"/>
  <c r="E7" i="47"/>
  <c r="E8" i="47"/>
  <c r="D22" i="46"/>
  <c r="D22" i="45"/>
  <c r="E14" i="45" s="1"/>
  <c r="E5" i="45"/>
  <c r="E6" i="45"/>
  <c r="E7" i="45"/>
  <c r="E8" i="45"/>
  <c r="E9" i="45"/>
  <c r="E10" i="45"/>
  <c r="D22" i="44"/>
  <c r="D21" i="43"/>
  <c r="D21" i="42"/>
  <c r="E14" i="42" s="1"/>
  <c r="D21" i="41"/>
  <c r="E8" i="41" s="1"/>
  <c r="D21" i="40"/>
  <c r="E8" i="40" s="1"/>
  <c r="D21" i="39"/>
  <c r="D20" i="38"/>
  <c r="E18" i="38" s="1"/>
  <c r="E11" i="38"/>
  <c r="E17" i="38"/>
  <c r="E14" i="38"/>
  <c r="D20" i="37"/>
  <c r="E17" i="37" s="1"/>
  <c r="D20" i="36"/>
  <c r="D20" i="35"/>
  <c r="E7" i="35" s="1"/>
  <c r="D20" i="34"/>
  <c r="E15" i="34" s="1"/>
  <c r="D20" i="33"/>
  <c r="D21" i="32"/>
  <c r="E12" i="32" s="1"/>
  <c r="D21" i="31"/>
  <c r="E17" i="31" s="1"/>
  <c r="D21" i="30"/>
  <c r="E10" i="30" s="1"/>
  <c r="C14" i="3"/>
  <c r="C13" i="3"/>
  <c r="C12" i="3"/>
  <c r="C11" i="3"/>
  <c r="C10" i="3"/>
  <c r="C9" i="3"/>
  <c r="C8" i="3"/>
  <c r="C7" i="3"/>
  <c r="C6" i="3"/>
  <c r="C5" i="3"/>
  <c r="C4" i="3"/>
  <c r="C3" i="3"/>
  <c r="E12" i="46" l="1"/>
  <c r="E10" i="46"/>
  <c r="E18" i="46"/>
  <c r="E16" i="46"/>
  <c r="E20" i="46"/>
  <c r="E19" i="46"/>
  <c r="E5" i="46"/>
  <c r="E17" i="46"/>
  <c r="E15" i="46"/>
  <c r="E14" i="46"/>
  <c r="E13" i="46"/>
  <c r="E11" i="46"/>
  <c r="E9" i="46"/>
  <c r="E7" i="46"/>
  <c r="E6" i="46"/>
  <c r="E8" i="46"/>
  <c r="E13" i="45"/>
  <c r="E12" i="45"/>
  <c r="E11" i="45"/>
  <c r="E20" i="45"/>
  <c r="E19" i="45"/>
  <c r="E18" i="45"/>
  <c r="E17" i="45"/>
  <c r="E16" i="45"/>
  <c r="E15" i="45"/>
  <c r="E14" i="44"/>
  <c r="E10" i="44"/>
  <c r="E7" i="44"/>
  <c r="E16" i="44"/>
  <c r="E20" i="44"/>
  <c r="E13" i="44"/>
  <c r="E19" i="44"/>
  <c r="E17" i="44"/>
  <c r="E8" i="44"/>
  <c r="E18" i="44"/>
  <c r="E6" i="44"/>
  <c r="E9" i="44"/>
  <c r="E12" i="44"/>
  <c r="E5" i="44"/>
  <c r="E15" i="44"/>
  <c r="E11" i="44"/>
  <c r="E5" i="43"/>
  <c r="E13" i="43"/>
  <c r="E14" i="43"/>
  <c r="E6" i="43"/>
  <c r="E19" i="43"/>
  <c r="E16" i="43"/>
  <c r="E15" i="43"/>
  <c r="E12" i="43"/>
  <c r="E11" i="43"/>
  <c r="E17" i="43"/>
  <c r="E7" i="43"/>
  <c r="E8" i="43"/>
  <c r="E18" i="43"/>
  <c r="E9" i="43"/>
  <c r="E10" i="43"/>
  <c r="E7" i="42"/>
  <c r="E15" i="42"/>
  <c r="E16" i="42"/>
  <c r="E11" i="42"/>
  <c r="E18" i="42"/>
  <c r="E6" i="42"/>
  <c r="E5" i="42"/>
  <c r="E19" i="42"/>
  <c r="E17" i="42"/>
  <c r="E13" i="42"/>
  <c r="E10" i="42"/>
  <c r="E9" i="42"/>
  <c r="E12" i="42"/>
  <c r="E8" i="42"/>
  <c r="E19" i="41"/>
  <c r="E5" i="41"/>
  <c r="E11" i="41"/>
  <c r="E6" i="41"/>
  <c r="E14" i="41"/>
  <c r="E10" i="41"/>
  <c r="E12" i="41"/>
  <c r="E9" i="41"/>
  <c r="E7" i="41"/>
  <c r="E17" i="41"/>
  <c r="E16" i="41"/>
  <c r="E15" i="41"/>
  <c r="E13" i="41"/>
  <c r="E18" i="41"/>
  <c r="E14" i="40"/>
  <c r="E6" i="40"/>
  <c r="E11" i="40"/>
  <c r="E17" i="40"/>
  <c r="E16" i="40"/>
  <c r="E9" i="40"/>
  <c r="E19" i="40"/>
  <c r="E12" i="40"/>
  <c r="E15" i="40"/>
  <c r="E5" i="40"/>
  <c r="E7" i="40"/>
  <c r="E18" i="40"/>
  <c r="E10" i="40"/>
  <c r="E13" i="40"/>
  <c r="E15" i="39"/>
  <c r="E6" i="39"/>
  <c r="E9" i="39"/>
  <c r="E18" i="39"/>
  <c r="E12" i="39"/>
  <c r="E5" i="39"/>
  <c r="E14" i="39"/>
  <c r="E17" i="39"/>
  <c r="E7" i="39"/>
  <c r="E16" i="39"/>
  <c r="E8" i="39"/>
  <c r="E19" i="39"/>
  <c r="E11" i="39"/>
  <c r="E13" i="39"/>
  <c r="E10" i="39"/>
  <c r="E16" i="38"/>
  <c r="E10" i="38"/>
  <c r="E13" i="38"/>
  <c r="E5" i="38"/>
  <c r="E12" i="38"/>
  <c r="E8" i="38"/>
  <c r="E7" i="38"/>
  <c r="E15" i="38"/>
  <c r="E6" i="38"/>
  <c r="E9" i="38"/>
  <c r="E6" i="37"/>
  <c r="E9" i="37"/>
  <c r="E5" i="37"/>
  <c r="E12" i="37"/>
  <c r="E7" i="37"/>
  <c r="E15" i="37"/>
  <c r="E14" i="37"/>
  <c r="E11" i="37"/>
  <c r="E8" i="37"/>
  <c r="E16" i="37"/>
  <c r="E18" i="37"/>
  <c r="E10" i="37"/>
  <c r="E13" i="37"/>
  <c r="E18" i="36"/>
  <c r="E17" i="36"/>
  <c r="E7" i="36"/>
  <c r="E5" i="36"/>
  <c r="E14" i="36"/>
  <c r="E13" i="36"/>
  <c r="E10" i="36"/>
  <c r="E9" i="36"/>
  <c r="E16" i="36"/>
  <c r="E11" i="36"/>
  <c r="E15" i="36"/>
  <c r="E12" i="36"/>
  <c r="E6" i="36"/>
  <c r="E8" i="36"/>
  <c r="E10" i="35"/>
  <c r="E15" i="35"/>
  <c r="E18" i="35"/>
  <c r="E9" i="35"/>
  <c r="E5" i="35"/>
  <c r="E13" i="35"/>
  <c r="E12" i="35"/>
  <c r="E16" i="35"/>
  <c r="E14" i="35"/>
  <c r="E6" i="35"/>
  <c r="E11" i="35"/>
  <c r="E17" i="35"/>
  <c r="E8" i="35"/>
  <c r="E11" i="34"/>
  <c r="E16" i="34"/>
  <c r="E9" i="34"/>
  <c r="E17" i="34"/>
  <c r="E10" i="34"/>
  <c r="E18" i="34"/>
  <c r="E8" i="34"/>
  <c r="E6" i="34"/>
  <c r="E13" i="34"/>
  <c r="E5" i="34"/>
  <c r="E14" i="34"/>
  <c r="E12" i="34"/>
  <c r="E7" i="34"/>
  <c r="E18" i="33"/>
  <c r="E7" i="33"/>
  <c r="E6" i="33"/>
  <c r="E13" i="33"/>
  <c r="E8" i="33"/>
  <c r="E15" i="33"/>
  <c r="E12" i="33"/>
  <c r="E5" i="33"/>
  <c r="E11" i="33"/>
  <c r="E9" i="33"/>
  <c r="E17" i="33"/>
  <c r="E14" i="33"/>
  <c r="E10" i="33"/>
  <c r="E16" i="33"/>
  <c r="E19" i="30"/>
  <c r="E17" i="32"/>
  <c r="E13" i="32"/>
  <c r="E9" i="32"/>
  <c r="E7" i="32"/>
  <c r="E6" i="32"/>
  <c r="E16" i="32"/>
  <c r="E11" i="32"/>
  <c r="E5" i="32"/>
  <c r="E14" i="32"/>
  <c r="E10" i="32"/>
  <c r="E8" i="32"/>
  <c r="E15" i="32"/>
  <c r="E19" i="32"/>
  <c r="E18" i="32"/>
  <c r="E14" i="31"/>
  <c r="E18" i="31"/>
  <c r="E8" i="31"/>
  <c r="E11" i="31"/>
  <c r="E5" i="31"/>
  <c r="E13" i="31"/>
  <c r="E6" i="31"/>
  <c r="E16" i="31"/>
  <c r="E10" i="31"/>
  <c r="E7" i="31"/>
  <c r="E19" i="31"/>
  <c r="E12" i="31"/>
  <c r="E9" i="31"/>
  <c r="E15" i="31"/>
  <c r="E13" i="30"/>
  <c r="E12" i="30"/>
  <c r="E17" i="30"/>
  <c r="E11" i="30"/>
  <c r="E9" i="30"/>
  <c r="C16" i="3"/>
  <c r="E5" i="30"/>
  <c r="E14" i="30"/>
  <c r="E6" i="30"/>
  <c r="E16" i="30"/>
  <c r="E15" i="30"/>
  <c r="E8" i="30"/>
  <c r="E18" i="30"/>
  <c r="E7" i="30"/>
</calcChain>
</file>

<file path=xl/sharedStrings.xml><?xml version="1.0" encoding="utf-8"?>
<sst xmlns="http://schemas.openxmlformats.org/spreadsheetml/2006/main" count="499" uniqueCount="81">
  <si>
    <t>Model Portfolio</t>
  </si>
  <si>
    <t>Stock</t>
  </si>
  <si>
    <t>Number of shares</t>
  </si>
  <si>
    <t>CMP</t>
  </si>
  <si>
    <t>Amount</t>
  </si>
  <si>
    <t>Percentage</t>
  </si>
  <si>
    <t>Change</t>
  </si>
  <si>
    <t>Heritage</t>
  </si>
  <si>
    <t>HIL</t>
  </si>
  <si>
    <t>HindOilExp</t>
  </si>
  <si>
    <t>MAS Financial</t>
  </si>
  <si>
    <t>PowerMech</t>
  </si>
  <si>
    <t>SuryaRosni</t>
  </si>
  <si>
    <t>TIIndia</t>
  </si>
  <si>
    <t>TWL</t>
  </si>
  <si>
    <t>VadilalInd</t>
  </si>
  <si>
    <t>VRLLogistics</t>
  </si>
  <si>
    <t>LiquidBees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</si>
  <si>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</si>
  <si>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</si>
  <si>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</si>
  <si>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</si>
  <si>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</si>
  <si>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</si>
  <si>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</si>
  <si>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</si>
  <si>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</si>
  <si>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</si>
  <si>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</si>
  <si>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</si>
  <si>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AstraMicro</t>
  </si>
  <si>
    <t>WelEnt</t>
  </si>
  <si>
    <t>ZenTech</t>
  </si>
  <si>
    <t>ThomasCook</t>
  </si>
  <si>
    <t>LiquidFund Value for 2024</t>
  </si>
  <si>
    <t>Sell 96@3918.34 = 376160</t>
  </si>
  <si>
    <t>Add 376.160</t>
  </si>
  <si>
    <t>Sell 970@958.58 = 929822</t>
  </si>
  <si>
    <t>Sell 2468@1068.33 = 2636638</t>
  </si>
  <si>
    <t>Add 3566.46</t>
  </si>
  <si>
    <t>Sell 467@748.15 = 349386</t>
  </si>
  <si>
    <t>Add 349.386</t>
  </si>
  <si>
    <t>Add 2811@176.72 = 496760</t>
  </si>
  <si>
    <t>Less 496.76</t>
  </si>
  <si>
    <t>Less 45@643.63 = 28963</t>
  </si>
  <si>
    <t>Add 3464@157.97 = 547208</t>
  </si>
  <si>
    <t>Less 518.245</t>
  </si>
  <si>
    <t>Buy 2345@534.07 = 1252394</t>
  </si>
  <si>
    <t>Buy 1538@146.91 = 225948</t>
  </si>
  <si>
    <t>Buy 1117@300.66 = 335837</t>
  </si>
  <si>
    <t>Buy 135@4691.82 = 633396</t>
  </si>
  <si>
    <t>Less 2447.575</t>
  </si>
  <si>
    <t>Sell 1535@1016.08 = 1559683</t>
  </si>
  <si>
    <t>Add 1559.683</t>
  </si>
  <si>
    <t>Sell 850@1283.41 = 1090898</t>
  </si>
  <si>
    <t>Add 1090.898</t>
  </si>
  <si>
    <t>Aurionpro</t>
  </si>
  <si>
    <t>Buy 448@2097.31 = 939595</t>
  </si>
  <si>
    <t>Sell 939.595</t>
  </si>
  <si>
    <t>Rates of 4/6/24</t>
  </si>
  <si>
    <t>Buy 181@4670.4 = 845343</t>
  </si>
  <si>
    <t>Sell 845.343</t>
  </si>
  <si>
    <t>Bonus 1:1</t>
  </si>
  <si>
    <t>Sell 1323@1597.8 = 2113.889</t>
  </si>
  <si>
    <t>Add 2113.889</t>
  </si>
  <si>
    <t>Sell 2365@269.9 = 638.313</t>
  </si>
  <si>
    <t>Sell 920@1413.1 = 1300052</t>
  </si>
  <si>
    <t>Add 1938.365</t>
  </si>
  <si>
    <t>MorepenLab</t>
  </si>
  <si>
    <t>Add 52890@62.67 = 3314616</t>
  </si>
  <si>
    <t>Less 3314.616</t>
  </si>
  <si>
    <t xml:space="preserve">Bonus 1:1 </t>
  </si>
  <si>
    <t>Price as on 18/10/24</t>
  </si>
  <si>
    <t>Add 2249@470.08 = 1057210</t>
  </si>
  <si>
    <t>Less 1057.210</t>
  </si>
  <si>
    <t>Sell 438@1290.93 = 565427</t>
  </si>
  <si>
    <t>Add 565.427</t>
  </si>
  <si>
    <t>Avalon</t>
  </si>
  <si>
    <t>Add 2.5%. 1410@913.9 =1288.599</t>
  </si>
  <si>
    <t>Less 1288.599</t>
  </si>
  <si>
    <t>Add 99.644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</si>
</sst>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C1BD-FB9C-40E6-BA5C-FA3F55E224B0}">
  <sheetPr>
    <pageSetUpPr fitToPage="1"/>
  </sheetPr>
  <dimension ref="A1:J21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10" max="10" width="11.5546875" style="2" bestFit="1" customWidth="1"/>
  </cols>
  <sheetData>
    <row r="1" spans="1:7" x14ac:dyDescent="0.3">
      <c r="A1" t="s">
        <v>0</v>
      </c>
      <c r="B1" s="1">
        <v>45292</v>
      </c>
      <c r="E1" s="3"/>
    </row>
    <row r="2" spans="1:7" x14ac:dyDescent="0.3">
      <c r="B2" s="4"/>
      <c r="E2" s="3"/>
    </row>
    <row r="3" spans="1:7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3">
      <c r="B4" s="4"/>
      <c r="E4" s="3"/>
    </row>
    <row r="5" spans="1:7" x14ac:dyDescent="0.3">
      <c r="A5" t="s">
        <v>30</v>
      </c>
      <c r="B5" s="4">
        <f>4326+2424</f>
        <v>6750</v>
      </c>
      <c r="C5" s="2">
        <v>603.1</v>
      </c>
      <c r="D5">
        <f>C5*B5</f>
        <v>4070925</v>
      </c>
      <c r="E5" s="3">
        <f t="shared" ref="E5:E19" si="0">D5/$D$21</f>
        <v>8.6206866795462078E-2</v>
      </c>
    </row>
    <row r="6" spans="1:7" x14ac:dyDescent="0.3">
      <c r="A6" t="s">
        <v>7</v>
      </c>
      <c r="B6" s="4">
        <f>((840+420)*2+290+562)+3372</f>
        <v>6744</v>
      </c>
      <c r="C6" s="2">
        <v>303.3</v>
      </c>
      <c r="D6">
        <f t="shared" ref="D6:D19" si="1">C6*B6</f>
        <v>2045455.2000000002</v>
      </c>
      <c r="E6" s="3">
        <f t="shared" si="0"/>
        <v>4.3315041166930184E-2</v>
      </c>
    </row>
    <row r="7" spans="1:7" x14ac:dyDescent="0.3">
      <c r="A7" t="s">
        <v>8</v>
      </c>
      <c r="B7" s="4">
        <f>130+126+33+57+173+130</f>
        <v>649</v>
      </c>
      <c r="C7" s="2">
        <v>2813.6</v>
      </c>
      <c r="D7">
        <f t="shared" si="1"/>
        <v>1826026.4</v>
      </c>
      <c r="E7" s="3">
        <f t="shared" si="0"/>
        <v>3.8668365206874888E-2</v>
      </c>
    </row>
    <row r="8" spans="1:7" x14ac:dyDescent="0.3">
      <c r="A8" t="s">
        <v>9</v>
      </c>
      <c r="B8" s="4">
        <f>1280+1280+1280+910+1300+1300+2940+1300</f>
        <v>11590</v>
      </c>
      <c r="C8" s="2">
        <v>182.15</v>
      </c>
      <c r="D8">
        <f t="shared" si="1"/>
        <v>2111118.5</v>
      </c>
      <c r="E8" s="3">
        <f t="shared" si="0"/>
        <v>4.4705542676157312E-2</v>
      </c>
    </row>
    <row r="9" spans="1:7" x14ac:dyDescent="0.3">
      <c r="A9" t="s">
        <v>10</v>
      </c>
      <c r="B9" s="4">
        <f>862+390+71+35-217-171</f>
        <v>970</v>
      </c>
      <c r="C9" s="2">
        <v>869.75</v>
      </c>
      <c r="D9">
        <f t="shared" si="1"/>
        <v>843657.5</v>
      </c>
      <c r="E9" s="3">
        <f t="shared" si="0"/>
        <v>1.7865489961984695E-2</v>
      </c>
    </row>
    <row r="10" spans="1:7" x14ac:dyDescent="0.3">
      <c r="A10" t="s">
        <v>11</v>
      </c>
      <c r="B10" s="4">
        <f>410+205</f>
        <v>615</v>
      </c>
      <c r="C10" s="2">
        <v>4285.55</v>
      </c>
      <c r="D10">
        <f t="shared" si="1"/>
        <v>2635613.25</v>
      </c>
      <c r="E10" s="3">
        <f t="shared" si="0"/>
        <v>5.5812367058372454E-2</v>
      </c>
    </row>
    <row r="11" spans="1:7" x14ac:dyDescent="0.3">
      <c r="A11" t="s">
        <v>12</v>
      </c>
      <c r="B11" s="4">
        <f>(1875+937+309+619)*2</f>
        <v>7480</v>
      </c>
      <c r="C11" s="2">
        <v>777.05</v>
      </c>
      <c r="D11">
        <f t="shared" si="1"/>
        <v>5812334</v>
      </c>
      <c r="E11" s="3">
        <f t="shared" si="0"/>
        <v>0.12308335400645683</v>
      </c>
    </row>
    <row r="12" spans="1:7" x14ac:dyDescent="0.3">
      <c r="A12" t="s">
        <v>33</v>
      </c>
      <c r="B12" s="4">
        <f>13763+6317</f>
        <v>20080</v>
      </c>
      <c r="C12" s="2">
        <v>135.85</v>
      </c>
      <c r="D12">
        <f t="shared" si="1"/>
        <v>2727868</v>
      </c>
      <c r="E12" s="3">
        <f t="shared" si="0"/>
        <v>5.77659753769975E-2</v>
      </c>
    </row>
    <row r="13" spans="1:7" x14ac:dyDescent="0.3">
      <c r="A13" t="s">
        <v>13</v>
      </c>
      <c r="B13" s="4">
        <f>480+154+159+192-246-74-85</f>
        <v>580</v>
      </c>
      <c r="C13" s="2">
        <v>3541.65</v>
      </c>
      <c r="D13">
        <f t="shared" si="1"/>
        <v>2054157</v>
      </c>
      <c r="E13" s="3">
        <f t="shared" si="0"/>
        <v>4.3499312533629576E-2</v>
      </c>
    </row>
    <row r="14" spans="1:7" x14ac:dyDescent="0.3">
      <c r="A14" t="s">
        <v>14</v>
      </c>
      <c r="B14" s="4">
        <f>10500+5250-3258-1143-1205</f>
        <v>10144</v>
      </c>
      <c r="C14" s="2">
        <v>1043.5</v>
      </c>
      <c r="D14">
        <f t="shared" si="1"/>
        <v>10585264</v>
      </c>
      <c r="E14" s="3">
        <f t="shared" si="0"/>
        <v>0.22415604405455763</v>
      </c>
    </row>
    <row r="15" spans="1:7" x14ac:dyDescent="0.3">
      <c r="A15" t="s">
        <v>15</v>
      </c>
      <c r="B15" s="4">
        <f>458+115+189</f>
        <v>762</v>
      </c>
      <c r="C15" s="2">
        <v>2529.1999999999998</v>
      </c>
      <c r="D15">
        <f t="shared" si="1"/>
        <v>1927250.4</v>
      </c>
      <c r="E15" s="3">
        <f t="shared" si="0"/>
        <v>4.0811908476403029E-2</v>
      </c>
    </row>
    <row r="16" spans="1:7" x14ac:dyDescent="0.3">
      <c r="A16" t="s">
        <v>16</v>
      </c>
      <c r="B16" s="4">
        <f>3075+1537+1153-53-1428-925-484-459</f>
        <v>2416</v>
      </c>
      <c r="C16" s="2">
        <v>770.45</v>
      </c>
      <c r="D16">
        <f t="shared" si="1"/>
        <v>1861407.2000000002</v>
      </c>
      <c r="E16" s="3">
        <f t="shared" si="0"/>
        <v>3.9417597362396521E-2</v>
      </c>
    </row>
    <row r="17" spans="1:5" x14ac:dyDescent="0.3">
      <c r="A17" t="s">
        <v>31</v>
      </c>
      <c r="B17" s="4">
        <f>7985+1084</f>
        <v>9069</v>
      </c>
      <c r="C17" s="2">
        <v>326.25</v>
      </c>
      <c r="D17">
        <f t="shared" si="1"/>
        <v>2958761.25</v>
      </c>
      <c r="E17" s="3">
        <f t="shared" si="0"/>
        <v>6.2655425230954853E-2</v>
      </c>
    </row>
    <row r="18" spans="1:5" x14ac:dyDescent="0.3">
      <c r="A18" t="s">
        <v>32</v>
      </c>
      <c r="B18" s="4">
        <f>2592+518+820</f>
        <v>3930</v>
      </c>
      <c r="C18" s="2">
        <v>794.6</v>
      </c>
      <c r="D18">
        <f t="shared" si="1"/>
        <v>3122778</v>
      </c>
      <c r="E18" s="3">
        <f t="shared" si="0"/>
        <v>6.6128682566689259E-2</v>
      </c>
    </row>
    <row r="19" spans="1:5" x14ac:dyDescent="0.3">
      <c r="A19" t="s">
        <v>17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+295.009-904.847+20.192</f>
        <v>2640.1305999999986</v>
      </c>
      <c r="C19" s="2">
        <v>1000</v>
      </c>
      <c r="D19">
        <f t="shared" si="1"/>
        <v>2640130.5999999987</v>
      </c>
      <c r="E19" s="3">
        <f t="shared" si="0"/>
        <v>5.5908027526133067E-2</v>
      </c>
    </row>
    <row r="20" spans="1:5" x14ac:dyDescent="0.3">
      <c r="B20" s="4"/>
      <c r="E20" s="3"/>
    </row>
    <row r="21" spans="1:5" x14ac:dyDescent="0.3">
      <c r="B21" s="4"/>
      <c r="D21">
        <f>SUM(D5:D19)</f>
        <v>47222746.300000004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7BA5-22DB-4F5C-AE39-1C5255C15727}">
  <sheetPr>
    <pageSetUpPr fitToPage="1"/>
  </sheetPr>
  <dimension ref="A1:J21"/>
  <sheetViews>
    <sheetView workbookViewId="0">
      <selection activeCell="G13" sqref="G13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10" max="10" width="11.5546875" style="2" bestFit="1" customWidth="1"/>
  </cols>
  <sheetData>
    <row r="1" spans="1:7" x14ac:dyDescent="0.3">
      <c r="A1" t="s">
        <v>0</v>
      </c>
      <c r="B1" s="1">
        <v>45301</v>
      </c>
      <c r="E1" s="3"/>
    </row>
    <row r="2" spans="1:7" x14ac:dyDescent="0.3">
      <c r="B2" s="4"/>
      <c r="E2" s="3"/>
    </row>
    <row r="3" spans="1:7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3">
      <c r="B4" s="4"/>
      <c r="E4" s="3"/>
    </row>
    <row r="5" spans="1:7" x14ac:dyDescent="0.3">
      <c r="A5" t="s">
        <v>30</v>
      </c>
      <c r="B5" s="4">
        <f>4326+2424</f>
        <v>6750</v>
      </c>
      <c r="C5" s="2">
        <v>602.1</v>
      </c>
      <c r="D5">
        <f>C5*B5</f>
        <v>4064175</v>
      </c>
      <c r="E5" s="3">
        <f t="shared" ref="E5:E19" si="0">D5/$D$21</f>
        <v>8.5589427494721843E-2</v>
      </c>
    </row>
    <row r="6" spans="1:7" x14ac:dyDescent="0.3">
      <c r="A6" t="s">
        <v>7</v>
      </c>
      <c r="B6" s="4">
        <f>((840+420)*2+290+562)+3372</f>
        <v>6744</v>
      </c>
      <c r="C6" s="2">
        <v>303</v>
      </c>
      <c r="D6">
        <f t="shared" ref="D6:D19" si="1">C6*B6</f>
        <v>2043432</v>
      </c>
      <c r="E6" s="3">
        <f t="shared" si="0"/>
        <v>4.30336230611119E-2</v>
      </c>
    </row>
    <row r="7" spans="1:7" x14ac:dyDescent="0.3">
      <c r="A7" t="s">
        <v>8</v>
      </c>
      <c r="B7" s="4">
        <f>130+126+33+57+173+130</f>
        <v>649</v>
      </c>
      <c r="C7" s="2">
        <v>2852.6</v>
      </c>
      <c r="D7">
        <f t="shared" si="1"/>
        <v>1851337.4</v>
      </c>
      <c r="E7" s="3">
        <f t="shared" si="0"/>
        <v>3.898820994803788E-2</v>
      </c>
    </row>
    <row r="8" spans="1:7" x14ac:dyDescent="0.3">
      <c r="A8" t="s">
        <v>9</v>
      </c>
      <c r="B8" s="4">
        <f>1280+1280+1280+910+1300+1300+2940+1300</f>
        <v>11590</v>
      </c>
      <c r="C8" s="2">
        <v>172.3</v>
      </c>
      <c r="D8">
        <f t="shared" si="1"/>
        <v>1996957.0000000002</v>
      </c>
      <c r="E8" s="3">
        <f t="shared" si="0"/>
        <v>4.2054883552400495E-2</v>
      </c>
    </row>
    <row r="9" spans="1:7" x14ac:dyDescent="0.3">
      <c r="A9" t="s">
        <v>10</v>
      </c>
      <c r="B9" s="4">
        <f>862+390+71+35-217-171</f>
        <v>970</v>
      </c>
      <c r="C9" s="2">
        <v>903.9</v>
      </c>
      <c r="D9">
        <f t="shared" si="1"/>
        <v>876783</v>
      </c>
      <c r="E9" s="3">
        <f t="shared" si="0"/>
        <v>1.8464597367757223E-2</v>
      </c>
    </row>
    <row r="10" spans="1:7" x14ac:dyDescent="0.3">
      <c r="A10" t="s">
        <v>11</v>
      </c>
      <c r="B10" s="4">
        <f>410+205</f>
        <v>615</v>
      </c>
      <c r="C10" s="2">
        <v>4523.7</v>
      </c>
      <c r="D10">
        <f t="shared" si="1"/>
        <v>2782075.5</v>
      </c>
      <c r="E10" s="3">
        <f t="shared" si="0"/>
        <v>5.8589073869135075E-2</v>
      </c>
    </row>
    <row r="11" spans="1:7" x14ac:dyDescent="0.3">
      <c r="A11" t="s">
        <v>12</v>
      </c>
      <c r="B11" s="4">
        <f>(1875+937+309+619)*2</f>
        <v>7480</v>
      </c>
      <c r="C11" s="2">
        <v>780.55</v>
      </c>
      <c r="D11">
        <f t="shared" si="1"/>
        <v>5838514</v>
      </c>
      <c r="E11" s="3">
        <f t="shared" si="0"/>
        <v>0.12295609088681428</v>
      </c>
    </row>
    <row r="12" spans="1:7" x14ac:dyDescent="0.3">
      <c r="A12" t="s">
        <v>33</v>
      </c>
      <c r="B12" s="4">
        <f>13763+6317</f>
        <v>20080</v>
      </c>
      <c r="C12" s="2">
        <v>160.5</v>
      </c>
      <c r="D12">
        <f t="shared" si="1"/>
        <v>3222840</v>
      </c>
      <c r="E12" s="3">
        <f t="shared" si="0"/>
        <v>6.7871346708025457E-2</v>
      </c>
    </row>
    <row r="13" spans="1:7" x14ac:dyDescent="0.3">
      <c r="A13" t="s">
        <v>13</v>
      </c>
      <c r="B13" s="4">
        <f>480+154+159+192-246-74-85-96</f>
        <v>484</v>
      </c>
      <c r="C13" s="2">
        <v>3809.6</v>
      </c>
      <c r="D13">
        <f t="shared" si="1"/>
        <v>1843846.4</v>
      </c>
      <c r="E13" s="3">
        <f t="shared" si="0"/>
        <v>3.8830453355036113E-2</v>
      </c>
      <c r="G13" t="s">
        <v>35</v>
      </c>
    </row>
    <row r="14" spans="1:7" x14ac:dyDescent="0.3">
      <c r="A14" t="s">
        <v>14</v>
      </c>
      <c r="B14" s="4">
        <f>10500+5250-3258-1143-1205</f>
        <v>10144</v>
      </c>
      <c r="C14" s="2">
        <v>1019.9</v>
      </c>
      <c r="D14">
        <f t="shared" si="1"/>
        <v>10345865.6</v>
      </c>
      <c r="E14" s="3">
        <f t="shared" si="0"/>
        <v>0.2178785888012541</v>
      </c>
    </row>
    <row r="15" spans="1:7" x14ac:dyDescent="0.3">
      <c r="A15" t="s">
        <v>15</v>
      </c>
      <c r="B15" s="4">
        <f>458+115+189</f>
        <v>762</v>
      </c>
      <c r="C15" s="2">
        <v>2543.25</v>
      </c>
      <c r="D15">
        <f t="shared" si="1"/>
        <v>1937956.5</v>
      </c>
      <c r="E15" s="3">
        <f t="shared" si="0"/>
        <v>4.0812363479593008E-2</v>
      </c>
    </row>
    <row r="16" spans="1:7" x14ac:dyDescent="0.3">
      <c r="A16" t="s">
        <v>16</v>
      </c>
      <c r="B16" s="4">
        <f>3075+1537+1153-53-1428-925-484-459</f>
        <v>2416</v>
      </c>
      <c r="C16" s="2">
        <v>710.75</v>
      </c>
      <c r="D16">
        <f t="shared" si="1"/>
        <v>1717172</v>
      </c>
      <c r="E16" s="3">
        <f t="shared" si="0"/>
        <v>3.6162755882797E-2</v>
      </c>
    </row>
    <row r="17" spans="1:7" x14ac:dyDescent="0.3">
      <c r="A17" t="s">
        <v>31</v>
      </c>
      <c r="B17" s="4">
        <f>7985+1084</f>
        <v>9069</v>
      </c>
      <c r="C17" s="2">
        <v>325.25</v>
      </c>
      <c r="D17">
        <f t="shared" si="1"/>
        <v>2949692.25</v>
      </c>
      <c r="E17" s="3">
        <f t="shared" si="0"/>
        <v>6.2118996097145905E-2</v>
      </c>
    </row>
    <row r="18" spans="1:7" x14ac:dyDescent="0.3">
      <c r="A18" t="s">
        <v>32</v>
      </c>
      <c r="B18" s="4">
        <f>2592+518+820</f>
        <v>3930</v>
      </c>
      <c r="C18" s="2">
        <v>762.75</v>
      </c>
      <c r="D18">
        <f t="shared" si="1"/>
        <v>2997607.5</v>
      </c>
      <c r="E18" s="3">
        <f t="shared" si="0"/>
        <v>6.3128066527372573E-2</v>
      </c>
    </row>
    <row r="19" spans="1:7" x14ac:dyDescent="0.3">
      <c r="A19" t="s">
        <v>17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+295.009-904.847+20.192+376.16</f>
        <v>3016.2905999999984</v>
      </c>
      <c r="C19" s="2">
        <v>1000</v>
      </c>
      <c r="D19">
        <f t="shared" si="1"/>
        <v>3016290.5999999982</v>
      </c>
      <c r="E19" s="3">
        <f t="shared" si="0"/>
        <v>6.3521522968797095E-2</v>
      </c>
      <c r="G19" t="s">
        <v>36</v>
      </c>
    </row>
    <row r="20" spans="1:7" x14ac:dyDescent="0.3">
      <c r="B20" s="4"/>
      <c r="E20" s="3"/>
    </row>
    <row r="21" spans="1:7" x14ac:dyDescent="0.3">
      <c r="B21" s="4"/>
      <c r="D21">
        <f>SUM(D5:D19)</f>
        <v>47484544.75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4CD9-D920-48DE-989E-7F10D76BD090}">
  <sheetPr>
    <pageSetUpPr fitToPage="1"/>
  </sheetPr>
  <dimension ref="A1:J21"/>
  <sheetViews>
    <sheetView workbookViewId="0">
      <selection activeCell="B14" sqref="B14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10" max="10" width="11.5546875" style="2" bestFit="1" customWidth="1"/>
  </cols>
  <sheetData>
    <row r="1" spans="1:7" x14ac:dyDescent="0.3">
      <c r="A1" t="s">
        <v>0</v>
      </c>
      <c r="B1" s="1">
        <v>45306</v>
      </c>
      <c r="E1" s="3"/>
    </row>
    <row r="2" spans="1:7" x14ac:dyDescent="0.3">
      <c r="B2" s="4"/>
      <c r="E2" s="3"/>
    </row>
    <row r="3" spans="1:7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3">
      <c r="B4" s="4"/>
      <c r="E4" s="3"/>
    </row>
    <row r="5" spans="1:7" x14ac:dyDescent="0.3">
      <c r="A5" t="s">
        <v>30</v>
      </c>
      <c r="B5" s="4">
        <f>4326+2424</f>
        <v>6750</v>
      </c>
      <c r="C5" s="2">
        <v>597.04999999999995</v>
      </c>
      <c r="D5">
        <f>C5*B5</f>
        <v>4030087.4999999995</v>
      </c>
      <c r="E5" s="3">
        <f t="shared" ref="E5:E19" si="0">D5/$D$21</f>
        <v>8.2550487155592073E-2</v>
      </c>
    </row>
    <row r="6" spans="1:7" x14ac:dyDescent="0.3">
      <c r="A6" t="s">
        <v>7</v>
      </c>
      <c r="B6" s="4">
        <f>((840+420)*2+290+562)+3372</f>
        <v>6744</v>
      </c>
      <c r="C6" s="2">
        <v>307.95</v>
      </c>
      <c r="D6">
        <f t="shared" ref="D6:D19" si="1">C6*B6</f>
        <v>2076814.7999999998</v>
      </c>
      <c r="E6" s="3">
        <f t="shared" si="0"/>
        <v>4.2540533790381356E-2</v>
      </c>
    </row>
    <row r="7" spans="1:7" x14ac:dyDescent="0.3">
      <c r="A7" t="s">
        <v>8</v>
      </c>
      <c r="B7" s="4">
        <f>130+126+33+57+173+130</f>
        <v>649</v>
      </c>
      <c r="C7" s="2">
        <v>3068.4</v>
      </c>
      <c r="D7">
        <f t="shared" si="1"/>
        <v>1991391.6</v>
      </c>
      <c r="E7" s="3">
        <f t="shared" si="0"/>
        <v>4.0790763649065677E-2</v>
      </c>
    </row>
    <row r="8" spans="1:7" x14ac:dyDescent="0.3">
      <c r="A8" t="s">
        <v>9</v>
      </c>
      <c r="B8" s="4">
        <f>1280+1280+1280+910+1300+1300+2940+1300</f>
        <v>11590</v>
      </c>
      <c r="C8" s="2">
        <v>180.55</v>
      </c>
      <c r="D8">
        <f t="shared" si="1"/>
        <v>2092574.5000000002</v>
      </c>
      <c r="E8" s="3">
        <f t="shared" si="0"/>
        <v>4.2863348347739236E-2</v>
      </c>
    </row>
    <row r="9" spans="1:7" x14ac:dyDescent="0.3">
      <c r="A9" t="s">
        <v>10</v>
      </c>
      <c r="B9" s="4">
        <f>862+390+71+35-217-171-970</f>
        <v>0</v>
      </c>
      <c r="C9" s="2">
        <v>873.9</v>
      </c>
      <c r="D9">
        <f t="shared" si="1"/>
        <v>0</v>
      </c>
      <c r="E9" s="3">
        <f t="shared" si="0"/>
        <v>0</v>
      </c>
      <c r="G9" t="s">
        <v>37</v>
      </c>
    </row>
    <row r="10" spans="1:7" x14ac:dyDescent="0.3">
      <c r="A10" t="s">
        <v>11</v>
      </c>
      <c r="B10" s="4">
        <f>410+205</f>
        <v>615</v>
      </c>
      <c r="C10" s="2">
        <v>4734.25</v>
      </c>
      <c r="D10">
        <f t="shared" si="1"/>
        <v>2911563.75</v>
      </c>
      <c r="E10" s="3">
        <f t="shared" si="0"/>
        <v>5.9639153231055786E-2</v>
      </c>
    </row>
    <row r="11" spans="1:7" x14ac:dyDescent="0.3">
      <c r="A11" t="s">
        <v>12</v>
      </c>
      <c r="B11" s="4">
        <f>(1875+937+309+619)*2</f>
        <v>7480</v>
      </c>
      <c r="C11" s="2">
        <v>804.95</v>
      </c>
      <c r="D11">
        <f t="shared" si="1"/>
        <v>6021026</v>
      </c>
      <c r="E11" s="3">
        <f t="shared" si="0"/>
        <v>0.12333196970946313</v>
      </c>
    </row>
    <row r="12" spans="1:7" x14ac:dyDescent="0.3">
      <c r="A12" t="s">
        <v>33</v>
      </c>
      <c r="B12" s="4">
        <f>13763+6317</f>
        <v>20080</v>
      </c>
      <c r="C12" s="2">
        <v>172.05</v>
      </c>
      <c r="D12">
        <f t="shared" si="1"/>
        <v>3454764</v>
      </c>
      <c r="E12" s="3">
        <f t="shared" si="0"/>
        <v>7.0765821141005478E-2</v>
      </c>
    </row>
    <row r="13" spans="1:7" x14ac:dyDescent="0.3">
      <c r="A13" t="s">
        <v>13</v>
      </c>
      <c r="B13" s="4">
        <f>480+154+159+192-246-74-85-96</f>
        <v>484</v>
      </c>
      <c r="C13" s="2">
        <v>3897.25</v>
      </c>
      <c r="D13">
        <f t="shared" si="1"/>
        <v>1886269</v>
      </c>
      <c r="E13" s="3">
        <f t="shared" si="0"/>
        <v>3.8637479919850753E-2</v>
      </c>
    </row>
    <row r="14" spans="1:7" x14ac:dyDescent="0.3">
      <c r="A14" t="s">
        <v>14</v>
      </c>
      <c r="B14" s="4">
        <f>10500+5250-3258-1143-1205-2468</f>
        <v>7676</v>
      </c>
      <c r="C14" s="2">
        <v>1048.7</v>
      </c>
      <c r="D14">
        <f t="shared" si="1"/>
        <v>8049821.2000000002</v>
      </c>
      <c r="E14" s="3">
        <f t="shared" si="0"/>
        <v>0.16488889176113741</v>
      </c>
      <c r="G14" t="s">
        <v>38</v>
      </c>
    </row>
    <row r="15" spans="1:7" x14ac:dyDescent="0.3">
      <c r="A15" t="s">
        <v>15</v>
      </c>
      <c r="B15" s="4">
        <f>458+115+189</f>
        <v>762</v>
      </c>
      <c r="C15" s="2">
        <v>2581.75</v>
      </c>
      <c r="D15">
        <f t="shared" si="1"/>
        <v>1967293.5</v>
      </c>
      <c r="E15" s="3">
        <f t="shared" si="0"/>
        <v>4.0297149082502502E-2</v>
      </c>
    </row>
    <row r="16" spans="1:7" x14ac:dyDescent="0.3">
      <c r="A16" t="s">
        <v>16</v>
      </c>
      <c r="B16" s="4">
        <f>3075+1537+1153-53-1428-925-484-459</f>
        <v>2416</v>
      </c>
      <c r="C16" s="2">
        <v>711</v>
      </c>
      <c r="D16">
        <f t="shared" si="1"/>
        <v>1717776</v>
      </c>
      <c r="E16" s="3">
        <f t="shared" si="0"/>
        <v>3.5186145616983341E-2</v>
      </c>
    </row>
    <row r="17" spans="1:7" x14ac:dyDescent="0.3">
      <c r="A17" t="s">
        <v>31</v>
      </c>
      <c r="B17" s="4">
        <f>7985+1084</f>
        <v>9069</v>
      </c>
      <c r="C17" s="2">
        <v>331.95</v>
      </c>
      <c r="D17">
        <f t="shared" si="1"/>
        <v>3010454.55</v>
      </c>
      <c r="E17" s="3">
        <f t="shared" si="0"/>
        <v>6.1664787591403099E-2</v>
      </c>
    </row>
    <row r="18" spans="1:7" x14ac:dyDescent="0.3">
      <c r="A18" t="s">
        <v>32</v>
      </c>
      <c r="B18" s="4">
        <f>2592+518+820</f>
        <v>3930</v>
      </c>
      <c r="C18" s="2">
        <v>770.25</v>
      </c>
      <c r="D18">
        <f t="shared" si="1"/>
        <v>3027082.5</v>
      </c>
      <c r="E18" s="3">
        <f t="shared" si="0"/>
        <v>6.2005386988537491E-2</v>
      </c>
    </row>
    <row r="19" spans="1:7" x14ac:dyDescent="0.3">
      <c r="A19" t="s">
        <v>17</v>
      </c>
      <c r="B19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+295.009-904.847+20.192+376.16+3566.46</f>
        <v>6582.7505999999985</v>
      </c>
      <c r="C19" s="2">
        <v>1000</v>
      </c>
      <c r="D19">
        <f t="shared" si="1"/>
        <v>6582750.5999999987</v>
      </c>
      <c r="E19" s="3">
        <f t="shared" si="0"/>
        <v>0.1348380820152828</v>
      </c>
      <c r="G19" t="s">
        <v>39</v>
      </c>
    </row>
    <row r="20" spans="1:7" x14ac:dyDescent="0.3">
      <c r="B20" s="4"/>
      <c r="E20" s="3"/>
    </row>
    <row r="21" spans="1:7" x14ac:dyDescent="0.3">
      <c r="B21" s="4"/>
      <c r="D21">
        <f>SUM(D5:D19)</f>
        <v>48819669.499999993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EA66-EFD6-44BF-BF0D-DA11A6EDEA45}">
  <sheetPr>
    <pageSetUpPr fitToPage="1"/>
  </sheetPr>
  <dimension ref="A1:J20"/>
  <sheetViews>
    <sheetView workbookViewId="0">
      <selection activeCell="B15" sqref="B15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10" max="10" width="11.5546875" style="2" bestFit="1" customWidth="1"/>
  </cols>
  <sheetData>
    <row r="1" spans="1:7" x14ac:dyDescent="0.3">
      <c r="A1" t="s">
        <v>0</v>
      </c>
      <c r="B1" s="1">
        <v>45322</v>
      </c>
      <c r="E1" s="3"/>
    </row>
    <row r="2" spans="1:7" x14ac:dyDescent="0.3">
      <c r="B2" s="4"/>
      <c r="E2" s="3"/>
    </row>
    <row r="3" spans="1:7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3">
      <c r="B4" s="4"/>
      <c r="E4" s="3"/>
    </row>
    <row r="5" spans="1:7" x14ac:dyDescent="0.3">
      <c r="A5" t="s">
        <v>30</v>
      </c>
      <c r="B5" s="4">
        <f>4326+2424</f>
        <v>6750</v>
      </c>
      <c r="C5" s="2">
        <v>551</v>
      </c>
      <c r="D5">
        <f>C5*B5</f>
        <v>3719250</v>
      </c>
      <c r="E5" s="3">
        <f t="shared" ref="E5:E18" si="0">D5/$D$20</f>
        <v>7.4325611977889366E-2</v>
      </c>
    </row>
    <row r="6" spans="1:7" x14ac:dyDescent="0.3">
      <c r="A6" t="s">
        <v>7</v>
      </c>
      <c r="B6" s="4">
        <f>((840+420)*2+290+562)+3372</f>
        <v>6744</v>
      </c>
      <c r="C6" s="2">
        <v>325.75</v>
      </c>
      <c r="D6">
        <f t="shared" ref="D6:D18" si="1">C6*B6</f>
        <v>2196858</v>
      </c>
      <c r="E6" s="3">
        <f t="shared" si="0"/>
        <v>4.3902081139617417E-2</v>
      </c>
    </row>
    <row r="7" spans="1:7" x14ac:dyDescent="0.3">
      <c r="A7" t="s">
        <v>8</v>
      </c>
      <c r="B7" s="4">
        <f>130+126+33+57+173+130</f>
        <v>649</v>
      </c>
      <c r="C7" s="2">
        <v>2923.8</v>
      </c>
      <c r="D7">
        <f t="shared" si="1"/>
        <v>1897546.2000000002</v>
      </c>
      <c r="E7" s="3">
        <f t="shared" si="0"/>
        <v>3.7920624473030441E-2</v>
      </c>
    </row>
    <row r="8" spans="1:7" x14ac:dyDescent="0.3">
      <c r="A8" t="s">
        <v>9</v>
      </c>
      <c r="B8" s="4">
        <f>1280+1280+1280+910+1300+1300+2940+1300</f>
        <v>11590</v>
      </c>
      <c r="C8" s="2">
        <v>189.05</v>
      </c>
      <c r="D8">
        <f t="shared" si="1"/>
        <v>2191089.5</v>
      </c>
      <c r="E8" s="3">
        <f t="shared" si="0"/>
        <v>4.3786803249533539E-2</v>
      </c>
    </row>
    <row r="9" spans="1:7" x14ac:dyDescent="0.3">
      <c r="A9" t="s">
        <v>11</v>
      </c>
      <c r="B9" s="4">
        <f>410+205</f>
        <v>615</v>
      </c>
      <c r="C9" s="2">
        <v>5306.05</v>
      </c>
      <c r="D9">
        <f t="shared" si="1"/>
        <v>3263220.75</v>
      </c>
      <c r="E9" s="3">
        <f t="shared" si="0"/>
        <v>6.5212308735013005E-2</v>
      </c>
    </row>
    <row r="10" spans="1:7" x14ac:dyDescent="0.3">
      <c r="A10" t="s">
        <v>12</v>
      </c>
      <c r="B10" s="4">
        <f>(1875+937+309+619)*2</f>
        <v>7480</v>
      </c>
      <c r="C10" s="2">
        <v>776.7</v>
      </c>
      <c r="D10">
        <f t="shared" si="1"/>
        <v>5809716</v>
      </c>
      <c r="E10" s="3">
        <f t="shared" si="0"/>
        <v>0.1161015519574472</v>
      </c>
    </row>
    <row r="11" spans="1:7" x14ac:dyDescent="0.3">
      <c r="A11" t="s">
        <v>33</v>
      </c>
      <c r="B11" s="4">
        <f>13763+6317</f>
        <v>20080</v>
      </c>
      <c r="C11" s="2">
        <v>183.75</v>
      </c>
      <c r="D11">
        <f t="shared" si="1"/>
        <v>3689700</v>
      </c>
      <c r="E11" s="3">
        <f t="shared" si="0"/>
        <v>7.373508382464701E-2</v>
      </c>
    </row>
    <row r="12" spans="1:7" x14ac:dyDescent="0.3">
      <c r="A12" t="s">
        <v>13</v>
      </c>
      <c r="B12" s="4">
        <f>480+154+159+192-246-74-85-96</f>
        <v>484</v>
      </c>
      <c r="C12" s="2">
        <v>3932.8</v>
      </c>
      <c r="D12">
        <f t="shared" si="1"/>
        <v>1903475.2000000002</v>
      </c>
      <c r="E12" s="3">
        <f t="shared" si="0"/>
        <v>3.8039109800291827E-2</v>
      </c>
    </row>
    <row r="13" spans="1:7" x14ac:dyDescent="0.3">
      <c r="A13" t="s">
        <v>14</v>
      </c>
      <c r="B13" s="4">
        <f>10500+5250-3258-1143-1205-2468</f>
        <v>7676</v>
      </c>
      <c r="C13" s="2">
        <v>1089.7</v>
      </c>
      <c r="D13">
        <f t="shared" si="1"/>
        <v>8364537.2000000002</v>
      </c>
      <c r="E13" s="3">
        <f t="shared" si="0"/>
        <v>0.16715718123326509</v>
      </c>
    </row>
    <row r="14" spans="1:7" x14ac:dyDescent="0.3">
      <c r="A14" t="s">
        <v>15</v>
      </c>
      <c r="B14" s="4">
        <f>458+115+189</f>
        <v>762</v>
      </c>
      <c r="C14" s="2">
        <v>3055.9</v>
      </c>
      <c r="D14">
        <f t="shared" si="1"/>
        <v>2328595.8000000003</v>
      </c>
      <c r="E14" s="3">
        <f t="shared" si="0"/>
        <v>4.6534733584497653E-2</v>
      </c>
    </row>
    <row r="15" spans="1:7" x14ac:dyDescent="0.3">
      <c r="A15" t="s">
        <v>16</v>
      </c>
      <c r="B15" s="4">
        <f>3075+1537+1153-53-1428-925-484-459-467</f>
        <v>1949</v>
      </c>
      <c r="C15" s="2">
        <v>742.55</v>
      </c>
      <c r="D15">
        <f t="shared" si="1"/>
        <v>1447229.95</v>
      </c>
      <c r="E15" s="3">
        <f t="shared" si="0"/>
        <v>2.8921490006447597E-2</v>
      </c>
      <c r="G15" t="s">
        <v>40</v>
      </c>
    </row>
    <row r="16" spans="1:7" x14ac:dyDescent="0.3">
      <c r="A16" t="s">
        <v>31</v>
      </c>
      <c r="B16" s="4">
        <f>7985+1084</f>
        <v>9069</v>
      </c>
      <c r="C16" s="2">
        <v>347.45</v>
      </c>
      <c r="D16">
        <f t="shared" si="1"/>
        <v>3151024.05</v>
      </c>
      <c r="E16" s="3">
        <f t="shared" si="0"/>
        <v>6.2970166262901778E-2</v>
      </c>
    </row>
    <row r="17" spans="1:7" x14ac:dyDescent="0.3">
      <c r="A17" t="s">
        <v>32</v>
      </c>
      <c r="B17" s="4">
        <f>2592+518+820</f>
        <v>3930</v>
      </c>
      <c r="C17" s="2">
        <v>800.4</v>
      </c>
      <c r="D17">
        <f t="shared" si="1"/>
        <v>3145572</v>
      </c>
      <c r="E17" s="3">
        <f t="shared" si="0"/>
        <v>6.2861212319826151E-2</v>
      </c>
    </row>
    <row r="18" spans="1:7" x14ac:dyDescent="0.3">
      <c r="A18" t="s">
        <v>17</v>
      </c>
      <c r="B18" s="4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+196.7+377.35+208.038+121.878+28.182-485.27-322.169+668.43-158.668-57.284+224.7-117.369-198.275-129.083-462.433-72.875-123.419-244.78+94.074+103.702-224.999+35.566+48.391-39.24+160.338-155.174+25.14+418.03-263.255-189.24-0.584-4.192-1.638+4.995+35.895+3.597+114.35+45.302-120.94-80.7+72.904-84.743-26.744+218.983-75.256-142.851+0.253+69.61-71.167+30.957+222.439+188.91+72.355-184.538-32.16-119.837-173.096-3.667+2.8606-4.408-0.094+816.414-40.951+314.853-902.092-187.971+1089.576-388.495+905.333-1333.44+246.344+2.976-310+1092.909-498.03+1348.808-852.799-961.499+2.927-60.272-173.975-41.354+10.883-16.86+1119.46-1181.99+37.038+73.378+352.797+997.672-308.837+443.467+711.919+1282.768-2276.683-538.214-548.973+632.774+151.229-61.672+2709.092-582.471-1043.373+1196.928+295.009-904.847+20.192+376.16+3566.46+349.386</f>
        <v>6932.1365999999989</v>
      </c>
      <c r="C18" s="2">
        <v>1000</v>
      </c>
      <c r="D18">
        <f t="shared" si="1"/>
        <v>6932136.5999999987</v>
      </c>
      <c r="E18" s="3">
        <f t="shared" si="0"/>
        <v>0.13853204143559189</v>
      </c>
      <c r="G18" t="s">
        <v>41</v>
      </c>
    </row>
    <row r="19" spans="1:7" x14ac:dyDescent="0.3">
      <c r="B19" s="4"/>
      <c r="E19" s="3"/>
    </row>
    <row r="20" spans="1:7" x14ac:dyDescent="0.3">
      <c r="B20" s="4"/>
      <c r="D20">
        <f>SUM(D5:D18)</f>
        <v>50039951.25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23F-C398-44D0-8166-B7FF4390837C}">
  <sheetPr>
    <pageSetUpPr fitToPage="1"/>
  </sheetPr>
  <dimension ref="A1:J20"/>
  <sheetViews>
    <sheetView workbookViewId="0">
      <selection activeCell="B21" sqref="B2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10" max="10" width="11.5546875" style="2" bestFit="1" customWidth="1"/>
  </cols>
  <sheetData>
    <row r="1" spans="1:7" x14ac:dyDescent="0.3">
      <c r="A1" t="s">
        <v>0</v>
      </c>
      <c r="B1" s="1">
        <v>45328</v>
      </c>
      <c r="E1" s="3"/>
    </row>
    <row r="2" spans="1:7" x14ac:dyDescent="0.3">
      <c r="B2" s="4"/>
      <c r="E2" s="3"/>
    </row>
    <row r="3" spans="1:7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3">
      <c r="B4" s="4"/>
      <c r="E4" s="3"/>
    </row>
    <row r="5" spans="1:7" x14ac:dyDescent="0.3">
      <c r="A5" t="s">
        <v>30</v>
      </c>
      <c r="B5" s="4">
        <f>4326+2424</f>
        <v>6750</v>
      </c>
      <c r="C5" s="2">
        <v>644.15</v>
      </c>
      <c r="D5">
        <f>C5*B5</f>
        <v>4348012.5</v>
      </c>
      <c r="E5" s="3">
        <f t="shared" ref="E5:E18" si="0">D5/$D$20</f>
        <v>8.7777300334744582E-2</v>
      </c>
    </row>
    <row r="6" spans="1:7" x14ac:dyDescent="0.3">
      <c r="A6" t="s">
        <v>7</v>
      </c>
      <c r="B6" s="4">
        <f>((840+420)*2+290+562)+3372</f>
        <v>6744</v>
      </c>
      <c r="C6" s="2">
        <v>315.25</v>
      </c>
      <c r="D6">
        <f t="shared" ref="D6:D18" si="1">C6*B6</f>
        <v>2126046</v>
      </c>
      <c r="E6" s="3">
        <f t="shared" si="0"/>
        <v>4.292043278796516E-2</v>
      </c>
    </row>
    <row r="7" spans="1:7" x14ac:dyDescent="0.3">
      <c r="A7" t="s">
        <v>8</v>
      </c>
      <c r="B7" s="4">
        <f>130+126+33+57+173+130</f>
        <v>649</v>
      </c>
      <c r="C7" s="2">
        <v>2701</v>
      </c>
      <c r="D7">
        <f t="shared" si="1"/>
        <v>1752949</v>
      </c>
      <c r="E7" s="3">
        <f t="shared" si="0"/>
        <v>3.5388382817319451E-2</v>
      </c>
    </row>
    <row r="8" spans="1:7" x14ac:dyDescent="0.3">
      <c r="A8" t="s">
        <v>9</v>
      </c>
      <c r="B8" s="4">
        <f>1280+1280+1280+910+1300+1300+2940+1300</f>
        <v>11590</v>
      </c>
      <c r="C8" s="2">
        <v>180.25</v>
      </c>
      <c r="D8">
        <f t="shared" si="1"/>
        <v>2089097.5</v>
      </c>
      <c r="E8" s="3">
        <f t="shared" si="0"/>
        <v>4.2174519665264087E-2</v>
      </c>
    </row>
    <row r="9" spans="1:7" x14ac:dyDescent="0.3">
      <c r="A9" t="s">
        <v>11</v>
      </c>
      <c r="B9" s="4">
        <f>410+205</f>
        <v>615</v>
      </c>
      <c r="C9" s="2">
        <v>5225.8999999999996</v>
      </c>
      <c r="D9">
        <f t="shared" si="1"/>
        <v>3213928.5</v>
      </c>
      <c r="E9" s="3">
        <f t="shared" si="0"/>
        <v>6.4882510618103129E-2</v>
      </c>
    </row>
    <row r="10" spans="1:7" x14ac:dyDescent="0.3">
      <c r="A10" t="s">
        <v>12</v>
      </c>
      <c r="B10" s="4">
        <f>(1875+937+309+619)*2</f>
        <v>7480</v>
      </c>
      <c r="C10" s="2">
        <v>749.5</v>
      </c>
      <c r="D10">
        <f t="shared" si="1"/>
        <v>5606260</v>
      </c>
      <c r="E10" s="3">
        <f t="shared" si="0"/>
        <v>0.11317869205175127</v>
      </c>
    </row>
    <row r="11" spans="1:7" x14ac:dyDescent="0.3">
      <c r="A11" t="s">
        <v>33</v>
      </c>
      <c r="B11" s="4">
        <f>13763+6317+2811</f>
        <v>22891</v>
      </c>
      <c r="C11" s="2">
        <v>173</v>
      </c>
      <c r="D11">
        <f t="shared" si="1"/>
        <v>3960143</v>
      </c>
      <c r="E11" s="3">
        <f t="shared" si="0"/>
        <v>7.9947024411621728E-2</v>
      </c>
      <c r="G11" t="s">
        <v>42</v>
      </c>
    </row>
    <row r="12" spans="1:7" x14ac:dyDescent="0.3">
      <c r="A12" t="s">
        <v>13</v>
      </c>
      <c r="B12" s="4">
        <f>480+154+159+192-246-74-85-96</f>
        <v>484</v>
      </c>
      <c r="C12" s="2">
        <v>3608.05</v>
      </c>
      <c r="D12">
        <f t="shared" si="1"/>
        <v>1746296.2000000002</v>
      </c>
      <c r="E12" s="3">
        <f t="shared" si="0"/>
        <v>3.5254076666252271E-2</v>
      </c>
    </row>
    <row r="13" spans="1:7" x14ac:dyDescent="0.3">
      <c r="A13" t="s">
        <v>14</v>
      </c>
      <c r="B13" s="4">
        <f>10500+5250-3258-1143-1205-2468</f>
        <v>7676</v>
      </c>
      <c r="C13" s="2">
        <v>1020.45</v>
      </c>
      <c r="D13">
        <f t="shared" si="1"/>
        <v>7832974.2000000002</v>
      </c>
      <c r="E13" s="3">
        <f t="shared" si="0"/>
        <v>0.15813140575555054</v>
      </c>
    </row>
    <row r="14" spans="1:7" x14ac:dyDescent="0.3">
      <c r="A14" t="s">
        <v>15</v>
      </c>
      <c r="B14" s="4">
        <f>458+115+189</f>
        <v>762</v>
      </c>
      <c r="C14" s="2">
        <v>3248.8</v>
      </c>
      <c r="D14">
        <f t="shared" si="1"/>
        <v>2475585.6</v>
      </c>
      <c r="E14" s="3">
        <f t="shared" si="0"/>
        <v>4.9976908004650142E-2</v>
      </c>
    </row>
    <row r="15" spans="1:7" x14ac:dyDescent="0.3">
      <c r="A15" t="s">
        <v>16</v>
      </c>
      <c r="B15" s="4">
        <f>3075+1537+1153-53-1428-925-484-459-467</f>
        <v>1949</v>
      </c>
      <c r="C15" s="2">
        <v>709.6</v>
      </c>
      <c r="D15">
        <f t="shared" si="1"/>
        <v>1383010.4000000001</v>
      </c>
      <c r="E15" s="3">
        <f t="shared" si="0"/>
        <v>2.7920094352735934E-2</v>
      </c>
    </row>
    <row r="16" spans="1:7" x14ac:dyDescent="0.3">
      <c r="A16" t="s">
        <v>31</v>
      </c>
      <c r="B16" s="4">
        <f>7985+1084</f>
        <v>9069</v>
      </c>
      <c r="C16" s="2">
        <v>360.85</v>
      </c>
      <c r="D16">
        <f t="shared" si="1"/>
        <v>3272548.6500000004</v>
      </c>
      <c r="E16" s="3">
        <f t="shared" si="0"/>
        <v>6.606592913684424E-2</v>
      </c>
    </row>
    <row r="17" spans="1:7" x14ac:dyDescent="0.3">
      <c r="A17" t="s">
        <v>32</v>
      </c>
      <c r="B17" s="4">
        <f>2592+518+820</f>
        <v>3930</v>
      </c>
      <c r="C17" s="2">
        <v>837.75</v>
      </c>
      <c r="D17">
        <f t="shared" si="1"/>
        <v>3292357.5</v>
      </c>
      <c r="E17" s="3">
        <f t="shared" si="0"/>
        <v>6.6465828487578829E-2</v>
      </c>
    </row>
    <row r="18" spans="1:7" x14ac:dyDescent="0.3">
      <c r="A18" t="s">
        <v>17</v>
      </c>
      <c r="B18" s="4">
        <f>6932.14-496.76</f>
        <v>6435.38</v>
      </c>
      <c r="C18" s="2">
        <v>1000</v>
      </c>
      <c r="D18">
        <f t="shared" si="1"/>
        <v>6435380</v>
      </c>
      <c r="E18" s="3">
        <f t="shared" si="0"/>
        <v>0.12991689490961872</v>
      </c>
      <c r="G18" t="s">
        <v>43</v>
      </c>
    </row>
    <row r="19" spans="1:7" x14ac:dyDescent="0.3">
      <c r="B19" s="4"/>
      <c r="E19" s="3"/>
    </row>
    <row r="20" spans="1:7" x14ac:dyDescent="0.3">
      <c r="B20" s="4"/>
      <c r="D20">
        <f>SUM(D5:D18)</f>
        <v>49534589.049999997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04FE-66F6-4DDE-A567-2892CBEBFFDE}">
  <sheetPr>
    <pageSetUpPr fitToPage="1"/>
  </sheetPr>
  <dimension ref="A1:J20"/>
  <sheetViews>
    <sheetView workbookViewId="0">
      <selection activeCell="B19" sqref="B19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10" max="10" width="11.5546875" style="2" bestFit="1" customWidth="1"/>
  </cols>
  <sheetData>
    <row r="1" spans="1:7" x14ac:dyDescent="0.3">
      <c r="A1" t="s">
        <v>0</v>
      </c>
      <c r="B1" s="1">
        <v>45328</v>
      </c>
      <c r="E1" s="3"/>
    </row>
    <row r="2" spans="1:7" x14ac:dyDescent="0.3">
      <c r="B2" s="4"/>
      <c r="E2" s="3"/>
    </row>
    <row r="3" spans="1:7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7" x14ac:dyDescent="0.3">
      <c r="B4" s="4"/>
      <c r="E4" s="3"/>
    </row>
    <row r="5" spans="1:7" x14ac:dyDescent="0.3">
      <c r="A5" t="s">
        <v>30</v>
      </c>
      <c r="B5" s="4">
        <f>4326+2424</f>
        <v>6750</v>
      </c>
      <c r="C5" s="2">
        <v>646.65</v>
      </c>
      <c r="D5">
        <f>C5*B5</f>
        <v>4364887.5</v>
      </c>
      <c r="E5" s="3">
        <f t="shared" ref="E5:E18" si="0">D5/$D$20</f>
        <v>8.9551033645904457E-2</v>
      </c>
    </row>
    <row r="6" spans="1:7" x14ac:dyDescent="0.3">
      <c r="A6" t="s">
        <v>7</v>
      </c>
      <c r="B6" s="4">
        <f>((840+420)*2+290+562)+3372</f>
        <v>6744</v>
      </c>
      <c r="C6" s="2">
        <v>326.39999999999998</v>
      </c>
      <c r="D6">
        <f t="shared" ref="D6:D18" si="1">C6*B6</f>
        <v>2201241.5999999996</v>
      </c>
      <c r="E6" s="3">
        <f t="shared" si="0"/>
        <v>4.5161177827461652E-2</v>
      </c>
    </row>
    <row r="7" spans="1:7" x14ac:dyDescent="0.3">
      <c r="A7" t="s">
        <v>8</v>
      </c>
      <c r="B7" s="4">
        <f>130+126+33+57+173+130</f>
        <v>649</v>
      </c>
      <c r="C7" s="2">
        <v>2717.05</v>
      </c>
      <c r="D7">
        <f t="shared" si="1"/>
        <v>1763365.4500000002</v>
      </c>
      <c r="E7" s="3">
        <f t="shared" si="0"/>
        <v>3.617761024607747E-2</v>
      </c>
    </row>
    <row r="8" spans="1:7" x14ac:dyDescent="0.3">
      <c r="A8" t="s">
        <v>9</v>
      </c>
      <c r="B8" s="4">
        <f>1280+1280+1280+910+1300+1300+2940+1300</f>
        <v>11590</v>
      </c>
      <c r="C8" s="2">
        <v>182.85</v>
      </c>
      <c r="D8">
        <f t="shared" si="1"/>
        <v>2119231.5</v>
      </c>
      <c r="E8" s="3">
        <f t="shared" si="0"/>
        <v>4.3478639795403791E-2</v>
      </c>
    </row>
    <row r="9" spans="1:7" x14ac:dyDescent="0.3">
      <c r="A9" t="s">
        <v>11</v>
      </c>
      <c r="B9" s="4">
        <f>410+205</f>
        <v>615</v>
      </c>
      <c r="C9" s="2">
        <v>5329.45</v>
      </c>
      <c r="D9">
        <f t="shared" si="1"/>
        <v>3277611.75</v>
      </c>
      <c r="E9" s="3">
        <f t="shared" si="0"/>
        <v>6.7244234840522651E-2</v>
      </c>
    </row>
    <row r="10" spans="1:7" x14ac:dyDescent="0.3">
      <c r="A10" t="s">
        <v>12</v>
      </c>
      <c r="B10" s="4">
        <f>(1875+937+309+619)*2</f>
        <v>7480</v>
      </c>
      <c r="C10" s="2">
        <v>661.25</v>
      </c>
      <c r="D10">
        <f t="shared" si="1"/>
        <v>4946150</v>
      </c>
      <c r="E10" s="3">
        <f t="shared" si="0"/>
        <v>0.10147634848955221</v>
      </c>
    </row>
    <row r="11" spans="1:7" x14ac:dyDescent="0.3">
      <c r="A11" t="s">
        <v>33</v>
      </c>
      <c r="B11" s="4">
        <f>13763+6317+2811+3464</f>
        <v>26355</v>
      </c>
      <c r="C11" s="2">
        <v>166.7</v>
      </c>
      <c r="D11">
        <f t="shared" si="1"/>
        <v>4393378.5</v>
      </c>
      <c r="E11" s="3">
        <f t="shared" si="0"/>
        <v>9.0135561540290163E-2</v>
      </c>
      <c r="G11" t="s">
        <v>45</v>
      </c>
    </row>
    <row r="12" spans="1:7" x14ac:dyDescent="0.3">
      <c r="A12" t="s">
        <v>13</v>
      </c>
      <c r="B12" s="4">
        <f>480+154+159+192-246-74-85-96</f>
        <v>484</v>
      </c>
      <c r="C12" s="2">
        <v>3459.2</v>
      </c>
      <c r="D12">
        <f t="shared" si="1"/>
        <v>1674252.7999999998</v>
      </c>
      <c r="E12" s="3">
        <f t="shared" si="0"/>
        <v>3.4349354668258857E-2</v>
      </c>
    </row>
    <row r="13" spans="1:7" x14ac:dyDescent="0.3">
      <c r="A13" t="s">
        <v>14</v>
      </c>
      <c r="B13" s="4">
        <f>10500+5250-3258-1143-1205-2468</f>
        <v>7676</v>
      </c>
      <c r="C13" s="2">
        <v>1000.15</v>
      </c>
      <c r="D13">
        <f t="shared" si="1"/>
        <v>7677151.3999999994</v>
      </c>
      <c r="E13" s="3">
        <f t="shared" si="0"/>
        <v>0.15750619994813211</v>
      </c>
    </row>
    <row r="14" spans="1:7" x14ac:dyDescent="0.3">
      <c r="A14" t="s">
        <v>15</v>
      </c>
      <c r="B14" s="4">
        <f>458+115+189</f>
        <v>762</v>
      </c>
      <c r="C14" s="2">
        <v>3495.45</v>
      </c>
      <c r="D14">
        <f t="shared" si="1"/>
        <v>2663532.9</v>
      </c>
      <c r="E14" s="3">
        <f t="shared" si="0"/>
        <v>5.4645652229266727E-2</v>
      </c>
    </row>
    <row r="15" spans="1:7" x14ac:dyDescent="0.3">
      <c r="A15" t="s">
        <v>16</v>
      </c>
      <c r="B15" s="4">
        <f>3075+1537+1153-53-1428-925-484-459-467-45</f>
        <v>1904</v>
      </c>
      <c r="C15" s="2">
        <v>644.6</v>
      </c>
      <c r="D15">
        <f t="shared" si="1"/>
        <v>1227318.4000000001</v>
      </c>
      <c r="E15" s="3">
        <f t="shared" si="0"/>
        <v>2.517994595110129E-2</v>
      </c>
      <c r="G15" t="s">
        <v>44</v>
      </c>
    </row>
    <row r="16" spans="1:7" x14ac:dyDescent="0.3">
      <c r="A16" t="s">
        <v>31</v>
      </c>
      <c r="B16" s="4">
        <f>7985+1084</f>
        <v>9069</v>
      </c>
      <c r="C16" s="2">
        <v>360.1</v>
      </c>
      <c r="D16">
        <f t="shared" si="1"/>
        <v>3265746.9000000004</v>
      </c>
      <c r="E16" s="3">
        <f t="shared" si="0"/>
        <v>6.7000812855064013E-2</v>
      </c>
    </row>
    <row r="17" spans="1:7" x14ac:dyDescent="0.3">
      <c r="A17" t="s">
        <v>32</v>
      </c>
      <c r="B17" s="4">
        <f>2592+518+820</f>
        <v>3930</v>
      </c>
      <c r="C17" s="2">
        <v>827.2</v>
      </c>
      <c r="D17">
        <f t="shared" si="1"/>
        <v>3250896</v>
      </c>
      <c r="E17" s="3">
        <f t="shared" si="0"/>
        <v>6.6696128382538203E-2</v>
      </c>
    </row>
    <row r="18" spans="1:7" x14ac:dyDescent="0.3">
      <c r="A18" t="s">
        <v>17</v>
      </c>
      <c r="B18" s="4">
        <f>6932.14-496.76-518.245</f>
        <v>5917.1350000000002</v>
      </c>
      <c r="C18" s="2">
        <v>1000</v>
      </c>
      <c r="D18">
        <f t="shared" si="1"/>
        <v>5917135</v>
      </c>
      <c r="E18" s="3">
        <f t="shared" si="0"/>
        <v>0.1213972995804265</v>
      </c>
      <c r="G18" t="s">
        <v>46</v>
      </c>
    </row>
    <row r="19" spans="1:7" x14ac:dyDescent="0.3">
      <c r="B19" s="4"/>
      <c r="E19" s="3"/>
    </row>
    <row r="20" spans="1:7" x14ac:dyDescent="0.3">
      <c r="B20" s="4"/>
      <c r="D20">
        <f>SUM(D5:D18)</f>
        <v>48741899.699999996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9CBE-824E-4307-9BF7-8E39E0877AF8}">
  <sheetPr>
    <pageSetUpPr fitToPage="1"/>
  </sheetPr>
  <dimension ref="A1:J20"/>
  <sheetViews>
    <sheetView workbookViewId="0">
      <selection activeCell="E20" sqref="E20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45358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x14ac:dyDescent="0.3">
      <c r="A5" t="s">
        <v>30</v>
      </c>
      <c r="B5" s="4">
        <f>4326+2424</f>
        <v>6750</v>
      </c>
      <c r="C5" s="2">
        <v>615.6</v>
      </c>
      <c r="D5">
        <f>C5*B5</f>
        <v>4155300</v>
      </c>
      <c r="E5" s="3">
        <f t="shared" ref="E5:E18" si="0">D5/$D$20</f>
        <v>8.9936210741027575E-2</v>
      </c>
    </row>
    <row r="6" spans="1:9" x14ac:dyDescent="0.3">
      <c r="A6" t="s">
        <v>7</v>
      </c>
      <c r="B6" s="4">
        <f>((840+420)*2+290+562)+3372</f>
        <v>6744</v>
      </c>
      <c r="C6" s="2">
        <v>331.3</v>
      </c>
      <c r="D6">
        <f t="shared" ref="D6:D18" si="1">C6*B6</f>
        <v>2234287.2000000002</v>
      </c>
      <c r="E6" s="3">
        <f t="shared" si="0"/>
        <v>4.8358319369282705E-2</v>
      </c>
    </row>
    <row r="7" spans="1:9" x14ac:dyDescent="0.3">
      <c r="A7" t="s">
        <v>8</v>
      </c>
      <c r="B7" s="4">
        <f>130+126+33+57+173+130</f>
        <v>649</v>
      </c>
      <c r="C7" s="2">
        <v>2794.95</v>
      </c>
      <c r="D7">
        <f t="shared" si="1"/>
        <v>1813922.5499999998</v>
      </c>
      <c r="E7" s="3">
        <f t="shared" si="0"/>
        <v>3.9260058413279932E-2</v>
      </c>
    </row>
    <row r="8" spans="1:9" x14ac:dyDescent="0.3">
      <c r="A8" t="s">
        <v>9</v>
      </c>
      <c r="B8" s="4">
        <f>1280+1280+1280+910+1300+1300+2940+1300</f>
        <v>11590</v>
      </c>
      <c r="C8" s="2">
        <v>184.9</v>
      </c>
      <c r="D8">
        <f t="shared" si="1"/>
        <v>2142991</v>
      </c>
      <c r="E8" s="3">
        <f t="shared" si="0"/>
        <v>4.6382328638636297E-2</v>
      </c>
    </row>
    <row r="9" spans="1:9" x14ac:dyDescent="0.3">
      <c r="A9" t="s">
        <v>11</v>
      </c>
      <c r="B9" s="4">
        <f>410+205+135</f>
        <v>750</v>
      </c>
      <c r="C9" s="2">
        <v>4897.05</v>
      </c>
      <c r="D9">
        <f t="shared" si="1"/>
        <v>3672787.5</v>
      </c>
      <c r="E9" s="3">
        <f t="shared" si="0"/>
        <v>7.9492838208315111E-2</v>
      </c>
      <c r="G9" t="s">
        <v>50</v>
      </c>
    </row>
    <row r="10" spans="1:9" x14ac:dyDescent="0.3">
      <c r="A10" t="s">
        <v>12</v>
      </c>
      <c r="B10" s="4">
        <f>(1875+937+309+619)*2</f>
        <v>7480</v>
      </c>
      <c r="C10" s="2">
        <v>549.65</v>
      </c>
      <c r="D10">
        <f t="shared" si="1"/>
        <v>4111382</v>
      </c>
      <c r="E10" s="3">
        <f t="shared" si="0"/>
        <v>8.898566120108474E-2</v>
      </c>
    </row>
    <row r="11" spans="1:9" x14ac:dyDescent="0.3">
      <c r="A11" t="s">
        <v>33</v>
      </c>
      <c r="B11" s="4">
        <f>13763+6317+2811+3464+1538</f>
        <v>27893</v>
      </c>
      <c r="C11" s="2">
        <v>152.69999999999999</v>
      </c>
      <c r="D11">
        <f t="shared" si="1"/>
        <v>4259261.0999999996</v>
      </c>
      <c r="E11" s="3">
        <f t="shared" si="0"/>
        <v>9.2186317207099577E-2</v>
      </c>
      <c r="G11" t="s">
        <v>48</v>
      </c>
    </row>
    <row r="12" spans="1:9" x14ac:dyDescent="0.3">
      <c r="A12" t="s">
        <v>13</v>
      </c>
      <c r="B12" s="4">
        <f>480+154+159+192-246-74-85-96</f>
        <v>484</v>
      </c>
      <c r="C12" s="2">
        <v>3543.05</v>
      </c>
      <c r="D12">
        <f t="shared" si="1"/>
        <v>1714836.2000000002</v>
      </c>
      <c r="E12" s="3">
        <f t="shared" si="0"/>
        <v>3.7115459742868846E-2</v>
      </c>
    </row>
    <row r="13" spans="1:9" x14ac:dyDescent="0.3">
      <c r="A13" t="s">
        <v>14</v>
      </c>
      <c r="B13" s="4">
        <f>10500+5250-3258-1143-1205-2468</f>
        <v>7676</v>
      </c>
      <c r="C13" s="2">
        <v>892.3</v>
      </c>
      <c r="D13">
        <f t="shared" si="1"/>
        <v>6849294.7999999998</v>
      </c>
      <c r="E13" s="3">
        <f t="shared" si="0"/>
        <v>0.14824431943788036</v>
      </c>
    </row>
    <row r="14" spans="1:9" x14ac:dyDescent="0.3">
      <c r="A14" t="s">
        <v>15</v>
      </c>
      <c r="B14" s="4">
        <f>458+115+189</f>
        <v>762</v>
      </c>
      <c r="C14" s="2">
        <v>3427.15</v>
      </c>
      <c r="D14">
        <f t="shared" si="1"/>
        <v>2611488.3000000003</v>
      </c>
      <c r="E14" s="3">
        <f t="shared" si="0"/>
        <v>5.6522359900976551E-2</v>
      </c>
    </row>
    <row r="15" spans="1:9" x14ac:dyDescent="0.3">
      <c r="A15" t="s">
        <v>16</v>
      </c>
      <c r="B15" s="4">
        <f>3075+1537+1153-53-1428-925-484-459-467-45+2345</f>
        <v>4249</v>
      </c>
      <c r="C15" s="2">
        <v>537.35</v>
      </c>
      <c r="D15">
        <f t="shared" si="1"/>
        <v>2283200.15</v>
      </c>
      <c r="E15" s="3">
        <f t="shared" si="0"/>
        <v>4.9416978281795719E-2</v>
      </c>
      <c r="G15" t="s">
        <v>47</v>
      </c>
    </row>
    <row r="16" spans="1:9" x14ac:dyDescent="0.3">
      <c r="A16" t="s">
        <v>31</v>
      </c>
      <c r="B16" s="4">
        <f>7985+1084+1117</f>
        <v>10186</v>
      </c>
      <c r="C16" s="2">
        <v>327.3</v>
      </c>
      <c r="D16">
        <f t="shared" si="1"/>
        <v>3333877.8000000003</v>
      </c>
      <c r="E16" s="3">
        <f t="shared" si="0"/>
        <v>7.2157566578979468E-2</v>
      </c>
      <c r="G16" t="s">
        <v>49</v>
      </c>
      <c r="I16" s="3"/>
    </row>
    <row r="17" spans="1:7" x14ac:dyDescent="0.3">
      <c r="A17" t="s">
        <v>32</v>
      </c>
      <c r="B17" s="4">
        <f>2592+518+820</f>
        <v>3930</v>
      </c>
      <c r="C17" s="2">
        <v>903.45</v>
      </c>
      <c r="D17">
        <f t="shared" si="1"/>
        <v>3550558.5</v>
      </c>
      <c r="E17" s="3">
        <f t="shared" si="0"/>
        <v>7.6847346161371441E-2</v>
      </c>
    </row>
    <row r="18" spans="1:7" x14ac:dyDescent="0.3">
      <c r="A18" t="s">
        <v>17</v>
      </c>
      <c r="B18" s="4">
        <f>6932.14-496.76-518.245-2447.575</f>
        <v>3469.5600000000004</v>
      </c>
      <c r="C18" s="2">
        <v>1000</v>
      </c>
      <c r="D18">
        <f t="shared" si="1"/>
        <v>3469560.0000000005</v>
      </c>
      <c r="E18" s="3">
        <f t="shared" si="0"/>
        <v>7.5094236117401791E-2</v>
      </c>
      <c r="G18" t="s">
        <v>51</v>
      </c>
    </row>
    <row r="19" spans="1:7" x14ac:dyDescent="0.3">
      <c r="B19" s="4"/>
      <c r="E19" s="3"/>
    </row>
    <row r="20" spans="1:7" x14ac:dyDescent="0.3">
      <c r="B20" s="4"/>
      <c r="D20">
        <f>SUM(D5:D18)</f>
        <v>46202747.099999994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3C95-79AD-4852-A985-D20238112A10}">
  <sheetPr>
    <pageSetUpPr fitToPage="1"/>
  </sheetPr>
  <dimension ref="A1:J20"/>
  <sheetViews>
    <sheetView workbookViewId="0">
      <selection activeCell="B14" sqref="B14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45406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x14ac:dyDescent="0.3">
      <c r="A5" t="s">
        <v>30</v>
      </c>
      <c r="B5" s="4">
        <f>4326+2424</f>
        <v>6750</v>
      </c>
      <c r="C5" s="2">
        <v>707.8</v>
      </c>
      <c r="D5">
        <f>C5*B5</f>
        <v>4777650</v>
      </c>
      <c r="E5" s="3">
        <f t="shared" ref="E5:E18" si="0">D5/$D$20</f>
        <v>9.3674560616357413E-2</v>
      </c>
    </row>
    <row r="6" spans="1:9" x14ac:dyDescent="0.3">
      <c r="A6" t="s">
        <v>7</v>
      </c>
      <c r="B6" s="4">
        <f>((840+420)*2+290+562)+3372</f>
        <v>6744</v>
      </c>
      <c r="C6" s="2">
        <v>327.14999999999998</v>
      </c>
      <c r="D6">
        <f t="shared" ref="D6:D18" si="1">C6*B6</f>
        <v>2206299.5999999996</v>
      </c>
      <c r="E6" s="3">
        <f t="shared" si="0"/>
        <v>4.3258536229745813E-2</v>
      </c>
    </row>
    <row r="7" spans="1:9" x14ac:dyDescent="0.3">
      <c r="A7" t="s">
        <v>8</v>
      </c>
      <c r="B7" s="4">
        <f>130+126+33+57+173+130</f>
        <v>649</v>
      </c>
      <c r="C7" s="2">
        <v>2692.95</v>
      </c>
      <c r="D7">
        <f t="shared" si="1"/>
        <v>1747724.5499999998</v>
      </c>
      <c r="E7" s="3">
        <f t="shared" si="0"/>
        <v>3.4267334212357746E-2</v>
      </c>
    </row>
    <row r="8" spans="1:9" x14ac:dyDescent="0.3">
      <c r="A8" t="s">
        <v>9</v>
      </c>
      <c r="B8" s="4">
        <f>1280+1280+1280+910+1300+1300+2940+1300</f>
        <v>11590</v>
      </c>
      <c r="C8" s="2">
        <v>203.55</v>
      </c>
      <c r="D8">
        <f t="shared" si="1"/>
        <v>2359144.5</v>
      </c>
      <c r="E8" s="3">
        <f t="shared" si="0"/>
        <v>4.6255339857041895E-2</v>
      </c>
    </row>
    <row r="9" spans="1:9" x14ac:dyDescent="0.3">
      <c r="A9" t="s">
        <v>11</v>
      </c>
      <c r="B9" s="4">
        <f>410+205+135</f>
        <v>750</v>
      </c>
      <c r="C9" s="2">
        <v>5259.9</v>
      </c>
      <c r="D9">
        <f t="shared" si="1"/>
        <v>3944924.9999999995</v>
      </c>
      <c r="E9" s="3">
        <f t="shared" si="0"/>
        <v>7.7347464975350583E-2</v>
      </c>
    </row>
    <row r="10" spans="1:9" x14ac:dyDescent="0.3">
      <c r="A10" t="s">
        <v>12</v>
      </c>
      <c r="B10" s="4">
        <f>(1875+937+309+619)*2</f>
        <v>7480</v>
      </c>
      <c r="C10" s="2">
        <v>560</v>
      </c>
      <c r="D10">
        <f t="shared" si="1"/>
        <v>4188800</v>
      </c>
      <c r="E10" s="3">
        <f t="shared" si="0"/>
        <v>8.2129080093727658E-2</v>
      </c>
    </row>
    <row r="11" spans="1:9" x14ac:dyDescent="0.3">
      <c r="A11" t="s">
        <v>33</v>
      </c>
      <c r="B11" s="4">
        <f>13763+6317+2811+3464+1538</f>
        <v>27893</v>
      </c>
      <c r="C11" s="2">
        <v>208.3</v>
      </c>
      <c r="D11">
        <f t="shared" si="1"/>
        <v>5810111.9000000004</v>
      </c>
      <c r="E11" s="3">
        <f t="shared" si="0"/>
        <v>0.11391786325167595</v>
      </c>
    </row>
    <row r="12" spans="1:9" x14ac:dyDescent="0.3">
      <c r="A12" t="s">
        <v>13</v>
      </c>
      <c r="B12" s="4">
        <f>480+154+159+192-246-74-85-96</f>
        <v>484</v>
      </c>
      <c r="C12" s="2">
        <v>3581.7</v>
      </c>
      <c r="D12">
        <f t="shared" si="1"/>
        <v>1733542.7999999998</v>
      </c>
      <c r="E12" s="3">
        <f t="shared" si="0"/>
        <v>3.3989275082864992E-2</v>
      </c>
    </row>
    <row r="13" spans="1:9" x14ac:dyDescent="0.3">
      <c r="A13" t="s">
        <v>14</v>
      </c>
      <c r="B13" s="4">
        <f>10500+5250-3258-1143-1205-2468-1535</f>
        <v>6141</v>
      </c>
      <c r="C13" s="2">
        <v>993.35</v>
      </c>
      <c r="D13">
        <f t="shared" si="1"/>
        <v>6100162.3500000006</v>
      </c>
      <c r="E13" s="3">
        <f t="shared" si="0"/>
        <v>0.1196048324646419</v>
      </c>
      <c r="G13" t="s">
        <v>52</v>
      </c>
    </row>
    <row r="14" spans="1:9" x14ac:dyDescent="0.3">
      <c r="A14" t="s">
        <v>15</v>
      </c>
      <c r="B14" s="4">
        <f>458+115+189</f>
        <v>762</v>
      </c>
      <c r="C14" s="2">
        <v>4169.55</v>
      </c>
      <c r="D14">
        <f t="shared" si="1"/>
        <v>3177197.1</v>
      </c>
      <c r="E14" s="3">
        <f t="shared" si="0"/>
        <v>6.2294756278518729E-2</v>
      </c>
    </row>
    <row r="15" spans="1:9" x14ac:dyDescent="0.3">
      <c r="A15" t="s">
        <v>16</v>
      </c>
      <c r="B15" s="4">
        <f>3075+1537+1153-53-1428-925-484-459-467-45+2345</f>
        <v>4249</v>
      </c>
      <c r="C15" s="2">
        <v>555.15</v>
      </c>
      <c r="D15">
        <f t="shared" si="1"/>
        <v>2358832.35</v>
      </c>
      <c r="E15" s="3">
        <f t="shared" si="0"/>
        <v>4.6249219585758651E-2</v>
      </c>
    </row>
    <row r="16" spans="1:9" x14ac:dyDescent="0.3">
      <c r="A16" t="s">
        <v>31</v>
      </c>
      <c r="B16" s="4">
        <f>7985+1084+1117</f>
        <v>10186</v>
      </c>
      <c r="C16" s="2">
        <v>349.25</v>
      </c>
      <c r="D16">
        <f t="shared" si="1"/>
        <v>3557460.5</v>
      </c>
      <c r="E16" s="3">
        <f t="shared" si="0"/>
        <v>6.9750515263266907E-2</v>
      </c>
      <c r="I16" s="3"/>
    </row>
    <row r="17" spans="1:7" x14ac:dyDescent="0.3">
      <c r="A17" t="s">
        <v>32</v>
      </c>
      <c r="B17" s="4">
        <f>2592+518+820</f>
        <v>3930</v>
      </c>
      <c r="C17" s="2">
        <v>1020.75</v>
      </c>
      <c r="D17">
        <f t="shared" si="1"/>
        <v>4011547.5</v>
      </c>
      <c r="E17" s="3">
        <f t="shared" si="0"/>
        <v>7.865372085735603E-2</v>
      </c>
    </row>
    <row r="18" spans="1:7" x14ac:dyDescent="0.3">
      <c r="A18" t="s">
        <v>17</v>
      </c>
      <c r="B18" s="4">
        <f>6932.14-496.76-518.245-2447.575+1559.683</f>
        <v>5029.2430000000004</v>
      </c>
      <c r="C18" s="2">
        <v>1000</v>
      </c>
      <c r="D18">
        <f t="shared" si="1"/>
        <v>5029243</v>
      </c>
      <c r="E18" s="3">
        <f t="shared" si="0"/>
        <v>9.8607501231335742E-2</v>
      </c>
      <c r="G18" t="s">
        <v>53</v>
      </c>
    </row>
    <row r="19" spans="1:7" x14ac:dyDescent="0.3">
      <c r="B19" s="4"/>
      <c r="E19" s="3"/>
    </row>
    <row r="20" spans="1:7" x14ac:dyDescent="0.3">
      <c r="B20" s="4"/>
      <c r="D20">
        <f>SUM(D5:D18)</f>
        <v>51002641.149999999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43BC-CF56-42B2-AF32-7F6309F586B2}">
  <sheetPr>
    <pageSetUpPr fitToPage="1"/>
  </sheetPr>
  <dimension ref="A1:J20"/>
  <sheetViews>
    <sheetView workbookViewId="0">
      <selection activeCell="B14" sqref="B14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45429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x14ac:dyDescent="0.3">
      <c r="A5" t="s">
        <v>30</v>
      </c>
      <c r="B5" s="4">
        <f>4326+2424</f>
        <v>6750</v>
      </c>
      <c r="C5" s="2">
        <v>753.8</v>
      </c>
      <c r="D5">
        <f>C5*B5</f>
        <v>5088150</v>
      </c>
      <c r="E5" s="3">
        <f t="shared" ref="E5:E18" si="0">D5/$D$20</f>
        <v>9.5069916719442413E-2</v>
      </c>
    </row>
    <row r="6" spans="1:9" x14ac:dyDescent="0.3">
      <c r="A6" t="s">
        <v>7</v>
      </c>
      <c r="B6" s="4">
        <f>((840+420)*2+290+562)+3372</f>
        <v>6744</v>
      </c>
      <c r="C6" s="2">
        <v>358.6</v>
      </c>
      <c r="D6">
        <f t="shared" ref="D6:D18" si="1">C6*B6</f>
        <v>2418398.4000000004</v>
      </c>
      <c r="E6" s="3">
        <f t="shared" si="0"/>
        <v>4.5186744589375868E-2</v>
      </c>
    </row>
    <row r="7" spans="1:9" x14ac:dyDescent="0.3">
      <c r="A7" t="s">
        <v>8</v>
      </c>
      <c r="B7" s="4">
        <f>130+126+33+57+173+130</f>
        <v>649</v>
      </c>
      <c r="C7" s="2">
        <v>2511.1</v>
      </c>
      <c r="D7">
        <f t="shared" si="1"/>
        <v>1629703.9</v>
      </c>
      <c r="E7" s="3">
        <f t="shared" si="0"/>
        <v>3.0450323604915442E-2</v>
      </c>
    </row>
    <row r="8" spans="1:9" x14ac:dyDescent="0.3">
      <c r="A8" t="s">
        <v>9</v>
      </c>
      <c r="B8" s="4">
        <f>1280+1280+1280+910+1300+1300+2940+1300</f>
        <v>11590</v>
      </c>
      <c r="C8" s="2">
        <v>196.1</v>
      </c>
      <c r="D8">
        <f t="shared" si="1"/>
        <v>2272799</v>
      </c>
      <c r="E8" s="3">
        <f t="shared" si="0"/>
        <v>4.2466281782186456E-2</v>
      </c>
    </row>
    <row r="9" spans="1:9" x14ac:dyDescent="0.3">
      <c r="A9" t="s">
        <v>11</v>
      </c>
      <c r="B9" s="4">
        <f>410+205+135</f>
        <v>750</v>
      </c>
      <c r="C9" s="2">
        <v>4963.05</v>
      </c>
      <c r="D9">
        <f t="shared" si="1"/>
        <v>3722287.5</v>
      </c>
      <c r="E9" s="3">
        <f t="shared" si="0"/>
        <v>6.9549357355978406E-2</v>
      </c>
    </row>
    <row r="10" spans="1:9" x14ac:dyDescent="0.3">
      <c r="A10" t="s">
        <v>12</v>
      </c>
      <c r="B10" s="4">
        <f>(1875+937+309+619)*2</f>
        <v>7480</v>
      </c>
      <c r="C10" s="2">
        <v>574.95000000000005</v>
      </c>
      <c r="D10">
        <f t="shared" si="1"/>
        <v>4300626</v>
      </c>
      <c r="E10" s="3">
        <f t="shared" si="0"/>
        <v>8.0355366029198974E-2</v>
      </c>
    </row>
    <row r="11" spans="1:9" x14ac:dyDescent="0.3">
      <c r="A11" t="s">
        <v>33</v>
      </c>
      <c r="B11" s="4">
        <f>13763+6317+2811+3464+1538</f>
        <v>27893</v>
      </c>
      <c r="C11" s="2">
        <v>211.35</v>
      </c>
      <c r="D11">
        <f t="shared" si="1"/>
        <v>5895185.5499999998</v>
      </c>
      <c r="E11" s="3">
        <f t="shared" si="0"/>
        <v>0.11014903241534946</v>
      </c>
    </row>
    <row r="12" spans="1:9" x14ac:dyDescent="0.3">
      <c r="A12" t="s">
        <v>13</v>
      </c>
      <c r="B12" s="4">
        <f>480+154+159+192-246-74-85-96</f>
        <v>484</v>
      </c>
      <c r="C12" s="2">
        <v>3765.1</v>
      </c>
      <c r="D12">
        <f t="shared" si="1"/>
        <v>1822308.4</v>
      </c>
      <c r="E12" s="3">
        <f t="shared" si="0"/>
        <v>3.4049056695486642E-2</v>
      </c>
    </row>
    <row r="13" spans="1:9" x14ac:dyDescent="0.3">
      <c r="A13" t="s">
        <v>14</v>
      </c>
      <c r="B13" s="4">
        <f>10500+5250-3258-1143-1205-2468-1535-850</f>
        <v>5291</v>
      </c>
      <c r="C13" s="2">
        <v>1212.4000000000001</v>
      </c>
      <c r="D13">
        <f t="shared" si="1"/>
        <v>6414808.4000000004</v>
      </c>
      <c r="E13" s="3">
        <f t="shared" si="0"/>
        <v>0.11985796416363112</v>
      </c>
      <c r="G13" t="s">
        <v>54</v>
      </c>
    </row>
    <row r="14" spans="1:9" x14ac:dyDescent="0.3">
      <c r="A14" t="s">
        <v>15</v>
      </c>
      <c r="B14" s="4">
        <f>458+115+189</f>
        <v>762</v>
      </c>
      <c r="C14" s="2">
        <v>4962.55</v>
      </c>
      <c r="D14">
        <f t="shared" si="1"/>
        <v>3781463.1</v>
      </c>
      <c r="E14" s="3">
        <f t="shared" si="0"/>
        <v>7.0655028250866142E-2</v>
      </c>
    </row>
    <row r="15" spans="1:9" x14ac:dyDescent="0.3">
      <c r="A15" t="s">
        <v>16</v>
      </c>
      <c r="B15" s="4">
        <f>3075+1537+1153-53-1428-925-484-459-467-45+2345</f>
        <v>4249</v>
      </c>
      <c r="C15" s="2">
        <v>548.5</v>
      </c>
      <c r="D15">
        <f t="shared" si="1"/>
        <v>2330576.5</v>
      </c>
      <c r="E15" s="3">
        <f t="shared" si="0"/>
        <v>4.3545829773746762E-2</v>
      </c>
    </row>
    <row r="16" spans="1:9" x14ac:dyDescent="0.3">
      <c r="A16" t="s">
        <v>31</v>
      </c>
      <c r="B16" s="4">
        <f>7985+1084+1117</f>
        <v>10186</v>
      </c>
      <c r="C16" s="2">
        <v>392.75</v>
      </c>
      <c r="D16">
        <f t="shared" si="1"/>
        <v>4000551.5</v>
      </c>
      <c r="E16" s="3">
        <f t="shared" si="0"/>
        <v>7.4748601738714546E-2</v>
      </c>
      <c r="I16" s="3"/>
    </row>
    <row r="17" spans="1:7" x14ac:dyDescent="0.3">
      <c r="A17" t="s">
        <v>32</v>
      </c>
      <c r="B17" s="4">
        <f>2592+518+820</f>
        <v>3930</v>
      </c>
      <c r="C17" s="2">
        <v>947.35</v>
      </c>
      <c r="D17">
        <f t="shared" si="1"/>
        <v>3723085.5</v>
      </c>
      <c r="E17" s="3">
        <f t="shared" si="0"/>
        <v>6.9564267646268996E-2</v>
      </c>
    </row>
    <row r="18" spans="1:7" x14ac:dyDescent="0.3">
      <c r="A18" t="s">
        <v>17</v>
      </c>
      <c r="B18" s="4">
        <f>6932.14-496.76-518.245-2447.575+1559.683+1090.898</f>
        <v>6120.1410000000005</v>
      </c>
      <c r="C18" s="2">
        <v>1000</v>
      </c>
      <c r="D18">
        <f t="shared" si="1"/>
        <v>6120141.0000000009</v>
      </c>
      <c r="E18" s="3">
        <f t="shared" si="0"/>
        <v>0.11435222923483881</v>
      </c>
      <c r="G18" t="s">
        <v>55</v>
      </c>
    </row>
    <row r="19" spans="1:7" x14ac:dyDescent="0.3">
      <c r="B19" s="4"/>
      <c r="E19" s="3"/>
    </row>
    <row r="20" spans="1:7" x14ac:dyDescent="0.3">
      <c r="B20" s="4"/>
      <c r="D20">
        <f>SUM(D5:D18)</f>
        <v>53520084.75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02BD-FE56-4D3A-8449-442CCC7CA72F}">
  <sheetPr>
    <pageSetUpPr fitToPage="1"/>
  </sheetPr>
  <dimension ref="A1:J21"/>
  <sheetViews>
    <sheetView workbookViewId="0">
      <selection activeCell="G6" sqref="G6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45441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866.9</v>
      </c>
      <c r="D5">
        <f>C5*B5</f>
        <v>5851575</v>
      </c>
      <c r="E5" s="3">
        <f t="shared" ref="E5:E19" si="0">D5/$D$21</f>
        <v>0.10773695589108924</v>
      </c>
      <c r="F5"/>
      <c r="G5"/>
      <c r="H5"/>
      <c r="I5"/>
    </row>
    <row r="6" spans="1:9" s="2" customFormat="1" x14ac:dyDescent="0.3">
      <c r="A6" t="s">
        <v>56</v>
      </c>
      <c r="B6" s="4">
        <v>448</v>
      </c>
      <c r="C6" s="2">
        <v>2025.3</v>
      </c>
      <c r="D6">
        <f>C6*B6</f>
        <v>907334.4</v>
      </c>
      <c r="E6" s="3">
        <f t="shared" si="0"/>
        <v>1.6705493175985596E-2</v>
      </c>
      <c r="F6"/>
      <c r="G6" t="s">
        <v>57</v>
      </c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369.2</v>
      </c>
      <c r="D7">
        <f t="shared" ref="D7:D19" si="1">C7*B7</f>
        <v>2489884.7999999998</v>
      </c>
      <c r="E7" s="3">
        <f t="shared" si="0"/>
        <v>4.5842804522114734E-2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2472.65</v>
      </c>
      <c r="D8">
        <f t="shared" si="1"/>
        <v>1604749.85</v>
      </c>
      <c r="E8" s="3">
        <f t="shared" si="0"/>
        <v>2.9546039110099773E-2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</f>
        <v>11590</v>
      </c>
      <c r="C9" s="2">
        <v>197.3</v>
      </c>
      <c r="D9">
        <f t="shared" si="1"/>
        <v>2286707</v>
      </c>
      <c r="E9" s="3">
        <f t="shared" si="0"/>
        <v>4.2101972750045069E-2</v>
      </c>
      <c r="F9"/>
      <c r="G9"/>
      <c r="H9"/>
      <c r="I9"/>
    </row>
    <row r="10" spans="1:9" s="2" customFormat="1" x14ac:dyDescent="0.3">
      <c r="A10" t="s">
        <v>11</v>
      </c>
      <c r="B10" s="4">
        <f>410+205+135</f>
        <v>750</v>
      </c>
      <c r="C10" s="2">
        <v>4707.75</v>
      </c>
      <c r="D10">
        <f t="shared" si="1"/>
        <v>3530812.5</v>
      </c>
      <c r="E10" s="3">
        <f t="shared" si="0"/>
        <v>6.5007966329100539E-2</v>
      </c>
      <c r="F10"/>
      <c r="G10"/>
      <c r="H10"/>
      <c r="I10"/>
    </row>
    <row r="11" spans="1:9" s="2" customFormat="1" x14ac:dyDescent="0.3">
      <c r="A11" t="s">
        <v>12</v>
      </c>
      <c r="B11" s="4">
        <f>(1875+937+309+619)*2</f>
        <v>7480</v>
      </c>
      <c r="C11" s="2">
        <v>588</v>
      </c>
      <c r="D11">
        <f t="shared" si="1"/>
        <v>4398240</v>
      </c>
      <c r="E11" s="3">
        <f t="shared" si="0"/>
        <v>8.0978708959284343E-2</v>
      </c>
      <c r="F11"/>
      <c r="G11"/>
      <c r="H11"/>
      <c r="I11"/>
    </row>
    <row r="12" spans="1:9" s="2" customFormat="1" x14ac:dyDescent="0.3">
      <c r="A12" t="s">
        <v>33</v>
      </c>
      <c r="B12" s="4">
        <f>13763+6317+2811+3464+1538</f>
        <v>27893</v>
      </c>
      <c r="C12" s="2">
        <v>205.7</v>
      </c>
      <c r="D12">
        <f t="shared" si="1"/>
        <v>5737590.0999999996</v>
      </c>
      <c r="E12" s="3">
        <f t="shared" si="0"/>
        <v>0.10563830960465349</v>
      </c>
      <c r="F12"/>
      <c r="G12"/>
      <c r="H12"/>
      <c r="I12"/>
    </row>
    <row r="13" spans="1:9" s="2" customFormat="1" x14ac:dyDescent="0.3">
      <c r="A13" t="s">
        <v>13</v>
      </c>
      <c r="B13" s="4">
        <f>480+154+159+192-246-74-85-96</f>
        <v>484</v>
      </c>
      <c r="C13" s="2">
        <v>3806</v>
      </c>
      <c r="D13">
        <f t="shared" si="1"/>
        <v>1842104</v>
      </c>
      <c r="E13" s="3">
        <f t="shared" si="0"/>
        <v>3.3916112737989182E-2</v>
      </c>
      <c r="F13"/>
      <c r="G13"/>
      <c r="H13"/>
      <c r="I13"/>
    </row>
    <row r="14" spans="1:9" s="2" customFormat="1" x14ac:dyDescent="0.3">
      <c r="A14" t="s">
        <v>14</v>
      </c>
      <c r="B14" s="4">
        <f>10500+5250-3258-1143-1205-2468-1535-850</f>
        <v>5291</v>
      </c>
      <c r="C14" s="2">
        <v>1255.55</v>
      </c>
      <c r="D14">
        <f t="shared" si="1"/>
        <v>6643115.0499999998</v>
      </c>
      <c r="E14" s="3">
        <f t="shared" si="0"/>
        <v>0.12231048788083226</v>
      </c>
      <c r="F14"/>
      <c r="G14"/>
      <c r="H14"/>
      <c r="I14"/>
    </row>
    <row r="15" spans="1:9" s="2" customFormat="1" x14ac:dyDescent="0.3">
      <c r="A15" t="s">
        <v>15</v>
      </c>
      <c r="B15" s="4">
        <f>458+115+189</f>
        <v>762</v>
      </c>
      <c r="C15" s="2">
        <v>4328</v>
      </c>
      <c r="D15">
        <f t="shared" si="1"/>
        <v>3297936</v>
      </c>
      <c r="E15" s="3">
        <f t="shared" si="0"/>
        <v>6.0720333476651206E-2</v>
      </c>
      <c r="F15"/>
      <c r="G15"/>
      <c r="H15"/>
      <c r="I15"/>
    </row>
    <row r="16" spans="1:9" s="2" customFormat="1" x14ac:dyDescent="0.3">
      <c r="A16" t="s">
        <v>16</v>
      </c>
      <c r="B16" s="4">
        <f>3075+1537+1153-53-1428-925-484-459-467-45+2345</f>
        <v>4249</v>
      </c>
      <c r="C16" s="2">
        <v>566.20000000000005</v>
      </c>
      <c r="D16">
        <f t="shared" si="1"/>
        <v>2405783.8000000003</v>
      </c>
      <c r="E16" s="3">
        <f t="shared" si="0"/>
        <v>4.4294369147468343E-2</v>
      </c>
      <c r="F16"/>
      <c r="G16"/>
      <c r="H16"/>
      <c r="I16"/>
    </row>
    <row r="17" spans="1:9" s="2" customFormat="1" x14ac:dyDescent="0.3">
      <c r="A17" t="s">
        <v>31</v>
      </c>
      <c r="B17" s="4">
        <f>7985+1084+1117</f>
        <v>10186</v>
      </c>
      <c r="C17" s="2">
        <v>441.7</v>
      </c>
      <c r="D17">
        <f t="shared" si="1"/>
        <v>4499156.2</v>
      </c>
      <c r="E17" s="3">
        <f t="shared" si="0"/>
        <v>8.2836739350776623E-2</v>
      </c>
      <c r="F17"/>
      <c r="G17"/>
      <c r="H17"/>
      <c r="I17" s="3"/>
    </row>
    <row r="18" spans="1:9" x14ac:dyDescent="0.3">
      <c r="A18" t="s">
        <v>32</v>
      </c>
      <c r="B18" s="4">
        <f>2592+518+820</f>
        <v>3930</v>
      </c>
      <c r="C18" s="2">
        <v>925.7</v>
      </c>
      <c r="D18">
        <f t="shared" si="1"/>
        <v>3638001</v>
      </c>
      <c r="E18" s="3">
        <f t="shared" si="0"/>
        <v>6.6981479903912802E-2</v>
      </c>
    </row>
    <row r="19" spans="1:9" x14ac:dyDescent="0.3">
      <c r="A19" t="s">
        <v>17</v>
      </c>
      <c r="B19" s="4">
        <f>6932.14-496.76-518.245-2447.575+1559.683+1090.898-939.595</f>
        <v>5180.5460000000003</v>
      </c>
      <c r="C19" s="2">
        <v>1000</v>
      </c>
      <c r="D19">
        <f t="shared" si="1"/>
        <v>5180546</v>
      </c>
      <c r="E19" s="3">
        <f t="shared" si="0"/>
        <v>9.5382227159996891E-2</v>
      </c>
      <c r="G19" t="s">
        <v>58</v>
      </c>
    </row>
    <row r="20" spans="1:9" x14ac:dyDescent="0.3">
      <c r="B20" s="4"/>
      <c r="E20" s="3"/>
    </row>
    <row r="21" spans="1:9" x14ac:dyDescent="0.3">
      <c r="B21" s="4"/>
      <c r="D21">
        <f>SUM(D5:D19)</f>
        <v>54313535.699999996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1BD6-6388-4086-AC46-B75D3C71DF9F}">
  <sheetPr>
    <pageSetUpPr fitToPage="1"/>
  </sheetPr>
  <dimension ref="A1:J21"/>
  <sheetViews>
    <sheetView workbookViewId="0">
      <selection activeCell="B10" sqref="B10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45447</v>
      </c>
      <c r="C1" s="2" t="s">
        <v>59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723.9</v>
      </c>
      <c r="D5">
        <f>C5*B5</f>
        <v>4886325</v>
      </c>
      <c r="E5" s="3">
        <f t="shared" ref="E5:E19" si="0">D5/$D$21</f>
        <v>9.4194847950253596E-2</v>
      </c>
      <c r="F5"/>
      <c r="G5"/>
      <c r="H5"/>
      <c r="I5"/>
    </row>
    <row r="6" spans="1:9" s="2" customFormat="1" x14ac:dyDescent="0.3">
      <c r="A6" t="s">
        <v>56</v>
      </c>
      <c r="B6" s="4">
        <v>448</v>
      </c>
      <c r="C6" s="2">
        <v>2156.35</v>
      </c>
      <c r="D6">
        <f>C6*B6</f>
        <v>966044.79999999993</v>
      </c>
      <c r="E6" s="3">
        <f t="shared" si="0"/>
        <v>1.8622675128881754E-2</v>
      </c>
      <c r="F6"/>
      <c r="G6"/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455.45</v>
      </c>
      <c r="D7">
        <f t="shared" ref="D7:D19" si="1">C7*B7</f>
        <v>3071554.8</v>
      </c>
      <c r="E7" s="3">
        <f t="shared" si="0"/>
        <v>5.9211091639805292E-2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2465.4</v>
      </c>
      <c r="D8">
        <f t="shared" si="1"/>
        <v>1600044.6</v>
      </c>
      <c r="E8" s="3">
        <f t="shared" si="0"/>
        <v>3.0844439903327008E-2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</f>
        <v>11590</v>
      </c>
      <c r="C9" s="2">
        <v>172.75</v>
      </c>
      <c r="D9">
        <f t="shared" si="1"/>
        <v>2002172.5</v>
      </c>
      <c r="E9" s="3">
        <f t="shared" si="0"/>
        <v>3.8596354971820158E-2</v>
      </c>
      <c r="F9"/>
      <c r="G9"/>
      <c r="H9"/>
      <c r="I9"/>
    </row>
    <row r="10" spans="1:9" s="2" customFormat="1" x14ac:dyDescent="0.3">
      <c r="A10" t="s">
        <v>11</v>
      </c>
      <c r="B10" s="4">
        <f>410+205+135+181</f>
        <v>931</v>
      </c>
      <c r="C10" s="2">
        <v>4526.2</v>
      </c>
      <c r="D10">
        <f t="shared" si="1"/>
        <v>4213892.2</v>
      </c>
      <c r="E10" s="3">
        <f t="shared" si="0"/>
        <v>8.1232201103643265E-2</v>
      </c>
      <c r="F10"/>
      <c r="G10" t="s">
        <v>60</v>
      </c>
      <c r="H10"/>
      <c r="I10"/>
    </row>
    <row r="11" spans="1:9" s="2" customFormat="1" x14ac:dyDescent="0.3">
      <c r="A11" t="s">
        <v>12</v>
      </c>
      <c r="B11" s="4">
        <f>(1875+937+309+619)*2</f>
        <v>7480</v>
      </c>
      <c r="C11" s="2">
        <v>558.85</v>
      </c>
      <c r="D11">
        <f t="shared" si="1"/>
        <v>4180198</v>
      </c>
      <c r="E11" s="3">
        <f t="shared" si="0"/>
        <v>8.0582670004953463E-2</v>
      </c>
      <c r="F11"/>
      <c r="G11"/>
      <c r="H11"/>
      <c r="I11"/>
    </row>
    <row r="12" spans="1:9" s="2" customFormat="1" x14ac:dyDescent="0.3">
      <c r="A12" t="s">
        <v>33</v>
      </c>
      <c r="B12" s="4">
        <f>13763+6317+2811+3464+1538</f>
        <v>27893</v>
      </c>
      <c r="C12" s="2">
        <v>188.2</v>
      </c>
      <c r="D12">
        <f t="shared" si="1"/>
        <v>5249462.5999999996</v>
      </c>
      <c r="E12" s="3">
        <f t="shared" si="0"/>
        <v>0.10119513774207464</v>
      </c>
      <c r="F12"/>
      <c r="G12"/>
      <c r="H12"/>
      <c r="I12"/>
    </row>
    <row r="13" spans="1:9" s="2" customFormat="1" x14ac:dyDescent="0.3">
      <c r="A13" t="s">
        <v>13</v>
      </c>
      <c r="B13" s="4">
        <f>480+154+159+192-246-74-85-96</f>
        <v>484</v>
      </c>
      <c r="C13" s="2">
        <v>3768.15</v>
      </c>
      <c r="D13">
        <f t="shared" si="1"/>
        <v>1823784.6</v>
      </c>
      <c r="E13" s="3">
        <f t="shared" si="0"/>
        <v>3.5157529040948786E-2</v>
      </c>
      <c r="F13"/>
      <c r="G13"/>
      <c r="H13"/>
      <c r="I13"/>
    </row>
    <row r="14" spans="1:9" s="2" customFormat="1" x14ac:dyDescent="0.3">
      <c r="A14" t="s">
        <v>14</v>
      </c>
      <c r="B14" s="4">
        <f>10500+5250-3258-1143-1205-2468-1535-850</f>
        <v>5291</v>
      </c>
      <c r="C14" s="2">
        <v>1197.2</v>
      </c>
      <c r="D14">
        <f t="shared" si="1"/>
        <v>6334385.2000000002</v>
      </c>
      <c r="E14" s="3">
        <f t="shared" si="0"/>
        <v>0.12210944846532655</v>
      </c>
      <c r="F14"/>
      <c r="G14"/>
      <c r="H14"/>
      <c r="I14"/>
    </row>
    <row r="15" spans="1:9" s="2" customFormat="1" x14ac:dyDescent="0.3">
      <c r="A15" t="s">
        <v>15</v>
      </c>
      <c r="B15" s="4">
        <f>458+115+189</f>
        <v>762</v>
      </c>
      <c r="C15" s="2">
        <v>3972.65</v>
      </c>
      <c r="D15">
        <f t="shared" si="1"/>
        <v>3027159.3000000003</v>
      </c>
      <c r="E15" s="3">
        <f t="shared" si="0"/>
        <v>5.8355269038530215E-2</v>
      </c>
      <c r="F15"/>
      <c r="G15"/>
      <c r="H15"/>
      <c r="I15"/>
    </row>
    <row r="16" spans="1:9" s="2" customFormat="1" x14ac:dyDescent="0.3">
      <c r="A16" t="s">
        <v>16</v>
      </c>
      <c r="B16" s="4">
        <f>3075+1537+1153-53-1428-925-484-459-467-45+2345</f>
        <v>4249</v>
      </c>
      <c r="C16" s="2">
        <v>539.95000000000005</v>
      </c>
      <c r="D16">
        <f t="shared" si="1"/>
        <v>2294247.5500000003</v>
      </c>
      <c r="E16" s="3">
        <f t="shared" si="0"/>
        <v>4.4226755103782878E-2</v>
      </c>
      <c r="F16"/>
      <c r="G16"/>
      <c r="H16"/>
      <c r="I16"/>
    </row>
    <row r="17" spans="1:9" s="2" customFormat="1" x14ac:dyDescent="0.3">
      <c r="A17" t="s">
        <v>31</v>
      </c>
      <c r="B17" s="4">
        <f>7985+1084+1117</f>
        <v>10186</v>
      </c>
      <c r="C17" s="2">
        <v>411.55</v>
      </c>
      <c r="D17">
        <f t="shared" si="1"/>
        <v>4192048.3000000003</v>
      </c>
      <c r="E17" s="3">
        <f t="shared" si="0"/>
        <v>8.081111105352573E-2</v>
      </c>
      <c r="F17"/>
      <c r="G17"/>
      <c r="H17"/>
      <c r="I17" s="3"/>
    </row>
    <row r="18" spans="1:9" x14ac:dyDescent="0.3">
      <c r="A18" t="s">
        <v>32</v>
      </c>
      <c r="B18" s="4">
        <f>2592+518+820</f>
        <v>3930</v>
      </c>
      <c r="C18" s="2">
        <v>941</v>
      </c>
      <c r="D18">
        <f t="shared" si="1"/>
        <v>3698130</v>
      </c>
      <c r="E18" s="3">
        <f t="shared" si="0"/>
        <v>7.128973063606521E-2</v>
      </c>
    </row>
    <row r="19" spans="1:9" x14ac:dyDescent="0.3">
      <c r="A19" t="s">
        <v>17</v>
      </c>
      <c r="B19" s="4">
        <f>6932.14-496.76-518.245-2447.575+1559.683+1090.898-939.595-845.343</f>
        <v>4335.2030000000004</v>
      </c>
      <c r="C19" s="2">
        <v>1000</v>
      </c>
      <c r="D19">
        <f t="shared" si="1"/>
        <v>4335203</v>
      </c>
      <c r="E19" s="3">
        <f t="shared" si="0"/>
        <v>8.3570738217061541E-2</v>
      </c>
      <c r="G19" t="s">
        <v>61</v>
      </c>
    </row>
    <row r="20" spans="1:9" x14ac:dyDescent="0.3">
      <c r="B20" s="4"/>
      <c r="E20" s="3"/>
    </row>
    <row r="21" spans="1:9" x14ac:dyDescent="0.3">
      <c r="B21" s="4"/>
      <c r="D21">
        <f>SUM(D5:D19)</f>
        <v>51874652.449999996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38E1-6F84-4308-AFEF-86B888642F09}">
  <sheetPr>
    <pageSetUpPr fitToPage="1"/>
  </sheetPr>
  <dimension ref="A1:J21"/>
  <sheetViews>
    <sheetView workbookViewId="0">
      <selection activeCell="G18" sqref="G18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45447</v>
      </c>
      <c r="C1" s="2" t="s">
        <v>59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723.9</v>
      </c>
      <c r="D5">
        <f>C5*B5</f>
        <v>4886325</v>
      </c>
      <c r="E5" s="3">
        <f t="shared" ref="E5:E19" si="0">D5/$D$21</f>
        <v>9.2472757823043317E-2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2156.35</v>
      </c>
      <c r="D6">
        <f>C6*B6</f>
        <v>1932089.5999999999</v>
      </c>
      <c r="E6" s="3">
        <f t="shared" si="0"/>
        <v>3.656442288902613E-2</v>
      </c>
      <c r="F6"/>
      <c r="G6" t="s">
        <v>62</v>
      </c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455.45</v>
      </c>
      <c r="D7">
        <f t="shared" ref="D7:D19" si="1">C7*B7</f>
        <v>3071554.8</v>
      </c>
      <c r="E7" s="3">
        <f t="shared" si="0"/>
        <v>5.8128581942585932E-2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2465.4</v>
      </c>
      <c r="D8">
        <f t="shared" si="1"/>
        <v>1600044.6</v>
      </c>
      <c r="E8" s="3">
        <f t="shared" si="0"/>
        <v>3.0280535331126811E-2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</f>
        <v>11590</v>
      </c>
      <c r="C9" s="2">
        <v>172.75</v>
      </c>
      <c r="D9">
        <f t="shared" si="1"/>
        <v>2002172.5</v>
      </c>
      <c r="E9" s="3">
        <f t="shared" si="0"/>
        <v>3.7890728249237858E-2</v>
      </c>
      <c r="F9"/>
      <c r="G9"/>
      <c r="H9"/>
      <c r="I9"/>
    </row>
    <row r="10" spans="1:9" s="2" customFormat="1" x14ac:dyDescent="0.3">
      <c r="A10" t="s">
        <v>11</v>
      </c>
      <c r="B10" s="4">
        <f>410+205+135+181</f>
        <v>931</v>
      </c>
      <c r="C10" s="2">
        <v>4526.2</v>
      </c>
      <c r="D10">
        <f t="shared" si="1"/>
        <v>4213892.2</v>
      </c>
      <c r="E10" s="3">
        <f t="shared" si="0"/>
        <v>7.9747096826963251E-2</v>
      </c>
      <c r="F10"/>
      <c r="G10"/>
      <c r="H10"/>
      <c r="I10"/>
    </row>
    <row r="11" spans="1:9" s="2" customFormat="1" x14ac:dyDescent="0.3">
      <c r="A11" t="s">
        <v>12</v>
      </c>
      <c r="B11" s="4">
        <f>(1875+937+309+619)*2</f>
        <v>7480</v>
      </c>
      <c r="C11" s="2">
        <v>558.85</v>
      </c>
      <c r="D11">
        <f t="shared" si="1"/>
        <v>4180198</v>
      </c>
      <c r="E11" s="3">
        <f t="shared" si="0"/>
        <v>7.9109440593159483E-2</v>
      </c>
      <c r="F11"/>
      <c r="G11"/>
      <c r="H11"/>
      <c r="I11"/>
    </row>
    <row r="12" spans="1:9" s="2" customFormat="1" x14ac:dyDescent="0.3">
      <c r="A12" t="s">
        <v>33</v>
      </c>
      <c r="B12" s="4">
        <f>13763+6317+2811+3464+1538</f>
        <v>27893</v>
      </c>
      <c r="C12" s="2">
        <v>188.2</v>
      </c>
      <c r="D12">
        <f t="shared" si="1"/>
        <v>5249462.5999999996</v>
      </c>
      <c r="E12" s="3">
        <f t="shared" si="0"/>
        <v>9.9345066836717413E-2</v>
      </c>
      <c r="F12"/>
      <c r="G12"/>
      <c r="H12"/>
      <c r="I12"/>
    </row>
    <row r="13" spans="1:9" s="2" customFormat="1" x14ac:dyDescent="0.3">
      <c r="A13" t="s">
        <v>13</v>
      </c>
      <c r="B13" s="4">
        <f>480+154+159+192-246-74-85-96</f>
        <v>484</v>
      </c>
      <c r="C13" s="2">
        <v>3768.15</v>
      </c>
      <c r="D13">
        <f t="shared" si="1"/>
        <v>1823784.6</v>
      </c>
      <c r="E13" s="3">
        <f t="shared" si="0"/>
        <v>3.4514771661155554E-2</v>
      </c>
      <c r="F13"/>
      <c r="G13"/>
      <c r="H13"/>
      <c r="I13"/>
    </row>
    <row r="14" spans="1:9" s="2" customFormat="1" x14ac:dyDescent="0.3">
      <c r="A14" t="s">
        <v>14</v>
      </c>
      <c r="B14" s="4">
        <f>10500+5250-3258-1143-1205-2468-1535-850</f>
        <v>5291</v>
      </c>
      <c r="C14" s="2">
        <v>1197.2</v>
      </c>
      <c r="D14">
        <f t="shared" si="1"/>
        <v>6334385.2000000002</v>
      </c>
      <c r="E14" s="3">
        <f t="shared" si="0"/>
        <v>0.11987701770911059</v>
      </c>
      <c r="F14"/>
      <c r="G14"/>
      <c r="H14"/>
      <c r="I14"/>
    </row>
    <row r="15" spans="1:9" s="2" customFormat="1" x14ac:dyDescent="0.3">
      <c r="A15" t="s">
        <v>15</v>
      </c>
      <c r="B15" s="4">
        <f>458+115+189</f>
        <v>762</v>
      </c>
      <c r="C15" s="2">
        <v>3972.65</v>
      </c>
      <c r="D15">
        <f t="shared" si="1"/>
        <v>3027159.3000000003</v>
      </c>
      <c r="E15" s="3">
        <f t="shared" si="0"/>
        <v>5.7288405671066363E-2</v>
      </c>
      <c r="F15"/>
      <c r="G15"/>
      <c r="H15"/>
      <c r="I15"/>
    </row>
    <row r="16" spans="1:9" s="2" customFormat="1" x14ac:dyDescent="0.3">
      <c r="A16" t="s">
        <v>16</v>
      </c>
      <c r="B16" s="4">
        <f>3075+1537+1153-53-1428-925-484-459-467-45+2345</f>
        <v>4249</v>
      </c>
      <c r="C16" s="2">
        <v>539.95000000000005</v>
      </c>
      <c r="D16">
        <f t="shared" si="1"/>
        <v>2294247.5500000003</v>
      </c>
      <c r="E16" s="3">
        <f t="shared" si="0"/>
        <v>4.3418192215470823E-2</v>
      </c>
      <c r="F16"/>
      <c r="G16"/>
      <c r="H16"/>
      <c r="I16"/>
    </row>
    <row r="17" spans="1:9" s="2" customFormat="1" x14ac:dyDescent="0.3">
      <c r="A17" t="s">
        <v>31</v>
      </c>
      <c r="B17" s="4">
        <f>7985+1084+1117</f>
        <v>10186</v>
      </c>
      <c r="C17" s="2">
        <v>411.55</v>
      </c>
      <c r="D17">
        <f t="shared" si="1"/>
        <v>4192048.3000000003</v>
      </c>
      <c r="E17" s="3">
        <f t="shared" si="0"/>
        <v>7.9333705234179153E-2</v>
      </c>
      <c r="F17"/>
      <c r="G17"/>
      <c r="H17"/>
      <c r="I17" s="3"/>
    </row>
    <row r="18" spans="1:9" x14ac:dyDescent="0.3">
      <c r="A18" t="s">
        <v>32</v>
      </c>
      <c r="B18" s="4">
        <f>2592+518+820</f>
        <v>3930</v>
      </c>
      <c r="C18" s="2">
        <v>941</v>
      </c>
      <c r="D18">
        <f t="shared" si="1"/>
        <v>3698130</v>
      </c>
      <c r="E18" s="3">
        <f t="shared" si="0"/>
        <v>6.9986396706754286E-2</v>
      </c>
    </row>
    <row r="19" spans="1:9" x14ac:dyDescent="0.3">
      <c r="A19" t="s">
        <v>17</v>
      </c>
      <c r="B19" s="4">
        <f>6932.14-496.76-518.245-2447.575+1559.683+1090.898-939.595-845.343</f>
        <v>4335.2030000000004</v>
      </c>
      <c r="C19" s="2">
        <v>1000</v>
      </c>
      <c r="D19">
        <f t="shared" si="1"/>
        <v>4335203</v>
      </c>
      <c r="E19" s="3">
        <f t="shared" si="0"/>
        <v>8.2042880310403188E-2</v>
      </c>
    </row>
    <row r="20" spans="1:9" x14ac:dyDescent="0.3">
      <c r="B20" s="4"/>
      <c r="E20" s="3"/>
    </row>
    <row r="21" spans="1:9" x14ac:dyDescent="0.3">
      <c r="B21" s="4"/>
      <c r="D21">
        <f>SUM(D5:D19)</f>
        <v>52840697.249999993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7DC1-8563-4109-BBF5-07E736939091}">
  <sheetPr>
    <pageSetUpPr fitToPage="1"/>
  </sheetPr>
  <dimension ref="A1:J21"/>
  <sheetViews>
    <sheetView workbookViewId="0">
      <selection activeCell="B14" sqref="B14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45504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906.3</v>
      </c>
      <c r="D5">
        <f>C5*B5</f>
        <v>6117525</v>
      </c>
      <c r="E5" s="3">
        <f t="shared" ref="E5:E19" si="0">D5/$D$21</f>
        <v>9.0907847580404863E-2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1653.3</v>
      </c>
      <c r="D6">
        <f>C6*B6</f>
        <v>1481356.8</v>
      </c>
      <c r="E6" s="3">
        <f t="shared" si="0"/>
        <v>2.2013307372932073E-2</v>
      </c>
      <c r="F6"/>
      <c r="G6"/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579.6</v>
      </c>
      <c r="D7">
        <f t="shared" ref="D7:D19" si="1">C7*B7</f>
        <v>3908822.4000000004</v>
      </c>
      <c r="E7" s="3">
        <f t="shared" si="0"/>
        <v>5.8086012065021779E-2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3029.45</v>
      </c>
      <c r="D8">
        <f t="shared" si="1"/>
        <v>1966113.0499999998</v>
      </c>
      <c r="E8" s="3">
        <f t="shared" si="0"/>
        <v>2.9216898251375335E-2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</f>
        <v>11590</v>
      </c>
      <c r="C9" s="2">
        <v>266.99</v>
      </c>
      <c r="D9">
        <f t="shared" si="1"/>
        <v>3094414.1</v>
      </c>
      <c r="E9" s="3">
        <f t="shared" si="0"/>
        <v>4.5983714877087661E-2</v>
      </c>
      <c r="F9"/>
      <c r="G9"/>
      <c r="H9"/>
      <c r="I9"/>
    </row>
    <row r="10" spans="1:9" s="2" customFormat="1" x14ac:dyDescent="0.3">
      <c r="A10" t="s">
        <v>11</v>
      </c>
      <c r="B10" s="4">
        <f>410+205+135+181</f>
        <v>931</v>
      </c>
      <c r="C10" s="2">
        <v>6245.95</v>
      </c>
      <c r="D10">
        <f t="shared" si="1"/>
        <v>5814979.4500000002</v>
      </c>
      <c r="E10" s="3">
        <f t="shared" si="0"/>
        <v>8.6411950179817246E-2</v>
      </c>
      <c r="F10"/>
      <c r="G10"/>
      <c r="H10"/>
      <c r="I10"/>
    </row>
    <row r="11" spans="1:9" s="2" customFormat="1" x14ac:dyDescent="0.3">
      <c r="A11" t="s">
        <v>12</v>
      </c>
      <c r="B11" s="4">
        <f>(1875+937+309+619)*2</f>
        <v>7480</v>
      </c>
      <c r="C11" s="2">
        <v>608.85</v>
      </c>
      <c r="D11">
        <f t="shared" si="1"/>
        <v>4554198</v>
      </c>
      <c r="E11" s="3">
        <f t="shared" si="0"/>
        <v>6.7676443927075849E-2</v>
      </c>
      <c r="F11"/>
      <c r="G11"/>
      <c r="H11"/>
      <c r="I11"/>
    </row>
    <row r="12" spans="1:9" s="2" customFormat="1" x14ac:dyDescent="0.3">
      <c r="A12" t="s">
        <v>33</v>
      </c>
      <c r="B12" s="4">
        <f>13763+6317+2811+3464+1538</f>
        <v>27893</v>
      </c>
      <c r="C12" s="2">
        <v>261.89999999999998</v>
      </c>
      <c r="D12">
        <f t="shared" si="1"/>
        <v>7305176.6999999993</v>
      </c>
      <c r="E12" s="3">
        <f t="shared" si="0"/>
        <v>0.10855662870058151</v>
      </c>
      <c r="F12"/>
      <c r="G12"/>
      <c r="H12"/>
      <c r="I12"/>
    </row>
    <row r="13" spans="1:9" s="2" customFormat="1" x14ac:dyDescent="0.3">
      <c r="A13" t="s">
        <v>13</v>
      </c>
      <c r="B13" s="4">
        <f>480+154+159+192-246-74-85-96</f>
        <v>484</v>
      </c>
      <c r="C13" s="2">
        <v>4183.8999999999996</v>
      </c>
      <c r="D13">
        <f t="shared" si="1"/>
        <v>2025007.5999999999</v>
      </c>
      <c r="E13" s="3">
        <f t="shared" si="0"/>
        <v>3.0092084993516403E-2</v>
      </c>
      <c r="F13"/>
      <c r="G13"/>
      <c r="H13"/>
      <c r="I13"/>
    </row>
    <row r="14" spans="1:9" s="2" customFormat="1" x14ac:dyDescent="0.3">
      <c r="A14" t="s">
        <v>14</v>
      </c>
      <c r="B14" s="4">
        <f>10500+5250-3258-1143-1205-2468-1535-850-1323</f>
        <v>3968</v>
      </c>
      <c r="C14" s="2">
        <v>1683.7</v>
      </c>
      <c r="D14">
        <f t="shared" si="1"/>
        <v>6680921.6000000006</v>
      </c>
      <c r="E14" s="3">
        <f t="shared" si="0"/>
        <v>9.9280052392010598E-2</v>
      </c>
      <c r="F14"/>
      <c r="G14" t="s">
        <v>63</v>
      </c>
      <c r="H14"/>
      <c r="I14"/>
    </row>
    <row r="15" spans="1:9" s="2" customFormat="1" x14ac:dyDescent="0.3">
      <c r="A15" t="s">
        <v>15</v>
      </c>
      <c r="B15" s="4">
        <f>458+115+189</f>
        <v>762</v>
      </c>
      <c r="C15" s="2">
        <v>4334.75</v>
      </c>
      <c r="D15">
        <f t="shared" si="1"/>
        <v>3303079.5</v>
      </c>
      <c r="E15" s="3">
        <f t="shared" si="0"/>
        <v>4.9084531363902867E-2</v>
      </c>
      <c r="F15"/>
      <c r="G15"/>
      <c r="H15"/>
      <c r="I15"/>
    </row>
    <row r="16" spans="1:9" s="2" customFormat="1" x14ac:dyDescent="0.3">
      <c r="A16" t="s">
        <v>16</v>
      </c>
      <c r="B16" s="4">
        <f>3075+1537+1153-53-1428-925-484-459-467-45+2345</f>
        <v>4249</v>
      </c>
      <c r="C16" s="2">
        <v>580.15</v>
      </c>
      <c r="D16">
        <f t="shared" si="1"/>
        <v>2465057.35</v>
      </c>
      <c r="E16" s="3">
        <f t="shared" si="0"/>
        <v>3.6631326860250953E-2</v>
      </c>
      <c r="F16"/>
      <c r="G16"/>
      <c r="H16"/>
      <c r="I16"/>
    </row>
    <row r="17" spans="1:9" s="2" customFormat="1" x14ac:dyDescent="0.3">
      <c r="A17" t="s">
        <v>31</v>
      </c>
      <c r="B17" s="4">
        <f>7985+1084+1117</f>
        <v>10186</v>
      </c>
      <c r="C17" s="2">
        <v>538.79999999999995</v>
      </c>
      <c r="D17">
        <f t="shared" si="1"/>
        <v>5488216.7999999998</v>
      </c>
      <c r="E17" s="3">
        <f t="shared" si="0"/>
        <v>8.1556181027885838E-2</v>
      </c>
      <c r="F17"/>
      <c r="G17"/>
      <c r="H17"/>
      <c r="I17" s="3"/>
    </row>
    <row r="18" spans="1:9" x14ac:dyDescent="0.3">
      <c r="A18" t="s">
        <v>32</v>
      </c>
      <c r="B18" s="4">
        <f>2592+518+820</f>
        <v>3930</v>
      </c>
      <c r="C18" s="2">
        <v>1689.5</v>
      </c>
      <c r="D18">
        <f t="shared" si="1"/>
        <v>6639735</v>
      </c>
      <c r="E18" s="3">
        <f t="shared" si="0"/>
        <v>9.8668009914839649E-2</v>
      </c>
    </row>
    <row r="19" spans="1:9" x14ac:dyDescent="0.3">
      <c r="A19" t="s">
        <v>17</v>
      </c>
      <c r="B19" s="4">
        <f>6932.14-496.76-518.245-2447.575+1559.683+1090.898-939.595-845.343+2113.889</f>
        <v>6449.0920000000006</v>
      </c>
      <c r="C19" s="2">
        <v>1000</v>
      </c>
      <c r="D19">
        <f t="shared" si="1"/>
        <v>6449092.0000000009</v>
      </c>
      <c r="E19" s="3">
        <f t="shared" si="0"/>
        <v>9.5835010493297276E-2</v>
      </c>
      <c r="G19" t="s">
        <v>64</v>
      </c>
    </row>
    <row r="20" spans="1:9" x14ac:dyDescent="0.3">
      <c r="B20" s="4"/>
      <c r="E20" s="3"/>
    </row>
    <row r="21" spans="1:9" x14ac:dyDescent="0.3">
      <c r="B21" s="4"/>
      <c r="D21">
        <f>SUM(D5:D19)</f>
        <v>67293695.350000009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61C5-38C7-4075-B3B4-6D8E803B0999}">
  <sheetPr>
    <pageSetUpPr fitToPage="1"/>
  </sheetPr>
  <dimension ref="A1:J21"/>
  <sheetViews>
    <sheetView workbookViewId="0">
      <selection activeCell="B14" sqref="B14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45509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894.4</v>
      </c>
      <c r="D5">
        <f>C5*B5</f>
        <v>6037200</v>
      </c>
      <c r="E5" s="3">
        <f t="shared" ref="E5:E19" si="0">D5/$D$21</f>
        <v>9.1129231169226554E-2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1644.4</v>
      </c>
      <c r="D6">
        <f>C6*B6</f>
        <v>1473382.4000000001</v>
      </c>
      <c r="E6" s="3">
        <f t="shared" si="0"/>
        <v>2.2240145320723159E-2</v>
      </c>
      <c r="F6"/>
      <c r="G6"/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579.1</v>
      </c>
      <c r="D7">
        <f t="shared" ref="D7:D19" si="1">C7*B7</f>
        <v>3905450.4000000004</v>
      </c>
      <c r="E7" s="3">
        <f t="shared" si="0"/>
        <v>5.8951284092219634E-2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2998.75</v>
      </c>
      <c r="D8">
        <f t="shared" si="1"/>
        <v>1946188.75</v>
      </c>
      <c r="E8" s="3">
        <f t="shared" si="0"/>
        <v>2.9376976826624608E-2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1280+1280+1280+910+1300+1300+2940+1300-2365</f>
        <v>9225</v>
      </c>
      <c r="C9" s="2">
        <v>284.7</v>
      </c>
      <c r="D9">
        <f t="shared" si="1"/>
        <v>2626357.5</v>
      </c>
      <c r="E9" s="3">
        <f t="shared" si="0"/>
        <v>3.9643864664170796E-2</v>
      </c>
      <c r="F9"/>
      <c r="G9" t="s">
        <v>65</v>
      </c>
      <c r="H9"/>
      <c r="I9"/>
    </row>
    <row r="10" spans="1:9" s="2" customFormat="1" x14ac:dyDescent="0.3">
      <c r="A10" t="s">
        <v>11</v>
      </c>
      <c r="B10" s="4">
        <f>410+205+135+181</f>
        <v>931</v>
      </c>
      <c r="C10" s="2">
        <v>6132.85</v>
      </c>
      <c r="D10">
        <f t="shared" si="1"/>
        <v>5709683.3500000006</v>
      </c>
      <c r="E10" s="3">
        <f t="shared" si="0"/>
        <v>8.6185492265492936E-2</v>
      </c>
      <c r="F10"/>
      <c r="G10"/>
      <c r="H10"/>
      <c r="I10"/>
    </row>
    <row r="11" spans="1:9" s="2" customFormat="1" x14ac:dyDescent="0.3">
      <c r="A11" t="s">
        <v>12</v>
      </c>
      <c r="B11" s="4">
        <f>(1875+937+309+619)*2</f>
        <v>7480</v>
      </c>
      <c r="C11" s="2">
        <v>601.70000000000005</v>
      </c>
      <c r="D11">
        <f t="shared" si="1"/>
        <v>4500716</v>
      </c>
      <c r="E11" s="3">
        <f t="shared" si="0"/>
        <v>6.7936591265990304E-2</v>
      </c>
      <c r="F11"/>
      <c r="G11"/>
      <c r="H11"/>
      <c r="I11"/>
    </row>
    <row r="12" spans="1:9" s="2" customFormat="1" x14ac:dyDescent="0.3">
      <c r="A12" t="s">
        <v>33</v>
      </c>
      <c r="B12" s="4">
        <f>13763+6317+2811+3464+1538</f>
        <v>27893</v>
      </c>
      <c r="C12" s="2">
        <v>234.65</v>
      </c>
      <c r="D12">
        <f t="shared" si="1"/>
        <v>6545092.4500000002</v>
      </c>
      <c r="E12" s="3">
        <f t="shared" si="0"/>
        <v>9.8795673971379019E-2</v>
      </c>
      <c r="F12"/>
      <c r="G12"/>
      <c r="H12"/>
      <c r="I12"/>
    </row>
    <row r="13" spans="1:9" s="2" customFormat="1" x14ac:dyDescent="0.3">
      <c r="A13" t="s">
        <v>13</v>
      </c>
      <c r="B13" s="4">
        <f>480+154+159+192-246-74-85-96</f>
        <v>484</v>
      </c>
      <c r="C13" s="2">
        <v>4089.85</v>
      </c>
      <c r="D13">
        <f t="shared" si="1"/>
        <v>1979487.4</v>
      </c>
      <c r="E13" s="3">
        <f t="shared" si="0"/>
        <v>2.9879607246930902E-2</v>
      </c>
      <c r="F13"/>
      <c r="G13"/>
      <c r="H13"/>
      <c r="I13"/>
    </row>
    <row r="14" spans="1:9" s="2" customFormat="1" x14ac:dyDescent="0.3">
      <c r="A14" t="s">
        <v>14</v>
      </c>
      <c r="B14" s="4">
        <f>10500+5250-3258-1143-1205-2468-1535-850-1323-920</f>
        <v>3048</v>
      </c>
      <c r="C14" s="2">
        <v>1568.95</v>
      </c>
      <c r="D14">
        <f t="shared" si="1"/>
        <v>4782159.6000000006</v>
      </c>
      <c r="E14" s="3">
        <f t="shared" si="0"/>
        <v>7.2184875054087341E-2</v>
      </c>
      <c r="F14"/>
      <c r="G14" t="s">
        <v>66</v>
      </c>
      <c r="H14"/>
      <c r="I14"/>
    </row>
    <row r="15" spans="1:9" s="2" customFormat="1" x14ac:dyDescent="0.3">
      <c r="A15" t="s">
        <v>15</v>
      </c>
      <c r="B15" s="4">
        <f>458+115+189</f>
        <v>762</v>
      </c>
      <c r="C15" s="2">
        <v>4489.8999999999996</v>
      </c>
      <c r="D15">
        <f t="shared" si="1"/>
        <v>3421303.8</v>
      </c>
      <c r="E15" s="3">
        <f t="shared" si="0"/>
        <v>5.1643275838195397E-2</v>
      </c>
      <c r="F15"/>
      <c r="G15"/>
      <c r="H15"/>
      <c r="I15"/>
    </row>
    <row r="16" spans="1:9" s="2" customFormat="1" x14ac:dyDescent="0.3">
      <c r="A16" t="s">
        <v>16</v>
      </c>
      <c r="B16" s="4">
        <f>3075+1537+1153-53-1428-925-484-459-467-45+2345</f>
        <v>4249</v>
      </c>
      <c r="C16" s="2">
        <v>575.20000000000005</v>
      </c>
      <c r="D16">
        <f t="shared" si="1"/>
        <v>2444024.8000000003</v>
      </c>
      <c r="E16" s="3">
        <f t="shared" si="0"/>
        <v>3.68916221066923E-2</v>
      </c>
      <c r="F16"/>
      <c r="G16"/>
      <c r="H16"/>
      <c r="I16"/>
    </row>
    <row r="17" spans="1:9" s="2" customFormat="1" x14ac:dyDescent="0.3">
      <c r="A17" t="s">
        <v>31</v>
      </c>
      <c r="B17" s="4">
        <f>7985+1084+1117</f>
        <v>10186</v>
      </c>
      <c r="C17" s="2">
        <v>570.29999999999995</v>
      </c>
      <c r="D17">
        <f t="shared" si="1"/>
        <v>5809075.7999999998</v>
      </c>
      <c r="E17" s="3">
        <f t="shared" si="0"/>
        <v>8.7685783385966956E-2</v>
      </c>
      <c r="F17"/>
      <c r="G17"/>
      <c r="H17"/>
      <c r="I17" s="3"/>
    </row>
    <row r="18" spans="1:9" x14ac:dyDescent="0.3">
      <c r="A18" t="s">
        <v>32</v>
      </c>
      <c r="B18" s="4">
        <f>2592+518+820</f>
        <v>3930</v>
      </c>
      <c r="C18" s="2">
        <v>1700.05</v>
      </c>
      <c r="D18">
        <f t="shared" si="1"/>
        <v>6681196.5</v>
      </c>
      <c r="E18" s="3">
        <f t="shared" si="0"/>
        <v>0.10085011269057301</v>
      </c>
    </row>
    <row r="19" spans="1:9" x14ac:dyDescent="0.3">
      <c r="A19" t="s">
        <v>17</v>
      </c>
      <c r="B19" s="4">
        <f>6932.14-496.76-518.245-2447.575+1559.683+1090.898-939.595-845.343+2113.889+1938.365</f>
        <v>8387.4570000000003</v>
      </c>
      <c r="C19" s="2">
        <v>1000</v>
      </c>
      <c r="D19">
        <f t="shared" si="1"/>
        <v>8387457</v>
      </c>
      <c r="E19" s="3">
        <f t="shared" si="0"/>
        <v>0.12660546410172721</v>
      </c>
      <c r="G19" t="s">
        <v>67</v>
      </c>
    </row>
    <row r="20" spans="1:9" x14ac:dyDescent="0.3">
      <c r="B20" s="4"/>
      <c r="E20" s="3"/>
    </row>
    <row r="21" spans="1:9" x14ac:dyDescent="0.3">
      <c r="B21" s="4"/>
      <c r="D21">
        <f>SUM(D5:D19)</f>
        <v>66248775.749999993</v>
      </c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A2CF-FC8A-4711-A8C2-D24520BD2F3B}">
  <sheetPr>
    <pageSetUpPr fitToPage="1"/>
  </sheetPr>
  <dimension ref="A1:J22"/>
  <sheetViews>
    <sheetView workbookViewId="0">
      <selection activeCell="B11" sqref="B1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45518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819.4</v>
      </c>
      <c r="D5">
        <f>C5*B5</f>
        <v>5530950</v>
      </c>
      <c r="E5" s="3">
        <f t="shared" ref="E5:E20" si="0">D5/$D$22</f>
        <v>8.8888698820815334E-2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1684.15</v>
      </c>
      <c r="D6">
        <f>C6*B6</f>
        <v>1508998.4000000001</v>
      </c>
      <c r="E6" s="3">
        <f t="shared" si="0"/>
        <v>2.4251331922850911E-2</v>
      </c>
      <c r="F6"/>
      <c r="G6"/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541.04999999999995</v>
      </c>
      <c r="D7">
        <f t="shared" ref="D7:D20" si="1">C7*B7</f>
        <v>3648841.1999999997</v>
      </c>
      <c r="E7" s="3">
        <f t="shared" si="0"/>
        <v>5.8641055600173998E-2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2853.75</v>
      </c>
      <c r="D8">
        <f t="shared" si="1"/>
        <v>1852083.75</v>
      </c>
      <c r="E8" s="3">
        <f t="shared" si="0"/>
        <v>2.9765106291808143E-2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1280+1280+1280+910+1300+1300+2940+1300-2365</f>
        <v>9225</v>
      </c>
      <c r="C9" s="2">
        <v>243.2</v>
      </c>
      <c r="D9">
        <f t="shared" si="1"/>
        <v>2243520</v>
      </c>
      <c r="E9" s="3">
        <f t="shared" si="0"/>
        <v>3.6055934980152707E-2</v>
      </c>
      <c r="F9"/>
      <c r="G9"/>
      <c r="H9"/>
      <c r="I9"/>
    </row>
    <row r="10" spans="1:9" s="2" customFormat="1" x14ac:dyDescent="0.3">
      <c r="A10" t="s">
        <v>68</v>
      </c>
      <c r="B10" s="4">
        <v>52890</v>
      </c>
      <c r="C10" s="2">
        <v>58</v>
      </c>
      <c r="D10">
        <f t="shared" si="1"/>
        <v>3067620</v>
      </c>
      <c r="E10" s="3">
        <f t="shared" si="0"/>
        <v>4.930016548273073E-2</v>
      </c>
      <c r="F10"/>
      <c r="G10" t="s">
        <v>69</v>
      </c>
      <c r="H10"/>
      <c r="I10"/>
    </row>
    <row r="11" spans="1:9" s="2" customFormat="1" x14ac:dyDescent="0.3">
      <c r="A11" t="s">
        <v>11</v>
      </c>
      <c r="B11" s="4">
        <f>410+205+135+181</f>
        <v>931</v>
      </c>
      <c r="C11" s="2">
        <v>5412.1</v>
      </c>
      <c r="D11">
        <f t="shared" si="1"/>
        <v>5038665.1000000006</v>
      </c>
      <c r="E11" s="3">
        <f t="shared" si="0"/>
        <v>8.0977116866515417E-2</v>
      </c>
      <c r="F11"/>
      <c r="G11"/>
      <c r="H11"/>
      <c r="I11"/>
    </row>
    <row r="12" spans="1:9" s="2" customFormat="1" x14ac:dyDescent="0.3">
      <c r="A12" t="s">
        <v>12</v>
      </c>
      <c r="B12" s="4">
        <f>(1875+937+309+619)*2</f>
        <v>7480</v>
      </c>
      <c r="C12" s="2">
        <v>637.45000000000005</v>
      </c>
      <c r="D12">
        <f t="shared" si="1"/>
        <v>4768126</v>
      </c>
      <c r="E12" s="3">
        <f t="shared" si="0"/>
        <v>7.6629243792422447E-2</v>
      </c>
      <c r="F12"/>
      <c r="G12"/>
      <c r="H12"/>
      <c r="I12"/>
    </row>
    <row r="13" spans="1:9" s="2" customFormat="1" x14ac:dyDescent="0.3">
      <c r="A13" t="s">
        <v>33</v>
      </c>
      <c r="B13" s="4">
        <f>13763+6317+2811+3464+1538</f>
        <v>27893</v>
      </c>
      <c r="C13" s="2">
        <v>202.65</v>
      </c>
      <c r="D13">
        <f t="shared" si="1"/>
        <v>5652516.4500000002</v>
      </c>
      <c r="E13" s="3">
        <f t="shared" si="0"/>
        <v>9.0842410852340794E-2</v>
      </c>
      <c r="F13"/>
      <c r="G13"/>
      <c r="H13"/>
      <c r="I13"/>
    </row>
    <row r="14" spans="1:9" s="2" customFormat="1" x14ac:dyDescent="0.3">
      <c r="A14" t="s">
        <v>13</v>
      </c>
      <c r="B14" s="4">
        <f>480+154+159+192-246-74-85-96</f>
        <v>484</v>
      </c>
      <c r="C14" s="2">
        <v>3973.95</v>
      </c>
      <c r="D14">
        <f t="shared" si="1"/>
        <v>1923391.7999999998</v>
      </c>
      <c r="E14" s="3">
        <f t="shared" si="0"/>
        <v>3.0911108295071529E-2</v>
      </c>
      <c r="F14"/>
      <c r="G14"/>
      <c r="H14"/>
      <c r="I14"/>
    </row>
    <row r="15" spans="1:9" s="2" customFormat="1" x14ac:dyDescent="0.3">
      <c r="A15" t="s">
        <v>14</v>
      </c>
      <c r="B15" s="4">
        <f>10500+5250-3258-1143-1205-2468-1535-850-1323-920</f>
        <v>3048</v>
      </c>
      <c r="C15" s="2">
        <v>1397.65</v>
      </c>
      <c r="D15">
        <f t="shared" si="1"/>
        <v>4260037.2</v>
      </c>
      <c r="E15" s="3">
        <f t="shared" si="0"/>
        <v>6.846367507141983E-2</v>
      </c>
      <c r="F15"/>
      <c r="G15"/>
      <c r="H15"/>
      <c r="I15"/>
    </row>
    <row r="16" spans="1:9" s="2" customFormat="1" x14ac:dyDescent="0.3">
      <c r="A16" t="s">
        <v>15</v>
      </c>
      <c r="B16" s="4">
        <f>458+115+189</f>
        <v>762</v>
      </c>
      <c r="C16" s="2">
        <v>4057.8</v>
      </c>
      <c r="D16">
        <f t="shared" si="1"/>
        <v>3092043.6</v>
      </c>
      <c r="E16" s="3">
        <f t="shared" si="0"/>
        <v>4.9692680697028473E-2</v>
      </c>
      <c r="F16"/>
      <c r="G16"/>
      <c r="H16"/>
      <c r="I16"/>
    </row>
    <row r="17" spans="1:9" s="2" customFormat="1" x14ac:dyDescent="0.3">
      <c r="A17" t="s">
        <v>16</v>
      </c>
      <c r="B17" s="4">
        <f>3075+1537+1153-53-1428-925-484-459-467-45+2345</f>
        <v>4249</v>
      </c>
      <c r="C17" s="2">
        <v>533.25</v>
      </c>
      <c r="D17">
        <f t="shared" si="1"/>
        <v>2265779.25</v>
      </c>
      <c r="E17" s="3">
        <f t="shared" si="0"/>
        <v>3.6413666612011113E-2</v>
      </c>
      <c r="F17"/>
      <c r="G17"/>
      <c r="H17"/>
      <c r="I17"/>
    </row>
    <row r="18" spans="1:9" s="2" customFormat="1" x14ac:dyDescent="0.3">
      <c r="A18" t="s">
        <v>31</v>
      </c>
      <c r="B18" s="4">
        <f>7985+1084+1117</f>
        <v>10186</v>
      </c>
      <c r="C18" s="2">
        <v>570.04999999999995</v>
      </c>
      <c r="D18">
        <f t="shared" si="1"/>
        <v>5806529.2999999998</v>
      </c>
      <c r="E18" s="3">
        <f t="shared" si="0"/>
        <v>9.3317573679375099E-2</v>
      </c>
      <c r="F18"/>
      <c r="G18"/>
      <c r="H18"/>
      <c r="I18" s="3"/>
    </row>
    <row r="19" spans="1:9" s="2" customFormat="1" x14ac:dyDescent="0.3">
      <c r="A19" t="s">
        <v>32</v>
      </c>
      <c r="B19" s="4">
        <f>2592+518+820</f>
        <v>3930</v>
      </c>
      <c r="C19" s="2">
        <v>1651.75</v>
      </c>
      <c r="D19">
        <f t="shared" si="1"/>
        <v>6491377.5</v>
      </c>
      <c r="E19" s="3">
        <f t="shared" si="0"/>
        <v>0.10432386832817458</v>
      </c>
      <c r="F19"/>
      <c r="G19"/>
      <c r="H19"/>
      <c r="I19"/>
    </row>
    <row r="20" spans="1:9" s="2" customFormat="1" x14ac:dyDescent="0.3">
      <c r="A20" t="s">
        <v>17</v>
      </c>
      <c r="B20" s="4">
        <f>6932.14-496.76-518.245-2447.575+1559.683+1090.898-939.595-845.343+2113.889+1938.365-3314.616</f>
        <v>5072.8410000000003</v>
      </c>
      <c r="C20" s="2">
        <v>1000</v>
      </c>
      <c r="D20">
        <f t="shared" si="1"/>
        <v>5072841</v>
      </c>
      <c r="E20" s="3">
        <f t="shared" si="0"/>
        <v>8.1526362707108849E-2</v>
      </c>
      <c r="F20"/>
      <c r="G20" t="s">
        <v>70</v>
      </c>
      <c r="H20"/>
      <c r="I20"/>
    </row>
    <row r="21" spans="1:9" s="2" customFormat="1" x14ac:dyDescent="0.3">
      <c r="A21"/>
      <c r="B21" s="4"/>
      <c r="D21"/>
      <c r="E21" s="3"/>
      <c r="F21"/>
      <c r="G21"/>
      <c r="H21"/>
      <c r="I21"/>
    </row>
    <row r="22" spans="1:9" s="2" customFormat="1" x14ac:dyDescent="0.3">
      <c r="A22"/>
      <c r="B22" s="4"/>
      <c r="D22">
        <f>SUM(D5:D20)</f>
        <v>62223320.550000004</v>
      </c>
      <c r="E22"/>
      <c r="F22"/>
      <c r="G22"/>
      <c r="H22"/>
      <c r="I22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CAD6-92B4-409F-932F-CB03569B60A4}">
  <sheetPr>
    <pageSetUpPr fitToPage="1"/>
  </sheetPr>
  <dimension ref="A1:J22"/>
  <sheetViews>
    <sheetView workbookViewId="0">
      <selection activeCell="G13" sqref="G13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45573</v>
      </c>
      <c r="D1" t="s">
        <v>72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802.8</v>
      </c>
      <c r="D5">
        <f>C5*B5</f>
        <v>5418900</v>
      </c>
      <c r="E5" s="3">
        <f t="shared" ref="E5:E20" si="0">D5/$D$22</f>
        <v>8.2724869772836537E-2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1723.55</v>
      </c>
      <c r="D6">
        <f>C6*B6</f>
        <v>1544300.8</v>
      </c>
      <c r="E6" s="3">
        <f t="shared" si="0"/>
        <v>2.3575279589969789E-2</v>
      </c>
      <c r="F6"/>
      <c r="G6"/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629.5</v>
      </c>
      <c r="D7">
        <f t="shared" ref="D7:D20" si="1">C7*B7</f>
        <v>4245348</v>
      </c>
      <c r="E7" s="3">
        <f t="shared" si="0"/>
        <v>6.4809437420947441E-2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2853.05</v>
      </c>
      <c r="D8">
        <f t="shared" si="1"/>
        <v>1851629.4500000002</v>
      </c>
      <c r="E8" s="3">
        <f t="shared" si="0"/>
        <v>2.8266955492590555E-2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1280+1280+1280+910+1300+1300+2940+1300-2365</f>
        <v>9225</v>
      </c>
      <c r="C9" s="2">
        <v>216.73</v>
      </c>
      <c r="D9">
        <f t="shared" si="1"/>
        <v>1999334.25</v>
      </c>
      <c r="E9" s="3">
        <f t="shared" si="0"/>
        <v>3.0521815398627365E-2</v>
      </c>
      <c r="F9"/>
      <c r="G9"/>
      <c r="H9"/>
      <c r="I9"/>
    </row>
    <row r="10" spans="1:9" s="2" customFormat="1" x14ac:dyDescent="0.3">
      <c r="A10" t="s">
        <v>68</v>
      </c>
      <c r="B10" s="4">
        <v>52890</v>
      </c>
      <c r="C10" s="2">
        <v>85.56</v>
      </c>
      <c r="D10">
        <f t="shared" si="1"/>
        <v>4525268.4000000004</v>
      </c>
      <c r="E10" s="3">
        <f t="shared" si="0"/>
        <v>6.9082699270540587E-2</v>
      </c>
      <c r="F10"/>
      <c r="G10"/>
      <c r="H10"/>
      <c r="I10"/>
    </row>
    <row r="11" spans="1:9" s="2" customFormat="1" x14ac:dyDescent="0.3">
      <c r="A11" t="s">
        <v>11</v>
      </c>
      <c r="B11" s="4">
        <f>(410+205+135+181)*2</f>
        <v>1862</v>
      </c>
      <c r="C11" s="2">
        <v>3178.85</v>
      </c>
      <c r="D11">
        <f t="shared" si="1"/>
        <v>5919018.7000000002</v>
      </c>
      <c r="E11" s="3">
        <f t="shared" si="0"/>
        <v>9.0359676528536104E-2</v>
      </c>
      <c r="F11"/>
      <c r="G11" t="s">
        <v>71</v>
      </c>
      <c r="H11"/>
      <c r="I11"/>
    </row>
    <row r="12" spans="1:9" s="2" customFormat="1" x14ac:dyDescent="0.3">
      <c r="A12" t="s">
        <v>12</v>
      </c>
      <c r="B12" s="4">
        <f>(1875+937+309+619)*2</f>
        <v>7480</v>
      </c>
      <c r="C12" s="2">
        <v>672.8</v>
      </c>
      <c r="D12">
        <f t="shared" si="1"/>
        <v>5032544</v>
      </c>
      <c r="E12" s="3">
        <f t="shared" si="0"/>
        <v>7.682676318553025E-2</v>
      </c>
      <c r="F12"/>
      <c r="G12"/>
      <c r="H12"/>
      <c r="I12"/>
    </row>
    <row r="13" spans="1:9" s="2" customFormat="1" x14ac:dyDescent="0.3">
      <c r="A13" t="s">
        <v>33</v>
      </c>
      <c r="B13" s="4">
        <f>13763+6317+2811+3464+1538</f>
        <v>27893</v>
      </c>
      <c r="C13" s="2">
        <v>194.24</v>
      </c>
      <c r="D13">
        <f t="shared" si="1"/>
        <v>5417936.3200000003</v>
      </c>
      <c r="E13" s="3">
        <f t="shared" si="0"/>
        <v>8.2710158244204773E-2</v>
      </c>
      <c r="F13"/>
      <c r="G13"/>
      <c r="H13"/>
      <c r="I13"/>
    </row>
    <row r="14" spans="1:9" s="2" customFormat="1" x14ac:dyDescent="0.3">
      <c r="A14" t="s">
        <v>13</v>
      </c>
      <c r="B14" s="4">
        <f>480+154+159+192-246-74-85-96</f>
        <v>484</v>
      </c>
      <c r="C14" s="2">
        <v>4488.75</v>
      </c>
      <c r="D14">
        <f t="shared" si="1"/>
        <v>2172555</v>
      </c>
      <c r="E14" s="3">
        <f t="shared" si="0"/>
        <v>3.3166201526015411E-2</v>
      </c>
      <c r="F14"/>
      <c r="G14"/>
      <c r="H14"/>
      <c r="I14"/>
    </row>
    <row r="15" spans="1:9" s="2" customFormat="1" x14ac:dyDescent="0.3">
      <c r="A15" t="s">
        <v>14</v>
      </c>
      <c r="B15" s="4">
        <f>10500+5250-3258-1143-1205-2468-1535-850-1323-920</f>
        <v>3048</v>
      </c>
      <c r="C15" s="2">
        <v>1197.5</v>
      </c>
      <c r="D15">
        <f t="shared" si="1"/>
        <v>3649980</v>
      </c>
      <c r="E15" s="3">
        <f t="shared" si="0"/>
        <v>5.5720555864374306E-2</v>
      </c>
      <c r="F15"/>
      <c r="G15"/>
      <c r="H15"/>
      <c r="I15"/>
    </row>
    <row r="16" spans="1:9" s="2" customFormat="1" x14ac:dyDescent="0.3">
      <c r="A16" t="s">
        <v>15</v>
      </c>
      <c r="B16" s="4">
        <f>458+115+189</f>
        <v>762</v>
      </c>
      <c r="C16" s="2">
        <v>3965.1</v>
      </c>
      <c r="D16">
        <f t="shared" si="1"/>
        <v>3021406.1999999997</v>
      </c>
      <c r="E16" s="3">
        <f t="shared" si="0"/>
        <v>4.612475491812746E-2</v>
      </c>
      <c r="F16"/>
      <c r="G16"/>
      <c r="H16"/>
      <c r="I16"/>
    </row>
    <row r="17" spans="1:9" s="2" customFormat="1" x14ac:dyDescent="0.3">
      <c r="A17" t="s">
        <v>16</v>
      </c>
      <c r="B17" s="4">
        <f>3075+1537+1153-53-1428-925-484-459-467-45+2345</f>
        <v>4249</v>
      </c>
      <c r="C17" s="2">
        <v>578</v>
      </c>
      <c r="D17">
        <f t="shared" si="1"/>
        <v>2455922</v>
      </c>
      <c r="E17" s="3">
        <f t="shared" si="0"/>
        <v>3.7492079134555774E-2</v>
      </c>
      <c r="F17"/>
      <c r="G17"/>
      <c r="H17"/>
      <c r="I17"/>
    </row>
    <row r="18" spans="1:9" s="2" customFormat="1" x14ac:dyDescent="0.3">
      <c r="A18" t="s">
        <v>31</v>
      </c>
      <c r="B18" s="4">
        <f>7985+1084+1117</f>
        <v>10186</v>
      </c>
      <c r="C18" s="2">
        <v>556.65</v>
      </c>
      <c r="D18">
        <f t="shared" si="1"/>
        <v>5670036.8999999994</v>
      </c>
      <c r="E18" s="3">
        <f t="shared" si="0"/>
        <v>8.6558723017527123E-2</v>
      </c>
      <c r="F18"/>
      <c r="G18"/>
      <c r="H18"/>
      <c r="I18" s="3"/>
    </row>
    <row r="19" spans="1:9" s="2" customFormat="1" x14ac:dyDescent="0.3">
      <c r="A19" t="s">
        <v>32</v>
      </c>
      <c r="B19" s="4">
        <f>2592+518+820</f>
        <v>3930</v>
      </c>
      <c r="C19" s="2">
        <v>1910.45</v>
      </c>
      <c r="D19">
        <f t="shared" si="1"/>
        <v>7508068.5</v>
      </c>
      <c r="E19" s="3">
        <f t="shared" si="0"/>
        <v>0.11461809387662371</v>
      </c>
      <c r="F19"/>
      <c r="G19"/>
      <c r="H19"/>
      <c r="I19"/>
    </row>
    <row r="20" spans="1:9" s="2" customFormat="1" x14ac:dyDescent="0.3">
      <c r="A20" t="s">
        <v>17</v>
      </c>
      <c r="B20" s="4">
        <f>6932.14-496.76-518.245-2447.575+1559.683+1090.898-939.595-845.343+2113.889+1938.365-3314.616</f>
        <v>5072.8410000000003</v>
      </c>
      <c r="C20" s="2">
        <v>1000</v>
      </c>
      <c r="D20">
        <f t="shared" si="1"/>
        <v>5072841</v>
      </c>
      <c r="E20" s="3">
        <f t="shared" si="0"/>
        <v>7.744193675899276E-2</v>
      </c>
      <c r="F20"/>
      <c r="G20"/>
      <c r="H20"/>
      <c r="I20"/>
    </row>
    <row r="21" spans="1:9" s="2" customFormat="1" x14ac:dyDescent="0.3">
      <c r="A21"/>
      <c r="B21" s="4"/>
      <c r="D21"/>
      <c r="E21" s="3"/>
      <c r="F21"/>
      <c r="G21"/>
      <c r="H21"/>
      <c r="I21"/>
    </row>
    <row r="22" spans="1:9" s="2" customFormat="1" x14ac:dyDescent="0.3">
      <c r="A22"/>
      <c r="B22" s="4"/>
      <c r="D22">
        <f>SUM(D5:D20)</f>
        <v>65505089.520000003</v>
      </c>
      <c r="E22"/>
      <c r="F22"/>
      <c r="G22"/>
      <c r="H22"/>
      <c r="I22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F769-C378-4FD1-A951-AC6F13022E02}">
  <sheetPr>
    <pageSetUpPr fitToPage="1"/>
  </sheetPr>
  <dimension ref="A1:J22"/>
  <sheetViews>
    <sheetView workbookViewId="0">
      <selection activeCell="B18" sqref="B18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45596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776.8</v>
      </c>
      <c r="D5">
        <f>C5*B5</f>
        <v>5243400</v>
      </c>
      <c r="E5" s="3">
        <f t="shared" ref="E5:E20" si="0">D5/$D$22</f>
        <v>8.4817905085968967E-2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1580.1</v>
      </c>
      <c r="D6">
        <f>C6*B6</f>
        <v>1415769.5999999999</v>
      </c>
      <c r="E6" s="3">
        <f t="shared" si="0"/>
        <v>2.2901669061372438E-2</v>
      </c>
      <c r="F6"/>
      <c r="G6"/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521.75</v>
      </c>
      <c r="D7">
        <f t="shared" ref="D7:D20" si="1">C7*B7</f>
        <v>3518682</v>
      </c>
      <c r="E7" s="3">
        <f t="shared" si="0"/>
        <v>5.6918647424134619E-2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2762.4</v>
      </c>
      <c r="D8">
        <f t="shared" si="1"/>
        <v>1792797.6</v>
      </c>
      <c r="E8" s="3">
        <f t="shared" si="0"/>
        <v>2.9000521927595255E-2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1280+1280+1280+910+1300+1300+2940+1300-2365</f>
        <v>9225</v>
      </c>
      <c r="C9" s="2">
        <v>207.96</v>
      </c>
      <c r="D9">
        <f t="shared" si="1"/>
        <v>1918431</v>
      </c>
      <c r="E9" s="3">
        <f t="shared" si="0"/>
        <v>3.1032783779986368E-2</v>
      </c>
      <c r="F9"/>
      <c r="G9"/>
      <c r="H9"/>
      <c r="I9"/>
    </row>
    <row r="10" spans="1:9" s="2" customFormat="1" x14ac:dyDescent="0.3">
      <c r="A10" t="s">
        <v>68</v>
      </c>
      <c r="B10" s="4">
        <v>52890</v>
      </c>
      <c r="C10" s="2">
        <v>78.92</v>
      </c>
      <c r="D10">
        <f t="shared" si="1"/>
        <v>4174078.8000000003</v>
      </c>
      <c r="E10" s="3">
        <f t="shared" si="0"/>
        <v>6.7520429393095174E-2</v>
      </c>
      <c r="F10"/>
      <c r="G10"/>
      <c r="H10"/>
      <c r="I10"/>
    </row>
    <row r="11" spans="1:9" s="2" customFormat="1" x14ac:dyDescent="0.3">
      <c r="A11" t="s">
        <v>11</v>
      </c>
      <c r="B11" s="4">
        <f>(410+205+135+181)*2</f>
        <v>1862</v>
      </c>
      <c r="C11" s="2">
        <v>2846.4</v>
      </c>
      <c r="D11">
        <f t="shared" si="1"/>
        <v>5299996.8</v>
      </c>
      <c r="E11" s="3">
        <f t="shared" si="0"/>
        <v>8.5733422118918878E-2</v>
      </c>
      <c r="F11"/>
      <c r="G11"/>
      <c r="H11"/>
      <c r="I11"/>
    </row>
    <row r="12" spans="1:9" s="2" customFormat="1" x14ac:dyDescent="0.3">
      <c r="A12" t="s">
        <v>12</v>
      </c>
      <c r="B12" s="4">
        <f>(1875+937+309+619)*2</f>
        <v>7480</v>
      </c>
      <c r="C12" s="2">
        <v>658.8</v>
      </c>
      <c r="D12">
        <f t="shared" si="1"/>
        <v>4927824</v>
      </c>
      <c r="E12" s="3">
        <f t="shared" si="0"/>
        <v>7.971310758522332E-2</v>
      </c>
      <c r="F12"/>
      <c r="G12"/>
      <c r="H12"/>
      <c r="I12"/>
    </row>
    <row r="13" spans="1:9" s="2" customFormat="1" x14ac:dyDescent="0.3">
      <c r="A13" t="s">
        <v>33</v>
      </c>
      <c r="B13" s="4">
        <f>13763+6317+2811+3464+1538</f>
        <v>27893</v>
      </c>
      <c r="C13" s="2">
        <v>189.3</v>
      </c>
      <c r="D13">
        <f t="shared" si="1"/>
        <v>5280144.9000000004</v>
      </c>
      <c r="E13" s="3">
        <f t="shared" si="0"/>
        <v>8.5412295260396523E-2</v>
      </c>
      <c r="F13"/>
      <c r="G13"/>
      <c r="H13"/>
      <c r="I13"/>
    </row>
    <row r="14" spans="1:9" s="2" customFormat="1" x14ac:dyDescent="0.3">
      <c r="A14" t="s">
        <v>13</v>
      </c>
      <c r="B14" s="4">
        <f>480+154+159+192-246-74-85-96</f>
        <v>484</v>
      </c>
      <c r="C14" s="2">
        <v>4463.45</v>
      </c>
      <c r="D14">
        <f t="shared" si="1"/>
        <v>2160309.7999999998</v>
      </c>
      <c r="E14" s="3">
        <f t="shared" si="0"/>
        <v>3.4945446003106492E-2</v>
      </c>
      <c r="F14"/>
      <c r="G14"/>
      <c r="H14"/>
      <c r="I14"/>
    </row>
    <row r="15" spans="1:9" s="2" customFormat="1" x14ac:dyDescent="0.3">
      <c r="A15" t="s">
        <v>14</v>
      </c>
      <c r="B15" s="4">
        <f>10500+5250-3258-1143-1205-2468-1535-850-1323-920</f>
        <v>3048</v>
      </c>
      <c r="C15" s="2">
        <v>1189.6500000000001</v>
      </c>
      <c r="D15">
        <f t="shared" si="1"/>
        <v>3626053.2</v>
      </c>
      <c r="E15" s="3">
        <f t="shared" si="0"/>
        <v>5.8655497607329993E-2</v>
      </c>
      <c r="F15"/>
      <c r="G15"/>
      <c r="H15"/>
      <c r="I15"/>
    </row>
    <row r="16" spans="1:9" s="2" customFormat="1" x14ac:dyDescent="0.3">
      <c r="A16" t="s">
        <v>15</v>
      </c>
      <c r="B16" s="4">
        <f>458+115+189</f>
        <v>762</v>
      </c>
      <c r="C16" s="2">
        <v>3777.8</v>
      </c>
      <c r="D16">
        <f t="shared" si="1"/>
        <v>2878683.6</v>
      </c>
      <c r="E16" s="3">
        <f t="shared" si="0"/>
        <v>4.6565951931444381E-2</v>
      </c>
      <c r="F16"/>
      <c r="G16"/>
      <c r="H16"/>
      <c r="I16"/>
    </row>
    <row r="17" spans="1:9" s="2" customFormat="1" x14ac:dyDescent="0.3">
      <c r="A17" t="s">
        <v>16</v>
      </c>
      <c r="B17" s="4">
        <f>3075+1537+1153-53-1428-925-484-459-467-45+2345</f>
        <v>4249</v>
      </c>
      <c r="C17" s="2">
        <v>556.25</v>
      </c>
      <c r="D17">
        <f t="shared" si="1"/>
        <v>2363506.25</v>
      </c>
      <c r="E17" s="3">
        <f t="shared" si="0"/>
        <v>3.8232377614256866E-2</v>
      </c>
      <c r="F17"/>
      <c r="G17"/>
      <c r="H17"/>
      <c r="I17"/>
    </row>
    <row r="18" spans="1:9" s="2" customFormat="1" x14ac:dyDescent="0.3">
      <c r="A18" t="s">
        <v>31</v>
      </c>
      <c r="B18" s="4">
        <f>7985+1084+1117+2249</f>
        <v>12435</v>
      </c>
      <c r="C18" s="2">
        <v>490.45</v>
      </c>
      <c r="D18">
        <f t="shared" si="1"/>
        <v>6098745.75</v>
      </c>
      <c r="E18" s="3">
        <f t="shared" si="0"/>
        <v>9.8654086693167914E-2</v>
      </c>
      <c r="F18"/>
      <c r="G18" t="s">
        <v>73</v>
      </c>
      <c r="H18"/>
      <c r="I18" s="3"/>
    </row>
    <row r="19" spans="1:9" s="2" customFormat="1" x14ac:dyDescent="0.3">
      <c r="A19" t="s">
        <v>32</v>
      </c>
      <c r="B19" s="4">
        <f>2592+518+820</f>
        <v>3930</v>
      </c>
      <c r="C19" s="2">
        <v>1808</v>
      </c>
      <c r="D19">
        <f t="shared" si="1"/>
        <v>7105440</v>
      </c>
      <c r="E19" s="3">
        <f t="shared" si="0"/>
        <v>0.11493850087997241</v>
      </c>
      <c r="F19"/>
      <c r="G19"/>
      <c r="H19"/>
      <c r="I19"/>
    </row>
    <row r="20" spans="1:9" s="2" customFormat="1" x14ac:dyDescent="0.3">
      <c r="A20" t="s">
        <v>17</v>
      </c>
      <c r="B20" s="4">
        <f>6932.14-496.76-518.245-2447.575+1559.683+1090.898-939.595-845.343+2113.889+1938.365-3314.616-1057.21</f>
        <v>4015.6310000000003</v>
      </c>
      <c r="C20" s="2">
        <v>1000</v>
      </c>
      <c r="D20">
        <f t="shared" si="1"/>
        <v>4015631.0000000005</v>
      </c>
      <c r="E20" s="3">
        <f t="shared" si="0"/>
        <v>6.4957357634030335E-2</v>
      </c>
      <c r="F20"/>
      <c r="G20" t="s">
        <v>74</v>
      </c>
      <c r="H20"/>
      <c r="I20"/>
    </row>
    <row r="21" spans="1:9" s="2" customFormat="1" x14ac:dyDescent="0.3">
      <c r="A21"/>
      <c r="B21" s="4"/>
      <c r="D21"/>
      <c r="E21" s="3"/>
      <c r="F21"/>
      <c r="G21"/>
      <c r="H21"/>
      <c r="I21"/>
    </row>
    <row r="22" spans="1:9" s="2" customFormat="1" x14ac:dyDescent="0.3">
      <c r="A22"/>
      <c r="B22" s="4"/>
      <c r="D22">
        <f>SUM(D5:D20)</f>
        <v>61819494.300000004</v>
      </c>
      <c r="E22"/>
      <c r="F22"/>
      <c r="G22"/>
      <c r="H22"/>
      <c r="I22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9A7B-3786-43CE-98BB-4422E6DC0228}">
  <sheetPr>
    <pageSetUpPr fitToPage="1"/>
  </sheetPr>
  <dimension ref="A1:J22"/>
  <sheetViews>
    <sheetView tabSelected="1" workbookViewId="0">
      <selection activeCell="B16" sqref="B16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45637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800.6</v>
      </c>
      <c r="D5">
        <f>C5*B5</f>
        <v>5404050</v>
      </c>
      <c r="E5" s="3">
        <f t="shared" ref="E5:E20" si="0">D5/$D$22</f>
        <v>8.4070983647766093E-2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1707.75</v>
      </c>
      <c r="D6">
        <f>C6*B6</f>
        <v>1530144</v>
      </c>
      <c r="E6" s="3">
        <f t="shared" si="0"/>
        <v>2.3804500551017734E-2</v>
      </c>
      <c r="F6"/>
      <c r="G6"/>
      <c r="H6"/>
      <c r="I6"/>
    </row>
    <row r="7" spans="1:9" s="2" customFormat="1" x14ac:dyDescent="0.3">
      <c r="A7" t="s">
        <v>7</v>
      </c>
      <c r="B7" s="4">
        <f>((840+420)*2+290+562)+3372</f>
        <v>6744</v>
      </c>
      <c r="C7" s="2">
        <v>503.35</v>
      </c>
      <c r="D7">
        <f t="shared" ref="D7:D20" si="1">C7*B7</f>
        <v>3394592.4000000004</v>
      </c>
      <c r="E7" s="3">
        <f t="shared" si="0"/>
        <v>5.2809785651729918E-2</v>
      </c>
      <c r="F7"/>
      <c r="G7"/>
      <c r="H7"/>
      <c r="I7"/>
    </row>
    <row r="8" spans="1:9" s="2" customFormat="1" x14ac:dyDescent="0.3">
      <c r="A8" t="s">
        <v>8</v>
      </c>
      <c r="B8" s="4">
        <f>130+126+33+57+173+130</f>
        <v>649</v>
      </c>
      <c r="C8" s="2">
        <v>2577.4</v>
      </c>
      <c r="D8">
        <f t="shared" si="1"/>
        <v>1672732.6</v>
      </c>
      <c r="E8" s="3">
        <f t="shared" si="0"/>
        <v>2.6022756092501969E-2</v>
      </c>
      <c r="F8"/>
      <c r="G8"/>
      <c r="H8"/>
      <c r="I8"/>
    </row>
    <row r="9" spans="1:9" s="2" customFormat="1" x14ac:dyDescent="0.3">
      <c r="A9" t="s">
        <v>9</v>
      </c>
      <c r="B9" s="4">
        <f>1280+1280+1280+910+1300+1300+2940+1300-2365</f>
        <v>9225</v>
      </c>
      <c r="C9" s="2">
        <v>205.78</v>
      </c>
      <c r="D9">
        <f t="shared" si="1"/>
        <v>1898320.5</v>
      </c>
      <c r="E9" s="3">
        <f t="shared" si="0"/>
        <v>2.9532234474832605E-2</v>
      </c>
      <c r="F9"/>
      <c r="G9"/>
      <c r="H9"/>
      <c r="I9"/>
    </row>
    <row r="10" spans="1:9" s="2" customFormat="1" x14ac:dyDescent="0.3">
      <c r="A10" t="s">
        <v>68</v>
      </c>
      <c r="B10" s="4">
        <v>52890</v>
      </c>
      <c r="C10" s="2">
        <v>85.8</v>
      </c>
      <c r="D10">
        <f t="shared" si="1"/>
        <v>4537962</v>
      </c>
      <c r="E10" s="3">
        <f t="shared" si="0"/>
        <v>7.0597224136746309E-2</v>
      </c>
      <c r="F10"/>
      <c r="G10"/>
      <c r="H10"/>
      <c r="I10"/>
    </row>
    <row r="11" spans="1:9" s="2" customFormat="1" x14ac:dyDescent="0.3">
      <c r="A11" t="s">
        <v>11</v>
      </c>
      <c r="B11" s="4">
        <f>(410+205+135+181)*2</f>
        <v>1862</v>
      </c>
      <c r="C11" s="2">
        <v>2804.05</v>
      </c>
      <c r="D11">
        <f t="shared" si="1"/>
        <v>5221141.1000000006</v>
      </c>
      <c r="E11" s="3">
        <f t="shared" si="0"/>
        <v>8.122546387261026E-2</v>
      </c>
      <c r="F11"/>
      <c r="G11"/>
      <c r="H11"/>
      <c r="I11"/>
    </row>
    <row r="12" spans="1:9" s="2" customFormat="1" x14ac:dyDescent="0.3">
      <c r="A12" t="s">
        <v>12</v>
      </c>
      <c r="B12" s="4">
        <f>(1875+937+309+619)*2</f>
        <v>7480</v>
      </c>
      <c r="C12" s="2">
        <v>588.54999999999995</v>
      </c>
      <c r="D12">
        <f t="shared" si="1"/>
        <v>4402354</v>
      </c>
      <c r="E12" s="3">
        <f t="shared" si="0"/>
        <v>6.8487566019129656E-2</v>
      </c>
      <c r="F12"/>
      <c r="G12"/>
      <c r="H12"/>
      <c r="I12"/>
    </row>
    <row r="13" spans="1:9" s="2" customFormat="1" x14ac:dyDescent="0.3">
      <c r="A13" t="s">
        <v>33</v>
      </c>
      <c r="B13" s="4">
        <f>13763+6317+2811+3464+1538</f>
        <v>27893</v>
      </c>
      <c r="C13" s="2">
        <v>216.92</v>
      </c>
      <c r="D13">
        <f t="shared" si="1"/>
        <v>6050549.5599999996</v>
      </c>
      <c r="E13" s="3">
        <f t="shared" si="0"/>
        <v>9.412859857306248E-2</v>
      </c>
      <c r="F13"/>
      <c r="G13"/>
      <c r="H13"/>
      <c r="I13"/>
    </row>
    <row r="14" spans="1:9" s="2" customFormat="1" x14ac:dyDescent="0.3">
      <c r="A14" t="s">
        <v>13</v>
      </c>
      <c r="B14" s="4">
        <f>480+154+159+192-246-74-85-96</f>
        <v>484</v>
      </c>
      <c r="C14" s="2">
        <v>3698.65</v>
      </c>
      <c r="D14">
        <f t="shared" si="1"/>
        <v>1790146.6</v>
      </c>
      <c r="E14" s="3">
        <f t="shared" si="0"/>
        <v>2.7849369553520797E-2</v>
      </c>
      <c r="F14"/>
      <c r="G14"/>
      <c r="H14"/>
      <c r="I14"/>
    </row>
    <row r="15" spans="1:9" s="2" customFormat="1" x14ac:dyDescent="0.3">
      <c r="A15" t="s">
        <v>14</v>
      </c>
      <c r="B15" s="4">
        <f>10500+5250-3258-1143-1205-2468-1535-850-1323-920-438</f>
        <v>2610</v>
      </c>
      <c r="C15" s="2">
        <v>1231.3</v>
      </c>
      <c r="D15">
        <f t="shared" si="1"/>
        <v>3213693</v>
      </c>
      <c r="E15" s="3">
        <f t="shared" si="0"/>
        <v>4.9995527734188312E-2</v>
      </c>
      <c r="F15"/>
      <c r="G15" t="s">
        <v>75</v>
      </c>
      <c r="H15"/>
      <c r="I15"/>
    </row>
    <row r="16" spans="1:9" s="2" customFormat="1" x14ac:dyDescent="0.3">
      <c r="A16" t="s">
        <v>15</v>
      </c>
      <c r="B16" s="4">
        <f>458+115+189</f>
        <v>762</v>
      </c>
      <c r="C16" s="2">
        <v>3929.55</v>
      </c>
      <c r="D16">
        <f t="shared" si="1"/>
        <v>2994317.1</v>
      </c>
      <c r="E16" s="3">
        <f t="shared" si="0"/>
        <v>4.6582689640237672E-2</v>
      </c>
      <c r="F16"/>
      <c r="G16"/>
      <c r="H16"/>
      <c r="I16"/>
    </row>
    <row r="17" spans="1:9" s="2" customFormat="1" x14ac:dyDescent="0.3">
      <c r="A17" t="s">
        <v>16</v>
      </c>
      <c r="B17" s="4">
        <f>3075+1537+1153-53-1428-925-484-459-467-45+2345</f>
        <v>4249</v>
      </c>
      <c r="C17" s="2">
        <v>553.35</v>
      </c>
      <c r="D17">
        <f t="shared" si="1"/>
        <v>2351184.15</v>
      </c>
      <c r="E17" s="3">
        <f t="shared" si="0"/>
        <v>3.657744917747556E-2</v>
      </c>
      <c r="F17"/>
      <c r="G17"/>
      <c r="H17"/>
      <c r="I17"/>
    </row>
    <row r="18" spans="1:9" s="2" customFormat="1" x14ac:dyDescent="0.3">
      <c r="A18" t="s">
        <v>31</v>
      </c>
      <c r="B18" s="4">
        <f>7985+1084+1117+2249</f>
        <v>12435</v>
      </c>
      <c r="C18" s="2">
        <v>573</v>
      </c>
      <c r="D18">
        <f t="shared" si="1"/>
        <v>7125255</v>
      </c>
      <c r="E18" s="3">
        <f t="shared" si="0"/>
        <v>0.11084782646185057</v>
      </c>
      <c r="F18"/>
      <c r="G18"/>
      <c r="H18"/>
      <c r="I18" s="3"/>
    </row>
    <row r="19" spans="1:9" s="2" customFormat="1" x14ac:dyDescent="0.3">
      <c r="A19" t="s">
        <v>32</v>
      </c>
      <c r="B19" s="4">
        <f>2592+518+820</f>
        <v>3930</v>
      </c>
      <c r="C19" s="2">
        <v>2064.15</v>
      </c>
      <c r="D19">
        <f t="shared" si="1"/>
        <v>8112109.5</v>
      </c>
      <c r="E19" s="3">
        <f t="shared" si="0"/>
        <v>0.12620035438668922</v>
      </c>
      <c r="F19"/>
      <c r="G19"/>
      <c r="H19"/>
      <c r="I19"/>
    </row>
    <row r="20" spans="1:9" s="2" customFormat="1" x14ac:dyDescent="0.3">
      <c r="A20" t="s">
        <v>17</v>
      </c>
      <c r="B20" s="4">
        <f>6932.14-496.76-518.245-2447.575+1559.683+1090.898-939.595-845.343+2113.889+1938.365-3314.616-1057.21+565.427</f>
        <v>4581.058</v>
      </c>
      <c r="C20" s="2">
        <v>1000</v>
      </c>
      <c r="D20">
        <f t="shared" si="1"/>
        <v>4581058</v>
      </c>
      <c r="E20" s="3">
        <f t="shared" si="0"/>
        <v>7.1267670026640764E-2</v>
      </c>
      <c r="F20"/>
      <c r="G20" t="s">
        <v>76</v>
      </c>
      <c r="H20"/>
      <c r="I20"/>
    </row>
    <row r="21" spans="1:9" s="2" customFormat="1" x14ac:dyDescent="0.3">
      <c r="A21"/>
      <c r="B21" s="4"/>
      <c r="D21"/>
      <c r="E21" s="3"/>
      <c r="F21"/>
      <c r="G21"/>
      <c r="H21"/>
      <c r="I21"/>
    </row>
    <row r="22" spans="1:9" s="2" customFormat="1" x14ac:dyDescent="0.3">
      <c r="A22"/>
      <c r="B22" s="4"/>
      <c r="D22">
        <f>SUM(D5:D20)</f>
        <v>64279609.510000005</v>
      </c>
      <c r="E22"/>
      <c r="F22"/>
      <c r="G22"/>
      <c r="H22"/>
      <c r="I22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4175-03F2-4944-8315-122730325AEA}">
  <sheetPr>
    <pageSetUpPr fitToPage="1"/>
  </sheetPr>
  <dimension ref="A1:J23"/>
  <sheetViews>
    <sheetView workbookViewId="0">
      <selection activeCell="G12" sqref="G12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45644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846.25</v>
      </c>
      <c r="D5">
        <f>C5*B5</f>
        <v>5712187.5</v>
      </c>
      <c r="E5" s="3">
        <f t="shared" ref="E5:E21" si="0">D5/$D$23</f>
        <v>8.7174744700806675E-2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1730.05</v>
      </c>
      <c r="D6">
        <f>C6*B6</f>
        <v>1550124.8</v>
      </c>
      <c r="E6" s="3">
        <f t="shared" si="0"/>
        <v>2.3656739855683836E-2</v>
      </c>
      <c r="F6"/>
      <c r="G6"/>
      <c r="H6"/>
      <c r="I6"/>
    </row>
    <row r="7" spans="1:9" s="2" customFormat="1" x14ac:dyDescent="0.3">
      <c r="A7" t="s">
        <v>77</v>
      </c>
      <c r="B7" s="4">
        <v>1410</v>
      </c>
      <c r="C7" s="2">
        <v>910</v>
      </c>
      <c r="D7">
        <f>C7*B7</f>
        <v>1283100</v>
      </c>
      <c r="E7" s="3">
        <f t="shared" si="0"/>
        <v>1.9581625239998696E-2</v>
      </c>
      <c r="F7"/>
      <c r="G7" t="s">
        <v>78</v>
      </c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494.35</v>
      </c>
      <c r="D8">
        <f t="shared" ref="D8:D21" si="1">C8*B8</f>
        <v>3333896.4000000004</v>
      </c>
      <c r="E8" s="3">
        <f t="shared" si="0"/>
        <v>5.0879206526210578E-2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2539.4</v>
      </c>
      <c r="D9">
        <f t="shared" si="1"/>
        <v>1648070.6</v>
      </c>
      <c r="E9" s="3">
        <f t="shared" si="0"/>
        <v>2.5151508735297166E-2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</f>
        <v>9225</v>
      </c>
      <c r="C10" s="2">
        <v>194.66</v>
      </c>
      <c r="D10">
        <f t="shared" si="1"/>
        <v>1795738.5</v>
      </c>
      <c r="E10" s="3">
        <f t="shared" si="0"/>
        <v>2.7405095733798922E-2</v>
      </c>
      <c r="F10"/>
      <c r="G10"/>
      <c r="H10"/>
      <c r="I10"/>
    </row>
    <row r="11" spans="1:9" s="2" customFormat="1" x14ac:dyDescent="0.3">
      <c r="A11" t="s">
        <v>68</v>
      </c>
      <c r="B11" s="4">
        <v>52890</v>
      </c>
      <c r="C11" s="2">
        <v>85.57</v>
      </c>
      <c r="D11">
        <f t="shared" si="1"/>
        <v>4525797.3</v>
      </c>
      <c r="E11" s="3">
        <f t="shared" si="0"/>
        <v>6.9069025516949531E-2</v>
      </c>
      <c r="F11"/>
      <c r="G11"/>
      <c r="H11"/>
      <c r="I11"/>
    </row>
    <row r="12" spans="1:9" s="2" customFormat="1" x14ac:dyDescent="0.3">
      <c r="A12" t="s">
        <v>11</v>
      </c>
      <c r="B12" s="4">
        <f>(410+205+135+181)*2</f>
        <v>1862</v>
      </c>
      <c r="C12" s="2">
        <v>2631.2</v>
      </c>
      <c r="D12">
        <f t="shared" si="1"/>
        <v>4899294.3999999994</v>
      </c>
      <c r="E12" s="3">
        <f t="shared" si="0"/>
        <v>7.4769033497953594E-2</v>
      </c>
      <c r="F12"/>
      <c r="G12"/>
      <c r="H12"/>
      <c r="I12"/>
    </row>
    <row r="13" spans="1:9" s="2" customFormat="1" x14ac:dyDescent="0.3">
      <c r="A13" t="s">
        <v>12</v>
      </c>
      <c r="B13" s="4">
        <f>(1875+937+309+619)*2</f>
        <v>7480</v>
      </c>
      <c r="C13" s="2">
        <v>579.6</v>
      </c>
      <c r="D13">
        <f t="shared" si="1"/>
        <v>4335408</v>
      </c>
      <c r="E13" s="3">
        <f t="shared" si="0"/>
        <v>6.6163459370658761E-2</v>
      </c>
      <c r="F13"/>
      <c r="G13"/>
      <c r="H13"/>
      <c r="I13"/>
    </row>
    <row r="14" spans="1:9" s="2" customFormat="1" x14ac:dyDescent="0.3">
      <c r="A14" t="s">
        <v>33</v>
      </c>
      <c r="B14" s="4">
        <f>13763+6317+2811+3464+1538</f>
        <v>27893</v>
      </c>
      <c r="C14" s="2">
        <v>213.24</v>
      </c>
      <c r="D14">
        <f t="shared" si="1"/>
        <v>5947903.3200000003</v>
      </c>
      <c r="E14" s="3">
        <f t="shared" si="0"/>
        <v>9.0772047210649243E-2</v>
      </c>
      <c r="F14"/>
      <c r="G14"/>
      <c r="H14"/>
      <c r="I14"/>
    </row>
    <row r="15" spans="1:9" s="2" customFormat="1" x14ac:dyDescent="0.3">
      <c r="A15" t="s">
        <v>13</v>
      </c>
      <c r="B15" s="4">
        <f>480+154+159+192-246-74-85-96</f>
        <v>484</v>
      </c>
      <c r="C15" s="2">
        <v>3705.2</v>
      </c>
      <c r="D15">
        <f t="shared" si="1"/>
        <v>1793316.7999999998</v>
      </c>
      <c r="E15" s="3">
        <f t="shared" si="0"/>
        <v>2.7368137724412506E-2</v>
      </c>
      <c r="F15"/>
      <c r="G15"/>
      <c r="H15"/>
      <c r="I15"/>
    </row>
    <row r="16" spans="1:9" s="2" customFormat="1" x14ac:dyDescent="0.3">
      <c r="A16" t="s">
        <v>14</v>
      </c>
      <c r="B16" s="4">
        <f>10500+5250-3258-1143-1205-2468-1535-850-1323-920-438</f>
        <v>2610</v>
      </c>
      <c r="C16" s="2">
        <v>1309.8499999999999</v>
      </c>
      <c r="D16">
        <f t="shared" si="1"/>
        <v>3418708.4999999995</v>
      </c>
      <c r="E16" s="3">
        <f t="shared" si="0"/>
        <v>5.2173539593015406E-2</v>
      </c>
      <c r="F16"/>
      <c r="G16"/>
      <c r="H16"/>
      <c r="I16"/>
    </row>
    <row r="17" spans="1:9" s="2" customFormat="1" x14ac:dyDescent="0.3">
      <c r="A17" t="s">
        <v>15</v>
      </c>
      <c r="B17" s="4">
        <f>458+115+189</f>
        <v>762</v>
      </c>
      <c r="C17" s="2">
        <v>3859.35</v>
      </c>
      <c r="D17">
        <f t="shared" si="1"/>
        <v>2940824.6999999997</v>
      </c>
      <c r="E17" s="3">
        <f t="shared" si="0"/>
        <v>4.4880466972123438E-2</v>
      </c>
      <c r="F17"/>
      <c r="G17"/>
      <c r="H17"/>
      <c r="I17"/>
    </row>
    <row r="18" spans="1:9" s="2" customFormat="1" x14ac:dyDescent="0.3">
      <c r="A18" t="s">
        <v>16</v>
      </c>
      <c r="B18" s="4">
        <f>3075+1537+1153-53-1428-925-484-459-467-45+2345</f>
        <v>4249</v>
      </c>
      <c r="C18" s="2">
        <v>548.04999999999995</v>
      </c>
      <c r="D18">
        <f t="shared" si="1"/>
        <v>2328664.4499999997</v>
      </c>
      <c r="E18" s="3">
        <f t="shared" si="0"/>
        <v>3.5538176735724167E-2</v>
      </c>
      <c r="F18"/>
      <c r="G18"/>
      <c r="H18"/>
      <c r="I18"/>
    </row>
    <row r="19" spans="1:9" s="2" customFormat="1" x14ac:dyDescent="0.3">
      <c r="A19" t="s">
        <v>31</v>
      </c>
      <c r="B19" s="4">
        <f>7985+1084+1117+2249</f>
        <v>12435</v>
      </c>
      <c r="C19" s="2">
        <v>585.9</v>
      </c>
      <c r="D19">
        <f t="shared" si="1"/>
        <v>7285666.5</v>
      </c>
      <c r="E19" s="3">
        <f t="shared" si="0"/>
        <v>0.11118789730076607</v>
      </c>
      <c r="F19"/>
      <c r="G19"/>
      <c r="H19"/>
      <c r="I19" s="3"/>
    </row>
    <row r="20" spans="1:9" s="2" customFormat="1" x14ac:dyDescent="0.3">
      <c r="A20" t="s">
        <v>32</v>
      </c>
      <c r="B20" s="4">
        <f>2592+518+820</f>
        <v>3930</v>
      </c>
      <c r="C20" s="2">
        <v>2400.65</v>
      </c>
      <c r="D20">
        <f t="shared" si="1"/>
        <v>9434554.5</v>
      </c>
      <c r="E20" s="3">
        <f t="shared" si="0"/>
        <v>0.14398247254722413</v>
      </c>
      <c r="F20"/>
      <c r="G20"/>
      <c r="H20"/>
      <c r="I20"/>
    </row>
    <row r="21" spans="1:9" s="2" customFormat="1" x14ac:dyDescent="0.3">
      <c r="A21" t="s">
        <v>17</v>
      </c>
      <c r="B21" s="4">
        <f>6932.14-496.76-518.245-2447.575+1559.683+1090.898-939.595-845.343+2113.889+1938.365-3314.616-1057.21+565.427-1288.599</f>
        <v>3292.4589999999998</v>
      </c>
      <c r="C21" s="2">
        <v>1000</v>
      </c>
      <c r="D21">
        <f t="shared" si="1"/>
        <v>3292459</v>
      </c>
      <c r="E21" s="3">
        <f t="shared" si="0"/>
        <v>5.0246822738727194E-2</v>
      </c>
      <c r="F21"/>
      <c r="G21" t="s">
        <v>79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65525715.270000003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A242-0910-4E92-A461-DA397E54CBAB}">
  <dimension ref="A1:C16"/>
  <sheetViews>
    <sheetView workbookViewId="0">
      <selection activeCell="C16" sqref="C16"/>
    </sheetView>
  </sheetViews>
  <sheetFormatPr defaultRowHeight="14.4" x14ac:dyDescent="0.3"/>
  <cols>
    <col min="3" max="3" width="8.88671875" style="2"/>
  </cols>
  <sheetData>
    <row r="1" spans="1:3" x14ac:dyDescent="0.3">
      <c r="A1" t="s">
        <v>34</v>
      </c>
    </row>
    <row r="3" spans="1:3" x14ac:dyDescent="0.3">
      <c r="A3" t="s">
        <v>18</v>
      </c>
      <c r="B3">
        <v>2640000</v>
      </c>
      <c r="C3" s="2">
        <f>B3*0.002</f>
        <v>5280</v>
      </c>
    </row>
    <row r="4" spans="1:3" x14ac:dyDescent="0.3">
      <c r="A4" t="s">
        <v>19</v>
      </c>
      <c r="B4">
        <v>3470000</v>
      </c>
      <c r="C4" s="2">
        <f t="shared" ref="C4:C14" si="0">B4*0.002</f>
        <v>6940</v>
      </c>
    </row>
    <row r="5" spans="1:3" x14ac:dyDescent="0.3">
      <c r="A5" t="s">
        <v>20</v>
      </c>
      <c r="B5">
        <v>3470000</v>
      </c>
      <c r="C5" s="2">
        <f t="shared" si="0"/>
        <v>6940</v>
      </c>
    </row>
    <row r="6" spans="1:3" x14ac:dyDescent="0.3">
      <c r="A6" t="s">
        <v>21</v>
      </c>
      <c r="B6">
        <v>5029000</v>
      </c>
      <c r="C6" s="2">
        <f t="shared" si="0"/>
        <v>10058</v>
      </c>
    </row>
    <row r="7" spans="1:3" x14ac:dyDescent="0.3">
      <c r="A7" t="s">
        <v>22</v>
      </c>
      <c r="B7">
        <v>4335000</v>
      </c>
      <c r="C7" s="2">
        <f t="shared" si="0"/>
        <v>8670</v>
      </c>
    </row>
    <row r="8" spans="1:3" x14ac:dyDescent="0.3">
      <c r="A8" t="s">
        <v>23</v>
      </c>
      <c r="B8">
        <v>4335000</v>
      </c>
      <c r="C8" s="2">
        <f t="shared" si="0"/>
        <v>8670</v>
      </c>
    </row>
    <row r="9" spans="1:3" x14ac:dyDescent="0.3">
      <c r="A9" t="s">
        <v>24</v>
      </c>
      <c r="B9">
        <v>5073000</v>
      </c>
      <c r="C9" s="2">
        <f t="shared" si="0"/>
        <v>10146</v>
      </c>
    </row>
    <row r="10" spans="1:3" x14ac:dyDescent="0.3">
      <c r="A10" t="s">
        <v>25</v>
      </c>
      <c r="B10">
        <v>5073000</v>
      </c>
      <c r="C10" s="2">
        <f t="shared" si="0"/>
        <v>10146</v>
      </c>
    </row>
    <row r="11" spans="1:3" x14ac:dyDescent="0.3">
      <c r="A11" t="s">
        <v>26</v>
      </c>
      <c r="B11">
        <v>5073000</v>
      </c>
      <c r="C11" s="2">
        <f t="shared" si="0"/>
        <v>10146</v>
      </c>
    </row>
    <row r="12" spans="1:3" x14ac:dyDescent="0.3">
      <c r="A12" t="s">
        <v>27</v>
      </c>
      <c r="B12">
        <v>4016000</v>
      </c>
      <c r="C12" s="2">
        <f t="shared" si="0"/>
        <v>8032</v>
      </c>
    </row>
    <row r="13" spans="1:3" x14ac:dyDescent="0.3">
      <c r="A13" t="s">
        <v>28</v>
      </c>
      <c r="B13">
        <v>4016000</v>
      </c>
      <c r="C13" s="2">
        <f t="shared" si="0"/>
        <v>8032</v>
      </c>
    </row>
    <row r="14" spans="1:3" x14ac:dyDescent="0.3">
      <c r="A14" t="s">
        <v>29</v>
      </c>
      <c r="B14">
        <v>3292000</v>
      </c>
      <c r="C14" s="2">
        <f t="shared" si="0"/>
        <v>6584</v>
      </c>
    </row>
    <row r="16" spans="1:3" x14ac:dyDescent="0.3">
      <c r="C16" s="2">
        <f>SUM(C3:C15)</f>
        <v>99644</v>
      </c>
    </row>
  </sheetData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F812-9E51-4F75-9C4B-DCD1504EE3D8}">
  <sheetPr>
    <pageSetUpPr fitToPage="1"/>
  </sheetPr>
  <dimension ref="A1:J23"/>
  <sheetViews>
    <sheetView workbookViewId="0">
      <selection activeCell="B21" sqref="B21"/>
    </sheetView>
  </sheetViews>
  <sheetFormatPr defaultRowHeight="14.4" x14ac:dyDescent="0.3"/>
  <cols>
    <col min="1" max="1" width="17" bestFit="1" customWidth="1"/>
    <col min="2" max="2" width="16.88671875" customWidth="1"/>
    <col min="3" max="3" width="8.88671875" style="2"/>
    <col min="4" max="4" width="12" bestFit="1" customWidth="1"/>
    <col min="5" max="5" width="11" customWidth="1"/>
    <col min="7" max="7" width="43.88671875" bestFit="1" customWidth="1"/>
    <col min="8" max="8" width="11.5546875" bestFit="1" customWidth="1"/>
    <col min="9" max="9" width="11" bestFit="1" customWidth="1"/>
    <col min="10" max="10" width="11.5546875" style="2" bestFit="1" customWidth="1"/>
  </cols>
  <sheetData>
    <row r="1" spans="1:9" x14ac:dyDescent="0.3">
      <c r="A1" t="s">
        <v>0</v>
      </c>
      <c r="B1" s="1">
        <v>45657</v>
      </c>
      <c r="E1" s="3"/>
    </row>
    <row r="2" spans="1:9" x14ac:dyDescent="0.3">
      <c r="B2" s="4"/>
      <c r="E2" s="3"/>
    </row>
    <row r="3" spans="1:9" x14ac:dyDescent="0.3">
      <c r="A3" t="s">
        <v>1</v>
      </c>
      <c r="B3" s="4" t="s">
        <v>2</v>
      </c>
      <c r="C3" s="2" t="s">
        <v>3</v>
      </c>
      <c r="D3" t="s">
        <v>4</v>
      </c>
      <c r="E3" s="3" t="s">
        <v>5</v>
      </c>
      <c r="G3" t="s">
        <v>6</v>
      </c>
    </row>
    <row r="4" spans="1:9" x14ac:dyDescent="0.3">
      <c r="B4" s="4"/>
      <c r="E4" s="3"/>
    </row>
    <row r="5" spans="1:9" s="2" customFormat="1" x14ac:dyDescent="0.3">
      <c r="A5" t="s">
        <v>30</v>
      </c>
      <c r="B5" s="4">
        <f>4326+2424</f>
        <v>6750</v>
      </c>
      <c r="C5" s="2">
        <v>767.5</v>
      </c>
      <c r="D5">
        <f>C5*B5</f>
        <v>5180625</v>
      </c>
      <c r="E5" s="3">
        <f t="shared" ref="E5:E21" si="0">D5/$D$23</f>
        <v>8.1019915081489105E-2</v>
      </c>
      <c r="F5"/>
      <c r="G5"/>
      <c r="H5"/>
      <c r="I5"/>
    </row>
    <row r="6" spans="1:9" s="2" customFormat="1" x14ac:dyDescent="0.3">
      <c r="A6" t="s">
        <v>56</v>
      </c>
      <c r="B6" s="4">
        <f>448*2</f>
        <v>896</v>
      </c>
      <c r="C6" s="2">
        <v>1711.1</v>
      </c>
      <c r="D6">
        <f>C6*B6</f>
        <v>1533145.5999999999</v>
      </c>
      <c r="E6" s="3">
        <f t="shared" si="0"/>
        <v>2.3976899760078878E-2</v>
      </c>
      <c r="F6"/>
      <c r="G6"/>
      <c r="H6"/>
      <c r="I6"/>
    </row>
    <row r="7" spans="1:9" s="2" customFormat="1" x14ac:dyDescent="0.3">
      <c r="A7" t="s">
        <v>77</v>
      </c>
      <c r="B7" s="4">
        <v>1410</v>
      </c>
      <c r="C7" s="2">
        <v>964</v>
      </c>
      <c r="D7">
        <f>C7*B7</f>
        <v>1359240</v>
      </c>
      <c r="E7" s="3">
        <f t="shared" si="0"/>
        <v>2.1257186029748004E-2</v>
      </c>
      <c r="F7"/>
      <c r="G7"/>
      <c r="H7"/>
      <c r="I7"/>
    </row>
    <row r="8" spans="1:9" s="2" customFormat="1" x14ac:dyDescent="0.3">
      <c r="A8" t="s">
        <v>7</v>
      </c>
      <c r="B8" s="4">
        <f>((840+420)*2+290+562)+3372</f>
        <v>6744</v>
      </c>
      <c r="C8" s="2">
        <v>484.55</v>
      </c>
      <c r="D8">
        <f t="shared" ref="D8:D21" si="1">C8*B8</f>
        <v>3267805.2</v>
      </c>
      <c r="E8" s="3">
        <f t="shared" si="0"/>
        <v>5.1105281661353315E-2</v>
      </c>
      <c r="F8"/>
      <c r="G8"/>
      <c r="H8"/>
      <c r="I8"/>
    </row>
    <row r="9" spans="1:9" s="2" customFormat="1" x14ac:dyDescent="0.3">
      <c r="A9" t="s">
        <v>8</v>
      </c>
      <c r="B9" s="4">
        <f>130+126+33+57+173+130</f>
        <v>649</v>
      </c>
      <c r="C9" s="2">
        <v>2499.4</v>
      </c>
      <c r="D9">
        <f t="shared" si="1"/>
        <v>1622110.6</v>
      </c>
      <c r="E9" s="3">
        <f t="shared" si="0"/>
        <v>2.5368225467927778E-2</v>
      </c>
      <c r="F9"/>
      <c r="G9"/>
      <c r="H9"/>
      <c r="I9"/>
    </row>
    <row r="10" spans="1:9" s="2" customFormat="1" x14ac:dyDescent="0.3">
      <c r="A10" t="s">
        <v>9</v>
      </c>
      <c r="B10" s="4">
        <f>1280+1280+1280+910+1300+1300+2940+1300-2365</f>
        <v>9225</v>
      </c>
      <c r="C10" s="2">
        <v>183.16</v>
      </c>
      <c r="D10">
        <f t="shared" si="1"/>
        <v>1689651</v>
      </c>
      <c r="E10" s="3">
        <f t="shared" si="0"/>
        <v>2.6424491357192065E-2</v>
      </c>
      <c r="F10"/>
      <c r="G10"/>
      <c r="H10"/>
      <c r="I10"/>
    </row>
    <row r="11" spans="1:9" s="2" customFormat="1" x14ac:dyDescent="0.3">
      <c r="A11" t="s">
        <v>68</v>
      </c>
      <c r="B11" s="4">
        <v>52890</v>
      </c>
      <c r="C11" s="2">
        <v>78.16</v>
      </c>
      <c r="D11">
        <f t="shared" si="1"/>
        <v>4133882.4</v>
      </c>
      <c r="E11" s="3">
        <f t="shared" si="0"/>
        <v>6.4649883171405451E-2</v>
      </c>
      <c r="F11"/>
      <c r="G11"/>
      <c r="H11"/>
      <c r="I11"/>
    </row>
    <row r="12" spans="1:9" s="2" customFormat="1" x14ac:dyDescent="0.3">
      <c r="A12" t="s">
        <v>11</v>
      </c>
      <c r="B12" s="4">
        <f>(410+205+135+181)*2</f>
        <v>1862</v>
      </c>
      <c r="C12" s="2">
        <v>2570.0500000000002</v>
      </c>
      <c r="D12">
        <f t="shared" si="1"/>
        <v>4785433.1000000006</v>
      </c>
      <c r="E12" s="3">
        <f t="shared" si="0"/>
        <v>7.4839499749576002E-2</v>
      </c>
      <c r="F12"/>
      <c r="G12"/>
      <c r="H12"/>
      <c r="I12"/>
    </row>
    <row r="13" spans="1:9" s="2" customFormat="1" x14ac:dyDescent="0.3">
      <c r="A13" t="s">
        <v>12</v>
      </c>
      <c r="B13" s="4">
        <f>(1875+937+309+619)*2</f>
        <v>7480</v>
      </c>
      <c r="C13" s="2">
        <v>594.65</v>
      </c>
      <c r="D13">
        <f t="shared" si="1"/>
        <v>4447982</v>
      </c>
      <c r="E13" s="3">
        <f t="shared" si="0"/>
        <v>6.956209413420042E-2</v>
      </c>
      <c r="F13"/>
      <c r="G13"/>
      <c r="H13"/>
      <c r="I13"/>
    </row>
    <row r="14" spans="1:9" s="2" customFormat="1" x14ac:dyDescent="0.3">
      <c r="A14" t="s">
        <v>33</v>
      </c>
      <c r="B14" s="4">
        <f>13763+6317+2811+3464+1538</f>
        <v>27893</v>
      </c>
      <c r="C14" s="2">
        <v>196.39</v>
      </c>
      <c r="D14">
        <f t="shared" si="1"/>
        <v>5477906.2699999996</v>
      </c>
      <c r="E14" s="3">
        <f t="shared" si="0"/>
        <v>8.5669103789553711E-2</v>
      </c>
      <c r="F14"/>
      <c r="G14"/>
      <c r="H14"/>
      <c r="I14"/>
    </row>
    <row r="15" spans="1:9" s="2" customFormat="1" x14ac:dyDescent="0.3">
      <c r="A15" t="s">
        <v>13</v>
      </c>
      <c r="B15" s="4">
        <f>480+154+159+192-246-74-85-96</f>
        <v>484</v>
      </c>
      <c r="C15" s="2">
        <v>3576.25</v>
      </c>
      <c r="D15">
        <f t="shared" si="1"/>
        <v>1730905</v>
      </c>
      <c r="E15" s="3">
        <f t="shared" si="0"/>
        <v>2.7069663624393753E-2</v>
      </c>
      <c r="F15"/>
      <c r="G15"/>
      <c r="H15"/>
      <c r="I15"/>
    </row>
    <row r="16" spans="1:9" s="2" customFormat="1" x14ac:dyDescent="0.3">
      <c r="A16" t="s">
        <v>14</v>
      </c>
      <c r="B16" s="4">
        <f>10500+5250-3258-1143-1205-2468-1535-850-1323-920-438</f>
        <v>2610</v>
      </c>
      <c r="C16" s="2">
        <v>1104.8</v>
      </c>
      <c r="D16">
        <f t="shared" si="1"/>
        <v>2883528</v>
      </c>
      <c r="E16" s="3">
        <f t="shared" si="0"/>
        <v>4.5095561577048346E-2</v>
      </c>
      <c r="F16"/>
      <c r="G16"/>
      <c r="H16"/>
      <c r="I16"/>
    </row>
    <row r="17" spans="1:9" s="2" customFormat="1" x14ac:dyDescent="0.3">
      <c r="A17" t="s">
        <v>15</v>
      </c>
      <c r="B17" s="4">
        <f>458+115+189</f>
        <v>762</v>
      </c>
      <c r="C17" s="2">
        <v>3990.9</v>
      </c>
      <c r="D17">
        <f t="shared" si="1"/>
        <v>3041065.8000000003</v>
      </c>
      <c r="E17" s="3">
        <f t="shared" si="0"/>
        <v>4.7559298901816045E-2</v>
      </c>
      <c r="F17"/>
      <c r="G17"/>
      <c r="H17"/>
      <c r="I17"/>
    </row>
    <row r="18" spans="1:9" s="2" customFormat="1" x14ac:dyDescent="0.3">
      <c r="A18" t="s">
        <v>16</v>
      </c>
      <c r="B18" s="4">
        <f>3075+1537+1153-53-1428-925-484-459-467-45+2345</f>
        <v>4249</v>
      </c>
      <c r="C18" s="2">
        <v>505.15</v>
      </c>
      <c r="D18">
        <f t="shared" si="1"/>
        <v>2146382.35</v>
      </c>
      <c r="E18" s="3">
        <f t="shared" si="0"/>
        <v>3.3567323581499726E-2</v>
      </c>
      <c r="F18"/>
      <c r="G18"/>
      <c r="H18"/>
      <c r="I18"/>
    </row>
    <row r="19" spans="1:9" s="2" customFormat="1" x14ac:dyDescent="0.3">
      <c r="A19" t="s">
        <v>31</v>
      </c>
      <c r="B19" s="4">
        <f>7985+1084+1117+2249</f>
        <v>12435</v>
      </c>
      <c r="C19" s="2">
        <v>614.35</v>
      </c>
      <c r="D19">
        <f t="shared" si="1"/>
        <v>7639442.25</v>
      </c>
      <c r="E19" s="3">
        <f t="shared" si="0"/>
        <v>0.11947341534369696</v>
      </c>
      <c r="F19"/>
      <c r="G19"/>
      <c r="H19"/>
      <c r="I19" s="3"/>
    </row>
    <row r="20" spans="1:9" s="2" customFormat="1" x14ac:dyDescent="0.3">
      <c r="A20" t="s">
        <v>32</v>
      </c>
      <c r="B20" s="4">
        <f>2592+518+820</f>
        <v>3930</v>
      </c>
      <c r="C20" s="2">
        <v>2445.65</v>
      </c>
      <c r="D20">
        <f t="shared" si="1"/>
        <v>9611404.5</v>
      </c>
      <c r="E20" s="3">
        <f t="shared" si="0"/>
        <v>0.15031297891737816</v>
      </c>
      <c r="F20"/>
      <c r="G20"/>
      <c r="H20"/>
      <c r="I20"/>
    </row>
    <row r="21" spans="1:9" s="2" customFormat="1" x14ac:dyDescent="0.3">
      <c r="A21" t="s">
        <v>17</v>
      </c>
      <c r="B21" s="4">
        <f>6932.14-496.76-518.245-2447.575+1559.683+1090.898-939.595-845.343+2113.889+1938.365-3314.616-1057.21+565.427-1288.599+99.644</f>
        <v>3392.1030000000001</v>
      </c>
      <c r="C21" s="2">
        <v>1000</v>
      </c>
      <c r="D21">
        <f t="shared" si="1"/>
        <v>3392103</v>
      </c>
      <c r="E21" s="3">
        <f t="shared" si="0"/>
        <v>5.3049177851642308E-2</v>
      </c>
      <c r="F21"/>
      <c r="G21" t="s">
        <v>80</v>
      </c>
      <c r="H21"/>
      <c r="I21"/>
    </row>
    <row r="22" spans="1:9" s="2" customFormat="1" x14ac:dyDescent="0.3">
      <c r="A22"/>
      <c r="B22" s="4"/>
      <c r="D22"/>
      <c r="E22" s="3"/>
      <c r="F22"/>
      <c r="G22"/>
      <c r="H22"/>
      <c r="I22"/>
    </row>
    <row r="23" spans="1:9" s="2" customFormat="1" x14ac:dyDescent="0.3">
      <c r="A23"/>
      <c r="B23" s="4"/>
      <c r="D23">
        <f>SUM(D5:D21)</f>
        <v>63942612.07</v>
      </c>
      <c r="E23"/>
      <c r="F23"/>
      <c r="G23"/>
      <c r="H23"/>
      <c r="I23"/>
    </row>
  </sheetData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A1E4-8160-48C8-BABC-214DD704FB6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01Jan24</vt:lpstr>
      <vt:lpstr>10Jan24</vt:lpstr>
      <vt:lpstr>15Jan24</vt:lpstr>
      <vt:lpstr>31Jan24</vt:lpstr>
      <vt:lpstr>06Feb24</vt:lpstr>
      <vt:lpstr>12Feb24</vt:lpstr>
      <vt:lpstr>07Mar24</vt:lpstr>
      <vt:lpstr>24Apr24</vt:lpstr>
      <vt:lpstr>17May24</vt:lpstr>
      <vt:lpstr>29May24</vt:lpstr>
      <vt:lpstr>04Jun24</vt:lpstr>
      <vt:lpstr>27Jun24</vt:lpstr>
      <vt:lpstr>31Jul24</vt:lpstr>
      <vt:lpstr>05Aug24</vt:lpstr>
      <vt:lpstr>14Aug24</vt:lpstr>
      <vt:lpstr>08Oct24</vt:lpstr>
      <vt:lpstr>31Oct24</vt:lpstr>
      <vt:lpstr>11Dec24</vt:lpstr>
      <vt:lpstr>18Dec24</vt:lpstr>
      <vt:lpstr>Liquid</vt:lpstr>
      <vt:lpstr>31stDec24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Patel</dc:creator>
  <cp:lastModifiedBy>Samir Patel</cp:lastModifiedBy>
  <dcterms:created xsi:type="dcterms:W3CDTF">2023-01-17T10:27:46Z</dcterms:created>
  <dcterms:modified xsi:type="dcterms:W3CDTF">2026-02-25T12:00:13Z</dcterms:modified>
</cp:coreProperties>
</file>