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3b54154a9f56a2/Samir/Research/Portfolio/"/>
    </mc:Choice>
  </mc:AlternateContent>
  <xr:revisionPtr revIDLastSave="0" documentId="11_87425A5223C34F9DEC8055B0DAD9958F487244E0" xr6:coauthVersionLast="47" xr6:coauthVersionMax="47" xr10:uidLastSave="{00000000-0000-0000-0000-000000000000}"/>
  <bookViews>
    <workbookView xWindow="-108" yWindow="-108" windowWidth="23256" windowHeight="12456" tabRatio="873" activeTab="5" xr2:uid="{00000000-000D-0000-FFFF-FFFF00000000}"/>
  </bookViews>
  <sheets>
    <sheet name="Model" sheetId="3" r:id="rId1"/>
    <sheet name="01Jan15" sheetId="61" r:id="rId2"/>
    <sheet name="30Jan15" sheetId="62" r:id="rId3"/>
    <sheet name="09Feb15" sheetId="63" r:id="rId4"/>
    <sheet name="12Feb15" sheetId="64" r:id="rId5"/>
    <sheet name="16Feb15" sheetId="65" r:id="rId6"/>
    <sheet name="25Feb15" sheetId="66" r:id="rId7"/>
    <sheet name="20Apr15" sheetId="67" r:id="rId8"/>
    <sheet name="29Apr15" sheetId="68" r:id="rId9"/>
    <sheet name="11May15" sheetId="69" r:id="rId10"/>
    <sheet name="27May15" sheetId="70" r:id="rId11"/>
    <sheet name="10Jun15" sheetId="71" r:id="rId12"/>
    <sheet name="23Jun15" sheetId="72" r:id="rId13"/>
    <sheet name="08Jul15" sheetId="73" r:id="rId14"/>
    <sheet name="16Jul15" sheetId="74" r:id="rId15"/>
    <sheet name="20Jul15" sheetId="76" r:id="rId16"/>
    <sheet name="28Jul15" sheetId="77" r:id="rId17"/>
    <sheet name="31Jul15" sheetId="78" r:id="rId18"/>
    <sheet name="06Aug15" sheetId="79" r:id="rId19"/>
    <sheet name="07Aug15" sheetId="80" r:id="rId20"/>
    <sheet name="11Aug15" sheetId="81" r:id="rId21"/>
    <sheet name="21Aug15" sheetId="82" r:id="rId22"/>
    <sheet name="22Sep15" sheetId="83" r:id="rId23"/>
    <sheet name="13Oct15" sheetId="84" r:id="rId24"/>
    <sheet name="23Nov15" sheetId="85" r:id="rId25"/>
    <sheet name="11Dec15" sheetId="86" r:id="rId26"/>
    <sheet name="Sheet2" sheetId="75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86" l="1"/>
  <c r="D22" i="86" s="1"/>
  <c r="D11" i="86"/>
  <c r="B21" i="86"/>
  <c r="D21" i="86" s="1"/>
  <c r="D20" i="86"/>
  <c r="D19" i="86"/>
  <c r="B18" i="86"/>
  <c r="D18" i="86" s="1"/>
  <c r="D17" i="86"/>
  <c r="B16" i="86"/>
  <c r="D16" i="86" s="1"/>
  <c r="B15" i="86"/>
  <c r="D15" i="86" s="1"/>
  <c r="D14" i="86"/>
  <c r="B13" i="86"/>
  <c r="D13" i="86" s="1"/>
  <c r="D12" i="86"/>
  <c r="D10" i="86"/>
  <c r="B9" i="86"/>
  <c r="D9" i="86" s="1"/>
  <c r="B8" i="86"/>
  <c r="D8" i="86" s="1"/>
  <c r="B7" i="86"/>
  <c r="D7" i="86" s="1"/>
  <c r="B6" i="86"/>
  <c r="D6" i="86" s="1"/>
  <c r="B5" i="86"/>
  <c r="D5" i="86" s="1"/>
  <c r="B22" i="85"/>
  <c r="D22" i="85" s="1"/>
  <c r="B5" i="85"/>
  <c r="B21" i="85"/>
  <c r="D21" i="85" s="1"/>
  <c r="D20" i="85"/>
  <c r="D19" i="85"/>
  <c r="B18" i="85"/>
  <c r="D18" i="85" s="1"/>
  <c r="D17" i="85"/>
  <c r="B16" i="85"/>
  <c r="D16" i="85" s="1"/>
  <c r="B15" i="85"/>
  <c r="D15" i="85" s="1"/>
  <c r="D14" i="85"/>
  <c r="B13" i="85"/>
  <c r="D13" i="85" s="1"/>
  <c r="D12" i="85"/>
  <c r="D11" i="85"/>
  <c r="B10" i="85"/>
  <c r="D10" i="85" s="1"/>
  <c r="D9" i="85"/>
  <c r="B9" i="85"/>
  <c r="D8" i="85"/>
  <c r="B8" i="85"/>
  <c r="B7" i="85"/>
  <c r="D7" i="85" s="1"/>
  <c r="B6" i="85"/>
  <c r="D6" i="85" s="1"/>
  <c r="D5" i="85"/>
  <c r="B8" i="84"/>
  <c r="B22" i="84"/>
  <c r="D22" i="84"/>
  <c r="D21" i="84"/>
  <c r="B21" i="84"/>
  <c r="D20" i="84"/>
  <c r="D19" i="84"/>
  <c r="B18" i="84"/>
  <c r="D18" i="84" s="1"/>
  <c r="D17" i="84"/>
  <c r="B16" i="84"/>
  <c r="D16" i="84" s="1"/>
  <c r="B15" i="84"/>
  <c r="D15" i="84" s="1"/>
  <c r="D14" i="84"/>
  <c r="D13" i="84"/>
  <c r="B13" i="84"/>
  <c r="D12" i="84"/>
  <c r="D11" i="84"/>
  <c r="B10" i="84"/>
  <c r="D10" i="84" s="1"/>
  <c r="B9" i="84"/>
  <c r="D9" i="84" s="1"/>
  <c r="D8" i="84"/>
  <c r="B7" i="84"/>
  <c r="D7" i="84" s="1"/>
  <c r="B6" i="84"/>
  <c r="D6" i="84" s="1"/>
  <c r="B5" i="84"/>
  <c r="D5" i="84" s="1"/>
  <c r="B6" i="83"/>
  <c r="D6" i="83" s="1"/>
  <c r="B23" i="83"/>
  <c r="D23" i="83" s="1"/>
  <c r="D12" i="83"/>
  <c r="D22" i="83"/>
  <c r="B22" i="83"/>
  <c r="D21" i="83"/>
  <c r="D20" i="83"/>
  <c r="B19" i="83"/>
  <c r="D19" i="83" s="1"/>
  <c r="D18" i="83"/>
  <c r="B17" i="83"/>
  <c r="D17" i="83" s="1"/>
  <c r="B16" i="83"/>
  <c r="D16" i="83" s="1"/>
  <c r="D15" i="83"/>
  <c r="B14" i="83"/>
  <c r="D14" i="83" s="1"/>
  <c r="D13" i="83"/>
  <c r="B11" i="83"/>
  <c r="D11" i="83" s="1"/>
  <c r="B10" i="83"/>
  <c r="D10" i="83" s="1"/>
  <c r="B9" i="83"/>
  <c r="D9" i="83" s="1"/>
  <c r="B8" i="83"/>
  <c r="D8" i="83" s="1"/>
  <c r="B7" i="83"/>
  <c r="D7" i="83" s="1"/>
  <c r="B5" i="83"/>
  <c r="D5" i="83" s="1"/>
  <c r="B15" i="82"/>
  <c r="B22" i="82"/>
  <c r="D22" i="82" s="1"/>
  <c r="D21" i="82"/>
  <c r="B21" i="82"/>
  <c r="D20" i="82"/>
  <c r="D19" i="82"/>
  <c r="D18" i="82"/>
  <c r="B18" i="82"/>
  <c r="D17" i="82"/>
  <c r="D16" i="82"/>
  <c r="B16" i="82"/>
  <c r="D15" i="82"/>
  <c r="D14" i="82"/>
  <c r="D13" i="82"/>
  <c r="B13" i="82"/>
  <c r="D12" i="82"/>
  <c r="B11" i="82"/>
  <c r="D11" i="82" s="1"/>
  <c r="D10" i="82"/>
  <c r="B10" i="82"/>
  <c r="B9" i="82"/>
  <c r="D9" i="82" s="1"/>
  <c r="D8" i="82"/>
  <c r="B8" i="82"/>
  <c r="B7" i="82"/>
  <c r="D7" i="82" s="1"/>
  <c r="D6" i="82"/>
  <c r="B6" i="82"/>
  <c r="B5" i="82"/>
  <c r="D5" i="82" s="1"/>
  <c r="B13" i="81"/>
  <c r="D13" i="81" s="1"/>
  <c r="B22" i="81"/>
  <c r="D22" i="81" s="1"/>
  <c r="B6" i="81"/>
  <c r="D21" i="81"/>
  <c r="B21" i="81"/>
  <c r="D20" i="81"/>
  <c r="D19" i="81"/>
  <c r="B18" i="81"/>
  <c r="D18" i="81" s="1"/>
  <c r="D17" i="81"/>
  <c r="B16" i="81"/>
  <c r="D16" i="81" s="1"/>
  <c r="D15" i="81"/>
  <c r="D14" i="81"/>
  <c r="D12" i="81"/>
  <c r="B11" i="81"/>
  <c r="D11" i="81" s="1"/>
  <c r="B10" i="81"/>
  <c r="D10" i="81" s="1"/>
  <c r="D9" i="81"/>
  <c r="B9" i="81"/>
  <c r="B8" i="81"/>
  <c r="D8" i="81" s="1"/>
  <c r="B7" i="81"/>
  <c r="D7" i="81" s="1"/>
  <c r="D6" i="81"/>
  <c r="B5" i="81"/>
  <c r="D5" i="81" s="1"/>
  <c r="B22" i="80"/>
  <c r="D22" i="80" s="1"/>
  <c r="D13" i="80"/>
  <c r="B7" i="80"/>
  <c r="D7" i="80" s="1"/>
  <c r="D21" i="80"/>
  <c r="B21" i="80"/>
  <c r="D20" i="80"/>
  <c r="D19" i="80"/>
  <c r="B18" i="80"/>
  <c r="D18" i="80" s="1"/>
  <c r="D17" i="80"/>
  <c r="B16" i="80"/>
  <c r="D16" i="80" s="1"/>
  <c r="D15" i="80"/>
  <c r="D14" i="80"/>
  <c r="D12" i="80"/>
  <c r="D11" i="80"/>
  <c r="B11" i="80"/>
  <c r="B10" i="80"/>
  <c r="D10" i="80" s="1"/>
  <c r="B9" i="80"/>
  <c r="D9" i="80" s="1"/>
  <c r="B8" i="80"/>
  <c r="D8" i="80" s="1"/>
  <c r="B6" i="80"/>
  <c r="D6" i="80" s="1"/>
  <c r="B5" i="80"/>
  <c r="D5" i="80" s="1"/>
  <c r="B21" i="79"/>
  <c r="D21" i="79" s="1"/>
  <c r="B20" i="79"/>
  <c r="D20" i="79" s="1"/>
  <c r="D19" i="79"/>
  <c r="D18" i="79"/>
  <c r="B17" i="79"/>
  <c r="D17" i="79" s="1"/>
  <c r="D16" i="79"/>
  <c r="B15" i="79"/>
  <c r="D15" i="79" s="1"/>
  <c r="D14" i="79"/>
  <c r="D13" i="79"/>
  <c r="D12" i="79"/>
  <c r="B11" i="79"/>
  <c r="D11" i="79" s="1"/>
  <c r="B10" i="79"/>
  <c r="D10" i="79" s="1"/>
  <c r="B9" i="79"/>
  <c r="D9" i="79" s="1"/>
  <c r="B8" i="79"/>
  <c r="D8" i="79" s="1"/>
  <c r="B7" i="79"/>
  <c r="D7" i="79" s="1"/>
  <c r="B6" i="79"/>
  <c r="D6" i="79" s="1"/>
  <c r="B5" i="79"/>
  <c r="D5" i="79" s="1"/>
  <c r="B21" i="78"/>
  <c r="D21" i="78" s="1"/>
  <c r="B22" i="78"/>
  <c r="D22" i="78" s="1"/>
  <c r="B20" i="78"/>
  <c r="D20" i="78" s="1"/>
  <c r="D19" i="78"/>
  <c r="D18" i="78"/>
  <c r="B17" i="78"/>
  <c r="D17" i="78" s="1"/>
  <c r="D16" i="78"/>
  <c r="B15" i="78"/>
  <c r="D15" i="78" s="1"/>
  <c r="D14" i="78"/>
  <c r="D13" i="78"/>
  <c r="D12" i="78"/>
  <c r="B11" i="78"/>
  <c r="D11" i="78" s="1"/>
  <c r="B10" i="78"/>
  <c r="D10" i="78" s="1"/>
  <c r="B9" i="78"/>
  <c r="D9" i="78" s="1"/>
  <c r="B8" i="78"/>
  <c r="D8" i="78" s="1"/>
  <c r="B7" i="78"/>
  <c r="D7" i="78" s="1"/>
  <c r="B6" i="78"/>
  <c r="D6" i="78" s="1"/>
  <c r="B5" i="78"/>
  <c r="D5" i="78" s="1"/>
  <c r="B22" i="77"/>
  <c r="D22" i="77" s="1"/>
  <c r="B21" i="77"/>
  <c r="D21" i="77" s="1"/>
  <c r="D20" i="77"/>
  <c r="B20" i="77"/>
  <c r="D19" i="77"/>
  <c r="D18" i="77"/>
  <c r="B17" i="77"/>
  <c r="D17" i="77" s="1"/>
  <c r="D16" i="77"/>
  <c r="D15" i="77"/>
  <c r="B15" i="77"/>
  <c r="D14" i="77"/>
  <c r="D13" i="77"/>
  <c r="D12" i="77"/>
  <c r="B11" i="77"/>
  <c r="D11" i="77" s="1"/>
  <c r="B10" i="77"/>
  <c r="D10" i="77" s="1"/>
  <c r="B9" i="77"/>
  <c r="D9" i="77" s="1"/>
  <c r="B8" i="77"/>
  <c r="D8" i="77" s="1"/>
  <c r="B7" i="77"/>
  <c r="D7" i="77" s="1"/>
  <c r="B6" i="77"/>
  <c r="D6" i="77" s="1"/>
  <c r="B5" i="77"/>
  <c r="D5" i="77" s="1"/>
  <c r="B22" i="76"/>
  <c r="D22" i="76" s="1"/>
  <c r="B9" i="76"/>
  <c r="B21" i="76"/>
  <c r="D21" i="76" s="1"/>
  <c r="B20" i="76"/>
  <c r="D20" i="76" s="1"/>
  <c r="D19" i="76"/>
  <c r="D18" i="76"/>
  <c r="B17" i="76"/>
  <c r="D17" i="76" s="1"/>
  <c r="D16" i="76"/>
  <c r="B15" i="76"/>
  <c r="D15" i="76" s="1"/>
  <c r="D14" i="76"/>
  <c r="D13" i="76"/>
  <c r="D12" i="76"/>
  <c r="B11" i="76"/>
  <c r="D11" i="76" s="1"/>
  <c r="B10" i="76"/>
  <c r="D10" i="76" s="1"/>
  <c r="D9" i="76"/>
  <c r="B8" i="76"/>
  <c r="D8" i="76" s="1"/>
  <c r="B7" i="76"/>
  <c r="D7" i="76" s="1"/>
  <c r="B6" i="76"/>
  <c r="D6" i="76" s="1"/>
  <c r="B5" i="76"/>
  <c r="D5" i="76" s="1"/>
  <c r="B9" i="74"/>
  <c r="D9" i="74" s="1"/>
  <c r="B23" i="74"/>
  <c r="D23" i="74"/>
  <c r="D22" i="74"/>
  <c r="B22" i="74"/>
  <c r="D21" i="74"/>
  <c r="B21" i="74"/>
  <c r="D20" i="74"/>
  <c r="D19" i="74"/>
  <c r="B18" i="74"/>
  <c r="D18" i="74" s="1"/>
  <c r="D17" i="74"/>
  <c r="D16" i="74"/>
  <c r="B16" i="74"/>
  <c r="D15" i="74"/>
  <c r="D14" i="74"/>
  <c r="D13" i="74"/>
  <c r="B12" i="74"/>
  <c r="D12" i="74" s="1"/>
  <c r="D11" i="74"/>
  <c r="B11" i="74"/>
  <c r="D10" i="74"/>
  <c r="B8" i="74"/>
  <c r="D8" i="74" s="1"/>
  <c r="B7" i="74"/>
  <c r="D7" i="74" s="1"/>
  <c r="B6" i="74"/>
  <c r="D6" i="74" s="1"/>
  <c r="B5" i="74"/>
  <c r="D5" i="74" s="1"/>
  <c r="B23" i="73"/>
  <c r="D23" i="73" s="1"/>
  <c r="B22" i="73"/>
  <c r="D22" i="73" s="1"/>
  <c r="B21" i="73"/>
  <c r="D21" i="73" s="1"/>
  <c r="D20" i="73"/>
  <c r="D19" i="73"/>
  <c r="B18" i="73"/>
  <c r="D18" i="73" s="1"/>
  <c r="D17" i="73"/>
  <c r="B16" i="73"/>
  <c r="D16" i="73" s="1"/>
  <c r="D15" i="73"/>
  <c r="D14" i="73"/>
  <c r="D13" i="73"/>
  <c r="B12" i="73"/>
  <c r="D12" i="73" s="1"/>
  <c r="D11" i="73"/>
  <c r="B11" i="73"/>
  <c r="D10" i="73"/>
  <c r="D9" i="73"/>
  <c r="B8" i="73"/>
  <c r="D8" i="73" s="1"/>
  <c r="B7" i="73"/>
  <c r="D7" i="73" s="1"/>
  <c r="D6" i="73"/>
  <c r="B6" i="73"/>
  <c r="B5" i="73"/>
  <c r="D5" i="73" s="1"/>
  <c r="B23" i="72"/>
  <c r="D23" i="72" s="1"/>
  <c r="B6" i="72"/>
  <c r="B22" i="72"/>
  <c r="D22" i="72" s="1"/>
  <c r="B21" i="72"/>
  <c r="D21" i="72" s="1"/>
  <c r="D20" i="72"/>
  <c r="D19" i="72"/>
  <c r="B18" i="72"/>
  <c r="D18" i="72" s="1"/>
  <c r="D17" i="72"/>
  <c r="B16" i="72"/>
  <c r="D16" i="72" s="1"/>
  <c r="D15" i="72"/>
  <c r="D14" i="72"/>
  <c r="D13" i="72"/>
  <c r="D12" i="72"/>
  <c r="B12" i="72"/>
  <c r="B11" i="72"/>
  <c r="D11" i="72" s="1"/>
  <c r="D10" i="72"/>
  <c r="D9" i="72"/>
  <c r="B8" i="72"/>
  <c r="D8" i="72" s="1"/>
  <c r="B7" i="72"/>
  <c r="D7" i="72" s="1"/>
  <c r="D6" i="72"/>
  <c r="B5" i="72"/>
  <c r="D5" i="72" s="1"/>
  <c r="B23" i="71"/>
  <c r="D23" i="71" s="1"/>
  <c r="B18" i="71"/>
  <c r="D22" i="71"/>
  <c r="B22" i="71"/>
  <c r="B21" i="71"/>
  <c r="D21" i="71" s="1"/>
  <c r="D20" i="71"/>
  <c r="D19" i="71"/>
  <c r="D18" i="71"/>
  <c r="D17" i="71"/>
  <c r="B16" i="71"/>
  <c r="D16" i="71" s="1"/>
  <c r="D15" i="71"/>
  <c r="D14" i="71"/>
  <c r="D13" i="71"/>
  <c r="B12" i="71"/>
  <c r="D12" i="71" s="1"/>
  <c r="B11" i="71"/>
  <c r="D11" i="71" s="1"/>
  <c r="D10" i="71"/>
  <c r="D9" i="71"/>
  <c r="B8" i="71"/>
  <c r="D8" i="71" s="1"/>
  <c r="B7" i="71"/>
  <c r="D7" i="71" s="1"/>
  <c r="B6" i="71"/>
  <c r="D6" i="71" s="1"/>
  <c r="B5" i="71"/>
  <c r="D5" i="71" s="1"/>
  <c r="B11" i="70"/>
  <c r="B23" i="70"/>
  <c r="D23" i="70" s="1"/>
  <c r="B22" i="70"/>
  <c r="D22" i="70" s="1"/>
  <c r="B21" i="70"/>
  <c r="D21" i="70" s="1"/>
  <c r="D20" i="70"/>
  <c r="D19" i="70"/>
  <c r="D18" i="70"/>
  <c r="D17" i="70"/>
  <c r="B16" i="70"/>
  <c r="D16" i="70" s="1"/>
  <c r="D15" i="70"/>
  <c r="D14" i="70"/>
  <c r="D13" i="70"/>
  <c r="D12" i="70"/>
  <c r="B12" i="70"/>
  <c r="D11" i="70"/>
  <c r="D10" i="70"/>
  <c r="D9" i="70"/>
  <c r="B8" i="70"/>
  <c r="D8" i="70" s="1"/>
  <c r="B7" i="70"/>
  <c r="D7" i="70" s="1"/>
  <c r="B6" i="70"/>
  <c r="D6" i="70" s="1"/>
  <c r="B5" i="70"/>
  <c r="D5" i="70" s="1"/>
  <c r="B23" i="69"/>
  <c r="D23" i="69" s="1"/>
  <c r="D14" i="69"/>
  <c r="B22" i="69"/>
  <c r="D22" i="69" s="1"/>
  <c r="B21" i="69"/>
  <c r="D21" i="69" s="1"/>
  <c r="D20" i="69"/>
  <c r="D19" i="69"/>
  <c r="D18" i="69"/>
  <c r="D17" i="69"/>
  <c r="D16" i="69"/>
  <c r="B16" i="69"/>
  <c r="D15" i="69"/>
  <c r="D13" i="69"/>
  <c r="B12" i="69"/>
  <c r="D12" i="69" s="1"/>
  <c r="D11" i="69"/>
  <c r="D10" i="69"/>
  <c r="D9" i="69"/>
  <c r="D8" i="69"/>
  <c r="B8" i="69"/>
  <c r="B7" i="69"/>
  <c r="D7" i="69" s="1"/>
  <c r="D6" i="69"/>
  <c r="B6" i="69"/>
  <c r="B5" i="69"/>
  <c r="D5" i="69" s="1"/>
  <c r="B22" i="68"/>
  <c r="D22" i="68" s="1"/>
  <c r="B21" i="68"/>
  <c r="D21" i="68" s="1"/>
  <c r="B20" i="68"/>
  <c r="D20" i="68" s="1"/>
  <c r="D19" i="68"/>
  <c r="D18" i="68"/>
  <c r="D17" i="68"/>
  <c r="D16" i="68"/>
  <c r="B15" i="68"/>
  <c r="D15" i="68" s="1"/>
  <c r="D14" i="68"/>
  <c r="D13" i="68"/>
  <c r="B12" i="68"/>
  <c r="D12" i="68" s="1"/>
  <c r="D11" i="68"/>
  <c r="D10" i="68"/>
  <c r="D9" i="68"/>
  <c r="B8" i="68"/>
  <c r="D8" i="68" s="1"/>
  <c r="B7" i="68"/>
  <c r="D7" i="68" s="1"/>
  <c r="B6" i="68"/>
  <c r="D6" i="68" s="1"/>
  <c r="B5" i="68"/>
  <c r="D5" i="68" s="1"/>
  <c r="B15" i="67"/>
  <c r="B23" i="67"/>
  <c r="D23" i="67" s="1"/>
  <c r="D20" i="67"/>
  <c r="B22" i="67"/>
  <c r="D22" i="67" s="1"/>
  <c r="B21" i="67"/>
  <c r="D21" i="67" s="1"/>
  <c r="D19" i="67"/>
  <c r="D18" i="67"/>
  <c r="D17" i="67"/>
  <c r="B16" i="67"/>
  <c r="D16" i="67" s="1"/>
  <c r="D15" i="67"/>
  <c r="D14" i="67"/>
  <c r="D13" i="67"/>
  <c r="B12" i="67"/>
  <c r="D12" i="67" s="1"/>
  <c r="D11" i="67"/>
  <c r="D10" i="67"/>
  <c r="D9" i="67"/>
  <c r="B8" i="67"/>
  <c r="D8" i="67" s="1"/>
  <c r="B7" i="67"/>
  <c r="D7" i="67" s="1"/>
  <c r="B6" i="67"/>
  <c r="D6" i="67" s="1"/>
  <c r="B5" i="67"/>
  <c r="D5" i="67" s="1"/>
  <c r="D14" i="66"/>
  <c r="B22" i="66"/>
  <c r="D22" i="66"/>
  <c r="B21" i="66"/>
  <c r="D21" i="66" s="1"/>
  <c r="D20" i="66"/>
  <c r="B20" i="66"/>
  <c r="D19" i="66"/>
  <c r="D18" i="66"/>
  <c r="D17" i="66"/>
  <c r="B16" i="66"/>
  <c r="D16" i="66" s="1"/>
  <c r="B15" i="66"/>
  <c r="D15" i="66" s="1"/>
  <c r="D13" i="66"/>
  <c r="B12" i="66"/>
  <c r="D12" i="66" s="1"/>
  <c r="D11" i="66"/>
  <c r="D10" i="66"/>
  <c r="D9" i="66"/>
  <c r="B8" i="66"/>
  <c r="D8" i="66" s="1"/>
  <c r="B7" i="66"/>
  <c r="D7" i="66" s="1"/>
  <c r="B6" i="66"/>
  <c r="D6" i="66" s="1"/>
  <c r="B5" i="66"/>
  <c r="D5" i="66" s="1"/>
  <c r="B21" i="65"/>
  <c r="D21" i="65" s="1"/>
  <c r="B6" i="65"/>
  <c r="B20" i="65"/>
  <c r="D20" i="65" s="1"/>
  <c r="B19" i="65"/>
  <c r="D19" i="65" s="1"/>
  <c r="D18" i="65"/>
  <c r="D17" i="65"/>
  <c r="D16" i="65"/>
  <c r="D15" i="65"/>
  <c r="B15" i="65"/>
  <c r="B14" i="65"/>
  <c r="D14" i="65" s="1"/>
  <c r="D13" i="65"/>
  <c r="D12" i="65"/>
  <c r="B12" i="65"/>
  <c r="D11" i="65"/>
  <c r="D10" i="65"/>
  <c r="D9" i="65"/>
  <c r="B8" i="65"/>
  <c r="D8" i="65" s="1"/>
  <c r="B7" i="65"/>
  <c r="D7" i="65" s="1"/>
  <c r="D6" i="65"/>
  <c r="B5" i="65"/>
  <c r="D5" i="65" s="1"/>
  <c r="B7" i="64"/>
  <c r="B21" i="64"/>
  <c r="D21" i="64" s="1"/>
  <c r="D20" i="64"/>
  <c r="B20" i="64"/>
  <c r="B19" i="64"/>
  <c r="D19" i="64" s="1"/>
  <c r="D18" i="64"/>
  <c r="D17" i="64"/>
  <c r="D16" i="64"/>
  <c r="D15" i="64"/>
  <c r="B15" i="64"/>
  <c r="B14" i="64"/>
  <c r="D14" i="64" s="1"/>
  <c r="D13" i="64"/>
  <c r="D12" i="64"/>
  <c r="B12" i="64"/>
  <c r="D11" i="64"/>
  <c r="D10" i="64"/>
  <c r="D9" i="64"/>
  <c r="B8" i="64"/>
  <c r="D8" i="64" s="1"/>
  <c r="D7" i="64"/>
  <c r="B6" i="64"/>
  <c r="D6" i="64" s="1"/>
  <c r="B5" i="64"/>
  <c r="D5" i="64" s="1"/>
  <c r="B21" i="63"/>
  <c r="B19" i="63"/>
  <c r="D21" i="63"/>
  <c r="D20" i="63"/>
  <c r="B20" i="63"/>
  <c r="D19" i="63"/>
  <c r="D18" i="63"/>
  <c r="D17" i="63"/>
  <c r="D16" i="63"/>
  <c r="B15" i="63"/>
  <c r="D15" i="63" s="1"/>
  <c r="B14" i="63"/>
  <c r="D14" i="63" s="1"/>
  <c r="D13" i="63"/>
  <c r="B12" i="63"/>
  <c r="D12" i="63" s="1"/>
  <c r="D11" i="63"/>
  <c r="D10" i="63"/>
  <c r="D9" i="63"/>
  <c r="B8" i="63"/>
  <c r="D8" i="63" s="1"/>
  <c r="D7" i="63"/>
  <c r="B6" i="63"/>
  <c r="D6" i="63" s="1"/>
  <c r="B5" i="63"/>
  <c r="D5" i="63" s="1"/>
  <c r="B14" i="62"/>
  <c r="B21" i="62"/>
  <c r="D21" i="62" s="1"/>
  <c r="B20" i="62"/>
  <c r="D20" i="62" s="1"/>
  <c r="D19" i="62"/>
  <c r="B19" i="62"/>
  <c r="D18" i="62"/>
  <c r="D17" i="62"/>
  <c r="D16" i="62"/>
  <c r="D15" i="62"/>
  <c r="B15" i="62"/>
  <c r="D14" i="62"/>
  <c r="D13" i="62"/>
  <c r="B12" i="62"/>
  <c r="D12" i="62" s="1"/>
  <c r="D11" i="62"/>
  <c r="D10" i="62"/>
  <c r="D9" i="62"/>
  <c r="B8" i="62"/>
  <c r="D8" i="62" s="1"/>
  <c r="D7" i="62"/>
  <c r="B6" i="62"/>
  <c r="D6" i="62" s="1"/>
  <c r="B5" i="62"/>
  <c r="D5" i="62" s="1"/>
  <c r="B21" i="61"/>
  <c r="D21" i="61" s="1"/>
  <c r="B20" i="61"/>
  <c r="D20" i="61" s="1"/>
  <c r="B19" i="61"/>
  <c r="D19" i="61" s="1"/>
  <c r="D18" i="61"/>
  <c r="D17" i="61"/>
  <c r="D16" i="61"/>
  <c r="B15" i="61"/>
  <c r="D15" i="61" s="1"/>
  <c r="B14" i="61"/>
  <c r="D14" i="61" s="1"/>
  <c r="D13" i="61"/>
  <c r="B12" i="61"/>
  <c r="D12" i="61" s="1"/>
  <c r="D11" i="61"/>
  <c r="D10" i="61"/>
  <c r="D9" i="61"/>
  <c r="B8" i="61"/>
  <c r="D8" i="61" s="1"/>
  <c r="D7" i="61"/>
  <c r="B6" i="61"/>
  <c r="D6" i="61" s="1"/>
  <c r="B5" i="61"/>
  <c r="D5" i="61" s="1"/>
  <c r="I15" i="3"/>
  <c r="I14" i="3"/>
  <c r="I10" i="3"/>
  <c r="I6" i="3"/>
  <c r="I4" i="3"/>
  <c r="I3" i="3"/>
  <c r="H21" i="3"/>
  <c r="H20" i="3"/>
  <c r="H15" i="3"/>
  <c r="H14" i="3"/>
  <c r="H10" i="3"/>
  <c r="H6" i="3"/>
  <c r="H4" i="3"/>
  <c r="H3" i="3"/>
  <c r="G20" i="3"/>
  <c r="G15" i="3"/>
  <c r="G14" i="3"/>
  <c r="G10" i="3"/>
  <c r="G6" i="3"/>
  <c r="G4" i="3"/>
  <c r="G3" i="3"/>
  <c r="F21" i="3"/>
  <c r="F20" i="3"/>
  <c r="F15" i="3"/>
  <c r="F14" i="3"/>
  <c r="F12" i="3"/>
  <c r="F10" i="3"/>
  <c r="F6" i="3"/>
  <c r="F4" i="3"/>
  <c r="F3" i="3"/>
  <c r="E15" i="3"/>
  <c r="E14" i="3"/>
  <c r="E12" i="3"/>
  <c r="E10" i="3"/>
  <c r="E6" i="3"/>
  <c r="E4" i="3"/>
  <c r="E3" i="3"/>
  <c r="D15" i="3"/>
  <c r="D14" i="3"/>
  <c r="D12" i="3"/>
  <c r="D10" i="3"/>
  <c r="D6" i="3"/>
  <c r="D4" i="3"/>
  <c r="D3" i="3"/>
  <c r="D24" i="86" l="1"/>
  <c r="E9" i="86" s="1"/>
  <c r="D24" i="85"/>
  <c r="E6" i="85" s="1"/>
  <c r="D24" i="84"/>
  <c r="D25" i="83"/>
  <c r="D24" i="82"/>
  <c r="E13" i="82" s="1"/>
  <c r="D24" i="81"/>
  <c r="D24" i="80"/>
  <c r="E19" i="80" s="1"/>
  <c r="D23" i="79"/>
  <c r="E17" i="79" s="1"/>
  <c r="D24" i="78"/>
  <c r="E5" i="78" s="1"/>
  <c r="D24" i="77"/>
  <c r="E7" i="77" s="1"/>
  <c r="D24" i="76"/>
  <c r="E16" i="76" s="1"/>
  <c r="D25" i="74"/>
  <c r="D25" i="73"/>
  <c r="E23" i="73" s="1"/>
  <c r="D25" i="72"/>
  <c r="E17" i="72" s="1"/>
  <c r="D25" i="71"/>
  <c r="E20" i="71" s="1"/>
  <c r="D25" i="70"/>
  <c r="E14" i="70" s="1"/>
  <c r="D25" i="69"/>
  <c r="D24" i="68"/>
  <c r="E20" i="68" s="1"/>
  <c r="D25" i="67"/>
  <c r="E21" i="67" s="1"/>
  <c r="D24" i="66"/>
  <c r="E5" i="66" s="1"/>
  <c r="D23" i="65"/>
  <c r="E10" i="65" s="1"/>
  <c r="D23" i="64"/>
  <c r="E14" i="64" s="1"/>
  <c r="D23" i="63"/>
  <c r="E5" i="63" s="1"/>
  <c r="D23" i="62"/>
  <c r="E6" i="62" s="1"/>
  <c r="D23" i="61"/>
  <c r="E14" i="61" s="1"/>
  <c r="E11" i="86" l="1"/>
  <c r="E20" i="86"/>
  <c r="E19" i="86"/>
  <c r="E16" i="86"/>
  <c r="E5" i="86"/>
  <c r="E6" i="86"/>
  <c r="E17" i="86"/>
  <c r="E14" i="86"/>
  <c r="E8" i="86"/>
  <c r="E10" i="86"/>
  <c r="E7" i="86"/>
  <c r="E13" i="86"/>
  <c r="E18" i="86"/>
  <c r="E15" i="86"/>
  <c r="E12" i="86"/>
  <c r="E21" i="86"/>
  <c r="E22" i="86"/>
  <c r="E15" i="85"/>
  <c r="E18" i="85"/>
  <c r="E20" i="85"/>
  <c r="E12" i="85"/>
  <c r="E9" i="85"/>
  <c r="E17" i="85"/>
  <c r="E14" i="85"/>
  <c r="E5" i="85"/>
  <c r="E16" i="85"/>
  <c r="E7" i="85"/>
  <c r="E19" i="85"/>
  <c r="E13" i="85"/>
  <c r="E22" i="85"/>
  <c r="E8" i="85"/>
  <c r="E21" i="85"/>
  <c r="E10" i="85"/>
  <c r="E11" i="85"/>
  <c r="E20" i="84"/>
  <c r="E12" i="84"/>
  <c r="E17" i="84"/>
  <c r="E14" i="84"/>
  <c r="E9" i="84"/>
  <c r="E8" i="84"/>
  <c r="E19" i="84"/>
  <c r="E11" i="84"/>
  <c r="E7" i="84"/>
  <c r="E10" i="84"/>
  <c r="E22" i="84"/>
  <c r="E21" i="84"/>
  <c r="E13" i="84"/>
  <c r="E15" i="84"/>
  <c r="E6" i="84"/>
  <c r="E16" i="84"/>
  <c r="E18" i="84"/>
  <c r="E5" i="84"/>
  <c r="E8" i="83"/>
  <c r="E12" i="83"/>
  <c r="E10" i="83"/>
  <c r="E15" i="83"/>
  <c r="E23" i="83"/>
  <c r="E14" i="83"/>
  <c r="E18" i="83"/>
  <c r="E19" i="83"/>
  <c r="E17" i="83"/>
  <c r="E5" i="83"/>
  <c r="E22" i="83"/>
  <c r="E21" i="83"/>
  <c r="E13" i="83"/>
  <c r="E20" i="83"/>
  <c r="E11" i="83"/>
  <c r="E16" i="83"/>
  <c r="E7" i="83"/>
  <c r="E6" i="83"/>
  <c r="E9" i="83"/>
  <c r="E5" i="82"/>
  <c r="E20" i="82"/>
  <c r="E10" i="82"/>
  <c r="E6" i="82"/>
  <c r="E15" i="82"/>
  <c r="E9" i="82"/>
  <c r="E18" i="82"/>
  <c r="E17" i="82"/>
  <c r="E12" i="82"/>
  <c r="E19" i="82"/>
  <c r="E14" i="82"/>
  <c r="E8" i="82"/>
  <c r="E21" i="82"/>
  <c r="E16" i="82"/>
  <c r="E11" i="82"/>
  <c r="E7" i="82"/>
  <c r="E22" i="82"/>
  <c r="E17" i="81"/>
  <c r="E19" i="81"/>
  <c r="E21" i="81"/>
  <c r="E7" i="81"/>
  <c r="E22" i="81"/>
  <c r="E5" i="81"/>
  <c r="E12" i="81"/>
  <c r="E14" i="81"/>
  <c r="E6" i="81"/>
  <c r="E10" i="81"/>
  <c r="E8" i="81"/>
  <c r="E9" i="81"/>
  <c r="E11" i="81"/>
  <c r="E16" i="81"/>
  <c r="E13" i="81"/>
  <c r="E18" i="81"/>
  <c r="E15" i="81"/>
  <c r="E20" i="81"/>
  <c r="E13" i="80"/>
  <c r="E9" i="80"/>
  <c r="E17" i="80"/>
  <c r="E14" i="80"/>
  <c r="E20" i="80"/>
  <c r="E22" i="80"/>
  <c r="E10" i="80"/>
  <c r="E21" i="80"/>
  <c r="E6" i="80"/>
  <c r="E15" i="80"/>
  <c r="E16" i="80"/>
  <c r="E5" i="80"/>
  <c r="E8" i="80"/>
  <c r="E12" i="80"/>
  <c r="E18" i="80"/>
  <c r="E7" i="80"/>
  <c r="E11" i="80"/>
  <c r="E20" i="79"/>
  <c r="E21" i="79"/>
  <c r="E16" i="79"/>
  <c r="E13" i="79"/>
  <c r="E19" i="79"/>
  <c r="E14" i="79"/>
  <c r="E12" i="79"/>
  <c r="E9" i="79"/>
  <c r="E5" i="79"/>
  <c r="E8" i="79"/>
  <c r="E10" i="79"/>
  <c r="E18" i="79"/>
  <c r="E11" i="79"/>
  <c r="E6" i="79"/>
  <c r="E7" i="79"/>
  <c r="E15" i="79"/>
  <c r="E6" i="78"/>
  <c r="E7" i="78"/>
  <c r="E20" i="78"/>
  <c r="E19" i="78"/>
  <c r="E14" i="78"/>
  <c r="E12" i="78"/>
  <c r="E11" i="78"/>
  <c r="E9" i="78"/>
  <c r="E10" i="78"/>
  <c r="E22" i="78"/>
  <c r="E13" i="78"/>
  <c r="E18" i="78"/>
  <c r="E8" i="78"/>
  <c r="E17" i="78"/>
  <c r="E21" i="78"/>
  <c r="E15" i="78"/>
  <c r="E16" i="78"/>
  <c r="E19" i="77"/>
  <c r="E14" i="77"/>
  <c r="E12" i="77"/>
  <c r="E18" i="77"/>
  <c r="E13" i="77"/>
  <c r="E8" i="77"/>
  <c r="E6" i="77"/>
  <c r="E9" i="77"/>
  <c r="E10" i="77"/>
  <c r="E11" i="77"/>
  <c r="E17" i="77"/>
  <c r="E21" i="77"/>
  <c r="E15" i="77"/>
  <c r="E16" i="77"/>
  <c r="E20" i="77"/>
  <c r="E5" i="77"/>
  <c r="E22" i="77"/>
  <c r="E17" i="76"/>
  <c r="E20" i="76"/>
  <c r="E13" i="76"/>
  <c r="E15" i="76"/>
  <c r="E14" i="76"/>
  <c r="E11" i="76"/>
  <c r="E7" i="76"/>
  <c r="E18" i="76"/>
  <c r="E12" i="76"/>
  <c r="E5" i="76"/>
  <c r="E8" i="76"/>
  <c r="E9" i="76"/>
  <c r="E21" i="76"/>
  <c r="E22" i="76"/>
  <c r="E10" i="76"/>
  <c r="E19" i="76"/>
  <c r="E6" i="76"/>
  <c r="E17" i="74"/>
  <c r="E22" i="74"/>
  <c r="E19" i="74"/>
  <c r="E14" i="74"/>
  <c r="E12" i="74"/>
  <c r="E9" i="74"/>
  <c r="E6" i="74"/>
  <c r="E10" i="74"/>
  <c r="E7" i="74"/>
  <c r="E5" i="74"/>
  <c r="E15" i="74"/>
  <c r="E13" i="74"/>
  <c r="E8" i="74"/>
  <c r="E18" i="74"/>
  <c r="E16" i="74"/>
  <c r="E11" i="74"/>
  <c r="E21" i="74"/>
  <c r="E20" i="74"/>
  <c r="E23" i="74"/>
  <c r="E16" i="73"/>
  <c r="E8" i="73"/>
  <c r="E18" i="73"/>
  <c r="E11" i="73"/>
  <c r="E21" i="73"/>
  <c r="E20" i="73"/>
  <c r="E15" i="73"/>
  <c r="E13" i="73"/>
  <c r="E10" i="73"/>
  <c r="E17" i="73"/>
  <c r="E7" i="73"/>
  <c r="E22" i="73"/>
  <c r="E19" i="73"/>
  <c r="E14" i="73"/>
  <c r="E12" i="73"/>
  <c r="E9" i="73"/>
  <c r="E6" i="73"/>
  <c r="E5" i="73"/>
  <c r="E13" i="72"/>
  <c r="E19" i="72"/>
  <c r="E21" i="72"/>
  <c r="E22" i="72"/>
  <c r="E18" i="72"/>
  <c r="E14" i="72"/>
  <c r="E10" i="72"/>
  <c r="E11" i="72"/>
  <c r="E15" i="72"/>
  <c r="E23" i="72"/>
  <c r="E9" i="72"/>
  <c r="E5" i="72"/>
  <c r="E12" i="72"/>
  <c r="E16" i="72"/>
  <c r="E6" i="72"/>
  <c r="E7" i="72"/>
  <c r="E8" i="72"/>
  <c r="E20" i="72"/>
  <c r="E21" i="71"/>
  <c r="E11" i="71"/>
  <c r="E19" i="71"/>
  <c r="E7" i="71"/>
  <c r="E5" i="71"/>
  <c r="E17" i="71"/>
  <c r="E8" i="71"/>
  <c r="E12" i="71"/>
  <c r="E16" i="71"/>
  <c r="E15" i="71"/>
  <c r="E13" i="71"/>
  <c r="E10" i="71"/>
  <c r="E14" i="71"/>
  <c r="E9" i="71"/>
  <c r="E18" i="71"/>
  <c r="E22" i="71"/>
  <c r="E23" i="71"/>
  <c r="E6" i="71"/>
  <c r="E8" i="70"/>
  <c r="E7" i="70"/>
  <c r="E20" i="70"/>
  <c r="E18" i="70"/>
  <c r="E11" i="70"/>
  <c r="E9" i="70"/>
  <c r="E19" i="70"/>
  <c r="E17" i="70"/>
  <c r="E10" i="70"/>
  <c r="E12" i="70"/>
  <c r="E15" i="70"/>
  <c r="E16" i="70"/>
  <c r="E22" i="70"/>
  <c r="E23" i="70"/>
  <c r="E21" i="70"/>
  <c r="E13" i="70"/>
  <c r="E5" i="70"/>
  <c r="E6" i="70"/>
  <c r="E12" i="69"/>
  <c r="E14" i="69"/>
  <c r="E6" i="69"/>
  <c r="E22" i="69"/>
  <c r="E17" i="69"/>
  <c r="E11" i="69"/>
  <c r="E21" i="69"/>
  <c r="E18" i="69"/>
  <c r="E19" i="69"/>
  <c r="E23" i="69"/>
  <c r="E8" i="69"/>
  <c r="E15" i="69"/>
  <c r="E13" i="69"/>
  <c r="E9" i="69"/>
  <c r="E7" i="69"/>
  <c r="E5" i="69"/>
  <c r="E16" i="69"/>
  <c r="E10" i="69"/>
  <c r="E20" i="69"/>
  <c r="E14" i="68"/>
  <c r="E10" i="68"/>
  <c r="E11" i="68"/>
  <c r="E9" i="68"/>
  <c r="E7" i="68"/>
  <c r="E5" i="68"/>
  <c r="E6" i="68"/>
  <c r="E13" i="68"/>
  <c r="E15" i="68"/>
  <c r="E8" i="68"/>
  <c r="E12" i="68"/>
  <c r="E16" i="68"/>
  <c r="E18" i="68"/>
  <c r="E19" i="68"/>
  <c r="E17" i="68"/>
  <c r="E21" i="68"/>
  <c r="E22" i="68"/>
  <c r="E20" i="67"/>
  <c r="E6" i="67"/>
  <c r="E8" i="67"/>
  <c r="E10" i="67"/>
  <c r="E5" i="67"/>
  <c r="E19" i="67"/>
  <c r="E14" i="67"/>
  <c r="E17" i="67"/>
  <c r="E18" i="67"/>
  <c r="E13" i="67"/>
  <c r="E12" i="67"/>
  <c r="E9" i="67"/>
  <c r="E11" i="67"/>
  <c r="E15" i="67"/>
  <c r="E16" i="67"/>
  <c r="E7" i="67"/>
  <c r="E22" i="67"/>
  <c r="E23" i="67"/>
  <c r="E14" i="66"/>
  <c r="E20" i="66"/>
  <c r="E11" i="66"/>
  <c r="E10" i="66"/>
  <c r="E6" i="66"/>
  <c r="E15" i="66"/>
  <c r="E21" i="66"/>
  <c r="E9" i="66"/>
  <c r="E7" i="66"/>
  <c r="E8" i="66"/>
  <c r="E16" i="66"/>
  <c r="E17" i="66"/>
  <c r="E13" i="66"/>
  <c r="E19" i="66"/>
  <c r="E18" i="66"/>
  <c r="E12" i="66"/>
  <c r="E22" i="66"/>
  <c r="E11" i="65"/>
  <c r="E5" i="65"/>
  <c r="E6" i="65"/>
  <c r="E9" i="65"/>
  <c r="E21" i="65"/>
  <c r="E19" i="65"/>
  <c r="E20" i="65"/>
  <c r="E7" i="65"/>
  <c r="E12" i="65"/>
  <c r="E13" i="65"/>
  <c r="E14" i="65"/>
  <c r="E8" i="65"/>
  <c r="E15" i="65"/>
  <c r="E16" i="65"/>
  <c r="E17" i="65"/>
  <c r="E18" i="65"/>
  <c r="E10" i="64"/>
  <c r="E20" i="64"/>
  <c r="E15" i="64"/>
  <c r="E12" i="64"/>
  <c r="E17" i="64"/>
  <c r="E7" i="64"/>
  <c r="E6" i="64"/>
  <c r="E13" i="64"/>
  <c r="E11" i="64"/>
  <c r="E9" i="64"/>
  <c r="E16" i="64"/>
  <c r="E18" i="64"/>
  <c r="E21" i="64"/>
  <c r="E19" i="64"/>
  <c r="E8" i="64"/>
  <c r="E5" i="64"/>
  <c r="E21" i="63"/>
  <c r="E16" i="63"/>
  <c r="E7" i="63"/>
  <c r="E18" i="63"/>
  <c r="E10" i="63"/>
  <c r="E11" i="63"/>
  <c r="E9" i="63"/>
  <c r="E12" i="63"/>
  <c r="E6" i="63"/>
  <c r="E17" i="63"/>
  <c r="E15" i="63"/>
  <c r="E14" i="63"/>
  <c r="E19" i="63"/>
  <c r="E13" i="63"/>
  <c r="E20" i="63"/>
  <c r="E8" i="63"/>
  <c r="E9" i="62"/>
  <c r="E14" i="62"/>
  <c r="E11" i="62"/>
  <c r="E21" i="62"/>
  <c r="E19" i="62"/>
  <c r="E10" i="62"/>
  <c r="E20" i="62"/>
  <c r="E17" i="62"/>
  <c r="E7" i="62"/>
  <c r="E18" i="62"/>
  <c r="E16" i="62"/>
  <c r="E13" i="62"/>
  <c r="E8" i="62"/>
  <c r="E5" i="62"/>
  <c r="E15" i="62"/>
  <c r="E12" i="62"/>
  <c r="E6" i="61"/>
  <c r="E7" i="61"/>
  <c r="E5" i="61"/>
  <c r="E19" i="61"/>
  <c r="E12" i="61"/>
  <c r="E15" i="61"/>
  <c r="E8" i="61"/>
  <c r="E20" i="61"/>
  <c r="E18" i="61"/>
  <c r="E16" i="61"/>
  <c r="E13" i="61"/>
  <c r="E11" i="61"/>
  <c r="E9" i="61"/>
  <c r="E17" i="61"/>
  <c r="E10" i="61"/>
  <c r="E21" i="61"/>
</calcChain>
</file>

<file path=xl/sharedStrings.xml><?xml version="1.0" encoding="utf-8"?>
<sst xmlns="http://schemas.openxmlformats.org/spreadsheetml/2006/main" count="699" uniqueCount="91">
  <si>
    <t>Stock</t>
  </si>
  <si>
    <t>CMP</t>
  </si>
  <si>
    <t>Percentage</t>
  </si>
  <si>
    <t>Ashiana</t>
  </si>
  <si>
    <t>Kaveri</t>
  </si>
  <si>
    <t>Amaraja</t>
  </si>
  <si>
    <t>Amount</t>
  </si>
  <si>
    <t>Number of shares</t>
  </si>
  <si>
    <t>RSSoftware</t>
  </si>
  <si>
    <t>NIIT Tech</t>
  </si>
  <si>
    <t>Zensar</t>
  </si>
  <si>
    <t>Change</t>
  </si>
  <si>
    <t>Technofab</t>
  </si>
  <si>
    <t>Model</t>
  </si>
  <si>
    <t>Model Portfolio</t>
  </si>
  <si>
    <t>LiquidBees</t>
  </si>
  <si>
    <t>Heritage</t>
  </si>
  <si>
    <t>Everest</t>
  </si>
  <si>
    <t>EverestInds</t>
  </si>
  <si>
    <t>TreeHouse</t>
  </si>
  <si>
    <t>EicherMotors</t>
  </si>
  <si>
    <t>EicherMot</t>
  </si>
  <si>
    <t>NDTV</t>
  </si>
  <si>
    <t>Federal Bank</t>
  </si>
  <si>
    <t>FederalBank</t>
  </si>
  <si>
    <t>JBChem</t>
  </si>
  <si>
    <t>MCX</t>
  </si>
  <si>
    <t>Escorts</t>
  </si>
  <si>
    <t>Selan</t>
  </si>
  <si>
    <t>StridesArco</t>
  </si>
  <si>
    <t>Strides</t>
  </si>
  <si>
    <t>TVToday</t>
  </si>
  <si>
    <t>MBL Infra</t>
  </si>
  <si>
    <t>Split on 21/1/15 from 10 to 5. Qty double to 634</t>
  </si>
  <si>
    <t xml:space="preserve">Top up to 5%. 438 shares @ 240.5 </t>
  </si>
  <si>
    <t>Total Amount Sell of 105339</t>
  </si>
  <si>
    <t>Upgrade to 7%. Buy for 76257. Avg Price= 230.5. Qty 331</t>
  </si>
  <si>
    <t>Sell for 76295.5</t>
  </si>
  <si>
    <t>Top up to 3%. 780 @126.1 = 98358</t>
  </si>
  <si>
    <t>Sell 98.36</t>
  </si>
  <si>
    <t>Reduce to 10%. Sell 1778 @ 244.5 =434721</t>
  </si>
  <si>
    <t>Buy 434.72</t>
  </si>
  <si>
    <t>RamcoSys</t>
  </si>
  <si>
    <t>3% Value. 265shares @606.5. 160723 Value</t>
  </si>
  <si>
    <t>Sell 160.72</t>
  </si>
  <si>
    <t>TV18Broadcast</t>
  </si>
  <si>
    <t>Buy 6886 @38.26. Total Value = 263458</t>
  </si>
  <si>
    <t>Sell 64.6 Liquid</t>
  </si>
  <si>
    <t>Exit 1072 @185.5. Total Value = 198856</t>
  </si>
  <si>
    <t>Reduce by 50%. Sell 228 @ 684</t>
  </si>
  <si>
    <t>Add 155.95</t>
  </si>
  <si>
    <t>Nucleus</t>
  </si>
  <si>
    <t>Bought @252 Avg Price. Value 254772</t>
  </si>
  <si>
    <t>Reduce 254.77</t>
  </si>
  <si>
    <t>Reduce 161.7</t>
  </si>
  <si>
    <t>Add 50% of existing. 420 @ 385 =161700</t>
  </si>
  <si>
    <t>532 shares @ 161 = 85652</t>
  </si>
  <si>
    <t>Sell 85.65</t>
  </si>
  <si>
    <t>Sell 600@244 =146400</t>
  </si>
  <si>
    <t>Add 146.4</t>
  </si>
  <si>
    <t>Bonus 1:1. Shares double to 3290</t>
  </si>
  <si>
    <t>Prices are closing of 8th July</t>
  </si>
  <si>
    <t>Exit 350@ 386.5 = 135275</t>
  </si>
  <si>
    <t>Buy 135.27</t>
  </si>
  <si>
    <t>Sell Half Qty 1645@68.8 = 113176</t>
  </si>
  <si>
    <t>Buy 113.1</t>
  </si>
  <si>
    <t>Bonus 1:1. Shares double to 1228. Close was 568</t>
  </si>
  <si>
    <t>Exit. 228@ 941.5 = 214662</t>
  </si>
  <si>
    <t>Buy 214.6</t>
  </si>
  <si>
    <t>Buy 13.78</t>
  </si>
  <si>
    <t>JBChem Spl Dividend of Rs 10. Value 13780</t>
  </si>
  <si>
    <t>Buy upto 6%. 961@157.6 = 151454</t>
  </si>
  <si>
    <t>NeulandLab</t>
  </si>
  <si>
    <t>Reduce 151.45, 147.34</t>
  </si>
  <si>
    <t>New Buy 2.5%. 278@530 = 147340</t>
  </si>
  <si>
    <t>Sell 25% of existing. 363*207 = 75141</t>
  </si>
  <si>
    <t>Add 278 @ 525 = 145950</t>
  </si>
  <si>
    <t>Add 75.14. Subs 145.95. Net Subs 70.81</t>
  </si>
  <si>
    <t>Add 1% of portfolio value. 65*904 = 58760</t>
  </si>
  <si>
    <t>Subs 58.76</t>
  </si>
  <si>
    <t>J&amp;Kbank</t>
  </si>
  <si>
    <t>Buy 2928 @ 93.5 = 273768</t>
  </si>
  <si>
    <t>Sell 273.8, Buy 189.4</t>
  </si>
  <si>
    <t>Sell 1089 Avg at 174. Value = 189486 Total Trade completed on 24/9/15</t>
  </si>
  <si>
    <t>Sell half : 822 @ 67 = 55074</t>
  </si>
  <si>
    <t>Buy 55.07</t>
  </si>
  <si>
    <t>Sell complete. 305@868 = 264740</t>
  </si>
  <si>
    <t>Buy 264.7</t>
  </si>
  <si>
    <t>LloydElec</t>
  </si>
  <si>
    <t>Sell 276.6</t>
  </si>
  <si>
    <t>Buy 5% @ 300. 922*300 = 276600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</si>
</sst>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0" fontId="0" fillId="0" borderId="0" xfId="0" applyNumberFormat="1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pane xSplit="1" topLeftCell="B1" activePane="topRight" state="frozen"/>
      <selection activeCell="C16" sqref="C16"/>
      <selection pane="topRight" activeCell="I22" sqref="I22"/>
    </sheetView>
  </sheetViews>
  <sheetFormatPr defaultRowHeight="14.4" x14ac:dyDescent="0.3"/>
  <cols>
    <col min="1" max="1" width="11.6640625" bestFit="1" customWidth="1"/>
    <col min="2" max="3" width="10" bestFit="1" customWidth="1"/>
    <col min="4" max="4" width="10.6640625" bestFit="1" customWidth="1"/>
    <col min="5" max="6" width="9.6640625" bestFit="1" customWidth="1"/>
    <col min="7" max="9" width="9.88671875" bestFit="1" customWidth="1"/>
  </cols>
  <sheetData>
    <row r="1" spans="1:12" x14ac:dyDescent="0.3">
      <c r="A1" t="s">
        <v>13</v>
      </c>
      <c r="B1" s="3">
        <v>41640</v>
      </c>
      <c r="C1" s="3">
        <v>41663</v>
      </c>
      <c r="D1" s="3">
        <v>41687</v>
      </c>
      <c r="E1" s="3">
        <v>41696</v>
      </c>
      <c r="F1" s="3">
        <v>41698</v>
      </c>
      <c r="G1" s="3">
        <v>41712</v>
      </c>
      <c r="H1" s="3">
        <v>41716</v>
      </c>
      <c r="I1" s="3">
        <v>41752</v>
      </c>
      <c r="J1" s="3"/>
      <c r="K1" s="3"/>
      <c r="L1" s="3"/>
    </row>
    <row r="3" spans="1:12" x14ac:dyDescent="0.3">
      <c r="A3" t="s">
        <v>5</v>
      </c>
      <c r="B3">
        <v>772</v>
      </c>
      <c r="C3">
        <v>716</v>
      </c>
      <c r="D3" s="1">
        <f>980-208-56-194</f>
        <v>522</v>
      </c>
      <c r="E3" s="1">
        <f>980-208-56-194-122</f>
        <v>400</v>
      </c>
      <c r="F3" s="1">
        <f>980-208-56-194-122-95</f>
        <v>305</v>
      </c>
      <c r="G3" s="1">
        <f>980-208-56-194-122-95</f>
        <v>305</v>
      </c>
      <c r="H3" s="1">
        <f>980-208-56-194-122-95</f>
        <v>305</v>
      </c>
      <c r="I3" s="1">
        <f>980-208-56-194-122-95</f>
        <v>305</v>
      </c>
    </row>
    <row r="4" spans="1:12" x14ac:dyDescent="0.3">
      <c r="A4" t="s">
        <v>3</v>
      </c>
      <c r="B4">
        <v>3830</v>
      </c>
      <c r="C4">
        <v>3830</v>
      </c>
      <c r="D4" s="1">
        <f t="shared" ref="D4:I4" si="0">(511+255)*5</f>
        <v>3830</v>
      </c>
      <c r="E4" s="1">
        <f t="shared" si="0"/>
        <v>3830</v>
      </c>
      <c r="F4" s="1">
        <f t="shared" si="0"/>
        <v>3830</v>
      </c>
      <c r="G4" s="1">
        <f t="shared" si="0"/>
        <v>3830</v>
      </c>
      <c r="H4" s="1">
        <f t="shared" si="0"/>
        <v>3830</v>
      </c>
      <c r="I4" s="1">
        <f t="shared" si="0"/>
        <v>3830</v>
      </c>
    </row>
    <row r="5" spans="1:12" x14ac:dyDescent="0.3">
      <c r="A5" t="s">
        <v>27</v>
      </c>
      <c r="B5">
        <v>473</v>
      </c>
      <c r="C5">
        <v>473</v>
      </c>
      <c r="D5" s="1">
        <v>473</v>
      </c>
      <c r="E5" s="1">
        <v>473</v>
      </c>
      <c r="F5" s="1">
        <v>473</v>
      </c>
      <c r="G5" s="1">
        <v>473</v>
      </c>
      <c r="H5" s="1">
        <v>473</v>
      </c>
      <c r="I5" s="1">
        <v>473</v>
      </c>
    </row>
    <row r="6" spans="1:12" x14ac:dyDescent="0.3">
      <c r="A6" t="s">
        <v>21</v>
      </c>
      <c r="B6">
        <v>39</v>
      </c>
      <c r="C6">
        <v>39</v>
      </c>
      <c r="D6" s="1">
        <f t="shared" ref="D6:I6" si="1">29+10</f>
        <v>39</v>
      </c>
      <c r="E6" s="1">
        <f t="shared" si="1"/>
        <v>39</v>
      </c>
      <c r="F6" s="1">
        <f t="shared" si="1"/>
        <v>39</v>
      </c>
      <c r="G6" s="1">
        <f t="shared" si="1"/>
        <v>39</v>
      </c>
      <c r="H6" s="1">
        <f t="shared" si="1"/>
        <v>39</v>
      </c>
      <c r="I6" s="1">
        <f t="shared" si="1"/>
        <v>39</v>
      </c>
    </row>
    <row r="7" spans="1:12" x14ac:dyDescent="0.3">
      <c r="A7" t="s">
        <v>18</v>
      </c>
      <c r="B7">
        <v>350</v>
      </c>
      <c r="C7">
        <v>350</v>
      </c>
      <c r="D7" s="1">
        <v>350</v>
      </c>
      <c r="E7" s="1">
        <v>350</v>
      </c>
      <c r="F7" s="1">
        <v>350</v>
      </c>
      <c r="G7" s="1">
        <v>350</v>
      </c>
      <c r="H7" s="1">
        <v>350</v>
      </c>
      <c r="I7" s="1">
        <v>350</v>
      </c>
    </row>
    <row r="8" spans="1:12" x14ac:dyDescent="0.3">
      <c r="A8" t="s">
        <v>24</v>
      </c>
      <c r="B8">
        <v>1645</v>
      </c>
      <c r="C8">
        <v>1645</v>
      </c>
      <c r="D8" s="1">
        <v>1645</v>
      </c>
      <c r="E8" s="1">
        <v>1645</v>
      </c>
      <c r="F8" s="1">
        <v>1645</v>
      </c>
      <c r="G8" s="1">
        <v>1645</v>
      </c>
      <c r="H8" s="1">
        <v>1645</v>
      </c>
      <c r="I8" s="1">
        <v>1645</v>
      </c>
    </row>
    <row r="9" spans="1:12" x14ac:dyDescent="0.3">
      <c r="A9" t="s">
        <v>16</v>
      </c>
      <c r="B9">
        <v>840</v>
      </c>
      <c r="C9">
        <v>840</v>
      </c>
      <c r="D9" s="1">
        <v>840</v>
      </c>
      <c r="E9" s="1">
        <v>840</v>
      </c>
      <c r="F9" s="1">
        <v>840</v>
      </c>
      <c r="G9" s="1">
        <v>840</v>
      </c>
      <c r="H9" s="1">
        <v>840</v>
      </c>
      <c r="I9" s="1">
        <v>840</v>
      </c>
    </row>
    <row r="10" spans="1:12" x14ac:dyDescent="0.3">
      <c r="A10" t="s">
        <v>25</v>
      </c>
      <c r="B10">
        <v>1149</v>
      </c>
      <c r="C10">
        <v>1149</v>
      </c>
      <c r="D10" s="1">
        <f t="shared" ref="D10:I10" si="2">766+383</f>
        <v>1149</v>
      </c>
      <c r="E10" s="1">
        <f t="shared" si="2"/>
        <v>1149</v>
      </c>
      <c r="F10" s="1">
        <f t="shared" si="2"/>
        <v>1149</v>
      </c>
      <c r="G10" s="1">
        <f t="shared" si="2"/>
        <v>1149</v>
      </c>
      <c r="H10" s="1">
        <f t="shared" si="2"/>
        <v>1149</v>
      </c>
      <c r="I10" s="1">
        <f t="shared" si="2"/>
        <v>1149</v>
      </c>
    </row>
    <row r="11" spans="1:12" x14ac:dyDescent="0.3">
      <c r="A11" t="s">
        <v>4</v>
      </c>
      <c r="B11">
        <v>141</v>
      </c>
      <c r="C11">
        <v>141</v>
      </c>
      <c r="D11" s="1">
        <v>705</v>
      </c>
      <c r="E11" s="1">
        <v>705</v>
      </c>
      <c r="F11" s="1">
        <v>705</v>
      </c>
      <c r="G11" s="1">
        <v>705</v>
      </c>
      <c r="H11" s="1">
        <v>705</v>
      </c>
      <c r="I11" s="1">
        <v>705</v>
      </c>
    </row>
    <row r="12" spans="1:12" x14ac:dyDescent="0.3">
      <c r="A12" t="s">
        <v>26</v>
      </c>
      <c r="B12">
        <v>125</v>
      </c>
      <c r="C12">
        <v>125</v>
      </c>
      <c r="D12" s="1">
        <f>170-45+143</f>
        <v>268</v>
      </c>
      <c r="E12" s="1">
        <f>170-45+143</f>
        <v>268</v>
      </c>
      <c r="F12" s="1">
        <f>170-45+143</f>
        <v>268</v>
      </c>
      <c r="G12" s="1">
        <v>0</v>
      </c>
      <c r="H12" s="1">
        <v>0</v>
      </c>
      <c r="I12" s="1">
        <v>0</v>
      </c>
      <c r="J12" s="1">
        <v>0</v>
      </c>
    </row>
    <row r="13" spans="1:12" x14ac:dyDescent="0.3">
      <c r="A13" t="s">
        <v>22</v>
      </c>
      <c r="B13">
        <v>650</v>
      </c>
      <c r="C13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2" x14ac:dyDescent="0.3">
      <c r="A14" t="s">
        <v>9</v>
      </c>
      <c r="B14">
        <v>313</v>
      </c>
      <c r="C14">
        <v>313</v>
      </c>
      <c r="D14" s="1">
        <f>372-59</f>
        <v>313</v>
      </c>
      <c r="E14" s="1">
        <f>372-59</f>
        <v>313</v>
      </c>
      <c r="F14" s="1">
        <f>372-59-100</f>
        <v>213</v>
      </c>
      <c r="G14" s="1">
        <f>372-59-100</f>
        <v>213</v>
      </c>
      <c r="H14" s="1">
        <f>372-59-100</f>
        <v>213</v>
      </c>
      <c r="I14" s="1">
        <f>372-59-100</f>
        <v>213</v>
      </c>
    </row>
    <row r="15" spans="1:12" x14ac:dyDescent="0.3">
      <c r="A15" t="s">
        <v>8</v>
      </c>
      <c r="B15">
        <v>1312</v>
      </c>
      <c r="C15">
        <v>1312</v>
      </c>
      <c r="D15" s="1">
        <f t="shared" ref="D15:I15" si="3">1093+219</f>
        <v>1312</v>
      </c>
      <c r="E15" s="1">
        <f t="shared" si="3"/>
        <v>1312</v>
      </c>
      <c r="F15" s="1">
        <f t="shared" si="3"/>
        <v>1312</v>
      </c>
      <c r="G15" s="1">
        <f t="shared" si="3"/>
        <v>1312</v>
      </c>
      <c r="H15" s="1">
        <f t="shared" si="3"/>
        <v>1312</v>
      </c>
      <c r="I15" s="1">
        <f t="shared" si="3"/>
        <v>1312</v>
      </c>
    </row>
    <row r="16" spans="1:12" x14ac:dyDescent="0.3">
      <c r="A16" t="s">
        <v>28</v>
      </c>
      <c r="C16">
        <v>186</v>
      </c>
      <c r="D16" s="1">
        <v>186</v>
      </c>
      <c r="E16" s="1">
        <v>186</v>
      </c>
      <c r="F16" s="1">
        <v>186</v>
      </c>
      <c r="G16" s="1">
        <v>186</v>
      </c>
      <c r="H16" s="1">
        <v>186</v>
      </c>
      <c r="I16" s="1">
        <v>186</v>
      </c>
    </row>
    <row r="17" spans="1:9" x14ac:dyDescent="0.3">
      <c r="A17" t="s">
        <v>30</v>
      </c>
      <c r="D17" s="1"/>
      <c r="E17" s="1"/>
      <c r="F17" s="1"/>
      <c r="G17" s="1"/>
      <c r="H17" s="1">
        <v>267</v>
      </c>
      <c r="I17" s="1">
        <v>267</v>
      </c>
    </row>
    <row r="18" spans="1:9" x14ac:dyDescent="0.3">
      <c r="A18" t="s">
        <v>12</v>
      </c>
      <c r="B18">
        <v>368</v>
      </c>
      <c r="C18">
        <v>368</v>
      </c>
      <c r="D18" s="1">
        <v>368</v>
      </c>
      <c r="E18" s="1">
        <v>368</v>
      </c>
      <c r="F18" s="1">
        <v>368</v>
      </c>
      <c r="G18" s="1">
        <v>368</v>
      </c>
      <c r="H18" s="1">
        <v>368</v>
      </c>
      <c r="I18" s="1">
        <v>368</v>
      </c>
    </row>
    <row r="19" spans="1:9" x14ac:dyDescent="0.3">
      <c r="A19" t="s">
        <v>19</v>
      </c>
      <c r="B19">
        <v>365</v>
      </c>
      <c r="C19">
        <v>365</v>
      </c>
      <c r="D19" s="1">
        <v>365</v>
      </c>
      <c r="E19" s="1">
        <v>365</v>
      </c>
      <c r="F19" s="1">
        <v>365</v>
      </c>
      <c r="G19" s="1">
        <v>365</v>
      </c>
      <c r="H19" s="1">
        <v>365</v>
      </c>
      <c r="I19" s="1">
        <v>365</v>
      </c>
    </row>
    <row r="20" spans="1:9" x14ac:dyDescent="0.3">
      <c r="A20" t="s">
        <v>10</v>
      </c>
      <c r="B20">
        <v>225</v>
      </c>
      <c r="C20">
        <v>225</v>
      </c>
      <c r="D20" s="1">
        <v>225</v>
      </c>
      <c r="E20" s="1">
        <v>225</v>
      </c>
      <c r="F20" s="1">
        <f>225+87</f>
        <v>312</v>
      </c>
      <c r="G20" s="1">
        <f>225+87</f>
        <v>312</v>
      </c>
      <c r="H20" s="1">
        <f>225+87</f>
        <v>312</v>
      </c>
      <c r="I20" s="1">
        <v>456</v>
      </c>
    </row>
    <row r="21" spans="1:9" x14ac:dyDescent="0.3">
      <c r="A21" t="s">
        <v>15</v>
      </c>
      <c r="B21">
        <v>0</v>
      </c>
      <c r="C21">
        <v>0</v>
      </c>
      <c r="D21" s="1">
        <v>0</v>
      </c>
      <c r="E21" s="1">
        <v>48.4</v>
      </c>
      <c r="F21" s="1">
        <f>48.4+47.4</f>
        <v>95.8</v>
      </c>
      <c r="G21" s="1">
        <v>225</v>
      </c>
      <c r="H21" s="1">
        <f>48.4+47.4+129.5-97.5</f>
        <v>127.80000000000001</v>
      </c>
      <c r="I21" s="1">
        <v>72</v>
      </c>
    </row>
  </sheetData>
  <pageMargins left="0.7" right="0.7" top="0.75" bottom="0.75" header="0.3" footer="0.3"/>
  <pageSetup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selection activeCell="G14" sqref="G14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821</v>
      </c>
      <c r="D5">
        <f>C5*B5</f>
        <v>250405</v>
      </c>
      <c r="E5" s="2">
        <f t="shared" ref="E5:E21" si="0">D5/$D$23</f>
        <v>4.9932530613473899E-2</v>
      </c>
    </row>
    <row r="6" spans="1:7" x14ac:dyDescent="0.3">
      <c r="A6" t="s">
        <v>3</v>
      </c>
      <c r="B6" s="1">
        <f>(511+255)*5</f>
        <v>3830</v>
      </c>
      <c r="C6">
        <v>199</v>
      </c>
      <c r="D6">
        <f t="shared" ref="D6:D21" si="1">C6*B6</f>
        <v>762170</v>
      </c>
      <c r="E6" s="2">
        <f t="shared" si="0"/>
        <v>0.15198209643446178</v>
      </c>
    </row>
    <row r="7" spans="1:7" x14ac:dyDescent="0.3">
      <c r="A7" t="s">
        <v>27</v>
      </c>
      <c r="B7" s="1">
        <v>473</v>
      </c>
      <c r="C7">
        <v>129</v>
      </c>
      <c r="D7">
        <f t="shared" si="1"/>
        <v>61017</v>
      </c>
      <c r="E7" s="2">
        <f t="shared" si="0"/>
        <v>1.2167221982158251E-2</v>
      </c>
    </row>
    <row r="8" spans="1:7" x14ac:dyDescent="0.3">
      <c r="A8" t="s">
        <v>20</v>
      </c>
      <c r="B8" s="1">
        <f>29+10</f>
        <v>39</v>
      </c>
      <c r="C8">
        <v>15075</v>
      </c>
      <c r="D8">
        <f t="shared" si="1"/>
        <v>587925</v>
      </c>
      <c r="E8" s="2">
        <f t="shared" si="0"/>
        <v>0.11723640926070422</v>
      </c>
    </row>
    <row r="9" spans="1:7" x14ac:dyDescent="0.3">
      <c r="A9" t="s">
        <v>17</v>
      </c>
      <c r="B9" s="1">
        <v>350</v>
      </c>
      <c r="C9">
        <v>308</v>
      </c>
      <c r="D9">
        <f t="shared" si="1"/>
        <v>107800</v>
      </c>
      <c r="E9" s="2">
        <f t="shared" si="0"/>
        <v>2.1496083545186742E-2</v>
      </c>
    </row>
    <row r="10" spans="1:7" x14ac:dyDescent="0.3">
      <c r="A10" t="s">
        <v>23</v>
      </c>
      <c r="B10" s="1">
        <v>1645</v>
      </c>
      <c r="C10">
        <v>152</v>
      </c>
      <c r="D10">
        <f t="shared" si="1"/>
        <v>250040</v>
      </c>
      <c r="E10" s="2">
        <f t="shared" si="0"/>
        <v>4.9859747028186394E-2</v>
      </c>
    </row>
    <row r="11" spans="1:7" x14ac:dyDescent="0.3">
      <c r="A11" t="s">
        <v>16</v>
      </c>
      <c r="B11" s="1">
        <v>840</v>
      </c>
      <c r="C11">
        <v>376</v>
      </c>
      <c r="D11">
        <f t="shared" si="1"/>
        <v>315840</v>
      </c>
      <c r="E11" s="2">
        <f t="shared" si="0"/>
        <v>6.2980733088235444E-2</v>
      </c>
    </row>
    <row r="12" spans="1:7" x14ac:dyDescent="0.3">
      <c r="A12" t="s">
        <v>25</v>
      </c>
      <c r="B12" s="1">
        <f>766+383+229</f>
        <v>1378</v>
      </c>
      <c r="C12">
        <v>201</v>
      </c>
      <c r="D12">
        <f t="shared" si="1"/>
        <v>276978</v>
      </c>
      <c r="E12" s="2">
        <f t="shared" si="0"/>
        <v>5.5231375029487322E-2</v>
      </c>
    </row>
    <row r="13" spans="1:7" x14ac:dyDescent="0.3">
      <c r="A13" t="s">
        <v>32</v>
      </c>
      <c r="B13" s="1">
        <v>614</v>
      </c>
      <c r="C13">
        <v>405</v>
      </c>
      <c r="D13">
        <f>C13*B13</f>
        <v>248670</v>
      </c>
      <c r="E13" s="2">
        <f t="shared" si="0"/>
        <v>4.9586559324504516E-2</v>
      </c>
    </row>
    <row r="14" spans="1:7" x14ac:dyDescent="0.3">
      <c r="A14" t="s">
        <v>8</v>
      </c>
      <c r="B14" s="1">
        <f>1093+219-995</f>
        <v>317</v>
      </c>
      <c r="C14">
        <v>580</v>
      </c>
      <c r="D14">
        <f t="shared" si="1"/>
        <v>183860</v>
      </c>
      <c r="E14" s="2">
        <f t="shared" si="0"/>
        <v>3.6662986276605143E-2</v>
      </c>
      <c r="G14" t="s">
        <v>33</v>
      </c>
    </row>
    <row r="15" spans="1:7" x14ac:dyDescent="0.3">
      <c r="A15" t="s">
        <v>28</v>
      </c>
      <c r="B15" s="1">
        <f>186+349</f>
        <v>535</v>
      </c>
      <c r="C15">
        <v>355</v>
      </c>
      <c r="D15">
        <f t="shared" si="1"/>
        <v>189925</v>
      </c>
      <c r="E15" s="2">
        <f t="shared" si="0"/>
        <v>3.7872390234875618E-2</v>
      </c>
    </row>
    <row r="16" spans="1:7" x14ac:dyDescent="0.3">
      <c r="A16" t="s">
        <v>29</v>
      </c>
      <c r="B16" s="1">
        <v>267</v>
      </c>
      <c r="C16">
        <v>960</v>
      </c>
      <c r="D16">
        <f t="shared" si="1"/>
        <v>256320</v>
      </c>
      <c r="E16" s="2">
        <f t="shared" si="0"/>
        <v>5.1112023509297458E-2</v>
      </c>
    </row>
    <row r="17" spans="1:5" x14ac:dyDescent="0.3">
      <c r="A17" t="s">
        <v>12</v>
      </c>
      <c r="B17" s="1">
        <v>368</v>
      </c>
      <c r="C17">
        <v>140</v>
      </c>
      <c r="D17">
        <f t="shared" si="1"/>
        <v>51520</v>
      </c>
      <c r="E17" s="2">
        <f t="shared" si="0"/>
        <v>1.0273452915102234E-2</v>
      </c>
    </row>
    <row r="18" spans="1:5" x14ac:dyDescent="0.3">
      <c r="A18" t="s">
        <v>19</v>
      </c>
      <c r="B18" s="1">
        <v>365</v>
      </c>
      <c r="C18">
        <v>445</v>
      </c>
      <c r="D18">
        <f t="shared" si="1"/>
        <v>162425</v>
      </c>
      <c r="E18" s="2">
        <f t="shared" si="0"/>
        <v>3.2388695452940229E-2</v>
      </c>
    </row>
    <row r="19" spans="1:5" x14ac:dyDescent="0.3">
      <c r="A19" t="s">
        <v>31</v>
      </c>
      <c r="B19" s="1">
        <f>920+319</f>
        <v>1239</v>
      </c>
      <c r="C19">
        <v>212</v>
      </c>
      <c r="D19">
        <f t="shared" si="1"/>
        <v>262668</v>
      </c>
      <c r="E19" s="2">
        <f t="shared" si="0"/>
        <v>5.2377859672051122E-2</v>
      </c>
    </row>
    <row r="20" spans="1:5" x14ac:dyDescent="0.3">
      <c r="A20" t="s">
        <v>10</v>
      </c>
      <c r="B20" s="1">
        <f>225+87+144</f>
        <v>456</v>
      </c>
      <c r="C20">
        <v>604</v>
      </c>
      <c r="D20">
        <f t="shared" si="1"/>
        <v>275424</v>
      </c>
      <c r="E20" s="2">
        <f t="shared" si="0"/>
        <v>5.4921496422537228E-2</v>
      </c>
    </row>
    <row r="21" spans="1:5" x14ac:dyDescent="0.3">
      <c r="A21" t="s">
        <v>15</v>
      </c>
      <c r="B21" s="1">
        <f>48.4+47.4+129.5-97.5-56+86.5+391.64-150.9-44.65+28+666.65-157.4-303.27+183.51</f>
        <v>771.88</v>
      </c>
      <c r="C21">
        <v>1000</v>
      </c>
      <c r="D21">
        <f t="shared" si="1"/>
        <v>771880</v>
      </c>
      <c r="E21" s="2">
        <f t="shared" si="0"/>
        <v>0.15391833921019241</v>
      </c>
    </row>
    <row r="23" spans="1:5" x14ac:dyDescent="0.3">
      <c r="D23">
        <f>SUM(D5:D21)</f>
        <v>5014867</v>
      </c>
      <c r="E23"/>
    </row>
  </sheetData>
  <pageMargins left="0.7" right="0.7" top="0.75" bottom="0.75" header="0.3" footer="0.3"/>
  <pageSetup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selection activeCell="G14" sqref="G14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895</v>
      </c>
      <c r="D5">
        <f>C5*B5</f>
        <v>272975</v>
      </c>
      <c r="E5" s="2">
        <f t="shared" ref="E5:E21" si="0">D5/$D$23</f>
        <v>5.3040984033395952E-2</v>
      </c>
    </row>
    <row r="6" spans="1:7" x14ac:dyDescent="0.3">
      <c r="A6" t="s">
        <v>3</v>
      </c>
      <c r="B6" s="1">
        <f>(511+255)*5</f>
        <v>3830</v>
      </c>
      <c r="C6">
        <v>222</v>
      </c>
      <c r="D6">
        <f t="shared" ref="D6:D21" si="1">C6*B6</f>
        <v>850260</v>
      </c>
      <c r="E6" s="2">
        <f t="shared" si="0"/>
        <v>0.16521156547022711</v>
      </c>
    </row>
    <row r="7" spans="1:7" x14ac:dyDescent="0.3">
      <c r="A7" t="s">
        <v>27</v>
      </c>
      <c r="B7" s="1">
        <v>473</v>
      </c>
      <c r="C7">
        <v>133</v>
      </c>
      <c r="D7">
        <f t="shared" si="1"/>
        <v>62909</v>
      </c>
      <c r="E7" s="2">
        <f t="shared" si="0"/>
        <v>1.2223666139964853E-2</v>
      </c>
    </row>
    <row r="8" spans="1:7" x14ac:dyDescent="0.3">
      <c r="A8" t="s">
        <v>20</v>
      </c>
      <c r="B8" s="1">
        <f>29+10</f>
        <v>39</v>
      </c>
      <c r="C8">
        <v>16479</v>
      </c>
      <c r="D8">
        <f t="shared" si="1"/>
        <v>642681</v>
      </c>
      <c r="E8" s="2">
        <f t="shared" si="0"/>
        <v>0.12487748936557173</v>
      </c>
    </row>
    <row r="9" spans="1:7" x14ac:dyDescent="0.3">
      <c r="A9" t="s">
        <v>17</v>
      </c>
      <c r="B9" s="1">
        <v>350</v>
      </c>
      <c r="C9">
        <v>325</v>
      </c>
      <c r="D9">
        <f t="shared" si="1"/>
        <v>113750</v>
      </c>
      <c r="E9" s="2">
        <f t="shared" si="0"/>
        <v>2.2102434046336807E-2</v>
      </c>
    </row>
    <row r="10" spans="1:7" x14ac:dyDescent="0.3">
      <c r="A10" t="s">
        <v>23</v>
      </c>
      <c r="B10" s="1">
        <v>1645</v>
      </c>
      <c r="C10">
        <v>144</v>
      </c>
      <c r="D10">
        <f t="shared" si="1"/>
        <v>236880</v>
      </c>
      <c r="E10" s="2">
        <f t="shared" si="0"/>
        <v>4.6027468807879231E-2</v>
      </c>
    </row>
    <row r="11" spans="1:7" x14ac:dyDescent="0.3">
      <c r="A11" t="s">
        <v>16</v>
      </c>
      <c r="B11" s="1">
        <v>840</v>
      </c>
      <c r="C11">
        <v>394</v>
      </c>
      <c r="D11">
        <f t="shared" si="1"/>
        <v>330960</v>
      </c>
      <c r="E11" s="2">
        <f t="shared" si="0"/>
        <v>6.4307881951434109E-2</v>
      </c>
    </row>
    <row r="12" spans="1:7" x14ac:dyDescent="0.3">
      <c r="A12" t="s">
        <v>25</v>
      </c>
      <c r="B12" s="1">
        <f>766+383+229</f>
        <v>1378</v>
      </c>
      <c r="C12">
        <v>182</v>
      </c>
      <c r="D12">
        <f t="shared" si="1"/>
        <v>250796</v>
      </c>
      <c r="E12" s="2">
        <f t="shared" si="0"/>
        <v>4.8731446585363387E-2</v>
      </c>
    </row>
    <row r="13" spans="1:7" x14ac:dyDescent="0.3">
      <c r="A13" t="s">
        <v>32</v>
      </c>
      <c r="B13" s="1">
        <v>614</v>
      </c>
      <c r="C13">
        <v>450</v>
      </c>
      <c r="D13">
        <f>C13*B13</f>
        <v>276300</v>
      </c>
      <c r="E13" s="2">
        <f t="shared" si="0"/>
        <v>5.3687055182442718E-2</v>
      </c>
    </row>
    <row r="14" spans="1:7" x14ac:dyDescent="0.3">
      <c r="A14" t="s">
        <v>8</v>
      </c>
      <c r="B14" s="1">
        <f>634+438</f>
        <v>1072</v>
      </c>
      <c r="C14">
        <v>240</v>
      </c>
      <c r="D14">
        <f t="shared" si="1"/>
        <v>257280</v>
      </c>
      <c r="E14" s="2">
        <f t="shared" si="0"/>
        <v>4.9991333902782709E-2</v>
      </c>
      <c r="G14" t="s">
        <v>34</v>
      </c>
    </row>
    <row r="15" spans="1:7" x14ac:dyDescent="0.3">
      <c r="A15" t="s">
        <v>28</v>
      </c>
      <c r="B15" s="1">
        <f>186+349</f>
        <v>535</v>
      </c>
      <c r="C15">
        <v>291</v>
      </c>
      <c r="D15">
        <f t="shared" si="1"/>
        <v>155685</v>
      </c>
      <c r="E15" s="2">
        <f t="shared" si="0"/>
        <v>3.0250702808825896E-2</v>
      </c>
    </row>
    <row r="16" spans="1:7" x14ac:dyDescent="0.3">
      <c r="A16" t="s">
        <v>29</v>
      </c>
      <c r="B16" s="1">
        <v>267</v>
      </c>
      <c r="C16">
        <v>900</v>
      </c>
      <c r="D16">
        <f t="shared" si="1"/>
        <v>240300</v>
      </c>
      <c r="E16" s="2">
        <f t="shared" si="0"/>
        <v>4.669199913261305E-2</v>
      </c>
    </row>
    <row r="17" spans="1:7" x14ac:dyDescent="0.3">
      <c r="A17" t="s">
        <v>12</v>
      </c>
      <c r="B17" s="1">
        <v>368</v>
      </c>
      <c r="C17">
        <v>135</v>
      </c>
      <c r="D17">
        <f t="shared" si="1"/>
        <v>49680</v>
      </c>
      <c r="E17" s="2">
        <f t="shared" si="0"/>
        <v>9.6531773487649446E-3</v>
      </c>
    </row>
    <row r="18" spans="1:7" x14ac:dyDescent="0.3">
      <c r="A18" t="s">
        <v>19</v>
      </c>
      <c r="B18" s="1">
        <v>365</v>
      </c>
      <c r="C18">
        <v>472</v>
      </c>
      <c r="D18">
        <f t="shared" si="1"/>
        <v>172280</v>
      </c>
      <c r="E18" s="2">
        <f t="shared" si="0"/>
        <v>3.3475229340684878E-2</v>
      </c>
    </row>
    <row r="19" spans="1:7" x14ac:dyDescent="0.3">
      <c r="A19" t="s">
        <v>31</v>
      </c>
      <c r="B19" s="1">
        <f>920+319</f>
        <v>1239</v>
      </c>
      <c r="C19">
        <v>216</v>
      </c>
      <c r="D19">
        <f t="shared" si="1"/>
        <v>267624</v>
      </c>
      <c r="E19" s="2">
        <f t="shared" si="0"/>
        <v>5.2001246674433767E-2</v>
      </c>
    </row>
    <row r="20" spans="1:7" x14ac:dyDescent="0.3">
      <c r="A20" t="s">
        <v>10</v>
      </c>
      <c r="B20" s="1">
        <f>225+87+144</f>
        <v>456</v>
      </c>
      <c r="C20">
        <v>657</v>
      </c>
      <c r="D20">
        <f t="shared" si="1"/>
        <v>299592</v>
      </c>
      <c r="E20" s="2">
        <f t="shared" si="0"/>
        <v>5.8212856446682518E-2</v>
      </c>
    </row>
    <row r="21" spans="1:7" x14ac:dyDescent="0.3">
      <c r="A21" t="s">
        <v>15</v>
      </c>
      <c r="B21" s="1">
        <f>48.4+47.4+129.5-97.5-56+86.5+391.64-150.9-44.65+28+666.65-157.4-303.27+183.51-105.34</f>
        <v>666.54</v>
      </c>
      <c r="C21">
        <v>1000</v>
      </c>
      <c r="D21">
        <f t="shared" si="1"/>
        <v>666540</v>
      </c>
      <c r="E21" s="2">
        <f t="shared" si="0"/>
        <v>0.12951346276259634</v>
      </c>
      <c r="G21" t="s">
        <v>35</v>
      </c>
    </row>
    <row r="23" spans="1:7" x14ac:dyDescent="0.3">
      <c r="D23">
        <f>SUM(D5:D21)</f>
        <v>5146492</v>
      </c>
      <c r="E23"/>
    </row>
  </sheetData>
  <pageMargins left="0.7" right="0.7" top="0.75" bottom="0.75" header="0.3" footer="0.3"/>
  <pageSetup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workbookViewId="0">
      <selection activeCell="G17" sqref="G17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887</v>
      </c>
      <c r="D5">
        <f>C5*B5</f>
        <v>270535</v>
      </c>
      <c r="E5" s="2">
        <f t="shared" ref="E5:E21" si="0">D5/$D$23</f>
        <v>5.3741557409614622E-2</v>
      </c>
    </row>
    <row r="6" spans="1:7" x14ac:dyDescent="0.3">
      <c r="A6" t="s">
        <v>3</v>
      </c>
      <c r="B6" s="1">
        <f>(511+255)*5</f>
        <v>3830</v>
      </c>
      <c r="C6">
        <v>220</v>
      </c>
      <c r="D6">
        <f t="shared" ref="D6:D21" si="1">C6*B6</f>
        <v>842600</v>
      </c>
      <c r="E6" s="2">
        <f t="shared" si="0"/>
        <v>0.16738180373460468</v>
      </c>
    </row>
    <row r="7" spans="1:7" x14ac:dyDescent="0.3">
      <c r="A7" t="s">
        <v>27</v>
      </c>
      <c r="B7" s="1">
        <v>473</v>
      </c>
      <c r="C7">
        <v>122</v>
      </c>
      <c r="D7">
        <f t="shared" si="1"/>
        <v>57706</v>
      </c>
      <c r="E7" s="2">
        <f t="shared" si="0"/>
        <v>1.1463249900675408E-2</v>
      </c>
    </row>
    <row r="8" spans="1:7" x14ac:dyDescent="0.3">
      <c r="A8" t="s">
        <v>20</v>
      </c>
      <c r="B8" s="1">
        <f>29+10</f>
        <v>39</v>
      </c>
      <c r="C8">
        <v>15588</v>
      </c>
      <c r="D8">
        <f t="shared" si="1"/>
        <v>607932</v>
      </c>
      <c r="E8" s="2">
        <f t="shared" si="0"/>
        <v>0.12076519666269368</v>
      </c>
    </row>
    <row r="9" spans="1:7" x14ac:dyDescent="0.3">
      <c r="A9" t="s">
        <v>17</v>
      </c>
      <c r="B9" s="1">
        <v>350</v>
      </c>
      <c r="C9">
        <v>330</v>
      </c>
      <c r="D9">
        <f t="shared" si="1"/>
        <v>115500</v>
      </c>
      <c r="E9" s="2">
        <f t="shared" si="0"/>
        <v>2.2943980929678188E-2</v>
      </c>
    </row>
    <row r="10" spans="1:7" x14ac:dyDescent="0.3">
      <c r="A10" t="s">
        <v>23</v>
      </c>
      <c r="B10" s="1">
        <v>1645</v>
      </c>
      <c r="C10">
        <v>140</v>
      </c>
      <c r="D10">
        <f t="shared" si="1"/>
        <v>230300</v>
      </c>
      <c r="E10" s="2">
        <f t="shared" si="0"/>
        <v>4.5748907429479541E-2</v>
      </c>
    </row>
    <row r="11" spans="1:7" x14ac:dyDescent="0.3">
      <c r="A11" t="s">
        <v>16</v>
      </c>
      <c r="B11" s="1">
        <v>840</v>
      </c>
      <c r="C11">
        <v>361</v>
      </c>
      <c r="D11">
        <f t="shared" si="1"/>
        <v>303240</v>
      </c>
      <c r="E11" s="2">
        <f t="shared" si="0"/>
        <v>6.0238379022646005E-2</v>
      </c>
    </row>
    <row r="12" spans="1:7" x14ac:dyDescent="0.3">
      <c r="A12" t="s">
        <v>25</v>
      </c>
      <c r="B12" s="1">
        <f>766+383+229</f>
        <v>1378</v>
      </c>
      <c r="C12">
        <v>190</v>
      </c>
      <c r="D12">
        <f t="shared" si="1"/>
        <v>261820</v>
      </c>
      <c r="E12" s="2">
        <f t="shared" si="0"/>
        <v>5.2010329757647994E-2</v>
      </c>
    </row>
    <row r="13" spans="1:7" x14ac:dyDescent="0.3">
      <c r="A13" t="s">
        <v>32</v>
      </c>
      <c r="B13" s="1">
        <v>614</v>
      </c>
      <c r="C13">
        <v>435</v>
      </c>
      <c r="D13">
        <f>C13*B13</f>
        <v>267090</v>
      </c>
      <c r="E13" s="2">
        <f t="shared" si="0"/>
        <v>5.3057210965435045E-2</v>
      </c>
    </row>
    <row r="14" spans="1:7" x14ac:dyDescent="0.3">
      <c r="A14" t="s">
        <v>8</v>
      </c>
      <c r="B14" s="1">
        <f>634+438</f>
        <v>1072</v>
      </c>
      <c r="C14">
        <v>232</v>
      </c>
      <c r="D14">
        <f t="shared" si="1"/>
        <v>248704</v>
      </c>
      <c r="E14" s="2">
        <f t="shared" si="0"/>
        <v>4.9404847040127133E-2</v>
      </c>
    </row>
    <row r="15" spans="1:7" x14ac:dyDescent="0.3">
      <c r="A15" t="s">
        <v>28</v>
      </c>
      <c r="B15" s="1">
        <f>186+349</f>
        <v>535</v>
      </c>
      <c r="C15">
        <v>289</v>
      </c>
      <c r="D15">
        <f t="shared" si="1"/>
        <v>154615</v>
      </c>
      <c r="E15" s="2">
        <f t="shared" si="0"/>
        <v>3.0714143822010331E-2</v>
      </c>
    </row>
    <row r="16" spans="1:7" x14ac:dyDescent="0.3">
      <c r="A16" t="s">
        <v>29</v>
      </c>
      <c r="B16" s="1">
        <v>267</v>
      </c>
      <c r="C16">
        <v>866</v>
      </c>
      <c r="D16">
        <f t="shared" si="1"/>
        <v>231222</v>
      </c>
      <c r="E16" s="2">
        <f t="shared" si="0"/>
        <v>4.5932061978545886E-2</v>
      </c>
    </row>
    <row r="17" spans="1:7" x14ac:dyDescent="0.3">
      <c r="A17" t="s">
        <v>12</v>
      </c>
      <c r="B17" s="1">
        <v>368</v>
      </c>
      <c r="C17">
        <v>132</v>
      </c>
      <c r="D17">
        <f t="shared" si="1"/>
        <v>48576</v>
      </c>
      <c r="E17" s="2">
        <f t="shared" si="0"/>
        <v>9.6495828367103697E-3</v>
      </c>
    </row>
    <row r="18" spans="1:7" x14ac:dyDescent="0.3">
      <c r="A18" t="s">
        <v>19</v>
      </c>
      <c r="B18" s="1">
        <v>365</v>
      </c>
      <c r="C18">
        <v>450</v>
      </c>
      <c r="D18">
        <f t="shared" si="1"/>
        <v>164250</v>
      </c>
      <c r="E18" s="2">
        <f t="shared" si="0"/>
        <v>3.2628128724672231E-2</v>
      </c>
    </row>
    <row r="19" spans="1:7" x14ac:dyDescent="0.3">
      <c r="A19" t="s">
        <v>31</v>
      </c>
      <c r="B19" s="1">
        <f>920+319+331</f>
        <v>1570</v>
      </c>
      <c r="C19">
        <v>223</v>
      </c>
      <c r="D19">
        <f t="shared" si="1"/>
        <v>350110</v>
      </c>
      <c r="E19" s="2">
        <f t="shared" si="0"/>
        <v>6.9549066348827973E-2</v>
      </c>
      <c r="G19" t="s">
        <v>36</v>
      </c>
    </row>
    <row r="20" spans="1:7" x14ac:dyDescent="0.3">
      <c r="A20" t="s">
        <v>10</v>
      </c>
      <c r="B20" s="1">
        <f>225+87+144</f>
        <v>456</v>
      </c>
      <c r="C20">
        <v>635</v>
      </c>
      <c r="D20">
        <f t="shared" si="1"/>
        <v>289560</v>
      </c>
      <c r="E20" s="2">
        <f t="shared" si="0"/>
        <v>5.7520858164481527E-2</v>
      </c>
    </row>
    <row r="21" spans="1:7" x14ac:dyDescent="0.3">
      <c r="A21" t="s">
        <v>15</v>
      </c>
      <c r="B21" s="1">
        <f>48.4+47.4+129.5-97.5-56+86.5+391.64-150.9-44.65+28+666.65-157.4-303.27+183.51-105.34-76.3</f>
        <v>590.24</v>
      </c>
      <c r="C21">
        <v>1000</v>
      </c>
      <c r="D21">
        <f t="shared" si="1"/>
        <v>590240</v>
      </c>
      <c r="E21" s="2">
        <f t="shared" si="0"/>
        <v>0.11725069527214939</v>
      </c>
      <c r="G21" t="s">
        <v>37</v>
      </c>
    </row>
    <row r="23" spans="1:7" x14ac:dyDescent="0.3">
      <c r="D23">
        <f>SUM(D5:D21)</f>
        <v>5034000</v>
      </c>
      <c r="E23"/>
    </row>
  </sheetData>
  <pageMargins left="0.7" right="0.7" top="0.75" bottom="0.75" header="0.3" footer="0.3"/>
  <pageSetup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workbookViewId="0">
      <selection activeCell="B7" sqref="B7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840</v>
      </c>
      <c r="D5">
        <f>C5*B5</f>
        <v>256200</v>
      </c>
      <c r="E5" s="2">
        <f t="shared" ref="E5:E21" si="0">D5/$D$23</f>
        <v>5.023530396770666E-2</v>
      </c>
    </row>
    <row r="6" spans="1:7" x14ac:dyDescent="0.3">
      <c r="A6" t="s">
        <v>3</v>
      </c>
      <c r="B6" s="1">
        <f>(511+255)*5</f>
        <v>3830</v>
      </c>
      <c r="C6">
        <v>240</v>
      </c>
      <c r="D6">
        <f t="shared" ref="D6:D21" si="1">C6*B6</f>
        <v>919200</v>
      </c>
      <c r="E6" s="2">
        <f t="shared" si="0"/>
        <v>0.18023532945790774</v>
      </c>
    </row>
    <row r="7" spans="1:7" x14ac:dyDescent="0.3">
      <c r="A7" t="s">
        <v>27</v>
      </c>
      <c r="B7" s="1">
        <f>473+780</f>
        <v>1253</v>
      </c>
      <c r="C7">
        <v>117</v>
      </c>
      <c r="D7">
        <f t="shared" si="1"/>
        <v>146601</v>
      </c>
      <c r="E7" s="2">
        <f t="shared" si="0"/>
        <v>2.8745299753980345E-2</v>
      </c>
      <c r="G7" t="s">
        <v>38</v>
      </c>
    </row>
    <row r="8" spans="1:7" x14ac:dyDescent="0.3">
      <c r="A8" t="s">
        <v>20</v>
      </c>
      <c r="B8" s="1">
        <f>29+10</f>
        <v>39</v>
      </c>
      <c r="C8">
        <v>16141</v>
      </c>
      <c r="D8">
        <f t="shared" si="1"/>
        <v>629499</v>
      </c>
      <c r="E8" s="2">
        <f t="shared" si="0"/>
        <v>0.12343120067278444</v>
      </c>
    </row>
    <row r="9" spans="1:7" x14ac:dyDescent="0.3">
      <c r="A9" t="s">
        <v>17</v>
      </c>
      <c r="B9" s="1">
        <v>350</v>
      </c>
      <c r="C9">
        <v>324</v>
      </c>
      <c r="D9">
        <f t="shared" si="1"/>
        <v>113400</v>
      </c>
      <c r="E9" s="2">
        <f t="shared" si="0"/>
        <v>2.2235298477509505E-2</v>
      </c>
    </row>
    <row r="10" spans="1:7" x14ac:dyDescent="0.3">
      <c r="A10" t="s">
        <v>23</v>
      </c>
      <c r="B10" s="1">
        <v>1645</v>
      </c>
      <c r="C10">
        <v>140</v>
      </c>
      <c r="D10">
        <f t="shared" si="1"/>
        <v>230300</v>
      </c>
      <c r="E10" s="2">
        <f t="shared" si="0"/>
        <v>4.515687159938659E-2</v>
      </c>
    </row>
    <row r="11" spans="1:7" x14ac:dyDescent="0.3">
      <c r="A11" t="s">
        <v>16</v>
      </c>
      <c r="B11" s="1">
        <v>840</v>
      </c>
      <c r="C11">
        <v>358</v>
      </c>
      <c r="D11">
        <f t="shared" si="1"/>
        <v>300720</v>
      </c>
      <c r="E11" s="2">
        <f t="shared" si="0"/>
        <v>5.8964717444062245E-2</v>
      </c>
    </row>
    <row r="12" spans="1:7" x14ac:dyDescent="0.3">
      <c r="A12" t="s">
        <v>25</v>
      </c>
      <c r="B12" s="1">
        <f>766+383+229</f>
        <v>1378</v>
      </c>
      <c r="C12">
        <v>184</v>
      </c>
      <c r="D12">
        <f t="shared" si="1"/>
        <v>253552</v>
      </c>
      <c r="E12" s="2">
        <f t="shared" si="0"/>
        <v>4.9716088179625133E-2</v>
      </c>
    </row>
    <row r="13" spans="1:7" x14ac:dyDescent="0.3">
      <c r="A13" t="s">
        <v>32</v>
      </c>
      <c r="B13" s="1">
        <v>614</v>
      </c>
      <c r="C13">
        <v>422</v>
      </c>
      <c r="D13">
        <f>C13*B13</f>
        <v>259108</v>
      </c>
      <c r="E13" s="2">
        <f t="shared" si="0"/>
        <v>5.0805500157941205E-2</v>
      </c>
    </row>
    <row r="14" spans="1:7" x14ac:dyDescent="0.3">
      <c r="A14" t="s">
        <v>8</v>
      </c>
      <c r="B14" s="1">
        <f>634+438</f>
        <v>1072</v>
      </c>
      <c r="C14">
        <v>224</v>
      </c>
      <c r="D14">
        <f t="shared" si="1"/>
        <v>240128</v>
      </c>
      <c r="E14" s="2">
        <f t="shared" si="0"/>
        <v>4.7083930800770744E-2</v>
      </c>
    </row>
    <row r="15" spans="1:7" x14ac:dyDescent="0.3">
      <c r="A15" t="s">
        <v>28</v>
      </c>
      <c r="B15" s="1">
        <f>186+349</f>
        <v>535</v>
      </c>
      <c r="C15">
        <v>291</v>
      </c>
      <c r="D15">
        <f t="shared" si="1"/>
        <v>155685</v>
      </c>
      <c r="E15" s="2">
        <f t="shared" si="0"/>
        <v>3.0526476573818937E-2</v>
      </c>
    </row>
    <row r="16" spans="1:7" x14ac:dyDescent="0.3">
      <c r="A16" t="s">
        <v>29</v>
      </c>
      <c r="B16" s="1">
        <v>267</v>
      </c>
      <c r="C16">
        <v>853</v>
      </c>
      <c r="D16">
        <f t="shared" si="1"/>
        <v>227751</v>
      </c>
      <c r="E16" s="2">
        <f t="shared" si="0"/>
        <v>4.4657067579817175E-2</v>
      </c>
    </row>
    <row r="17" spans="1:7" x14ac:dyDescent="0.3">
      <c r="A17" t="s">
        <v>12</v>
      </c>
      <c r="B17" s="1">
        <v>368</v>
      </c>
      <c r="C17">
        <v>133</v>
      </c>
      <c r="D17">
        <f t="shared" si="1"/>
        <v>48944</v>
      </c>
      <c r="E17" s="2">
        <f t="shared" si="0"/>
        <v>9.5968646268362011E-3</v>
      </c>
    </row>
    <row r="18" spans="1:7" x14ac:dyDescent="0.3">
      <c r="A18" t="s">
        <v>19</v>
      </c>
      <c r="B18" s="1">
        <v>365</v>
      </c>
      <c r="C18">
        <v>471</v>
      </c>
      <c r="D18">
        <f t="shared" si="1"/>
        <v>171915</v>
      </c>
      <c r="E18" s="2">
        <f t="shared" si="0"/>
        <v>3.3708830138986304E-2</v>
      </c>
    </row>
    <row r="19" spans="1:7" x14ac:dyDescent="0.3">
      <c r="A19" t="s">
        <v>31</v>
      </c>
      <c r="B19" s="1">
        <f>920+319+331</f>
        <v>1570</v>
      </c>
      <c r="C19">
        <v>234</v>
      </c>
      <c r="D19">
        <f t="shared" si="1"/>
        <v>367380</v>
      </c>
      <c r="E19" s="2">
        <f t="shared" si="0"/>
        <v>7.2035308242217308E-2</v>
      </c>
    </row>
    <row r="20" spans="1:7" x14ac:dyDescent="0.3">
      <c r="A20" t="s">
        <v>10</v>
      </c>
      <c r="B20" s="1">
        <f>225+87+144</f>
        <v>456</v>
      </c>
      <c r="C20">
        <v>631</v>
      </c>
      <c r="D20">
        <f t="shared" si="1"/>
        <v>287736</v>
      </c>
      <c r="E20" s="2">
        <f t="shared" si="0"/>
        <v>5.6418834591928355E-2</v>
      </c>
    </row>
    <row r="21" spans="1:7" x14ac:dyDescent="0.3">
      <c r="A21" t="s">
        <v>15</v>
      </c>
      <c r="B21" s="1">
        <f>48.4+47.4+129.5-97.5-56+86.5+391.64-150.9-44.65+28+666.65-157.4-303.27+183.51-105.34-76.3-98.36</f>
        <v>491.88</v>
      </c>
      <c r="C21">
        <v>1000</v>
      </c>
      <c r="D21">
        <f t="shared" si="1"/>
        <v>491880</v>
      </c>
      <c r="E21" s="2">
        <f t="shared" si="0"/>
        <v>9.6447077734721123E-2</v>
      </c>
      <c r="G21" t="s">
        <v>39</v>
      </c>
    </row>
    <row r="23" spans="1:7" x14ac:dyDescent="0.3">
      <c r="D23">
        <f>SUM(D5:D21)</f>
        <v>5099999</v>
      </c>
      <c r="E23"/>
    </row>
  </sheetData>
  <pageMargins left="0.7" right="0.7" top="0.75" bottom="0.75" header="0.3" footer="0.3"/>
  <pageSetup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"/>
  <sheetViews>
    <sheetView tabSelected="1" workbookViewId="0">
      <selection activeCell="B6" sqref="B6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887</v>
      </c>
      <c r="D5">
        <f>C5*B5</f>
        <v>270535</v>
      </c>
      <c r="E5" s="2">
        <f t="shared" ref="E5:E21" si="0">D5/$D$23</f>
        <v>5.1896589329331513E-2</v>
      </c>
    </row>
    <row r="6" spans="1:7" x14ac:dyDescent="0.3">
      <c r="A6" t="s">
        <v>3</v>
      </c>
      <c r="B6" s="1">
        <f>((511+255)*5)-1778</f>
        <v>2052</v>
      </c>
      <c r="C6">
        <v>255</v>
      </c>
      <c r="D6">
        <f t="shared" ref="D6:D21" si="1">C6*B6</f>
        <v>523260</v>
      </c>
      <c r="E6" s="2">
        <f t="shared" si="0"/>
        <v>0.10037669555682632</v>
      </c>
      <c r="G6" t="s">
        <v>40</v>
      </c>
    </row>
    <row r="7" spans="1:7" x14ac:dyDescent="0.3">
      <c r="A7" t="s">
        <v>27</v>
      </c>
      <c r="B7" s="1">
        <f>473+780</f>
        <v>1253</v>
      </c>
      <c r="C7">
        <v>124</v>
      </c>
      <c r="D7">
        <f t="shared" si="1"/>
        <v>155372</v>
      </c>
      <c r="E7" s="2">
        <f t="shared" si="0"/>
        <v>2.980493051648362E-2</v>
      </c>
    </row>
    <row r="8" spans="1:7" x14ac:dyDescent="0.3">
      <c r="A8" t="s">
        <v>20</v>
      </c>
      <c r="B8" s="1">
        <f>29+10</f>
        <v>39</v>
      </c>
      <c r="C8">
        <v>16267</v>
      </c>
      <c r="D8">
        <f t="shared" si="1"/>
        <v>634413</v>
      </c>
      <c r="E8" s="2">
        <f t="shared" si="0"/>
        <v>0.12169911814068123</v>
      </c>
    </row>
    <row r="9" spans="1:7" x14ac:dyDescent="0.3">
      <c r="A9" t="s">
        <v>17</v>
      </c>
      <c r="B9" s="1">
        <v>350</v>
      </c>
      <c r="C9">
        <v>327</v>
      </c>
      <c r="D9">
        <f t="shared" si="1"/>
        <v>114450</v>
      </c>
      <c r="E9" s="2">
        <f t="shared" si="0"/>
        <v>2.1954884391084301E-2</v>
      </c>
    </row>
    <row r="10" spans="1:7" x14ac:dyDescent="0.3">
      <c r="A10" t="s">
        <v>23</v>
      </c>
      <c r="B10" s="1">
        <v>1645</v>
      </c>
      <c r="C10">
        <v>140</v>
      </c>
      <c r="D10">
        <f t="shared" si="1"/>
        <v>230300</v>
      </c>
      <c r="E10" s="2">
        <f t="shared" si="0"/>
        <v>4.4178330059123763E-2</v>
      </c>
    </row>
    <row r="11" spans="1:7" x14ac:dyDescent="0.3">
      <c r="A11" t="s">
        <v>16</v>
      </c>
      <c r="B11" s="1">
        <v>840</v>
      </c>
      <c r="C11">
        <v>357</v>
      </c>
      <c r="D11">
        <f t="shared" si="1"/>
        <v>299880</v>
      </c>
      <c r="E11" s="2">
        <f t="shared" si="0"/>
        <v>5.7525825523795197E-2</v>
      </c>
    </row>
    <row r="12" spans="1:7" x14ac:dyDescent="0.3">
      <c r="A12" t="s">
        <v>25</v>
      </c>
      <c r="B12" s="1">
        <f>766+383+229</f>
        <v>1378</v>
      </c>
      <c r="C12">
        <v>194</v>
      </c>
      <c r="D12">
        <f t="shared" si="1"/>
        <v>267332</v>
      </c>
      <c r="E12" s="2">
        <f t="shared" si="0"/>
        <v>5.1282159493554816E-2</v>
      </c>
    </row>
    <row r="13" spans="1:7" x14ac:dyDescent="0.3">
      <c r="A13" t="s">
        <v>32</v>
      </c>
      <c r="B13" s="1">
        <v>614</v>
      </c>
      <c r="C13">
        <v>426</v>
      </c>
      <c r="D13">
        <f>C13*B13</f>
        <v>261564</v>
      </c>
      <c r="E13" s="2">
        <f t="shared" si="0"/>
        <v>5.0175687032499562E-2</v>
      </c>
    </row>
    <row r="14" spans="1:7" x14ac:dyDescent="0.3">
      <c r="A14" t="s">
        <v>8</v>
      </c>
      <c r="B14" s="1">
        <f>634+438</f>
        <v>1072</v>
      </c>
      <c r="C14">
        <v>225</v>
      </c>
      <c r="D14">
        <f t="shared" si="1"/>
        <v>241200</v>
      </c>
      <c r="E14" s="2">
        <f t="shared" si="0"/>
        <v>4.6269271429703225E-2</v>
      </c>
    </row>
    <row r="15" spans="1:7" x14ac:dyDescent="0.3">
      <c r="A15" t="s">
        <v>28</v>
      </c>
      <c r="B15" s="1">
        <f>186+349</f>
        <v>535</v>
      </c>
      <c r="C15">
        <v>302</v>
      </c>
      <c r="D15">
        <f t="shared" si="1"/>
        <v>161570</v>
      </c>
      <c r="E15" s="2">
        <f t="shared" si="0"/>
        <v>3.0993889655460821E-2</v>
      </c>
    </row>
    <row r="16" spans="1:7" x14ac:dyDescent="0.3">
      <c r="A16" t="s">
        <v>29</v>
      </c>
      <c r="B16" s="1">
        <v>267</v>
      </c>
      <c r="C16">
        <v>876</v>
      </c>
      <c r="D16">
        <f t="shared" si="1"/>
        <v>233892</v>
      </c>
      <c r="E16" s="2">
        <f t="shared" si="0"/>
        <v>4.4867381563997291E-2</v>
      </c>
    </row>
    <row r="17" spans="1:7" x14ac:dyDescent="0.3">
      <c r="A17" t="s">
        <v>12</v>
      </c>
      <c r="B17" s="1">
        <v>368</v>
      </c>
      <c r="C17">
        <v>133</v>
      </c>
      <c r="D17">
        <f t="shared" si="1"/>
        <v>48944</v>
      </c>
      <c r="E17" s="2">
        <f t="shared" si="0"/>
        <v>9.3889022423523823E-3</v>
      </c>
    </row>
    <row r="18" spans="1:7" x14ac:dyDescent="0.3">
      <c r="A18" t="s">
        <v>19</v>
      </c>
      <c r="B18" s="1">
        <v>365</v>
      </c>
      <c r="C18">
        <v>481</v>
      </c>
      <c r="D18">
        <f t="shared" si="1"/>
        <v>175565</v>
      </c>
      <c r="E18" s="2">
        <f t="shared" si="0"/>
        <v>3.3678543277594716E-2</v>
      </c>
    </row>
    <row r="19" spans="1:7" x14ac:dyDescent="0.3">
      <c r="A19" t="s">
        <v>31</v>
      </c>
      <c r="B19" s="1">
        <f>920+319+331</f>
        <v>1570</v>
      </c>
      <c r="C19">
        <v>235</v>
      </c>
      <c r="D19">
        <f t="shared" si="1"/>
        <v>368950</v>
      </c>
      <c r="E19" s="2">
        <f t="shared" si="0"/>
        <v>7.0775487951861546E-2</v>
      </c>
    </row>
    <row r="20" spans="1:7" x14ac:dyDescent="0.3">
      <c r="A20" t="s">
        <v>10</v>
      </c>
      <c r="B20" s="1">
        <f>225+87+144</f>
        <v>456</v>
      </c>
      <c r="C20">
        <v>656</v>
      </c>
      <c r="D20">
        <f t="shared" si="1"/>
        <v>299136</v>
      </c>
      <c r="E20" s="2">
        <f t="shared" si="0"/>
        <v>5.7383104388041888E-2</v>
      </c>
    </row>
    <row r="21" spans="1:7" x14ac:dyDescent="0.3">
      <c r="A21" t="s">
        <v>15</v>
      </c>
      <c r="B21" s="1">
        <f>48.4+47.4+129.5-97.5-56+86.5+391.64-150.9-44.65+28+666.65-157.4-303.27+183.51-105.34-76.3-98.36+434.72</f>
        <v>926.6</v>
      </c>
      <c r="C21">
        <v>1000</v>
      </c>
      <c r="D21">
        <f t="shared" si="1"/>
        <v>926600</v>
      </c>
      <c r="E21" s="2">
        <f t="shared" si="0"/>
        <v>0.17774919944760781</v>
      </c>
      <c r="G21" t="s">
        <v>41</v>
      </c>
    </row>
    <row r="23" spans="1:7" x14ac:dyDescent="0.3">
      <c r="D23">
        <f>SUM(D5:D21)</f>
        <v>5212963</v>
      </c>
      <c r="E23"/>
    </row>
  </sheetData>
  <pageMargins left="0.7" right="0.7" top="0.75" bottom="0.75" header="0.3" footer="0.3"/>
  <pageSetup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4"/>
  <sheetViews>
    <sheetView workbookViewId="0">
      <selection activeCell="E14" sqref="E14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880</v>
      </c>
      <c r="D5">
        <f>C5*B5</f>
        <v>268400</v>
      </c>
      <c r="E5" s="2">
        <f t="shared" ref="E5:E22" si="0">D5/$D$24</f>
        <v>5.006845237928681E-2</v>
      </c>
    </row>
    <row r="6" spans="1:7" x14ac:dyDescent="0.3">
      <c r="A6" t="s">
        <v>3</v>
      </c>
      <c r="B6" s="1">
        <f>((511+255)*5)-1778</f>
        <v>2052</v>
      </c>
      <c r="C6">
        <v>296</v>
      </c>
      <c r="D6">
        <f t="shared" ref="D6:D22" si="1">C6*B6</f>
        <v>607392</v>
      </c>
      <c r="E6" s="2">
        <f t="shared" si="0"/>
        <v>0.11330543005797233</v>
      </c>
    </row>
    <row r="7" spans="1:7" x14ac:dyDescent="0.3">
      <c r="A7" t="s">
        <v>27</v>
      </c>
      <c r="B7" s="1">
        <f>473+780</f>
        <v>1253</v>
      </c>
      <c r="C7">
        <v>133</v>
      </c>
      <c r="D7">
        <f t="shared" si="1"/>
        <v>166649</v>
      </c>
      <c r="E7" s="2">
        <f t="shared" si="0"/>
        <v>3.1087397617569922E-2</v>
      </c>
    </row>
    <row r="8" spans="1:7" x14ac:dyDescent="0.3">
      <c r="A8" t="s">
        <v>20</v>
      </c>
      <c r="B8" s="1">
        <f>29+10</f>
        <v>39</v>
      </c>
      <c r="C8">
        <v>15842</v>
      </c>
      <c r="D8">
        <f t="shared" si="1"/>
        <v>617838</v>
      </c>
      <c r="E8" s="2">
        <f t="shared" si="0"/>
        <v>0.11525407034692177</v>
      </c>
    </row>
    <row r="9" spans="1:7" x14ac:dyDescent="0.3">
      <c r="A9" t="s">
        <v>17</v>
      </c>
      <c r="B9" s="1">
        <v>350</v>
      </c>
      <c r="C9">
        <v>327</v>
      </c>
      <c r="D9">
        <f t="shared" si="1"/>
        <v>114450</v>
      </c>
      <c r="E9" s="2">
        <f t="shared" si="0"/>
        <v>2.1349979041763691E-2</v>
      </c>
    </row>
    <row r="10" spans="1:7" x14ac:dyDescent="0.3">
      <c r="A10" t="s">
        <v>23</v>
      </c>
      <c r="B10" s="1">
        <v>1645</v>
      </c>
      <c r="C10">
        <v>142</v>
      </c>
      <c r="D10">
        <f t="shared" si="1"/>
        <v>233590</v>
      </c>
      <c r="E10" s="2">
        <f t="shared" si="0"/>
        <v>4.3574850191049203E-2</v>
      </c>
    </row>
    <row r="11" spans="1:7" x14ac:dyDescent="0.3">
      <c r="A11" t="s">
        <v>16</v>
      </c>
      <c r="B11" s="1">
        <v>840</v>
      </c>
      <c r="C11">
        <v>346</v>
      </c>
      <c r="D11">
        <f t="shared" si="1"/>
        <v>290640</v>
      </c>
      <c r="E11" s="2">
        <f t="shared" si="0"/>
        <v>5.4217194484038445E-2</v>
      </c>
    </row>
    <row r="12" spans="1:7" x14ac:dyDescent="0.3">
      <c r="A12" t="s">
        <v>25</v>
      </c>
      <c r="B12" s="1">
        <f>766+383+229</f>
        <v>1378</v>
      </c>
      <c r="C12">
        <v>190</v>
      </c>
      <c r="D12">
        <f t="shared" si="1"/>
        <v>261820</v>
      </c>
      <c r="E12" s="2">
        <f t="shared" si="0"/>
        <v>4.8840991810524856E-2</v>
      </c>
    </row>
    <row r="13" spans="1:7" x14ac:dyDescent="0.3">
      <c r="A13" t="s">
        <v>32</v>
      </c>
      <c r="B13" s="1">
        <v>614</v>
      </c>
      <c r="C13">
        <v>499</v>
      </c>
      <c r="D13">
        <f>C13*B13</f>
        <v>306386</v>
      </c>
      <c r="E13" s="2">
        <f t="shared" si="0"/>
        <v>5.7154518817735353E-2</v>
      </c>
    </row>
    <row r="14" spans="1:7" x14ac:dyDescent="0.3">
      <c r="A14" t="s">
        <v>42</v>
      </c>
      <c r="B14" s="1">
        <v>265</v>
      </c>
      <c r="C14">
        <v>582</v>
      </c>
      <c r="D14">
        <f>C14*B14</f>
        <v>154230</v>
      </c>
      <c r="E14" s="2">
        <f t="shared" si="0"/>
        <v>2.8770705702151282E-2</v>
      </c>
      <c r="G14" t="s">
        <v>43</v>
      </c>
    </row>
    <row r="15" spans="1:7" x14ac:dyDescent="0.3">
      <c r="A15" t="s">
        <v>8</v>
      </c>
      <c r="B15" s="1">
        <f>634+438</f>
        <v>1072</v>
      </c>
      <c r="C15">
        <v>213</v>
      </c>
      <c r="D15">
        <f t="shared" si="1"/>
        <v>228336</v>
      </c>
      <c r="E15" s="2">
        <f t="shared" si="0"/>
        <v>4.2594747177633507E-2</v>
      </c>
    </row>
    <row r="16" spans="1:7" x14ac:dyDescent="0.3">
      <c r="A16" t="s">
        <v>28</v>
      </c>
      <c r="B16" s="1">
        <f>186+349</f>
        <v>535</v>
      </c>
      <c r="C16">
        <v>281</v>
      </c>
      <c r="D16">
        <f t="shared" si="1"/>
        <v>150335</v>
      </c>
      <c r="E16" s="2">
        <f t="shared" si="0"/>
        <v>2.8044116201341587E-2</v>
      </c>
    </row>
    <row r="17" spans="1:7" x14ac:dyDescent="0.3">
      <c r="A17" t="s">
        <v>29</v>
      </c>
      <c r="B17" s="1">
        <v>267</v>
      </c>
      <c r="C17">
        <v>918</v>
      </c>
      <c r="D17">
        <f t="shared" si="1"/>
        <v>245106</v>
      </c>
      <c r="E17" s="2">
        <f t="shared" si="0"/>
        <v>4.5723092730542002E-2</v>
      </c>
    </row>
    <row r="18" spans="1:7" x14ac:dyDescent="0.3">
      <c r="A18" t="s">
        <v>12</v>
      </c>
      <c r="B18" s="1">
        <v>368</v>
      </c>
      <c r="C18">
        <v>168</v>
      </c>
      <c r="D18">
        <f t="shared" si="1"/>
        <v>61824</v>
      </c>
      <c r="E18" s="2">
        <f t="shared" si="0"/>
        <v>1.1532906109899507E-2</v>
      </c>
    </row>
    <row r="19" spans="1:7" x14ac:dyDescent="0.3">
      <c r="A19" t="s">
        <v>19</v>
      </c>
      <c r="B19" s="1">
        <v>365</v>
      </c>
      <c r="C19">
        <v>477</v>
      </c>
      <c r="D19">
        <f t="shared" si="1"/>
        <v>174105</v>
      </c>
      <c r="E19" s="2">
        <f t="shared" si="0"/>
        <v>3.2478270869954286E-2</v>
      </c>
    </row>
    <row r="20" spans="1:7" x14ac:dyDescent="0.3">
      <c r="A20" t="s">
        <v>31</v>
      </c>
      <c r="B20" s="1">
        <f>920+319+331</f>
        <v>1570</v>
      </c>
      <c r="C20">
        <v>244</v>
      </c>
      <c r="D20">
        <f t="shared" si="1"/>
        <v>383080</v>
      </c>
      <c r="E20" s="2">
        <f t="shared" si="0"/>
        <v>7.1461336577709353E-2</v>
      </c>
    </row>
    <row r="21" spans="1:7" x14ac:dyDescent="0.3">
      <c r="A21" t="s">
        <v>10</v>
      </c>
      <c r="B21" s="1">
        <f>225+87+144</f>
        <v>456</v>
      </c>
      <c r="C21">
        <v>725</v>
      </c>
      <c r="D21">
        <f t="shared" si="1"/>
        <v>330600</v>
      </c>
      <c r="E21" s="2">
        <f t="shared" si="0"/>
        <v>6.1671499093115568E-2</v>
      </c>
    </row>
    <row r="22" spans="1:7" x14ac:dyDescent="0.3">
      <c r="A22" t="s">
        <v>15</v>
      </c>
      <c r="B22" s="1">
        <f>48.4+47.4+129.5-97.5-56+86.5+391.64-150.9-44.65+28+666.65-157.4-303.27+183.51-105.34-76.3-98.36+434.72-160.72</f>
        <v>765.88</v>
      </c>
      <c r="C22">
        <v>1000</v>
      </c>
      <c r="D22">
        <f t="shared" si="1"/>
        <v>765880</v>
      </c>
      <c r="E22" s="2">
        <f t="shared" si="0"/>
        <v>0.14287044079079053</v>
      </c>
      <c r="G22" t="s">
        <v>44</v>
      </c>
    </row>
    <row r="24" spans="1:7" x14ac:dyDescent="0.3">
      <c r="D24">
        <f>SUM(D5:D22)</f>
        <v>5360661</v>
      </c>
      <c r="E24"/>
    </row>
  </sheetData>
  <pageMargins left="0.7" right="0.7" top="0.75" bottom="0.75" header="0.3" footer="0.3"/>
  <pageSetup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"/>
  <sheetViews>
    <sheetView workbookViewId="0">
      <selection activeCell="B16" sqref="B16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865</v>
      </c>
      <c r="D5">
        <f>C5*B5</f>
        <v>263825</v>
      </c>
      <c r="E5" s="2">
        <f t="shared" ref="E5:E23" si="0">D5/$D$25</f>
        <v>4.9280604969509811E-2</v>
      </c>
    </row>
    <row r="6" spans="1:7" x14ac:dyDescent="0.3">
      <c r="A6" t="s">
        <v>3</v>
      </c>
      <c r="B6" s="1">
        <f>((511+255)*5)-1778</f>
        <v>2052</v>
      </c>
      <c r="C6">
        <v>241</v>
      </c>
      <c r="D6">
        <f t="shared" ref="D6:D23" si="1">C6*B6</f>
        <v>494532</v>
      </c>
      <c r="E6" s="2">
        <f t="shared" si="0"/>
        <v>9.2375006677841862E-2</v>
      </c>
    </row>
    <row r="7" spans="1:7" x14ac:dyDescent="0.3">
      <c r="A7" t="s">
        <v>27</v>
      </c>
      <c r="B7" s="1">
        <f>473+780</f>
        <v>1253</v>
      </c>
      <c r="C7">
        <v>132</v>
      </c>
      <c r="D7">
        <f t="shared" si="1"/>
        <v>165396</v>
      </c>
      <c r="E7" s="2">
        <f t="shared" si="0"/>
        <v>3.0894778506726221E-2</v>
      </c>
    </row>
    <row r="8" spans="1:7" x14ac:dyDescent="0.3">
      <c r="A8" t="s">
        <v>20</v>
      </c>
      <c r="B8" s="1">
        <f>29+10</f>
        <v>39</v>
      </c>
      <c r="C8">
        <v>15311</v>
      </c>
      <c r="D8">
        <f t="shared" si="1"/>
        <v>597129</v>
      </c>
      <c r="E8" s="2">
        <f t="shared" si="0"/>
        <v>0.11153938544428475</v>
      </c>
    </row>
    <row r="9" spans="1:7" x14ac:dyDescent="0.3">
      <c r="A9" t="s">
        <v>17</v>
      </c>
      <c r="B9" s="1">
        <v>350</v>
      </c>
      <c r="C9">
        <v>325</v>
      </c>
      <c r="D9">
        <f t="shared" si="1"/>
        <v>113750</v>
      </c>
      <c r="E9" s="2">
        <f t="shared" si="0"/>
        <v>2.1247678632736629E-2</v>
      </c>
    </row>
    <row r="10" spans="1:7" x14ac:dyDescent="0.3">
      <c r="A10" t="s">
        <v>23</v>
      </c>
      <c r="B10" s="1">
        <v>1645</v>
      </c>
      <c r="C10">
        <v>132</v>
      </c>
      <c r="D10">
        <f t="shared" si="1"/>
        <v>217140</v>
      </c>
      <c r="E10" s="2">
        <f t="shared" si="0"/>
        <v>4.0560184073076322E-2</v>
      </c>
    </row>
    <row r="11" spans="1:7" x14ac:dyDescent="0.3">
      <c r="A11" t="s">
        <v>16</v>
      </c>
      <c r="B11" s="1">
        <v>840</v>
      </c>
      <c r="C11">
        <v>338</v>
      </c>
      <c r="D11">
        <f t="shared" si="1"/>
        <v>283920</v>
      </c>
      <c r="E11" s="2">
        <f t="shared" si="0"/>
        <v>5.3034205867310627E-2</v>
      </c>
    </row>
    <row r="12" spans="1:7" x14ac:dyDescent="0.3">
      <c r="A12" t="s">
        <v>25</v>
      </c>
      <c r="B12" s="1">
        <f>766+383+229</f>
        <v>1378</v>
      </c>
      <c r="C12">
        <v>241</v>
      </c>
      <c r="D12">
        <f t="shared" si="1"/>
        <v>332098</v>
      </c>
      <c r="E12" s="2">
        <f t="shared" si="0"/>
        <v>6.2033508383073137E-2</v>
      </c>
    </row>
    <row r="13" spans="1:7" x14ac:dyDescent="0.3">
      <c r="A13" t="s">
        <v>32</v>
      </c>
      <c r="B13" s="1">
        <v>614</v>
      </c>
      <c r="C13">
        <v>599</v>
      </c>
      <c r="D13">
        <f>C13*B13</f>
        <v>367786</v>
      </c>
      <c r="E13" s="2">
        <f t="shared" si="0"/>
        <v>6.8699769086766366E-2</v>
      </c>
    </row>
    <row r="14" spans="1:7" x14ac:dyDescent="0.3">
      <c r="A14" t="s">
        <v>42</v>
      </c>
      <c r="B14" s="1">
        <v>265</v>
      </c>
      <c r="C14">
        <v>680</v>
      </c>
      <c r="D14">
        <f>C14*B14</f>
        <v>180200</v>
      </c>
      <c r="E14" s="2">
        <f t="shared" si="0"/>
        <v>3.3660058809838599E-2</v>
      </c>
    </row>
    <row r="15" spans="1:7" x14ac:dyDescent="0.3">
      <c r="A15" t="s">
        <v>8</v>
      </c>
      <c r="B15" s="1">
        <f>634+438-1072</f>
        <v>0</v>
      </c>
      <c r="C15">
        <v>200</v>
      </c>
      <c r="D15">
        <f t="shared" si="1"/>
        <v>0</v>
      </c>
      <c r="E15" s="2">
        <f t="shared" si="0"/>
        <v>0</v>
      </c>
      <c r="G15" t="s">
        <v>48</v>
      </c>
    </row>
    <row r="16" spans="1:7" x14ac:dyDescent="0.3">
      <c r="A16" t="s">
        <v>28</v>
      </c>
      <c r="B16" s="1">
        <f>186+349</f>
        <v>535</v>
      </c>
      <c r="C16">
        <v>286</v>
      </c>
      <c r="D16">
        <f t="shared" si="1"/>
        <v>153010</v>
      </c>
      <c r="E16" s="2">
        <f t="shared" si="0"/>
        <v>2.8581163143692585E-2</v>
      </c>
    </row>
    <row r="17" spans="1:7" x14ac:dyDescent="0.3">
      <c r="A17" t="s">
        <v>29</v>
      </c>
      <c r="B17" s="1">
        <v>267</v>
      </c>
      <c r="C17">
        <v>1140</v>
      </c>
      <c r="D17">
        <f t="shared" si="1"/>
        <v>304380</v>
      </c>
      <c r="E17" s="2">
        <f t="shared" si="0"/>
        <v>5.6855986129515389E-2</v>
      </c>
    </row>
    <row r="18" spans="1:7" x14ac:dyDescent="0.3">
      <c r="A18" t="s">
        <v>12</v>
      </c>
      <c r="B18" s="1">
        <v>368</v>
      </c>
      <c r="C18">
        <v>176</v>
      </c>
      <c r="D18">
        <f t="shared" si="1"/>
        <v>64768</v>
      </c>
      <c r="E18" s="2">
        <f t="shared" si="0"/>
        <v>1.2098194722506251E-2</v>
      </c>
    </row>
    <row r="19" spans="1:7" x14ac:dyDescent="0.3">
      <c r="A19" t="s">
        <v>19</v>
      </c>
      <c r="B19" s="1">
        <v>365</v>
      </c>
      <c r="C19">
        <v>400</v>
      </c>
      <c r="D19">
        <f t="shared" si="1"/>
        <v>146000</v>
      </c>
      <c r="E19" s="2">
        <f t="shared" si="0"/>
        <v>2.7271745761578443E-2</v>
      </c>
    </row>
    <row r="20" spans="1:7" x14ac:dyDescent="0.3">
      <c r="A20" t="s">
        <v>45</v>
      </c>
      <c r="B20" s="1">
        <v>6886</v>
      </c>
      <c r="C20">
        <v>38</v>
      </c>
      <c r="D20">
        <f t="shared" si="1"/>
        <v>261668</v>
      </c>
      <c r="E20" s="2">
        <f t="shared" si="0"/>
        <v>4.8877692944799371E-2</v>
      </c>
      <c r="G20" t="s">
        <v>46</v>
      </c>
    </row>
    <row r="21" spans="1:7" x14ac:dyDescent="0.3">
      <c r="A21" t="s">
        <v>31</v>
      </c>
      <c r="B21" s="1">
        <f>920+319+331</f>
        <v>1570</v>
      </c>
      <c r="C21">
        <v>234</v>
      </c>
      <c r="D21">
        <f t="shared" si="1"/>
        <v>367380</v>
      </c>
      <c r="E21" s="2">
        <f t="shared" si="0"/>
        <v>6.8623931218415674E-2</v>
      </c>
    </row>
    <row r="22" spans="1:7" x14ac:dyDescent="0.3">
      <c r="A22" t="s">
        <v>10</v>
      </c>
      <c r="B22" s="1">
        <f>225+87+144</f>
        <v>456</v>
      </c>
      <c r="C22">
        <v>744</v>
      </c>
      <c r="D22">
        <f t="shared" si="1"/>
        <v>339264</v>
      </c>
      <c r="E22" s="2">
        <f t="shared" si="0"/>
        <v>6.3372065438740743E-2</v>
      </c>
    </row>
    <row r="23" spans="1:7" x14ac:dyDescent="0.3">
      <c r="A23" t="s">
        <v>15</v>
      </c>
      <c r="B23" s="1">
        <f>48.4+47.4+129.5-97.5-56+86.5+391.64-150.9-44.65+28+666.65-157.4-303.27+183.51-105.34-76.3-98.36+434.72-160.72-64.6</f>
        <v>701.28</v>
      </c>
      <c r="C23">
        <v>1000</v>
      </c>
      <c r="D23">
        <f t="shared" si="1"/>
        <v>701280</v>
      </c>
      <c r="E23" s="2">
        <f t="shared" si="0"/>
        <v>0.13099404018958719</v>
      </c>
      <c r="G23" t="s">
        <v>47</v>
      </c>
    </row>
    <row r="25" spans="1:7" x14ac:dyDescent="0.3">
      <c r="D25">
        <f>SUM(D5:D23)</f>
        <v>5353526</v>
      </c>
      <c r="E25"/>
    </row>
  </sheetData>
  <pageMargins left="0.7" right="0.7" top="0.75" bottom="0.75" header="0.3" footer="0.3"/>
  <pageSetup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4"/>
  <sheetViews>
    <sheetView workbookViewId="0">
      <selection activeCell="B23" sqref="B23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800</v>
      </c>
      <c r="D5">
        <f>C5*B5</f>
        <v>244000</v>
      </c>
      <c r="E5" s="2">
        <f t="shared" ref="E5:E22" si="0">D5/$D$24</f>
        <v>4.8401385549171248E-2</v>
      </c>
    </row>
    <row r="6" spans="1:7" x14ac:dyDescent="0.3">
      <c r="A6" t="s">
        <v>3</v>
      </c>
      <c r="B6" s="1">
        <f>((511+255)*5)-1778</f>
        <v>2052</v>
      </c>
      <c r="C6">
        <v>207</v>
      </c>
      <c r="D6">
        <f t="shared" ref="D6:D22" si="1">C6*B6</f>
        <v>424764</v>
      </c>
      <c r="E6" s="2">
        <f t="shared" si="0"/>
        <v>8.4258877587738423E-2</v>
      </c>
    </row>
    <row r="7" spans="1:7" x14ac:dyDescent="0.3">
      <c r="A7" t="s">
        <v>27</v>
      </c>
      <c r="B7" s="1">
        <f>473+780</f>
        <v>1253</v>
      </c>
      <c r="C7">
        <v>123</v>
      </c>
      <c r="D7">
        <f t="shared" si="1"/>
        <v>154119</v>
      </c>
      <c r="E7" s="2">
        <f t="shared" si="0"/>
        <v>3.0572021063330831E-2</v>
      </c>
    </row>
    <row r="8" spans="1:7" x14ac:dyDescent="0.3">
      <c r="A8" t="s">
        <v>20</v>
      </c>
      <c r="B8" s="1">
        <f>29+10</f>
        <v>39</v>
      </c>
      <c r="C8">
        <v>15175</v>
      </c>
      <c r="D8">
        <f t="shared" si="1"/>
        <v>591825</v>
      </c>
      <c r="E8" s="2">
        <f t="shared" si="0"/>
        <v>0.11739815574851752</v>
      </c>
    </row>
    <row r="9" spans="1:7" x14ac:dyDescent="0.3">
      <c r="A9" t="s">
        <v>17</v>
      </c>
      <c r="B9" s="1">
        <v>350</v>
      </c>
      <c r="C9">
        <v>330</v>
      </c>
      <c r="D9">
        <f t="shared" si="1"/>
        <v>115500</v>
      </c>
      <c r="E9" s="2">
        <f t="shared" si="0"/>
        <v>2.2911311602169176E-2</v>
      </c>
    </row>
    <row r="10" spans="1:7" x14ac:dyDescent="0.3">
      <c r="A10" t="s">
        <v>23</v>
      </c>
      <c r="B10" s="1">
        <v>1645</v>
      </c>
      <c r="C10">
        <v>127</v>
      </c>
      <c r="D10">
        <f t="shared" si="1"/>
        <v>208915</v>
      </c>
      <c r="E10" s="2">
        <f t="shared" si="0"/>
        <v>4.14417027131357E-2</v>
      </c>
    </row>
    <row r="11" spans="1:7" x14ac:dyDescent="0.3">
      <c r="A11" t="s">
        <v>16</v>
      </c>
      <c r="B11" s="1">
        <v>840</v>
      </c>
      <c r="C11">
        <v>306</v>
      </c>
      <c r="D11">
        <f t="shared" si="1"/>
        <v>257040</v>
      </c>
      <c r="E11" s="2">
        <f t="shared" si="0"/>
        <v>5.0988082547372859E-2</v>
      </c>
    </row>
    <row r="12" spans="1:7" x14ac:dyDescent="0.3">
      <c r="A12" t="s">
        <v>25</v>
      </c>
      <c r="B12" s="1">
        <f>766+383+229</f>
        <v>1378</v>
      </c>
      <c r="C12">
        <v>217</v>
      </c>
      <c r="D12">
        <f t="shared" si="1"/>
        <v>299026</v>
      </c>
      <c r="E12" s="2">
        <f t="shared" si="0"/>
        <v>5.9316691455846234E-2</v>
      </c>
    </row>
    <row r="13" spans="1:7" x14ac:dyDescent="0.3">
      <c r="A13" t="s">
        <v>32</v>
      </c>
      <c r="B13" s="1">
        <v>614</v>
      </c>
      <c r="C13">
        <v>565</v>
      </c>
      <c r="D13">
        <f>C13*B13</f>
        <v>346910</v>
      </c>
      <c r="E13" s="2">
        <f t="shared" si="0"/>
        <v>6.8815265003536866E-2</v>
      </c>
    </row>
    <row r="14" spans="1:7" x14ac:dyDescent="0.3">
      <c r="A14" t="s">
        <v>42</v>
      </c>
      <c r="B14" s="1">
        <v>265</v>
      </c>
      <c r="C14">
        <v>623</v>
      </c>
      <c r="D14">
        <f>C14*B14</f>
        <v>165095</v>
      </c>
      <c r="E14" s="2">
        <f t="shared" si="0"/>
        <v>3.2749289947706664E-2</v>
      </c>
    </row>
    <row r="15" spans="1:7" x14ac:dyDescent="0.3">
      <c r="A15" t="s">
        <v>28</v>
      </c>
      <c r="B15" s="1">
        <f>186+349</f>
        <v>535</v>
      </c>
      <c r="C15">
        <v>239</v>
      </c>
      <c r="D15">
        <f t="shared" si="1"/>
        <v>127865</v>
      </c>
      <c r="E15" s="2">
        <f t="shared" si="0"/>
        <v>2.5364111324773692E-2</v>
      </c>
    </row>
    <row r="16" spans="1:7" x14ac:dyDescent="0.3">
      <c r="A16" t="s">
        <v>29</v>
      </c>
      <c r="B16" s="1">
        <v>267</v>
      </c>
      <c r="C16">
        <v>1016</v>
      </c>
      <c r="D16">
        <f t="shared" si="1"/>
        <v>271272</v>
      </c>
      <c r="E16" s="2">
        <f t="shared" si="0"/>
        <v>5.3811232215962221E-2</v>
      </c>
    </row>
    <row r="17" spans="1:7" x14ac:dyDescent="0.3">
      <c r="A17" t="s">
        <v>12</v>
      </c>
      <c r="B17" s="1">
        <v>368</v>
      </c>
      <c r="C17">
        <v>164</v>
      </c>
      <c r="D17">
        <f t="shared" si="1"/>
        <v>60352</v>
      </c>
      <c r="E17" s="2">
        <f t="shared" si="0"/>
        <v>1.1971805002719603E-2</v>
      </c>
    </row>
    <row r="18" spans="1:7" x14ac:dyDescent="0.3">
      <c r="A18" t="s">
        <v>19</v>
      </c>
      <c r="B18" s="1">
        <v>365</v>
      </c>
      <c r="C18">
        <v>391</v>
      </c>
      <c r="D18">
        <f t="shared" si="1"/>
        <v>142715</v>
      </c>
      <c r="E18" s="2">
        <f t="shared" si="0"/>
        <v>2.8309851387909729E-2</v>
      </c>
    </row>
    <row r="19" spans="1:7" x14ac:dyDescent="0.3">
      <c r="A19" t="s">
        <v>45</v>
      </c>
      <c r="B19" s="1">
        <v>6886</v>
      </c>
      <c r="C19">
        <v>35</v>
      </c>
      <c r="D19">
        <f t="shared" si="1"/>
        <v>241010</v>
      </c>
      <c r="E19" s="2">
        <f t="shared" si="0"/>
        <v>4.7808270209859678E-2</v>
      </c>
    </row>
    <row r="20" spans="1:7" x14ac:dyDescent="0.3">
      <c r="A20" t="s">
        <v>31</v>
      </c>
      <c r="B20" s="1">
        <f>920+319+331</f>
        <v>1570</v>
      </c>
      <c r="C20">
        <v>236</v>
      </c>
      <c r="D20">
        <f t="shared" si="1"/>
        <v>370520</v>
      </c>
      <c r="E20" s="2">
        <f t="shared" si="0"/>
        <v>7.349869415442184E-2</v>
      </c>
    </row>
    <row r="21" spans="1:7" x14ac:dyDescent="0.3">
      <c r="A21" t="s">
        <v>10</v>
      </c>
      <c r="B21" s="1">
        <f>225+87+144-228</f>
        <v>228</v>
      </c>
      <c r="C21">
        <v>715</v>
      </c>
      <c r="D21">
        <f t="shared" si="1"/>
        <v>163020</v>
      </c>
      <c r="E21" s="2">
        <f t="shared" si="0"/>
        <v>3.2337679804204496E-2</v>
      </c>
      <c r="G21" t="s">
        <v>49</v>
      </c>
    </row>
    <row r="22" spans="1:7" x14ac:dyDescent="0.3">
      <c r="A22" t="s">
        <v>15</v>
      </c>
      <c r="B22" s="1">
        <f>48.4+47.4+129.5-97.5-56+86.5+391.64-150.9-44.65+28+666.65-157.4-303.27+183.51-105.34-76.3-98.36+434.72-160.72-64.6+155.95</f>
        <v>857.23</v>
      </c>
      <c r="C22">
        <v>1000</v>
      </c>
      <c r="D22">
        <f t="shared" si="1"/>
        <v>857230</v>
      </c>
      <c r="E22" s="2">
        <f t="shared" si="0"/>
        <v>0.17004557268162324</v>
      </c>
      <c r="G22" t="s">
        <v>50</v>
      </c>
    </row>
    <row r="24" spans="1:7" x14ac:dyDescent="0.3">
      <c r="D24">
        <f>SUM(D5:D22)</f>
        <v>5041178</v>
      </c>
      <c r="E24"/>
    </row>
  </sheetData>
  <pageMargins left="0.7" right="0.7" top="0.75" bottom="0.75" header="0.3" footer="0.3"/>
  <pageSetup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"/>
  <sheetViews>
    <sheetView workbookViewId="0">
      <selection activeCell="B24" sqref="B24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817</v>
      </c>
      <c r="D5">
        <f>C5*B5</f>
        <v>249185</v>
      </c>
      <c r="E5" s="2">
        <f t="shared" ref="E5:E23" si="0">D5/$D$25</f>
        <v>4.9187760906246276E-2</v>
      </c>
    </row>
    <row r="6" spans="1:7" x14ac:dyDescent="0.3">
      <c r="A6" t="s">
        <v>3</v>
      </c>
      <c r="B6" s="1">
        <f>((511+255)*5)-1778</f>
        <v>2052</v>
      </c>
      <c r="C6">
        <v>224</v>
      </c>
      <c r="D6">
        <f t="shared" ref="D6:D23" si="1">C6*B6</f>
        <v>459648</v>
      </c>
      <c r="E6" s="2">
        <f t="shared" si="0"/>
        <v>9.0732010052909637E-2</v>
      </c>
    </row>
    <row r="7" spans="1:7" x14ac:dyDescent="0.3">
      <c r="A7" t="s">
        <v>27</v>
      </c>
      <c r="B7" s="1">
        <f>473+780</f>
        <v>1253</v>
      </c>
      <c r="C7">
        <v>116</v>
      </c>
      <c r="D7">
        <f t="shared" si="1"/>
        <v>145348</v>
      </c>
      <c r="E7" s="2">
        <f t="shared" si="0"/>
        <v>2.8690903032690906E-2</v>
      </c>
    </row>
    <row r="8" spans="1:7" x14ac:dyDescent="0.3">
      <c r="A8" t="s">
        <v>20</v>
      </c>
      <c r="B8" s="1">
        <f>29+10</f>
        <v>39</v>
      </c>
      <c r="C8">
        <v>15781</v>
      </c>
      <c r="D8">
        <f t="shared" si="1"/>
        <v>615459</v>
      </c>
      <c r="E8" s="2">
        <f t="shared" si="0"/>
        <v>0.12148825226075978</v>
      </c>
    </row>
    <row r="9" spans="1:7" x14ac:dyDescent="0.3">
      <c r="A9" t="s">
        <v>17</v>
      </c>
      <c r="B9" s="1">
        <v>350</v>
      </c>
      <c r="C9">
        <v>317</v>
      </c>
      <c r="D9">
        <f t="shared" si="1"/>
        <v>110950</v>
      </c>
      <c r="E9" s="2">
        <f t="shared" si="0"/>
        <v>2.1900925306691913E-2</v>
      </c>
    </row>
    <row r="10" spans="1:7" x14ac:dyDescent="0.3">
      <c r="A10" t="s">
        <v>23</v>
      </c>
      <c r="B10" s="1">
        <v>1645</v>
      </c>
      <c r="C10">
        <v>131</v>
      </c>
      <c r="D10">
        <f t="shared" si="1"/>
        <v>215495</v>
      </c>
      <c r="E10" s="2">
        <f t="shared" si="0"/>
        <v>4.2537538521546403E-2</v>
      </c>
    </row>
    <row r="11" spans="1:7" x14ac:dyDescent="0.3">
      <c r="A11" t="s">
        <v>16</v>
      </c>
      <c r="B11" s="1">
        <v>840</v>
      </c>
      <c r="C11">
        <v>301</v>
      </c>
      <c r="D11">
        <f t="shared" si="1"/>
        <v>252840</v>
      </c>
      <c r="E11" s="2">
        <f t="shared" si="0"/>
        <v>4.9909237985975512E-2</v>
      </c>
    </row>
    <row r="12" spans="1:7" x14ac:dyDescent="0.3">
      <c r="A12" t="s">
        <v>25</v>
      </c>
      <c r="B12" s="1">
        <f>766+383+229</f>
        <v>1378</v>
      </c>
      <c r="C12">
        <v>216</v>
      </c>
      <c r="D12">
        <f t="shared" si="1"/>
        <v>297648</v>
      </c>
      <c r="E12" s="2">
        <f t="shared" si="0"/>
        <v>5.8754092975991296E-2</v>
      </c>
    </row>
    <row r="13" spans="1:7" x14ac:dyDescent="0.3">
      <c r="A13" t="s">
        <v>32</v>
      </c>
      <c r="B13" s="1">
        <v>614</v>
      </c>
      <c r="C13">
        <v>563</v>
      </c>
      <c r="D13">
        <f>C13*B13</f>
        <v>345682</v>
      </c>
      <c r="E13" s="2">
        <f t="shared" si="0"/>
        <v>6.8235742783847447E-2</v>
      </c>
    </row>
    <row r="14" spans="1:7" x14ac:dyDescent="0.3">
      <c r="A14" t="s">
        <v>51</v>
      </c>
      <c r="B14" s="1">
        <v>1011</v>
      </c>
      <c r="C14">
        <v>221</v>
      </c>
      <c r="D14">
        <f>C14*B14</f>
        <v>223431</v>
      </c>
      <c r="E14" s="2">
        <f t="shared" si="0"/>
        <v>4.410406166921569E-2</v>
      </c>
      <c r="G14" t="s">
        <v>52</v>
      </c>
    </row>
    <row r="15" spans="1:7" x14ac:dyDescent="0.3">
      <c r="A15" t="s">
        <v>42</v>
      </c>
      <c r="B15" s="1">
        <v>265</v>
      </c>
      <c r="C15">
        <v>612</v>
      </c>
      <c r="D15">
        <f>C15*B15</f>
        <v>162180</v>
      </c>
      <c r="E15" s="2">
        <f t="shared" si="0"/>
        <v>3.2013448095892696E-2</v>
      </c>
    </row>
    <row r="16" spans="1:7" x14ac:dyDescent="0.3">
      <c r="A16" t="s">
        <v>28</v>
      </c>
      <c r="B16" s="1">
        <f>186+349</f>
        <v>535</v>
      </c>
      <c r="C16">
        <v>254</v>
      </c>
      <c r="D16">
        <f t="shared" si="1"/>
        <v>135890</v>
      </c>
      <c r="E16" s="2">
        <f t="shared" si="0"/>
        <v>2.6823945380138475E-2</v>
      </c>
    </row>
    <row r="17" spans="1:7" x14ac:dyDescent="0.3">
      <c r="A17" t="s">
        <v>29</v>
      </c>
      <c r="B17" s="1">
        <v>267</v>
      </c>
      <c r="C17">
        <v>1013</v>
      </c>
      <c r="D17">
        <f t="shared" si="1"/>
        <v>270471</v>
      </c>
      <c r="E17" s="2">
        <f t="shared" si="0"/>
        <v>5.3389501294513461E-2</v>
      </c>
    </row>
    <row r="18" spans="1:7" x14ac:dyDescent="0.3">
      <c r="A18" t="s">
        <v>12</v>
      </c>
      <c r="B18" s="1">
        <v>368</v>
      </c>
      <c r="C18">
        <v>163</v>
      </c>
      <c r="D18">
        <f t="shared" si="1"/>
        <v>59984</v>
      </c>
      <c r="E18" s="2">
        <f t="shared" si="0"/>
        <v>1.1840514678653517E-2</v>
      </c>
    </row>
    <row r="19" spans="1:7" x14ac:dyDescent="0.3">
      <c r="A19" t="s">
        <v>19</v>
      </c>
      <c r="B19" s="1">
        <v>365</v>
      </c>
      <c r="C19">
        <v>399</v>
      </c>
      <c r="D19">
        <f t="shared" si="1"/>
        <v>145635</v>
      </c>
      <c r="E19" s="2">
        <f t="shared" si="0"/>
        <v>2.8747555268500015E-2</v>
      </c>
    </row>
    <row r="20" spans="1:7" x14ac:dyDescent="0.3">
      <c r="A20" t="s">
        <v>45</v>
      </c>
      <c r="B20" s="1">
        <v>6886</v>
      </c>
      <c r="C20">
        <v>34</v>
      </c>
      <c r="D20">
        <f t="shared" si="1"/>
        <v>234124</v>
      </c>
      <c r="E20" s="2">
        <f t="shared" si="0"/>
        <v>4.6214801590842153E-2</v>
      </c>
    </row>
    <row r="21" spans="1:7" x14ac:dyDescent="0.3">
      <c r="A21" t="s">
        <v>31</v>
      </c>
      <c r="B21" s="1">
        <f>920+319+331</f>
        <v>1570</v>
      </c>
      <c r="C21">
        <v>241</v>
      </c>
      <c r="D21">
        <f t="shared" si="1"/>
        <v>378370</v>
      </c>
      <c r="E21" s="2">
        <f t="shared" si="0"/>
        <v>7.4688175829590073E-2</v>
      </c>
    </row>
    <row r="22" spans="1:7" x14ac:dyDescent="0.3">
      <c r="A22" t="s">
        <v>10</v>
      </c>
      <c r="B22" s="1">
        <f>225+87+144-228</f>
        <v>228</v>
      </c>
      <c r="C22">
        <v>707</v>
      </c>
      <c r="D22">
        <f t="shared" si="1"/>
        <v>161196</v>
      </c>
      <c r="E22" s="2">
        <f t="shared" si="0"/>
        <v>3.1819211858832894E-2</v>
      </c>
    </row>
    <row r="23" spans="1:7" x14ac:dyDescent="0.3">
      <c r="A23" t="s">
        <v>15</v>
      </c>
      <c r="B23" s="1">
        <f>48.4+47.4+129.5-97.5-56+86.5+391.64-150.9-44.65+28+666.65-157.4-303.27+183.51-105.34-76.3-98.36+434.72-160.72-64.6+155.95-254.77</f>
        <v>602.46</v>
      </c>
      <c r="C23">
        <v>1000</v>
      </c>
      <c r="D23">
        <f t="shared" si="1"/>
        <v>602460</v>
      </c>
      <c r="E23" s="2">
        <f t="shared" si="0"/>
        <v>0.11892232050716187</v>
      </c>
      <c r="G23" t="s">
        <v>53</v>
      </c>
    </row>
    <row r="25" spans="1:7" x14ac:dyDescent="0.3">
      <c r="D25">
        <f>SUM(D5:D23)</f>
        <v>5065996</v>
      </c>
      <c r="E25"/>
    </row>
  </sheetData>
  <pageMargins left="0.7" right="0.7" top="0.75" bottom="0.75" header="0.3" footer="0.3"/>
  <pageSetup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5"/>
  <sheetViews>
    <sheetView workbookViewId="0">
      <selection activeCell="B12" sqref="B12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878</v>
      </c>
      <c r="D5">
        <f>C5*B5</f>
        <v>267790</v>
      </c>
      <c r="E5" s="2">
        <f t="shared" ref="E5:E23" si="0">D5/$D$25</f>
        <v>5.070045156894222E-2</v>
      </c>
    </row>
    <row r="6" spans="1:7" x14ac:dyDescent="0.3">
      <c r="A6" t="s">
        <v>3</v>
      </c>
      <c r="B6" s="1">
        <f>((511+255)*5)-1778</f>
        <v>2052</v>
      </c>
      <c r="C6">
        <v>219</v>
      </c>
      <c r="D6">
        <f t="shared" ref="D6:D23" si="1">C6*B6</f>
        <v>449388</v>
      </c>
      <c r="E6" s="2">
        <f t="shared" si="0"/>
        <v>8.5082245526956965E-2</v>
      </c>
    </row>
    <row r="7" spans="1:7" x14ac:dyDescent="0.3">
      <c r="A7" t="s">
        <v>27</v>
      </c>
      <c r="B7" s="1">
        <f>473+780</f>
        <v>1253</v>
      </c>
      <c r="C7">
        <v>112</v>
      </c>
      <c r="D7">
        <f t="shared" si="1"/>
        <v>140336</v>
      </c>
      <c r="E7" s="2">
        <f t="shared" si="0"/>
        <v>2.6569694803312578E-2</v>
      </c>
    </row>
    <row r="8" spans="1:7" x14ac:dyDescent="0.3">
      <c r="A8" t="s">
        <v>20</v>
      </c>
      <c r="B8" s="1">
        <f>29+10</f>
        <v>39</v>
      </c>
      <c r="C8">
        <v>18909</v>
      </c>
      <c r="D8">
        <f t="shared" si="1"/>
        <v>737451</v>
      </c>
      <c r="E8" s="2">
        <f t="shared" si="0"/>
        <v>0.13962096683956834</v>
      </c>
    </row>
    <row r="9" spans="1:7" x14ac:dyDescent="0.3">
      <c r="A9" t="s">
        <v>17</v>
      </c>
      <c r="B9" s="1">
        <v>350</v>
      </c>
      <c r="C9">
        <v>318</v>
      </c>
      <c r="D9">
        <f t="shared" si="1"/>
        <v>111300</v>
      </c>
      <c r="E9" s="2">
        <f t="shared" si="0"/>
        <v>2.1072333767591281E-2</v>
      </c>
    </row>
    <row r="10" spans="1:7" x14ac:dyDescent="0.3">
      <c r="A10" t="s">
        <v>23</v>
      </c>
      <c r="B10" s="1">
        <v>1645</v>
      </c>
      <c r="C10">
        <v>142</v>
      </c>
      <c r="D10">
        <f t="shared" si="1"/>
        <v>233590</v>
      </c>
      <c r="E10" s="2">
        <f t="shared" si="0"/>
        <v>4.422539483173088E-2</v>
      </c>
    </row>
    <row r="11" spans="1:7" x14ac:dyDescent="0.3">
      <c r="A11" t="s">
        <v>16</v>
      </c>
      <c r="B11" s="1">
        <f>840+420</f>
        <v>1260</v>
      </c>
      <c r="C11">
        <v>355</v>
      </c>
      <c r="D11">
        <f t="shared" si="1"/>
        <v>447300</v>
      </c>
      <c r="E11" s="2">
        <f t="shared" si="0"/>
        <v>8.4686926273527224E-2</v>
      </c>
      <c r="G11" t="s">
        <v>55</v>
      </c>
    </row>
    <row r="12" spans="1:7" x14ac:dyDescent="0.3">
      <c r="A12" t="s">
        <v>25</v>
      </c>
      <c r="B12" s="1">
        <f>766+383+229</f>
        <v>1378</v>
      </c>
      <c r="C12">
        <v>234</v>
      </c>
      <c r="D12">
        <f t="shared" si="1"/>
        <v>322452</v>
      </c>
      <c r="E12" s="2">
        <f t="shared" si="0"/>
        <v>6.1049561258107309E-2</v>
      </c>
    </row>
    <row r="13" spans="1:7" x14ac:dyDescent="0.3">
      <c r="A13" t="s">
        <v>32</v>
      </c>
      <c r="B13" s="1">
        <v>614</v>
      </c>
      <c r="C13">
        <v>539</v>
      </c>
      <c r="D13">
        <f>C13*B13</f>
        <v>330946</v>
      </c>
      <c r="E13" s="2">
        <f t="shared" si="0"/>
        <v>6.2657723010325822E-2</v>
      </c>
    </row>
    <row r="14" spans="1:7" x14ac:dyDescent="0.3">
      <c r="A14" t="s">
        <v>51</v>
      </c>
      <c r="B14" s="1">
        <v>1011</v>
      </c>
      <c r="C14">
        <v>265</v>
      </c>
      <c r="D14">
        <f>C14*B14</f>
        <v>267915</v>
      </c>
      <c r="E14" s="2">
        <f t="shared" si="0"/>
        <v>5.0724117711987586E-2</v>
      </c>
    </row>
    <row r="15" spans="1:7" x14ac:dyDescent="0.3">
      <c r="A15" t="s">
        <v>42</v>
      </c>
      <c r="B15" s="1">
        <v>265</v>
      </c>
      <c r="C15">
        <v>634</v>
      </c>
      <c r="D15">
        <f>C15*B15</f>
        <v>168010</v>
      </c>
      <c r="E15" s="2">
        <f t="shared" si="0"/>
        <v>3.1809189544411601E-2</v>
      </c>
    </row>
    <row r="16" spans="1:7" x14ac:dyDescent="0.3">
      <c r="A16" t="s">
        <v>28</v>
      </c>
      <c r="B16" s="1">
        <f>186+349</f>
        <v>535</v>
      </c>
      <c r="C16">
        <v>251</v>
      </c>
      <c r="D16">
        <f t="shared" si="1"/>
        <v>134285</v>
      </c>
      <c r="E16" s="2">
        <f t="shared" si="0"/>
        <v>2.5424064150772644E-2</v>
      </c>
    </row>
    <row r="17" spans="1:7" x14ac:dyDescent="0.3">
      <c r="A17" t="s">
        <v>29</v>
      </c>
      <c r="B17" s="1">
        <v>267</v>
      </c>
      <c r="C17">
        <v>1220</v>
      </c>
      <c r="D17">
        <f t="shared" si="1"/>
        <v>325740</v>
      </c>
      <c r="E17" s="2">
        <f t="shared" si="0"/>
        <v>6.1672075484772541E-2</v>
      </c>
    </row>
    <row r="18" spans="1:7" x14ac:dyDescent="0.3">
      <c r="A18" t="s">
        <v>12</v>
      </c>
      <c r="B18" s="1">
        <v>368</v>
      </c>
      <c r="C18">
        <v>164</v>
      </c>
      <c r="D18">
        <f t="shared" si="1"/>
        <v>60352</v>
      </c>
      <c r="E18" s="2">
        <f t="shared" si="0"/>
        <v>1.1426392520590018E-2</v>
      </c>
    </row>
    <row r="19" spans="1:7" x14ac:dyDescent="0.3">
      <c r="A19" t="s">
        <v>19</v>
      </c>
      <c r="B19" s="1">
        <v>365</v>
      </c>
      <c r="C19">
        <v>396</v>
      </c>
      <c r="D19">
        <f t="shared" si="1"/>
        <v>144540</v>
      </c>
      <c r="E19" s="2">
        <f t="shared" si="0"/>
        <v>2.7365634526214228E-2</v>
      </c>
    </row>
    <row r="20" spans="1:7" x14ac:dyDescent="0.3">
      <c r="A20" t="s">
        <v>45</v>
      </c>
      <c r="B20" s="1">
        <v>6886</v>
      </c>
      <c r="C20">
        <v>33</v>
      </c>
      <c r="D20">
        <f t="shared" si="1"/>
        <v>227238</v>
      </c>
      <c r="E20" s="2">
        <f t="shared" si="0"/>
        <v>4.3022776106737715E-2</v>
      </c>
    </row>
    <row r="21" spans="1:7" x14ac:dyDescent="0.3">
      <c r="A21" t="s">
        <v>31</v>
      </c>
      <c r="B21" s="1">
        <f>920+319+331</f>
        <v>1570</v>
      </c>
      <c r="C21">
        <v>193</v>
      </c>
      <c r="D21">
        <f t="shared" si="1"/>
        <v>303010</v>
      </c>
      <c r="E21" s="2">
        <f t="shared" si="0"/>
        <v>5.7368624033403717E-2</v>
      </c>
    </row>
    <row r="22" spans="1:7" x14ac:dyDescent="0.3">
      <c r="A22" t="s">
        <v>10</v>
      </c>
      <c r="B22" s="1">
        <f>225+87+144-228</f>
        <v>228</v>
      </c>
      <c r="C22">
        <v>743</v>
      </c>
      <c r="D22">
        <f t="shared" si="1"/>
        <v>169404</v>
      </c>
      <c r="E22" s="2">
        <f t="shared" si="0"/>
        <v>3.2073114371653492E-2</v>
      </c>
    </row>
    <row r="23" spans="1:7" x14ac:dyDescent="0.3">
      <c r="A23" t="s">
        <v>15</v>
      </c>
      <c r="B23" s="1">
        <f>48.4+47.4+129.5-97.5-56+86.5+391.64-150.9-44.65+28+666.65-157.4-303.27+183.51-105.34-76.3-98.36+434.72-160.72-64.6+155.95-254.77-161.7</f>
        <v>440.76000000000005</v>
      </c>
      <c r="C23">
        <v>1000</v>
      </c>
      <c r="D23">
        <f t="shared" si="1"/>
        <v>440760.00000000006</v>
      </c>
      <c r="E23" s="2">
        <f t="shared" si="0"/>
        <v>8.344871366939384E-2</v>
      </c>
      <c r="G23" t="s">
        <v>54</v>
      </c>
    </row>
    <row r="25" spans="1:7" x14ac:dyDescent="0.3">
      <c r="D25">
        <f>SUM(D5:D23)</f>
        <v>5281807</v>
      </c>
      <c r="E25"/>
    </row>
  </sheetData>
  <pageMargins left="0.7" right="0.7" top="0.75" bottom="0.75" header="0.3" footer="0.3"/>
  <pageSetup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5"/>
  <sheetViews>
    <sheetView workbookViewId="0">
      <selection activeCell="B25" sqref="B25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884</v>
      </c>
      <c r="D5">
        <f>C5*B5</f>
        <v>269620</v>
      </c>
      <c r="E5" s="2">
        <f t="shared" ref="E5:E23" si="0">D5/$D$25</f>
        <v>5.0994016401984608E-2</v>
      </c>
    </row>
    <row r="6" spans="1:7" x14ac:dyDescent="0.3">
      <c r="A6" t="s">
        <v>3</v>
      </c>
      <c r="B6" s="1">
        <f>((511+255)*5)-1778</f>
        <v>2052</v>
      </c>
      <c r="C6">
        <v>220</v>
      </c>
      <c r="D6">
        <f t="shared" ref="D6:D23" si="1">C6*B6</f>
        <v>451440</v>
      </c>
      <c r="E6" s="2">
        <f t="shared" si="0"/>
        <v>8.5382162912662013E-2</v>
      </c>
    </row>
    <row r="7" spans="1:7" x14ac:dyDescent="0.3">
      <c r="A7" t="s">
        <v>27</v>
      </c>
      <c r="B7" s="1">
        <f>473+780</f>
        <v>1253</v>
      </c>
      <c r="C7">
        <v>112</v>
      </c>
      <c r="D7">
        <f t="shared" si="1"/>
        <v>140336</v>
      </c>
      <c r="E7" s="2">
        <f t="shared" si="0"/>
        <v>2.6542156686406471E-2</v>
      </c>
    </row>
    <row r="8" spans="1:7" x14ac:dyDescent="0.3">
      <c r="A8" t="s">
        <v>20</v>
      </c>
      <c r="B8" s="1">
        <f>29+10</f>
        <v>39</v>
      </c>
      <c r="C8">
        <v>18909</v>
      </c>
      <c r="D8">
        <f t="shared" si="1"/>
        <v>737451</v>
      </c>
      <c r="E8" s="2">
        <f t="shared" si="0"/>
        <v>0.13947625691588145</v>
      </c>
    </row>
    <row r="9" spans="1:7" x14ac:dyDescent="0.3">
      <c r="A9" t="s">
        <v>17</v>
      </c>
      <c r="B9" s="1">
        <v>350</v>
      </c>
      <c r="C9">
        <v>318</v>
      </c>
      <c r="D9">
        <f t="shared" si="1"/>
        <v>111300</v>
      </c>
      <c r="E9" s="2">
        <f t="shared" si="0"/>
        <v>2.1050493381577356E-2</v>
      </c>
    </row>
    <row r="10" spans="1:7" x14ac:dyDescent="0.3">
      <c r="A10" t="s">
        <v>23</v>
      </c>
      <c r="B10" s="1">
        <v>1645</v>
      </c>
      <c r="C10">
        <v>142</v>
      </c>
      <c r="D10">
        <f t="shared" si="1"/>
        <v>233590</v>
      </c>
      <c r="E10" s="2">
        <f t="shared" si="0"/>
        <v>4.417955749328531E-2</v>
      </c>
    </row>
    <row r="11" spans="1:7" x14ac:dyDescent="0.3">
      <c r="A11" t="s">
        <v>16</v>
      </c>
      <c r="B11" s="1">
        <f>840+420</f>
        <v>1260</v>
      </c>
      <c r="C11">
        <v>355</v>
      </c>
      <c r="D11">
        <f t="shared" si="1"/>
        <v>447300</v>
      </c>
      <c r="E11" s="2">
        <f t="shared" si="0"/>
        <v>8.4599152646716552E-2</v>
      </c>
    </row>
    <row r="12" spans="1:7" x14ac:dyDescent="0.3">
      <c r="A12" t="s">
        <v>25</v>
      </c>
      <c r="B12" s="1">
        <f>766+383+229</f>
        <v>1378</v>
      </c>
      <c r="C12">
        <v>234</v>
      </c>
      <c r="D12">
        <f t="shared" si="1"/>
        <v>322452</v>
      </c>
      <c r="E12" s="2">
        <f t="shared" si="0"/>
        <v>6.0986286539769827E-2</v>
      </c>
    </row>
    <row r="13" spans="1:7" x14ac:dyDescent="0.3">
      <c r="A13" t="s">
        <v>32</v>
      </c>
      <c r="B13" s="1">
        <v>614</v>
      </c>
      <c r="C13">
        <v>539</v>
      </c>
      <c r="D13">
        <f>C13*B13</f>
        <v>330946</v>
      </c>
      <c r="E13" s="2">
        <f t="shared" si="0"/>
        <v>6.2592781515359394E-2</v>
      </c>
    </row>
    <row r="14" spans="1:7" x14ac:dyDescent="0.3">
      <c r="A14" t="s">
        <v>51</v>
      </c>
      <c r="B14" s="1">
        <v>1011</v>
      </c>
      <c r="C14">
        <v>265</v>
      </c>
      <c r="D14">
        <f>C14*B14</f>
        <v>267915</v>
      </c>
      <c r="E14" s="2">
        <f t="shared" si="0"/>
        <v>5.0671544782796923E-2</v>
      </c>
    </row>
    <row r="15" spans="1:7" x14ac:dyDescent="0.3">
      <c r="A15" t="s">
        <v>42</v>
      </c>
      <c r="B15" s="1">
        <v>265</v>
      </c>
      <c r="C15">
        <v>634</v>
      </c>
      <c r="D15">
        <f>C15*B15</f>
        <v>168010</v>
      </c>
      <c r="E15" s="2">
        <f t="shared" si="0"/>
        <v>3.177622096171439E-2</v>
      </c>
    </row>
    <row r="16" spans="1:7" x14ac:dyDescent="0.3">
      <c r="A16" t="s">
        <v>28</v>
      </c>
      <c r="B16" s="1">
        <f>186+349</f>
        <v>535</v>
      </c>
      <c r="C16">
        <v>251</v>
      </c>
      <c r="D16">
        <f t="shared" si="1"/>
        <v>134285</v>
      </c>
      <c r="E16" s="2">
        <f t="shared" si="0"/>
        <v>2.5397713420890526E-2</v>
      </c>
    </row>
    <row r="17" spans="1:7" x14ac:dyDescent="0.3">
      <c r="A17" t="s">
        <v>29</v>
      </c>
      <c r="B17" s="1">
        <v>267</v>
      </c>
      <c r="C17">
        <v>1220</v>
      </c>
      <c r="D17">
        <f t="shared" si="1"/>
        <v>325740</v>
      </c>
      <c r="E17" s="2">
        <f t="shared" si="0"/>
        <v>6.160815556257869E-2</v>
      </c>
    </row>
    <row r="18" spans="1:7" x14ac:dyDescent="0.3">
      <c r="A18" t="s">
        <v>12</v>
      </c>
      <c r="B18" s="1">
        <f>368+532</f>
        <v>900</v>
      </c>
      <c r="C18">
        <v>164</v>
      </c>
      <c r="D18">
        <f t="shared" si="1"/>
        <v>147600</v>
      </c>
      <c r="E18" s="2">
        <f t="shared" si="0"/>
        <v>2.7916018177186145E-2</v>
      </c>
      <c r="G18" t="s">
        <v>56</v>
      </c>
    </row>
    <row r="19" spans="1:7" x14ac:dyDescent="0.3">
      <c r="A19" t="s">
        <v>19</v>
      </c>
      <c r="B19" s="1">
        <v>365</v>
      </c>
      <c r="C19">
        <v>396</v>
      </c>
      <c r="D19">
        <f t="shared" si="1"/>
        <v>144540</v>
      </c>
      <c r="E19" s="2">
        <f t="shared" si="0"/>
        <v>2.7337271458878626E-2</v>
      </c>
    </row>
    <row r="20" spans="1:7" x14ac:dyDescent="0.3">
      <c r="A20" t="s">
        <v>45</v>
      </c>
      <c r="B20" s="1">
        <v>6886</v>
      </c>
      <c r="C20">
        <v>33</v>
      </c>
      <c r="D20">
        <f t="shared" si="1"/>
        <v>227238</v>
      </c>
      <c r="E20" s="2">
        <f t="shared" si="0"/>
        <v>4.2978185220511007E-2</v>
      </c>
    </row>
    <row r="21" spans="1:7" x14ac:dyDescent="0.3">
      <c r="A21" t="s">
        <v>31</v>
      </c>
      <c r="B21" s="1">
        <f>920+319+331</f>
        <v>1570</v>
      </c>
      <c r="C21">
        <v>193</v>
      </c>
      <c r="D21">
        <f t="shared" si="1"/>
        <v>303010</v>
      </c>
      <c r="E21" s="2">
        <f t="shared" si="0"/>
        <v>5.7309164416457815E-2</v>
      </c>
    </row>
    <row r="22" spans="1:7" x14ac:dyDescent="0.3">
      <c r="A22" t="s">
        <v>10</v>
      </c>
      <c r="B22" s="1">
        <f>225+87+144-228</f>
        <v>228</v>
      </c>
      <c r="C22">
        <v>743</v>
      </c>
      <c r="D22">
        <f t="shared" si="1"/>
        <v>169404</v>
      </c>
      <c r="E22" s="2">
        <f t="shared" si="0"/>
        <v>3.2039872244498925E-2</v>
      </c>
    </row>
    <row r="23" spans="1:7" x14ac:dyDescent="0.3">
      <c r="A23" t="s">
        <v>15</v>
      </c>
      <c r="B23" s="1">
        <f>48.4+47.4+129.5-97.5-56+86.5+391.64-150.9-44.65+28+666.65-157.4-303.27+183.51-105.34-76.3-98.36+434.72-160.72-64.6+155.95-254.77-161.7-85.65</f>
        <v>355.11</v>
      </c>
      <c r="C23">
        <v>1000</v>
      </c>
      <c r="D23">
        <f t="shared" si="1"/>
        <v>355110</v>
      </c>
      <c r="E23" s="2">
        <f t="shared" si="0"/>
        <v>6.7162989260843978E-2</v>
      </c>
      <c r="G23" t="s">
        <v>57</v>
      </c>
    </row>
    <row r="25" spans="1:7" x14ac:dyDescent="0.3">
      <c r="D25">
        <f>SUM(D5:D23)</f>
        <v>5287287</v>
      </c>
      <c r="E25"/>
    </row>
  </sheetData>
  <pageMargins left="0.7" right="0.7" top="0.75" bottom="0.75" header="0.3" footer="0.3"/>
  <pageSetup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5"/>
  <sheetViews>
    <sheetView workbookViewId="0">
      <selection activeCell="B23" sqref="B23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880</v>
      </c>
      <c r="D5">
        <f>C5*B5</f>
        <v>268400</v>
      </c>
      <c r="E5" s="2">
        <f t="shared" ref="E5:E23" si="0">D5/$D$25</f>
        <v>5.0032537926583777E-2</v>
      </c>
    </row>
    <row r="6" spans="1:7" x14ac:dyDescent="0.3">
      <c r="A6" t="s">
        <v>3</v>
      </c>
      <c r="B6" s="1">
        <f>((511+255)*5)-1778-600</f>
        <v>1452</v>
      </c>
      <c r="C6">
        <v>231</v>
      </c>
      <c r="D6">
        <f t="shared" ref="D6:D23" si="1">C6*B6</f>
        <v>335412</v>
      </c>
      <c r="E6" s="2">
        <f t="shared" si="0"/>
        <v>6.2524268297434113E-2</v>
      </c>
      <c r="G6" t="s">
        <v>58</v>
      </c>
    </row>
    <row r="7" spans="1:7" x14ac:dyDescent="0.3">
      <c r="A7" t="s">
        <v>27</v>
      </c>
      <c r="B7" s="1">
        <f>473+780</f>
        <v>1253</v>
      </c>
      <c r="C7">
        <v>120</v>
      </c>
      <c r="D7">
        <f t="shared" si="1"/>
        <v>150360</v>
      </c>
      <c r="E7" s="2">
        <f t="shared" si="0"/>
        <v>2.8028660218484113E-2</v>
      </c>
    </row>
    <row r="8" spans="1:7" x14ac:dyDescent="0.3">
      <c r="A8" t="s">
        <v>20</v>
      </c>
      <c r="B8" s="1">
        <f>29+10</f>
        <v>39</v>
      </c>
      <c r="C8">
        <v>19405</v>
      </c>
      <c r="D8">
        <f t="shared" si="1"/>
        <v>756795</v>
      </c>
      <c r="E8" s="2">
        <f t="shared" si="0"/>
        <v>0.1410744207904209</v>
      </c>
    </row>
    <row r="9" spans="1:7" x14ac:dyDescent="0.3">
      <c r="A9" t="s">
        <v>17</v>
      </c>
      <c r="B9" s="1">
        <v>350</v>
      </c>
      <c r="C9">
        <v>305</v>
      </c>
      <c r="D9">
        <f t="shared" si="1"/>
        <v>106750</v>
      </c>
      <c r="E9" s="2">
        <f t="shared" si="0"/>
        <v>1.9899304857164003E-2</v>
      </c>
    </row>
    <row r="10" spans="1:7" x14ac:dyDescent="0.3">
      <c r="A10" t="s">
        <v>23</v>
      </c>
      <c r="B10" s="1">
        <v>1645</v>
      </c>
      <c r="C10">
        <v>144</v>
      </c>
      <c r="D10">
        <f t="shared" si="1"/>
        <v>236880</v>
      </c>
      <c r="E10" s="2">
        <f t="shared" si="0"/>
        <v>4.4156883696159333E-2</v>
      </c>
    </row>
    <row r="11" spans="1:7" x14ac:dyDescent="0.3">
      <c r="A11" t="s">
        <v>16</v>
      </c>
      <c r="B11" s="1">
        <f>840+420</f>
        <v>1260</v>
      </c>
      <c r="C11">
        <v>384</v>
      </c>
      <c r="D11">
        <f t="shared" si="1"/>
        <v>483840</v>
      </c>
      <c r="E11" s="2">
        <f t="shared" si="0"/>
        <v>9.0192783719814804E-2</v>
      </c>
    </row>
    <row r="12" spans="1:7" x14ac:dyDescent="0.3">
      <c r="A12" t="s">
        <v>25</v>
      </c>
      <c r="B12" s="1">
        <f>766+383+229</f>
        <v>1378</v>
      </c>
      <c r="C12">
        <v>227</v>
      </c>
      <c r="D12">
        <f t="shared" si="1"/>
        <v>312806</v>
      </c>
      <c r="E12" s="2">
        <f t="shared" si="0"/>
        <v>5.8310275926464102E-2</v>
      </c>
    </row>
    <row r="13" spans="1:7" x14ac:dyDescent="0.3">
      <c r="A13" t="s">
        <v>32</v>
      </c>
      <c r="B13" s="1">
        <v>614</v>
      </c>
      <c r="C13">
        <v>517</v>
      </c>
      <c r="D13">
        <f>C13*B13</f>
        <v>317438</v>
      </c>
      <c r="E13" s="2">
        <f t="shared" si="0"/>
        <v>5.9173728667432562E-2</v>
      </c>
    </row>
    <row r="14" spans="1:7" x14ac:dyDescent="0.3">
      <c r="A14" t="s">
        <v>51</v>
      </c>
      <c r="B14" s="1">
        <v>1011</v>
      </c>
      <c r="C14">
        <v>259</v>
      </c>
      <c r="D14">
        <f>C14*B14</f>
        <v>261849</v>
      </c>
      <c r="E14" s="2">
        <f t="shared" si="0"/>
        <v>4.8811363724061231E-2</v>
      </c>
    </row>
    <row r="15" spans="1:7" x14ac:dyDescent="0.3">
      <c r="A15" t="s">
        <v>42</v>
      </c>
      <c r="B15" s="1">
        <v>265</v>
      </c>
      <c r="C15">
        <v>701</v>
      </c>
      <c r="D15">
        <f>C15*B15</f>
        <v>185765</v>
      </c>
      <c r="E15" s="2">
        <f t="shared" si="0"/>
        <v>3.4628518658464363E-2</v>
      </c>
    </row>
    <row r="16" spans="1:7" x14ac:dyDescent="0.3">
      <c r="A16" t="s">
        <v>28</v>
      </c>
      <c r="B16" s="1">
        <f>186+349</f>
        <v>535</v>
      </c>
      <c r="C16">
        <v>271</v>
      </c>
      <c r="D16">
        <f t="shared" si="1"/>
        <v>144985</v>
      </c>
      <c r="E16" s="2">
        <f t="shared" si="0"/>
        <v>2.7026704587502788E-2</v>
      </c>
    </row>
    <row r="17" spans="1:7" x14ac:dyDescent="0.3">
      <c r="A17" t="s">
        <v>29</v>
      </c>
      <c r="B17" s="1">
        <v>267</v>
      </c>
      <c r="C17">
        <v>1169</v>
      </c>
      <c r="D17">
        <f t="shared" si="1"/>
        <v>312123</v>
      </c>
      <c r="E17" s="2">
        <f t="shared" si="0"/>
        <v>5.8182957657448242E-2</v>
      </c>
    </row>
    <row r="18" spans="1:7" x14ac:dyDescent="0.3">
      <c r="A18" t="s">
        <v>12</v>
      </c>
      <c r="B18" s="1">
        <f>368+532</f>
        <v>900</v>
      </c>
      <c r="C18">
        <v>172</v>
      </c>
      <c r="D18">
        <f t="shared" si="1"/>
        <v>154800</v>
      </c>
      <c r="E18" s="2">
        <f t="shared" si="0"/>
        <v>2.8856322172262177E-2</v>
      </c>
    </row>
    <row r="19" spans="1:7" x14ac:dyDescent="0.3">
      <c r="A19" t="s">
        <v>19</v>
      </c>
      <c r="B19" s="1">
        <v>365</v>
      </c>
      <c r="C19">
        <v>380</v>
      </c>
      <c r="D19">
        <f t="shared" si="1"/>
        <v>138700</v>
      </c>
      <c r="E19" s="2">
        <f t="shared" si="0"/>
        <v>2.585511553806695E-2</v>
      </c>
    </row>
    <row r="20" spans="1:7" x14ac:dyDescent="0.3">
      <c r="A20" t="s">
        <v>45</v>
      </c>
      <c r="B20" s="1">
        <v>6886</v>
      </c>
      <c r="C20">
        <v>36</v>
      </c>
      <c r="D20">
        <f t="shared" si="1"/>
        <v>247896</v>
      </c>
      <c r="E20" s="2">
        <f t="shared" si="0"/>
        <v>4.6210380111208683E-2</v>
      </c>
    </row>
    <row r="21" spans="1:7" x14ac:dyDescent="0.3">
      <c r="A21" t="s">
        <v>31</v>
      </c>
      <c r="B21" s="1">
        <f>920+319+331</f>
        <v>1570</v>
      </c>
      <c r="C21">
        <v>186</v>
      </c>
      <c r="D21">
        <f t="shared" si="1"/>
        <v>292020</v>
      </c>
      <c r="E21" s="2">
        <f t="shared" si="0"/>
        <v>5.4435550392403109E-2</v>
      </c>
    </row>
    <row r="22" spans="1:7" x14ac:dyDescent="0.3">
      <c r="A22" t="s">
        <v>10</v>
      </c>
      <c r="B22" s="1">
        <f>225+87+144-228</f>
        <v>228</v>
      </c>
      <c r="C22">
        <v>685</v>
      </c>
      <c r="D22">
        <f t="shared" si="1"/>
        <v>156180</v>
      </c>
      <c r="E22" s="2">
        <f t="shared" si="0"/>
        <v>2.9113568455193195E-2</v>
      </c>
    </row>
    <row r="23" spans="1:7" x14ac:dyDescent="0.3">
      <c r="A23" t="s">
        <v>15</v>
      </c>
      <c r="B23" s="1">
        <f>48.4+47.4+129.5-97.5-56+86.5+391.64-150.9-44.65+28+666.65-157.4-303.27+183.51-105.34-76.3-98.36+434.72-160.72-64.6+155.95-254.77-161.7-85.65+146.4</f>
        <v>501.51</v>
      </c>
      <c r="C23">
        <v>1000</v>
      </c>
      <c r="D23">
        <f t="shared" si="1"/>
        <v>501510</v>
      </c>
      <c r="E23" s="2">
        <f t="shared" si="0"/>
        <v>9.3486654603431557E-2</v>
      </c>
      <c r="G23" t="s">
        <v>59</v>
      </c>
    </row>
    <row r="25" spans="1:7" x14ac:dyDescent="0.3">
      <c r="D25">
        <f>SUM(D5:D23)</f>
        <v>5364509</v>
      </c>
      <c r="E25"/>
    </row>
  </sheetData>
  <pageMargins left="0.7" right="0.7" top="0.75" bottom="0.75" header="0.3" footer="0.3"/>
  <pageSetup orientation="portrait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5"/>
  <sheetViews>
    <sheetView workbookViewId="0">
      <selection activeCell="B10" sqref="B10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  <c r="G1" t="s">
        <v>61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865</v>
      </c>
      <c r="D5">
        <f>C5*B5</f>
        <v>263825</v>
      </c>
      <c r="E5" s="2">
        <f t="shared" ref="E5:E23" si="0">D5/$D$25</f>
        <v>4.704198500504967E-2</v>
      </c>
    </row>
    <row r="6" spans="1:7" x14ac:dyDescent="0.3">
      <c r="A6" t="s">
        <v>3</v>
      </c>
      <c r="B6" s="1">
        <f>((511+255)*5)-1778-600</f>
        <v>1452</v>
      </c>
      <c r="C6">
        <v>225</v>
      </c>
      <c r="D6">
        <f t="shared" ref="D6:D23" si="1">C6*B6</f>
        <v>326700</v>
      </c>
      <c r="E6" s="2">
        <f t="shared" si="0"/>
        <v>5.8253071168955659E-2</v>
      </c>
    </row>
    <row r="7" spans="1:7" x14ac:dyDescent="0.3">
      <c r="A7" t="s">
        <v>27</v>
      </c>
      <c r="B7" s="1">
        <f>473+780</f>
        <v>1253</v>
      </c>
      <c r="C7">
        <v>132</v>
      </c>
      <c r="D7">
        <f t="shared" si="1"/>
        <v>165396</v>
      </c>
      <c r="E7" s="2">
        <f t="shared" si="0"/>
        <v>2.949135279785917E-2</v>
      </c>
    </row>
    <row r="8" spans="1:7" x14ac:dyDescent="0.3">
      <c r="A8" t="s">
        <v>20</v>
      </c>
      <c r="B8" s="1">
        <f>29+10</f>
        <v>39</v>
      </c>
      <c r="C8">
        <v>20483</v>
      </c>
      <c r="D8">
        <f t="shared" si="1"/>
        <v>798837</v>
      </c>
      <c r="E8" s="2">
        <f t="shared" si="0"/>
        <v>0.14243865507620151</v>
      </c>
    </row>
    <row r="9" spans="1:7" x14ac:dyDescent="0.3">
      <c r="A9" t="s">
        <v>17</v>
      </c>
      <c r="B9" s="1">
        <v>350</v>
      </c>
      <c r="C9">
        <v>357</v>
      </c>
      <c r="D9">
        <f t="shared" si="1"/>
        <v>124950</v>
      </c>
      <c r="E9" s="2">
        <f t="shared" si="0"/>
        <v>2.2279526301074409E-2</v>
      </c>
    </row>
    <row r="10" spans="1:7" x14ac:dyDescent="0.3">
      <c r="A10" t="s">
        <v>23</v>
      </c>
      <c r="B10" s="1">
        <v>3290</v>
      </c>
      <c r="C10">
        <v>75</v>
      </c>
      <c r="D10">
        <f t="shared" si="1"/>
        <v>246750</v>
      </c>
      <c r="E10" s="2">
        <f t="shared" si="0"/>
        <v>4.3997383871869633E-2</v>
      </c>
      <c r="G10" t="s">
        <v>60</v>
      </c>
    </row>
    <row r="11" spans="1:7" x14ac:dyDescent="0.3">
      <c r="A11" t="s">
        <v>16</v>
      </c>
      <c r="B11" s="1">
        <f>840+420</f>
        <v>1260</v>
      </c>
      <c r="C11">
        <v>381</v>
      </c>
      <c r="D11">
        <f t="shared" si="1"/>
        <v>480060</v>
      </c>
      <c r="E11" s="2">
        <f t="shared" si="0"/>
        <v>8.5598314494548064E-2</v>
      </c>
    </row>
    <row r="12" spans="1:7" x14ac:dyDescent="0.3">
      <c r="A12" t="s">
        <v>25</v>
      </c>
      <c r="B12" s="1">
        <f>766+383+229</f>
        <v>1378</v>
      </c>
      <c r="C12">
        <v>242</v>
      </c>
      <c r="D12">
        <f t="shared" si="1"/>
        <v>333476</v>
      </c>
      <c r="E12" s="2">
        <f t="shared" si="0"/>
        <v>5.9461283015422889E-2</v>
      </c>
    </row>
    <row r="13" spans="1:7" x14ac:dyDescent="0.3">
      <c r="A13" t="s">
        <v>32</v>
      </c>
      <c r="B13" s="1">
        <v>614</v>
      </c>
      <c r="C13">
        <v>561</v>
      </c>
      <c r="D13">
        <f>C13*B13</f>
        <v>344454</v>
      </c>
      <c r="E13" s="2">
        <f t="shared" si="0"/>
        <v>6.1418743117329207E-2</v>
      </c>
    </row>
    <row r="14" spans="1:7" x14ac:dyDescent="0.3">
      <c r="A14" t="s">
        <v>51</v>
      </c>
      <c r="B14" s="1">
        <v>1011</v>
      </c>
      <c r="C14">
        <v>264</v>
      </c>
      <c r="D14">
        <f>C14*B14</f>
        <v>266904</v>
      </c>
      <c r="E14" s="2">
        <f t="shared" si="0"/>
        <v>4.7590993900455895E-2</v>
      </c>
    </row>
    <row r="15" spans="1:7" x14ac:dyDescent="0.3">
      <c r="A15" t="s">
        <v>42</v>
      </c>
      <c r="B15" s="1">
        <v>265</v>
      </c>
      <c r="C15">
        <v>895</v>
      </c>
      <c r="D15">
        <f>C15*B15</f>
        <v>237175</v>
      </c>
      <c r="E15" s="2">
        <f t="shared" si="0"/>
        <v>4.2290089239354324E-2</v>
      </c>
    </row>
    <row r="16" spans="1:7" x14ac:dyDescent="0.3">
      <c r="A16" t="s">
        <v>28</v>
      </c>
      <c r="B16" s="1">
        <f>186+349</f>
        <v>535</v>
      </c>
      <c r="C16">
        <v>282</v>
      </c>
      <c r="D16">
        <f t="shared" si="1"/>
        <v>150870</v>
      </c>
      <c r="E16" s="2">
        <f t="shared" si="0"/>
        <v>2.6901257567371717E-2</v>
      </c>
    </row>
    <row r="17" spans="1:5" x14ac:dyDescent="0.3">
      <c r="A17" t="s">
        <v>29</v>
      </c>
      <c r="B17" s="1">
        <v>267</v>
      </c>
      <c r="C17">
        <v>1189</v>
      </c>
      <c r="D17">
        <f t="shared" si="1"/>
        <v>317463</v>
      </c>
      <c r="E17" s="2">
        <f t="shared" si="0"/>
        <v>5.6606044482736977E-2</v>
      </c>
    </row>
    <row r="18" spans="1:5" x14ac:dyDescent="0.3">
      <c r="A18" t="s">
        <v>12</v>
      </c>
      <c r="B18" s="1">
        <f>368+532</f>
        <v>900</v>
      </c>
      <c r="C18">
        <v>176</v>
      </c>
      <c r="D18">
        <f t="shared" si="1"/>
        <v>158400</v>
      </c>
      <c r="E18" s="2">
        <f t="shared" si="0"/>
        <v>2.8243913294039108E-2</v>
      </c>
    </row>
    <row r="19" spans="1:5" x14ac:dyDescent="0.3">
      <c r="A19" t="s">
        <v>19</v>
      </c>
      <c r="B19" s="1">
        <v>365</v>
      </c>
      <c r="C19">
        <v>446</v>
      </c>
      <c r="D19">
        <f t="shared" si="1"/>
        <v>162790</v>
      </c>
      <c r="E19" s="2">
        <f t="shared" si="0"/>
        <v>2.902668336576153E-2</v>
      </c>
    </row>
    <row r="20" spans="1:5" x14ac:dyDescent="0.3">
      <c r="A20" t="s">
        <v>45</v>
      </c>
      <c r="B20" s="1">
        <v>6886</v>
      </c>
      <c r="C20">
        <v>40</v>
      </c>
      <c r="D20">
        <f t="shared" si="1"/>
        <v>275440</v>
      </c>
      <c r="E20" s="2">
        <f t="shared" si="0"/>
        <v>4.9113027005745782E-2</v>
      </c>
    </row>
    <row r="21" spans="1:5" x14ac:dyDescent="0.3">
      <c r="A21" t="s">
        <v>31</v>
      </c>
      <c r="B21" s="1">
        <f>920+319+331</f>
        <v>1570</v>
      </c>
      <c r="C21">
        <v>192</v>
      </c>
      <c r="D21">
        <f t="shared" si="1"/>
        <v>301440</v>
      </c>
      <c r="E21" s="2">
        <f t="shared" si="0"/>
        <v>5.3749022874716848E-2</v>
      </c>
    </row>
    <row r="22" spans="1:5" x14ac:dyDescent="0.3">
      <c r="A22" t="s">
        <v>10</v>
      </c>
      <c r="B22" s="1">
        <f>225+87+144-228</f>
        <v>228</v>
      </c>
      <c r="C22">
        <v>666</v>
      </c>
      <c r="D22">
        <f t="shared" si="1"/>
        <v>151848</v>
      </c>
      <c r="E22" s="2">
        <f t="shared" si="0"/>
        <v>2.7075642335058398E-2</v>
      </c>
    </row>
    <row r="23" spans="1:5" x14ac:dyDescent="0.3">
      <c r="A23" t="s">
        <v>15</v>
      </c>
      <c r="B23" s="1">
        <f>48.4+47.4+129.5-97.5-56+86.5+391.64-150.9-44.65+28+666.65-157.4-303.27+183.51-105.34-76.3-98.36+434.72-160.72-64.6+155.95-254.77-161.7-85.65+146.4</f>
        <v>501.51</v>
      </c>
      <c r="C23">
        <v>1000</v>
      </c>
      <c r="D23">
        <f t="shared" si="1"/>
        <v>501510</v>
      </c>
      <c r="E23" s="2">
        <f t="shared" si="0"/>
        <v>8.9423011086449192E-2</v>
      </c>
    </row>
    <row r="25" spans="1:5" x14ac:dyDescent="0.3">
      <c r="D25">
        <f>SUM(D5:D23)</f>
        <v>5608288</v>
      </c>
      <c r="E25"/>
    </row>
  </sheetData>
  <pageMargins left="0.7" right="0.7" top="0.75" bottom="0.75" header="0.3" footer="0.3"/>
  <pageSetup orientation="portrait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5"/>
  <sheetViews>
    <sheetView workbookViewId="0">
      <selection activeCell="F9" sqref="F9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868</v>
      </c>
      <c r="D5">
        <f>C5*B5</f>
        <v>264740</v>
      </c>
      <c r="E5" s="2">
        <f t="shared" ref="E5:E23" si="0">D5/$D$25</f>
        <v>4.5234403366010978E-2</v>
      </c>
    </row>
    <row r="6" spans="1:7" x14ac:dyDescent="0.3">
      <c r="A6" t="s">
        <v>3</v>
      </c>
      <c r="B6" s="1">
        <f>((511+255)*5)-1778-600</f>
        <v>1452</v>
      </c>
      <c r="C6">
        <v>234</v>
      </c>
      <c r="D6">
        <f t="shared" ref="D6:D23" si="1">C6*B6</f>
        <v>339768</v>
      </c>
      <c r="E6" s="2">
        <f t="shared" si="0"/>
        <v>5.8053950150573463E-2</v>
      </c>
    </row>
    <row r="7" spans="1:7" x14ac:dyDescent="0.3">
      <c r="A7" t="s">
        <v>27</v>
      </c>
      <c r="B7" s="1">
        <f>473+780</f>
        <v>1253</v>
      </c>
      <c r="C7">
        <v>137</v>
      </c>
      <c r="D7">
        <f t="shared" si="1"/>
        <v>171661</v>
      </c>
      <c r="E7" s="2">
        <f t="shared" si="0"/>
        <v>2.933059951731061E-2</v>
      </c>
    </row>
    <row r="8" spans="1:7" x14ac:dyDescent="0.3">
      <c r="A8" t="s">
        <v>20</v>
      </c>
      <c r="B8" s="1">
        <f>29+10</f>
        <v>39</v>
      </c>
      <c r="C8">
        <v>20718</v>
      </c>
      <c r="D8">
        <f t="shared" si="1"/>
        <v>808002</v>
      </c>
      <c r="E8" s="2">
        <f t="shared" si="0"/>
        <v>0.13805805087460754</v>
      </c>
    </row>
    <row r="9" spans="1:7" x14ac:dyDescent="0.3">
      <c r="A9" t="s">
        <v>17</v>
      </c>
      <c r="B9" s="1">
        <f>350-350</f>
        <v>0</v>
      </c>
      <c r="C9">
        <v>419</v>
      </c>
      <c r="D9">
        <f t="shared" si="1"/>
        <v>0</v>
      </c>
      <c r="E9" s="2">
        <f t="shared" si="0"/>
        <v>0</v>
      </c>
      <c r="G9" t="s">
        <v>62</v>
      </c>
    </row>
    <row r="10" spans="1:7" x14ac:dyDescent="0.3">
      <c r="A10" t="s">
        <v>23</v>
      </c>
      <c r="B10" s="1">
        <v>3290</v>
      </c>
      <c r="C10">
        <v>78</v>
      </c>
      <c r="D10">
        <f t="shared" si="1"/>
        <v>256620</v>
      </c>
      <c r="E10" s="2">
        <f t="shared" si="0"/>
        <v>4.3846991734478119E-2</v>
      </c>
    </row>
    <row r="11" spans="1:7" x14ac:dyDescent="0.3">
      <c r="A11" t="s">
        <v>16</v>
      </c>
      <c r="B11" s="1">
        <f>840+420</f>
        <v>1260</v>
      </c>
      <c r="C11">
        <v>413</v>
      </c>
      <c r="D11">
        <f t="shared" si="1"/>
        <v>520380</v>
      </c>
      <c r="E11" s="2">
        <f t="shared" si="0"/>
        <v>8.8913948869097204E-2</v>
      </c>
    </row>
    <row r="12" spans="1:7" x14ac:dyDescent="0.3">
      <c r="A12" t="s">
        <v>25</v>
      </c>
      <c r="B12" s="1">
        <f>766+383+229</f>
        <v>1378</v>
      </c>
      <c r="C12">
        <v>261</v>
      </c>
      <c r="D12">
        <f t="shared" si="1"/>
        <v>359658</v>
      </c>
      <c r="E12" s="2">
        <f t="shared" si="0"/>
        <v>6.1452425193823282E-2</v>
      </c>
    </row>
    <row r="13" spans="1:7" x14ac:dyDescent="0.3">
      <c r="A13" t="s">
        <v>32</v>
      </c>
      <c r="B13" s="1">
        <v>614</v>
      </c>
      <c r="C13">
        <v>559</v>
      </c>
      <c r="D13">
        <f>C13*B13</f>
        <v>343226</v>
      </c>
      <c r="E13" s="2">
        <f t="shared" si="0"/>
        <v>5.8644796138484868E-2</v>
      </c>
    </row>
    <row r="14" spans="1:7" x14ac:dyDescent="0.3">
      <c r="A14" t="s">
        <v>51</v>
      </c>
      <c r="B14" s="1">
        <v>1011</v>
      </c>
      <c r="C14">
        <v>313</v>
      </c>
      <c r="D14">
        <f>C14*B14</f>
        <v>316443</v>
      </c>
      <c r="E14" s="2">
        <f t="shared" si="0"/>
        <v>5.4068558979944899E-2</v>
      </c>
    </row>
    <row r="15" spans="1:7" x14ac:dyDescent="0.3">
      <c r="A15" t="s">
        <v>42</v>
      </c>
      <c r="B15" s="1">
        <v>265</v>
      </c>
      <c r="C15">
        <v>939</v>
      </c>
      <c r="D15">
        <f>C15*B15</f>
        <v>248835</v>
      </c>
      <c r="E15" s="2">
        <f t="shared" si="0"/>
        <v>4.2516819375921062E-2</v>
      </c>
    </row>
    <row r="16" spans="1:7" x14ac:dyDescent="0.3">
      <c r="A16" t="s">
        <v>28</v>
      </c>
      <c r="B16" s="1">
        <f>186+349</f>
        <v>535</v>
      </c>
      <c r="C16">
        <v>284</v>
      </c>
      <c r="D16">
        <f t="shared" si="1"/>
        <v>151940</v>
      </c>
      <c r="E16" s="2">
        <f t="shared" si="0"/>
        <v>2.5961000405800815E-2</v>
      </c>
    </row>
    <row r="17" spans="1:7" x14ac:dyDescent="0.3">
      <c r="A17" t="s">
        <v>29</v>
      </c>
      <c r="B17" s="1">
        <v>267</v>
      </c>
      <c r="C17">
        <v>1250</v>
      </c>
      <c r="D17">
        <f t="shared" si="1"/>
        <v>333750</v>
      </c>
      <c r="E17" s="2">
        <f t="shared" si="0"/>
        <v>5.7025693599026081E-2</v>
      </c>
    </row>
    <row r="18" spans="1:7" x14ac:dyDescent="0.3">
      <c r="A18" t="s">
        <v>12</v>
      </c>
      <c r="B18" s="1">
        <f>368+532</f>
        <v>900</v>
      </c>
      <c r="C18">
        <v>190</v>
      </c>
      <c r="D18">
        <f t="shared" si="1"/>
        <v>171000</v>
      </c>
      <c r="E18" s="2">
        <f t="shared" si="0"/>
        <v>2.9217658742871789E-2</v>
      </c>
    </row>
    <row r="19" spans="1:7" x14ac:dyDescent="0.3">
      <c r="A19" t="s">
        <v>19</v>
      </c>
      <c r="B19" s="1">
        <v>365</v>
      </c>
      <c r="C19">
        <v>442</v>
      </c>
      <c r="D19">
        <f t="shared" si="1"/>
        <v>161330</v>
      </c>
      <c r="E19" s="2">
        <f t="shared" si="0"/>
        <v>2.7565408684137458E-2</v>
      </c>
    </row>
    <row r="20" spans="1:7" x14ac:dyDescent="0.3">
      <c r="A20" t="s">
        <v>45</v>
      </c>
      <c r="B20" s="1">
        <v>6886</v>
      </c>
      <c r="C20">
        <v>40</v>
      </c>
      <c r="D20">
        <f t="shared" si="1"/>
        <v>275440</v>
      </c>
      <c r="E20" s="2">
        <f t="shared" si="0"/>
        <v>4.7062642831208215E-2</v>
      </c>
    </row>
    <row r="21" spans="1:7" x14ac:dyDescent="0.3">
      <c r="A21" t="s">
        <v>31</v>
      </c>
      <c r="B21" s="1">
        <f>920+319+331</f>
        <v>1570</v>
      </c>
      <c r="C21">
        <v>206</v>
      </c>
      <c r="D21">
        <f t="shared" si="1"/>
        <v>323420</v>
      </c>
      <c r="E21" s="2">
        <f t="shared" si="0"/>
        <v>5.526067362935435E-2</v>
      </c>
    </row>
    <row r="22" spans="1:7" x14ac:dyDescent="0.3">
      <c r="A22" t="s">
        <v>10</v>
      </c>
      <c r="B22" s="1">
        <f>225+87+144-228</f>
        <v>228</v>
      </c>
      <c r="C22">
        <v>744</v>
      </c>
      <c r="D22">
        <f t="shared" si="1"/>
        <v>169632</v>
      </c>
      <c r="E22" s="2">
        <f t="shared" si="0"/>
        <v>2.8983917472928816E-2</v>
      </c>
    </row>
    <row r="23" spans="1:7" x14ac:dyDescent="0.3">
      <c r="A23" t="s">
        <v>15</v>
      </c>
      <c r="B23" s="1">
        <f>48.4+47.4+129.5-97.5-56+86.5+391.64-150.9-44.65+28+666.65-157.4-303.27+183.51-105.34-76.3-98.36+434.72-160.72-64.6+155.95-254.77-161.7-85.65+146.4+135.27</f>
        <v>636.78</v>
      </c>
      <c r="C23">
        <v>1000</v>
      </c>
      <c r="D23">
        <f t="shared" si="1"/>
        <v>636780</v>
      </c>
      <c r="E23" s="2">
        <f t="shared" si="0"/>
        <v>0.10880246043442045</v>
      </c>
      <c r="G23" t="s">
        <v>63</v>
      </c>
    </row>
    <row r="25" spans="1:7" x14ac:dyDescent="0.3">
      <c r="D25">
        <f>SUM(D5:D23)</f>
        <v>5852625</v>
      </c>
      <c r="E25"/>
    </row>
  </sheetData>
  <pageMargins left="0.7" right="0.7" top="0.75" bottom="0.75" header="0.3" footer="0.3"/>
  <pageSetup orientation="portrait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4"/>
  <sheetViews>
    <sheetView workbookViewId="0">
      <selection activeCell="B23" sqref="B23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870</v>
      </c>
      <c r="D5">
        <f>C5*B5</f>
        <v>265350</v>
      </c>
      <c r="E5" s="2">
        <f t="shared" ref="E5:E22" si="0">D5/$D$24</f>
        <v>4.4881853404889455E-2</v>
      </c>
    </row>
    <row r="6" spans="1:7" x14ac:dyDescent="0.3">
      <c r="A6" t="s">
        <v>3</v>
      </c>
      <c r="B6" s="1">
        <f>((511+255)*5)-1778-600</f>
        <v>1452</v>
      </c>
      <c r="C6">
        <v>228</v>
      </c>
      <c r="D6">
        <f t="shared" ref="D6:D22" si="1">C6*B6</f>
        <v>331056</v>
      </c>
      <c r="E6" s="2">
        <f t="shared" si="0"/>
        <v>5.5995503526697132E-2</v>
      </c>
    </row>
    <row r="7" spans="1:7" x14ac:dyDescent="0.3">
      <c r="A7" t="s">
        <v>27</v>
      </c>
      <c r="B7" s="1">
        <f>473+780</f>
        <v>1253</v>
      </c>
      <c r="C7">
        <v>134</v>
      </c>
      <c r="D7">
        <f t="shared" si="1"/>
        <v>167902</v>
      </c>
      <c r="E7" s="2">
        <f t="shared" si="0"/>
        <v>2.8399295083428491E-2</v>
      </c>
    </row>
    <row r="8" spans="1:7" x14ac:dyDescent="0.3">
      <c r="A8" t="s">
        <v>20</v>
      </c>
      <c r="B8" s="1">
        <f>29+10</f>
        <v>39</v>
      </c>
      <c r="C8">
        <v>21101</v>
      </c>
      <c r="D8">
        <f t="shared" si="1"/>
        <v>822939</v>
      </c>
      <c r="E8" s="2">
        <f t="shared" si="0"/>
        <v>0.13919362185478171</v>
      </c>
    </row>
    <row r="9" spans="1:7" x14ac:dyDescent="0.3">
      <c r="A9" t="s">
        <v>23</v>
      </c>
      <c r="B9" s="1">
        <f>3290-1645</f>
        <v>1645</v>
      </c>
      <c r="C9">
        <v>76</v>
      </c>
      <c r="D9">
        <f t="shared" si="1"/>
        <v>125020</v>
      </c>
      <c r="E9" s="2">
        <f t="shared" si="0"/>
        <v>2.1146144008589711E-2</v>
      </c>
      <c r="G9" t="s">
        <v>64</v>
      </c>
    </row>
    <row r="10" spans="1:7" x14ac:dyDescent="0.3">
      <c r="A10" t="s">
        <v>16</v>
      </c>
      <c r="B10" s="1">
        <f>840+420</f>
        <v>1260</v>
      </c>
      <c r="C10">
        <v>441</v>
      </c>
      <c r="D10">
        <f t="shared" si="1"/>
        <v>555660</v>
      </c>
      <c r="E10" s="2">
        <f t="shared" si="0"/>
        <v>9.3985493359566144E-2</v>
      </c>
    </row>
    <row r="11" spans="1:7" x14ac:dyDescent="0.3">
      <c r="A11" t="s">
        <v>25</v>
      </c>
      <c r="B11" s="1">
        <f>766+383+229</f>
        <v>1378</v>
      </c>
      <c r="C11">
        <v>270</v>
      </c>
      <c r="D11">
        <f t="shared" si="1"/>
        <v>372060</v>
      </c>
      <c r="E11" s="2">
        <f t="shared" si="0"/>
        <v>6.2931005757765862E-2</v>
      </c>
    </row>
    <row r="12" spans="1:7" x14ac:dyDescent="0.3">
      <c r="A12" t="s">
        <v>32</v>
      </c>
      <c r="B12" s="1">
        <v>614</v>
      </c>
      <c r="C12">
        <v>564</v>
      </c>
      <c r="D12">
        <f>C12*B12</f>
        <v>346296</v>
      </c>
      <c r="E12" s="2">
        <f t="shared" si="0"/>
        <v>5.8573228968153757E-2</v>
      </c>
    </row>
    <row r="13" spans="1:7" x14ac:dyDescent="0.3">
      <c r="A13" t="s">
        <v>51</v>
      </c>
      <c r="B13" s="1">
        <v>1011</v>
      </c>
      <c r="C13">
        <v>317</v>
      </c>
      <c r="D13">
        <f>C13*B13</f>
        <v>320487</v>
      </c>
      <c r="E13" s="2">
        <f t="shared" si="0"/>
        <v>5.4207840784521608E-2</v>
      </c>
    </row>
    <row r="14" spans="1:7" x14ac:dyDescent="0.3">
      <c r="A14" t="s">
        <v>42</v>
      </c>
      <c r="B14" s="1">
        <v>265</v>
      </c>
      <c r="C14">
        <v>921</v>
      </c>
      <c r="D14">
        <f>C14*B14</f>
        <v>244065</v>
      </c>
      <c r="E14" s="2">
        <f t="shared" si="0"/>
        <v>4.1281664033406239E-2</v>
      </c>
    </row>
    <row r="15" spans="1:7" x14ac:dyDescent="0.3">
      <c r="A15" t="s">
        <v>28</v>
      </c>
      <c r="B15" s="1">
        <f>186+349</f>
        <v>535</v>
      </c>
      <c r="C15">
        <v>286</v>
      </c>
      <c r="D15">
        <f t="shared" si="1"/>
        <v>153010</v>
      </c>
      <c r="E15" s="2">
        <f t="shared" si="0"/>
        <v>2.5880431089060244E-2</v>
      </c>
    </row>
    <row r="16" spans="1:7" x14ac:dyDescent="0.3">
      <c r="A16" t="s">
        <v>29</v>
      </c>
      <c r="B16" s="1">
        <v>267</v>
      </c>
      <c r="C16">
        <v>1311</v>
      </c>
      <c r="D16">
        <f t="shared" si="1"/>
        <v>350037</v>
      </c>
      <c r="E16" s="2">
        <f t="shared" si="0"/>
        <v>5.9205989524353839E-2</v>
      </c>
    </row>
    <row r="17" spans="1:7" x14ac:dyDescent="0.3">
      <c r="A17" t="s">
        <v>12</v>
      </c>
      <c r="B17" s="1">
        <f>368+532</f>
        <v>900</v>
      </c>
      <c r="C17">
        <v>191</v>
      </c>
      <c r="D17">
        <f t="shared" si="1"/>
        <v>171900</v>
      </c>
      <c r="E17" s="2">
        <f t="shared" si="0"/>
        <v>2.9075525156587519E-2</v>
      </c>
    </row>
    <row r="18" spans="1:7" x14ac:dyDescent="0.3">
      <c r="A18" t="s">
        <v>19</v>
      </c>
      <c r="B18" s="1">
        <v>365</v>
      </c>
      <c r="C18">
        <v>451</v>
      </c>
      <c r="D18">
        <f t="shared" si="1"/>
        <v>164615</v>
      </c>
      <c r="E18" s="2">
        <f t="shared" si="0"/>
        <v>2.7843325035786237E-2</v>
      </c>
    </row>
    <row r="19" spans="1:7" x14ac:dyDescent="0.3">
      <c r="A19" t="s">
        <v>45</v>
      </c>
      <c r="B19" s="1">
        <v>6886</v>
      </c>
      <c r="C19">
        <v>40</v>
      </c>
      <c r="D19">
        <f t="shared" si="1"/>
        <v>275440</v>
      </c>
      <c r="E19" s="2">
        <f t="shared" si="0"/>
        <v>4.65884970862738E-2</v>
      </c>
    </row>
    <row r="20" spans="1:7" x14ac:dyDescent="0.3">
      <c r="A20" t="s">
        <v>31</v>
      </c>
      <c r="B20" s="1">
        <f>920+319+331</f>
        <v>1570</v>
      </c>
      <c r="C20">
        <v>206</v>
      </c>
      <c r="D20">
        <f t="shared" si="1"/>
        <v>323420</v>
      </c>
      <c r="E20" s="2">
        <f t="shared" si="0"/>
        <v>5.4703934532539474E-2</v>
      </c>
    </row>
    <row r="21" spans="1:7" x14ac:dyDescent="0.3">
      <c r="A21" t="s">
        <v>10</v>
      </c>
      <c r="B21" s="1">
        <f>225+87+144-228</f>
        <v>228</v>
      </c>
      <c r="C21">
        <v>759</v>
      </c>
      <c r="D21">
        <f t="shared" si="1"/>
        <v>173052</v>
      </c>
      <c r="E21" s="2">
        <f t="shared" si="0"/>
        <v>2.9270376843500773E-2</v>
      </c>
    </row>
    <row r="22" spans="1:7" x14ac:dyDescent="0.3">
      <c r="A22" t="s">
        <v>15</v>
      </c>
      <c r="B22" s="1">
        <f>48.4+47.4+129.5-97.5-56+86.5+391.64-150.9-44.65+28+666.65-157.4-303.27+183.51-105.34-76.3-98.36+434.72-160.72-64.6+155.95-254.77-161.7-85.65+146.4+135.27+113.1</f>
        <v>749.88</v>
      </c>
      <c r="C22">
        <v>1000</v>
      </c>
      <c r="D22">
        <f t="shared" si="1"/>
        <v>749880</v>
      </c>
      <c r="E22" s="2">
        <f t="shared" si="0"/>
        <v>0.126836269950098</v>
      </c>
      <c r="G22" t="s">
        <v>65</v>
      </c>
    </row>
    <row r="24" spans="1:7" x14ac:dyDescent="0.3">
      <c r="D24">
        <f>SUM(D5:D22)</f>
        <v>5912189</v>
      </c>
      <c r="E24"/>
    </row>
  </sheetData>
  <pageMargins left="0.7" right="0.7" top="0.75" bottom="0.75" header="0.3" footer="0.3"/>
  <pageSetup orientation="portrait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4"/>
  <sheetViews>
    <sheetView workbookViewId="0">
      <selection activeCell="C25" sqref="C25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844</v>
      </c>
      <c r="D5">
        <f>C5*B5</f>
        <v>257420</v>
      </c>
      <c r="E5" s="2">
        <f t="shared" ref="E5:E22" si="0">D5/$D$24</f>
        <v>4.4383539158792104E-2</v>
      </c>
    </row>
    <row r="6" spans="1:7" x14ac:dyDescent="0.3">
      <c r="A6" t="s">
        <v>3</v>
      </c>
      <c r="B6" s="1">
        <f>((511+255)*5)-1778-600</f>
        <v>1452</v>
      </c>
      <c r="C6">
        <v>224</v>
      </c>
      <c r="D6">
        <f t="shared" ref="D6:D22" si="1">C6*B6</f>
        <v>325248</v>
      </c>
      <c r="E6" s="2">
        <f t="shared" si="0"/>
        <v>5.6078227582623007E-2</v>
      </c>
    </row>
    <row r="7" spans="1:7" x14ac:dyDescent="0.3">
      <c r="A7" t="s">
        <v>27</v>
      </c>
      <c r="B7" s="1">
        <f>473+780</f>
        <v>1253</v>
      </c>
      <c r="C7">
        <v>145</v>
      </c>
      <c r="D7">
        <f t="shared" si="1"/>
        <v>181685</v>
      </c>
      <c r="E7" s="2">
        <f t="shared" si="0"/>
        <v>3.1325550897619237E-2</v>
      </c>
    </row>
    <row r="8" spans="1:7" x14ac:dyDescent="0.3">
      <c r="A8" t="s">
        <v>20</v>
      </c>
      <c r="B8" s="1">
        <f>29+10</f>
        <v>39</v>
      </c>
      <c r="C8">
        <v>19348</v>
      </c>
      <c r="D8">
        <f t="shared" si="1"/>
        <v>754572</v>
      </c>
      <c r="E8" s="2">
        <f t="shared" si="0"/>
        <v>0.13010090867115248</v>
      </c>
    </row>
    <row r="9" spans="1:7" x14ac:dyDescent="0.3">
      <c r="A9" t="s">
        <v>23</v>
      </c>
      <c r="B9" s="1">
        <f>3290-1645</f>
        <v>1645</v>
      </c>
      <c r="C9">
        <v>68</v>
      </c>
      <c r="D9">
        <f t="shared" si="1"/>
        <v>111860</v>
      </c>
      <c r="E9" s="2">
        <f t="shared" si="0"/>
        <v>1.9286546073741296E-2</v>
      </c>
    </row>
    <row r="10" spans="1:7" x14ac:dyDescent="0.3">
      <c r="A10" t="s">
        <v>16</v>
      </c>
      <c r="B10" s="1">
        <f>840+420</f>
        <v>1260</v>
      </c>
      <c r="C10">
        <v>431</v>
      </c>
      <c r="D10">
        <f t="shared" si="1"/>
        <v>543060</v>
      </c>
      <c r="E10" s="2">
        <f t="shared" si="0"/>
        <v>9.3632681126461184E-2</v>
      </c>
    </row>
    <row r="11" spans="1:7" x14ac:dyDescent="0.3">
      <c r="A11" t="s">
        <v>25</v>
      </c>
      <c r="B11" s="1">
        <f>766+383+229</f>
        <v>1378</v>
      </c>
      <c r="C11">
        <v>265</v>
      </c>
      <c r="D11">
        <f t="shared" si="1"/>
        <v>365170</v>
      </c>
      <c r="E11" s="2">
        <f t="shared" si="0"/>
        <v>6.296145208070901E-2</v>
      </c>
    </row>
    <row r="12" spans="1:7" x14ac:dyDescent="0.3">
      <c r="A12" t="s">
        <v>32</v>
      </c>
      <c r="B12" s="1">
        <v>1228</v>
      </c>
      <c r="C12">
        <v>284</v>
      </c>
      <c r="D12">
        <f>C12*B12</f>
        <v>348752</v>
      </c>
      <c r="E12" s="2">
        <f t="shared" si="0"/>
        <v>6.0130712643567182E-2</v>
      </c>
      <c r="G12" t="s">
        <v>66</v>
      </c>
    </row>
    <row r="13" spans="1:7" x14ac:dyDescent="0.3">
      <c r="A13" t="s">
        <v>51</v>
      </c>
      <c r="B13" s="1">
        <v>1011</v>
      </c>
      <c r="C13">
        <v>332</v>
      </c>
      <c r="D13">
        <f>C13*B13</f>
        <v>335652</v>
      </c>
      <c r="E13" s="2">
        <f t="shared" si="0"/>
        <v>5.7872052232642711E-2</v>
      </c>
    </row>
    <row r="14" spans="1:7" x14ac:dyDescent="0.3">
      <c r="A14" t="s">
        <v>42</v>
      </c>
      <c r="B14" s="1">
        <v>265</v>
      </c>
      <c r="C14">
        <v>983</v>
      </c>
      <c r="D14">
        <f>C14*B14</f>
        <v>260495</v>
      </c>
      <c r="E14" s="2">
        <f t="shared" si="0"/>
        <v>4.4913720896470936E-2</v>
      </c>
    </row>
    <row r="15" spans="1:7" x14ac:dyDescent="0.3">
      <c r="A15" t="s">
        <v>28</v>
      </c>
      <c r="B15" s="1">
        <f>186+349</f>
        <v>535</v>
      </c>
      <c r="C15">
        <v>264</v>
      </c>
      <c r="D15">
        <f t="shared" si="1"/>
        <v>141240</v>
      </c>
      <c r="E15" s="2">
        <f t="shared" si="0"/>
        <v>2.4352152399921514E-2</v>
      </c>
    </row>
    <row r="16" spans="1:7" x14ac:dyDescent="0.3">
      <c r="A16" t="s">
        <v>29</v>
      </c>
      <c r="B16" s="1">
        <v>267</v>
      </c>
      <c r="C16">
        <v>1259</v>
      </c>
      <c r="D16">
        <f t="shared" si="1"/>
        <v>336153</v>
      </c>
      <c r="E16" s="2">
        <f t="shared" si="0"/>
        <v>5.7958433062098677E-2</v>
      </c>
    </row>
    <row r="17" spans="1:5" x14ac:dyDescent="0.3">
      <c r="A17" t="s">
        <v>12</v>
      </c>
      <c r="B17" s="1">
        <f>368+532</f>
        <v>900</v>
      </c>
      <c r="C17">
        <v>191</v>
      </c>
      <c r="D17">
        <f t="shared" si="1"/>
        <v>171900</v>
      </c>
      <c r="E17" s="2">
        <f t="shared" si="0"/>
        <v>2.9638452262436339E-2</v>
      </c>
    </row>
    <row r="18" spans="1:5" x14ac:dyDescent="0.3">
      <c r="A18" t="s">
        <v>19</v>
      </c>
      <c r="B18" s="1">
        <v>365</v>
      </c>
      <c r="C18">
        <v>407</v>
      </c>
      <c r="D18">
        <f t="shared" si="1"/>
        <v>148555</v>
      </c>
      <c r="E18" s="2">
        <f t="shared" si="0"/>
        <v>2.5613381476708729E-2</v>
      </c>
    </row>
    <row r="19" spans="1:5" x14ac:dyDescent="0.3">
      <c r="A19" t="s">
        <v>45</v>
      </c>
      <c r="B19" s="1">
        <v>6886</v>
      </c>
      <c r="C19">
        <v>35</v>
      </c>
      <c r="D19">
        <f t="shared" si="1"/>
        <v>241010</v>
      </c>
      <c r="E19" s="2">
        <f t="shared" si="0"/>
        <v>4.1554179056252367E-2</v>
      </c>
    </row>
    <row r="20" spans="1:5" x14ac:dyDescent="0.3">
      <c r="A20" t="s">
        <v>31</v>
      </c>
      <c r="B20" s="1">
        <f>920+319+331</f>
        <v>1570</v>
      </c>
      <c r="C20">
        <v>215</v>
      </c>
      <c r="D20">
        <f t="shared" si="1"/>
        <v>337550</v>
      </c>
      <c r="E20" s="2">
        <f t="shared" si="0"/>
        <v>5.8199299366988866E-2</v>
      </c>
    </row>
    <row r="21" spans="1:5" x14ac:dyDescent="0.3">
      <c r="A21" t="s">
        <v>10</v>
      </c>
      <c r="B21" s="1">
        <f>225+87+144-228</f>
        <v>228</v>
      </c>
      <c r="C21">
        <v>832</v>
      </c>
      <c r="D21">
        <f t="shared" si="1"/>
        <v>189696</v>
      </c>
      <c r="E21" s="2">
        <f t="shared" si="0"/>
        <v>3.2706782084788388E-2</v>
      </c>
    </row>
    <row r="22" spans="1:5" x14ac:dyDescent="0.3">
      <c r="A22" t="s">
        <v>15</v>
      </c>
      <c r="B22" s="1">
        <f>48.4+47.4+129.5-97.5-56+86.5+391.64-150.9-44.65+28+666.65-157.4-303.27+183.51-105.34-76.3-98.36+434.72-160.72-64.6+155.95-254.77-161.7-85.65+146.4+135.27+113.1</f>
        <v>749.88</v>
      </c>
      <c r="C22">
        <v>1000</v>
      </c>
      <c r="D22">
        <f t="shared" si="1"/>
        <v>749880</v>
      </c>
      <c r="E22" s="2">
        <f t="shared" si="0"/>
        <v>0.12929192892702596</v>
      </c>
    </row>
    <row r="24" spans="1:5" x14ac:dyDescent="0.3">
      <c r="D24">
        <f>SUM(D5:D22)</f>
        <v>5799898</v>
      </c>
      <c r="E24"/>
    </row>
  </sheetData>
  <pageMargins left="0.7" right="0.7" top="0.75" bottom="0.75" header="0.3" footer="0.3"/>
  <pageSetup orientation="portrait" horizontalDpi="180" verticalDpi="18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4"/>
  <sheetViews>
    <sheetView workbookViewId="0">
      <selection activeCell="C23" sqref="C23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880</v>
      </c>
      <c r="D5">
        <f>C5*B5</f>
        <v>268400</v>
      </c>
      <c r="E5" s="2">
        <f t="shared" ref="E5:E22" si="0">D5/$D$24</f>
        <v>4.5787944157132485E-2</v>
      </c>
    </row>
    <row r="6" spans="1:7" x14ac:dyDescent="0.3">
      <c r="A6" t="s">
        <v>3</v>
      </c>
      <c r="B6" s="1">
        <f>((511+255)*5)-1778-600</f>
        <v>1452</v>
      </c>
      <c r="C6">
        <v>214</v>
      </c>
      <c r="D6">
        <f t="shared" ref="D6:D22" si="1">C6*B6</f>
        <v>310728</v>
      </c>
      <c r="E6" s="2">
        <f t="shared" si="0"/>
        <v>5.3008928137322886E-2</v>
      </c>
    </row>
    <row r="7" spans="1:7" x14ac:dyDescent="0.3">
      <c r="A7" t="s">
        <v>27</v>
      </c>
      <c r="B7" s="1">
        <f>473+780</f>
        <v>1253</v>
      </c>
      <c r="C7">
        <v>140</v>
      </c>
      <c r="D7">
        <f t="shared" si="1"/>
        <v>175420</v>
      </c>
      <c r="E7" s="2">
        <f t="shared" si="0"/>
        <v>2.9925935782578916E-2</v>
      </c>
    </row>
    <row r="8" spans="1:7" x14ac:dyDescent="0.3">
      <c r="A8" t="s">
        <v>20</v>
      </c>
      <c r="B8" s="1">
        <f>29+10</f>
        <v>39</v>
      </c>
      <c r="C8">
        <v>19028</v>
      </c>
      <c r="D8">
        <f t="shared" si="1"/>
        <v>742092</v>
      </c>
      <c r="E8" s="2">
        <f t="shared" si="0"/>
        <v>0.12659786533328898</v>
      </c>
    </row>
    <row r="9" spans="1:7" x14ac:dyDescent="0.3">
      <c r="A9" t="s">
        <v>23</v>
      </c>
      <c r="B9" s="1">
        <f>3290-1645</f>
        <v>1645</v>
      </c>
      <c r="C9">
        <v>68</v>
      </c>
      <c r="D9">
        <f t="shared" si="1"/>
        <v>111860</v>
      </c>
      <c r="E9" s="2">
        <f t="shared" si="0"/>
        <v>1.9082859289928613E-2</v>
      </c>
    </row>
    <row r="10" spans="1:7" x14ac:dyDescent="0.3">
      <c r="A10" t="s">
        <v>16</v>
      </c>
      <c r="B10" s="1">
        <f>840+420</f>
        <v>1260</v>
      </c>
      <c r="C10">
        <v>435</v>
      </c>
      <c r="D10">
        <f t="shared" si="1"/>
        <v>548100</v>
      </c>
      <c r="E10" s="2">
        <f t="shared" si="0"/>
        <v>9.3503622177810414E-2</v>
      </c>
    </row>
    <row r="11" spans="1:7" x14ac:dyDescent="0.3">
      <c r="A11" t="s">
        <v>25</v>
      </c>
      <c r="B11" s="1">
        <f>766+383+229</f>
        <v>1378</v>
      </c>
      <c r="C11">
        <v>284</v>
      </c>
      <c r="D11">
        <f t="shared" si="1"/>
        <v>391352</v>
      </c>
      <c r="E11" s="2">
        <f t="shared" si="0"/>
        <v>6.6763053359843935E-2</v>
      </c>
    </row>
    <row r="12" spans="1:7" x14ac:dyDescent="0.3">
      <c r="A12" t="s">
        <v>32</v>
      </c>
      <c r="B12" s="1">
        <v>1228</v>
      </c>
      <c r="C12">
        <v>284</v>
      </c>
      <c r="D12">
        <f>C12*B12</f>
        <v>348752</v>
      </c>
      <c r="E12" s="2">
        <f t="shared" si="0"/>
        <v>5.9495667290194745E-2</v>
      </c>
    </row>
    <row r="13" spans="1:7" x14ac:dyDescent="0.3">
      <c r="A13" t="s">
        <v>51</v>
      </c>
      <c r="B13" s="1">
        <v>1011</v>
      </c>
      <c r="C13">
        <v>339</v>
      </c>
      <c r="D13">
        <f>C13*B13</f>
        <v>342729</v>
      </c>
      <c r="E13" s="2">
        <f t="shared" si="0"/>
        <v>5.8468168081333309E-2</v>
      </c>
    </row>
    <row r="14" spans="1:7" x14ac:dyDescent="0.3">
      <c r="A14" t="s">
        <v>42</v>
      </c>
      <c r="B14" s="1">
        <v>265</v>
      </c>
      <c r="C14">
        <v>976</v>
      </c>
      <c r="D14">
        <f>C14*B14</f>
        <v>258640</v>
      </c>
      <c r="E14" s="2">
        <f t="shared" si="0"/>
        <v>4.4122928005964034E-2</v>
      </c>
    </row>
    <row r="15" spans="1:7" x14ac:dyDescent="0.3">
      <c r="A15" t="s">
        <v>28</v>
      </c>
      <c r="B15" s="1">
        <f>186+349</f>
        <v>535</v>
      </c>
      <c r="C15">
        <v>273</v>
      </c>
      <c r="D15">
        <f t="shared" si="1"/>
        <v>146055</v>
      </c>
      <c r="E15" s="2">
        <f t="shared" si="0"/>
        <v>2.4916386676117681E-2</v>
      </c>
    </row>
    <row r="16" spans="1:7" x14ac:dyDescent="0.3">
      <c r="A16" t="s">
        <v>29</v>
      </c>
      <c r="B16" s="1">
        <v>267</v>
      </c>
      <c r="C16">
        <v>1258</v>
      </c>
      <c r="D16">
        <f t="shared" si="1"/>
        <v>335886</v>
      </c>
      <c r="E16" s="2">
        <f t="shared" si="0"/>
        <v>5.7300780220426985E-2</v>
      </c>
    </row>
    <row r="17" spans="1:7" x14ac:dyDescent="0.3">
      <c r="A17" t="s">
        <v>12</v>
      </c>
      <c r="B17" s="1">
        <f>368+532</f>
        <v>900</v>
      </c>
      <c r="C17">
        <v>201</v>
      </c>
      <c r="D17">
        <f t="shared" si="1"/>
        <v>180900</v>
      </c>
      <c r="E17" s="2">
        <f t="shared" si="0"/>
        <v>3.0860801408439893E-2</v>
      </c>
    </row>
    <row r="18" spans="1:7" x14ac:dyDescent="0.3">
      <c r="A18" t="s">
        <v>19</v>
      </c>
      <c r="B18" s="1">
        <v>365</v>
      </c>
      <c r="C18">
        <v>405</v>
      </c>
      <c r="D18">
        <f t="shared" si="1"/>
        <v>147825</v>
      </c>
      <c r="E18" s="2">
        <f t="shared" si="0"/>
        <v>2.5218341449434092E-2</v>
      </c>
    </row>
    <row r="19" spans="1:7" x14ac:dyDescent="0.3">
      <c r="A19" t="s">
        <v>45</v>
      </c>
      <c r="B19" s="1">
        <v>6886</v>
      </c>
      <c r="C19">
        <v>36</v>
      </c>
      <c r="D19">
        <f t="shared" si="1"/>
        <v>247896</v>
      </c>
      <c r="E19" s="2">
        <f t="shared" si="0"/>
        <v>4.2290045472341713E-2</v>
      </c>
    </row>
    <row r="20" spans="1:7" x14ac:dyDescent="0.3">
      <c r="A20" t="s">
        <v>31</v>
      </c>
      <c r="B20" s="1">
        <f>920+319+331</f>
        <v>1570</v>
      </c>
      <c r="C20">
        <v>217</v>
      </c>
      <c r="D20">
        <f t="shared" si="1"/>
        <v>340690</v>
      </c>
      <c r="E20" s="2">
        <f t="shared" si="0"/>
        <v>5.8120323006309489E-2</v>
      </c>
    </row>
    <row r="21" spans="1:7" x14ac:dyDescent="0.3">
      <c r="A21" t="s">
        <v>10</v>
      </c>
      <c r="B21" s="1">
        <f>225+87+144-228-228</f>
        <v>0</v>
      </c>
      <c r="C21">
        <v>952</v>
      </c>
      <c r="D21">
        <f t="shared" si="1"/>
        <v>0</v>
      </c>
      <c r="E21" s="2">
        <f t="shared" si="0"/>
        <v>0</v>
      </c>
      <c r="G21" t="s">
        <v>67</v>
      </c>
    </row>
    <row r="22" spans="1:7" x14ac:dyDescent="0.3">
      <c r="A22" t="s">
        <v>15</v>
      </c>
      <c r="B22" s="1">
        <f>48.4+47.4+129.5-97.5-56+86.5+391.64-150.9-44.65+28+666.65-157.4-303.27+183.51-105.34-76.3-98.36+434.72-160.72-64.6+155.95-254.77-161.7-85.65+146.4+135.27+113.1+214.6</f>
        <v>964.48</v>
      </c>
      <c r="C22">
        <v>1000</v>
      </c>
      <c r="D22">
        <f t="shared" si="1"/>
        <v>964480</v>
      </c>
      <c r="E22" s="2">
        <f t="shared" si="0"/>
        <v>0.16453635015153181</v>
      </c>
      <c r="G22" t="s">
        <v>68</v>
      </c>
    </row>
    <row r="24" spans="1:7" x14ac:dyDescent="0.3">
      <c r="D24">
        <f>SUM(D5:D22)</f>
        <v>5861805</v>
      </c>
      <c r="E24"/>
    </row>
  </sheetData>
  <pageMargins left="0.7" right="0.7" top="0.75" bottom="0.75" header="0.3" footer="0.3"/>
  <pageSetup orientation="portrait" horizontalDpi="180" verticalDpi="18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3"/>
  <sheetViews>
    <sheetView workbookViewId="0">
      <selection activeCell="G12" sqref="G12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982</v>
      </c>
      <c r="D5">
        <f>C5*B5</f>
        <v>299510</v>
      </c>
      <c r="E5" s="2">
        <f t="shared" ref="E5:E21" si="0">D5/$D$23</f>
        <v>5.0385499285121767E-2</v>
      </c>
    </row>
    <row r="6" spans="1:7" x14ac:dyDescent="0.3">
      <c r="A6" t="s">
        <v>3</v>
      </c>
      <c r="B6" s="1">
        <f>((511+255)*5)-1778-600</f>
        <v>1452</v>
      </c>
      <c r="C6">
        <v>214</v>
      </c>
      <c r="D6">
        <f t="shared" ref="D6:D21" si="1">C6*B6</f>
        <v>310728</v>
      </c>
      <c r="E6" s="2">
        <f t="shared" si="0"/>
        <v>5.2272663423148867E-2</v>
      </c>
    </row>
    <row r="7" spans="1:7" x14ac:dyDescent="0.3">
      <c r="A7" t="s">
        <v>27</v>
      </c>
      <c r="B7" s="1">
        <f>473+780</f>
        <v>1253</v>
      </c>
      <c r="C7">
        <v>151</v>
      </c>
      <c r="D7">
        <f t="shared" si="1"/>
        <v>189203</v>
      </c>
      <c r="E7" s="2">
        <f t="shared" si="0"/>
        <v>3.1828946015969063E-2</v>
      </c>
    </row>
    <row r="8" spans="1:7" x14ac:dyDescent="0.3">
      <c r="A8" t="s">
        <v>20</v>
      </c>
      <c r="B8" s="1">
        <f>29+10</f>
        <v>39</v>
      </c>
      <c r="C8">
        <v>20567</v>
      </c>
      <c r="D8">
        <f t="shared" si="1"/>
        <v>802113</v>
      </c>
      <c r="E8" s="2">
        <f t="shared" si="0"/>
        <v>0.13493660975622476</v>
      </c>
    </row>
    <row r="9" spans="1:7" x14ac:dyDescent="0.3">
      <c r="A9" t="s">
        <v>23</v>
      </c>
      <c r="B9" s="1">
        <f>3290-1645</f>
        <v>1645</v>
      </c>
      <c r="C9">
        <v>68</v>
      </c>
      <c r="D9">
        <f t="shared" si="1"/>
        <v>111860</v>
      </c>
      <c r="E9" s="2">
        <f t="shared" si="0"/>
        <v>1.8817808921350609E-2</v>
      </c>
    </row>
    <row r="10" spans="1:7" x14ac:dyDescent="0.3">
      <c r="A10" t="s">
        <v>16</v>
      </c>
      <c r="B10" s="1">
        <f>840+420</f>
        <v>1260</v>
      </c>
      <c r="C10">
        <v>444</v>
      </c>
      <c r="D10">
        <f t="shared" si="1"/>
        <v>559440</v>
      </c>
      <c r="E10" s="2">
        <f t="shared" si="0"/>
        <v>9.4112596307530702E-2</v>
      </c>
    </row>
    <row r="11" spans="1:7" x14ac:dyDescent="0.3">
      <c r="A11" t="s">
        <v>25</v>
      </c>
      <c r="B11" s="1">
        <f>766+383+229</f>
        <v>1378</v>
      </c>
      <c r="C11">
        <v>289</v>
      </c>
      <c r="D11">
        <f t="shared" si="1"/>
        <v>398242</v>
      </c>
      <c r="E11" s="2">
        <f t="shared" si="0"/>
        <v>6.6994831579264336E-2</v>
      </c>
      <c r="G11" t="s">
        <v>70</v>
      </c>
    </row>
    <row r="12" spans="1:7" x14ac:dyDescent="0.3">
      <c r="A12" t="s">
        <v>32</v>
      </c>
      <c r="B12" s="1">
        <v>1228</v>
      </c>
      <c r="C12">
        <v>267</v>
      </c>
      <c r="D12">
        <f>C12*B12</f>
        <v>327876</v>
      </c>
      <c r="E12" s="2">
        <f t="shared" si="0"/>
        <v>5.5157410315544005E-2</v>
      </c>
    </row>
    <row r="13" spans="1:7" x14ac:dyDescent="0.3">
      <c r="A13" t="s">
        <v>51</v>
      </c>
      <c r="B13" s="1">
        <v>1011</v>
      </c>
      <c r="C13">
        <v>286</v>
      </c>
      <c r="D13">
        <f>C13*B13</f>
        <v>289146</v>
      </c>
      <c r="E13" s="2">
        <f t="shared" si="0"/>
        <v>4.8642000521838397E-2</v>
      </c>
    </row>
    <row r="14" spans="1:7" x14ac:dyDescent="0.3">
      <c r="A14" t="s">
        <v>42</v>
      </c>
      <c r="B14" s="1">
        <v>265</v>
      </c>
      <c r="C14">
        <v>1043</v>
      </c>
      <c r="D14">
        <f>C14*B14</f>
        <v>276395</v>
      </c>
      <c r="E14" s="2">
        <f t="shared" si="0"/>
        <v>4.6496945260295922E-2</v>
      </c>
    </row>
    <row r="15" spans="1:7" x14ac:dyDescent="0.3">
      <c r="A15" t="s">
        <v>28</v>
      </c>
      <c r="B15" s="1">
        <f>186+349</f>
        <v>535</v>
      </c>
      <c r="C15">
        <v>267</v>
      </c>
      <c r="D15">
        <f t="shared" si="1"/>
        <v>142845</v>
      </c>
      <c r="E15" s="2">
        <f t="shared" si="0"/>
        <v>2.4030304982749221E-2</v>
      </c>
    </row>
    <row r="16" spans="1:7" x14ac:dyDescent="0.3">
      <c r="A16" t="s">
        <v>29</v>
      </c>
      <c r="B16" s="1">
        <v>267</v>
      </c>
      <c r="C16">
        <v>1270</v>
      </c>
      <c r="D16">
        <f t="shared" si="1"/>
        <v>339090</v>
      </c>
      <c r="E16" s="2">
        <f t="shared" si="0"/>
        <v>5.7043901547834598E-2</v>
      </c>
    </row>
    <row r="17" spans="1:7" x14ac:dyDescent="0.3">
      <c r="A17" t="s">
        <v>12</v>
      </c>
      <c r="B17" s="1">
        <f>368+532</f>
        <v>900</v>
      </c>
      <c r="C17">
        <v>200</v>
      </c>
      <c r="D17">
        <f t="shared" si="1"/>
        <v>180000</v>
      </c>
      <c r="E17" s="2">
        <f t="shared" si="0"/>
        <v>3.0280758142706147E-2</v>
      </c>
    </row>
    <row r="18" spans="1:7" x14ac:dyDescent="0.3">
      <c r="A18" t="s">
        <v>19</v>
      </c>
      <c r="B18" s="1">
        <v>365</v>
      </c>
      <c r="C18">
        <v>401</v>
      </c>
      <c r="D18">
        <f t="shared" si="1"/>
        <v>146365</v>
      </c>
      <c r="E18" s="2">
        <f t="shared" si="0"/>
        <v>2.4622462030873253E-2</v>
      </c>
    </row>
    <row r="19" spans="1:7" x14ac:dyDescent="0.3">
      <c r="A19" t="s">
        <v>45</v>
      </c>
      <c r="B19" s="1">
        <v>6886</v>
      </c>
      <c r="C19">
        <v>36</v>
      </c>
      <c r="D19">
        <f t="shared" si="1"/>
        <v>247896</v>
      </c>
      <c r="E19" s="2">
        <f t="shared" si="0"/>
        <v>4.1702660114134905E-2</v>
      </c>
    </row>
    <row r="20" spans="1:7" x14ac:dyDescent="0.3">
      <c r="A20" t="s">
        <v>31</v>
      </c>
      <c r="B20" s="1">
        <f>920+319+331</f>
        <v>1570</v>
      </c>
      <c r="C20">
        <v>220</v>
      </c>
      <c r="D20">
        <f t="shared" si="1"/>
        <v>345400</v>
      </c>
      <c r="E20" s="2">
        <f t="shared" si="0"/>
        <v>5.8105410347170573E-2</v>
      </c>
    </row>
    <row r="21" spans="1:7" x14ac:dyDescent="0.3">
      <c r="A21" t="s">
        <v>15</v>
      </c>
      <c r="B21" s="1">
        <f>48.4+47.4+129.5-97.5-56+86.5+391.64-150.9-44.65+28+666.65-157.4-303.27+183.51-105.34-76.3-98.36+434.72-160.72-64.6+155.95-254.77-161.7-85.65+146.4+135.27+113.1+214.6+13.78</f>
        <v>978.26</v>
      </c>
      <c r="C21">
        <v>1000</v>
      </c>
      <c r="D21">
        <f t="shared" si="1"/>
        <v>978260</v>
      </c>
      <c r="E21" s="2">
        <f t="shared" si="0"/>
        <v>0.16456919144824286</v>
      </c>
      <c r="G21" t="s">
        <v>69</v>
      </c>
    </row>
    <row r="23" spans="1:7" x14ac:dyDescent="0.3">
      <c r="D23">
        <f>SUM(D5:D21)</f>
        <v>5944369</v>
      </c>
      <c r="E23"/>
    </row>
  </sheetData>
  <pageMargins left="0.7" right="0.7" top="0.75" bottom="0.75" header="0.3" footer="0.3"/>
  <pageSetup orientation="portrait" horizontalDpi="180" verticalDpi="18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4"/>
  <sheetViews>
    <sheetView workbookViewId="0">
      <selection activeCell="G14" sqref="G14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948</v>
      </c>
      <c r="D5">
        <f>C5*B5</f>
        <v>289140</v>
      </c>
      <c r="E5" s="2">
        <f t="shared" ref="E5:E22" si="0">D5/$D$24</f>
        <v>4.9039345110871935E-2</v>
      </c>
    </row>
    <row r="6" spans="1:7" x14ac:dyDescent="0.3">
      <c r="A6" t="s">
        <v>3</v>
      </c>
      <c r="B6" s="1">
        <f>((511+255)*5)-1778-600</f>
        <v>1452</v>
      </c>
      <c r="C6">
        <v>212</v>
      </c>
      <c r="D6">
        <f t="shared" ref="D6:D22" si="1">C6*B6</f>
        <v>307824</v>
      </c>
      <c r="E6" s="2">
        <f t="shared" si="0"/>
        <v>5.220822912571433E-2</v>
      </c>
    </row>
    <row r="7" spans="1:7" x14ac:dyDescent="0.3">
      <c r="A7" t="s">
        <v>27</v>
      </c>
      <c r="B7" s="1">
        <f>473+780+961</f>
        <v>2214</v>
      </c>
      <c r="C7">
        <v>158</v>
      </c>
      <c r="D7">
        <f t="shared" si="1"/>
        <v>349812</v>
      </c>
      <c r="E7" s="2">
        <f t="shared" si="0"/>
        <v>5.9329568347251616E-2</v>
      </c>
      <c r="G7" t="s">
        <v>71</v>
      </c>
    </row>
    <row r="8" spans="1:7" x14ac:dyDescent="0.3">
      <c r="A8" t="s">
        <v>20</v>
      </c>
      <c r="B8" s="1">
        <f>29+10</f>
        <v>39</v>
      </c>
      <c r="C8">
        <v>20572</v>
      </c>
      <c r="D8">
        <f t="shared" si="1"/>
        <v>802308</v>
      </c>
      <c r="E8" s="2">
        <f t="shared" si="0"/>
        <v>0.13607476965211812</v>
      </c>
    </row>
    <row r="9" spans="1:7" x14ac:dyDescent="0.3">
      <c r="A9" t="s">
        <v>23</v>
      </c>
      <c r="B9" s="1">
        <f>3290-1645</f>
        <v>1645</v>
      </c>
      <c r="C9">
        <v>68</v>
      </c>
      <c r="D9">
        <f t="shared" si="1"/>
        <v>111860</v>
      </c>
      <c r="E9" s="2">
        <f t="shared" si="0"/>
        <v>1.897192067545872E-2</v>
      </c>
    </row>
    <row r="10" spans="1:7" x14ac:dyDescent="0.3">
      <c r="A10" t="s">
        <v>16</v>
      </c>
      <c r="B10" s="1">
        <f>840+420</f>
        <v>1260</v>
      </c>
      <c r="C10">
        <v>433</v>
      </c>
      <c r="D10">
        <f t="shared" si="1"/>
        <v>545580</v>
      </c>
      <c r="E10" s="2">
        <f t="shared" si="0"/>
        <v>9.253263438330743E-2</v>
      </c>
    </row>
    <row r="11" spans="1:7" x14ac:dyDescent="0.3">
      <c r="A11" t="s">
        <v>25</v>
      </c>
      <c r="B11" s="1">
        <f>766+383+229</f>
        <v>1378</v>
      </c>
      <c r="C11">
        <v>264</v>
      </c>
      <c r="D11">
        <f t="shared" si="1"/>
        <v>363792</v>
      </c>
      <c r="E11" s="2">
        <f t="shared" si="0"/>
        <v>6.1700634421298757E-2</v>
      </c>
    </row>
    <row r="12" spans="1:7" x14ac:dyDescent="0.3">
      <c r="A12" t="s">
        <v>32</v>
      </c>
      <c r="B12" s="1">
        <v>1228</v>
      </c>
      <c r="C12">
        <v>270</v>
      </c>
      <c r="D12">
        <f>C12*B12</f>
        <v>331560</v>
      </c>
      <c r="E12" s="2">
        <f t="shared" si="0"/>
        <v>5.623395332697205E-2</v>
      </c>
    </row>
    <row r="13" spans="1:7" x14ac:dyDescent="0.3">
      <c r="A13" t="s">
        <v>72</v>
      </c>
      <c r="B13" s="1">
        <v>278</v>
      </c>
      <c r="C13">
        <v>536</v>
      </c>
      <c r="D13">
        <f>C13*B13</f>
        <v>149008</v>
      </c>
      <c r="E13" s="2">
        <f t="shared" si="0"/>
        <v>2.527237579124578E-2</v>
      </c>
      <c r="G13" t="s">
        <v>74</v>
      </c>
    </row>
    <row r="14" spans="1:7" x14ac:dyDescent="0.3">
      <c r="A14" t="s">
        <v>51</v>
      </c>
      <c r="B14" s="1">
        <v>1011</v>
      </c>
      <c r="C14">
        <v>279</v>
      </c>
      <c r="D14">
        <f>C14*B14</f>
        <v>282069</v>
      </c>
      <c r="E14" s="2">
        <f t="shared" si="0"/>
        <v>4.7840074137367829E-2</v>
      </c>
    </row>
    <row r="15" spans="1:7" x14ac:dyDescent="0.3">
      <c r="A15" t="s">
        <v>42</v>
      </c>
      <c r="B15" s="1">
        <v>265</v>
      </c>
      <c r="C15">
        <v>968</v>
      </c>
      <c r="D15">
        <f>C15*B15</f>
        <v>256520</v>
      </c>
      <c r="E15" s="2">
        <f t="shared" si="0"/>
        <v>4.3506857604761945E-2</v>
      </c>
    </row>
    <row r="16" spans="1:7" x14ac:dyDescent="0.3">
      <c r="A16" t="s">
        <v>28</v>
      </c>
      <c r="B16" s="1">
        <f>186+349</f>
        <v>535</v>
      </c>
      <c r="C16">
        <v>266</v>
      </c>
      <c r="D16">
        <f t="shared" si="1"/>
        <v>142310</v>
      </c>
      <c r="E16" s="2">
        <f t="shared" si="0"/>
        <v>2.4136367167213752E-2</v>
      </c>
    </row>
    <row r="17" spans="1:7" x14ac:dyDescent="0.3">
      <c r="A17" t="s">
        <v>29</v>
      </c>
      <c r="B17" s="1">
        <v>267</v>
      </c>
      <c r="C17">
        <v>1324</v>
      </c>
      <c r="D17">
        <f t="shared" si="1"/>
        <v>353508</v>
      </c>
      <c r="E17" s="2">
        <f t="shared" si="0"/>
        <v>5.9956425300733605E-2</v>
      </c>
    </row>
    <row r="18" spans="1:7" x14ac:dyDescent="0.3">
      <c r="A18" t="s">
        <v>12</v>
      </c>
      <c r="B18" s="1">
        <f>368+532</f>
        <v>900</v>
      </c>
      <c r="C18">
        <v>199</v>
      </c>
      <c r="D18">
        <f t="shared" si="1"/>
        <v>179100</v>
      </c>
      <c r="E18" s="2">
        <f t="shared" si="0"/>
        <v>3.037610399583995E-2</v>
      </c>
    </row>
    <row r="19" spans="1:7" x14ac:dyDescent="0.3">
      <c r="A19" t="s">
        <v>19</v>
      </c>
      <c r="B19" s="1">
        <v>365</v>
      </c>
      <c r="C19">
        <v>401</v>
      </c>
      <c r="D19">
        <f t="shared" si="1"/>
        <v>146365</v>
      </c>
      <c r="E19" s="2">
        <f t="shared" si="0"/>
        <v>2.4824112012010686E-2</v>
      </c>
    </row>
    <row r="20" spans="1:7" x14ac:dyDescent="0.3">
      <c r="A20" t="s">
        <v>45</v>
      </c>
      <c r="B20" s="1">
        <v>6886</v>
      </c>
      <c r="C20">
        <v>36</v>
      </c>
      <c r="D20">
        <f t="shared" si="1"/>
        <v>247896</v>
      </c>
      <c r="E20" s="2">
        <f t="shared" si="0"/>
        <v>4.2044191379970633E-2</v>
      </c>
    </row>
    <row r="21" spans="1:7" x14ac:dyDescent="0.3">
      <c r="A21" t="s">
        <v>31</v>
      </c>
      <c r="B21" s="1">
        <f>920+319+331</f>
        <v>1570</v>
      </c>
      <c r="C21">
        <v>228</v>
      </c>
      <c r="D21">
        <f t="shared" si="1"/>
        <v>357960</v>
      </c>
      <c r="E21" s="2">
        <f t="shared" si="0"/>
        <v>6.0711502994700552E-2</v>
      </c>
    </row>
    <row r="22" spans="1:7" x14ac:dyDescent="0.3">
      <c r="A22" t="s">
        <v>15</v>
      </c>
      <c r="B22" s="1">
        <f>48.4+47.4+129.5-97.5-56+86.5+391.64-150.9-44.65+28+666.65-157.4-303.27+183.51-105.34-76.3-98.36+434.72-160.72-64.6+155.95-254.77-161.7-85.65+146.4+135.27+113.1+214.6+13.78-151.45-147.34</f>
        <v>679.46999999999991</v>
      </c>
      <c r="C22">
        <v>1000</v>
      </c>
      <c r="D22">
        <f t="shared" si="1"/>
        <v>679469.99999999988</v>
      </c>
      <c r="E22" s="2">
        <f t="shared" si="0"/>
        <v>0.1152409345731623</v>
      </c>
      <c r="G22" t="s">
        <v>73</v>
      </c>
    </row>
    <row r="24" spans="1:7" x14ac:dyDescent="0.3">
      <c r="D24">
        <f>SUM(D5:D22)</f>
        <v>5896082</v>
      </c>
      <c r="E24"/>
    </row>
  </sheetData>
  <pageMargins left="0.7" right="0.7" top="0.75" bottom="0.75" header="0.3" footer="0.3"/>
  <pageSetup orientation="portrait" horizontalDpi="180" verticalDpi="18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4"/>
  <sheetViews>
    <sheetView workbookViewId="0">
      <selection activeCell="B14" sqref="B14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948</v>
      </c>
      <c r="D5">
        <f>C5*B5</f>
        <v>289140</v>
      </c>
      <c r="E5" s="2">
        <f t="shared" ref="E5:E22" si="0">D5/$D$24</f>
        <v>4.9029017228831247E-2</v>
      </c>
    </row>
    <row r="6" spans="1:7" x14ac:dyDescent="0.3">
      <c r="A6" t="s">
        <v>3</v>
      </c>
      <c r="B6" s="1">
        <f>((511+255)*5)-1778-600-363</f>
        <v>1089</v>
      </c>
      <c r="C6">
        <v>212</v>
      </c>
      <c r="D6">
        <f t="shared" ref="D6:D22" si="1">C6*B6</f>
        <v>230868</v>
      </c>
      <c r="E6" s="2">
        <f t="shared" si="0"/>
        <v>3.9147925398027986E-2</v>
      </c>
      <c r="G6" t="s">
        <v>75</v>
      </c>
    </row>
    <row r="7" spans="1:7" x14ac:dyDescent="0.3">
      <c r="A7" t="s">
        <v>27</v>
      </c>
      <c r="B7" s="1">
        <f>473+780+961</f>
        <v>2214</v>
      </c>
      <c r="C7">
        <v>158</v>
      </c>
      <c r="D7">
        <f t="shared" si="1"/>
        <v>349812</v>
      </c>
      <c r="E7" s="2">
        <f t="shared" si="0"/>
        <v>5.9317073303077804E-2</v>
      </c>
    </row>
    <row r="8" spans="1:7" x14ac:dyDescent="0.3">
      <c r="A8" t="s">
        <v>20</v>
      </c>
      <c r="B8" s="1">
        <f>29+10</f>
        <v>39</v>
      </c>
      <c r="C8">
        <v>20572</v>
      </c>
      <c r="D8">
        <f t="shared" si="1"/>
        <v>802308</v>
      </c>
      <c r="E8" s="2">
        <f t="shared" si="0"/>
        <v>0.13604611176187709</v>
      </c>
    </row>
    <row r="9" spans="1:7" x14ac:dyDescent="0.3">
      <c r="A9" t="s">
        <v>23</v>
      </c>
      <c r="B9" s="1">
        <f>3290-1645</f>
        <v>1645</v>
      </c>
      <c r="C9">
        <v>68</v>
      </c>
      <c r="D9">
        <f t="shared" si="1"/>
        <v>111860</v>
      </c>
      <c r="E9" s="2">
        <f t="shared" si="0"/>
        <v>1.8967925113153015E-2</v>
      </c>
    </row>
    <row r="10" spans="1:7" x14ac:dyDescent="0.3">
      <c r="A10" t="s">
        <v>16</v>
      </c>
      <c r="B10" s="1">
        <f>840+420</f>
        <v>1260</v>
      </c>
      <c r="C10">
        <v>433</v>
      </c>
      <c r="D10">
        <f t="shared" si="1"/>
        <v>545580</v>
      </c>
      <c r="E10" s="2">
        <f t="shared" si="0"/>
        <v>9.2513146640747571E-2</v>
      </c>
    </row>
    <row r="11" spans="1:7" x14ac:dyDescent="0.3">
      <c r="A11" t="s">
        <v>25</v>
      </c>
      <c r="B11" s="1">
        <f>766+383+229</f>
        <v>1378</v>
      </c>
      <c r="C11">
        <v>264</v>
      </c>
      <c r="D11">
        <f t="shared" si="1"/>
        <v>363792</v>
      </c>
      <c r="E11" s="2">
        <f t="shared" si="0"/>
        <v>6.1687640021135012E-2</v>
      </c>
    </row>
    <row r="12" spans="1:7" x14ac:dyDescent="0.3">
      <c r="A12" t="s">
        <v>32</v>
      </c>
      <c r="B12" s="1">
        <v>1228</v>
      </c>
      <c r="C12">
        <v>270</v>
      </c>
      <c r="D12">
        <f>C12*B12</f>
        <v>331560</v>
      </c>
      <c r="E12" s="2">
        <f t="shared" si="0"/>
        <v>5.6222110231691526E-2</v>
      </c>
    </row>
    <row r="13" spans="1:7" x14ac:dyDescent="0.3">
      <c r="A13" t="s">
        <v>72</v>
      </c>
      <c r="B13" s="1">
        <f>278+278</f>
        <v>556</v>
      </c>
      <c r="C13">
        <v>536</v>
      </c>
      <c r="D13">
        <f>C13*B13</f>
        <v>298016</v>
      </c>
      <c r="E13" s="2">
        <f t="shared" si="0"/>
        <v>5.0534106655832377E-2</v>
      </c>
      <c r="G13" t="s">
        <v>76</v>
      </c>
    </row>
    <row r="14" spans="1:7" x14ac:dyDescent="0.3">
      <c r="A14" t="s">
        <v>51</v>
      </c>
      <c r="B14" s="1">
        <v>1011</v>
      </c>
      <c r="C14">
        <v>279</v>
      </c>
      <c r="D14">
        <f>C14*B14</f>
        <v>282069</v>
      </c>
      <c r="E14" s="2">
        <f t="shared" si="0"/>
        <v>4.782999882658643E-2</v>
      </c>
    </row>
    <row r="15" spans="1:7" x14ac:dyDescent="0.3">
      <c r="A15" t="s">
        <v>42</v>
      </c>
      <c r="B15" s="1">
        <v>265</v>
      </c>
      <c r="C15">
        <v>968</v>
      </c>
      <c r="D15">
        <f>C15*B15</f>
        <v>256520</v>
      </c>
      <c r="E15" s="2">
        <f t="shared" si="0"/>
        <v>4.349769488669776E-2</v>
      </c>
    </row>
    <row r="16" spans="1:7" x14ac:dyDescent="0.3">
      <c r="A16" t="s">
        <v>28</v>
      </c>
      <c r="B16" s="1">
        <f>186+349</f>
        <v>535</v>
      </c>
      <c r="C16">
        <v>266</v>
      </c>
      <c r="D16">
        <f t="shared" si="1"/>
        <v>142310</v>
      </c>
      <c r="E16" s="2">
        <f t="shared" si="0"/>
        <v>2.413128395183985E-2</v>
      </c>
    </row>
    <row r="17" spans="1:7" x14ac:dyDescent="0.3">
      <c r="A17" t="s">
        <v>29</v>
      </c>
      <c r="B17" s="1">
        <v>267</v>
      </c>
      <c r="C17">
        <v>1324</v>
      </c>
      <c r="D17">
        <f t="shared" si="1"/>
        <v>353508</v>
      </c>
      <c r="E17" s="2">
        <f t="shared" si="0"/>
        <v>5.9943798237980482E-2</v>
      </c>
    </row>
    <row r="18" spans="1:7" x14ac:dyDescent="0.3">
      <c r="A18" t="s">
        <v>12</v>
      </c>
      <c r="B18" s="1">
        <f>368+532</f>
        <v>900</v>
      </c>
      <c r="C18">
        <v>199</v>
      </c>
      <c r="D18">
        <f t="shared" si="1"/>
        <v>179100</v>
      </c>
      <c r="E18" s="2">
        <f t="shared" si="0"/>
        <v>3.0369706666956063E-2</v>
      </c>
    </row>
    <row r="19" spans="1:7" x14ac:dyDescent="0.3">
      <c r="A19" t="s">
        <v>19</v>
      </c>
      <c r="B19" s="1">
        <v>365</v>
      </c>
      <c r="C19">
        <v>401</v>
      </c>
      <c r="D19">
        <f t="shared" si="1"/>
        <v>146365</v>
      </c>
      <c r="E19" s="2">
        <f t="shared" si="0"/>
        <v>2.4818883954824254E-2</v>
      </c>
    </row>
    <row r="20" spans="1:7" x14ac:dyDescent="0.3">
      <c r="A20" t="s">
        <v>45</v>
      </c>
      <c r="B20" s="1">
        <v>6886</v>
      </c>
      <c r="C20">
        <v>36</v>
      </c>
      <c r="D20">
        <f t="shared" si="1"/>
        <v>247896</v>
      </c>
      <c r="E20" s="2">
        <f t="shared" si="0"/>
        <v>4.2035336705258185E-2</v>
      </c>
    </row>
    <row r="21" spans="1:7" x14ac:dyDescent="0.3">
      <c r="A21" t="s">
        <v>31</v>
      </c>
      <c r="B21" s="1">
        <f>920+319+331</f>
        <v>1570</v>
      </c>
      <c r="C21">
        <v>228</v>
      </c>
      <c r="D21">
        <f t="shared" si="1"/>
        <v>357960</v>
      </c>
      <c r="E21" s="2">
        <f t="shared" si="0"/>
        <v>6.0698716909567796E-2</v>
      </c>
    </row>
    <row r="22" spans="1:7" x14ac:dyDescent="0.3">
      <c r="A22" t="s">
        <v>15</v>
      </c>
      <c r="B22" s="1">
        <f>48.4+47.4+129.5-97.5-56+86.5+391.64-150.9-44.65+28+666.65-157.4-303.27+183.51-105.34-76.3-98.36+434.72-160.72-64.6+155.95-254.77-161.7-85.65+146.4+135.27+113.1+214.6+13.78-151.45-147.34-70.81</f>
        <v>608.65999999999985</v>
      </c>
      <c r="C22">
        <v>1000</v>
      </c>
      <c r="D22">
        <f t="shared" si="1"/>
        <v>608659.99999999988</v>
      </c>
      <c r="E22" s="2">
        <f t="shared" si="0"/>
        <v>0.10320952350591554</v>
      </c>
      <c r="G22" t="s">
        <v>77</v>
      </c>
    </row>
    <row r="24" spans="1:7" x14ac:dyDescent="0.3">
      <c r="D24">
        <f>SUM(D5:D22)</f>
        <v>5897324</v>
      </c>
      <c r="E24"/>
    </row>
  </sheetData>
  <pageMargins left="0.7" right="0.7" top="0.75" bottom="0.75" header="0.3" footer="0.3"/>
  <pageSetup orientation="portrait" horizontalDpi="180" verticalDpi="18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4"/>
  <sheetViews>
    <sheetView workbookViewId="0">
      <selection activeCell="B22" sqref="B22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1049</v>
      </c>
      <c r="D5">
        <f>C5*B5</f>
        <v>319945</v>
      </c>
      <c r="E5" s="2">
        <f t="shared" ref="E5:E22" si="0">D5/$D$24</f>
        <v>5.4981822806084442E-2</v>
      </c>
    </row>
    <row r="6" spans="1:7" x14ac:dyDescent="0.3">
      <c r="A6" t="s">
        <v>3</v>
      </c>
      <c r="B6" s="1">
        <f>((511+255)*5)-1778-600-363</f>
        <v>1089</v>
      </c>
      <c r="C6">
        <v>167</v>
      </c>
      <c r="D6">
        <f t="shared" ref="D6:D22" si="1">C6*B6</f>
        <v>181863</v>
      </c>
      <c r="E6" s="2">
        <f t="shared" si="0"/>
        <v>3.1252744193479925E-2</v>
      </c>
    </row>
    <row r="7" spans="1:7" x14ac:dyDescent="0.3">
      <c r="A7" t="s">
        <v>27</v>
      </c>
      <c r="B7" s="1">
        <f>473+780+961</f>
        <v>2214</v>
      </c>
      <c r="C7">
        <v>160</v>
      </c>
      <c r="D7">
        <f t="shared" si="1"/>
        <v>354240</v>
      </c>
      <c r="E7" s="2">
        <f t="shared" si="0"/>
        <v>6.0875340795534708E-2</v>
      </c>
    </row>
    <row r="8" spans="1:7" x14ac:dyDescent="0.3">
      <c r="A8" t="s">
        <v>20</v>
      </c>
      <c r="B8" s="1">
        <f>29+10</f>
        <v>39</v>
      </c>
      <c r="C8">
        <v>21018</v>
      </c>
      <c r="D8">
        <f t="shared" si="1"/>
        <v>819702</v>
      </c>
      <c r="E8" s="2">
        <f t="shared" si="0"/>
        <v>0.14086393010609019</v>
      </c>
    </row>
    <row r="9" spans="1:7" x14ac:dyDescent="0.3">
      <c r="A9" t="s">
        <v>23</v>
      </c>
      <c r="B9" s="1">
        <f>3290-1645</f>
        <v>1645</v>
      </c>
      <c r="C9">
        <v>67</v>
      </c>
      <c r="D9">
        <f t="shared" si="1"/>
        <v>110215</v>
      </c>
      <c r="E9" s="2">
        <f t="shared" si="0"/>
        <v>1.8940197848294541E-2</v>
      </c>
    </row>
    <row r="10" spans="1:7" x14ac:dyDescent="0.3">
      <c r="A10" t="s">
        <v>16</v>
      </c>
      <c r="B10" s="1">
        <f>840+420</f>
        <v>1260</v>
      </c>
      <c r="C10">
        <v>406</v>
      </c>
      <c r="D10">
        <f t="shared" si="1"/>
        <v>511560</v>
      </c>
      <c r="E10" s="2">
        <f t="shared" si="0"/>
        <v>8.7910426087860594E-2</v>
      </c>
    </row>
    <row r="11" spans="1:7" x14ac:dyDescent="0.3">
      <c r="A11" t="s">
        <v>25</v>
      </c>
      <c r="B11" s="1">
        <f>766+383+229</f>
        <v>1378</v>
      </c>
      <c r="C11">
        <v>266</v>
      </c>
      <c r="D11">
        <f t="shared" si="1"/>
        <v>366548</v>
      </c>
      <c r="E11" s="2">
        <f t="shared" si="0"/>
        <v>6.2990442688351564E-2</v>
      </c>
    </row>
    <row r="12" spans="1:7" x14ac:dyDescent="0.3">
      <c r="A12" t="s">
        <v>32</v>
      </c>
      <c r="B12" s="1">
        <v>1228</v>
      </c>
      <c r="C12">
        <v>256</v>
      </c>
      <c r="D12">
        <f>C12*B12</f>
        <v>314368</v>
      </c>
      <c r="E12" s="2">
        <f t="shared" si="0"/>
        <v>5.4023428001385092E-2</v>
      </c>
    </row>
    <row r="13" spans="1:7" x14ac:dyDescent="0.3">
      <c r="A13" t="s">
        <v>72</v>
      </c>
      <c r="B13" s="1">
        <f>278+278</f>
        <v>556</v>
      </c>
      <c r="C13">
        <v>594</v>
      </c>
      <c r="D13">
        <f>C13*B13</f>
        <v>330264</v>
      </c>
      <c r="E13" s="2">
        <f t="shared" si="0"/>
        <v>5.6755119558763764E-2</v>
      </c>
    </row>
    <row r="14" spans="1:7" x14ac:dyDescent="0.3">
      <c r="A14" t="s">
        <v>51</v>
      </c>
      <c r="B14" s="1">
        <v>1011</v>
      </c>
      <c r="C14">
        <v>280</v>
      </c>
      <c r="D14">
        <f>C14*B14</f>
        <v>283080</v>
      </c>
      <c r="E14" s="2">
        <f t="shared" si="0"/>
        <v>4.8646656143857173E-2</v>
      </c>
    </row>
    <row r="15" spans="1:7" x14ac:dyDescent="0.3">
      <c r="A15" t="s">
        <v>42</v>
      </c>
      <c r="B15" s="1">
        <f>265+65</f>
        <v>330</v>
      </c>
      <c r="C15">
        <v>910</v>
      </c>
      <c r="D15">
        <f>C15*B15</f>
        <v>300300</v>
      </c>
      <c r="E15" s="2">
        <f t="shared" si="0"/>
        <v>5.1605874099195669E-2</v>
      </c>
      <c r="G15" t="s">
        <v>78</v>
      </c>
    </row>
    <row r="16" spans="1:7" x14ac:dyDescent="0.3">
      <c r="A16" t="s">
        <v>28</v>
      </c>
      <c r="B16" s="1">
        <f>186+349</f>
        <v>535</v>
      </c>
      <c r="C16">
        <v>245</v>
      </c>
      <c r="D16">
        <f t="shared" si="1"/>
        <v>131075</v>
      </c>
      <c r="E16" s="2">
        <f t="shared" si="0"/>
        <v>2.2524941550289949E-2</v>
      </c>
    </row>
    <row r="17" spans="1:7" x14ac:dyDescent="0.3">
      <c r="A17" t="s">
        <v>29</v>
      </c>
      <c r="B17" s="1">
        <v>267</v>
      </c>
      <c r="C17">
        <v>1323</v>
      </c>
      <c r="D17">
        <f t="shared" si="1"/>
        <v>353241</v>
      </c>
      <c r="E17" s="2">
        <f t="shared" si="0"/>
        <v>6.0703664910669253E-2</v>
      </c>
    </row>
    <row r="18" spans="1:7" x14ac:dyDescent="0.3">
      <c r="A18" t="s">
        <v>12</v>
      </c>
      <c r="B18" s="1">
        <f>368+532</f>
        <v>900</v>
      </c>
      <c r="C18">
        <v>161</v>
      </c>
      <c r="D18">
        <f t="shared" si="1"/>
        <v>144900</v>
      </c>
      <c r="E18" s="2">
        <f t="shared" si="0"/>
        <v>2.4900736453458049E-2</v>
      </c>
    </row>
    <row r="19" spans="1:7" x14ac:dyDescent="0.3">
      <c r="A19" t="s">
        <v>19</v>
      </c>
      <c r="B19" s="1">
        <v>365</v>
      </c>
      <c r="C19">
        <v>414</v>
      </c>
      <c r="D19">
        <f t="shared" si="1"/>
        <v>151110</v>
      </c>
      <c r="E19" s="2">
        <f t="shared" si="0"/>
        <v>2.5967910872891964E-2</v>
      </c>
    </row>
    <row r="20" spans="1:7" x14ac:dyDescent="0.3">
      <c r="A20" t="s">
        <v>45</v>
      </c>
      <c r="B20" s="1">
        <v>6886</v>
      </c>
      <c r="C20">
        <v>34</v>
      </c>
      <c r="D20">
        <f t="shared" si="1"/>
        <v>234124</v>
      </c>
      <c r="E20" s="2">
        <f t="shared" si="0"/>
        <v>4.0233678546786833E-2</v>
      </c>
    </row>
    <row r="21" spans="1:7" x14ac:dyDescent="0.3">
      <c r="A21" t="s">
        <v>31</v>
      </c>
      <c r="B21" s="1">
        <f>920+319+331</f>
        <v>1570</v>
      </c>
      <c r="C21">
        <v>231</v>
      </c>
      <c r="D21">
        <f t="shared" si="1"/>
        <v>362670</v>
      </c>
      <c r="E21" s="2">
        <f t="shared" si="0"/>
        <v>6.2324017181336303E-2</v>
      </c>
    </row>
    <row r="22" spans="1:7" x14ac:dyDescent="0.3">
      <c r="A22" t="s">
        <v>15</v>
      </c>
      <c r="B22" s="1">
        <f>48.4+47.4+129.5-97.5-56+86.5+391.64-150.9-44.65+28+666.65-157.4-303.27+183.51-105.34-76.3-98.36+434.72-160.72-64.6+155.95-254.77-161.7-85.65+146.4+135.27+113.1+214.6+13.78-151.45-147.34-70.81-58.76</f>
        <v>549.89999999999986</v>
      </c>
      <c r="C22">
        <v>1000</v>
      </c>
      <c r="D22">
        <f t="shared" si="1"/>
        <v>549899.99999999988</v>
      </c>
      <c r="E22" s="2">
        <f t="shared" si="0"/>
        <v>9.4499068155669969E-2</v>
      </c>
      <c r="G22" t="s">
        <v>79</v>
      </c>
    </row>
    <row r="24" spans="1:7" x14ac:dyDescent="0.3">
      <c r="D24">
        <f>SUM(D5:D22)</f>
        <v>5819105</v>
      </c>
      <c r="E24"/>
    </row>
  </sheetData>
  <pageMargins left="0.7" right="0.7" top="0.75" bottom="0.75" header="0.3" footer="0.3"/>
  <pageSetup orientation="portrait" horizontalDpi="180" verticalDpi="18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5"/>
  <sheetViews>
    <sheetView workbookViewId="0">
      <selection activeCell="G7" sqref="G7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1009</v>
      </c>
      <c r="D5">
        <f>C5*B5</f>
        <v>307745</v>
      </c>
      <c r="E5" s="2">
        <f t="shared" ref="E5:E23" si="0">D5/$D$25</f>
        <v>5.5224046385004798E-2</v>
      </c>
    </row>
    <row r="6" spans="1:7" x14ac:dyDescent="0.3">
      <c r="A6" t="s">
        <v>3</v>
      </c>
      <c r="B6" s="1">
        <f>((511+255)*5)-1778-600-363-1089</f>
        <v>0</v>
      </c>
      <c r="C6">
        <v>162</v>
      </c>
      <c r="D6">
        <f t="shared" ref="D6:D23" si="1">C6*B6</f>
        <v>0</v>
      </c>
      <c r="E6" s="2">
        <f t="shared" si="0"/>
        <v>0</v>
      </c>
      <c r="G6" t="s">
        <v>83</v>
      </c>
    </row>
    <row r="7" spans="1:7" x14ac:dyDescent="0.3">
      <c r="A7" t="s">
        <v>27</v>
      </c>
      <c r="B7" s="1">
        <f>473+780+961</f>
        <v>2214</v>
      </c>
      <c r="C7">
        <v>161</v>
      </c>
      <c r="D7">
        <f t="shared" si="1"/>
        <v>356454</v>
      </c>
      <c r="E7" s="2">
        <f t="shared" si="0"/>
        <v>6.3964750784319818E-2</v>
      </c>
    </row>
    <row r="8" spans="1:7" x14ac:dyDescent="0.3">
      <c r="A8" t="s">
        <v>20</v>
      </c>
      <c r="B8" s="1">
        <f>29+10</f>
        <v>39</v>
      </c>
      <c r="C8">
        <v>18478</v>
      </c>
      <c r="D8">
        <f t="shared" si="1"/>
        <v>720642</v>
      </c>
      <c r="E8" s="2">
        <f t="shared" si="0"/>
        <v>0.12931734791786262</v>
      </c>
    </row>
    <row r="9" spans="1:7" x14ac:dyDescent="0.3">
      <c r="A9" t="s">
        <v>23</v>
      </c>
      <c r="B9" s="1">
        <f>3290-1645</f>
        <v>1645</v>
      </c>
      <c r="C9">
        <v>65</v>
      </c>
      <c r="D9">
        <f t="shared" si="1"/>
        <v>106925</v>
      </c>
      <c r="E9" s="2">
        <f t="shared" si="0"/>
        <v>1.9187415424187681E-2</v>
      </c>
    </row>
    <row r="10" spans="1:7" x14ac:dyDescent="0.3">
      <c r="A10" t="s">
        <v>16</v>
      </c>
      <c r="B10" s="1">
        <f>840+420</f>
        <v>1260</v>
      </c>
      <c r="C10">
        <v>383</v>
      </c>
      <c r="D10">
        <f t="shared" si="1"/>
        <v>482580</v>
      </c>
      <c r="E10" s="2">
        <f t="shared" si="0"/>
        <v>8.6597736127233968E-2</v>
      </c>
    </row>
    <row r="11" spans="1:7" x14ac:dyDescent="0.3">
      <c r="A11" t="s">
        <v>25</v>
      </c>
      <c r="B11" s="1">
        <f>766+383+229</f>
        <v>1378</v>
      </c>
      <c r="C11">
        <v>265</v>
      </c>
      <c r="D11">
        <f t="shared" si="1"/>
        <v>365170</v>
      </c>
      <c r="E11" s="2">
        <f t="shared" si="0"/>
        <v>6.5528814500356469E-2</v>
      </c>
    </row>
    <row r="12" spans="1:7" x14ac:dyDescent="0.3">
      <c r="A12" t="s">
        <v>80</v>
      </c>
      <c r="B12" s="1">
        <v>2928</v>
      </c>
      <c r="C12">
        <v>92</v>
      </c>
      <c r="D12">
        <f t="shared" si="1"/>
        <v>269376</v>
      </c>
      <c r="E12" s="2">
        <f t="shared" si="0"/>
        <v>4.833882831242442E-2</v>
      </c>
      <c r="G12" t="s">
        <v>81</v>
      </c>
    </row>
    <row r="13" spans="1:7" x14ac:dyDescent="0.3">
      <c r="A13" t="s">
        <v>32</v>
      </c>
      <c r="B13" s="1">
        <v>1228</v>
      </c>
      <c r="C13">
        <v>249</v>
      </c>
      <c r="D13">
        <f>C13*B13</f>
        <v>305772</v>
      </c>
      <c r="E13" s="2">
        <f t="shared" si="0"/>
        <v>5.486999662459402E-2</v>
      </c>
    </row>
    <row r="14" spans="1:7" x14ac:dyDescent="0.3">
      <c r="A14" t="s">
        <v>72</v>
      </c>
      <c r="B14" s="1">
        <f>278+278</f>
        <v>556</v>
      </c>
      <c r="C14">
        <v>759</v>
      </c>
      <c r="D14">
        <f>C14*B14</f>
        <v>422004</v>
      </c>
      <c r="E14" s="2">
        <f t="shared" si="0"/>
        <v>7.5727529190263251E-2</v>
      </c>
    </row>
    <row r="15" spans="1:7" x14ac:dyDescent="0.3">
      <c r="A15" t="s">
        <v>51</v>
      </c>
      <c r="B15" s="1">
        <v>1011</v>
      </c>
      <c r="C15">
        <v>242</v>
      </c>
      <c r="D15">
        <f>C15*B15</f>
        <v>244662</v>
      </c>
      <c r="E15" s="2">
        <f t="shared" si="0"/>
        <v>4.3903964765140115E-2</v>
      </c>
    </row>
    <row r="16" spans="1:7" x14ac:dyDescent="0.3">
      <c r="A16" t="s">
        <v>42</v>
      </c>
      <c r="B16" s="1">
        <f>265+65</f>
        <v>330</v>
      </c>
      <c r="C16">
        <v>741</v>
      </c>
      <c r="D16">
        <f>C16*B16</f>
        <v>244530</v>
      </c>
      <c r="E16" s="2">
        <f t="shared" si="0"/>
        <v>4.3880277705649881E-2</v>
      </c>
    </row>
    <row r="17" spans="1:7" x14ac:dyDescent="0.3">
      <c r="A17" t="s">
        <v>28</v>
      </c>
      <c r="B17" s="1">
        <f>186+349</f>
        <v>535</v>
      </c>
      <c r="C17">
        <v>221</v>
      </c>
      <c r="D17">
        <f t="shared" si="1"/>
        <v>118235</v>
      </c>
      <c r="E17" s="2">
        <f t="shared" si="0"/>
        <v>2.1216965748691426E-2</v>
      </c>
    </row>
    <row r="18" spans="1:7" x14ac:dyDescent="0.3">
      <c r="A18" t="s">
        <v>29</v>
      </c>
      <c r="B18" s="1">
        <v>267</v>
      </c>
      <c r="C18">
        <v>1200</v>
      </c>
      <c r="D18">
        <f t="shared" si="1"/>
        <v>320400</v>
      </c>
      <c r="E18" s="2">
        <f t="shared" si="0"/>
        <v>5.7494953489920349E-2</v>
      </c>
    </row>
    <row r="19" spans="1:7" x14ac:dyDescent="0.3">
      <c r="A19" t="s">
        <v>12</v>
      </c>
      <c r="B19" s="1">
        <f>368+532</f>
        <v>900</v>
      </c>
      <c r="C19">
        <v>146</v>
      </c>
      <c r="D19">
        <f t="shared" si="1"/>
        <v>131400</v>
      </c>
      <c r="E19" s="2">
        <f t="shared" si="0"/>
        <v>2.3579391038001041E-2</v>
      </c>
    </row>
    <row r="20" spans="1:7" x14ac:dyDescent="0.3">
      <c r="A20" t="s">
        <v>19</v>
      </c>
      <c r="B20" s="1">
        <v>365</v>
      </c>
      <c r="C20">
        <v>354</v>
      </c>
      <c r="D20">
        <f t="shared" si="1"/>
        <v>129210</v>
      </c>
      <c r="E20" s="2">
        <f t="shared" si="0"/>
        <v>2.318640118736769E-2</v>
      </c>
    </row>
    <row r="21" spans="1:7" x14ac:dyDescent="0.3">
      <c r="A21" t="s">
        <v>45</v>
      </c>
      <c r="B21" s="1">
        <v>6886</v>
      </c>
      <c r="C21">
        <v>33</v>
      </c>
      <c r="D21">
        <f t="shared" si="1"/>
        <v>227238</v>
      </c>
      <c r="E21" s="2">
        <f t="shared" si="0"/>
        <v>4.0777272912429836E-2</v>
      </c>
    </row>
    <row r="22" spans="1:7" x14ac:dyDescent="0.3">
      <c r="A22" t="s">
        <v>31</v>
      </c>
      <c r="B22" s="1">
        <f>920+319+331</f>
        <v>1570</v>
      </c>
      <c r="C22">
        <v>226</v>
      </c>
      <c r="D22">
        <f t="shared" si="1"/>
        <v>354820</v>
      </c>
      <c r="E22" s="2">
        <f t="shared" si="0"/>
        <v>6.367153369941804E-2</v>
      </c>
    </row>
    <row r="23" spans="1:7" x14ac:dyDescent="0.3">
      <c r="A23" t="s">
        <v>15</v>
      </c>
      <c r="B23" s="1">
        <f>48.4+47.4+129.5-97.5-56+86.5+391.64-150.9-44.65+28+666.65-157.4-303.27+183.51-105.34-76.3-98.36+434.72-160.72-64.6+155.95-254.77-161.7-85.65+146.4+135.27+113.1+214.6+13.78-151.45-147.34-70.81-58.76-273.8+189.4</f>
        <v>465.49999999999989</v>
      </c>
      <c r="C23">
        <v>1000</v>
      </c>
      <c r="D23">
        <f t="shared" si="1"/>
        <v>465499.99999999988</v>
      </c>
      <c r="E23" s="2">
        <f t="shared" si="0"/>
        <v>8.3532774187134562E-2</v>
      </c>
      <c r="G23" t="s">
        <v>82</v>
      </c>
    </row>
    <row r="25" spans="1:7" x14ac:dyDescent="0.3">
      <c r="D25">
        <f>SUM(D5:D23)</f>
        <v>5572663</v>
      </c>
      <c r="E25"/>
    </row>
  </sheetData>
  <pageMargins left="0.7" right="0.7" top="0.75" bottom="0.75" header="0.3" footer="0.3"/>
  <pageSetup orientation="portrait" horizontalDpi="180" verticalDpi="18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4"/>
  <sheetViews>
    <sheetView workbookViewId="0">
      <selection activeCell="C24" sqref="C24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1005</v>
      </c>
      <c r="D5">
        <f>C5*B5</f>
        <v>306525</v>
      </c>
      <c r="E5" s="2">
        <f t="shared" ref="E5:E22" si="0">D5/$D$24</f>
        <v>5.3269878123593413E-2</v>
      </c>
    </row>
    <row r="6" spans="1:7" x14ac:dyDescent="0.3">
      <c r="A6" t="s">
        <v>27</v>
      </c>
      <c r="B6" s="1">
        <f>473+780+961</f>
        <v>2214</v>
      </c>
      <c r="C6">
        <v>164</v>
      </c>
      <c r="D6">
        <f t="shared" ref="D6:D22" si="1">C6*B6</f>
        <v>363096</v>
      </c>
      <c r="E6" s="2">
        <f t="shared" si="0"/>
        <v>6.3101148901930595E-2</v>
      </c>
    </row>
    <row r="7" spans="1:7" x14ac:dyDescent="0.3">
      <c r="A7" t="s">
        <v>20</v>
      </c>
      <c r="B7" s="1">
        <f>29+10</f>
        <v>39</v>
      </c>
      <c r="C7">
        <v>17982</v>
      </c>
      <c r="D7">
        <f t="shared" si="1"/>
        <v>701298</v>
      </c>
      <c r="E7" s="2">
        <f t="shared" si="0"/>
        <v>0.12187605901091204</v>
      </c>
    </row>
    <row r="8" spans="1:7" x14ac:dyDescent="0.3">
      <c r="A8" t="s">
        <v>23</v>
      </c>
      <c r="B8" s="1">
        <f>3290-1645-822</f>
        <v>823</v>
      </c>
      <c r="C8">
        <v>66</v>
      </c>
      <c r="D8">
        <f t="shared" si="1"/>
        <v>54318</v>
      </c>
      <c r="E8" s="2">
        <f t="shared" si="0"/>
        <v>9.4397300054395138E-3</v>
      </c>
      <c r="G8" t="s">
        <v>84</v>
      </c>
    </row>
    <row r="9" spans="1:7" x14ac:dyDescent="0.3">
      <c r="A9" t="s">
        <v>16</v>
      </c>
      <c r="B9" s="1">
        <f>840+420</f>
        <v>1260</v>
      </c>
      <c r="C9">
        <v>419</v>
      </c>
      <c r="D9">
        <f t="shared" si="1"/>
        <v>527940</v>
      </c>
      <c r="E9" s="2">
        <f t="shared" si="0"/>
        <v>9.1748795225739851E-2</v>
      </c>
    </row>
    <row r="10" spans="1:7" x14ac:dyDescent="0.3">
      <c r="A10" t="s">
        <v>25</v>
      </c>
      <c r="B10" s="1">
        <f>766+383+229</f>
        <v>1378</v>
      </c>
      <c r="C10">
        <v>283</v>
      </c>
      <c r="D10">
        <f t="shared" si="1"/>
        <v>389974</v>
      </c>
      <c r="E10" s="2">
        <f t="shared" si="0"/>
        <v>6.7772179924541945E-2</v>
      </c>
    </row>
    <row r="11" spans="1:7" x14ac:dyDescent="0.3">
      <c r="A11" t="s">
        <v>80</v>
      </c>
      <c r="B11" s="1">
        <v>2928</v>
      </c>
      <c r="C11">
        <v>90</v>
      </c>
      <c r="D11">
        <f t="shared" si="1"/>
        <v>263520</v>
      </c>
      <c r="E11" s="2">
        <f t="shared" si="0"/>
        <v>4.5796193730134042E-2</v>
      </c>
    </row>
    <row r="12" spans="1:7" x14ac:dyDescent="0.3">
      <c r="A12" t="s">
        <v>32</v>
      </c>
      <c r="B12" s="1">
        <v>1228</v>
      </c>
      <c r="C12">
        <v>236</v>
      </c>
      <c r="D12">
        <f>C12*B12</f>
        <v>289808</v>
      </c>
      <c r="E12" s="2">
        <f t="shared" si="0"/>
        <v>5.036469077315834E-2</v>
      </c>
    </row>
    <row r="13" spans="1:7" x14ac:dyDescent="0.3">
      <c r="A13" t="s">
        <v>72</v>
      </c>
      <c r="B13" s="1">
        <f>278+278</f>
        <v>556</v>
      </c>
      <c r="C13">
        <v>826</v>
      </c>
      <c r="D13">
        <f>C13*B13</f>
        <v>459256</v>
      </c>
      <c r="E13" s="2">
        <f t="shared" si="0"/>
        <v>7.9812449710558744E-2</v>
      </c>
    </row>
    <row r="14" spans="1:7" x14ac:dyDescent="0.3">
      <c r="A14" t="s">
        <v>51</v>
      </c>
      <c r="B14" s="1">
        <v>1011</v>
      </c>
      <c r="C14">
        <v>254</v>
      </c>
      <c r="D14">
        <f>C14*B14</f>
        <v>256794</v>
      </c>
      <c r="E14" s="2">
        <f t="shared" si="0"/>
        <v>4.4627306362841686E-2</v>
      </c>
    </row>
    <row r="15" spans="1:7" x14ac:dyDescent="0.3">
      <c r="A15" t="s">
        <v>42</v>
      </c>
      <c r="B15" s="1">
        <f>265+65</f>
        <v>330</v>
      </c>
      <c r="C15">
        <v>811</v>
      </c>
      <c r="D15">
        <f>C15*B15</f>
        <v>267630</v>
      </c>
      <c r="E15" s="2">
        <f t="shared" si="0"/>
        <v>4.6510455859121787E-2</v>
      </c>
    </row>
    <row r="16" spans="1:7" x14ac:dyDescent="0.3">
      <c r="A16" t="s">
        <v>28</v>
      </c>
      <c r="B16" s="1">
        <f>186+349</f>
        <v>535</v>
      </c>
      <c r="C16">
        <v>234</v>
      </c>
      <c r="D16">
        <f t="shared" si="1"/>
        <v>125190</v>
      </c>
      <c r="E16" s="2">
        <f t="shared" si="0"/>
        <v>2.1756320177123104E-2</v>
      </c>
    </row>
    <row r="17" spans="1:7" x14ac:dyDescent="0.3">
      <c r="A17" t="s">
        <v>29</v>
      </c>
      <c r="B17" s="1">
        <v>267</v>
      </c>
      <c r="C17">
        <v>1246</v>
      </c>
      <c r="D17">
        <f t="shared" si="1"/>
        <v>332682</v>
      </c>
      <c r="E17" s="2">
        <f t="shared" si="0"/>
        <v>5.7815609147421274E-2</v>
      </c>
    </row>
    <row r="18" spans="1:7" x14ac:dyDescent="0.3">
      <c r="A18" t="s">
        <v>12</v>
      </c>
      <c r="B18" s="1">
        <f>368+532</f>
        <v>900</v>
      </c>
      <c r="C18">
        <v>147</v>
      </c>
      <c r="D18">
        <f t="shared" si="1"/>
        <v>132300</v>
      </c>
      <c r="E18" s="2">
        <f t="shared" si="0"/>
        <v>2.2991941524350083E-2</v>
      </c>
    </row>
    <row r="19" spans="1:7" x14ac:dyDescent="0.3">
      <c r="A19" t="s">
        <v>19</v>
      </c>
      <c r="B19" s="1">
        <v>365</v>
      </c>
      <c r="C19">
        <v>297</v>
      </c>
      <c r="D19">
        <f t="shared" si="1"/>
        <v>108405</v>
      </c>
      <c r="E19" s="2">
        <f t="shared" si="0"/>
        <v>1.8839315351074609E-2</v>
      </c>
    </row>
    <row r="20" spans="1:7" x14ac:dyDescent="0.3">
      <c r="A20" t="s">
        <v>45</v>
      </c>
      <c r="B20" s="1">
        <v>6886</v>
      </c>
      <c r="C20">
        <v>34</v>
      </c>
      <c r="D20">
        <f t="shared" si="1"/>
        <v>234124</v>
      </c>
      <c r="E20" s="2">
        <f t="shared" si="0"/>
        <v>4.0687568537013899E-2</v>
      </c>
    </row>
    <row r="21" spans="1:7" x14ac:dyDescent="0.3">
      <c r="A21" t="s">
        <v>31</v>
      </c>
      <c r="B21" s="1">
        <f>920+319+331</f>
        <v>1570</v>
      </c>
      <c r="C21">
        <v>268</v>
      </c>
      <c r="D21">
        <f t="shared" si="1"/>
        <v>420760</v>
      </c>
      <c r="E21" s="2">
        <f t="shared" si="0"/>
        <v>7.3122368222112932E-2</v>
      </c>
    </row>
    <row r="22" spans="1:7" x14ac:dyDescent="0.3">
      <c r="A22" t="s">
        <v>15</v>
      </c>
      <c r="B22" s="1">
        <f>48.4+47.4+129.5-97.5-56+86.5+391.64-150.9-44.65+28+666.65-157.4-303.27+183.51-105.34-76.3-98.36+434.72-160.72-64.6+155.95-254.77-161.7-85.65+146.4+135.27+113.1+214.6+13.78-151.45-147.34-70.81-58.76-273.8+189.4+55.07</f>
        <v>520.56999999999994</v>
      </c>
      <c r="C22">
        <v>1000</v>
      </c>
      <c r="D22">
        <f t="shared" si="1"/>
        <v>520569.99999999994</v>
      </c>
      <c r="E22" s="2">
        <f t="shared" si="0"/>
        <v>9.0467989412932132E-2</v>
      </c>
      <c r="G22" t="s">
        <v>85</v>
      </c>
    </row>
    <row r="24" spans="1:7" x14ac:dyDescent="0.3">
      <c r="D24">
        <f>SUM(D5:D22)</f>
        <v>5754190</v>
      </c>
      <c r="E24"/>
    </row>
  </sheetData>
  <pageMargins left="0.7" right="0.7" top="0.75" bottom="0.75" header="0.3" footer="0.3"/>
  <pageSetup orientation="portrait" horizontalDpi="180" verticalDpi="18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4"/>
  <sheetViews>
    <sheetView workbookViewId="0">
      <selection activeCell="B24" sqref="B24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980-208-56-194-122-95-305</f>
        <v>0</v>
      </c>
      <c r="C5">
        <v>894</v>
      </c>
      <c r="D5">
        <f>C5*B5</f>
        <v>0</v>
      </c>
      <c r="E5" s="2">
        <f t="shared" ref="E5:E22" si="0">D5/$D$24</f>
        <v>0</v>
      </c>
      <c r="G5" t="s">
        <v>86</v>
      </c>
    </row>
    <row r="6" spans="1:7" x14ac:dyDescent="0.3">
      <c r="A6" t="s">
        <v>27</v>
      </c>
      <c r="B6" s="1">
        <f>473+780+961</f>
        <v>2214</v>
      </c>
      <c r="C6">
        <v>162</v>
      </c>
      <c r="D6">
        <f t="shared" ref="D6:D22" si="1">C6*B6</f>
        <v>358668</v>
      </c>
      <c r="E6" s="2">
        <f t="shared" si="0"/>
        <v>6.4194139538330114E-2</v>
      </c>
    </row>
    <row r="7" spans="1:7" x14ac:dyDescent="0.3">
      <c r="A7" t="s">
        <v>20</v>
      </c>
      <c r="B7" s="1">
        <f>29+10</f>
        <v>39</v>
      </c>
      <c r="C7">
        <v>16417</v>
      </c>
      <c r="D7">
        <f t="shared" si="1"/>
        <v>640263</v>
      </c>
      <c r="E7" s="2">
        <f t="shared" si="0"/>
        <v>0.11459380921417538</v>
      </c>
    </row>
    <row r="8" spans="1:7" x14ac:dyDescent="0.3">
      <c r="A8" t="s">
        <v>23</v>
      </c>
      <c r="B8" s="1">
        <f>3290-1645-822</f>
        <v>823</v>
      </c>
      <c r="C8">
        <v>56</v>
      </c>
      <c r="D8">
        <f t="shared" si="1"/>
        <v>46088</v>
      </c>
      <c r="E8" s="2">
        <f t="shared" si="0"/>
        <v>8.2487969460407901E-3</v>
      </c>
    </row>
    <row r="9" spans="1:7" x14ac:dyDescent="0.3">
      <c r="A9" t="s">
        <v>16</v>
      </c>
      <c r="B9" s="1">
        <f>840+420</f>
        <v>1260</v>
      </c>
      <c r="C9">
        <v>479</v>
      </c>
      <c r="D9">
        <f t="shared" si="1"/>
        <v>603540</v>
      </c>
      <c r="E9" s="2">
        <f t="shared" si="0"/>
        <v>0.10802115320286101</v>
      </c>
    </row>
    <row r="10" spans="1:7" x14ac:dyDescent="0.3">
      <c r="A10" t="s">
        <v>25</v>
      </c>
      <c r="B10" s="1">
        <f>766+383+229</f>
        <v>1378</v>
      </c>
      <c r="C10">
        <v>274</v>
      </c>
      <c r="D10">
        <f t="shared" si="1"/>
        <v>377572</v>
      </c>
      <c r="E10" s="2">
        <f t="shared" si="0"/>
        <v>6.7577563802085433E-2</v>
      </c>
    </row>
    <row r="11" spans="1:7" x14ac:dyDescent="0.3">
      <c r="A11" t="s">
        <v>80</v>
      </c>
      <c r="B11" s="1">
        <v>2928</v>
      </c>
      <c r="C11">
        <v>87</v>
      </c>
      <c r="D11">
        <f t="shared" si="1"/>
        <v>254736</v>
      </c>
      <c r="E11" s="2">
        <f t="shared" si="0"/>
        <v>4.5592465258779871E-2</v>
      </c>
    </row>
    <row r="12" spans="1:7" x14ac:dyDescent="0.3">
      <c r="A12" t="s">
        <v>32</v>
      </c>
      <c r="B12" s="1">
        <v>1228</v>
      </c>
      <c r="C12">
        <v>214</v>
      </c>
      <c r="D12">
        <f>C12*B12</f>
        <v>262792</v>
      </c>
      <c r="E12" s="2">
        <f t="shared" si="0"/>
        <v>4.7034322319127568E-2</v>
      </c>
    </row>
    <row r="13" spans="1:7" x14ac:dyDescent="0.3">
      <c r="A13" t="s">
        <v>72</v>
      </c>
      <c r="B13" s="1">
        <f>278+278</f>
        <v>556</v>
      </c>
      <c r="C13">
        <v>692</v>
      </c>
      <c r="D13">
        <f>C13*B13</f>
        <v>384752</v>
      </c>
      <c r="E13" s="2">
        <f t="shared" si="0"/>
        <v>6.8862635015255302E-2</v>
      </c>
    </row>
    <row r="14" spans="1:7" x14ac:dyDescent="0.3">
      <c r="A14" t="s">
        <v>51</v>
      </c>
      <c r="B14" s="1">
        <v>1011</v>
      </c>
      <c r="C14">
        <v>250</v>
      </c>
      <c r="D14">
        <f>C14*B14</f>
        <v>252750</v>
      </c>
      <c r="E14" s="2">
        <f t="shared" si="0"/>
        <v>4.5237012413465755E-2</v>
      </c>
    </row>
    <row r="15" spans="1:7" x14ac:dyDescent="0.3">
      <c r="A15" t="s">
        <v>42</v>
      </c>
      <c r="B15" s="1">
        <f>265+65</f>
        <v>330</v>
      </c>
      <c r="C15">
        <v>797</v>
      </c>
      <c r="D15">
        <f>C15*B15</f>
        <v>263010</v>
      </c>
      <c r="E15" s="2">
        <f t="shared" si="0"/>
        <v>4.7073339801644423E-2</v>
      </c>
    </row>
    <row r="16" spans="1:7" x14ac:dyDescent="0.3">
      <c r="A16" t="s">
        <v>28</v>
      </c>
      <c r="B16" s="1">
        <f>186+349</f>
        <v>535</v>
      </c>
      <c r="C16">
        <v>243</v>
      </c>
      <c r="D16">
        <f t="shared" si="1"/>
        <v>130005</v>
      </c>
      <c r="E16" s="2">
        <f t="shared" si="0"/>
        <v>2.3268200984421821E-2</v>
      </c>
    </row>
    <row r="17" spans="1:7" x14ac:dyDescent="0.3">
      <c r="A17" t="s">
        <v>29</v>
      </c>
      <c r="B17" s="1">
        <v>267</v>
      </c>
      <c r="C17">
        <v>1362</v>
      </c>
      <c r="D17">
        <f t="shared" si="1"/>
        <v>363654</v>
      </c>
      <c r="E17" s="2">
        <f t="shared" si="0"/>
        <v>6.5086530216445004E-2</v>
      </c>
    </row>
    <row r="18" spans="1:7" x14ac:dyDescent="0.3">
      <c r="A18" t="s">
        <v>12</v>
      </c>
      <c r="B18" s="1">
        <f>368+532</f>
        <v>900</v>
      </c>
      <c r="C18">
        <v>163</v>
      </c>
      <c r="D18">
        <f t="shared" si="1"/>
        <v>146700</v>
      </c>
      <c r="E18" s="2">
        <f t="shared" si="0"/>
        <v>2.6256260023958165E-2</v>
      </c>
    </row>
    <row r="19" spans="1:7" x14ac:dyDescent="0.3">
      <c r="A19" t="s">
        <v>19</v>
      </c>
      <c r="B19" s="1">
        <v>365</v>
      </c>
      <c r="C19">
        <v>223</v>
      </c>
      <c r="D19">
        <f t="shared" si="1"/>
        <v>81395</v>
      </c>
      <c r="E19" s="2">
        <f t="shared" si="0"/>
        <v>1.4568018300273176E-2</v>
      </c>
    </row>
    <row r="20" spans="1:7" x14ac:dyDescent="0.3">
      <c r="A20" t="s">
        <v>45</v>
      </c>
      <c r="B20" s="1">
        <v>6886</v>
      </c>
      <c r="C20">
        <v>34</v>
      </c>
      <c r="D20">
        <f t="shared" si="1"/>
        <v>234124</v>
      </c>
      <c r="E20" s="2">
        <f t="shared" si="0"/>
        <v>4.190334438888331E-2</v>
      </c>
    </row>
    <row r="21" spans="1:7" x14ac:dyDescent="0.3">
      <c r="A21" t="s">
        <v>31</v>
      </c>
      <c r="B21" s="1">
        <f>920+319+331</f>
        <v>1570</v>
      </c>
      <c r="C21">
        <v>256</v>
      </c>
      <c r="D21">
        <f t="shared" si="1"/>
        <v>401920</v>
      </c>
      <c r="E21" s="2">
        <f t="shared" si="0"/>
        <v>7.1935351253096566E-2</v>
      </c>
    </row>
    <row r="22" spans="1:7" x14ac:dyDescent="0.3">
      <c r="A22" t="s">
        <v>15</v>
      </c>
      <c r="B22" s="1">
        <f>48.4+47.4+129.5-97.5-56+86.5+391.64-150.9-44.65+28+666.65-157.4-303.27+183.51-105.34-76.3-98.36+434.72-160.72-64.6+155.95-254.77-161.7-85.65+146.4+135.27+113.1+214.6+13.78-151.45-147.34-70.81-58.76-273.8+189.4+55.07+264.7</f>
        <v>785.27</v>
      </c>
      <c r="C22">
        <v>1000</v>
      </c>
      <c r="D22">
        <f t="shared" si="1"/>
        <v>785270</v>
      </c>
      <c r="E22" s="2">
        <f t="shared" si="0"/>
        <v>0.1405470573211563</v>
      </c>
      <c r="G22" t="s">
        <v>87</v>
      </c>
    </row>
    <row r="24" spans="1:7" x14ac:dyDescent="0.3">
      <c r="D24">
        <f>SUM(D5:D22)</f>
        <v>5587239</v>
      </c>
      <c r="E24"/>
    </row>
  </sheetData>
  <pageMargins left="0.7" right="0.7" top="0.75" bottom="0.75" header="0.3" footer="0.3"/>
  <pageSetup orientation="portrait" horizontalDpi="180" verticalDpi="18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4"/>
  <sheetViews>
    <sheetView workbookViewId="0">
      <selection activeCell="G12" sqref="G12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3" max="3" width="10.6640625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  <c r="C1" s="4">
        <v>42347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27</v>
      </c>
      <c r="B5" s="1">
        <f>473+780+961</f>
        <v>2214</v>
      </c>
      <c r="C5">
        <v>153</v>
      </c>
      <c r="D5">
        <f t="shared" ref="D5:D22" si="0">C5*B5</f>
        <v>338742</v>
      </c>
      <c r="E5" s="2">
        <f t="shared" ref="E5:E22" si="1">D5/$D$24</f>
        <v>6.1332493699578293E-2</v>
      </c>
    </row>
    <row r="6" spans="1:7" x14ac:dyDescent="0.3">
      <c r="A6" t="s">
        <v>20</v>
      </c>
      <c r="B6" s="1">
        <f>29+10</f>
        <v>39</v>
      </c>
      <c r="C6">
        <v>15728</v>
      </c>
      <c r="D6">
        <f t="shared" si="0"/>
        <v>613392</v>
      </c>
      <c r="E6" s="2">
        <f t="shared" si="1"/>
        <v>0.1110605150095699</v>
      </c>
    </row>
    <row r="7" spans="1:7" x14ac:dyDescent="0.3">
      <c r="A7" t="s">
        <v>23</v>
      </c>
      <c r="B7" s="1">
        <f>3290-1645-822</f>
        <v>823</v>
      </c>
      <c r="C7">
        <v>55</v>
      </c>
      <c r="D7">
        <f t="shared" si="0"/>
        <v>45265</v>
      </c>
      <c r="E7" s="2">
        <f t="shared" si="1"/>
        <v>8.1956631516357913E-3</v>
      </c>
    </row>
    <row r="8" spans="1:7" x14ac:dyDescent="0.3">
      <c r="A8" t="s">
        <v>16</v>
      </c>
      <c r="B8" s="1">
        <f>840+420</f>
        <v>1260</v>
      </c>
      <c r="C8">
        <v>486</v>
      </c>
      <c r="D8">
        <f t="shared" si="0"/>
        <v>612360</v>
      </c>
      <c r="E8" s="2">
        <f t="shared" si="1"/>
        <v>0.11087366149421614</v>
      </c>
    </row>
    <row r="9" spans="1:7" x14ac:dyDescent="0.3">
      <c r="A9" t="s">
        <v>25</v>
      </c>
      <c r="B9" s="1">
        <f>766+383+229</f>
        <v>1378</v>
      </c>
      <c r="C9">
        <v>257</v>
      </c>
      <c r="D9">
        <f t="shared" si="0"/>
        <v>354146</v>
      </c>
      <c r="E9" s="2">
        <f t="shared" si="1"/>
        <v>6.4121535899684293E-2</v>
      </c>
    </row>
    <row r="10" spans="1:7" x14ac:dyDescent="0.3">
      <c r="A10" t="s">
        <v>80</v>
      </c>
      <c r="B10" s="1">
        <v>2928</v>
      </c>
      <c r="C10">
        <v>80</v>
      </c>
      <c r="D10">
        <f t="shared" si="0"/>
        <v>234240</v>
      </c>
      <c r="E10" s="2">
        <f t="shared" si="1"/>
        <v>4.2411402554714858E-2</v>
      </c>
    </row>
    <row r="11" spans="1:7" x14ac:dyDescent="0.3">
      <c r="A11" t="s">
        <v>88</v>
      </c>
      <c r="B11" s="1">
        <v>922</v>
      </c>
      <c r="C11">
        <v>292</v>
      </c>
      <c r="D11">
        <f t="shared" si="0"/>
        <v>269224</v>
      </c>
      <c r="E11" s="2">
        <f t="shared" si="1"/>
        <v>4.8745591877521144E-2</v>
      </c>
      <c r="G11" t="s">
        <v>90</v>
      </c>
    </row>
    <row r="12" spans="1:7" x14ac:dyDescent="0.3">
      <c r="A12" t="s">
        <v>32</v>
      </c>
      <c r="B12" s="1">
        <v>1228</v>
      </c>
      <c r="C12">
        <v>207</v>
      </c>
      <c r="D12">
        <f>C12*B12</f>
        <v>254196</v>
      </c>
      <c r="E12" s="2">
        <f t="shared" si="1"/>
        <v>4.6024628089985899E-2</v>
      </c>
    </row>
    <row r="13" spans="1:7" x14ac:dyDescent="0.3">
      <c r="A13" t="s">
        <v>72</v>
      </c>
      <c r="B13" s="1">
        <f>278+278</f>
        <v>556</v>
      </c>
      <c r="C13">
        <v>686</v>
      </c>
      <c r="D13">
        <f>C13*B13</f>
        <v>381416</v>
      </c>
      <c r="E13" s="2">
        <f t="shared" si="1"/>
        <v>6.9059031407142771E-2</v>
      </c>
    </row>
    <row r="14" spans="1:7" x14ac:dyDescent="0.3">
      <c r="A14" t="s">
        <v>51</v>
      </c>
      <c r="B14" s="1">
        <v>1011</v>
      </c>
      <c r="C14">
        <v>256</v>
      </c>
      <c r="D14">
        <f>C14*B14</f>
        <v>258816</v>
      </c>
      <c r="E14" s="2">
        <f t="shared" si="1"/>
        <v>4.6861123478488219E-2</v>
      </c>
    </row>
    <row r="15" spans="1:7" x14ac:dyDescent="0.3">
      <c r="A15" t="s">
        <v>42</v>
      </c>
      <c r="B15" s="1">
        <f>265+65</f>
        <v>330</v>
      </c>
      <c r="C15">
        <v>770</v>
      </c>
      <c r="D15">
        <f>C15*B15</f>
        <v>254100</v>
      </c>
      <c r="E15" s="2">
        <f t="shared" si="1"/>
        <v>4.6007246367627409E-2</v>
      </c>
    </row>
    <row r="16" spans="1:7" x14ac:dyDescent="0.3">
      <c r="A16" t="s">
        <v>28</v>
      </c>
      <c r="B16" s="1">
        <f>186+349</f>
        <v>535</v>
      </c>
      <c r="C16">
        <v>216</v>
      </c>
      <c r="D16">
        <f t="shared" si="0"/>
        <v>115560</v>
      </c>
      <c r="E16" s="2">
        <f t="shared" si="1"/>
        <v>2.092324828903197E-2</v>
      </c>
    </row>
    <row r="17" spans="1:7" x14ac:dyDescent="0.3">
      <c r="A17" t="s">
        <v>29</v>
      </c>
      <c r="B17" s="1">
        <v>267</v>
      </c>
      <c r="C17">
        <v>1382</v>
      </c>
      <c r="D17">
        <f t="shared" si="0"/>
        <v>368994</v>
      </c>
      <c r="E17" s="2">
        <f t="shared" si="1"/>
        <v>6.6809908957797356E-2</v>
      </c>
    </row>
    <row r="18" spans="1:7" x14ac:dyDescent="0.3">
      <c r="A18" t="s">
        <v>12</v>
      </c>
      <c r="B18" s="1">
        <f>368+532</f>
        <v>900</v>
      </c>
      <c r="C18">
        <v>164</v>
      </c>
      <c r="D18">
        <f t="shared" si="0"/>
        <v>147600</v>
      </c>
      <c r="E18" s="2">
        <f t="shared" si="1"/>
        <v>2.6724398126177905E-2</v>
      </c>
    </row>
    <row r="19" spans="1:7" x14ac:dyDescent="0.3">
      <c r="A19" t="s">
        <v>19</v>
      </c>
      <c r="B19" s="1">
        <v>365</v>
      </c>
      <c r="C19">
        <v>210</v>
      </c>
      <c r="D19">
        <f t="shared" si="0"/>
        <v>76650</v>
      </c>
      <c r="E19" s="2">
        <f t="shared" si="1"/>
        <v>1.3878218945606615E-2</v>
      </c>
    </row>
    <row r="20" spans="1:7" x14ac:dyDescent="0.3">
      <c r="A20" t="s">
        <v>45</v>
      </c>
      <c r="B20" s="1">
        <v>6886</v>
      </c>
      <c r="C20">
        <v>37</v>
      </c>
      <c r="D20">
        <f t="shared" si="0"/>
        <v>254782</v>
      </c>
      <c r="E20" s="2">
        <f t="shared" si="1"/>
        <v>4.6130729020215845E-2</v>
      </c>
    </row>
    <row r="21" spans="1:7" x14ac:dyDescent="0.3">
      <c r="A21" t="s">
        <v>31</v>
      </c>
      <c r="B21" s="1">
        <f>920+319+331</f>
        <v>1570</v>
      </c>
      <c r="C21">
        <v>277</v>
      </c>
      <c r="D21">
        <f t="shared" si="0"/>
        <v>434890</v>
      </c>
      <c r="E21" s="2">
        <f t="shared" si="1"/>
        <v>7.8741012880037334E-2</v>
      </c>
    </row>
    <row r="22" spans="1:7" x14ac:dyDescent="0.3">
      <c r="A22" t="s">
        <v>15</v>
      </c>
      <c r="B22" s="1">
        <f>48.4+47.4+129.5-97.5-56+86.5+391.64-150.9-44.65+28+666.65-157.4-303.27+183.51-105.34-76.3-98.36+434.72-160.72-64.6+155.95-254.77-161.7-85.65+146.4+135.27+113.1+214.6+13.78-151.45-147.34-70.81-58.76-273.8+189.4+55.07+264.7-276.6</f>
        <v>508.66999999999996</v>
      </c>
      <c r="C22">
        <v>1000</v>
      </c>
      <c r="D22">
        <f t="shared" si="0"/>
        <v>508669.99999999994</v>
      </c>
      <c r="E22" s="2">
        <f t="shared" si="1"/>
        <v>9.2099590750968255E-2</v>
      </c>
      <c r="G22" t="s">
        <v>89</v>
      </c>
    </row>
    <row r="24" spans="1:7" x14ac:dyDescent="0.3">
      <c r="D24">
        <f>SUM(D5:D22)</f>
        <v>5523043</v>
      </c>
      <c r="E24"/>
    </row>
  </sheetData>
  <pageMargins left="0.7" right="0.7" top="0.75" bottom="0.75" header="0.3" footer="0.3"/>
  <pageSetup orientation="portrait" horizontalDpi="180" verticalDpi="18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Model</vt:lpstr>
      <vt:lpstr>01Jan15</vt:lpstr>
      <vt:lpstr>30Jan15</vt:lpstr>
      <vt:lpstr>09Feb15</vt:lpstr>
      <vt:lpstr>12Feb15</vt:lpstr>
      <vt:lpstr>16Feb15</vt:lpstr>
      <vt:lpstr>25Feb15</vt:lpstr>
      <vt:lpstr>20Apr15</vt:lpstr>
      <vt:lpstr>29Apr15</vt:lpstr>
      <vt:lpstr>11May15</vt:lpstr>
      <vt:lpstr>27May15</vt:lpstr>
      <vt:lpstr>10Jun15</vt:lpstr>
      <vt:lpstr>23Jun15</vt:lpstr>
      <vt:lpstr>08Jul15</vt:lpstr>
      <vt:lpstr>16Jul15</vt:lpstr>
      <vt:lpstr>20Jul15</vt:lpstr>
      <vt:lpstr>28Jul15</vt:lpstr>
      <vt:lpstr>31Jul15</vt:lpstr>
      <vt:lpstr>06Aug15</vt:lpstr>
      <vt:lpstr>07Aug15</vt:lpstr>
      <vt:lpstr>11Aug15</vt:lpstr>
      <vt:lpstr>21Aug15</vt:lpstr>
      <vt:lpstr>22Sep15</vt:lpstr>
      <vt:lpstr>13Oct15</vt:lpstr>
      <vt:lpstr>23Nov15</vt:lpstr>
      <vt:lpstr>11Dec15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Samir Patel</cp:lastModifiedBy>
  <dcterms:created xsi:type="dcterms:W3CDTF">2011-12-31T05:17:18Z</dcterms:created>
  <dcterms:modified xsi:type="dcterms:W3CDTF">2023-06-27T08:15:22Z</dcterms:modified>
</cp:coreProperties>
</file>