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Portfolio Yearly/"/>
    </mc:Choice>
  </mc:AlternateContent>
  <xr:revisionPtr revIDLastSave="1611" documentId="8_{EDF33660-9B23-4888-B529-2B640994E33F}" xr6:coauthVersionLast="47" xr6:coauthVersionMax="47" xr10:uidLastSave="{2F61FA10-3BF9-4920-9B74-72AED1D5B5F6}"/>
  <bookViews>
    <workbookView xWindow="-108" yWindow="-108" windowWidth="23256" windowHeight="13896" activeTab="6" xr2:uid="{D1491BFC-AA9E-4856-B603-CFD392162666}"/>
  </bookViews>
  <sheets>
    <sheet name="01Jan25" sheetId="51" r:id="rId1"/>
    <sheet name="01Jan25_2" sheetId="49" r:id="rId2"/>
    <sheet name="13Jan25" sheetId="50" r:id="rId3"/>
    <sheet name="04Feb25" sheetId="52" r:id="rId4"/>
    <sheet name="06Feb25" sheetId="53" r:id="rId5"/>
    <sheet name="20Feb25" sheetId="54" r:id="rId6"/>
    <sheet name="06Mar25" sheetId="55" r:id="rId7"/>
    <sheet name="07Apr25" sheetId="56" r:id="rId8"/>
    <sheet name="29Apr25" sheetId="57" r:id="rId9"/>
    <sheet name="05May25" sheetId="58" r:id="rId10"/>
    <sheet name="20May25" sheetId="59" r:id="rId11"/>
    <sheet name="02Jun25" sheetId="60" r:id="rId12"/>
    <sheet name="07Aug25" sheetId="61" r:id="rId13"/>
    <sheet name="14Aug25" sheetId="62" r:id="rId14"/>
    <sheet name="18Aug25" sheetId="63" r:id="rId15"/>
    <sheet name="04Sep25" sheetId="64" r:id="rId16"/>
    <sheet name="09Sep25" sheetId="65" r:id="rId17"/>
    <sheet name="27Oct25" sheetId="66" r:id="rId18"/>
    <sheet name="28Oct25" sheetId="67" r:id="rId19"/>
    <sheet name="07Nov25" sheetId="68" r:id="rId20"/>
    <sheet name="17Nov25" sheetId="69" r:id="rId21"/>
    <sheet name="20Nov25" sheetId="70" r:id="rId22"/>
    <sheet name="08Dec25" sheetId="71" r:id="rId23"/>
    <sheet name="29Dec25" sheetId="72" r:id="rId24"/>
    <sheet name="Sheet1" sheetId="1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2" l="1"/>
  <c r="D11" i="72" s="1"/>
  <c r="B21" i="72"/>
  <c r="D21" i="72" s="1"/>
  <c r="B20" i="72"/>
  <c r="D20" i="72" s="1"/>
  <c r="B19" i="72"/>
  <c r="D19" i="72" s="1"/>
  <c r="B18" i="72"/>
  <c r="D18" i="72" s="1"/>
  <c r="B17" i="72"/>
  <c r="D17" i="72" s="1"/>
  <c r="B16" i="72"/>
  <c r="D16" i="72" s="1"/>
  <c r="B15" i="72"/>
  <c r="D15" i="72" s="1"/>
  <c r="B14" i="72"/>
  <c r="D14" i="72" s="1"/>
  <c r="B13" i="72"/>
  <c r="D13" i="72" s="1"/>
  <c r="B12" i="72"/>
  <c r="D12" i="72" s="1"/>
  <c r="D10" i="72"/>
  <c r="B10" i="72"/>
  <c r="B9" i="72"/>
  <c r="D9" i="72" s="1"/>
  <c r="B8" i="72"/>
  <c r="D8" i="72" s="1"/>
  <c r="B7" i="72"/>
  <c r="D7" i="72" s="1"/>
  <c r="B6" i="72"/>
  <c r="D6" i="72" s="1"/>
  <c r="B5" i="72"/>
  <c r="D5" i="72" s="1"/>
  <c r="B5" i="71"/>
  <c r="B21" i="71"/>
  <c r="D23" i="72" l="1"/>
  <c r="E5" i="72" s="1"/>
  <c r="E6" i="72"/>
  <c r="D21" i="71"/>
  <c r="B20" i="71"/>
  <c r="D20" i="71" s="1"/>
  <c r="D19" i="71"/>
  <c r="B19" i="71"/>
  <c r="B18" i="71"/>
  <c r="D18" i="71" s="1"/>
  <c r="B17" i="71"/>
  <c r="D17" i="71" s="1"/>
  <c r="B16" i="71"/>
  <c r="D16" i="71" s="1"/>
  <c r="D15" i="71"/>
  <c r="B15" i="71"/>
  <c r="B14" i="71"/>
  <c r="D14" i="71" s="1"/>
  <c r="D13" i="71"/>
  <c r="B13" i="71"/>
  <c r="B12" i="71"/>
  <c r="D12" i="71" s="1"/>
  <c r="D11" i="71"/>
  <c r="B10" i="71"/>
  <c r="D10" i="71" s="1"/>
  <c r="B9" i="71"/>
  <c r="D9" i="71" s="1"/>
  <c r="D8" i="71"/>
  <c r="B8" i="71"/>
  <c r="B7" i="71"/>
  <c r="D7" i="71" s="1"/>
  <c r="D6" i="71"/>
  <c r="B6" i="71"/>
  <c r="D5" i="71"/>
  <c r="D23" i="70"/>
  <c r="B21" i="70"/>
  <c r="D5" i="70"/>
  <c r="D21" i="70"/>
  <c r="B20" i="70"/>
  <c r="D20" i="70" s="1"/>
  <c r="B19" i="70"/>
  <c r="D19" i="70" s="1"/>
  <c r="B18" i="70"/>
  <c r="D18" i="70" s="1"/>
  <c r="B17" i="70"/>
  <c r="D17" i="70" s="1"/>
  <c r="B16" i="70"/>
  <c r="D16" i="70" s="1"/>
  <c r="B15" i="70"/>
  <c r="D15" i="70" s="1"/>
  <c r="B14" i="70"/>
  <c r="D14" i="70" s="1"/>
  <c r="B13" i="70"/>
  <c r="D13" i="70" s="1"/>
  <c r="B12" i="70"/>
  <c r="D12" i="70" s="1"/>
  <c r="D11" i="70"/>
  <c r="B10" i="70"/>
  <c r="D10" i="70" s="1"/>
  <c r="B9" i="70"/>
  <c r="D9" i="70" s="1"/>
  <c r="B8" i="70"/>
  <c r="D8" i="70" s="1"/>
  <c r="B7" i="70"/>
  <c r="D7" i="70" s="1"/>
  <c r="B6" i="70"/>
  <c r="D6" i="70" s="1"/>
  <c r="B20" i="69"/>
  <c r="B14" i="69"/>
  <c r="E8" i="72" l="1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7" i="72"/>
  <c r="D23" i="71"/>
  <c r="E9" i="71" s="1"/>
  <c r="E8" i="71"/>
  <c r="E10" i="71"/>
  <c r="E11" i="71"/>
  <c r="E13" i="71"/>
  <c r="E17" i="71"/>
  <c r="E5" i="71"/>
  <c r="E19" i="71"/>
  <c r="E6" i="71"/>
  <c r="E21" i="71"/>
  <c r="E5" i="70"/>
  <c r="D14" i="69"/>
  <c r="B9" i="69"/>
  <c r="D9" i="69" s="1"/>
  <c r="D20" i="69"/>
  <c r="B19" i="69"/>
  <c r="D19" i="69" s="1"/>
  <c r="B18" i="69"/>
  <c r="D18" i="69" s="1"/>
  <c r="B17" i="69"/>
  <c r="D17" i="69" s="1"/>
  <c r="B16" i="69"/>
  <c r="D16" i="69" s="1"/>
  <c r="B15" i="69"/>
  <c r="D15" i="69" s="1"/>
  <c r="B13" i="69"/>
  <c r="D13" i="69" s="1"/>
  <c r="B12" i="69"/>
  <c r="D12" i="69" s="1"/>
  <c r="B11" i="69"/>
  <c r="D11" i="69" s="1"/>
  <c r="D10" i="69"/>
  <c r="B8" i="69"/>
  <c r="D8" i="69" s="1"/>
  <c r="B7" i="69"/>
  <c r="D7" i="69" s="1"/>
  <c r="B6" i="69"/>
  <c r="D6" i="69" s="1"/>
  <c r="B5" i="69"/>
  <c r="D5" i="69" s="1"/>
  <c r="E7" i="71" l="1"/>
  <c r="E20" i="71"/>
  <c r="E18" i="71"/>
  <c r="E16" i="71"/>
  <c r="E15" i="71"/>
  <c r="E14" i="71"/>
  <c r="E12" i="71"/>
  <c r="E20" i="70"/>
  <c r="E14" i="70"/>
  <c r="E6" i="70"/>
  <c r="E19" i="70"/>
  <c r="E18" i="70"/>
  <c r="E16" i="70"/>
  <c r="E9" i="70"/>
  <c r="E21" i="70"/>
  <c r="E17" i="70"/>
  <c r="E15" i="70"/>
  <c r="E13" i="70"/>
  <c r="E12" i="70"/>
  <c r="E11" i="70"/>
  <c r="E10" i="70"/>
  <c r="E8" i="70"/>
  <c r="E7" i="70"/>
  <c r="D22" i="69"/>
  <c r="E18" i="69" s="1"/>
  <c r="E6" i="69" l="1"/>
  <c r="E7" i="69"/>
  <c r="E5" i="69"/>
  <c r="E16" i="69"/>
  <c r="E15" i="69"/>
  <c r="E14" i="69"/>
  <c r="E13" i="69"/>
  <c r="E12" i="69"/>
  <c r="E11" i="69"/>
  <c r="E10" i="69"/>
  <c r="E9" i="69"/>
  <c r="E8" i="69"/>
  <c r="E19" i="69"/>
  <c r="E17" i="69"/>
  <c r="E20" i="69"/>
  <c r="B22" i="68" l="1"/>
  <c r="D22" i="68" s="1"/>
  <c r="B13" i="68"/>
  <c r="B22" i="67"/>
  <c r="D22" i="67" s="1"/>
  <c r="B6" i="68"/>
  <c r="B17" i="68"/>
  <c r="B21" i="68"/>
  <c r="D21" i="68" s="1"/>
  <c r="B20" i="68"/>
  <c r="D20" i="68" s="1"/>
  <c r="B19" i="68"/>
  <c r="D19" i="68" s="1"/>
  <c r="B18" i="68"/>
  <c r="D18" i="68" s="1"/>
  <c r="D17" i="68"/>
  <c r="B16" i="68"/>
  <c r="D16" i="68" s="1"/>
  <c r="B15" i="68"/>
  <c r="D15" i="68" s="1"/>
  <c r="B14" i="68"/>
  <c r="D14" i="68" s="1"/>
  <c r="D13" i="68"/>
  <c r="B12" i="68"/>
  <c r="D12" i="68" s="1"/>
  <c r="B11" i="68"/>
  <c r="D11" i="68" s="1"/>
  <c r="D10" i="68"/>
  <c r="B9" i="68"/>
  <c r="D9" i="68" s="1"/>
  <c r="B8" i="68"/>
  <c r="D8" i="68" s="1"/>
  <c r="B7" i="68"/>
  <c r="D7" i="68" s="1"/>
  <c r="D6" i="68"/>
  <c r="D5" i="68"/>
  <c r="B5" i="68"/>
  <c r="D10" i="67"/>
  <c r="B21" i="67"/>
  <c r="D21" i="67" s="1"/>
  <c r="B20" i="67"/>
  <c r="D20" i="67" s="1"/>
  <c r="B19" i="67"/>
  <c r="D19" i="67" s="1"/>
  <c r="B18" i="67"/>
  <c r="D18" i="67" s="1"/>
  <c r="B17" i="67"/>
  <c r="D17" i="67" s="1"/>
  <c r="D16" i="67"/>
  <c r="B16" i="67"/>
  <c r="B15" i="67"/>
  <c r="D15" i="67" s="1"/>
  <c r="B14" i="67"/>
  <c r="D14" i="67" s="1"/>
  <c r="B13" i="67"/>
  <c r="D13" i="67" s="1"/>
  <c r="B12" i="67"/>
  <c r="D12" i="67" s="1"/>
  <c r="B11" i="67"/>
  <c r="D11" i="67" s="1"/>
  <c r="D9" i="67"/>
  <c r="B9" i="67"/>
  <c r="B8" i="67"/>
  <c r="D8" i="67" s="1"/>
  <c r="B7" i="67"/>
  <c r="D7" i="67" s="1"/>
  <c r="B6" i="67"/>
  <c r="D6" i="67" s="1"/>
  <c r="B5" i="67"/>
  <c r="D5" i="67" s="1"/>
  <c r="B9" i="66"/>
  <c r="D9" i="66" s="1"/>
  <c r="B21" i="66"/>
  <c r="D21" i="66" s="1"/>
  <c r="D20" i="66"/>
  <c r="B20" i="66"/>
  <c r="B19" i="66"/>
  <c r="D19" i="66" s="1"/>
  <c r="B18" i="66"/>
  <c r="D18" i="66" s="1"/>
  <c r="B17" i="66"/>
  <c r="D17" i="66" s="1"/>
  <c r="B16" i="66"/>
  <c r="D16" i="66" s="1"/>
  <c r="B15" i="66"/>
  <c r="D15" i="66" s="1"/>
  <c r="D14" i="66"/>
  <c r="B14" i="66"/>
  <c r="B13" i="66"/>
  <c r="D13" i="66" s="1"/>
  <c r="B12" i="66"/>
  <c r="D12" i="66" s="1"/>
  <c r="B11" i="66"/>
  <c r="D11" i="66" s="1"/>
  <c r="B10" i="66"/>
  <c r="D10" i="66" s="1"/>
  <c r="D8" i="66"/>
  <c r="B8" i="66"/>
  <c r="B7" i="66"/>
  <c r="D7" i="66" s="1"/>
  <c r="B6" i="66"/>
  <c r="D6" i="66" s="1"/>
  <c r="B5" i="66"/>
  <c r="D5" i="66" s="1"/>
  <c r="B21" i="65"/>
  <c r="B12" i="65"/>
  <c r="D24" i="68" l="1"/>
  <c r="E6" i="68" s="1"/>
  <c r="D24" i="67"/>
  <c r="E6" i="67" s="1"/>
  <c r="D23" i="66"/>
  <c r="E21" i="66" s="1"/>
  <c r="E20" i="66"/>
  <c r="D21" i="65"/>
  <c r="B20" i="65"/>
  <c r="D20" i="65" s="1"/>
  <c r="B19" i="65"/>
  <c r="D19" i="65" s="1"/>
  <c r="B18" i="65"/>
  <c r="D18" i="65" s="1"/>
  <c r="B17" i="65"/>
  <c r="D17" i="65" s="1"/>
  <c r="B16" i="65"/>
  <c r="D16" i="65" s="1"/>
  <c r="B15" i="65"/>
  <c r="D15" i="65" s="1"/>
  <c r="B14" i="65"/>
  <c r="D14" i="65" s="1"/>
  <c r="B13" i="65"/>
  <c r="D13" i="65" s="1"/>
  <c r="D12" i="65"/>
  <c r="B11" i="65"/>
  <c r="D11" i="65" s="1"/>
  <c r="B10" i="65"/>
  <c r="D10" i="65" s="1"/>
  <c r="B9" i="65"/>
  <c r="D9" i="65" s="1"/>
  <c r="B8" i="65"/>
  <c r="D8" i="65" s="1"/>
  <c r="B7" i="65"/>
  <c r="D7" i="65" s="1"/>
  <c r="B6" i="65"/>
  <c r="D6" i="65" s="1"/>
  <c r="B5" i="65"/>
  <c r="D5" i="65" s="1"/>
  <c r="B21" i="64"/>
  <c r="B6" i="64"/>
  <c r="D6" i="64"/>
  <c r="D21" i="64"/>
  <c r="B20" i="64"/>
  <c r="D20" i="64" s="1"/>
  <c r="B19" i="64"/>
  <c r="D19" i="64" s="1"/>
  <c r="B18" i="64"/>
  <c r="D18" i="64" s="1"/>
  <c r="B17" i="64"/>
  <c r="D17" i="64" s="1"/>
  <c r="B16" i="64"/>
  <c r="D16" i="64" s="1"/>
  <c r="B15" i="64"/>
  <c r="D15" i="64" s="1"/>
  <c r="B14" i="64"/>
  <c r="D14" i="64" s="1"/>
  <c r="B13" i="64"/>
  <c r="D13" i="64" s="1"/>
  <c r="B12" i="64"/>
  <c r="D12" i="64" s="1"/>
  <c r="B11" i="64"/>
  <c r="D11" i="64" s="1"/>
  <c r="B10" i="64"/>
  <c r="D10" i="64" s="1"/>
  <c r="B9" i="64"/>
  <c r="D9" i="64" s="1"/>
  <c r="B8" i="64"/>
  <c r="D8" i="64" s="1"/>
  <c r="B7" i="64"/>
  <c r="D7" i="64" s="1"/>
  <c r="B5" i="64"/>
  <c r="D5" i="64" s="1"/>
  <c r="B12" i="63"/>
  <c r="B21" i="63"/>
  <c r="D21" i="63"/>
  <c r="B6" i="63"/>
  <c r="B20" i="63"/>
  <c r="D20" i="63" s="1"/>
  <c r="B19" i="63"/>
  <c r="D19" i="63" s="1"/>
  <c r="B18" i="63"/>
  <c r="D18" i="63" s="1"/>
  <c r="D17" i="63"/>
  <c r="B17" i="63"/>
  <c r="B16" i="63"/>
  <c r="D16" i="63" s="1"/>
  <c r="B15" i="63"/>
  <c r="D15" i="63" s="1"/>
  <c r="B14" i="63"/>
  <c r="D14" i="63" s="1"/>
  <c r="B13" i="63"/>
  <c r="D13" i="63" s="1"/>
  <c r="D12" i="63"/>
  <c r="D11" i="63"/>
  <c r="B11" i="63"/>
  <c r="B10" i="63"/>
  <c r="D10" i="63" s="1"/>
  <c r="B9" i="63"/>
  <c r="D9" i="63" s="1"/>
  <c r="B8" i="63"/>
  <c r="D8" i="63" s="1"/>
  <c r="B7" i="63"/>
  <c r="D7" i="63" s="1"/>
  <c r="D6" i="63"/>
  <c r="D5" i="63"/>
  <c r="B5" i="63"/>
  <c r="B18" i="62"/>
  <c r="B21" i="62"/>
  <c r="D21" i="62" s="1"/>
  <c r="B20" i="62"/>
  <c r="D20" i="62" s="1"/>
  <c r="D19" i="62"/>
  <c r="B19" i="62"/>
  <c r="D18" i="62"/>
  <c r="D17" i="62"/>
  <c r="B17" i="62"/>
  <c r="B16" i="62"/>
  <c r="D16" i="62" s="1"/>
  <c r="B15" i="62"/>
  <c r="D15" i="62" s="1"/>
  <c r="B14" i="62"/>
  <c r="D14" i="62" s="1"/>
  <c r="B13" i="62"/>
  <c r="D13" i="62" s="1"/>
  <c r="B12" i="62"/>
  <c r="D12" i="62" s="1"/>
  <c r="B11" i="62"/>
  <c r="D11" i="62" s="1"/>
  <c r="B10" i="62"/>
  <c r="D10" i="62" s="1"/>
  <c r="B9" i="62"/>
  <c r="D9" i="62" s="1"/>
  <c r="B8" i="62"/>
  <c r="D8" i="62" s="1"/>
  <c r="B7" i="62"/>
  <c r="D7" i="62" s="1"/>
  <c r="B6" i="62"/>
  <c r="D6" i="62" s="1"/>
  <c r="B5" i="62"/>
  <c r="D5" i="62" s="1"/>
  <c r="B21" i="61"/>
  <c r="B12" i="61"/>
  <c r="E5" i="68" l="1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8" i="68"/>
  <c r="E7" i="68"/>
  <c r="E7" i="67"/>
  <c r="E22" i="67"/>
  <c r="E8" i="67"/>
  <c r="E10" i="67"/>
  <c r="E21" i="67"/>
  <c r="E13" i="67"/>
  <c r="E5" i="67"/>
  <c r="E20" i="67"/>
  <c r="E19" i="67"/>
  <c r="E18" i="67"/>
  <c r="E17" i="67"/>
  <c r="E16" i="67"/>
  <c r="E15" i="67"/>
  <c r="E14" i="67"/>
  <c r="E12" i="67"/>
  <c r="E11" i="67"/>
  <c r="E9" i="67"/>
  <c r="E6" i="66"/>
  <c r="E5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D23" i="65"/>
  <c r="E5" i="65" s="1"/>
  <c r="D23" i="64"/>
  <c r="E14" i="64" s="1"/>
  <c r="D23" i="63"/>
  <c r="E6" i="63" s="1"/>
  <c r="D23" i="62"/>
  <c r="E19" i="62" s="1"/>
  <c r="D21" i="61"/>
  <c r="B20" i="61"/>
  <c r="D20" i="61" s="1"/>
  <c r="B19" i="61"/>
  <c r="D19" i="61" s="1"/>
  <c r="B18" i="61"/>
  <c r="D18" i="61" s="1"/>
  <c r="B17" i="61"/>
  <c r="D17" i="61" s="1"/>
  <c r="B16" i="61"/>
  <c r="D16" i="61" s="1"/>
  <c r="B15" i="61"/>
  <c r="D15" i="61" s="1"/>
  <c r="B14" i="61"/>
  <c r="D14" i="61" s="1"/>
  <c r="B13" i="61"/>
  <c r="D13" i="61" s="1"/>
  <c r="D12" i="61"/>
  <c r="B11" i="61"/>
  <c r="D11" i="61" s="1"/>
  <c r="B10" i="61"/>
  <c r="D10" i="61" s="1"/>
  <c r="D9" i="61"/>
  <c r="B9" i="61"/>
  <c r="D8" i="61"/>
  <c r="B8" i="61"/>
  <c r="D7" i="61"/>
  <c r="B7" i="61"/>
  <c r="B6" i="61"/>
  <c r="D6" i="61" s="1"/>
  <c r="B5" i="61"/>
  <c r="D5" i="61" s="1"/>
  <c r="B21" i="60"/>
  <c r="B6" i="60"/>
  <c r="B9" i="60"/>
  <c r="E20" i="65" l="1"/>
  <c r="E18" i="65"/>
  <c r="E16" i="65"/>
  <c r="E14" i="65"/>
  <c r="E12" i="65"/>
  <c r="E11" i="65"/>
  <c r="E9" i="65"/>
  <c r="E8" i="65"/>
  <c r="E6" i="65"/>
  <c r="E21" i="65"/>
  <c r="E19" i="65"/>
  <c r="E17" i="65"/>
  <c r="E15" i="65"/>
  <c r="E13" i="65"/>
  <c r="E10" i="65"/>
  <c r="E7" i="65"/>
  <c r="E17" i="64"/>
  <c r="E15" i="64"/>
  <c r="E13" i="64"/>
  <c r="E12" i="64"/>
  <c r="E11" i="64"/>
  <c r="E16" i="64"/>
  <c r="E10" i="64"/>
  <c r="E9" i="64"/>
  <c r="E8" i="64"/>
  <c r="E7" i="64"/>
  <c r="E6" i="64"/>
  <c r="E21" i="64"/>
  <c r="E20" i="64"/>
  <c r="E19" i="64"/>
  <c r="E18" i="64"/>
  <c r="E5" i="64"/>
  <c r="E20" i="63"/>
  <c r="E19" i="63"/>
  <c r="E18" i="63"/>
  <c r="E17" i="63"/>
  <c r="E16" i="63"/>
  <c r="E14" i="63"/>
  <c r="E13" i="63"/>
  <c r="E12" i="63"/>
  <c r="E15" i="63"/>
  <c r="E5" i="63"/>
  <c r="E21" i="63"/>
  <c r="E11" i="63"/>
  <c r="E10" i="63"/>
  <c r="E9" i="63"/>
  <c r="E8" i="63"/>
  <c r="E7" i="63"/>
  <c r="E8" i="62"/>
  <c r="E21" i="62"/>
  <c r="E5" i="62"/>
  <c r="E20" i="62"/>
  <c r="E17" i="62"/>
  <c r="E15" i="62"/>
  <c r="E13" i="62"/>
  <c r="E11" i="62"/>
  <c r="E9" i="62"/>
  <c r="E7" i="62"/>
  <c r="E18" i="62"/>
  <c r="E16" i="62"/>
  <c r="E14" i="62"/>
  <c r="E12" i="62"/>
  <c r="E10" i="62"/>
  <c r="E6" i="62"/>
  <c r="D23" i="61"/>
  <c r="E21" i="61" s="1"/>
  <c r="D21" i="60"/>
  <c r="B20" i="60"/>
  <c r="D20" i="60" s="1"/>
  <c r="B19" i="60"/>
  <c r="D19" i="60" s="1"/>
  <c r="B18" i="60"/>
  <c r="D18" i="60" s="1"/>
  <c r="D17" i="60"/>
  <c r="B17" i="60"/>
  <c r="B16" i="60"/>
  <c r="D16" i="60" s="1"/>
  <c r="D15" i="60"/>
  <c r="B15" i="60"/>
  <c r="D14" i="60"/>
  <c r="B14" i="60"/>
  <c r="D13" i="60"/>
  <c r="B13" i="60"/>
  <c r="D12" i="60"/>
  <c r="D11" i="60"/>
  <c r="B11" i="60"/>
  <c r="B10" i="60"/>
  <c r="D10" i="60" s="1"/>
  <c r="D9" i="60"/>
  <c r="D8" i="60"/>
  <c r="B8" i="60"/>
  <c r="B7" i="60"/>
  <c r="D7" i="60" s="1"/>
  <c r="D6" i="60"/>
  <c r="D5" i="60"/>
  <c r="B5" i="60"/>
  <c r="B21" i="59"/>
  <c r="B9" i="59"/>
  <c r="B6" i="59"/>
  <c r="E19" i="61" l="1"/>
  <c r="E18" i="61"/>
  <c r="E17" i="61"/>
  <c r="E16" i="61"/>
  <c r="E15" i="61"/>
  <c r="E14" i="61"/>
  <c r="E13" i="61"/>
  <c r="E6" i="61"/>
  <c r="E20" i="61"/>
  <c r="E5" i="61"/>
  <c r="E12" i="61"/>
  <c r="E11" i="61"/>
  <c r="E10" i="61"/>
  <c r="E9" i="61"/>
  <c r="E8" i="61"/>
  <c r="E7" i="61"/>
  <c r="D23" i="60"/>
  <c r="E16" i="60" s="1"/>
  <c r="B16" i="59"/>
  <c r="D9" i="59"/>
  <c r="D6" i="59"/>
  <c r="D21" i="59"/>
  <c r="B20" i="59"/>
  <c r="D20" i="59" s="1"/>
  <c r="B19" i="59"/>
  <c r="D19" i="59" s="1"/>
  <c r="B18" i="59"/>
  <c r="D18" i="59" s="1"/>
  <c r="B17" i="59"/>
  <c r="D17" i="59" s="1"/>
  <c r="D16" i="59"/>
  <c r="B15" i="59"/>
  <c r="D15" i="59" s="1"/>
  <c r="B14" i="59"/>
  <c r="D14" i="59" s="1"/>
  <c r="B13" i="59"/>
  <c r="D13" i="59" s="1"/>
  <c r="D12" i="59"/>
  <c r="B11" i="59"/>
  <c r="D11" i="59" s="1"/>
  <c r="B8" i="59"/>
  <c r="D8" i="59" s="1"/>
  <c r="B10" i="59"/>
  <c r="D10" i="59" s="1"/>
  <c r="B7" i="59"/>
  <c r="D7" i="59" s="1"/>
  <c r="B5" i="59"/>
  <c r="D5" i="59" s="1"/>
  <c r="B21" i="58"/>
  <c r="B16" i="58"/>
  <c r="D16" i="58" s="1"/>
  <c r="D8" i="58"/>
  <c r="D21" i="58"/>
  <c r="B20" i="58"/>
  <c r="D20" i="58" s="1"/>
  <c r="B19" i="58"/>
  <c r="D19" i="58" s="1"/>
  <c r="B18" i="58"/>
  <c r="D18" i="58" s="1"/>
  <c r="B17" i="58"/>
  <c r="D17" i="58" s="1"/>
  <c r="B15" i="58"/>
  <c r="D15" i="58" s="1"/>
  <c r="B14" i="58"/>
  <c r="D14" i="58" s="1"/>
  <c r="B13" i="58"/>
  <c r="D13" i="58" s="1"/>
  <c r="D12" i="58"/>
  <c r="B11" i="58"/>
  <c r="D11" i="58" s="1"/>
  <c r="B10" i="58"/>
  <c r="D10" i="58" s="1"/>
  <c r="B9" i="58"/>
  <c r="D9" i="58" s="1"/>
  <c r="B7" i="58"/>
  <c r="D7" i="58" s="1"/>
  <c r="B6" i="58"/>
  <c r="D6" i="58" s="1"/>
  <c r="B5" i="58"/>
  <c r="D5" i="58" s="1"/>
  <c r="B21" i="57"/>
  <c r="B15" i="57"/>
  <c r="D21" i="57"/>
  <c r="B20" i="57"/>
  <c r="D20" i="57" s="1"/>
  <c r="B19" i="57"/>
  <c r="D19" i="57" s="1"/>
  <c r="B18" i="57"/>
  <c r="D18" i="57" s="1"/>
  <c r="B17" i="57"/>
  <c r="D17" i="57" s="1"/>
  <c r="D16" i="57"/>
  <c r="B16" i="57"/>
  <c r="D15" i="57"/>
  <c r="B14" i="57"/>
  <c r="D14" i="57" s="1"/>
  <c r="B13" i="57"/>
  <c r="D13" i="57" s="1"/>
  <c r="B12" i="57"/>
  <c r="D12" i="57" s="1"/>
  <c r="D11" i="57"/>
  <c r="B10" i="57"/>
  <c r="D10" i="57" s="1"/>
  <c r="B9" i="57"/>
  <c r="D9" i="57" s="1"/>
  <c r="B8" i="57"/>
  <c r="D8" i="57" s="1"/>
  <c r="B7" i="57"/>
  <c r="D7" i="57" s="1"/>
  <c r="B6" i="57"/>
  <c r="D6" i="57" s="1"/>
  <c r="B5" i="57"/>
  <c r="D5" i="57" s="1"/>
  <c r="B6" i="56"/>
  <c r="B21" i="56"/>
  <c r="D21" i="56"/>
  <c r="B20" i="56"/>
  <c r="D20" i="56" s="1"/>
  <c r="B19" i="56"/>
  <c r="D19" i="56" s="1"/>
  <c r="B18" i="56"/>
  <c r="D18" i="56" s="1"/>
  <c r="B17" i="56"/>
  <c r="D17" i="56" s="1"/>
  <c r="D16" i="56"/>
  <c r="B16" i="56"/>
  <c r="B15" i="56"/>
  <c r="D15" i="56" s="1"/>
  <c r="B14" i="56"/>
  <c r="D14" i="56" s="1"/>
  <c r="B13" i="56"/>
  <c r="D13" i="56" s="1"/>
  <c r="B12" i="56"/>
  <c r="D12" i="56" s="1"/>
  <c r="D11" i="56"/>
  <c r="B10" i="56"/>
  <c r="D10" i="56" s="1"/>
  <c r="B9" i="56"/>
  <c r="D9" i="56" s="1"/>
  <c r="B8" i="56"/>
  <c r="D8" i="56" s="1"/>
  <c r="B7" i="56"/>
  <c r="D7" i="56" s="1"/>
  <c r="D6" i="56"/>
  <c r="B5" i="56"/>
  <c r="D5" i="56" s="1"/>
  <c r="B21" i="55"/>
  <c r="B19" i="55"/>
  <c r="D19" i="55" s="1"/>
  <c r="B10" i="55"/>
  <c r="D21" i="55"/>
  <c r="D20" i="55"/>
  <c r="B20" i="55"/>
  <c r="B18" i="55"/>
  <c r="D18" i="55" s="1"/>
  <c r="B17" i="55"/>
  <c r="D17" i="55" s="1"/>
  <c r="D16" i="55"/>
  <c r="B16" i="55"/>
  <c r="B15" i="55"/>
  <c r="D15" i="55" s="1"/>
  <c r="D14" i="55"/>
  <c r="B14" i="55"/>
  <c r="D13" i="55"/>
  <c r="B13" i="55"/>
  <c r="D12" i="55"/>
  <c r="B12" i="55"/>
  <c r="D11" i="55"/>
  <c r="D10" i="55"/>
  <c r="D9" i="55"/>
  <c r="B9" i="55"/>
  <c r="D8" i="55"/>
  <c r="B8" i="55"/>
  <c r="B7" i="55"/>
  <c r="D7" i="55" s="1"/>
  <c r="B6" i="55"/>
  <c r="D6" i="55" s="1"/>
  <c r="B5" i="55"/>
  <c r="D5" i="55" s="1"/>
  <c r="D21" i="54"/>
  <c r="B20" i="54"/>
  <c r="D20" i="54" s="1"/>
  <c r="D19" i="54"/>
  <c r="B19" i="54"/>
  <c r="D18" i="54"/>
  <c r="B18" i="54"/>
  <c r="D17" i="54"/>
  <c r="B17" i="54"/>
  <c r="B16" i="54"/>
  <c r="D16" i="54" s="1"/>
  <c r="B15" i="54"/>
  <c r="D15" i="54" s="1"/>
  <c r="D14" i="54"/>
  <c r="B14" i="54"/>
  <c r="D13" i="54"/>
  <c r="B13" i="54"/>
  <c r="D12" i="54"/>
  <c r="B12" i="54"/>
  <c r="D11" i="54"/>
  <c r="B10" i="54"/>
  <c r="D10" i="54" s="1"/>
  <c r="B9" i="54"/>
  <c r="D9" i="54" s="1"/>
  <c r="D8" i="54"/>
  <c r="B8" i="54"/>
  <c r="D7" i="54"/>
  <c r="B7" i="54"/>
  <c r="D6" i="54"/>
  <c r="B6" i="54"/>
  <c r="D5" i="54"/>
  <c r="B5" i="54"/>
  <c r="B21" i="53"/>
  <c r="D21" i="53" s="1"/>
  <c r="B10" i="53"/>
  <c r="B18" i="53"/>
  <c r="D18" i="53"/>
  <c r="B20" i="53"/>
  <c r="D20" i="53" s="1"/>
  <c r="B19" i="53"/>
  <c r="D19" i="53" s="1"/>
  <c r="B17" i="53"/>
  <c r="D17" i="53" s="1"/>
  <c r="B16" i="53"/>
  <c r="D16" i="53" s="1"/>
  <c r="B15" i="53"/>
  <c r="D15" i="53" s="1"/>
  <c r="B14" i="53"/>
  <c r="D14" i="53" s="1"/>
  <c r="B13" i="53"/>
  <c r="D13" i="53" s="1"/>
  <c r="D12" i="53"/>
  <c r="B12" i="53"/>
  <c r="D11" i="53"/>
  <c r="D10" i="53"/>
  <c r="B9" i="53"/>
  <c r="D9" i="53" s="1"/>
  <c r="B8" i="53"/>
  <c r="D8" i="53" s="1"/>
  <c r="B7" i="53"/>
  <c r="D7" i="53" s="1"/>
  <c r="B6" i="53"/>
  <c r="D6" i="53" s="1"/>
  <c r="B5" i="53"/>
  <c r="D5" i="53" s="1"/>
  <c r="B21" i="52"/>
  <c r="B19" i="52"/>
  <c r="D21" i="52"/>
  <c r="D20" i="52"/>
  <c r="B20" i="52"/>
  <c r="D19" i="52"/>
  <c r="D18" i="52"/>
  <c r="B18" i="52"/>
  <c r="D17" i="52"/>
  <c r="B17" i="52"/>
  <c r="D16" i="52"/>
  <c r="B16" i="52"/>
  <c r="D15" i="52"/>
  <c r="B15" i="52"/>
  <c r="D14" i="52"/>
  <c r="B14" i="52"/>
  <c r="D13" i="52"/>
  <c r="B13" i="52"/>
  <c r="D12" i="52"/>
  <c r="B12" i="52"/>
  <c r="D11" i="52"/>
  <c r="D10" i="52"/>
  <c r="B10" i="52"/>
  <c r="D9" i="52"/>
  <c r="B9" i="52"/>
  <c r="D8" i="52"/>
  <c r="B8" i="52"/>
  <c r="D7" i="52"/>
  <c r="B7" i="52"/>
  <c r="D6" i="52"/>
  <c r="B6" i="52"/>
  <c r="D5" i="52"/>
  <c r="B5" i="52"/>
  <c r="B21" i="50"/>
  <c r="B7" i="50"/>
  <c r="E18" i="60" l="1"/>
  <c r="E7" i="60"/>
  <c r="E19" i="60"/>
  <c r="E21" i="60"/>
  <c r="E8" i="60"/>
  <c r="E20" i="60"/>
  <c r="E6" i="60"/>
  <c r="E17" i="60"/>
  <c r="E5" i="60"/>
  <c r="E14" i="60"/>
  <c r="E15" i="60"/>
  <c r="E13" i="60"/>
  <c r="E12" i="60"/>
  <c r="E11" i="60"/>
  <c r="E10" i="60"/>
  <c r="E9" i="60"/>
  <c r="D23" i="59"/>
  <c r="E11" i="59" s="1"/>
  <c r="D23" i="58"/>
  <c r="D23" i="57"/>
  <c r="E9" i="57" s="1"/>
  <c r="E5" i="57"/>
  <c r="E6" i="57"/>
  <c r="E7" i="57"/>
  <c r="E8" i="57"/>
  <c r="D23" i="56"/>
  <c r="E6" i="56" s="1"/>
  <c r="D23" i="55"/>
  <c r="E18" i="55" s="1"/>
  <c r="D23" i="54"/>
  <c r="E20" i="54" s="1"/>
  <c r="E7" i="54"/>
  <c r="D23" i="53"/>
  <c r="E6" i="53" s="1"/>
  <c r="D23" i="52"/>
  <c r="E19" i="52" s="1"/>
  <c r="E9" i="52"/>
  <c r="E21" i="52"/>
  <c r="E14" i="52"/>
  <c r="E8" i="52"/>
  <c r="E20" i="52"/>
  <c r="B16" i="50"/>
  <c r="D16" i="50"/>
  <c r="B15" i="50"/>
  <c r="D15" i="50" s="1"/>
  <c r="B13" i="50"/>
  <c r="B13" i="49"/>
  <c r="B21" i="51"/>
  <c r="D21" i="51" s="1"/>
  <c r="B20" i="51"/>
  <c r="D20" i="51" s="1"/>
  <c r="B19" i="51"/>
  <c r="D19" i="51" s="1"/>
  <c r="B18" i="51"/>
  <c r="D18" i="51" s="1"/>
  <c r="B17" i="51"/>
  <c r="D17" i="51" s="1"/>
  <c r="B16" i="51"/>
  <c r="D16" i="51" s="1"/>
  <c r="B15" i="51"/>
  <c r="D15" i="51" s="1"/>
  <c r="B14" i="51"/>
  <c r="D14" i="51" s="1"/>
  <c r="B13" i="51"/>
  <c r="D13" i="51" s="1"/>
  <c r="B12" i="51"/>
  <c r="D12" i="51" s="1"/>
  <c r="D11" i="51"/>
  <c r="B10" i="51"/>
  <c r="D10" i="51" s="1"/>
  <c r="B9" i="51"/>
  <c r="D9" i="51" s="1"/>
  <c r="B8" i="51"/>
  <c r="D8" i="51" s="1"/>
  <c r="D7" i="51"/>
  <c r="B6" i="51"/>
  <c r="D6" i="51" s="1"/>
  <c r="B5" i="51"/>
  <c r="D5" i="51" s="1"/>
  <c r="D21" i="50"/>
  <c r="B20" i="50"/>
  <c r="D20" i="50" s="1"/>
  <c r="B19" i="50"/>
  <c r="D19" i="50" s="1"/>
  <c r="B18" i="50"/>
  <c r="D18" i="50" s="1"/>
  <c r="B17" i="50"/>
  <c r="D17" i="50" s="1"/>
  <c r="B14" i="50"/>
  <c r="D14" i="50" s="1"/>
  <c r="D13" i="50"/>
  <c r="B12" i="50"/>
  <c r="D12" i="50" s="1"/>
  <c r="D11" i="50"/>
  <c r="B10" i="50"/>
  <c r="D10" i="50" s="1"/>
  <c r="B9" i="50"/>
  <c r="D9" i="50" s="1"/>
  <c r="B8" i="50"/>
  <c r="D8" i="50" s="1"/>
  <c r="D7" i="50"/>
  <c r="B6" i="50"/>
  <c r="D6" i="50" s="1"/>
  <c r="B5" i="50"/>
  <c r="D5" i="50" s="1"/>
  <c r="B21" i="49"/>
  <c r="D21" i="49"/>
  <c r="B20" i="49"/>
  <c r="D20" i="49" s="1"/>
  <c r="B19" i="49"/>
  <c r="D19" i="49" s="1"/>
  <c r="B18" i="49"/>
  <c r="D18" i="49" s="1"/>
  <c r="B17" i="49"/>
  <c r="D17" i="49" s="1"/>
  <c r="B16" i="49"/>
  <c r="D16" i="49" s="1"/>
  <c r="B15" i="49"/>
  <c r="D15" i="49" s="1"/>
  <c r="B14" i="49"/>
  <c r="D14" i="49" s="1"/>
  <c r="D13" i="49"/>
  <c r="B12" i="49"/>
  <c r="D12" i="49" s="1"/>
  <c r="D11" i="49"/>
  <c r="B10" i="49"/>
  <c r="D10" i="49" s="1"/>
  <c r="B9" i="49"/>
  <c r="D9" i="49" s="1"/>
  <c r="B8" i="49"/>
  <c r="D8" i="49" s="1"/>
  <c r="D7" i="49"/>
  <c r="B6" i="49"/>
  <c r="D6" i="49" s="1"/>
  <c r="B5" i="49"/>
  <c r="D5" i="49" s="1"/>
  <c r="E8" i="59" l="1"/>
  <c r="E10" i="59"/>
  <c r="E7" i="59"/>
  <c r="E6" i="59"/>
  <c r="E18" i="59"/>
  <c r="E17" i="59"/>
  <c r="E16" i="59"/>
  <c r="E15" i="59"/>
  <c r="E14" i="59"/>
  <c r="E13" i="59"/>
  <c r="E12" i="59"/>
  <c r="E9" i="59"/>
  <c r="E19" i="59"/>
  <c r="E20" i="59"/>
  <c r="E5" i="59"/>
  <c r="E21" i="59"/>
  <c r="E14" i="58"/>
  <c r="E8" i="58"/>
  <c r="E13" i="58"/>
  <c r="E12" i="58"/>
  <c r="E19" i="58"/>
  <c r="E9" i="58"/>
  <c r="E17" i="58"/>
  <c r="E21" i="58"/>
  <c r="E20" i="58"/>
  <c r="E11" i="58"/>
  <c r="E10" i="58"/>
  <c r="E18" i="58"/>
  <c r="E7" i="58"/>
  <c r="E6" i="58"/>
  <c r="E5" i="58"/>
  <c r="E16" i="58"/>
  <c r="E15" i="58"/>
  <c r="E21" i="57"/>
  <c r="E20" i="57"/>
  <c r="E19" i="57"/>
  <c r="E18" i="57"/>
  <c r="E17" i="57"/>
  <c r="E16" i="57"/>
  <c r="E15" i="57"/>
  <c r="E14" i="57"/>
  <c r="E13" i="57"/>
  <c r="E12" i="57"/>
  <c r="E11" i="57"/>
  <c r="E10" i="57"/>
  <c r="E5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17" i="55"/>
  <c r="E6" i="55"/>
  <c r="E21" i="55"/>
  <c r="E19" i="55"/>
  <c r="E14" i="55"/>
  <c r="E16" i="55"/>
  <c r="E15" i="55"/>
  <c r="E13" i="55"/>
  <c r="E12" i="55"/>
  <c r="E11" i="55"/>
  <c r="E10" i="55"/>
  <c r="E9" i="55"/>
  <c r="E20" i="55"/>
  <c r="E8" i="55"/>
  <c r="E5" i="55"/>
  <c r="E7" i="55"/>
  <c r="E15" i="54"/>
  <c r="E21" i="54"/>
  <c r="E13" i="54"/>
  <c r="E14" i="54"/>
  <c r="E19" i="54"/>
  <c r="E12" i="54"/>
  <c r="E18" i="54"/>
  <c r="E11" i="54"/>
  <c r="E17" i="54"/>
  <c r="E5" i="54"/>
  <c r="E10" i="54"/>
  <c r="E9" i="54"/>
  <c r="E8" i="54"/>
  <c r="E6" i="54"/>
  <c r="E16" i="54"/>
  <c r="E21" i="53"/>
  <c r="E5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7" i="52"/>
  <c r="E13" i="52"/>
  <c r="E15" i="52"/>
  <c r="E16" i="52"/>
  <c r="E10" i="52"/>
  <c r="E17" i="52"/>
  <c r="E5" i="52"/>
  <c r="E11" i="52"/>
  <c r="E18" i="52"/>
  <c r="E6" i="52"/>
  <c r="E12" i="52"/>
  <c r="D23" i="51"/>
  <c r="E11" i="51" s="1"/>
  <c r="E5" i="51"/>
  <c r="E6" i="51"/>
  <c r="E7" i="51"/>
  <c r="E8" i="51"/>
  <c r="E9" i="51"/>
  <c r="E10" i="51"/>
  <c r="D23" i="50"/>
  <c r="E12" i="50" s="1"/>
  <c r="E14" i="49"/>
  <c r="E15" i="49"/>
  <c r="E16" i="49"/>
  <c r="D23" i="49"/>
  <c r="E5" i="49" s="1"/>
  <c r="E6" i="49"/>
  <c r="E7" i="49"/>
  <c r="E8" i="49"/>
  <c r="E9" i="49"/>
  <c r="E10" i="49"/>
  <c r="E11" i="49"/>
  <c r="E12" i="49"/>
  <c r="E13" i="49"/>
  <c r="E5" i="50" l="1"/>
  <c r="E11" i="50"/>
  <c r="E10" i="50"/>
  <c r="E9" i="50"/>
  <c r="E8" i="50"/>
  <c r="E7" i="50"/>
  <c r="E6" i="50"/>
  <c r="E17" i="49"/>
  <c r="E21" i="51"/>
  <c r="E20" i="51"/>
  <c r="E19" i="51"/>
  <c r="E18" i="51"/>
  <c r="E17" i="51"/>
  <c r="E16" i="51"/>
  <c r="E15" i="51"/>
  <c r="E14" i="51"/>
  <c r="E13" i="51"/>
  <c r="E12" i="51"/>
  <c r="E21" i="50"/>
  <c r="E20" i="50"/>
  <c r="E19" i="50"/>
  <c r="E18" i="50"/>
  <c r="E17" i="50"/>
  <c r="E16" i="50"/>
  <c r="E15" i="50"/>
  <c r="E14" i="50"/>
  <c r="E13" i="50"/>
  <c r="E21" i="49"/>
  <c r="E20" i="49"/>
  <c r="E19" i="49"/>
  <c r="E18" i="49"/>
</calcChain>
</file>

<file path=xl/sharedStrings.xml><?xml version="1.0" encoding="utf-8"?>
<sst xmlns="http://schemas.openxmlformats.org/spreadsheetml/2006/main" count="654" uniqueCount="101">
  <si>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</si>
  <si>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</si>
  <si>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</si>
  <si>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</si>
  <si>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</si>
  <si>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</si>
  <si>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</si>
  <si>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</si>
  <si>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HIL</t>
  </si>
  <si>
    <t>HindOilExp</t>
  </si>
  <si>
    <t>PowerMech</t>
  </si>
  <si>
    <t>SuryaRosni</t>
  </si>
  <si>
    <t>TIIndia</t>
  </si>
  <si>
    <t>TWL</t>
  </si>
  <si>
    <t>VadilalInd</t>
  </si>
  <si>
    <t>VRLLogistics</t>
  </si>
  <si>
    <t>LiquidBees</t>
  </si>
  <si>
    <t>AstraMicro</t>
  </si>
  <si>
    <t>WelEnt</t>
  </si>
  <si>
    <t>ZenTech</t>
  </si>
  <si>
    <t>ThomasCook</t>
  </si>
  <si>
    <t>Aurionpro</t>
  </si>
  <si>
    <t>MorepenLab</t>
  </si>
  <si>
    <t>Avalon</t>
  </si>
  <si>
    <t>Rates of 13-01-25</t>
  </si>
  <si>
    <t>Bonus 1:1</t>
  </si>
  <si>
    <t>Sell 131@3239.03 = 424313</t>
  </si>
  <si>
    <t>Sell 260@995.23 = 258760</t>
  </si>
  <si>
    <t>Buy 2189@813.46 = 1780664</t>
  </si>
  <si>
    <t>Less 1097.591</t>
  </si>
  <si>
    <t>Rates of 04-02-25</t>
  </si>
  <si>
    <t>Sell 5230@566.72 = 2963945</t>
  </si>
  <si>
    <t>Add 2963.945</t>
  </si>
  <si>
    <t>Rates of 06-02-25</t>
  </si>
  <si>
    <t>Buy 1175@542.6 = 637555</t>
  </si>
  <si>
    <t>Buy 1475@211.38 = 311785</t>
  </si>
  <si>
    <t>Less 949.340</t>
  </si>
  <si>
    <t>Convert to Liquidcase from Liquidbees</t>
  </si>
  <si>
    <t>LiquidCase</t>
  </si>
  <si>
    <t>Rates of 24-03-2025</t>
  </si>
  <si>
    <t>Sell 405@519.03 = 210207</t>
  </si>
  <si>
    <t>Buy 37@1384.68 = 51233.16</t>
  </si>
  <si>
    <t>Sell 475</t>
  </si>
  <si>
    <t>Rates of 28-03-2025</t>
  </si>
  <si>
    <t>Sell 353@2780.36 = 981467</t>
  </si>
  <si>
    <t xml:space="preserve">Buy 9018@108.83 </t>
  </si>
  <si>
    <t>Rates of 02-05-2025</t>
  </si>
  <si>
    <t>E2E</t>
  </si>
  <si>
    <t>Sell 784@709.82 = 556499</t>
  </si>
  <si>
    <t>Buy 724@2655.36 = 1922481</t>
  </si>
  <si>
    <t>Sell 12666@107.85</t>
  </si>
  <si>
    <t>Rates of 19-05-2025</t>
  </si>
  <si>
    <t>BirlaNu</t>
  </si>
  <si>
    <t>Sell 783@912.75 = 714683</t>
  </si>
  <si>
    <t>Buy 403@1396.69 = 562866</t>
  </si>
  <si>
    <t>Buy 289@2760.8 = 797871</t>
  </si>
  <si>
    <t>Sell 5975@108.12 = 646017</t>
  </si>
  <si>
    <t>Buy 144@2792.33 = 402096</t>
  </si>
  <si>
    <t>Buy 478@1389.95 = 664396</t>
  </si>
  <si>
    <t>Sell 9817@108.63</t>
  </si>
  <si>
    <t>Sell 25548@49.31 = 1259772</t>
  </si>
  <si>
    <t>Add 11418</t>
  </si>
  <si>
    <t>Rates of 07-08-2025</t>
  </si>
  <si>
    <t>Rates of 18-08-2025</t>
  </si>
  <si>
    <t>Buy 149@1427.79 = 212741</t>
  </si>
  <si>
    <t>Sell 7385@49.25 = 363711</t>
  </si>
  <si>
    <t>Buy 1366</t>
  </si>
  <si>
    <t>Rates of 03-09-2025</t>
  </si>
  <si>
    <t>Buy 306@1290.97 = 395037</t>
  </si>
  <si>
    <t>Less 3600</t>
  </si>
  <si>
    <t>Rates of 08-09-2025</t>
  </si>
  <si>
    <t>Sell 11467@52.45 = 601444</t>
  </si>
  <si>
    <t>Buy 5427</t>
  </si>
  <si>
    <t>Rates of 24-10-2025</t>
  </si>
  <si>
    <t>Buy 275@3208.67 = 882384</t>
  </si>
  <si>
    <t>Sell 7979</t>
  </si>
  <si>
    <t>HCG</t>
  </si>
  <si>
    <t>Rates of 28-10-2025</t>
  </si>
  <si>
    <t>Rates of 07-11-2025</t>
  </si>
  <si>
    <t>Sell 783@840.65 = 658229</t>
  </si>
  <si>
    <t>Buy 290@1134 = 328860</t>
  </si>
  <si>
    <t>Buy 3770@738.65 = 2784711</t>
  </si>
  <si>
    <t>Sell 25132</t>
  </si>
  <si>
    <t>Sell 8490@46.03 = 390795</t>
  </si>
  <si>
    <t>Add 5893 Minus 2966 Add 3499</t>
  </si>
  <si>
    <t>Rates of 17-11-2025</t>
  </si>
  <si>
    <t>Sell 367@2660 = 976220</t>
  </si>
  <si>
    <t>Sell 3720@273.62 = 1017866</t>
  </si>
  <si>
    <t>Add 8732 + 9104</t>
  </si>
  <si>
    <t>Rates of 20-11-2025</t>
  </si>
  <si>
    <t>Ashapura</t>
  </si>
  <si>
    <t>Add 2265@740.93 = 1678206</t>
  </si>
  <si>
    <t>Sell 15111</t>
  </si>
  <si>
    <t>Rates of 08-12-2025</t>
  </si>
  <si>
    <t>Add 463@677.73 = 313789</t>
  </si>
  <si>
    <t>Sell 2801</t>
  </si>
  <si>
    <t>Rates of 29-12-2025</t>
  </si>
  <si>
    <t>Add 209@670.33 = 140099</t>
  </si>
  <si>
    <t>Sell 1247</t>
  </si>
  <si>
    <t>Sell 2568@179.7 = 461469</t>
  </si>
  <si>
    <t>Buy 4295+1952@107.67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</si>
</sst>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0A7C-6FC5-4FE6-9CDC-617875420FCB}">
  <sheetPr>
    <pageSetUpPr fitToPage="1"/>
  </sheetPr>
  <dimension ref="A1:J23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45658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767.5</v>
      </c>
      <c r="D5">
        <f>C5*B5</f>
        <v>5180625</v>
      </c>
      <c r="E5" s="3">
        <f t="shared" ref="E5:E21" si="0">D5/$D$23</f>
        <v>8.1019915081489105E-2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1711.1</v>
      </c>
      <c r="D6">
        <f>C6*B6</f>
        <v>1533145.5999999999</v>
      </c>
      <c r="E6" s="3">
        <f t="shared" si="0"/>
        <v>2.3976899760078878E-2</v>
      </c>
      <c r="F6"/>
      <c r="G6"/>
      <c r="H6"/>
      <c r="I6"/>
    </row>
    <row r="7" spans="1:9" s="2" customFormat="1" x14ac:dyDescent="0.3">
      <c r="A7" t="s">
        <v>23</v>
      </c>
      <c r="B7" s="4">
        <v>1410</v>
      </c>
      <c r="C7" s="2">
        <v>964</v>
      </c>
      <c r="D7">
        <f>C7*B7</f>
        <v>1359240</v>
      </c>
      <c r="E7" s="3">
        <f t="shared" si="0"/>
        <v>2.1257186029748004E-2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484.55</v>
      </c>
      <c r="D8">
        <f t="shared" ref="D8:D21" si="1">C8*B8</f>
        <v>3267805.2</v>
      </c>
      <c r="E8" s="3">
        <f t="shared" si="0"/>
        <v>5.1105281661353315E-2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2499.4</v>
      </c>
      <c r="D9">
        <f t="shared" si="1"/>
        <v>1622110.6</v>
      </c>
      <c r="E9" s="3">
        <f t="shared" si="0"/>
        <v>2.5368225467927778E-2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183.16</v>
      </c>
      <c r="D10">
        <f t="shared" si="1"/>
        <v>1689651</v>
      </c>
      <c r="E10" s="3">
        <f t="shared" si="0"/>
        <v>2.6424491357192065E-2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78.16</v>
      </c>
      <c r="D11">
        <f t="shared" si="1"/>
        <v>4133882.4</v>
      </c>
      <c r="E11" s="3">
        <f t="shared" si="0"/>
        <v>6.4649883171405451E-2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2570.0500000000002</v>
      </c>
      <c r="D12">
        <f t="shared" si="1"/>
        <v>4785433.1000000006</v>
      </c>
      <c r="E12" s="3">
        <f t="shared" si="0"/>
        <v>7.4839499749576002E-2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</f>
        <v>7480</v>
      </c>
      <c r="C13" s="2">
        <v>594.65</v>
      </c>
      <c r="D13">
        <f t="shared" si="1"/>
        <v>4447982</v>
      </c>
      <c r="E13" s="3">
        <f t="shared" si="0"/>
        <v>6.956209413420042E-2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196.39</v>
      </c>
      <c r="D14">
        <f t="shared" si="1"/>
        <v>5477906.2699999996</v>
      </c>
      <c r="E14" s="3">
        <f t="shared" si="0"/>
        <v>8.5669103789553711E-2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</f>
        <v>484</v>
      </c>
      <c r="C15" s="2">
        <v>3576.25</v>
      </c>
      <c r="D15">
        <f t="shared" si="1"/>
        <v>1730905</v>
      </c>
      <c r="E15" s="3">
        <f t="shared" si="0"/>
        <v>2.7069663624393753E-2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</f>
        <v>2610</v>
      </c>
      <c r="C16" s="2">
        <v>1104.8</v>
      </c>
      <c r="D16">
        <f t="shared" si="1"/>
        <v>2883528</v>
      </c>
      <c r="E16" s="3">
        <f t="shared" si="0"/>
        <v>4.5095561577048346E-2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3990.9</v>
      </c>
      <c r="D17">
        <f t="shared" si="1"/>
        <v>3041065.8000000003</v>
      </c>
      <c r="E17" s="3">
        <f t="shared" si="0"/>
        <v>4.7559298901816045E-2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</f>
        <v>4249</v>
      </c>
      <c r="C18" s="2">
        <v>505.15</v>
      </c>
      <c r="D18">
        <f t="shared" si="1"/>
        <v>2146382.35</v>
      </c>
      <c r="E18" s="3">
        <f t="shared" si="0"/>
        <v>3.3567323581499726E-2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</f>
        <v>12435</v>
      </c>
      <c r="C19" s="2">
        <v>614.35</v>
      </c>
      <c r="D19">
        <f t="shared" si="1"/>
        <v>7639442.25</v>
      </c>
      <c r="E19" s="3">
        <f t="shared" si="0"/>
        <v>0.11947341534369696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2445.65</v>
      </c>
      <c r="D20">
        <f t="shared" si="1"/>
        <v>9611404.5</v>
      </c>
      <c r="E20" s="3">
        <f t="shared" si="0"/>
        <v>0.15031297891737816</v>
      </c>
      <c r="F20"/>
      <c r="G20"/>
      <c r="H20"/>
      <c r="I20"/>
    </row>
    <row r="21" spans="1:9" s="2" customFormat="1" x14ac:dyDescent="0.3">
      <c r="A21" t="s">
        <v>16</v>
      </c>
      <c r="B21" s="4">
        <f>6932.14-496.76-518.245-2447.575+1559.683+1090.898-939.595-845.343+2113.889+1938.365-3314.616-1057.21+565.427-1288.599+99.644</f>
        <v>3392.1030000000001</v>
      </c>
      <c r="C21" s="2">
        <v>1000</v>
      </c>
      <c r="D21">
        <f t="shared" si="1"/>
        <v>3392103</v>
      </c>
      <c r="E21" s="3">
        <f t="shared" si="0"/>
        <v>5.3049177851642308E-2</v>
      </c>
      <c r="F21"/>
      <c r="G21"/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63942612.07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F812-9E51-4F75-9C4B-DCD1504EE3D8}">
  <sheetPr>
    <pageSetUpPr fitToPage="1"/>
  </sheetPr>
  <dimension ref="A1:J23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45658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767.5</v>
      </c>
      <c r="D5">
        <f>C5*B5</f>
        <v>5180625</v>
      </c>
      <c r="E5" s="3">
        <f t="shared" ref="E5:E21" si="0">D5/$D$23</f>
        <v>7.5750548309281573E-2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1711.1</v>
      </c>
      <c r="D6">
        <f>C6*B6</f>
        <v>1533145.5999999999</v>
      </c>
      <c r="E6" s="3">
        <f t="shared" si="0"/>
        <v>2.2417492066683548E-2</v>
      </c>
      <c r="F6"/>
      <c r="G6"/>
      <c r="H6"/>
      <c r="I6"/>
    </row>
    <row r="7" spans="1:9" s="2" customFormat="1" x14ac:dyDescent="0.3">
      <c r="A7" t="s">
        <v>23</v>
      </c>
      <c r="B7" s="4">
        <v>1410</v>
      </c>
      <c r="C7" s="2">
        <v>964</v>
      </c>
      <c r="D7">
        <f>C7*B7</f>
        <v>1359240</v>
      </c>
      <c r="E7" s="3">
        <f t="shared" si="0"/>
        <v>1.9874662860930464E-2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484.55</v>
      </c>
      <c r="D8">
        <f t="shared" ref="D8:D21" si="1">C8*B8</f>
        <v>3267805.2</v>
      </c>
      <c r="E8" s="3">
        <f t="shared" si="0"/>
        <v>4.7781500430531358E-2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2499.4</v>
      </c>
      <c r="D9">
        <f t="shared" si="1"/>
        <v>1622110.6</v>
      </c>
      <c r="E9" s="3">
        <f t="shared" si="0"/>
        <v>2.3718328844164114E-2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183.16</v>
      </c>
      <c r="D10">
        <f t="shared" si="1"/>
        <v>1689651</v>
      </c>
      <c r="E10" s="3">
        <f t="shared" si="0"/>
        <v>2.4705897396805579E-2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78.16</v>
      </c>
      <c r="D11">
        <f t="shared" si="1"/>
        <v>4133882.4</v>
      </c>
      <c r="E11" s="3">
        <f t="shared" si="0"/>
        <v>6.044518922834384E-2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2570.0500000000002</v>
      </c>
      <c r="D12">
        <f t="shared" si="1"/>
        <v>4785433.1000000006</v>
      </c>
      <c r="E12" s="3">
        <f t="shared" si="0"/>
        <v>6.997209433656848E-2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594.65</v>
      </c>
      <c r="D13">
        <f t="shared" si="1"/>
        <v>8895964</v>
      </c>
      <c r="E13" s="3">
        <f t="shared" si="0"/>
        <v>0.1300758404130061</v>
      </c>
      <c r="F13"/>
      <c r="G13" t="s">
        <v>25</v>
      </c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196.39</v>
      </c>
      <c r="D14">
        <f t="shared" si="1"/>
        <v>5477906.2699999996</v>
      </c>
      <c r="E14" s="3">
        <f t="shared" si="0"/>
        <v>8.0097363453126097E-2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</f>
        <v>484</v>
      </c>
      <c r="C15" s="2">
        <v>3576.25</v>
      </c>
      <c r="D15">
        <f t="shared" si="1"/>
        <v>1730905</v>
      </c>
      <c r="E15" s="3">
        <f t="shared" si="0"/>
        <v>2.5309109001573557E-2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</f>
        <v>2610</v>
      </c>
      <c r="C16" s="2">
        <v>1104.8</v>
      </c>
      <c r="D16">
        <f t="shared" si="1"/>
        <v>2883528</v>
      </c>
      <c r="E16" s="3">
        <f t="shared" si="0"/>
        <v>4.2162640041532841E-2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3990.9</v>
      </c>
      <c r="D17">
        <f t="shared" si="1"/>
        <v>3041065.8000000003</v>
      </c>
      <c r="E17" s="3">
        <f t="shared" si="0"/>
        <v>4.4466141014762511E-2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</f>
        <v>4249</v>
      </c>
      <c r="C18" s="2">
        <v>505.15</v>
      </c>
      <c r="D18">
        <f t="shared" si="1"/>
        <v>2146382.35</v>
      </c>
      <c r="E18" s="3">
        <f t="shared" si="0"/>
        <v>3.138417466886028E-2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</f>
        <v>12435</v>
      </c>
      <c r="C19" s="2">
        <v>614.35</v>
      </c>
      <c r="D19">
        <f t="shared" si="1"/>
        <v>7639442.25</v>
      </c>
      <c r="E19" s="3">
        <f t="shared" si="0"/>
        <v>0.11170311288977521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2445.65</v>
      </c>
      <c r="D20">
        <f t="shared" si="1"/>
        <v>9611404.5</v>
      </c>
      <c r="E20" s="3">
        <f t="shared" si="0"/>
        <v>0.14053693538854795</v>
      </c>
      <c r="F20"/>
      <c r="G20"/>
      <c r="H20"/>
      <c r="I20"/>
    </row>
    <row r="21" spans="1:9" s="2" customFormat="1" x14ac:dyDescent="0.3">
      <c r="A21" t="s">
        <v>16</v>
      </c>
      <c r="B21" s="4">
        <f>6932.14-496.76-518.245-2447.575+1559.683+1090.898-939.595-845.343+2113.889+1938.365-3314.616-1057.21+565.427-1288.599+99.644</f>
        <v>3392.1030000000001</v>
      </c>
      <c r="C21" s="2">
        <v>1000</v>
      </c>
      <c r="D21">
        <f t="shared" si="1"/>
        <v>3392103</v>
      </c>
      <c r="E21" s="3">
        <f t="shared" si="0"/>
        <v>4.9598969655506614E-2</v>
      </c>
      <c r="F21"/>
      <c r="G21"/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68390594.069999993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4D20-FA8A-4617-9B44-36DE9443B136}">
  <sheetPr>
    <pageSetUpPr fitToPage="1"/>
  </sheetPr>
  <dimension ref="A1:J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45670</v>
      </c>
      <c r="C1" s="2" t="s">
        <v>24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729.7</v>
      </c>
      <c r="D5">
        <f>C5*B5</f>
        <v>4925475</v>
      </c>
      <c r="E5" s="3">
        <f t="shared" ref="E5:E21" si="0">D5/$D$23</f>
        <v>8.438491274091621E-2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1522.55</v>
      </c>
      <c r="D6">
        <f>C6*B6</f>
        <v>1364204.8</v>
      </c>
      <c r="E6" s="3">
        <f t="shared" si="0"/>
        <v>2.3372020568318597E-2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846.3</v>
      </c>
      <c r="D7">
        <f>C7*B7</f>
        <v>3045833.6999999997</v>
      </c>
      <c r="E7" s="3">
        <f t="shared" si="0"/>
        <v>5.218225876648281E-2</v>
      </c>
      <c r="F7"/>
      <c r="G7" t="s">
        <v>28</v>
      </c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422.3</v>
      </c>
      <c r="D8">
        <f t="shared" ref="D8:D21" si="1">C8*B8</f>
        <v>2847991.2</v>
      </c>
      <c r="E8" s="3">
        <f t="shared" si="0"/>
        <v>4.8792753774792738E-2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2281.5</v>
      </c>
      <c r="D9">
        <f t="shared" si="1"/>
        <v>1480693.5</v>
      </c>
      <c r="E9" s="3">
        <f t="shared" si="0"/>
        <v>2.5367744591849883E-2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180.98</v>
      </c>
      <c r="D10">
        <f t="shared" si="1"/>
        <v>1669540.5</v>
      </c>
      <c r="E10" s="3">
        <f t="shared" si="0"/>
        <v>2.8603135618377032E-2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64.92</v>
      </c>
      <c r="D11">
        <f t="shared" si="1"/>
        <v>3433618.8000000003</v>
      </c>
      <c r="E11" s="3">
        <f t="shared" si="0"/>
        <v>5.8825924976488447E-2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2461.3000000000002</v>
      </c>
      <c r="D12">
        <f t="shared" si="1"/>
        <v>4582940.6000000006</v>
      </c>
      <c r="E12" s="3">
        <f t="shared" si="0"/>
        <v>7.8516496912034314E-2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233.4</v>
      </c>
      <c r="D13">
        <f t="shared" si="1"/>
        <v>3491664</v>
      </c>
      <c r="E13" s="3">
        <f t="shared" si="0"/>
        <v>5.9820375082727743E-2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168.38</v>
      </c>
      <c r="D14">
        <f t="shared" si="1"/>
        <v>4696623.34</v>
      </c>
      <c r="E14" s="3">
        <f t="shared" si="0"/>
        <v>8.0464148274603034E-2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3230.9</v>
      </c>
      <c r="D15">
        <f t="shared" si="1"/>
        <v>1140507.7</v>
      </c>
      <c r="E15" s="3">
        <f t="shared" si="0"/>
        <v>1.9539565776872898E-2</v>
      </c>
      <c r="F15"/>
      <c r="G15" t="s">
        <v>26</v>
      </c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1000.75</v>
      </c>
      <c r="D16">
        <f t="shared" si="1"/>
        <v>2351762.5</v>
      </c>
      <c r="E16" s="3">
        <f t="shared" si="0"/>
        <v>4.0291194930409543E-2</v>
      </c>
      <c r="F16"/>
      <c r="G16" t="s">
        <v>27</v>
      </c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3455.7</v>
      </c>
      <c r="D17">
        <f t="shared" si="1"/>
        <v>2633243.4</v>
      </c>
      <c r="E17" s="3">
        <f t="shared" si="0"/>
        <v>4.5113621434398406E-2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</f>
        <v>4249</v>
      </c>
      <c r="C18" s="2">
        <v>480.25</v>
      </c>
      <c r="D18">
        <f t="shared" si="1"/>
        <v>2040582.25</v>
      </c>
      <c r="E18" s="3">
        <f t="shared" si="0"/>
        <v>3.4959949062153897E-2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</f>
        <v>12435</v>
      </c>
      <c r="C19" s="2">
        <v>600.04999999999995</v>
      </c>
      <c r="D19">
        <f t="shared" si="1"/>
        <v>7461621.7499999991</v>
      </c>
      <c r="E19" s="3">
        <f t="shared" si="0"/>
        <v>0.12783504134717411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2266.75</v>
      </c>
      <c r="D20">
        <f t="shared" si="1"/>
        <v>8908327.5</v>
      </c>
      <c r="E20" s="3">
        <f t="shared" si="0"/>
        <v>0.15262049624757087</v>
      </c>
      <c r="F20"/>
      <c r="G20"/>
      <c r="H20"/>
      <c r="I20"/>
    </row>
    <row r="21" spans="1:9" s="2" customFormat="1" x14ac:dyDescent="0.3">
      <c r="A21" t="s">
        <v>16</v>
      </c>
      <c r="B21" s="4">
        <f>6932.14-496.76-518.245-2447.575+1559.683+1090.898-939.595-845.343+2113.889+1938.365-3314.616-1057.21+565.427-1288.599+99.644-1097.591</f>
        <v>2294.5120000000002</v>
      </c>
      <c r="C21" s="2">
        <v>1000</v>
      </c>
      <c r="D21">
        <f t="shared" si="1"/>
        <v>2294512</v>
      </c>
      <c r="E21" s="3">
        <f t="shared" si="0"/>
        <v>3.9310359894829457E-2</v>
      </c>
      <c r="F21"/>
      <c r="G21" t="s">
        <v>29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58369142.539999999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C4F1-6A57-43BA-83DA-71A1BA1A5125}">
  <sheetPr>
    <pageSetUpPr fitToPage="1"/>
  </sheetPr>
  <dimension ref="A1:J23"/>
  <sheetViews>
    <sheetView workbookViewId="0">
      <selection activeCell="G22" sqref="G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45692</v>
      </c>
      <c r="C1" s="2" t="s">
        <v>30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700.05</v>
      </c>
      <c r="D5">
        <f>C5*B5</f>
        <v>4725337.5</v>
      </c>
      <c r="E5" s="3">
        <f t="shared" ref="E5:E21" si="0">D5/$D$23</f>
        <v>8.7836560148943491E-2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1581.7</v>
      </c>
      <c r="D6">
        <f>C6*B6</f>
        <v>1417203.2</v>
      </c>
      <c r="E6" s="3">
        <f t="shared" si="0"/>
        <v>2.6343568923928754E-2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708.8</v>
      </c>
      <c r="D7">
        <f>C7*B7</f>
        <v>2550971.1999999997</v>
      </c>
      <c r="E7" s="3">
        <f t="shared" si="0"/>
        <v>4.7418525184078922E-2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430.45</v>
      </c>
      <c r="D8">
        <f t="shared" ref="D8:D21" si="1">C8*B8</f>
        <v>2902954.8</v>
      </c>
      <c r="E8" s="3">
        <f t="shared" si="0"/>
        <v>5.3961344327228315E-2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1994.9</v>
      </c>
      <c r="D9">
        <f t="shared" si="1"/>
        <v>1294690.1000000001</v>
      </c>
      <c r="E9" s="3">
        <f t="shared" si="0"/>
        <v>2.4066243912290217E-2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195.16</v>
      </c>
      <c r="D10">
        <f t="shared" si="1"/>
        <v>1800351</v>
      </c>
      <c r="E10" s="3">
        <f t="shared" si="0"/>
        <v>3.3465681319209593E-2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64.12</v>
      </c>
      <c r="D11">
        <f t="shared" si="1"/>
        <v>3391306.8000000003</v>
      </c>
      <c r="E11" s="3">
        <f t="shared" si="0"/>
        <v>6.3039036623674202E-2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2037.8</v>
      </c>
      <c r="D12">
        <f t="shared" si="1"/>
        <v>3794383.6</v>
      </c>
      <c r="E12" s="3">
        <f t="shared" si="0"/>
        <v>7.0531597649811206E-2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258.10000000000002</v>
      </c>
      <c r="D13">
        <f t="shared" si="1"/>
        <v>3861176.0000000005</v>
      </c>
      <c r="E13" s="3">
        <f t="shared" si="0"/>
        <v>7.1773162862897533E-2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142.81</v>
      </c>
      <c r="D14">
        <f t="shared" si="1"/>
        <v>3983399.33</v>
      </c>
      <c r="E14" s="3">
        <f t="shared" si="0"/>
        <v>7.404510150794652E-2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3092.6</v>
      </c>
      <c r="D15">
        <f t="shared" si="1"/>
        <v>1091687.8</v>
      </c>
      <c r="E15" s="3">
        <f t="shared" si="0"/>
        <v>2.0292751810546399E-2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901.6</v>
      </c>
      <c r="D16">
        <f t="shared" si="1"/>
        <v>2118760</v>
      </c>
      <c r="E16" s="3">
        <f t="shared" si="0"/>
        <v>3.9384401681610157E-2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3916.75</v>
      </c>
      <c r="D17">
        <f t="shared" si="1"/>
        <v>2984563.5</v>
      </c>
      <c r="E17" s="3">
        <f t="shared" si="0"/>
        <v>5.5478321154010968E-2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</f>
        <v>4249</v>
      </c>
      <c r="C18" s="2">
        <v>456.05</v>
      </c>
      <c r="D18">
        <f t="shared" si="1"/>
        <v>1937756.45</v>
      </c>
      <c r="E18" s="3">
        <f t="shared" si="0"/>
        <v>3.6019831593918576E-2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</f>
        <v>7205</v>
      </c>
      <c r="C19" s="2">
        <v>584.95000000000005</v>
      </c>
      <c r="D19">
        <f t="shared" si="1"/>
        <v>4214564.75</v>
      </c>
      <c r="E19" s="3">
        <f t="shared" si="0"/>
        <v>7.8342101525021648E-2</v>
      </c>
      <c r="F19"/>
      <c r="G19" t="s">
        <v>31</v>
      </c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1646.15</v>
      </c>
      <c r="D20">
        <f t="shared" si="1"/>
        <v>6469369.5</v>
      </c>
      <c r="E20" s="3">
        <f t="shared" si="0"/>
        <v>0.1202553602176544</v>
      </c>
      <c r="F20"/>
      <c r="G20"/>
      <c r="H20"/>
      <c r="I20"/>
    </row>
    <row r="21" spans="1:9" s="2" customFormat="1" x14ac:dyDescent="0.3">
      <c r="A21" t="s">
        <v>16</v>
      </c>
      <c r="B21" s="4">
        <f>6932.14-496.76-518.245-2447.575+1559.683+1090.898-939.595-845.343+2113.889+1938.365-3314.616-1057.21+565.427-1288.599+99.644-1097.591+2963.945</f>
        <v>5258.4570000000003</v>
      </c>
      <c r="C21" s="2">
        <v>1000</v>
      </c>
      <c r="D21">
        <f t="shared" si="1"/>
        <v>5258457</v>
      </c>
      <c r="E21" s="3">
        <f t="shared" si="0"/>
        <v>9.7746409557229075E-2</v>
      </c>
      <c r="F21"/>
      <c r="G21" t="s">
        <v>32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53796932.530000001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EA6E-07C8-4D57-B234-92798D30DB29}">
  <sheetPr>
    <pageSetUpPr fitToPage="1"/>
  </sheetPr>
  <dimension ref="A1:J23"/>
  <sheetViews>
    <sheetView workbookViewId="0">
      <selection activeCell="B21" sqref="B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45694</v>
      </c>
      <c r="C1" s="2" t="s">
        <v>33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703.7</v>
      </c>
      <c r="D5">
        <f>C5*B5</f>
        <v>4749975</v>
      </c>
      <c r="E5" s="3">
        <f t="shared" ref="E5:E21" si="0">D5/$D$23</f>
        <v>8.791283959980499E-2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1552.95</v>
      </c>
      <c r="D6">
        <f>C6*B6</f>
        <v>1391443.2</v>
      </c>
      <c r="E6" s="3">
        <f t="shared" si="0"/>
        <v>2.5752919300383554E-2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732.9</v>
      </c>
      <c r="D7">
        <f>C7*B7</f>
        <v>2637707.1</v>
      </c>
      <c r="E7" s="3">
        <f t="shared" si="0"/>
        <v>4.8818850876808151E-2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430.2</v>
      </c>
      <c r="D8">
        <f t="shared" ref="D8:D21" si="1">C8*B8</f>
        <v>2901268.8</v>
      </c>
      <c r="E8" s="3">
        <f t="shared" si="0"/>
        <v>5.3696867594107064E-2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1966.75</v>
      </c>
      <c r="D9">
        <f t="shared" si="1"/>
        <v>1276420.75</v>
      </c>
      <c r="E9" s="3">
        <f t="shared" si="0"/>
        <v>2.3624076475478879E-2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1280+1280+1280+910+1300+1300+2940+1300-2365+1475</f>
        <v>10700</v>
      </c>
      <c r="C10" s="2">
        <v>214.58</v>
      </c>
      <c r="D10">
        <f t="shared" si="1"/>
        <v>2296006</v>
      </c>
      <c r="E10" s="3">
        <f t="shared" si="0"/>
        <v>4.2494625171330347E-2</v>
      </c>
      <c r="F10"/>
      <c r="G10" t="s">
        <v>35</v>
      </c>
      <c r="H10"/>
      <c r="I10"/>
    </row>
    <row r="11" spans="1:9" s="2" customFormat="1" x14ac:dyDescent="0.3">
      <c r="A11" t="s">
        <v>22</v>
      </c>
      <c r="B11" s="4">
        <v>52890</v>
      </c>
      <c r="C11" s="2">
        <v>62.68</v>
      </c>
      <c r="D11">
        <f t="shared" si="1"/>
        <v>3315145.2</v>
      </c>
      <c r="E11" s="3">
        <f t="shared" si="0"/>
        <v>6.1356918345394126E-2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2038.75</v>
      </c>
      <c r="D12">
        <f t="shared" si="1"/>
        <v>3796152.5</v>
      </c>
      <c r="E12" s="3">
        <f t="shared" si="0"/>
        <v>7.0259432066252708E-2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255.15</v>
      </c>
      <c r="D13">
        <f t="shared" si="1"/>
        <v>3817044</v>
      </c>
      <c r="E13" s="3">
        <f t="shared" si="0"/>
        <v>7.0646093277837899E-2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144.33000000000001</v>
      </c>
      <c r="D14">
        <f t="shared" si="1"/>
        <v>4025796.6900000004</v>
      </c>
      <c r="E14" s="3">
        <f t="shared" si="0"/>
        <v>7.4509701349879928E-2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2966.15</v>
      </c>
      <c r="D15">
        <f t="shared" si="1"/>
        <v>1047050.9500000001</v>
      </c>
      <c r="E15" s="3">
        <f t="shared" si="0"/>
        <v>1.9378885619434513E-2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900.55</v>
      </c>
      <c r="D16">
        <f t="shared" si="1"/>
        <v>2116292.5</v>
      </c>
      <c r="E16" s="3">
        <f t="shared" si="0"/>
        <v>3.9168476275932042E-2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3811.7</v>
      </c>
      <c r="D17">
        <f t="shared" si="1"/>
        <v>2904515.4</v>
      </c>
      <c r="E17" s="3">
        <f t="shared" si="0"/>
        <v>5.3756955873528481E-2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519.95000000000005</v>
      </c>
      <c r="D18">
        <f t="shared" si="1"/>
        <v>2820208.8000000003</v>
      </c>
      <c r="E18" s="3">
        <f t="shared" si="0"/>
        <v>5.2196603955254196E-2</v>
      </c>
      <c r="F18"/>
      <c r="G18" t="s">
        <v>34</v>
      </c>
      <c r="H18"/>
      <c r="I18"/>
    </row>
    <row r="19" spans="1:9" s="2" customFormat="1" x14ac:dyDescent="0.3">
      <c r="A19" t="s">
        <v>18</v>
      </c>
      <c r="B19" s="4">
        <f>7985+1084+1117+2249-5230</f>
        <v>7205</v>
      </c>
      <c r="C19" s="2">
        <v>579.85</v>
      </c>
      <c r="D19">
        <f t="shared" si="1"/>
        <v>4177819.25</v>
      </c>
      <c r="E19" s="3">
        <f t="shared" si="0"/>
        <v>7.7323344565440363E-2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1640.85</v>
      </c>
      <c r="D20">
        <f t="shared" si="1"/>
        <v>6448540.5</v>
      </c>
      <c r="E20" s="3">
        <f t="shared" si="0"/>
        <v>0.11934999797458856</v>
      </c>
      <c r="F20"/>
      <c r="G20"/>
      <c r="H20"/>
      <c r="I20"/>
    </row>
    <row r="21" spans="1:9" s="2" customFormat="1" x14ac:dyDescent="0.3">
      <c r="A21" t="s">
        <v>16</v>
      </c>
      <c r="B21" s="4">
        <f>6932.14-496.76-518.245-2447.575+1559.683+1090.898-939.595-845.343+2113.889+1938.365-3314.616-1057.21+565.427-1288.599+99.644-1097.591+2963.945-949.34</f>
        <v>4309.1170000000002</v>
      </c>
      <c r="C21" s="2">
        <v>1000</v>
      </c>
      <c r="D21">
        <f t="shared" si="1"/>
        <v>4309117</v>
      </c>
      <c r="E21" s="3">
        <f t="shared" si="0"/>
        <v>7.9753411678544175E-2</v>
      </c>
      <c r="F21"/>
      <c r="G21" t="s">
        <v>36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54030503.640000001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F5E1-18A6-4DDC-8889-D0C60DBEF44A}">
  <sheetPr>
    <pageSetUpPr fitToPage="1"/>
  </sheetPr>
  <dimension ref="A1:J23"/>
  <sheetViews>
    <sheetView workbookViewId="0">
      <selection activeCell="C22" sqref="C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45708</v>
      </c>
      <c r="C1" s="2" t="s">
        <v>33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703.7</v>
      </c>
      <c r="D5">
        <f>C5*B5</f>
        <v>4749975</v>
      </c>
      <c r="E5" s="3">
        <f t="shared" ref="E5:E21" si="0">D5/$D$23</f>
        <v>8.7912755804418707E-2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1552.95</v>
      </c>
      <c r="D6">
        <f>C6*B6</f>
        <v>1391443.2</v>
      </c>
      <c r="E6" s="3">
        <f t="shared" si="0"/>
        <v>2.5752894753618479E-2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732.9</v>
      </c>
      <c r="D7">
        <f>C7*B7</f>
        <v>2637707.1</v>
      </c>
      <c r="E7" s="3">
        <f t="shared" si="0"/>
        <v>4.8818804344418959E-2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430.2</v>
      </c>
      <c r="D8">
        <f t="shared" ref="D8:D21" si="1">C8*B8</f>
        <v>2901268.8</v>
      </c>
      <c r="E8" s="3">
        <f t="shared" si="0"/>
        <v>5.3696816412166143E-2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1966.75</v>
      </c>
      <c r="D9">
        <f t="shared" si="1"/>
        <v>1276420.75</v>
      </c>
      <c r="E9" s="3">
        <f t="shared" si="0"/>
        <v>2.3624053957850933E-2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1280+1280+1280+910+1300+1300+2940+1300-2365+1475</f>
        <v>10700</v>
      </c>
      <c r="C10" s="2">
        <v>214.58</v>
      </c>
      <c r="D10">
        <f t="shared" si="1"/>
        <v>2296006</v>
      </c>
      <c r="E10" s="3">
        <f t="shared" si="0"/>
        <v>4.2494584666967761E-2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62.68</v>
      </c>
      <c r="D11">
        <f t="shared" si="1"/>
        <v>3315145.2</v>
      </c>
      <c r="E11" s="3">
        <f t="shared" si="0"/>
        <v>6.1356859862165762E-2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2038.75</v>
      </c>
      <c r="D12">
        <f t="shared" si="1"/>
        <v>3796152.5</v>
      </c>
      <c r="E12" s="3">
        <f t="shared" si="0"/>
        <v>7.0259365097465484E-2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255.15</v>
      </c>
      <c r="D13">
        <f t="shared" si="1"/>
        <v>3817044</v>
      </c>
      <c r="E13" s="3">
        <f t="shared" si="0"/>
        <v>7.0646025940498972E-2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144.33000000000001</v>
      </c>
      <c r="D14">
        <f t="shared" si="1"/>
        <v>4025796.6900000004</v>
      </c>
      <c r="E14" s="3">
        <f t="shared" si="0"/>
        <v>7.4509630329887458E-2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2966.15</v>
      </c>
      <c r="D15">
        <f t="shared" si="1"/>
        <v>1047050.9500000001</v>
      </c>
      <c r="E15" s="3">
        <f t="shared" si="0"/>
        <v>1.9378867148171226E-2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900.55</v>
      </c>
      <c r="D16">
        <f t="shared" si="1"/>
        <v>2116292.5</v>
      </c>
      <c r="E16" s="3">
        <f t="shared" si="0"/>
        <v>3.9168438941936071E-2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3811.7</v>
      </c>
      <c r="D17">
        <f t="shared" si="1"/>
        <v>2904515.4</v>
      </c>
      <c r="E17" s="3">
        <f t="shared" si="0"/>
        <v>5.3756904634313554E-2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519.95000000000005</v>
      </c>
      <c r="D18">
        <f t="shared" si="1"/>
        <v>2820208.8000000003</v>
      </c>
      <c r="E18" s="3">
        <f t="shared" si="0"/>
        <v>5.2196554203311117E-2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</f>
        <v>7205</v>
      </c>
      <c r="C19" s="2">
        <v>579.85</v>
      </c>
      <c r="D19">
        <f t="shared" si="1"/>
        <v>4177819.25</v>
      </c>
      <c r="E19" s="3">
        <f t="shared" si="0"/>
        <v>7.7323270863583426E-2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1640.85</v>
      </c>
      <c r="D20">
        <f t="shared" si="1"/>
        <v>6448540.5</v>
      </c>
      <c r="E20" s="3">
        <f t="shared" si="0"/>
        <v>0.11934988421442305</v>
      </c>
      <c r="F20"/>
      <c r="G20"/>
      <c r="H20"/>
      <c r="I20"/>
    </row>
    <row r="21" spans="1:9" s="2" customFormat="1" x14ac:dyDescent="0.3">
      <c r="A21" t="s">
        <v>38</v>
      </c>
      <c r="B21" s="4">
        <v>40235</v>
      </c>
      <c r="C21" s="2">
        <v>107.1</v>
      </c>
      <c r="D21">
        <f t="shared" si="1"/>
        <v>4309168.5</v>
      </c>
      <c r="E21" s="3">
        <f t="shared" si="0"/>
        <v>7.9754288824802913E-2</v>
      </c>
      <c r="F21"/>
      <c r="G21" t="s">
        <v>37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54030555.140000001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3AFE-6021-41EF-B3FE-9A06C61E07FE}">
  <sheetPr>
    <pageSetUpPr fitToPage="1"/>
  </sheetPr>
  <dimension ref="A1:J23"/>
  <sheetViews>
    <sheetView tabSelected="1" workbookViewId="0">
      <selection activeCell="G22" sqref="G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45740</v>
      </c>
      <c r="C1" s="2" t="s">
        <v>39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717.15</v>
      </c>
      <c r="D5">
        <f>C5*B5</f>
        <v>4840762.5</v>
      </c>
      <c r="E5" s="3">
        <f t="shared" ref="E5:E21" si="0">D5/$D$23</f>
        <v>9.0008321204344752E-2</v>
      </c>
      <c r="F5"/>
      <c r="G5"/>
      <c r="H5"/>
      <c r="I5"/>
    </row>
    <row r="6" spans="1:9" s="2" customFormat="1" x14ac:dyDescent="0.3">
      <c r="A6" t="s">
        <v>21</v>
      </c>
      <c r="B6" s="4">
        <f>448*2</f>
        <v>896</v>
      </c>
      <c r="C6" s="2">
        <v>1509.15</v>
      </c>
      <c r="D6">
        <f>C6*B6</f>
        <v>1352198.4000000001</v>
      </c>
      <c r="E6" s="3">
        <f t="shared" si="0"/>
        <v>2.5142548910259709E-2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792.35</v>
      </c>
      <c r="D7">
        <f>C7*B7</f>
        <v>2851667.65</v>
      </c>
      <c r="E7" s="3">
        <f t="shared" si="0"/>
        <v>5.3023427158270825E-2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407.4</v>
      </c>
      <c r="D8">
        <f t="shared" ref="D8:D21" si="1">C8*B8</f>
        <v>2747505.5999999996</v>
      </c>
      <c r="E8" s="3">
        <f t="shared" si="0"/>
        <v>5.1086655574516603E-2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1856.2</v>
      </c>
      <c r="D9">
        <f t="shared" si="1"/>
        <v>1204673.8</v>
      </c>
      <c r="E9" s="3">
        <f t="shared" si="0"/>
        <v>2.2399501387820323E-2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1280+1280+1280+910+1300+1300+2940+1300-2365+1475-2568</f>
        <v>8132</v>
      </c>
      <c r="C10" s="2">
        <v>181.33</v>
      </c>
      <c r="D10">
        <f t="shared" si="1"/>
        <v>1474575.56</v>
      </c>
      <c r="E10" s="3">
        <f t="shared" si="0"/>
        <v>2.7418009176148703E-2</v>
      </c>
      <c r="F10"/>
      <c r="G10" t="s">
        <v>99</v>
      </c>
      <c r="H10"/>
      <c r="I10"/>
    </row>
    <row r="11" spans="1:9" s="2" customFormat="1" x14ac:dyDescent="0.3">
      <c r="A11" t="s">
        <v>22</v>
      </c>
      <c r="B11" s="4">
        <v>52890</v>
      </c>
      <c r="C11" s="2">
        <v>51.74</v>
      </c>
      <c r="D11">
        <f t="shared" si="1"/>
        <v>2736528.6</v>
      </c>
      <c r="E11" s="3">
        <f t="shared" si="0"/>
        <v>5.0882551088527038E-2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2526.5</v>
      </c>
      <c r="D12">
        <f t="shared" si="1"/>
        <v>4704343</v>
      </c>
      <c r="E12" s="3">
        <f t="shared" si="0"/>
        <v>8.7471760037682242E-2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259.64</v>
      </c>
      <c r="D13">
        <f t="shared" si="1"/>
        <v>3884214.4</v>
      </c>
      <c r="E13" s="3">
        <f t="shared" si="0"/>
        <v>7.2222427219212099E-2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142.35</v>
      </c>
      <c r="D14">
        <f t="shared" si="1"/>
        <v>3970568.55</v>
      </c>
      <c r="E14" s="3">
        <f t="shared" si="0"/>
        <v>7.3828081714868141E-2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2854.7</v>
      </c>
      <c r="D15">
        <f t="shared" si="1"/>
        <v>1007709.1</v>
      </c>
      <c r="E15" s="3">
        <f t="shared" si="0"/>
        <v>1.8737172987383942E-2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820.9</v>
      </c>
      <c r="D16">
        <f t="shared" si="1"/>
        <v>1929115</v>
      </c>
      <c r="E16" s="3">
        <f t="shared" si="0"/>
        <v>3.5869638834815698E-2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5153.1000000000004</v>
      </c>
      <c r="D17">
        <f t="shared" si="1"/>
        <v>3926662.2</v>
      </c>
      <c r="E17" s="3">
        <f t="shared" si="0"/>
        <v>7.3011694450731482E-2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485.55</v>
      </c>
      <c r="D18">
        <f t="shared" si="1"/>
        <v>2633623.2000000002</v>
      </c>
      <c r="E18" s="3">
        <f t="shared" si="0"/>
        <v>4.8969145442854155E-2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519.20000000000005</v>
      </c>
      <c r="D19">
        <f t="shared" si="1"/>
        <v>3530560.0000000005</v>
      </c>
      <c r="E19" s="3">
        <f t="shared" si="0"/>
        <v>6.5646636973247796E-2</v>
      </c>
      <c r="F19"/>
      <c r="G19" t="s">
        <v>40</v>
      </c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1522.1</v>
      </c>
      <c r="D20">
        <f t="shared" si="1"/>
        <v>5981853</v>
      </c>
      <c r="E20" s="3">
        <f t="shared" si="0"/>
        <v>0.11122556543957141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</f>
        <v>46482</v>
      </c>
      <c r="C21" s="2">
        <v>107.67</v>
      </c>
      <c r="D21">
        <f t="shared" si="1"/>
        <v>5004716.9400000004</v>
      </c>
      <c r="E21" s="3">
        <f t="shared" si="0"/>
        <v>9.3056862399744963E-2</v>
      </c>
      <c r="F21"/>
      <c r="G21" t="s">
        <v>100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53781277.500000007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3BE9-DCA6-4507-8E89-40B8ADD20EEC}">
  <sheetPr>
    <pageSetUpPr fitToPage="1"/>
  </sheetPr>
  <dimension ref="A1:J23"/>
  <sheetViews>
    <sheetView workbookViewId="0">
      <selection activeCell="B6" sqref="B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45740</v>
      </c>
      <c r="C1" s="2" t="s">
        <v>39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660.8</v>
      </c>
      <c r="D5">
        <f>C5*B5</f>
        <v>4460400</v>
      </c>
      <c r="E5" s="3">
        <f t="shared" ref="E5:E21" si="0">D5/$D$23</f>
        <v>8.7841606955782581E-2</v>
      </c>
      <c r="F5"/>
      <c r="G5"/>
      <c r="H5"/>
      <c r="I5"/>
    </row>
    <row r="6" spans="1:9" s="2" customFormat="1" x14ac:dyDescent="0.3">
      <c r="A6" t="s">
        <v>21</v>
      </c>
      <c r="B6" s="4">
        <f>448*2+37</f>
        <v>933</v>
      </c>
      <c r="C6" s="2">
        <v>1418.35</v>
      </c>
      <c r="D6">
        <f>C6*B6</f>
        <v>1323320.5499999998</v>
      </c>
      <c r="E6" s="3">
        <f t="shared" si="0"/>
        <v>2.6061026730699044E-2</v>
      </c>
      <c r="F6"/>
      <c r="G6" t="s">
        <v>41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773</v>
      </c>
      <c r="D7">
        <f>C7*B7</f>
        <v>2782027</v>
      </c>
      <c r="E7" s="3">
        <f t="shared" si="0"/>
        <v>5.4788297523624553E-2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389.8</v>
      </c>
      <c r="D8">
        <f t="shared" ref="D8:D21" si="1">C8*B8</f>
        <v>2628811.2000000002</v>
      </c>
      <c r="E8" s="3">
        <f t="shared" si="0"/>
        <v>5.1770917449412424E-2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1850.15</v>
      </c>
      <c r="D9">
        <f t="shared" si="1"/>
        <v>1200747.3500000001</v>
      </c>
      <c r="E9" s="3">
        <f t="shared" si="0"/>
        <v>2.3647111642879005E-2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1280+1280+1280+910+1300+1300+2940+1300-2365+1475-2568</f>
        <v>8132</v>
      </c>
      <c r="C10" s="2">
        <v>162.38</v>
      </c>
      <c r="D10">
        <f t="shared" si="1"/>
        <v>1320474.1599999999</v>
      </c>
      <c r="E10" s="3">
        <f t="shared" si="0"/>
        <v>2.6004970890051823E-2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47.77</v>
      </c>
      <c r="D11">
        <f t="shared" si="1"/>
        <v>2526555.3000000003</v>
      </c>
      <c r="E11" s="3">
        <f t="shared" si="0"/>
        <v>4.9757124386747682E-2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2476.3000000000002</v>
      </c>
      <c r="D12">
        <f t="shared" si="1"/>
        <v>4610870.6000000006</v>
      </c>
      <c r="E12" s="3">
        <f t="shared" si="0"/>
        <v>9.0804923990936565E-2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240.73</v>
      </c>
      <c r="D13">
        <f t="shared" si="1"/>
        <v>3601320.8</v>
      </c>
      <c r="E13" s="3">
        <f t="shared" si="0"/>
        <v>7.0923192143145117E-2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131.69999999999999</v>
      </c>
      <c r="D14">
        <f t="shared" si="1"/>
        <v>3673508.0999999996</v>
      </c>
      <c r="E14" s="3">
        <f t="shared" si="0"/>
        <v>7.2344824381015971E-2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</f>
        <v>353</v>
      </c>
      <c r="C15" s="2">
        <v>2578.9499999999998</v>
      </c>
      <c r="D15">
        <f t="shared" si="1"/>
        <v>910369.35</v>
      </c>
      <c r="E15" s="3">
        <f t="shared" si="0"/>
        <v>1.7928505655836084E-2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748.7</v>
      </c>
      <c r="D16">
        <f t="shared" si="1"/>
        <v>1759445</v>
      </c>
      <c r="E16" s="3">
        <f t="shared" si="0"/>
        <v>3.4649913942766765E-2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5077.3</v>
      </c>
      <c r="D17">
        <f t="shared" si="1"/>
        <v>3868902.6</v>
      </c>
      <c r="E17" s="3">
        <f t="shared" si="0"/>
        <v>7.6192857487984336E-2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475.25</v>
      </c>
      <c r="D18">
        <f t="shared" si="1"/>
        <v>2577756</v>
      </c>
      <c r="E18" s="3">
        <f t="shared" si="0"/>
        <v>5.0765453631941147E-2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463.95</v>
      </c>
      <c r="D19">
        <f t="shared" si="1"/>
        <v>3154860</v>
      </c>
      <c r="E19" s="3">
        <f t="shared" si="0"/>
        <v>6.213074435488302E-2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1377.2</v>
      </c>
      <c r="D20">
        <f t="shared" si="1"/>
        <v>5412396</v>
      </c>
      <c r="E20" s="3">
        <f t="shared" si="0"/>
        <v>0.10658989375864268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</f>
        <v>46007</v>
      </c>
      <c r="C21" s="2">
        <v>107.94</v>
      </c>
      <c r="D21">
        <f t="shared" si="1"/>
        <v>4965995.58</v>
      </c>
      <c r="E21" s="3">
        <f t="shared" si="0"/>
        <v>9.7798635073651149E-2</v>
      </c>
      <c r="F21"/>
      <c r="G21" t="s">
        <v>42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50777759.590000004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B0C0-2109-4223-AB6A-6C9820757CC1}">
  <sheetPr>
    <pageSetUpPr fitToPage="1"/>
  </sheetPr>
  <dimension ref="A1:J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45776</v>
      </c>
      <c r="C1" s="2" t="s">
        <v>43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814.1</v>
      </c>
      <c r="D5">
        <f>C5*B5</f>
        <v>5495175</v>
      </c>
      <c r="E5" s="3">
        <f t="shared" ref="E5:E21" si="0">D5/$D$23</f>
        <v>9.7734634436423037E-2</v>
      </c>
      <c r="F5"/>
      <c r="G5"/>
      <c r="H5"/>
      <c r="I5"/>
    </row>
    <row r="6" spans="1:9" s="2" customFormat="1" x14ac:dyDescent="0.3">
      <c r="A6" t="s">
        <v>21</v>
      </c>
      <c r="B6" s="4">
        <f>448*2+37</f>
        <v>933</v>
      </c>
      <c r="C6" s="2">
        <v>1469.5</v>
      </c>
      <c r="D6">
        <f>C6*B6</f>
        <v>1371043.5</v>
      </c>
      <c r="E6" s="3">
        <f t="shared" si="0"/>
        <v>2.4384743937897149E-2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827.45</v>
      </c>
      <c r="D7">
        <f>C7*B7</f>
        <v>2977992.5500000003</v>
      </c>
      <c r="E7" s="3">
        <f t="shared" si="0"/>
        <v>5.2965194598650865E-2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406.55</v>
      </c>
      <c r="D8">
        <f t="shared" ref="D8:D21" si="1">C8*B8</f>
        <v>2741773.2</v>
      </c>
      <c r="E8" s="3">
        <f t="shared" si="0"/>
        <v>4.8763906774503415E-2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1883.3</v>
      </c>
      <c r="D9">
        <f t="shared" si="1"/>
        <v>1222261.7</v>
      </c>
      <c r="E9" s="3">
        <f t="shared" si="0"/>
        <v>2.1738579833242972E-2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1280+1280+1280+910+1300+1300+2940+1300-2365+1475-2568</f>
        <v>8132</v>
      </c>
      <c r="C10" s="2">
        <v>190.92</v>
      </c>
      <c r="D10">
        <f t="shared" si="1"/>
        <v>1552561.44</v>
      </c>
      <c r="E10" s="3">
        <f t="shared" si="0"/>
        <v>2.7613137848837666E-2</v>
      </c>
      <c r="F10"/>
      <c r="G10"/>
      <c r="H10"/>
      <c r="I10"/>
    </row>
    <row r="11" spans="1:9" s="2" customFormat="1" x14ac:dyDescent="0.3">
      <c r="A11" t="s">
        <v>22</v>
      </c>
      <c r="B11" s="4">
        <v>52890</v>
      </c>
      <c r="C11" s="2">
        <v>62.05</v>
      </c>
      <c r="D11">
        <f t="shared" si="1"/>
        <v>3281824.5</v>
      </c>
      <c r="E11" s="3">
        <f t="shared" si="0"/>
        <v>5.8369008774424254E-2</v>
      </c>
      <c r="F11"/>
      <c r="G11"/>
      <c r="H11"/>
      <c r="I11"/>
    </row>
    <row r="12" spans="1:9" s="2" customFormat="1" x14ac:dyDescent="0.3">
      <c r="A12" t="s">
        <v>10</v>
      </c>
      <c r="B12" s="4">
        <f>(410+205+135+181)*2</f>
        <v>1862</v>
      </c>
      <c r="C12" s="2">
        <v>2736.6</v>
      </c>
      <c r="D12">
        <f t="shared" si="1"/>
        <v>5095549.2</v>
      </c>
      <c r="E12" s="3">
        <f t="shared" si="0"/>
        <v>9.0627075264174087E-2</v>
      </c>
      <c r="F12"/>
      <c r="G12"/>
      <c r="H12"/>
      <c r="I12"/>
    </row>
    <row r="13" spans="1:9" s="2" customFormat="1" x14ac:dyDescent="0.3">
      <c r="A13" t="s">
        <v>11</v>
      </c>
      <c r="B13" s="4">
        <f>(1875+937+309+619)*2*2</f>
        <v>14960</v>
      </c>
      <c r="C13" s="2">
        <v>265.85000000000002</v>
      </c>
      <c r="D13">
        <f t="shared" si="1"/>
        <v>3977116.0000000005</v>
      </c>
      <c r="E13" s="3">
        <f t="shared" si="0"/>
        <v>7.0735140986638106E-2</v>
      </c>
      <c r="F13"/>
      <c r="G13"/>
      <c r="H13"/>
      <c r="I13"/>
    </row>
    <row r="14" spans="1:9" s="2" customFormat="1" x14ac:dyDescent="0.3">
      <c r="A14" t="s">
        <v>20</v>
      </c>
      <c r="B14" s="4">
        <f>13763+6317+2811+3464+1538</f>
        <v>27893</v>
      </c>
      <c r="C14" s="2">
        <v>138.79</v>
      </c>
      <c r="D14">
        <f t="shared" si="1"/>
        <v>3871269.4699999997</v>
      </c>
      <c r="E14" s="3">
        <f t="shared" si="0"/>
        <v>6.8852603685111965E-2</v>
      </c>
      <c r="F14"/>
      <c r="G14"/>
      <c r="H14"/>
      <c r="I14"/>
    </row>
    <row r="15" spans="1:9" s="2" customFormat="1" x14ac:dyDescent="0.3">
      <c r="A15" t="s">
        <v>12</v>
      </c>
      <c r="B15" s="4">
        <f>480+154+159+192-246-74-85-96-131-353</f>
        <v>0</v>
      </c>
      <c r="C15" s="2">
        <v>2642.3</v>
      </c>
      <c r="D15">
        <f t="shared" si="1"/>
        <v>0</v>
      </c>
      <c r="E15" s="3">
        <f t="shared" si="0"/>
        <v>0</v>
      </c>
      <c r="F15"/>
      <c r="G15" t="s">
        <v>44</v>
      </c>
      <c r="H15"/>
      <c r="I15"/>
    </row>
    <row r="16" spans="1:9" s="2" customFormat="1" x14ac:dyDescent="0.3">
      <c r="A16" t="s">
        <v>13</v>
      </c>
      <c r="B16" s="4">
        <f>10500+5250-3258-1143-1205-2468-1535-850-1323-920-438-260</f>
        <v>2350</v>
      </c>
      <c r="C16" s="2">
        <v>776.65</v>
      </c>
      <c r="D16">
        <f t="shared" si="1"/>
        <v>1825127.5</v>
      </c>
      <c r="E16" s="3">
        <f t="shared" si="0"/>
        <v>3.2460871403069545E-2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6821</v>
      </c>
      <c r="D17">
        <f t="shared" si="1"/>
        <v>5197602</v>
      </c>
      <c r="E17" s="3">
        <f t="shared" si="0"/>
        <v>9.2442139043073468E-2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476.3</v>
      </c>
      <c r="D18">
        <f t="shared" si="1"/>
        <v>2583451.2000000002</v>
      </c>
      <c r="E18" s="3">
        <f t="shared" si="0"/>
        <v>4.5948065096441594E-2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493.25</v>
      </c>
      <c r="D19">
        <f t="shared" si="1"/>
        <v>3354100</v>
      </c>
      <c r="E19" s="3">
        <f t="shared" si="0"/>
        <v>5.9654467303262675E-2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1455.6</v>
      </c>
      <c r="D20">
        <f t="shared" si="1"/>
        <v>5720508</v>
      </c>
      <c r="E20" s="3">
        <f t="shared" si="0"/>
        <v>0.10174230268747282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</f>
        <v>55025</v>
      </c>
      <c r="C21" s="2">
        <v>108.28</v>
      </c>
      <c r="D21">
        <f t="shared" si="1"/>
        <v>5958107</v>
      </c>
      <c r="E21" s="3">
        <f t="shared" si="0"/>
        <v>0.10596812832677632</v>
      </c>
      <c r="F21"/>
      <c r="G21" t="s">
        <v>45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56225462.260000005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A246-4637-42DB-89EB-32BE7B74E869}">
  <sheetPr>
    <pageSetUpPr fitToPage="1"/>
  </sheetPr>
  <dimension ref="A1:J23"/>
  <sheetViews>
    <sheetView workbookViewId="0">
      <selection activeCell="B9" sqref="B9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45782</v>
      </c>
      <c r="C1" s="2" t="s">
        <v>46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830.1</v>
      </c>
      <c r="D5">
        <f>C5*B5</f>
        <v>5603175</v>
      </c>
      <c r="E5" s="3">
        <f t="shared" ref="E5:E21" si="0">D5/$D$23</f>
        <v>0.10248728658258237</v>
      </c>
      <c r="F5"/>
      <c r="G5"/>
      <c r="H5"/>
      <c r="I5"/>
    </row>
    <row r="6" spans="1:9" s="2" customFormat="1" x14ac:dyDescent="0.3">
      <c r="A6" t="s">
        <v>21</v>
      </c>
      <c r="B6" s="4">
        <f>448*2+37</f>
        <v>933</v>
      </c>
      <c r="C6" s="2">
        <v>1399.9</v>
      </c>
      <c r="D6">
        <f>C6*B6</f>
        <v>1306106.7000000002</v>
      </c>
      <c r="E6" s="3">
        <f t="shared" si="0"/>
        <v>2.3889907359725682E-2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878.25</v>
      </c>
      <c r="D7">
        <f>C7*B7</f>
        <v>3160821.75</v>
      </c>
      <c r="E7" s="3">
        <f t="shared" si="0"/>
        <v>5.7814372124502536E-2</v>
      </c>
      <c r="F7"/>
      <c r="G7"/>
      <c r="H7"/>
      <c r="I7"/>
    </row>
    <row r="8" spans="1:9" s="2" customFormat="1" x14ac:dyDescent="0.3">
      <c r="A8" t="s">
        <v>47</v>
      </c>
      <c r="B8" s="4">
        <v>724</v>
      </c>
      <c r="C8" s="2">
        <v>2521.4</v>
      </c>
      <c r="D8">
        <f>C8*B8</f>
        <v>1825493.6</v>
      </c>
      <c r="E8" s="3">
        <f t="shared" si="0"/>
        <v>3.338997724287926E-2</v>
      </c>
      <c r="F8"/>
      <c r="G8" t="s">
        <v>49</v>
      </c>
      <c r="H8"/>
      <c r="I8"/>
    </row>
    <row r="9" spans="1:9" s="2" customFormat="1" x14ac:dyDescent="0.3">
      <c r="A9" t="s">
        <v>7</v>
      </c>
      <c r="B9" s="4">
        <f>((840+420)*2+290+562)+3372</f>
        <v>6744</v>
      </c>
      <c r="C9" s="2">
        <v>390.65</v>
      </c>
      <c r="D9">
        <f t="shared" ref="D9:D21" si="1">C9*B9</f>
        <v>2634543.5999999996</v>
      </c>
      <c r="E9" s="3">
        <f t="shared" si="0"/>
        <v>4.8188254863984828E-2</v>
      </c>
      <c r="F9"/>
      <c r="G9"/>
      <c r="H9"/>
      <c r="I9"/>
    </row>
    <row r="10" spans="1:9" s="2" customFormat="1" x14ac:dyDescent="0.3">
      <c r="A10" t="s">
        <v>8</v>
      </c>
      <c r="B10" s="4">
        <f>130+126+33+57+173+130</f>
        <v>649</v>
      </c>
      <c r="C10" s="2">
        <v>2067.8000000000002</v>
      </c>
      <c r="D10">
        <f t="shared" si="1"/>
        <v>1342002.2000000002</v>
      </c>
      <c r="E10" s="3">
        <f t="shared" si="0"/>
        <v>2.4546469468802248E-2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181.14</v>
      </c>
      <c r="D11">
        <f t="shared" si="1"/>
        <v>1473030.48</v>
      </c>
      <c r="E11" s="3">
        <f t="shared" si="0"/>
        <v>2.6943098680415809E-2</v>
      </c>
      <c r="F11"/>
      <c r="G11"/>
      <c r="H11"/>
      <c r="I11"/>
    </row>
    <row r="12" spans="1:9" s="2" customFormat="1" x14ac:dyDescent="0.3">
      <c r="A12" t="s">
        <v>22</v>
      </c>
      <c r="B12" s="4">
        <v>52890</v>
      </c>
      <c r="C12" s="2">
        <v>59.26</v>
      </c>
      <c r="D12">
        <f t="shared" si="1"/>
        <v>3134261.4</v>
      </c>
      <c r="E12" s="3">
        <f t="shared" si="0"/>
        <v>5.7328558598745499E-2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2599.1</v>
      </c>
      <c r="D13">
        <f t="shared" si="1"/>
        <v>4839524.2</v>
      </c>
      <c r="E13" s="3">
        <f t="shared" si="0"/>
        <v>8.8519402590271176E-2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262.8</v>
      </c>
      <c r="D14">
        <f t="shared" si="1"/>
        <v>3931488</v>
      </c>
      <c r="E14" s="3">
        <f t="shared" si="0"/>
        <v>7.1910575227792026E-2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134.88</v>
      </c>
      <c r="D15">
        <f t="shared" si="1"/>
        <v>3762207.84</v>
      </c>
      <c r="E15" s="3">
        <f t="shared" si="0"/>
        <v>6.8814283523416314E-2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</f>
        <v>1566</v>
      </c>
      <c r="C16" s="2">
        <v>741.25</v>
      </c>
      <c r="D16">
        <f t="shared" si="1"/>
        <v>1160797.5</v>
      </c>
      <c r="E16" s="3">
        <f t="shared" si="0"/>
        <v>2.1232066827619189E-2</v>
      </c>
      <c r="F16"/>
      <c r="G16" t="s">
        <v>48</v>
      </c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6256.5</v>
      </c>
      <c r="D17">
        <f t="shared" si="1"/>
        <v>4767453</v>
      </c>
      <c r="E17" s="3">
        <f t="shared" si="0"/>
        <v>8.7201153253288005E-2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456.85</v>
      </c>
      <c r="D18">
        <f t="shared" si="1"/>
        <v>2477954.4</v>
      </c>
      <c r="E18" s="3">
        <f t="shared" si="0"/>
        <v>4.5324092631654538E-2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470.8</v>
      </c>
      <c r="D19">
        <f t="shared" si="1"/>
        <v>3201440</v>
      </c>
      <c r="E19" s="3">
        <f t="shared" si="0"/>
        <v>5.8557317727349671E-2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1389.5</v>
      </c>
      <c r="D20">
        <f t="shared" si="1"/>
        <v>5460735</v>
      </c>
      <c r="E20" s="3">
        <f t="shared" si="0"/>
        <v>9.9881926389330675E-2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</f>
        <v>42359</v>
      </c>
      <c r="C21" s="2">
        <v>108.38</v>
      </c>
      <c r="D21">
        <f t="shared" si="1"/>
        <v>4590868.42</v>
      </c>
      <c r="E21" s="3">
        <f t="shared" si="0"/>
        <v>8.3971256907640235E-2</v>
      </c>
      <c r="F21"/>
      <c r="G21" t="s">
        <v>50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54671903.089999996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B0B7-2FC6-422D-8A19-DA2AA4C4DE19}">
  <sheetPr>
    <pageSetUpPr fitToPage="1"/>
  </sheetPr>
  <dimension ref="A1:J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45797</v>
      </c>
      <c r="C1" s="2" t="s">
        <v>51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1085.05</v>
      </c>
      <c r="D5">
        <f>C5*B5</f>
        <v>7324087.5</v>
      </c>
      <c r="E5" s="3">
        <f t="shared" ref="E5:E21" si="0">D5/$D$23</f>
        <v>0.11816615358871028</v>
      </c>
      <c r="F5"/>
      <c r="G5"/>
      <c r="H5"/>
      <c r="I5"/>
    </row>
    <row r="6" spans="1:9" s="2" customFormat="1" x14ac:dyDescent="0.3">
      <c r="A6" t="s">
        <v>21</v>
      </c>
      <c r="B6" s="4">
        <f>448*2+37+403</f>
        <v>1336</v>
      </c>
      <c r="C6" s="2">
        <v>1388.6</v>
      </c>
      <c r="D6">
        <f>C6*B6</f>
        <v>1855169.5999999999</v>
      </c>
      <c r="E6" s="3">
        <f t="shared" si="0"/>
        <v>2.9931135569681029E-2</v>
      </c>
      <c r="F6"/>
      <c r="G6" t="s">
        <v>54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868.6</v>
      </c>
      <c r="D7">
        <f>C7*B7</f>
        <v>3126091.4</v>
      </c>
      <c r="E7" s="3">
        <f t="shared" si="0"/>
        <v>5.0436070910505414E-2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2248.6999999999998</v>
      </c>
      <c r="D8">
        <f>C8*B8</f>
        <v>1459406.2999999998</v>
      </c>
      <c r="E8" s="3">
        <f t="shared" si="0"/>
        <v>2.3545926915009053E-2</v>
      </c>
      <c r="F8"/>
      <c r="G8"/>
      <c r="H8"/>
      <c r="I8"/>
    </row>
    <row r="9" spans="1:9" s="2" customFormat="1" x14ac:dyDescent="0.3">
      <c r="A9" t="s">
        <v>47</v>
      </c>
      <c r="B9" s="4">
        <f>724+289</f>
        <v>1013</v>
      </c>
      <c r="C9" s="2">
        <v>2768.8</v>
      </c>
      <c r="D9">
        <f>C9*B9</f>
        <v>2804794.4000000004</v>
      </c>
      <c r="E9" s="3">
        <f t="shared" si="0"/>
        <v>4.5252294685877874E-2</v>
      </c>
      <c r="F9"/>
      <c r="G9" t="s">
        <v>55</v>
      </c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410.25</v>
      </c>
      <c r="D10">
        <f t="shared" ref="D10:D21" si="1">C10*B10</f>
        <v>2766726</v>
      </c>
      <c r="E10" s="3">
        <f t="shared" si="0"/>
        <v>4.4638102624235176E-2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191.4</v>
      </c>
      <c r="D11">
        <f t="shared" si="1"/>
        <v>1556464.8</v>
      </c>
      <c r="E11" s="3">
        <f t="shared" si="0"/>
        <v>2.5111859820383255E-2</v>
      </c>
      <c r="F11"/>
      <c r="G11"/>
      <c r="H11"/>
      <c r="I11"/>
    </row>
    <row r="12" spans="1:9" s="2" customFormat="1" x14ac:dyDescent="0.3">
      <c r="A12" t="s">
        <v>22</v>
      </c>
      <c r="B12" s="4">
        <v>52890</v>
      </c>
      <c r="C12" s="2">
        <v>63.67</v>
      </c>
      <c r="D12">
        <f t="shared" si="1"/>
        <v>3367506.3000000003</v>
      </c>
      <c r="E12" s="3">
        <f t="shared" si="0"/>
        <v>5.4331036686378953E-2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2919</v>
      </c>
      <c r="D13">
        <f t="shared" si="1"/>
        <v>5435178</v>
      </c>
      <c r="E13" s="3">
        <f t="shared" si="0"/>
        <v>8.7690661577975296E-2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293.8</v>
      </c>
      <c r="D14">
        <f t="shared" si="1"/>
        <v>4395248</v>
      </c>
      <c r="E14" s="3">
        <f t="shared" si="0"/>
        <v>7.0912526677005386E-2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146.69999999999999</v>
      </c>
      <c r="D15">
        <f t="shared" si="1"/>
        <v>4091903.0999999996</v>
      </c>
      <c r="E15" s="3">
        <f t="shared" si="0"/>
        <v>6.6018387981399682E-2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937</v>
      </c>
      <c r="D16">
        <f t="shared" si="1"/>
        <v>733671</v>
      </c>
      <c r="E16" s="3">
        <f t="shared" si="0"/>
        <v>1.1836980384188837E-2</v>
      </c>
      <c r="F16"/>
      <c r="G16" t="s">
        <v>53</v>
      </c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6825</v>
      </c>
      <c r="D17">
        <f t="shared" si="1"/>
        <v>5200650</v>
      </c>
      <c r="E17" s="3">
        <f t="shared" si="0"/>
        <v>8.3906808412805844E-2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551.75</v>
      </c>
      <c r="D18">
        <f t="shared" si="1"/>
        <v>2992692</v>
      </c>
      <c r="E18" s="3">
        <f t="shared" si="0"/>
        <v>4.8283817269482998E-2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516.70000000000005</v>
      </c>
      <c r="D19">
        <f t="shared" si="1"/>
        <v>3513560.0000000005</v>
      </c>
      <c r="E19" s="3">
        <f t="shared" si="0"/>
        <v>5.6687453638852477E-2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1884.5</v>
      </c>
      <c r="D20">
        <f t="shared" si="1"/>
        <v>7406085</v>
      </c>
      <c r="E20" s="3">
        <f t="shared" si="0"/>
        <v>0.11948909370635501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</f>
        <v>36384</v>
      </c>
      <c r="C21" s="2">
        <v>108.62</v>
      </c>
      <c r="D21">
        <f t="shared" si="1"/>
        <v>3952030.08</v>
      </c>
      <c r="E21" s="3">
        <f t="shared" si="0"/>
        <v>6.3761689551153369E-2</v>
      </c>
      <c r="F21"/>
      <c r="G21" t="s">
        <v>56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61981263.480000004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1BB8-AFFA-43EB-A8B6-52EF1F1F9796}">
  <sheetPr>
    <pageSetUpPr fitToPage="1"/>
  </sheetPr>
  <dimension ref="A1:J23"/>
  <sheetViews>
    <sheetView workbookViewId="0">
      <selection activeCell="G10" sqref="G1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45810</v>
      </c>
      <c r="C1" s="2" t="s">
        <v>46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1129.5999999999999</v>
      </c>
      <c r="D5">
        <f>C5*B5</f>
        <v>7624799.9999999991</v>
      </c>
      <c r="E5" s="3">
        <f t="shared" ref="E5:E21" si="0">D5/$D$23</f>
        <v>0.11934725266602447</v>
      </c>
      <c r="F5"/>
      <c r="G5"/>
      <c r="H5"/>
      <c r="I5"/>
    </row>
    <row r="6" spans="1:9" s="2" customFormat="1" x14ac:dyDescent="0.3">
      <c r="A6" t="s">
        <v>21</v>
      </c>
      <c r="B6" s="4">
        <f>448*2+37+403+478</f>
        <v>1814</v>
      </c>
      <c r="C6" s="2">
        <v>1339.4</v>
      </c>
      <c r="D6">
        <f>C6*B6</f>
        <v>2429671.6</v>
      </c>
      <c r="E6" s="3">
        <f t="shared" si="0"/>
        <v>3.8030457236998216E-2</v>
      </c>
      <c r="F6"/>
      <c r="G6" t="s">
        <v>58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850.05</v>
      </c>
      <c r="D7">
        <f>C7*B7</f>
        <v>3059329.9499999997</v>
      </c>
      <c r="E7" s="3">
        <f t="shared" si="0"/>
        <v>4.788619039599544E-2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2281.8000000000002</v>
      </c>
      <c r="D8">
        <f>C8*B8</f>
        <v>1480888.2000000002</v>
      </c>
      <c r="E8" s="3">
        <f t="shared" si="0"/>
        <v>2.3179616275251055E-2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2895.6</v>
      </c>
      <c r="D9">
        <f>C9*B9</f>
        <v>3350209.1999999997</v>
      </c>
      <c r="E9" s="3">
        <f t="shared" si="0"/>
        <v>5.2439180552465603E-2</v>
      </c>
      <c r="F9"/>
      <c r="G9" t="s">
        <v>57</v>
      </c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419.6</v>
      </c>
      <c r="D10">
        <f t="shared" ref="D10:D21" si="1">C10*B10</f>
        <v>2829782.4000000004</v>
      </c>
      <c r="E10" s="3">
        <f t="shared" si="0"/>
        <v>4.4293195242192482E-2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169.69</v>
      </c>
      <c r="D11">
        <f t="shared" si="1"/>
        <v>1379919.08</v>
      </c>
      <c r="E11" s="3">
        <f t="shared" si="0"/>
        <v>2.1599196188677484E-2</v>
      </c>
      <c r="F11"/>
      <c r="G11"/>
      <c r="H11"/>
      <c r="I11"/>
    </row>
    <row r="12" spans="1:9" s="2" customFormat="1" x14ac:dyDescent="0.3">
      <c r="A12" t="s">
        <v>22</v>
      </c>
      <c r="B12" s="4">
        <v>52890</v>
      </c>
      <c r="C12" s="2">
        <v>64.86</v>
      </c>
      <c r="D12">
        <f t="shared" si="1"/>
        <v>3430445.4</v>
      </c>
      <c r="E12" s="3">
        <f t="shared" si="0"/>
        <v>5.3695078416588167E-2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3127.4</v>
      </c>
      <c r="D13">
        <f t="shared" si="1"/>
        <v>5823218.7999999998</v>
      </c>
      <c r="E13" s="3">
        <f t="shared" si="0"/>
        <v>9.1147986236116876E-2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332</v>
      </c>
      <c r="D14">
        <f t="shared" si="1"/>
        <v>4966720</v>
      </c>
      <c r="E14" s="3">
        <f t="shared" si="0"/>
        <v>7.7741630831155858E-2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174.81</v>
      </c>
      <c r="D15">
        <f t="shared" si="1"/>
        <v>4875975.33</v>
      </c>
      <c r="E15" s="3">
        <f t="shared" si="0"/>
        <v>7.6321249042966652E-2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907.9</v>
      </c>
      <c r="D16">
        <f t="shared" si="1"/>
        <v>710885.7</v>
      </c>
      <c r="E16" s="3">
        <f t="shared" si="0"/>
        <v>1.1127145007680684E-2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5535</v>
      </c>
      <c r="D17">
        <f t="shared" si="1"/>
        <v>4217670</v>
      </c>
      <c r="E17" s="3">
        <f t="shared" si="0"/>
        <v>6.6017118764021554E-2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568.20000000000005</v>
      </c>
      <c r="D18">
        <f t="shared" si="1"/>
        <v>3081916.8000000003</v>
      </c>
      <c r="E18" s="3">
        <f t="shared" si="0"/>
        <v>4.8239731274953533E-2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501.8</v>
      </c>
      <c r="D19">
        <f t="shared" si="1"/>
        <v>3412240</v>
      </c>
      <c r="E19" s="3">
        <f t="shared" si="0"/>
        <v>5.3410118224362008E-2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2117.6999999999998</v>
      </c>
      <c r="D20">
        <f t="shared" si="1"/>
        <v>8322560.9999999991</v>
      </c>
      <c r="E20" s="3">
        <f t="shared" si="0"/>
        <v>0.13026896318531653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</f>
        <v>26567</v>
      </c>
      <c r="C21" s="2">
        <v>108.83</v>
      </c>
      <c r="D21">
        <f t="shared" si="1"/>
        <v>2891286.61</v>
      </c>
      <c r="E21" s="3">
        <f t="shared" si="0"/>
        <v>4.5255890459233478E-2</v>
      </c>
      <c r="F21"/>
      <c r="G21" t="s">
        <v>59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63887520.069999993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4ED8-D90E-44C1-AFAD-6B987D394F3A}">
  <sheetPr>
    <pageSetUpPr fitToPage="1"/>
  </sheetPr>
  <dimension ref="A1:J23"/>
  <sheetViews>
    <sheetView workbookViewId="0">
      <selection activeCell="C2" sqref="C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45810</v>
      </c>
      <c r="C1" s="2" t="s">
        <v>62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970.8</v>
      </c>
      <c r="D5">
        <f>C5*B5</f>
        <v>6552900</v>
      </c>
      <c r="E5" s="3">
        <f t="shared" ref="E5:E21" si="0">D5/$D$23</f>
        <v>0.11399009546359379</v>
      </c>
      <c r="F5"/>
      <c r="G5"/>
      <c r="H5"/>
      <c r="I5"/>
    </row>
    <row r="6" spans="1:9" s="2" customFormat="1" x14ac:dyDescent="0.3">
      <c r="A6" t="s">
        <v>21</v>
      </c>
      <c r="B6" s="4">
        <f>448*2+37+403+478</f>
        <v>1814</v>
      </c>
      <c r="C6" s="2">
        <v>1435.5</v>
      </c>
      <c r="D6">
        <f>C6*B6</f>
        <v>2603997</v>
      </c>
      <c r="E6" s="3">
        <f t="shared" si="0"/>
        <v>4.5297481514583134E-2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956.35</v>
      </c>
      <c r="D7">
        <f>C7*B7</f>
        <v>3441903.65</v>
      </c>
      <c r="E7" s="3">
        <f t="shared" si="0"/>
        <v>5.9873174570036457E-2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1962.8</v>
      </c>
      <c r="D8">
        <f>C8*B8</f>
        <v>1273857.2</v>
      </c>
      <c r="E8" s="3">
        <f t="shared" si="0"/>
        <v>2.2159212537195178E-2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2085</v>
      </c>
      <c r="D9">
        <f>C9*B9</f>
        <v>2412345</v>
      </c>
      <c r="E9" s="3">
        <f t="shared" si="0"/>
        <v>4.1963624783091936E-2</v>
      </c>
      <c r="F9"/>
      <c r="G9"/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469.05</v>
      </c>
      <c r="D10">
        <f t="shared" ref="D10:D21" si="1">C10*B10</f>
        <v>3163273.2</v>
      </c>
      <c r="E10" s="3">
        <f t="shared" si="0"/>
        <v>5.5026295845416198E-2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159</v>
      </c>
      <c r="D11">
        <f t="shared" si="1"/>
        <v>1292988</v>
      </c>
      <c r="E11" s="3">
        <f t="shared" si="0"/>
        <v>2.2491999809745488E-2</v>
      </c>
      <c r="F11"/>
      <c r="G11"/>
      <c r="H11"/>
      <c r="I11"/>
    </row>
    <row r="12" spans="1:9" s="2" customFormat="1" x14ac:dyDescent="0.3">
      <c r="A12" t="s">
        <v>22</v>
      </c>
      <c r="B12" s="4">
        <f>52890-25548</f>
        <v>27342</v>
      </c>
      <c r="C12" s="2">
        <v>49.79</v>
      </c>
      <c r="D12">
        <f t="shared" si="1"/>
        <v>1361358.18</v>
      </c>
      <c r="E12" s="3">
        <f t="shared" si="0"/>
        <v>2.3681324131047975E-2</v>
      </c>
      <c r="F12"/>
      <c r="G12" t="s">
        <v>60</v>
      </c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3164</v>
      </c>
      <c r="D13">
        <f t="shared" si="1"/>
        <v>5891368</v>
      </c>
      <c r="E13" s="3">
        <f t="shared" si="0"/>
        <v>0.10248250404113624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316.55</v>
      </c>
      <c r="D14">
        <f t="shared" si="1"/>
        <v>4735588</v>
      </c>
      <c r="E14" s="3">
        <f t="shared" si="0"/>
        <v>8.2377287643066302E-2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154.02000000000001</v>
      </c>
      <c r="D15">
        <f t="shared" si="1"/>
        <v>4296079.8600000003</v>
      </c>
      <c r="E15" s="3">
        <f t="shared" si="0"/>
        <v>7.4731882580326675E-2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853.95</v>
      </c>
      <c r="D16">
        <f t="shared" si="1"/>
        <v>668642.85000000009</v>
      </c>
      <c r="E16" s="3">
        <f t="shared" si="0"/>
        <v>1.1631287262517272E-2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5014.5</v>
      </c>
      <c r="D17">
        <f t="shared" si="1"/>
        <v>3821049</v>
      </c>
      <c r="E17" s="3">
        <f t="shared" si="0"/>
        <v>6.6468546793186159E-2</v>
      </c>
      <c r="F17"/>
      <c r="G17"/>
      <c r="H17"/>
      <c r="I17"/>
    </row>
    <row r="18" spans="1:9" s="2" customFormat="1" x14ac:dyDescent="0.3">
      <c r="A18" t="s">
        <v>15</v>
      </c>
      <c r="B18" s="4">
        <f>3075+1537+1153-53-1428-925-484-459-467-45+2345+1175</f>
        <v>5424</v>
      </c>
      <c r="C18" s="2">
        <v>563.75</v>
      </c>
      <c r="D18">
        <f t="shared" si="1"/>
        <v>3057780</v>
      </c>
      <c r="E18" s="3">
        <f t="shared" si="0"/>
        <v>5.319120299511175E-2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456.35</v>
      </c>
      <c r="D19">
        <f t="shared" si="1"/>
        <v>3103180</v>
      </c>
      <c r="E19" s="3">
        <f t="shared" si="0"/>
        <v>5.398095262261212E-2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1434.7</v>
      </c>
      <c r="D20">
        <f t="shared" si="1"/>
        <v>5638371</v>
      </c>
      <c r="E20" s="3">
        <f t="shared" si="0"/>
        <v>9.8081528567376092E-2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</f>
        <v>37985</v>
      </c>
      <c r="C21" s="2">
        <v>109.83</v>
      </c>
      <c r="D21">
        <f t="shared" si="1"/>
        <v>4171892.55</v>
      </c>
      <c r="E21" s="3">
        <f t="shared" si="0"/>
        <v>7.257159883995723E-2</v>
      </c>
      <c r="F21"/>
      <c r="G21" t="s">
        <v>61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57486573.490000002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1BF8-7D7C-444B-A576-C61126CB907A}">
  <sheetPr>
    <pageSetUpPr fitToPage="1"/>
  </sheetPr>
  <dimension ref="A1:J23"/>
  <sheetViews>
    <sheetView workbookViewId="0">
      <selection activeCell="C2" sqref="C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45810</v>
      </c>
      <c r="C1" s="2" t="s">
        <v>62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970.8</v>
      </c>
      <c r="D5">
        <f>C5*B5</f>
        <v>6552900</v>
      </c>
      <c r="E5" s="3">
        <f t="shared" ref="E5:E21" si="0">D5/$D$23</f>
        <v>0.1082330493640886</v>
      </c>
      <c r="F5"/>
      <c r="G5"/>
      <c r="H5"/>
      <c r="I5"/>
    </row>
    <row r="6" spans="1:9" s="2" customFormat="1" x14ac:dyDescent="0.3">
      <c r="A6" t="s">
        <v>21</v>
      </c>
      <c r="B6" s="4">
        <f>448*2+37+403+478</f>
        <v>1814</v>
      </c>
      <c r="C6" s="2">
        <v>1435.5</v>
      </c>
      <c r="D6">
        <f>C6*B6</f>
        <v>2603997</v>
      </c>
      <c r="E6" s="3">
        <f t="shared" si="0"/>
        <v>4.3009741617442449E-2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956.35</v>
      </c>
      <c r="D7">
        <f>C7*B7</f>
        <v>3441903.65</v>
      </c>
      <c r="E7" s="3">
        <f t="shared" si="0"/>
        <v>5.6849292322008076E-2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1962.8</v>
      </c>
      <c r="D8">
        <f>C8*B8</f>
        <v>1273857.2</v>
      </c>
      <c r="E8" s="3">
        <f t="shared" si="0"/>
        <v>2.1040066109722363E-2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2085</v>
      </c>
      <c r="D9">
        <f>C9*B9</f>
        <v>2412345</v>
      </c>
      <c r="E9" s="3">
        <f t="shared" si="0"/>
        <v>3.9844260627846038E-2</v>
      </c>
      <c r="F9"/>
      <c r="G9"/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469.05</v>
      </c>
      <c r="D10">
        <f t="shared" ref="D10:D21" si="1">C10*B10</f>
        <v>3163273.2</v>
      </c>
      <c r="E10" s="3">
        <f t="shared" si="0"/>
        <v>5.2247204200842147E-2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159</v>
      </c>
      <c r="D11">
        <f t="shared" si="1"/>
        <v>1292988</v>
      </c>
      <c r="E11" s="3">
        <f t="shared" si="0"/>
        <v>2.135604603018117E-2</v>
      </c>
      <c r="F11"/>
      <c r="G11"/>
      <c r="H11"/>
      <c r="I11"/>
    </row>
    <row r="12" spans="1:9" s="2" customFormat="1" x14ac:dyDescent="0.3">
      <c r="A12" t="s">
        <v>22</v>
      </c>
      <c r="B12" s="4">
        <f>52890-25548</f>
        <v>27342</v>
      </c>
      <c r="C12" s="2">
        <v>49.79</v>
      </c>
      <c r="D12">
        <f t="shared" si="1"/>
        <v>1361358.18</v>
      </c>
      <c r="E12" s="3">
        <f t="shared" si="0"/>
        <v>2.2485303773618674E-2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3164</v>
      </c>
      <c r="D13">
        <f t="shared" si="1"/>
        <v>5891368</v>
      </c>
      <c r="E13" s="3">
        <f t="shared" si="0"/>
        <v>9.7306646456685117E-2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316.55</v>
      </c>
      <c r="D14">
        <f t="shared" si="1"/>
        <v>4735588</v>
      </c>
      <c r="E14" s="3">
        <f t="shared" si="0"/>
        <v>7.8216839837626936E-2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154.02000000000001</v>
      </c>
      <c r="D15">
        <f t="shared" si="1"/>
        <v>4296079.8600000003</v>
      </c>
      <c r="E15" s="3">
        <f t="shared" si="0"/>
        <v>7.0957564369889189E-2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853.95</v>
      </c>
      <c r="D16">
        <f t="shared" si="1"/>
        <v>668642.85000000009</v>
      </c>
      <c r="E16" s="3">
        <f t="shared" si="0"/>
        <v>1.1043851514748416E-2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5014.5</v>
      </c>
      <c r="D17">
        <f t="shared" si="1"/>
        <v>3821049</v>
      </c>
      <c r="E17" s="3">
        <f t="shared" si="0"/>
        <v>6.3111566640663128E-2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563.75</v>
      </c>
      <c r="D18">
        <f t="shared" si="1"/>
        <v>6115560</v>
      </c>
      <c r="E18" s="3">
        <f t="shared" si="0"/>
        <v>0.10100958466771134</v>
      </c>
      <c r="F18"/>
      <c r="G18" t="s">
        <v>25</v>
      </c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456.35</v>
      </c>
      <c r="D19">
        <f t="shared" si="1"/>
        <v>3103180</v>
      </c>
      <c r="E19" s="3">
        <f t="shared" si="0"/>
        <v>5.1254655820423392E-2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1434.7</v>
      </c>
      <c r="D20">
        <f t="shared" si="1"/>
        <v>5638371</v>
      </c>
      <c r="E20" s="3">
        <f t="shared" si="0"/>
        <v>9.3127941335293618E-2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</f>
        <v>37985</v>
      </c>
      <c r="C21" s="2">
        <v>109.83</v>
      </c>
      <c r="D21">
        <f t="shared" si="1"/>
        <v>4171892.55</v>
      </c>
      <c r="E21" s="3">
        <f t="shared" si="0"/>
        <v>6.8906385311209309E-2</v>
      </c>
      <c r="F21"/>
      <c r="G21"/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60544353.490000002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A6D6-F6EA-4C1B-A95A-28C03F9E7159}">
  <sheetPr>
    <pageSetUpPr fitToPage="1"/>
  </sheetPr>
  <dimension ref="A1:J23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45887</v>
      </c>
      <c r="C1" s="2" t="s">
        <v>63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1003.35</v>
      </c>
      <c r="D5">
        <f>C5*B5</f>
        <v>6772612.5</v>
      </c>
      <c r="E5" s="3">
        <f t="shared" ref="E5:E21" si="0">D5/$D$23</f>
        <v>0.11969609537367276</v>
      </c>
      <c r="F5"/>
      <c r="G5"/>
      <c r="H5"/>
      <c r="I5"/>
    </row>
    <row r="6" spans="1:9" s="2" customFormat="1" x14ac:dyDescent="0.3">
      <c r="A6" t="s">
        <v>21</v>
      </c>
      <c r="B6" s="4">
        <f>448*2+37+403+478+149</f>
        <v>1963</v>
      </c>
      <c r="C6" s="2">
        <v>1423.8</v>
      </c>
      <c r="D6">
        <f>C6*B6</f>
        <v>2794919.4</v>
      </c>
      <c r="E6" s="3">
        <f t="shared" si="0"/>
        <v>4.9396143521296731E-2</v>
      </c>
      <c r="F6"/>
      <c r="G6" t="s">
        <v>64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857.65</v>
      </c>
      <c r="D7">
        <f>C7*B7</f>
        <v>3086682.35</v>
      </c>
      <c r="E7" s="3">
        <f t="shared" si="0"/>
        <v>5.4552630163593796E-2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1951.6</v>
      </c>
      <c r="D8">
        <f>C8*B8</f>
        <v>1266588.3999999999</v>
      </c>
      <c r="E8" s="3">
        <f t="shared" si="0"/>
        <v>2.238511149509699E-2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2104</v>
      </c>
      <c r="D9">
        <f>C9*B9</f>
        <v>2434328</v>
      </c>
      <c r="E9" s="3">
        <f t="shared" si="0"/>
        <v>4.3023213930931684E-2</v>
      </c>
      <c r="F9"/>
      <c r="G9"/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468.45</v>
      </c>
      <c r="D10">
        <f t="shared" ref="D10:D21" si="1">C10*B10</f>
        <v>3159226.8</v>
      </c>
      <c r="E10" s="3">
        <f t="shared" si="0"/>
        <v>5.5834748017823697E-2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161.91</v>
      </c>
      <c r="D11">
        <f t="shared" si="1"/>
        <v>1316652.1199999999</v>
      </c>
      <c r="E11" s="3">
        <f t="shared" si="0"/>
        <v>2.3269915077744136E-2</v>
      </c>
      <c r="F11"/>
      <c r="G11"/>
      <c r="H11"/>
      <c r="I11"/>
    </row>
    <row r="12" spans="1:9" s="2" customFormat="1" x14ac:dyDescent="0.3">
      <c r="A12" t="s">
        <v>22</v>
      </c>
      <c r="B12" s="4">
        <f>52890-25548-7385</f>
        <v>19957</v>
      </c>
      <c r="C12" s="2">
        <v>47.9</v>
      </c>
      <c r="D12">
        <f t="shared" si="1"/>
        <v>955940.29999999993</v>
      </c>
      <c r="E12" s="3">
        <f t="shared" si="0"/>
        <v>1.6894857238670801E-2</v>
      </c>
      <c r="F12"/>
      <c r="G12" t="s">
        <v>65</v>
      </c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3140.5</v>
      </c>
      <c r="D13">
        <f t="shared" si="1"/>
        <v>5847611</v>
      </c>
      <c r="E13" s="3">
        <f t="shared" si="0"/>
        <v>0.10334803651680027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269.35000000000002</v>
      </c>
      <c r="D14">
        <f t="shared" si="1"/>
        <v>4029476.0000000005</v>
      </c>
      <c r="E14" s="3">
        <f t="shared" si="0"/>
        <v>7.1215139446103776E-2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163.08000000000001</v>
      </c>
      <c r="D15">
        <f t="shared" si="1"/>
        <v>4548790.4400000004</v>
      </c>
      <c r="E15" s="3">
        <f t="shared" si="0"/>
        <v>8.039326837923931E-2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822.7</v>
      </c>
      <c r="D16">
        <f t="shared" si="1"/>
        <v>644174.10000000009</v>
      </c>
      <c r="E16" s="3">
        <f t="shared" si="0"/>
        <v>1.1384842187686041E-2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4813.5</v>
      </c>
      <c r="D17">
        <f t="shared" si="1"/>
        <v>3667887</v>
      </c>
      <c r="E17" s="3">
        <f t="shared" si="0"/>
        <v>6.4824578723772314E-2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280.25</v>
      </c>
      <c r="D18">
        <f t="shared" si="1"/>
        <v>3040152</v>
      </c>
      <c r="E18" s="3">
        <f t="shared" si="0"/>
        <v>5.3730273766949166E-2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451.55</v>
      </c>
      <c r="D19">
        <f t="shared" si="1"/>
        <v>3070540</v>
      </c>
      <c r="E19" s="3">
        <f t="shared" si="0"/>
        <v>5.4267337558243166E-2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1429.3</v>
      </c>
      <c r="D20">
        <f t="shared" si="1"/>
        <v>5617149</v>
      </c>
      <c r="E20" s="3">
        <f t="shared" si="0"/>
        <v>9.9274955186367239E-2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</f>
        <v>39351</v>
      </c>
      <c r="C21" s="2">
        <v>110.01</v>
      </c>
      <c r="D21">
        <f t="shared" si="1"/>
        <v>4329003.51</v>
      </c>
      <c r="E21" s="3">
        <f t="shared" si="0"/>
        <v>7.6508853416008091E-2</v>
      </c>
      <c r="F21"/>
      <c r="G21" t="s">
        <v>66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56581732.920000002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91A1-A0C5-46AD-B1E6-2FC30098E10B}">
  <sheetPr>
    <pageSetUpPr fitToPage="1"/>
  </sheetPr>
  <dimension ref="A1:J23"/>
  <sheetViews>
    <sheetView workbookViewId="0">
      <selection activeCell="G12" sqref="G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45904</v>
      </c>
      <c r="C1" s="2" t="s">
        <v>67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1046.2</v>
      </c>
      <c r="D5">
        <f>C5*B5</f>
        <v>7061850</v>
      </c>
      <c r="E5" s="3">
        <f t="shared" ref="E5:E21" si="0">D5/$D$23</f>
        <v>0.11921679749629968</v>
      </c>
      <c r="F5"/>
      <c r="G5"/>
      <c r="H5"/>
      <c r="I5"/>
    </row>
    <row r="6" spans="1:9" s="2" customFormat="1" x14ac:dyDescent="0.3">
      <c r="A6" t="s">
        <v>21</v>
      </c>
      <c r="B6" s="4">
        <f>448*2+37+403+478+149+306</f>
        <v>2269</v>
      </c>
      <c r="C6" s="2">
        <v>1295.8</v>
      </c>
      <c r="D6">
        <f>C6*B6</f>
        <v>2940170.1999999997</v>
      </c>
      <c r="E6" s="3">
        <f t="shared" si="0"/>
        <v>4.9635389499643134E-2</v>
      </c>
      <c r="F6"/>
      <c r="G6" t="s">
        <v>68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863.25</v>
      </c>
      <c r="D7">
        <f>C7*B7</f>
        <v>3106836.75</v>
      </c>
      <c r="E7" s="3">
        <f t="shared" si="0"/>
        <v>5.2449022236214567E-2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1939.8</v>
      </c>
      <c r="D8">
        <f>C8*B8</f>
        <v>1258930.2</v>
      </c>
      <c r="E8" s="3">
        <f t="shared" si="0"/>
        <v>2.1253018219783208E-2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2643.4</v>
      </c>
      <c r="D9">
        <f>C9*B9</f>
        <v>3058413.8000000003</v>
      </c>
      <c r="E9" s="3">
        <f t="shared" si="0"/>
        <v>5.1631555280059534E-2</v>
      </c>
      <c r="F9"/>
      <c r="G9"/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490.65</v>
      </c>
      <c r="D10">
        <f t="shared" ref="D10:D21" si="1">C10*B10</f>
        <v>3308943.5999999996</v>
      </c>
      <c r="E10" s="3">
        <f t="shared" si="0"/>
        <v>5.5860951321236897E-2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174.83</v>
      </c>
      <c r="D11">
        <f t="shared" si="1"/>
        <v>1421717.56</v>
      </c>
      <c r="E11" s="3">
        <f t="shared" si="0"/>
        <v>2.400116321466093E-2</v>
      </c>
      <c r="F11"/>
      <c r="G11"/>
      <c r="H11"/>
      <c r="I11"/>
    </row>
    <row r="12" spans="1:9" s="2" customFormat="1" x14ac:dyDescent="0.3">
      <c r="A12" t="s">
        <v>22</v>
      </c>
      <c r="B12" s="4">
        <f>52890-25548-7385</f>
        <v>19957</v>
      </c>
      <c r="C12" s="2">
        <v>49.97</v>
      </c>
      <c r="D12">
        <f t="shared" si="1"/>
        <v>997251.28999999992</v>
      </c>
      <c r="E12" s="3">
        <f t="shared" si="0"/>
        <v>1.6835405041576018E-2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3168.4</v>
      </c>
      <c r="D13">
        <f t="shared" si="1"/>
        <v>5899560.7999999998</v>
      </c>
      <c r="E13" s="3">
        <f t="shared" si="0"/>
        <v>9.9595254106318837E-2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308.64999999999998</v>
      </c>
      <c r="D14">
        <f t="shared" si="1"/>
        <v>4617404</v>
      </c>
      <c r="E14" s="3">
        <f t="shared" si="0"/>
        <v>7.7950128879345229E-2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177.6</v>
      </c>
      <c r="D15">
        <f t="shared" si="1"/>
        <v>4953796.8</v>
      </c>
      <c r="E15" s="3">
        <f t="shared" si="0"/>
        <v>8.3629047621149893E-2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848.15</v>
      </c>
      <c r="D16">
        <f t="shared" si="1"/>
        <v>664101.44999999995</v>
      </c>
      <c r="E16" s="3">
        <f t="shared" si="0"/>
        <v>1.1211233328610631E-2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5108.5</v>
      </c>
      <c r="D17">
        <f t="shared" si="1"/>
        <v>3892677</v>
      </c>
      <c r="E17" s="3">
        <f t="shared" si="0"/>
        <v>6.5715426641390476E-2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275.25</v>
      </c>
      <c r="D18">
        <f t="shared" si="1"/>
        <v>2985912</v>
      </c>
      <c r="E18" s="3">
        <f t="shared" si="0"/>
        <v>5.0407593795644363E-2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485.35</v>
      </c>
      <c r="D19">
        <f t="shared" si="1"/>
        <v>3300380</v>
      </c>
      <c r="E19" s="3">
        <f t="shared" si="0"/>
        <v>5.5716382268221148E-2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1482.5</v>
      </c>
      <c r="D20">
        <f t="shared" si="1"/>
        <v>5826225</v>
      </c>
      <c r="E20" s="3">
        <f t="shared" si="0"/>
        <v>9.8357213193834281E-2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</f>
        <v>35751</v>
      </c>
      <c r="C21" s="2">
        <v>110.24</v>
      </c>
      <c r="D21">
        <f t="shared" si="1"/>
        <v>3941190.2399999998</v>
      </c>
      <c r="E21" s="3">
        <f t="shared" si="0"/>
        <v>6.6534417856011205E-2</v>
      </c>
      <c r="F21"/>
      <c r="G21" t="s">
        <v>69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59235360.689999998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B4B6-5962-4DA8-B8E5-9353CBD36E82}">
  <sheetPr>
    <pageSetUpPr fitToPage="1"/>
  </sheetPr>
  <dimension ref="A1:J23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45909</v>
      </c>
      <c r="C1" s="2" t="s">
        <v>70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1004.4</v>
      </c>
      <c r="D5">
        <f>C5*B5</f>
        <v>6779700</v>
      </c>
      <c r="E5" s="3">
        <f t="shared" ref="E5:E21" si="0">D5/$D$23</f>
        <v>0.11512880737038522</v>
      </c>
      <c r="F5"/>
      <c r="G5"/>
      <c r="H5"/>
      <c r="I5"/>
    </row>
    <row r="6" spans="1:9" s="2" customFormat="1" x14ac:dyDescent="0.3">
      <c r="A6" t="s">
        <v>21</v>
      </c>
      <c r="B6" s="4">
        <f>448*2+37+403+478+149+306</f>
        <v>2269</v>
      </c>
      <c r="C6" s="2">
        <v>1247</v>
      </c>
      <c r="D6">
        <f>C6*B6</f>
        <v>2829443</v>
      </c>
      <c r="E6" s="3">
        <f t="shared" si="0"/>
        <v>4.8047907446123701E-2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928.65</v>
      </c>
      <c r="D7">
        <f>C7*B7</f>
        <v>3342211.35</v>
      </c>
      <c r="E7" s="3">
        <f t="shared" si="0"/>
        <v>5.67554326452889E-2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1983.2</v>
      </c>
      <c r="D8">
        <f>C8*B8</f>
        <v>1287096.8</v>
      </c>
      <c r="E8" s="3">
        <f t="shared" si="0"/>
        <v>2.1856707458182401E-2</v>
      </c>
      <c r="F8"/>
      <c r="G8"/>
      <c r="H8"/>
      <c r="I8"/>
    </row>
    <row r="9" spans="1:9" s="2" customFormat="1" x14ac:dyDescent="0.3">
      <c r="A9" t="s">
        <v>47</v>
      </c>
      <c r="B9" s="4">
        <f>724+289+144</f>
        <v>1157</v>
      </c>
      <c r="C9" s="2">
        <v>2961.6</v>
      </c>
      <c r="D9">
        <f>C9*B9</f>
        <v>3426571.1999999997</v>
      </c>
      <c r="E9" s="3">
        <f t="shared" si="0"/>
        <v>5.8187981123900716E-2</v>
      </c>
      <c r="F9"/>
      <c r="G9"/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487.1</v>
      </c>
      <c r="D10">
        <f t="shared" ref="D10:D21" si="1">C10*B10</f>
        <v>3285002.4000000004</v>
      </c>
      <c r="E10" s="3">
        <f t="shared" si="0"/>
        <v>5.578394449914497E-2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173.54</v>
      </c>
      <c r="D11">
        <f t="shared" si="1"/>
        <v>1411227.28</v>
      </c>
      <c r="E11" s="3">
        <f t="shared" si="0"/>
        <v>2.3964616970507942E-2</v>
      </c>
      <c r="F11"/>
      <c r="G11"/>
      <c r="H11"/>
      <c r="I11"/>
    </row>
    <row r="12" spans="1:9" s="2" customFormat="1" x14ac:dyDescent="0.3">
      <c r="A12" t="s">
        <v>22</v>
      </c>
      <c r="B12" s="4">
        <f>52890-25548-7385-11467</f>
        <v>8490</v>
      </c>
      <c r="C12" s="2">
        <v>49.09</v>
      </c>
      <c r="D12">
        <f t="shared" si="1"/>
        <v>416774.10000000003</v>
      </c>
      <c r="E12" s="3">
        <f t="shared" si="0"/>
        <v>7.0774083035924406E-3</v>
      </c>
      <c r="F12"/>
      <c r="G12" t="s">
        <v>71</v>
      </c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3040.2</v>
      </c>
      <c r="D13">
        <f t="shared" si="1"/>
        <v>5660852.3999999994</v>
      </c>
      <c r="E13" s="3">
        <f t="shared" si="0"/>
        <v>9.6129207120047022E-2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298.85000000000002</v>
      </c>
      <c r="D14">
        <f t="shared" si="1"/>
        <v>4470796</v>
      </c>
      <c r="E14" s="3">
        <f t="shared" si="0"/>
        <v>7.5920381650558103E-2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178.19</v>
      </c>
      <c r="D15">
        <f t="shared" si="1"/>
        <v>4970253.67</v>
      </c>
      <c r="E15" s="3">
        <f t="shared" si="0"/>
        <v>8.4401872849149698E-2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845</v>
      </c>
      <c r="D16">
        <f t="shared" si="1"/>
        <v>661635</v>
      </c>
      <c r="E16" s="3">
        <f t="shared" si="0"/>
        <v>1.123548954444958E-2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5150</v>
      </c>
      <c r="D17">
        <f t="shared" si="1"/>
        <v>3924300</v>
      </c>
      <c r="E17" s="3">
        <f t="shared" si="0"/>
        <v>6.6640113686977698E-2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262.7</v>
      </c>
      <c r="D18">
        <f t="shared" si="1"/>
        <v>2849769.6</v>
      </c>
      <c r="E18" s="3">
        <f t="shared" si="0"/>
        <v>4.8393081600716807E-2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484.95</v>
      </c>
      <c r="D19">
        <f t="shared" si="1"/>
        <v>3297660</v>
      </c>
      <c r="E19" s="3">
        <f t="shared" si="0"/>
        <v>5.5998888286063475E-2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1458.5</v>
      </c>
      <c r="D20">
        <f t="shared" si="1"/>
        <v>5731905</v>
      </c>
      <c r="E20" s="3">
        <f t="shared" si="0"/>
        <v>9.7335779844292203E-2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40235+4295+1952-475+9018-12666-5975-9817+11418+1366-3600+5427</f>
        <v>41178</v>
      </c>
      <c r="C21" s="2">
        <v>110.32</v>
      </c>
      <c r="D21">
        <f t="shared" si="1"/>
        <v>4542756.96</v>
      </c>
      <c r="E21" s="3">
        <f t="shared" si="0"/>
        <v>7.7142379600619024E-2</v>
      </c>
      <c r="F21"/>
      <c r="G21" t="s">
        <v>72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58887954.760000005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B547-53E2-4E05-AF14-4A82A6E6B166}">
  <sheetPr>
    <pageSetUpPr fitToPage="1"/>
  </sheetPr>
  <dimension ref="A1:J23"/>
  <sheetViews>
    <sheetView workbookViewId="0">
      <selection activeCell="B10" sqref="B1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45957</v>
      </c>
      <c r="C1" s="2" t="s">
        <v>73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1082.2</v>
      </c>
      <c r="D5">
        <f>C5*B5</f>
        <v>7304850</v>
      </c>
      <c r="E5" s="3">
        <f t="shared" ref="E5:E21" si="0">D5/$D$23</f>
        <v>0.12460921515278905</v>
      </c>
      <c r="F5"/>
      <c r="G5"/>
      <c r="H5"/>
      <c r="I5"/>
    </row>
    <row r="6" spans="1:9" s="2" customFormat="1" x14ac:dyDescent="0.3">
      <c r="A6" t="s">
        <v>21</v>
      </c>
      <c r="B6" s="4">
        <f>448*2+37+403+478+149+306</f>
        <v>2269</v>
      </c>
      <c r="C6" s="2">
        <v>1165.4000000000001</v>
      </c>
      <c r="D6">
        <f>C6*B6</f>
        <v>2644292.6</v>
      </c>
      <c r="E6" s="3">
        <f t="shared" si="0"/>
        <v>4.5107459498871016E-2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1120.5999999999999</v>
      </c>
      <c r="D7">
        <f>C7*B7</f>
        <v>4033039.3999999994</v>
      </c>
      <c r="E7" s="3">
        <f t="shared" si="0"/>
        <v>6.8797288693713793E-2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1928.1</v>
      </c>
      <c r="D8">
        <f>C8*B8</f>
        <v>1251336.8999999999</v>
      </c>
      <c r="E8" s="3">
        <f t="shared" si="0"/>
        <v>2.134583311097751E-2</v>
      </c>
      <c r="F8"/>
      <c r="G8"/>
      <c r="H8"/>
      <c r="I8"/>
    </row>
    <row r="9" spans="1:9" s="2" customFormat="1" x14ac:dyDescent="0.3">
      <c r="A9" t="s">
        <v>47</v>
      </c>
      <c r="B9" s="4">
        <f>724+289+144+275</f>
        <v>1432</v>
      </c>
      <c r="C9" s="2">
        <v>3068.2</v>
      </c>
      <c r="D9">
        <f>C9*B9</f>
        <v>4393662.3999999994</v>
      </c>
      <c r="E9" s="3">
        <f t="shared" si="0"/>
        <v>7.4948948070161531E-2</v>
      </c>
      <c r="F9"/>
      <c r="G9" t="s">
        <v>74</v>
      </c>
      <c r="H9"/>
      <c r="I9"/>
    </row>
    <row r="10" spans="1:9" s="2" customFormat="1" x14ac:dyDescent="0.3">
      <c r="A10" t="s">
        <v>7</v>
      </c>
      <c r="B10" s="4">
        <f>((840+420)*2+290+562)+3372</f>
        <v>6744</v>
      </c>
      <c r="C10" s="2">
        <v>480.4</v>
      </c>
      <c r="D10">
        <f t="shared" ref="D10:D21" si="1">C10*B10</f>
        <v>3239817.5999999996</v>
      </c>
      <c r="E10" s="3">
        <f t="shared" si="0"/>
        <v>5.5266176358746942E-2</v>
      </c>
      <c r="F10"/>
      <c r="G10"/>
      <c r="H10"/>
      <c r="I10"/>
    </row>
    <row r="11" spans="1:9" s="2" customFormat="1" x14ac:dyDescent="0.3">
      <c r="A11" t="s">
        <v>9</v>
      </c>
      <c r="B11" s="4">
        <f>1280+1280+1280+910+1300+1300+2940+1300-2365+1475-2568</f>
        <v>8132</v>
      </c>
      <c r="C11" s="2">
        <v>163.4</v>
      </c>
      <c r="D11">
        <f t="shared" si="1"/>
        <v>1328768.8</v>
      </c>
      <c r="E11" s="3">
        <f t="shared" si="0"/>
        <v>2.2666699150223936E-2</v>
      </c>
      <c r="F11"/>
      <c r="G11"/>
      <c r="H11"/>
      <c r="I11"/>
    </row>
    <row r="12" spans="1:9" s="2" customFormat="1" x14ac:dyDescent="0.3">
      <c r="A12" t="s">
        <v>22</v>
      </c>
      <c r="B12" s="4">
        <f>52890-25548-7385-11467</f>
        <v>8490</v>
      </c>
      <c r="C12" s="2">
        <v>48.84</v>
      </c>
      <c r="D12">
        <f t="shared" si="1"/>
        <v>414651.60000000003</v>
      </c>
      <c r="E12" s="3">
        <f t="shared" si="0"/>
        <v>7.0733020442374896E-3</v>
      </c>
      <c r="F12"/>
      <c r="G12"/>
      <c r="H12"/>
      <c r="I12"/>
    </row>
    <row r="13" spans="1:9" s="2" customFormat="1" x14ac:dyDescent="0.3">
      <c r="A13" t="s">
        <v>10</v>
      </c>
      <c r="B13" s="4">
        <f>(410+205+135+181)*2</f>
        <v>1862</v>
      </c>
      <c r="C13" s="2">
        <v>2600</v>
      </c>
      <c r="D13">
        <f t="shared" si="1"/>
        <v>4841200</v>
      </c>
      <c r="E13" s="3">
        <f t="shared" si="0"/>
        <v>8.2583233385720767E-2</v>
      </c>
      <c r="F13"/>
      <c r="G13"/>
      <c r="H13"/>
      <c r="I13"/>
    </row>
    <row r="14" spans="1:9" s="2" customFormat="1" x14ac:dyDescent="0.3">
      <c r="A14" t="s">
        <v>11</v>
      </c>
      <c r="B14" s="4">
        <f>(1875+937+309+619)*2*2</f>
        <v>14960</v>
      </c>
      <c r="C14" s="2">
        <v>264.8</v>
      </c>
      <c r="D14">
        <f t="shared" si="1"/>
        <v>3961408</v>
      </c>
      <c r="E14" s="3">
        <f t="shared" si="0"/>
        <v>6.7575370032236085E-2</v>
      </c>
      <c r="F14"/>
      <c r="G14"/>
      <c r="H14"/>
      <c r="I14"/>
    </row>
    <row r="15" spans="1:9" s="2" customFormat="1" x14ac:dyDescent="0.3">
      <c r="A15" t="s">
        <v>20</v>
      </c>
      <c r="B15" s="4">
        <f>13763+6317+2811+3464+1538</f>
        <v>27893</v>
      </c>
      <c r="C15" s="2">
        <v>163.97</v>
      </c>
      <c r="D15">
        <f t="shared" si="1"/>
        <v>4573615.21</v>
      </c>
      <c r="E15" s="3">
        <f t="shared" si="0"/>
        <v>7.8018659072939006E-2</v>
      </c>
      <c r="F15"/>
      <c r="G15"/>
      <c r="H15"/>
      <c r="I15"/>
    </row>
    <row r="16" spans="1:9" s="2" customFormat="1" x14ac:dyDescent="0.3">
      <c r="A16" t="s">
        <v>13</v>
      </c>
      <c r="B16" s="4">
        <f>10500+5250-3258-1143-1205-2468-1535-850-1323-920-438-260-784-783</f>
        <v>783</v>
      </c>
      <c r="C16" s="2">
        <v>874.7</v>
      </c>
      <c r="D16">
        <f t="shared" si="1"/>
        <v>684890.10000000009</v>
      </c>
      <c r="E16" s="3">
        <f t="shared" si="0"/>
        <v>1.1683144462503025E-2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5422</v>
      </c>
      <c r="D17">
        <f t="shared" si="1"/>
        <v>4131564</v>
      </c>
      <c r="E17" s="3">
        <f t="shared" si="0"/>
        <v>7.0477962914162195E-2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270.05</v>
      </c>
      <c r="D18">
        <f t="shared" si="1"/>
        <v>2929502.4</v>
      </c>
      <c r="E18" s="3">
        <f t="shared" si="0"/>
        <v>4.9972688672897031E-2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546.1</v>
      </c>
      <c r="D19">
        <f t="shared" si="1"/>
        <v>3713480</v>
      </c>
      <c r="E19" s="3">
        <f t="shared" si="0"/>
        <v>6.3346109541685194E-2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1396.5</v>
      </c>
      <c r="D20">
        <f t="shared" si="1"/>
        <v>5488245</v>
      </c>
      <c r="E20" s="3">
        <f t="shared" si="0"/>
        <v>9.3620800155543055E-2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40235+4295+1952-475+9018-12666-5975-9817+11418+1366-3600+5427-7979</f>
        <v>33199</v>
      </c>
      <c r="C21" s="2">
        <v>111.08</v>
      </c>
      <c r="D21">
        <f t="shared" si="1"/>
        <v>3687744.92</v>
      </c>
      <c r="E21" s="3">
        <f t="shared" si="0"/>
        <v>6.290710968259236E-2</v>
      </c>
      <c r="F21"/>
      <c r="G21" t="s">
        <v>75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58622068.93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97E-8514-4185-8BD3-8A50B2C2E516}">
  <sheetPr>
    <pageSetUpPr fitToPage="1"/>
  </sheetPr>
  <dimension ref="A1:J24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45959</v>
      </c>
      <c r="C1" s="2" t="s">
        <v>77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1052.3</v>
      </c>
      <c r="D5">
        <f t="shared" ref="D5:D10" si="0">C5*B5</f>
        <v>7103025</v>
      </c>
      <c r="E5" s="3">
        <f t="shared" ref="E5:E22" si="1">D5/$D$24</f>
        <v>0.12092211198805551</v>
      </c>
      <c r="F5"/>
      <c r="G5"/>
      <c r="H5"/>
      <c r="I5"/>
    </row>
    <row r="6" spans="1:9" s="2" customFormat="1" x14ac:dyDescent="0.3">
      <c r="A6" t="s">
        <v>21</v>
      </c>
      <c r="B6" s="4">
        <f>448*2+37+403+478+149+306</f>
        <v>2269</v>
      </c>
      <c r="C6" s="2">
        <v>1186.2</v>
      </c>
      <c r="D6">
        <f t="shared" si="0"/>
        <v>2691487.8000000003</v>
      </c>
      <c r="E6" s="3">
        <f t="shared" si="1"/>
        <v>4.5819969543410756E-2</v>
      </c>
      <c r="F6"/>
      <c r="G6"/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1172.2</v>
      </c>
      <c r="D7">
        <f t="shared" si="0"/>
        <v>4218747.8</v>
      </c>
      <c r="E7" s="3">
        <f t="shared" si="1"/>
        <v>7.1820089880151455E-2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1918.1</v>
      </c>
      <c r="D8">
        <f t="shared" si="0"/>
        <v>1244846.8999999999</v>
      </c>
      <c r="E8" s="3">
        <f t="shared" si="1"/>
        <v>2.1192311198367418E-2</v>
      </c>
      <c r="F8"/>
      <c r="G8"/>
      <c r="H8"/>
      <c r="I8"/>
    </row>
    <row r="9" spans="1:9" s="2" customFormat="1" x14ac:dyDescent="0.3">
      <c r="A9" t="s">
        <v>47</v>
      </c>
      <c r="B9" s="4">
        <f>724+289+144+275</f>
        <v>1432</v>
      </c>
      <c r="C9" s="2">
        <v>3119.3</v>
      </c>
      <c r="D9">
        <f t="shared" si="0"/>
        <v>4466837.6000000006</v>
      </c>
      <c r="E9" s="3">
        <f t="shared" si="1"/>
        <v>7.6043578123356909E-2</v>
      </c>
      <c r="F9"/>
      <c r="G9"/>
      <c r="H9"/>
      <c r="I9"/>
    </row>
    <row r="10" spans="1:9" s="2" customFormat="1" x14ac:dyDescent="0.3">
      <c r="A10" t="s">
        <v>76</v>
      </c>
      <c r="B10" s="4">
        <v>3770</v>
      </c>
      <c r="C10" s="2">
        <v>728.5</v>
      </c>
      <c r="D10">
        <f t="shared" si="0"/>
        <v>2746445</v>
      </c>
      <c r="E10" s="3">
        <f t="shared" si="1"/>
        <v>4.6755562574964202E-2</v>
      </c>
      <c r="F10"/>
      <c r="G10" t="s">
        <v>81</v>
      </c>
      <c r="H10"/>
      <c r="I10"/>
    </row>
    <row r="11" spans="1:9" s="2" customFormat="1" x14ac:dyDescent="0.3">
      <c r="A11" t="s">
        <v>7</v>
      </c>
      <c r="B11" s="4">
        <f>((840+420)*2+290+562)+3372</f>
        <v>6744</v>
      </c>
      <c r="C11" s="2">
        <v>490.15</v>
      </c>
      <c r="D11">
        <f t="shared" ref="D11:D22" si="2">C11*B11</f>
        <v>3305571.5999999996</v>
      </c>
      <c r="E11" s="3">
        <f t="shared" si="1"/>
        <v>5.6274150689281793E-2</v>
      </c>
      <c r="F11"/>
      <c r="G11"/>
      <c r="H11"/>
      <c r="I11"/>
    </row>
    <row r="12" spans="1:9" s="2" customFormat="1" x14ac:dyDescent="0.3">
      <c r="A12" t="s">
        <v>9</v>
      </c>
      <c r="B12" s="4">
        <f>1280+1280+1280+910+1300+1300+2940+1300-2365+1475-2568</f>
        <v>8132</v>
      </c>
      <c r="C12" s="2">
        <v>152.69999999999999</v>
      </c>
      <c r="D12">
        <f t="shared" si="2"/>
        <v>1241756.3999999999</v>
      </c>
      <c r="E12" s="3">
        <f t="shared" si="1"/>
        <v>2.1139698433087967E-2</v>
      </c>
      <c r="F12"/>
      <c r="G12"/>
      <c r="H12"/>
      <c r="I12"/>
    </row>
    <row r="13" spans="1:9" s="2" customFormat="1" x14ac:dyDescent="0.3">
      <c r="A13" t="s">
        <v>22</v>
      </c>
      <c r="B13" s="4">
        <f>52890-25548-7385-11467</f>
        <v>8490</v>
      </c>
      <c r="C13" s="2">
        <v>48.35</v>
      </c>
      <c r="D13">
        <f t="shared" si="2"/>
        <v>410491.5</v>
      </c>
      <c r="E13" s="3">
        <f t="shared" si="1"/>
        <v>6.9882196857176896E-3</v>
      </c>
      <c r="F13"/>
      <c r="G13"/>
      <c r="H13"/>
      <c r="I13"/>
    </row>
    <row r="14" spans="1:9" s="2" customFormat="1" x14ac:dyDescent="0.3">
      <c r="A14" t="s">
        <v>10</v>
      </c>
      <c r="B14" s="4">
        <f>(410+205+135+181)*2</f>
        <v>1862</v>
      </c>
      <c r="C14" s="2">
        <v>2541</v>
      </c>
      <c r="D14">
        <f t="shared" si="2"/>
        <v>4731342</v>
      </c>
      <c r="E14" s="3">
        <f t="shared" si="1"/>
        <v>8.0546509012398321E-2</v>
      </c>
      <c r="F14"/>
      <c r="G14"/>
      <c r="H14"/>
      <c r="I14"/>
    </row>
    <row r="15" spans="1:9" s="2" customFormat="1" x14ac:dyDescent="0.3">
      <c r="A15" t="s">
        <v>11</v>
      </c>
      <c r="B15" s="4">
        <f>(1875+937+309+619)*2*2</f>
        <v>14960</v>
      </c>
      <c r="C15" s="2">
        <v>280.95</v>
      </c>
      <c r="D15">
        <f t="shared" si="2"/>
        <v>4203012</v>
      </c>
      <c r="E15" s="3">
        <f t="shared" si="1"/>
        <v>7.1552203146003454E-2</v>
      </c>
      <c r="F15"/>
      <c r="G15"/>
      <c r="H15"/>
      <c r="I15"/>
    </row>
    <row r="16" spans="1:9" s="2" customFormat="1" x14ac:dyDescent="0.3">
      <c r="A16" t="s">
        <v>20</v>
      </c>
      <c r="B16" s="4">
        <f>13763+6317+2811+3464+1538</f>
        <v>27893</v>
      </c>
      <c r="C16" s="2">
        <v>162.41999999999999</v>
      </c>
      <c r="D16">
        <f t="shared" si="2"/>
        <v>4530381.0599999996</v>
      </c>
      <c r="E16" s="3">
        <f t="shared" si="1"/>
        <v>7.7125343904306351E-2</v>
      </c>
      <c r="F16"/>
      <c r="G16"/>
      <c r="H16"/>
      <c r="I16"/>
    </row>
    <row r="17" spans="1:9" s="2" customFormat="1" x14ac:dyDescent="0.3">
      <c r="A17" t="s">
        <v>13</v>
      </c>
      <c r="B17" s="4">
        <f>10500+5250-3258-1143-1205-2468-1535-850-1323-920-438-260-784-783</f>
        <v>783</v>
      </c>
      <c r="C17" s="2">
        <v>892.8</v>
      </c>
      <c r="D17">
        <f t="shared" si="2"/>
        <v>699062.39999999991</v>
      </c>
      <c r="E17" s="3">
        <f t="shared" si="1"/>
        <v>1.1900859397149643E-2</v>
      </c>
      <c r="F17"/>
      <c r="G17"/>
      <c r="H17"/>
      <c r="I17"/>
    </row>
    <row r="18" spans="1:9" s="2" customFormat="1" x14ac:dyDescent="0.3">
      <c r="A18" t="s">
        <v>14</v>
      </c>
      <c r="B18" s="4">
        <f>458+115+189</f>
        <v>762</v>
      </c>
      <c r="C18" s="2">
        <v>5504.5</v>
      </c>
      <c r="D18">
        <f t="shared" si="2"/>
        <v>4194429</v>
      </c>
      <c r="E18" s="3">
        <f t="shared" si="1"/>
        <v>7.1406085894945848E-2</v>
      </c>
      <c r="F18"/>
      <c r="G18"/>
      <c r="H18"/>
      <c r="I18"/>
    </row>
    <row r="19" spans="1:9" s="2" customFormat="1" x14ac:dyDescent="0.3">
      <c r="A19" t="s">
        <v>15</v>
      </c>
      <c r="B19" s="4">
        <f>(3075+1537+1153-53-1428-925-484-459-467-45+2345+1175)*2</f>
        <v>10848</v>
      </c>
      <c r="C19" s="2">
        <v>268.2</v>
      </c>
      <c r="D19">
        <f t="shared" si="2"/>
        <v>2909433.6</v>
      </c>
      <c r="E19" s="3">
        <f t="shared" si="1"/>
        <v>4.9530285420790653E-2</v>
      </c>
      <c r="F19"/>
      <c r="G19"/>
      <c r="H19"/>
      <c r="I19"/>
    </row>
    <row r="20" spans="1:9" s="2" customFormat="1" x14ac:dyDescent="0.3">
      <c r="A20" t="s">
        <v>18</v>
      </c>
      <c r="B20" s="4">
        <f>7985+1084+1117+2249-5230-405</f>
        <v>6800</v>
      </c>
      <c r="C20" s="2">
        <v>570.29999999999995</v>
      </c>
      <c r="D20">
        <f t="shared" si="2"/>
        <v>3878039.9999999995</v>
      </c>
      <c r="E20" s="3">
        <f t="shared" si="1"/>
        <v>6.6019870009490139E-2</v>
      </c>
      <c r="F20"/>
      <c r="G20"/>
      <c r="H20"/>
      <c r="I20" s="3"/>
    </row>
    <row r="21" spans="1:9" s="2" customFormat="1" x14ac:dyDescent="0.3">
      <c r="A21" t="s">
        <v>19</v>
      </c>
      <c r="B21" s="4">
        <f>2592+518+820</f>
        <v>3930</v>
      </c>
      <c r="C21" s="2">
        <v>1340.8</v>
      </c>
      <c r="D21">
        <f t="shared" si="2"/>
        <v>5269344</v>
      </c>
      <c r="E21" s="3">
        <f t="shared" si="1"/>
        <v>8.9705471298719683E-2</v>
      </c>
      <c r="F21"/>
      <c r="G21"/>
      <c r="H21"/>
      <c r="I21"/>
    </row>
    <row r="22" spans="1:9" s="2" customFormat="1" x14ac:dyDescent="0.3">
      <c r="A22" t="s">
        <v>38</v>
      </c>
      <c r="B22" s="4">
        <f>40235+4295+1952-475+9018-12666-5975-9817+11418+1366-3600+5427-7979-25132</f>
        <v>8067</v>
      </c>
      <c r="C22" s="2">
        <v>111.1</v>
      </c>
      <c r="D22">
        <f t="shared" si="2"/>
        <v>896243.7</v>
      </c>
      <c r="E22" s="3">
        <f t="shared" si="1"/>
        <v>1.5257679799802087E-2</v>
      </c>
      <c r="F22"/>
      <c r="G22" t="s">
        <v>82</v>
      </c>
      <c r="H22"/>
      <c r="I22"/>
    </row>
    <row r="23" spans="1:9" s="2" customFormat="1" x14ac:dyDescent="0.3">
      <c r="A23"/>
      <c r="B23" s="4"/>
      <c r="D23"/>
      <c r="E23" s="3"/>
      <c r="F23"/>
      <c r="G23"/>
      <c r="H23"/>
      <c r="I23"/>
    </row>
    <row r="24" spans="1:9" s="2" customFormat="1" x14ac:dyDescent="0.3">
      <c r="A24"/>
      <c r="B24" s="4"/>
      <c r="D24">
        <f>SUM(D5:D22)</f>
        <v>58740497.360000007</v>
      </c>
      <c r="E24"/>
      <c r="F24"/>
      <c r="G24"/>
      <c r="H24"/>
      <c r="I24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485E-42B5-4F00-9E00-C0107D66F256}">
  <sheetPr>
    <pageSetUpPr fitToPage="1"/>
  </sheetPr>
  <dimension ref="A1:J24"/>
  <sheetViews>
    <sheetView workbookViewId="0">
      <selection activeCell="B23" sqref="B2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9" x14ac:dyDescent="0.3">
      <c r="A1" t="s">
        <v>0</v>
      </c>
      <c r="B1" s="1">
        <v>45968</v>
      </c>
      <c r="C1" s="2" t="s">
        <v>78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17</v>
      </c>
      <c r="B5" s="4">
        <f>4326+2424</f>
        <v>6750</v>
      </c>
      <c r="C5" s="2">
        <v>1042.5</v>
      </c>
      <c r="D5">
        <f t="shared" ref="D5:D22" si="0">C5*B5</f>
        <v>7036875</v>
      </c>
      <c r="E5" s="3">
        <f t="shared" ref="E5:E22" si="1">D5/$D$24</f>
        <v>0.12226154002771308</v>
      </c>
      <c r="F5"/>
      <c r="G5"/>
      <c r="H5"/>
      <c r="I5"/>
    </row>
    <row r="6" spans="1:9" s="2" customFormat="1" x14ac:dyDescent="0.3">
      <c r="A6" t="s">
        <v>21</v>
      </c>
      <c r="B6" s="4">
        <f>448*2+37+403+478+149+306+290</f>
        <v>2559</v>
      </c>
      <c r="C6" s="2">
        <v>1128</v>
      </c>
      <c r="D6">
        <f t="shared" si="0"/>
        <v>2886552</v>
      </c>
      <c r="E6" s="3">
        <f t="shared" si="1"/>
        <v>5.0152133282184957E-2</v>
      </c>
      <c r="F6"/>
      <c r="G6" t="s">
        <v>80</v>
      </c>
      <c r="H6"/>
      <c r="I6"/>
    </row>
    <row r="7" spans="1:9" s="2" customFormat="1" x14ac:dyDescent="0.3">
      <c r="A7" t="s">
        <v>23</v>
      </c>
      <c r="B7" s="4">
        <f>1410+2189</f>
        <v>3599</v>
      </c>
      <c r="C7" s="2">
        <v>1039.8</v>
      </c>
      <c r="D7">
        <f t="shared" si="0"/>
        <v>3742240.1999999997</v>
      </c>
      <c r="E7" s="3">
        <f t="shared" si="1"/>
        <v>6.501920952207009E-2</v>
      </c>
      <c r="F7"/>
      <c r="G7"/>
      <c r="H7"/>
      <c r="I7"/>
    </row>
    <row r="8" spans="1:9" s="2" customFormat="1" x14ac:dyDescent="0.3">
      <c r="A8" t="s">
        <v>52</v>
      </c>
      <c r="B8" s="4">
        <f>130+126+33+57+173+130</f>
        <v>649</v>
      </c>
      <c r="C8" s="2">
        <v>1855.7</v>
      </c>
      <c r="D8">
        <f t="shared" si="0"/>
        <v>1204349.3</v>
      </c>
      <c r="E8" s="3">
        <f t="shared" si="1"/>
        <v>2.0924856580413639E-2</v>
      </c>
      <c r="F8"/>
      <c r="G8"/>
      <c r="H8"/>
      <c r="I8"/>
    </row>
    <row r="9" spans="1:9" s="2" customFormat="1" x14ac:dyDescent="0.3">
      <c r="A9" t="s">
        <v>47</v>
      </c>
      <c r="B9" s="4">
        <f>724+289+144+275</f>
        <v>1432</v>
      </c>
      <c r="C9" s="2">
        <v>3077.2</v>
      </c>
      <c r="D9">
        <f t="shared" si="0"/>
        <v>4406550.3999999994</v>
      </c>
      <c r="E9" s="3">
        <f t="shared" si="1"/>
        <v>7.6561206233411144E-2</v>
      </c>
      <c r="F9"/>
      <c r="G9"/>
      <c r="H9"/>
      <c r="I9"/>
    </row>
    <row r="10" spans="1:9" s="2" customFormat="1" x14ac:dyDescent="0.3">
      <c r="A10" t="s">
        <v>76</v>
      </c>
      <c r="B10" s="4">
        <v>3770</v>
      </c>
      <c r="C10" s="2">
        <v>759.6</v>
      </c>
      <c r="D10">
        <f t="shared" si="0"/>
        <v>2863692</v>
      </c>
      <c r="E10" s="3">
        <f t="shared" si="1"/>
        <v>4.9754954306427457E-2</v>
      </c>
      <c r="F10"/>
      <c r="G10"/>
      <c r="H10"/>
      <c r="I10"/>
    </row>
    <row r="11" spans="1:9" s="2" customFormat="1" x14ac:dyDescent="0.3">
      <c r="A11" t="s">
        <v>7</v>
      </c>
      <c r="B11" s="4">
        <f>((840+420)*2+290+562)+3372</f>
        <v>6744</v>
      </c>
      <c r="C11" s="2">
        <v>476.65</v>
      </c>
      <c r="D11">
        <f t="shared" si="0"/>
        <v>3214527.5999999996</v>
      </c>
      <c r="E11" s="3">
        <f t="shared" si="1"/>
        <v>5.5850515297996402E-2</v>
      </c>
      <c r="F11"/>
      <c r="G11"/>
      <c r="H11"/>
      <c r="I11"/>
    </row>
    <row r="12" spans="1:9" s="2" customFormat="1" x14ac:dyDescent="0.3">
      <c r="A12" t="s">
        <v>9</v>
      </c>
      <c r="B12" s="4">
        <f>1280+1280+1280+910+1300+1300+2940+1300-2365+1475-2568</f>
        <v>8132</v>
      </c>
      <c r="C12" s="2">
        <v>149.01</v>
      </c>
      <c r="D12">
        <f t="shared" si="0"/>
        <v>1211749.3199999998</v>
      </c>
      <c r="E12" s="3">
        <f t="shared" si="1"/>
        <v>2.1053427549975533E-2</v>
      </c>
      <c r="F12"/>
      <c r="G12"/>
      <c r="H12"/>
      <c r="I12"/>
    </row>
    <row r="13" spans="1:9" s="2" customFormat="1" x14ac:dyDescent="0.3">
      <c r="A13" t="s">
        <v>22</v>
      </c>
      <c r="B13" s="4">
        <f>52890-25548-7385-11467-8490</f>
        <v>0</v>
      </c>
      <c r="C13" s="2">
        <v>46.97</v>
      </c>
      <c r="D13">
        <f t="shared" si="0"/>
        <v>0</v>
      </c>
      <c r="E13" s="3">
        <f t="shared" si="1"/>
        <v>0</v>
      </c>
      <c r="F13"/>
      <c r="G13" t="s">
        <v>83</v>
      </c>
      <c r="H13"/>
      <c r="I13"/>
    </row>
    <row r="14" spans="1:9" s="2" customFormat="1" x14ac:dyDescent="0.3">
      <c r="A14" t="s">
        <v>10</v>
      </c>
      <c r="B14" s="4">
        <f>(410+205+135+181)*2</f>
        <v>1862</v>
      </c>
      <c r="C14" s="2">
        <v>2396.3000000000002</v>
      </c>
      <c r="D14">
        <f t="shared" si="0"/>
        <v>4461910.6000000006</v>
      </c>
      <c r="E14" s="3">
        <f t="shared" si="1"/>
        <v>7.7523056956671443E-2</v>
      </c>
      <c r="F14"/>
      <c r="G14"/>
      <c r="H14"/>
      <c r="I14"/>
    </row>
    <row r="15" spans="1:9" s="2" customFormat="1" x14ac:dyDescent="0.3">
      <c r="A15" t="s">
        <v>11</v>
      </c>
      <c r="B15" s="4">
        <f>(1875+937+309+619)*2*2</f>
        <v>14960</v>
      </c>
      <c r="C15" s="2">
        <v>301.05</v>
      </c>
      <c r="D15">
        <f t="shared" si="0"/>
        <v>4503708</v>
      </c>
      <c r="E15" s="3">
        <f t="shared" si="1"/>
        <v>7.8249262053842319E-2</v>
      </c>
      <c r="F15"/>
      <c r="G15"/>
      <c r="H15"/>
      <c r="I15"/>
    </row>
    <row r="16" spans="1:9" s="2" customFormat="1" x14ac:dyDescent="0.3">
      <c r="A16" t="s">
        <v>20</v>
      </c>
      <c r="B16" s="4">
        <f>13763+6317+2811+3464+1538</f>
        <v>27893</v>
      </c>
      <c r="C16" s="2">
        <v>155.80000000000001</v>
      </c>
      <c r="D16">
        <f t="shared" si="0"/>
        <v>4345729.4000000004</v>
      </c>
      <c r="E16" s="3">
        <f t="shared" si="1"/>
        <v>7.5504477340823814E-2</v>
      </c>
      <c r="F16"/>
      <c r="G16"/>
      <c r="H16"/>
      <c r="I16"/>
    </row>
    <row r="17" spans="1:9" s="2" customFormat="1" x14ac:dyDescent="0.3">
      <c r="A17" t="s">
        <v>13</v>
      </c>
      <c r="B17" s="4">
        <f>10500+5250-3258-1143-1205-2468-1535-850-1323-920-438-260-784-783-783</f>
        <v>0</v>
      </c>
      <c r="C17" s="2">
        <v>843.3</v>
      </c>
      <c r="D17">
        <f t="shared" si="0"/>
        <v>0</v>
      </c>
      <c r="E17" s="3">
        <f t="shared" si="1"/>
        <v>0</v>
      </c>
      <c r="F17"/>
      <c r="G17" t="s">
        <v>79</v>
      </c>
      <c r="H17"/>
      <c r="I17"/>
    </row>
    <row r="18" spans="1:9" s="2" customFormat="1" x14ac:dyDescent="0.3">
      <c r="A18" t="s">
        <v>14</v>
      </c>
      <c r="B18" s="4">
        <f>458+115+189</f>
        <v>762</v>
      </c>
      <c r="C18" s="2">
        <v>5277</v>
      </c>
      <c r="D18">
        <f t="shared" si="0"/>
        <v>4021074</v>
      </c>
      <c r="E18" s="3">
        <f t="shared" si="1"/>
        <v>6.9863781835743335E-2</v>
      </c>
      <c r="F18"/>
      <c r="G18"/>
      <c r="H18"/>
      <c r="I18"/>
    </row>
    <row r="19" spans="1:9" s="2" customFormat="1" x14ac:dyDescent="0.3">
      <c r="A19" t="s">
        <v>15</v>
      </c>
      <c r="B19" s="4">
        <f>(3075+1537+1153-53-1428-925-484-459-467-45+2345+1175)*2</f>
        <v>10848</v>
      </c>
      <c r="C19" s="2">
        <v>273.10000000000002</v>
      </c>
      <c r="D19">
        <f t="shared" si="0"/>
        <v>2962588.8000000003</v>
      </c>
      <c r="E19" s="3">
        <f t="shared" si="1"/>
        <v>5.1473227697927629E-2</v>
      </c>
      <c r="F19"/>
      <c r="G19"/>
      <c r="H19"/>
      <c r="I19"/>
    </row>
    <row r="20" spans="1:9" s="2" customFormat="1" x14ac:dyDescent="0.3">
      <c r="A20" t="s">
        <v>18</v>
      </c>
      <c r="B20" s="4">
        <f>7985+1084+1117+2249-5230-405</f>
        <v>6800</v>
      </c>
      <c r="C20" s="2">
        <v>550.20000000000005</v>
      </c>
      <c r="D20">
        <f t="shared" si="0"/>
        <v>3741360.0000000005</v>
      </c>
      <c r="E20" s="3">
        <f t="shared" si="1"/>
        <v>6.5003916567806685E-2</v>
      </c>
      <c r="F20"/>
      <c r="G20"/>
      <c r="H20"/>
      <c r="I20" s="3"/>
    </row>
    <row r="21" spans="1:9" s="2" customFormat="1" x14ac:dyDescent="0.3">
      <c r="A21" t="s">
        <v>19</v>
      </c>
      <c r="B21" s="4">
        <f>2592+518+820</f>
        <v>3930</v>
      </c>
      <c r="C21" s="2">
        <v>1358.8</v>
      </c>
      <c r="D21">
        <f t="shared" si="0"/>
        <v>5340084</v>
      </c>
      <c r="E21" s="3">
        <f t="shared" si="1"/>
        <v>9.2780800244050124E-2</v>
      </c>
      <c r="F21"/>
      <c r="G21"/>
      <c r="H21"/>
      <c r="I21"/>
    </row>
    <row r="22" spans="1:9" s="2" customFormat="1" x14ac:dyDescent="0.3">
      <c r="A22" t="s">
        <v>38</v>
      </c>
      <c r="B22" s="4">
        <f>40235+4295+1952-475+9018-12666-5975-9817+11418+1366-3600+5427-7979-25132+6426</f>
        <v>14493</v>
      </c>
      <c r="C22" s="2">
        <v>111.29</v>
      </c>
      <c r="D22">
        <f t="shared" si="0"/>
        <v>1612925.9700000002</v>
      </c>
      <c r="E22" s="3">
        <f t="shared" si="1"/>
        <v>2.8023634502942426E-2</v>
      </c>
      <c r="F22"/>
      <c r="G22" t="s">
        <v>84</v>
      </c>
      <c r="H22"/>
      <c r="I22"/>
    </row>
    <row r="23" spans="1:9" s="2" customFormat="1" x14ac:dyDescent="0.3">
      <c r="A23"/>
      <c r="B23" s="4"/>
      <c r="D23"/>
      <c r="E23" s="3"/>
      <c r="F23"/>
      <c r="G23"/>
      <c r="H23"/>
      <c r="I23"/>
    </row>
    <row r="24" spans="1:9" s="2" customFormat="1" x14ac:dyDescent="0.3">
      <c r="A24"/>
      <c r="B24" s="4"/>
      <c r="D24">
        <f>SUM(D5:D22)</f>
        <v>57555916.589999996</v>
      </c>
      <c r="E24"/>
      <c r="F24"/>
      <c r="G24"/>
      <c r="H24"/>
      <c r="I24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0BC-2E85-435E-90FB-E0E859F0AD36}">
  <sheetPr>
    <pageSetUpPr fitToPage="1"/>
  </sheetPr>
  <dimension ref="A1:K22"/>
  <sheetViews>
    <sheetView workbookViewId="0">
      <selection activeCell="C21" sqref="C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" customWidth="1"/>
  </cols>
  <sheetData>
    <row r="1" spans="1:11" x14ac:dyDescent="0.3">
      <c r="A1" t="s">
        <v>0</v>
      </c>
      <c r="B1" s="1">
        <v>45978</v>
      </c>
      <c r="C1" s="2" t="s">
        <v>85</v>
      </c>
      <c r="E1" s="3"/>
    </row>
    <row r="2" spans="1:11" x14ac:dyDescent="0.3">
      <c r="B2" s="4"/>
      <c r="E2" s="3"/>
    </row>
    <row r="3" spans="1:11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1" x14ac:dyDescent="0.3">
      <c r="B4" s="4"/>
      <c r="E4" s="3"/>
    </row>
    <row r="5" spans="1:11" s="2" customFormat="1" x14ac:dyDescent="0.3">
      <c r="A5" t="s">
        <v>17</v>
      </c>
      <c r="B5" s="4">
        <f>4326+2424</f>
        <v>6750</v>
      </c>
      <c r="C5" s="2">
        <v>1009.8</v>
      </c>
      <c r="D5">
        <f t="shared" ref="D5:D20" si="0">C5*B5</f>
        <v>6816150</v>
      </c>
      <c r="E5" s="3">
        <f t="shared" ref="E5:E20" si="1">D5/$D$22</f>
        <v>0.12079433938637502</v>
      </c>
      <c r="F5"/>
      <c r="G5"/>
      <c r="H5"/>
      <c r="I5"/>
    </row>
    <row r="6" spans="1:11" s="2" customFormat="1" x14ac:dyDescent="0.3">
      <c r="A6" t="s">
        <v>21</v>
      </c>
      <c r="B6" s="4">
        <f>448*2+37+403+478+149+306+290</f>
        <v>2559</v>
      </c>
      <c r="C6" s="2">
        <v>1093.5999999999999</v>
      </c>
      <c r="D6">
        <f t="shared" si="0"/>
        <v>2798522.4</v>
      </c>
      <c r="E6" s="3">
        <f t="shared" si="1"/>
        <v>4.959481005640614E-2</v>
      </c>
      <c r="F6"/>
      <c r="G6"/>
      <c r="H6"/>
      <c r="I6"/>
    </row>
    <row r="7" spans="1:11" s="2" customFormat="1" x14ac:dyDescent="0.3">
      <c r="A7" t="s">
        <v>23</v>
      </c>
      <c r="B7" s="4">
        <f>1410+2189</f>
        <v>3599</v>
      </c>
      <c r="C7" s="2">
        <v>1033.8</v>
      </c>
      <c r="D7">
        <f t="shared" si="0"/>
        <v>3720646.1999999997</v>
      </c>
      <c r="E7" s="3">
        <f t="shared" si="1"/>
        <v>6.5936489047251967E-2</v>
      </c>
      <c r="F7"/>
      <c r="G7"/>
      <c r="H7"/>
      <c r="I7"/>
    </row>
    <row r="8" spans="1:11" s="2" customFormat="1" x14ac:dyDescent="0.3">
      <c r="A8" t="s">
        <v>52</v>
      </c>
      <c r="B8" s="4">
        <f>130+126+33+57+173+130</f>
        <v>649</v>
      </c>
      <c r="C8" s="2">
        <v>1777.7</v>
      </c>
      <c r="D8">
        <f t="shared" si="0"/>
        <v>1153727.3</v>
      </c>
      <c r="E8" s="3">
        <f t="shared" si="1"/>
        <v>2.0446106238202814E-2</v>
      </c>
      <c r="F8"/>
      <c r="G8"/>
      <c r="H8"/>
      <c r="I8"/>
    </row>
    <row r="9" spans="1:11" s="2" customFormat="1" x14ac:dyDescent="0.3">
      <c r="A9" t="s">
        <v>47</v>
      </c>
      <c r="B9" s="4">
        <f>724+289+144+275-367</f>
        <v>1065</v>
      </c>
      <c r="C9" s="2">
        <v>2611.6</v>
      </c>
      <c r="D9">
        <f t="shared" si="0"/>
        <v>2781354</v>
      </c>
      <c r="E9" s="3">
        <f t="shared" si="1"/>
        <v>4.9290555376517782E-2</v>
      </c>
      <c r="F9"/>
      <c r="G9" t="s">
        <v>86</v>
      </c>
      <c r="H9"/>
      <c r="I9"/>
    </row>
    <row r="10" spans="1:11" s="2" customFormat="1" x14ac:dyDescent="0.3">
      <c r="A10" t="s">
        <v>76</v>
      </c>
      <c r="B10" s="4">
        <v>3770</v>
      </c>
      <c r="C10" s="2">
        <v>735.5</v>
      </c>
      <c r="D10">
        <f t="shared" si="0"/>
        <v>2772835</v>
      </c>
      <c r="E10" s="3">
        <f t="shared" si="1"/>
        <v>4.9139583496903554E-2</v>
      </c>
      <c r="F10"/>
      <c r="G10"/>
      <c r="H10"/>
      <c r="I10"/>
    </row>
    <row r="11" spans="1:11" s="2" customFormat="1" x14ac:dyDescent="0.3">
      <c r="A11" t="s">
        <v>7</v>
      </c>
      <c r="B11" s="4">
        <f>((840+420)*2+290+562)+3372</f>
        <v>6744</v>
      </c>
      <c r="C11" s="2">
        <v>480.9</v>
      </c>
      <c r="D11">
        <f t="shared" si="0"/>
        <v>3243189.5999999996</v>
      </c>
      <c r="E11" s="3">
        <f t="shared" si="1"/>
        <v>5.7475106216377539E-2</v>
      </c>
      <c r="F11"/>
      <c r="G11"/>
      <c r="H11"/>
      <c r="I11"/>
    </row>
    <row r="12" spans="1:11" s="2" customFormat="1" x14ac:dyDescent="0.3">
      <c r="A12" t="s">
        <v>9</v>
      </c>
      <c r="B12" s="4">
        <f>1280+1280+1280+910+1300+1300+2940+1300-2365+1475-2568</f>
        <v>8132</v>
      </c>
      <c r="C12" s="2">
        <v>139.53</v>
      </c>
      <c r="D12">
        <f t="shared" si="0"/>
        <v>1134657.96</v>
      </c>
      <c r="E12" s="3">
        <f t="shared" si="1"/>
        <v>2.0108163509854084E-2</v>
      </c>
      <c r="F12"/>
      <c r="G12"/>
      <c r="H12"/>
      <c r="I12"/>
    </row>
    <row r="13" spans="1:11" s="2" customFormat="1" x14ac:dyDescent="0.3">
      <c r="A13" t="s">
        <v>10</v>
      </c>
      <c r="B13" s="4">
        <f>(410+205+135+181)*2</f>
        <v>1862</v>
      </c>
      <c r="C13" s="2">
        <v>2495.6</v>
      </c>
      <c r="D13">
        <f t="shared" si="0"/>
        <v>4646807.2</v>
      </c>
      <c r="E13" s="3">
        <f t="shared" si="1"/>
        <v>8.2349714425276874E-2</v>
      </c>
      <c r="F13"/>
      <c r="G13"/>
      <c r="H13"/>
      <c r="I13"/>
    </row>
    <row r="14" spans="1:11" s="2" customFormat="1" x14ac:dyDescent="0.3">
      <c r="A14" t="s">
        <v>11</v>
      </c>
      <c r="B14" s="4">
        <f>(1875+937+309+619)*2*2-3720</f>
        <v>11240</v>
      </c>
      <c r="C14" s="2">
        <v>273</v>
      </c>
      <c r="D14">
        <f t="shared" si="0"/>
        <v>3068520</v>
      </c>
      <c r="E14" s="3">
        <f t="shared" si="1"/>
        <v>5.4379649258581374E-2</v>
      </c>
      <c r="F14"/>
      <c r="G14" t="s">
        <v>87</v>
      </c>
      <c r="H14"/>
      <c r="I14"/>
      <c r="K14" s="5"/>
    </row>
    <row r="15" spans="1:11" s="2" customFormat="1" x14ac:dyDescent="0.3">
      <c r="A15" t="s">
        <v>20</v>
      </c>
      <c r="B15" s="4">
        <f>13763+6317+2811+3464+1538</f>
        <v>27893</v>
      </c>
      <c r="C15" s="2">
        <v>153.80000000000001</v>
      </c>
      <c r="D15">
        <f t="shared" si="0"/>
        <v>4289943.4000000004</v>
      </c>
      <c r="E15" s="3">
        <f t="shared" si="1"/>
        <v>7.6025451172280475E-2</v>
      </c>
      <c r="F15"/>
      <c r="G15"/>
      <c r="H15"/>
      <c r="I15"/>
    </row>
    <row r="16" spans="1:11" s="2" customFormat="1" x14ac:dyDescent="0.3">
      <c r="A16" t="s">
        <v>14</v>
      </c>
      <c r="B16" s="4">
        <f>458+115+189</f>
        <v>762</v>
      </c>
      <c r="C16" s="2">
        <v>5153</v>
      </c>
      <c r="D16">
        <f t="shared" si="0"/>
        <v>3926586</v>
      </c>
      <c r="E16" s="3">
        <f t="shared" si="1"/>
        <v>6.9586109741391941E-2</v>
      </c>
      <c r="F16"/>
      <c r="G16"/>
      <c r="H16"/>
      <c r="I16"/>
    </row>
    <row r="17" spans="1:9" s="2" customFormat="1" x14ac:dyDescent="0.3">
      <c r="A17" t="s">
        <v>15</v>
      </c>
      <c r="B17" s="4">
        <f>(3075+1537+1153-53-1428-925-484-459-467-45+2345+1175)*2</f>
        <v>10848</v>
      </c>
      <c r="C17" s="2">
        <v>276.5</v>
      </c>
      <c r="D17">
        <f t="shared" si="0"/>
        <v>2999472</v>
      </c>
      <c r="E17" s="3">
        <f t="shared" si="1"/>
        <v>5.3155995503022822E-2</v>
      </c>
      <c r="F17"/>
      <c r="G17"/>
      <c r="H17"/>
      <c r="I17"/>
    </row>
    <row r="18" spans="1:9" s="2" customFormat="1" x14ac:dyDescent="0.3">
      <c r="A18" t="s">
        <v>18</v>
      </c>
      <c r="B18" s="4">
        <f>7985+1084+1117+2249-5230-405</f>
        <v>6800</v>
      </c>
      <c r="C18" s="2">
        <v>555.5</v>
      </c>
      <c r="D18">
        <f t="shared" si="0"/>
        <v>3777400</v>
      </c>
      <c r="E18" s="3">
        <f t="shared" si="1"/>
        <v>6.6942267643478062E-2</v>
      </c>
      <c r="F18"/>
      <c r="G18"/>
      <c r="H18"/>
      <c r="I18" s="3"/>
    </row>
    <row r="19" spans="1:9" s="2" customFormat="1" x14ac:dyDescent="0.3">
      <c r="A19" t="s">
        <v>19</v>
      </c>
      <c r="B19" s="4">
        <f>2592+518+820</f>
        <v>3930</v>
      </c>
      <c r="C19" s="2">
        <v>1449.4</v>
      </c>
      <c r="D19">
        <f t="shared" si="0"/>
        <v>5696142</v>
      </c>
      <c r="E19" s="3">
        <f t="shared" si="1"/>
        <v>0.10094579930620437</v>
      </c>
      <c r="F19"/>
      <c r="G19"/>
      <c r="H19"/>
      <c r="I19"/>
    </row>
    <row r="20" spans="1:9" s="2" customFormat="1" x14ac:dyDescent="0.3">
      <c r="A20" t="s">
        <v>38</v>
      </c>
      <c r="B20" s="4">
        <f>40235+4295+1952-475+9018-12666-5975-9817+11418+1366-3600+5427-7979-25132+6426+17836</f>
        <v>32329</v>
      </c>
      <c r="C20" s="2">
        <v>111.41</v>
      </c>
      <c r="D20">
        <f t="shared" si="0"/>
        <v>3601773.8899999997</v>
      </c>
      <c r="E20" s="3">
        <f t="shared" si="1"/>
        <v>6.3829859621875124E-2</v>
      </c>
      <c r="F20"/>
      <c r="G20" t="s">
        <v>88</v>
      </c>
      <c r="H20"/>
      <c r="I20"/>
    </row>
    <row r="21" spans="1:9" s="2" customFormat="1" x14ac:dyDescent="0.3">
      <c r="A21"/>
      <c r="B21" s="4"/>
      <c r="D21"/>
      <c r="E21" s="3"/>
      <c r="F21"/>
      <c r="G21"/>
      <c r="H21"/>
      <c r="I21"/>
    </row>
    <row r="22" spans="1:9" s="2" customFormat="1" x14ac:dyDescent="0.3">
      <c r="A22"/>
      <c r="B22" s="4"/>
      <c r="D22">
        <f>SUM(D5:D20)</f>
        <v>56427726.950000003</v>
      </c>
      <c r="E22"/>
      <c r="F22"/>
      <c r="G22"/>
      <c r="H22"/>
      <c r="I22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1999-6246-4B1C-A895-ED20DE51F490}">
  <sheetPr>
    <pageSetUpPr fitToPage="1"/>
  </sheetPr>
  <dimension ref="A1:K23"/>
  <sheetViews>
    <sheetView workbookViewId="0">
      <selection activeCell="G6" sqref="G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" customWidth="1"/>
  </cols>
  <sheetData>
    <row r="1" spans="1:11" x14ac:dyDescent="0.3">
      <c r="A1" t="s">
        <v>0</v>
      </c>
      <c r="B1" s="1">
        <v>45981</v>
      </c>
      <c r="C1" s="2" t="s">
        <v>89</v>
      </c>
      <c r="E1" s="3"/>
    </row>
    <row r="2" spans="1:11" x14ac:dyDescent="0.3">
      <c r="B2" s="4"/>
      <c r="E2" s="3"/>
    </row>
    <row r="3" spans="1:11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1" x14ac:dyDescent="0.3">
      <c r="B4" s="4"/>
      <c r="E4" s="3"/>
    </row>
    <row r="5" spans="1:11" x14ac:dyDescent="0.3">
      <c r="A5" t="s">
        <v>90</v>
      </c>
      <c r="B5" s="4">
        <v>2265</v>
      </c>
      <c r="C5" s="2">
        <v>742.55</v>
      </c>
      <c r="D5">
        <f t="shared" ref="D5:D21" si="0">C5*B5</f>
        <v>1681875.75</v>
      </c>
      <c r="E5" s="3">
        <f t="shared" ref="E5:E21" si="1">D5/$D$23</f>
        <v>3.0004655104092021E-2</v>
      </c>
      <c r="G5" t="s">
        <v>91</v>
      </c>
    </row>
    <row r="6" spans="1:11" s="2" customFormat="1" x14ac:dyDescent="0.3">
      <c r="A6" t="s">
        <v>17</v>
      </c>
      <c r="B6" s="4">
        <f>4326+2424</f>
        <v>6750</v>
      </c>
      <c r="C6" s="2">
        <v>993.3</v>
      </c>
      <c r="D6">
        <f t="shared" si="0"/>
        <v>6704775</v>
      </c>
      <c r="E6" s="3">
        <f t="shared" si="1"/>
        <v>0.11961315300820444</v>
      </c>
      <c r="F6"/>
      <c r="G6"/>
      <c r="H6"/>
      <c r="I6"/>
    </row>
    <row r="7" spans="1:11" s="2" customFormat="1" x14ac:dyDescent="0.3">
      <c r="A7" t="s">
        <v>21</v>
      </c>
      <c r="B7" s="4">
        <f>448*2+37+403+478+149+306+290</f>
        <v>2559</v>
      </c>
      <c r="C7" s="2">
        <v>1105.0999999999999</v>
      </c>
      <c r="D7">
        <f t="shared" si="0"/>
        <v>2827950.9</v>
      </c>
      <c r="E7" s="3">
        <f t="shared" si="1"/>
        <v>5.0450630140666829E-2</v>
      </c>
      <c r="F7"/>
      <c r="G7"/>
      <c r="H7"/>
      <c r="I7"/>
    </row>
    <row r="8" spans="1:11" s="2" customFormat="1" x14ac:dyDescent="0.3">
      <c r="A8" t="s">
        <v>23</v>
      </c>
      <c r="B8" s="4">
        <f>1410+2189</f>
        <v>3599</v>
      </c>
      <c r="C8" s="2">
        <v>1011.6</v>
      </c>
      <c r="D8">
        <f t="shared" si="0"/>
        <v>3640748.4</v>
      </c>
      <c r="E8" s="3">
        <f t="shared" si="1"/>
        <v>6.4950933541181546E-2</v>
      </c>
      <c r="F8"/>
      <c r="G8"/>
      <c r="H8"/>
      <c r="I8"/>
    </row>
    <row r="9" spans="1:11" s="2" customFormat="1" x14ac:dyDescent="0.3">
      <c r="A9" t="s">
        <v>52</v>
      </c>
      <c r="B9" s="4">
        <f>130+126+33+57+173+130</f>
        <v>649</v>
      </c>
      <c r="C9" s="2">
        <v>1744.6</v>
      </c>
      <c r="D9">
        <f t="shared" si="0"/>
        <v>1132245.3999999999</v>
      </c>
      <c r="E9" s="3">
        <f t="shared" si="1"/>
        <v>2.0199252364626049E-2</v>
      </c>
      <c r="F9"/>
      <c r="G9"/>
      <c r="H9"/>
      <c r="I9"/>
    </row>
    <row r="10" spans="1:11" s="2" customFormat="1" x14ac:dyDescent="0.3">
      <c r="A10" t="s">
        <v>47</v>
      </c>
      <c r="B10" s="4">
        <f>724+289+144+275-367</f>
        <v>1065</v>
      </c>
      <c r="C10" s="2">
        <v>2585.6999999999998</v>
      </c>
      <c r="D10">
        <f t="shared" si="0"/>
        <v>2753770.5</v>
      </c>
      <c r="E10" s="3">
        <f t="shared" si="1"/>
        <v>4.9127252169682001E-2</v>
      </c>
      <c r="F10"/>
      <c r="G10"/>
      <c r="H10"/>
      <c r="I10"/>
    </row>
    <row r="11" spans="1:11" s="2" customFormat="1" x14ac:dyDescent="0.3">
      <c r="A11" t="s">
        <v>76</v>
      </c>
      <c r="B11" s="4">
        <v>3770</v>
      </c>
      <c r="C11" s="2">
        <v>743.05</v>
      </c>
      <c r="D11">
        <f t="shared" si="0"/>
        <v>2801298.5</v>
      </c>
      <c r="E11" s="3">
        <f t="shared" si="1"/>
        <v>4.9975151455813743E-2</v>
      </c>
      <c r="F11"/>
      <c r="G11"/>
      <c r="H11"/>
      <c r="I11"/>
    </row>
    <row r="12" spans="1:11" s="2" customFormat="1" x14ac:dyDescent="0.3">
      <c r="A12" t="s">
        <v>7</v>
      </c>
      <c r="B12" s="4">
        <f>((840+420)*2+290+562)+3372</f>
        <v>6744</v>
      </c>
      <c r="C12" s="2">
        <v>470.05</v>
      </c>
      <c r="D12">
        <f t="shared" si="0"/>
        <v>3170017.2</v>
      </c>
      <c r="E12" s="3">
        <f t="shared" si="1"/>
        <v>5.655309124948113E-2</v>
      </c>
      <c r="F12"/>
      <c r="G12"/>
      <c r="H12"/>
      <c r="I12"/>
    </row>
    <row r="13" spans="1:11" s="2" customFormat="1" x14ac:dyDescent="0.3">
      <c r="A13" t="s">
        <v>9</v>
      </c>
      <c r="B13" s="4">
        <f>1280+1280+1280+910+1300+1300+2940+1300-2365+1475-2568</f>
        <v>8132</v>
      </c>
      <c r="C13" s="2">
        <v>138.65</v>
      </c>
      <c r="D13">
        <f t="shared" si="0"/>
        <v>1127501.8</v>
      </c>
      <c r="E13" s="3">
        <f t="shared" si="1"/>
        <v>2.0114626563967609E-2</v>
      </c>
      <c r="F13"/>
      <c r="G13"/>
      <c r="H13"/>
      <c r="I13"/>
    </row>
    <row r="14" spans="1:11" s="2" customFormat="1" x14ac:dyDescent="0.3">
      <c r="A14" t="s">
        <v>10</v>
      </c>
      <c r="B14" s="4">
        <f>(410+205+135+181)*2</f>
        <v>1862</v>
      </c>
      <c r="C14" s="2">
        <v>2416.1999999999998</v>
      </c>
      <c r="D14">
        <f t="shared" si="0"/>
        <v>4498964.3999999994</v>
      </c>
      <c r="E14" s="3">
        <f t="shared" si="1"/>
        <v>8.0261502758208078E-2</v>
      </c>
      <c r="F14"/>
      <c r="G14"/>
      <c r="H14"/>
      <c r="I14"/>
    </row>
    <row r="15" spans="1:11" s="2" customFormat="1" x14ac:dyDescent="0.3">
      <c r="A15" t="s">
        <v>11</v>
      </c>
      <c r="B15" s="4">
        <f>(1875+937+309+619)*2*2-3720</f>
        <v>11240</v>
      </c>
      <c r="C15" s="2">
        <v>263.95</v>
      </c>
      <c r="D15">
        <f t="shared" si="0"/>
        <v>2966798</v>
      </c>
      <c r="E15" s="3">
        <f t="shared" si="1"/>
        <v>5.2927661721449998E-2</v>
      </c>
      <c r="F15"/>
      <c r="G15"/>
      <c r="H15"/>
      <c r="I15"/>
      <c r="K15" s="5"/>
    </row>
    <row r="16" spans="1:11" s="2" customFormat="1" x14ac:dyDescent="0.3">
      <c r="A16" t="s">
        <v>20</v>
      </c>
      <c r="B16" s="4">
        <f>13763+6317+2811+3464+1538</f>
        <v>27893</v>
      </c>
      <c r="C16" s="2">
        <v>159.43</v>
      </c>
      <c r="D16">
        <f t="shared" si="0"/>
        <v>4446980.99</v>
      </c>
      <c r="E16" s="3">
        <f t="shared" si="1"/>
        <v>7.9334118979599827E-2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5368</v>
      </c>
      <c r="D17">
        <f t="shared" si="0"/>
        <v>4090416</v>
      </c>
      <c r="E17" s="3">
        <f t="shared" si="1"/>
        <v>7.2973001312528388E-2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272.75</v>
      </c>
      <c r="D18">
        <f t="shared" si="0"/>
        <v>2958792</v>
      </c>
      <c r="E18" s="3">
        <f t="shared" si="1"/>
        <v>5.2784834720844657E-2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536.85</v>
      </c>
      <c r="D19">
        <f t="shared" si="0"/>
        <v>3650580</v>
      </c>
      <c r="E19" s="3">
        <f t="shared" si="1"/>
        <v>6.5126329236803768E-2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1445.8</v>
      </c>
      <c r="D20">
        <f t="shared" si="0"/>
        <v>5681994</v>
      </c>
      <c r="E20" s="3">
        <f t="shared" si="1"/>
        <v>0.1013667450009433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40235+4295+1952-475+9018-12666-5975-9817+11418+1366-3600+5427-7979-25132+6426+17836-15111</f>
        <v>17218</v>
      </c>
      <c r="C21" s="2">
        <v>111.46</v>
      </c>
      <c r="D21">
        <f t="shared" si="0"/>
        <v>1919118.2799999998</v>
      </c>
      <c r="E21" s="3">
        <f t="shared" si="1"/>
        <v>3.423706067190653E-2</v>
      </c>
      <c r="F21"/>
      <c r="G21" t="s">
        <v>92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56053827.120000005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E3F6-9CCB-421D-944F-228F77EFA522}">
  <sheetPr>
    <pageSetUpPr fitToPage="1"/>
  </sheetPr>
  <dimension ref="A1:K23"/>
  <sheetViews>
    <sheetView workbookViewId="0">
      <selection activeCell="B6" sqref="B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" customWidth="1"/>
  </cols>
  <sheetData>
    <row r="1" spans="1:11" x14ac:dyDescent="0.3">
      <c r="A1" t="s">
        <v>0</v>
      </c>
      <c r="B1" s="1">
        <v>45999</v>
      </c>
      <c r="C1" s="2" t="s">
        <v>93</v>
      </c>
      <c r="E1" s="3"/>
    </row>
    <row r="2" spans="1:11" x14ac:dyDescent="0.3">
      <c r="B2" s="4"/>
      <c r="E2" s="3"/>
    </row>
    <row r="3" spans="1:11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1" x14ac:dyDescent="0.3">
      <c r="B4" s="4"/>
      <c r="E4" s="3"/>
    </row>
    <row r="5" spans="1:11" x14ac:dyDescent="0.3">
      <c r="A5" t="s">
        <v>90</v>
      </c>
      <c r="B5" s="4">
        <f>2265+463</f>
        <v>2728</v>
      </c>
      <c r="C5" s="2">
        <v>684.65</v>
      </c>
      <c r="D5">
        <f t="shared" ref="D5:D21" si="0">C5*B5</f>
        <v>1867725.2</v>
      </c>
      <c r="E5" s="3">
        <f t="shared" ref="E5:E21" si="1">D5/$D$23</f>
        <v>3.6121754021006126E-2</v>
      </c>
      <c r="G5" t="s">
        <v>94</v>
      </c>
    </row>
    <row r="6" spans="1:11" s="2" customFormat="1" x14ac:dyDescent="0.3">
      <c r="A6" t="s">
        <v>17</v>
      </c>
      <c r="B6" s="4">
        <f>4326+2424</f>
        <v>6750</v>
      </c>
      <c r="C6" s="2">
        <v>880.3</v>
      </c>
      <c r="D6">
        <f t="shared" si="0"/>
        <v>5942025</v>
      </c>
      <c r="E6" s="3">
        <f t="shared" si="1"/>
        <v>0.11491860014346271</v>
      </c>
      <c r="F6"/>
      <c r="G6"/>
      <c r="H6"/>
      <c r="I6"/>
    </row>
    <row r="7" spans="1:11" s="2" customFormat="1" x14ac:dyDescent="0.3">
      <c r="A7" t="s">
        <v>21</v>
      </c>
      <c r="B7" s="4">
        <f>448*2+37+403+478+149+306+290</f>
        <v>2559</v>
      </c>
      <c r="C7" s="2">
        <v>1030.2</v>
      </c>
      <c r="D7">
        <f t="shared" si="0"/>
        <v>2636281.8000000003</v>
      </c>
      <c r="E7" s="3">
        <f t="shared" si="1"/>
        <v>5.0985617536056842E-2</v>
      </c>
      <c r="F7"/>
      <c r="G7"/>
      <c r="H7"/>
      <c r="I7"/>
    </row>
    <row r="8" spans="1:11" s="2" customFormat="1" x14ac:dyDescent="0.3">
      <c r="A8" t="s">
        <v>23</v>
      </c>
      <c r="B8" s="4">
        <f>1410+2189</f>
        <v>3599</v>
      </c>
      <c r="C8" s="2">
        <v>862.95</v>
      </c>
      <c r="D8">
        <f t="shared" si="0"/>
        <v>3105757.0500000003</v>
      </c>
      <c r="E8" s="3">
        <f t="shared" si="1"/>
        <v>6.0065255964370796E-2</v>
      </c>
      <c r="F8"/>
      <c r="G8"/>
      <c r="H8"/>
      <c r="I8"/>
    </row>
    <row r="9" spans="1:11" s="2" customFormat="1" x14ac:dyDescent="0.3">
      <c r="A9" t="s">
        <v>52</v>
      </c>
      <c r="B9" s="4">
        <f>130+126+33+57+173+130</f>
        <v>649</v>
      </c>
      <c r="C9" s="2">
        <v>1554.2</v>
      </c>
      <c r="D9">
        <f t="shared" si="0"/>
        <v>1008675.8</v>
      </c>
      <c r="E9" s="3">
        <f t="shared" si="1"/>
        <v>1.9507762241758892E-2</v>
      </c>
      <c r="F9"/>
      <c r="G9"/>
      <c r="H9"/>
      <c r="I9"/>
    </row>
    <row r="10" spans="1:11" s="2" customFormat="1" x14ac:dyDescent="0.3">
      <c r="A10" t="s">
        <v>47</v>
      </c>
      <c r="B10" s="4">
        <f>724+289+144+275-367</f>
        <v>1065</v>
      </c>
      <c r="C10" s="2">
        <v>2023</v>
      </c>
      <c r="D10">
        <f t="shared" si="0"/>
        <v>2154495</v>
      </c>
      <c r="E10" s="3">
        <f t="shared" si="1"/>
        <v>4.1667874069208681E-2</v>
      </c>
      <c r="F10"/>
      <c r="G10"/>
      <c r="H10"/>
      <c r="I10"/>
    </row>
    <row r="11" spans="1:11" s="2" customFormat="1" x14ac:dyDescent="0.3">
      <c r="A11" t="s">
        <v>76</v>
      </c>
      <c r="B11" s="4">
        <v>3770</v>
      </c>
      <c r="C11" s="2">
        <v>704.85</v>
      </c>
      <c r="D11">
        <f t="shared" si="0"/>
        <v>2657284.5</v>
      </c>
      <c r="E11" s="3">
        <f t="shared" si="1"/>
        <v>5.1391809176656318E-2</v>
      </c>
      <c r="F11"/>
      <c r="G11"/>
      <c r="H11"/>
      <c r="I11"/>
    </row>
    <row r="12" spans="1:11" s="2" customFormat="1" x14ac:dyDescent="0.3">
      <c r="A12" t="s">
        <v>7</v>
      </c>
      <c r="B12" s="4">
        <f>((840+420)*2+290+562)+3372</f>
        <v>6744</v>
      </c>
      <c r="C12" s="2">
        <v>457.75</v>
      </c>
      <c r="D12">
        <f t="shared" si="0"/>
        <v>3087066</v>
      </c>
      <c r="E12" s="3">
        <f t="shared" si="1"/>
        <v>5.970377157122006E-2</v>
      </c>
      <c r="F12"/>
      <c r="G12"/>
      <c r="H12"/>
      <c r="I12"/>
    </row>
    <row r="13" spans="1:11" s="2" customFormat="1" x14ac:dyDescent="0.3">
      <c r="A13" t="s">
        <v>9</v>
      </c>
      <c r="B13" s="4">
        <f>1280+1280+1280+910+1300+1300+2940+1300-2365+1475-2568</f>
        <v>8132</v>
      </c>
      <c r="C13" s="2">
        <v>156.62</v>
      </c>
      <c r="D13">
        <f t="shared" si="0"/>
        <v>1273633.8400000001</v>
      </c>
      <c r="E13" s="3">
        <f t="shared" si="1"/>
        <v>2.4632043451204424E-2</v>
      </c>
      <c r="F13"/>
      <c r="G13"/>
      <c r="H13"/>
      <c r="I13"/>
    </row>
    <row r="14" spans="1:11" s="2" customFormat="1" x14ac:dyDescent="0.3">
      <c r="A14" t="s">
        <v>10</v>
      </c>
      <c r="B14" s="4">
        <f>(410+205+135+181)*2</f>
        <v>1862</v>
      </c>
      <c r="C14" s="2">
        <v>2140</v>
      </c>
      <c r="D14">
        <f t="shared" si="0"/>
        <v>3984680</v>
      </c>
      <c r="E14" s="3">
        <f t="shared" si="1"/>
        <v>7.7063601654259781E-2</v>
      </c>
      <c r="F14"/>
      <c r="G14"/>
      <c r="H14"/>
      <c r="I14"/>
    </row>
    <row r="15" spans="1:11" s="2" customFormat="1" x14ac:dyDescent="0.3">
      <c r="A15" t="s">
        <v>11</v>
      </c>
      <c r="B15" s="4">
        <f>(1875+937+309+619)*2*2-3720</f>
        <v>11240</v>
      </c>
      <c r="C15" s="2">
        <v>251.25</v>
      </c>
      <c r="D15">
        <f t="shared" si="0"/>
        <v>2824050</v>
      </c>
      <c r="E15" s="3">
        <f t="shared" si="1"/>
        <v>5.4617049361984485E-2</v>
      </c>
      <c r="F15"/>
      <c r="G15"/>
      <c r="H15"/>
      <c r="I15"/>
      <c r="K15" s="5"/>
    </row>
    <row r="16" spans="1:11" s="2" customFormat="1" x14ac:dyDescent="0.3">
      <c r="A16" t="s">
        <v>20</v>
      </c>
      <c r="B16" s="4">
        <f>13763+6317+2811+3464+1538</f>
        <v>27893</v>
      </c>
      <c r="C16" s="2">
        <v>137.47999999999999</v>
      </c>
      <c r="D16">
        <f t="shared" si="0"/>
        <v>3834729.6399999997</v>
      </c>
      <c r="E16" s="3">
        <f t="shared" si="1"/>
        <v>7.4163565814254345E-2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5189.5</v>
      </c>
      <c r="D17">
        <f t="shared" si="0"/>
        <v>3954399</v>
      </c>
      <c r="E17" s="3">
        <f t="shared" si="1"/>
        <v>7.6477967946736808E-2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267.2</v>
      </c>
      <c r="D18">
        <f t="shared" si="0"/>
        <v>2898585.6000000001</v>
      </c>
      <c r="E18" s="3">
        <f t="shared" si="1"/>
        <v>5.6058565816872019E-2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516.6</v>
      </c>
      <c r="D19">
        <f t="shared" si="0"/>
        <v>3512880</v>
      </c>
      <c r="E19" s="3">
        <f t="shared" si="1"/>
        <v>6.7939002624857234E-2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1362.2</v>
      </c>
      <c r="D20">
        <f t="shared" si="0"/>
        <v>5353446</v>
      </c>
      <c r="E20" s="3">
        <f t="shared" si="1"/>
        <v>0.10353549846451671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40235+4295+1952-475+9018-12666-5975-9817+11418+1366-3600+5427-7979-25132+6426+17836-15111-2801</f>
        <v>14417</v>
      </c>
      <c r="C21" s="2">
        <v>111.72</v>
      </c>
      <c r="D21">
        <f t="shared" si="0"/>
        <v>1610667.24</v>
      </c>
      <c r="E21" s="3">
        <f t="shared" si="1"/>
        <v>3.1150260141573738E-2</v>
      </c>
      <c r="F21"/>
      <c r="G21" t="s">
        <v>95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51706381.670000002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66C7-3927-4F72-B25C-0036813593C8}">
  <sheetPr>
    <pageSetUpPr fitToPage="1"/>
  </sheetPr>
  <dimension ref="A1:K23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" customWidth="1"/>
  </cols>
  <sheetData>
    <row r="1" spans="1:11" x14ac:dyDescent="0.3">
      <c r="A1" t="s">
        <v>0</v>
      </c>
      <c r="B1" s="1">
        <v>46020</v>
      </c>
      <c r="C1" s="2" t="s">
        <v>96</v>
      </c>
      <c r="E1" s="3"/>
    </row>
    <row r="2" spans="1:11" x14ac:dyDescent="0.3">
      <c r="B2" s="4"/>
      <c r="E2" s="3"/>
    </row>
    <row r="3" spans="1:11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1" x14ac:dyDescent="0.3">
      <c r="B4" s="4"/>
      <c r="E4" s="3"/>
    </row>
    <row r="5" spans="1:11" x14ac:dyDescent="0.3">
      <c r="A5" t="s">
        <v>90</v>
      </c>
      <c r="B5" s="4">
        <f>2265+463</f>
        <v>2728</v>
      </c>
      <c r="C5" s="2">
        <v>891.95</v>
      </c>
      <c r="D5">
        <f t="shared" ref="D5:D21" si="0">C5*B5</f>
        <v>2433239.6</v>
      </c>
      <c r="E5" s="3">
        <f t="shared" ref="E5:E21" si="1">D5/$D$23</f>
        <v>4.5857115485690297E-2</v>
      </c>
    </row>
    <row r="6" spans="1:11" s="2" customFormat="1" x14ac:dyDescent="0.3">
      <c r="A6" t="s">
        <v>17</v>
      </c>
      <c r="B6" s="4">
        <f>4326+2424</f>
        <v>6750</v>
      </c>
      <c r="C6" s="2">
        <v>980.05</v>
      </c>
      <c r="D6">
        <f t="shared" si="0"/>
        <v>6615337.5</v>
      </c>
      <c r="E6" s="3">
        <f t="shared" si="1"/>
        <v>0.12467341716546028</v>
      </c>
      <c r="F6"/>
      <c r="G6"/>
      <c r="H6"/>
      <c r="I6"/>
    </row>
    <row r="7" spans="1:11" s="2" customFormat="1" x14ac:dyDescent="0.3">
      <c r="A7" t="s">
        <v>21</v>
      </c>
      <c r="B7" s="4">
        <f>448*2+37+403+478+149+306+290</f>
        <v>2559</v>
      </c>
      <c r="C7" s="2">
        <v>1066.3</v>
      </c>
      <c r="D7">
        <f t="shared" si="0"/>
        <v>2728661.6999999997</v>
      </c>
      <c r="E7" s="3">
        <f t="shared" si="1"/>
        <v>5.1424674618266115E-2</v>
      </c>
      <c r="F7"/>
      <c r="G7"/>
      <c r="H7"/>
      <c r="I7"/>
    </row>
    <row r="8" spans="1:11" s="2" customFormat="1" x14ac:dyDescent="0.3">
      <c r="A8" t="s">
        <v>23</v>
      </c>
      <c r="B8" s="4">
        <f>1410+2189</f>
        <v>3599</v>
      </c>
      <c r="C8" s="2">
        <v>859.2</v>
      </c>
      <c r="D8">
        <f t="shared" si="0"/>
        <v>3092260.8000000003</v>
      </c>
      <c r="E8" s="3">
        <f t="shared" si="1"/>
        <v>5.8277105393761089E-2</v>
      </c>
      <c r="F8"/>
      <c r="G8"/>
      <c r="H8"/>
      <c r="I8"/>
    </row>
    <row r="9" spans="1:11" s="2" customFormat="1" x14ac:dyDescent="0.3">
      <c r="A9" t="s">
        <v>52</v>
      </c>
      <c r="B9" s="4">
        <f>130+126+33+57+173+130</f>
        <v>649</v>
      </c>
      <c r="C9" s="2">
        <v>1517.5</v>
      </c>
      <c r="D9">
        <f t="shared" si="0"/>
        <v>984857.5</v>
      </c>
      <c r="E9" s="3">
        <f t="shared" si="1"/>
        <v>1.8560738578497667E-2</v>
      </c>
      <c r="F9"/>
      <c r="G9"/>
      <c r="H9"/>
      <c r="I9"/>
    </row>
    <row r="10" spans="1:11" s="2" customFormat="1" x14ac:dyDescent="0.3">
      <c r="A10" t="s">
        <v>47</v>
      </c>
      <c r="B10" s="4">
        <f>724+289+144+275-367</f>
        <v>1065</v>
      </c>
      <c r="C10" s="2">
        <v>1955.2</v>
      </c>
      <c r="D10">
        <f t="shared" si="0"/>
        <v>2082288</v>
      </c>
      <c r="E10" s="3">
        <f t="shared" si="1"/>
        <v>3.9243040960893073E-2</v>
      </c>
      <c r="F10"/>
      <c r="G10"/>
      <c r="H10"/>
      <c r="I10"/>
    </row>
    <row r="11" spans="1:11" s="2" customFormat="1" x14ac:dyDescent="0.3">
      <c r="A11" t="s">
        <v>76</v>
      </c>
      <c r="B11" s="4">
        <f>3770+209</f>
        <v>3979</v>
      </c>
      <c r="C11" s="2">
        <v>671.35</v>
      </c>
      <c r="D11">
        <f t="shared" si="0"/>
        <v>2671301.65</v>
      </c>
      <c r="E11" s="3">
        <f t="shared" si="1"/>
        <v>5.0343660468605327E-2</v>
      </c>
      <c r="F11"/>
      <c r="G11" t="s">
        <v>97</v>
      </c>
      <c r="H11"/>
      <c r="I11"/>
    </row>
    <row r="12" spans="1:11" s="2" customFormat="1" x14ac:dyDescent="0.3">
      <c r="A12" t="s">
        <v>7</v>
      </c>
      <c r="B12" s="4">
        <f>((840+420)*2+290+562)+3372</f>
        <v>6744</v>
      </c>
      <c r="C12" s="2">
        <v>445.7</v>
      </c>
      <c r="D12">
        <f t="shared" si="0"/>
        <v>3005800.8</v>
      </c>
      <c r="E12" s="3">
        <f t="shared" si="1"/>
        <v>5.6647670214055479E-2</v>
      </c>
      <c r="F12"/>
      <c r="G12"/>
      <c r="H12"/>
      <c r="I12"/>
    </row>
    <row r="13" spans="1:11" s="2" customFormat="1" x14ac:dyDescent="0.3">
      <c r="A13" t="s">
        <v>9</v>
      </c>
      <c r="B13" s="4">
        <f>1280+1280+1280+910+1300+1300+2940+1300-2365+1475-2568</f>
        <v>8132</v>
      </c>
      <c r="C13" s="2">
        <v>153.21</v>
      </c>
      <c r="D13">
        <f t="shared" si="0"/>
        <v>1245903.72</v>
      </c>
      <c r="E13" s="3">
        <f t="shared" si="1"/>
        <v>2.3480445892829931E-2</v>
      </c>
      <c r="F13"/>
      <c r="G13"/>
      <c r="H13"/>
      <c r="I13"/>
    </row>
    <row r="14" spans="1:11" s="2" customFormat="1" x14ac:dyDescent="0.3">
      <c r="A14" t="s">
        <v>10</v>
      </c>
      <c r="B14" s="4">
        <f>(410+205+135+181)*2</f>
        <v>1862</v>
      </c>
      <c r="C14" s="2">
        <v>2294.9</v>
      </c>
      <c r="D14">
        <f t="shared" si="0"/>
        <v>4273103.8</v>
      </c>
      <c r="E14" s="3">
        <f t="shared" si="1"/>
        <v>8.0531409417692379E-2</v>
      </c>
      <c r="F14"/>
      <c r="G14"/>
      <c r="H14"/>
      <c r="I14"/>
    </row>
    <row r="15" spans="1:11" s="2" customFormat="1" x14ac:dyDescent="0.3">
      <c r="A15" t="s">
        <v>11</v>
      </c>
      <c r="B15" s="4">
        <f>(1875+937+309+619)*2*2-3720</f>
        <v>11240</v>
      </c>
      <c r="C15" s="2">
        <v>268.60000000000002</v>
      </c>
      <c r="D15">
        <f t="shared" si="0"/>
        <v>3019064.0000000005</v>
      </c>
      <c r="E15" s="3">
        <f t="shared" si="1"/>
        <v>5.6897630018305681E-2</v>
      </c>
      <c r="F15"/>
      <c r="G15"/>
      <c r="H15"/>
      <c r="I15"/>
      <c r="K15" s="5"/>
    </row>
    <row r="16" spans="1:11" s="2" customFormat="1" x14ac:dyDescent="0.3">
      <c r="A16" t="s">
        <v>20</v>
      </c>
      <c r="B16" s="4">
        <f>13763+6317+2811+3464+1538</f>
        <v>27893</v>
      </c>
      <c r="C16" s="2">
        <v>139.22999999999999</v>
      </c>
      <c r="D16">
        <f t="shared" si="0"/>
        <v>3883542.3899999997</v>
      </c>
      <c r="E16" s="3">
        <f t="shared" si="1"/>
        <v>7.3189689939208491E-2</v>
      </c>
      <c r="F16"/>
      <c r="G16"/>
      <c r="H16"/>
      <c r="I16"/>
    </row>
    <row r="17" spans="1:9" s="2" customFormat="1" x14ac:dyDescent="0.3">
      <c r="A17" t="s">
        <v>14</v>
      </c>
      <c r="B17" s="4">
        <f>458+115+189</f>
        <v>762</v>
      </c>
      <c r="C17" s="2">
        <v>4949.5</v>
      </c>
      <c r="D17">
        <f t="shared" si="0"/>
        <v>3771519</v>
      </c>
      <c r="E17" s="3">
        <f t="shared" si="1"/>
        <v>7.1078484149064147E-2</v>
      </c>
      <c r="F17"/>
      <c r="G17"/>
      <c r="H17"/>
      <c r="I17"/>
    </row>
    <row r="18" spans="1:9" s="2" customFormat="1" x14ac:dyDescent="0.3">
      <c r="A18" t="s">
        <v>15</v>
      </c>
      <c r="B18" s="4">
        <f>(3075+1537+1153-53-1428-925-484-459-467-45+2345+1175)*2</f>
        <v>10848</v>
      </c>
      <c r="C18" s="2">
        <v>266.05</v>
      </c>
      <c r="D18">
        <f t="shared" si="0"/>
        <v>2886110.4</v>
      </c>
      <c r="E18" s="3">
        <f t="shared" si="1"/>
        <v>5.439197106493409E-2</v>
      </c>
      <c r="F18"/>
      <c r="G18"/>
      <c r="H18"/>
      <c r="I18"/>
    </row>
    <row r="19" spans="1:9" s="2" customFormat="1" x14ac:dyDescent="0.3">
      <c r="A19" t="s">
        <v>18</v>
      </c>
      <c r="B19" s="4">
        <f>7985+1084+1117+2249-5230-405</f>
        <v>6800</v>
      </c>
      <c r="C19" s="2">
        <v>504.75</v>
      </c>
      <c r="D19">
        <f t="shared" si="0"/>
        <v>3432300</v>
      </c>
      <c r="E19" s="3">
        <f t="shared" si="1"/>
        <v>6.4685523563538419E-2</v>
      </c>
      <c r="F19"/>
      <c r="G19"/>
      <c r="H19"/>
      <c r="I19" s="3"/>
    </row>
    <row r="20" spans="1:9" s="2" customFormat="1" x14ac:dyDescent="0.3">
      <c r="A20" t="s">
        <v>19</v>
      </c>
      <c r="B20" s="4">
        <f>2592+518+820</f>
        <v>3930</v>
      </c>
      <c r="C20" s="2">
        <v>1389.4</v>
      </c>
      <c r="D20">
        <f t="shared" si="0"/>
        <v>5460342</v>
      </c>
      <c r="E20" s="3">
        <f t="shared" si="1"/>
        <v>0.10290623812195276</v>
      </c>
      <c r="F20"/>
      <c r="G20"/>
      <c r="H20"/>
      <c r="I20"/>
    </row>
    <row r="21" spans="1:9" s="2" customFormat="1" x14ac:dyDescent="0.3">
      <c r="A21" t="s">
        <v>38</v>
      </c>
      <c r="B21" s="4">
        <f>40235+4295+1952-475+9018-12666-5975-9817+11418+1366-3600+5427-7979-25132+6426+17836-15111-2801-1247</f>
        <v>13170</v>
      </c>
      <c r="C21" s="2">
        <v>112.05</v>
      </c>
      <c r="D21">
        <f t="shared" si="0"/>
        <v>1475698.5</v>
      </c>
      <c r="E21" s="3">
        <f t="shared" si="1"/>
        <v>2.7811184947244792E-2</v>
      </c>
      <c r="F21"/>
      <c r="G21" t="s">
        <v>98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53061331.359999999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01Jan25</vt:lpstr>
      <vt:lpstr>01Jan25_2</vt:lpstr>
      <vt:lpstr>13Jan25</vt:lpstr>
      <vt:lpstr>04Feb25</vt:lpstr>
      <vt:lpstr>06Feb25</vt:lpstr>
      <vt:lpstr>20Feb25</vt:lpstr>
      <vt:lpstr>06Mar25</vt:lpstr>
      <vt:lpstr>07Apr25</vt:lpstr>
      <vt:lpstr>29Apr25</vt:lpstr>
      <vt:lpstr>05May25</vt:lpstr>
      <vt:lpstr>20May25</vt:lpstr>
      <vt:lpstr>02Jun25</vt:lpstr>
      <vt:lpstr>07Aug25</vt:lpstr>
      <vt:lpstr>14Aug25</vt:lpstr>
      <vt:lpstr>18Aug25</vt:lpstr>
      <vt:lpstr>04Sep25</vt:lpstr>
      <vt:lpstr>09Sep25</vt:lpstr>
      <vt:lpstr>27Oct25</vt:lpstr>
      <vt:lpstr>28Oct25</vt:lpstr>
      <vt:lpstr>07Nov25</vt:lpstr>
      <vt:lpstr>17Nov25</vt:lpstr>
      <vt:lpstr>20Nov25</vt:lpstr>
      <vt:lpstr>08Dec25</vt:lpstr>
      <vt:lpstr>29Dec25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Patel</dc:creator>
  <cp:lastModifiedBy>Samir Patel</cp:lastModifiedBy>
  <dcterms:created xsi:type="dcterms:W3CDTF">2023-01-17T10:27:46Z</dcterms:created>
  <dcterms:modified xsi:type="dcterms:W3CDTF">2026-07-14T08:54:28Z</dcterms:modified>
</cp:coreProperties>
</file>