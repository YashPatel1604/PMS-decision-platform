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codeName="ThisWorkbook" defaultThemeVersion="124226"/>
  <xr:revisionPtr revIDLastSave="0" documentId="11_93F404D08C8609026AD2A43489B1C0802209686D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01Jan16" sheetId="1" r:id="rId1"/>
    <sheet name="27Jan16" sheetId="4" r:id="rId2"/>
    <sheet name="17Feb16" sheetId="5" r:id="rId3"/>
    <sheet name="04Apr16" sheetId="6" r:id="rId4"/>
    <sheet name="31May16" sheetId="7" r:id="rId5"/>
    <sheet name="10Jun16" sheetId="8" r:id="rId6"/>
    <sheet name="04Aug16" sheetId="9" r:id="rId7"/>
    <sheet name="08Aug16" sheetId="10" r:id="rId8"/>
    <sheet name="29Sep16" sheetId="11" r:id="rId9"/>
    <sheet name="25Nov16" sheetId="12" r:id="rId10"/>
    <sheet name="31Dec16" sheetId="13" r:id="rId11"/>
    <sheet name="Liquid" sheetId="2" r:id="rId12"/>
    <sheet name="Sheet3" sheetId="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3" l="1"/>
  <c r="D21" i="13" s="1"/>
  <c r="C14" i="2"/>
  <c r="C13" i="2"/>
  <c r="C12" i="2"/>
  <c r="C11" i="2"/>
  <c r="C10" i="2"/>
  <c r="C9" i="2"/>
  <c r="C8" i="2"/>
  <c r="C7" i="2"/>
  <c r="C6" i="2"/>
  <c r="C5" i="2"/>
  <c r="C4" i="2"/>
  <c r="C3" i="2"/>
  <c r="D20" i="13"/>
  <c r="B20" i="13"/>
  <c r="B19" i="13"/>
  <c r="D19" i="13" s="1"/>
  <c r="D18" i="13"/>
  <c r="B18" i="13"/>
  <c r="D17" i="13"/>
  <c r="B16" i="13"/>
  <c r="D16" i="13" s="1"/>
  <c r="B15" i="13"/>
  <c r="D15" i="13" s="1"/>
  <c r="D14" i="13"/>
  <c r="B13" i="13"/>
  <c r="D13" i="13" s="1"/>
  <c r="D12" i="13"/>
  <c r="D11" i="13"/>
  <c r="D10" i="13"/>
  <c r="B10" i="13"/>
  <c r="D9" i="13"/>
  <c r="B8" i="13"/>
  <c r="D8" i="13" s="1"/>
  <c r="D7" i="13"/>
  <c r="B7" i="13"/>
  <c r="B6" i="13"/>
  <c r="D6" i="13" s="1"/>
  <c r="D5" i="13"/>
  <c r="B21" i="12"/>
  <c r="D21" i="12" s="1"/>
  <c r="B10" i="12"/>
  <c r="D10" i="12" s="1"/>
  <c r="B20" i="12"/>
  <c r="D20" i="12" s="1"/>
  <c r="B19" i="12"/>
  <c r="D19" i="12" s="1"/>
  <c r="B18" i="12"/>
  <c r="D18" i="12" s="1"/>
  <c r="D17" i="12"/>
  <c r="D16" i="12"/>
  <c r="B16" i="12"/>
  <c r="B15" i="12"/>
  <c r="D15" i="12" s="1"/>
  <c r="D14" i="12"/>
  <c r="B13" i="12"/>
  <c r="D13" i="12" s="1"/>
  <c r="D12" i="12"/>
  <c r="D11" i="12"/>
  <c r="D9" i="12"/>
  <c r="D8" i="12"/>
  <c r="B8" i="12"/>
  <c r="D7" i="12"/>
  <c r="B7" i="12"/>
  <c r="B6" i="12"/>
  <c r="D6" i="12" s="1"/>
  <c r="D5" i="12"/>
  <c r="B7" i="11"/>
  <c r="B22" i="11"/>
  <c r="D22" i="11" s="1"/>
  <c r="D21" i="11"/>
  <c r="B21" i="11"/>
  <c r="B20" i="11"/>
  <c r="D20" i="11" s="1"/>
  <c r="B19" i="11"/>
  <c r="D19" i="11" s="1"/>
  <c r="D18" i="11"/>
  <c r="B17" i="11"/>
  <c r="D17" i="11" s="1"/>
  <c r="B16" i="11"/>
  <c r="D16" i="11" s="1"/>
  <c r="D15" i="11"/>
  <c r="B14" i="11"/>
  <c r="D14" i="11" s="1"/>
  <c r="D13" i="11"/>
  <c r="D12" i="11"/>
  <c r="D11" i="11"/>
  <c r="D10" i="11"/>
  <c r="B9" i="11"/>
  <c r="D9" i="11" s="1"/>
  <c r="B8" i="11"/>
  <c r="D8" i="11" s="1"/>
  <c r="D7" i="11"/>
  <c r="B6" i="11"/>
  <c r="D6" i="11" s="1"/>
  <c r="D5" i="11"/>
  <c r="B23" i="10"/>
  <c r="D13" i="10"/>
  <c r="B8" i="10"/>
  <c r="C16" i="2" l="1"/>
  <c r="D23" i="13"/>
  <c r="E6" i="13" s="1"/>
  <c r="D23" i="12"/>
  <c r="E5" i="12" s="1"/>
  <c r="D24" i="11"/>
  <c r="E16" i="11" s="1"/>
  <c r="D23" i="10"/>
  <c r="B22" i="10"/>
  <c r="D22" i="10" s="1"/>
  <c r="B21" i="10"/>
  <c r="D21" i="10" s="1"/>
  <c r="B20" i="10"/>
  <c r="D20" i="10" s="1"/>
  <c r="D19" i="10"/>
  <c r="B18" i="10"/>
  <c r="D18" i="10" s="1"/>
  <c r="D17" i="10"/>
  <c r="B17" i="10"/>
  <c r="D16" i="10"/>
  <c r="B15" i="10"/>
  <c r="D15" i="10" s="1"/>
  <c r="D14" i="10"/>
  <c r="D12" i="10"/>
  <c r="D11" i="10"/>
  <c r="B10" i="10"/>
  <c r="D10" i="10" s="1"/>
  <c r="B9" i="10"/>
  <c r="D9" i="10" s="1"/>
  <c r="D8" i="10"/>
  <c r="D7" i="10"/>
  <c r="B7" i="10"/>
  <c r="B6" i="10"/>
  <c r="D6" i="10" s="1"/>
  <c r="D5" i="10"/>
  <c r="B16" i="9"/>
  <c r="D16" i="9" s="1"/>
  <c r="B22" i="9"/>
  <c r="D22" i="9" s="1"/>
  <c r="B21" i="9"/>
  <c r="D21" i="9" s="1"/>
  <c r="D20" i="9"/>
  <c r="B20" i="9"/>
  <c r="B19" i="9"/>
  <c r="D19" i="9" s="1"/>
  <c r="D18" i="9"/>
  <c r="B17" i="9"/>
  <c r="D17" i="9" s="1"/>
  <c r="D15" i="9"/>
  <c r="D14" i="9"/>
  <c r="B14" i="9"/>
  <c r="D13" i="9"/>
  <c r="D12" i="9"/>
  <c r="D11" i="9"/>
  <c r="B10" i="9"/>
  <c r="D10" i="9" s="1"/>
  <c r="B9" i="9"/>
  <c r="D9" i="9" s="1"/>
  <c r="B8" i="9"/>
  <c r="D8" i="9" s="1"/>
  <c r="D7" i="9"/>
  <c r="B7" i="9"/>
  <c r="B6" i="9"/>
  <c r="D6" i="9" s="1"/>
  <c r="D5" i="9"/>
  <c r="B22" i="8"/>
  <c r="D22" i="8" s="1"/>
  <c r="D5" i="8"/>
  <c r="B21" i="8"/>
  <c r="D21" i="8" s="1"/>
  <c r="D20" i="8"/>
  <c r="B20" i="8"/>
  <c r="B19" i="8"/>
  <c r="D19" i="8" s="1"/>
  <c r="D18" i="8"/>
  <c r="B17" i="8"/>
  <c r="D17" i="8" s="1"/>
  <c r="B16" i="8"/>
  <c r="D16" i="8" s="1"/>
  <c r="D15" i="8"/>
  <c r="B14" i="8"/>
  <c r="D14" i="8" s="1"/>
  <c r="D13" i="8"/>
  <c r="D12" i="8"/>
  <c r="D11" i="8"/>
  <c r="B10" i="8"/>
  <c r="D10" i="8" s="1"/>
  <c r="B9" i="8"/>
  <c r="D9" i="8" s="1"/>
  <c r="B8" i="8"/>
  <c r="D8" i="8" s="1"/>
  <c r="B7" i="8"/>
  <c r="D7" i="8" s="1"/>
  <c r="D6" i="8"/>
  <c r="B6" i="8"/>
  <c r="B19" i="7"/>
  <c r="D19" i="7" s="1"/>
  <c r="B22" i="7"/>
  <c r="D22" i="7" s="1"/>
  <c r="D21" i="7"/>
  <c r="B21" i="7"/>
  <c r="B20" i="7"/>
  <c r="D20" i="7" s="1"/>
  <c r="D18" i="7"/>
  <c r="B18" i="7"/>
  <c r="D17" i="7"/>
  <c r="B16" i="7"/>
  <c r="D16" i="7" s="1"/>
  <c r="D15" i="7"/>
  <c r="B15" i="7"/>
  <c r="D14" i="7"/>
  <c r="D13" i="7"/>
  <c r="B13" i="7"/>
  <c r="D12" i="7"/>
  <c r="D11" i="7"/>
  <c r="D10" i="7"/>
  <c r="B9" i="7"/>
  <c r="D9" i="7" s="1"/>
  <c r="B8" i="7"/>
  <c r="D8" i="7" s="1"/>
  <c r="D7" i="7"/>
  <c r="B7" i="7"/>
  <c r="B6" i="7"/>
  <c r="D6" i="7" s="1"/>
  <c r="B5" i="7"/>
  <c r="D5" i="7" s="1"/>
  <c r="B23" i="6"/>
  <c r="D5" i="6"/>
  <c r="D23" i="6"/>
  <c r="B22" i="6"/>
  <c r="D22" i="6" s="1"/>
  <c r="D21" i="6"/>
  <c r="B21" i="6"/>
  <c r="D20" i="6"/>
  <c r="B19" i="6"/>
  <c r="D19" i="6" s="1"/>
  <c r="D18" i="6"/>
  <c r="B17" i="6"/>
  <c r="D17" i="6" s="1"/>
  <c r="B16" i="6"/>
  <c r="D16" i="6" s="1"/>
  <c r="D15" i="6"/>
  <c r="B14" i="6"/>
  <c r="D14" i="6" s="1"/>
  <c r="D13" i="6"/>
  <c r="D12" i="6"/>
  <c r="D11" i="6"/>
  <c r="B10" i="6"/>
  <c r="D10" i="6" s="1"/>
  <c r="D9" i="6"/>
  <c r="B9" i="6"/>
  <c r="B8" i="6"/>
  <c r="D8" i="6" s="1"/>
  <c r="B7" i="6"/>
  <c r="D7" i="6" s="1"/>
  <c r="B6" i="6"/>
  <c r="D6" i="6" s="1"/>
  <c r="B22" i="5"/>
  <c r="D22" i="5" s="1"/>
  <c r="B15" i="5"/>
  <c r="D15" i="5" s="1"/>
  <c r="D21" i="5"/>
  <c r="B21" i="5"/>
  <c r="B20" i="5"/>
  <c r="D20" i="5" s="1"/>
  <c r="D19" i="5"/>
  <c r="D18" i="5"/>
  <c r="B18" i="5"/>
  <c r="D17" i="5"/>
  <c r="D16" i="5"/>
  <c r="B16" i="5"/>
  <c r="D14" i="5"/>
  <c r="B13" i="5"/>
  <c r="D13" i="5" s="1"/>
  <c r="D12" i="5"/>
  <c r="D11" i="5"/>
  <c r="D10" i="5"/>
  <c r="D9" i="5"/>
  <c r="B9" i="5"/>
  <c r="B8" i="5"/>
  <c r="D8" i="5" s="1"/>
  <c r="D7" i="5"/>
  <c r="B7" i="5"/>
  <c r="B6" i="5"/>
  <c r="D6" i="5" s="1"/>
  <c r="D5" i="5"/>
  <c r="B5" i="5"/>
  <c r="B20" i="4"/>
  <c r="B22" i="4"/>
  <c r="D25" i="6" l="1"/>
  <c r="D24" i="8"/>
  <c r="E5" i="8" s="1"/>
  <c r="E7" i="13"/>
  <c r="E19" i="13"/>
  <c r="E16" i="13"/>
  <c r="E20" i="13"/>
  <c r="E21" i="13"/>
  <c r="E17" i="13"/>
  <c r="E14" i="13"/>
  <c r="E9" i="13"/>
  <c r="E12" i="13"/>
  <c r="E5" i="13"/>
  <c r="E10" i="13"/>
  <c r="E8" i="13"/>
  <c r="E15" i="13"/>
  <c r="E13" i="13"/>
  <c r="E11" i="13"/>
  <c r="E18" i="13"/>
  <c r="E19" i="12"/>
  <c r="E11" i="12"/>
  <c r="E6" i="12"/>
  <c r="E10" i="12"/>
  <c r="E14" i="12"/>
  <c r="E8" i="12"/>
  <c r="E18" i="12"/>
  <c r="E9" i="12"/>
  <c r="E7" i="12"/>
  <c r="E20" i="12"/>
  <c r="E15" i="12"/>
  <c r="E16" i="12"/>
  <c r="E21" i="12"/>
  <c r="E17" i="12"/>
  <c r="E12" i="12"/>
  <c r="E13" i="12"/>
  <c r="E17" i="11"/>
  <c r="E5" i="11"/>
  <c r="E7" i="11"/>
  <c r="E20" i="11"/>
  <c r="E12" i="11"/>
  <c r="E22" i="11"/>
  <c r="E14" i="11"/>
  <c r="E18" i="11"/>
  <c r="E8" i="11"/>
  <c r="E21" i="11"/>
  <c r="E11" i="11"/>
  <c r="E15" i="11"/>
  <c r="E19" i="11"/>
  <c r="E13" i="11"/>
  <c r="E10" i="11"/>
  <c r="E9" i="11"/>
  <c r="E6" i="11"/>
  <c r="D25" i="10"/>
  <c r="D24" i="9"/>
  <c r="E19" i="9" s="1"/>
  <c r="E11" i="8"/>
  <c r="D24" i="7"/>
  <c r="E17" i="7" s="1"/>
  <c r="D24" i="5"/>
  <c r="E6" i="5" s="1"/>
  <c r="D22" i="4"/>
  <c r="B21" i="4"/>
  <c r="D21" i="4" s="1"/>
  <c r="D20" i="4"/>
  <c r="D19" i="4"/>
  <c r="B18" i="4"/>
  <c r="D18" i="4" s="1"/>
  <c r="D17" i="4"/>
  <c r="D16" i="4"/>
  <c r="B16" i="4"/>
  <c r="B15" i="4"/>
  <c r="D15" i="4" s="1"/>
  <c r="D14" i="4"/>
  <c r="B13" i="4"/>
  <c r="D13" i="4" s="1"/>
  <c r="D12" i="4"/>
  <c r="D11" i="4"/>
  <c r="D10" i="4"/>
  <c r="D9" i="4"/>
  <c r="B9" i="4"/>
  <c r="B8" i="4"/>
  <c r="D8" i="4" s="1"/>
  <c r="B7" i="4"/>
  <c r="D7" i="4" s="1"/>
  <c r="B6" i="4"/>
  <c r="D6" i="4" s="1"/>
  <c r="D5" i="4"/>
  <c r="B5" i="4"/>
  <c r="B22" i="1"/>
  <c r="D22" i="1" s="1"/>
  <c r="B21" i="1"/>
  <c r="D21" i="1" s="1"/>
  <c r="D20" i="1"/>
  <c r="D19" i="1"/>
  <c r="B18" i="1"/>
  <c r="D18" i="1" s="1"/>
  <c r="D17" i="1"/>
  <c r="D16" i="1"/>
  <c r="B16" i="1"/>
  <c r="B15" i="1"/>
  <c r="D15" i="1" s="1"/>
  <c r="D14" i="1"/>
  <c r="B13" i="1"/>
  <c r="D13" i="1" s="1"/>
  <c r="D12" i="1"/>
  <c r="D11" i="1"/>
  <c r="D10" i="1"/>
  <c r="B9" i="1"/>
  <c r="D9" i="1" s="1"/>
  <c r="D8" i="1"/>
  <c r="B8" i="1"/>
  <c r="B7" i="1"/>
  <c r="D7" i="1" s="1"/>
  <c r="D6" i="1"/>
  <c r="B6" i="1"/>
  <c r="B5" i="1"/>
  <c r="D5" i="1" s="1"/>
  <c r="E10" i="10" l="1"/>
  <c r="E13" i="10"/>
  <c r="E7" i="10"/>
  <c r="E22" i="10"/>
  <c r="E15" i="10"/>
  <c r="E6" i="10"/>
  <c r="E20" i="10"/>
  <c r="E8" i="10"/>
  <c r="E23" i="10"/>
  <c r="E17" i="10"/>
  <c r="E18" i="10"/>
  <c r="E9" i="10"/>
  <c r="E19" i="10"/>
  <c r="E14" i="10"/>
  <c r="E21" i="10"/>
  <c r="E12" i="10"/>
  <c r="E16" i="10"/>
  <c r="E11" i="10"/>
  <c r="E5" i="10"/>
  <c r="E20" i="9"/>
  <c r="E5" i="9"/>
  <c r="E6" i="9"/>
  <c r="E9" i="9"/>
  <c r="E7" i="9"/>
  <c r="E8" i="9"/>
  <c r="E15" i="9"/>
  <c r="E16" i="9"/>
  <c r="E10" i="9"/>
  <c r="E14" i="9"/>
  <c r="E18" i="9"/>
  <c r="E13" i="9"/>
  <c r="E11" i="9"/>
  <c r="E12" i="9"/>
  <c r="E17" i="9"/>
  <c r="E21" i="9"/>
  <c r="E22" i="9"/>
  <c r="E22" i="8"/>
  <c r="E19" i="8"/>
  <c r="E12" i="8"/>
  <c r="E6" i="8"/>
  <c r="E13" i="8"/>
  <c r="E14" i="8"/>
  <c r="E8" i="8"/>
  <c r="E9" i="8"/>
  <c r="E16" i="8"/>
  <c r="E17" i="8"/>
  <c r="E20" i="8"/>
  <c r="E18" i="8"/>
  <c r="E15" i="8"/>
  <c r="E21" i="8"/>
  <c r="E7" i="8"/>
  <c r="E10" i="8"/>
  <c r="E18" i="7"/>
  <c r="E6" i="7"/>
  <c r="E21" i="7"/>
  <c r="E14" i="7"/>
  <c r="E9" i="7"/>
  <c r="E5" i="7"/>
  <c r="E11" i="7"/>
  <c r="E16" i="7"/>
  <c r="E13" i="7"/>
  <c r="E8" i="7"/>
  <c r="E19" i="7"/>
  <c r="E15" i="7"/>
  <c r="E12" i="7"/>
  <c r="E10" i="7"/>
  <c r="E7" i="7"/>
  <c r="E20" i="7"/>
  <c r="E22" i="7"/>
  <c r="E6" i="6"/>
  <c r="E5" i="6"/>
  <c r="E15" i="6"/>
  <c r="E17" i="6"/>
  <c r="E22" i="6"/>
  <c r="E10" i="6"/>
  <c r="E14" i="6"/>
  <c r="E19" i="6"/>
  <c r="E20" i="6"/>
  <c r="E12" i="6"/>
  <c r="E13" i="6"/>
  <c r="E11" i="6"/>
  <c r="E21" i="6"/>
  <c r="E23" i="6"/>
  <c r="E18" i="6"/>
  <c r="E9" i="6"/>
  <c r="E7" i="6"/>
  <c r="E8" i="6"/>
  <c r="E16" i="6"/>
  <c r="E8" i="5"/>
  <c r="E18" i="5"/>
  <c r="E7" i="5"/>
  <c r="E12" i="5"/>
  <c r="E5" i="5"/>
  <c r="E13" i="5"/>
  <c r="E9" i="5"/>
  <c r="E19" i="5"/>
  <c r="E10" i="5"/>
  <c r="E17" i="5"/>
  <c r="E11" i="5"/>
  <c r="E22" i="5"/>
  <c r="E21" i="5"/>
  <c r="E20" i="5"/>
  <c r="E14" i="5"/>
  <c r="E16" i="5"/>
  <c r="E15" i="5"/>
  <c r="D24" i="4"/>
  <c r="E22" i="4" s="1"/>
  <c r="D24" i="1"/>
  <c r="E15" i="1" s="1"/>
  <c r="E11" i="4" l="1"/>
  <c r="E17" i="4"/>
  <c r="E7" i="4"/>
  <c r="E6" i="4"/>
  <c r="E19" i="4"/>
  <c r="E15" i="4"/>
  <c r="E13" i="4"/>
  <c r="E20" i="4"/>
  <c r="E5" i="4"/>
  <c r="E12" i="4"/>
  <c r="E14" i="4"/>
  <c r="E18" i="4"/>
  <c r="E21" i="4"/>
  <c r="E16" i="4"/>
  <c r="E10" i="4"/>
  <c r="E9" i="4"/>
  <c r="E8" i="4"/>
  <c r="E20" i="1"/>
  <c r="E21" i="1"/>
  <c r="E5" i="1"/>
  <c r="E8" i="1"/>
  <c r="E6" i="1"/>
  <c r="E7" i="1"/>
  <c r="E12" i="1"/>
  <c r="E10" i="1"/>
  <c r="E11" i="1"/>
  <c r="E9" i="1"/>
  <c r="E13" i="1"/>
  <c r="E14" i="1"/>
  <c r="E18" i="1"/>
  <c r="E19" i="1"/>
  <c r="E16" i="1"/>
  <c r="E17" i="1"/>
  <c r="E22" i="1"/>
</calcChain>
</file>

<file path=xl/sharedStrings.xml><?xml version="1.0" encoding="utf-8"?>
<sst xmlns="http://schemas.openxmlformats.org/spreadsheetml/2006/main" count="308" uniqueCount="61">
  <si>
    <t>Model Portfolio</t>
  </si>
  <si>
    <t>Stock</t>
  </si>
  <si>
    <t>Number of shares</t>
  </si>
  <si>
    <t>CMP</t>
  </si>
  <si>
    <t>Amount</t>
  </si>
  <si>
    <t>Percentage</t>
  </si>
  <si>
    <t>Change</t>
  </si>
  <si>
    <t>Escorts</t>
  </si>
  <si>
    <t>EicherMotors</t>
  </si>
  <si>
    <t>Federal Bank</t>
  </si>
  <si>
    <t>Heritage</t>
  </si>
  <si>
    <t>JBChem</t>
  </si>
  <si>
    <t>J&amp;Kbank</t>
  </si>
  <si>
    <t>LloydElec</t>
  </si>
  <si>
    <t>MBL Infra</t>
  </si>
  <si>
    <t>NeulandLab</t>
  </si>
  <si>
    <t>Nucleus</t>
  </si>
  <si>
    <t>RamcoSys</t>
  </si>
  <si>
    <t>Selan</t>
  </si>
  <si>
    <t>StridesArco</t>
  </si>
  <si>
    <t>Technofab</t>
  </si>
  <si>
    <t>TreeHouse</t>
  </si>
  <si>
    <t>TV18Broadcast</t>
  </si>
  <si>
    <t>TVToday</t>
  </si>
  <si>
    <t>LiquidBees</t>
  </si>
  <si>
    <t>Buy upto 7%. 2045@41.25 = 84356</t>
  </si>
  <si>
    <t>Sell 84.36</t>
  </si>
  <si>
    <t>Buy upto 7%. 158@715=112970</t>
  </si>
  <si>
    <t>Sell 112.97</t>
  </si>
  <si>
    <t>DynamaticTech</t>
  </si>
  <si>
    <t>5%. 266900</t>
  </si>
  <si>
    <t>Sell 266.9</t>
  </si>
  <si>
    <t>Sell all 365*66.5 = 24272</t>
  </si>
  <si>
    <t>Add 24.27</t>
  </si>
  <si>
    <t>Dynamatic</t>
  </si>
  <si>
    <t>Buy 2%. 44@2505 = 110220</t>
  </si>
  <si>
    <t>Sell 110.22</t>
  </si>
  <si>
    <t>Sell 244@563 = 137372</t>
  </si>
  <si>
    <t>Buy 137.37</t>
  </si>
  <si>
    <t>Magma</t>
  </si>
  <si>
    <t>Buy 2750@109 = 299750</t>
  </si>
  <si>
    <t>Sell 823@63.5 = 52260</t>
  </si>
  <si>
    <t>Sell 247.49</t>
  </si>
  <si>
    <t>Sell 39@26200 = 1021800</t>
  </si>
  <si>
    <t>Buy 1021.8</t>
  </si>
  <si>
    <t>Add 3%. Value = 192045. 700@274.35</t>
  </si>
  <si>
    <t>Sell 192.05</t>
  </si>
  <si>
    <t>LiquidFund Value for 2016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</si>
  <si>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</si>
  <si>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</si>
  <si>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</si>
  <si>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</si>
  <si>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</si>
  <si>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</si>
  <si>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</si>
  <si>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</si>
  <si>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</si>
  <si>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</si>
  <si>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</si>
  <si>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</si>
  <si>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Add for yearly Liquid Dividend 26.325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</si>
</sst>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4"/>
  <sheetViews>
    <sheetView workbookViewId="0">
      <selection activeCell="B23" sqref="B23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29.4414062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7</v>
      </c>
      <c r="B5" s="1">
        <f>473+780+961</f>
        <v>2214</v>
      </c>
      <c r="C5">
        <v>172</v>
      </c>
      <c r="D5">
        <f t="shared" ref="D5:D22" si="0">C5*B5</f>
        <v>380808</v>
      </c>
      <c r="E5" s="3">
        <f t="shared" ref="E5:E22" si="1">D5/$D$24</f>
        <v>6.3538570171937633E-2</v>
      </c>
    </row>
    <row r="6" spans="1:7" x14ac:dyDescent="0.3">
      <c r="A6" t="s">
        <v>8</v>
      </c>
      <c r="B6" s="1">
        <f>29+10</f>
        <v>39</v>
      </c>
      <c r="C6">
        <v>16856</v>
      </c>
      <c r="D6">
        <f t="shared" si="0"/>
        <v>657384</v>
      </c>
      <c r="E6" s="3">
        <f t="shared" si="1"/>
        <v>0.10968582438895466</v>
      </c>
    </row>
    <row r="7" spans="1:7" x14ac:dyDescent="0.3">
      <c r="A7" t="s">
        <v>9</v>
      </c>
      <c r="B7" s="1">
        <f>3290-1645-822</f>
        <v>823</v>
      </c>
      <c r="C7">
        <v>56</v>
      </c>
      <c r="D7">
        <f t="shared" si="0"/>
        <v>46088</v>
      </c>
      <c r="E7" s="3">
        <f t="shared" si="1"/>
        <v>7.6898742203006807E-3</v>
      </c>
    </row>
    <row r="8" spans="1:7" x14ac:dyDescent="0.3">
      <c r="A8" t="s">
        <v>10</v>
      </c>
      <c r="B8" s="1">
        <f>840+420</f>
        <v>1260</v>
      </c>
      <c r="C8">
        <v>572</v>
      </c>
      <c r="D8">
        <f t="shared" si="0"/>
        <v>720720</v>
      </c>
      <c r="E8" s="3">
        <f t="shared" si="1"/>
        <v>0.120253561622442</v>
      </c>
    </row>
    <row r="9" spans="1:7" x14ac:dyDescent="0.3">
      <c r="A9" t="s">
        <v>11</v>
      </c>
      <c r="B9" s="1">
        <f>766+383+229</f>
        <v>1378</v>
      </c>
      <c r="C9">
        <v>279</v>
      </c>
      <c r="D9">
        <f t="shared" si="0"/>
        <v>384462</v>
      </c>
      <c r="E9" s="3">
        <f t="shared" si="1"/>
        <v>6.4148247320023444E-2</v>
      </c>
    </row>
    <row r="10" spans="1:7" x14ac:dyDescent="0.3">
      <c r="A10" t="s">
        <v>12</v>
      </c>
      <c r="B10" s="1">
        <v>2928</v>
      </c>
      <c r="C10">
        <v>82</v>
      </c>
      <c r="D10">
        <f t="shared" si="0"/>
        <v>240096</v>
      </c>
      <c r="E10" s="3">
        <f t="shared" si="1"/>
        <v>4.0060493855175149E-2</v>
      </c>
    </row>
    <row r="11" spans="1:7" x14ac:dyDescent="0.3">
      <c r="A11" t="s">
        <v>13</v>
      </c>
      <c r="B11" s="1">
        <v>922</v>
      </c>
      <c r="C11">
        <v>301</v>
      </c>
      <c r="D11">
        <f t="shared" si="0"/>
        <v>277522</v>
      </c>
      <c r="E11" s="3">
        <f t="shared" si="1"/>
        <v>4.6305096193505584E-2</v>
      </c>
    </row>
    <row r="12" spans="1:7" x14ac:dyDescent="0.3">
      <c r="A12" t="s">
        <v>14</v>
      </c>
      <c r="B12" s="1">
        <v>1228</v>
      </c>
      <c r="C12">
        <v>228</v>
      </c>
      <c r="D12">
        <f>C12*B12</f>
        <v>279984</v>
      </c>
      <c r="E12" s="3">
        <f t="shared" si="1"/>
        <v>4.6715885777136472E-2</v>
      </c>
    </row>
    <row r="13" spans="1:7" x14ac:dyDescent="0.3">
      <c r="A13" t="s">
        <v>15</v>
      </c>
      <c r="B13" s="1">
        <f>278+278</f>
        <v>556</v>
      </c>
      <c r="C13">
        <v>799</v>
      </c>
      <c r="D13">
        <f>C13*B13</f>
        <v>444244</v>
      </c>
      <c r="E13" s="3">
        <f t="shared" si="1"/>
        <v>7.412299260378527E-2</v>
      </c>
    </row>
    <row r="14" spans="1:7" x14ac:dyDescent="0.3">
      <c r="A14" t="s">
        <v>16</v>
      </c>
      <c r="B14" s="1">
        <v>1011</v>
      </c>
      <c r="C14">
        <v>258</v>
      </c>
      <c r="D14">
        <f>C14*B14</f>
        <v>260838</v>
      </c>
      <c r="E14" s="3">
        <f t="shared" si="1"/>
        <v>4.35213376990711E-2</v>
      </c>
    </row>
    <row r="15" spans="1:7" x14ac:dyDescent="0.3">
      <c r="A15" t="s">
        <v>17</v>
      </c>
      <c r="B15" s="1">
        <f>265+65</f>
        <v>330</v>
      </c>
      <c r="C15">
        <v>795</v>
      </c>
      <c r="D15">
        <f>C15*B15</f>
        <v>262350</v>
      </c>
      <c r="E15" s="3">
        <f t="shared" si="1"/>
        <v>4.3773617898279021E-2</v>
      </c>
    </row>
    <row r="16" spans="1:7" x14ac:dyDescent="0.3">
      <c r="A16" t="s">
        <v>18</v>
      </c>
      <c r="B16" s="1">
        <f>186+349</f>
        <v>535</v>
      </c>
      <c r="C16">
        <v>203</v>
      </c>
      <c r="D16">
        <f t="shared" si="0"/>
        <v>108605</v>
      </c>
      <c r="E16" s="3">
        <f t="shared" si="1"/>
        <v>1.812095967921705E-2</v>
      </c>
    </row>
    <row r="17" spans="1:5" x14ac:dyDescent="0.3">
      <c r="A17" t="s">
        <v>19</v>
      </c>
      <c r="B17" s="1">
        <v>267</v>
      </c>
      <c r="C17">
        <v>1289</v>
      </c>
      <c r="D17">
        <f t="shared" si="0"/>
        <v>344163</v>
      </c>
      <c r="E17" s="3">
        <f t="shared" si="1"/>
        <v>5.7424279232801231E-2</v>
      </c>
    </row>
    <row r="18" spans="1:5" x14ac:dyDescent="0.3">
      <c r="A18" t="s">
        <v>20</v>
      </c>
      <c r="B18" s="1">
        <f>368+532</f>
        <v>900</v>
      </c>
      <c r="C18">
        <v>180</v>
      </c>
      <c r="D18">
        <f t="shared" si="0"/>
        <v>162000</v>
      </c>
      <c r="E18" s="3">
        <f t="shared" si="1"/>
        <v>2.7030021343705742E-2</v>
      </c>
    </row>
    <row r="19" spans="1:5" x14ac:dyDescent="0.3">
      <c r="A19" t="s">
        <v>21</v>
      </c>
      <c r="B19" s="1">
        <v>365</v>
      </c>
      <c r="C19">
        <v>176</v>
      </c>
      <c r="D19">
        <f t="shared" si="0"/>
        <v>64240</v>
      </c>
      <c r="E19" s="3">
        <f t="shared" si="1"/>
        <v>1.0718571426664549E-2</v>
      </c>
    </row>
    <row r="20" spans="1:5" x14ac:dyDescent="0.3">
      <c r="A20" t="s">
        <v>22</v>
      </c>
      <c r="B20" s="1">
        <v>6886</v>
      </c>
      <c r="C20">
        <v>47</v>
      </c>
      <c r="D20">
        <f t="shared" si="0"/>
        <v>323642</v>
      </c>
      <c r="E20" s="3">
        <f t="shared" si="1"/>
        <v>5.4000309677281567E-2</v>
      </c>
    </row>
    <row r="21" spans="1:5" x14ac:dyDescent="0.3">
      <c r="A21" t="s">
        <v>23</v>
      </c>
      <c r="B21" s="1">
        <f>920+319+331</f>
        <v>1570</v>
      </c>
      <c r="C21">
        <v>336</v>
      </c>
      <c r="D21">
        <f t="shared" si="0"/>
        <v>527520</v>
      </c>
      <c r="E21" s="3">
        <f t="shared" si="1"/>
        <v>8.8017758390318848E-2</v>
      </c>
    </row>
    <row r="22" spans="1:5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</f>
        <v>508.66999999999996</v>
      </c>
      <c r="C22">
        <v>1000</v>
      </c>
      <c r="D22">
        <f t="shared" si="0"/>
        <v>508669.99999999994</v>
      </c>
      <c r="E22" s="3">
        <f t="shared" si="1"/>
        <v>8.4872598499399987E-2</v>
      </c>
    </row>
    <row r="23" spans="1:5" x14ac:dyDescent="0.3">
      <c r="B23" s="1"/>
      <c r="E23" s="3"/>
    </row>
    <row r="24" spans="1:5" x14ac:dyDescent="0.3">
      <c r="B24" s="1"/>
      <c r="D24">
        <f>SUM(D5:D22)</f>
        <v>5993336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4"/>
  <sheetViews>
    <sheetView workbookViewId="0">
      <selection activeCell="B24" sqref="B24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7</v>
      </c>
      <c r="B5" s="1">
        <f>473+780+961</f>
        <v>2214</v>
      </c>
      <c r="C5">
        <v>133</v>
      </c>
      <c r="D5">
        <f t="shared" ref="D5:D22" si="0">C5*B5</f>
        <v>294462</v>
      </c>
      <c r="E5" s="3">
        <f t="shared" ref="E5:E22" si="1">D5/$D$24</f>
        <v>5.5987521062200368E-2</v>
      </c>
    </row>
    <row r="6" spans="1:7" x14ac:dyDescent="0.3">
      <c r="A6" t="s">
        <v>8</v>
      </c>
      <c r="B6" s="1">
        <f>29+10</f>
        <v>39</v>
      </c>
      <c r="C6">
        <v>16416</v>
      </c>
      <c r="D6">
        <f t="shared" si="0"/>
        <v>640224</v>
      </c>
      <c r="E6" s="3">
        <f t="shared" si="1"/>
        <v>0.12172896565440081</v>
      </c>
    </row>
    <row r="7" spans="1:7" x14ac:dyDescent="0.3">
      <c r="A7" t="s">
        <v>9</v>
      </c>
      <c r="B7" s="1">
        <f>3290-1645-822</f>
        <v>823</v>
      </c>
      <c r="C7">
        <v>47</v>
      </c>
      <c r="D7">
        <f t="shared" si="0"/>
        <v>38681</v>
      </c>
      <c r="E7" s="3">
        <f t="shared" si="1"/>
        <v>7.3546104495893277E-3</v>
      </c>
    </row>
    <row r="8" spans="1:7" x14ac:dyDescent="0.3">
      <c r="A8" t="s">
        <v>10</v>
      </c>
      <c r="B8" s="1">
        <f>840+420</f>
        <v>1260</v>
      </c>
      <c r="C8">
        <v>488</v>
      </c>
      <c r="D8">
        <f t="shared" si="0"/>
        <v>614880</v>
      </c>
      <c r="E8" s="3">
        <f t="shared" si="1"/>
        <v>0.1169101851876499</v>
      </c>
    </row>
    <row r="9" spans="1:7" x14ac:dyDescent="0.3">
      <c r="A9" t="s">
        <v>11</v>
      </c>
      <c r="B9" s="1">
        <f>766+383+229</f>
        <v>1378</v>
      </c>
      <c r="C9">
        <v>258</v>
      </c>
      <c r="D9">
        <f t="shared" si="0"/>
        <v>355524</v>
      </c>
      <c r="E9" s="3">
        <f t="shared" si="1"/>
        <v>6.7597542087324422E-2</v>
      </c>
    </row>
    <row r="10" spans="1:7" x14ac:dyDescent="0.3">
      <c r="A10" t="s">
        <v>12</v>
      </c>
      <c r="B10" s="1">
        <v>2928</v>
      </c>
      <c r="C10">
        <v>68</v>
      </c>
      <c r="D10">
        <f t="shared" si="0"/>
        <v>199104</v>
      </c>
      <c r="E10" s="3">
        <f t="shared" si="1"/>
        <v>3.785663139409616E-2</v>
      </c>
    </row>
    <row r="11" spans="1:7" x14ac:dyDescent="0.3">
      <c r="A11" t="s">
        <v>13</v>
      </c>
      <c r="B11" s="1">
        <v>922</v>
      </c>
      <c r="C11">
        <v>246</v>
      </c>
      <c r="D11">
        <f t="shared" si="0"/>
        <v>226812</v>
      </c>
      <c r="E11" s="3">
        <f t="shared" si="1"/>
        <v>4.3124890910065786E-2</v>
      </c>
    </row>
    <row r="12" spans="1:7" x14ac:dyDescent="0.3">
      <c r="A12" t="s">
        <v>14</v>
      </c>
      <c r="B12" s="1">
        <v>1228</v>
      </c>
      <c r="C12">
        <v>173</v>
      </c>
      <c r="D12">
        <f>C12*B12</f>
        <v>212444</v>
      </c>
      <c r="E12" s="3">
        <f t="shared" si="1"/>
        <v>4.0393031781819369E-2</v>
      </c>
    </row>
    <row r="13" spans="1:7" x14ac:dyDescent="0.3">
      <c r="A13" t="s">
        <v>15</v>
      </c>
      <c r="B13" s="1">
        <f>278+278</f>
        <v>556</v>
      </c>
      <c r="C13">
        <v>704</v>
      </c>
      <c r="D13">
        <f>C13*B13</f>
        <v>391424</v>
      </c>
      <c r="E13" s="3">
        <f t="shared" si="1"/>
        <v>7.4423387208708489E-2</v>
      </c>
    </row>
    <row r="14" spans="1:7" x14ac:dyDescent="0.3">
      <c r="A14" t="s">
        <v>16</v>
      </c>
      <c r="B14" s="1">
        <v>1011</v>
      </c>
      <c r="C14">
        <v>224</v>
      </c>
      <c r="D14">
        <f>C14*B14</f>
        <v>226464</v>
      </c>
      <c r="E14" s="3">
        <f t="shared" si="1"/>
        <v>4.3058723943429522E-2</v>
      </c>
    </row>
    <row r="15" spans="1:7" x14ac:dyDescent="0.3">
      <c r="A15" t="s">
        <v>17</v>
      </c>
      <c r="B15" s="1">
        <f>265+65</f>
        <v>330</v>
      </c>
      <c r="C15">
        <v>601</v>
      </c>
      <c r="D15">
        <f>C15*B15</f>
        <v>198330</v>
      </c>
      <c r="E15" s="3">
        <f t="shared" si="1"/>
        <v>3.7709466933818964E-2</v>
      </c>
    </row>
    <row r="16" spans="1:7" x14ac:dyDescent="0.3">
      <c r="A16" t="s">
        <v>18</v>
      </c>
      <c r="B16" s="1">
        <f>186+349</f>
        <v>535</v>
      </c>
      <c r="C16">
        <v>183</v>
      </c>
      <c r="D16">
        <f t="shared" si="0"/>
        <v>97905</v>
      </c>
      <c r="E16" s="3">
        <f t="shared" si="1"/>
        <v>1.8615163415295444E-2</v>
      </c>
    </row>
    <row r="17" spans="1:7" x14ac:dyDescent="0.3">
      <c r="A17" t="s">
        <v>19</v>
      </c>
      <c r="B17" s="1">
        <v>267</v>
      </c>
      <c r="C17">
        <v>1156</v>
      </c>
      <c r="D17">
        <f t="shared" si="0"/>
        <v>308652</v>
      </c>
      <c r="E17" s="3">
        <f t="shared" si="1"/>
        <v>5.8685536167282261E-2</v>
      </c>
    </row>
    <row r="18" spans="1:7" x14ac:dyDescent="0.3">
      <c r="A18" t="s">
        <v>20</v>
      </c>
      <c r="B18" s="1">
        <f>368+532</f>
        <v>900</v>
      </c>
      <c r="C18">
        <v>173</v>
      </c>
      <c r="D18">
        <f t="shared" si="0"/>
        <v>155700</v>
      </c>
      <c r="E18" s="3">
        <f t="shared" si="1"/>
        <v>2.9604013520877388E-2</v>
      </c>
    </row>
    <row r="19" spans="1:7" x14ac:dyDescent="0.3">
      <c r="A19" t="s">
        <v>21</v>
      </c>
      <c r="B19" s="1">
        <v>365</v>
      </c>
      <c r="C19">
        <v>141</v>
      </c>
      <c r="D19">
        <f t="shared" si="0"/>
        <v>51465</v>
      </c>
      <c r="E19" s="3">
        <f t="shared" si="1"/>
        <v>9.7852957986638081E-3</v>
      </c>
    </row>
    <row r="20" spans="1:7" x14ac:dyDescent="0.3">
      <c r="A20" t="s">
        <v>22</v>
      </c>
      <c r="B20" s="1">
        <f>6886+2045</f>
        <v>8931</v>
      </c>
      <c r="C20">
        <v>41</v>
      </c>
      <c r="D20">
        <f t="shared" si="0"/>
        <v>366171</v>
      </c>
      <c r="E20" s="3">
        <f t="shared" si="1"/>
        <v>6.9621909023463033E-2</v>
      </c>
      <c r="G20" t="s">
        <v>25</v>
      </c>
    </row>
    <row r="21" spans="1:7" x14ac:dyDescent="0.3">
      <c r="A21" t="s">
        <v>23</v>
      </c>
      <c r="B21" s="1">
        <f>920+319+331</f>
        <v>1570</v>
      </c>
      <c r="C21">
        <v>291</v>
      </c>
      <c r="D21">
        <f t="shared" si="0"/>
        <v>456870</v>
      </c>
      <c r="E21" s="3">
        <f t="shared" si="1"/>
        <v>8.6866959905480101E-2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</f>
        <v>424.30999999999995</v>
      </c>
      <c r="C22">
        <v>1000</v>
      </c>
      <c r="D22">
        <f t="shared" si="0"/>
        <v>424309.99999999994</v>
      </c>
      <c r="E22" s="3">
        <f t="shared" si="1"/>
        <v>8.0676165555834831E-2</v>
      </c>
      <c r="G22" t="s">
        <v>26</v>
      </c>
    </row>
    <row r="23" spans="1:7" x14ac:dyDescent="0.3">
      <c r="B23" s="1"/>
      <c r="E23" s="3"/>
    </row>
    <row r="24" spans="1:7" x14ac:dyDescent="0.3">
      <c r="B24" s="1"/>
      <c r="D24">
        <f>SUM(D5:D22)</f>
        <v>5259422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4"/>
  <sheetViews>
    <sheetView workbookViewId="0">
      <selection activeCell="B24" sqref="B24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7</v>
      </c>
      <c r="B5" s="1">
        <f>473+780+961</f>
        <v>2214</v>
      </c>
      <c r="C5">
        <v>120</v>
      </c>
      <c r="D5">
        <f t="shared" ref="D5:D22" si="0">C5*B5</f>
        <v>265680</v>
      </c>
      <c r="E5" s="3">
        <f t="shared" ref="E5:E22" si="1">D5/$D$24</f>
        <v>5.3900557852920535E-2</v>
      </c>
    </row>
    <row r="6" spans="1:7" x14ac:dyDescent="0.3">
      <c r="A6" t="s">
        <v>8</v>
      </c>
      <c r="B6" s="1">
        <f>29+10</f>
        <v>39</v>
      </c>
      <c r="C6">
        <v>18690</v>
      </c>
      <c r="D6">
        <f t="shared" si="0"/>
        <v>728910</v>
      </c>
      <c r="E6" s="3">
        <f t="shared" si="1"/>
        <v>0.14787961316084128</v>
      </c>
    </row>
    <row r="7" spans="1:7" x14ac:dyDescent="0.3">
      <c r="A7" t="s">
        <v>9</v>
      </c>
      <c r="B7" s="1">
        <f>3290-1645-822</f>
        <v>823</v>
      </c>
      <c r="C7">
        <v>45</v>
      </c>
      <c r="D7">
        <f t="shared" si="0"/>
        <v>37035</v>
      </c>
      <c r="E7" s="3">
        <f t="shared" si="1"/>
        <v>7.5135770855273712E-3</v>
      </c>
    </row>
    <row r="8" spans="1:7" x14ac:dyDescent="0.3">
      <c r="A8" t="s">
        <v>10</v>
      </c>
      <c r="B8" s="1">
        <f>840+420</f>
        <v>1260</v>
      </c>
      <c r="C8">
        <v>488</v>
      </c>
      <c r="D8">
        <f t="shared" si="0"/>
        <v>614880</v>
      </c>
      <c r="E8" s="3">
        <f t="shared" si="1"/>
        <v>0.12474546451597328</v>
      </c>
    </row>
    <row r="9" spans="1:7" x14ac:dyDescent="0.3">
      <c r="A9" t="s">
        <v>11</v>
      </c>
      <c r="B9" s="1">
        <f>766+383+229</f>
        <v>1378</v>
      </c>
      <c r="C9">
        <v>249</v>
      </c>
      <c r="D9">
        <f t="shared" si="0"/>
        <v>343122</v>
      </c>
      <c r="E9" s="3">
        <f t="shared" si="1"/>
        <v>6.9611815761855614E-2</v>
      </c>
    </row>
    <row r="10" spans="1:7" x14ac:dyDescent="0.3">
      <c r="A10" t="s">
        <v>12</v>
      </c>
      <c r="B10" s="1">
        <v>2928</v>
      </c>
      <c r="C10">
        <v>69</v>
      </c>
      <c r="D10">
        <f t="shared" si="0"/>
        <v>202032</v>
      </c>
      <c r="E10" s="3">
        <f t="shared" si="1"/>
        <v>4.098779548381979E-2</v>
      </c>
    </row>
    <row r="11" spans="1:7" x14ac:dyDescent="0.3">
      <c r="A11" t="s">
        <v>13</v>
      </c>
      <c r="B11" s="1">
        <v>922</v>
      </c>
      <c r="C11">
        <v>194</v>
      </c>
      <c r="D11">
        <f t="shared" si="0"/>
        <v>178868</v>
      </c>
      <c r="E11" s="3">
        <f t="shared" si="1"/>
        <v>3.6288335524074788E-2</v>
      </c>
    </row>
    <row r="12" spans="1:7" x14ac:dyDescent="0.3">
      <c r="A12" t="s">
        <v>14</v>
      </c>
      <c r="B12" s="1">
        <v>1228</v>
      </c>
      <c r="C12">
        <v>136</v>
      </c>
      <c r="D12">
        <f>C12*B12</f>
        <v>167008</v>
      </c>
      <c r="E12" s="3">
        <f t="shared" si="1"/>
        <v>3.3882205532597687E-2</v>
      </c>
    </row>
    <row r="13" spans="1:7" x14ac:dyDescent="0.3">
      <c r="A13" t="s">
        <v>15</v>
      </c>
      <c r="B13" s="1">
        <f>278+278</f>
        <v>556</v>
      </c>
      <c r="C13">
        <v>531</v>
      </c>
      <c r="D13">
        <f>C13*B13</f>
        <v>295236</v>
      </c>
      <c r="E13" s="3">
        <f t="shared" si="1"/>
        <v>5.9896812324092323E-2</v>
      </c>
    </row>
    <row r="14" spans="1:7" x14ac:dyDescent="0.3">
      <c r="A14" t="s">
        <v>16</v>
      </c>
      <c r="B14" s="1">
        <v>1011</v>
      </c>
      <c r="C14">
        <v>174</v>
      </c>
      <c r="D14">
        <f>C14*B14</f>
        <v>175914</v>
      </c>
      <c r="E14" s="3">
        <f t="shared" si="1"/>
        <v>3.568903468134095E-2</v>
      </c>
    </row>
    <row r="15" spans="1:7" x14ac:dyDescent="0.3">
      <c r="A15" t="s">
        <v>17</v>
      </c>
      <c r="B15" s="1">
        <f>265+65+158</f>
        <v>488</v>
      </c>
      <c r="C15">
        <v>707</v>
      </c>
      <c r="D15">
        <f>C15*B15</f>
        <v>345016</v>
      </c>
      <c r="E15" s="3">
        <f t="shared" si="1"/>
        <v>6.9996066200629453E-2</v>
      </c>
      <c r="G15" t="s">
        <v>27</v>
      </c>
    </row>
    <row r="16" spans="1:7" x14ac:dyDescent="0.3">
      <c r="A16" t="s">
        <v>18</v>
      </c>
      <c r="B16" s="1">
        <f>186+349</f>
        <v>535</v>
      </c>
      <c r="C16">
        <v>165</v>
      </c>
      <c r="D16">
        <f t="shared" si="0"/>
        <v>88275</v>
      </c>
      <c r="E16" s="3">
        <f t="shared" si="1"/>
        <v>1.7909032461858477E-2</v>
      </c>
    </row>
    <row r="17" spans="1:7" x14ac:dyDescent="0.3">
      <c r="A17" t="s">
        <v>19</v>
      </c>
      <c r="B17" s="1">
        <v>267</v>
      </c>
      <c r="C17">
        <v>880</v>
      </c>
      <c r="D17">
        <f t="shared" si="0"/>
        <v>234960</v>
      </c>
      <c r="E17" s="3">
        <f t="shared" si="1"/>
        <v>4.766815369287191E-2</v>
      </c>
    </row>
    <row r="18" spans="1:7" x14ac:dyDescent="0.3">
      <c r="A18" t="s">
        <v>20</v>
      </c>
      <c r="B18" s="1">
        <f>368+532</f>
        <v>900</v>
      </c>
      <c r="C18">
        <v>141</v>
      </c>
      <c r="D18">
        <f t="shared" si="0"/>
        <v>126900</v>
      </c>
      <c r="E18" s="3">
        <f t="shared" si="1"/>
        <v>2.5745185153325866E-2</v>
      </c>
    </row>
    <row r="19" spans="1:7" x14ac:dyDescent="0.3">
      <c r="A19" t="s">
        <v>21</v>
      </c>
      <c r="B19" s="1">
        <v>365</v>
      </c>
      <c r="C19">
        <v>93</v>
      </c>
      <c r="D19">
        <f t="shared" si="0"/>
        <v>33945</v>
      </c>
      <c r="E19" s="3">
        <f t="shared" si="1"/>
        <v>6.8866848702099802E-3</v>
      </c>
    </row>
    <row r="20" spans="1:7" x14ac:dyDescent="0.3">
      <c r="A20" t="s">
        <v>22</v>
      </c>
      <c r="B20" s="1">
        <f>6886+2045</f>
        <v>8931</v>
      </c>
      <c r="C20">
        <v>36</v>
      </c>
      <c r="D20">
        <f t="shared" si="0"/>
        <v>321516</v>
      </c>
      <c r="E20" s="3">
        <f t="shared" si="1"/>
        <v>6.5228439320383913E-2</v>
      </c>
    </row>
    <row r="21" spans="1:7" x14ac:dyDescent="0.3">
      <c r="A21" t="s">
        <v>23</v>
      </c>
      <c r="B21" s="1">
        <f>920+319+331</f>
        <v>1570</v>
      </c>
      <c r="C21">
        <v>292</v>
      </c>
      <c r="D21">
        <f t="shared" si="0"/>
        <v>458440</v>
      </c>
      <c r="E21" s="3">
        <f t="shared" si="1"/>
        <v>9.3007270935308986E-2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</f>
        <v>311.33999999999992</v>
      </c>
      <c r="C22">
        <v>1000</v>
      </c>
      <c r="D22">
        <f t="shared" si="0"/>
        <v>311339.99999999994</v>
      </c>
      <c r="E22" s="3">
        <f t="shared" si="1"/>
        <v>6.3163955442367803E-2</v>
      </c>
      <c r="G22" t="s">
        <v>28</v>
      </c>
    </row>
    <row r="23" spans="1:7" x14ac:dyDescent="0.3">
      <c r="B23" s="1"/>
      <c r="E23" s="3"/>
    </row>
    <row r="24" spans="1:7" x14ac:dyDescent="0.3">
      <c r="B24" s="1"/>
      <c r="D24">
        <f>SUM(D5:D22)</f>
        <v>4929077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G25"/>
  <sheetViews>
    <sheetView workbookViewId="0">
      <selection activeCell="G5" sqref="G5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29</v>
      </c>
      <c r="B5" s="1">
        <v>157</v>
      </c>
      <c r="C5">
        <v>1700</v>
      </c>
      <c r="D5">
        <f t="shared" ref="D5:D23" si="0">C5*B5</f>
        <v>266900</v>
      </c>
      <c r="E5" s="3">
        <f t="shared" ref="E5:E23" si="1">D5/$D$25</f>
        <v>4.9935097469792918E-2</v>
      </c>
      <c r="G5" t="s">
        <v>30</v>
      </c>
    </row>
    <row r="6" spans="1:7" x14ac:dyDescent="0.3">
      <c r="A6" t="s">
        <v>7</v>
      </c>
      <c r="B6" s="1">
        <f>473+780+961</f>
        <v>2214</v>
      </c>
      <c r="C6">
        <v>139</v>
      </c>
      <c r="D6">
        <f t="shared" si="0"/>
        <v>307746</v>
      </c>
      <c r="E6" s="3">
        <f t="shared" si="1"/>
        <v>5.7577094439636156E-2</v>
      </c>
    </row>
    <row r="7" spans="1:7" x14ac:dyDescent="0.3">
      <c r="A7" t="s">
        <v>8</v>
      </c>
      <c r="B7" s="1">
        <f>29+10</f>
        <v>39</v>
      </c>
      <c r="C7">
        <v>19254</v>
      </c>
      <c r="D7">
        <f t="shared" si="0"/>
        <v>750906</v>
      </c>
      <c r="E7" s="3">
        <f t="shared" si="1"/>
        <v>0.14048918808786931</v>
      </c>
    </row>
    <row r="8" spans="1:7" x14ac:dyDescent="0.3">
      <c r="A8" t="s">
        <v>9</v>
      </c>
      <c r="B8" s="1">
        <f>3290-1645-822</f>
        <v>823</v>
      </c>
      <c r="C8">
        <v>47</v>
      </c>
      <c r="D8">
        <f t="shared" si="0"/>
        <v>38681</v>
      </c>
      <c r="E8" s="3">
        <f t="shared" si="1"/>
        <v>7.2369408213902578E-3</v>
      </c>
    </row>
    <row r="9" spans="1:7" x14ac:dyDescent="0.3">
      <c r="A9" t="s">
        <v>10</v>
      </c>
      <c r="B9" s="1">
        <f>840+420</f>
        <v>1260</v>
      </c>
      <c r="C9">
        <v>516</v>
      </c>
      <c r="D9">
        <f t="shared" si="0"/>
        <v>650160</v>
      </c>
      <c r="E9" s="3">
        <f t="shared" si="1"/>
        <v>0.12164032585597813</v>
      </c>
    </row>
    <row r="10" spans="1:7" x14ac:dyDescent="0.3">
      <c r="A10" t="s">
        <v>11</v>
      </c>
      <c r="B10" s="1">
        <f>766+383+229</f>
        <v>1378</v>
      </c>
      <c r="C10">
        <v>251</v>
      </c>
      <c r="D10">
        <f t="shared" si="0"/>
        <v>345878</v>
      </c>
      <c r="E10" s="3">
        <f t="shared" si="1"/>
        <v>6.4711321253866749E-2</v>
      </c>
    </row>
    <row r="11" spans="1:7" x14ac:dyDescent="0.3">
      <c r="A11" t="s">
        <v>12</v>
      </c>
      <c r="B11" s="1">
        <v>2928</v>
      </c>
      <c r="C11">
        <v>61</v>
      </c>
      <c r="D11">
        <f t="shared" si="0"/>
        <v>178608</v>
      </c>
      <c r="E11" s="3">
        <f t="shared" si="1"/>
        <v>3.3416290329279778E-2</v>
      </c>
    </row>
    <row r="12" spans="1:7" x14ac:dyDescent="0.3">
      <c r="A12" t="s">
        <v>13</v>
      </c>
      <c r="B12" s="1">
        <v>922</v>
      </c>
      <c r="C12">
        <v>255</v>
      </c>
      <c r="D12">
        <f t="shared" si="0"/>
        <v>235110</v>
      </c>
      <c r="E12" s="3">
        <f t="shared" si="1"/>
        <v>4.3987413885811212E-2</v>
      </c>
    </row>
    <row r="13" spans="1:7" x14ac:dyDescent="0.3">
      <c r="A13" t="s">
        <v>14</v>
      </c>
      <c r="B13" s="1">
        <v>1228</v>
      </c>
      <c r="C13">
        <v>154</v>
      </c>
      <c r="D13">
        <f>C13*B13</f>
        <v>189112</v>
      </c>
      <c r="E13" s="3">
        <f t="shared" si="1"/>
        <v>3.5381514247686319E-2</v>
      </c>
    </row>
    <row r="14" spans="1:7" x14ac:dyDescent="0.3">
      <c r="A14" t="s">
        <v>15</v>
      </c>
      <c r="B14" s="1">
        <f>278+278</f>
        <v>556</v>
      </c>
      <c r="C14">
        <v>724</v>
      </c>
      <c r="D14">
        <f>C14*B14</f>
        <v>402544</v>
      </c>
      <c r="E14" s="3">
        <f t="shared" si="1"/>
        <v>7.5313128047509628E-2</v>
      </c>
    </row>
    <row r="15" spans="1:7" x14ac:dyDescent="0.3">
      <c r="A15" t="s">
        <v>16</v>
      </c>
      <c r="B15" s="1">
        <v>1011</v>
      </c>
      <c r="C15">
        <v>194</v>
      </c>
      <c r="D15">
        <f>C15*B15</f>
        <v>196134</v>
      </c>
      <c r="E15" s="3">
        <f t="shared" si="1"/>
        <v>3.6695280656202187E-2</v>
      </c>
    </row>
    <row r="16" spans="1:7" x14ac:dyDescent="0.3">
      <c r="A16" t="s">
        <v>17</v>
      </c>
      <c r="B16" s="1">
        <f>265+65+158</f>
        <v>488</v>
      </c>
      <c r="C16">
        <v>714</v>
      </c>
      <c r="D16">
        <f>C16*B16</f>
        <v>348432</v>
      </c>
      <c r="E16" s="3">
        <f t="shared" si="1"/>
        <v>6.5189156544004812E-2</v>
      </c>
    </row>
    <row r="17" spans="1:7" x14ac:dyDescent="0.3">
      <c r="A17" t="s">
        <v>18</v>
      </c>
      <c r="B17" s="1">
        <f>186+349</f>
        <v>535</v>
      </c>
      <c r="C17">
        <v>170</v>
      </c>
      <c r="D17">
        <f t="shared" si="0"/>
        <v>90950</v>
      </c>
      <c r="E17" s="3">
        <f t="shared" si="1"/>
        <v>1.7016100093209686E-2</v>
      </c>
    </row>
    <row r="18" spans="1:7" x14ac:dyDescent="0.3">
      <c r="A18" t="s">
        <v>19</v>
      </c>
      <c r="B18" s="1">
        <v>267</v>
      </c>
      <c r="C18">
        <v>1063</v>
      </c>
      <c r="D18">
        <f t="shared" si="0"/>
        <v>283821</v>
      </c>
      <c r="E18" s="3">
        <f t="shared" si="1"/>
        <v>5.3100896586639544E-2</v>
      </c>
    </row>
    <row r="19" spans="1:7" x14ac:dyDescent="0.3">
      <c r="A19" t="s">
        <v>20</v>
      </c>
      <c r="B19" s="1">
        <f>368+532</f>
        <v>900</v>
      </c>
      <c r="C19">
        <v>146</v>
      </c>
      <c r="D19">
        <f t="shared" si="0"/>
        <v>131400</v>
      </c>
      <c r="E19" s="3">
        <f t="shared" si="1"/>
        <v>2.4584008271003332E-2</v>
      </c>
    </row>
    <row r="20" spans="1:7" x14ac:dyDescent="0.3">
      <c r="A20" t="s">
        <v>21</v>
      </c>
      <c r="B20" s="1">
        <v>365</v>
      </c>
      <c r="C20">
        <v>77</v>
      </c>
      <c r="D20">
        <f t="shared" si="0"/>
        <v>28105</v>
      </c>
      <c r="E20" s="3">
        <f t="shared" si="1"/>
        <v>5.2582462135201567E-3</v>
      </c>
    </row>
    <row r="21" spans="1:7" x14ac:dyDescent="0.3">
      <c r="A21" t="s">
        <v>22</v>
      </c>
      <c r="B21" s="1">
        <f>6886+2045</f>
        <v>8931</v>
      </c>
      <c r="C21">
        <v>41</v>
      </c>
      <c r="D21">
        <f t="shared" si="0"/>
        <v>366171</v>
      </c>
      <c r="E21" s="3">
        <f t="shared" si="1"/>
        <v>6.8507997660590264E-2</v>
      </c>
    </row>
    <row r="22" spans="1:7" x14ac:dyDescent="0.3">
      <c r="A22" t="s">
        <v>23</v>
      </c>
      <c r="B22" s="1">
        <f>920+319+331</f>
        <v>1570</v>
      </c>
      <c r="C22">
        <v>312</v>
      </c>
      <c r="D22">
        <f t="shared" si="0"/>
        <v>489840</v>
      </c>
      <c r="E22" s="3">
        <f t="shared" si="1"/>
        <v>9.1645590650443462E-2</v>
      </c>
    </row>
    <row r="23" spans="1:7" x14ac:dyDescent="0.3">
      <c r="A23" t="s">
        <v>24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48.4+47.4+129.5-97.5-56+86.5+391.64-150.9-44.65+28+666.65-157.4-303.27+183.51-105.34-76.3-98.36+434.72-160.72-64.6+155.95-254.77-161.7-85.65+146.4+135.27+113.1+214.6+13.78-151.45-147.34-70.81-58.76-273.8+189.4+55.07+264.7-276.6-84.36-112.97-266.9</f>
        <v>44.439999999999941</v>
      </c>
      <c r="C23">
        <v>1000</v>
      </c>
      <c r="D23">
        <f t="shared" si="0"/>
        <v>44439.999999999942</v>
      </c>
      <c r="E23" s="3">
        <f t="shared" si="1"/>
        <v>8.3144088855661071E-3</v>
      </c>
      <c r="G23" t="s">
        <v>31</v>
      </c>
    </row>
    <row r="24" spans="1:7" x14ac:dyDescent="0.3">
      <c r="B24" s="1"/>
      <c r="E24" s="3"/>
    </row>
    <row r="25" spans="1:7" x14ac:dyDescent="0.3">
      <c r="B25" s="1"/>
      <c r="D25">
        <f>SUM(D5:D23)</f>
        <v>5344938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G24"/>
  <sheetViews>
    <sheetView workbookViewId="0">
      <selection activeCell="B23" sqref="B23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7</v>
      </c>
      <c r="B5" s="1">
        <f>473+780+961</f>
        <v>2214</v>
      </c>
      <c r="C5">
        <v>174</v>
      </c>
      <c r="D5">
        <f t="shared" ref="D5:D22" si="0">C5*B5</f>
        <v>385236</v>
      </c>
      <c r="E5" s="3">
        <f t="shared" ref="E5:E22" si="1">D5/$D$24</f>
        <v>7.0447199162612495E-2</v>
      </c>
    </row>
    <row r="6" spans="1:7" x14ac:dyDescent="0.3">
      <c r="A6" t="s">
        <v>8</v>
      </c>
      <c r="B6" s="1">
        <f>29+10</f>
        <v>39</v>
      </c>
      <c r="C6">
        <v>18742</v>
      </c>
      <c r="D6">
        <f t="shared" si="0"/>
        <v>730938</v>
      </c>
      <c r="E6" s="3">
        <f t="shared" si="1"/>
        <v>0.13366490894288605</v>
      </c>
    </row>
    <row r="7" spans="1:7" x14ac:dyDescent="0.3">
      <c r="A7" t="s">
        <v>9</v>
      </c>
      <c r="B7" s="1">
        <f>3290-1645-822</f>
        <v>823</v>
      </c>
      <c r="C7">
        <v>52</v>
      </c>
      <c r="D7">
        <f t="shared" si="0"/>
        <v>42796</v>
      </c>
      <c r="E7" s="3">
        <f t="shared" si="1"/>
        <v>7.8260036324828523E-3</v>
      </c>
    </row>
    <row r="8" spans="1:7" x14ac:dyDescent="0.3">
      <c r="A8" t="s">
        <v>10</v>
      </c>
      <c r="B8" s="1">
        <f>840+420</f>
        <v>1260</v>
      </c>
      <c r="C8">
        <v>507</v>
      </c>
      <c r="D8">
        <f t="shared" si="0"/>
        <v>638820</v>
      </c>
      <c r="E8" s="3">
        <f t="shared" si="1"/>
        <v>0.11681950744234731</v>
      </c>
    </row>
    <row r="9" spans="1:7" x14ac:dyDescent="0.3">
      <c r="A9" t="s">
        <v>11</v>
      </c>
      <c r="B9" s="1">
        <f>766+383+229</f>
        <v>1378</v>
      </c>
      <c r="C9">
        <v>259</v>
      </c>
      <c r="D9">
        <f t="shared" si="0"/>
        <v>356902</v>
      </c>
      <c r="E9" s="3">
        <f t="shared" si="1"/>
        <v>6.5265827377334218E-2</v>
      </c>
    </row>
    <row r="10" spans="1:7" x14ac:dyDescent="0.3">
      <c r="A10" t="s">
        <v>12</v>
      </c>
      <c r="B10" s="1">
        <v>2928</v>
      </c>
      <c r="C10">
        <v>58</v>
      </c>
      <c r="D10">
        <f t="shared" si="0"/>
        <v>169824</v>
      </c>
      <c r="E10" s="3">
        <f t="shared" si="1"/>
        <v>3.1055314536002614E-2</v>
      </c>
    </row>
    <row r="11" spans="1:7" x14ac:dyDescent="0.3">
      <c r="A11" t="s">
        <v>13</v>
      </c>
      <c r="B11" s="1">
        <v>922</v>
      </c>
      <c r="C11">
        <v>274</v>
      </c>
      <c r="D11">
        <f t="shared" si="0"/>
        <v>252628</v>
      </c>
      <c r="E11" s="3">
        <f t="shared" si="1"/>
        <v>4.619748681341429E-2</v>
      </c>
    </row>
    <row r="12" spans="1:7" x14ac:dyDescent="0.3">
      <c r="A12" t="s">
        <v>14</v>
      </c>
      <c r="B12" s="1">
        <v>1228</v>
      </c>
      <c r="C12">
        <v>133</v>
      </c>
      <c r="D12">
        <f>C12*B12</f>
        <v>163324</v>
      </c>
      <c r="E12" s="3">
        <f t="shared" si="1"/>
        <v>2.9866674859137056E-2</v>
      </c>
    </row>
    <row r="13" spans="1:7" x14ac:dyDescent="0.3">
      <c r="A13" t="s">
        <v>15</v>
      </c>
      <c r="B13" s="1">
        <f>278+278</f>
        <v>556</v>
      </c>
      <c r="C13">
        <v>798</v>
      </c>
      <c r="D13">
        <f>C13*B13</f>
        <v>443688</v>
      </c>
      <c r="E13" s="3">
        <f t="shared" si="1"/>
        <v>8.1136178607557993E-2</v>
      </c>
    </row>
    <row r="14" spans="1:7" x14ac:dyDescent="0.3">
      <c r="A14" t="s">
        <v>16</v>
      </c>
      <c r="B14" s="1">
        <v>1011</v>
      </c>
      <c r="C14">
        <v>205</v>
      </c>
      <c r="D14">
        <f>C14*B14</f>
        <v>207255</v>
      </c>
      <c r="E14" s="3">
        <f t="shared" si="1"/>
        <v>3.7900233265964894E-2</v>
      </c>
    </row>
    <row r="15" spans="1:7" x14ac:dyDescent="0.3">
      <c r="A15" t="s">
        <v>17</v>
      </c>
      <c r="B15" s="1">
        <f>265+65+158</f>
        <v>488</v>
      </c>
      <c r="C15">
        <v>719</v>
      </c>
      <c r="D15">
        <f>C15*B15</f>
        <v>350872</v>
      </c>
      <c r="E15" s="3">
        <f t="shared" si="1"/>
        <v>6.4163135492488158E-2</v>
      </c>
    </row>
    <row r="16" spans="1:7" x14ac:dyDescent="0.3">
      <c r="A16" t="s">
        <v>18</v>
      </c>
      <c r="B16" s="1">
        <f>186+349</f>
        <v>535</v>
      </c>
      <c r="C16">
        <v>186</v>
      </c>
      <c r="D16">
        <f t="shared" si="0"/>
        <v>99510</v>
      </c>
      <c r="E16" s="3">
        <f t="shared" si="1"/>
        <v>1.8197159114598762E-2</v>
      </c>
    </row>
    <row r="17" spans="1:7" x14ac:dyDescent="0.3">
      <c r="A17" t="s">
        <v>19</v>
      </c>
      <c r="B17" s="1">
        <v>267</v>
      </c>
      <c r="C17">
        <v>1116</v>
      </c>
      <c r="D17">
        <f t="shared" si="0"/>
        <v>297972</v>
      </c>
      <c r="E17" s="3">
        <f t="shared" si="1"/>
        <v>5.4489437199228448E-2</v>
      </c>
    </row>
    <row r="18" spans="1:7" x14ac:dyDescent="0.3">
      <c r="A18" t="s">
        <v>20</v>
      </c>
      <c r="B18" s="1">
        <f>368+532</f>
        <v>900</v>
      </c>
      <c r="C18">
        <v>161</v>
      </c>
      <c r="D18">
        <f t="shared" si="0"/>
        <v>144900</v>
      </c>
      <c r="E18" s="3">
        <f t="shared" si="1"/>
        <v>2.6497521411972272E-2</v>
      </c>
    </row>
    <row r="19" spans="1:7" x14ac:dyDescent="0.3">
      <c r="A19" t="s">
        <v>21</v>
      </c>
      <c r="B19" s="1">
        <f>365-365</f>
        <v>0</v>
      </c>
      <c r="C19">
        <v>71</v>
      </c>
      <c r="D19">
        <f t="shared" si="0"/>
        <v>0</v>
      </c>
      <c r="E19" s="3">
        <f t="shared" si="1"/>
        <v>0</v>
      </c>
      <c r="G19" t="s">
        <v>32</v>
      </c>
    </row>
    <row r="20" spans="1:7" x14ac:dyDescent="0.3">
      <c r="A20" t="s">
        <v>22</v>
      </c>
      <c r="B20" s="1">
        <f>6886+2045</f>
        <v>8931</v>
      </c>
      <c r="C20">
        <v>41</v>
      </c>
      <c r="D20">
        <f t="shared" si="0"/>
        <v>366171</v>
      </c>
      <c r="E20" s="3">
        <f t="shared" si="1"/>
        <v>6.6960827556544505E-2</v>
      </c>
    </row>
    <row r="21" spans="1:7" x14ac:dyDescent="0.3">
      <c r="A21" t="s">
        <v>23</v>
      </c>
      <c r="B21" s="1">
        <f>920+319+331</f>
        <v>1570</v>
      </c>
      <c r="C21">
        <v>307</v>
      </c>
      <c r="D21">
        <f t="shared" si="0"/>
        <v>481990</v>
      </c>
      <c r="E21" s="3">
        <f t="shared" si="1"/>
        <v>8.814037505422026E-2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</f>
        <v>335.6099999999999</v>
      </c>
      <c r="C22">
        <v>1000</v>
      </c>
      <c r="D22">
        <f t="shared" si="0"/>
        <v>335609.99999999988</v>
      </c>
      <c r="E22" s="3">
        <f t="shared" si="1"/>
        <v>6.1372209531207804E-2</v>
      </c>
      <c r="G22" t="s">
        <v>33</v>
      </c>
    </row>
    <row r="23" spans="1:7" x14ac:dyDescent="0.3">
      <c r="B23" s="1"/>
      <c r="E23" s="3"/>
    </row>
    <row r="24" spans="1:7" x14ac:dyDescent="0.3">
      <c r="B24" s="1"/>
      <c r="D24">
        <f>SUM(D5:D22)</f>
        <v>5468436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workbookViewId="0">
      <selection activeCell="B24" sqref="B24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2514</v>
      </c>
      <c r="D5">
        <f>B5*C5</f>
        <v>110616</v>
      </c>
      <c r="E5" s="3">
        <f t="shared" ref="E5:E22" si="0">D5/$D$24</f>
        <v>2.0241342176507884E-2</v>
      </c>
      <c r="G5" t="s">
        <v>35</v>
      </c>
    </row>
    <row r="6" spans="1:7" x14ac:dyDescent="0.3">
      <c r="A6" t="s">
        <v>7</v>
      </c>
      <c r="B6" s="1">
        <f>473+780+961</f>
        <v>2214</v>
      </c>
      <c r="C6">
        <v>172</v>
      </c>
      <c r="D6">
        <f t="shared" ref="D6:D22" si="1">C6*B6</f>
        <v>380808</v>
      </c>
      <c r="E6" s="3">
        <f t="shared" si="0"/>
        <v>6.9683093147027683E-2</v>
      </c>
    </row>
    <row r="7" spans="1:7" x14ac:dyDescent="0.3">
      <c r="A7" t="s">
        <v>8</v>
      </c>
      <c r="B7" s="1">
        <f>29+10</f>
        <v>39</v>
      </c>
      <c r="C7">
        <v>18584</v>
      </c>
      <c r="D7">
        <f t="shared" si="1"/>
        <v>724776</v>
      </c>
      <c r="E7" s="3">
        <f t="shared" si="0"/>
        <v>0.13262492783431581</v>
      </c>
    </row>
    <row r="8" spans="1:7" x14ac:dyDescent="0.3">
      <c r="A8" t="s">
        <v>9</v>
      </c>
      <c r="B8" s="1">
        <f>3290-1645-822</f>
        <v>823</v>
      </c>
      <c r="C8">
        <v>58</v>
      </c>
      <c r="D8">
        <f t="shared" si="1"/>
        <v>47734</v>
      </c>
      <c r="E8" s="3">
        <f t="shared" si="0"/>
        <v>8.7347239771229067E-3</v>
      </c>
    </row>
    <row r="9" spans="1:7" x14ac:dyDescent="0.3">
      <c r="A9" t="s">
        <v>10</v>
      </c>
      <c r="B9" s="1">
        <f>840+420</f>
        <v>1260</v>
      </c>
      <c r="C9">
        <v>516</v>
      </c>
      <c r="D9">
        <f t="shared" si="1"/>
        <v>650160</v>
      </c>
      <c r="E9" s="3">
        <f t="shared" si="0"/>
        <v>0.11897113464126678</v>
      </c>
    </row>
    <row r="10" spans="1:7" x14ac:dyDescent="0.3">
      <c r="A10" t="s">
        <v>11</v>
      </c>
      <c r="B10" s="1">
        <f>766+383+229</f>
        <v>1378</v>
      </c>
      <c r="C10">
        <v>244</v>
      </c>
      <c r="D10">
        <f t="shared" si="1"/>
        <v>336232</v>
      </c>
      <c r="E10" s="3">
        <f t="shared" si="0"/>
        <v>6.1526243605731536E-2</v>
      </c>
    </row>
    <row r="11" spans="1:7" x14ac:dyDescent="0.3">
      <c r="A11" t="s">
        <v>12</v>
      </c>
      <c r="B11" s="1">
        <v>2928</v>
      </c>
      <c r="C11">
        <v>63</v>
      </c>
      <c r="D11">
        <f t="shared" si="1"/>
        <v>184464</v>
      </c>
      <c r="E11" s="3">
        <f t="shared" si="0"/>
        <v>3.3754600991243132E-2</v>
      </c>
    </row>
    <row r="12" spans="1:7" x14ac:dyDescent="0.3">
      <c r="A12" t="s">
        <v>13</v>
      </c>
      <c r="B12" s="1">
        <v>922</v>
      </c>
      <c r="C12">
        <v>241</v>
      </c>
      <c r="D12">
        <f t="shared" si="1"/>
        <v>222202</v>
      </c>
      <c r="E12" s="3">
        <f t="shared" si="0"/>
        <v>4.0660182200625637E-2</v>
      </c>
    </row>
    <row r="13" spans="1:7" x14ac:dyDescent="0.3">
      <c r="A13" t="s">
        <v>14</v>
      </c>
      <c r="B13" s="1">
        <v>1228</v>
      </c>
      <c r="C13">
        <v>122</v>
      </c>
      <c r="D13">
        <f>C13*B13</f>
        <v>149816</v>
      </c>
      <c r="E13" s="3">
        <f t="shared" si="0"/>
        <v>2.7414451069607521E-2</v>
      </c>
    </row>
    <row r="14" spans="1:7" x14ac:dyDescent="0.3">
      <c r="A14" t="s">
        <v>15</v>
      </c>
      <c r="B14" s="1">
        <f>278+278</f>
        <v>556</v>
      </c>
      <c r="C14">
        <v>810</v>
      </c>
      <c r="D14">
        <f>C14*B14</f>
        <v>450360</v>
      </c>
      <c r="E14" s="3">
        <f t="shared" si="0"/>
        <v>8.2410237783070175E-2</v>
      </c>
    </row>
    <row r="15" spans="1:7" x14ac:dyDescent="0.3">
      <c r="A15" t="s">
        <v>16</v>
      </c>
      <c r="B15" s="1">
        <v>1011</v>
      </c>
      <c r="C15">
        <v>211</v>
      </c>
      <c r="D15">
        <f>C15*B15</f>
        <v>213321</v>
      </c>
      <c r="E15" s="3">
        <f t="shared" si="0"/>
        <v>3.9035070463900687E-2</v>
      </c>
    </row>
    <row r="16" spans="1:7" x14ac:dyDescent="0.3">
      <c r="A16" t="s">
        <v>17</v>
      </c>
      <c r="B16" s="1">
        <f>265+65+158</f>
        <v>488</v>
      </c>
      <c r="C16">
        <v>701</v>
      </c>
      <c r="D16">
        <f>C16*B16</f>
        <v>342088</v>
      </c>
      <c r="E16" s="3">
        <f t="shared" si="0"/>
        <v>6.2597818240374178E-2</v>
      </c>
    </row>
    <row r="17" spans="1:7" x14ac:dyDescent="0.3">
      <c r="A17" t="s">
        <v>18</v>
      </c>
      <c r="B17" s="1">
        <f>186+349</f>
        <v>535</v>
      </c>
      <c r="C17">
        <v>224</v>
      </c>
      <c r="D17">
        <f t="shared" si="1"/>
        <v>119840</v>
      </c>
      <c r="E17" s="3">
        <f t="shared" si="0"/>
        <v>2.1929218616047453E-2</v>
      </c>
    </row>
    <row r="18" spans="1:7" x14ac:dyDescent="0.3">
      <c r="A18" t="s">
        <v>19</v>
      </c>
      <c r="B18" s="1">
        <v>267</v>
      </c>
      <c r="C18">
        <v>1118</v>
      </c>
      <c r="D18">
        <f t="shared" si="1"/>
        <v>298506</v>
      </c>
      <c r="E18" s="3">
        <f t="shared" si="0"/>
        <v>5.4622858246010188E-2</v>
      </c>
    </row>
    <row r="19" spans="1:7" x14ac:dyDescent="0.3">
      <c r="A19" t="s">
        <v>20</v>
      </c>
      <c r="B19" s="1">
        <f>368+532</f>
        <v>900</v>
      </c>
      <c r="C19">
        <v>177</v>
      </c>
      <c r="D19">
        <f t="shared" si="1"/>
        <v>159300</v>
      </c>
      <c r="E19" s="3">
        <f t="shared" si="0"/>
        <v>2.91499042518054E-2</v>
      </c>
    </row>
    <row r="20" spans="1:7" x14ac:dyDescent="0.3">
      <c r="A20" t="s">
        <v>22</v>
      </c>
      <c r="B20" s="1">
        <f>6886+2045</f>
        <v>8931</v>
      </c>
      <c r="C20">
        <v>42</v>
      </c>
      <c r="D20">
        <f t="shared" si="1"/>
        <v>375102</v>
      </c>
      <c r="E20" s="3">
        <f t="shared" si="0"/>
        <v>6.8638966633149459E-2</v>
      </c>
    </row>
    <row r="21" spans="1:7" x14ac:dyDescent="0.3">
      <c r="A21" t="s">
        <v>23</v>
      </c>
      <c r="B21" s="1">
        <f>920+319+331</f>
        <v>1570</v>
      </c>
      <c r="C21">
        <v>302</v>
      </c>
      <c r="D21">
        <f t="shared" si="1"/>
        <v>474140</v>
      </c>
      <c r="E21" s="3">
        <f t="shared" si="0"/>
        <v>8.6761679861588281E-2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</f>
        <v>225.3899999999999</v>
      </c>
      <c r="C22">
        <v>1000</v>
      </c>
      <c r="D22">
        <f t="shared" si="1"/>
        <v>225389.99999999991</v>
      </c>
      <c r="E22" s="3">
        <f t="shared" si="0"/>
        <v>4.1243546260605252E-2</v>
      </c>
      <c r="G22" t="s">
        <v>36</v>
      </c>
    </row>
    <row r="23" spans="1:7" x14ac:dyDescent="0.3">
      <c r="B23" s="1"/>
      <c r="E23" s="3"/>
    </row>
    <row r="24" spans="1:7" x14ac:dyDescent="0.3">
      <c r="B24" s="1"/>
      <c r="D24">
        <f>SUM(D5:D22)</f>
        <v>5464855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activeCell="B25" sqref="B25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2523</v>
      </c>
      <c r="D5">
        <f>B5*C5</f>
        <v>111012</v>
      </c>
      <c r="E5" s="3">
        <f t="shared" ref="E5:E22" si="0">D5/$D$24</f>
        <v>1.8794727886837493E-2</v>
      </c>
    </row>
    <row r="6" spans="1:7" x14ac:dyDescent="0.3">
      <c r="A6" t="s">
        <v>7</v>
      </c>
      <c r="B6" s="1">
        <f>473+780+961</f>
        <v>2214</v>
      </c>
      <c r="C6">
        <v>266</v>
      </c>
      <c r="D6">
        <f t="shared" ref="D6:D22" si="1">C6*B6</f>
        <v>588924</v>
      </c>
      <c r="E6" s="3">
        <f t="shared" si="0"/>
        <v>9.9706935520735451E-2</v>
      </c>
    </row>
    <row r="7" spans="1:7" x14ac:dyDescent="0.3">
      <c r="A7" t="s">
        <v>8</v>
      </c>
      <c r="B7" s="1">
        <f>29+10</f>
        <v>39</v>
      </c>
      <c r="C7">
        <v>21368</v>
      </c>
      <c r="D7">
        <f t="shared" si="1"/>
        <v>833352</v>
      </c>
      <c r="E7" s="3">
        <f t="shared" si="0"/>
        <v>0.14108946847144271</v>
      </c>
    </row>
    <row r="8" spans="1:7" x14ac:dyDescent="0.3">
      <c r="A8" t="s">
        <v>9</v>
      </c>
      <c r="B8" s="1">
        <f>3290-1645-822</f>
        <v>823</v>
      </c>
      <c r="C8">
        <v>62</v>
      </c>
      <c r="D8">
        <f t="shared" si="1"/>
        <v>51026</v>
      </c>
      <c r="E8" s="3">
        <f t="shared" si="0"/>
        <v>8.6388839508681047E-3</v>
      </c>
    </row>
    <row r="9" spans="1:7" x14ac:dyDescent="0.3">
      <c r="A9" t="s">
        <v>10</v>
      </c>
      <c r="B9" s="1">
        <f>840+420</f>
        <v>1260</v>
      </c>
      <c r="C9">
        <v>616</v>
      </c>
      <c r="D9">
        <f t="shared" si="1"/>
        <v>776160</v>
      </c>
      <c r="E9" s="3">
        <f t="shared" si="0"/>
        <v>0.13140665870939888</v>
      </c>
    </row>
    <row r="10" spans="1:7" x14ac:dyDescent="0.3">
      <c r="A10" t="s">
        <v>11</v>
      </c>
      <c r="B10" s="1">
        <f>766+383+229</f>
        <v>1378</v>
      </c>
      <c r="C10">
        <v>280</v>
      </c>
      <c r="D10">
        <f t="shared" si="1"/>
        <v>385840</v>
      </c>
      <c r="E10" s="3">
        <f t="shared" si="0"/>
        <v>6.5324089358424126E-2</v>
      </c>
    </row>
    <row r="11" spans="1:7" x14ac:dyDescent="0.3">
      <c r="A11" t="s">
        <v>12</v>
      </c>
      <c r="B11" s="1">
        <v>2928</v>
      </c>
      <c r="C11">
        <v>66</v>
      </c>
      <c r="D11">
        <f t="shared" si="1"/>
        <v>193248</v>
      </c>
      <c r="E11" s="3">
        <f t="shared" si="0"/>
        <v>3.2717576250095234E-2</v>
      </c>
    </row>
    <row r="12" spans="1:7" x14ac:dyDescent="0.3">
      <c r="A12" t="s">
        <v>13</v>
      </c>
      <c r="B12" s="1">
        <v>922</v>
      </c>
      <c r="C12">
        <v>233</v>
      </c>
      <c r="D12">
        <f t="shared" si="1"/>
        <v>214826</v>
      </c>
      <c r="E12" s="3">
        <f t="shared" si="0"/>
        <v>3.6370808678500989E-2</v>
      </c>
    </row>
    <row r="13" spans="1:7" x14ac:dyDescent="0.3">
      <c r="A13" t="s">
        <v>14</v>
      </c>
      <c r="B13" s="1">
        <v>1228</v>
      </c>
      <c r="C13">
        <v>123</v>
      </c>
      <c r="D13">
        <f>C13*B13</f>
        <v>151044</v>
      </c>
      <c r="E13" s="3">
        <f t="shared" si="0"/>
        <v>2.557228839170074E-2</v>
      </c>
    </row>
    <row r="14" spans="1:7" x14ac:dyDescent="0.3">
      <c r="A14" t="s">
        <v>15</v>
      </c>
      <c r="B14" s="1">
        <f>278+278</f>
        <v>556</v>
      </c>
      <c r="C14">
        <v>887</v>
      </c>
      <c r="D14">
        <f>C14*B14</f>
        <v>493172</v>
      </c>
      <c r="E14" s="3">
        <f t="shared" si="0"/>
        <v>8.3495780108523585E-2</v>
      </c>
    </row>
    <row r="15" spans="1:7" x14ac:dyDescent="0.3">
      <c r="A15" t="s">
        <v>16</v>
      </c>
      <c r="B15" s="1">
        <v>1011</v>
      </c>
      <c r="C15">
        <v>191</v>
      </c>
      <c r="D15">
        <f>C15*B15</f>
        <v>193101</v>
      </c>
      <c r="E15" s="3">
        <f t="shared" si="0"/>
        <v>3.2692688625339666E-2</v>
      </c>
    </row>
    <row r="16" spans="1:7" x14ac:dyDescent="0.3">
      <c r="A16" t="s">
        <v>17</v>
      </c>
      <c r="B16" s="1">
        <f>265+65+158-244</f>
        <v>244</v>
      </c>
      <c r="C16">
        <v>655</v>
      </c>
      <c r="D16">
        <f>C16*B16</f>
        <v>159820</v>
      </c>
      <c r="E16" s="3">
        <f t="shared" si="0"/>
        <v>2.7058096519965123E-2</v>
      </c>
      <c r="G16" t="s">
        <v>37</v>
      </c>
    </row>
    <row r="17" spans="1:7" x14ac:dyDescent="0.3">
      <c r="A17" t="s">
        <v>18</v>
      </c>
      <c r="B17" s="1">
        <f>186+349</f>
        <v>535</v>
      </c>
      <c r="C17">
        <v>198</v>
      </c>
      <c r="D17">
        <f t="shared" si="1"/>
        <v>105930</v>
      </c>
      <c r="E17" s="3">
        <f t="shared" si="0"/>
        <v>1.7934327145287858E-2</v>
      </c>
    </row>
    <row r="18" spans="1:7" x14ac:dyDescent="0.3">
      <c r="A18" t="s">
        <v>19</v>
      </c>
      <c r="B18" s="1">
        <v>267</v>
      </c>
      <c r="C18">
        <v>1128</v>
      </c>
      <c r="D18">
        <f t="shared" si="1"/>
        <v>301176</v>
      </c>
      <c r="E18" s="3">
        <f t="shared" si="0"/>
        <v>5.0990171927775101E-2</v>
      </c>
    </row>
    <row r="19" spans="1:7" x14ac:dyDescent="0.3">
      <c r="A19" t="s">
        <v>20</v>
      </c>
      <c r="B19" s="1">
        <f>368+532</f>
        <v>900</v>
      </c>
      <c r="C19">
        <v>193</v>
      </c>
      <c r="D19">
        <f t="shared" si="1"/>
        <v>173700</v>
      </c>
      <c r="E19" s="3">
        <f t="shared" si="0"/>
        <v>2.9408030068313992E-2</v>
      </c>
    </row>
    <row r="20" spans="1:7" x14ac:dyDescent="0.3">
      <c r="A20" t="s">
        <v>22</v>
      </c>
      <c r="B20" s="1">
        <f>6886+2045</f>
        <v>8931</v>
      </c>
      <c r="C20">
        <v>39</v>
      </c>
      <c r="D20">
        <f t="shared" si="1"/>
        <v>348309</v>
      </c>
      <c r="E20" s="3">
        <f t="shared" si="0"/>
        <v>5.8969957081545066E-2</v>
      </c>
    </row>
    <row r="21" spans="1:7" x14ac:dyDescent="0.3">
      <c r="A21" t="s">
        <v>23</v>
      </c>
      <c r="B21" s="1">
        <f>920+319+331</f>
        <v>1570</v>
      </c>
      <c r="C21">
        <v>295</v>
      </c>
      <c r="D21">
        <f t="shared" si="1"/>
        <v>463150</v>
      </c>
      <c r="E21" s="3">
        <f t="shared" si="0"/>
        <v>7.8412948337015689E-2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</f>
        <v>362.75999999999988</v>
      </c>
      <c r="C22">
        <v>1000</v>
      </c>
      <c r="D22">
        <f t="shared" si="1"/>
        <v>362759.99999999988</v>
      </c>
      <c r="E22" s="3">
        <f t="shared" si="0"/>
        <v>6.1416562968230164E-2</v>
      </c>
      <c r="G22" t="s">
        <v>38</v>
      </c>
    </row>
    <row r="23" spans="1:7" x14ac:dyDescent="0.3">
      <c r="B23" s="1"/>
      <c r="E23" s="3"/>
    </row>
    <row r="24" spans="1:7" x14ac:dyDescent="0.3">
      <c r="B24" s="1"/>
      <c r="D24">
        <f>SUM(D5:D22)</f>
        <v>5906550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B24" sqref="B24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2483</v>
      </c>
      <c r="D5">
        <f>B5*C5</f>
        <v>109252</v>
      </c>
      <c r="E5" s="3">
        <f t="shared" ref="E5:E23" si="0">D5/$D$25</f>
        <v>1.8229381320306975E-2</v>
      </c>
    </row>
    <row r="6" spans="1:7" x14ac:dyDescent="0.3">
      <c r="A6" t="s">
        <v>7</v>
      </c>
      <c r="B6" s="1">
        <f>473+780+961</f>
        <v>2214</v>
      </c>
      <c r="C6">
        <v>264</v>
      </c>
      <c r="D6">
        <f t="shared" ref="D6:D23" si="1">C6*B6</f>
        <v>584496</v>
      </c>
      <c r="E6" s="3">
        <f t="shared" si="0"/>
        <v>9.7526822979846092E-2</v>
      </c>
    </row>
    <row r="7" spans="1:7" x14ac:dyDescent="0.3">
      <c r="A7" t="s">
        <v>8</v>
      </c>
      <c r="B7" s="1">
        <f>29+10</f>
        <v>39</v>
      </c>
      <c r="C7">
        <v>22223</v>
      </c>
      <c r="D7">
        <f t="shared" si="1"/>
        <v>866697</v>
      </c>
      <c r="E7" s="3">
        <f t="shared" si="0"/>
        <v>0.14461382951493881</v>
      </c>
    </row>
    <row r="8" spans="1:7" x14ac:dyDescent="0.3">
      <c r="A8" t="s">
        <v>9</v>
      </c>
      <c r="B8" s="1">
        <f>3290-1645-822-823</f>
        <v>0</v>
      </c>
      <c r="C8">
        <v>64</v>
      </c>
      <c r="D8">
        <f t="shared" si="1"/>
        <v>0</v>
      </c>
      <c r="E8" s="3">
        <f t="shared" si="0"/>
        <v>0</v>
      </c>
      <c r="G8" t="s">
        <v>41</v>
      </c>
    </row>
    <row r="9" spans="1:7" x14ac:dyDescent="0.3">
      <c r="A9" t="s">
        <v>10</v>
      </c>
      <c r="B9" s="1">
        <f>840+420</f>
        <v>1260</v>
      </c>
      <c r="C9">
        <v>640</v>
      </c>
      <c r="D9">
        <f t="shared" si="1"/>
        <v>806400</v>
      </c>
      <c r="E9" s="3">
        <f t="shared" si="0"/>
        <v>0.13455289694189163</v>
      </c>
    </row>
    <row r="10" spans="1:7" x14ac:dyDescent="0.3">
      <c r="A10" t="s">
        <v>11</v>
      </c>
      <c r="B10" s="1">
        <f>766+383+229</f>
        <v>1378</v>
      </c>
      <c r="C10">
        <v>283</v>
      </c>
      <c r="D10">
        <f t="shared" si="1"/>
        <v>389974</v>
      </c>
      <c r="E10" s="3">
        <f t="shared" si="0"/>
        <v>6.5069607430576951E-2</v>
      </c>
    </row>
    <row r="11" spans="1:7" x14ac:dyDescent="0.3">
      <c r="A11" t="s">
        <v>12</v>
      </c>
      <c r="B11" s="1">
        <v>2928</v>
      </c>
      <c r="C11">
        <v>68</v>
      </c>
      <c r="D11">
        <f t="shared" si="1"/>
        <v>199104</v>
      </c>
      <c r="E11" s="3">
        <f t="shared" si="0"/>
        <v>3.3221750983033718E-2</v>
      </c>
    </row>
    <row r="12" spans="1:7" x14ac:dyDescent="0.3">
      <c r="A12" t="s">
        <v>13</v>
      </c>
      <c r="B12" s="1">
        <v>922</v>
      </c>
      <c r="C12">
        <v>238</v>
      </c>
      <c r="D12">
        <f t="shared" si="1"/>
        <v>219436</v>
      </c>
      <c r="E12" s="3">
        <f t="shared" si="0"/>
        <v>3.6614272685194613E-2</v>
      </c>
    </row>
    <row r="13" spans="1:7" x14ac:dyDescent="0.3">
      <c r="A13" t="s">
        <v>39</v>
      </c>
      <c r="B13" s="1">
        <v>2750</v>
      </c>
      <c r="C13">
        <v>109</v>
      </c>
      <c r="D13">
        <f t="shared" si="1"/>
        <v>299750</v>
      </c>
      <c r="E13" s="3">
        <f t="shared" si="0"/>
        <v>5.0015167235034748E-2</v>
      </c>
      <c r="G13" t="s">
        <v>40</v>
      </c>
    </row>
    <row r="14" spans="1:7" x14ac:dyDescent="0.3">
      <c r="A14" t="s">
        <v>14</v>
      </c>
      <c r="B14" s="1">
        <v>1228</v>
      </c>
      <c r="C14">
        <v>124</v>
      </c>
      <c r="D14">
        <f>C14*B14</f>
        <v>152272</v>
      </c>
      <c r="E14" s="3">
        <f t="shared" si="0"/>
        <v>2.5407538099126641E-2</v>
      </c>
    </row>
    <row r="15" spans="1:7" x14ac:dyDescent="0.3">
      <c r="A15" t="s">
        <v>15</v>
      </c>
      <c r="B15" s="1">
        <f>278+278</f>
        <v>556</v>
      </c>
      <c r="C15">
        <v>897</v>
      </c>
      <c r="D15">
        <f>C15*B15</f>
        <v>498732</v>
      </c>
      <c r="E15" s="3">
        <f t="shared" si="0"/>
        <v>8.3216561753005333E-2</v>
      </c>
    </row>
    <row r="16" spans="1:7" x14ac:dyDescent="0.3">
      <c r="A16" t="s">
        <v>16</v>
      </c>
      <c r="B16" s="1">
        <v>1011</v>
      </c>
      <c r="C16">
        <v>195</v>
      </c>
      <c r="D16">
        <f>C16*B16</f>
        <v>197145</v>
      </c>
      <c r="E16" s="3">
        <f t="shared" si="0"/>
        <v>3.2894879548126518E-2</v>
      </c>
    </row>
    <row r="17" spans="1:7" x14ac:dyDescent="0.3">
      <c r="A17" t="s">
        <v>17</v>
      </c>
      <c r="B17" s="1">
        <f>265+65+158-244</f>
        <v>244</v>
      </c>
      <c r="C17">
        <v>562</v>
      </c>
      <c r="D17">
        <f>C17*B17</f>
        <v>137128</v>
      </c>
      <c r="E17" s="3">
        <f t="shared" si="0"/>
        <v>2.2880666730961948E-2</v>
      </c>
    </row>
    <row r="18" spans="1:7" x14ac:dyDescent="0.3">
      <c r="A18" t="s">
        <v>18</v>
      </c>
      <c r="B18" s="1">
        <f>186+349</f>
        <v>535</v>
      </c>
      <c r="C18">
        <v>198</v>
      </c>
      <c r="D18">
        <f t="shared" si="1"/>
        <v>105930</v>
      </c>
      <c r="E18" s="3">
        <f t="shared" si="0"/>
        <v>1.7675084788014113E-2</v>
      </c>
    </row>
    <row r="19" spans="1:7" x14ac:dyDescent="0.3">
      <c r="A19" t="s">
        <v>19</v>
      </c>
      <c r="B19" s="1">
        <v>267</v>
      </c>
      <c r="C19">
        <v>1148</v>
      </c>
      <c r="D19">
        <f t="shared" si="1"/>
        <v>306516</v>
      </c>
      <c r="E19" s="3">
        <f t="shared" si="0"/>
        <v>5.1144116764683605E-2</v>
      </c>
    </row>
    <row r="20" spans="1:7" x14ac:dyDescent="0.3">
      <c r="A20" t="s">
        <v>20</v>
      </c>
      <c r="B20" s="1">
        <f>368+532</f>
        <v>900</v>
      </c>
      <c r="C20">
        <v>193</v>
      </c>
      <c r="D20">
        <f t="shared" si="1"/>
        <v>173700</v>
      </c>
      <c r="E20" s="3">
        <f t="shared" si="0"/>
        <v>2.8982934274313712E-2</v>
      </c>
    </row>
    <row r="21" spans="1:7" x14ac:dyDescent="0.3">
      <c r="A21" t="s">
        <v>22</v>
      </c>
      <c r="B21" s="1">
        <f>6886+2045</f>
        <v>8931</v>
      </c>
      <c r="C21">
        <v>40</v>
      </c>
      <c r="D21">
        <f t="shared" si="1"/>
        <v>357240</v>
      </c>
      <c r="E21" s="3">
        <f t="shared" si="0"/>
        <v>5.9607734255358841E-2</v>
      </c>
    </row>
    <row r="22" spans="1:7" x14ac:dyDescent="0.3">
      <c r="A22" t="s">
        <v>23</v>
      </c>
      <c r="B22" s="1">
        <f>920+319+331</f>
        <v>1570</v>
      </c>
      <c r="C22">
        <v>302</v>
      </c>
      <c r="D22">
        <f t="shared" si="1"/>
        <v>474140</v>
      </c>
      <c r="E22" s="3">
        <f t="shared" si="0"/>
        <v>7.911323233634486E-2</v>
      </c>
    </row>
    <row r="23" spans="1:7" x14ac:dyDescent="0.3">
      <c r="A23" t="s">
        <v>24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</f>
        <v>115.26999999999987</v>
      </c>
      <c r="C23">
        <v>1000</v>
      </c>
      <c r="D23">
        <f t="shared" si="1"/>
        <v>115269.99999999987</v>
      </c>
      <c r="E23" s="3">
        <f t="shared" si="0"/>
        <v>1.9233522359240862E-2</v>
      </c>
      <c r="G23" t="s">
        <v>42</v>
      </c>
    </row>
    <row r="24" spans="1:7" x14ac:dyDescent="0.3">
      <c r="B24" s="1"/>
      <c r="E24" s="3"/>
    </row>
    <row r="25" spans="1:7" x14ac:dyDescent="0.3">
      <c r="B25" s="1"/>
      <c r="D25">
        <f>SUM(D5:D23)</f>
        <v>5993182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>
      <selection activeCell="B7" sqref="B7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0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3122</v>
      </c>
      <c r="D5">
        <f>B5*C5</f>
        <v>137368</v>
      </c>
      <c r="E5" s="3">
        <f t="shared" ref="E5:E22" si="0">D5/$D$24</f>
        <v>1.9760391870516553E-2</v>
      </c>
    </row>
    <row r="6" spans="1:7" x14ac:dyDescent="0.3">
      <c r="A6" t="s">
        <v>7</v>
      </c>
      <c r="B6" s="1">
        <f>473+780+961</f>
        <v>2214</v>
      </c>
      <c r="C6">
        <v>387</v>
      </c>
      <c r="D6">
        <f t="shared" ref="D6:D22" si="1">C6*B6</f>
        <v>856818</v>
      </c>
      <c r="E6" s="3">
        <f t="shared" si="0"/>
        <v>0.12325330092679702</v>
      </c>
    </row>
    <row r="7" spans="1:7" x14ac:dyDescent="0.3">
      <c r="A7" t="s">
        <v>8</v>
      </c>
      <c r="B7" s="1">
        <f>29+10-39</f>
        <v>0</v>
      </c>
      <c r="C7">
        <v>25787</v>
      </c>
      <c r="D7">
        <f t="shared" si="1"/>
        <v>0</v>
      </c>
      <c r="E7" s="3">
        <f t="shared" si="0"/>
        <v>0</v>
      </c>
      <c r="G7" t="s">
        <v>43</v>
      </c>
    </row>
    <row r="8" spans="1:7" x14ac:dyDescent="0.3">
      <c r="A8" t="s">
        <v>10</v>
      </c>
      <c r="B8" s="1">
        <f>840+420</f>
        <v>1260</v>
      </c>
      <c r="C8">
        <v>859</v>
      </c>
      <c r="D8">
        <f t="shared" si="1"/>
        <v>1082340</v>
      </c>
      <c r="E8" s="3">
        <f t="shared" si="0"/>
        <v>0.15569464895124693</v>
      </c>
    </row>
    <row r="9" spans="1:7" x14ac:dyDescent="0.3">
      <c r="A9" t="s">
        <v>11</v>
      </c>
      <c r="B9" s="1">
        <f>766+383+229</f>
        <v>1378</v>
      </c>
      <c r="C9">
        <v>372</v>
      </c>
      <c r="D9">
        <f t="shared" si="1"/>
        <v>512616</v>
      </c>
      <c r="E9" s="3">
        <f t="shared" si="0"/>
        <v>7.3739830521640515E-2</v>
      </c>
    </row>
    <row r="10" spans="1:7" x14ac:dyDescent="0.3">
      <c r="A10" t="s">
        <v>12</v>
      </c>
      <c r="B10" s="1">
        <v>2928</v>
      </c>
      <c r="C10">
        <v>82</v>
      </c>
      <c r="D10">
        <f t="shared" si="1"/>
        <v>240096</v>
      </c>
      <c r="E10" s="3">
        <f t="shared" si="0"/>
        <v>3.4537818462404217E-2</v>
      </c>
    </row>
    <row r="11" spans="1:7" x14ac:dyDescent="0.3">
      <c r="A11" t="s">
        <v>13</v>
      </c>
      <c r="B11" s="1">
        <v>922</v>
      </c>
      <c r="C11">
        <v>292</v>
      </c>
      <c r="D11">
        <f t="shared" si="1"/>
        <v>269224</v>
      </c>
      <c r="E11" s="3">
        <f t="shared" si="0"/>
        <v>3.8727882337574605E-2</v>
      </c>
    </row>
    <row r="12" spans="1:7" x14ac:dyDescent="0.3">
      <c r="A12" t="s">
        <v>39</v>
      </c>
      <c r="B12" s="1">
        <v>2750</v>
      </c>
      <c r="C12">
        <v>104</v>
      </c>
      <c r="D12">
        <f t="shared" si="1"/>
        <v>286000</v>
      </c>
      <c r="E12" s="3">
        <f t="shared" si="0"/>
        <v>4.1141110556808969E-2</v>
      </c>
    </row>
    <row r="13" spans="1:7" x14ac:dyDescent="0.3">
      <c r="A13" t="s">
        <v>14</v>
      </c>
      <c r="B13" s="1">
        <v>1228</v>
      </c>
      <c r="C13">
        <v>103</v>
      </c>
      <c r="D13">
        <f>C13*B13</f>
        <v>126484</v>
      </c>
      <c r="E13" s="3">
        <f t="shared" si="0"/>
        <v>1.8194728068767221E-2</v>
      </c>
    </row>
    <row r="14" spans="1:7" x14ac:dyDescent="0.3">
      <c r="A14" t="s">
        <v>15</v>
      </c>
      <c r="B14" s="1">
        <f>278+278</f>
        <v>556</v>
      </c>
      <c r="C14">
        <v>1002</v>
      </c>
      <c r="D14">
        <f>C14*B14</f>
        <v>557112</v>
      </c>
      <c r="E14" s="3">
        <f t="shared" si="0"/>
        <v>8.0140581764073279E-2</v>
      </c>
    </row>
    <row r="15" spans="1:7" x14ac:dyDescent="0.3">
      <c r="A15" t="s">
        <v>16</v>
      </c>
      <c r="B15" s="1">
        <v>1011</v>
      </c>
      <c r="C15">
        <v>181</v>
      </c>
      <c r="D15">
        <f>C15*B15</f>
        <v>182991</v>
      </c>
      <c r="E15" s="3">
        <f t="shared" si="0"/>
        <v>2.6323262104549057E-2</v>
      </c>
    </row>
    <row r="16" spans="1:7" x14ac:dyDescent="0.3">
      <c r="A16" t="s">
        <v>17</v>
      </c>
      <c r="B16" s="1">
        <f>265+65+158-244</f>
        <v>244</v>
      </c>
      <c r="C16">
        <v>464</v>
      </c>
      <c r="D16">
        <f>C16*B16</f>
        <v>113216</v>
      </c>
      <c r="E16" s="3">
        <f t="shared" si="0"/>
        <v>1.6286125779019875E-2</v>
      </c>
    </row>
    <row r="17" spans="1:7" x14ac:dyDescent="0.3">
      <c r="A17" t="s">
        <v>18</v>
      </c>
      <c r="B17" s="1">
        <f>186+349</f>
        <v>535</v>
      </c>
      <c r="C17">
        <v>180</v>
      </c>
      <c r="D17">
        <f t="shared" si="1"/>
        <v>96300</v>
      </c>
      <c r="E17" s="3">
        <f t="shared" si="0"/>
        <v>1.3852758554617844E-2</v>
      </c>
    </row>
    <row r="18" spans="1:7" x14ac:dyDescent="0.3">
      <c r="A18" t="s">
        <v>19</v>
      </c>
      <c r="B18" s="1">
        <v>267</v>
      </c>
      <c r="C18">
        <v>1056</v>
      </c>
      <c r="D18">
        <f t="shared" si="1"/>
        <v>281952</v>
      </c>
      <c r="E18" s="3">
        <f t="shared" si="0"/>
        <v>4.0558805607389517E-2</v>
      </c>
    </row>
    <row r="19" spans="1:7" x14ac:dyDescent="0.3">
      <c r="A19" t="s">
        <v>20</v>
      </c>
      <c r="B19" s="1">
        <f>368+532</f>
        <v>900</v>
      </c>
      <c r="C19">
        <v>198</v>
      </c>
      <c r="D19">
        <f t="shared" si="1"/>
        <v>178200</v>
      </c>
      <c r="E19" s="3">
        <f t="shared" si="0"/>
        <v>2.563407657770405E-2</v>
      </c>
    </row>
    <row r="20" spans="1:7" x14ac:dyDescent="0.3">
      <c r="A20" t="s">
        <v>22</v>
      </c>
      <c r="B20" s="1">
        <f>6886+2045</f>
        <v>8931</v>
      </c>
      <c r="C20">
        <v>47</v>
      </c>
      <c r="D20">
        <f t="shared" si="1"/>
        <v>419757</v>
      </c>
      <c r="E20" s="3">
        <f t="shared" si="0"/>
        <v>6.038205994403658E-2</v>
      </c>
    </row>
    <row r="21" spans="1:7" x14ac:dyDescent="0.3">
      <c r="A21" t="s">
        <v>23</v>
      </c>
      <c r="B21" s="1">
        <f>920+319+331</f>
        <v>1570</v>
      </c>
      <c r="C21">
        <v>302</v>
      </c>
      <c r="D21">
        <f t="shared" si="1"/>
        <v>474140</v>
      </c>
      <c r="E21" s="3">
        <f t="shared" si="0"/>
        <v>6.8205056501417505E-2</v>
      </c>
    </row>
    <row r="22" spans="1:7" x14ac:dyDescent="0.3">
      <c r="A22" t="s">
        <v>24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</f>
        <v>1137.0699999999997</v>
      </c>
      <c r="C22">
        <v>1000</v>
      </c>
      <c r="D22">
        <f t="shared" si="1"/>
        <v>1137069.9999999998</v>
      </c>
      <c r="E22" s="3">
        <f t="shared" si="0"/>
        <v>0.16356756147143625</v>
      </c>
      <c r="G22" t="s">
        <v>44</v>
      </c>
    </row>
    <row r="23" spans="1:7" x14ac:dyDescent="0.3">
      <c r="B23" s="1"/>
      <c r="E23" s="3"/>
    </row>
    <row r="24" spans="1:7" x14ac:dyDescent="0.3">
      <c r="B24" s="1"/>
      <c r="D24">
        <f>SUM(D5:D22)</f>
        <v>6951684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B22" sqref="B22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3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2950</v>
      </c>
      <c r="D5">
        <f>B5*C5</f>
        <v>129800</v>
      </c>
      <c r="E5" s="3">
        <f t="shared" ref="E5:E21" si="0">D5/$D$23</f>
        <v>2.0253199318943264E-2</v>
      </c>
    </row>
    <row r="6" spans="1:7" x14ac:dyDescent="0.3">
      <c r="A6" t="s">
        <v>7</v>
      </c>
      <c r="B6" s="1">
        <f>473+780+961</f>
        <v>2214</v>
      </c>
      <c r="C6">
        <v>298</v>
      </c>
      <c r="D6">
        <f t="shared" ref="D6:D21" si="1">C6*B6</f>
        <v>659772</v>
      </c>
      <c r="E6" s="3">
        <f t="shared" si="0"/>
        <v>0.10294679369073832</v>
      </c>
    </row>
    <row r="7" spans="1:7" x14ac:dyDescent="0.3">
      <c r="A7" t="s">
        <v>10</v>
      </c>
      <c r="B7" s="1">
        <f>840+420</f>
        <v>1260</v>
      </c>
      <c r="C7">
        <v>842</v>
      </c>
      <c r="D7">
        <f t="shared" si="1"/>
        <v>1060920</v>
      </c>
      <c r="E7" s="3">
        <f t="shared" si="0"/>
        <v>0.16553947782321485</v>
      </c>
    </row>
    <row r="8" spans="1:7" x14ac:dyDescent="0.3">
      <c r="A8" t="s">
        <v>11</v>
      </c>
      <c r="B8" s="1">
        <f>766+383+229</f>
        <v>1378</v>
      </c>
      <c r="C8">
        <v>338</v>
      </c>
      <c r="D8">
        <f t="shared" si="1"/>
        <v>465764</v>
      </c>
      <c r="E8" s="3">
        <f t="shared" si="0"/>
        <v>7.2674970166319644E-2</v>
      </c>
    </row>
    <row r="9" spans="1:7" x14ac:dyDescent="0.3">
      <c r="A9" t="s">
        <v>12</v>
      </c>
      <c r="B9" s="1">
        <v>2928</v>
      </c>
      <c r="C9">
        <v>58</v>
      </c>
      <c r="D9">
        <f t="shared" si="1"/>
        <v>169824</v>
      </c>
      <c r="E9" s="3">
        <f t="shared" si="0"/>
        <v>2.649829985470124E-2</v>
      </c>
    </row>
    <row r="10" spans="1:7" x14ac:dyDescent="0.3">
      <c r="A10" t="s">
        <v>13</v>
      </c>
      <c r="B10" s="1">
        <f>922+700</f>
        <v>1622</v>
      </c>
      <c r="C10">
        <v>266</v>
      </c>
      <c r="D10">
        <f t="shared" si="1"/>
        <v>431452</v>
      </c>
      <c r="E10" s="3">
        <f t="shared" si="0"/>
        <v>6.7321135227709619E-2</v>
      </c>
      <c r="G10" t="s">
        <v>45</v>
      </c>
    </row>
    <row r="11" spans="1:7" x14ac:dyDescent="0.3">
      <c r="A11" t="s">
        <v>39</v>
      </c>
      <c r="B11" s="1">
        <v>2750</v>
      </c>
      <c r="C11">
        <v>90</v>
      </c>
      <c r="D11">
        <f t="shared" si="1"/>
        <v>247500</v>
      </c>
      <c r="E11" s="3">
        <f t="shared" si="0"/>
        <v>3.8618388531883339E-2</v>
      </c>
    </row>
    <row r="12" spans="1:7" x14ac:dyDescent="0.3">
      <c r="A12" t="s">
        <v>14</v>
      </c>
      <c r="B12" s="1">
        <v>1228</v>
      </c>
      <c r="C12">
        <v>78</v>
      </c>
      <c r="D12">
        <f>C12*B12</f>
        <v>95784</v>
      </c>
      <c r="E12" s="3">
        <f t="shared" si="0"/>
        <v>1.494555041267844E-2</v>
      </c>
    </row>
    <row r="13" spans="1:7" x14ac:dyDescent="0.3">
      <c r="A13" t="s">
        <v>15</v>
      </c>
      <c r="B13" s="1">
        <f>278+278</f>
        <v>556</v>
      </c>
      <c r="C13">
        <v>992</v>
      </c>
      <c r="D13">
        <f>C13*B13</f>
        <v>551552</v>
      </c>
      <c r="E13" s="3">
        <f t="shared" si="0"/>
        <v>8.6060805783989169E-2</v>
      </c>
    </row>
    <row r="14" spans="1:7" x14ac:dyDescent="0.3">
      <c r="A14" t="s">
        <v>16</v>
      </c>
      <c r="B14" s="1">
        <v>1011</v>
      </c>
      <c r="C14">
        <v>224</v>
      </c>
      <c r="D14">
        <f>C14*B14</f>
        <v>226464</v>
      </c>
      <c r="E14" s="3">
        <f t="shared" si="0"/>
        <v>3.5336059557512844E-2</v>
      </c>
    </row>
    <row r="15" spans="1:7" x14ac:dyDescent="0.3">
      <c r="A15" t="s">
        <v>17</v>
      </c>
      <c r="B15" s="1">
        <f>265+65+158-244</f>
        <v>244</v>
      </c>
      <c r="C15">
        <v>319</v>
      </c>
      <c r="D15">
        <f>C15*B15</f>
        <v>77836</v>
      </c>
      <c r="E15" s="3">
        <f t="shared" si="0"/>
        <v>1.2145054100071401E-2</v>
      </c>
    </row>
    <row r="16" spans="1:7" x14ac:dyDescent="0.3">
      <c r="A16" t="s">
        <v>18</v>
      </c>
      <c r="B16" s="1">
        <f>186+349</f>
        <v>535</v>
      </c>
      <c r="C16">
        <v>171</v>
      </c>
      <c r="D16">
        <f t="shared" si="1"/>
        <v>91485</v>
      </c>
      <c r="E16" s="3">
        <f t="shared" si="0"/>
        <v>1.4274760706421606E-2</v>
      </c>
    </row>
    <row r="17" spans="1:7" x14ac:dyDescent="0.3">
      <c r="A17" t="s">
        <v>19</v>
      </c>
      <c r="B17" s="1">
        <v>267</v>
      </c>
      <c r="C17">
        <v>1075</v>
      </c>
      <c r="D17">
        <f t="shared" si="1"/>
        <v>287025</v>
      </c>
      <c r="E17" s="3">
        <f t="shared" si="0"/>
        <v>4.4785628155005315E-2</v>
      </c>
    </row>
    <row r="18" spans="1:7" x14ac:dyDescent="0.3">
      <c r="A18" t="s">
        <v>20</v>
      </c>
      <c r="B18" s="1">
        <f>368+532</f>
        <v>900</v>
      </c>
      <c r="C18">
        <v>187</v>
      </c>
      <c r="D18">
        <f t="shared" si="1"/>
        <v>168300</v>
      </c>
      <c r="E18" s="3">
        <f t="shared" si="0"/>
        <v>2.6260504201680673E-2</v>
      </c>
    </row>
    <row r="19" spans="1:7" x14ac:dyDescent="0.3">
      <c r="A19" t="s">
        <v>22</v>
      </c>
      <c r="B19" s="1">
        <f>6886+2045</f>
        <v>8931</v>
      </c>
      <c r="C19">
        <v>36</v>
      </c>
      <c r="D19">
        <f t="shared" si="1"/>
        <v>321516</v>
      </c>
      <c r="E19" s="3">
        <f t="shared" si="0"/>
        <v>5.0167393160472744E-2</v>
      </c>
    </row>
    <row r="20" spans="1:7" x14ac:dyDescent="0.3">
      <c r="A20" t="s">
        <v>23</v>
      </c>
      <c r="B20" s="1">
        <f>920+319+331</f>
        <v>1570</v>
      </c>
      <c r="C20">
        <v>305</v>
      </c>
      <c r="D20">
        <f t="shared" si="1"/>
        <v>478850</v>
      </c>
      <c r="E20" s="3">
        <f t="shared" si="0"/>
        <v>7.4716829690878131E-2</v>
      </c>
    </row>
    <row r="21" spans="1:7" x14ac:dyDescent="0.3">
      <c r="A21" t="s">
        <v>24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</f>
        <v>945.01999999999975</v>
      </c>
      <c r="C21">
        <v>1000</v>
      </c>
      <c r="D21">
        <f t="shared" si="1"/>
        <v>945019.99999999977</v>
      </c>
      <c r="E21" s="3">
        <f t="shared" si="0"/>
        <v>0.14745514961777934</v>
      </c>
      <c r="G21" t="s">
        <v>46</v>
      </c>
    </row>
    <row r="22" spans="1:7" x14ac:dyDescent="0.3">
      <c r="B22" s="1"/>
      <c r="E22" s="3"/>
    </row>
    <row r="23" spans="1:7" x14ac:dyDescent="0.3">
      <c r="B23" s="1"/>
      <c r="D23">
        <f>SUM(D5:D21)</f>
        <v>6408864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>
      <selection activeCell="C23" sqref="C23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3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34</v>
      </c>
      <c r="B5" s="1">
        <v>44</v>
      </c>
      <c r="C5">
        <v>2865</v>
      </c>
      <c r="D5">
        <f>B5*C5</f>
        <v>126060</v>
      </c>
      <c r="E5" s="3">
        <f t="shared" ref="E5:E21" si="0">D5/$D$23</f>
        <v>1.9520413511916884E-2</v>
      </c>
    </row>
    <row r="6" spans="1:7" x14ac:dyDescent="0.3">
      <c r="A6" t="s">
        <v>7</v>
      </c>
      <c r="B6" s="1">
        <f>473+780+961</f>
        <v>2214</v>
      </c>
      <c r="C6">
        <v>297</v>
      </c>
      <c r="D6">
        <f t="shared" ref="D6:D21" si="1">C6*B6</f>
        <v>657558</v>
      </c>
      <c r="E6" s="3">
        <f t="shared" si="0"/>
        <v>0.10182297372734445</v>
      </c>
    </row>
    <row r="7" spans="1:7" x14ac:dyDescent="0.3">
      <c r="A7" t="s">
        <v>10</v>
      </c>
      <c r="B7" s="1">
        <f>840+420</f>
        <v>1260</v>
      </c>
      <c r="C7">
        <v>885</v>
      </c>
      <c r="D7">
        <f t="shared" si="1"/>
        <v>1115100</v>
      </c>
      <c r="E7" s="3">
        <f t="shared" si="0"/>
        <v>0.1726734341356379</v>
      </c>
    </row>
    <row r="8" spans="1:7" x14ac:dyDescent="0.3">
      <c r="A8" t="s">
        <v>11</v>
      </c>
      <c r="B8" s="1">
        <f>766+383+229</f>
        <v>1378</v>
      </c>
      <c r="C8">
        <v>351</v>
      </c>
      <c r="D8">
        <f t="shared" si="1"/>
        <v>483678</v>
      </c>
      <c r="E8" s="3">
        <f t="shared" si="0"/>
        <v>7.4897624675685656E-2</v>
      </c>
    </row>
    <row r="9" spans="1:7" x14ac:dyDescent="0.3">
      <c r="A9" t="s">
        <v>12</v>
      </c>
      <c r="B9" s="1">
        <v>2928</v>
      </c>
      <c r="C9">
        <v>59</v>
      </c>
      <c r="D9">
        <f t="shared" si="1"/>
        <v>172752</v>
      </c>
      <c r="E9" s="3">
        <f t="shared" si="0"/>
        <v>2.675067805021946E-2</v>
      </c>
    </row>
    <row r="10" spans="1:7" x14ac:dyDescent="0.3">
      <c r="A10" t="s">
        <v>13</v>
      </c>
      <c r="B10" s="1">
        <f>922+700</f>
        <v>1622</v>
      </c>
      <c r="C10">
        <v>253</v>
      </c>
      <c r="D10">
        <f t="shared" si="1"/>
        <v>410366</v>
      </c>
      <c r="E10" s="3">
        <f t="shared" si="0"/>
        <v>6.3545248383557698E-2</v>
      </c>
    </row>
    <row r="11" spans="1:7" x14ac:dyDescent="0.3">
      <c r="A11" t="s">
        <v>39</v>
      </c>
      <c r="B11" s="1">
        <v>2750</v>
      </c>
      <c r="C11">
        <v>101</v>
      </c>
      <c r="D11">
        <f t="shared" si="1"/>
        <v>277750</v>
      </c>
      <c r="E11" s="3">
        <f t="shared" si="0"/>
        <v>4.3009637100863987E-2</v>
      </c>
    </row>
    <row r="12" spans="1:7" x14ac:dyDescent="0.3">
      <c r="A12" t="s">
        <v>14</v>
      </c>
      <c r="B12" s="1">
        <v>1228</v>
      </c>
      <c r="C12">
        <v>42</v>
      </c>
      <c r="D12">
        <f>C12*B12</f>
        <v>51576</v>
      </c>
      <c r="E12" s="3">
        <f t="shared" si="0"/>
        <v>7.9865528104920286E-3</v>
      </c>
    </row>
    <row r="13" spans="1:7" x14ac:dyDescent="0.3">
      <c r="A13" t="s">
        <v>15</v>
      </c>
      <c r="B13" s="1">
        <f>278+278</f>
        <v>556</v>
      </c>
      <c r="C13">
        <v>1032</v>
      </c>
      <c r="D13">
        <f>C13*B13</f>
        <v>573792</v>
      </c>
      <c r="E13" s="3">
        <f t="shared" si="0"/>
        <v>8.8851793668331042E-2</v>
      </c>
    </row>
    <row r="14" spans="1:7" x14ac:dyDescent="0.3">
      <c r="A14" t="s">
        <v>16</v>
      </c>
      <c r="B14" s="1">
        <v>1011</v>
      </c>
      <c r="C14">
        <v>256</v>
      </c>
      <c r="D14">
        <f>C14*B14</f>
        <v>258816</v>
      </c>
      <c r="E14" s="3">
        <f t="shared" si="0"/>
        <v>4.0077703819611933E-2</v>
      </c>
    </row>
    <row r="15" spans="1:7" x14ac:dyDescent="0.3">
      <c r="A15" t="s">
        <v>17</v>
      </c>
      <c r="B15" s="1">
        <f>265+65+158-244</f>
        <v>244</v>
      </c>
      <c r="C15">
        <v>333</v>
      </c>
      <c r="D15">
        <f>C15*B15</f>
        <v>81252</v>
      </c>
      <c r="E15" s="3">
        <f t="shared" si="0"/>
        <v>1.2581886710060849E-2</v>
      </c>
    </row>
    <row r="16" spans="1:7" x14ac:dyDescent="0.3">
      <c r="A16" t="s">
        <v>18</v>
      </c>
      <c r="B16" s="1">
        <f>186+349</f>
        <v>535</v>
      </c>
      <c r="C16">
        <v>182</v>
      </c>
      <c r="D16">
        <f t="shared" si="1"/>
        <v>97370</v>
      </c>
      <c r="E16" s="3">
        <f t="shared" si="0"/>
        <v>1.5077761888428898E-2</v>
      </c>
    </row>
    <row r="17" spans="1:7" x14ac:dyDescent="0.3">
      <c r="A17" t="s">
        <v>19</v>
      </c>
      <c r="B17" s="1">
        <v>267</v>
      </c>
      <c r="C17">
        <v>1062</v>
      </c>
      <c r="D17">
        <f t="shared" si="1"/>
        <v>283554</v>
      </c>
      <c r="E17" s="3">
        <f t="shared" si="0"/>
        <v>4.390838753734793E-2</v>
      </c>
    </row>
    <row r="18" spans="1:7" x14ac:dyDescent="0.3">
      <c r="A18" t="s">
        <v>20</v>
      </c>
      <c r="B18" s="1">
        <f>368+532</f>
        <v>900</v>
      </c>
      <c r="C18">
        <v>184</v>
      </c>
      <c r="D18">
        <f t="shared" si="1"/>
        <v>165600</v>
      </c>
      <c r="E18" s="3">
        <f t="shared" si="0"/>
        <v>2.5643189573008374E-2</v>
      </c>
    </row>
    <row r="19" spans="1:7" x14ac:dyDescent="0.3">
      <c r="A19" t="s">
        <v>22</v>
      </c>
      <c r="B19" s="1">
        <f>6886+2045</f>
        <v>8931</v>
      </c>
      <c r="C19">
        <v>36</v>
      </c>
      <c r="D19">
        <f t="shared" si="1"/>
        <v>321516</v>
      </c>
      <c r="E19" s="3">
        <f t="shared" si="0"/>
        <v>4.978681001663865E-2</v>
      </c>
    </row>
    <row r="20" spans="1:7" x14ac:dyDescent="0.3">
      <c r="A20" t="s">
        <v>23</v>
      </c>
      <c r="B20" s="1">
        <f>920+319+331</f>
        <v>1570</v>
      </c>
      <c r="C20">
        <v>261</v>
      </c>
      <c r="D20">
        <f t="shared" si="1"/>
        <v>409770</v>
      </c>
      <c r="E20" s="3">
        <f t="shared" si="0"/>
        <v>6.3452957677123445E-2</v>
      </c>
    </row>
    <row r="21" spans="1:7" x14ac:dyDescent="0.3">
      <c r="A21" t="s">
        <v>24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</f>
        <v>971.3449999999998</v>
      </c>
      <c r="C21">
        <v>1000</v>
      </c>
      <c r="D21">
        <f t="shared" si="1"/>
        <v>971344.99999999977</v>
      </c>
      <c r="E21" s="3">
        <f t="shared" si="0"/>
        <v>0.15041294671373076</v>
      </c>
      <c r="G21" t="s">
        <v>60</v>
      </c>
    </row>
    <row r="22" spans="1:7" x14ac:dyDescent="0.3">
      <c r="B22" s="1"/>
      <c r="E22" s="3"/>
    </row>
    <row r="23" spans="1:7" x14ac:dyDescent="0.3">
      <c r="B23" s="1"/>
      <c r="D23">
        <f>SUM(D5:D21)</f>
        <v>6457855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C16"/>
  <sheetViews>
    <sheetView workbookViewId="0">
      <selection activeCell="D3" sqref="D3"/>
    </sheetView>
  </sheetViews>
  <sheetFormatPr defaultRowHeight="14.4" x14ac:dyDescent="0.3"/>
  <sheetData>
    <row r="1" spans="1:3" x14ac:dyDescent="0.3">
      <c r="A1" t="s">
        <v>47</v>
      </c>
    </row>
    <row r="3" spans="1:3" x14ac:dyDescent="0.3">
      <c r="A3" t="s">
        <v>48</v>
      </c>
      <c r="B3">
        <v>311340</v>
      </c>
      <c r="C3">
        <f>B3*0.005</f>
        <v>1556.7</v>
      </c>
    </row>
    <row r="4" spans="1:3" x14ac:dyDescent="0.3">
      <c r="A4" t="s">
        <v>49</v>
      </c>
      <c r="B4">
        <v>311340</v>
      </c>
      <c r="C4">
        <f t="shared" ref="C4:C14" si="0">B4*0.005</f>
        <v>1556.7</v>
      </c>
    </row>
    <row r="5" spans="1:3" x14ac:dyDescent="0.3">
      <c r="A5" t="s">
        <v>50</v>
      </c>
      <c r="B5">
        <v>311340</v>
      </c>
      <c r="C5">
        <f t="shared" si="0"/>
        <v>1556.7</v>
      </c>
    </row>
    <row r="6" spans="1:3" x14ac:dyDescent="0.3">
      <c r="A6" t="s">
        <v>51</v>
      </c>
      <c r="B6">
        <v>311340</v>
      </c>
      <c r="C6">
        <f t="shared" si="0"/>
        <v>1556.7</v>
      </c>
    </row>
    <row r="7" spans="1:3" x14ac:dyDescent="0.3">
      <c r="A7" t="s">
        <v>52</v>
      </c>
      <c r="B7">
        <v>311340</v>
      </c>
      <c r="C7">
        <f t="shared" si="0"/>
        <v>1556.7</v>
      </c>
    </row>
    <row r="8" spans="1:3" x14ac:dyDescent="0.3">
      <c r="A8" t="s">
        <v>53</v>
      </c>
      <c r="B8">
        <v>225390</v>
      </c>
      <c r="C8">
        <f t="shared" si="0"/>
        <v>1126.95</v>
      </c>
    </row>
    <row r="9" spans="1:3" x14ac:dyDescent="0.3">
      <c r="A9" t="s">
        <v>54</v>
      </c>
      <c r="B9">
        <v>225390</v>
      </c>
      <c r="C9">
        <f t="shared" si="0"/>
        <v>1126.95</v>
      </c>
    </row>
    <row r="10" spans="1:3" x14ac:dyDescent="0.3">
      <c r="A10" t="s">
        <v>55</v>
      </c>
      <c r="B10">
        <v>115270</v>
      </c>
      <c r="C10">
        <f t="shared" si="0"/>
        <v>576.35</v>
      </c>
    </row>
    <row r="11" spans="1:3" x14ac:dyDescent="0.3">
      <c r="A11" t="s">
        <v>56</v>
      </c>
      <c r="B11">
        <v>115270</v>
      </c>
      <c r="C11">
        <f t="shared" si="0"/>
        <v>576.35</v>
      </c>
    </row>
    <row r="12" spans="1:3" x14ac:dyDescent="0.3">
      <c r="A12" t="s">
        <v>57</v>
      </c>
      <c r="B12">
        <v>1137070</v>
      </c>
      <c r="C12">
        <f t="shared" si="0"/>
        <v>5685.35</v>
      </c>
    </row>
    <row r="13" spans="1:3" x14ac:dyDescent="0.3">
      <c r="A13" t="s">
        <v>58</v>
      </c>
      <c r="B13">
        <v>945020</v>
      </c>
      <c r="C13">
        <f t="shared" si="0"/>
        <v>4725.1000000000004</v>
      </c>
    </row>
    <row r="14" spans="1:3" x14ac:dyDescent="0.3">
      <c r="A14" t="s">
        <v>59</v>
      </c>
      <c r="B14">
        <v>945020</v>
      </c>
      <c r="C14">
        <f t="shared" si="0"/>
        <v>4725.1000000000004</v>
      </c>
    </row>
    <row r="16" spans="1:3" x14ac:dyDescent="0.3">
      <c r="C16">
        <f>SUM(C3:C15)</f>
        <v>26325.65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01Jan16</vt:lpstr>
      <vt:lpstr>27Jan16</vt:lpstr>
      <vt:lpstr>17Feb16</vt:lpstr>
      <vt:lpstr>04Apr16</vt:lpstr>
      <vt:lpstr>31May16</vt:lpstr>
      <vt:lpstr>10Jun16</vt:lpstr>
      <vt:lpstr>04Aug16</vt:lpstr>
      <vt:lpstr>08Aug16</vt:lpstr>
      <vt:lpstr>29Sep16</vt:lpstr>
      <vt:lpstr>25Nov16</vt:lpstr>
      <vt:lpstr>31Dec16</vt:lpstr>
      <vt:lpstr>Liquid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2023-06-27T10:20:23Z</dcterms:modified>
</cp:coreProperties>
</file>