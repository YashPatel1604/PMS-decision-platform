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3d40ca98d974bd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b1a2b128881644f1"/>
  </x:sheets>
</x:workbook>
</file>

<file path=xl/sharedStrings.xml><?xml version="1.0" encoding="utf-8"?>
<x:sst xmlns:x="http://schemas.openxmlformats.org/spreadsheetml/2006/main">
  <x:si>
    <x:t xml:space="preserve">Stock</x:t>
  </x:si>
  <x:si>
    <x:t xml:space="preserve">Sell Date</x:t>
  </x:si>
  <x:si>
    <x:t xml:space="preserve">Sell Price</x:t>
  </x:si>
  <x:si>
    <x:t xml:space="preserve">Then Portfolio Value</x:t>
  </x:si>
  <x:si>
    <x:t xml:space="preserve">Current Date</x:t>
  </x:si>
  <x:si>
    <x:t xml:space="preserve">Current Price</x:t>
  </x:si>
  <x:si>
    <x:t xml:space="preserve">Current Portfolio Value</x:t>
  </x:si>
  <x:si>
    <x:t xml:space="preserve">Stock Performance</x:t>
  </x:si>
  <x:si>
    <x:t xml:space="preserve">Portfolio Performance</x:t>
  </x:si>
  <x:si>
    <x:t xml:space="preserve">Outperformace</x:t>
  </x:si>
  <x:si>
    <x:t xml:space="preserve">Sanghvi Movers</x:t>
  </x:si>
  <x:si>
    <x:t xml:space="preserve">Havells</x:t>
  </x:si>
  <x:si>
    <x:t xml:space="preserve">BharatForge</x:t>
  </x:si>
  <x:si>
    <x:t xml:space="preserve">Geometric</x:t>
  </x:si>
  <x:si>
    <x:t xml:space="preserve">Take</x:t>
  </x:si>
  <x:si>
    <x:t xml:space="preserve">Vguard</x:t>
  </x:si>
  <x:si>
    <x:t xml:space="preserve">NDTV</x:t>
  </x:si>
  <x:si>
    <x:t xml:space="preserve">MCX</x:t>
  </x:si>
  <x:si>
    <x:t xml:space="preserve">NIITTech</x:t>
  </x:si>
  <x:si>
    <x:t xml:space="preserve">RSSoftware</x:t>
  </x:si>
  <x:si>
    <x:t xml:space="preserve">KaveriSeed</x:t>
  </x:si>
  <x:si>
    <x:t xml:space="preserve">EverestInd</x:t>
  </x:si>
  <x:si>
    <x:t xml:space="preserve">Zensar</x:t>
  </x:si>
  <x:si>
    <x:t xml:space="preserve">Ashiana</x:t>
  </x:si>
  <x:si>
    <x:t xml:space="preserve">AmaraRaja</x:t>
  </x:si>
  <x:si>
    <x:t xml:space="preserve">Treehouse</x:t>
  </x:si>
  <x:si>
    <x:t xml:space="preserve">FederalBank</x:t>
  </x:si>
  <x:si>
    <x:t xml:space="preserve">EicherMotors</x:t>
  </x:si>
  <x:si>
    <x:t xml:space="preserve">LloydElectric</x:t>
  </x:si>
  <x:si>
    <x:t xml:space="preserve">Merged with Havells</x:t>
  </x:si>
  <x:si>
    <x:t xml:space="preserve">Escorts</x:t>
  </x:si>
  <x:si>
    <x:t xml:space="preserve">Strides</x:t>
  </x:si>
  <x:si>
    <x:t xml:space="preserve">Neuland</x:t>
  </x:si>
  <x:si>
    <x:t xml:space="preserve">RamcoSys</x:t>
  </x:si>
  <x:si>
    <x:t xml:space="preserve">MBLInfra</x:t>
  </x:si>
  <x:si>
    <x:t xml:space="preserve">FSL</x:t>
  </x:si>
  <x:si>
    <x:t xml:space="preserve">Selan</x:t>
  </x:si>
  <x:si>
    <x:t xml:space="preserve">TataGlobal</x:t>
  </x:si>
  <x:si>
    <x:t xml:space="preserve">JKBank</x:t>
  </x:si>
  <x:si>
    <x:t xml:space="preserve">RKForge</x:t>
  </x:si>
  <x:si>
    <x:t xml:space="preserve">FineOrganics</x:t>
  </x:si>
  <x:si>
    <x:t xml:space="preserve">Technofab</x:t>
  </x:si>
  <x:si>
    <x:t xml:space="preserve">Insecticides</x:t>
  </x:si>
  <x:si>
    <x:t xml:space="preserve">PrajInds</x:t>
  </x:si>
  <x:si>
    <x:t xml:space="preserve">Nucleus</x:t>
  </x:si>
  <x:si>
    <x:t xml:space="preserve">AartiDrugs</x:t>
  </x:si>
  <x:si>
    <x:t xml:space="preserve">Dynamatic</x:t>
  </x:si>
  <x:si>
    <x:t xml:space="preserve">Balrampur</x:t>
  </x:si>
  <x:si>
    <x:t xml:space="preserve">Magma</x:t>
  </x:si>
  <x:si>
    <x:t xml:space="preserve">Motilal</x:t>
  </x:si>
  <x:si>
    <x:t xml:space="preserve">JBChem</x:t>
  </x:si>
  <x:si>
    <x:t xml:space="preserve">IOLChem</x:t>
  </x:si>
  <x:si>
    <x:t xml:space="preserve">SouthBank</x:t>
  </x:si>
  <x:si>
    <x:t xml:space="preserve">UFO</x:t>
  </x:si>
  <x:si>
    <x:t xml:space="preserve">Tanla</x:t>
  </x:si>
  <x:si>
    <x:t xml:space="preserve">Saregama</x:t>
  </x:si>
  <x:si>
    <x:t xml:space="preserve">PiramalPharma</x:t>
  </x:si>
</x:sst>
</file>

<file path=xl/styles.xml><?xml version="1.0" encoding="utf-8"?>
<x:styleSheet xmlns:x="http://schemas.openxmlformats.org/spreadsheetml/2006/main">
  <x:numFmts count="3">
    <x:numFmt numFmtId="200" formatCode="dd-mmm-yyyy"/>
    <x:numFmt numFmtId="201" formatCode="#,##0.00;[Red](#,##0.00);-"/>
    <x:numFmt numFmtId="202" formatCode="0.00%"/>
  </x:numFmts>
  <x:fonts count="3">
    <x:font>
      <x:sz val="11"/>
      <x:color theme="1"/>
      <x:name val="Calibri"/>
    </x:font>
    <x:font>
      <x:sz val="11"/>
      <x:color theme="1"/>
      <x:name val="Calibri"/>
    </x:font>
    <x:font>
      <x:b/>
      <x:sz val="11"/>
      <x:color theme="1"/>
      <x:name val="Calibri"/>
    </x:font>
  </x:fonts>
  <x:fills count="2">
    <x:fill>
      <x:patternFill patternType="none"/>
    </x:fill>
    <x:fill>
      <x:patternFill patternType="gray125"/>
    </x:fill>
  </x:fills>
  <x:borders count="2">
    <x:border/>
    <x:border/>
  </x:borders>
  <x:cellStyleXfs count="1">
    <x:xf numFmtId="0" fontId="0" fillId="0" borderId="0"/>
  </x:cellStyleXfs>
  <x:cellXfs count="21">
    <x:xf numFmtId="0" fontId="0" fillId="0" borderId="0" xfId="0"/>
    <x:xf numFmtId="0" fontId="1" fillId="0" borderId="0" xfId="0" applyFont="1"/>
    <x:xf numFmtId="17" fontId="1" fillId="0" borderId="0" xfId="0" applyNumberFormat="1" applyFont="1"/>
    <x:xf numFmtId="1" fontId="1" fillId="0" borderId="0" xfId="0" applyNumberFormat="1" applyFont="1"/>
    <x:xf numFmtId="10" fontId="1" fillId="0" borderId="0" xfId="0" applyNumberFormat="1" applyFont="1"/>
    <x:xf numFmtId="1" fontId="0" fillId="0" borderId="0" xfId="0" applyNumberFormat="1"/>
    <x:xf numFmtId="0" fontId="0" fillId="0" borderId="0" xfId="0" applyFont="1"/>
    <x:xf numFmtId="0" fontId="0" fillId="0" borderId="1" xfId="0" applyNumberFormat="1" applyFont="1" applyFill="1" applyBorder="1"/>
    <x:xf numFmtId="17" fontId="0" fillId="0" borderId="1" xfId="0" applyNumberFormat="1" applyFont="1" applyFill="1" applyBorder="1"/>
    <x:xf numFmtId="1" fontId="0" fillId="0" borderId="1" xfId="0" applyNumberFormat="1" applyFont="1" applyFill="1" applyBorder="1"/>
    <x:xf numFmtId="10" fontId="0" fillId="0" borderId="1" xfId="0" applyNumberFormat="1" applyFont="1" applyFill="1" applyBorder="1"/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202" fontId="0" fillId="0" borderId="0" xfId="0" applyNumberFormat="1" applyFont="1" applyFill="1" applyBorder="1"/>
    <x:xf numFmtId="202" fontId="0" fillId="0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ff2197769bd4c84" /><Relationship Type="http://schemas.openxmlformats.org/officeDocument/2006/relationships/theme" Target="/xl/theme/theme1.xml" Id="R7252504f5abd4e75" /><Relationship Type="http://schemas.openxmlformats.org/officeDocument/2006/relationships/sharedStrings" Target="/xl/sharedStrings.xml" Id="R6a16a9e6788a420f" /><Relationship Type="http://schemas.openxmlformats.org/officeDocument/2006/relationships/worksheet" Target="/xl/worksheets/sheet1.xml" Id="Rb1a2b128881644f1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ColWidth="9.109375" defaultRowHeight="14.399999618530273"/>
  <x:cols>
    <x:col min="1" max="1" width="18" style="1" hidden="0" customWidth="1"/>
    <x:col min="2" max="2" width="13" style="1" hidden="0" customWidth="1"/>
    <x:col min="3" max="3" width="9.109375" style="3" customWidth="0"/>
    <x:col min="4" max="4" width="20" style="1" hidden="0" customWidth="1"/>
    <x:col min="5" max="5" width="9.109375" style="1" customWidth="0"/>
    <x:col min="6" max="6" width="13" style="1" hidden="0" customWidth="1"/>
    <x:col min="7" max="7" width="12.5546875" style="1" customWidth="1"/>
    <x:col min="8" max="8" width="20" style="1" hidden="0" customWidth="1"/>
    <x:col min="9" max="9" width="2.88671875" style="1" customWidth="1"/>
    <x:col min="10" max="10" width="18" style="4" hidden="0" customWidth="1"/>
    <x:col min="11" max="11" width="18" style="1" hidden="0" customWidth="1"/>
    <x:col min="12" max="12" width="18" style="1" hidden="0" customWidth="1"/>
    <x:col min="13" max="16384" width="9.109375" style="1" customWidth="0"/>
    <x:col min="13" max="13" width="55" hidden="0" customWidth="1"/>
  </x:cols>
  <x:sheetData>
    <x:row r="1">
      <x:c r="A1" s="1" t="s">
        <x:v>0</x:v>
      </x:c>
      <x:c r="B1" s="1" t="s">
        <x:v>1</x:v>
      </x:c>
      <x:c r="C1" s="3" t="s">
        <x:v>2</x:v>
      </x:c>
      <x:c r="D1" s="1" t="s">
        <x:v>3</x:v>
      </x:c>
      <x:c r="F1" s="1" t="s">
        <x:v>4</x:v>
      </x:c>
      <x:c r="G1" s="1" t="s">
        <x:v>5</x:v>
      </x:c>
      <x:c r="H1" s="1" t="s">
        <x:v>6</x:v>
      </x:c>
      <x:c r="J1" s="4" t="s">
        <x:v>7</x:v>
      </x:c>
      <x:c r="K1" s="1" t="s">
        <x:v>8</x:v>
      </x:c>
      <x:c r="L1" s="1" t="s">
        <x:v>9</x:v>
      </x:c>
      <x:c r="M1" s="20" t="str">
        <x:v>Source / Corporate Action Note</x:v>
      </x:c>
    </x:row>
    <x:row r="3">
      <x:c r="A3" s="1" t="s">
        <x:v>10</x:v>
      </x:c>
      <x:c r="B3" s="2">
        <x:v>41122</x:v>
      </x:c>
      <x:c r="C3" s="3">
        <x:v>98</x:v>
      </x:c>
      <x:c r="D3" s="1">
        <x:v>1588000</x:v>
      </x:c>
      <x:c r="F3" s="2">
        <x:v>44927</x:v>
      </x:c>
      <x:c r="G3" s="1">
        <x:v>324</x:v>
      </x:c>
      <x:c r="H3" s="3">
        <x:v>23623019.149999999</x:v>
      </x:c>
      <x:c r="J3" s="4" t="n">
        <x:f>(G3-C3)/C3</x:f>
        <x:v>2.306122448979592</x:v>
      </x:c>
      <x:c r="K3" s="4" t="n">
        <x:f>(H3-D3)/D3</x:f>
        <x:v>13.875956643576826</x:v>
      </x:c>
      <x:c r="L3" s="4" t="n">
        <x:f>(K3-J3)</x:f>
        <x:v>11.569834194597235</x:v>
      </x:c>
    </x:row>
    <x:row r="4">
      <x:c r="A4" s="1" t="s">
        <x:v>11</x:v>
      </x:c>
      <x:c r="B4" s="2">
        <x:v>41183</x:v>
      </x:c>
      <x:c r="C4" s="3">
        <x:v>125</x:v>
      </x:c>
      <x:c r="D4" s="1">
        <x:v>1744000</x:v>
      </x:c>
      <x:c r="F4" s="2">
        <x:v>44927</x:v>
      </x:c>
      <x:c r="G4" s="1">
        <x:v>1100</x:v>
      </x:c>
      <x:c r="H4" s="3">
        <x:v>23623019.149999999</x:v>
      </x:c>
      <x:c r="J4" s="4" t="n">
        <x:f t="shared" ref="J4:J27" si="0">(G4-C4)/C4</x:f>
        <x:v>7.8</x:v>
      </x:c>
      <x:c r="K4" s="4" t="n">
        <x:f t="shared" ref="K4:K25" si="1">(H4-D4)/D4</x:f>
        <x:v>12.5453091456422</x:v>
      </x:c>
      <x:c r="L4" s="4" t="n">
        <x:f t="shared" ref="L4:L27" si="2">(K4-J4)</x:f>
        <x:v>4.7453091456422</x:v>
      </x:c>
    </x:row>
    <x:row r="5">
      <x:c r="A5" s="1" t="s">
        <x:v>12</x:v>
      </x:c>
      <x:c r="B5" s="2">
        <x:v>41306</x:v>
      </x:c>
      <x:c r="C5" s="3">
        <x:v>108</x:v>
      </x:c>
      <x:c r="D5" s="1">
        <x:v>1796000</x:v>
      </x:c>
      <x:c r="F5" s="2">
        <x:v>44927</x:v>
      </x:c>
      <x:c r="G5" s="1">
        <x:v>880</x:v>
      </x:c>
      <x:c r="H5" s="3">
        <x:v>23623019.149999999</x:v>
      </x:c>
      <x:c r="J5" s="4">
        <x:f t="shared" si="0"/>
        <x:v>7.1481481481481479</x:v>
      </x:c>
      <x:c r="K5" s="4">
        <x:f t="shared" si="1"/>
        <x:v>12.153128702672605</x:v>
      </x:c>
      <x:c r="L5" s="4">
        <x:f t="shared" si="2"/>
        <x:v>5.0049805545244572</x:v>
      </x:c>
    </x:row>
    <x:row r="6">
      <x:c r="A6" s="1" t="s">
        <x:v>13</x:v>
      </x:c>
      <x:c r="B6" s="2">
        <x:v>41395</x:v>
      </x:c>
      <x:c r="C6" s="3">
        <x:v>98</x:v>
      </x:c>
      <x:c r="D6" s="1">
        <x:v>1750000</x:v>
      </x:c>
      <x:c r="F6" s="2">
        <x:v>42795</x:v>
      </x:c>
      <x:c r="G6" s="1">
        <x:v>260</x:v>
      </x:c>
      <x:c r="H6" s="1">
        <x:v>7842995</x:v>
      </x:c>
      <x:c r="J6" s="4">
        <x:f t="shared" si="0"/>
        <x:v>1.653061224489796</x:v>
      </x:c>
      <x:c r="K6" s="4">
        <x:f t="shared" si="1"/>
        <x:v>3.4817114285714288</x:v>
      </x:c>
      <x:c r="L6" s="4">
        <x:f t="shared" si="2"/>
        <x:v>1.8286502040816328</x:v>
      </x:c>
    </x:row>
    <x:row r="7">
      <x:c r="A7" s="1" t="s">
        <x:v>14</x:v>
      </x:c>
      <x:c r="B7" s="2">
        <x:v>41395</x:v>
      </x:c>
      <x:c r="C7" s="3">
        <x:v>28</x:v>
      </x:c>
      <x:c r="D7" s="1">
        <x:v>1776000</x:v>
      </x:c>
      <x:c r="F7" s="2">
        <x:v>44927</x:v>
      </x:c>
      <x:c r="G7" s="1">
        <x:v>24</x:v>
      </x:c>
      <x:c r="H7" s="3">
        <x:v>23623019.149999999</x:v>
      </x:c>
      <x:c r="J7" s="4">
        <x:f t="shared" si="0"/>
        <x:v>-0.14285714285714285</x:v>
      </x:c>
      <x:c r="K7" s="4">
        <x:f t="shared" si="1"/>
        <x:v>12.301249521396395</x:v>
      </x:c>
      <x:c r="L7" s="4">
        <x:f t="shared" si="2"/>
        <x:v>12.444106664253537</x:v>
      </x:c>
    </x:row>
    <x:row r="8">
      <x:c r="A8" s="1" t="s">
        <x:v>15</x:v>
      </x:c>
      <x:c r="B8" s="2">
        <x:v>41579</x:v>
      </x:c>
      <x:c r="C8" s="3">
        <x:v>32</x:v>
      </x:c>
      <x:c r="D8" s="1">
        <x:v>1984000</x:v>
      </x:c>
      <x:c r="F8" s="2">
        <x:v>44927</x:v>
      </x:c>
      <x:c r="G8" s="1">
        <x:v>261</x:v>
      </x:c>
      <x:c r="H8" s="3">
        <x:v>23623019.149999999</x:v>
      </x:c>
      <x:c r="J8" s="4">
        <x:f t="shared" si="0"/>
        <x:v>7.15625</x:v>
      </x:c>
      <x:c r="K8" s="4">
        <x:f t="shared" si="1"/>
        <x:v>10.906763684475806</x:v>
      </x:c>
      <x:c r="L8" s="4">
        <x:f t="shared" si="2"/>
        <x:v>3.7505136844758056</x:v>
      </x:c>
    </x:row>
    <x:row r="9">
      <x:c r="A9" s="1" t="s">
        <x:v>16</x:v>
      </x:c>
      <x:c r="B9" s="2">
        <x:v>41640</x:v>
      </x:c>
      <x:c r="C9" s="3">
        <x:v>75</x:v>
      </x:c>
      <x:c r="D9" s="1">
        <x:v>2254000</x:v>
      </x:c>
      <x:c r="F9" s="2">
        <x:v>44927</x:v>
      </x:c>
      <x:c r="G9" s="1">
        <x:v>343</x:v>
      </x:c>
      <x:c r="H9" s="3">
        <x:v>23623019.149999999</x:v>
      </x:c>
      <x:c r="J9" s="4">
        <x:f t="shared" si="0"/>
        <x:v>3.5733333333333333</x:v>
      </x:c>
      <x:c r="K9" s="4">
        <x:f t="shared" si="1"/>
        <x:v>9.4804876441881092</x:v>
      </x:c>
      <x:c r="L9" s="4">
        <x:f t="shared" si="2"/>
        <x:v>5.9071543108547759</x:v>
      </x:c>
    </x:row>
    <x:row r="10">
      <x:c r="A10" s="1" t="s">
        <x:v>17</x:v>
      </x:c>
      <x:c r="B10" s="2">
        <x:v>41699</x:v>
      </x:c>
      <x:c r="C10" s="3">
        <x:v>484</x:v>
      </x:c>
      <x:c r="D10" s="1">
        <x:v>2432000</x:v>
      </x:c>
      <x:c r="F10" s="2">
        <x:v>44927</x:v>
      </x:c>
      <x:c r="G10" s="1">
        <x:v>1554</x:v>
      </x:c>
      <x:c r="H10" s="3">
        <x:v>23623019.149999999</x:v>
      </x:c>
      <x:c r="J10" s="4">
        <x:f t="shared" si="0"/>
        <x:v>2.2107438016528924</x:v>
      </x:c>
      <x:c r="K10" s="4">
        <x:f t="shared" si="1"/>
        <x:v>8.7134124794407892</x:v>
      </x:c>
      <x:c r="L10" s="4">
        <x:f t="shared" si="2"/>
        <x:v>6.5026686777878968</x:v>
      </x:c>
    </x:row>
    <x:row r="11">
      <x:c r="A11" s="1" t="s">
        <x:v>18</x:v>
      </x:c>
      <x:c r="B11" s="2">
        <x:v>41821</x:v>
      </x:c>
      <x:c r="C11" s="3">
        <x:v>420</x:v>
      </x:c>
      <x:c r="D11" s="1">
        <x:v>3411000</x:v>
      </x:c>
      <x:c r="F11" s="2">
        <x:v>44927</x:v>
      </x:c>
      <x:c r="G11" s="1">
        <x:v>3884</x:v>
      </x:c>
      <x:c r="H11" s="3">
        <x:v>23623019.149999999</x:v>
      </x:c>
      <x:c r="J11" s="4">
        <x:f t="shared" si="0"/>
        <x:v>8.2476190476190467</x:v>
      </x:c>
      <x:c r="K11" s="4">
        <x:f t="shared" si="1"/>
        <x:v>5.9255406479038397</x:v>
      </x:c>
      <x:c r="L11" s="4">
        <x:f t="shared" si="2"/>
        <x:v>-2.322078399715207</x:v>
      </x:c>
    </x:row>
    <x:row r="12">
      <x:c r="A12" s="1" t="s">
        <x:v>19</x:v>
      </x:c>
      <x:c r="B12" s="2">
        <x:v>41913</x:v>
      </x:c>
      <x:c r="C12" s="3">
        <x:v>299</x:v>
      </x:c>
      <x:c r="D12" s="1">
        <x:v>4571000</x:v>
      </x:c>
      <x:c r="F12" s="2">
        <x:v>44927</x:v>
      </x:c>
      <x:c r="G12" s="1">
        <x:v>25</x:v>
      </x:c>
      <x:c r="H12" s="3">
        <x:v>23623019.149999999</x:v>
      </x:c>
      <x:c r="J12" s="4">
        <x:f t="shared" si="0"/>
        <x:v>-0.91638795986622068</x:v>
      </x:c>
      <x:c r="K12" s="4">
        <x:f t="shared" si="1"/>
        <x:v>4.1680199409319618</x:v>
      </x:c>
      <x:c r="L12" s="4">
        <x:f t="shared" si="2"/>
        <x:v>5.0844079007981824</x:v>
      </x:c>
    </x:row>
    <x:row r="13">
      <x:c r="A13" s="1" t="s">
        <x:v>20</x:v>
      </x:c>
      <x:c r="B13" s="2">
        <x:v>41974</x:v>
      </x:c>
      <x:c r="C13" s="3">
        <x:v>818</x:v>
      </x:c>
      <x:c r="D13" s="1">
        <x:v>5010000</x:v>
      </x:c>
      <x:c r="F13" s="2">
        <x:v>44927</x:v>
      </x:c>
      <x:c r="G13" s="1">
        <x:v>517</x:v>
      </x:c>
      <x:c r="H13" s="3">
        <x:v>23623019.149999999</x:v>
      </x:c>
      <x:c r="J13" s="4">
        <x:f t="shared" si="0"/>
        <x:v>-0.36797066014669927</x:v>
      </x:c>
      <x:c r="K13" s="4">
        <x:f t="shared" si="1"/>
        <x:v>3.715173483033932</x:v>
      </x:c>
      <x:c r="L13" s="4">
        <x:f t="shared" si="2"/>
        <x:v>4.0831441431806317</x:v>
      </x:c>
    </x:row>
    <x:row r="14">
      <x:c r="A14" s="1" t="s">
        <x:v>21</x:v>
      </x:c>
      <x:c r="B14" s="2">
        <x:v>42186</x:v>
      </x:c>
      <x:c r="C14" s="3">
        <x:v>385</x:v>
      </x:c>
      <x:c r="D14" s="1">
        <x:v>5852000</x:v>
      </x:c>
      <x:c r="F14" s="2">
        <x:v>44927</x:v>
      </x:c>
      <x:c r="G14" s="1">
        <x:v>786</x:v>
      </x:c>
      <x:c r="H14" s="3">
        <x:v>23623019.149999999</x:v>
      </x:c>
      <x:c r="J14" s="4">
        <x:f t="shared" si="0"/>
        <x:v>1.0415584415584416</x:v>
      </x:c>
      <x:c r="K14" s="4">
        <x:f t="shared" si="1"/>
        <x:v>3.0367428485987693</x:v>
      </x:c>
      <x:c r="L14" s="4">
        <x:f t="shared" si="2"/>
        <x:v>1.9951844070403277</x:v>
      </x:c>
    </x:row>
    <x:row r="15">
      <x:c r="A15" s="1" t="s">
        <x:v>22</x:v>
      </x:c>
      <x:c r="B15" s="2">
        <x:v>42186</x:v>
      </x:c>
      <x:c r="C15" s="3">
        <x:v>161</x:v>
      </x:c>
      <x:c r="D15" s="1">
        <x:v>5861000</x:v>
      </x:c>
      <x:c r="F15" s="2">
        <x:v>44927</x:v>
      </x:c>
      <x:c r="G15" s="1">
        <x:v>213</x:v>
      </x:c>
      <x:c r="H15" s="3">
        <x:v>23623019.149999999</x:v>
      </x:c>
      <x:c r="J15" s="4">
        <x:f t="shared" si="0"/>
        <x:v>0.32298136645962733</x:v>
      </x:c>
      <x:c r="K15" s="4">
        <x:f t="shared" si="1"/>
        <x:v>3.0305441306944205</x:v>
      </x:c>
      <x:c r="L15" s="4">
        <x:f t="shared" si="2"/>
        <x:v>2.707562764234793</x:v>
      </x:c>
    </x:row>
    <x:row r="16">
      <x:c r="A16" s="1" t="s">
        <x:v>23</x:v>
      </x:c>
      <x:c r="B16" s="2">
        <x:v>42248</x:v>
      </x:c>
      <x:c r="C16" s="3">
        <x:v>221</x:v>
      </x:c>
      <x:c r="D16" s="1">
        <x:v>5572000</x:v>
      </x:c>
      <x:c r="F16" s="2">
        <x:v>44927</x:v>
      </x:c>
      <x:c r="G16" s="1">
        <x:v>137</x:v>
      </x:c>
      <x:c r="H16" s="3">
        <x:v>23623019.149999999</x:v>
      </x:c>
      <x:c r="J16" s="4">
        <x:f t="shared" si="0"/>
        <x:v>-0.38009049773755654</x:v>
      </x:c>
      <x:c r="K16" s="4">
        <x:f t="shared" si="1"/>
        <x:v>3.2395942480258433</x:v>
      </x:c>
      <x:c r="L16" s="4">
        <x:f t="shared" si="2"/>
        <x:v>3.6196847457633998</x:v>
      </x:c>
    </x:row>
    <x:row r="17">
      <x:c r="A17" s="1" t="s">
        <x:v>24</x:v>
      </x:c>
      <x:c r="B17" s="2">
        <x:v>42309</x:v>
      </x:c>
      <x:c r="C17" s="3">
        <x:v>680</x:v>
      </x:c>
      <x:c r="D17" s="1">
        <x:v>5587000</x:v>
      </x:c>
      <x:c r="F17" s="2">
        <x:v>44927</x:v>
      </x:c>
      <x:c r="G17" s="1">
        <x:v>572</x:v>
      </x:c>
      <x:c r="H17" s="3">
        <x:v>23623019.149999999</x:v>
      </x:c>
      <x:c r="J17" s="4">
        <x:f t="shared" si="0"/>
        <x:v>-0.1588235294117647</x:v>
      </x:c>
      <x:c r="K17" s="4">
        <x:f t="shared" si="1"/>
        <x:v>3.2282117683909073</x:v>
      </x:c>
      <x:c r="L17" s="4">
        <x:f t="shared" si="2"/>
        <x:v>3.3870352978026719</x:v>
      </x:c>
    </x:row>
    <x:row r="18">
      <x:c r="A18" s="1" t="s">
        <x:v>25</x:v>
      </x:c>
      <x:c r="B18" s="2">
        <x:v>42491</x:v>
      </x:c>
      <x:c r="C18" s="3">
        <x:v>67</x:v>
      </x:c>
      <x:c r="D18" s="1">
        <x:v>5468000</x:v>
      </x:c>
      <x:c r="F18" s="2">
        <x:v>44927</x:v>
      </x:c>
      <x:c r="G18" s="1">
        <x:v>18</x:v>
      </x:c>
      <x:c r="H18" s="3">
        <x:v>23623019.149999999</x:v>
      </x:c>
      <x:c r="J18" s="4">
        <x:f t="shared" si="0"/>
        <x:v>-0.73134328358208955</x:v>
      </x:c>
      <x:c r="K18" s="4">
        <x:f t="shared" si="1"/>
        <x:v>3.3202302761521576</x:v>
      </x:c>
      <x:c r="L18" s="4">
        <x:f t="shared" si="2"/>
        <x:v>4.0515735597342468</x:v>
      </x:c>
    </x:row>
    <x:row r="19">
      <x:c r="A19" s="1" t="s">
        <x:v>26</x:v>
      </x:c>
      <x:c r="B19" s="2">
        <x:v>42583</x:v>
      </x:c>
      <x:c r="C19" s="3">
        <x:v>66</x:v>
      </x:c>
      <x:c r="D19" s="1">
        <x:v>5993000</x:v>
      </x:c>
      <x:c r="F19" s="2">
        <x:v>44927</x:v>
      </x:c>
      <x:c r="G19" s="1">
        <x:v>139</x:v>
      </x:c>
      <x:c r="H19" s="3">
        <x:v>23623019.149999999</x:v>
      </x:c>
      <x:c r="J19" s="4">
        <x:f t="shared" si="0"/>
        <x:v>1.106060606060606</x:v>
      </x:c>
      <x:c r="K19" s="4">
        <x:f t="shared" si="1"/>
        <x:v>2.9417685883530784</x:v>
      </x:c>
      <x:c r="L19" s="4">
        <x:f t="shared" si="2"/>
        <x:v>1.8357079822924725</x:v>
      </x:c>
    </x:row>
    <x:row r="20">
      <x:c r="A20" s="1" t="s">
        <x:v>27</x:v>
      </x:c>
      <x:c r="B20" s="2">
        <x:v>42614</x:v>
      </x:c>
      <x:c r="C20" s="3">
        <x:v>2620</x:v>
      </x:c>
      <x:c r="D20" s="1">
        <x:v>6951000</x:v>
      </x:c>
      <x:c r="F20" s="2">
        <x:v>44927</x:v>
      </x:c>
      <x:c r="G20" s="1">
        <x:v>3228</x:v>
      </x:c>
      <x:c r="H20" s="3">
        <x:v>23623019.149999999</x:v>
      </x:c>
      <x:c r="J20" s="4">
        <x:f t="shared" si="0"/>
        <x:v>0.23206106870229007</x:v>
      </x:c>
      <x:c r="K20" s="4">
        <x:f t="shared" si="1"/>
        <x:v>2.398506567400374</x:v>
      </x:c>
      <x:c r="L20" s="4">
        <x:f t="shared" si="2"/>
        <x:v>2.1664454986980841</x:v>
      </x:c>
    </x:row>
    <x:row r="21">
      <x:c r="A21" s="1" t="s">
        <x:v>28</x:v>
      </x:c>
      <x:c r="B21" s="2">
        <x:v>42767</x:v>
      </x:c>
      <x:c r="C21" s="3">
        <x:v>278</x:v>
      </x:c>
      <x:c r="D21" s="1">
        <x:v>7081000</x:v>
      </x:c>
      <x:c r="F21" s="2">
        <x:v>44927</x:v>
      </x:c>
      <x:c r="G21" s="1">
        <x:v>57</x:v>
      </x:c>
      <x:c r="H21" s="3">
        <x:v>23623019.149999999</x:v>
      </x:c>
      <x:c r="J21" s="4">
        <x:f t="shared" si="0"/>
        <x:v>-0.79496402877697847</x:v>
      </x:c>
      <x:c r="K21" s="4">
        <x:f t="shared" si="1"/>
        <x:v>2.3361134232453042</x:v>
      </x:c>
      <x:c r="L21" s="4">
        <x:f t="shared" si="2"/>
        <x:v>3.1310774520222826</x:v>
      </x:c>
      <x:c r="M21" s="1" t="s">
        <x:v>29</x:v>
      </x:c>
    </x:row>
    <x:row r="22">
      <x:c r="A22" s="1" t="s">
        <x:v>30</x:v>
      </x:c>
      <x:c r="B22" s="2">
        <x:v>42917</x:v>
      </x:c>
      <x:c r="C22" s="3">
        <x:v>693</x:v>
      </x:c>
      <x:c r="D22" s="1">
        <x:v>8288000</x:v>
      </x:c>
      <x:c r="F22" s="2">
        <x:v>44927</x:v>
      </x:c>
      <x:c r="G22" s="1">
        <x:v>2140</x:v>
      </x:c>
      <x:c r="H22" s="3">
        <x:v>23623019.149999999</x:v>
      </x:c>
      <x:c r="J22" s="4">
        <x:f t="shared" si="0"/>
        <x:v>2.0880230880230881</x:v>
      </x:c>
      <x:c r="K22" s="4">
        <x:f t="shared" si="1"/>
        <x:v>1.850267754584942</x:v>
      </x:c>
      <x:c r="L22" s="4">
        <x:f t="shared" si="2"/>
        <x:v>-0.23775533343814614</x:v>
      </x:c>
    </x:row>
    <x:row r="23">
      <x:c r="A23" s="1" t="s">
        <x:v>31</x:v>
      </x:c>
      <x:c r="B23" s="2">
        <x:v>42979</x:v>
      </x:c>
      <x:c r="C23" s="3">
        <x:v>969</x:v>
      </x:c>
      <x:c r="D23" s="1">
        <x:v>8839000</x:v>
      </x:c>
      <x:c r="F23" s="2">
        <x:v>44927</x:v>
      </x:c>
      <x:c r="G23" s="1">
        <x:v>350</x:v>
      </x:c>
      <x:c r="H23" s="3">
        <x:v>23623019.149999999</x:v>
      </x:c>
      <x:c r="J23" s="4">
        <x:f t="shared" si="0"/>
        <x:v>-0.63880288957688336</x:v>
      </x:c>
      <x:c r="K23" s="4">
        <x:f t="shared" si="1"/>
        <x:v>1.6725895632990155</x:v>
      </x:c>
      <x:c r="L23" s="4">
        <x:f t="shared" si="2"/>
        <x:v>2.3113924528758991</x:v>
      </x:c>
    </x:row>
    <x:row r="24">
      <x:c r="A24" t="s">
        <x:v>32</x:v>
      </x:c>
      <x:c r="B24" s="2">
        <x:v>43191</x:v>
      </x:c>
      <x:c r="C24" s="3">
        <x:v>727</x:v>
      </x:c>
      <x:c r="D24">
        <x:v>9570801</x:v>
      </x:c>
      <x:c r="F24" s="2">
        <x:v>44927</x:v>
      </x:c>
      <x:c r="G24">
        <x:v>1667</x:v>
      </x:c>
      <x:c r="H24" s="3">
        <x:v>23623019.149999999</x:v>
      </x:c>
      <x:c r="J24" s="4">
        <x:f t="shared" si="0"/>
        <x:v>1.2929848693259973</x:v>
      </x:c>
      <x:c r="K24" s="4">
        <x:f t="shared" si="1"/>
        <x:v>1.4682384630084775</x:v>
      </x:c>
      <x:c r="L24" s="4">
        <x:f t="shared" si="2"/>
        <x:v>0.17525359368248017</x:v>
      </x:c>
    </x:row>
    <x:row r="25">
      <x:c r="A25" t="s">
        <x:v>33</x:v>
      </x:c>
      <x:c r="B25" s="2">
        <x:v>43191</x:v>
      </x:c>
      <x:c r="C25" s="3">
        <x:v>500</x:v>
      </x:c>
      <x:c r="D25">
        <x:v>9866539</x:v>
      </x:c>
      <x:c r="F25" s="2">
        <x:v>44927</x:v>
      </x:c>
      <x:c r="G25">
        <x:v>254</x:v>
      </x:c>
      <x:c r="H25" s="3">
        <x:v>23623019.149999999</x:v>
      </x:c>
      <x:c r="J25" s="4">
        <x:f t="shared" si="0"/>
        <x:v>-0.49199999999999999</x:v>
      </x:c>
      <x:c r="K25" s="4">
        <x:f t="shared" si="1"/>
        <x:v>1.3942558935813256</x:v>
      </x:c>
      <x:c r="L25" s="4">
        <x:f t="shared" si="2"/>
        <x:v>1.8862558935813256</x:v>
      </x:c>
    </x:row>
    <x:row r="26">
      <x:c r="A26" t="s">
        <x:v>34</x:v>
      </x:c>
      <x:c r="B26" s="2">
        <x:v>43191</x:v>
      </x:c>
      <x:c r="C26" s="3">
        <x:v>23</x:v>
      </x:c>
      <x:c r="D26">
        <x:v>9862486</x:v>
      </x:c>
      <x:c r="F26" s="2">
        <x:v>44927</x:v>
      </x:c>
      <x:c r="G26">
        <x:v>21</x:v>
      </x:c>
      <x:c r="H26" s="3">
        <x:v>23623019.149999999</x:v>
      </x:c>
      <x:c r="J26" s="4">
        <x:f t="shared" si="0"/>
        <x:v>-8.6956521739130432E-2</x:v>
      </x:c>
      <x:c r="K26" s="4" t="n">
        <x:f>(H26-D26)/D26</x:f>
        <x:v>1.3952398158030337</x:v>
      </x:c>
      <x:c r="L26" s="4">
        <x:f t="shared" si="2"/>
        <x:v>1.4821963375421641</x:v>
      </x:c>
    </x:row>
    <x:row r="27">
      <x:c r="A27" t="s">
        <x:v>35</x:v>
      </x:c>
      <x:c r="B27" s="2">
        <x:v>43282</x:v>
      </x:c>
      <x:c r="C27" s="3">
        <x:v>74</x:v>
      </x:c>
      <x:c r="D27">
        <x:v>8944905</x:v>
      </x:c>
      <x:c r="F27" s="2">
        <x:v>44927</x:v>
      </x:c>
      <x:c r="G27">
        <x:v>102</x:v>
      </x:c>
      <x:c r="H27" s="3">
        <x:v>23623019.149999999</x:v>
      </x:c>
      <x:c r="J27" s="4">
        <x:f t="shared" si="0"/>
        <x:v>0.3783783783783784</x:v>
      </x:c>
      <x:c r="K27" s="4" t="n">
        <x:f>(H27-D27)/D27</x:f>
        <x:v>1.640946902175037</x:v>
      </x:c>
      <x:c r="L27" s="4">
        <x:f t="shared" si="2"/>
        <x:v>1.2625685237966584</x:v>
      </x:c>
    </x:row>
    <x:row r="28">
      <x:c r="A28" t="s">
        <x:v>36</x:v>
      </x:c>
      <x:c r="B28" s="2">
        <x:v>43435</x:v>
      </x:c>
      <x:c r="C28" s="3">
        <x:v>176</x:v>
      </x:c>
      <x:c r="D28">
        <x:v>7778748</x:v>
      </x:c>
      <x:c r="F28" s="2">
        <x:v>44927</x:v>
      </x:c>
      <x:c r="G28">
        <x:v>242</x:v>
      </x:c>
      <x:c r="H28" s="3">
        <x:v>23623019.149999999</x:v>
      </x:c>
      <x:c r="J28" s="4" t="n">
        <x:f t="shared" ref="J28:J48" si="3">(G28-C28)/C28</x:f>
        <x:v>0.375</x:v>
      </x:c>
      <x:c r="K28" s="4" t="n">
        <x:f>(H28-D28)/D28</x:f>
        <x:v>2.0368664918827553</x:v>
      </x:c>
      <x:c r="L28" s="4" t="n">
        <x:f t="shared" ref="L28:L48" si="4">(K28-J28)</x:f>
        <x:v>1.6618664918827553</x:v>
      </x:c>
    </x:row>
    <x:row r="29">
      <x:c r="A29" s="1" t="s">
        <x:v>37</x:v>
      </x:c>
      <x:c r="B29" s="2">
        <x:v>43497</x:v>
      </x:c>
      <x:c r="C29" s="3">
        <x:v>185</x:v>
      </x:c>
      <x:c r="D29" s="5">
        <x:v>7248695.7499999991</x:v>
      </x:c>
      <x:c r="F29" s="2">
        <x:v>44927</x:v>
      </x:c>
      <x:c r="G29" s="1">
        <x:v>767</x:v>
      </x:c>
      <x:c r="H29" s="3">
        <x:v>23623019.149999999</x:v>
      </x:c>
      <x:c r="J29" s="4">
        <x:f t="shared" si="3"/>
        <x:v>3.1459459459459458</x:v>
      </x:c>
      <x:c r="K29" s="4" t="n">
        <x:f t="shared" ref="K29:K48" si="5">(H29-D29)/D29</x:f>
        <x:v>2.2589337399076244</x:v>
      </x:c>
      <x:c r="L29" s="4">
        <x:f t="shared" si="4"/>
        <x:v>-0.88701220603832143</x:v>
      </x:c>
    </x:row>
    <x:row r="30">
      <x:c r="A30" s="6" t="s">
        <x:v>38</x:v>
      </x:c>
      <x:c r="B30" s="2">
        <x:v>43617</x:v>
      </x:c>
      <x:c r="C30" s="3">
        <x:v>48</x:v>
      </x:c>
      <x:c r="D30" s="3">
        <x:v>7709292.3499999996</x:v>
      </x:c>
      <x:c r="F30" s="2">
        <x:v>44927</x:v>
      </x:c>
      <x:c r="G30" s="6">
        <x:v>57</x:v>
      </x:c>
      <x:c r="H30" s="3">
        <x:v>23623019.149999999</x:v>
      </x:c>
      <x:c r="J30" s="4">
        <x:f t="shared" si="3"/>
        <x:v>0.1875</x:v>
      </x:c>
      <x:c r="K30" s="4">
        <x:f t="shared" si="5"/>
        <x:v>2.0642266601810735</x:v>
      </x:c>
      <x:c r="L30" s="4">
        <x:f t="shared" si="4"/>
        <x:v>1.8767266601810735</x:v>
      </x:c>
    </x:row>
    <x:row r="31">
      <x:c r="A31" s="6" t="s">
        <x:v>39</x:v>
      </x:c>
      <x:c r="B31" s="2">
        <x:v>43831</x:v>
      </x:c>
      <x:c r="C31" s="3">
        <x:v>78</x:v>
      </x:c>
      <x:c r="D31" s="3">
        <x:v>6605444.3999999994</x:v>
      </x:c>
      <x:c r="F31" s="2">
        <x:v>44927</x:v>
      </x:c>
      <x:c r="G31" s="6">
        <x:v>263</x:v>
      </x:c>
      <x:c r="H31" s="3">
        <x:v>23623019.149999999</x:v>
      </x:c>
      <x:c r="J31" s="4">
        <x:f t="shared" si="3"/>
        <x:v>2.3717948717948718</x:v>
      </x:c>
      <x:c r="K31" s="4">
        <x:f t="shared" si="5"/>
        <x:v>2.5762952073292755</x:v>
      </x:c>
      <x:c r="L31" s="4">
        <x:f t="shared" si="4"/>
        <x:v>0.20450033553440372</x:v>
      </x:c>
    </x:row>
    <x:row r="32">
      <x:c r="A32" s="6" t="s">
        <x:v>40</x:v>
      </x:c>
      <x:c r="B32" s="2">
        <x:v>43891</x:v>
      </x:c>
      <x:c r="C32" s="3">
        <x:v>1818</x:v>
      </x:c>
      <x:c r="D32" s="3">
        <x:v>4370813.3999999985</x:v>
      </x:c>
      <x:c r="F32" s="2">
        <x:v>44927</x:v>
      </x:c>
      <x:c r="G32" s="6">
        <x:v>5741</x:v>
      </x:c>
      <x:c r="H32" s="3">
        <x:v>23623019.149999999</x:v>
      </x:c>
      <x:c r="J32" s="4">
        <x:f t="shared" si="3"/>
        <x:v>2.1578657865786579</x:v>
      </x:c>
      <x:c r="K32" s="4">
        <x:f t="shared" si="5"/>
        <x:v>4.4047192108452871</x:v>
      </x:c>
      <x:c r="L32" s="4">
        <x:f t="shared" si="4"/>
        <x:v>2.2468534242666292</x:v>
      </x:c>
    </x:row>
    <x:row r="33">
      <x:c r="A33" s="6" t="s">
        <x:v>41</x:v>
      </x:c>
      <x:c r="B33" s="2">
        <x:v>43922</x:v>
      </x:c>
      <x:c r="C33" s="3">
        <x:v>6</x:v>
      </x:c>
      <x:c r="D33" s="3">
        <x:v>5044500.5999999987</x:v>
      </x:c>
      <x:c r="F33" s="2">
        <x:v>44927</x:v>
      </x:c>
      <x:c r="G33" s="6">
        <x:v>1</x:v>
      </x:c>
      <x:c r="H33" s="3">
        <x:v>23623019.149999999</x:v>
      </x:c>
      <x:c r="J33" s="4">
        <x:f t="shared" si="3"/>
        <x:v>-0.83333333333333337</x:v>
      </x:c>
      <x:c r="K33" s="4">
        <x:f t="shared" si="5"/>
        <x:v>3.6829252334710807</x:v>
      </x:c>
      <x:c r="L33" s="4">
        <x:f t="shared" si="4"/>
        <x:v>4.5162585668044137</x:v>
      </x:c>
    </x:row>
    <x:row r="34">
      <x:c r="A34" s="6" t="s">
        <x:v>42</x:v>
      </x:c>
      <x:c r="B34" s="2">
        <x:v>43983</x:v>
      </x:c>
      <x:c r="C34" s="3">
        <x:v>460</x:v>
      </x:c>
      <x:c r="D34" s="3">
        <x:v>6356081.9499999993</x:v>
      </x:c>
      <x:c r="F34" s="2">
        <x:v>44927</x:v>
      </x:c>
      <x:c r="G34" s="6">
        <x:v>745</x:v>
      </x:c>
      <x:c r="H34" s="3">
        <x:v>23623019.149999999</x:v>
      </x:c>
      <x:c r="J34" s="4">
        <x:f t="shared" si="3"/>
        <x:v>0.61956521739130432</x:v>
      </x:c>
      <x:c r="K34" s="4">
        <x:f t="shared" si="5"/>
        <x:v>2.7166007826566809</x:v>
      </x:c>
      <x:c r="L34" s="4">
        <x:f t="shared" si="4"/>
        <x:v>2.0970355652653767</x:v>
      </x:c>
    </x:row>
    <x:row r="35">
      <x:c r="A35" s="6" t="s">
        <x:v>43</x:v>
      </x:c>
      <x:c r="B35" s="2">
        <x:v>44044</x:v>
      </x:c>
      <x:c r="C35" s="3">
        <x:v>60</x:v>
      </x:c>
      <x:c r="D35" s="3">
        <x:v>7397577.2499999981</x:v>
      </x:c>
      <x:c r="F35" s="2">
        <x:v>44927</x:v>
      </x:c>
      <x:c r="G35" s="6">
        <x:v>356</x:v>
      </x:c>
      <x:c r="H35" s="3">
        <x:v>23623019.149999999</x:v>
      </x:c>
      <x:c r="J35" s="4">
        <x:f t="shared" si="3"/>
        <x:v>4.9333333333333336</x:v>
      </x:c>
      <x:c r="K35" s="4">
        <x:f t="shared" si="5"/>
        <x:v>2.193345382097903</x:v>
      </x:c>
      <x:c r="L35" s="4">
        <x:f t="shared" si="4"/>
        <x:v>-2.7399879512354306</x:v>
      </x:c>
    </x:row>
    <x:row r="36">
      <x:c r="A36" s="6" t="s">
        <x:v>44</x:v>
      </x:c>
      <x:c r="B36" s="2">
        <x:v>44044</x:v>
      </x:c>
      <x:c r="C36" s="3">
        <x:v>404</x:v>
      </x:c>
      <x:c r="D36" s="3">
        <x:v>7597883.6499999994</x:v>
      </x:c>
      <x:c r="F36" s="2">
        <x:v>44927</x:v>
      </x:c>
      <x:c r="G36" s="6">
        <x:v>385</x:v>
      </x:c>
      <x:c r="H36" s="3">
        <x:v>23623019.149999999</x:v>
      </x:c>
      <x:c r="J36" s="4">
        <x:f t="shared" si="3"/>
        <x:v>-4.702970297029703E-2</x:v>
      </x:c>
      <x:c r="K36" s="4">
        <x:f t="shared" si="5"/>
        <x:v>2.1091577915910835</x:v>
      </x:c>
      <x:c r="L36" s="4">
        <x:f t="shared" si="4"/>
        <x:v>2.1561874945613804</x:v>
      </x:c>
    </x:row>
    <x:row r="37">
      <x:c r="A37" s="6" t="s">
        <x:v>45</x:v>
      </x:c>
      <x:c r="B37" s="2">
        <x:v>44044</x:v>
      </x:c>
      <x:c r="C37" s="3">
        <x:v>740</x:v>
      </x:c>
      <x:c r="D37" s="3">
        <x:v>8460169.3999999985</x:v>
      </x:c>
      <x:c r="F37" s="2">
        <x:v>44927</x:v>
      </x:c>
      <x:c r="G37" s="6">
        <x:v>460</x:v>
      </x:c>
      <x:c r="H37" s="3">
        <x:v>23623019.149999999</x:v>
      </x:c>
      <x:c r="J37" s="4">
        <x:f t="shared" si="3"/>
        <x:v>-0.3783783783783784</x:v>
      </x:c>
      <x:c r="K37" s="4">
        <x:f t="shared" si="5"/>
        <x:v>1.7922631371896647</x:v>
      </x:c>
      <x:c r="L37" s="4">
        <x:f t="shared" si="4"/>
        <x:v>2.1706415155680432</x:v>
      </x:c>
    </x:row>
    <x:row r="38">
      <x:c r="A38" s="6" t="s">
        <x:v>46</x:v>
      </x:c>
      <x:c r="B38" s="2">
        <x:v>44044</x:v>
      </x:c>
      <x:c r="C38" s="3">
        <x:v>872</x:v>
      </x:c>
      <x:c r="D38" s="3">
        <x:v>9041778.1500000004</x:v>
      </x:c>
      <x:c r="F38" s="2">
        <x:v>44927</x:v>
      </x:c>
      <x:c r="G38" s="6">
        <x:v>2429</x:v>
      </x:c>
      <x:c r="H38" s="3">
        <x:v>23623019.149999999</x:v>
      </x:c>
      <x:c r="J38" s="4">
        <x:f t="shared" si="3"/>
        <x:v>1.7855504587155964</x:v>
      </x:c>
      <x:c r="K38" s="4">
        <x:f t="shared" si="5"/>
        <x:v>1.6126519317441999</x:v>
      </x:c>
      <x:c r="L38" s="4">
        <x:f t="shared" si="4"/>
        <x:v>-0.17289852697139652</x:v>
      </x:c>
    </x:row>
    <x:row r="39">
      <x:c r="A39" s="6" t="s">
        <x:v>47</x:v>
      </x:c>
      <x:c r="B39" s="2">
        <x:v>44136</x:v>
      </x:c>
      <x:c r="C39" s="3">
        <x:v>149</x:v>
      </x:c>
      <x:c r="D39" s="3">
        <x:v>9271730.549999997</x:v>
      </x:c>
      <x:c r="F39" s="2">
        <x:v>44927</x:v>
      </x:c>
      <x:c r="G39" s="6">
        <x:v>397</x:v>
      </x:c>
      <x:c r="H39" s="3">
        <x:v>23623019.149999999</x:v>
      </x:c>
      <x:c r="J39" s="4">
        <x:f t="shared" si="3"/>
        <x:v>1.6644295302013423</x:v>
      </x:c>
      <x:c r="K39" s="4">
        <x:f t="shared" si="5"/>
        <x:v>1.5478543646849192</x:v>
      </x:c>
      <x:c r="L39" s="4">
        <x:f t="shared" si="4"/>
        <x:v>-0.11657516551642311</x:v>
      </x:c>
    </x:row>
    <x:row r="40">
      <x:c r="A40" s="6" t="s">
        <x:v>48</x:v>
      </x:c>
      <x:c r="B40" s="2">
        <x:v>44228</x:v>
      </x:c>
      <x:c r="C40" s="3">
        <x:v>95</x:v>
      </x:c>
      <x:c r="D40" s="3">
        <x:v>13571279.15</x:v>
      </x:c>
      <x:c r="F40" s="2">
        <x:v>44927</x:v>
      </x:c>
      <x:c r="G40" s="6">
        <x:v>308</x:v>
      </x:c>
      <x:c r="H40" s="3">
        <x:v>23623019.149999999</x:v>
      </x:c>
      <x:c r="J40" s="4">
        <x:f t="shared" si="3"/>
        <x:v>2.2421052631578946</x:v>
      </x:c>
      <x:c r="K40" s="4">
        <x:f t="shared" si="5"/>
        <x:v>0.74066268101190724</x:v>
      </x:c>
      <x:c r="L40" s="4">
        <x:f t="shared" si="4"/>
        <x:v>-1.5014425821459874</x:v>
      </x:c>
    </x:row>
    <x:row r="41">
      <x:c r="A41" s="6" t="s">
        <x:v>49</x:v>
      </x:c>
      <x:c r="B41" s="2">
        <x:v>44348</x:v>
      </x:c>
      <x:c r="C41" s="3">
        <x:v>987</x:v>
      </x:c>
      <x:c r="D41" s="3">
        <x:v>21781016.799999997</x:v>
      </x:c>
      <x:c r="F41" s="2">
        <x:v>44927</x:v>
      </x:c>
      <x:c r="G41" s="6">
        <x:v>686</x:v>
      </x:c>
      <x:c r="H41" s="3">
        <x:v>23623019.149999999</x:v>
      </x:c>
      <x:c r="J41" s="4">
        <x:f t="shared" si="3"/>
        <x:v>-0.30496453900709219</x:v>
      </x:c>
      <x:c r="K41" s="4">
        <x:f t="shared" si="5"/>
        <x:v>8.4569162537903267E-2</x:v>
      </x:c>
      <x:c r="L41" s="4">
        <x:f t="shared" si="4"/>
        <x:v>0.38953370154499545</x:v>
      </x:c>
    </x:row>
    <x:row r="42">
      <x:c r="A42" s="6" t="s">
        <x:v>50</x:v>
      </x:c>
      <x:c r="B42" s="2">
        <x:v>44409</x:v>
      </x:c>
      <x:c r="C42" s="3">
        <x:v>1759</x:v>
      </x:c>
      <x:c r="D42" s="3">
        <x:v>22081510.050000001</x:v>
      </x:c>
      <x:c r="F42" s="2">
        <x:v>44927</x:v>
      </x:c>
      <x:c r="G42" s="6">
        <x:v>1944</x:v>
      </x:c>
      <x:c r="H42" s="3">
        <x:v>23623019.149999999</x:v>
      </x:c>
      <x:c r="J42" s="4">
        <x:f t="shared" si="3"/>
        <x:v>0.10517339397384878</x:v>
      </x:c>
      <x:c r="K42" s="4">
        <x:f t="shared" si="5"/>
        <x:v>6.9809949433236235E-2</x:v>
      </x:c>
      <x:c r="L42" s="4">
        <x:f t="shared" si="4"/>
        <x:v>-3.5363444540612549E-2</x:v>
      </x:c>
    </x:row>
    <x:row r="43">
      <x:c r="A43" s="6" t="s">
        <x:v>51</x:v>
      </x:c>
      <x:c r="B43" s="2">
        <x:v>44440</x:v>
      </x:c>
      <x:c r="C43" s="3">
        <x:v>569</x:v>
      </x:c>
      <x:c r="D43" s="3">
        <x:v>22304746.245643999</x:v>
      </x:c>
      <x:c r="F43" s="2">
        <x:v>44927</x:v>
      </x:c>
      <x:c r="G43" s="6">
        <x:v>373</x:v>
      </x:c>
      <x:c r="H43" s="3">
        <x:v>23623019.149999999</x:v>
      </x:c>
      <x:c r="J43" s="4">
        <x:f t="shared" si="3"/>
        <x:v>-0.3444639718804921</x:v>
      </x:c>
      <x:c r="K43" s="4">
        <x:f t="shared" si="5"/>
        <x:v>5.9102797666368917E-2</x:v>
      </x:c>
      <x:c r="L43" s="4">
        <x:f t="shared" si="4"/>
        <x:v>0.40356676954686099</x:v>
      </x:c>
    </x:row>
    <x:row r="44">
      <x:c r="A44" s="6" t="s">
        <x:v>52</x:v>
      </x:c>
      <x:c r="B44" s="2">
        <x:v>44531</x:v>
      </x:c>
      <x:c r="C44" s="3">
        <x:v>8.8000000000000007</x:v>
      </x:c>
      <x:c r="D44" s="3">
        <x:v>27273223.602464002</x:v>
      </x:c>
      <x:c r="F44" s="2">
        <x:v>44927</x:v>
      </x:c>
      <x:c r="G44" s="6">
        <x:v>19</x:v>
      </x:c>
      <x:c r="H44" s="3">
        <x:v>23623019.149999999</x:v>
      </x:c>
      <x:c r="J44" s="4">
        <x:f t="shared" si="3"/>
        <x:v>1.1590909090909089</x:v>
      </x:c>
      <x:c r="K44" s="4">
        <x:f t="shared" si="5"/>
        <x:v>-0.13383839423126442</x:v>
      </x:c>
      <x:c r="L44" s="4">
        <x:f t="shared" si="4"/>
        <x:v>-1.2929293033221734</x:v>
      </x:c>
    </x:row>
    <x:row r="45">
      <x:c r="A45" s="6" t="s">
        <x:v>53</x:v>
      </x:c>
      <x:c r="B45" s="2">
        <x:v>44562</x:v>
      </x:c>
      <x:c r="C45" s="3">
        <x:v>98</x:v>
      </x:c>
      <x:c r="D45" s="3">
        <x:v>29682268.072703995</x:v>
      </x:c>
      <x:c r="F45" s="2">
        <x:v>44927</x:v>
      </x:c>
      <x:c r="G45" s="6">
        <x:v>93</x:v>
      </x:c>
      <x:c r="H45" s="3">
        <x:v>23623019.149999999</x:v>
      </x:c>
      <x:c r="J45" s="4">
        <x:f t="shared" si="3"/>
        <x:v>-5.1020408163265307E-2</x:v>
      </x:c>
      <x:c r="K45" s="4">
        <x:f t="shared" si="5"/>
        <x:v>-0.20413699208774819</x:v>
      </x:c>
      <x:c r="L45" s="4">
        <x:f t="shared" si="4"/>
        <x:v>-0.15311658392448288</x:v>
      </x:c>
    </x:row>
    <x:row r="46">
      <x:c r="A46" s="6" t="s">
        <x:v>54</x:v>
      </x:c>
      <x:c r="B46" s="2">
        <x:v>44743</x:v>
      </x:c>
      <x:c r="C46" s="3">
        <x:v>658</x:v>
      </x:c>
      <x:c r="D46" s="3">
        <x:v>22429273.635833997</x:v>
      </x:c>
      <x:c r="F46" s="2">
        <x:v>44927</x:v>
      </x:c>
      <x:c r="G46" s="6">
        <x:v>714</x:v>
      </x:c>
      <x:c r="H46" s="3">
        <x:v>23623019.149999999</x:v>
      </x:c>
      <x:c r="J46" s="4">
        <x:f t="shared" si="3"/>
        <x:v>8.5106382978723402E-2</x:v>
      </x:c>
      <x:c r="K46" s="4">
        <x:f t="shared" si="5"/>
        <x:v>5.3222655960593425E-2</x:v>
      </x:c>
      <x:c r="L46" s="4">
        <x:f t="shared" si="4"/>
        <x:v>-3.1883727018129977E-2</x:v>
      </x:c>
    </x:row>
    <x:row r="47">
      <x:c r="A47" s="6" t="s">
        <x:v>55</x:v>
      </x:c>
      <x:c r="B47" s="2">
        <x:v>44866</x:v>
      </x:c>
      <x:c r="C47" s="3">
        <x:v>372</x:v>
      </x:c>
      <x:c r="D47" s="3">
        <x:v>22085159.849999998</x:v>
      </x:c>
      <x:c r="F47" s="2">
        <x:v>44927</x:v>
      </x:c>
      <x:c r="G47" s="6">
        <x:v>385</x:v>
      </x:c>
      <x:c r="H47" s="3">
        <x:v>23623019.149999999</x:v>
      </x:c>
      <x:c r="J47" s="4">
        <x:f t="shared" si="3"/>
        <x:v>3.4946236559139782E-2</x:v>
      </x:c>
      <x:c r="K47" s="4">
        <x:f t="shared" si="5"/>
        <x:v>6.963315232694596E-2</x:v>
      </x:c>
      <x:c r="L47" s="4">
        <x:f t="shared" si="4"/>
        <x:v>3.4686915767806178E-2</x:v>
      </x:c>
    </x:row>
    <x:row r="48">
      <x:c r="A48" s="6" t="s">
        <x:v>56</x:v>
      </x:c>
      <x:c r="B48" s="2">
        <x:v>44866</x:v>
      </x:c>
      <x:c r="C48" s="3">
        <x:v>137</x:v>
      </x:c>
      <x:c r="D48" s="3">
        <x:v>22085159.849999998</x:v>
      </x:c>
      <x:c r="F48" s="2">
        <x:v>44927</x:v>
      </x:c>
      <x:c r="G48" s="6">
        <x:v>115</x:v>
      </x:c>
      <x:c r="H48" s="3">
        <x:v>23623019.149999999</x:v>
      </x:c>
      <x:c r="J48" s="4">
        <x:f t="shared" si="3"/>
        <x:v>-0.16058394160583941</x:v>
      </x:c>
      <x:c r="K48" s="4">
        <x:f t="shared" si="5"/>
        <x:v>6.963315232694596E-2</x:v>
      </x:c>
      <x:c r="L48" s="4">
        <x:f t="shared" si="4"/>
        <x:v>0.23021709393278539</x:v>
      </x:c>
    </x:row>
    <x:row r="49">
      <x:c r="A49" t="str">
        <x:v>TVToday</x:v>
      </x:c>
      <x:c r="B49" s="11" t="n">
        <x:v>44965</x:v>
      </x:c>
      <x:c r="C49" s="13" t="n">
        <x:v>299.68</x:v>
      </x:c>
      <x:c r="D49" s="13" t="n">
        <x:v>23458952.75</x:v>
      </x:c>
      <x:c r="E49"/>
      <x:c r="F49" s="11" t="n">
        <x:v>46204</x:v>
      </x:c>
      <x:c r="G49" s="13" t="n">
        <x:v>127.49</x:v>
      </x:c>
      <x:c r="H49" s="13" t="n">
        <x:v>64604157.5</x:v>
      </x:c>
      <x:c r="I49"/>
      <x:c r="J49" s="15" t="n">
        <x:f>G49/C49-1</x:f>
        <x:v>-0.5745795515216231</x:v>
      </x:c>
      <x:c r="K49" s="15" t="n">
        <x:f>H49/D49-1</x:f>
        <x:v>1.7539233395659575</x:v>
      </x:c>
      <x:c r="L49" s="15" t="n">
        <x:f>K49-J49</x:f>
        <x:v>2.3285028910875805</x:v>
      </x:c>
      <x:c r="M49" s="17" t="str">
        <x:v>https://finance.yahoo.com/quote/TVTODAY.NS/history/</x:v>
      </x:c>
    </x:row>
    <x:row r="50">
      <x:c r="A50" t="str">
        <x:v>TV18</x:v>
      </x:c>
      <x:c r="B50" s="11" t="n">
        <x:v>45062</x:v>
      </x:c>
      <x:c r="C50" s="13" t="n">
        <x:v>31.26</x:v>
      </x:c>
      <x:c r="D50" s="13" t="n">
        <x:v>27976135.9</x:v>
      </x:c>
      <x:c r="E50"/>
      <x:c r="F50" s="11" t="n">
        <x:v>46204</x:v>
      </x:c>
      <x:c r="G50" s="13" t="n">
        <x:v>19.01162790697675</x:v>
      </x:c>
      <x:c r="H50" s="13" t="n">
        <x:v>64604157.5</x:v>
      </x:c>
      <x:c r="I50"/>
      <x:c r="J50" s="15" t="n">
        <x:f>G50/C50-1</x:f>
        <x:v>-0.39182252376913795</x:v>
      </x:c>
      <x:c r="K50" s="15" t="n">
        <x:f>H50/D50-1</x:f>
        <x:v>1.3092594964124409</x:v>
      </x:c>
      <x:c r="L50" s="15" t="n">
        <x:f>K50-J50</x:f>
        <x:v>1.7010820201815788</x:v>
      </x:c>
      <x:c r="M50" s="17" t="str">
        <x:v>TV18 merged into Network18 at 100:172; equivalent value uses NETWORK18 close ₹32.70. https://www.nw18.com/reports/MediaReleaseTV18.pdf | https://finance.yahoo.com/quote/NETWORK18.NS/history/</x:v>
      </x:c>
    </x:row>
    <x:row r="51">
      <x:c r="A51" t="str">
        <x:v>TIIndia</x:v>
      </x:c>
      <x:c r="B51" s="11" t="n">
        <x:v>45776</x:v>
      </x:c>
      <x:c r="C51" s="13" t="n">
        <x:v>2780.36</x:v>
      </x:c>
      <x:c r="D51" s="13" t="n">
        <x:v>56225462.26</x:v>
      </x:c>
      <x:c r="E51"/>
      <x:c r="F51" s="11" t="n">
        <x:v>46204</x:v>
      </x:c>
      <x:c r="G51" s="13" t="n">
        <x:v>3097</x:v>
      </x:c>
      <x:c r="H51" s="13" t="n">
        <x:v>64604157.5</x:v>
      </x:c>
      <x:c r="I51"/>
      <x:c r="J51" s="15" t="n">
        <x:f>G51/C51-1</x:f>
        <x:v>0.11388453293818057</x:v>
      </x:c>
      <x:c r="K51" s="15" t="n">
        <x:f>H51/D51-1</x:f>
        <x:v>0.14901958833624018</x:v>
      </x:c>
      <x:c r="L51" s="15" t="n">
        <x:f>K51-J51</x:f>
        <x:v>0.03513505539805961</x:v>
      </x:c>
      <x:c r="M51" s="17" t="str">
        <x:v>https://finance.yahoo.com/quote/TIINDIA.NS/history/</x:v>
      </x:c>
    </x:row>
    <x:row r="52">
      <x:c r="A52" t="str">
        <x:v>PrincePipes</x:v>
      </x:c>
      <x:c r="B52" s="11" t="n">
        <x:v>44965</x:v>
      </x:c>
      <x:c r="C52" s="13" t="n">
        <x:v>580.82</x:v>
      </x:c>
      <x:c r="D52" s="13" t="n">
        <x:v>23458952.75</x:v>
      </x:c>
      <x:c r="E52"/>
      <x:c r="F52" s="11" t="n">
        <x:v>46204</x:v>
      </x:c>
      <x:c r="G52" s="13" t="n">
        <x:v>276.9</x:v>
      </x:c>
      <x:c r="H52" s="13" t="n">
        <x:v>64604157.5</x:v>
      </x:c>
      <x:c r="I52"/>
      <x:c r="J52" s="15" t="n">
        <x:f>G52/C52-1</x:f>
        <x:v>-0.5232602183120416</x:v>
      </x:c>
      <x:c r="K52" s="15" t="n">
        <x:f>H52/D52-1</x:f>
        <x:v>1.7539233395659575</x:v>
      </x:c>
      <x:c r="L52" s="15" t="n">
        <x:f>K52-J52</x:f>
        <x:v>2.277183557877999</x:v>
      </x:c>
      <x:c r="M52" s="17" t="str">
        <x:v>https://finance.yahoo.com/quote/PRINCEPIPE.NS/history/</x:v>
      </x:c>
    </x:row>
    <x:row r="53">
      <x:c r="A53" t="str">
        <x:v>GPIL</x:v>
      </x:c>
      <x:c r="B53" s="11" t="n">
        <x:v>45145</x:v>
      </x:c>
      <x:c r="C53" s="13" t="n">
        <x:v>561.88</x:v>
      </x:c>
      <x:c r="D53" s="13" t="n">
        <x:v>37251035.6</x:v>
      </x:c>
      <x:c r="E53"/>
      <x:c r="F53" s="11" t="n">
        <x:v>46204</x:v>
      </x:c>
      <x:c r="G53" s="13" t="n">
        <x:v>254.6</x:v>
      </x:c>
      <x:c r="H53" s="13" t="n">
        <x:v>64604157.5</x:v>
      </x:c>
      <x:c r="I53"/>
      <x:c r="J53" s="15" t="n">
        <x:f>G53/C53-1</x:f>
        <x:v>-0.5468783370114616</x:v>
      </x:c>
      <x:c r="K53" s="15" t="n">
        <x:f>H53/D53-1</x:f>
        <x:v>0.7342915830238019</x:v>
      </x:c>
      <x:c r="L53" s="15" t="n">
        <x:f>K53-J53</x:f>
        <x:v>1.2811699200352635</x:v>
      </x:c>
      <x:c r="M53" s="17" t="str">
        <x:v>https://finance.yahoo.com/quote/GPIL.NS/history/</x:v>
      </x:c>
    </x:row>
    <x:row r="54">
      <x:c r="A54" t="str">
        <x:v>SuryaRosni</x:v>
      </x:c>
      <x:c r="B54" s="11" t="n">
        <x:v>46147</x:v>
      </x:c>
      <x:c r="C54" s="13" t="n">
        <x:v>258.8</x:v>
      </x:c>
      <x:c r="D54" s="13" t="n">
        <x:v>52550315.77</x:v>
      </x:c>
      <x:c r="E54"/>
      <x:c r="F54" s="11" t="n">
        <x:v>46204</x:v>
      </x:c>
      <x:c r="G54" s="13" t="n">
        <x:v>255.9</x:v>
      </x:c>
      <x:c r="H54" s="13" t="n">
        <x:v>64604157.5</x:v>
      </x:c>
      <x:c r="I54"/>
      <x:c r="J54" s="15" t="n">
        <x:f>G54/C54-1</x:f>
        <x:v>-0.011205564142194757</x:v>
      </x:c>
      <x:c r="K54" s="15" t="n">
        <x:f>H54/D54-1</x:f>
        <x:v>0.2293771512764402</x:v>
      </x:c>
      <x:c r="L54" s="15" t="n">
        <x:f>K54-J54</x:f>
        <x:v>0.24058271541863496</x:v>
      </x:c>
      <x:c r="M54" s="17" t="str">
        <x:v>https://finance.yahoo.com/quote/SURYAROSNI.NS/history/</x:v>
      </x:c>
    </x:row>
    <x:row r="55">
      <x:c r="A55" t="str">
        <x:v>Idea</x:v>
      </x:c>
      <x:c r="B55" s="11" t="n">
        <x:v>44965</x:v>
      </x:c>
      <x:c r="C55" s="13" t="n">
        <x:v>7.88</x:v>
      </x:c>
      <x:c r="D55" s="13" t="n">
        <x:v>23458952.75</x:v>
      </x:c>
      <x:c r="E55"/>
      <x:c r="F55" s="11" t="n">
        <x:v>46204</x:v>
      </x:c>
      <x:c r="G55" s="13" t="n">
        <x:v>14.64</x:v>
      </x:c>
      <x:c r="H55" s="13" t="n">
        <x:v>64604157.5</x:v>
      </x:c>
      <x:c r="I55"/>
      <x:c r="J55" s="15" t="n">
        <x:f>G55/C55-1</x:f>
        <x:v>0.8578680203045685</x:v>
      </x:c>
      <x:c r="K55" s="15" t="n">
        <x:f>H55/D55-1</x:f>
        <x:v>1.7539233395659575</x:v>
      </x:c>
      <x:c r="L55" s="15" t="n">
        <x:f>K55-J55</x:f>
        <x:v>0.8960553192613889</x:v>
      </x:c>
      <x:c r="M55" s="17" t="str">
        <x:v>https://stockanalysis.com/quote/nse/IDEA/history/</x:v>
      </x:c>
    </x:row>
    <x:row r="56">
      <x:c r="A56" t="str">
        <x:v>TWL</x:v>
      </x:c>
      <x:c r="B56" s="11" t="n">
        <x:v>45968</x:v>
      </x:c>
      <x:c r="C56" s="13" t="n">
        <x:v>840.65</x:v>
      </x:c>
      <x:c r="D56" s="13" t="n">
        <x:v>57555916.59</x:v>
      </x:c>
      <x:c r="E56"/>
      <x:c r="F56" s="11" t="n">
        <x:v>46204</x:v>
      </x:c>
      <x:c r="G56" s="13" t="n">
        <x:v>890.7</x:v>
      </x:c>
      <x:c r="H56" s="13" t="n">
        <x:v>64604157.5</x:v>
      </x:c>
      <x:c r="I56"/>
      <x:c r="J56" s="15" t="n">
        <x:f>G56/C56-1</x:f>
        <x:v>0.059537262832332294</x:v>
      </x:c>
      <x:c r="K56" s="15" t="n">
        <x:f>H56/D56-1</x:f>
        <x:v>0.12245901598975806</x:v>
      </x:c>
      <x:c r="L56" s="15" t="n">
        <x:f>K56-J56</x:f>
        <x:v>0.06292175315742576</x:v>
      </x:c>
      <x:c r="M56" s="17" t="str">
        <x:v>Renamed Titagarh Rail Systems. https://finance.yahoo.com/quote/TITAGARH.NS/history/</x:v>
      </x:c>
    </x:row>
    <x:row r="57">
      <x:c r="A57" t="str">
        <x:v>PEL</x:v>
      </x:c>
      <x:c r="B57" s="11" t="n">
        <x:v>45138</x:v>
      </x:c>
      <x:c r="C57" s="13" t="n">
        <x:v>1010.85</x:v>
      </x:c>
      <x:c r="D57" s="13" t="n">
        <x:v>37723102.6</x:v>
      </x:c>
      <x:c r="E57"/>
      <x:c r="F57" s="11" t="n">
        <x:v>46204</x:v>
      </x:c>
      <x:c r="G57" s="13" t="n">
        <x:v>2197.1</x:v>
      </x:c>
      <x:c r="H57" s="13" t="n">
        <x:v>64604157.5</x:v>
      </x:c>
      <x:c r="I57"/>
      <x:c r="J57" s="15" t="n">
        <x:f>G57/C57-1</x:f>
        <x:v>1.1735173368946925</x:v>
      </x:c>
      <x:c r="K57" s="15" t="n">
        <x:f>H57/D57-1</x:f>
        <x:v>0.712588653829338</x:v>
      </x:c>
      <x:c r="L57" s="15" t="n">
        <x:f>K57-J57</x:f>
        <x:v>-0.4609286830653545</x:v>
      </x:c>
      <x:c r="M57" s="17" t="str">
        <x:v>PEL merged into Piramal Finance 1:1; current equivalent uses Piramal Finance close. https://www.piramalfinance.com/content/dam/piramalfinance/pdf/stakeholder/composite-scheme-of-arrangement-2024/pfl-se-intimation-20092025-sd.pdf | https://in.investing.com/equities/piramal-finance-bo-historical-data</x:v>
      </x:c>
    </x:row>
    <x:row r="58">
      <x:c r="A58" t="str">
        <x:v>MASFinancial</x:v>
      </x:c>
      <x:c r="B58" s="11" t="n">
        <x:v>45306</x:v>
      </x:c>
      <x:c r="C58" s="13" t="n">
        <x:v>958.58</x:v>
      </x:c>
      <x:c r="D58" s="13" t="n">
        <x:v>48819669.5</x:v>
      </x:c>
      <x:c r="E58"/>
      <x:c r="F58" s="11" t="n">
        <x:v>46204</x:v>
      </x:c>
      <x:c r="G58" s="13" t="n">
        <x:v>310</x:v>
      </x:c>
      <x:c r="H58" s="13" t="n">
        <x:v>64604157.5</x:v>
      </x:c>
      <x:c r="I58"/>
      <x:c r="J58" s="15" t="n">
        <x:f>G58/C58-1</x:f>
        <x:v>-0.6766049781969163</x:v>
      </x:c>
      <x:c r="K58" s="15" t="n">
        <x:f>H58/D58-1</x:f>
        <x:v>0.3233223035235828</x:v>
      </x:c>
      <x:c r="L58" s="15" t="n">
        <x:f>K58-J58</x:f>
        <x:v>0.9999272817204992</x:v>
      </x:c>
      <x:c r="M58" s="17" t="str">
        <x:v>https://stockanalysis.com/quote/bom/540749/history/</x:v>
      </x:c>
    </x:row>
    <x:row r="59">
      <x:c r="A59" t="str">
        <x:v>MorepenLab</x:v>
      </x:c>
      <x:c r="B59" s="11" t="n">
        <x:v>45968</x:v>
      </x:c>
      <x:c r="C59" s="13" t="n">
        <x:v>46.03</x:v>
      </x:c>
      <x:c r="D59" s="13" t="n">
        <x:v>57555916.59</x:v>
      </x:c>
      <x:c r="E59"/>
      <x:c r="F59" s="11" t="n">
        <x:v>46204</x:v>
      </x:c>
      <x:c r="G59" s="13" t="n">
        <x:v>62.68</x:v>
      </x:c>
      <x:c r="H59" s="13" t="n">
        <x:v>64604157.5</x:v>
      </x:c>
      <x:c r="I59"/>
      <x:c r="J59" s="15" t="n">
        <x:f>G59/C59-1</x:f>
        <x:v>0.3617206169889202</x:v>
      </x:c>
      <x:c r="K59" s="15" t="n">
        <x:f>H59/D59-1</x:f>
        <x:v>0.12245901598975806</x:v>
      </x:c>
      <x:c r="L59" s="15" t="n">
        <x:f>K59-J59</x:f>
        <x:v>-0.23926160099916216</x:v>
      </x:c>
      <x:c r="M59" s="17" t="str">
        <x:v>https://finance.yahoo.com/quote/MOREPENLAB.NS/history/</x:v>
      </x:c>
    </x:row>
  </x:sheetData>
  <x:pageMargins left="0.7" right="0.7" top="0.75" bottom="0.75" header="0.3" footer="0.3"/>
</x:worksheet>
</file>