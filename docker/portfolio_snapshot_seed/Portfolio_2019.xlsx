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filterPrivacy="1" codeName="ThisWorkbook" defaultThemeVersion="124226"/>
  <xr:revisionPtr revIDLastSave="0" documentId="13_ncr:1_{1901D991-0009-45A4-B64F-72D3CBEF1BA1}" xr6:coauthVersionLast="45" xr6:coauthVersionMax="45" xr10:uidLastSave="{00000000-0000-0000-0000-000000000000}"/>
  <bookViews>
    <workbookView xWindow="-120" yWindow="-120" windowWidth="20730" windowHeight="11160" firstSheet="8" activeTab="15" xr2:uid="{00000000-000D-0000-FFFF-FFFF00000000}"/>
  </bookViews>
  <sheets>
    <sheet name="01Jan19" sheetId="62" r:id="rId1"/>
    <sheet name="06Feb19" sheetId="63" r:id="rId2"/>
    <sheet name="12Feb19" sheetId="64" r:id="rId3"/>
    <sheet name="16Apr19" sheetId="65" r:id="rId4"/>
    <sheet name="14May19" sheetId="66" r:id="rId5"/>
    <sheet name="06Jun19" sheetId="67" r:id="rId6"/>
    <sheet name="10Jun19" sheetId="68" r:id="rId7"/>
    <sheet name="14Jun19" sheetId="69" r:id="rId8"/>
    <sheet name="25Jun19" sheetId="70" r:id="rId9"/>
    <sheet name="16Jul19" sheetId="71" r:id="rId10"/>
    <sheet name="22Oct19" sheetId="72" r:id="rId11"/>
    <sheet name="18Nov19" sheetId="73" r:id="rId12"/>
    <sheet name="04Dec19" sheetId="74" r:id="rId13"/>
    <sheet name="27Dec19" sheetId="75" r:id="rId14"/>
    <sheet name="31Dec19" sheetId="76" r:id="rId15"/>
    <sheet name="Liquid" sheetId="2" r:id="rId16"/>
    <sheet name="Sheet3" sheetId="3" r:id="rId17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5" i="76" l="1"/>
  <c r="D25" i="76" s="1"/>
  <c r="B24" i="76"/>
  <c r="D24" i="76" s="1"/>
  <c r="D23" i="76"/>
  <c r="B23" i="76"/>
  <c r="D22" i="76"/>
  <c r="B22" i="76"/>
  <c r="B21" i="76"/>
  <c r="D21" i="76" s="1"/>
  <c r="B20" i="76"/>
  <c r="D20" i="76" s="1"/>
  <c r="D19" i="76"/>
  <c r="B19" i="76"/>
  <c r="D18" i="76"/>
  <c r="B18" i="76"/>
  <c r="D17" i="76"/>
  <c r="D16" i="76"/>
  <c r="B16" i="76"/>
  <c r="D15" i="76"/>
  <c r="B15" i="76"/>
  <c r="B14" i="76"/>
  <c r="D14" i="76" s="1"/>
  <c r="B13" i="76"/>
  <c r="D13" i="76" s="1"/>
  <c r="D12" i="76"/>
  <c r="B12" i="76"/>
  <c r="D11" i="76"/>
  <c r="B11" i="76"/>
  <c r="D10" i="76"/>
  <c r="D9" i="76"/>
  <c r="B9" i="76"/>
  <c r="D8" i="76"/>
  <c r="B8" i="76"/>
  <c r="D7" i="76"/>
  <c r="D6" i="76"/>
  <c r="B6" i="76"/>
  <c r="D5" i="76"/>
  <c r="B5" i="76"/>
  <c r="D27" i="76" l="1"/>
  <c r="E10" i="76" s="1"/>
  <c r="E15" i="76"/>
  <c r="E8" i="76"/>
  <c r="E14" i="76"/>
  <c r="E19" i="76"/>
  <c r="E16" i="76"/>
  <c r="E12" i="76"/>
  <c r="E6" i="76"/>
  <c r="E20" i="76"/>
  <c r="E13" i="76"/>
  <c r="E21" i="76"/>
  <c r="E11" i="76"/>
  <c r="E24" i="76"/>
  <c r="E17" i="76"/>
  <c r="E22" i="76"/>
  <c r="E25" i="76"/>
  <c r="B19" i="75"/>
  <c r="D19" i="75" s="1"/>
  <c r="B16" i="75"/>
  <c r="D16" i="75" s="1"/>
  <c r="B25" i="75"/>
  <c r="D25" i="75" s="1"/>
  <c r="B24" i="75"/>
  <c r="D24" i="75" s="1"/>
  <c r="B23" i="75"/>
  <c r="D23" i="75" s="1"/>
  <c r="D22" i="75"/>
  <c r="B22" i="75"/>
  <c r="B21" i="75"/>
  <c r="D21" i="75" s="1"/>
  <c r="B20" i="75"/>
  <c r="D20" i="75" s="1"/>
  <c r="D18" i="75"/>
  <c r="B18" i="75"/>
  <c r="D17" i="75"/>
  <c r="D15" i="75"/>
  <c r="B15" i="75"/>
  <c r="B14" i="75"/>
  <c r="D14" i="75" s="1"/>
  <c r="B13" i="75"/>
  <c r="D13" i="75" s="1"/>
  <c r="B12" i="75"/>
  <c r="D12" i="75" s="1"/>
  <c r="D11" i="75"/>
  <c r="B11" i="75"/>
  <c r="D10" i="75"/>
  <c r="B9" i="75"/>
  <c r="D9" i="75" s="1"/>
  <c r="D8" i="75"/>
  <c r="B8" i="75"/>
  <c r="D7" i="75"/>
  <c r="B6" i="75"/>
  <c r="D6" i="75" s="1"/>
  <c r="D5" i="75"/>
  <c r="B5" i="75"/>
  <c r="E5" i="76" l="1"/>
  <c r="E7" i="76"/>
  <c r="E18" i="76"/>
  <c r="E9" i="76"/>
  <c r="E23" i="76"/>
  <c r="D27" i="75"/>
  <c r="E13" i="75" s="1"/>
  <c r="B25" i="74"/>
  <c r="E18" i="75" l="1"/>
  <c r="E6" i="75"/>
  <c r="E7" i="75"/>
  <c r="E15" i="75"/>
  <c r="E14" i="75"/>
  <c r="E5" i="75"/>
  <c r="E17" i="75"/>
  <c r="E21" i="75"/>
  <c r="E24" i="75"/>
  <c r="E22" i="75"/>
  <c r="E12" i="75"/>
  <c r="E11" i="75"/>
  <c r="E16" i="75"/>
  <c r="E23" i="75"/>
  <c r="E19" i="75"/>
  <c r="E25" i="75"/>
  <c r="E9" i="75"/>
  <c r="E8" i="75"/>
  <c r="E10" i="75"/>
  <c r="E20" i="75"/>
  <c r="B11" i="73"/>
  <c r="B21" i="73"/>
  <c r="B14" i="74" l="1"/>
  <c r="B19" i="74" l="1"/>
  <c r="B5" i="74"/>
  <c r="D25" i="74" l="1"/>
  <c r="B24" i="74"/>
  <c r="D24" i="74" s="1"/>
  <c r="D23" i="74"/>
  <c r="B23" i="74"/>
  <c r="D22" i="74"/>
  <c r="B22" i="74"/>
  <c r="B21" i="74"/>
  <c r="D21" i="74" s="1"/>
  <c r="B20" i="74"/>
  <c r="D20" i="74" s="1"/>
  <c r="D19" i="74"/>
  <c r="B18" i="74"/>
  <c r="D18" i="74" s="1"/>
  <c r="D17" i="74"/>
  <c r="D16" i="74"/>
  <c r="B16" i="74"/>
  <c r="B15" i="74"/>
  <c r="D15" i="74" s="1"/>
  <c r="D14" i="74"/>
  <c r="D13" i="74"/>
  <c r="B13" i="74"/>
  <c r="B12" i="74"/>
  <c r="D12" i="74" s="1"/>
  <c r="B11" i="74"/>
  <c r="D11" i="74" s="1"/>
  <c r="D10" i="74"/>
  <c r="B9" i="74"/>
  <c r="D9" i="74" s="1"/>
  <c r="B8" i="74"/>
  <c r="D8" i="74" s="1"/>
  <c r="D7" i="74"/>
  <c r="B6" i="74"/>
  <c r="D6" i="74" s="1"/>
  <c r="D5" i="74"/>
  <c r="D27" i="74" l="1"/>
  <c r="E6" i="74" s="1"/>
  <c r="B25" i="73"/>
  <c r="E12" i="74" l="1"/>
  <c r="E25" i="74"/>
  <c r="E18" i="74"/>
  <c r="E5" i="74"/>
  <c r="E17" i="74"/>
  <c r="E14" i="74"/>
  <c r="E23" i="74"/>
  <c r="E19" i="74"/>
  <c r="E10" i="74"/>
  <c r="E7" i="74"/>
  <c r="E21" i="74"/>
  <c r="E8" i="74"/>
  <c r="E22" i="74"/>
  <c r="E24" i="74"/>
  <c r="E11" i="74"/>
  <c r="E20" i="74"/>
  <c r="E9" i="74"/>
  <c r="E15" i="74"/>
  <c r="E16" i="74"/>
  <c r="E13" i="74"/>
  <c r="D19" i="73" l="1"/>
  <c r="D25" i="73" l="1"/>
  <c r="D24" i="73"/>
  <c r="B24" i="73"/>
  <c r="B23" i="73"/>
  <c r="D23" i="73" s="1"/>
  <c r="D22" i="73"/>
  <c r="B22" i="73"/>
  <c r="D21" i="73"/>
  <c r="D20" i="73"/>
  <c r="B20" i="73"/>
  <c r="B18" i="73"/>
  <c r="D18" i="73" s="1"/>
  <c r="D17" i="73"/>
  <c r="D16" i="73"/>
  <c r="B16" i="73"/>
  <c r="B15" i="73"/>
  <c r="D15" i="73" s="1"/>
  <c r="D14" i="73"/>
  <c r="D13" i="73"/>
  <c r="B13" i="73"/>
  <c r="B12" i="73"/>
  <c r="D12" i="73" s="1"/>
  <c r="D11" i="73"/>
  <c r="D10" i="73"/>
  <c r="B9" i="73"/>
  <c r="D9" i="73" s="1"/>
  <c r="D8" i="73"/>
  <c r="B8" i="73"/>
  <c r="D7" i="73"/>
  <c r="B6" i="73"/>
  <c r="D6" i="73" s="1"/>
  <c r="D5" i="73"/>
  <c r="B5" i="73"/>
  <c r="D27" i="73" l="1"/>
  <c r="E10" i="73" s="1"/>
  <c r="E17" i="73"/>
  <c r="E9" i="73"/>
  <c r="E15" i="73"/>
  <c r="E18" i="73"/>
  <c r="E24" i="73"/>
  <c r="E13" i="73"/>
  <c r="E16" i="73"/>
  <c r="E20" i="73"/>
  <c r="E23" i="73"/>
  <c r="E8" i="73"/>
  <c r="E14" i="73"/>
  <c r="E6" i="73"/>
  <c r="E12" i="73"/>
  <c r="E22" i="73"/>
  <c r="E25" i="73"/>
  <c r="E5" i="73"/>
  <c r="E11" i="73" l="1"/>
  <c r="E7" i="73"/>
  <c r="E21" i="73"/>
  <c r="E19" i="73"/>
  <c r="B18" i="72"/>
  <c r="B13" i="72"/>
  <c r="B24" i="72" l="1"/>
  <c r="D24" i="72" l="1"/>
  <c r="B23" i="72"/>
  <c r="D23" i="72" s="1"/>
  <c r="B22" i="72"/>
  <c r="D22" i="72" s="1"/>
  <c r="B21" i="72"/>
  <c r="D21" i="72" s="1"/>
  <c r="B20" i="72"/>
  <c r="D20" i="72" s="1"/>
  <c r="B19" i="72"/>
  <c r="D19" i="72" s="1"/>
  <c r="D18" i="72"/>
  <c r="D17" i="72"/>
  <c r="B16" i="72"/>
  <c r="D16" i="72" s="1"/>
  <c r="B15" i="72"/>
  <c r="D15" i="72" s="1"/>
  <c r="D14" i="72"/>
  <c r="D13" i="72"/>
  <c r="B12" i="72"/>
  <c r="D12" i="72" s="1"/>
  <c r="B11" i="72"/>
  <c r="D11" i="72" s="1"/>
  <c r="D10" i="72"/>
  <c r="B9" i="72"/>
  <c r="D9" i="72" s="1"/>
  <c r="B8" i="72"/>
  <c r="D8" i="72" s="1"/>
  <c r="D7" i="72"/>
  <c r="B6" i="72"/>
  <c r="D6" i="72" s="1"/>
  <c r="B5" i="72"/>
  <c r="D5" i="72" s="1"/>
  <c r="D26" i="72" l="1"/>
  <c r="E14" i="72" s="1"/>
  <c r="B20" i="71"/>
  <c r="E5" i="72" l="1"/>
  <c r="E24" i="72"/>
  <c r="E16" i="72"/>
  <c r="E11" i="72"/>
  <c r="E12" i="72"/>
  <c r="E23" i="72"/>
  <c r="E22" i="72"/>
  <c r="E18" i="72"/>
  <c r="E19" i="72"/>
  <c r="E9" i="72"/>
  <c r="E20" i="72"/>
  <c r="E8" i="72"/>
  <c r="E17" i="72"/>
  <c r="E13" i="72"/>
  <c r="E7" i="72"/>
  <c r="E10" i="72"/>
  <c r="E15" i="72"/>
  <c r="E21" i="72"/>
  <c r="E6" i="72"/>
  <c r="B24" i="71"/>
  <c r="B16" i="71" l="1"/>
  <c r="D20" i="71" l="1"/>
  <c r="D24" i="71"/>
  <c r="B23" i="71"/>
  <c r="D23" i="71" s="1"/>
  <c r="B22" i="71"/>
  <c r="D22" i="71" s="1"/>
  <c r="B21" i="71"/>
  <c r="D21" i="71" s="1"/>
  <c r="B19" i="71"/>
  <c r="D19" i="71" s="1"/>
  <c r="B18" i="71"/>
  <c r="D18" i="71" s="1"/>
  <c r="D17" i="71"/>
  <c r="D16" i="71"/>
  <c r="B15" i="71"/>
  <c r="D15" i="71" s="1"/>
  <c r="D14" i="71"/>
  <c r="D13" i="71"/>
  <c r="B12" i="71"/>
  <c r="D12" i="71" s="1"/>
  <c r="B11" i="71"/>
  <c r="D11" i="71" s="1"/>
  <c r="D10" i="71"/>
  <c r="B9" i="71"/>
  <c r="D9" i="71" s="1"/>
  <c r="B8" i="71"/>
  <c r="D8" i="71" s="1"/>
  <c r="D7" i="71"/>
  <c r="B6" i="71"/>
  <c r="D6" i="71" s="1"/>
  <c r="B5" i="71"/>
  <c r="D5" i="71" s="1"/>
  <c r="D26" i="71" l="1"/>
  <c r="E6" i="71" s="1"/>
  <c r="B24" i="70"/>
  <c r="E22" i="71" l="1"/>
  <c r="E14" i="71"/>
  <c r="E11" i="71"/>
  <c r="E8" i="71"/>
  <c r="E24" i="71"/>
  <c r="E19" i="71"/>
  <c r="E12" i="71"/>
  <c r="E17" i="71"/>
  <c r="E9" i="71"/>
  <c r="E13" i="71"/>
  <c r="E20" i="71"/>
  <c r="E15" i="71"/>
  <c r="E18" i="71"/>
  <c r="E5" i="71"/>
  <c r="E23" i="71"/>
  <c r="E10" i="71"/>
  <c r="E16" i="71"/>
  <c r="E21" i="71"/>
  <c r="E7" i="71"/>
  <c r="D20" i="70"/>
  <c r="D24" i="70"/>
  <c r="B23" i="70"/>
  <c r="D23" i="70" s="1"/>
  <c r="B22" i="70"/>
  <c r="D22" i="70" s="1"/>
  <c r="B21" i="70"/>
  <c r="D21" i="70" s="1"/>
  <c r="B19" i="70"/>
  <c r="D19" i="70" s="1"/>
  <c r="B18" i="70"/>
  <c r="D18" i="70" s="1"/>
  <c r="D17" i="70"/>
  <c r="B16" i="70"/>
  <c r="D16" i="70" s="1"/>
  <c r="B15" i="70"/>
  <c r="D15" i="70" s="1"/>
  <c r="D14" i="70"/>
  <c r="D13" i="70"/>
  <c r="B12" i="70"/>
  <c r="D12" i="70" s="1"/>
  <c r="B11" i="70"/>
  <c r="D11" i="70" s="1"/>
  <c r="D10" i="70"/>
  <c r="B9" i="70"/>
  <c r="D9" i="70" s="1"/>
  <c r="B8" i="70"/>
  <c r="D8" i="70" s="1"/>
  <c r="D7" i="70"/>
  <c r="B6" i="70"/>
  <c r="D6" i="70" s="1"/>
  <c r="B5" i="70"/>
  <c r="D5" i="70" s="1"/>
  <c r="D26" i="70" l="1"/>
  <c r="E20" i="70" s="1"/>
  <c r="B23" i="69"/>
  <c r="E19" i="70" l="1"/>
  <c r="E10" i="70"/>
  <c r="E16" i="70"/>
  <c r="E17" i="70"/>
  <c r="E14" i="70"/>
  <c r="E12" i="70"/>
  <c r="E15" i="70"/>
  <c r="E23" i="70"/>
  <c r="E21" i="70"/>
  <c r="E5" i="70"/>
  <c r="E9" i="70"/>
  <c r="E22" i="70"/>
  <c r="E11" i="70"/>
  <c r="E13" i="70"/>
  <c r="E24" i="70"/>
  <c r="E6" i="70"/>
  <c r="E18" i="70"/>
  <c r="E8" i="70"/>
  <c r="E7" i="70"/>
  <c r="D7" i="69"/>
  <c r="D23" i="69"/>
  <c r="B22" i="69"/>
  <c r="D22" i="69" s="1"/>
  <c r="B21" i="69"/>
  <c r="D21" i="69" s="1"/>
  <c r="B20" i="69"/>
  <c r="D20" i="69" s="1"/>
  <c r="B19" i="69"/>
  <c r="D19" i="69" s="1"/>
  <c r="B18" i="69"/>
  <c r="D18" i="69" s="1"/>
  <c r="D17" i="69"/>
  <c r="B16" i="69"/>
  <c r="D16" i="69" s="1"/>
  <c r="B15" i="69"/>
  <c r="D15" i="69" s="1"/>
  <c r="D14" i="69"/>
  <c r="D13" i="69"/>
  <c r="B12" i="69"/>
  <c r="D12" i="69" s="1"/>
  <c r="B11" i="69"/>
  <c r="D11" i="69" s="1"/>
  <c r="D10" i="69"/>
  <c r="B9" i="69"/>
  <c r="D9" i="69" s="1"/>
  <c r="B8" i="69"/>
  <c r="D8" i="69" s="1"/>
  <c r="B6" i="69"/>
  <c r="D6" i="69" s="1"/>
  <c r="B5" i="69"/>
  <c r="D5" i="69" s="1"/>
  <c r="D25" i="69" l="1"/>
  <c r="B23" i="68"/>
  <c r="D23" i="68" s="1"/>
  <c r="B10" i="68"/>
  <c r="D10" i="68" s="1"/>
  <c r="B22" i="68"/>
  <c r="D22" i="68" s="1"/>
  <c r="B21" i="68"/>
  <c r="D21" i="68" s="1"/>
  <c r="B20" i="68"/>
  <c r="D20" i="68" s="1"/>
  <c r="B19" i="68"/>
  <c r="D19" i="68" s="1"/>
  <c r="B18" i="68"/>
  <c r="D18" i="68" s="1"/>
  <c r="D17" i="68"/>
  <c r="B16" i="68"/>
  <c r="D16" i="68" s="1"/>
  <c r="B15" i="68"/>
  <c r="D15" i="68" s="1"/>
  <c r="D14" i="68"/>
  <c r="D13" i="68"/>
  <c r="D12" i="68"/>
  <c r="B12" i="68"/>
  <c r="B11" i="68"/>
  <c r="D11" i="68" s="1"/>
  <c r="D9" i="68"/>
  <c r="B8" i="68"/>
  <c r="D8" i="68" s="1"/>
  <c r="B7" i="68"/>
  <c r="D7" i="68" s="1"/>
  <c r="B6" i="68"/>
  <c r="D6" i="68" s="1"/>
  <c r="B5" i="68"/>
  <c r="D5" i="68" s="1"/>
  <c r="E12" i="69" l="1"/>
  <c r="E7" i="69"/>
  <c r="E8" i="69"/>
  <c r="E23" i="69"/>
  <c r="E6" i="69"/>
  <c r="E15" i="69"/>
  <c r="E11" i="69"/>
  <c r="E18" i="69"/>
  <c r="E20" i="69"/>
  <c r="E22" i="69"/>
  <c r="E16" i="69"/>
  <c r="E9" i="69"/>
  <c r="E5" i="69"/>
  <c r="E10" i="69"/>
  <c r="E13" i="69"/>
  <c r="E17" i="69"/>
  <c r="E14" i="69"/>
  <c r="E19" i="69"/>
  <c r="E21" i="69"/>
  <c r="D25" i="68"/>
  <c r="E16" i="68" s="1"/>
  <c r="B23" i="67"/>
  <c r="D23" i="67" s="1"/>
  <c r="B22" i="67"/>
  <c r="D22" i="67" s="1"/>
  <c r="B21" i="67"/>
  <c r="D21" i="67" s="1"/>
  <c r="D20" i="67"/>
  <c r="B20" i="67"/>
  <c r="B19" i="67"/>
  <c r="D19" i="67" s="1"/>
  <c r="D18" i="67"/>
  <c r="B18" i="67"/>
  <c r="D17" i="67"/>
  <c r="B16" i="67"/>
  <c r="D16" i="67" s="1"/>
  <c r="D15" i="67"/>
  <c r="B15" i="67"/>
  <c r="D14" i="67"/>
  <c r="D13" i="67"/>
  <c r="B12" i="67"/>
  <c r="D12" i="67" s="1"/>
  <c r="D11" i="67"/>
  <c r="B11" i="67"/>
  <c r="B10" i="67"/>
  <c r="D10" i="67" s="1"/>
  <c r="D9" i="67"/>
  <c r="D8" i="67"/>
  <c r="B8" i="67"/>
  <c r="B7" i="67"/>
  <c r="D7" i="67" s="1"/>
  <c r="D6" i="67"/>
  <c r="B6" i="67"/>
  <c r="B5" i="67"/>
  <c r="D5" i="67" s="1"/>
  <c r="E9" i="68" l="1"/>
  <c r="E12" i="68"/>
  <c r="E5" i="68"/>
  <c r="E21" i="68"/>
  <c r="E17" i="68"/>
  <c r="E14" i="68"/>
  <c r="E23" i="68"/>
  <c r="E19" i="68"/>
  <c r="E11" i="68"/>
  <c r="E20" i="68"/>
  <c r="E10" i="68"/>
  <c r="E6" i="68"/>
  <c r="E22" i="68"/>
  <c r="E18" i="68"/>
  <c r="E15" i="68"/>
  <c r="E8" i="68"/>
  <c r="E13" i="68"/>
  <c r="E7" i="68"/>
  <c r="D25" i="67"/>
  <c r="E10" i="67" s="1"/>
  <c r="E5" i="67"/>
  <c r="B23" i="66"/>
  <c r="E20" i="67" l="1"/>
  <c r="E13" i="67"/>
  <c r="E17" i="67"/>
  <c r="E14" i="67"/>
  <c r="E8" i="67"/>
  <c r="E9" i="67"/>
  <c r="E19" i="67"/>
  <c r="E6" i="67"/>
  <c r="E18" i="67"/>
  <c r="E11" i="67"/>
  <c r="E15" i="67"/>
  <c r="E12" i="67"/>
  <c r="E23" i="67"/>
  <c r="E16" i="67"/>
  <c r="E22" i="67"/>
  <c r="E7" i="67"/>
  <c r="E21" i="67"/>
  <c r="B5" i="66"/>
  <c r="B15" i="66"/>
  <c r="D23" i="66"/>
  <c r="B22" i="66"/>
  <c r="D22" i="66" s="1"/>
  <c r="B21" i="66"/>
  <c r="D21" i="66" s="1"/>
  <c r="D20" i="66"/>
  <c r="B20" i="66"/>
  <c r="B19" i="66"/>
  <c r="D19" i="66" s="1"/>
  <c r="B18" i="66"/>
  <c r="D18" i="66" s="1"/>
  <c r="D17" i="66"/>
  <c r="B16" i="66"/>
  <c r="D16" i="66" s="1"/>
  <c r="D15" i="66"/>
  <c r="D14" i="66"/>
  <c r="D13" i="66"/>
  <c r="B12" i="66"/>
  <c r="D12" i="66" s="1"/>
  <c r="B11" i="66"/>
  <c r="D11" i="66" s="1"/>
  <c r="B10" i="66"/>
  <c r="D10" i="66" s="1"/>
  <c r="D9" i="66"/>
  <c r="B8" i="66"/>
  <c r="D8" i="66" s="1"/>
  <c r="B7" i="66"/>
  <c r="D7" i="66" s="1"/>
  <c r="B6" i="66"/>
  <c r="D6" i="66" s="1"/>
  <c r="D5" i="66"/>
  <c r="D25" i="66" l="1"/>
  <c r="E7" i="66" s="1"/>
  <c r="B23" i="65"/>
  <c r="E20" i="66" l="1"/>
  <c r="E13" i="66"/>
  <c r="E14" i="66"/>
  <c r="E10" i="66"/>
  <c r="E5" i="66"/>
  <c r="E17" i="66"/>
  <c r="E9" i="66"/>
  <c r="E12" i="66"/>
  <c r="E16" i="66"/>
  <c r="E18" i="66"/>
  <c r="E11" i="66"/>
  <c r="E21" i="66"/>
  <c r="E15" i="66"/>
  <c r="E23" i="66"/>
  <c r="E8" i="66"/>
  <c r="E22" i="66"/>
  <c r="E19" i="66"/>
  <c r="E6" i="66"/>
  <c r="B20" i="65"/>
  <c r="D20" i="65" s="1"/>
  <c r="B21" i="65"/>
  <c r="D23" i="65"/>
  <c r="B22" i="65"/>
  <c r="D22" i="65" s="1"/>
  <c r="D21" i="65"/>
  <c r="B19" i="65"/>
  <c r="D19" i="65" s="1"/>
  <c r="B18" i="65"/>
  <c r="D18" i="65" s="1"/>
  <c r="D17" i="65"/>
  <c r="D16" i="65"/>
  <c r="B16" i="65"/>
  <c r="D15" i="65"/>
  <c r="D14" i="65"/>
  <c r="D13" i="65"/>
  <c r="B12" i="65"/>
  <c r="D12" i="65" s="1"/>
  <c r="B11" i="65"/>
  <c r="D11" i="65" s="1"/>
  <c r="B10" i="65"/>
  <c r="D10" i="65" s="1"/>
  <c r="D9" i="65"/>
  <c r="B8" i="65"/>
  <c r="D8" i="65" s="1"/>
  <c r="B7" i="65"/>
  <c r="D7" i="65" s="1"/>
  <c r="D6" i="65"/>
  <c r="B6" i="65"/>
  <c r="D5" i="65"/>
  <c r="D25" i="65" l="1"/>
  <c r="E15" i="65"/>
  <c r="E13" i="65"/>
  <c r="E21" i="65"/>
  <c r="E5" i="65"/>
  <c r="E14" i="65"/>
  <c r="E17" i="65"/>
  <c r="E9" i="65"/>
  <c r="E6" i="65"/>
  <c r="E10" i="65"/>
  <c r="E12" i="65"/>
  <c r="E18" i="65"/>
  <c r="E20" i="65"/>
  <c r="E22" i="65"/>
  <c r="E8" i="65"/>
  <c r="E16" i="65"/>
  <c r="E11" i="65"/>
  <c r="E19" i="65"/>
  <c r="E23" i="65"/>
  <c r="E7" i="65"/>
  <c r="B23" i="64" l="1"/>
  <c r="D23" i="64" s="1"/>
  <c r="B16" i="64"/>
  <c r="D16" i="64" s="1"/>
  <c r="B22" i="64"/>
  <c r="D22" i="64" s="1"/>
  <c r="B21" i="64"/>
  <c r="D21" i="64" s="1"/>
  <c r="B20" i="64"/>
  <c r="D20" i="64" s="1"/>
  <c r="B19" i="64"/>
  <c r="D19" i="64" s="1"/>
  <c r="B18" i="64"/>
  <c r="D18" i="64" s="1"/>
  <c r="D17" i="64"/>
  <c r="D15" i="64"/>
  <c r="D14" i="64"/>
  <c r="D13" i="64"/>
  <c r="B12" i="64"/>
  <c r="D12" i="64" s="1"/>
  <c r="B11" i="64"/>
  <c r="D11" i="64" s="1"/>
  <c r="B10" i="64"/>
  <c r="D10" i="64" s="1"/>
  <c r="D9" i="64"/>
  <c r="B8" i="64"/>
  <c r="D8" i="64" s="1"/>
  <c r="B7" i="64"/>
  <c r="D7" i="64" s="1"/>
  <c r="D5" i="64"/>
  <c r="B6" i="64"/>
  <c r="D6" i="64" s="1"/>
  <c r="D25" i="64" l="1"/>
  <c r="E11" i="64"/>
  <c r="B24" i="63"/>
  <c r="E17" i="64" l="1"/>
  <c r="E15" i="64"/>
  <c r="E13" i="64"/>
  <c r="E19" i="64"/>
  <c r="E5" i="64"/>
  <c r="E9" i="64"/>
  <c r="E22" i="64"/>
  <c r="E7" i="64"/>
  <c r="E16" i="64"/>
  <c r="E23" i="64"/>
  <c r="E18" i="64"/>
  <c r="E10" i="64"/>
  <c r="E12" i="64"/>
  <c r="E20" i="64"/>
  <c r="E14" i="64"/>
  <c r="E21" i="64"/>
  <c r="E6" i="64"/>
  <c r="E8" i="64"/>
  <c r="D15" i="63"/>
  <c r="B19" i="63"/>
  <c r="D19" i="63" s="1"/>
  <c r="D5" i="63"/>
  <c r="D24" i="63"/>
  <c r="B23" i="63"/>
  <c r="D23" i="63" s="1"/>
  <c r="B22" i="63"/>
  <c r="D22" i="63" s="1"/>
  <c r="B21" i="63"/>
  <c r="D21" i="63" s="1"/>
  <c r="B20" i="63"/>
  <c r="D20" i="63" s="1"/>
  <c r="B18" i="63"/>
  <c r="D18" i="63" s="1"/>
  <c r="D17" i="63"/>
  <c r="D16" i="63"/>
  <c r="D14" i="63"/>
  <c r="D13" i="63"/>
  <c r="B12" i="63"/>
  <c r="D12" i="63" s="1"/>
  <c r="B11" i="63"/>
  <c r="D11" i="63" s="1"/>
  <c r="B10" i="63"/>
  <c r="D10" i="63" s="1"/>
  <c r="D9" i="63"/>
  <c r="B8" i="63"/>
  <c r="D8" i="63" s="1"/>
  <c r="B7" i="63"/>
  <c r="D7" i="63" s="1"/>
  <c r="B6" i="63"/>
  <c r="D6" i="63" s="1"/>
  <c r="D26" i="63" l="1"/>
  <c r="E17" i="63"/>
  <c r="E14" i="63"/>
  <c r="B22" i="62"/>
  <c r="D22" i="62" s="1"/>
  <c r="B21" i="62"/>
  <c r="D21" i="62" s="1"/>
  <c r="B20" i="62"/>
  <c r="D20" i="62" s="1"/>
  <c r="B19" i="62"/>
  <c r="D19" i="62" s="1"/>
  <c r="B18" i="62"/>
  <c r="D18" i="62" s="1"/>
  <c r="B17" i="62"/>
  <c r="D17" i="62" s="1"/>
  <c r="B16" i="62"/>
  <c r="D16" i="62" s="1"/>
  <c r="D15" i="62"/>
  <c r="D14" i="62"/>
  <c r="D13" i="62"/>
  <c r="D12" i="62"/>
  <c r="B11" i="62"/>
  <c r="D11" i="62" s="1"/>
  <c r="B10" i="62"/>
  <c r="D10" i="62" s="1"/>
  <c r="B9" i="62"/>
  <c r="D9" i="62" s="1"/>
  <c r="D8" i="62"/>
  <c r="B7" i="62"/>
  <c r="D7" i="62" s="1"/>
  <c r="B6" i="62"/>
  <c r="D6" i="62" s="1"/>
  <c r="B5" i="62"/>
  <c r="D5" i="62" s="1"/>
  <c r="E11" i="63" l="1"/>
  <c r="E5" i="63"/>
  <c r="E15" i="63"/>
  <c r="E21" i="63"/>
  <c r="E12" i="63"/>
  <c r="E8" i="63"/>
  <c r="E10" i="63"/>
  <c r="E23" i="63"/>
  <c r="E16" i="63"/>
  <c r="E13" i="63"/>
  <c r="E6" i="63"/>
  <c r="E22" i="63"/>
  <c r="E18" i="63"/>
  <c r="E9" i="63"/>
  <c r="E24" i="63"/>
  <c r="E7" i="63"/>
  <c r="E19" i="63"/>
  <c r="E20" i="63"/>
  <c r="D24" i="62"/>
  <c r="E8" i="62" s="1"/>
  <c r="E6" i="62" l="1"/>
  <c r="E22" i="62"/>
  <c r="E21" i="62"/>
  <c r="E18" i="62"/>
  <c r="E19" i="62"/>
  <c r="E20" i="62"/>
  <c r="E9" i="62"/>
  <c r="E11" i="62"/>
  <c r="E17" i="62"/>
  <c r="E5" i="62"/>
  <c r="E13" i="62"/>
  <c r="E16" i="62"/>
  <c r="E15" i="62"/>
  <c r="E7" i="62"/>
  <c r="E10" i="62"/>
  <c r="E12" i="62"/>
  <c r="E14" i="62"/>
  <c r="C14" i="2" l="1"/>
  <c r="C13" i="2"/>
  <c r="C12" i="2"/>
  <c r="C11" i="2"/>
  <c r="C10" i="2"/>
  <c r="C9" i="2"/>
  <c r="C8" i="2"/>
  <c r="C7" i="2"/>
  <c r="C6" i="2"/>
  <c r="C5" i="2"/>
  <c r="C4" i="2"/>
  <c r="C3" i="2"/>
  <c r="C16" i="2" l="1"/>
</calcChain>
</file>

<file path=xl/sharedStrings.xml><?xml version="1.0" encoding="utf-8"?>
<sst xmlns="http://schemas.openxmlformats.org/spreadsheetml/2006/main" count="450" uniqueCount="79">
  <si>
    <t>Model Portfolio</t>
  </si>
  <si>
    <t>Stock</t>
  </si>
  <si>
    <t>Number of shares</t>
  </si>
  <si>
    <t>CMP</t>
  </si>
  <si>
    <t>Amount</t>
  </si>
  <si>
    <t>Percentage</t>
  </si>
  <si>
    <t>Change</t>
  </si>
  <si>
    <t>Heritage</t>
  </si>
  <si>
    <t>JBChem</t>
  </si>
  <si>
    <t>J&amp;Kbank</t>
  </si>
  <si>
    <t>Nucleus</t>
  </si>
  <si>
    <t>Technofab</t>
  </si>
  <si>
    <t>TV18Broadcast</t>
  </si>
  <si>
    <t>TVToday</t>
  </si>
  <si>
    <t>LiquidBees</t>
  </si>
  <si>
    <t>Dynamatic</t>
  </si>
  <si>
    <t>Magma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</si>
  <si>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</si>
  <si>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</si>
  <si>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</si>
  <si>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</si>
  <si>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</si>
  <si>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</si>
  <si>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</si>
  <si>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</si>
  <si>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</si>
  <si>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</si>
  <si>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</si>
  <si>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</si>
  <si>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UFO</t>
  </si>
  <si>
    <t>HindOilExp</t>
  </si>
  <si>
    <t>TataGlobal</t>
  </si>
  <si>
    <t>South Indian Bank</t>
  </si>
  <si>
    <t>Saregama</t>
  </si>
  <si>
    <t>MotilalOFS</t>
  </si>
  <si>
    <t>Insecticides</t>
  </si>
  <si>
    <t>RKForge</t>
  </si>
  <si>
    <t>Balrampur</t>
  </si>
  <si>
    <t>Praj</t>
  </si>
  <si>
    <t>Sell Full quantity 1840@184.3 = 339112</t>
  </si>
  <si>
    <t>Buy 2%. 1345@107.05 = 143983</t>
  </si>
  <si>
    <t>Buy 2%. 1050@139.75 = 146738</t>
  </si>
  <si>
    <t>Buy 48.391</t>
  </si>
  <si>
    <t>Buy 85@461.65 = 39240</t>
  </si>
  <si>
    <t>Sell 39.240</t>
  </si>
  <si>
    <t>Sell Half Qnty. 4465@35.91 = 160338</t>
  </si>
  <si>
    <t>Buy 160.338</t>
  </si>
  <si>
    <t>Buy 50% of current 670@138.67 = 92908.9</t>
  </si>
  <si>
    <t>Buy 50% of current 525@118.6 = 62265</t>
  </si>
  <si>
    <t>Sell 155.174</t>
  </si>
  <si>
    <t>Special Dividend of ₹15 of UFO added. 25.140</t>
  </si>
  <si>
    <t>Sell 8784@47.59 = 418030</t>
  </si>
  <si>
    <t>Add 418.030</t>
  </si>
  <si>
    <t>FineOrganics</t>
  </si>
  <si>
    <t>TIIndia</t>
  </si>
  <si>
    <t>Buy 180@1462.53 = 263254.63</t>
  </si>
  <si>
    <t>Sell 263.255</t>
  </si>
  <si>
    <t>Add 2.5%. 480@394.25 = 189240</t>
  </si>
  <si>
    <t>Sell 189.24</t>
  </si>
  <si>
    <t>Sell 130@478 = 62140</t>
  </si>
  <si>
    <t>Buy 154@407.3 = 62724</t>
  </si>
  <si>
    <t>Less 0.584</t>
  </si>
  <si>
    <t>Buy 13973 @ 10.37 = 144900</t>
  </si>
  <si>
    <t>Sell 226 @ 622.6 = 140708</t>
  </si>
  <si>
    <t>Sell 4.192</t>
  </si>
  <si>
    <t>Buy 159@450 = 71550</t>
  </si>
  <si>
    <t>Tanla</t>
  </si>
  <si>
    <t>Buy 1000@65 = 65000</t>
  </si>
  <si>
    <t>Sell 340@396.8 = 134912</t>
  </si>
  <si>
    <t>Sell 1.638</t>
  </si>
  <si>
    <t>Sell 403@160</t>
  </si>
  <si>
    <t>Sell 51@302.7</t>
  </si>
  <si>
    <t>Add 4.995</t>
  </si>
  <si>
    <t>Buy 1150@65.15</t>
  </si>
  <si>
    <t>Sell 190@349.5 = 66405</t>
  </si>
  <si>
    <t>Buy 450@67.8 = 30510</t>
  </si>
  <si>
    <t>Buy 35.895</t>
  </si>
  <si>
    <t>Add 3.597 for 2019</t>
  </si>
  <si>
    <t>LiquidFund Value for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</si>
</sst>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5C36-B270-447E-B320-BBF0080AB407}">
  <sheetPr>
    <pageSetUpPr fitToPage="1"/>
  </sheetPr>
  <dimension ref="A1:K24"/>
  <sheetViews>
    <sheetView topLeftCell="A4" workbookViewId="0">
      <selection activeCell="D24" sqref="D24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39.7109375" bestFit="1" customWidth="1"/>
    <col min="10" max="10" width="9.140625" style="4"/>
  </cols>
  <sheetData>
    <row r="1" spans="1:11" x14ac:dyDescent="0.25">
      <c r="A1" t="s">
        <v>0</v>
      </c>
      <c r="B1" s="2">
        <v>43466</v>
      </c>
      <c r="E1" s="3"/>
    </row>
    <row r="2" spans="1:11" x14ac:dyDescent="0.25">
      <c r="B2" s="1"/>
      <c r="E2" s="3"/>
    </row>
    <row r="3" spans="1:11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25">
      <c r="B4" s="1"/>
      <c r="E4" s="3"/>
    </row>
    <row r="5" spans="1:11" x14ac:dyDescent="0.25">
      <c r="A5" t="s">
        <v>15</v>
      </c>
      <c r="B5" s="1">
        <f>44+30+9+18+13+20+19+12</f>
        <v>165</v>
      </c>
      <c r="C5" s="4">
        <v>1503</v>
      </c>
      <c r="D5">
        <f>B5*C5</f>
        <v>247995</v>
      </c>
      <c r="E5" s="3">
        <f t="shared" ref="E5:E22" si="0">D5/$D$24</f>
        <v>3.1618330497454022E-2</v>
      </c>
    </row>
    <row r="6" spans="1:11" x14ac:dyDescent="0.25">
      <c r="A6" t="s">
        <v>7</v>
      </c>
      <c r="B6" s="1">
        <f>(840+420)*2</f>
        <v>2520</v>
      </c>
      <c r="C6" s="4">
        <v>527.25</v>
      </c>
      <c r="D6">
        <f t="shared" ref="D6:D22" si="1">C6*B6</f>
        <v>1328670</v>
      </c>
      <c r="E6" s="3">
        <f t="shared" si="0"/>
        <v>0.16939989589327301</v>
      </c>
    </row>
    <row r="7" spans="1:11" x14ac:dyDescent="0.25">
      <c r="A7" t="s">
        <v>30</v>
      </c>
      <c r="B7" s="1">
        <f>1280+1280+1280+910+1300+1300+2940</f>
        <v>10290</v>
      </c>
      <c r="C7" s="4">
        <v>118.1</v>
      </c>
      <c r="D7">
        <f t="shared" si="1"/>
        <v>1215249</v>
      </c>
      <c r="E7" s="3">
        <f t="shared" si="0"/>
        <v>0.15493919038166296</v>
      </c>
    </row>
    <row r="8" spans="1:11" x14ac:dyDescent="0.25">
      <c r="A8" t="s">
        <v>35</v>
      </c>
      <c r="B8" s="1">
        <v>460</v>
      </c>
      <c r="C8" s="4">
        <v>565.25</v>
      </c>
      <c r="D8">
        <f t="shared" si="1"/>
        <v>260015</v>
      </c>
      <c r="E8" s="3">
        <f t="shared" si="0"/>
        <v>3.3150830477612483E-2</v>
      </c>
    </row>
    <row r="9" spans="1:11" x14ac:dyDescent="0.25">
      <c r="A9" t="s">
        <v>9</v>
      </c>
      <c r="B9" s="1">
        <f>2928+2928+2928</f>
        <v>8784</v>
      </c>
      <c r="C9" s="4">
        <v>37.700000000000003</v>
      </c>
      <c r="D9">
        <f t="shared" si="1"/>
        <v>331156.80000000005</v>
      </c>
      <c r="E9" s="3">
        <f t="shared" si="0"/>
        <v>4.2221113929229559E-2</v>
      </c>
      <c r="K9" s="5"/>
    </row>
    <row r="10" spans="1:11" x14ac:dyDescent="0.25">
      <c r="A10" t="s">
        <v>8</v>
      </c>
      <c r="B10" s="1">
        <f>1378+229+460+413+248</f>
        <v>2728</v>
      </c>
      <c r="C10" s="4">
        <v>305.89999999999998</v>
      </c>
      <c r="D10">
        <f t="shared" si="1"/>
        <v>834495.2</v>
      </c>
      <c r="E10" s="3">
        <f t="shared" si="0"/>
        <v>0.10639466534461982</v>
      </c>
    </row>
    <row r="11" spans="1:11" x14ac:dyDescent="0.25">
      <c r="A11" t="s">
        <v>16</v>
      </c>
      <c r="B11" s="1">
        <f>2750+1375</f>
        <v>4125</v>
      </c>
      <c r="C11" s="4">
        <v>110</v>
      </c>
      <c r="D11">
        <f t="shared" si="1"/>
        <v>453750</v>
      </c>
      <c r="E11" s="3">
        <f t="shared" si="0"/>
        <v>5.78512367717888E-2</v>
      </c>
    </row>
    <row r="12" spans="1:11" x14ac:dyDescent="0.25">
      <c r="A12" t="s">
        <v>34</v>
      </c>
      <c r="B12" s="1">
        <v>545</v>
      </c>
      <c r="C12" s="4">
        <v>670.15</v>
      </c>
      <c r="D12">
        <f t="shared" si="1"/>
        <v>365231.75</v>
      </c>
      <c r="E12" s="3">
        <f t="shared" si="0"/>
        <v>4.656552825526121E-2</v>
      </c>
    </row>
    <row r="13" spans="1:11" x14ac:dyDescent="0.25">
      <c r="A13" t="s">
        <v>10</v>
      </c>
      <c r="B13" s="1">
        <v>1011</v>
      </c>
      <c r="C13" s="4">
        <v>378.3</v>
      </c>
      <c r="D13">
        <f>C13*B13</f>
        <v>382461.3</v>
      </c>
      <c r="E13" s="3">
        <f t="shared" si="0"/>
        <v>4.8762224181479109E-2</v>
      </c>
    </row>
    <row r="14" spans="1:11" x14ac:dyDescent="0.25">
      <c r="A14" t="s">
        <v>36</v>
      </c>
      <c r="B14" s="1">
        <v>425</v>
      </c>
      <c r="C14" s="4">
        <v>537.6</v>
      </c>
      <c r="D14">
        <f>C14*B14</f>
        <v>228480</v>
      </c>
      <c r="E14" s="3">
        <f t="shared" si="0"/>
        <v>2.9130249206872297E-2</v>
      </c>
    </row>
    <row r="15" spans="1:11" x14ac:dyDescent="0.25">
      <c r="A15" t="s">
        <v>33</v>
      </c>
      <c r="B15" s="1">
        <v>570</v>
      </c>
      <c r="C15" s="4">
        <v>600.35</v>
      </c>
      <c r="D15">
        <f>C15*B15</f>
        <v>342199.5</v>
      </c>
      <c r="E15" s="3">
        <f t="shared" si="0"/>
        <v>4.362901222630907E-2</v>
      </c>
    </row>
    <row r="16" spans="1:11" x14ac:dyDescent="0.25">
      <c r="A16" t="s">
        <v>32</v>
      </c>
      <c r="B16" s="1">
        <f>8384+5589</f>
        <v>13973</v>
      </c>
      <c r="C16" s="4">
        <v>15.55</v>
      </c>
      <c r="D16">
        <f t="shared" si="1"/>
        <v>217280.15000000002</v>
      </c>
      <c r="E16" s="3">
        <f t="shared" si="0"/>
        <v>2.7702314938754351E-2</v>
      </c>
    </row>
    <row r="17" spans="1:5" x14ac:dyDescent="0.25">
      <c r="A17" t="s">
        <v>31</v>
      </c>
      <c r="B17" s="1">
        <f>2345-505</f>
        <v>1840</v>
      </c>
      <c r="C17" s="4">
        <v>219.4</v>
      </c>
      <c r="D17">
        <f t="shared" si="1"/>
        <v>403696</v>
      </c>
      <c r="E17" s="3">
        <f t="shared" si="0"/>
        <v>5.1469560065727935E-2</v>
      </c>
    </row>
    <row r="18" spans="1:5" x14ac:dyDescent="0.25">
      <c r="A18" t="s">
        <v>11</v>
      </c>
      <c r="B18" s="1">
        <f>368+532</f>
        <v>900</v>
      </c>
      <c r="C18" s="4">
        <v>140.15</v>
      </c>
      <c r="D18">
        <f t="shared" si="1"/>
        <v>126135</v>
      </c>
      <c r="E18" s="3">
        <f t="shared" si="0"/>
        <v>1.6081687603767669E-2</v>
      </c>
    </row>
    <row r="19" spans="1:5" x14ac:dyDescent="0.25">
      <c r="A19" t="s">
        <v>12</v>
      </c>
      <c r="B19" s="1">
        <f>6886+2045</f>
        <v>8931</v>
      </c>
      <c r="C19" s="4">
        <v>38.200000000000003</v>
      </c>
      <c r="D19">
        <f t="shared" si="1"/>
        <v>341164.2</v>
      </c>
      <c r="E19" s="3">
        <f t="shared" si="0"/>
        <v>4.3497015784590434E-2</v>
      </c>
    </row>
    <row r="20" spans="1:5" x14ac:dyDescent="0.25">
      <c r="A20" t="s">
        <v>13</v>
      </c>
      <c r="B20" s="1">
        <f>920+319+331-785</f>
        <v>785</v>
      </c>
      <c r="C20" s="4">
        <v>372.95</v>
      </c>
      <c r="D20">
        <f t="shared" si="1"/>
        <v>292765.75</v>
      </c>
      <c r="E20" s="3">
        <f t="shared" si="0"/>
        <v>3.7326414814149479E-2</v>
      </c>
    </row>
    <row r="21" spans="1:5" x14ac:dyDescent="0.25">
      <c r="A21" t="s">
        <v>29</v>
      </c>
      <c r="B21" s="1">
        <f>419+419+838</f>
        <v>1676</v>
      </c>
      <c r="C21" s="4">
        <v>259.10000000000002</v>
      </c>
      <c r="D21">
        <f t="shared" si="1"/>
        <v>434251.60000000003</v>
      </c>
      <c r="E21" s="3">
        <f t="shared" si="0"/>
        <v>5.5365271912128096E-2</v>
      </c>
    </row>
    <row r="22" spans="1:5" x14ac:dyDescent="0.25">
      <c r="A22" t="s">
        <v>14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</f>
        <v>38.396999999998911</v>
      </c>
      <c r="C22" s="4">
        <v>1000</v>
      </c>
      <c r="D22">
        <f t="shared" si="1"/>
        <v>38396.999999998909</v>
      </c>
      <c r="E22" s="3">
        <f t="shared" si="0"/>
        <v>4.8954577153196947E-3</v>
      </c>
    </row>
    <row r="23" spans="1:5" x14ac:dyDescent="0.25">
      <c r="B23" s="1"/>
      <c r="E23" s="3"/>
    </row>
    <row r="24" spans="1:5" x14ac:dyDescent="0.25">
      <c r="B24" s="1"/>
      <c r="D24">
        <f>SUM(D5:D22)</f>
        <v>7843393.2499999991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7778-1C60-4518-BA8E-307750649E03}">
  <sheetPr>
    <pageSetUpPr fitToPage="1"/>
  </sheetPr>
  <dimension ref="A1:K26"/>
  <sheetViews>
    <sheetView topLeftCell="A22" workbookViewId="0">
      <selection activeCell="D27" sqref="D27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39.7109375" bestFit="1" customWidth="1"/>
    <col min="10" max="10" width="9.140625" style="4"/>
  </cols>
  <sheetData>
    <row r="1" spans="1:11" x14ac:dyDescent="0.25">
      <c r="A1" t="s">
        <v>0</v>
      </c>
      <c r="B1" s="2">
        <v>43502</v>
      </c>
      <c r="E1" s="3"/>
    </row>
    <row r="2" spans="1:11" x14ac:dyDescent="0.25">
      <c r="B2" s="1"/>
      <c r="E2" s="3"/>
    </row>
    <row r="3" spans="1:11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25">
      <c r="B4" s="1"/>
      <c r="E4" s="3"/>
    </row>
    <row r="5" spans="1:11" x14ac:dyDescent="0.25">
      <c r="A5" t="s">
        <v>37</v>
      </c>
      <c r="B5" s="1">
        <v>1345</v>
      </c>
      <c r="C5" s="4">
        <v>108.1</v>
      </c>
      <c r="D5">
        <f>B5*C5</f>
        <v>145394.5</v>
      </c>
      <c r="E5" s="3">
        <f t="shared" ref="E5:E24" si="0">D5/$D$26</f>
        <v>2.0058022162124822E-2</v>
      </c>
      <c r="G5" t="s">
        <v>40</v>
      </c>
    </row>
    <row r="6" spans="1:11" x14ac:dyDescent="0.25">
      <c r="A6" t="s">
        <v>15</v>
      </c>
      <c r="B6" s="1">
        <f>44+30+9+18+13+20+19+12</f>
        <v>165</v>
      </c>
      <c r="C6" s="4">
        <v>1336.25</v>
      </c>
      <c r="D6">
        <f>B6*C6</f>
        <v>220481.25</v>
      </c>
      <c r="E6" s="3">
        <f t="shared" si="0"/>
        <v>3.0416678752174145E-2</v>
      </c>
    </row>
    <row r="7" spans="1:11" x14ac:dyDescent="0.25">
      <c r="A7" t="s">
        <v>7</v>
      </c>
      <c r="B7" s="1">
        <f>(840+420)*2</f>
        <v>2520</v>
      </c>
      <c r="C7" s="4">
        <v>483.65</v>
      </c>
      <c r="D7">
        <f t="shared" ref="D7:D24" si="1">C7*B7</f>
        <v>1218798</v>
      </c>
      <c r="E7" s="3">
        <f t="shared" si="0"/>
        <v>0.16814031682872055</v>
      </c>
    </row>
    <row r="8" spans="1:11" x14ac:dyDescent="0.25">
      <c r="A8" t="s">
        <v>30</v>
      </c>
      <c r="B8" s="1">
        <f>1280+1280+1280+910+1300+1300+2940</f>
        <v>10290</v>
      </c>
      <c r="C8" s="4">
        <v>106.6</v>
      </c>
      <c r="D8">
        <f t="shared" si="1"/>
        <v>1096914</v>
      </c>
      <c r="E8" s="3">
        <f t="shared" si="0"/>
        <v>0.15132570573126899</v>
      </c>
    </row>
    <row r="9" spans="1:11" x14ac:dyDescent="0.25">
      <c r="A9" t="s">
        <v>35</v>
      </c>
      <c r="B9" s="1">
        <v>460</v>
      </c>
      <c r="C9" s="4">
        <v>588.20000000000005</v>
      </c>
      <c r="D9">
        <f t="shared" si="1"/>
        <v>270572</v>
      </c>
      <c r="E9" s="3">
        <f t="shared" si="0"/>
        <v>3.7326990859010742E-2</v>
      </c>
    </row>
    <row r="10" spans="1:11" x14ac:dyDescent="0.25">
      <c r="A10" t="s">
        <v>9</v>
      </c>
      <c r="B10" s="1">
        <f>2928+2928+2928</f>
        <v>8784</v>
      </c>
      <c r="C10" s="4">
        <v>39.049999999999997</v>
      </c>
      <c r="D10">
        <f t="shared" si="1"/>
        <v>343015.19999999995</v>
      </c>
      <c r="E10" s="3">
        <f t="shared" si="0"/>
        <v>4.7320954255805257E-2</v>
      </c>
      <c r="K10" s="5"/>
    </row>
    <row r="11" spans="1:11" x14ac:dyDescent="0.25">
      <c r="A11" t="s">
        <v>8</v>
      </c>
      <c r="B11" s="1">
        <f>1378+229+460+413+248</f>
        <v>2728</v>
      </c>
      <c r="C11" s="4">
        <v>315.5</v>
      </c>
      <c r="D11">
        <f t="shared" si="1"/>
        <v>860684</v>
      </c>
      <c r="E11" s="3">
        <f t="shared" si="0"/>
        <v>0.11873639475073845</v>
      </c>
    </row>
    <row r="12" spans="1:11" x14ac:dyDescent="0.25">
      <c r="A12" t="s">
        <v>16</v>
      </c>
      <c r="B12" s="1">
        <f>2750+1375</f>
        <v>4125</v>
      </c>
      <c r="C12" s="4">
        <v>98.65</v>
      </c>
      <c r="D12">
        <f t="shared" si="1"/>
        <v>406931.25</v>
      </c>
      <c r="E12" s="3">
        <f t="shared" si="0"/>
        <v>5.6138547406959387E-2</v>
      </c>
    </row>
    <row r="13" spans="1:11" x14ac:dyDescent="0.25">
      <c r="A13" t="s">
        <v>34</v>
      </c>
      <c r="B13" s="1">
        <v>545</v>
      </c>
      <c r="C13" s="4">
        <v>617.95000000000005</v>
      </c>
      <c r="D13">
        <f t="shared" si="1"/>
        <v>336782.75</v>
      </c>
      <c r="E13" s="3">
        <f t="shared" si="0"/>
        <v>4.6461151304357066E-2</v>
      </c>
    </row>
    <row r="14" spans="1:11" x14ac:dyDescent="0.25">
      <c r="A14" t="s">
        <v>10</v>
      </c>
      <c r="B14" s="1">
        <v>1011</v>
      </c>
      <c r="C14" s="4">
        <v>352.95</v>
      </c>
      <c r="D14">
        <f>C14*B14</f>
        <v>356832.45</v>
      </c>
      <c r="E14" s="3">
        <f t="shared" si="0"/>
        <v>4.922712475551206E-2</v>
      </c>
    </row>
    <row r="15" spans="1:11" x14ac:dyDescent="0.25">
      <c r="A15" t="s">
        <v>38</v>
      </c>
      <c r="B15" s="1">
        <v>1050</v>
      </c>
      <c r="C15" s="4">
        <v>129.9</v>
      </c>
      <c r="D15">
        <f>C15*B15</f>
        <v>136395</v>
      </c>
      <c r="E15" s="3">
        <f t="shared" si="0"/>
        <v>1.8816488469667113E-2</v>
      </c>
      <c r="G15" t="s">
        <v>41</v>
      </c>
    </row>
    <row r="16" spans="1:11" x14ac:dyDescent="0.25">
      <c r="A16" t="s">
        <v>36</v>
      </c>
      <c r="B16" s="1">
        <v>425</v>
      </c>
      <c r="C16" s="4">
        <v>485.3</v>
      </c>
      <c r="D16">
        <f>C16*B16</f>
        <v>206252.5</v>
      </c>
      <c r="E16" s="3">
        <f t="shared" si="0"/>
        <v>2.8453739419260358E-2</v>
      </c>
    </row>
    <row r="17" spans="1:7" x14ac:dyDescent="0.25">
      <c r="A17" t="s">
        <v>33</v>
      </c>
      <c r="B17" s="1">
        <v>570</v>
      </c>
      <c r="C17" s="4">
        <v>597.5</v>
      </c>
      <c r="D17">
        <f>C17*B17</f>
        <v>340575</v>
      </c>
      <c r="E17" s="3">
        <f t="shared" si="0"/>
        <v>4.6984314385108528E-2</v>
      </c>
    </row>
    <row r="18" spans="1:7" x14ac:dyDescent="0.25">
      <c r="A18" t="s">
        <v>32</v>
      </c>
      <c r="B18" s="1">
        <f>8384+5589</f>
        <v>13973</v>
      </c>
      <c r="C18" s="4">
        <v>12.85</v>
      </c>
      <c r="D18">
        <f t="shared" si="1"/>
        <v>179553.05</v>
      </c>
      <c r="E18" s="3">
        <f t="shared" si="0"/>
        <v>2.4770394039507041E-2</v>
      </c>
    </row>
    <row r="19" spans="1:7" x14ac:dyDescent="0.25">
      <c r="A19" t="s">
        <v>31</v>
      </c>
      <c r="B19" s="1">
        <f>2345-505-1840</f>
        <v>0</v>
      </c>
      <c r="C19" s="4">
        <v>185.95</v>
      </c>
      <c r="D19">
        <f t="shared" si="1"/>
        <v>0</v>
      </c>
      <c r="E19" s="3">
        <f t="shared" si="0"/>
        <v>0</v>
      </c>
      <c r="G19" t="s">
        <v>39</v>
      </c>
    </row>
    <row r="20" spans="1:7" x14ac:dyDescent="0.25">
      <c r="A20" t="s">
        <v>11</v>
      </c>
      <c r="B20" s="1">
        <f>368+532</f>
        <v>900</v>
      </c>
      <c r="C20" s="4">
        <v>122.3</v>
      </c>
      <c r="D20">
        <f t="shared" si="1"/>
        <v>110070</v>
      </c>
      <c r="E20" s="3">
        <f t="shared" si="0"/>
        <v>1.5184800658794378E-2</v>
      </c>
    </row>
    <row r="21" spans="1:7" x14ac:dyDescent="0.25">
      <c r="A21" t="s">
        <v>12</v>
      </c>
      <c r="B21" s="1">
        <f>6886+2045</f>
        <v>8931</v>
      </c>
      <c r="C21" s="4">
        <v>31.35</v>
      </c>
      <c r="D21">
        <f t="shared" si="1"/>
        <v>279986.85000000003</v>
      </c>
      <c r="E21" s="3">
        <f t="shared" si="0"/>
        <v>3.8625824514706676E-2</v>
      </c>
    </row>
    <row r="22" spans="1:7" x14ac:dyDescent="0.25">
      <c r="A22" t="s">
        <v>13</v>
      </c>
      <c r="B22" s="1">
        <f>920+319+331-785</f>
        <v>785</v>
      </c>
      <c r="C22" s="4">
        <v>349.55</v>
      </c>
      <c r="D22">
        <f t="shared" si="1"/>
        <v>274396.75</v>
      </c>
      <c r="E22" s="3">
        <f t="shared" si="0"/>
        <v>3.7854637504960813E-2</v>
      </c>
    </row>
    <row r="23" spans="1:7" x14ac:dyDescent="0.25">
      <c r="A23" t="s">
        <v>29</v>
      </c>
      <c r="B23" s="1">
        <f>419+419+838</f>
        <v>1676</v>
      </c>
      <c r="C23" s="4">
        <v>225.7</v>
      </c>
      <c r="D23">
        <f t="shared" si="1"/>
        <v>378273.19999999995</v>
      </c>
      <c r="E23" s="3">
        <f t="shared" si="0"/>
        <v>5.2185001694960091E-2</v>
      </c>
    </row>
    <row r="24" spans="1:7" x14ac:dyDescent="0.25">
      <c r="A24" t="s">
        <v>14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</f>
        <v>86.787999999998902</v>
      </c>
      <c r="C24" s="4">
        <v>1000</v>
      </c>
      <c r="D24">
        <f t="shared" si="1"/>
        <v>86787.999999998909</v>
      </c>
      <c r="E24" s="3">
        <f t="shared" si="0"/>
        <v>1.1972912506363495E-2</v>
      </c>
      <c r="G24" t="s">
        <v>42</v>
      </c>
    </row>
    <row r="25" spans="1:7" x14ac:dyDescent="0.25">
      <c r="B25" s="1"/>
      <c r="E25" s="3"/>
    </row>
    <row r="26" spans="1:7" x14ac:dyDescent="0.25">
      <c r="B26" s="1"/>
      <c r="D26">
        <f>SUM(D5:D24)</f>
        <v>7248695.7499999991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3497-9411-4568-A431-91DCE88BFF37}">
  <sheetPr>
    <pageSetUpPr fitToPage="1"/>
  </sheetPr>
  <dimension ref="A1:K25"/>
  <sheetViews>
    <sheetView topLeftCell="A5" workbookViewId="0">
      <selection activeCell="F12" sqref="F1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39.7109375" bestFit="1" customWidth="1"/>
    <col min="10" max="10" width="9.140625" style="4"/>
  </cols>
  <sheetData>
    <row r="1" spans="1:11" x14ac:dyDescent="0.25">
      <c r="A1" t="s">
        <v>0</v>
      </c>
      <c r="B1" s="2">
        <v>43508</v>
      </c>
      <c r="E1" s="3"/>
    </row>
    <row r="2" spans="1:11" x14ac:dyDescent="0.25">
      <c r="B2" s="1"/>
      <c r="E2" s="3"/>
    </row>
    <row r="3" spans="1:11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25">
      <c r="B4" s="1"/>
      <c r="E4" s="3"/>
    </row>
    <row r="5" spans="1:11" x14ac:dyDescent="0.25">
      <c r="A5" t="s">
        <v>37</v>
      </c>
      <c r="B5" s="1">
        <v>1345</v>
      </c>
      <c r="C5" s="4">
        <v>106.9</v>
      </c>
      <c r="D5">
        <f>B5*C5</f>
        <v>143780.5</v>
      </c>
      <c r="E5" s="3">
        <f t="shared" ref="E5:E23" si="0">D5/$D$25</f>
        <v>2.0187134564011361E-2</v>
      </c>
    </row>
    <row r="6" spans="1:11" x14ac:dyDescent="0.25">
      <c r="A6" t="s">
        <v>15</v>
      </c>
      <c r="B6" s="1">
        <f>44+30+9+18+13+20+19+12</f>
        <v>165</v>
      </c>
      <c r="C6" s="4">
        <v>1363.4</v>
      </c>
      <c r="D6">
        <f>B6*C6</f>
        <v>224961.00000000003</v>
      </c>
      <c r="E6" s="3">
        <f t="shared" si="0"/>
        <v>3.1585075713706383E-2</v>
      </c>
    </row>
    <row r="7" spans="1:11" x14ac:dyDescent="0.25">
      <c r="A7" t="s">
        <v>7</v>
      </c>
      <c r="B7" s="1">
        <f>(840+420)*2</f>
        <v>2520</v>
      </c>
      <c r="C7" s="4">
        <v>466.75</v>
      </c>
      <c r="D7">
        <f t="shared" ref="D7:D23" si="1">C7*B7</f>
        <v>1176210</v>
      </c>
      <c r="E7" s="3">
        <f t="shared" si="0"/>
        <v>0.16514276654717297</v>
      </c>
    </row>
    <row r="8" spans="1:11" x14ac:dyDescent="0.25">
      <c r="A8" t="s">
        <v>30</v>
      </c>
      <c r="B8" s="1">
        <f>1280+1280+1280+910+1300+1300+2940</f>
        <v>10290</v>
      </c>
      <c r="C8" s="4">
        <v>106</v>
      </c>
      <c r="D8">
        <f t="shared" si="1"/>
        <v>1090740</v>
      </c>
      <c r="E8" s="3">
        <f t="shared" si="0"/>
        <v>0.1531425690851663</v>
      </c>
    </row>
    <row r="9" spans="1:11" x14ac:dyDescent="0.25">
      <c r="A9" t="s">
        <v>35</v>
      </c>
      <c r="B9" s="1">
        <v>460</v>
      </c>
      <c r="C9" s="4">
        <v>609.45000000000005</v>
      </c>
      <c r="D9">
        <f t="shared" si="1"/>
        <v>280347</v>
      </c>
      <c r="E9" s="3">
        <f t="shared" si="0"/>
        <v>3.9361405848615728E-2</v>
      </c>
    </row>
    <row r="10" spans="1:11" x14ac:dyDescent="0.25">
      <c r="A10" t="s">
        <v>9</v>
      </c>
      <c r="B10" s="1">
        <f>2928+2928+2928</f>
        <v>8784</v>
      </c>
      <c r="C10" s="4">
        <v>38.5</v>
      </c>
      <c r="D10">
        <f t="shared" si="1"/>
        <v>338184</v>
      </c>
      <c r="E10" s="3">
        <f t="shared" si="0"/>
        <v>4.7481862390210204E-2</v>
      </c>
      <c r="K10" s="5"/>
    </row>
    <row r="11" spans="1:11" x14ac:dyDescent="0.25">
      <c r="A11" t="s">
        <v>8</v>
      </c>
      <c r="B11" s="1">
        <f>1378+229+460+413+248</f>
        <v>2728</v>
      </c>
      <c r="C11" s="4">
        <v>318.85000000000002</v>
      </c>
      <c r="D11">
        <f t="shared" si="1"/>
        <v>869822.8</v>
      </c>
      <c r="E11" s="3">
        <f t="shared" si="0"/>
        <v>0.12212525280163265</v>
      </c>
    </row>
    <row r="12" spans="1:11" x14ac:dyDescent="0.25">
      <c r="A12" t="s">
        <v>16</v>
      </c>
      <c r="B12" s="1">
        <f>2750+1375</f>
        <v>4125</v>
      </c>
      <c r="C12" s="4">
        <v>89.8</v>
      </c>
      <c r="D12">
        <f t="shared" si="1"/>
        <v>370425</v>
      </c>
      <c r="E12" s="3">
        <f t="shared" si="0"/>
        <v>5.2008577803484536E-2</v>
      </c>
    </row>
    <row r="13" spans="1:11" x14ac:dyDescent="0.25">
      <c r="A13" t="s">
        <v>34</v>
      </c>
      <c r="B13" s="1">
        <v>545</v>
      </c>
      <c r="C13" s="4">
        <v>592.65</v>
      </c>
      <c r="D13">
        <f t="shared" si="1"/>
        <v>322994.25</v>
      </c>
      <c r="E13" s="3">
        <f t="shared" si="0"/>
        <v>4.5349184264569443E-2</v>
      </c>
    </row>
    <row r="14" spans="1:11" x14ac:dyDescent="0.25">
      <c r="A14" t="s">
        <v>10</v>
      </c>
      <c r="B14" s="1">
        <v>1011</v>
      </c>
      <c r="C14" s="4">
        <v>339.7</v>
      </c>
      <c r="D14">
        <f>C14*B14</f>
        <v>343436.7</v>
      </c>
      <c r="E14" s="3">
        <f t="shared" si="0"/>
        <v>4.8219354343043745E-2</v>
      </c>
    </row>
    <row r="15" spans="1:11" x14ac:dyDescent="0.25">
      <c r="A15" t="s">
        <v>38</v>
      </c>
      <c r="B15" s="1">
        <v>1050</v>
      </c>
      <c r="C15" s="4">
        <v>138.15</v>
      </c>
      <c r="D15">
        <f>C15*B15</f>
        <v>145057.5</v>
      </c>
      <c r="E15" s="3">
        <f t="shared" si="0"/>
        <v>2.0366428493565385E-2</v>
      </c>
    </row>
    <row r="16" spans="1:11" x14ac:dyDescent="0.25">
      <c r="A16" t="s">
        <v>36</v>
      </c>
      <c r="B16" s="1">
        <f>425+85</f>
        <v>510</v>
      </c>
      <c r="C16" s="4">
        <v>461.85</v>
      </c>
      <c r="D16">
        <f>C16*B16</f>
        <v>235543.5</v>
      </c>
      <c r="E16" s="3">
        <f t="shared" si="0"/>
        <v>3.3070884648323036E-2</v>
      </c>
      <c r="G16" t="s">
        <v>43</v>
      </c>
    </row>
    <row r="17" spans="1:7" x14ac:dyDescent="0.25">
      <c r="A17" t="s">
        <v>33</v>
      </c>
      <c r="B17" s="1">
        <v>570</v>
      </c>
      <c r="C17" s="4">
        <v>553.4</v>
      </c>
      <c r="D17">
        <f>C17*B17</f>
        <v>315438</v>
      </c>
      <c r="E17" s="3">
        <f t="shared" si="0"/>
        <v>4.4288268246407657E-2</v>
      </c>
    </row>
    <row r="18" spans="1:7" x14ac:dyDescent="0.25">
      <c r="A18" t="s">
        <v>32</v>
      </c>
      <c r="B18" s="1">
        <f>8384+5589</f>
        <v>13973</v>
      </c>
      <c r="C18" s="4">
        <v>13.5</v>
      </c>
      <c r="D18">
        <f t="shared" si="1"/>
        <v>188635.5</v>
      </c>
      <c r="E18" s="3">
        <f t="shared" si="0"/>
        <v>2.6484886490515509E-2</v>
      </c>
    </row>
    <row r="19" spans="1:7" x14ac:dyDescent="0.25">
      <c r="A19" t="s">
        <v>11</v>
      </c>
      <c r="B19" s="1">
        <f>368+532</f>
        <v>900</v>
      </c>
      <c r="C19" s="4">
        <v>122</v>
      </c>
      <c r="D19">
        <f t="shared" si="1"/>
        <v>109800</v>
      </c>
      <c r="E19" s="3">
        <f t="shared" si="0"/>
        <v>1.5416189087730585E-2</v>
      </c>
    </row>
    <row r="20" spans="1:7" x14ac:dyDescent="0.25">
      <c r="A20" t="s">
        <v>12</v>
      </c>
      <c r="B20" s="1">
        <f>6886+2045</f>
        <v>8931</v>
      </c>
      <c r="C20" s="4">
        <v>32.450000000000003</v>
      </c>
      <c r="D20">
        <f t="shared" si="1"/>
        <v>289810.95</v>
      </c>
      <c r="E20" s="3">
        <f t="shared" si="0"/>
        <v>4.0690167621993033E-2</v>
      </c>
    </row>
    <row r="21" spans="1:7" x14ac:dyDescent="0.25">
      <c r="A21" t="s">
        <v>13</v>
      </c>
      <c r="B21" s="1">
        <f>920+319+331-785</f>
        <v>785</v>
      </c>
      <c r="C21" s="4">
        <v>316.7</v>
      </c>
      <c r="D21">
        <f t="shared" si="1"/>
        <v>248609.5</v>
      </c>
      <c r="E21" s="3">
        <f t="shared" si="0"/>
        <v>3.4905383069272836E-2</v>
      </c>
    </row>
    <row r="22" spans="1:7" x14ac:dyDescent="0.25">
      <c r="A22" t="s">
        <v>29</v>
      </c>
      <c r="B22" s="1">
        <f>419+419+838</f>
        <v>1676</v>
      </c>
      <c r="C22" s="4">
        <v>227.35</v>
      </c>
      <c r="D22">
        <f t="shared" si="1"/>
        <v>381038.6</v>
      </c>
      <c r="E22" s="3">
        <f t="shared" si="0"/>
        <v>5.3498753254318208E-2</v>
      </c>
    </row>
    <row r="23" spans="1:7" x14ac:dyDescent="0.25">
      <c r="A23" t="s">
        <v>14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</f>
        <v>47.5479999999989</v>
      </c>
      <c r="C23" s="4">
        <v>1000</v>
      </c>
      <c r="D23">
        <f t="shared" si="1"/>
        <v>47547.999999998901</v>
      </c>
      <c r="E23" s="3">
        <f t="shared" si="0"/>
        <v>6.6758557262604464E-3</v>
      </c>
      <c r="G23" t="s">
        <v>44</v>
      </c>
    </row>
    <row r="24" spans="1:7" x14ac:dyDescent="0.25">
      <c r="B24" s="1"/>
      <c r="E24" s="3"/>
    </row>
    <row r="25" spans="1:7" x14ac:dyDescent="0.25">
      <c r="B25" s="1"/>
      <c r="D25">
        <f>SUM(D5:D23)</f>
        <v>7122382.7999999989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CE28-8C77-4186-B279-B7CC840158ED}">
  <sheetPr>
    <pageSetUpPr fitToPage="1"/>
  </sheetPr>
  <dimension ref="A1:K25"/>
  <sheetViews>
    <sheetView topLeftCell="A2" workbookViewId="0">
      <selection activeCell="B2" sqref="B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39.7109375" bestFit="1" customWidth="1"/>
    <col min="10" max="10" width="9.140625" style="4"/>
  </cols>
  <sheetData>
    <row r="1" spans="1:11" x14ac:dyDescent="0.25">
      <c r="A1" t="s">
        <v>0</v>
      </c>
      <c r="B1" s="2">
        <v>43571</v>
      </c>
      <c r="E1" s="3"/>
    </row>
    <row r="2" spans="1:11" x14ac:dyDescent="0.25">
      <c r="B2" s="1"/>
      <c r="E2" s="3"/>
    </row>
    <row r="3" spans="1:11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25">
      <c r="B4" s="1"/>
      <c r="E4" s="3"/>
    </row>
    <row r="5" spans="1:11" x14ac:dyDescent="0.25">
      <c r="A5" t="s">
        <v>37</v>
      </c>
      <c r="B5" s="1">
        <v>1345</v>
      </c>
      <c r="C5" s="4">
        <v>139.94999999999999</v>
      </c>
      <c r="D5">
        <f>B5*C5</f>
        <v>188232.74999999997</v>
      </c>
      <c r="E5" s="3">
        <f t="shared" ref="E5:E23" si="0">D5/$D$25</f>
        <v>2.3053183540818548E-2</v>
      </c>
    </row>
    <row r="6" spans="1:11" x14ac:dyDescent="0.25">
      <c r="A6" t="s">
        <v>15</v>
      </c>
      <c r="B6" s="1">
        <f>44+30+9+18+13+20+19+12</f>
        <v>165</v>
      </c>
      <c r="C6" s="4">
        <v>1510.55</v>
      </c>
      <c r="D6">
        <f>B6*C6</f>
        <v>249240.75</v>
      </c>
      <c r="E6" s="3">
        <f t="shared" si="0"/>
        <v>3.0524936577727688E-2</v>
      </c>
    </row>
    <row r="7" spans="1:11" x14ac:dyDescent="0.25">
      <c r="A7" t="s">
        <v>7</v>
      </c>
      <c r="B7" s="1">
        <f>(840+420)*2</f>
        <v>2520</v>
      </c>
      <c r="C7" s="4">
        <v>507.95</v>
      </c>
      <c r="D7">
        <f t="shared" ref="D7:D23" si="1">C7*B7</f>
        <v>1280034</v>
      </c>
      <c r="E7" s="3">
        <f t="shared" si="0"/>
        <v>0.15676793087540894</v>
      </c>
    </row>
    <row r="8" spans="1:11" x14ac:dyDescent="0.25">
      <c r="A8" t="s">
        <v>30</v>
      </c>
      <c r="B8" s="1">
        <f>1280+1280+1280+910+1300+1300+2940</f>
        <v>10290</v>
      </c>
      <c r="C8" s="4">
        <v>126.4</v>
      </c>
      <c r="D8">
        <f t="shared" si="1"/>
        <v>1300656</v>
      </c>
      <c r="E8" s="3">
        <f t="shared" si="0"/>
        <v>0.15929354212519817</v>
      </c>
    </row>
    <row r="9" spans="1:11" x14ac:dyDescent="0.25">
      <c r="A9" t="s">
        <v>35</v>
      </c>
      <c r="B9" s="1">
        <v>460</v>
      </c>
      <c r="C9" s="4">
        <v>652.15</v>
      </c>
      <c r="D9">
        <f t="shared" si="1"/>
        <v>299989</v>
      </c>
      <c r="E9" s="3">
        <f t="shared" si="0"/>
        <v>3.6740160664000376E-2</v>
      </c>
    </row>
    <row r="10" spans="1:11" x14ac:dyDescent="0.25">
      <c r="A10" t="s">
        <v>9</v>
      </c>
      <c r="B10" s="1">
        <f>2928+2928+2928</f>
        <v>8784</v>
      </c>
      <c r="C10" s="4">
        <v>61.2</v>
      </c>
      <c r="D10">
        <f t="shared" si="1"/>
        <v>537580.80000000005</v>
      </c>
      <c r="E10" s="3">
        <f t="shared" si="0"/>
        <v>6.5838430615395405E-2</v>
      </c>
      <c r="K10" s="5"/>
    </row>
    <row r="11" spans="1:11" x14ac:dyDescent="0.25">
      <c r="A11" t="s">
        <v>8</v>
      </c>
      <c r="B11" s="1">
        <f>1378+229+460+413+248</f>
        <v>2728</v>
      </c>
      <c r="C11" s="4">
        <v>354.95</v>
      </c>
      <c r="D11">
        <f t="shared" si="1"/>
        <v>968303.6</v>
      </c>
      <c r="E11" s="3">
        <f t="shared" si="0"/>
        <v>0.11858978107707266</v>
      </c>
    </row>
    <row r="12" spans="1:11" x14ac:dyDescent="0.25">
      <c r="A12" t="s">
        <v>16</v>
      </c>
      <c r="B12" s="1">
        <f>2750+1375</f>
        <v>4125</v>
      </c>
      <c r="C12" s="4">
        <v>125.9</v>
      </c>
      <c r="D12">
        <f t="shared" si="1"/>
        <v>519337.5</v>
      </c>
      <c r="E12" s="3">
        <f t="shared" si="0"/>
        <v>6.3604142781369624E-2</v>
      </c>
    </row>
    <row r="13" spans="1:11" x14ac:dyDescent="0.25">
      <c r="A13" t="s">
        <v>34</v>
      </c>
      <c r="B13" s="1">
        <v>545</v>
      </c>
      <c r="C13" s="4">
        <v>703.65</v>
      </c>
      <c r="D13">
        <f t="shared" si="1"/>
        <v>383489.25</v>
      </c>
      <c r="E13" s="3">
        <f t="shared" si="0"/>
        <v>4.696657763423661E-2</v>
      </c>
    </row>
    <row r="14" spans="1:11" x14ac:dyDescent="0.25">
      <c r="A14" t="s">
        <v>10</v>
      </c>
      <c r="B14" s="1">
        <v>1011</v>
      </c>
      <c r="C14" s="4">
        <v>354.7</v>
      </c>
      <c r="D14">
        <f>C14*B14</f>
        <v>358601.7</v>
      </c>
      <c r="E14" s="3">
        <f t="shared" si="0"/>
        <v>4.3918557255044899E-2</v>
      </c>
    </row>
    <row r="15" spans="1:11" x14ac:dyDescent="0.25">
      <c r="A15" t="s">
        <v>38</v>
      </c>
      <c r="B15" s="1">
        <v>1050</v>
      </c>
      <c r="C15" s="4">
        <v>143.9</v>
      </c>
      <c r="D15">
        <f>C15*B15</f>
        <v>151095</v>
      </c>
      <c r="E15" s="3">
        <f t="shared" si="0"/>
        <v>1.8504860429972889E-2</v>
      </c>
    </row>
    <row r="16" spans="1:11" x14ac:dyDescent="0.25">
      <c r="A16" t="s">
        <v>36</v>
      </c>
      <c r="B16" s="1">
        <f>425+85</f>
        <v>510</v>
      </c>
      <c r="C16" s="4">
        <v>526.79999999999995</v>
      </c>
      <c r="D16">
        <f>C16*B16</f>
        <v>268668</v>
      </c>
      <c r="E16" s="3">
        <f t="shared" si="0"/>
        <v>3.2904224772493836E-2</v>
      </c>
    </row>
    <row r="17" spans="1:7" x14ac:dyDescent="0.25">
      <c r="A17" t="s">
        <v>33</v>
      </c>
      <c r="B17" s="1">
        <v>570</v>
      </c>
      <c r="C17" s="4">
        <v>585.79999999999995</v>
      </c>
      <c r="D17">
        <f>C17*B17</f>
        <v>333906</v>
      </c>
      <c r="E17" s="3">
        <f t="shared" si="0"/>
        <v>4.0894033070124937E-2</v>
      </c>
    </row>
    <row r="18" spans="1:7" x14ac:dyDescent="0.25">
      <c r="A18" t="s">
        <v>32</v>
      </c>
      <c r="B18" s="1">
        <f>8384+5589</f>
        <v>13973</v>
      </c>
      <c r="C18" s="4">
        <v>17.55</v>
      </c>
      <c r="D18">
        <f t="shared" si="1"/>
        <v>245226.15000000002</v>
      </c>
      <c r="E18" s="3">
        <f t="shared" si="0"/>
        <v>3.0033261719643909E-2</v>
      </c>
    </row>
    <row r="19" spans="1:7" x14ac:dyDescent="0.25">
      <c r="A19" t="s">
        <v>11</v>
      </c>
      <c r="B19" s="1">
        <f>368+532</f>
        <v>900</v>
      </c>
      <c r="C19" s="4">
        <v>87.1</v>
      </c>
      <c r="D19">
        <f t="shared" si="1"/>
        <v>78390</v>
      </c>
      <c r="E19" s="3">
        <f t="shared" si="0"/>
        <v>9.6005560018900329E-3</v>
      </c>
    </row>
    <row r="20" spans="1:7" x14ac:dyDescent="0.25">
      <c r="A20" t="s">
        <v>12</v>
      </c>
      <c r="B20" s="1">
        <f>6886+2045-4465</f>
        <v>4466</v>
      </c>
      <c r="C20" s="4">
        <v>36.5</v>
      </c>
      <c r="D20">
        <f t="shared" si="1"/>
        <v>163009</v>
      </c>
      <c r="E20" s="3">
        <f t="shared" si="0"/>
        <v>1.9963988178493333E-2</v>
      </c>
      <c r="G20" t="s">
        <v>45</v>
      </c>
    </row>
    <row r="21" spans="1:7" x14ac:dyDescent="0.25">
      <c r="A21" t="s">
        <v>13</v>
      </c>
      <c r="B21" s="1">
        <f>920+319+331-785</f>
        <v>785</v>
      </c>
      <c r="C21" s="4">
        <v>318</v>
      </c>
      <c r="D21">
        <f t="shared" si="1"/>
        <v>249630</v>
      </c>
      <c r="E21" s="3">
        <f t="shared" si="0"/>
        <v>3.0572608684166464E-2</v>
      </c>
    </row>
    <row r="22" spans="1:7" x14ac:dyDescent="0.25">
      <c r="A22" t="s">
        <v>29</v>
      </c>
      <c r="B22" s="1">
        <f>419+419+838</f>
        <v>1676</v>
      </c>
      <c r="C22" s="4">
        <v>227.85</v>
      </c>
      <c r="D22">
        <f t="shared" si="1"/>
        <v>381876.6</v>
      </c>
      <c r="E22" s="3">
        <f t="shared" si="0"/>
        <v>4.6769073658774835E-2</v>
      </c>
    </row>
    <row r="23" spans="1:7" x14ac:dyDescent="0.25">
      <c r="A23" t="s">
        <v>14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</f>
        <v>207.88599999999889</v>
      </c>
      <c r="C23" s="4">
        <v>1000</v>
      </c>
      <c r="D23">
        <f t="shared" si="1"/>
        <v>207885.99999999889</v>
      </c>
      <c r="E23" s="3">
        <f t="shared" si="0"/>
        <v>2.546015033816687E-2</v>
      </c>
      <c r="G23" t="s">
        <v>46</v>
      </c>
    </row>
    <row r="24" spans="1:7" x14ac:dyDescent="0.25">
      <c r="B24" s="1"/>
      <c r="E24" s="3"/>
    </row>
    <row r="25" spans="1:7" x14ac:dyDescent="0.25">
      <c r="B25" s="1"/>
      <c r="D25">
        <f>SUM(D5:D23)</f>
        <v>8165152.0999999987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D86D1-F84F-4085-9FBA-A9160605CDF8}">
  <sheetPr>
    <pageSetUpPr fitToPage="1"/>
  </sheetPr>
  <dimension ref="A1:K25"/>
  <sheetViews>
    <sheetView topLeftCell="A5" workbookViewId="0">
      <selection activeCell="B24" sqref="B24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39.7109375" bestFit="1" customWidth="1"/>
    <col min="10" max="10" width="9.140625" style="4"/>
  </cols>
  <sheetData>
    <row r="1" spans="1:11" x14ac:dyDescent="0.25">
      <c r="A1" t="s">
        <v>0</v>
      </c>
      <c r="B1" s="2">
        <v>43599</v>
      </c>
      <c r="E1" s="3"/>
    </row>
    <row r="2" spans="1:11" x14ac:dyDescent="0.25">
      <c r="B2" s="1"/>
      <c r="E2" s="3"/>
    </row>
    <row r="3" spans="1:11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25">
      <c r="B4" s="1"/>
      <c r="E4" s="3"/>
    </row>
    <row r="5" spans="1:11" x14ac:dyDescent="0.25">
      <c r="A5" t="s">
        <v>37</v>
      </c>
      <c r="B5" s="1">
        <f>1345+670</f>
        <v>2015</v>
      </c>
      <c r="C5" s="4">
        <v>136.25</v>
      </c>
      <c r="D5">
        <f>B5*C5</f>
        <v>274543.75</v>
      </c>
      <c r="E5" s="3">
        <f t="shared" ref="E5:E23" si="0">D5/$D$25</f>
        <v>3.7254144863913097E-2</v>
      </c>
      <c r="G5" t="s">
        <v>47</v>
      </c>
    </row>
    <row r="6" spans="1:11" x14ac:dyDescent="0.25">
      <c r="A6" t="s">
        <v>15</v>
      </c>
      <c r="B6" s="1">
        <f>44+30+9+18+13+20+19+12</f>
        <v>165</v>
      </c>
      <c r="C6" s="4">
        <v>1352.4</v>
      </c>
      <c r="D6">
        <f>B6*C6</f>
        <v>223146.00000000003</v>
      </c>
      <c r="E6" s="3">
        <f t="shared" si="0"/>
        <v>3.0279740149986124E-2</v>
      </c>
    </row>
    <row r="7" spans="1:11" x14ac:dyDescent="0.25">
      <c r="A7" t="s">
        <v>7</v>
      </c>
      <c r="B7" s="1">
        <f>(840+420)*2</f>
        <v>2520</v>
      </c>
      <c r="C7" s="4">
        <v>439.5</v>
      </c>
      <c r="D7">
        <f t="shared" ref="D7:D23" si="1">C7*B7</f>
        <v>1107540</v>
      </c>
      <c r="E7" s="3">
        <f t="shared" si="0"/>
        <v>0.15028736076701185</v>
      </c>
    </row>
    <row r="8" spans="1:11" x14ac:dyDescent="0.25">
      <c r="A8" t="s">
        <v>30</v>
      </c>
      <c r="B8" s="1">
        <f>1280+1280+1280+910+1300+1300+2940</f>
        <v>10290</v>
      </c>
      <c r="C8" s="4">
        <v>122</v>
      </c>
      <c r="D8">
        <f t="shared" si="1"/>
        <v>1255380</v>
      </c>
      <c r="E8" s="3">
        <f t="shared" si="0"/>
        <v>0.1703484722535451</v>
      </c>
    </row>
    <row r="9" spans="1:11" x14ac:dyDescent="0.25">
      <c r="A9" t="s">
        <v>35</v>
      </c>
      <c r="B9" s="1">
        <v>460</v>
      </c>
      <c r="C9" s="4">
        <v>634.4</v>
      </c>
      <c r="D9">
        <f t="shared" si="1"/>
        <v>291824</v>
      </c>
      <c r="E9" s="3">
        <f t="shared" si="0"/>
        <v>3.95989840262857E-2</v>
      </c>
    </row>
    <row r="10" spans="1:11" x14ac:dyDescent="0.25">
      <c r="A10" t="s">
        <v>9</v>
      </c>
      <c r="B10" s="1">
        <f>2928+2928+2928</f>
        <v>8784</v>
      </c>
      <c r="C10" s="4">
        <v>51.1</v>
      </c>
      <c r="D10">
        <f t="shared" si="1"/>
        <v>448862.4</v>
      </c>
      <c r="E10" s="3">
        <f t="shared" si="0"/>
        <v>6.0908270079226737E-2</v>
      </c>
      <c r="K10" s="5"/>
    </row>
    <row r="11" spans="1:11" x14ac:dyDescent="0.25">
      <c r="A11" t="s">
        <v>8</v>
      </c>
      <c r="B11" s="1">
        <f>1378+229+460+413+248</f>
        <v>2728</v>
      </c>
      <c r="C11" s="4">
        <v>318</v>
      </c>
      <c r="D11">
        <f t="shared" si="1"/>
        <v>867504</v>
      </c>
      <c r="E11" s="3">
        <f t="shared" si="0"/>
        <v>0.11771573632990759</v>
      </c>
    </row>
    <row r="12" spans="1:11" x14ac:dyDescent="0.25">
      <c r="A12" t="s">
        <v>16</v>
      </c>
      <c r="B12" s="1">
        <f>2750+1375</f>
        <v>4125</v>
      </c>
      <c r="C12" s="4">
        <v>125.5</v>
      </c>
      <c r="D12">
        <f t="shared" si="1"/>
        <v>517687.5</v>
      </c>
      <c r="E12" s="3">
        <f t="shared" si="0"/>
        <v>7.0247474652899614E-2</v>
      </c>
    </row>
    <row r="13" spans="1:11" x14ac:dyDescent="0.25">
      <c r="A13" t="s">
        <v>34</v>
      </c>
      <c r="B13" s="1">
        <v>545</v>
      </c>
      <c r="C13" s="4">
        <v>685.25</v>
      </c>
      <c r="D13">
        <f t="shared" si="1"/>
        <v>373461.25</v>
      </c>
      <c r="E13" s="3">
        <f t="shared" si="0"/>
        <v>5.0676730060538855E-2</v>
      </c>
    </row>
    <row r="14" spans="1:11" x14ac:dyDescent="0.25">
      <c r="A14" t="s">
        <v>10</v>
      </c>
      <c r="B14" s="1">
        <v>1011</v>
      </c>
      <c r="C14" s="4">
        <v>346.45</v>
      </c>
      <c r="D14">
        <f>C14*B14</f>
        <v>350260.95</v>
      </c>
      <c r="E14" s="3">
        <f t="shared" si="0"/>
        <v>4.7528571207582838E-2</v>
      </c>
    </row>
    <row r="15" spans="1:11" x14ac:dyDescent="0.25">
      <c r="A15" t="s">
        <v>38</v>
      </c>
      <c r="B15" s="1">
        <f>1050+525</f>
        <v>1575</v>
      </c>
      <c r="C15" s="4">
        <v>117.6</v>
      </c>
      <c r="D15">
        <f>C15*B15</f>
        <v>185220</v>
      </c>
      <c r="E15" s="3">
        <f t="shared" si="0"/>
        <v>2.513338115216239E-2</v>
      </c>
      <c r="G15" t="s">
        <v>48</v>
      </c>
    </row>
    <row r="16" spans="1:11" x14ac:dyDescent="0.25">
      <c r="A16" t="s">
        <v>36</v>
      </c>
      <c r="B16" s="1">
        <f>425+85</f>
        <v>510</v>
      </c>
      <c r="C16" s="4">
        <v>480.15</v>
      </c>
      <c r="D16">
        <f>C16*B16</f>
        <v>244876.5</v>
      </c>
      <c r="E16" s="3">
        <f t="shared" si="0"/>
        <v>3.3228454862906237E-2</v>
      </c>
    </row>
    <row r="17" spans="1:7" x14ac:dyDescent="0.25">
      <c r="A17" t="s">
        <v>33</v>
      </c>
      <c r="B17" s="1">
        <v>570</v>
      </c>
      <c r="C17" s="4">
        <v>526.1</v>
      </c>
      <c r="D17">
        <f>C17*B17</f>
        <v>299877</v>
      </c>
      <c r="E17" s="3">
        <f t="shared" si="0"/>
        <v>4.0691733828781995E-2</v>
      </c>
    </row>
    <row r="18" spans="1:7" x14ac:dyDescent="0.25">
      <c r="A18" t="s">
        <v>32</v>
      </c>
      <c r="B18" s="1">
        <f>8384+5589</f>
        <v>13973</v>
      </c>
      <c r="C18" s="4">
        <v>13.75</v>
      </c>
      <c r="D18">
        <f t="shared" si="1"/>
        <v>192128.75</v>
      </c>
      <c r="E18" s="3">
        <f t="shared" si="0"/>
        <v>2.6070862239706942E-2</v>
      </c>
    </row>
    <row r="19" spans="1:7" x14ac:dyDescent="0.25">
      <c r="A19" t="s">
        <v>11</v>
      </c>
      <c r="B19" s="1">
        <f>368+532</f>
        <v>900</v>
      </c>
      <c r="C19" s="4">
        <v>51.5</v>
      </c>
      <c r="D19">
        <f t="shared" si="1"/>
        <v>46350</v>
      </c>
      <c r="E19" s="3">
        <f t="shared" si="0"/>
        <v>6.289451551683008E-3</v>
      </c>
    </row>
    <row r="20" spans="1:7" x14ac:dyDescent="0.25">
      <c r="A20" t="s">
        <v>12</v>
      </c>
      <c r="B20" s="1">
        <f>6886+2045-4465</f>
        <v>4466</v>
      </c>
      <c r="C20" s="4">
        <v>27.7</v>
      </c>
      <c r="D20">
        <f t="shared" si="1"/>
        <v>123708.2</v>
      </c>
      <c r="E20" s="3">
        <f t="shared" si="0"/>
        <v>1.6786552976179328E-2</v>
      </c>
    </row>
    <row r="21" spans="1:7" x14ac:dyDescent="0.25">
      <c r="A21" t="s">
        <v>13</v>
      </c>
      <c r="B21" s="1">
        <f>920+319+331-785</f>
        <v>785</v>
      </c>
      <c r="C21" s="4">
        <v>287.10000000000002</v>
      </c>
      <c r="D21">
        <f t="shared" si="1"/>
        <v>225373.50000000003</v>
      </c>
      <c r="E21" s="3">
        <f t="shared" si="0"/>
        <v>3.0582000200285453E-2</v>
      </c>
    </row>
    <row r="22" spans="1:7" x14ac:dyDescent="0.25">
      <c r="A22" t="s">
        <v>29</v>
      </c>
      <c r="B22" s="1">
        <f>419+419+838</f>
        <v>1676</v>
      </c>
      <c r="C22" s="4">
        <v>172.45</v>
      </c>
      <c r="D22">
        <f t="shared" si="1"/>
        <v>289026.19999999995</v>
      </c>
      <c r="E22" s="3">
        <f t="shared" si="0"/>
        <v>3.9219337261424882E-2</v>
      </c>
    </row>
    <row r="23" spans="1:7" x14ac:dyDescent="0.25">
      <c r="A23" t="s">
        <v>14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</f>
        <v>52.711999999998881</v>
      </c>
      <c r="C23" s="4">
        <v>1000</v>
      </c>
      <c r="D23">
        <f t="shared" si="1"/>
        <v>52711.99999999888</v>
      </c>
      <c r="E23" s="3">
        <f t="shared" si="0"/>
        <v>7.152741535972118E-3</v>
      </c>
      <c r="G23" t="s">
        <v>49</v>
      </c>
    </row>
    <row r="24" spans="1:7" x14ac:dyDescent="0.25">
      <c r="B24" s="1"/>
      <c r="E24" s="3"/>
    </row>
    <row r="25" spans="1:7" x14ac:dyDescent="0.25">
      <c r="B25" s="1"/>
      <c r="D25">
        <f>SUM(D5:D23)</f>
        <v>7369482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A814-FB6F-49AF-AA47-460DE5D3DEFE}">
  <sheetPr>
    <pageSetUpPr fitToPage="1"/>
  </sheetPr>
  <dimension ref="A1:K25"/>
  <sheetViews>
    <sheetView topLeftCell="A5" workbookViewId="0">
      <selection activeCell="B24" sqref="B24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11" x14ac:dyDescent="0.25">
      <c r="A1" t="s">
        <v>0</v>
      </c>
      <c r="B1" s="2">
        <v>43599</v>
      </c>
      <c r="E1" s="3"/>
    </row>
    <row r="2" spans="1:11" x14ac:dyDescent="0.25">
      <c r="B2" s="1"/>
      <c r="E2" s="3"/>
    </row>
    <row r="3" spans="1:11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25">
      <c r="B4" s="1"/>
      <c r="E4" s="3"/>
    </row>
    <row r="5" spans="1:11" x14ac:dyDescent="0.25">
      <c r="A5" t="s">
        <v>37</v>
      </c>
      <c r="B5" s="1">
        <f>1345+670</f>
        <v>2015</v>
      </c>
      <c r="C5" s="4">
        <v>163.44999999999999</v>
      </c>
      <c r="D5">
        <f>B5*C5</f>
        <v>329351.75</v>
      </c>
      <c r="E5" s="3">
        <f t="shared" ref="E5:E23" si="0">D5/$D$25</f>
        <v>4.07089200433286E-2</v>
      </c>
    </row>
    <row r="6" spans="1:11" x14ac:dyDescent="0.25">
      <c r="A6" t="s">
        <v>15</v>
      </c>
      <c r="B6" s="1">
        <f>44+30+9+18+13+20+19+12</f>
        <v>165</v>
      </c>
      <c r="C6" s="4">
        <v>1442.35</v>
      </c>
      <c r="D6">
        <f>B6*C6</f>
        <v>237987.74999999997</v>
      </c>
      <c r="E6" s="3">
        <f t="shared" si="0"/>
        <v>2.9416040103147092E-2</v>
      </c>
    </row>
    <row r="7" spans="1:11" x14ac:dyDescent="0.25">
      <c r="A7" t="s">
        <v>7</v>
      </c>
      <c r="B7" s="1">
        <f>(840+420)*2</f>
        <v>2520</v>
      </c>
      <c r="C7" s="4">
        <v>408.2</v>
      </c>
      <c r="D7">
        <f t="shared" ref="D7:D23" si="1">C7*B7</f>
        <v>1028664</v>
      </c>
      <c r="E7" s="3">
        <f t="shared" si="0"/>
        <v>0.12714613032252164</v>
      </c>
    </row>
    <row r="8" spans="1:11" x14ac:dyDescent="0.25">
      <c r="A8" t="s">
        <v>30</v>
      </c>
      <c r="B8" s="1">
        <f>1280+1280+1280+910+1300+1300+2940</f>
        <v>10290</v>
      </c>
      <c r="C8" s="4">
        <v>127.4</v>
      </c>
      <c r="D8">
        <f t="shared" si="1"/>
        <v>1310946</v>
      </c>
      <c r="E8" s="3">
        <f t="shared" si="0"/>
        <v>0.16203708009786333</v>
      </c>
    </row>
    <row r="9" spans="1:11" x14ac:dyDescent="0.25">
      <c r="A9" t="s">
        <v>35</v>
      </c>
      <c r="B9" s="1">
        <v>460</v>
      </c>
      <c r="C9" s="4">
        <v>692.9</v>
      </c>
      <c r="D9">
        <f t="shared" si="1"/>
        <v>318734</v>
      </c>
      <c r="E9" s="3">
        <f t="shared" si="0"/>
        <v>3.9396532494788014E-2</v>
      </c>
    </row>
    <row r="10" spans="1:11" x14ac:dyDescent="0.25">
      <c r="A10" t="s">
        <v>9</v>
      </c>
      <c r="B10" s="1">
        <f>2928+2928+2928</f>
        <v>8784</v>
      </c>
      <c r="C10" s="4">
        <v>60.85</v>
      </c>
      <c r="D10">
        <f t="shared" si="1"/>
        <v>534506.4</v>
      </c>
      <c r="E10" s="3">
        <f t="shared" si="0"/>
        <v>6.6066684935627076E-2</v>
      </c>
      <c r="K10" s="5"/>
    </row>
    <row r="11" spans="1:11" x14ac:dyDescent="0.25">
      <c r="A11" t="s">
        <v>8</v>
      </c>
      <c r="B11" s="1">
        <f>1378+229+460+413+248</f>
        <v>2728</v>
      </c>
      <c r="C11" s="4">
        <v>384.05</v>
      </c>
      <c r="D11">
        <f t="shared" si="1"/>
        <v>1047688.4</v>
      </c>
      <c r="E11" s="3">
        <f t="shared" si="0"/>
        <v>0.12949760645244141</v>
      </c>
    </row>
    <row r="12" spans="1:11" x14ac:dyDescent="0.25">
      <c r="A12" t="s">
        <v>16</v>
      </c>
      <c r="B12" s="1">
        <f>2750+1375</f>
        <v>4125</v>
      </c>
      <c r="C12" s="4">
        <v>130.15</v>
      </c>
      <c r="D12">
        <f t="shared" si="1"/>
        <v>536868.75</v>
      </c>
      <c r="E12" s="3">
        <f t="shared" si="0"/>
        <v>6.6358678882112429E-2</v>
      </c>
    </row>
    <row r="13" spans="1:11" x14ac:dyDescent="0.25">
      <c r="A13" t="s">
        <v>34</v>
      </c>
      <c r="B13" s="1">
        <v>545</v>
      </c>
      <c r="C13" s="4">
        <v>793.15</v>
      </c>
      <c r="D13">
        <f t="shared" si="1"/>
        <v>432266.75</v>
      </c>
      <c r="E13" s="3">
        <f t="shared" si="0"/>
        <v>5.3429540189598244E-2</v>
      </c>
    </row>
    <row r="14" spans="1:11" x14ac:dyDescent="0.25">
      <c r="A14" t="s">
        <v>10</v>
      </c>
      <c r="B14" s="1">
        <v>1011</v>
      </c>
      <c r="C14" s="4">
        <v>351.25</v>
      </c>
      <c r="D14">
        <f>C14*B14</f>
        <v>355113.75</v>
      </c>
      <c r="E14" s="3">
        <f t="shared" si="0"/>
        <v>4.3893184885268048E-2</v>
      </c>
    </row>
    <row r="15" spans="1:11" x14ac:dyDescent="0.25">
      <c r="A15" t="s">
        <v>38</v>
      </c>
      <c r="B15" s="1">
        <f>1050+525</f>
        <v>1575</v>
      </c>
      <c r="C15" s="4">
        <v>150.85</v>
      </c>
      <c r="D15">
        <f>C15*B15</f>
        <v>237588.75</v>
      </c>
      <c r="E15" s="3">
        <f t="shared" si="0"/>
        <v>2.9366722438682619E-2</v>
      </c>
    </row>
    <row r="16" spans="1:11" x14ac:dyDescent="0.25">
      <c r="A16" t="s">
        <v>36</v>
      </c>
      <c r="B16" s="1">
        <f>425+85</f>
        <v>510</v>
      </c>
      <c r="C16" s="4">
        <v>497</v>
      </c>
      <c r="D16">
        <f>C16*B16</f>
        <v>253470</v>
      </c>
      <c r="E16" s="3">
        <f t="shared" si="0"/>
        <v>3.1329695267696314E-2</v>
      </c>
    </row>
    <row r="17" spans="1:7" x14ac:dyDescent="0.25">
      <c r="A17" t="s">
        <v>33</v>
      </c>
      <c r="B17" s="1">
        <v>570</v>
      </c>
      <c r="C17" s="4">
        <v>553.45000000000005</v>
      </c>
      <c r="D17">
        <f>C17*B17</f>
        <v>315466.5</v>
      </c>
      <c r="E17" s="3">
        <f t="shared" si="0"/>
        <v>3.8992659139806367E-2</v>
      </c>
    </row>
    <row r="18" spans="1:7" x14ac:dyDescent="0.25">
      <c r="A18" t="s">
        <v>32</v>
      </c>
      <c r="B18" s="1">
        <f>8384+5589</f>
        <v>13973</v>
      </c>
      <c r="C18" s="4">
        <v>14.25</v>
      </c>
      <c r="D18">
        <f t="shared" si="1"/>
        <v>199115.25</v>
      </c>
      <c r="E18" s="3">
        <f t="shared" si="0"/>
        <v>2.4611275912933165E-2</v>
      </c>
    </row>
    <row r="19" spans="1:7" x14ac:dyDescent="0.25">
      <c r="A19" t="s">
        <v>11</v>
      </c>
      <c r="B19" s="1">
        <f>368+532</f>
        <v>900</v>
      </c>
      <c r="C19" s="4">
        <v>38.299999999999997</v>
      </c>
      <c r="D19">
        <f t="shared" si="1"/>
        <v>34470</v>
      </c>
      <c r="E19" s="3">
        <f t="shared" si="0"/>
        <v>4.2606012383220575E-3</v>
      </c>
    </row>
    <row r="20" spans="1:7" x14ac:dyDescent="0.25">
      <c r="A20" t="s">
        <v>12</v>
      </c>
      <c r="B20" s="1">
        <f>6886+2045-4465</f>
        <v>4466</v>
      </c>
      <c r="C20" s="4">
        <v>29</v>
      </c>
      <c r="D20">
        <f t="shared" si="1"/>
        <v>129514</v>
      </c>
      <c r="E20" s="3">
        <f t="shared" si="0"/>
        <v>1.600834084073232E-2</v>
      </c>
    </row>
    <row r="21" spans="1:7" x14ac:dyDescent="0.25">
      <c r="A21" t="s">
        <v>13</v>
      </c>
      <c r="B21" s="1">
        <f>920+319+331-785</f>
        <v>785</v>
      </c>
      <c r="C21" s="4">
        <v>282.8</v>
      </c>
      <c r="D21">
        <f t="shared" si="1"/>
        <v>221998</v>
      </c>
      <c r="E21" s="3">
        <f t="shared" si="0"/>
        <v>2.7439656330287793E-2</v>
      </c>
    </row>
    <row r="22" spans="1:7" x14ac:dyDescent="0.25">
      <c r="A22" t="s">
        <v>29</v>
      </c>
      <c r="B22" s="1">
        <f>419+419+838</f>
        <v>1676</v>
      </c>
      <c r="C22" s="4">
        <v>291.64999999999998</v>
      </c>
      <c r="D22">
        <f t="shared" si="1"/>
        <v>488805.39999999997</v>
      </c>
      <c r="E22" s="3">
        <f t="shared" si="0"/>
        <v>6.0417896505323726E-2</v>
      </c>
    </row>
    <row r="23" spans="1:7" x14ac:dyDescent="0.25">
      <c r="A23" t="s">
        <v>14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</f>
        <v>77.851999999998881</v>
      </c>
      <c r="C23" s="4">
        <v>1000</v>
      </c>
      <c r="D23">
        <f t="shared" si="1"/>
        <v>77851.99999999888</v>
      </c>
      <c r="E23" s="3">
        <f t="shared" si="0"/>
        <v>9.6227539195197012E-3</v>
      </c>
      <c r="G23" t="s">
        <v>50</v>
      </c>
    </row>
    <row r="24" spans="1:7" x14ac:dyDescent="0.25">
      <c r="B24" s="1"/>
      <c r="E24" s="3"/>
    </row>
    <row r="25" spans="1:7" x14ac:dyDescent="0.25">
      <c r="B25" s="1"/>
      <c r="D25">
        <f>SUM(D5:D23)</f>
        <v>8090407.4499999993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491E-CC6D-42EB-97BC-43399157558A}">
  <sheetPr>
    <pageSetUpPr fitToPage="1"/>
  </sheetPr>
  <dimension ref="A1:K25"/>
  <sheetViews>
    <sheetView topLeftCell="A6" workbookViewId="0">
      <selection activeCell="B24" sqref="B24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11" x14ac:dyDescent="0.25">
      <c r="A1" t="s">
        <v>0</v>
      </c>
      <c r="B1" s="2">
        <v>43626</v>
      </c>
      <c r="E1" s="3"/>
    </row>
    <row r="2" spans="1:11" x14ac:dyDescent="0.25">
      <c r="B2" s="1"/>
      <c r="E2" s="3"/>
    </row>
    <row r="3" spans="1:11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11" x14ac:dyDescent="0.25">
      <c r="B4" s="1"/>
      <c r="E4" s="3"/>
    </row>
    <row r="5" spans="1:11" x14ac:dyDescent="0.25">
      <c r="A5" t="s">
        <v>37</v>
      </c>
      <c r="B5" s="1">
        <f>1345+670</f>
        <v>2015</v>
      </c>
      <c r="C5" s="4">
        <v>152.65</v>
      </c>
      <c r="D5">
        <f>B5*C5</f>
        <v>307589.75</v>
      </c>
      <c r="E5" s="3">
        <f t="shared" ref="E5:E23" si="0">D5/$D$25</f>
        <v>3.989857123527038E-2</v>
      </c>
    </row>
    <row r="6" spans="1:11" x14ac:dyDescent="0.25">
      <c r="A6" t="s">
        <v>15</v>
      </c>
      <c r="B6" s="1">
        <f>44+30+9+18+13+20+19+12</f>
        <v>165</v>
      </c>
      <c r="C6" s="4">
        <v>1412.6</v>
      </c>
      <c r="D6">
        <f>B6*C6</f>
        <v>233078.99999999997</v>
      </c>
      <c r="E6" s="3">
        <f t="shared" si="0"/>
        <v>3.0233514234286364E-2</v>
      </c>
    </row>
    <row r="7" spans="1:11" x14ac:dyDescent="0.25">
      <c r="A7" t="s">
        <v>7</v>
      </c>
      <c r="B7" s="1">
        <f>(840+420)*2</f>
        <v>2520</v>
      </c>
      <c r="C7" s="4">
        <v>420.5</v>
      </c>
      <c r="D7">
        <f t="shared" ref="D7:D23" si="1">C7*B7</f>
        <v>1059660</v>
      </c>
      <c r="E7" s="3">
        <f t="shared" si="0"/>
        <v>0.13745230455555366</v>
      </c>
    </row>
    <row r="8" spans="1:11" x14ac:dyDescent="0.25">
      <c r="A8" t="s">
        <v>30</v>
      </c>
      <c r="B8" s="1">
        <f>1280+1280+1280+910+1300+1300+2940</f>
        <v>10290</v>
      </c>
      <c r="C8" s="4">
        <v>123.15</v>
      </c>
      <c r="D8">
        <f t="shared" si="1"/>
        <v>1267213.5</v>
      </c>
      <c r="E8" s="3">
        <f t="shared" si="0"/>
        <v>0.16437481450551036</v>
      </c>
    </row>
    <row r="9" spans="1:11" x14ac:dyDescent="0.25">
      <c r="A9" t="s">
        <v>35</v>
      </c>
      <c r="B9" s="1">
        <v>460</v>
      </c>
      <c r="C9" s="4">
        <v>690.5</v>
      </c>
      <c r="D9">
        <f t="shared" si="1"/>
        <v>317630</v>
      </c>
      <c r="E9" s="3">
        <f t="shared" si="0"/>
        <v>4.120092812409689E-2</v>
      </c>
    </row>
    <row r="10" spans="1:11" x14ac:dyDescent="0.25">
      <c r="A10" t="s">
        <v>9</v>
      </c>
      <c r="B10" s="1">
        <f>2928+2928+2928-8784</f>
        <v>0</v>
      </c>
      <c r="C10" s="4">
        <v>59.4</v>
      </c>
      <c r="D10">
        <f t="shared" si="1"/>
        <v>0</v>
      </c>
      <c r="E10" s="3">
        <f t="shared" si="0"/>
        <v>0</v>
      </c>
      <c r="G10" t="s">
        <v>51</v>
      </c>
      <c r="K10" s="5"/>
    </row>
    <row r="11" spans="1:11" x14ac:dyDescent="0.25">
      <c r="A11" t="s">
        <v>8</v>
      </c>
      <c r="B11" s="1">
        <f>1378+229+460+413+248</f>
        <v>2728</v>
      </c>
      <c r="C11" s="4">
        <v>372.6</v>
      </c>
      <c r="D11">
        <f t="shared" si="1"/>
        <v>1016452.8</v>
      </c>
      <c r="E11" s="3">
        <f t="shared" si="0"/>
        <v>0.13184774345728373</v>
      </c>
    </row>
    <row r="12" spans="1:11" x14ac:dyDescent="0.25">
      <c r="A12" t="s">
        <v>16</v>
      </c>
      <c r="B12" s="1">
        <f>2750+1375</f>
        <v>4125</v>
      </c>
      <c r="C12" s="4">
        <v>130.94999999999999</v>
      </c>
      <c r="D12">
        <f t="shared" si="1"/>
        <v>540168.75</v>
      </c>
      <c r="E12" s="3">
        <f t="shared" si="0"/>
        <v>7.0067228673718673E-2</v>
      </c>
    </row>
    <row r="13" spans="1:11" x14ac:dyDescent="0.25">
      <c r="A13" t="s">
        <v>34</v>
      </c>
      <c r="B13" s="1">
        <v>545</v>
      </c>
      <c r="C13" s="4">
        <v>747.4</v>
      </c>
      <c r="D13">
        <f t="shared" si="1"/>
        <v>407333</v>
      </c>
      <c r="E13" s="3">
        <f t="shared" si="0"/>
        <v>5.2836626438222963E-2</v>
      </c>
    </row>
    <row r="14" spans="1:11" x14ac:dyDescent="0.25">
      <c r="A14" t="s">
        <v>10</v>
      </c>
      <c r="B14" s="1">
        <v>1011</v>
      </c>
      <c r="C14" s="4">
        <v>345.15</v>
      </c>
      <c r="D14">
        <f>C14*B14</f>
        <v>348946.64999999997</v>
      </c>
      <c r="E14" s="3">
        <f t="shared" si="0"/>
        <v>4.5263123274861927E-2</v>
      </c>
    </row>
    <row r="15" spans="1:11" x14ac:dyDescent="0.25">
      <c r="A15" t="s">
        <v>38</v>
      </c>
      <c r="B15" s="1">
        <f>1050+525</f>
        <v>1575</v>
      </c>
      <c r="C15" s="4">
        <v>147.15</v>
      </c>
      <c r="D15">
        <f>C15*B15</f>
        <v>231761.25</v>
      </c>
      <c r="E15" s="3">
        <f t="shared" si="0"/>
        <v>3.0062584148855116E-2</v>
      </c>
    </row>
    <row r="16" spans="1:11" x14ac:dyDescent="0.25">
      <c r="A16" t="s">
        <v>36</v>
      </c>
      <c r="B16" s="1">
        <f>425+85</f>
        <v>510</v>
      </c>
      <c r="C16" s="4">
        <v>484.25</v>
      </c>
      <c r="D16">
        <f>C16*B16</f>
        <v>246967.5</v>
      </c>
      <c r="E16" s="3">
        <f t="shared" si="0"/>
        <v>3.2035041452280637E-2</v>
      </c>
    </row>
    <row r="17" spans="1:7" x14ac:dyDescent="0.25">
      <c r="A17" t="s">
        <v>33</v>
      </c>
      <c r="B17" s="1">
        <v>570</v>
      </c>
      <c r="C17" s="4">
        <v>541.6</v>
      </c>
      <c r="D17">
        <f>C17*B17</f>
        <v>308712</v>
      </c>
      <c r="E17" s="3">
        <f t="shared" si="0"/>
        <v>4.0044142313528951E-2</v>
      </c>
    </row>
    <row r="18" spans="1:7" x14ac:dyDescent="0.25">
      <c r="A18" t="s">
        <v>32</v>
      </c>
      <c r="B18" s="1">
        <f>8384+5589</f>
        <v>13973</v>
      </c>
      <c r="C18" s="4">
        <v>13.75</v>
      </c>
      <c r="D18">
        <f t="shared" si="1"/>
        <v>192128.75</v>
      </c>
      <c r="E18" s="3">
        <f t="shared" si="0"/>
        <v>2.4921710226749931E-2</v>
      </c>
    </row>
    <row r="19" spans="1:7" x14ac:dyDescent="0.25">
      <c r="A19" t="s">
        <v>11</v>
      </c>
      <c r="B19" s="1">
        <f>368+532</f>
        <v>900</v>
      </c>
      <c r="C19" s="4">
        <v>38.200000000000003</v>
      </c>
      <c r="D19">
        <f t="shared" si="1"/>
        <v>34380</v>
      </c>
      <c r="E19" s="3">
        <f t="shared" si="0"/>
        <v>4.4595532818261846E-3</v>
      </c>
    </row>
    <row r="20" spans="1:7" x14ac:dyDescent="0.25">
      <c r="A20" t="s">
        <v>12</v>
      </c>
      <c r="B20" s="1">
        <f>6886+2045-4465</f>
        <v>4466</v>
      </c>
      <c r="C20" s="4">
        <v>27.25</v>
      </c>
      <c r="D20">
        <f t="shared" si="1"/>
        <v>121698.5</v>
      </c>
      <c r="E20" s="3">
        <f t="shared" si="0"/>
        <v>1.5785949536600466E-2</v>
      </c>
    </row>
    <row r="21" spans="1:7" x14ac:dyDescent="0.25">
      <c r="A21" t="s">
        <v>13</v>
      </c>
      <c r="B21" s="1">
        <f>920+319+331-785</f>
        <v>785</v>
      </c>
      <c r="C21" s="4">
        <v>272.7</v>
      </c>
      <c r="D21">
        <f t="shared" si="1"/>
        <v>214069.5</v>
      </c>
      <c r="E21" s="3">
        <f t="shared" si="0"/>
        <v>2.7767723713318513E-2</v>
      </c>
    </row>
    <row r="22" spans="1:7" x14ac:dyDescent="0.25">
      <c r="A22" t="s">
        <v>29</v>
      </c>
      <c r="B22" s="1">
        <f>419+419+838</f>
        <v>1676</v>
      </c>
      <c r="C22" s="4">
        <v>218.15</v>
      </c>
      <c r="D22">
        <f t="shared" si="1"/>
        <v>365619.4</v>
      </c>
      <c r="E22" s="3">
        <f t="shared" si="0"/>
        <v>4.7425805560480531E-2</v>
      </c>
    </row>
    <row r="23" spans="1:7" x14ac:dyDescent="0.25">
      <c r="A23" t="s">
        <v>14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</f>
        <v>495.88199999999887</v>
      </c>
      <c r="C23" s="4">
        <v>1000</v>
      </c>
      <c r="D23">
        <f t="shared" si="1"/>
        <v>495881.99999999889</v>
      </c>
      <c r="E23" s="3">
        <f t="shared" si="0"/>
        <v>6.4322635267554606E-2</v>
      </c>
      <c r="G23" t="s">
        <v>52</v>
      </c>
    </row>
    <row r="24" spans="1:7" x14ac:dyDescent="0.25">
      <c r="B24" s="1"/>
      <c r="E24" s="3"/>
    </row>
    <row r="25" spans="1:7" x14ac:dyDescent="0.25">
      <c r="B25" s="1"/>
      <c r="D25">
        <f>SUM(D5:D23)</f>
        <v>7709292.3499999996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BC32-5971-4B8D-9970-C33B6E4C3A6C}">
  <sheetPr>
    <pageSetUpPr fitToPage="1"/>
  </sheetPr>
  <dimension ref="A1:J25"/>
  <sheetViews>
    <sheetView topLeftCell="A4" workbookViewId="0">
      <selection activeCell="G12" sqref="G1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43630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37</v>
      </c>
      <c r="B5" s="1">
        <f>1345+670</f>
        <v>2015</v>
      </c>
      <c r="C5" s="4">
        <v>155.85</v>
      </c>
      <c r="D5">
        <f>B5*C5</f>
        <v>314037.75</v>
      </c>
      <c r="E5" s="3">
        <f t="shared" ref="E5:E23" si="0">D5/$D$25</f>
        <v>4.1421855883646545E-2</v>
      </c>
    </row>
    <row r="6" spans="1:7" x14ac:dyDescent="0.25">
      <c r="A6" t="s">
        <v>15</v>
      </c>
      <c r="B6" s="1">
        <f>44+30+9+18+13+20+19+12</f>
        <v>165</v>
      </c>
      <c r="C6" s="4">
        <v>1432.45</v>
      </c>
      <c r="D6">
        <f>B6*C6</f>
        <v>236354.25</v>
      </c>
      <c r="E6" s="3">
        <f t="shared" si="0"/>
        <v>3.1175333796613199E-2</v>
      </c>
    </row>
    <row r="7" spans="1:7" x14ac:dyDescent="0.25">
      <c r="A7" t="s">
        <v>53</v>
      </c>
      <c r="B7" s="1">
        <v>180</v>
      </c>
      <c r="C7" s="4">
        <v>1459.65</v>
      </c>
      <c r="D7">
        <f>B7*C7</f>
        <v>262737</v>
      </c>
      <c r="E7" s="3">
        <f t="shared" si="0"/>
        <v>3.4655241764092508E-2</v>
      </c>
      <c r="G7" t="s">
        <v>55</v>
      </c>
    </row>
    <row r="8" spans="1:7" x14ac:dyDescent="0.25">
      <c r="A8" t="s">
        <v>7</v>
      </c>
      <c r="B8" s="1">
        <f>(840+420)*2</f>
        <v>2520</v>
      </c>
      <c r="C8" s="4">
        <v>411.15</v>
      </c>
      <c r="D8">
        <f t="shared" ref="D8:D23" si="1">C8*B8</f>
        <v>1036098</v>
      </c>
      <c r="E8" s="3">
        <f t="shared" si="0"/>
        <v>0.13666223897392724</v>
      </c>
    </row>
    <row r="9" spans="1:7" x14ac:dyDescent="0.25">
      <c r="A9" t="s">
        <v>30</v>
      </c>
      <c r="B9" s="1">
        <f>1280+1280+1280+910+1300+1300+2940</f>
        <v>10290</v>
      </c>
      <c r="C9" s="4">
        <v>120.95</v>
      </c>
      <c r="D9">
        <f t="shared" si="1"/>
        <v>1244575.5</v>
      </c>
      <c r="E9" s="3">
        <f t="shared" si="0"/>
        <v>0.16416060488688808</v>
      </c>
    </row>
    <row r="10" spans="1:7" x14ac:dyDescent="0.25">
      <c r="A10" t="s">
        <v>35</v>
      </c>
      <c r="B10" s="1">
        <v>460</v>
      </c>
      <c r="C10" s="4">
        <v>684.2</v>
      </c>
      <c r="D10">
        <f t="shared" si="1"/>
        <v>314732</v>
      </c>
      <c r="E10" s="3">
        <f t="shared" si="0"/>
        <v>4.151342807026176E-2</v>
      </c>
    </row>
    <row r="11" spans="1:7" x14ac:dyDescent="0.25">
      <c r="A11" t="s">
        <v>8</v>
      </c>
      <c r="B11" s="1">
        <f>1378+229+460+413+248</f>
        <v>2728</v>
      </c>
      <c r="C11" s="4">
        <v>372.4</v>
      </c>
      <c r="D11">
        <f t="shared" si="1"/>
        <v>1015907.2</v>
      </c>
      <c r="E11" s="3">
        <f t="shared" si="0"/>
        <v>0.13399905466638609</v>
      </c>
    </row>
    <row r="12" spans="1:7" x14ac:dyDescent="0.25">
      <c r="A12" t="s">
        <v>16</v>
      </c>
      <c r="B12" s="1">
        <f>2750+1375</f>
        <v>4125</v>
      </c>
      <c r="C12" s="4">
        <v>131.1</v>
      </c>
      <c r="D12">
        <f t="shared" si="1"/>
        <v>540787.5</v>
      </c>
      <c r="E12" s="3">
        <f t="shared" si="0"/>
        <v>7.1330347668958613E-2</v>
      </c>
    </row>
    <row r="13" spans="1:7" x14ac:dyDescent="0.25">
      <c r="A13" t="s">
        <v>34</v>
      </c>
      <c r="B13" s="1">
        <v>545</v>
      </c>
      <c r="C13" s="4">
        <v>708.7</v>
      </c>
      <c r="D13">
        <f t="shared" si="1"/>
        <v>386241.5</v>
      </c>
      <c r="E13" s="3">
        <f t="shared" si="0"/>
        <v>5.0945594118170401E-2</v>
      </c>
    </row>
    <row r="14" spans="1:7" x14ac:dyDescent="0.25">
      <c r="A14" t="s">
        <v>10</v>
      </c>
      <c r="B14" s="1">
        <v>1011</v>
      </c>
      <c r="C14" s="4">
        <v>350.75</v>
      </c>
      <c r="D14">
        <f>C14*B14</f>
        <v>354608.25</v>
      </c>
      <c r="E14" s="3">
        <f t="shared" si="0"/>
        <v>4.6773140575144562E-2</v>
      </c>
    </row>
    <row r="15" spans="1:7" x14ac:dyDescent="0.25">
      <c r="A15" t="s">
        <v>38</v>
      </c>
      <c r="B15" s="1">
        <f>1050+525</f>
        <v>1575</v>
      </c>
      <c r="C15" s="4">
        <v>137.9</v>
      </c>
      <c r="D15">
        <f>C15*B15</f>
        <v>217192.5</v>
      </c>
      <c r="E15" s="3">
        <f t="shared" si="0"/>
        <v>2.8647882090636879E-2</v>
      </c>
    </row>
    <row r="16" spans="1:7" x14ac:dyDescent="0.25">
      <c r="A16" t="s">
        <v>36</v>
      </c>
      <c r="B16" s="1">
        <f>425+85</f>
        <v>510</v>
      </c>
      <c r="C16" s="4">
        <v>446.55</v>
      </c>
      <c r="D16">
        <f>C16*B16</f>
        <v>227740.5</v>
      </c>
      <c r="E16" s="3">
        <f t="shared" si="0"/>
        <v>3.0039172583135647E-2</v>
      </c>
    </row>
    <row r="17" spans="1:7" x14ac:dyDescent="0.25">
      <c r="A17" t="s">
        <v>33</v>
      </c>
      <c r="B17" s="1">
        <v>570</v>
      </c>
      <c r="C17" s="4">
        <v>535.35</v>
      </c>
      <c r="D17">
        <f>C17*B17</f>
        <v>305149.5</v>
      </c>
      <c r="E17" s="3">
        <f t="shared" si="0"/>
        <v>4.0249487878342018E-2</v>
      </c>
    </row>
    <row r="18" spans="1:7" x14ac:dyDescent="0.25">
      <c r="A18" t="s">
        <v>32</v>
      </c>
      <c r="B18" s="1">
        <f>8384+5589</f>
        <v>13973</v>
      </c>
      <c r="C18" s="4">
        <v>13.35</v>
      </c>
      <c r="D18">
        <f t="shared" si="1"/>
        <v>186539.55</v>
      </c>
      <c r="E18" s="3">
        <f t="shared" si="0"/>
        <v>2.4604730981228461E-2</v>
      </c>
    </row>
    <row r="19" spans="1:7" x14ac:dyDescent="0.25">
      <c r="A19" t="s">
        <v>11</v>
      </c>
      <c r="B19" s="1">
        <f>368+532</f>
        <v>900</v>
      </c>
      <c r="C19" s="4">
        <v>33.85</v>
      </c>
      <c r="D19">
        <f t="shared" si="1"/>
        <v>30465</v>
      </c>
      <c r="E19" s="3">
        <f t="shared" si="0"/>
        <v>4.0183603388296218E-3</v>
      </c>
    </row>
    <row r="20" spans="1:7" x14ac:dyDescent="0.25">
      <c r="A20" t="s">
        <v>12</v>
      </c>
      <c r="B20" s="1">
        <f>6886+2045-4465</f>
        <v>4466</v>
      </c>
      <c r="C20" s="4">
        <v>27.25</v>
      </c>
      <c r="D20">
        <f t="shared" si="1"/>
        <v>121698.5</v>
      </c>
      <c r="E20" s="3">
        <f t="shared" si="0"/>
        <v>1.6052139363041416E-2</v>
      </c>
    </row>
    <row r="21" spans="1:7" x14ac:dyDescent="0.25">
      <c r="A21" t="s">
        <v>13</v>
      </c>
      <c r="B21" s="1">
        <f>920+319+331-785</f>
        <v>785</v>
      </c>
      <c r="C21" s="4">
        <v>269.60000000000002</v>
      </c>
      <c r="D21">
        <f t="shared" si="1"/>
        <v>211636.00000000003</v>
      </c>
      <c r="E21" s="3">
        <f t="shared" si="0"/>
        <v>2.7914974845512749E-2</v>
      </c>
    </row>
    <row r="22" spans="1:7" x14ac:dyDescent="0.25">
      <c r="A22" t="s">
        <v>29</v>
      </c>
      <c r="B22" s="1">
        <f>419+419+838</f>
        <v>1676</v>
      </c>
      <c r="C22" s="4">
        <v>204.25</v>
      </c>
      <c r="D22">
        <f t="shared" si="1"/>
        <v>342323</v>
      </c>
      <c r="E22" s="3">
        <f t="shared" si="0"/>
        <v>4.5152705277176186E-2</v>
      </c>
    </row>
    <row r="23" spans="1:7" x14ac:dyDescent="0.25">
      <c r="A23" t="s">
        <v>14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</f>
        <v>232.62699999999887</v>
      </c>
      <c r="C23" s="4">
        <v>1000</v>
      </c>
      <c r="D23">
        <f t="shared" si="1"/>
        <v>232626.99999999886</v>
      </c>
      <c r="E23" s="3">
        <f t="shared" si="0"/>
        <v>3.0683706238008004E-2</v>
      </c>
      <c r="G23" t="s">
        <v>56</v>
      </c>
    </row>
    <row r="24" spans="1:7" x14ac:dyDescent="0.25">
      <c r="B24" s="1"/>
      <c r="E24" s="3"/>
    </row>
    <row r="25" spans="1:7" x14ac:dyDescent="0.25">
      <c r="B25" s="1"/>
      <c r="D25">
        <f>SUM(D5:D23)</f>
        <v>7581450.4999999991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67DB-CC8B-4A05-8804-2160CA5BE771}">
  <sheetPr>
    <pageSetUpPr fitToPage="1"/>
  </sheetPr>
  <dimension ref="A1:J26"/>
  <sheetViews>
    <sheetView topLeftCell="A9" workbookViewId="0">
      <selection activeCell="B2" sqref="B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43641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37</v>
      </c>
      <c r="B5" s="1">
        <f>1345+670</f>
        <v>2015</v>
      </c>
      <c r="C5" s="4">
        <v>137</v>
      </c>
      <c r="D5">
        <f>B5*C5</f>
        <v>276055</v>
      </c>
      <c r="E5" s="3">
        <f t="shared" ref="E5:E24" si="0">D5/$D$26</f>
        <v>3.7611005294465476E-2</v>
      </c>
    </row>
    <row r="6" spans="1:7" x14ac:dyDescent="0.25">
      <c r="A6" t="s">
        <v>15</v>
      </c>
      <c r="B6" s="1">
        <f>44+30+9+18+13+20+19+12</f>
        <v>165</v>
      </c>
      <c r="C6" s="4">
        <v>1366.6</v>
      </c>
      <c r="D6">
        <f>B6*C6</f>
        <v>225488.99999999997</v>
      </c>
      <c r="E6" s="3">
        <f t="shared" si="0"/>
        <v>3.0721660440288075E-2</v>
      </c>
    </row>
    <row r="7" spans="1:7" x14ac:dyDescent="0.25">
      <c r="A7" t="s">
        <v>53</v>
      </c>
      <c r="B7" s="1">
        <v>180</v>
      </c>
      <c r="C7" s="4">
        <v>1343.55</v>
      </c>
      <c r="D7">
        <f>B7*C7</f>
        <v>241839</v>
      </c>
      <c r="E7" s="3">
        <f t="shared" si="0"/>
        <v>3.2949259783044089E-2</v>
      </c>
    </row>
    <row r="8" spans="1:7" x14ac:dyDescent="0.25">
      <c r="A8" t="s">
        <v>7</v>
      </c>
      <c r="B8" s="1">
        <f>(840+420)*2</f>
        <v>2520</v>
      </c>
      <c r="C8" s="4">
        <v>411.2</v>
      </c>
      <c r="D8">
        <f t="shared" ref="D8:D24" si="1">C8*B8</f>
        <v>1036224</v>
      </c>
      <c r="E8" s="3">
        <f t="shared" si="0"/>
        <v>0.1411799328041593</v>
      </c>
    </row>
    <row r="9" spans="1:7" x14ac:dyDescent="0.25">
      <c r="A9" t="s">
        <v>30</v>
      </c>
      <c r="B9" s="1">
        <f>1280+1280+1280+910+1300+1300+2940</f>
        <v>10290</v>
      </c>
      <c r="C9" s="4">
        <v>120.3</v>
      </c>
      <c r="D9">
        <f t="shared" si="1"/>
        <v>1237887</v>
      </c>
      <c r="E9" s="3">
        <f t="shared" si="0"/>
        <v>0.16865542921138899</v>
      </c>
    </row>
    <row r="10" spans="1:7" x14ac:dyDescent="0.25">
      <c r="A10" t="s">
        <v>35</v>
      </c>
      <c r="B10" s="1">
        <v>460</v>
      </c>
      <c r="C10" s="4">
        <v>615.70000000000005</v>
      </c>
      <c r="D10">
        <f t="shared" si="1"/>
        <v>283222</v>
      </c>
      <c r="E10" s="3">
        <f t="shared" si="0"/>
        <v>3.8587470400858893E-2</v>
      </c>
    </row>
    <row r="11" spans="1:7" x14ac:dyDescent="0.25">
      <c r="A11" t="s">
        <v>8</v>
      </c>
      <c r="B11" s="1">
        <f>1378+229+460+413+248</f>
        <v>2728</v>
      </c>
      <c r="C11" s="4">
        <v>364.8</v>
      </c>
      <c r="D11">
        <f t="shared" si="1"/>
        <v>995174.40000000002</v>
      </c>
      <c r="E11" s="3">
        <f t="shared" si="0"/>
        <v>0.13558714613869158</v>
      </c>
    </row>
    <row r="12" spans="1:7" x14ac:dyDescent="0.25">
      <c r="A12" t="s">
        <v>16</v>
      </c>
      <c r="B12" s="1">
        <f>2750+1375</f>
        <v>4125</v>
      </c>
      <c r="C12" s="4">
        <v>127.3</v>
      </c>
      <c r="D12">
        <f t="shared" si="1"/>
        <v>525112.5</v>
      </c>
      <c r="E12" s="3">
        <f t="shared" si="0"/>
        <v>7.1543746781221149E-2</v>
      </c>
    </row>
    <row r="13" spans="1:7" x14ac:dyDescent="0.25">
      <c r="A13" t="s">
        <v>34</v>
      </c>
      <c r="B13" s="1">
        <v>545</v>
      </c>
      <c r="C13" s="4">
        <v>677.9</v>
      </c>
      <c r="D13">
        <f t="shared" si="1"/>
        <v>369455.5</v>
      </c>
      <c r="E13" s="3">
        <f t="shared" si="0"/>
        <v>5.0336319815143325E-2</v>
      </c>
    </row>
    <row r="14" spans="1:7" x14ac:dyDescent="0.25">
      <c r="A14" t="s">
        <v>10</v>
      </c>
      <c r="B14" s="1">
        <v>1011</v>
      </c>
      <c r="C14" s="4">
        <v>348.35</v>
      </c>
      <c r="D14">
        <f>C14*B14</f>
        <v>352181.85000000003</v>
      </c>
      <c r="E14" s="3">
        <f t="shared" si="0"/>
        <v>4.7982878140097614E-2</v>
      </c>
    </row>
    <row r="15" spans="1:7" x14ac:dyDescent="0.25">
      <c r="A15" t="s">
        <v>38</v>
      </c>
      <c r="B15" s="1">
        <f>1050+525</f>
        <v>1575</v>
      </c>
      <c r="C15" s="4">
        <v>139.69999999999999</v>
      </c>
      <c r="D15">
        <f>C15*B15</f>
        <v>220027.49999999997</v>
      </c>
      <c r="E15" s="3">
        <f t="shared" si="0"/>
        <v>2.9977560513042695E-2</v>
      </c>
    </row>
    <row r="16" spans="1:7" x14ac:dyDescent="0.25">
      <c r="A16" t="s">
        <v>36</v>
      </c>
      <c r="B16" s="1">
        <f>425+85</f>
        <v>510</v>
      </c>
      <c r="C16" s="4">
        <v>416.75</v>
      </c>
      <c r="D16">
        <f>C16*B16</f>
        <v>212542.5</v>
      </c>
      <c r="E16" s="3">
        <f t="shared" si="0"/>
        <v>2.895776962126724E-2</v>
      </c>
    </row>
    <row r="17" spans="1:7" x14ac:dyDescent="0.25">
      <c r="A17" t="s">
        <v>33</v>
      </c>
      <c r="B17" s="1">
        <v>570</v>
      </c>
      <c r="C17" s="4">
        <v>543.4</v>
      </c>
      <c r="D17">
        <f>C17*B17</f>
        <v>309738</v>
      </c>
      <c r="E17" s="3">
        <f t="shared" si="0"/>
        <v>4.2200132429759098E-2</v>
      </c>
    </row>
    <row r="18" spans="1:7" x14ac:dyDescent="0.25">
      <c r="A18" t="s">
        <v>32</v>
      </c>
      <c r="B18" s="1">
        <f>8384+5589</f>
        <v>13973</v>
      </c>
      <c r="C18" s="4">
        <v>13.15</v>
      </c>
      <c r="D18">
        <f t="shared" si="1"/>
        <v>183744.95</v>
      </c>
      <c r="E18" s="3">
        <f t="shared" si="0"/>
        <v>2.5034258706711686E-2</v>
      </c>
    </row>
    <row r="19" spans="1:7" x14ac:dyDescent="0.25">
      <c r="A19" t="s">
        <v>11</v>
      </c>
      <c r="B19" s="1">
        <f>368+532</f>
        <v>900</v>
      </c>
      <c r="C19" s="4">
        <v>29.8</v>
      </c>
      <c r="D19">
        <f t="shared" si="1"/>
        <v>26820</v>
      </c>
      <c r="E19" s="3">
        <f t="shared" si="0"/>
        <v>3.6540803897685756E-3</v>
      </c>
    </row>
    <row r="20" spans="1:7" x14ac:dyDescent="0.25">
      <c r="A20" t="s">
        <v>54</v>
      </c>
      <c r="B20" s="1">
        <v>480</v>
      </c>
      <c r="C20" s="4">
        <v>380.5</v>
      </c>
      <c r="D20">
        <f>C20*B20</f>
        <v>182640</v>
      </c>
      <c r="E20" s="3">
        <f t="shared" si="0"/>
        <v>2.4883715226969895E-2</v>
      </c>
      <c r="G20" t="s">
        <v>57</v>
      </c>
    </row>
    <row r="21" spans="1:7" x14ac:dyDescent="0.25">
      <c r="A21" t="s">
        <v>12</v>
      </c>
      <c r="B21" s="1">
        <f>6886+2045-4465</f>
        <v>4466</v>
      </c>
      <c r="C21" s="4">
        <v>23.8</v>
      </c>
      <c r="D21">
        <f t="shared" si="1"/>
        <v>106290.8</v>
      </c>
      <c r="E21" s="3">
        <f t="shared" si="0"/>
        <v>1.448154839272236E-2</v>
      </c>
    </row>
    <row r="22" spans="1:7" x14ac:dyDescent="0.25">
      <c r="A22" t="s">
        <v>13</v>
      </c>
      <c r="B22" s="1">
        <f>920+319+331-785</f>
        <v>785</v>
      </c>
      <c r="C22" s="4">
        <v>258.2</v>
      </c>
      <c r="D22">
        <f t="shared" si="1"/>
        <v>202687</v>
      </c>
      <c r="E22" s="3">
        <f t="shared" si="0"/>
        <v>2.7615010885944192E-2</v>
      </c>
    </row>
    <row r="23" spans="1:7" x14ac:dyDescent="0.25">
      <c r="A23" t="s">
        <v>29</v>
      </c>
      <c r="B23" s="1">
        <f>419+419+838</f>
        <v>1676</v>
      </c>
      <c r="C23" s="4">
        <v>184.5</v>
      </c>
      <c r="D23">
        <f t="shared" si="1"/>
        <v>309222</v>
      </c>
      <c r="E23" s="3">
        <f t="shared" si="0"/>
        <v>4.2129830211969366E-2</v>
      </c>
    </row>
    <row r="24" spans="1:7" x14ac:dyDescent="0.25">
      <c r="A24" t="s">
        <v>14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</f>
        <v>43.386999999998864</v>
      </c>
      <c r="C24" s="4">
        <v>1000</v>
      </c>
      <c r="D24">
        <f t="shared" si="1"/>
        <v>43386.999999998865</v>
      </c>
      <c r="E24" s="3">
        <f t="shared" si="0"/>
        <v>5.9112448124863919E-3</v>
      </c>
      <c r="G24" t="s">
        <v>58</v>
      </c>
    </row>
    <row r="25" spans="1:7" x14ac:dyDescent="0.25">
      <c r="B25" s="1"/>
      <c r="E25" s="3"/>
    </row>
    <row r="26" spans="1:7" x14ac:dyDescent="0.25">
      <c r="B26" s="1"/>
      <c r="D26">
        <f>SUM(D5:D24)</f>
        <v>7339739.9999999991</v>
      </c>
    </row>
  </sheetData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746B-5044-448E-804E-59F63571EAAC}">
  <sheetPr>
    <pageSetUpPr fitToPage="1"/>
  </sheetPr>
  <dimension ref="A1:J26"/>
  <sheetViews>
    <sheetView topLeftCell="A5" workbookViewId="0">
      <selection activeCell="B16" sqref="B16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43662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37</v>
      </c>
      <c r="B5" s="1">
        <f>1345+670</f>
        <v>2015</v>
      </c>
      <c r="C5" s="4">
        <v>155.85</v>
      </c>
      <c r="D5">
        <f>B5*C5</f>
        <v>314037.75</v>
      </c>
      <c r="E5" s="3">
        <f t="shared" ref="E5:E24" si="0">D5/$D$26</f>
        <v>4.328015094853243E-2</v>
      </c>
    </row>
    <row r="6" spans="1:7" x14ac:dyDescent="0.25">
      <c r="A6" t="s">
        <v>15</v>
      </c>
      <c r="B6" s="1">
        <f>44+30+9+18+13+20+19+12</f>
        <v>165</v>
      </c>
      <c r="C6" s="4">
        <v>1344.75</v>
      </c>
      <c r="D6">
        <f>B6*C6</f>
        <v>221883.75</v>
      </c>
      <c r="E6" s="3">
        <f t="shared" si="0"/>
        <v>3.0579642711828222E-2</v>
      </c>
    </row>
    <row r="7" spans="1:7" x14ac:dyDescent="0.25">
      <c r="A7" t="s">
        <v>53</v>
      </c>
      <c r="B7" s="1">
        <v>180</v>
      </c>
      <c r="C7" s="4">
        <v>1390.05</v>
      </c>
      <c r="D7">
        <f>B7*C7</f>
        <v>250209</v>
      </c>
      <c r="E7" s="3">
        <f t="shared" si="0"/>
        <v>3.4483380704012023E-2</v>
      </c>
    </row>
    <row r="8" spans="1:7" x14ac:dyDescent="0.25">
      <c r="A8" t="s">
        <v>7</v>
      </c>
      <c r="B8" s="1">
        <f>(840+420)*2</f>
        <v>2520</v>
      </c>
      <c r="C8" s="4">
        <v>374.65</v>
      </c>
      <c r="D8">
        <f t="shared" ref="D8:D24" si="1">C8*B8</f>
        <v>944118</v>
      </c>
      <c r="E8" s="3">
        <f t="shared" si="0"/>
        <v>0.13011674409597745</v>
      </c>
    </row>
    <row r="9" spans="1:7" x14ac:dyDescent="0.25">
      <c r="A9" t="s">
        <v>30</v>
      </c>
      <c r="B9" s="1">
        <f>1280+1280+1280+910+1300+1300+2940</f>
        <v>10290</v>
      </c>
      <c r="C9" s="4">
        <v>127.45</v>
      </c>
      <c r="D9">
        <f t="shared" si="1"/>
        <v>1311460.5</v>
      </c>
      <c r="E9" s="3">
        <f t="shared" si="0"/>
        <v>0.18074326542919703</v>
      </c>
    </row>
    <row r="10" spans="1:7" x14ac:dyDescent="0.25">
      <c r="A10" t="s">
        <v>35</v>
      </c>
      <c r="B10" s="1">
        <v>460</v>
      </c>
      <c r="C10" s="4">
        <v>650</v>
      </c>
      <c r="D10">
        <f t="shared" si="1"/>
        <v>299000</v>
      </c>
      <c r="E10" s="3">
        <f t="shared" si="0"/>
        <v>4.120767370677951E-2</v>
      </c>
    </row>
    <row r="11" spans="1:7" x14ac:dyDescent="0.25">
      <c r="A11" t="s">
        <v>8</v>
      </c>
      <c r="B11" s="1">
        <f>1378+229+460+413+248</f>
        <v>2728</v>
      </c>
      <c r="C11" s="4">
        <v>368.9</v>
      </c>
      <c r="D11">
        <f t="shared" si="1"/>
        <v>1006359.2</v>
      </c>
      <c r="E11" s="3">
        <f t="shared" si="0"/>
        <v>0.13869472088767779</v>
      </c>
    </row>
    <row r="12" spans="1:7" x14ac:dyDescent="0.25">
      <c r="A12" t="s">
        <v>16</v>
      </c>
      <c r="B12" s="1">
        <f>2750+1375</f>
        <v>4125</v>
      </c>
      <c r="C12" s="4">
        <v>99.95</v>
      </c>
      <c r="D12">
        <f t="shared" si="1"/>
        <v>412293.75</v>
      </c>
      <c r="E12" s="3">
        <f t="shared" si="0"/>
        <v>5.6821626492791051E-2</v>
      </c>
    </row>
    <row r="13" spans="1:7" x14ac:dyDescent="0.25">
      <c r="A13" t="s">
        <v>34</v>
      </c>
      <c r="B13" s="1">
        <v>545</v>
      </c>
      <c r="C13" s="4">
        <v>664.55</v>
      </c>
      <c r="D13">
        <f t="shared" si="1"/>
        <v>362179.75</v>
      </c>
      <c r="E13" s="3">
        <f t="shared" si="0"/>
        <v>4.9914999870244066E-2</v>
      </c>
    </row>
    <row r="14" spans="1:7" x14ac:dyDescent="0.25">
      <c r="A14" t="s">
        <v>10</v>
      </c>
      <c r="B14" s="1">
        <v>1011</v>
      </c>
      <c r="C14" s="4">
        <v>324.45</v>
      </c>
      <c r="D14">
        <f>C14*B14</f>
        <v>328018.95</v>
      </c>
      <c r="E14" s="3">
        <f t="shared" si="0"/>
        <v>4.5207016258329173E-2</v>
      </c>
    </row>
    <row r="15" spans="1:7" x14ac:dyDescent="0.25">
      <c r="A15" t="s">
        <v>38</v>
      </c>
      <c r="B15" s="1">
        <f>1050+525</f>
        <v>1575</v>
      </c>
      <c r="C15" s="4">
        <v>124.9</v>
      </c>
      <c r="D15">
        <f>C15*B15</f>
        <v>196717.5</v>
      </c>
      <c r="E15" s="3">
        <f t="shared" si="0"/>
        <v>2.7111272750546481E-2</v>
      </c>
    </row>
    <row r="16" spans="1:7" x14ac:dyDescent="0.25">
      <c r="A16" t="s">
        <v>36</v>
      </c>
      <c r="B16" s="1">
        <f>425+85-130</f>
        <v>380</v>
      </c>
      <c r="C16" s="4">
        <v>477.5</v>
      </c>
      <c r="D16">
        <f>C16*B16</f>
        <v>181450</v>
      </c>
      <c r="E16" s="3">
        <f t="shared" si="0"/>
        <v>2.5007131752826563E-2</v>
      </c>
      <c r="G16" t="s">
        <v>59</v>
      </c>
    </row>
    <row r="17" spans="1:7" x14ac:dyDescent="0.25">
      <c r="A17" t="s">
        <v>33</v>
      </c>
      <c r="B17" s="1">
        <v>570</v>
      </c>
      <c r="C17" s="4">
        <v>527.4</v>
      </c>
      <c r="D17">
        <f>C17*B17</f>
        <v>300618</v>
      </c>
      <c r="E17" s="3">
        <f t="shared" si="0"/>
        <v>4.1430663727038936E-2</v>
      </c>
    </row>
    <row r="18" spans="1:7" x14ac:dyDescent="0.25">
      <c r="A18" t="s">
        <v>32</v>
      </c>
      <c r="B18" s="1">
        <f>8384+5589</f>
        <v>13973</v>
      </c>
      <c r="C18" s="4">
        <v>13.05</v>
      </c>
      <c r="D18">
        <f t="shared" si="1"/>
        <v>182347.65000000002</v>
      </c>
      <c r="E18" s="3">
        <f t="shared" si="0"/>
        <v>2.5130844355846265E-2</v>
      </c>
    </row>
    <row r="19" spans="1:7" x14ac:dyDescent="0.25">
      <c r="A19" t="s">
        <v>11</v>
      </c>
      <c r="B19" s="1">
        <f>368+532</f>
        <v>900</v>
      </c>
      <c r="C19" s="4">
        <v>20.65</v>
      </c>
      <c r="D19">
        <f t="shared" si="1"/>
        <v>18585</v>
      </c>
      <c r="E19" s="3">
        <f t="shared" si="0"/>
        <v>2.5613532302357763E-3</v>
      </c>
    </row>
    <row r="20" spans="1:7" x14ac:dyDescent="0.25">
      <c r="A20" t="s">
        <v>54</v>
      </c>
      <c r="B20" s="1">
        <f>480+154</f>
        <v>634</v>
      </c>
      <c r="C20" s="4">
        <v>404.45</v>
      </c>
      <c r="D20">
        <f>C20*B20</f>
        <v>256421.3</v>
      </c>
      <c r="E20" s="3">
        <f t="shared" si="0"/>
        <v>3.5339549370796725E-2</v>
      </c>
      <c r="G20" t="s">
        <v>60</v>
      </c>
    </row>
    <row r="21" spans="1:7" x14ac:dyDescent="0.25">
      <c r="A21" t="s">
        <v>12</v>
      </c>
      <c r="B21" s="1">
        <f>6886+2045-4465</f>
        <v>4466</v>
      </c>
      <c r="C21" s="4">
        <v>23.5</v>
      </c>
      <c r="D21">
        <f t="shared" si="1"/>
        <v>104951</v>
      </c>
      <c r="E21" s="3">
        <f t="shared" si="0"/>
        <v>1.4464169107693031E-2</v>
      </c>
    </row>
    <row r="22" spans="1:7" x14ac:dyDescent="0.25">
      <c r="A22" t="s">
        <v>13</v>
      </c>
      <c r="B22" s="1">
        <f>920+319+331-785</f>
        <v>785</v>
      </c>
      <c r="C22" s="4">
        <v>278.60000000000002</v>
      </c>
      <c r="D22">
        <f t="shared" si="1"/>
        <v>218701.00000000003</v>
      </c>
      <c r="E22" s="3">
        <f t="shared" si="0"/>
        <v>3.014100149614176E-2</v>
      </c>
    </row>
    <row r="23" spans="1:7" x14ac:dyDescent="0.25">
      <c r="A23" t="s">
        <v>29</v>
      </c>
      <c r="B23" s="1">
        <f>419+419+838</f>
        <v>1676</v>
      </c>
      <c r="C23" s="4">
        <v>181.25</v>
      </c>
      <c r="D23">
        <f t="shared" si="1"/>
        <v>303775</v>
      </c>
      <c r="E23" s="3">
        <f t="shared" si="0"/>
        <v>4.1865756121327577E-2</v>
      </c>
    </row>
    <row r="24" spans="1:7" x14ac:dyDescent="0.25">
      <c r="A24" t="s">
        <v>14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</f>
        <v>42.80299999999886</v>
      </c>
      <c r="C24" s="4">
        <v>1000</v>
      </c>
      <c r="D24">
        <f t="shared" si="1"/>
        <v>42802.999999998858</v>
      </c>
      <c r="E24" s="3">
        <f t="shared" si="0"/>
        <v>5.899036982178048E-3</v>
      </c>
      <c r="G24" t="s">
        <v>61</v>
      </c>
    </row>
    <row r="25" spans="1:7" x14ac:dyDescent="0.25">
      <c r="B25" s="1"/>
      <c r="E25" s="3"/>
    </row>
    <row r="26" spans="1:7" x14ac:dyDescent="0.25">
      <c r="B26" s="1"/>
      <c r="D26">
        <f>SUM(D5:D24)</f>
        <v>7255930.0999999996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ABC1-BBC7-4816-8956-291B065F5A2D}">
  <sheetPr>
    <pageSetUpPr fitToPage="1"/>
  </sheetPr>
  <dimension ref="A1:J26"/>
  <sheetViews>
    <sheetView workbookViewId="0">
      <selection activeCell="B11" sqref="B11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43760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37</v>
      </c>
      <c r="B5" s="1">
        <f>1345+670</f>
        <v>2015</v>
      </c>
      <c r="C5" s="4">
        <v>152.94999999999999</v>
      </c>
      <c r="D5">
        <f>B5*C5</f>
        <v>308194.25</v>
      </c>
      <c r="E5" s="3">
        <f t="shared" ref="E5:E24" si="0">D5/$D$26</f>
        <v>4.8971876493356284E-2</v>
      </c>
    </row>
    <row r="6" spans="1:7" x14ac:dyDescent="0.25">
      <c r="A6" t="s">
        <v>15</v>
      </c>
      <c r="B6" s="1">
        <f>44+30+9+18+13+20+19+12</f>
        <v>165</v>
      </c>
      <c r="C6" s="4">
        <v>1148.75</v>
      </c>
      <c r="D6">
        <f>B6*C6</f>
        <v>189543.75</v>
      </c>
      <c r="E6" s="3">
        <f t="shared" si="0"/>
        <v>3.0118385125899007E-2</v>
      </c>
    </row>
    <row r="7" spans="1:7" x14ac:dyDescent="0.25">
      <c r="A7" t="s">
        <v>53</v>
      </c>
      <c r="B7" s="1">
        <v>180</v>
      </c>
      <c r="C7" s="4">
        <v>1941</v>
      </c>
      <c r="D7">
        <f>B7*C7</f>
        <v>349380</v>
      </c>
      <c r="E7" s="3">
        <f t="shared" si="0"/>
        <v>5.5516266800074363E-2</v>
      </c>
    </row>
    <row r="8" spans="1:7" x14ac:dyDescent="0.25">
      <c r="A8" t="s">
        <v>7</v>
      </c>
      <c r="B8" s="1">
        <f>(840+420)*2</f>
        <v>2520</v>
      </c>
      <c r="C8" s="4">
        <v>319.64999999999998</v>
      </c>
      <c r="D8">
        <f t="shared" ref="D8:D24" si="1">C8*B8</f>
        <v>805518</v>
      </c>
      <c r="E8" s="3">
        <f t="shared" si="0"/>
        <v>0.12799631404276804</v>
      </c>
    </row>
    <row r="9" spans="1:7" x14ac:dyDescent="0.25">
      <c r="A9" t="s">
        <v>30</v>
      </c>
      <c r="B9" s="1">
        <f>1280+1280+1280+910+1300+1300+2940</f>
        <v>10290</v>
      </c>
      <c r="C9" s="4">
        <v>98.35</v>
      </c>
      <c r="D9">
        <f t="shared" si="1"/>
        <v>1012021.4999999999</v>
      </c>
      <c r="E9" s="3">
        <f t="shared" si="0"/>
        <v>0.16080959299734229</v>
      </c>
    </row>
    <row r="10" spans="1:7" x14ac:dyDescent="0.25">
      <c r="A10" t="s">
        <v>35</v>
      </c>
      <c r="B10" s="1">
        <v>460</v>
      </c>
      <c r="C10" s="4">
        <v>558.25</v>
      </c>
      <c r="D10">
        <f t="shared" si="1"/>
        <v>256795</v>
      </c>
      <c r="E10" s="3">
        <f t="shared" si="0"/>
        <v>4.0804567327623491E-2</v>
      </c>
    </row>
    <row r="11" spans="1:7" x14ac:dyDescent="0.25">
      <c r="A11" t="s">
        <v>8</v>
      </c>
      <c r="B11" s="1">
        <f>1378+229+460+413+248</f>
        <v>2728</v>
      </c>
      <c r="C11" s="4">
        <v>366.55</v>
      </c>
      <c r="D11">
        <f t="shared" si="1"/>
        <v>999948.4</v>
      </c>
      <c r="E11" s="3">
        <f t="shared" si="0"/>
        <v>0.15889118484374459</v>
      </c>
    </row>
    <row r="12" spans="1:7" x14ac:dyDescent="0.25">
      <c r="A12" t="s">
        <v>16</v>
      </c>
      <c r="B12" s="1">
        <f>2750+1375</f>
        <v>4125</v>
      </c>
      <c r="C12" s="4">
        <v>52.1</v>
      </c>
      <c r="D12">
        <f t="shared" si="1"/>
        <v>214912.5</v>
      </c>
      <c r="E12" s="3">
        <f t="shared" si="0"/>
        <v>3.4149463875067211E-2</v>
      </c>
    </row>
    <row r="13" spans="1:7" x14ac:dyDescent="0.25">
      <c r="A13" t="s">
        <v>34</v>
      </c>
      <c r="B13" s="1">
        <f>545-226</f>
        <v>319</v>
      </c>
      <c r="C13" s="4">
        <v>643.95000000000005</v>
      </c>
      <c r="D13">
        <f t="shared" si="1"/>
        <v>205420.05000000002</v>
      </c>
      <c r="E13" s="3">
        <f t="shared" si="0"/>
        <v>3.2641119416923166E-2</v>
      </c>
      <c r="G13" t="s">
        <v>63</v>
      </c>
    </row>
    <row r="14" spans="1:7" x14ac:dyDescent="0.25">
      <c r="A14" t="s">
        <v>10</v>
      </c>
      <c r="B14" s="1">
        <v>1011</v>
      </c>
      <c r="C14" s="4">
        <v>313.64999999999998</v>
      </c>
      <c r="D14">
        <f>C14*B14</f>
        <v>317100.14999999997</v>
      </c>
      <c r="E14" s="3">
        <f t="shared" si="0"/>
        <v>5.038701851778464E-2</v>
      </c>
    </row>
    <row r="15" spans="1:7" x14ac:dyDescent="0.25">
      <c r="A15" t="s">
        <v>38</v>
      </c>
      <c r="B15" s="1">
        <f>1050+525</f>
        <v>1575</v>
      </c>
      <c r="C15" s="4">
        <v>106.9</v>
      </c>
      <c r="D15">
        <f>C15*B15</f>
        <v>168367.5</v>
      </c>
      <c r="E15" s="3">
        <f t="shared" si="0"/>
        <v>2.6753492044368655E-2</v>
      </c>
    </row>
    <row r="16" spans="1:7" x14ac:dyDescent="0.25">
      <c r="A16" t="s">
        <v>36</v>
      </c>
      <c r="B16" s="1">
        <f>425+85-130</f>
        <v>380</v>
      </c>
      <c r="C16" s="4">
        <v>266.2</v>
      </c>
      <c r="D16">
        <f>C16*B16</f>
        <v>101156</v>
      </c>
      <c r="E16" s="3">
        <f t="shared" si="0"/>
        <v>1.6073626093160234E-2</v>
      </c>
    </row>
    <row r="17" spans="1:7" x14ac:dyDescent="0.25">
      <c r="A17" t="s">
        <v>33</v>
      </c>
      <c r="B17" s="1">
        <v>570</v>
      </c>
      <c r="C17" s="4">
        <v>345.05</v>
      </c>
      <c r="D17">
        <f>C17*B17</f>
        <v>196678.5</v>
      </c>
      <c r="E17" s="3">
        <f t="shared" si="0"/>
        <v>3.1252092506263741E-2</v>
      </c>
    </row>
    <row r="18" spans="1:7" x14ac:dyDescent="0.25">
      <c r="A18" t="s">
        <v>32</v>
      </c>
      <c r="B18" s="1">
        <f>8384+5589+13973</f>
        <v>27946</v>
      </c>
      <c r="C18" s="4">
        <v>10.3</v>
      </c>
      <c r="D18">
        <f t="shared" si="1"/>
        <v>287843.80000000005</v>
      </c>
      <c r="E18" s="3">
        <f t="shared" si="0"/>
        <v>4.573820252317605E-2</v>
      </c>
      <c r="G18" t="s">
        <v>62</v>
      </c>
    </row>
    <row r="19" spans="1:7" x14ac:dyDescent="0.25">
      <c r="A19" t="s">
        <v>11</v>
      </c>
      <c r="B19" s="1">
        <f>368+532</f>
        <v>900</v>
      </c>
      <c r="C19" s="4">
        <v>39.799999999999997</v>
      </c>
      <c r="D19">
        <f t="shared" si="1"/>
        <v>35820</v>
      </c>
      <c r="E19" s="3">
        <f t="shared" si="0"/>
        <v>5.6917759367412666E-3</v>
      </c>
    </row>
    <row r="20" spans="1:7" x14ac:dyDescent="0.25">
      <c r="A20" t="s">
        <v>54</v>
      </c>
      <c r="B20" s="1">
        <f>480+154</f>
        <v>634</v>
      </c>
      <c r="C20" s="4">
        <v>364.65</v>
      </c>
      <c r="D20">
        <f>C20*B20</f>
        <v>231188.09999999998</v>
      </c>
      <c r="E20" s="3">
        <f t="shared" si="0"/>
        <v>3.6735646690143314E-2</v>
      </c>
    </row>
    <row r="21" spans="1:7" x14ac:dyDescent="0.25">
      <c r="A21" t="s">
        <v>12</v>
      </c>
      <c r="B21" s="1">
        <f>6886+2045-4465</f>
        <v>4466</v>
      </c>
      <c r="C21" s="4">
        <v>20.350000000000001</v>
      </c>
      <c r="D21">
        <f t="shared" si="1"/>
        <v>90883.1</v>
      </c>
      <c r="E21" s="3">
        <f t="shared" si="0"/>
        <v>1.4441268610732838E-2</v>
      </c>
    </row>
    <row r="22" spans="1:7" x14ac:dyDescent="0.25">
      <c r="A22" t="s">
        <v>13</v>
      </c>
      <c r="B22" s="1">
        <f>920+319+331-785</f>
        <v>785</v>
      </c>
      <c r="C22" s="4">
        <v>309</v>
      </c>
      <c r="D22">
        <f t="shared" si="1"/>
        <v>242565</v>
      </c>
      <c r="E22" s="3">
        <f t="shared" si="0"/>
        <v>3.8543429092564079E-2</v>
      </c>
    </row>
    <row r="23" spans="1:7" x14ac:dyDescent="0.25">
      <c r="A23" t="s">
        <v>29</v>
      </c>
      <c r="B23" s="1">
        <f>419+419+838</f>
        <v>1676</v>
      </c>
      <c r="C23" s="4">
        <v>144</v>
      </c>
      <c r="D23">
        <f t="shared" si="1"/>
        <v>241344</v>
      </c>
      <c r="E23" s="3">
        <f t="shared" si="0"/>
        <v>3.8349412944636632E-2</v>
      </c>
    </row>
    <row r="24" spans="1:7" x14ac:dyDescent="0.25">
      <c r="A24" t="s">
        <v>14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</f>
        <v>38.61099999999886</v>
      </c>
      <c r="C24" s="4">
        <v>1000</v>
      </c>
      <c r="D24">
        <f t="shared" si="1"/>
        <v>38610.999999998858</v>
      </c>
      <c r="E24" s="3">
        <f t="shared" si="0"/>
        <v>6.1352641176301102E-3</v>
      </c>
      <c r="G24" t="s">
        <v>64</v>
      </c>
    </row>
    <row r="25" spans="1:7" x14ac:dyDescent="0.25">
      <c r="B25" s="1"/>
      <c r="E25" s="3"/>
    </row>
    <row r="26" spans="1:7" x14ac:dyDescent="0.25">
      <c r="B26" s="1"/>
      <c r="D26">
        <f>SUM(D5:D24)</f>
        <v>6293290.5999999987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5F65-204A-4E06-A9F4-ABB2F6F2145B}">
  <sheetPr>
    <pageSetUpPr fitToPage="1"/>
  </sheetPr>
  <dimension ref="A1:J27"/>
  <sheetViews>
    <sheetView workbookViewId="0">
      <selection activeCell="B12" sqref="B1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43787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37</v>
      </c>
      <c r="B5" s="1">
        <f>1345+670</f>
        <v>2015</v>
      </c>
      <c r="C5" s="4">
        <v>143.1</v>
      </c>
      <c r="D5">
        <f>B5*C5</f>
        <v>288346.5</v>
      </c>
      <c r="E5" s="3">
        <f t="shared" ref="E5:E25" si="0">D5/$D$27</f>
        <v>4.5254829530513477E-2</v>
      </c>
    </row>
    <row r="6" spans="1:7" x14ac:dyDescent="0.25">
      <c r="A6" t="s">
        <v>15</v>
      </c>
      <c r="B6" s="1">
        <f>44+30+9+18+13+20+19+12</f>
        <v>165</v>
      </c>
      <c r="C6" s="4">
        <v>1111.8499999999999</v>
      </c>
      <c r="D6">
        <f>B6*C6</f>
        <v>183455.24999999997</v>
      </c>
      <c r="E6" s="3">
        <f t="shared" si="0"/>
        <v>2.8792567502042617E-2</v>
      </c>
    </row>
    <row r="7" spans="1:7" x14ac:dyDescent="0.25">
      <c r="A7" t="s">
        <v>53</v>
      </c>
      <c r="B7" s="1">
        <v>180</v>
      </c>
      <c r="C7" s="4">
        <v>2026.95</v>
      </c>
      <c r="D7">
        <f>B7*C7</f>
        <v>364851</v>
      </c>
      <c r="E7" s="3">
        <f t="shared" si="0"/>
        <v>5.7261904718931472E-2</v>
      </c>
    </row>
    <row r="8" spans="1:7" x14ac:dyDescent="0.25">
      <c r="A8" t="s">
        <v>7</v>
      </c>
      <c r="B8" s="1">
        <f>(840+420)*2</f>
        <v>2520</v>
      </c>
      <c r="C8" s="4">
        <v>321.85000000000002</v>
      </c>
      <c r="D8">
        <f t="shared" ref="D8:D25" si="1">C8*B8</f>
        <v>811062</v>
      </c>
      <c r="E8" s="3">
        <f t="shared" si="0"/>
        <v>0.12729293592492824</v>
      </c>
    </row>
    <row r="9" spans="1:7" x14ac:dyDescent="0.25">
      <c r="A9" t="s">
        <v>30</v>
      </c>
      <c r="B9" s="1">
        <f>1280+1280+1280+910+1300+1300+2940</f>
        <v>10290</v>
      </c>
      <c r="C9" s="4">
        <v>93.85</v>
      </c>
      <c r="D9">
        <f t="shared" si="1"/>
        <v>965716.49999999988</v>
      </c>
      <c r="E9" s="3">
        <f t="shared" si="0"/>
        <v>0.15156534094328911</v>
      </c>
    </row>
    <row r="10" spans="1:7" x14ac:dyDescent="0.25">
      <c r="A10" t="s">
        <v>35</v>
      </c>
      <c r="B10" s="1">
        <v>460</v>
      </c>
      <c r="C10" s="4">
        <v>538.79999999999995</v>
      </c>
      <c r="D10">
        <f t="shared" si="1"/>
        <v>247847.99999999997</v>
      </c>
      <c r="E10" s="3">
        <f t="shared" si="0"/>
        <v>3.8898751985818117E-2</v>
      </c>
    </row>
    <row r="11" spans="1:7" x14ac:dyDescent="0.25">
      <c r="A11" t="s">
        <v>8</v>
      </c>
      <c r="B11" s="1">
        <f>1378+229+460+413+248-340</f>
        <v>2388</v>
      </c>
      <c r="C11" s="4">
        <v>396.8</v>
      </c>
      <c r="D11">
        <f t="shared" si="1"/>
        <v>947558.40000000002</v>
      </c>
      <c r="E11" s="3">
        <f t="shared" si="0"/>
        <v>0.14871549979696685</v>
      </c>
      <c r="G11" t="s">
        <v>68</v>
      </c>
    </row>
    <row r="12" spans="1:7" x14ac:dyDescent="0.25">
      <c r="A12" t="s">
        <v>16</v>
      </c>
      <c r="B12" s="1">
        <f>2750+1375</f>
        <v>4125</v>
      </c>
      <c r="C12" s="4">
        <v>39.450000000000003</v>
      </c>
      <c r="D12">
        <f t="shared" si="1"/>
        <v>162731.25</v>
      </c>
      <c r="E12" s="3">
        <f t="shared" si="0"/>
        <v>2.554001861662053E-2</v>
      </c>
    </row>
    <row r="13" spans="1:7" x14ac:dyDescent="0.25">
      <c r="A13" t="s">
        <v>34</v>
      </c>
      <c r="B13" s="1">
        <f>545-226</f>
        <v>319</v>
      </c>
      <c r="C13" s="4">
        <v>740.55</v>
      </c>
      <c r="D13">
        <f t="shared" si="1"/>
        <v>236235.44999999998</v>
      </c>
      <c r="E13" s="3">
        <f t="shared" si="0"/>
        <v>3.7076208723928118E-2</v>
      </c>
    </row>
    <row r="14" spans="1:7" x14ac:dyDescent="0.25">
      <c r="A14" t="s">
        <v>10</v>
      </c>
      <c r="B14" s="1">
        <v>1011</v>
      </c>
      <c r="C14" s="4">
        <v>302.10000000000002</v>
      </c>
      <c r="D14">
        <f>C14*B14</f>
        <v>305423.10000000003</v>
      </c>
      <c r="E14" s="3">
        <f t="shared" si="0"/>
        <v>4.7934933578805267E-2</v>
      </c>
    </row>
    <row r="15" spans="1:7" x14ac:dyDescent="0.25">
      <c r="A15" t="s">
        <v>38</v>
      </c>
      <c r="B15" s="1">
        <f>1050+525</f>
        <v>1575</v>
      </c>
      <c r="C15" s="4">
        <v>112.85</v>
      </c>
      <c r="D15">
        <f>C15*B15</f>
        <v>177738.75</v>
      </c>
      <c r="E15" s="3">
        <f t="shared" si="0"/>
        <v>2.7895385698167144E-2</v>
      </c>
    </row>
    <row r="16" spans="1:7" x14ac:dyDescent="0.25">
      <c r="A16" t="s">
        <v>36</v>
      </c>
      <c r="B16" s="1">
        <f>425+85-130</f>
        <v>380</v>
      </c>
      <c r="C16" s="4">
        <v>288.60000000000002</v>
      </c>
      <c r="D16">
        <f>C16*B16</f>
        <v>109668.00000000001</v>
      </c>
      <c r="E16" s="3">
        <f t="shared" si="0"/>
        <v>1.7211953829688771E-2</v>
      </c>
    </row>
    <row r="17" spans="1:7" x14ac:dyDescent="0.25">
      <c r="A17" t="s">
        <v>33</v>
      </c>
      <c r="B17" s="1">
        <v>570</v>
      </c>
      <c r="C17" s="4">
        <v>428.25</v>
      </c>
      <c r="D17">
        <f>C17*B17</f>
        <v>244102.5</v>
      </c>
      <c r="E17" s="3">
        <f t="shared" si="0"/>
        <v>3.831091074617575E-2</v>
      </c>
    </row>
    <row r="18" spans="1:7" x14ac:dyDescent="0.25">
      <c r="A18" t="s">
        <v>32</v>
      </c>
      <c r="B18" s="1">
        <f>8384+5589+13973</f>
        <v>27946</v>
      </c>
      <c r="C18" s="4">
        <v>11.2</v>
      </c>
      <c r="D18">
        <f t="shared" si="1"/>
        <v>312995.19999999995</v>
      </c>
      <c r="E18" s="3">
        <f t="shared" si="0"/>
        <v>4.912334437861729E-2</v>
      </c>
    </row>
    <row r="19" spans="1:7" x14ac:dyDescent="0.25">
      <c r="A19" t="s">
        <v>66</v>
      </c>
      <c r="B19" s="1">
        <v>1000</v>
      </c>
      <c r="C19" s="4">
        <v>58.7</v>
      </c>
      <c r="D19">
        <f t="shared" si="1"/>
        <v>58700</v>
      </c>
      <c r="E19" s="3">
        <f t="shared" si="0"/>
        <v>9.2127301473787313E-3</v>
      </c>
      <c r="G19" t="s">
        <v>67</v>
      </c>
    </row>
    <row r="20" spans="1:7" x14ac:dyDescent="0.25">
      <c r="A20" t="s">
        <v>11</v>
      </c>
      <c r="B20" s="1">
        <f>368+532</f>
        <v>900</v>
      </c>
      <c r="C20" s="4">
        <v>18.649999999999999</v>
      </c>
      <c r="D20">
        <f t="shared" si="1"/>
        <v>16785</v>
      </c>
      <c r="E20" s="3">
        <f t="shared" si="0"/>
        <v>2.6343385949531856E-3</v>
      </c>
    </row>
    <row r="21" spans="1:7" x14ac:dyDescent="0.25">
      <c r="A21" t="s">
        <v>54</v>
      </c>
      <c r="B21" s="1">
        <f>480+154+159</f>
        <v>793</v>
      </c>
      <c r="C21" s="4">
        <v>443.75</v>
      </c>
      <c r="D21">
        <f>C21*B21</f>
        <v>351893.75</v>
      </c>
      <c r="E21" s="3">
        <f t="shared" si="0"/>
        <v>5.5228316172046925E-2</v>
      </c>
      <c r="G21" t="s">
        <v>65</v>
      </c>
    </row>
    <row r="22" spans="1:7" x14ac:dyDescent="0.25">
      <c r="A22" t="s">
        <v>12</v>
      </c>
      <c r="B22" s="1">
        <f>6886+2045-4465</f>
        <v>4466</v>
      </c>
      <c r="C22" s="4">
        <v>22.1</v>
      </c>
      <c r="D22">
        <f t="shared" si="1"/>
        <v>98698.6</v>
      </c>
      <c r="E22" s="3">
        <f t="shared" si="0"/>
        <v>1.5490350387122223E-2</v>
      </c>
    </row>
    <row r="23" spans="1:7" x14ac:dyDescent="0.25">
      <c r="A23" t="s">
        <v>13</v>
      </c>
      <c r="B23" s="1">
        <f>920+319+331-785</f>
        <v>785</v>
      </c>
      <c r="C23" s="4">
        <v>293.45</v>
      </c>
      <c r="D23">
        <f t="shared" si="1"/>
        <v>230358.25</v>
      </c>
      <c r="E23" s="3">
        <f t="shared" si="0"/>
        <v>3.6153805697996706E-2</v>
      </c>
    </row>
    <row r="24" spans="1:7" x14ac:dyDescent="0.25">
      <c r="A24" t="s">
        <v>29</v>
      </c>
      <c r="B24" s="1">
        <f>419+419+838</f>
        <v>1676</v>
      </c>
      <c r="C24" s="4">
        <v>131.55000000000001</v>
      </c>
      <c r="D24">
        <f t="shared" si="1"/>
        <v>220477.80000000002</v>
      </c>
      <c r="E24" s="3">
        <f t="shared" si="0"/>
        <v>3.4603108601153981E-2</v>
      </c>
    </row>
    <row r="25" spans="1:7" x14ac:dyDescent="0.25">
      <c r="A25" t="s">
        <v>14</v>
      </c>
      <c r="B25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</f>
        <v>36.972999999998862</v>
      </c>
      <c r="C25" s="4">
        <v>1000</v>
      </c>
      <c r="D25">
        <f t="shared" si="1"/>
        <v>36972.999999998865</v>
      </c>
      <c r="E25" s="3">
        <f t="shared" si="0"/>
        <v>5.8027644248555936E-3</v>
      </c>
      <c r="G25" t="s">
        <v>69</v>
      </c>
    </row>
    <row r="26" spans="1:7" x14ac:dyDescent="0.25">
      <c r="B26" s="1"/>
      <c r="E26" s="3"/>
    </row>
    <row r="27" spans="1:7" x14ac:dyDescent="0.25">
      <c r="B27" s="1"/>
      <c r="D27">
        <f>SUM(D5:D25)</f>
        <v>6371618.299999998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0364-5B09-4A0B-852E-AAFA59D95130}">
  <sheetPr>
    <pageSetUpPr fitToPage="1"/>
  </sheetPr>
  <dimension ref="A1:J27"/>
  <sheetViews>
    <sheetView workbookViewId="0">
      <selection activeCell="B26" sqref="B26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43803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37</v>
      </c>
      <c r="B5" s="1">
        <f>1345+670-403</f>
        <v>1612</v>
      </c>
      <c r="C5" s="4">
        <v>155.15</v>
      </c>
      <c r="D5">
        <f>B5*C5</f>
        <v>250101.80000000002</v>
      </c>
      <c r="E5" s="3">
        <f t="shared" ref="E5:E25" si="0">D5/$D$27</f>
        <v>3.8987740260025321E-2</v>
      </c>
      <c r="G5" t="s">
        <v>70</v>
      </c>
    </row>
    <row r="6" spans="1:7" x14ac:dyDescent="0.25">
      <c r="A6" t="s">
        <v>15</v>
      </c>
      <c r="B6" s="1">
        <f>44+30+9+18+13+20+19+12</f>
        <v>165</v>
      </c>
      <c r="C6" s="4">
        <v>950.45</v>
      </c>
      <c r="D6">
        <f>B6*C6</f>
        <v>156824.25</v>
      </c>
      <c r="E6" s="3">
        <f t="shared" si="0"/>
        <v>2.4446937708858054E-2</v>
      </c>
    </row>
    <row r="7" spans="1:7" x14ac:dyDescent="0.25">
      <c r="A7" t="s">
        <v>53</v>
      </c>
      <c r="B7" s="1">
        <v>180</v>
      </c>
      <c r="C7" s="4">
        <v>1795</v>
      </c>
      <c r="D7">
        <f>B7*C7</f>
        <v>323100</v>
      </c>
      <c r="E7" s="3">
        <f t="shared" si="0"/>
        <v>5.0367245969497938E-2</v>
      </c>
    </row>
    <row r="8" spans="1:7" x14ac:dyDescent="0.25">
      <c r="A8" t="s">
        <v>7</v>
      </c>
      <c r="B8" s="1">
        <f>(840+420)*2</f>
        <v>2520</v>
      </c>
      <c r="C8" s="4">
        <v>346.5</v>
      </c>
      <c r="D8">
        <f t="shared" ref="D8:D25" si="1">C8*B8</f>
        <v>873180</v>
      </c>
      <c r="E8" s="3">
        <f t="shared" si="0"/>
        <v>0.13611783297940641</v>
      </c>
    </row>
    <row r="9" spans="1:7" x14ac:dyDescent="0.25">
      <c r="A9" t="s">
        <v>30</v>
      </c>
      <c r="B9" s="1">
        <f>1280+1280+1280+910+1300+1300+2940</f>
        <v>10290</v>
      </c>
      <c r="C9" s="4">
        <v>90.05</v>
      </c>
      <c r="D9">
        <f t="shared" si="1"/>
        <v>926614.5</v>
      </c>
      <c r="E9" s="3">
        <f t="shared" si="0"/>
        <v>0.14444760272486334</v>
      </c>
    </row>
    <row r="10" spans="1:7" x14ac:dyDescent="0.25">
      <c r="A10" t="s">
        <v>35</v>
      </c>
      <c r="B10" s="1">
        <v>460</v>
      </c>
      <c r="C10" s="4">
        <v>501.4</v>
      </c>
      <c r="D10">
        <f t="shared" si="1"/>
        <v>230644</v>
      </c>
      <c r="E10" s="3">
        <f t="shared" si="0"/>
        <v>3.5954512780528886E-2</v>
      </c>
    </row>
    <row r="11" spans="1:7" x14ac:dyDescent="0.25">
      <c r="A11" t="s">
        <v>8</v>
      </c>
      <c r="B11" s="1">
        <f>1378+229+460+413+248-340</f>
        <v>2388</v>
      </c>
      <c r="C11" s="4">
        <v>403.85</v>
      </c>
      <c r="D11">
        <f t="shared" si="1"/>
        <v>964393.8</v>
      </c>
      <c r="E11" s="3">
        <f t="shared" si="0"/>
        <v>0.15033692273617705</v>
      </c>
    </row>
    <row r="12" spans="1:7" x14ac:dyDescent="0.25">
      <c r="A12" t="s">
        <v>16</v>
      </c>
      <c r="B12" s="1">
        <f>2750+1375</f>
        <v>4125</v>
      </c>
      <c r="C12" s="4">
        <v>53.25</v>
      </c>
      <c r="D12">
        <f t="shared" si="1"/>
        <v>219656.25</v>
      </c>
      <c r="E12" s="3">
        <f t="shared" si="0"/>
        <v>3.4241660081979361E-2</v>
      </c>
    </row>
    <row r="13" spans="1:7" x14ac:dyDescent="0.25">
      <c r="A13" t="s">
        <v>34</v>
      </c>
      <c r="B13" s="1">
        <f>545-226</f>
        <v>319</v>
      </c>
      <c r="C13" s="4">
        <v>754.35</v>
      </c>
      <c r="D13">
        <f t="shared" si="1"/>
        <v>240637.65</v>
      </c>
      <c r="E13" s="3">
        <f t="shared" si="0"/>
        <v>3.7512397731575227E-2</v>
      </c>
    </row>
    <row r="14" spans="1:7" x14ac:dyDescent="0.25">
      <c r="A14" t="s">
        <v>10</v>
      </c>
      <c r="B14" s="1">
        <f>1011-51</f>
        <v>960</v>
      </c>
      <c r="C14" s="4">
        <v>293.8</v>
      </c>
      <c r="D14">
        <f>C14*B14</f>
        <v>282048</v>
      </c>
      <c r="E14" s="3">
        <f t="shared" si="0"/>
        <v>4.3967752990420779E-2</v>
      </c>
      <c r="G14" t="s">
        <v>71</v>
      </c>
    </row>
    <row r="15" spans="1:7" x14ac:dyDescent="0.25">
      <c r="A15" t="s">
        <v>38</v>
      </c>
      <c r="B15" s="1">
        <f>1050+525</f>
        <v>1575</v>
      </c>
      <c r="C15" s="4">
        <v>104.65</v>
      </c>
      <c r="D15">
        <f>C15*B15</f>
        <v>164823.75</v>
      </c>
      <c r="E15" s="3">
        <f t="shared" si="0"/>
        <v>2.5693959634370274E-2</v>
      </c>
    </row>
    <row r="16" spans="1:7" x14ac:dyDescent="0.25">
      <c r="A16" t="s">
        <v>36</v>
      </c>
      <c r="B16" s="1">
        <f>425+85-130</f>
        <v>380</v>
      </c>
      <c r="C16" s="4">
        <v>357.65</v>
      </c>
      <c r="D16">
        <f>C16*B16</f>
        <v>135907</v>
      </c>
      <c r="E16" s="3">
        <f t="shared" si="0"/>
        <v>2.1186200241338771E-2</v>
      </c>
    </row>
    <row r="17" spans="1:7" x14ac:dyDescent="0.25">
      <c r="A17" t="s">
        <v>33</v>
      </c>
      <c r="B17" s="1">
        <v>570</v>
      </c>
      <c r="C17" s="4">
        <v>423.35</v>
      </c>
      <c r="D17">
        <f>C17*B17</f>
        <v>241309.5</v>
      </c>
      <c r="E17" s="3">
        <f t="shared" si="0"/>
        <v>3.7617130737470021E-2</v>
      </c>
    </row>
    <row r="18" spans="1:7" x14ac:dyDescent="0.25">
      <c r="A18" t="s">
        <v>32</v>
      </c>
      <c r="B18" s="1">
        <f>8384+5589+13973</f>
        <v>27946</v>
      </c>
      <c r="C18" s="4">
        <v>10.9</v>
      </c>
      <c r="D18">
        <f t="shared" si="1"/>
        <v>304611.40000000002</v>
      </c>
      <c r="E18" s="3">
        <f t="shared" si="0"/>
        <v>4.748510463916164E-2</v>
      </c>
    </row>
    <row r="19" spans="1:7" x14ac:dyDescent="0.25">
      <c r="A19" t="s">
        <v>66</v>
      </c>
      <c r="B19" s="1">
        <f>1000+1150</f>
        <v>2150</v>
      </c>
      <c r="C19" s="4">
        <v>62.35</v>
      </c>
      <c r="D19">
        <f t="shared" si="1"/>
        <v>134052.5</v>
      </c>
      <c r="E19" s="3">
        <f t="shared" si="0"/>
        <v>2.0897106902897315E-2</v>
      </c>
      <c r="G19" t="s">
        <v>73</v>
      </c>
    </row>
    <row r="20" spans="1:7" x14ac:dyDescent="0.25">
      <c r="A20" t="s">
        <v>11</v>
      </c>
      <c r="B20" s="1">
        <f>368+532</f>
        <v>900</v>
      </c>
      <c r="C20" s="4">
        <v>18.25</v>
      </c>
      <c r="D20">
        <f t="shared" si="1"/>
        <v>16425</v>
      </c>
      <c r="E20" s="3">
        <f t="shared" si="0"/>
        <v>2.5604519190622209E-3</v>
      </c>
    </row>
    <row r="21" spans="1:7" x14ac:dyDescent="0.25">
      <c r="A21" t="s">
        <v>54</v>
      </c>
      <c r="B21" s="1">
        <f>480+154+159</f>
        <v>793</v>
      </c>
      <c r="C21" s="4">
        <v>489.65</v>
      </c>
      <c r="D21">
        <f>C21*B21</f>
        <v>388292.44999999995</v>
      </c>
      <c r="E21" s="3">
        <f t="shared" si="0"/>
        <v>6.0529932953416826E-2</v>
      </c>
    </row>
    <row r="22" spans="1:7" x14ac:dyDescent="0.25">
      <c r="A22" t="s">
        <v>12</v>
      </c>
      <c r="B22" s="1">
        <f>6886+2045-4465</f>
        <v>4466</v>
      </c>
      <c r="C22" s="4">
        <v>22.25</v>
      </c>
      <c r="D22">
        <f t="shared" si="1"/>
        <v>99368.5</v>
      </c>
      <c r="E22" s="3">
        <f t="shared" si="0"/>
        <v>1.5490305419746381E-2</v>
      </c>
    </row>
    <row r="23" spans="1:7" x14ac:dyDescent="0.25">
      <c r="A23" t="s">
        <v>13</v>
      </c>
      <c r="B23" s="1">
        <f>920+319+331-785</f>
        <v>785</v>
      </c>
      <c r="C23" s="4">
        <v>268.05</v>
      </c>
      <c r="D23">
        <f t="shared" si="1"/>
        <v>210419.25</v>
      </c>
      <c r="E23" s="3">
        <f t="shared" si="0"/>
        <v>3.2801727395441904E-2</v>
      </c>
    </row>
    <row r="24" spans="1:7" x14ac:dyDescent="0.25">
      <c r="A24" t="s">
        <v>29</v>
      </c>
      <c r="B24" s="1">
        <f>419+419+838</f>
        <v>1676</v>
      </c>
      <c r="C24" s="4">
        <v>125.6</v>
      </c>
      <c r="D24">
        <f t="shared" si="1"/>
        <v>210505.59999999998</v>
      </c>
      <c r="E24" s="3">
        <f t="shared" si="0"/>
        <v>3.2815188279655662E-2</v>
      </c>
    </row>
    <row r="25" spans="1:7" x14ac:dyDescent="0.25">
      <c r="A25" t="s">
        <v>14</v>
      </c>
      <c r="B25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</f>
        <v>41.96799999999886</v>
      </c>
      <c r="C25" s="4">
        <v>1000</v>
      </c>
      <c r="D25">
        <f t="shared" si="1"/>
        <v>41967.999999998858</v>
      </c>
      <c r="E25" s="3">
        <f t="shared" si="0"/>
        <v>6.5422859141065675E-3</v>
      </c>
      <c r="G25" t="s">
        <v>72</v>
      </c>
    </row>
    <row r="26" spans="1:7" x14ac:dyDescent="0.25">
      <c r="B26" s="1"/>
      <c r="E26" s="3"/>
    </row>
    <row r="27" spans="1:7" x14ac:dyDescent="0.25">
      <c r="B27" s="1"/>
      <c r="D27">
        <f>SUM(D5:D25)</f>
        <v>6414883.1999999993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AED0-A3E7-4915-A5DC-C30816C5D66F}">
  <sheetPr>
    <pageSetUpPr fitToPage="1"/>
  </sheetPr>
  <dimension ref="A1:J27"/>
  <sheetViews>
    <sheetView workbookViewId="0">
      <selection activeCell="B25" sqref="B25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43826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37</v>
      </c>
      <c r="B5" s="1">
        <f>1345+670-403</f>
        <v>1612</v>
      </c>
      <c r="C5" s="4">
        <v>175.3</v>
      </c>
      <c r="D5">
        <f>B5*C5</f>
        <v>282583.60000000003</v>
      </c>
      <c r="E5" s="3">
        <f t="shared" ref="E5:E25" si="0">D5/$D$27</f>
        <v>4.4453490172754483E-2</v>
      </c>
    </row>
    <row r="6" spans="1:7" x14ac:dyDescent="0.25">
      <c r="A6" t="s">
        <v>15</v>
      </c>
      <c r="B6" s="1">
        <f>44+30+9+18+13+20+19+12</f>
        <v>165</v>
      </c>
      <c r="C6" s="4">
        <v>950</v>
      </c>
      <c r="D6">
        <f>B6*C6</f>
        <v>156750</v>
      </c>
      <c r="E6" s="3">
        <f t="shared" si="0"/>
        <v>2.4658488973101283E-2</v>
      </c>
    </row>
    <row r="7" spans="1:7" x14ac:dyDescent="0.25">
      <c r="A7" t="s">
        <v>53</v>
      </c>
      <c r="B7" s="1">
        <v>180</v>
      </c>
      <c r="C7" s="4">
        <v>1891.8</v>
      </c>
      <c r="D7">
        <f>B7*C7</f>
        <v>340524</v>
      </c>
      <c r="E7" s="3">
        <f t="shared" si="0"/>
        <v>5.3568148638445563E-2</v>
      </c>
    </row>
    <row r="8" spans="1:7" x14ac:dyDescent="0.25">
      <c r="A8" t="s">
        <v>7</v>
      </c>
      <c r="B8" s="1">
        <f>(840+420)*2</f>
        <v>2520</v>
      </c>
      <c r="C8" s="4">
        <v>340.8</v>
      </c>
      <c r="D8">
        <f t="shared" ref="D8:D25" si="1">C8*B8</f>
        <v>858816</v>
      </c>
      <c r="E8" s="3">
        <f t="shared" si="0"/>
        <v>0.13510114747000287</v>
      </c>
    </row>
    <row r="9" spans="1:7" x14ac:dyDescent="0.25">
      <c r="A9" t="s">
        <v>30</v>
      </c>
      <c r="B9" s="1">
        <f>1280+1280+1280+910+1300+1300+2940</f>
        <v>10290</v>
      </c>
      <c r="C9" s="4">
        <v>83</v>
      </c>
      <c r="D9">
        <f t="shared" si="1"/>
        <v>854070</v>
      </c>
      <c r="E9" s="3">
        <f t="shared" si="0"/>
        <v>0.13435454977516181</v>
      </c>
    </row>
    <row r="10" spans="1:7" x14ac:dyDescent="0.25">
      <c r="A10" t="s">
        <v>35</v>
      </c>
      <c r="B10" s="1">
        <v>460</v>
      </c>
      <c r="C10" s="4">
        <v>468.95</v>
      </c>
      <c r="D10">
        <f t="shared" si="1"/>
        <v>215717</v>
      </c>
      <c r="E10" s="3">
        <f t="shared" si="0"/>
        <v>3.3934642844086059E-2</v>
      </c>
    </row>
    <row r="11" spans="1:7" x14ac:dyDescent="0.25">
      <c r="A11" t="s">
        <v>8</v>
      </c>
      <c r="B11" s="1">
        <f>1378+229+460+413+248-340</f>
        <v>2388</v>
      </c>
      <c r="C11" s="4">
        <v>429.7</v>
      </c>
      <c r="D11">
        <f t="shared" si="1"/>
        <v>1026123.6</v>
      </c>
      <c r="E11" s="3">
        <f t="shared" si="0"/>
        <v>0.16142046236452307</v>
      </c>
    </row>
    <row r="12" spans="1:7" x14ac:dyDescent="0.25">
      <c r="A12" t="s">
        <v>16</v>
      </c>
      <c r="B12" s="1">
        <f>2750+1375</f>
        <v>4125</v>
      </c>
      <c r="C12" s="4">
        <v>52.1</v>
      </c>
      <c r="D12">
        <f t="shared" si="1"/>
        <v>214912.5</v>
      </c>
      <c r="E12" s="3">
        <f t="shared" si="0"/>
        <v>3.3808086197330972E-2</v>
      </c>
    </row>
    <row r="13" spans="1:7" x14ac:dyDescent="0.25">
      <c r="A13" t="s">
        <v>34</v>
      </c>
      <c r="B13" s="1">
        <f>545-226</f>
        <v>319</v>
      </c>
      <c r="C13" s="4">
        <v>722.95</v>
      </c>
      <c r="D13">
        <f t="shared" si="1"/>
        <v>230621.05000000002</v>
      </c>
      <c r="E13" s="3">
        <f t="shared" si="0"/>
        <v>3.6279212876491482E-2</v>
      </c>
    </row>
    <row r="14" spans="1:7" x14ac:dyDescent="0.25">
      <c r="A14" t="s">
        <v>10</v>
      </c>
      <c r="B14" s="1">
        <f>1011-51</f>
        <v>960</v>
      </c>
      <c r="C14" s="4">
        <v>282.95</v>
      </c>
      <c r="D14">
        <f>C14*B14</f>
        <v>271632</v>
      </c>
      <c r="E14" s="3">
        <f t="shared" si="0"/>
        <v>4.273068374316713E-2</v>
      </c>
    </row>
    <row r="15" spans="1:7" x14ac:dyDescent="0.25">
      <c r="A15" t="s">
        <v>38</v>
      </c>
      <c r="B15" s="1">
        <f>1050+525</f>
        <v>1575</v>
      </c>
      <c r="C15" s="4">
        <v>100.85</v>
      </c>
      <c r="D15">
        <f>C15*B15</f>
        <v>158838.75</v>
      </c>
      <c r="E15" s="3">
        <f t="shared" si="0"/>
        <v>2.4987072187407922E-2</v>
      </c>
    </row>
    <row r="16" spans="1:7" x14ac:dyDescent="0.25">
      <c r="A16" t="s">
        <v>36</v>
      </c>
      <c r="B16" s="1">
        <f>425+85-130-190</f>
        <v>190</v>
      </c>
      <c r="C16" s="4">
        <v>334.15</v>
      </c>
      <c r="D16">
        <f>C16*B16</f>
        <v>63488.499999999993</v>
      </c>
      <c r="E16" s="3">
        <f t="shared" si="0"/>
        <v>9.9874352610445985E-3</v>
      </c>
      <c r="G16" t="s">
        <v>74</v>
      </c>
    </row>
    <row r="17" spans="1:7" x14ac:dyDescent="0.25">
      <c r="A17" t="s">
        <v>33</v>
      </c>
      <c r="B17" s="1">
        <v>570</v>
      </c>
      <c r="C17" s="4">
        <v>432.9</v>
      </c>
      <c r="D17">
        <f>C17*B17</f>
        <v>246753</v>
      </c>
      <c r="E17" s="3">
        <f t="shared" si="0"/>
        <v>3.8816945005292897E-2</v>
      </c>
    </row>
    <row r="18" spans="1:7" x14ac:dyDescent="0.25">
      <c r="A18" t="s">
        <v>32</v>
      </c>
      <c r="B18" s="1">
        <f>8384+5589+13973</f>
        <v>27946</v>
      </c>
      <c r="C18" s="4">
        <v>10.3</v>
      </c>
      <c r="D18">
        <f t="shared" si="1"/>
        <v>287843.80000000005</v>
      </c>
      <c r="E18" s="3">
        <f t="shared" si="0"/>
        <v>4.5280977150083397E-2</v>
      </c>
    </row>
    <row r="19" spans="1:7" x14ac:dyDescent="0.25">
      <c r="A19" t="s">
        <v>66</v>
      </c>
      <c r="B19" s="1">
        <f>1000+1150+450</f>
        <v>2600</v>
      </c>
      <c r="C19" s="4">
        <v>66.599999999999994</v>
      </c>
      <c r="D19">
        <f t="shared" si="1"/>
        <v>173159.99999999997</v>
      </c>
      <c r="E19" s="3">
        <f t="shared" si="0"/>
        <v>2.7239961407223078E-2</v>
      </c>
      <c r="G19" t="s">
        <v>75</v>
      </c>
    </row>
    <row r="20" spans="1:7" x14ac:dyDescent="0.25">
      <c r="A20" t="s">
        <v>11</v>
      </c>
      <c r="B20" s="1">
        <f>368+532</f>
        <v>900</v>
      </c>
      <c r="C20" s="4">
        <v>14.6</v>
      </c>
      <c r="D20">
        <f t="shared" si="1"/>
        <v>13140</v>
      </c>
      <c r="E20" s="3">
        <f t="shared" si="0"/>
        <v>2.0670656785106915E-3</v>
      </c>
    </row>
    <row r="21" spans="1:7" x14ac:dyDescent="0.25">
      <c r="A21" t="s">
        <v>54</v>
      </c>
      <c r="B21" s="1">
        <f>480+154+159</f>
        <v>793</v>
      </c>
      <c r="C21" s="4">
        <v>488.4</v>
      </c>
      <c r="D21">
        <f>C21*B21</f>
        <v>387301.19999999995</v>
      </c>
      <c r="E21" s="3">
        <f t="shared" si="0"/>
        <v>6.0926713680822288E-2</v>
      </c>
    </row>
    <row r="22" spans="1:7" x14ac:dyDescent="0.25">
      <c r="A22" t="s">
        <v>12</v>
      </c>
      <c r="B22" s="1">
        <f>6886+2045-4465</f>
        <v>4466</v>
      </c>
      <c r="C22" s="4">
        <v>21.1</v>
      </c>
      <c r="D22">
        <f t="shared" si="1"/>
        <v>94232.6</v>
      </c>
      <c r="E22" s="3">
        <f t="shared" si="0"/>
        <v>1.4823818360489086E-2</v>
      </c>
    </row>
    <row r="23" spans="1:7" x14ac:dyDescent="0.25">
      <c r="A23" t="s">
        <v>13</v>
      </c>
      <c r="B23" s="1">
        <f>920+319+331-785</f>
        <v>785</v>
      </c>
      <c r="C23" s="4">
        <v>240.8</v>
      </c>
      <c r="D23">
        <f t="shared" si="1"/>
        <v>189028</v>
      </c>
      <c r="E23" s="3">
        <f t="shared" si="0"/>
        <v>2.9736171314879677E-2</v>
      </c>
    </row>
    <row r="24" spans="1:7" x14ac:dyDescent="0.25">
      <c r="A24" t="s">
        <v>29</v>
      </c>
      <c r="B24" s="1">
        <f>419+419+838</f>
        <v>1676</v>
      </c>
      <c r="C24" s="4">
        <v>127.35</v>
      </c>
      <c r="D24">
        <f t="shared" si="1"/>
        <v>213438.59999999998</v>
      </c>
      <c r="E24" s="3">
        <f t="shared" si="0"/>
        <v>3.3576225611063319E-2</v>
      </c>
    </row>
    <row r="25" spans="1:7" x14ac:dyDescent="0.25">
      <c r="A25" t="s">
        <v>14</v>
      </c>
      <c r="B25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</f>
        <v>77.862999999998863</v>
      </c>
      <c r="C25" s="4">
        <v>1000</v>
      </c>
      <c r="D25">
        <f t="shared" si="1"/>
        <v>77862.999999998865</v>
      </c>
      <c r="E25" s="3">
        <f t="shared" si="0"/>
        <v>1.2248701288118388E-2</v>
      </c>
      <c r="G25" t="s">
        <v>76</v>
      </c>
    </row>
    <row r="26" spans="1:7" x14ac:dyDescent="0.25">
      <c r="B26" s="1"/>
      <c r="E26" s="3"/>
    </row>
    <row r="27" spans="1:7" x14ac:dyDescent="0.25">
      <c r="B27" s="1"/>
      <c r="D27">
        <f>SUM(D5:D25)</f>
        <v>6356837.1999999983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8CE0-4AC3-4F1C-BF20-0074E319B22D}">
  <sheetPr>
    <pageSetUpPr fitToPage="1"/>
  </sheetPr>
  <dimension ref="A1:J27"/>
  <sheetViews>
    <sheetView workbookViewId="0">
      <selection activeCell="B26" sqref="B26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43826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37</v>
      </c>
      <c r="B5" s="1">
        <f>1345+670-403</f>
        <v>1612</v>
      </c>
      <c r="C5" s="4">
        <v>175.3</v>
      </c>
      <c r="D5">
        <f>B5*C5</f>
        <v>282583.60000000003</v>
      </c>
      <c r="E5" s="3">
        <f t="shared" ref="E5:E25" si="0">D5/$D$27</f>
        <v>4.442835050475015E-2</v>
      </c>
    </row>
    <row r="6" spans="1:7" x14ac:dyDescent="0.25">
      <c r="A6" t="s">
        <v>15</v>
      </c>
      <c r="B6" s="1">
        <f>44+30+9+18+13+20+19+12</f>
        <v>165</v>
      </c>
      <c r="C6" s="4">
        <v>950</v>
      </c>
      <c r="D6">
        <f>B6*C6</f>
        <v>156750</v>
      </c>
      <c r="E6" s="3">
        <f t="shared" si="0"/>
        <v>2.4644543921231044E-2</v>
      </c>
    </row>
    <row r="7" spans="1:7" x14ac:dyDescent="0.25">
      <c r="A7" t="s">
        <v>53</v>
      </c>
      <c r="B7" s="1">
        <v>180</v>
      </c>
      <c r="C7" s="4">
        <v>1891.8</v>
      </c>
      <c r="D7">
        <f>B7*C7</f>
        <v>340524</v>
      </c>
      <c r="E7" s="3">
        <f t="shared" si="0"/>
        <v>5.3537854381073557E-2</v>
      </c>
    </row>
    <row r="8" spans="1:7" x14ac:dyDescent="0.25">
      <c r="A8" t="s">
        <v>7</v>
      </c>
      <c r="B8" s="1">
        <f>(840+420)*2</f>
        <v>2520</v>
      </c>
      <c r="C8" s="4">
        <v>340.8</v>
      </c>
      <c r="D8">
        <f t="shared" ref="D8:D25" si="1">C8*B8</f>
        <v>858816</v>
      </c>
      <c r="E8" s="3">
        <f t="shared" si="0"/>
        <v>0.13502474406542878</v>
      </c>
    </row>
    <row r="9" spans="1:7" x14ac:dyDescent="0.25">
      <c r="A9" t="s">
        <v>30</v>
      </c>
      <c r="B9" s="1">
        <f>1280+1280+1280+910+1300+1300+2940</f>
        <v>10290</v>
      </c>
      <c r="C9" s="4">
        <v>83</v>
      </c>
      <c r="D9">
        <f t="shared" si="1"/>
        <v>854070</v>
      </c>
      <c r="E9" s="3">
        <f t="shared" si="0"/>
        <v>0.1342785685920625</v>
      </c>
    </row>
    <row r="10" spans="1:7" x14ac:dyDescent="0.25">
      <c r="A10" t="s">
        <v>35</v>
      </c>
      <c r="B10" s="1">
        <v>460</v>
      </c>
      <c r="C10" s="4">
        <v>468.95</v>
      </c>
      <c r="D10">
        <f t="shared" si="1"/>
        <v>215717</v>
      </c>
      <c r="E10" s="3">
        <f t="shared" si="0"/>
        <v>3.3915451872766809E-2</v>
      </c>
    </row>
    <row r="11" spans="1:7" x14ac:dyDescent="0.25">
      <c r="A11" t="s">
        <v>8</v>
      </c>
      <c r="B11" s="1">
        <f>1378+229+460+413+248-340</f>
        <v>2388</v>
      </c>
      <c r="C11" s="4">
        <v>429.7</v>
      </c>
      <c r="D11">
        <f t="shared" si="1"/>
        <v>1026123.6</v>
      </c>
      <c r="E11" s="3">
        <f t="shared" si="0"/>
        <v>0.16132917466546548</v>
      </c>
    </row>
    <row r="12" spans="1:7" x14ac:dyDescent="0.25">
      <c r="A12" t="s">
        <v>16</v>
      </c>
      <c r="B12" s="1">
        <f>2750+1375</f>
        <v>4125</v>
      </c>
      <c r="C12" s="4">
        <v>52.1</v>
      </c>
      <c r="D12">
        <f t="shared" si="1"/>
        <v>214912.5</v>
      </c>
      <c r="E12" s="3">
        <f t="shared" si="0"/>
        <v>3.3788966797266777E-2</v>
      </c>
    </row>
    <row r="13" spans="1:7" x14ac:dyDescent="0.25">
      <c r="A13" t="s">
        <v>34</v>
      </c>
      <c r="B13" s="1">
        <f>545-226</f>
        <v>319</v>
      </c>
      <c r="C13" s="4">
        <v>722.95</v>
      </c>
      <c r="D13">
        <f t="shared" si="1"/>
        <v>230621.05000000002</v>
      </c>
      <c r="E13" s="3">
        <f t="shared" si="0"/>
        <v>3.6258695986509867E-2</v>
      </c>
    </row>
    <row r="14" spans="1:7" x14ac:dyDescent="0.25">
      <c r="A14" t="s">
        <v>10</v>
      </c>
      <c r="B14" s="1">
        <f>1011-51</f>
        <v>960</v>
      </c>
      <c r="C14" s="4">
        <v>282.95</v>
      </c>
      <c r="D14">
        <f>C14*B14</f>
        <v>271632</v>
      </c>
      <c r="E14" s="3">
        <f t="shared" si="0"/>
        <v>4.2706518369453467E-2</v>
      </c>
    </row>
    <row r="15" spans="1:7" x14ac:dyDescent="0.25">
      <c r="A15" t="s">
        <v>38</v>
      </c>
      <c r="B15" s="1">
        <f>1050+525</f>
        <v>1575</v>
      </c>
      <c r="C15" s="4">
        <v>100.85</v>
      </c>
      <c r="D15">
        <f>C15*B15</f>
        <v>158838.75</v>
      </c>
      <c r="E15" s="3">
        <f t="shared" si="0"/>
        <v>2.4972941312717305E-2</v>
      </c>
    </row>
    <row r="16" spans="1:7" x14ac:dyDescent="0.25">
      <c r="A16" t="s">
        <v>36</v>
      </c>
      <c r="B16" s="1">
        <f>425+85-130-190</f>
        <v>190</v>
      </c>
      <c r="C16" s="4">
        <v>334.15</v>
      </c>
      <c r="D16">
        <f>C16*B16</f>
        <v>63488.499999999993</v>
      </c>
      <c r="E16" s="3">
        <f t="shared" si="0"/>
        <v>9.9817870924598217E-3</v>
      </c>
    </row>
    <row r="17" spans="1:7" x14ac:dyDescent="0.25">
      <c r="A17" t="s">
        <v>33</v>
      </c>
      <c r="B17" s="1">
        <v>570</v>
      </c>
      <c r="C17" s="4">
        <v>432.9</v>
      </c>
      <c r="D17">
        <f>C17*B17</f>
        <v>246753</v>
      </c>
      <c r="E17" s="3">
        <f t="shared" si="0"/>
        <v>3.8794992958185164E-2</v>
      </c>
    </row>
    <row r="18" spans="1:7" x14ac:dyDescent="0.25">
      <c r="A18" t="s">
        <v>32</v>
      </c>
      <c r="B18" s="1">
        <f>8384+5589+13973</f>
        <v>27946</v>
      </c>
      <c r="C18" s="4">
        <v>10.3</v>
      </c>
      <c r="D18">
        <f t="shared" si="1"/>
        <v>287843.80000000005</v>
      </c>
      <c r="E18" s="3">
        <f t="shared" si="0"/>
        <v>4.5255369515496302E-2</v>
      </c>
    </row>
    <row r="19" spans="1:7" x14ac:dyDescent="0.25">
      <c r="A19" t="s">
        <v>66</v>
      </c>
      <c r="B19" s="1">
        <f>1000+1150+450</f>
        <v>2600</v>
      </c>
      <c r="C19" s="4">
        <v>66.599999999999994</v>
      </c>
      <c r="D19">
        <f t="shared" si="1"/>
        <v>173159.99999999997</v>
      </c>
      <c r="E19" s="3">
        <f t="shared" si="0"/>
        <v>2.7224556461884319E-2</v>
      </c>
    </row>
    <row r="20" spans="1:7" x14ac:dyDescent="0.25">
      <c r="A20" t="s">
        <v>11</v>
      </c>
      <c r="B20" s="1">
        <f>368+532</f>
        <v>900</v>
      </c>
      <c r="C20" s="4">
        <v>14.6</v>
      </c>
      <c r="D20">
        <f t="shared" si="1"/>
        <v>13140</v>
      </c>
      <c r="E20" s="3">
        <f t="shared" si="0"/>
        <v>2.065896696172095E-3</v>
      </c>
    </row>
    <row r="21" spans="1:7" x14ac:dyDescent="0.25">
      <c r="A21" t="s">
        <v>54</v>
      </c>
      <c r="B21" s="1">
        <f>480+154+159</f>
        <v>793</v>
      </c>
      <c r="C21" s="4">
        <v>488.4</v>
      </c>
      <c r="D21">
        <f>C21*B21</f>
        <v>387301.19999999995</v>
      </c>
      <c r="E21" s="3">
        <f t="shared" si="0"/>
        <v>6.0892257953081265E-2</v>
      </c>
    </row>
    <row r="22" spans="1:7" x14ac:dyDescent="0.25">
      <c r="A22" t="s">
        <v>12</v>
      </c>
      <c r="B22" s="1">
        <f>6886+2045-4465</f>
        <v>4466</v>
      </c>
      <c r="C22" s="4">
        <v>21.1</v>
      </c>
      <c r="D22">
        <f t="shared" si="1"/>
        <v>94232.6</v>
      </c>
      <c r="E22" s="3">
        <f t="shared" si="0"/>
        <v>1.4815435084604764E-2</v>
      </c>
    </row>
    <row r="23" spans="1:7" x14ac:dyDescent="0.25">
      <c r="A23" t="s">
        <v>13</v>
      </c>
      <c r="B23" s="1">
        <f>920+319+331-785</f>
        <v>785</v>
      </c>
      <c r="C23" s="4">
        <v>240.8</v>
      </c>
      <c r="D23">
        <f t="shared" si="1"/>
        <v>189028</v>
      </c>
      <c r="E23" s="3">
        <f t="shared" si="0"/>
        <v>2.9719354694369773E-2</v>
      </c>
    </row>
    <row r="24" spans="1:7" x14ac:dyDescent="0.25">
      <c r="A24" t="s">
        <v>29</v>
      </c>
      <c r="B24" s="1">
        <f>419+419+838</f>
        <v>1676</v>
      </c>
      <c r="C24" s="4">
        <v>127.35</v>
      </c>
      <c r="D24">
        <f t="shared" si="1"/>
        <v>213438.59999999998</v>
      </c>
      <c r="E24" s="3">
        <f t="shared" si="0"/>
        <v>3.3557237334520346E-2</v>
      </c>
    </row>
    <row r="25" spans="1:7" x14ac:dyDescent="0.25">
      <c r="A25" t="s">
        <v>14</v>
      </c>
      <c r="B25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</f>
        <v>81.459999999998857</v>
      </c>
      <c r="C25" s="4">
        <v>1000</v>
      </c>
      <c r="D25">
        <f t="shared" si="1"/>
        <v>81459.99999999885</v>
      </c>
      <c r="E25" s="3">
        <f t="shared" si="0"/>
        <v>1.2807301740500494E-2</v>
      </c>
      <c r="G25" t="s">
        <v>77</v>
      </c>
    </row>
    <row r="26" spans="1:7" x14ac:dyDescent="0.25">
      <c r="B26" s="1"/>
      <c r="E26" s="3"/>
    </row>
    <row r="27" spans="1:7" x14ac:dyDescent="0.25">
      <c r="B27" s="1"/>
      <c r="D27">
        <f>SUM(D5:D25)</f>
        <v>6360434.1999999983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C16"/>
  <sheetViews>
    <sheetView tabSelected="1" workbookViewId="0">
      <selection activeCell="A2" sqref="A2"/>
    </sheetView>
  </sheetViews>
  <sheetFormatPr defaultRowHeight="15" x14ac:dyDescent="0.25"/>
  <cols>
    <col min="3" max="3" width="9.140625" style="4"/>
  </cols>
  <sheetData>
    <row r="1" spans="1:3" x14ac:dyDescent="0.25">
      <c r="A1" t="s">
        <v>78</v>
      </c>
    </row>
    <row r="3" spans="1:3" x14ac:dyDescent="0.25">
      <c r="A3" t="s">
        <v>17</v>
      </c>
      <c r="B3">
        <v>38397</v>
      </c>
      <c r="C3" s="4">
        <f>B3*0.005</f>
        <v>191.98500000000001</v>
      </c>
    </row>
    <row r="4" spans="1:3" x14ac:dyDescent="0.25">
      <c r="A4" t="s">
        <v>18</v>
      </c>
      <c r="B4">
        <v>47548</v>
      </c>
      <c r="C4" s="4">
        <f t="shared" ref="C4:C14" si="0">B4*0.005</f>
        <v>237.74</v>
      </c>
    </row>
    <row r="5" spans="1:3" x14ac:dyDescent="0.25">
      <c r="A5" t="s">
        <v>19</v>
      </c>
      <c r="B5">
        <v>47548</v>
      </c>
      <c r="C5" s="4">
        <f t="shared" si="0"/>
        <v>237.74</v>
      </c>
    </row>
    <row r="6" spans="1:3" x14ac:dyDescent="0.25">
      <c r="A6" t="s">
        <v>20</v>
      </c>
      <c r="B6">
        <v>207886</v>
      </c>
      <c r="C6" s="4">
        <f t="shared" si="0"/>
        <v>1039.43</v>
      </c>
    </row>
    <row r="7" spans="1:3" x14ac:dyDescent="0.25">
      <c r="A7" t="s">
        <v>21</v>
      </c>
      <c r="B7">
        <v>52712</v>
      </c>
      <c r="C7" s="4">
        <f t="shared" si="0"/>
        <v>263.56</v>
      </c>
    </row>
    <row r="8" spans="1:3" x14ac:dyDescent="0.25">
      <c r="A8" t="s">
        <v>22</v>
      </c>
      <c r="B8">
        <v>43387</v>
      </c>
      <c r="C8" s="4">
        <f t="shared" si="0"/>
        <v>216.935</v>
      </c>
    </row>
    <row r="9" spans="1:3" x14ac:dyDescent="0.25">
      <c r="A9" t="s">
        <v>23</v>
      </c>
      <c r="B9">
        <v>42803</v>
      </c>
      <c r="C9" s="4">
        <f t="shared" si="0"/>
        <v>214.01500000000001</v>
      </c>
    </row>
    <row r="10" spans="1:3" x14ac:dyDescent="0.25">
      <c r="A10" t="s">
        <v>24</v>
      </c>
      <c r="B10">
        <v>42803</v>
      </c>
      <c r="C10" s="4">
        <f t="shared" si="0"/>
        <v>214.01500000000001</v>
      </c>
    </row>
    <row r="11" spans="1:3" x14ac:dyDescent="0.25">
      <c r="A11" t="s">
        <v>25</v>
      </c>
      <c r="B11">
        <v>42803</v>
      </c>
      <c r="C11" s="4">
        <f t="shared" si="0"/>
        <v>214.01500000000001</v>
      </c>
    </row>
    <row r="12" spans="1:3" x14ac:dyDescent="0.25">
      <c r="A12" t="s">
        <v>26</v>
      </c>
      <c r="B12">
        <v>38611</v>
      </c>
      <c r="C12" s="4">
        <f t="shared" si="0"/>
        <v>193.05500000000001</v>
      </c>
    </row>
    <row r="13" spans="1:3" x14ac:dyDescent="0.25">
      <c r="A13" t="s">
        <v>27</v>
      </c>
      <c r="B13">
        <v>36973</v>
      </c>
      <c r="C13" s="4">
        <f t="shared" si="0"/>
        <v>184.86500000000001</v>
      </c>
    </row>
    <row r="14" spans="1:3" x14ac:dyDescent="0.25">
      <c r="A14" t="s">
        <v>28</v>
      </c>
      <c r="B14">
        <v>77863</v>
      </c>
      <c r="C14" s="4">
        <f t="shared" si="0"/>
        <v>389.315</v>
      </c>
    </row>
    <row r="16" spans="1:3" x14ac:dyDescent="0.25">
      <c r="C16" s="4">
        <f>SUM(C3:C15)</f>
        <v>3596.6699999999996</v>
      </c>
    </row>
  </sheetData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01Jan19</vt:lpstr>
      <vt:lpstr>06Feb19</vt:lpstr>
      <vt:lpstr>12Feb19</vt:lpstr>
      <vt:lpstr>16Apr19</vt:lpstr>
      <vt:lpstr>14May19</vt:lpstr>
      <vt:lpstr>06Jun19</vt:lpstr>
      <vt:lpstr>10Jun19</vt:lpstr>
      <vt:lpstr>14Jun19</vt:lpstr>
      <vt:lpstr>25Jun19</vt:lpstr>
      <vt:lpstr>16Jul19</vt:lpstr>
      <vt:lpstr>22Oct19</vt:lpstr>
      <vt:lpstr>18Nov19</vt:lpstr>
      <vt:lpstr>04Dec19</vt:lpstr>
      <vt:lpstr>27Dec19</vt:lpstr>
      <vt:lpstr>31Dec19</vt:lpstr>
      <vt:lpstr>Liquid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2020-01-01T10:43:36Z</dcterms:modified>
</cp:coreProperties>
</file>