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filterPrivacy="1" codeName="ThisWorkbook" defaultThemeVersion="124226"/>
  <xr:revisionPtr revIDLastSave="0" documentId="11_7BF75182565E98EDCDFB25E0C9E214254D802735" xr6:coauthVersionLast="47" xr6:coauthVersionMax="47" xr10:uidLastSave="{00000000-0000-0000-0000-000000000000}"/>
  <bookViews>
    <workbookView xWindow="-108" yWindow="-108" windowWidth="23256" windowHeight="12456" firstSheet="8" activeTab="16" xr2:uid="{00000000-000D-0000-FFFF-FFFF00000000}"/>
  </bookViews>
  <sheets>
    <sheet name="01Jan17" sheetId="13" r:id="rId1"/>
    <sheet name="07Feb17" sheetId="14" r:id="rId2"/>
    <sheet name="08Feb17" sheetId="15" r:id="rId3"/>
    <sheet name="14Feb17" sheetId="16" r:id="rId4"/>
    <sheet name="15Feb17" sheetId="17" r:id="rId5"/>
    <sheet name="16Feb17" sheetId="18" r:id="rId6"/>
    <sheet name="21Feb17" sheetId="19" r:id="rId7"/>
    <sheet name="22Feb17" sheetId="20" r:id="rId8"/>
    <sheet name="20Mar17" sheetId="23" r:id="rId9"/>
    <sheet name="14Jun17" sheetId="22" r:id="rId10"/>
    <sheet name="15Jun17" sheetId="24" r:id="rId11"/>
    <sheet name="16Jun17" sheetId="25" r:id="rId12"/>
    <sheet name="19Jun17" sheetId="26" r:id="rId13"/>
    <sheet name="20Jun17" sheetId="27" r:id="rId14"/>
    <sheet name="28Jun17" sheetId="28" r:id="rId15"/>
    <sheet name="29Jun17" sheetId="29" r:id="rId16"/>
    <sheet name="30Jun17" sheetId="30" r:id="rId17"/>
    <sheet name="12Jul17" sheetId="31" r:id="rId18"/>
    <sheet name="14Jul17" sheetId="32" r:id="rId19"/>
    <sheet name="28Jul17" sheetId="33" r:id="rId20"/>
    <sheet name="14Aug17" sheetId="34" r:id="rId21"/>
    <sheet name="21Aug17" sheetId="35" r:id="rId22"/>
    <sheet name="22Aug17" sheetId="36" r:id="rId23"/>
    <sheet name="28Aug17" sheetId="37" r:id="rId24"/>
    <sheet name="12Sep17" sheetId="38" r:id="rId25"/>
    <sheet name="21Sep17" sheetId="39" r:id="rId26"/>
    <sheet name="22Sep17" sheetId="40" r:id="rId27"/>
    <sheet name="10Oct17" sheetId="42" r:id="rId28"/>
    <sheet name="31Dec17" sheetId="41" r:id="rId29"/>
    <sheet name="Liquid" sheetId="2" r:id="rId30"/>
    <sheet name="Sheet3" sheetId="3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1" l="1"/>
  <c r="B7" i="42"/>
  <c r="B23" i="42"/>
  <c r="D23" i="42" s="1"/>
  <c r="B22" i="42"/>
  <c r="D22" i="42" s="1"/>
  <c r="B21" i="42"/>
  <c r="D21" i="42" s="1"/>
  <c r="D20" i="42"/>
  <c r="B20" i="42"/>
  <c r="B19" i="42"/>
  <c r="D19" i="42" s="1"/>
  <c r="D18" i="42"/>
  <c r="B17" i="42"/>
  <c r="D17" i="42" s="1"/>
  <c r="B16" i="42"/>
  <c r="D16" i="42" s="1"/>
  <c r="B15" i="42"/>
  <c r="D15" i="42" s="1"/>
  <c r="D14" i="42"/>
  <c r="B13" i="42"/>
  <c r="D13" i="42" s="1"/>
  <c r="D12" i="42"/>
  <c r="D11" i="42"/>
  <c r="D10" i="42"/>
  <c r="D9" i="42"/>
  <c r="B9" i="42"/>
  <c r="B8" i="42"/>
  <c r="D8" i="42" s="1"/>
  <c r="D7" i="42"/>
  <c r="B6" i="42"/>
  <c r="D6" i="42" s="1"/>
  <c r="B5" i="42"/>
  <c r="D5" i="42" s="1"/>
  <c r="B23" i="41"/>
  <c r="D23" i="41" s="1"/>
  <c r="B22" i="41"/>
  <c r="D22" i="41" s="1"/>
  <c r="B21" i="41"/>
  <c r="D21" i="41" s="1"/>
  <c r="B20" i="41"/>
  <c r="D20" i="41" s="1"/>
  <c r="B19" i="41"/>
  <c r="D19" i="41" s="1"/>
  <c r="D18" i="41"/>
  <c r="B17" i="41"/>
  <c r="D17" i="41" s="1"/>
  <c r="B16" i="41"/>
  <c r="D16" i="41" s="1"/>
  <c r="B15" i="41"/>
  <c r="D15" i="41" s="1"/>
  <c r="D14" i="41"/>
  <c r="B13" i="41"/>
  <c r="D13" i="41" s="1"/>
  <c r="D12" i="41"/>
  <c r="D11" i="41"/>
  <c r="D10" i="41"/>
  <c r="D9" i="41"/>
  <c r="B9" i="41"/>
  <c r="B8" i="41"/>
  <c r="D8" i="41" s="1"/>
  <c r="D7" i="41"/>
  <c r="B6" i="41"/>
  <c r="D6" i="41" s="1"/>
  <c r="B5" i="41"/>
  <c r="D5" i="41" s="1"/>
  <c r="D25" i="42" l="1"/>
  <c r="D25" i="41"/>
  <c r="E14" i="41" s="1"/>
  <c r="B23" i="40"/>
  <c r="D23" i="40" s="1"/>
  <c r="B17" i="40"/>
  <c r="B22" i="40"/>
  <c r="D22" i="40" s="1"/>
  <c r="D21" i="40"/>
  <c r="B21" i="40"/>
  <c r="B20" i="40"/>
  <c r="D20" i="40" s="1"/>
  <c r="B19" i="40"/>
  <c r="D19" i="40" s="1"/>
  <c r="D18" i="40"/>
  <c r="D17" i="40"/>
  <c r="B16" i="40"/>
  <c r="D16" i="40" s="1"/>
  <c r="B15" i="40"/>
  <c r="D15" i="40" s="1"/>
  <c r="D14" i="40"/>
  <c r="B13" i="40"/>
  <c r="D13" i="40" s="1"/>
  <c r="D12" i="40"/>
  <c r="D11" i="40"/>
  <c r="D10" i="40"/>
  <c r="B9" i="40"/>
  <c r="D9" i="40" s="1"/>
  <c r="B8" i="40"/>
  <c r="D8" i="40" s="1"/>
  <c r="D7" i="40"/>
  <c r="B7" i="40"/>
  <c r="B6" i="40"/>
  <c r="D6" i="40" s="1"/>
  <c r="B5" i="40"/>
  <c r="D5" i="40" s="1"/>
  <c r="E12" i="42" l="1"/>
  <c r="E10" i="42"/>
  <c r="E14" i="42"/>
  <c r="E6" i="42"/>
  <c r="E22" i="42"/>
  <c r="E15" i="42"/>
  <c r="E5" i="42"/>
  <c r="E20" i="42"/>
  <c r="E23" i="42"/>
  <c r="E17" i="42"/>
  <c r="E13" i="42"/>
  <c r="E19" i="42"/>
  <c r="E7" i="42"/>
  <c r="E11" i="42"/>
  <c r="E18" i="42"/>
  <c r="E9" i="42"/>
  <c r="E16" i="42"/>
  <c r="E21" i="42"/>
  <c r="E8" i="42"/>
  <c r="E9" i="41"/>
  <c r="E8" i="41"/>
  <c r="E19" i="41"/>
  <c r="E18" i="41"/>
  <c r="E5" i="41"/>
  <c r="E6" i="41"/>
  <c r="E17" i="41"/>
  <c r="E16" i="41"/>
  <c r="E15" i="41"/>
  <c r="E13" i="41"/>
  <c r="E11" i="41"/>
  <c r="E22" i="41"/>
  <c r="E23" i="41"/>
  <c r="E21" i="41"/>
  <c r="E7" i="41"/>
  <c r="E12" i="41"/>
  <c r="E20" i="41"/>
  <c r="E10" i="41"/>
  <c r="D25" i="40"/>
  <c r="E18" i="40" s="1"/>
  <c r="B23" i="39"/>
  <c r="D23" i="39" s="1"/>
  <c r="B22" i="39"/>
  <c r="D22" i="39" s="1"/>
  <c r="D21" i="39"/>
  <c r="B21" i="39"/>
  <c r="B20" i="39"/>
  <c r="D20" i="39" s="1"/>
  <c r="B19" i="39"/>
  <c r="D19" i="39" s="1"/>
  <c r="D18" i="39"/>
  <c r="D17" i="39"/>
  <c r="B16" i="39"/>
  <c r="D16" i="39" s="1"/>
  <c r="B15" i="39"/>
  <c r="D15" i="39" s="1"/>
  <c r="D14" i="39"/>
  <c r="B13" i="39"/>
  <c r="D13" i="39" s="1"/>
  <c r="D12" i="39"/>
  <c r="D11" i="39"/>
  <c r="D10" i="39"/>
  <c r="B9" i="39"/>
  <c r="D9" i="39" s="1"/>
  <c r="B8" i="39"/>
  <c r="D8" i="39" s="1"/>
  <c r="D7" i="39"/>
  <c r="B7" i="39"/>
  <c r="D6" i="39"/>
  <c r="B6" i="39"/>
  <c r="B5" i="39"/>
  <c r="D5" i="39" s="1"/>
  <c r="E7" i="40" l="1"/>
  <c r="E16" i="40"/>
  <c r="E14" i="40"/>
  <c r="E22" i="40"/>
  <c r="E17" i="40"/>
  <c r="E21" i="40"/>
  <c r="E10" i="40"/>
  <c r="E15" i="40"/>
  <c r="E20" i="40"/>
  <c r="E11" i="40"/>
  <c r="E23" i="40"/>
  <c r="E12" i="40"/>
  <c r="E19" i="40"/>
  <c r="E8" i="40"/>
  <c r="E9" i="40"/>
  <c r="E5" i="40"/>
  <c r="E13" i="40"/>
  <c r="E6" i="40"/>
  <c r="D25" i="39"/>
  <c r="E5" i="39" s="1"/>
  <c r="B23" i="38"/>
  <c r="D23" i="38" s="1"/>
  <c r="B17" i="38"/>
  <c r="D17" i="38" s="1"/>
  <c r="B22" i="38"/>
  <c r="D22" i="38" s="1"/>
  <c r="B21" i="38"/>
  <c r="D21" i="38" s="1"/>
  <c r="B20" i="38"/>
  <c r="D20" i="38" s="1"/>
  <c r="B19" i="38"/>
  <c r="D19" i="38" s="1"/>
  <c r="D18" i="38"/>
  <c r="B16" i="38"/>
  <c r="D16" i="38" s="1"/>
  <c r="B15" i="38"/>
  <c r="D15" i="38" s="1"/>
  <c r="D14" i="38"/>
  <c r="B13" i="38"/>
  <c r="D13" i="38" s="1"/>
  <c r="D12" i="38"/>
  <c r="D11" i="38"/>
  <c r="D10" i="38"/>
  <c r="B9" i="38"/>
  <c r="D9" i="38" s="1"/>
  <c r="B8" i="38"/>
  <c r="D8" i="38" s="1"/>
  <c r="B7" i="38"/>
  <c r="D7" i="38" s="1"/>
  <c r="D6" i="38"/>
  <c r="B6" i="38"/>
  <c r="B5" i="38"/>
  <c r="D5" i="38" s="1"/>
  <c r="E16" i="39" l="1"/>
  <c r="E15" i="39"/>
  <c r="E9" i="39"/>
  <c r="E23" i="39"/>
  <c r="E22" i="39"/>
  <c r="E14" i="39"/>
  <c r="E11" i="39"/>
  <c r="E20" i="39"/>
  <c r="E19" i="39"/>
  <c r="E13" i="39"/>
  <c r="E18" i="39"/>
  <c r="E12" i="39"/>
  <c r="E10" i="39"/>
  <c r="E7" i="39"/>
  <c r="E8" i="39"/>
  <c r="E21" i="39"/>
  <c r="E6" i="39"/>
  <c r="E17" i="39"/>
  <c r="D25" i="38"/>
  <c r="E5" i="38" s="1"/>
  <c r="B23" i="37"/>
  <c r="D23" i="37" s="1"/>
  <c r="B8" i="37"/>
  <c r="D8" i="37" s="1"/>
  <c r="B22" i="37"/>
  <c r="D22" i="37" s="1"/>
  <c r="D21" i="37"/>
  <c r="B21" i="37"/>
  <c r="B20" i="37"/>
  <c r="D20" i="37" s="1"/>
  <c r="B19" i="37"/>
  <c r="D19" i="37" s="1"/>
  <c r="D18" i="37"/>
  <c r="D17" i="37"/>
  <c r="B16" i="37"/>
  <c r="D16" i="37" s="1"/>
  <c r="D15" i="37"/>
  <c r="B15" i="37"/>
  <c r="D14" i="37"/>
  <c r="B13" i="37"/>
  <c r="D13" i="37" s="1"/>
  <c r="D12" i="37"/>
  <c r="D11" i="37"/>
  <c r="D10" i="37"/>
  <c r="B9" i="37"/>
  <c r="D9" i="37" s="1"/>
  <c r="B7" i="37"/>
  <c r="D7" i="37" s="1"/>
  <c r="B6" i="37"/>
  <c r="D6" i="37" s="1"/>
  <c r="B5" i="37"/>
  <c r="D5" i="37" s="1"/>
  <c r="E17" i="38" l="1"/>
  <c r="E22" i="38"/>
  <c r="E6" i="38"/>
  <c r="E20" i="38"/>
  <c r="E11" i="38"/>
  <c r="E9" i="38"/>
  <c r="E14" i="38"/>
  <c r="E16" i="38"/>
  <c r="E19" i="38"/>
  <c r="E23" i="38"/>
  <c r="E8" i="38"/>
  <c r="E13" i="38"/>
  <c r="E18" i="38"/>
  <c r="E21" i="38"/>
  <c r="E15" i="38"/>
  <c r="E12" i="38"/>
  <c r="E10" i="38"/>
  <c r="E7" i="38"/>
  <c r="D25" i="37"/>
  <c r="B23" i="36"/>
  <c r="B23" i="35"/>
  <c r="B8" i="36"/>
  <c r="E22" i="37" l="1"/>
  <c r="E18" i="37"/>
  <c r="E16" i="37"/>
  <c r="E13" i="37"/>
  <c r="E11" i="37"/>
  <c r="E8" i="37"/>
  <c r="E12" i="37"/>
  <c r="E21" i="37"/>
  <c r="E6" i="37"/>
  <c r="E20" i="37"/>
  <c r="E19" i="37"/>
  <c r="E15" i="37"/>
  <c r="E23" i="37"/>
  <c r="E10" i="37"/>
  <c r="E14" i="37"/>
  <c r="E17" i="37"/>
  <c r="E7" i="37"/>
  <c r="E5" i="37"/>
  <c r="E9" i="37"/>
  <c r="D23" i="36"/>
  <c r="B22" i="36"/>
  <c r="D22" i="36" s="1"/>
  <c r="B21" i="36"/>
  <c r="D21" i="36" s="1"/>
  <c r="B20" i="36"/>
  <c r="D20" i="36" s="1"/>
  <c r="B19" i="36"/>
  <c r="D19" i="36" s="1"/>
  <c r="D18" i="36"/>
  <c r="D17" i="36"/>
  <c r="B16" i="36"/>
  <c r="D16" i="36" s="1"/>
  <c r="B15" i="36"/>
  <c r="D15" i="36" s="1"/>
  <c r="D14" i="36"/>
  <c r="B13" i="36"/>
  <c r="D13" i="36" s="1"/>
  <c r="D12" i="36"/>
  <c r="D11" i="36"/>
  <c r="D10" i="36"/>
  <c r="B9" i="36"/>
  <c r="D9" i="36" s="1"/>
  <c r="D8" i="36"/>
  <c r="B7" i="36"/>
  <c r="D7" i="36" s="1"/>
  <c r="B6" i="36"/>
  <c r="D6" i="36" s="1"/>
  <c r="B5" i="36"/>
  <c r="D5" i="36" s="1"/>
  <c r="B8" i="35"/>
  <c r="D8" i="35" s="1"/>
  <c r="D23" i="35"/>
  <c r="B22" i="35"/>
  <c r="D22" i="35" s="1"/>
  <c r="B21" i="35"/>
  <c r="D21" i="35" s="1"/>
  <c r="B20" i="35"/>
  <c r="D20" i="35" s="1"/>
  <c r="B19" i="35"/>
  <c r="D19" i="35" s="1"/>
  <c r="D18" i="35"/>
  <c r="D17" i="35"/>
  <c r="B16" i="35"/>
  <c r="D16" i="35" s="1"/>
  <c r="B15" i="35"/>
  <c r="D15" i="35" s="1"/>
  <c r="D14" i="35"/>
  <c r="B13" i="35"/>
  <c r="D13" i="35" s="1"/>
  <c r="D12" i="35"/>
  <c r="D11" i="35"/>
  <c r="D10" i="35"/>
  <c r="B9" i="35"/>
  <c r="D9" i="35" s="1"/>
  <c r="B7" i="35"/>
  <c r="D7" i="35" s="1"/>
  <c r="B6" i="35"/>
  <c r="D6" i="35" s="1"/>
  <c r="B5" i="35"/>
  <c r="D5" i="35" s="1"/>
  <c r="D25" i="36" l="1"/>
  <c r="E6" i="36" s="1"/>
  <c r="D25" i="35"/>
  <c r="E17" i="35" s="1"/>
  <c r="B23" i="34"/>
  <c r="E8" i="36" l="1"/>
  <c r="E22" i="36"/>
  <c r="E5" i="36"/>
  <c r="E11" i="36"/>
  <c r="E7" i="36"/>
  <c r="E9" i="36"/>
  <c r="E14" i="36"/>
  <c r="E10" i="36"/>
  <c r="E12" i="36"/>
  <c r="E19" i="36"/>
  <c r="E21" i="36"/>
  <c r="E20" i="36"/>
  <c r="E23" i="36"/>
  <c r="E16" i="36"/>
  <c r="E17" i="36"/>
  <c r="E15" i="36"/>
  <c r="E18" i="36"/>
  <c r="E13" i="36"/>
  <c r="E5" i="35"/>
  <c r="E23" i="35"/>
  <c r="E13" i="35"/>
  <c r="E7" i="35"/>
  <c r="E22" i="35"/>
  <c r="E16" i="35"/>
  <c r="E19" i="35"/>
  <c r="E15" i="35"/>
  <c r="E9" i="35"/>
  <c r="E8" i="35"/>
  <c r="E21" i="35"/>
  <c r="E18" i="35"/>
  <c r="E14" i="35"/>
  <c r="E20" i="35"/>
  <c r="E6" i="35"/>
  <c r="E12" i="35"/>
  <c r="E11" i="35"/>
  <c r="E10" i="35"/>
  <c r="D18" i="34"/>
  <c r="D23" i="34" l="1"/>
  <c r="B22" i="34"/>
  <c r="D22" i="34" s="1"/>
  <c r="B21" i="34"/>
  <c r="D21" i="34" s="1"/>
  <c r="B20" i="34"/>
  <c r="D20" i="34" s="1"/>
  <c r="B19" i="34"/>
  <c r="D19" i="34" s="1"/>
  <c r="D17" i="34"/>
  <c r="D16" i="34"/>
  <c r="B16" i="34"/>
  <c r="B15" i="34"/>
  <c r="D15" i="34" s="1"/>
  <c r="D14" i="34"/>
  <c r="B13" i="34"/>
  <c r="D13" i="34" s="1"/>
  <c r="D12" i="34"/>
  <c r="D11" i="34"/>
  <c r="D10" i="34"/>
  <c r="B9" i="34"/>
  <c r="D9" i="34" s="1"/>
  <c r="B8" i="34"/>
  <c r="D8" i="34" s="1"/>
  <c r="B7" i="34"/>
  <c r="D7" i="34" s="1"/>
  <c r="B6" i="34"/>
  <c r="D6" i="34" s="1"/>
  <c r="B5" i="34"/>
  <c r="D5" i="34" s="1"/>
  <c r="D25" i="34" l="1"/>
  <c r="E18" i="34" s="1"/>
  <c r="B6" i="33"/>
  <c r="B23" i="33"/>
  <c r="E19" i="34" l="1"/>
  <c r="E13" i="34"/>
  <c r="E23" i="34"/>
  <c r="E10" i="34"/>
  <c r="E12" i="34"/>
  <c r="E5" i="34"/>
  <c r="E22" i="34"/>
  <c r="E6" i="34"/>
  <c r="E20" i="34"/>
  <c r="E16" i="34"/>
  <c r="E7" i="34"/>
  <c r="E17" i="34"/>
  <c r="E14" i="34"/>
  <c r="E9" i="34"/>
  <c r="E21" i="34"/>
  <c r="E11" i="34"/>
  <c r="E15" i="34"/>
  <c r="E8" i="34"/>
  <c r="D23" i="33"/>
  <c r="B22" i="33"/>
  <c r="D22" i="33" s="1"/>
  <c r="B21" i="33"/>
  <c r="D21" i="33" s="1"/>
  <c r="B20" i="33"/>
  <c r="D20" i="33" s="1"/>
  <c r="B19" i="33"/>
  <c r="D19" i="33" s="1"/>
  <c r="D18" i="33"/>
  <c r="B17" i="33"/>
  <c r="D17" i="33" s="1"/>
  <c r="B16" i="33"/>
  <c r="D16" i="33" s="1"/>
  <c r="D15" i="33"/>
  <c r="B14" i="33"/>
  <c r="D14" i="33" s="1"/>
  <c r="D13" i="33"/>
  <c r="D12" i="33"/>
  <c r="D11" i="33"/>
  <c r="B10" i="33"/>
  <c r="D10" i="33" s="1"/>
  <c r="B9" i="33"/>
  <c r="D9" i="33" s="1"/>
  <c r="B8" i="33"/>
  <c r="D8" i="33" s="1"/>
  <c r="D7" i="33"/>
  <c r="B7" i="33"/>
  <c r="D6" i="33"/>
  <c r="B5" i="33"/>
  <c r="D5" i="33" s="1"/>
  <c r="D25" i="33" l="1"/>
  <c r="E21" i="33" s="1"/>
  <c r="B23" i="32"/>
  <c r="D23" i="32" s="1"/>
  <c r="B5" i="32"/>
  <c r="D5" i="32" s="1"/>
  <c r="B22" i="32"/>
  <c r="D22" i="32" s="1"/>
  <c r="B21" i="32"/>
  <c r="D21" i="32" s="1"/>
  <c r="B20" i="32"/>
  <c r="D20" i="32" s="1"/>
  <c r="B19" i="32"/>
  <c r="D19" i="32" s="1"/>
  <c r="D18" i="32"/>
  <c r="B17" i="32"/>
  <c r="D17" i="32" s="1"/>
  <c r="B16" i="32"/>
  <c r="D16" i="32" s="1"/>
  <c r="D15" i="32"/>
  <c r="B14" i="32"/>
  <c r="D14" i="32" s="1"/>
  <c r="D13" i="32"/>
  <c r="D12" i="32"/>
  <c r="D11" i="32"/>
  <c r="B10" i="32"/>
  <c r="D10" i="32" s="1"/>
  <c r="B9" i="32"/>
  <c r="D9" i="32" s="1"/>
  <c r="B8" i="32"/>
  <c r="D8" i="32" s="1"/>
  <c r="B7" i="32"/>
  <c r="D7" i="32" s="1"/>
  <c r="B6" i="32"/>
  <c r="D6" i="32" s="1"/>
  <c r="E23" i="33" l="1"/>
  <c r="E16" i="33"/>
  <c r="E8" i="33"/>
  <c r="E7" i="33"/>
  <c r="E9" i="33"/>
  <c r="E20" i="33"/>
  <c r="E18" i="33"/>
  <c r="E17" i="33"/>
  <c r="E22" i="33"/>
  <c r="E6" i="33"/>
  <c r="E11" i="33"/>
  <c r="E13" i="33"/>
  <c r="E12" i="33"/>
  <c r="E5" i="33"/>
  <c r="E14" i="33"/>
  <c r="E10" i="33"/>
  <c r="E19" i="33"/>
  <c r="E15" i="33"/>
  <c r="D25" i="32"/>
  <c r="E16" i="32" s="1"/>
  <c r="B23" i="31"/>
  <c r="D23" i="31" s="1"/>
  <c r="B5" i="31"/>
  <c r="D5" i="31" s="1"/>
  <c r="B22" i="31"/>
  <c r="D22" i="31" s="1"/>
  <c r="D21" i="31"/>
  <c r="B21" i="31"/>
  <c r="B20" i="31"/>
  <c r="D20" i="31" s="1"/>
  <c r="B19" i="31"/>
  <c r="D19" i="31" s="1"/>
  <c r="D18" i="31"/>
  <c r="B17" i="31"/>
  <c r="D17" i="31" s="1"/>
  <c r="B16" i="31"/>
  <c r="D16" i="31" s="1"/>
  <c r="D15" i="31"/>
  <c r="B14" i="31"/>
  <c r="D14" i="31" s="1"/>
  <c r="D13" i="31"/>
  <c r="D12" i="31"/>
  <c r="D11" i="31"/>
  <c r="B10" i="31"/>
  <c r="D10" i="31" s="1"/>
  <c r="B9" i="31"/>
  <c r="D9" i="31" s="1"/>
  <c r="B8" i="31"/>
  <c r="D8" i="31" s="1"/>
  <c r="B7" i="31"/>
  <c r="D7" i="31" s="1"/>
  <c r="B6" i="31"/>
  <c r="D6" i="31" s="1"/>
  <c r="E19" i="32" l="1"/>
  <c r="E18" i="32"/>
  <c r="E15" i="32"/>
  <c r="E7" i="32"/>
  <c r="E12" i="32"/>
  <c r="E11" i="32"/>
  <c r="E21" i="32"/>
  <c r="E17" i="32"/>
  <c r="E23" i="32"/>
  <c r="E9" i="32"/>
  <c r="E8" i="32"/>
  <c r="E14" i="32"/>
  <c r="E13" i="32"/>
  <c r="E20" i="32"/>
  <c r="E22" i="32"/>
  <c r="E5" i="32"/>
  <c r="E10" i="32"/>
  <c r="E6" i="32"/>
  <c r="D25" i="31"/>
  <c r="E10" i="31" s="1"/>
  <c r="B5" i="30"/>
  <c r="B23" i="30"/>
  <c r="E16" i="31" l="1"/>
  <c r="E11" i="31"/>
  <c r="E21" i="31"/>
  <c r="E17" i="31"/>
  <c r="E12" i="31"/>
  <c r="E5" i="31"/>
  <c r="E14" i="31"/>
  <c r="E13" i="31"/>
  <c r="E23" i="31"/>
  <c r="E9" i="31"/>
  <c r="E18" i="31"/>
  <c r="E15" i="31"/>
  <c r="E6" i="31"/>
  <c r="E20" i="31"/>
  <c r="E19" i="31"/>
  <c r="E22" i="31"/>
  <c r="E7" i="31"/>
  <c r="E8" i="31"/>
  <c r="D5" i="30"/>
  <c r="D23" i="30"/>
  <c r="B22" i="30"/>
  <c r="D22" i="30" s="1"/>
  <c r="B21" i="30"/>
  <c r="D21" i="30" s="1"/>
  <c r="D20" i="30"/>
  <c r="B20" i="30"/>
  <c r="B19" i="30"/>
  <c r="D19" i="30" s="1"/>
  <c r="D18" i="30"/>
  <c r="B17" i="30"/>
  <c r="D17" i="30" s="1"/>
  <c r="B16" i="30"/>
  <c r="D16" i="30" s="1"/>
  <c r="D15" i="30"/>
  <c r="D14" i="30"/>
  <c r="B14" i="30"/>
  <c r="D13" i="30"/>
  <c r="D12" i="30"/>
  <c r="D11" i="30"/>
  <c r="B10" i="30"/>
  <c r="D10" i="30" s="1"/>
  <c r="B9" i="30"/>
  <c r="D9" i="30" s="1"/>
  <c r="B8" i="30"/>
  <c r="D8" i="30" s="1"/>
  <c r="B7" i="30"/>
  <c r="D7" i="30" s="1"/>
  <c r="B6" i="30"/>
  <c r="D6" i="30" s="1"/>
  <c r="D25" i="30" l="1"/>
  <c r="E9" i="30" s="1"/>
  <c r="B5" i="29"/>
  <c r="D5" i="29" s="1"/>
  <c r="B23" i="29"/>
  <c r="D23" i="29" s="1"/>
  <c r="B22" i="29"/>
  <c r="D22" i="29" s="1"/>
  <c r="D21" i="29"/>
  <c r="B21" i="29"/>
  <c r="B20" i="29"/>
  <c r="D20" i="29" s="1"/>
  <c r="B19" i="29"/>
  <c r="D19" i="29" s="1"/>
  <c r="D18" i="29"/>
  <c r="B17" i="29"/>
  <c r="D17" i="29" s="1"/>
  <c r="B16" i="29"/>
  <c r="D16" i="29" s="1"/>
  <c r="D15" i="29"/>
  <c r="B14" i="29"/>
  <c r="D14" i="29" s="1"/>
  <c r="D13" i="29"/>
  <c r="D12" i="29"/>
  <c r="D11" i="29"/>
  <c r="D10" i="29"/>
  <c r="B10" i="29"/>
  <c r="B9" i="29"/>
  <c r="D9" i="29" s="1"/>
  <c r="B8" i="29"/>
  <c r="D8" i="29" s="1"/>
  <c r="B7" i="29"/>
  <c r="D7" i="29" s="1"/>
  <c r="B6" i="29"/>
  <c r="D6" i="29" s="1"/>
  <c r="E20" i="30" l="1"/>
  <c r="E14" i="30"/>
  <c r="E19" i="30"/>
  <c r="E5" i="30"/>
  <c r="E8" i="30"/>
  <c r="E17" i="30"/>
  <c r="E18" i="30"/>
  <c r="E15" i="30"/>
  <c r="E12" i="30"/>
  <c r="E6" i="30"/>
  <c r="E21" i="30"/>
  <c r="E10" i="30"/>
  <c r="E16" i="30"/>
  <c r="E13" i="30"/>
  <c r="E23" i="30"/>
  <c r="E11" i="30"/>
  <c r="E22" i="30"/>
  <c r="E7" i="30"/>
  <c r="D25" i="29"/>
  <c r="B23" i="28"/>
  <c r="E18" i="29" l="1"/>
  <c r="E15" i="29"/>
  <c r="E21" i="29"/>
  <c r="E17" i="29"/>
  <c r="E16" i="29"/>
  <c r="E5" i="29"/>
  <c r="E7" i="29"/>
  <c r="E20" i="29"/>
  <c r="E23" i="29"/>
  <c r="E22" i="29"/>
  <c r="E14" i="29"/>
  <c r="E13" i="29"/>
  <c r="E9" i="29"/>
  <c r="E11" i="29"/>
  <c r="E12" i="29"/>
  <c r="E19" i="29"/>
  <c r="E10" i="29"/>
  <c r="E6" i="29"/>
  <c r="E8" i="29"/>
  <c r="B5" i="28"/>
  <c r="D5" i="28" l="1"/>
  <c r="D23" i="28"/>
  <c r="B22" i="28"/>
  <c r="D22" i="28" s="1"/>
  <c r="B21" i="28"/>
  <c r="D21" i="28" s="1"/>
  <c r="B20" i="28"/>
  <c r="D20" i="28" s="1"/>
  <c r="B19" i="28"/>
  <c r="D19" i="28" s="1"/>
  <c r="D18" i="28"/>
  <c r="B17" i="28"/>
  <c r="D17" i="28" s="1"/>
  <c r="B16" i="28"/>
  <c r="D16" i="28" s="1"/>
  <c r="D15" i="28"/>
  <c r="B14" i="28"/>
  <c r="D14" i="28" s="1"/>
  <c r="D13" i="28"/>
  <c r="D12" i="28"/>
  <c r="D11" i="28"/>
  <c r="D10" i="28"/>
  <c r="B10" i="28"/>
  <c r="B9" i="28"/>
  <c r="D9" i="28" s="1"/>
  <c r="B8" i="28"/>
  <c r="D8" i="28" s="1"/>
  <c r="B7" i="28"/>
  <c r="D7" i="28" s="1"/>
  <c r="B6" i="28"/>
  <c r="D6" i="28" s="1"/>
  <c r="D25" i="28" l="1"/>
  <c r="B23" i="27"/>
  <c r="E18" i="28" l="1"/>
  <c r="E15" i="28"/>
  <c r="E7" i="28"/>
  <c r="E23" i="28"/>
  <c r="E9" i="28"/>
  <c r="E11" i="28"/>
  <c r="E21" i="28"/>
  <c r="E17" i="28"/>
  <c r="E20" i="28"/>
  <c r="E19" i="28"/>
  <c r="E8" i="28"/>
  <c r="E14" i="28"/>
  <c r="E13" i="28"/>
  <c r="E16" i="28"/>
  <c r="E22" i="28"/>
  <c r="E5" i="28"/>
  <c r="E10" i="28"/>
  <c r="E6" i="28"/>
  <c r="E12" i="28"/>
  <c r="D23" i="27"/>
  <c r="B7" i="27"/>
  <c r="B22" i="27"/>
  <c r="D22" i="27" s="1"/>
  <c r="B21" i="27"/>
  <c r="D21" i="27" s="1"/>
  <c r="B20" i="27"/>
  <c r="D20" i="27" s="1"/>
  <c r="B19" i="27"/>
  <c r="D19" i="27" s="1"/>
  <c r="D18" i="27"/>
  <c r="B17" i="27"/>
  <c r="D17" i="27" s="1"/>
  <c r="B16" i="27"/>
  <c r="D16" i="27" s="1"/>
  <c r="D15" i="27"/>
  <c r="B14" i="27"/>
  <c r="D14" i="27" s="1"/>
  <c r="D13" i="27"/>
  <c r="D12" i="27"/>
  <c r="D11" i="27"/>
  <c r="B10" i="27"/>
  <c r="D10" i="27" s="1"/>
  <c r="B9" i="27"/>
  <c r="D9" i="27" s="1"/>
  <c r="B8" i="27"/>
  <c r="D8" i="27" s="1"/>
  <c r="D7" i="27"/>
  <c r="B6" i="27"/>
  <c r="D6" i="27" s="1"/>
  <c r="B5" i="27"/>
  <c r="D5" i="27" s="1"/>
  <c r="D25" i="27" l="1"/>
  <c r="E19" i="27" s="1"/>
  <c r="B23" i="26"/>
  <c r="D23" i="26" s="1"/>
  <c r="D7" i="26"/>
  <c r="B22" i="26"/>
  <c r="D22" i="26" s="1"/>
  <c r="B21" i="26"/>
  <c r="D21" i="26" s="1"/>
  <c r="B20" i="26"/>
  <c r="D20" i="26" s="1"/>
  <c r="D19" i="26"/>
  <c r="B19" i="26"/>
  <c r="D18" i="26"/>
  <c r="B17" i="26"/>
  <c r="D17" i="26" s="1"/>
  <c r="B16" i="26"/>
  <c r="D16" i="26" s="1"/>
  <c r="D15" i="26"/>
  <c r="B14" i="26"/>
  <c r="D14" i="26" s="1"/>
  <c r="D13" i="26"/>
  <c r="D12" i="26"/>
  <c r="D11" i="26"/>
  <c r="B10" i="26"/>
  <c r="D10" i="26" s="1"/>
  <c r="B9" i="26"/>
  <c r="D9" i="26" s="1"/>
  <c r="B8" i="26"/>
  <c r="D8" i="26" s="1"/>
  <c r="B6" i="26"/>
  <c r="D6" i="26" s="1"/>
  <c r="B5" i="26"/>
  <c r="D5" i="26" s="1"/>
  <c r="E5" i="27" l="1"/>
  <c r="E16" i="27"/>
  <c r="E8" i="27"/>
  <c r="E20" i="27"/>
  <c r="E12" i="27"/>
  <c r="E10" i="27"/>
  <c r="E18" i="27"/>
  <c r="E15" i="27"/>
  <c r="E7" i="27"/>
  <c r="E11" i="27"/>
  <c r="E17" i="27"/>
  <c r="E21" i="27"/>
  <c r="E13" i="27"/>
  <c r="E23" i="27"/>
  <c r="E9" i="27"/>
  <c r="E22" i="27"/>
  <c r="E14" i="27"/>
  <c r="E6" i="27"/>
  <c r="D25" i="26"/>
  <c r="B22" i="25"/>
  <c r="D22" i="25" s="1"/>
  <c r="B5" i="25"/>
  <c r="D5" i="25" s="1"/>
  <c r="B21" i="25"/>
  <c r="D21" i="25" s="1"/>
  <c r="B20" i="25"/>
  <c r="D20" i="25" s="1"/>
  <c r="D19" i="25"/>
  <c r="B19" i="25"/>
  <c r="B18" i="25"/>
  <c r="D18" i="25" s="1"/>
  <c r="D17" i="25"/>
  <c r="B16" i="25"/>
  <c r="D16" i="25" s="1"/>
  <c r="B15" i="25"/>
  <c r="D15" i="25" s="1"/>
  <c r="D14" i="25"/>
  <c r="D13" i="25"/>
  <c r="B13" i="25"/>
  <c r="D12" i="25"/>
  <c r="D11" i="25"/>
  <c r="D10" i="25"/>
  <c r="B9" i="25"/>
  <c r="D9" i="25" s="1"/>
  <c r="B8" i="25"/>
  <c r="D8" i="25" s="1"/>
  <c r="B7" i="25"/>
  <c r="D7" i="25" s="1"/>
  <c r="B6" i="25"/>
  <c r="D6" i="25" s="1"/>
  <c r="E10" i="26" l="1"/>
  <c r="E7" i="26"/>
  <c r="E12" i="26"/>
  <c r="E6" i="26"/>
  <c r="E9" i="26"/>
  <c r="E5" i="26"/>
  <c r="E18" i="26"/>
  <c r="E15" i="26"/>
  <c r="E14" i="26"/>
  <c r="E19" i="26"/>
  <c r="E16" i="26"/>
  <c r="E11" i="26"/>
  <c r="E8" i="26"/>
  <c r="E13" i="26"/>
  <c r="E22" i="26"/>
  <c r="E23" i="26"/>
  <c r="E20" i="26"/>
  <c r="E21" i="26"/>
  <c r="E17" i="26"/>
  <c r="D24" i="25"/>
  <c r="E11" i="25" s="1"/>
  <c r="B5" i="24"/>
  <c r="B22" i="24"/>
  <c r="E7" i="25" l="1"/>
  <c r="E20" i="25"/>
  <c r="E21" i="25"/>
  <c r="E17" i="25"/>
  <c r="E13" i="25"/>
  <c r="E9" i="25"/>
  <c r="E15" i="25"/>
  <c r="E19" i="25"/>
  <c r="E12" i="25"/>
  <c r="E16" i="25"/>
  <c r="E22" i="25"/>
  <c r="E8" i="25"/>
  <c r="E18" i="25"/>
  <c r="E5" i="25"/>
  <c r="E14" i="25"/>
  <c r="E10" i="25"/>
  <c r="E6" i="25"/>
  <c r="B6" i="24"/>
  <c r="D6" i="24" s="1"/>
  <c r="D22" i="24"/>
  <c r="B21" i="24"/>
  <c r="D21" i="24" s="1"/>
  <c r="B20" i="24"/>
  <c r="D20" i="24" s="1"/>
  <c r="B19" i="24"/>
  <c r="D19" i="24" s="1"/>
  <c r="B18" i="24"/>
  <c r="D18" i="24" s="1"/>
  <c r="D17" i="24"/>
  <c r="B16" i="24"/>
  <c r="D16" i="24" s="1"/>
  <c r="B15" i="24"/>
  <c r="D15" i="24" s="1"/>
  <c r="D14" i="24"/>
  <c r="B13" i="24"/>
  <c r="D13" i="24" s="1"/>
  <c r="D12" i="24"/>
  <c r="D11" i="24"/>
  <c r="D10" i="24"/>
  <c r="B9" i="24"/>
  <c r="D9" i="24" s="1"/>
  <c r="B8" i="24"/>
  <c r="D8" i="24" s="1"/>
  <c r="B7" i="24"/>
  <c r="D7" i="24" s="1"/>
  <c r="D5" i="24"/>
  <c r="D24" i="24" l="1"/>
  <c r="E8" i="24" s="1"/>
  <c r="B22" i="23"/>
  <c r="D22" i="23" s="1"/>
  <c r="B21" i="23"/>
  <c r="D21" i="23" s="1"/>
  <c r="B20" i="23"/>
  <c r="D20" i="23" s="1"/>
  <c r="B19" i="23"/>
  <c r="D19" i="23" s="1"/>
  <c r="B18" i="23"/>
  <c r="D18" i="23" s="1"/>
  <c r="D17" i="23"/>
  <c r="D16" i="23"/>
  <c r="B16" i="23"/>
  <c r="B15" i="23"/>
  <c r="D15" i="23" s="1"/>
  <c r="D14" i="23"/>
  <c r="B13" i="23"/>
  <c r="D13" i="23" s="1"/>
  <c r="D12" i="23"/>
  <c r="D11" i="23"/>
  <c r="D10" i="23"/>
  <c r="B9" i="23"/>
  <c r="D9" i="23" s="1"/>
  <c r="B8" i="23"/>
  <c r="D8" i="23" s="1"/>
  <c r="B7" i="23"/>
  <c r="D7" i="23" s="1"/>
  <c r="B6" i="23"/>
  <c r="D6" i="23" s="1"/>
  <c r="D5" i="23"/>
  <c r="E7" i="24" l="1"/>
  <c r="E16" i="24"/>
  <c r="E12" i="24"/>
  <c r="E20" i="24"/>
  <c r="E13" i="24"/>
  <c r="E6" i="24"/>
  <c r="E5" i="24"/>
  <c r="E14" i="24"/>
  <c r="E22" i="24"/>
  <c r="E10" i="24"/>
  <c r="E18" i="24"/>
  <c r="E9" i="24"/>
  <c r="E17" i="24"/>
  <c r="E19" i="24"/>
  <c r="E21" i="24"/>
  <c r="E15" i="24"/>
  <c r="E11" i="24"/>
  <c r="D24" i="23"/>
  <c r="E14" i="23" s="1"/>
  <c r="B6" i="22"/>
  <c r="D6" i="22" s="1"/>
  <c r="B22" i="22"/>
  <c r="D22" i="22" s="1"/>
  <c r="B21" i="22"/>
  <c r="D21" i="22" s="1"/>
  <c r="B20" i="22"/>
  <c r="D20" i="22" s="1"/>
  <c r="B19" i="22"/>
  <c r="D19" i="22" s="1"/>
  <c r="D18" i="22"/>
  <c r="B18" i="22"/>
  <c r="D17" i="22"/>
  <c r="B16" i="22"/>
  <c r="D16" i="22" s="1"/>
  <c r="B15" i="22"/>
  <c r="D15" i="22" s="1"/>
  <c r="D14" i="22"/>
  <c r="B13" i="22"/>
  <c r="D13" i="22" s="1"/>
  <c r="D12" i="22"/>
  <c r="D11" i="22"/>
  <c r="D10" i="22"/>
  <c r="B9" i="22"/>
  <c r="D9" i="22" s="1"/>
  <c r="B8" i="22"/>
  <c r="D8" i="22" s="1"/>
  <c r="B7" i="22"/>
  <c r="D7" i="22" s="1"/>
  <c r="D5" i="22"/>
  <c r="E12" i="23" l="1"/>
  <c r="E21" i="23"/>
  <c r="E9" i="23"/>
  <c r="E19" i="23"/>
  <c r="E17" i="23"/>
  <c r="E13" i="23"/>
  <c r="E18" i="23"/>
  <c r="E8" i="23"/>
  <c r="E20" i="23"/>
  <c r="E16" i="23"/>
  <c r="E7" i="23"/>
  <c r="E6" i="23"/>
  <c r="E11" i="23"/>
  <c r="E22" i="23"/>
  <c r="E10" i="23"/>
  <c r="E15" i="23"/>
  <c r="E5" i="23"/>
  <c r="D24" i="22"/>
  <c r="E14" i="22" s="1"/>
  <c r="E12" i="22" l="1"/>
  <c r="E11" i="22"/>
  <c r="E16" i="22"/>
  <c r="E20" i="22"/>
  <c r="E13" i="22"/>
  <c r="E10" i="22"/>
  <c r="E8" i="22"/>
  <c r="E7" i="22"/>
  <c r="E22" i="22"/>
  <c r="E9" i="22"/>
  <c r="E18" i="22"/>
  <c r="E5" i="22"/>
  <c r="E17" i="22"/>
  <c r="E19" i="22"/>
  <c r="E6" i="22"/>
  <c r="E15" i="22"/>
  <c r="E21" i="22"/>
  <c r="B22" i="20"/>
  <c r="B8" i="20"/>
  <c r="D22" i="20" l="1"/>
  <c r="B21" i="20"/>
  <c r="D21" i="20" s="1"/>
  <c r="B20" i="20"/>
  <c r="D20" i="20" s="1"/>
  <c r="B19" i="20"/>
  <c r="D19" i="20" s="1"/>
  <c r="B18" i="20"/>
  <c r="D18" i="20" s="1"/>
  <c r="D17" i="20"/>
  <c r="B16" i="20"/>
  <c r="D16" i="20" s="1"/>
  <c r="B15" i="20"/>
  <c r="D15" i="20" s="1"/>
  <c r="D14" i="20"/>
  <c r="B13" i="20"/>
  <c r="D13" i="20" s="1"/>
  <c r="D12" i="20"/>
  <c r="D11" i="20"/>
  <c r="D10" i="20"/>
  <c r="B9" i="20"/>
  <c r="D9" i="20" s="1"/>
  <c r="D8" i="20"/>
  <c r="B7" i="20"/>
  <c r="D7" i="20" s="1"/>
  <c r="B6" i="20"/>
  <c r="D6" i="20" s="1"/>
  <c r="D5" i="20"/>
  <c r="D24" i="20" l="1"/>
  <c r="E11" i="20" s="1"/>
  <c r="B11" i="19"/>
  <c r="D11" i="19" s="1"/>
  <c r="B23" i="19"/>
  <c r="D23" i="19" s="1"/>
  <c r="B22" i="19"/>
  <c r="D22" i="19" s="1"/>
  <c r="B21" i="19"/>
  <c r="D21" i="19" s="1"/>
  <c r="D20" i="19"/>
  <c r="B20" i="19"/>
  <c r="B19" i="19"/>
  <c r="D19" i="19" s="1"/>
  <c r="D18" i="19"/>
  <c r="B17" i="19"/>
  <c r="D17" i="19" s="1"/>
  <c r="B16" i="19"/>
  <c r="D16" i="19" s="1"/>
  <c r="D15" i="19"/>
  <c r="B14" i="19"/>
  <c r="D14" i="19" s="1"/>
  <c r="D13" i="19"/>
  <c r="D12" i="19"/>
  <c r="D10" i="19"/>
  <c r="B9" i="19"/>
  <c r="D9" i="19" s="1"/>
  <c r="B8" i="19"/>
  <c r="D8" i="19" s="1"/>
  <c r="B7" i="19"/>
  <c r="D7" i="19" s="1"/>
  <c r="D6" i="19"/>
  <c r="B6" i="19"/>
  <c r="D5" i="19"/>
  <c r="E6" i="20" l="1"/>
  <c r="E22" i="20"/>
  <c r="E13" i="20"/>
  <c r="E15" i="20"/>
  <c r="E10" i="20"/>
  <c r="E17" i="20"/>
  <c r="E8" i="20"/>
  <c r="E9" i="20"/>
  <c r="E7" i="20"/>
  <c r="E19" i="20"/>
  <c r="E21" i="20"/>
  <c r="E20" i="20"/>
  <c r="E5" i="20"/>
  <c r="E12" i="20"/>
  <c r="E16" i="20"/>
  <c r="E18" i="20"/>
  <c r="E14" i="20"/>
  <c r="D25" i="19"/>
  <c r="E8" i="19" s="1"/>
  <c r="B8" i="18"/>
  <c r="D8" i="18" s="1"/>
  <c r="B23" i="18"/>
  <c r="D23" i="18" s="1"/>
  <c r="B22" i="18"/>
  <c r="D22" i="18" s="1"/>
  <c r="B21" i="18"/>
  <c r="D21" i="18" s="1"/>
  <c r="B20" i="18"/>
  <c r="D20" i="18" s="1"/>
  <c r="B19" i="18"/>
  <c r="D19" i="18" s="1"/>
  <c r="D18" i="18"/>
  <c r="B17" i="18"/>
  <c r="D17" i="18" s="1"/>
  <c r="B16" i="18"/>
  <c r="D16" i="18" s="1"/>
  <c r="D15" i="18"/>
  <c r="B14" i="18"/>
  <c r="D14" i="18" s="1"/>
  <c r="D13" i="18"/>
  <c r="D12" i="18"/>
  <c r="B11" i="18"/>
  <c r="D11" i="18" s="1"/>
  <c r="D10" i="18"/>
  <c r="B9" i="18"/>
  <c r="D9" i="18" s="1"/>
  <c r="B7" i="18"/>
  <c r="D7" i="18" s="1"/>
  <c r="B6" i="18"/>
  <c r="D6" i="18" s="1"/>
  <c r="D5" i="18"/>
  <c r="E9" i="19" l="1"/>
  <c r="E20" i="19"/>
  <c r="E18" i="19"/>
  <c r="E15" i="19"/>
  <c r="E10" i="19"/>
  <c r="E6" i="19"/>
  <c r="E21" i="19"/>
  <c r="E12" i="19"/>
  <c r="E5" i="19"/>
  <c r="E14" i="19"/>
  <c r="E19" i="19"/>
  <c r="E7" i="19"/>
  <c r="E17" i="19"/>
  <c r="E22" i="19"/>
  <c r="E23" i="19"/>
  <c r="E11" i="19"/>
  <c r="E13" i="19"/>
  <c r="E16" i="19"/>
  <c r="D25" i="18"/>
  <c r="E12" i="18" s="1"/>
  <c r="B23" i="17"/>
  <c r="D23" i="17" s="1"/>
  <c r="B8" i="17"/>
  <c r="D8" i="17" s="1"/>
  <c r="B22" i="17"/>
  <c r="D22" i="17" s="1"/>
  <c r="B21" i="17"/>
  <c r="D21" i="17" s="1"/>
  <c r="D20" i="17"/>
  <c r="B20" i="17"/>
  <c r="B19" i="17"/>
  <c r="D19" i="17" s="1"/>
  <c r="D18" i="17"/>
  <c r="B17" i="17"/>
  <c r="D17" i="17" s="1"/>
  <c r="B16" i="17"/>
  <c r="D16" i="17" s="1"/>
  <c r="D15" i="17"/>
  <c r="D14" i="17"/>
  <c r="B14" i="17"/>
  <c r="D13" i="17"/>
  <c r="D12" i="17"/>
  <c r="B11" i="17"/>
  <c r="D11" i="17" s="1"/>
  <c r="D10" i="17"/>
  <c r="D9" i="17"/>
  <c r="B9" i="17"/>
  <c r="B7" i="17"/>
  <c r="D7" i="17" s="1"/>
  <c r="D6" i="17"/>
  <c r="B6" i="17"/>
  <c r="D5" i="17"/>
  <c r="E23" i="18" l="1"/>
  <c r="E19" i="18"/>
  <c r="E8" i="18"/>
  <c r="E6" i="18"/>
  <c r="E11" i="18"/>
  <c r="E22" i="18"/>
  <c r="E18" i="18"/>
  <c r="E10" i="18"/>
  <c r="E9" i="18"/>
  <c r="E17" i="18"/>
  <c r="E7" i="18"/>
  <c r="E13" i="18"/>
  <c r="E15" i="18"/>
  <c r="E5" i="18"/>
  <c r="E14" i="18"/>
  <c r="E16" i="18"/>
  <c r="E21" i="18"/>
  <c r="E20" i="18"/>
  <c r="D25" i="17"/>
  <c r="E12" i="17" s="1"/>
  <c r="B23" i="16"/>
  <c r="D23" i="16" s="1"/>
  <c r="D8" i="16"/>
  <c r="B22" i="16"/>
  <c r="D22" i="16" s="1"/>
  <c r="B21" i="16"/>
  <c r="D21" i="16" s="1"/>
  <c r="D20" i="16"/>
  <c r="B20" i="16"/>
  <c r="B19" i="16"/>
  <c r="D19" i="16" s="1"/>
  <c r="D18" i="16"/>
  <c r="B17" i="16"/>
  <c r="D17" i="16" s="1"/>
  <c r="B16" i="16"/>
  <c r="D16" i="16" s="1"/>
  <c r="D15" i="16"/>
  <c r="D14" i="16"/>
  <c r="B14" i="16"/>
  <c r="D13" i="16"/>
  <c r="D12" i="16"/>
  <c r="B11" i="16"/>
  <c r="D11" i="16" s="1"/>
  <c r="D10" i="16"/>
  <c r="B9" i="16"/>
  <c r="D9" i="16" s="1"/>
  <c r="B7" i="16"/>
  <c r="D7" i="16" s="1"/>
  <c r="B6" i="16"/>
  <c r="D6" i="16" s="1"/>
  <c r="D5" i="16"/>
  <c r="E17" i="17" l="1"/>
  <c r="E10" i="17"/>
  <c r="E16" i="17"/>
  <c r="E15" i="17"/>
  <c r="E7" i="17"/>
  <c r="E11" i="17"/>
  <c r="E13" i="17"/>
  <c r="E20" i="17"/>
  <c r="E5" i="17"/>
  <c r="E9" i="17"/>
  <c r="E22" i="17"/>
  <c r="E6" i="17"/>
  <c r="E14" i="17"/>
  <c r="E23" i="17"/>
  <c r="E21" i="17"/>
  <c r="E19" i="17"/>
  <c r="E18" i="17"/>
  <c r="E8" i="17"/>
  <c r="D25" i="16"/>
  <c r="B21" i="15"/>
  <c r="D21" i="15" s="1"/>
  <c r="B22" i="15"/>
  <c r="D22" i="15" s="1"/>
  <c r="B20" i="15"/>
  <c r="D20" i="15" s="1"/>
  <c r="B19" i="15"/>
  <c r="D19" i="15" s="1"/>
  <c r="D18" i="15"/>
  <c r="B18" i="15"/>
  <c r="D17" i="15"/>
  <c r="B16" i="15"/>
  <c r="D16" i="15" s="1"/>
  <c r="B15" i="15"/>
  <c r="D15" i="15" s="1"/>
  <c r="D14" i="15"/>
  <c r="D13" i="15"/>
  <c r="B13" i="15"/>
  <c r="D12" i="15"/>
  <c r="D11" i="15"/>
  <c r="D10" i="15"/>
  <c r="B10" i="15"/>
  <c r="D9" i="15"/>
  <c r="D8" i="15"/>
  <c r="B8" i="15"/>
  <c r="B7" i="15"/>
  <c r="D7" i="15" s="1"/>
  <c r="B6" i="15"/>
  <c r="D6" i="15" s="1"/>
  <c r="D5" i="15"/>
  <c r="E16" i="16" l="1"/>
  <c r="E8" i="16"/>
  <c r="E6" i="16"/>
  <c r="E20" i="16"/>
  <c r="E22" i="16"/>
  <c r="E23" i="16"/>
  <c r="E18" i="16"/>
  <c r="E14" i="16"/>
  <c r="E21" i="16"/>
  <c r="E10" i="16"/>
  <c r="E15" i="16"/>
  <c r="E7" i="16"/>
  <c r="E9" i="16"/>
  <c r="E17" i="16"/>
  <c r="E5" i="16"/>
  <c r="E13" i="16"/>
  <c r="E12" i="16"/>
  <c r="E19" i="16"/>
  <c r="E11" i="16"/>
  <c r="D24" i="15"/>
  <c r="E7" i="15" s="1"/>
  <c r="B22" i="14"/>
  <c r="D21" i="14"/>
  <c r="E6" i="15" l="1"/>
  <c r="E20" i="15"/>
  <c r="E17" i="15"/>
  <c r="E12" i="15"/>
  <c r="E21" i="15"/>
  <c r="E15" i="15"/>
  <c r="E9" i="15"/>
  <c r="E18" i="15"/>
  <c r="E11" i="15"/>
  <c r="E5" i="15"/>
  <c r="E8" i="15"/>
  <c r="E22" i="15"/>
  <c r="E19" i="15"/>
  <c r="E16" i="15"/>
  <c r="E13" i="15"/>
  <c r="E10" i="15"/>
  <c r="E14" i="15"/>
  <c r="D22" i="14"/>
  <c r="B20" i="14"/>
  <c r="D20" i="14" s="1"/>
  <c r="B19" i="14"/>
  <c r="D19" i="14" s="1"/>
  <c r="B18" i="14"/>
  <c r="D18" i="14" s="1"/>
  <c r="D17" i="14"/>
  <c r="B16" i="14"/>
  <c r="D16" i="14" s="1"/>
  <c r="B15" i="14"/>
  <c r="D15" i="14" s="1"/>
  <c r="D14" i="14"/>
  <c r="B13" i="14"/>
  <c r="D13" i="14" s="1"/>
  <c r="D12" i="14"/>
  <c r="D11" i="14"/>
  <c r="D10" i="14"/>
  <c r="B10" i="14"/>
  <c r="D9" i="14"/>
  <c r="B8" i="14"/>
  <c r="D8" i="14" s="1"/>
  <c r="B7" i="14"/>
  <c r="D7" i="14" s="1"/>
  <c r="B6" i="14"/>
  <c r="D6" i="14" s="1"/>
  <c r="D5" i="14"/>
  <c r="B21" i="13"/>
  <c r="D21" i="13" s="1"/>
  <c r="C14" i="2"/>
  <c r="C13" i="2"/>
  <c r="C12" i="2"/>
  <c r="C11" i="2"/>
  <c r="C10" i="2"/>
  <c r="C9" i="2"/>
  <c r="C8" i="2"/>
  <c r="C7" i="2"/>
  <c r="C6" i="2"/>
  <c r="C5" i="2"/>
  <c r="C4" i="2"/>
  <c r="C3" i="2"/>
  <c r="B20" i="13"/>
  <c r="D20" i="13" s="1"/>
  <c r="B19" i="13"/>
  <c r="D19" i="13" s="1"/>
  <c r="B18" i="13"/>
  <c r="D18" i="13" s="1"/>
  <c r="D17" i="13"/>
  <c r="B16" i="13"/>
  <c r="D16" i="13" s="1"/>
  <c r="B15" i="13"/>
  <c r="D15" i="13" s="1"/>
  <c r="D14" i="13"/>
  <c r="B13" i="13"/>
  <c r="D13" i="13" s="1"/>
  <c r="D12" i="13"/>
  <c r="D11" i="13"/>
  <c r="B10" i="13"/>
  <c r="D10" i="13" s="1"/>
  <c r="D9" i="13"/>
  <c r="B8" i="13"/>
  <c r="D8" i="13" s="1"/>
  <c r="B7" i="13"/>
  <c r="D7" i="13" s="1"/>
  <c r="B6" i="13"/>
  <c r="D6" i="13" s="1"/>
  <c r="D5" i="13"/>
  <c r="D24" i="14" l="1"/>
  <c r="C16" i="2"/>
  <c r="D23" i="13"/>
  <c r="E6" i="13" s="1"/>
  <c r="E7" i="14" l="1"/>
  <c r="E21" i="14"/>
  <c r="E12" i="14"/>
  <c r="E22" i="14"/>
  <c r="E11" i="14"/>
  <c r="E19" i="14"/>
  <c r="E15" i="14"/>
  <c r="E8" i="14"/>
  <c r="E5" i="14"/>
  <c r="E6" i="14"/>
  <c r="E9" i="14"/>
  <c r="E17" i="14"/>
  <c r="E14" i="14"/>
  <c r="E16" i="14"/>
  <c r="E18" i="14"/>
  <c r="E20" i="14"/>
  <c r="E10" i="14"/>
  <c r="E13" i="14"/>
  <c r="E7" i="13"/>
  <c r="E19" i="13"/>
  <c r="E16" i="13"/>
  <c r="E20" i="13"/>
  <c r="E21" i="13"/>
  <c r="E17" i="13"/>
  <c r="E14" i="13"/>
  <c r="E9" i="13"/>
  <c r="E12" i="13"/>
  <c r="E5" i="13"/>
  <c r="E10" i="13"/>
  <c r="E8" i="13"/>
  <c r="E15" i="13"/>
  <c r="E13" i="13"/>
  <c r="E11" i="13"/>
  <c r="E18" i="13"/>
</calcChain>
</file>

<file path=xl/sharedStrings.xml><?xml version="1.0" encoding="utf-8"?>
<sst xmlns="http://schemas.openxmlformats.org/spreadsheetml/2006/main" count="812" uniqueCount="96">
  <si>
    <t>Model Portfolio</t>
  </si>
  <si>
    <t>Stock</t>
  </si>
  <si>
    <t>Number of shares</t>
  </si>
  <si>
    <t>CMP</t>
  </si>
  <si>
    <t>Amount</t>
  </si>
  <si>
    <t>Percentage</t>
  </si>
  <si>
    <t>Change</t>
  </si>
  <si>
    <t>Escorts</t>
  </si>
  <si>
    <t>Heritage</t>
  </si>
  <si>
    <t>JBChem</t>
  </si>
  <si>
    <t>J&amp;Kbank</t>
  </si>
  <si>
    <t>LloydElec</t>
  </si>
  <si>
    <t>MBL Infra</t>
  </si>
  <si>
    <t>NeulandLab</t>
  </si>
  <si>
    <t>Nucleus</t>
  </si>
  <si>
    <t>RamcoSys</t>
  </si>
  <si>
    <t>Selan</t>
  </si>
  <si>
    <t>StridesArco</t>
  </si>
  <si>
    <t>Technofab</t>
  </si>
  <si>
    <t>TV18Broadcast</t>
  </si>
  <si>
    <t>TVToday</t>
  </si>
  <si>
    <t>LiquidBees</t>
  </si>
  <si>
    <t>Dynamatic</t>
  </si>
  <si>
    <t>Magma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</si>
  <si>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</si>
  <si>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</si>
  <si>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</si>
  <si>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</si>
  <si>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</si>
  <si>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</si>
  <si>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</si>
  <si>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</si>
  <si>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</si>
  <si>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</si>
  <si>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</si>
  <si>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</si>
  <si>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UFO</t>
  </si>
  <si>
    <t>Add 2.5% Value 177028@422.5=419</t>
  </si>
  <si>
    <t>Less 177.03</t>
  </si>
  <si>
    <t>Add 2.5% Value 179143@427.55=419</t>
  </si>
  <si>
    <t>Less 179.14</t>
  </si>
  <si>
    <t>HindOilExp</t>
  </si>
  <si>
    <t>Add 1.25%. 89792 = 1280@70.15</t>
  </si>
  <si>
    <t>Less 89.792</t>
  </si>
  <si>
    <t>1280 at 69.6 = 89088</t>
  </si>
  <si>
    <t>Less 89.088</t>
  </si>
  <si>
    <t>1280 at 76.45 = 97856</t>
  </si>
  <si>
    <t>Less 97.856</t>
  </si>
  <si>
    <t>Sell 1622@277.8 = 450591.6</t>
  </si>
  <si>
    <t>Add 450.59</t>
  </si>
  <si>
    <t>Add 1% 910shares 78.64 = 71562</t>
  </si>
  <si>
    <t>Less 71.562</t>
  </si>
  <si>
    <t>Sell 554@717.65 Value 397578</t>
  </si>
  <si>
    <t>Add 397.578</t>
  </si>
  <si>
    <t>Start of PMS</t>
  </si>
  <si>
    <t>Sell 554@717.15 Value 397301</t>
  </si>
  <si>
    <t>Add 30@2500.65 Value 75019.5</t>
  </si>
  <si>
    <t>Add 397.301, Less 75.020</t>
  </si>
  <si>
    <t>Add 9@2547.6 Value 22928.4</t>
  </si>
  <si>
    <t>Less 22.928</t>
  </si>
  <si>
    <t>FSL</t>
  </si>
  <si>
    <t>Add 2.5%. 6000@33.41 Value 200460</t>
  </si>
  <si>
    <t>Less 200.46</t>
  </si>
  <si>
    <t>Add 2.5%. 6000@34.28 Value 205680</t>
  </si>
  <si>
    <t>Less 205.68</t>
  </si>
  <si>
    <t>Add 18@2441 Value 43938</t>
  </si>
  <si>
    <t>Less 43.938</t>
  </si>
  <si>
    <t>Add 13@2447 Value 31811</t>
  </si>
  <si>
    <t>Less 31.811</t>
  </si>
  <si>
    <t>Add 20@2457 Value 49140</t>
  </si>
  <si>
    <t>Less 49.14</t>
  </si>
  <si>
    <t>Add 19@2451 Value 46569</t>
  </si>
  <si>
    <t>Less 46.569</t>
  </si>
  <si>
    <t>Add 12@2430 Value 29160</t>
  </si>
  <si>
    <t>Less 29.160</t>
  </si>
  <si>
    <t>Sell 1106@668 = 738808</t>
  </si>
  <si>
    <t>Buy 738.808</t>
  </si>
  <si>
    <t>TataGlobal</t>
  </si>
  <si>
    <t>Buy 5%. 2345@171.1 = 401230</t>
  </si>
  <si>
    <t>Less 401.23</t>
  </si>
  <si>
    <t>Buy 1300 @ 77.3 = 100490</t>
  </si>
  <si>
    <t>Less 100.49</t>
  </si>
  <si>
    <t>Buy 1300 @ 76.7 = 99710</t>
  </si>
  <si>
    <t>Less 99.71</t>
  </si>
  <si>
    <t>Less 232.613</t>
  </si>
  <si>
    <t>Buy 2940 @ 79.12 = 232613. Upto 10%</t>
  </si>
  <si>
    <t>Sell 267@968.75 = 258656</t>
  </si>
  <si>
    <t>Add 258.656</t>
  </si>
  <si>
    <t>South Indian Bank</t>
  </si>
  <si>
    <t>3%. 8384@31.74 = 266108</t>
  </si>
  <si>
    <t>Less 266.108</t>
  </si>
  <si>
    <t>Less 168.229</t>
  </si>
  <si>
    <t>2%. 5589@30.5 = 170465</t>
  </si>
  <si>
    <t>LiquidFund Value for 2017</t>
  </si>
  <si>
    <t>Add 41.913 for dividend for 2017</t>
  </si>
  <si>
    <t>Split to Rs5 from Rs10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</si>
</sst>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workbookViewId="0">
      <selection activeCell="D21" sqref="D21"/>
    </sheetView>
  </sheetViews>
  <sheetFormatPr defaultRowHeight="14.4" x14ac:dyDescent="0.3"/>
  <cols>
    <col min="1" max="1" width="15.109375" bestFit="1" customWidth="1"/>
    <col min="2" max="2" width="16.88671875" bestFit="1" customWidth="1"/>
    <col min="4" max="4" width="8.109375" bestFit="1" customWidth="1"/>
    <col min="5" max="5" width="11" bestFit="1" customWidth="1"/>
    <col min="7" max="7" width="33.88671875" bestFit="1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2865</v>
      </c>
      <c r="D5">
        <f>B5*C5</f>
        <v>126060</v>
      </c>
      <c r="E5" s="3">
        <f t="shared" ref="E5:E21" si="0">D5/$D$23</f>
        <v>1.9520413511916884E-2</v>
      </c>
    </row>
    <row r="6" spans="1:7" x14ac:dyDescent="0.3">
      <c r="A6" t="s">
        <v>7</v>
      </c>
      <c r="B6" s="1">
        <f>473+780+961</f>
        <v>2214</v>
      </c>
      <c r="C6">
        <v>297</v>
      </c>
      <c r="D6">
        <f t="shared" ref="D6:D21" si="1">C6*B6</f>
        <v>657558</v>
      </c>
      <c r="E6" s="3">
        <f t="shared" si="0"/>
        <v>0.10182297372734445</v>
      </c>
    </row>
    <row r="7" spans="1:7" x14ac:dyDescent="0.3">
      <c r="A7" t="s">
        <v>8</v>
      </c>
      <c r="B7" s="1">
        <f>840+420</f>
        <v>1260</v>
      </c>
      <c r="C7">
        <v>885</v>
      </c>
      <c r="D7">
        <f t="shared" si="1"/>
        <v>1115100</v>
      </c>
      <c r="E7" s="3">
        <f t="shared" si="0"/>
        <v>0.1726734341356379</v>
      </c>
    </row>
    <row r="8" spans="1:7" x14ac:dyDescent="0.3">
      <c r="A8" t="s">
        <v>9</v>
      </c>
      <c r="B8" s="1">
        <f>766+383+229</f>
        <v>1378</v>
      </c>
      <c r="C8">
        <v>351</v>
      </c>
      <c r="D8">
        <f t="shared" si="1"/>
        <v>483678</v>
      </c>
      <c r="E8" s="3">
        <f t="shared" si="0"/>
        <v>7.4897624675685656E-2</v>
      </c>
    </row>
    <row r="9" spans="1:7" x14ac:dyDescent="0.3">
      <c r="A9" t="s">
        <v>10</v>
      </c>
      <c r="B9" s="1">
        <v>2928</v>
      </c>
      <c r="C9">
        <v>59</v>
      </c>
      <c r="D9">
        <f t="shared" si="1"/>
        <v>172752</v>
      </c>
      <c r="E9" s="3">
        <f t="shared" si="0"/>
        <v>2.675067805021946E-2</v>
      </c>
    </row>
    <row r="10" spans="1:7" x14ac:dyDescent="0.3">
      <c r="A10" t="s">
        <v>11</v>
      </c>
      <c r="B10" s="1">
        <f>922+700</f>
        <v>1622</v>
      </c>
      <c r="C10">
        <v>253</v>
      </c>
      <c r="D10">
        <f t="shared" si="1"/>
        <v>410366</v>
      </c>
      <c r="E10" s="3">
        <f t="shared" si="0"/>
        <v>6.3545248383557698E-2</v>
      </c>
    </row>
    <row r="11" spans="1:7" x14ac:dyDescent="0.3">
      <c r="A11" t="s">
        <v>23</v>
      </c>
      <c r="B11" s="1">
        <v>2750</v>
      </c>
      <c r="C11">
        <v>101</v>
      </c>
      <c r="D11">
        <f t="shared" si="1"/>
        <v>277750</v>
      </c>
      <c r="E11" s="3">
        <f t="shared" si="0"/>
        <v>4.3009637100863987E-2</v>
      </c>
    </row>
    <row r="12" spans="1:7" x14ac:dyDescent="0.3">
      <c r="A12" t="s">
        <v>12</v>
      </c>
      <c r="B12" s="1">
        <v>1228</v>
      </c>
      <c r="C12">
        <v>42</v>
      </c>
      <c r="D12">
        <f>C12*B12</f>
        <v>51576</v>
      </c>
      <c r="E12" s="3">
        <f t="shared" si="0"/>
        <v>7.9865528104920286E-3</v>
      </c>
    </row>
    <row r="13" spans="1:7" x14ac:dyDescent="0.3">
      <c r="A13" t="s">
        <v>13</v>
      </c>
      <c r="B13" s="1">
        <f>278+278</f>
        <v>556</v>
      </c>
      <c r="C13">
        <v>1032</v>
      </c>
      <c r="D13">
        <f>C13*B13</f>
        <v>573792</v>
      </c>
      <c r="E13" s="3">
        <f t="shared" si="0"/>
        <v>8.8851793668331042E-2</v>
      </c>
    </row>
    <row r="14" spans="1:7" x14ac:dyDescent="0.3">
      <c r="A14" t="s">
        <v>14</v>
      </c>
      <c r="B14" s="1">
        <v>1011</v>
      </c>
      <c r="C14">
        <v>256</v>
      </c>
      <c r="D14">
        <f>C14*B14</f>
        <v>258816</v>
      </c>
      <c r="E14" s="3">
        <f t="shared" si="0"/>
        <v>4.0077703819611933E-2</v>
      </c>
    </row>
    <row r="15" spans="1:7" x14ac:dyDescent="0.3">
      <c r="A15" t="s">
        <v>15</v>
      </c>
      <c r="B15" s="1">
        <f>265+65+158-244</f>
        <v>244</v>
      </c>
      <c r="C15">
        <v>333</v>
      </c>
      <c r="D15">
        <f>C15*B15</f>
        <v>81252</v>
      </c>
      <c r="E15" s="3">
        <f t="shared" si="0"/>
        <v>1.2581886710060849E-2</v>
      </c>
    </row>
    <row r="16" spans="1:7" x14ac:dyDescent="0.3">
      <c r="A16" t="s">
        <v>16</v>
      </c>
      <c r="B16" s="1">
        <f>186+349</f>
        <v>535</v>
      </c>
      <c r="C16">
        <v>182</v>
      </c>
      <c r="D16">
        <f t="shared" si="1"/>
        <v>97370</v>
      </c>
      <c r="E16" s="3">
        <f t="shared" si="0"/>
        <v>1.5077761888428898E-2</v>
      </c>
    </row>
    <row r="17" spans="1:5" x14ac:dyDescent="0.3">
      <c r="A17" t="s">
        <v>17</v>
      </c>
      <c r="B17" s="1">
        <v>267</v>
      </c>
      <c r="C17">
        <v>1062</v>
      </c>
      <c r="D17">
        <f t="shared" si="1"/>
        <v>283554</v>
      </c>
      <c r="E17" s="3">
        <f t="shared" si="0"/>
        <v>4.390838753734793E-2</v>
      </c>
    </row>
    <row r="18" spans="1:5" x14ac:dyDescent="0.3">
      <c r="A18" t="s">
        <v>18</v>
      </c>
      <c r="B18" s="1">
        <f>368+532</f>
        <v>900</v>
      </c>
      <c r="C18">
        <v>184</v>
      </c>
      <c r="D18">
        <f t="shared" si="1"/>
        <v>165600</v>
      </c>
      <c r="E18" s="3">
        <f t="shared" si="0"/>
        <v>2.5643189573008374E-2</v>
      </c>
    </row>
    <row r="19" spans="1:5" x14ac:dyDescent="0.3">
      <c r="A19" t="s">
        <v>19</v>
      </c>
      <c r="B19" s="1">
        <f>6886+2045</f>
        <v>8931</v>
      </c>
      <c r="C19">
        <v>36</v>
      </c>
      <c r="D19">
        <f t="shared" si="1"/>
        <v>321516</v>
      </c>
      <c r="E19" s="3">
        <f t="shared" si="0"/>
        <v>4.978681001663865E-2</v>
      </c>
    </row>
    <row r="20" spans="1:5" x14ac:dyDescent="0.3">
      <c r="A20" t="s">
        <v>20</v>
      </c>
      <c r="B20" s="1">
        <f>920+319+331</f>
        <v>1570</v>
      </c>
      <c r="C20">
        <v>261</v>
      </c>
      <c r="D20">
        <f t="shared" si="1"/>
        <v>409770</v>
      </c>
      <c r="E20" s="3">
        <f t="shared" si="0"/>
        <v>6.3452957677123445E-2</v>
      </c>
    </row>
    <row r="21" spans="1:5" x14ac:dyDescent="0.3">
      <c r="A21" t="s">
        <v>21</v>
      </c>
      <c r="B21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</f>
        <v>971.3449999999998</v>
      </c>
      <c r="C21">
        <v>1000</v>
      </c>
      <c r="D21">
        <f t="shared" si="1"/>
        <v>971344.99999999977</v>
      </c>
      <c r="E21" s="3">
        <f t="shared" si="0"/>
        <v>0.15041294671373076</v>
      </c>
    </row>
    <row r="22" spans="1:5" x14ac:dyDescent="0.3">
      <c r="B22" s="1"/>
      <c r="E22" s="3"/>
    </row>
    <row r="23" spans="1:5" x14ac:dyDescent="0.3">
      <c r="B23" s="1"/>
      <c r="D23">
        <f>SUM(D5:D21)</f>
        <v>6457855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activeCell="B21" sqref="B2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3140</v>
      </c>
      <c r="D5">
        <f>B5*C5</f>
        <v>138160</v>
      </c>
      <c r="E5" s="3">
        <f t="shared" ref="E5:E22" si="0">D5/$D$24</f>
        <v>1.9505983025446299E-2</v>
      </c>
    </row>
    <row r="6" spans="1:7" x14ac:dyDescent="0.3">
      <c r="A6" t="s">
        <v>7</v>
      </c>
      <c r="B6" s="1">
        <f>473+780+961</f>
        <v>2214</v>
      </c>
      <c r="C6">
        <v>383</v>
      </c>
      <c r="D6">
        <f t="shared" ref="D6:D22" si="1">C6*B6</f>
        <v>847962</v>
      </c>
      <c r="E6" s="3">
        <f t="shared" si="0"/>
        <v>0.11971867673873404</v>
      </c>
    </row>
    <row r="7" spans="1:7" x14ac:dyDescent="0.3">
      <c r="A7" t="s">
        <v>8</v>
      </c>
      <c r="B7" s="1">
        <f>840+420</f>
        <v>1260</v>
      </c>
      <c r="C7">
        <v>1068</v>
      </c>
      <c r="D7">
        <f t="shared" si="1"/>
        <v>1345680</v>
      </c>
      <c r="E7" s="3">
        <f t="shared" si="0"/>
        <v>0.18998850056226532</v>
      </c>
    </row>
    <row r="8" spans="1:7" x14ac:dyDescent="0.3">
      <c r="A8" t="s">
        <v>9</v>
      </c>
      <c r="B8" s="1">
        <f>766+383+229</f>
        <v>1378</v>
      </c>
      <c r="C8">
        <v>348</v>
      </c>
      <c r="D8">
        <f t="shared" si="1"/>
        <v>479544</v>
      </c>
      <c r="E8" s="3">
        <f t="shared" si="0"/>
        <v>6.7703945598976703E-2</v>
      </c>
    </row>
    <row r="9" spans="1:7" x14ac:dyDescent="0.3">
      <c r="A9" t="s">
        <v>10</v>
      </c>
      <c r="B9" s="1">
        <v>2928</v>
      </c>
      <c r="C9">
        <v>70</v>
      </c>
      <c r="D9">
        <f t="shared" si="1"/>
        <v>204960</v>
      </c>
      <c r="E9" s="3">
        <f t="shared" si="0"/>
        <v>2.8937074992005457E-2</v>
      </c>
    </row>
    <row r="10" spans="1:7" x14ac:dyDescent="0.3">
      <c r="A10" t="s">
        <v>11</v>
      </c>
      <c r="B10" s="1">
        <f>922+700</f>
        <v>1622</v>
      </c>
      <c r="C10">
        <v>307</v>
      </c>
      <c r="D10">
        <f t="shared" si="1"/>
        <v>497954</v>
      </c>
      <c r="E10" s="3">
        <f t="shared" si="0"/>
        <v>7.030314325023948E-2</v>
      </c>
    </row>
    <row r="11" spans="1:7" x14ac:dyDescent="0.3">
      <c r="A11" t="s">
        <v>23</v>
      </c>
      <c r="B11" s="1">
        <v>2750</v>
      </c>
      <c r="C11">
        <v>103</v>
      </c>
      <c r="D11">
        <f t="shared" si="1"/>
        <v>283250</v>
      </c>
      <c r="E11" s="3">
        <f t="shared" si="0"/>
        <v>3.9990371250417378E-2</v>
      </c>
    </row>
    <row r="12" spans="1:7" x14ac:dyDescent="0.3">
      <c r="A12" t="s">
        <v>12</v>
      </c>
      <c r="B12" s="1">
        <v>1228</v>
      </c>
      <c r="C12">
        <v>48</v>
      </c>
      <c r="D12">
        <f>C12*B12</f>
        <v>58944</v>
      </c>
      <c r="E12" s="3">
        <f t="shared" si="0"/>
        <v>8.3219503724081267E-3</v>
      </c>
    </row>
    <row r="13" spans="1:7" x14ac:dyDescent="0.3">
      <c r="A13" t="s">
        <v>13</v>
      </c>
      <c r="B13" s="1">
        <f>278+278</f>
        <v>556</v>
      </c>
      <c r="C13">
        <v>936</v>
      </c>
      <c r="D13">
        <f>C13*B13</f>
        <v>520416</v>
      </c>
      <c r="E13" s="3">
        <f t="shared" si="0"/>
        <v>7.3474418516000742E-2</v>
      </c>
    </row>
    <row r="14" spans="1:7" x14ac:dyDescent="0.3">
      <c r="A14" t="s">
        <v>14</v>
      </c>
      <c r="B14" s="1">
        <v>1011</v>
      </c>
      <c r="C14">
        <v>267</v>
      </c>
      <c r="D14">
        <f>C14*B14</f>
        <v>269937</v>
      </c>
      <c r="E14" s="3">
        <f t="shared" si="0"/>
        <v>3.8110788505644887E-2</v>
      </c>
    </row>
    <row r="15" spans="1:7" x14ac:dyDescent="0.3">
      <c r="A15" t="s">
        <v>15</v>
      </c>
      <c r="B15" s="1">
        <f>265+65+158-244</f>
        <v>244</v>
      </c>
      <c r="C15">
        <v>384</v>
      </c>
      <c r="D15">
        <f>C15*B15</f>
        <v>93696</v>
      </c>
      <c r="E15" s="3">
        <f t="shared" si="0"/>
        <v>1.3228377139202495E-2</v>
      </c>
    </row>
    <row r="16" spans="1:7" x14ac:dyDescent="0.3">
      <c r="A16" t="s">
        <v>16</v>
      </c>
      <c r="B16" s="1">
        <f>186+349</f>
        <v>535</v>
      </c>
      <c r="C16">
        <v>189</v>
      </c>
      <c r="D16">
        <f t="shared" si="1"/>
        <v>101115</v>
      </c>
      <c r="E16" s="3">
        <f t="shared" si="0"/>
        <v>1.4275821320338757E-2</v>
      </c>
    </row>
    <row r="17" spans="1:7" x14ac:dyDescent="0.3">
      <c r="A17" t="s">
        <v>17</v>
      </c>
      <c r="B17" s="1">
        <v>267</v>
      </c>
      <c r="C17">
        <v>1190</v>
      </c>
      <c r="D17">
        <f t="shared" si="1"/>
        <v>317730</v>
      </c>
      <c r="E17" s="3">
        <f t="shared" si="0"/>
        <v>4.4858395966090425E-2</v>
      </c>
    </row>
    <row r="18" spans="1:7" x14ac:dyDescent="0.3">
      <c r="A18" t="s">
        <v>18</v>
      </c>
      <c r="B18" s="1">
        <f>368+532</f>
        <v>900</v>
      </c>
      <c r="C18">
        <v>187</v>
      </c>
      <c r="D18">
        <f t="shared" si="1"/>
        <v>168300</v>
      </c>
      <c r="E18" s="3">
        <f t="shared" si="0"/>
        <v>2.3761269131315956E-2</v>
      </c>
    </row>
    <row r="19" spans="1:7" x14ac:dyDescent="0.3">
      <c r="A19" t="s">
        <v>19</v>
      </c>
      <c r="B19" s="1">
        <f>6886+2045</f>
        <v>8931</v>
      </c>
      <c r="C19">
        <v>40</v>
      </c>
      <c r="D19">
        <f t="shared" si="1"/>
        <v>357240</v>
      </c>
      <c r="E19" s="3">
        <f t="shared" si="0"/>
        <v>5.0436576259484917E-2</v>
      </c>
    </row>
    <row r="20" spans="1:7" x14ac:dyDescent="0.3">
      <c r="A20" t="s">
        <v>20</v>
      </c>
      <c r="B20" s="1">
        <f>920+319+331</f>
        <v>1570</v>
      </c>
      <c r="C20">
        <v>273</v>
      </c>
      <c r="D20">
        <f t="shared" si="1"/>
        <v>428610</v>
      </c>
      <c r="E20" s="3">
        <f t="shared" si="0"/>
        <v>6.0512879158486819E-2</v>
      </c>
    </row>
    <row r="21" spans="1:7" x14ac:dyDescent="0.3">
      <c r="A21" t="s">
        <v>36</v>
      </c>
      <c r="B21" s="1">
        <v>419</v>
      </c>
      <c r="C21">
        <v>418</v>
      </c>
      <c r="D21">
        <f t="shared" si="1"/>
        <v>175142</v>
      </c>
      <c r="E21" s="3">
        <f t="shared" si="0"/>
        <v>2.4727250137830892E-2</v>
      </c>
      <c r="G21" t="s">
        <v>37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</f>
        <v>794.31499999999983</v>
      </c>
      <c r="C22">
        <v>1000</v>
      </c>
      <c r="D22">
        <f t="shared" si="1"/>
        <v>794314.99999999988</v>
      </c>
      <c r="E22" s="3">
        <f t="shared" si="0"/>
        <v>0.11214457807511129</v>
      </c>
      <c r="G22" t="s">
        <v>38</v>
      </c>
    </row>
    <row r="23" spans="1:7" x14ac:dyDescent="0.3">
      <c r="B23" s="1"/>
      <c r="E23" s="3"/>
    </row>
    <row r="24" spans="1:7" x14ac:dyDescent="0.3">
      <c r="B24" s="1"/>
      <c r="D24">
        <f>SUM(D5:D22)</f>
        <v>7082955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activeCell="A24" sqref="A24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3140</v>
      </c>
      <c r="D5">
        <f>B5*C5</f>
        <v>138160</v>
      </c>
      <c r="E5" s="3">
        <f t="shared" ref="E5:E22" si="0">D5/$D$24</f>
        <v>1.9516999467576932E-2</v>
      </c>
    </row>
    <row r="6" spans="1:7" x14ac:dyDescent="0.3">
      <c r="A6" t="s">
        <v>7</v>
      </c>
      <c r="B6" s="1">
        <f>473+780+961</f>
        <v>2214</v>
      </c>
      <c r="C6">
        <v>383</v>
      </c>
      <c r="D6">
        <f t="shared" ref="D6:D22" si="1">C6*B6</f>
        <v>847962</v>
      </c>
      <c r="E6" s="3">
        <f t="shared" si="0"/>
        <v>0.11978629055099502</v>
      </c>
    </row>
    <row r="7" spans="1:7" x14ac:dyDescent="0.3">
      <c r="A7" t="s">
        <v>8</v>
      </c>
      <c r="B7" s="1">
        <f>840+420</f>
        <v>1260</v>
      </c>
      <c r="C7">
        <v>1068</v>
      </c>
      <c r="D7">
        <f t="shared" si="1"/>
        <v>1345680</v>
      </c>
      <c r="E7" s="3">
        <f t="shared" si="0"/>
        <v>0.19009580083619662</v>
      </c>
    </row>
    <row r="8" spans="1:7" x14ac:dyDescent="0.3">
      <c r="A8" t="s">
        <v>9</v>
      </c>
      <c r="B8" s="1">
        <f>766+383+229</f>
        <v>1378</v>
      </c>
      <c r="C8">
        <v>348</v>
      </c>
      <c r="D8">
        <f t="shared" si="1"/>
        <v>479544</v>
      </c>
      <c r="E8" s="3">
        <f t="shared" si="0"/>
        <v>6.7742182923275274E-2</v>
      </c>
    </row>
    <row r="9" spans="1:7" x14ac:dyDescent="0.3">
      <c r="A9" t="s">
        <v>10</v>
      </c>
      <c r="B9" s="1">
        <v>2928</v>
      </c>
      <c r="C9">
        <v>70</v>
      </c>
      <c r="D9">
        <f t="shared" si="1"/>
        <v>204960</v>
      </c>
      <c r="E9" s="3">
        <f t="shared" si="0"/>
        <v>2.8953417855200985E-2</v>
      </c>
    </row>
    <row r="10" spans="1:7" x14ac:dyDescent="0.3">
      <c r="A10" t="s">
        <v>11</v>
      </c>
      <c r="B10" s="1">
        <f>922+700</f>
        <v>1622</v>
      </c>
      <c r="C10">
        <v>307</v>
      </c>
      <c r="D10">
        <f t="shared" si="1"/>
        <v>497954</v>
      </c>
      <c r="E10" s="3">
        <f t="shared" si="0"/>
        <v>7.0342848529804602E-2</v>
      </c>
    </row>
    <row r="11" spans="1:7" x14ac:dyDescent="0.3">
      <c r="A11" t="s">
        <v>23</v>
      </c>
      <c r="B11" s="1">
        <v>2750</v>
      </c>
      <c r="C11">
        <v>103</v>
      </c>
      <c r="D11">
        <f t="shared" si="1"/>
        <v>283250</v>
      </c>
      <c r="E11" s="3">
        <f t="shared" si="0"/>
        <v>4.0012956710995702E-2</v>
      </c>
    </row>
    <row r="12" spans="1:7" x14ac:dyDescent="0.3">
      <c r="A12" t="s">
        <v>12</v>
      </c>
      <c r="B12" s="1">
        <v>1228</v>
      </c>
      <c r="C12">
        <v>48</v>
      </c>
      <c r="D12">
        <f>C12*B12</f>
        <v>58944</v>
      </c>
      <c r="E12" s="3">
        <f t="shared" si="0"/>
        <v>8.3266503808400016E-3</v>
      </c>
    </row>
    <row r="13" spans="1:7" x14ac:dyDescent="0.3">
      <c r="A13" t="s">
        <v>13</v>
      </c>
      <c r="B13" s="1">
        <f>278+278</f>
        <v>556</v>
      </c>
      <c r="C13">
        <v>936</v>
      </c>
      <c r="D13">
        <f>C13*B13</f>
        <v>520416</v>
      </c>
      <c r="E13" s="3">
        <f t="shared" si="0"/>
        <v>7.3515914844517347E-2</v>
      </c>
    </row>
    <row r="14" spans="1:7" x14ac:dyDescent="0.3">
      <c r="A14" t="s">
        <v>14</v>
      </c>
      <c r="B14" s="1">
        <v>1011</v>
      </c>
      <c r="C14">
        <v>267</v>
      </c>
      <c r="D14">
        <f>C14*B14</f>
        <v>269937</v>
      </c>
      <c r="E14" s="3">
        <f t="shared" si="0"/>
        <v>3.8132312429641824E-2</v>
      </c>
    </row>
    <row r="15" spans="1:7" x14ac:dyDescent="0.3">
      <c r="A15" t="s">
        <v>15</v>
      </c>
      <c r="B15" s="1">
        <f>265+65+158-244</f>
        <v>244</v>
      </c>
      <c r="C15">
        <v>384</v>
      </c>
      <c r="D15">
        <f>C15*B15</f>
        <v>93696</v>
      </c>
      <c r="E15" s="3">
        <f t="shared" si="0"/>
        <v>1.3235848162377594E-2</v>
      </c>
    </row>
    <row r="16" spans="1:7" x14ac:dyDescent="0.3">
      <c r="A16" t="s">
        <v>16</v>
      </c>
      <c r="B16" s="1">
        <f>186+349</f>
        <v>535</v>
      </c>
      <c r="C16">
        <v>189</v>
      </c>
      <c r="D16">
        <f t="shared" si="1"/>
        <v>101115</v>
      </c>
      <c r="E16" s="3">
        <f t="shared" si="0"/>
        <v>1.4283883911146798E-2</v>
      </c>
    </row>
    <row r="17" spans="1:7" x14ac:dyDescent="0.3">
      <c r="A17" t="s">
        <v>17</v>
      </c>
      <c r="B17" s="1">
        <v>267</v>
      </c>
      <c r="C17">
        <v>1190</v>
      </c>
      <c r="D17">
        <f t="shared" si="1"/>
        <v>317730</v>
      </c>
      <c r="E17" s="3">
        <f t="shared" si="0"/>
        <v>4.4883730752990875E-2</v>
      </c>
    </row>
    <row r="18" spans="1:7" x14ac:dyDescent="0.3">
      <c r="A18" t="s">
        <v>18</v>
      </c>
      <c r="B18" s="1">
        <f>368+532</f>
        <v>900</v>
      </c>
      <c r="C18">
        <v>187</v>
      </c>
      <c r="D18">
        <f t="shared" si="1"/>
        <v>168300</v>
      </c>
      <c r="E18" s="3">
        <f t="shared" si="0"/>
        <v>2.3774688841873174E-2</v>
      </c>
    </row>
    <row r="19" spans="1:7" x14ac:dyDescent="0.3">
      <c r="A19" t="s">
        <v>19</v>
      </c>
      <c r="B19" s="1">
        <f>6886+2045</f>
        <v>8931</v>
      </c>
      <c r="C19">
        <v>40</v>
      </c>
      <c r="D19">
        <f t="shared" si="1"/>
        <v>357240</v>
      </c>
      <c r="E19" s="3">
        <f t="shared" si="0"/>
        <v>5.0465061449024198E-2</v>
      </c>
    </row>
    <row r="20" spans="1:7" x14ac:dyDescent="0.3">
      <c r="A20" t="s">
        <v>20</v>
      </c>
      <c r="B20" s="1">
        <f>920+319+331</f>
        <v>1570</v>
      </c>
      <c r="C20">
        <v>273</v>
      </c>
      <c r="D20">
        <f t="shared" si="1"/>
        <v>428610</v>
      </c>
      <c r="E20" s="3">
        <f t="shared" si="0"/>
        <v>6.0547055166460258E-2</v>
      </c>
    </row>
    <row r="21" spans="1:7" x14ac:dyDescent="0.3">
      <c r="A21" t="s">
        <v>36</v>
      </c>
      <c r="B21" s="1">
        <f>419+419</f>
        <v>838</v>
      </c>
      <c r="C21">
        <v>418</v>
      </c>
      <c r="D21">
        <f t="shared" si="1"/>
        <v>350284</v>
      </c>
      <c r="E21" s="3">
        <f t="shared" si="0"/>
        <v>4.9482430815726099E-2</v>
      </c>
      <c r="G21" t="s">
        <v>39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</f>
        <v>615.17499999999984</v>
      </c>
      <c r="C22">
        <v>1000</v>
      </c>
      <c r="D22">
        <f t="shared" si="1"/>
        <v>615174.99999999988</v>
      </c>
      <c r="E22" s="3">
        <f t="shared" si="0"/>
        <v>8.6901926371356672E-2</v>
      </c>
      <c r="G22" t="s">
        <v>40</v>
      </c>
    </row>
    <row r="23" spans="1:7" x14ac:dyDescent="0.3">
      <c r="B23" s="1"/>
      <c r="E23" s="3"/>
    </row>
    <row r="24" spans="1:7" x14ac:dyDescent="0.3">
      <c r="B24" s="1"/>
      <c r="D24">
        <f>SUM(D5:D22)</f>
        <v>7078957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B24" sqref="B24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3143</v>
      </c>
      <c r="D5">
        <f>B5*C5</f>
        <v>138292</v>
      </c>
      <c r="E5" s="3">
        <f t="shared" ref="E5:E23" si="0">D5/$D$25</f>
        <v>1.9263018089201431E-2</v>
      </c>
    </row>
    <row r="6" spans="1:7" x14ac:dyDescent="0.3">
      <c r="A6" t="s">
        <v>7</v>
      </c>
      <c r="B6" s="1">
        <f>473+780+961</f>
        <v>2214</v>
      </c>
      <c r="C6">
        <v>382</v>
      </c>
      <c r="D6">
        <f t="shared" ref="D6:D23" si="1">C6*B6</f>
        <v>845748</v>
      </c>
      <c r="E6" s="3">
        <f t="shared" si="0"/>
        <v>0.11780622901473643</v>
      </c>
    </row>
    <row r="7" spans="1:7" x14ac:dyDescent="0.3">
      <c r="A7" t="s">
        <v>8</v>
      </c>
      <c r="B7" s="1">
        <f>840+420</f>
        <v>1260</v>
      </c>
      <c r="C7">
        <v>1166</v>
      </c>
      <c r="D7">
        <f t="shared" si="1"/>
        <v>1469160</v>
      </c>
      <c r="E7" s="3">
        <f t="shared" si="0"/>
        <v>0.20464275341980137</v>
      </c>
    </row>
    <row r="8" spans="1:7" x14ac:dyDescent="0.3">
      <c r="A8" t="s">
        <v>41</v>
      </c>
      <c r="B8" s="1">
        <v>1280</v>
      </c>
      <c r="C8">
        <v>70</v>
      </c>
      <c r="D8">
        <f t="shared" si="1"/>
        <v>89600</v>
      </c>
      <c r="E8" s="3">
        <f t="shared" si="0"/>
        <v>1.2480594834064503E-2</v>
      </c>
      <c r="G8" t="s">
        <v>42</v>
      </c>
    </row>
    <row r="9" spans="1:7" x14ac:dyDescent="0.3">
      <c r="A9" t="s">
        <v>9</v>
      </c>
      <c r="B9" s="1">
        <f>766+383+229</f>
        <v>1378</v>
      </c>
      <c r="C9">
        <v>334</v>
      </c>
      <c r="D9">
        <f t="shared" si="1"/>
        <v>460252</v>
      </c>
      <c r="E9" s="3">
        <f t="shared" si="0"/>
        <v>6.410958407999838E-2</v>
      </c>
    </row>
    <row r="10" spans="1:7" x14ac:dyDescent="0.3">
      <c r="A10" t="s">
        <v>10</v>
      </c>
      <c r="B10" s="1">
        <v>2928</v>
      </c>
      <c r="C10">
        <v>68</v>
      </c>
      <c r="D10">
        <f t="shared" si="1"/>
        <v>199104</v>
      </c>
      <c r="E10" s="3">
        <f t="shared" si="0"/>
        <v>2.7733664663410477E-2</v>
      </c>
    </row>
    <row r="11" spans="1:7" x14ac:dyDescent="0.3">
      <c r="A11" t="s">
        <v>11</v>
      </c>
      <c r="B11" s="1">
        <f>922+700</f>
        <v>1622</v>
      </c>
      <c r="C11">
        <v>321</v>
      </c>
      <c r="D11">
        <f t="shared" si="1"/>
        <v>520662</v>
      </c>
      <c r="E11" s="3">
        <f t="shared" si="0"/>
        <v>7.2524235128277811E-2</v>
      </c>
    </row>
    <row r="12" spans="1:7" x14ac:dyDescent="0.3">
      <c r="A12" t="s">
        <v>23</v>
      </c>
      <c r="B12" s="1">
        <v>2750</v>
      </c>
      <c r="C12">
        <v>98</v>
      </c>
      <c r="D12">
        <f t="shared" si="1"/>
        <v>269500</v>
      </c>
      <c r="E12" s="3">
        <f t="shared" si="0"/>
        <v>3.7539289149334638E-2</v>
      </c>
    </row>
    <row r="13" spans="1:7" x14ac:dyDescent="0.3">
      <c r="A13" t="s">
        <v>12</v>
      </c>
      <c r="B13" s="1">
        <v>1228</v>
      </c>
      <c r="C13">
        <v>54</v>
      </c>
      <c r="D13">
        <f>C13*B13</f>
        <v>66312</v>
      </c>
      <c r="E13" s="3">
        <f t="shared" si="0"/>
        <v>9.2367545160322011E-3</v>
      </c>
    </row>
    <row r="14" spans="1:7" x14ac:dyDescent="0.3">
      <c r="A14" t="s">
        <v>13</v>
      </c>
      <c r="B14" s="1">
        <f>278+278</f>
        <v>556</v>
      </c>
      <c r="C14">
        <v>914</v>
      </c>
      <c r="D14">
        <f>C14*B14</f>
        <v>508184</v>
      </c>
      <c r="E14" s="3">
        <f t="shared" si="0"/>
        <v>7.0786145146810656E-2</v>
      </c>
    </row>
    <row r="15" spans="1:7" x14ac:dyDescent="0.3">
      <c r="A15" t="s">
        <v>14</v>
      </c>
      <c r="B15" s="1">
        <v>1011</v>
      </c>
      <c r="C15">
        <v>264</v>
      </c>
      <c r="D15">
        <f>C15*B15</f>
        <v>266904</v>
      </c>
      <c r="E15" s="3">
        <f t="shared" si="0"/>
        <v>3.7177686200794105E-2</v>
      </c>
    </row>
    <row r="16" spans="1:7" x14ac:dyDescent="0.3">
      <c r="A16" t="s">
        <v>15</v>
      </c>
      <c r="B16" s="1">
        <f>265+65+158-244</f>
        <v>244</v>
      </c>
      <c r="C16">
        <v>351</v>
      </c>
      <c r="D16">
        <f>C16*B16</f>
        <v>85644</v>
      </c>
      <c r="E16" s="3">
        <f t="shared" si="0"/>
        <v>1.1929554285364064E-2</v>
      </c>
    </row>
    <row r="17" spans="1:7" x14ac:dyDescent="0.3">
      <c r="A17" t="s">
        <v>16</v>
      </c>
      <c r="B17" s="1">
        <f>186+349</f>
        <v>535</v>
      </c>
      <c r="C17">
        <v>188</v>
      </c>
      <c r="D17">
        <f t="shared" si="1"/>
        <v>100580</v>
      </c>
      <c r="E17" s="3">
        <f t="shared" si="0"/>
        <v>1.4010024870649639E-2</v>
      </c>
    </row>
    <row r="18" spans="1:7" x14ac:dyDescent="0.3">
      <c r="A18" t="s">
        <v>17</v>
      </c>
      <c r="B18" s="1">
        <v>267</v>
      </c>
      <c r="C18">
        <v>1181</v>
      </c>
      <c r="D18">
        <f t="shared" si="1"/>
        <v>315327</v>
      </c>
      <c r="E18" s="3">
        <f t="shared" si="0"/>
        <v>4.3922639812958228E-2</v>
      </c>
    </row>
    <row r="19" spans="1:7" x14ac:dyDescent="0.3">
      <c r="A19" t="s">
        <v>18</v>
      </c>
      <c r="B19" s="1">
        <f>368+532</f>
        <v>900</v>
      </c>
      <c r="C19">
        <v>197</v>
      </c>
      <c r="D19">
        <f t="shared" si="1"/>
        <v>177300</v>
      </c>
      <c r="E19" s="3">
        <f t="shared" si="0"/>
        <v>2.469653419731737E-2</v>
      </c>
    </row>
    <row r="20" spans="1:7" x14ac:dyDescent="0.3">
      <c r="A20" t="s">
        <v>19</v>
      </c>
      <c r="B20" s="1">
        <f>6886+2045</f>
        <v>8931</v>
      </c>
      <c r="C20">
        <v>41</v>
      </c>
      <c r="D20">
        <f t="shared" si="1"/>
        <v>366171</v>
      </c>
      <c r="E20" s="3">
        <f t="shared" si="0"/>
        <v>5.1004820211877598E-2</v>
      </c>
    </row>
    <row r="21" spans="1:7" x14ac:dyDescent="0.3">
      <c r="A21" t="s">
        <v>20</v>
      </c>
      <c r="B21" s="1">
        <f>920+319+331</f>
        <v>1570</v>
      </c>
      <c r="C21">
        <v>270</v>
      </c>
      <c r="D21">
        <f t="shared" si="1"/>
        <v>423900</v>
      </c>
      <c r="E21" s="3">
        <f t="shared" si="0"/>
        <v>5.9046028461606503E-2</v>
      </c>
    </row>
    <row r="22" spans="1:7" x14ac:dyDescent="0.3">
      <c r="A22" t="s">
        <v>36</v>
      </c>
      <c r="B22" s="1">
        <f>419+419</f>
        <v>838</v>
      </c>
      <c r="C22">
        <v>419</v>
      </c>
      <c r="D22">
        <f t="shared" si="1"/>
        <v>351122</v>
      </c>
      <c r="E22" s="3">
        <f t="shared" si="0"/>
        <v>4.8908609590696386E-2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</f>
        <v>525.38299999999981</v>
      </c>
      <c r="C23">
        <v>1000</v>
      </c>
      <c r="D23">
        <f t="shared" si="1"/>
        <v>525382.99999999977</v>
      </c>
      <c r="E23" s="3">
        <f t="shared" si="0"/>
        <v>7.3181834327068165E-2</v>
      </c>
      <c r="G23" t="s">
        <v>43</v>
      </c>
    </row>
    <row r="24" spans="1:7" x14ac:dyDescent="0.3">
      <c r="B24" s="1"/>
      <c r="E24" s="3"/>
    </row>
    <row r="25" spans="1:7" x14ac:dyDescent="0.3">
      <c r="B25" s="1"/>
      <c r="D25">
        <f>SUM(D5:D23)</f>
        <v>7179145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>
      <selection activeCell="B24" sqref="B24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3143</v>
      </c>
      <c r="D5">
        <f>B5*C5</f>
        <v>138292</v>
      </c>
      <c r="E5" s="3">
        <f t="shared" ref="E5:E23" si="0">D5/$D$25</f>
        <v>1.9261644393318511E-2</v>
      </c>
    </row>
    <row r="6" spans="1:7" x14ac:dyDescent="0.3">
      <c r="A6" t="s">
        <v>7</v>
      </c>
      <c r="B6" s="1">
        <f>473+780+961</f>
        <v>2214</v>
      </c>
      <c r="C6">
        <v>382</v>
      </c>
      <c r="D6">
        <f t="shared" ref="D6:D23" si="1">C6*B6</f>
        <v>845748</v>
      </c>
      <c r="E6" s="3">
        <f t="shared" si="0"/>
        <v>0.11779782794637683</v>
      </c>
    </row>
    <row r="7" spans="1:7" x14ac:dyDescent="0.3">
      <c r="A7" t="s">
        <v>8</v>
      </c>
      <c r="B7" s="1">
        <f>840+420</f>
        <v>1260</v>
      </c>
      <c r="C7">
        <v>1166</v>
      </c>
      <c r="D7">
        <f t="shared" si="1"/>
        <v>1469160</v>
      </c>
      <c r="E7" s="3">
        <f t="shared" si="0"/>
        <v>0.20462815981320556</v>
      </c>
    </row>
    <row r="8" spans="1:7" x14ac:dyDescent="0.3">
      <c r="A8" t="s">
        <v>41</v>
      </c>
      <c r="B8" s="1">
        <f>1280+1280</f>
        <v>2560</v>
      </c>
      <c r="C8">
        <v>70</v>
      </c>
      <c r="D8">
        <f t="shared" si="1"/>
        <v>179200</v>
      </c>
      <c r="E8" s="3">
        <f t="shared" si="0"/>
        <v>2.4959409620821719E-2</v>
      </c>
      <c r="G8" t="s">
        <v>44</v>
      </c>
    </row>
    <row r="9" spans="1:7" x14ac:dyDescent="0.3">
      <c r="A9" t="s">
        <v>9</v>
      </c>
      <c r="B9" s="1">
        <f>766+383+229</f>
        <v>1378</v>
      </c>
      <c r="C9">
        <v>334</v>
      </c>
      <c r="D9">
        <f t="shared" si="1"/>
        <v>460252</v>
      </c>
      <c r="E9" s="3">
        <f t="shared" si="0"/>
        <v>6.4105012258942176E-2</v>
      </c>
    </row>
    <row r="10" spans="1:7" x14ac:dyDescent="0.3">
      <c r="A10" t="s">
        <v>10</v>
      </c>
      <c r="B10" s="1">
        <v>2928</v>
      </c>
      <c r="C10">
        <v>68</v>
      </c>
      <c r="D10">
        <f t="shared" si="1"/>
        <v>199104</v>
      </c>
      <c r="E10" s="3">
        <f t="shared" si="0"/>
        <v>2.7731686903705845E-2</v>
      </c>
    </row>
    <row r="11" spans="1:7" x14ac:dyDescent="0.3">
      <c r="A11" t="s">
        <v>11</v>
      </c>
      <c r="B11" s="1">
        <f>922+700</f>
        <v>1622</v>
      </c>
      <c r="C11">
        <v>321</v>
      </c>
      <c r="D11">
        <f t="shared" si="1"/>
        <v>520662</v>
      </c>
      <c r="E11" s="3">
        <f t="shared" si="0"/>
        <v>7.251906323658637E-2</v>
      </c>
    </row>
    <row r="12" spans="1:7" x14ac:dyDescent="0.3">
      <c r="A12" t="s">
        <v>23</v>
      </c>
      <c r="B12" s="1">
        <v>2750</v>
      </c>
      <c r="C12">
        <v>98</v>
      </c>
      <c r="D12">
        <f t="shared" si="1"/>
        <v>269500</v>
      </c>
      <c r="E12" s="3">
        <f t="shared" si="0"/>
        <v>3.7536612125063915E-2</v>
      </c>
    </row>
    <row r="13" spans="1:7" x14ac:dyDescent="0.3">
      <c r="A13" t="s">
        <v>12</v>
      </c>
      <c r="B13" s="1">
        <v>1228</v>
      </c>
      <c r="C13">
        <v>54</v>
      </c>
      <c r="D13">
        <f>C13*B13</f>
        <v>66312</v>
      </c>
      <c r="E13" s="3">
        <f t="shared" si="0"/>
        <v>9.2360958190621078E-3</v>
      </c>
    </row>
    <row r="14" spans="1:7" x14ac:dyDescent="0.3">
      <c r="A14" t="s">
        <v>13</v>
      </c>
      <c r="B14" s="1">
        <f>278+278</f>
        <v>556</v>
      </c>
      <c r="C14">
        <v>914</v>
      </c>
      <c r="D14">
        <f>C14*B14</f>
        <v>508184</v>
      </c>
      <c r="E14" s="3">
        <f t="shared" si="0"/>
        <v>7.0781097202832946E-2</v>
      </c>
    </row>
    <row r="15" spans="1:7" x14ac:dyDescent="0.3">
      <c r="A15" t="s">
        <v>14</v>
      </c>
      <c r="B15" s="1">
        <v>1011</v>
      </c>
      <c r="C15">
        <v>264</v>
      </c>
      <c r="D15">
        <f>C15*B15</f>
        <v>266904</v>
      </c>
      <c r="E15" s="3">
        <f t="shared" si="0"/>
        <v>3.7175034963369422E-2</v>
      </c>
    </row>
    <row r="16" spans="1:7" x14ac:dyDescent="0.3">
      <c r="A16" t="s">
        <v>15</v>
      </c>
      <c r="B16" s="1">
        <f>265+65+158-244</f>
        <v>244</v>
      </c>
      <c r="C16">
        <v>351</v>
      </c>
      <c r="D16">
        <f>C16*B16</f>
        <v>85644</v>
      </c>
      <c r="E16" s="3">
        <f t="shared" si="0"/>
        <v>1.1928703557844058E-2</v>
      </c>
    </row>
    <row r="17" spans="1:7" x14ac:dyDescent="0.3">
      <c r="A17" t="s">
        <v>16</v>
      </c>
      <c r="B17" s="1">
        <f>186+349</f>
        <v>535</v>
      </c>
      <c r="C17">
        <v>188</v>
      </c>
      <c r="D17">
        <f t="shared" si="1"/>
        <v>100580</v>
      </c>
      <c r="E17" s="3">
        <f t="shared" si="0"/>
        <v>1.4009025779365226E-2</v>
      </c>
    </row>
    <row r="18" spans="1:7" x14ac:dyDescent="0.3">
      <c r="A18" t="s">
        <v>17</v>
      </c>
      <c r="B18" s="1">
        <v>267</v>
      </c>
      <c r="C18">
        <v>1181</v>
      </c>
      <c r="D18">
        <f t="shared" si="1"/>
        <v>315327</v>
      </c>
      <c r="E18" s="3">
        <f t="shared" si="0"/>
        <v>4.3919507575361887E-2</v>
      </c>
    </row>
    <row r="19" spans="1:7" x14ac:dyDescent="0.3">
      <c r="A19" t="s">
        <v>18</v>
      </c>
      <c r="B19" s="1">
        <f>368+532</f>
        <v>900</v>
      </c>
      <c r="C19">
        <v>197</v>
      </c>
      <c r="D19">
        <f t="shared" si="1"/>
        <v>177300</v>
      </c>
      <c r="E19" s="3">
        <f t="shared" si="0"/>
        <v>2.4694773023279524E-2</v>
      </c>
    </row>
    <row r="20" spans="1:7" x14ac:dyDescent="0.3">
      <c r="A20" t="s">
        <v>19</v>
      </c>
      <c r="B20" s="1">
        <f>6886+2045</f>
        <v>8931</v>
      </c>
      <c r="C20">
        <v>41</v>
      </c>
      <c r="D20">
        <f t="shared" si="1"/>
        <v>366171</v>
      </c>
      <c r="E20" s="3">
        <f t="shared" si="0"/>
        <v>5.1001182925591013E-2</v>
      </c>
    </row>
    <row r="21" spans="1:7" x14ac:dyDescent="0.3">
      <c r="A21" t="s">
        <v>20</v>
      </c>
      <c r="B21" s="1">
        <f>920+319+331</f>
        <v>1570</v>
      </c>
      <c r="C21">
        <v>270</v>
      </c>
      <c r="D21">
        <f t="shared" si="1"/>
        <v>423900</v>
      </c>
      <c r="E21" s="3">
        <f t="shared" si="0"/>
        <v>5.9041817735861195E-2</v>
      </c>
    </row>
    <row r="22" spans="1:7" x14ac:dyDescent="0.3">
      <c r="A22" t="s">
        <v>36</v>
      </c>
      <c r="B22" s="1">
        <f>419+419</f>
        <v>838</v>
      </c>
      <c r="C22">
        <v>419</v>
      </c>
      <c r="D22">
        <f t="shared" si="1"/>
        <v>351122</v>
      </c>
      <c r="E22" s="3">
        <f t="shared" si="0"/>
        <v>4.8905121790637072E-2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</f>
        <v>436.29499999999985</v>
      </c>
      <c r="C23">
        <v>1000</v>
      </c>
      <c r="D23">
        <f t="shared" si="1"/>
        <v>436294.99999999983</v>
      </c>
      <c r="E23" s="3">
        <f t="shared" si="0"/>
        <v>6.0768223328774594E-2</v>
      </c>
      <c r="G23" t="s">
        <v>45</v>
      </c>
    </row>
    <row r="24" spans="1:7" x14ac:dyDescent="0.3">
      <c r="B24" s="1"/>
      <c r="E24" s="3"/>
    </row>
    <row r="25" spans="1:7" x14ac:dyDescent="0.3">
      <c r="B25" s="1"/>
      <c r="D25">
        <f>SUM(D5:D23)</f>
        <v>7179657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"/>
  <sheetViews>
    <sheetView workbookViewId="0">
      <selection activeCell="B9" sqref="B9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3143</v>
      </c>
      <c r="D5">
        <f>B5*C5</f>
        <v>138292</v>
      </c>
      <c r="E5" s="3">
        <f t="shared" ref="E5:E23" si="0">D5/$D$25</f>
        <v>1.928381915890633E-2</v>
      </c>
    </row>
    <row r="6" spans="1:7" x14ac:dyDescent="0.3">
      <c r="A6" t="s">
        <v>7</v>
      </c>
      <c r="B6" s="1">
        <f>473+780+961</f>
        <v>2214</v>
      </c>
      <c r="C6">
        <v>382</v>
      </c>
      <c r="D6">
        <f t="shared" ref="D6:D23" si="1">C6*B6</f>
        <v>845748</v>
      </c>
      <c r="E6" s="3">
        <f t="shared" si="0"/>
        <v>0.11793344145725501</v>
      </c>
    </row>
    <row r="7" spans="1:7" x14ac:dyDescent="0.3">
      <c r="A7" t="s">
        <v>8</v>
      </c>
      <c r="B7" s="1">
        <f>840+420</f>
        <v>1260</v>
      </c>
      <c r="C7">
        <v>1166</v>
      </c>
      <c r="D7">
        <f t="shared" si="1"/>
        <v>1469160</v>
      </c>
      <c r="E7" s="3">
        <f t="shared" si="0"/>
        <v>0.20486373583069753</v>
      </c>
    </row>
    <row r="8" spans="1:7" x14ac:dyDescent="0.3">
      <c r="A8" t="s">
        <v>41</v>
      </c>
      <c r="B8" s="1">
        <f>1280+1280+1280</f>
        <v>3840</v>
      </c>
      <c r="C8">
        <v>70</v>
      </c>
      <c r="D8">
        <f t="shared" si="1"/>
        <v>268800</v>
      </c>
      <c r="E8" s="3">
        <f t="shared" si="0"/>
        <v>3.7482215818080734E-2</v>
      </c>
      <c r="G8" t="s">
        <v>46</v>
      </c>
    </row>
    <row r="9" spans="1:7" x14ac:dyDescent="0.3">
      <c r="A9" t="s">
        <v>9</v>
      </c>
      <c r="B9" s="1">
        <f>766+383+229</f>
        <v>1378</v>
      </c>
      <c r="C9">
        <v>334</v>
      </c>
      <c r="D9">
        <f t="shared" si="1"/>
        <v>460252</v>
      </c>
      <c r="E9" s="3">
        <f t="shared" si="0"/>
        <v>6.4178812480295E-2</v>
      </c>
    </row>
    <row r="10" spans="1:7" x14ac:dyDescent="0.3">
      <c r="A10" t="s">
        <v>10</v>
      </c>
      <c r="B10" s="1">
        <v>2928</v>
      </c>
      <c r="C10">
        <v>68</v>
      </c>
      <c r="D10">
        <f t="shared" si="1"/>
        <v>199104</v>
      </c>
      <c r="E10" s="3">
        <f t="shared" si="0"/>
        <v>2.7763612716678373E-2</v>
      </c>
    </row>
    <row r="11" spans="1:7" x14ac:dyDescent="0.3">
      <c r="A11" t="s">
        <v>11</v>
      </c>
      <c r="B11" s="1">
        <f>922+700</f>
        <v>1622</v>
      </c>
      <c r="C11">
        <v>321</v>
      </c>
      <c r="D11">
        <f t="shared" si="1"/>
        <v>520662</v>
      </c>
      <c r="E11" s="3">
        <f t="shared" si="0"/>
        <v>7.2602550045660533E-2</v>
      </c>
    </row>
    <row r="12" spans="1:7" x14ac:dyDescent="0.3">
      <c r="A12" t="s">
        <v>23</v>
      </c>
      <c r="B12" s="1">
        <v>2750</v>
      </c>
      <c r="C12">
        <v>98</v>
      </c>
      <c r="D12">
        <f t="shared" si="1"/>
        <v>269500</v>
      </c>
      <c r="E12" s="3">
        <f t="shared" si="0"/>
        <v>3.7579825755106988E-2</v>
      </c>
    </row>
    <row r="13" spans="1:7" x14ac:dyDescent="0.3">
      <c r="A13" t="s">
        <v>12</v>
      </c>
      <c r="B13" s="1">
        <v>1228</v>
      </c>
      <c r="C13">
        <v>54</v>
      </c>
      <c r="D13">
        <f>C13*B13</f>
        <v>66312</v>
      </c>
      <c r="E13" s="3">
        <f t="shared" si="0"/>
        <v>9.2467287772640249E-3</v>
      </c>
    </row>
    <row r="14" spans="1:7" x14ac:dyDescent="0.3">
      <c r="A14" t="s">
        <v>13</v>
      </c>
      <c r="B14" s="1">
        <f>278+278</f>
        <v>556</v>
      </c>
      <c r="C14">
        <v>914</v>
      </c>
      <c r="D14">
        <f>C14*B14</f>
        <v>508184</v>
      </c>
      <c r="E14" s="3">
        <f t="shared" si="0"/>
        <v>7.0862583196783999E-2</v>
      </c>
    </row>
    <row r="15" spans="1:7" x14ac:dyDescent="0.3">
      <c r="A15" t="s">
        <v>14</v>
      </c>
      <c r="B15" s="1">
        <v>1011</v>
      </c>
      <c r="C15">
        <v>264</v>
      </c>
      <c r="D15">
        <f>C15*B15</f>
        <v>266904</v>
      </c>
      <c r="E15" s="3">
        <f t="shared" si="0"/>
        <v>3.7217832331506773E-2</v>
      </c>
    </row>
    <row r="16" spans="1:7" x14ac:dyDescent="0.3">
      <c r="A16" t="s">
        <v>15</v>
      </c>
      <c r="B16" s="1">
        <f>265+65+158-244</f>
        <v>244</v>
      </c>
      <c r="C16">
        <v>351</v>
      </c>
      <c r="D16">
        <f>C16*B16</f>
        <v>85644</v>
      </c>
      <c r="E16" s="3">
        <f t="shared" si="0"/>
        <v>1.1942436352394741E-2</v>
      </c>
    </row>
    <row r="17" spans="1:7" x14ac:dyDescent="0.3">
      <c r="A17" t="s">
        <v>16</v>
      </c>
      <c r="B17" s="1">
        <f>186+349</f>
        <v>535</v>
      </c>
      <c r="C17">
        <v>188</v>
      </c>
      <c r="D17">
        <f t="shared" si="1"/>
        <v>100580</v>
      </c>
      <c r="E17" s="3">
        <f t="shared" si="0"/>
        <v>1.4025153523000596E-2</v>
      </c>
    </row>
    <row r="18" spans="1:7" x14ac:dyDescent="0.3">
      <c r="A18" t="s">
        <v>17</v>
      </c>
      <c r="B18" s="1">
        <v>267</v>
      </c>
      <c r="C18">
        <v>1181</v>
      </c>
      <c r="D18">
        <f t="shared" si="1"/>
        <v>315327</v>
      </c>
      <c r="E18" s="3">
        <f t="shared" si="0"/>
        <v>4.3970069446681338E-2</v>
      </c>
    </row>
    <row r="19" spans="1:7" x14ac:dyDescent="0.3">
      <c r="A19" t="s">
        <v>18</v>
      </c>
      <c r="B19" s="1">
        <f>368+532</f>
        <v>900</v>
      </c>
      <c r="C19">
        <v>197</v>
      </c>
      <c r="D19">
        <f t="shared" si="1"/>
        <v>177300</v>
      </c>
      <c r="E19" s="3">
        <f t="shared" si="0"/>
        <v>2.4723202621077807E-2</v>
      </c>
    </row>
    <row r="20" spans="1:7" x14ac:dyDescent="0.3">
      <c r="A20" t="s">
        <v>19</v>
      </c>
      <c r="B20" s="1">
        <f>6886+2045</f>
        <v>8931</v>
      </c>
      <c r="C20">
        <v>41</v>
      </c>
      <c r="D20">
        <f t="shared" si="1"/>
        <v>366171</v>
      </c>
      <c r="E20" s="3">
        <f t="shared" si="0"/>
        <v>5.1059897501199554E-2</v>
      </c>
    </row>
    <row r="21" spans="1:7" x14ac:dyDescent="0.3">
      <c r="A21" t="s">
        <v>20</v>
      </c>
      <c r="B21" s="1">
        <f>920+319+331</f>
        <v>1570</v>
      </c>
      <c r="C21">
        <v>270</v>
      </c>
      <c r="D21">
        <f t="shared" si="1"/>
        <v>423900</v>
      </c>
      <c r="E21" s="3">
        <f t="shared" si="0"/>
        <v>5.910978900775455E-2</v>
      </c>
    </row>
    <row r="22" spans="1:7" x14ac:dyDescent="0.3">
      <c r="A22" t="s">
        <v>36</v>
      </c>
      <c r="B22" s="1">
        <f>419+419</f>
        <v>838</v>
      </c>
      <c r="C22">
        <v>419</v>
      </c>
      <c r="D22">
        <f t="shared" si="1"/>
        <v>351122</v>
      </c>
      <c r="E22" s="3">
        <f t="shared" si="0"/>
        <v>4.8961423297902318E-2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</f>
        <v>338.43899999999985</v>
      </c>
      <c r="C23">
        <v>1000</v>
      </c>
      <c r="D23">
        <f t="shared" si="1"/>
        <v>338438.99999999983</v>
      </c>
      <c r="E23" s="3">
        <f t="shared" si="0"/>
        <v>4.719287068175379E-2</v>
      </c>
      <c r="G23" t="s">
        <v>47</v>
      </c>
    </row>
    <row r="24" spans="1:7" x14ac:dyDescent="0.3">
      <c r="B24" s="1"/>
      <c r="E24" s="3"/>
    </row>
    <row r="25" spans="1:7" x14ac:dyDescent="0.3">
      <c r="B25" s="1"/>
      <c r="D25">
        <f>SUM(D5:D23)</f>
        <v>7171401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5"/>
  <sheetViews>
    <sheetView workbookViewId="0">
      <selection activeCell="C25" sqref="C25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2930</v>
      </c>
      <c r="D5">
        <f>B5*C5</f>
        <v>128920</v>
      </c>
      <c r="E5" s="3">
        <f t="shared" ref="E5:E23" si="0">D5/$D$25</f>
        <v>1.8206244323788142E-2</v>
      </c>
    </row>
    <row r="6" spans="1:7" x14ac:dyDescent="0.3">
      <c r="A6" t="s">
        <v>7</v>
      </c>
      <c r="B6" s="1">
        <f>473+780+961</f>
        <v>2214</v>
      </c>
      <c r="C6">
        <v>411</v>
      </c>
      <c r="D6">
        <f t="shared" ref="D6:D23" si="1">C6*B6</f>
        <v>909954</v>
      </c>
      <c r="E6" s="3">
        <f t="shared" si="0"/>
        <v>0.12850484678411661</v>
      </c>
    </row>
    <row r="7" spans="1:7" x14ac:dyDescent="0.3">
      <c r="A7" t="s">
        <v>8</v>
      </c>
      <c r="B7" s="1">
        <f>840+420</f>
        <v>1260</v>
      </c>
      <c r="C7">
        <v>1123</v>
      </c>
      <c r="D7">
        <f t="shared" si="1"/>
        <v>1414980</v>
      </c>
      <c r="E7" s="3">
        <f t="shared" si="0"/>
        <v>0.19982525281782301</v>
      </c>
    </row>
    <row r="8" spans="1:7" x14ac:dyDescent="0.3">
      <c r="A8" t="s">
        <v>41</v>
      </c>
      <c r="B8" s="1">
        <f>1280+1280+1280</f>
        <v>3840</v>
      </c>
      <c r="C8">
        <v>74</v>
      </c>
      <c r="D8">
        <f t="shared" si="1"/>
        <v>284160</v>
      </c>
      <c r="E8" s="3">
        <f t="shared" si="0"/>
        <v>4.0129432105551026E-2</v>
      </c>
    </row>
    <row r="9" spans="1:7" x14ac:dyDescent="0.3">
      <c r="A9" t="s">
        <v>9</v>
      </c>
      <c r="B9" s="1">
        <f>766+383+229</f>
        <v>1378</v>
      </c>
      <c r="C9">
        <v>333</v>
      </c>
      <c r="D9">
        <f t="shared" si="1"/>
        <v>458874</v>
      </c>
      <c r="E9" s="3">
        <f t="shared" si="0"/>
        <v>6.4802762626698415E-2</v>
      </c>
    </row>
    <row r="10" spans="1:7" x14ac:dyDescent="0.3">
      <c r="A10" t="s">
        <v>10</v>
      </c>
      <c r="B10" s="1">
        <v>2928</v>
      </c>
      <c r="C10">
        <v>71</v>
      </c>
      <c r="D10">
        <f t="shared" si="1"/>
        <v>207888</v>
      </c>
      <c r="E10" s="3">
        <f t="shared" si="0"/>
        <v>2.9358204467760388E-2</v>
      </c>
    </row>
    <row r="11" spans="1:7" x14ac:dyDescent="0.3">
      <c r="A11" t="s">
        <v>11</v>
      </c>
      <c r="B11" s="1">
        <f>922+700-1622</f>
        <v>0</v>
      </c>
      <c r="C11">
        <v>273</v>
      </c>
      <c r="D11">
        <f t="shared" si="1"/>
        <v>0</v>
      </c>
      <c r="E11" s="3">
        <f t="shared" si="0"/>
        <v>0</v>
      </c>
      <c r="G11" t="s">
        <v>48</v>
      </c>
    </row>
    <row r="12" spans="1:7" x14ac:dyDescent="0.3">
      <c r="A12" t="s">
        <v>23</v>
      </c>
      <c r="B12" s="1">
        <v>2750</v>
      </c>
      <c r="C12">
        <v>99</v>
      </c>
      <c r="D12">
        <f t="shared" si="1"/>
        <v>272250</v>
      </c>
      <c r="E12" s="3">
        <f t="shared" si="0"/>
        <v>3.8447486946566252E-2</v>
      </c>
    </row>
    <row r="13" spans="1:7" x14ac:dyDescent="0.3">
      <c r="A13" t="s">
        <v>12</v>
      </c>
      <c r="B13" s="1">
        <v>1228</v>
      </c>
      <c r="C13">
        <v>50</v>
      </c>
      <c r="D13">
        <f>C13*B13</f>
        <v>61400</v>
      </c>
      <c r="E13" s="3">
        <f t="shared" si="0"/>
        <v>8.6709851185277059E-3</v>
      </c>
    </row>
    <row r="14" spans="1:7" x14ac:dyDescent="0.3">
      <c r="A14" t="s">
        <v>13</v>
      </c>
      <c r="B14" s="1">
        <f>278+278</f>
        <v>556</v>
      </c>
      <c r="C14">
        <v>900</v>
      </c>
      <c r="D14">
        <f>C14*B14</f>
        <v>500400</v>
      </c>
      <c r="E14" s="3">
        <f t="shared" si="0"/>
        <v>7.0667116503440791E-2</v>
      </c>
    </row>
    <row r="15" spans="1:7" x14ac:dyDescent="0.3">
      <c r="A15" t="s">
        <v>14</v>
      </c>
      <c r="B15" s="1">
        <v>1011</v>
      </c>
      <c r="C15">
        <v>267</v>
      </c>
      <c r="D15">
        <f>C15*B15</f>
        <v>269937</v>
      </c>
      <c r="E15" s="3">
        <f t="shared" si="0"/>
        <v>3.8120842181433447E-2</v>
      </c>
    </row>
    <row r="16" spans="1:7" x14ac:dyDescent="0.3">
      <c r="A16" t="s">
        <v>15</v>
      </c>
      <c r="B16" s="1">
        <f>265+65+158-244</f>
        <v>244</v>
      </c>
      <c r="C16">
        <v>344</v>
      </c>
      <c r="D16">
        <f>C16*B16</f>
        <v>83936</v>
      </c>
      <c r="E16" s="3">
        <f t="shared" si="0"/>
        <v>1.1853547343790578E-2</v>
      </c>
    </row>
    <row r="17" spans="1:7" x14ac:dyDescent="0.3">
      <c r="A17" t="s">
        <v>16</v>
      </c>
      <c r="B17" s="1">
        <f>186+349</f>
        <v>535</v>
      </c>
      <c r="C17">
        <v>182</v>
      </c>
      <c r="D17">
        <f t="shared" si="1"/>
        <v>97370</v>
      </c>
      <c r="E17" s="3">
        <f t="shared" si="0"/>
        <v>1.3750713696922521E-2</v>
      </c>
    </row>
    <row r="18" spans="1:7" x14ac:dyDescent="0.3">
      <c r="A18" t="s">
        <v>17</v>
      </c>
      <c r="B18" s="1">
        <v>267</v>
      </c>
      <c r="C18">
        <v>1194</v>
      </c>
      <c r="D18">
        <f t="shared" si="1"/>
        <v>318798</v>
      </c>
      <c r="E18" s="3">
        <f t="shared" si="0"/>
        <v>4.5021053970951068E-2</v>
      </c>
    </row>
    <row r="19" spans="1:7" x14ac:dyDescent="0.3">
      <c r="A19" t="s">
        <v>18</v>
      </c>
      <c r="B19" s="1">
        <f>368+532</f>
        <v>900</v>
      </c>
      <c r="C19">
        <v>191</v>
      </c>
      <c r="D19">
        <f t="shared" si="1"/>
        <v>171900</v>
      </c>
      <c r="E19" s="3">
        <f t="shared" si="0"/>
        <v>2.4275933906757537E-2</v>
      </c>
    </row>
    <row r="20" spans="1:7" x14ac:dyDescent="0.3">
      <c r="A20" t="s">
        <v>19</v>
      </c>
      <c r="B20" s="1">
        <f>6886+2045</f>
        <v>8931</v>
      </c>
      <c r="C20">
        <v>39</v>
      </c>
      <c r="D20">
        <f t="shared" si="1"/>
        <v>348309</v>
      </c>
      <c r="E20" s="3">
        <f t="shared" si="0"/>
        <v>4.9188634456828452E-2</v>
      </c>
    </row>
    <row r="21" spans="1:7" x14ac:dyDescent="0.3">
      <c r="A21" t="s">
        <v>20</v>
      </c>
      <c r="B21" s="1">
        <f>920+319+331</f>
        <v>1570</v>
      </c>
      <c r="C21">
        <v>265</v>
      </c>
      <c r="D21">
        <f t="shared" si="1"/>
        <v>416050</v>
      </c>
      <c r="E21" s="3">
        <f t="shared" si="0"/>
        <v>5.8755103559665345E-2</v>
      </c>
    </row>
    <row r="22" spans="1:7" x14ac:dyDescent="0.3">
      <c r="A22" t="s">
        <v>36</v>
      </c>
      <c r="B22" s="1">
        <f>419+419</f>
        <v>838</v>
      </c>
      <c r="C22">
        <v>414</v>
      </c>
      <c r="D22">
        <f t="shared" si="1"/>
        <v>346932</v>
      </c>
      <c r="E22" s="3">
        <f t="shared" si="0"/>
        <v>4.8994172787313585E-2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</f>
        <v>789.02899999999977</v>
      </c>
      <c r="C23">
        <v>1000</v>
      </c>
      <c r="D23">
        <f t="shared" si="1"/>
        <v>789028.99999999977</v>
      </c>
      <c r="E23" s="3">
        <f t="shared" si="0"/>
        <v>0.11142766640206507</v>
      </c>
      <c r="G23" t="s">
        <v>49</v>
      </c>
    </row>
    <row r="24" spans="1:7" x14ac:dyDescent="0.3">
      <c r="B24" s="1"/>
      <c r="E24" s="3"/>
    </row>
    <row r="25" spans="1:7" x14ac:dyDescent="0.3">
      <c r="B25" s="1"/>
      <c r="D25">
        <f>SUM(D5:D23)</f>
        <v>7081087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4"/>
  <sheetViews>
    <sheetView workbookViewId="0">
      <selection activeCell="B23" sqref="B23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1"/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2925</v>
      </c>
      <c r="D5">
        <f>B5*C5</f>
        <v>128700</v>
      </c>
      <c r="E5" s="3">
        <f t="shared" ref="E5:E22" si="0">D5/$D$24</f>
        <v>1.8113438257101606E-2</v>
      </c>
    </row>
    <row r="6" spans="1:7" x14ac:dyDescent="0.3">
      <c r="A6" t="s">
        <v>7</v>
      </c>
      <c r="B6" s="1">
        <f>473+780+961</f>
        <v>2214</v>
      </c>
      <c r="C6">
        <v>420</v>
      </c>
      <c r="D6">
        <f t="shared" ref="D6:D22" si="1">C6*B6</f>
        <v>929880</v>
      </c>
      <c r="E6" s="3">
        <f t="shared" si="0"/>
        <v>0.1308727580925691</v>
      </c>
    </row>
    <row r="7" spans="1:7" x14ac:dyDescent="0.3">
      <c r="A7" t="s">
        <v>8</v>
      </c>
      <c r="B7" s="1">
        <f>840+420</f>
        <v>1260</v>
      </c>
      <c r="C7">
        <v>1105</v>
      </c>
      <c r="D7">
        <f t="shared" si="1"/>
        <v>1392300</v>
      </c>
      <c r="E7" s="3">
        <f t="shared" si="0"/>
        <v>0.19595446841773559</v>
      </c>
    </row>
    <row r="8" spans="1:7" x14ac:dyDescent="0.3">
      <c r="A8" t="s">
        <v>41</v>
      </c>
      <c r="B8" s="1">
        <f>1280+1280+1280+910</f>
        <v>4750</v>
      </c>
      <c r="C8">
        <v>77</v>
      </c>
      <c r="D8">
        <f t="shared" si="1"/>
        <v>365750</v>
      </c>
      <c r="E8" s="3">
        <f t="shared" si="0"/>
        <v>5.1476224106720384E-2</v>
      </c>
      <c r="G8" t="s">
        <v>50</v>
      </c>
    </row>
    <row r="9" spans="1:7" x14ac:dyDescent="0.3">
      <c r="A9" t="s">
        <v>9</v>
      </c>
      <c r="B9" s="1">
        <f>766+383+229</f>
        <v>1378</v>
      </c>
      <c r="C9">
        <v>331</v>
      </c>
      <c r="D9">
        <f t="shared" si="1"/>
        <v>456118</v>
      </c>
      <c r="E9" s="3">
        <f t="shared" si="0"/>
        <v>6.4194757039259295E-2</v>
      </c>
    </row>
    <row r="10" spans="1:7" x14ac:dyDescent="0.3">
      <c r="A10" t="s">
        <v>10</v>
      </c>
      <c r="B10" s="1">
        <v>2928</v>
      </c>
      <c r="C10">
        <v>72</v>
      </c>
      <c r="D10">
        <f t="shared" si="1"/>
        <v>210816</v>
      </c>
      <c r="E10" s="3">
        <f t="shared" si="0"/>
        <v>2.9670571869534829E-2</v>
      </c>
    </row>
    <row r="11" spans="1:7" x14ac:dyDescent="0.3">
      <c r="A11" t="s">
        <v>23</v>
      </c>
      <c r="B11" s="1">
        <v>2750</v>
      </c>
      <c r="C11">
        <v>99</v>
      </c>
      <c r="D11">
        <f t="shared" si="1"/>
        <v>272250</v>
      </c>
      <c r="E11" s="3">
        <f t="shared" si="0"/>
        <v>3.8316888620791863E-2</v>
      </c>
    </row>
    <row r="12" spans="1:7" x14ac:dyDescent="0.3">
      <c r="A12" t="s">
        <v>12</v>
      </c>
      <c r="B12" s="1">
        <v>1228</v>
      </c>
      <c r="C12">
        <v>50</v>
      </c>
      <c r="D12">
        <f>C12*B12</f>
        <v>61400</v>
      </c>
      <c r="E12" s="3">
        <f t="shared" si="0"/>
        <v>8.6415315383530592E-3</v>
      </c>
    </row>
    <row r="13" spans="1:7" x14ac:dyDescent="0.3">
      <c r="A13" t="s">
        <v>13</v>
      </c>
      <c r="B13" s="1">
        <f>278+278</f>
        <v>556</v>
      </c>
      <c r="C13">
        <v>913</v>
      </c>
      <c r="D13">
        <f>C13*B13</f>
        <v>507628</v>
      </c>
      <c r="E13" s="3">
        <f t="shared" si="0"/>
        <v>7.1444354588779915E-2</v>
      </c>
    </row>
    <row r="14" spans="1:7" x14ac:dyDescent="0.3">
      <c r="A14" t="s">
        <v>14</v>
      </c>
      <c r="B14" s="1">
        <v>1011</v>
      </c>
      <c r="C14">
        <v>270</v>
      </c>
      <c r="D14">
        <f>C14*B14</f>
        <v>272970</v>
      </c>
      <c r="E14" s="3">
        <f t="shared" si="0"/>
        <v>3.841822254111131E-2</v>
      </c>
    </row>
    <row r="15" spans="1:7" x14ac:dyDescent="0.3">
      <c r="A15" t="s">
        <v>15</v>
      </c>
      <c r="B15" s="1">
        <f>265+65+158-244</f>
        <v>244</v>
      </c>
      <c r="C15">
        <v>358</v>
      </c>
      <c r="D15">
        <f>C15*B15</f>
        <v>87352</v>
      </c>
      <c r="E15" s="3">
        <f t="shared" si="0"/>
        <v>1.2294056399645219E-2</v>
      </c>
    </row>
    <row r="16" spans="1:7" x14ac:dyDescent="0.3">
      <c r="A16" t="s">
        <v>16</v>
      </c>
      <c r="B16" s="1">
        <f>186+349</f>
        <v>535</v>
      </c>
      <c r="C16">
        <v>182</v>
      </c>
      <c r="D16">
        <f t="shared" si="1"/>
        <v>97370</v>
      </c>
      <c r="E16" s="3">
        <f t="shared" si="0"/>
        <v>1.370400530764556E-2</v>
      </c>
    </row>
    <row r="17" spans="1:7" x14ac:dyDescent="0.3">
      <c r="A17" t="s">
        <v>17</v>
      </c>
      <c r="B17" s="1">
        <v>267</v>
      </c>
      <c r="C17">
        <v>1183</v>
      </c>
      <c r="D17">
        <f t="shared" si="1"/>
        <v>315861</v>
      </c>
      <c r="E17" s="3">
        <f t="shared" si="0"/>
        <v>4.4454768619474519E-2</v>
      </c>
    </row>
    <row r="18" spans="1:7" x14ac:dyDescent="0.3">
      <c r="A18" t="s">
        <v>18</v>
      </c>
      <c r="B18" s="1">
        <f>368+532</f>
        <v>900</v>
      </c>
      <c r="C18">
        <v>187</v>
      </c>
      <c r="D18">
        <f t="shared" si="1"/>
        <v>168300</v>
      </c>
      <c r="E18" s="3">
        <f t="shared" si="0"/>
        <v>2.3686803874671335E-2</v>
      </c>
    </row>
    <row r="19" spans="1:7" x14ac:dyDescent="0.3">
      <c r="A19" t="s">
        <v>19</v>
      </c>
      <c r="B19" s="1">
        <f>6886+2045</f>
        <v>8931</v>
      </c>
      <c r="C19">
        <v>40</v>
      </c>
      <c r="D19">
        <f t="shared" si="1"/>
        <v>357240</v>
      </c>
      <c r="E19" s="3">
        <f t="shared" si="0"/>
        <v>5.0278513465166888E-2</v>
      </c>
    </row>
    <row r="20" spans="1:7" x14ac:dyDescent="0.3">
      <c r="A20" t="s">
        <v>20</v>
      </c>
      <c r="B20" s="1">
        <f>920+319+331</f>
        <v>1570</v>
      </c>
      <c r="C20">
        <v>265</v>
      </c>
      <c r="D20">
        <f t="shared" si="1"/>
        <v>416050</v>
      </c>
      <c r="E20" s="3">
        <f t="shared" si="0"/>
        <v>5.8555524373481924E-2</v>
      </c>
    </row>
    <row r="21" spans="1:7" x14ac:dyDescent="0.3">
      <c r="A21" t="s">
        <v>36</v>
      </c>
      <c r="B21" s="1">
        <f>419+419</f>
        <v>838</v>
      </c>
      <c r="C21">
        <v>415</v>
      </c>
      <c r="D21">
        <f t="shared" si="1"/>
        <v>347770</v>
      </c>
      <c r="E21" s="3">
        <f t="shared" si="0"/>
        <v>4.8945690929854124E-2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</f>
        <v>717.46699999999976</v>
      </c>
      <c r="C22">
        <v>1000</v>
      </c>
      <c r="D22">
        <f t="shared" si="1"/>
        <v>717466.99999999977</v>
      </c>
      <c r="E22" s="3">
        <f t="shared" si="0"/>
        <v>0.10097742195810346</v>
      </c>
      <c r="G22" t="s">
        <v>51</v>
      </c>
    </row>
    <row r="23" spans="1:7" x14ac:dyDescent="0.3">
      <c r="B23" s="1"/>
      <c r="E23" s="3"/>
    </row>
    <row r="24" spans="1:7" x14ac:dyDescent="0.3">
      <c r="B24" s="1"/>
      <c r="D24">
        <f>SUM(D5:D22)</f>
        <v>7105222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4"/>
  <sheetViews>
    <sheetView workbookViewId="0">
      <selection activeCell="G5" sqref="G5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42814</v>
      </c>
      <c r="C1" s="2" t="s">
        <v>54</v>
      </c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2842</v>
      </c>
      <c r="D5">
        <f>B5*C5</f>
        <v>125048</v>
      </c>
      <c r="E5" s="3">
        <f t="shared" ref="E5:E22" si="0">D5/$D$24</f>
        <v>1.690141149654965E-2</v>
      </c>
    </row>
    <row r="6" spans="1:7" x14ac:dyDescent="0.3">
      <c r="A6" t="s">
        <v>7</v>
      </c>
      <c r="B6" s="1">
        <f>473+780+961</f>
        <v>2214</v>
      </c>
      <c r="C6">
        <v>521</v>
      </c>
      <c r="D6">
        <f t="shared" ref="D6:D22" si="1">C6*B6</f>
        <v>1153494</v>
      </c>
      <c r="E6" s="3">
        <f t="shared" si="0"/>
        <v>0.15590554629263198</v>
      </c>
    </row>
    <row r="7" spans="1:7" x14ac:dyDescent="0.3">
      <c r="A7" t="s">
        <v>8</v>
      </c>
      <c r="B7" s="1">
        <f>840+420</f>
        <v>1260</v>
      </c>
      <c r="C7">
        <v>1062</v>
      </c>
      <c r="D7">
        <f t="shared" si="1"/>
        <v>1338120</v>
      </c>
      <c r="E7" s="3">
        <f t="shared" si="0"/>
        <v>0.18085948397225882</v>
      </c>
    </row>
    <row r="8" spans="1:7" x14ac:dyDescent="0.3">
      <c r="A8" t="s">
        <v>41</v>
      </c>
      <c r="B8" s="1">
        <f>1280+1280+1280+910</f>
        <v>4750</v>
      </c>
      <c r="C8">
        <v>71</v>
      </c>
      <c r="D8">
        <f t="shared" si="1"/>
        <v>337250</v>
      </c>
      <c r="E8" s="3">
        <f t="shared" si="0"/>
        <v>4.5582504535949156E-2</v>
      </c>
    </row>
    <row r="9" spans="1:7" x14ac:dyDescent="0.3">
      <c r="A9" t="s">
        <v>9</v>
      </c>
      <c r="B9" s="1">
        <f>766+383+229</f>
        <v>1378</v>
      </c>
      <c r="C9">
        <v>338</v>
      </c>
      <c r="D9">
        <f t="shared" si="1"/>
        <v>465764</v>
      </c>
      <c r="E9" s="3">
        <f t="shared" si="0"/>
        <v>6.2952378480894952E-2</v>
      </c>
    </row>
    <row r="10" spans="1:7" x14ac:dyDescent="0.3">
      <c r="A10" t="s">
        <v>10</v>
      </c>
      <c r="B10" s="1">
        <v>2928</v>
      </c>
      <c r="C10">
        <v>76</v>
      </c>
      <c r="D10">
        <f t="shared" si="1"/>
        <v>222528</v>
      </c>
      <c r="E10" s="3">
        <f t="shared" si="0"/>
        <v>3.0076748908452761E-2</v>
      </c>
    </row>
    <row r="11" spans="1:7" x14ac:dyDescent="0.3">
      <c r="A11" t="s">
        <v>23</v>
      </c>
      <c r="B11" s="1">
        <v>2750</v>
      </c>
      <c r="C11">
        <v>104</v>
      </c>
      <c r="D11">
        <f t="shared" si="1"/>
        <v>286000</v>
      </c>
      <c r="E11" s="3">
        <f t="shared" si="0"/>
        <v>3.8655585759174077E-2</v>
      </c>
    </row>
    <row r="12" spans="1:7" x14ac:dyDescent="0.3">
      <c r="A12" t="s">
        <v>12</v>
      </c>
      <c r="B12" s="1">
        <v>1228</v>
      </c>
      <c r="C12">
        <v>50</v>
      </c>
      <c r="D12">
        <f>C12*B12</f>
        <v>61400</v>
      </c>
      <c r="E12" s="3">
        <f t="shared" si="0"/>
        <v>8.298786593053456E-3</v>
      </c>
    </row>
    <row r="13" spans="1:7" x14ac:dyDescent="0.3">
      <c r="A13" t="s">
        <v>13</v>
      </c>
      <c r="B13" s="1">
        <f>278+278</f>
        <v>556</v>
      </c>
      <c r="C13">
        <v>1154</v>
      </c>
      <c r="D13">
        <f>C13*B13</f>
        <v>641624</v>
      </c>
      <c r="E13" s="3">
        <f t="shared" si="0"/>
        <v>8.6721508941064021E-2</v>
      </c>
    </row>
    <row r="14" spans="1:7" x14ac:dyDescent="0.3">
      <c r="A14" t="s">
        <v>14</v>
      </c>
      <c r="B14" s="1">
        <v>1011</v>
      </c>
      <c r="C14">
        <v>248</v>
      </c>
      <c r="D14">
        <f>C14*B14</f>
        <v>250728</v>
      </c>
      <c r="E14" s="3">
        <f t="shared" si="0"/>
        <v>3.3888243728063629E-2</v>
      </c>
    </row>
    <row r="15" spans="1:7" x14ac:dyDescent="0.3">
      <c r="A15" t="s">
        <v>15</v>
      </c>
      <c r="B15" s="1">
        <f>265+65+158-244</f>
        <v>244</v>
      </c>
      <c r="C15">
        <v>351</v>
      </c>
      <c r="D15">
        <f>C15*B15</f>
        <v>85644</v>
      </c>
      <c r="E15" s="3">
        <f t="shared" si="0"/>
        <v>1.1575590862792674E-2</v>
      </c>
    </row>
    <row r="16" spans="1:7" x14ac:dyDescent="0.3">
      <c r="A16" t="s">
        <v>16</v>
      </c>
      <c r="B16" s="1">
        <f>186+349</f>
        <v>535</v>
      </c>
      <c r="C16">
        <v>169</v>
      </c>
      <c r="D16">
        <f t="shared" si="1"/>
        <v>90415</v>
      </c>
      <c r="E16" s="3">
        <f t="shared" si="0"/>
        <v>1.2220436316138896E-2</v>
      </c>
    </row>
    <row r="17" spans="1:5" x14ac:dyDescent="0.3">
      <c r="A17" t="s">
        <v>17</v>
      </c>
      <c r="B17" s="1">
        <v>267</v>
      </c>
      <c r="C17">
        <v>1159</v>
      </c>
      <c r="D17">
        <f t="shared" si="1"/>
        <v>309453</v>
      </c>
      <c r="E17" s="3">
        <f t="shared" si="0"/>
        <v>4.1825478950817119E-2</v>
      </c>
    </row>
    <row r="18" spans="1:5" x14ac:dyDescent="0.3">
      <c r="A18" t="s">
        <v>18</v>
      </c>
      <c r="B18" s="1">
        <f>368+532</f>
        <v>900</v>
      </c>
      <c r="C18">
        <v>185</v>
      </c>
      <c r="D18">
        <f t="shared" si="1"/>
        <v>166500</v>
      </c>
      <c r="E18" s="3">
        <f t="shared" si="0"/>
        <v>2.2504038562596099E-2</v>
      </c>
    </row>
    <row r="19" spans="1:5" x14ac:dyDescent="0.3">
      <c r="A19" t="s">
        <v>19</v>
      </c>
      <c r="B19" s="1">
        <f>6886+2045</f>
        <v>8931</v>
      </c>
      <c r="C19">
        <v>43</v>
      </c>
      <c r="D19">
        <f t="shared" si="1"/>
        <v>384033</v>
      </c>
      <c r="E19" s="3">
        <f t="shared" si="0"/>
        <v>5.1905666314170977E-2</v>
      </c>
    </row>
    <row r="20" spans="1:5" x14ac:dyDescent="0.3">
      <c r="A20" t="s">
        <v>20</v>
      </c>
      <c r="B20" s="1">
        <f>920+319+331</f>
        <v>1570</v>
      </c>
      <c r="C20">
        <v>255</v>
      </c>
      <c r="D20">
        <f t="shared" si="1"/>
        <v>400350</v>
      </c>
      <c r="E20" s="3">
        <f t="shared" si="0"/>
        <v>5.4111062093305393E-2</v>
      </c>
    </row>
    <row r="21" spans="1:5" x14ac:dyDescent="0.3">
      <c r="A21" t="s">
        <v>36</v>
      </c>
      <c r="B21" s="1">
        <f>419+419</f>
        <v>838</v>
      </c>
      <c r="C21">
        <v>433</v>
      </c>
      <c r="D21">
        <f t="shared" si="1"/>
        <v>362854</v>
      </c>
      <c r="E21" s="3">
        <f t="shared" si="0"/>
        <v>4.90431255771306E-2</v>
      </c>
    </row>
    <row r="22" spans="1:5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</f>
        <v>717.46699999999976</v>
      </c>
      <c r="C22">
        <v>1000</v>
      </c>
      <c r="D22">
        <f t="shared" si="1"/>
        <v>717466.99999999977</v>
      </c>
      <c r="E22" s="3">
        <f t="shared" si="0"/>
        <v>9.6972402614955738E-2</v>
      </c>
    </row>
    <row r="23" spans="1:5" x14ac:dyDescent="0.3">
      <c r="B23" s="1"/>
      <c r="E23" s="3"/>
    </row>
    <row r="24" spans="1:5" x14ac:dyDescent="0.3">
      <c r="B24" s="1"/>
      <c r="D24">
        <f>SUM(D5:D22)</f>
        <v>7398672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4"/>
  <sheetViews>
    <sheetView workbookViewId="0">
      <selection activeCell="B6" sqref="B6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42900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v>44</v>
      </c>
      <c r="C5">
        <v>2421</v>
      </c>
      <c r="D5">
        <f>B5*C5</f>
        <v>106524</v>
      </c>
      <c r="E5" s="3">
        <f t="shared" ref="E5:E22" si="0">D5/$D$24</f>
        <v>1.2991360679291424E-2</v>
      </c>
    </row>
    <row r="6" spans="1:7" x14ac:dyDescent="0.3">
      <c r="A6" t="s">
        <v>7</v>
      </c>
      <c r="B6" s="1">
        <f>473+780+961-554</f>
        <v>1660</v>
      </c>
      <c r="C6">
        <v>741</v>
      </c>
      <c r="D6">
        <f t="shared" ref="D6:D22" si="1">C6*B6</f>
        <v>1230060</v>
      </c>
      <c r="E6" s="3">
        <f t="shared" si="0"/>
        <v>0.1500145799741768</v>
      </c>
      <c r="G6" t="s">
        <v>52</v>
      </c>
    </row>
    <row r="7" spans="1:7" x14ac:dyDescent="0.3">
      <c r="A7" t="s">
        <v>8</v>
      </c>
      <c r="B7" s="1">
        <f>840+420</f>
        <v>1260</v>
      </c>
      <c r="C7">
        <v>1149</v>
      </c>
      <c r="D7">
        <f t="shared" si="1"/>
        <v>1447740</v>
      </c>
      <c r="E7" s="3">
        <f t="shared" si="0"/>
        <v>0.17656220673122833</v>
      </c>
    </row>
    <row r="8" spans="1:7" x14ac:dyDescent="0.3">
      <c r="A8" t="s">
        <v>41</v>
      </c>
      <c r="B8" s="1">
        <f>1280+1280+1280+910</f>
        <v>4750</v>
      </c>
      <c r="C8">
        <v>72</v>
      </c>
      <c r="D8">
        <f t="shared" si="1"/>
        <v>342000</v>
      </c>
      <c r="E8" s="3">
        <f t="shared" si="0"/>
        <v>4.170933641543377E-2</v>
      </c>
    </row>
    <row r="9" spans="1:7" x14ac:dyDescent="0.3">
      <c r="A9" t="s">
        <v>9</v>
      </c>
      <c r="B9" s="1">
        <f>766+383+229</f>
        <v>1378</v>
      </c>
      <c r="C9">
        <v>339</v>
      </c>
      <c r="D9">
        <f t="shared" si="1"/>
        <v>467142</v>
      </c>
      <c r="E9" s="3">
        <f t="shared" si="0"/>
        <v>5.6971294829761883E-2</v>
      </c>
    </row>
    <row r="10" spans="1:7" x14ac:dyDescent="0.3">
      <c r="A10" t="s">
        <v>10</v>
      </c>
      <c r="B10" s="1">
        <v>2928</v>
      </c>
      <c r="C10">
        <v>86</v>
      </c>
      <c r="D10">
        <f t="shared" si="1"/>
        <v>251808</v>
      </c>
      <c r="E10" s="3">
        <f t="shared" si="0"/>
        <v>3.0709779485665344E-2</v>
      </c>
    </row>
    <row r="11" spans="1:7" x14ac:dyDescent="0.3">
      <c r="A11" t="s">
        <v>23</v>
      </c>
      <c r="B11" s="1">
        <v>2750</v>
      </c>
      <c r="C11">
        <v>141</v>
      </c>
      <c r="D11">
        <f t="shared" si="1"/>
        <v>387750</v>
      </c>
      <c r="E11" s="3">
        <f t="shared" si="0"/>
        <v>4.7288874839428202E-2</v>
      </c>
    </row>
    <row r="12" spans="1:7" x14ac:dyDescent="0.3">
      <c r="A12" t="s">
        <v>12</v>
      </c>
      <c r="B12" s="1">
        <v>1228</v>
      </c>
      <c r="C12">
        <v>33</v>
      </c>
      <c r="D12">
        <f>C12*B12</f>
        <v>40524</v>
      </c>
      <c r="E12" s="3">
        <f t="shared" si="0"/>
        <v>4.9421904938568365E-3</v>
      </c>
    </row>
    <row r="13" spans="1:7" x14ac:dyDescent="0.3">
      <c r="A13" t="s">
        <v>13</v>
      </c>
      <c r="B13" s="1">
        <f>278+278</f>
        <v>556</v>
      </c>
      <c r="C13">
        <v>1395</v>
      </c>
      <c r="D13">
        <f>C13*B13</f>
        <v>775620</v>
      </c>
      <c r="E13" s="3">
        <f t="shared" si="0"/>
        <v>9.4592384533739013E-2</v>
      </c>
    </row>
    <row r="14" spans="1:7" x14ac:dyDescent="0.3">
      <c r="A14" t="s">
        <v>14</v>
      </c>
      <c r="B14" s="1">
        <v>1011</v>
      </c>
      <c r="C14">
        <v>332</v>
      </c>
      <c r="D14">
        <f>C14*B14</f>
        <v>335652</v>
      </c>
      <c r="E14" s="3">
        <f t="shared" si="0"/>
        <v>4.0935152592143788E-2</v>
      </c>
    </row>
    <row r="15" spans="1:7" x14ac:dyDescent="0.3">
      <c r="A15" t="s">
        <v>15</v>
      </c>
      <c r="B15" s="1">
        <f>265+65+158-244</f>
        <v>244</v>
      </c>
      <c r="C15">
        <v>317</v>
      </c>
      <c r="D15">
        <f>C15*B15</f>
        <v>77348</v>
      </c>
      <c r="E15" s="3">
        <f t="shared" si="0"/>
        <v>9.4331396288332495E-3</v>
      </c>
    </row>
    <row r="16" spans="1:7" x14ac:dyDescent="0.3">
      <c r="A16" t="s">
        <v>16</v>
      </c>
      <c r="B16" s="1">
        <f>186+349</f>
        <v>535</v>
      </c>
      <c r="C16">
        <v>164</v>
      </c>
      <c r="D16">
        <f t="shared" si="1"/>
        <v>87740</v>
      </c>
      <c r="E16" s="3">
        <f t="shared" si="0"/>
        <v>1.0700518061667132E-2</v>
      </c>
    </row>
    <row r="17" spans="1:7" x14ac:dyDescent="0.3">
      <c r="A17" t="s">
        <v>17</v>
      </c>
      <c r="B17" s="1">
        <v>267</v>
      </c>
      <c r="C17">
        <v>936</v>
      </c>
      <c r="D17">
        <f t="shared" si="1"/>
        <v>249912</v>
      </c>
      <c r="E17" s="3">
        <f t="shared" si="0"/>
        <v>3.0478548778520131E-2</v>
      </c>
    </row>
    <row r="18" spans="1:7" x14ac:dyDescent="0.3">
      <c r="A18" t="s">
        <v>18</v>
      </c>
      <c r="B18" s="1">
        <f>368+532</f>
        <v>900</v>
      </c>
      <c r="C18">
        <v>218</v>
      </c>
      <c r="D18">
        <f t="shared" si="1"/>
        <v>196200</v>
      </c>
      <c r="E18" s="3">
        <f t="shared" si="0"/>
        <v>2.3927987733064638E-2</v>
      </c>
    </row>
    <row r="19" spans="1:7" x14ac:dyDescent="0.3">
      <c r="A19" t="s">
        <v>19</v>
      </c>
      <c r="B19" s="1">
        <f>6886+2045</f>
        <v>8931</v>
      </c>
      <c r="C19">
        <v>38</v>
      </c>
      <c r="D19">
        <f t="shared" si="1"/>
        <v>339378</v>
      </c>
      <c r="E19" s="3">
        <f t="shared" si="0"/>
        <v>4.1389564836248782E-2</v>
      </c>
    </row>
    <row r="20" spans="1:7" x14ac:dyDescent="0.3">
      <c r="A20" t="s">
        <v>20</v>
      </c>
      <c r="B20" s="1">
        <f>920+319+331</f>
        <v>1570</v>
      </c>
      <c r="C20">
        <v>261</v>
      </c>
      <c r="D20">
        <f t="shared" si="1"/>
        <v>409770</v>
      </c>
      <c r="E20" s="3">
        <f t="shared" si="0"/>
        <v>4.997437071038683E-2</v>
      </c>
    </row>
    <row r="21" spans="1:7" x14ac:dyDescent="0.3">
      <c r="A21" t="s">
        <v>36</v>
      </c>
      <c r="B21" s="1">
        <f>419+419</f>
        <v>838</v>
      </c>
      <c r="C21">
        <v>405</v>
      </c>
      <c r="D21">
        <f t="shared" si="1"/>
        <v>339390</v>
      </c>
      <c r="E21" s="3">
        <f t="shared" si="0"/>
        <v>4.1391028321737043E-2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</f>
        <v>1115.0449999999996</v>
      </c>
      <c r="C22">
        <v>1000</v>
      </c>
      <c r="D22">
        <f t="shared" si="1"/>
        <v>1115044.9999999995</v>
      </c>
      <c r="E22" s="3">
        <f t="shared" si="0"/>
        <v>0.13598768135481676</v>
      </c>
      <c r="G22" t="s">
        <v>53</v>
      </c>
    </row>
    <row r="23" spans="1:7" x14ac:dyDescent="0.3">
      <c r="B23" s="1"/>
      <c r="E23" s="3"/>
    </row>
    <row r="24" spans="1:7" x14ac:dyDescent="0.3">
      <c r="B24" s="1"/>
      <c r="D24">
        <f>SUM(D5:D22)</f>
        <v>8199603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4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42901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</f>
        <v>74</v>
      </c>
      <c r="C5">
        <v>2428</v>
      </c>
      <c r="D5">
        <f>B5*C5</f>
        <v>179672</v>
      </c>
      <c r="E5" s="3">
        <f t="shared" ref="E5:E22" si="0">D5/$D$24</f>
        <v>2.203215454586701E-2</v>
      </c>
      <c r="G5" t="s">
        <v>56</v>
      </c>
    </row>
    <row r="6" spans="1:7" x14ac:dyDescent="0.3">
      <c r="A6" t="s">
        <v>7</v>
      </c>
      <c r="B6" s="1">
        <f>473+780+961-554-554</f>
        <v>1106</v>
      </c>
      <c r="C6">
        <v>717</v>
      </c>
      <c r="D6">
        <f t="shared" ref="D6:D22" si="1">C6*B6</f>
        <v>793002</v>
      </c>
      <c r="E6" s="3">
        <f t="shared" si="0"/>
        <v>9.724132095808824E-2</v>
      </c>
      <c r="G6" t="s">
        <v>55</v>
      </c>
    </row>
    <row r="7" spans="1:7" x14ac:dyDescent="0.3">
      <c r="A7" t="s">
        <v>8</v>
      </c>
      <c r="B7" s="1">
        <f>840+420</f>
        <v>1260</v>
      </c>
      <c r="C7">
        <v>1139</v>
      </c>
      <c r="D7">
        <f t="shared" si="1"/>
        <v>1435140</v>
      </c>
      <c r="E7" s="3">
        <f t="shared" si="0"/>
        <v>0.17598304841575527</v>
      </c>
    </row>
    <row r="8" spans="1:7" x14ac:dyDescent="0.3">
      <c r="A8" t="s">
        <v>41</v>
      </c>
      <c r="B8" s="1">
        <f>1280+1280+1280+910</f>
        <v>4750</v>
      </c>
      <c r="C8">
        <v>72</v>
      </c>
      <c r="D8">
        <f t="shared" si="1"/>
        <v>342000</v>
      </c>
      <c r="E8" s="3">
        <f t="shared" si="0"/>
        <v>4.1937513105472848E-2</v>
      </c>
    </row>
    <row r="9" spans="1:7" x14ac:dyDescent="0.3">
      <c r="A9" t="s">
        <v>9</v>
      </c>
      <c r="B9" s="1">
        <f>766+383+229</f>
        <v>1378</v>
      </c>
      <c r="C9">
        <v>338</v>
      </c>
      <c r="D9">
        <f t="shared" si="1"/>
        <v>465764</v>
      </c>
      <c r="E9" s="3">
        <f t="shared" si="0"/>
        <v>5.711398787736098E-2</v>
      </c>
    </row>
    <row r="10" spans="1:7" x14ac:dyDescent="0.3">
      <c r="A10" t="s">
        <v>10</v>
      </c>
      <c r="B10" s="1">
        <v>2928</v>
      </c>
      <c r="C10">
        <v>88</v>
      </c>
      <c r="D10">
        <f t="shared" si="1"/>
        <v>257664</v>
      </c>
      <c r="E10" s="3">
        <f t="shared" si="0"/>
        <v>3.1595869522832033E-2</v>
      </c>
    </row>
    <row r="11" spans="1:7" x14ac:dyDescent="0.3">
      <c r="A11" t="s">
        <v>23</v>
      </c>
      <c r="B11" s="1">
        <v>2750</v>
      </c>
      <c r="C11">
        <v>144</v>
      </c>
      <c r="D11">
        <f t="shared" si="1"/>
        <v>396000</v>
      </c>
      <c r="E11" s="3">
        <f t="shared" si="0"/>
        <v>4.8559225701073822E-2</v>
      </c>
    </row>
    <row r="12" spans="1:7" x14ac:dyDescent="0.3">
      <c r="A12" t="s">
        <v>12</v>
      </c>
      <c r="B12" s="1">
        <v>1228</v>
      </c>
      <c r="C12">
        <v>31</v>
      </c>
      <c r="D12">
        <f>C12*B12</f>
        <v>38068</v>
      </c>
      <c r="E12" s="3">
        <f t="shared" si="0"/>
        <v>4.6680621312840363E-3</v>
      </c>
    </row>
    <row r="13" spans="1:7" x14ac:dyDescent="0.3">
      <c r="A13" t="s">
        <v>13</v>
      </c>
      <c r="B13" s="1">
        <f>278+278</f>
        <v>556</v>
      </c>
      <c r="C13">
        <v>1395</v>
      </c>
      <c r="D13">
        <f>C13*B13</f>
        <v>775620</v>
      </c>
      <c r="E13" s="3">
        <f t="shared" si="0"/>
        <v>9.5109865248148684E-2</v>
      </c>
    </row>
    <row r="14" spans="1:7" x14ac:dyDescent="0.3">
      <c r="A14" t="s">
        <v>14</v>
      </c>
      <c r="B14" s="1">
        <v>1011</v>
      </c>
      <c r="C14">
        <v>332</v>
      </c>
      <c r="D14">
        <f>C14*B14</f>
        <v>335652</v>
      </c>
      <c r="E14" s="3">
        <f t="shared" si="0"/>
        <v>4.1159094002567752E-2</v>
      </c>
    </row>
    <row r="15" spans="1:7" x14ac:dyDescent="0.3">
      <c r="A15" t="s">
        <v>15</v>
      </c>
      <c r="B15" s="1">
        <f>265+65+158-244</f>
        <v>244</v>
      </c>
      <c r="C15">
        <v>314</v>
      </c>
      <c r="D15">
        <f>C15*B15</f>
        <v>76616</v>
      </c>
      <c r="E15" s="3">
        <f t="shared" si="0"/>
        <v>9.3949839300845241E-3</v>
      </c>
    </row>
    <row r="16" spans="1:7" x14ac:dyDescent="0.3">
      <c r="A16" t="s">
        <v>16</v>
      </c>
      <c r="B16" s="1">
        <f>186+349</f>
        <v>535</v>
      </c>
      <c r="C16">
        <v>160</v>
      </c>
      <c r="D16">
        <f t="shared" si="1"/>
        <v>85600</v>
      </c>
      <c r="E16" s="3">
        <f t="shared" si="0"/>
        <v>1.0496640707100807E-2</v>
      </c>
    </row>
    <row r="17" spans="1:7" x14ac:dyDescent="0.3">
      <c r="A17" t="s">
        <v>17</v>
      </c>
      <c r="B17" s="1">
        <v>267</v>
      </c>
      <c r="C17">
        <v>931</v>
      </c>
      <c r="D17">
        <f t="shared" si="1"/>
        <v>248577</v>
      </c>
      <c r="E17" s="3">
        <f t="shared" si="0"/>
        <v>3.0481582442161179E-2</v>
      </c>
    </row>
    <row r="18" spans="1:7" x14ac:dyDescent="0.3">
      <c r="A18" t="s">
        <v>18</v>
      </c>
      <c r="B18" s="1">
        <f>368+532</f>
        <v>900</v>
      </c>
      <c r="C18">
        <v>220</v>
      </c>
      <c r="D18">
        <f t="shared" si="1"/>
        <v>198000</v>
      </c>
      <c r="E18" s="3">
        <f t="shared" si="0"/>
        <v>2.4279612850536911E-2</v>
      </c>
    </row>
    <row r="19" spans="1:7" x14ac:dyDescent="0.3">
      <c r="A19" t="s">
        <v>19</v>
      </c>
      <c r="B19" s="1">
        <f>6886+2045</f>
        <v>8931</v>
      </c>
      <c r="C19">
        <v>37</v>
      </c>
      <c r="D19">
        <f t="shared" si="1"/>
        <v>330447</v>
      </c>
      <c r="E19" s="3">
        <f t="shared" si="0"/>
        <v>4.0520834482936217E-2</v>
      </c>
    </row>
    <row r="20" spans="1:7" x14ac:dyDescent="0.3">
      <c r="A20" t="s">
        <v>20</v>
      </c>
      <c r="B20" s="1">
        <f>920+319+331</f>
        <v>1570</v>
      </c>
      <c r="C20">
        <v>263</v>
      </c>
      <c r="D20">
        <f t="shared" si="1"/>
        <v>412910</v>
      </c>
      <c r="E20" s="3">
        <f t="shared" si="0"/>
        <v>5.0632802737955535E-2</v>
      </c>
    </row>
    <row r="21" spans="1:7" x14ac:dyDescent="0.3">
      <c r="A21" t="s">
        <v>36</v>
      </c>
      <c r="B21" s="1">
        <f>419+419</f>
        <v>838</v>
      </c>
      <c r="C21">
        <v>414</v>
      </c>
      <c r="D21">
        <f t="shared" si="1"/>
        <v>346932</v>
      </c>
      <c r="E21" s="3">
        <f t="shared" si="0"/>
        <v>4.2542296189204402E-2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</f>
        <v>1437.3259999999996</v>
      </c>
      <c r="C22">
        <v>1000</v>
      </c>
      <c r="D22">
        <f t="shared" si="1"/>
        <v>1437325.9999999995</v>
      </c>
      <c r="E22" s="3">
        <f t="shared" si="0"/>
        <v>0.17625110515156972</v>
      </c>
      <c r="G22" t="s">
        <v>57</v>
      </c>
    </row>
    <row r="23" spans="1:7" x14ac:dyDescent="0.3">
      <c r="B23" s="1"/>
      <c r="E23" s="3"/>
    </row>
    <row r="24" spans="1:7" x14ac:dyDescent="0.3">
      <c r="B24" s="1"/>
      <c r="D24">
        <f>SUM(D5:D22)</f>
        <v>8154990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4"/>
  <sheetViews>
    <sheetView workbookViewId="0">
      <selection activeCell="C1" sqref="C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42902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</f>
        <v>83</v>
      </c>
      <c r="C5">
        <v>2495</v>
      </c>
      <c r="D5">
        <f>B5*C5</f>
        <v>207085</v>
      </c>
      <c r="E5" s="3">
        <f t="shared" ref="E5:E22" si="0">D5/$D$24</f>
        <v>2.5303984450424487E-2</v>
      </c>
      <c r="G5" t="s">
        <v>58</v>
      </c>
    </row>
    <row r="6" spans="1:7" x14ac:dyDescent="0.3">
      <c r="A6" t="s">
        <v>7</v>
      </c>
      <c r="B6" s="1">
        <f>473+780+961-554-554</f>
        <v>1106</v>
      </c>
      <c r="C6">
        <v>709</v>
      </c>
      <c r="D6">
        <f t="shared" ref="D6:D22" si="1">C6*B6</f>
        <v>784154</v>
      </c>
      <c r="E6" s="3">
        <f t="shared" si="0"/>
        <v>9.5816793214081958E-2</v>
      </c>
    </row>
    <row r="7" spans="1:7" x14ac:dyDescent="0.3">
      <c r="A7" t="s">
        <v>8</v>
      </c>
      <c r="B7" s="1">
        <f>840+420</f>
        <v>1260</v>
      </c>
      <c r="C7">
        <v>1130</v>
      </c>
      <c r="D7">
        <f t="shared" si="1"/>
        <v>1423800</v>
      </c>
      <c r="E7" s="3">
        <f t="shared" si="0"/>
        <v>0.17397596668283258</v>
      </c>
    </row>
    <row r="8" spans="1:7" x14ac:dyDescent="0.3">
      <c r="A8" t="s">
        <v>41</v>
      </c>
      <c r="B8" s="1">
        <f>1280+1280+1280+910</f>
        <v>4750</v>
      </c>
      <c r="C8">
        <v>71</v>
      </c>
      <c r="D8">
        <f t="shared" si="1"/>
        <v>337250</v>
      </c>
      <c r="E8" s="3">
        <f t="shared" si="0"/>
        <v>4.120901444288895E-2</v>
      </c>
    </row>
    <row r="9" spans="1:7" x14ac:dyDescent="0.3">
      <c r="A9" t="s">
        <v>9</v>
      </c>
      <c r="B9" s="1">
        <f>766+383+229</f>
        <v>1378</v>
      </c>
      <c r="C9">
        <v>338</v>
      </c>
      <c r="D9">
        <f t="shared" si="1"/>
        <v>465764</v>
      </c>
      <c r="E9" s="3">
        <f t="shared" si="0"/>
        <v>5.6912306606309054E-2</v>
      </c>
    </row>
    <row r="10" spans="1:7" x14ac:dyDescent="0.3">
      <c r="A10" t="s">
        <v>10</v>
      </c>
      <c r="B10" s="1">
        <v>2928</v>
      </c>
      <c r="C10">
        <v>90</v>
      </c>
      <c r="D10">
        <f t="shared" si="1"/>
        <v>263520</v>
      </c>
      <c r="E10" s="3">
        <f t="shared" si="0"/>
        <v>3.2199850217909845E-2</v>
      </c>
    </row>
    <row r="11" spans="1:7" x14ac:dyDescent="0.3">
      <c r="A11" t="s">
        <v>23</v>
      </c>
      <c r="B11" s="1">
        <v>2750</v>
      </c>
      <c r="C11">
        <v>149</v>
      </c>
      <c r="D11">
        <f t="shared" si="1"/>
        <v>409750</v>
      </c>
      <c r="E11" s="3">
        <f t="shared" si="0"/>
        <v>5.0067883374273529E-2</v>
      </c>
    </row>
    <row r="12" spans="1:7" x14ac:dyDescent="0.3">
      <c r="A12" t="s">
        <v>12</v>
      </c>
      <c r="B12" s="1">
        <v>1228</v>
      </c>
      <c r="C12">
        <v>30</v>
      </c>
      <c r="D12">
        <f>C12*B12</f>
        <v>36840</v>
      </c>
      <c r="E12" s="3">
        <f t="shared" si="0"/>
        <v>4.5015273300994182E-3</v>
      </c>
    </row>
    <row r="13" spans="1:7" x14ac:dyDescent="0.3">
      <c r="A13" t="s">
        <v>13</v>
      </c>
      <c r="B13" s="1">
        <f>278+278</f>
        <v>556</v>
      </c>
      <c r="C13">
        <v>1396</v>
      </c>
      <c r="D13">
        <f>C13*B13</f>
        <v>776176</v>
      </c>
      <c r="E13" s="3">
        <f t="shared" si="0"/>
        <v>9.4841951057742846E-2</v>
      </c>
    </row>
    <row r="14" spans="1:7" x14ac:dyDescent="0.3">
      <c r="A14" t="s">
        <v>14</v>
      </c>
      <c r="B14" s="1">
        <v>1011</v>
      </c>
      <c r="C14">
        <v>335</v>
      </c>
      <c r="D14">
        <f>C14*B14</f>
        <v>338685</v>
      </c>
      <c r="E14" s="3">
        <f t="shared" si="0"/>
        <v>4.1384358952082562E-2</v>
      </c>
    </row>
    <row r="15" spans="1:7" x14ac:dyDescent="0.3">
      <c r="A15" t="s">
        <v>15</v>
      </c>
      <c r="B15" s="1">
        <f>265+65+158-244</f>
        <v>244</v>
      </c>
      <c r="C15">
        <v>329</v>
      </c>
      <c r="D15">
        <f>C15*B15</f>
        <v>80276</v>
      </c>
      <c r="E15" s="3">
        <f t="shared" si="0"/>
        <v>9.8090284460114249E-3</v>
      </c>
    </row>
    <row r="16" spans="1:7" x14ac:dyDescent="0.3">
      <c r="A16" t="s">
        <v>16</v>
      </c>
      <c r="B16" s="1">
        <f>186+349</f>
        <v>535</v>
      </c>
      <c r="C16">
        <v>164</v>
      </c>
      <c r="D16">
        <f t="shared" si="1"/>
        <v>87740</v>
      </c>
      <c r="E16" s="3">
        <f t="shared" si="0"/>
        <v>1.0721064276409419E-2</v>
      </c>
    </row>
    <row r="17" spans="1:7" x14ac:dyDescent="0.3">
      <c r="A17" t="s">
        <v>17</v>
      </c>
      <c r="B17" s="1">
        <v>267</v>
      </c>
      <c r="C17">
        <v>951</v>
      </c>
      <c r="D17">
        <f t="shared" si="1"/>
        <v>253917</v>
      </c>
      <c r="E17" s="3">
        <f t="shared" si="0"/>
        <v>3.1026447206212109E-2</v>
      </c>
    </row>
    <row r="18" spans="1:7" x14ac:dyDescent="0.3">
      <c r="A18" t="s">
        <v>18</v>
      </c>
      <c r="B18" s="1">
        <f>368+532</f>
        <v>900</v>
      </c>
      <c r="C18">
        <v>223</v>
      </c>
      <c r="D18">
        <f t="shared" si="1"/>
        <v>200700</v>
      </c>
      <c r="E18" s="3">
        <f t="shared" si="0"/>
        <v>2.4523793027984617E-2</v>
      </c>
    </row>
    <row r="19" spans="1:7" x14ac:dyDescent="0.3">
      <c r="A19" t="s">
        <v>19</v>
      </c>
      <c r="B19" s="1">
        <f>6886+2045</f>
        <v>8931</v>
      </c>
      <c r="C19">
        <v>38</v>
      </c>
      <c r="D19">
        <f t="shared" si="1"/>
        <v>339378</v>
      </c>
      <c r="E19" s="3">
        <f t="shared" si="0"/>
        <v>4.1469037519937038E-2</v>
      </c>
    </row>
    <row r="20" spans="1:7" x14ac:dyDescent="0.3">
      <c r="A20" t="s">
        <v>20</v>
      </c>
      <c r="B20" s="1">
        <f>920+319+331</f>
        <v>1570</v>
      </c>
      <c r="C20">
        <v>259</v>
      </c>
      <c r="D20">
        <f t="shared" si="1"/>
        <v>406630</v>
      </c>
      <c r="E20" s="3">
        <f t="shared" si="0"/>
        <v>4.9686646531984978E-2</v>
      </c>
    </row>
    <row r="21" spans="1:7" x14ac:dyDescent="0.3">
      <c r="A21" t="s">
        <v>36</v>
      </c>
      <c r="B21" s="1">
        <f>419+419</f>
        <v>838</v>
      </c>
      <c r="C21">
        <v>427</v>
      </c>
      <c r="D21">
        <f t="shared" si="1"/>
        <v>357826</v>
      </c>
      <c r="E21" s="3">
        <f t="shared" si="0"/>
        <v>4.3723222541263693E-2</v>
      </c>
    </row>
    <row r="22" spans="1:7" x14ac:dyDescent="0.3">
      <c r="A22" t="s">
        <v>21</v>
      </c>
      <c r="B22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</f>
        <v>1414.3979999999995</v>
      </c>
      <c r="C22">
        <v>1000</v>
      </c>
      <c r="D22">
        <f t="shared" si="1"/>
        <v>1414397.9999999995</v>
      </c>
      <c r="E22" s="3">
        <f t="shared" si="0"/>
        <v>0.17282712412155143</v>
      </c>
      <c r="G22" t="s">
        <v>59</v>
      </c>
    </row>
    <row r="23" spans="1:7" x14ac:dyDescent="0.3">
      <c r="B23" s="1"/>
      <c r="E23" s="3"/>
    </row>
    <row r="24" spans="1:7" x14ac:dyDescent="0.3">
      <c r="B24" s="1"/>
      <c r="D24">
        <f>SUM(D5:D22)</f>
        <v>8183889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5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42905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</f>
        <v>83</v>
      </c>
      <c r="C5">
        <v>2554</v>
      </c>
      <c r="D5">
        <f>B5*C5</f>
        <v>211982</v>
      </c>
      <c r="E5" s="3">
        <f t="shared" ref="E5:E23" si="0">D5/$D$25</f>
        <v>2.5773727338471334E-2</v>
      </c>
    </row>
    <row r="6" spans="1:7" x14ac:dyDescent="0.3">
      <c r="A6" t="s">
        <v>7</v>
      </c>
      <c r="B6" s="1">
        <f>473+780+961-554-554</f>
        <v>1106</v>
      </c>
      <c r="C6">
        <v>709</v>
      </c>
      <c r="D6">
        <f t="shared" ref="D6:D23" si="1">C6*B6</f>
        <v>784154</v>
      </c>
      <c r="E6" s="3">
        <f t="shared" si="0"/>
        <v>9.5340978891470265E-2</v>
      </c>
    </row>
    <row r="7" spans="1:7" x14ac:dyDescent="0.3">
      <c r="A7" t="s">
        <v>60</v>
      </c>
      <c r="B7" s="1">
        <v>6000</v>
      </c>
      <c r="C7">
        <v>33</v>
      </c>
      <c r="D7">
        <f t="shared" si="1"/>
        <v>198000</v>
      </c>
      <c r="E7" s="3">
        <f t="shared" si="0"/>
        <v>2.4073732736823523E-2</v>
      </c>
      <c r="G7" t="s">
        <v>61</v>
      </c>
    </row>
    <row r="8" spans="1:7" x14ac:dyDescent="0.3">
      <c r="A8" t="s">
        <v>8</v>
      </c>
      <c r="B8" s="1">
        <f>840+420</f>
        <v>1260</v>
      </c>
      <c r="C8">
        <v>1139</v>
      </c>
      <c r="D8">
        <f t="shared" si="1"/>
        <v>1435140</v>
      </c>
      <c r="E8" s="3">
        <f t="shared" si="0"/>
        <v>0.17449079191881267</v>
      </c>
    </row>
    <row r="9" spans="1:7" x14ac:dyDescent="0.3">
      <c r="A9" t="s">
        <v>41</v>
      </c>
      <c r="B9" s="1">
        <f>1280+1280+1280+910</f>
        <v>4750</v>
      </c>
      <c r="C9">
        <v>75</v>
      </c>
      <c r="D9">
        <f t="shared" si="1"/>
        <v>356250</v>
      </c>
      <c r="E9" s="3">
        <f t="shared" si="0"/>
        <v>4.3314481249966563E-2</v>
      </c>
    </row>
    <row r="10" spans="1:7" x14ac:dyDescent="0.3">
      <c r="A10" t="s">
        <v>9</v>
      </c>
      <c r="B10" s="1">
        <f>766+383+229</f>
        <v>1378</v>
      </c>
      <c r="C10">
        <v>340</v>
      </c>
      <c r="D10">
        <f t="shared" si="1"/>
        <v>468520</v>
      </c>
      <c r="E10" s="3">
        <f t="shared" si="0"/>
        <v>5.6964774049780585E-2</v>
      </c>
    </row>
    <row r="11" spans="1:7" x14ac:dyDescent="0.3">
      <c r="A11" t="s">
        <v>10</v>
      </c>
      <c r="B11" s="1">
        <v>2928</v>
      </c>
      <c r="C11">
        <v>90</v>
      </c>
      <c r="D11">
        <f t="shared" si="1"/>
        <v>263520</v>
      </c>
      <c r="E11" s="3">
        <f t="shared" si="0"/>
        <v>3.2039949751554213E-2</v>
      </c>
    </row>
    <row r="12" spans="1:7" x14ac:dyDescent="0.3">
      <c r="A12" t="s">
        <v>23</v>
      </c>
      <c r="B12" s="1">
        <v>2750</v>
      </c>
      <c r="C12">
        <v>153</v>
      </c>
      <c r="D12">
        <f t="shared" si="1"/>
        <v>420750</v>
      </c>
      <c r="E12" s="3">
        <f t="shared" si="0"/>
        <v>5.1156682065749984E-2</v>
      </c>
    </row>
    <row r="13" spans="1:7" x14ac:dyDescent="0.3">
      <c r="A13" t="s">
        <v>12</v>
      </c>
      <c r="B13" s="1">
        <v>1228</v>
      </c>
      <c r="C13">
        <v>29</v>
      </c>
      <c r="D13">
        <f>C13*B13</f>
        <v>35612</v>
      </c>
      <c r="E13" s="3">
        <f t="shared" si="0"/>
        <v>4.3298675263826227E-3</v>
      </c>
    </row>
    <row r="14" spans="1:7" x14ac:dyDescent="0.3">
      <c r="A14" t="s">
        <v>13</v>
      </c>
      <c r="B14" s="1">
        <f>278+278</f>
        <v>556</v>
      </c>
      <c r="C14">
        <v>1399</v>
      </c>
      <c r="D14">
        <f>C14*B14</f>
        <v>777844</v>
      </c>
      <c r="E14" s="3">
        <f t="shared" si="0"/>
        <v>9.4573780641119973E-2</v>
      </c>
    </row>
    <row r="15" spans="1:7" x14ac:dyDescent="0.3">
      <c r="A15" t="s">
        <v>14</v>
      </c>
      <c r="B15" s="1">
        <v>1011</v>
      </c>
      <c r="C15">
        <v>335</v>
      </c>
      <c r="D15">
        <f>C15*B15</f>
        <v>338685</v>
      </c>
      <c r="E15" s="3">
        <f t="shared" si="0"/>
        <v>4.1178849353389266E-2</v>
      </c>
    </row>
    <row r="16" spans="1:7" x14ac:dyDescent="0.3">
      <c r="A16" t="s">
        <v>15</v>
      </c>
      <c r="B16" s="1">
        <f>265+65+158-244</f>
        <v>244</v>
      </c>
      <c r="C16">
        <v>324</v>
      </c>
      <c r="D16">
        <f>C16*B16</f>
        <v>79056</v>
      </c>
      <c r="E16" s="3">
        <f t="shared" si="0"/>
        <v>9.6119849254662649E-3</v>
      </c>
    </row>
    <row r="17" spans="1:7" x14ac:dyDescent="0.3">
      <c r="A17" t="s">
        <v>16</v>
      </c>
      <c r="B17" s="1">
        <f>186+349</f>
        <v>535</v>
      </c>
      <c r="C17">
        <v>170</v>
      </c>
      <c r="D17">
        <f t="shared" si="1"/>
        <v>90950</v>
      </c>
      <c r="E17" s="3">
        <f t="shared" si="0"/>
        <v>1.1058111072798481E-2</v>
      </c>
    </row>
    <row r="18" spans="1:7" x14ac:dyDescent="0.3">
      <c r="A18" t="s">
        <v>17</v>
      </c>
      <c r="B18" s="1">
        <v>267</v>
      </c>
      <c r="C18">
        <v>945</v>
      </c>
      <c r="D18">
        <f t="shared" si="1"/>
        <v>252315</v>
      </c>
      <c r="E18" s="3">
        <f t="shared" si="0"/>
        <v>3.0677595330765792E-2</v>
      </c>
    </row>
    <row r="19" spans="1:7" x14ac:dyDescent="0.3">
      <c r="A19" t="s">
        <v>18</v>
      </c>
      <c r="B19" s="1">
        <f>368+532</f>
        <v>900</v>
      </c>
      <c r="C19">
        <v>226</v>
      </c>
      <c r="D19">
        <f t="shared" si="1"/>
        <v>203400</v>
      </c>
      <c r="E19" s="3">
        <f t="shared" si="0"/>
        <v>2.4730289084191438E-2</v>
      </c>
    </row>
    <row r="20" spans="1:7" x14ac:dyDescent="0.3">
      <c r="A20" t="s">
        <v>19</v>
      </c>
      <c r="B20" s="1">
        <f>6886+2045</f>
        <v>8931</v>
      </c>
      <c r="C20">
        <v>38</v>
      </c>
      <c r="D20">
        <f t="shared" si="1"/>
        <v>339378</v>
      </c>
      <c r="E20" s="3">
        <f t="shared" si="0"/>
        <v>4.1263107417968146E-2</v>
      </c>
    </row>
    <row r="21" spans="1:7" x14ac:dyDescent="0.3">
      <c r="A21" t="s">
        <v>20</v>
      </c>
      <c r="B21" s="1">
        <f>920+319+331</f>
        <v>1570</v>
      </c>
      <c r="C21">
        <v>259</v>
      </c>
      <c r="D21">
        <f t="shared" si="1"/>
        <v>406630</v>
      </c>
      <c r="E21" s="3">
        <f t="shared" si="0"/>
        <v>4.9439908801891662E-2</v>
      </c>
    </row>
    <row r="22" spans="1:7" x14ac:dyDescent="0.3">
      <c r="A22" t="s">
        <v>36</v>
      </c>
      <c r="B22" s="1">
        <f>419+419</f>
        <v>838</v>
      </c>
      <c r="C22">
        <v>416</v>
      </c>
      <c r="D22">
        <f t="shared" si="1"/>
        <v>348608</v>
      </c>
      <c r="E22" s="3">
        <f t="shared" si="0"/>
        <v>4.2385332433932194E-2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</f>
        <v>1213.9379999999994</v>
      </c>
      <c r="C23">
        <v>1000</v>
      </c>
      <c r="D23">
        <f t="shared" si="1"/>
        <v>1213937.9999999995</v>
      </c>
      <c r="E23" s="3">
        <f t="shared" si="0"/>
        <v>0.14759605540946497</v>
      </c>
      <c r="G23" t="s">
        <v>62</v>
      </c>
    </row>
    <row r="24" spans="1:7" x14ac:dyDescent="0.3">
      <c r="B24" s="1"/>
      <c r="E24" s="3"/>
    </row>
    <row r="25" spans="1:7" x14ac:dyDescent="0.3">
      <c r="B25" s="1"/>
      <c r="D25">
        <f>SUM(D5:D23)</f>
        <v>8224732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42906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</f>
        <v>83</v>
      </c>
      <c r="C5">
        <v>2568</v>
      </c>
      <c r="D5">
        <f>B5*C5</f>
        <v>213144</v>
      </c>
      <c r="E5" s="3">
        <f t="shared" ref="E5:E23" si="0">D5/$D$25</f>
        <v>2.5860829513551568E-2</v>
      </c>
    </row>
    <row r="6" spans="1:7" x14ac:dyDescent="0.3">
      <c r="A6" t="s">
        <v>7</v>
      </c>
      <c r="B6" s="1">
        <f>473+780+961-554-554</f>
        <v>1106</v>
      </c>
      <c r="C6">
        <v>708</v>
      </c>
      <c r="D6">
        <f t="shared" ref="D6:D23" si="1">C6*B6</f>
        <v>783048</v>
      </c>
      <c r="E6" s="3">
        <f t="shared" si="0"/>
        <v>9.5007463634573477E-2</v>
      </c>
    </row>
    <row r="7" spans="1:7" x14ac:dyDescent="0.3">
      <c r="A7" t="s">
        <v>60</v>
      </c>
      <c r="B7" s="1">
        <f>6000+6000</f>
        <v>12000</v>
      </c>
      <c r="C7">
        <v>34</v>
      </c>
      <c r="D7">
        <f t="shared" si="1"/>
        <v>408000</v>
      </c>
      <c r="E7" s="3">
        <f t="shared" si="0"/>
        <v>4.9502770153178319E-2</v>
      </c>
      <c r="G7" t="s">
        <v>63</v>
      </c>
    </row>
    <row r="8" spans="1:7" x14ac:dyDescent="0.3">
      <c r="A8" t="s">
        <v>8</v>
      </c>
      <c r="B8" s="1">
        <f>840+420</f>
        <v>1260</v>
      </c>
      <c r="C8">
        <v>1145</v>
      </c>
      <c r="D8">
        <f t="shared" si="1"/>
        <v>1442700</v>
      </c>
      <c r="E8" s="3">
        <f t="shared" si="0"/>
        <v>0.17504325122546657</v>
      </c>
    </row>
    <row r="9" spans="1:7" x14ac:dyDescent="0.3">
      <c r="A9" t="s">
        <v>41</v>
      </c>
      <c r="B9" s="1">
        <f>1280+1280+1280+910</f>
        <v>4750</v>
      </c>
      <c r="C9">
        <v>73</v>
      </c>
      <c r="D9">
        <f t="shared" si="1"/>
        <v>346750</v>
      </c>
      <c r="E9" s="3">
        <f t="shared" si="0"/>
        <v>4.2071288114251426E-2</v>
      </c>
    </row>
    <row r="10" spans="1:7" x14ac:dyDescent="0.3">
      <c r="A10" t="s">
        <v>9</v>
      </c>
      <c r="B10" s="1">
        <f>766+383+229</f>
        <v>1378</v>
      </c>
      <c r="C10">
        <v>337</v>
      </c>
      <c r="D10">
        <f t="shared" si="1"/>
        <v>464386</v>
      </c>
      <c r="E10" s="3">
        <f t="shared" si="0"/>
        <v>5.6344101520475164E-2</v>
      </c>
    </row>
    <row r="11" spans="1:7" x14ac:dyDescent="0.3">
      <c r="A11" t="s">
        <v>10</v>
      </c>
      <c r="B11" s="1">
        <v>2928</v>
      </c>
      <c r="C11">
        <v>94</v>
      </c>
      <c r="D11">
        <f t="shared" si="1"/>
        <v>275232</v>
      </c>
      <c r="E11" s="3">
        <f t="shared" si="0"/>
        <v>3.3393986359802882E-2</v>
      </c>
    </row>
    <row r="12" spans="1:7" x14ac:dyDescent="0.3">
      <c r="A12" t="s">
        <v>23</v>
      </c>
      <c r="B12" s="1">
        <v>2750</v>
      </c>
      <c r="C12">
        <v>161</v>
      </c>
      <c r="D12">
        <f t="shared" si="1"/>
        <v>442750</v>
      </c>
      <c r="E12" s="3">
        <f t="shared" si="0"/>
        <v>5.371899873852868E-2</v>
      </c>
    </row>
    <row r="13" spans="1:7" x14ac:dyDescent="0.3">
      <c r="A13" t="s">
        <v>12</v>
      </c>
      <c r="B13" s="1">
        <v>1228</v>
      </c>
      <c r="C13">
        <v>27</v>
      </c>
      <c r="D13">
        <f>C13*B13</f>
        <v>33156</v>
      </c>
      <c r="E13" s="3">
        <f t="shared" si="0"/>
        <v>4.0228280568597556E-3</v>
      </c>
    </row>
    <row r="14" spans="1:7" x14ac:dyDescent="0.3">
      <c r="A14" t="s">
        <v>13</v>
      </c>
      <c r="B14" s="1">
        <f>278+278</f>
        <v>556</v>
      </c>
      <c r="C14">
        <v>1394</v>
      </c>
      <c r="D14">
        <f>C14*B14</f>
        <v>775064</v>
      </c>
      <c r="E14" s="3">
        <f t="shared" si="0"/>
        <v>9.4038762367654419E-2</v>
      </c>
    </row>
    <row r="15" spans="1:7" x14ac:dyDescent="0.3">
      <c r="A15" t="s">
        <v>14</v>
      </c>
      <c r="B15" s="1">
        <v>1011</v>
      </c>
      <c r="C15">
        <v>338</v>
      </c>
      <c r="D15">
        <f>C15*B15</f>
        <v>341718</v>
      </c>
      <c r="E15" s="3">
        <f t="shared" si="0"/>
        <v>4.1460753949028893E-2</v>
      </c>
    </row>
    <row r="16" spans="1:7" x14ac:dyDescent="0.3">
      <c r="A16" t="s">
        <v>15</v>
      </c>
      <c r="B16" s="1">
        <f>265+65+158-244</f>
        <v>244</v>
      </c>
      <c r="C16">
        <v>323</v>
      </c>
      <c r="D16">
        <f>C16*B16</f>
        <v>78812</v>
      </c>
      <c r="E16" s="3">
        <f t="shared" si="0"/>
        <v>9.5622851012556118E-3</v>
      </c>
    </row>
    <row r="17" spans="1:7" x14ac:dyDescent="0.3">
      <c r="A17" t="s">
        <v>16</v>
      </c>
      <c r="B17" s="1">
        <f>186+349</f>
        <v>535</v>
      </c>
      <c r="C17">
        <v>167</v>
      </c>
      <c r="D17">
        <f t="shared" si="1"/>
        <v>89345</v>
      </c>
      <c r="E17" s="3">
        <f t="shared" si="0"/>
        <v>1.0840257351313031E-2</v>
      </c>
    </row>
    <row r="18" spans="1:7" x14ac:dyDescent="0.3">
      <c r="A18" t="s">
        <v>17</v>
      </c>
      <c r="B18" s="1">
        <v>267</v>
      </c>
      <c r="C18">
        <v>937</v>
      </c>
      <c r="D18">
        <f t="shared" si="1"/>
        <v>250179</v>
      </c>
      <c r="E18" s="3">
        <f t="shared" si="0"/>
        <v>3.0354297877823528E-2</v>
      </c>
    </row>
    <row r="19" spans="1:7" x14ac:dyDescent="0.3">
      <c r="A19" t="s">
        <v>18</v>
      </c>
      <c r="B19" s="1">
        <f>368+532</f>
        <v>900</v>
      </c>
      <c r="C19">
        <v>228</v>
      </c>
      <c r="D19">
        <f t="shared" si="1"/>
        <v>205200</v>
      </c>
      <c r="E19" s="3">
        <f t="shared" si="0"/>
        <v>2.4896981459392627E-2</v>
      </c>
    </row>
    <row r="20" spans="1:7" x14ac:dyDescent="0.3">
      <c r="A20" t="s">
        <v>19</v>
      </c>
      <c r="B20" s="1">
        <f>6886+2045</f>
        <v>8931</v>
      </c>
      <c r="C20">
        <v>37</v>
      </c>
      <c r="D20">
        <f t="shared" si="1"/>
        <v>330447</v>
      </c>
      <c r="E20" s="3">
        <f t="shared" si="0"/>
        <v>4.0093239923547346E-2</v>
      </c>
    </row>
    <row r="21" spans="1:7" x14ac:dyDescent="0.3">
      <c r="A21" t="s">
        <v>20</v>
      </c>
      <c r="B21" s="1">
        <f>920+319+331</f>
        <v>1570</v>
      </c>
      <c r="C21">
        <v>257</v>
      </c>
      <c r="D21">
        <f t="shared" si="1"/>
        <v>403490</v>
      </c>
      <c r="E21" s="3">
        <f t="shared" si="0"/>
        <v>4.8955570414475298E-2</v>
      </c>
    </row>
    <row r="22" spans="1:7" x14ac:dyDescent="0.3">
      <c r="A22" t="s">
        <v>36</v>
      </c>
      <c r="B22" s="1">
        <f>419+419</f>
        <v>838</v>
      </c>
      <c r="C22">
        <v>418</v>
      </c>
      <c r="D22">
        <f t="shared" si="1"/>
        <v>350284</v>
      </c>
      <c r="E22" s="3">
        <f t="shared" si="0"/>
        <v>4.2500069461607635E-2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</f>
        <v>1008.2579999999994</v>
      </c>
      <c r="C23">
        <v>1000</v>
      </c>
      <c r="D23">
        <f t="shared" si="1"/>
        <v>1008257.9999999993</v>
      </c>
      <c r="E23" s="3">
        <f t="shared" si="0"/>
        <v>0.1223322647772138</v>
      </c>
      <c r="G23" t="s">
        <v>64</v>
      </c>
    </row>
    <row r="24" spans="1:7" x14ac:dyDescent="0.3">
      <c r="B24" s="1"/>
      <c r="E24" s="3"/>
    </row>
    <row r="25" spans="1:7" x14ac:dyDescent="0.3">
      <c r="B25" s="1"/>
      <c r="D25">
        <f>SUM(D5:D23)</f>
        <v>8241962.9999999991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5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42914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</f>
        <v>101</v>
      </c>
      <c r="C5">
        <v>2362</v>
      </c>
      <c r="D5">
        <f>B5*C5</f>
        <v>238562</v>
      </c>
      <c r="E5" s="3">
        <f t="shared" ref="E5:E23" si="0">D5/$D$25</f>
        <v>3.0158599325836564E-2</v>
      </c>
      <c r="G5" t="s">
        <v>65</v>
      </c>
    </row>
    <row r="6" spans="1:7" x14ac:dyDescent="0.3">
      <c r="A6" t="s">
        <v>7</v>
      </c>
      <c r="B6" s="1">
        <f>473+780+961-554-554</f>
        <v>1106</v>
      </c>
      <c r="C6">
        <v>651</v>
      </c>
      <c r="D6">
        <f t="shared" ref="D6:D23" si="1">C6*B6</f>
        <v>720006</v>
      </c>
      <c r="E6" s="3">
        <f t="shared" si="0"/>
        <v>9.1021924976309218E-2</v>
      </c>
    </row>
    <row r="7" spans="1:7" x14ac:dyDescent="0.3">
      <c r="A7" t="s">
        <v>60</v>
      </c>
      <c r="B7" s="1">
        <f>6000+6000</f>
        <v>12000</v>
      </c>
      <c r="C7">
        <v>32</v>
      </c>
      <c r="D7">
        <f t="shared" si="1"/>
        <v>384000</v>
      </c>
      <c r="E7" s="3">
        <f t="shared" si="0"/>
        <v>4.8544622115513955E-2</v>
      </c>
    </row>
    <row r="8" spans="1:7" x14ac:dyDescent="0.3">
      <c r="A8" t="s">
        <v>8</v>
      </c>
      <c r="B8" s="1">
        <f>840+420</f>
        <v>1260</v>
      </c>
      <c r="C8">
        <v>1072</v>
      </c>
      <c r="D8">
        <f t="shared" si="1"/>
        <v>1350720</v>
      </c>
      <c r="E8" s="3">
        <f t="shared" si="0"/>
        <v>0.17075570829132034</v>
      </c>
    </row>
    <row r="9" spans="1:7" x14ac:dyDescent="0.3">
      <c r="A9" t="s">
        <v>41</v>
      </c>
      <c r="B9" s="1">
        <f>1280+1280+1280+910</f>
        <v>4750</v>
      </c>
      <c r="C9">
        <v>70</v>
      </c>
      <c r="D9">
        <f t="shared" si="1"/>
        <v>332500</v>
      </c>
      <c r="E9" s="3">
        <f t="shared" si="0"/>
        <v>4.2034080347417686E-2</v>
      </c>
    </row>
    <row r="10" spans="1:7" x14ac:dyDescent="0.3">
      <c r="A10" t="s">
        <v>9</v>
      </c>
      <c r="B10" s="1">
        <f>766+383+229</f>
        <v>1378</v>
      </c>
      <c r="C10">
        <v>329</v>
      </c>
      <c r="D10">
        <f t="shared" si="1"/>
        <v>453362</v>
      </c>
      <c r="E10" s="3">
        <f t="shared" si="0"/>
        <v>5.7313247321702183E-2</v>
      </c>
    </row>
    <row r="11" spans="1:7" x14ac:dyDescent="0.3">
      <c r="A11" t="s">
        <v>10</v>
      </c>
      <c r="B11" s="1">
        <v>2928</v>
      </c>
      <c r="C11">
        <v>90</v>
      </c>
      <c r="D11">
        <f t="shared" si="1"/>
        <v>263520</v>
      </c>
      <c r="E11" s="3">
        <f t="shared" si="0"/>
        <v>3.3313746926771449E-2</v>
      </c>
    </row>
    <row r="12" spans="1:7" x14ac:dyDescent="0.3">
      <c r="A12" t="s">
        <v>23</v>
      </c>
      <c r="B12" s="1">
        <v>2750</v>
      </c>
      <c r="C12">
        <v>148</v>
      </c>
      <c r="D12">
        <f t="shared" si="1"/>
        <v>407000</v>
      </c>
      <c r="E12" s="3">
        <f t="shared" si="0"/>
        <v>5.1452242710974427E-2</v>
      </c>
    </row>
    <row r="13" spans="1:7" x14ac:dyDescent="0.3">
      <c r="A13" t="s">
        <v>12</v>
      </c>
      <c r="B13" s="1">
        <v>1228</v>
      </c>
      <c r="C13">
        <v>27</v>
      </c>
      <c r="D13">
        <f>C13*B13</f>
        <v>33156</v>
      </c>
      <c r="E13" s="3">
        <f t="shared" si="0"/>
        <v>4.1915247157864079E-3</v>
      </c>
    </row>
    <row r="14" spans="1:7" x14ac:dyDescent="0.3">
      <c r="A14" t="s">
        <v>13</v>
      </c>
      <c r="B14" s="1">
        <f>278+278</f>
        <v>556</v>
      </c>
      <c r="C14">
        <v>1390</v>
      </c>
      <c r="D14">
        <f>C14*B14</f>
        <v>772840</v>
      </c>
      <c r="E14" s="3">
        <f t="shared" si="0"/>
        <v>9.7701108738942208E-2</v>
      </c>
    </row>
    <row r="15" spans="1:7" x14ac:dyDescent="0.3">
      <c r="A15" t="s">
        <v>14</v>
      </c>
      <c r="B15" s="1">
        <v>1011</v>
      </c>
      <c r="C15">
        <v>338</v>
      </c>
      <c r="D15">
        <f>C15*B15</f>
        <v>341718</v>
      </c>
      <c r="E15" s="3">
        <f t="shared" si="0"/>
        <v>4.3199404114763536E-2</v>
      </c>
    </row>
    <row r="16" spans="1:7" x14ac:dyDescent="0.3">
      <c r="A16" t="s">
        <v>15</v>
      </c>
      <c r="B16" s="1">
        <f>265+65+158-244</f>
        <v>244</v>
      </c>
      <c r="C16">
        <v>328</v>
      </c>
      <c r="D16">
        <f>C16*B16</f>
        <v>80032</v>
      </c>
      <c r="E16" s="3">
        <f t="shared" si="0"/>
        <v>1.0117508325908367E-2</v>
      </c>
    </row>
    <row r="17" spans="1:7" x14ac:dyDescent="0.3">
      <c r="A17" t="s">
        <v>16</v>
      </c>
      <c r="B17" s="1">
        <f>186+349</f>
        <v>535</v>
      </c>
      <c r="C17">
        <v>157</v>
      </c>
      <c r="D17">
        <f t="shared" si="1"/>
        <v>83995</v>
      </c>
      <c r="E17" s="3">
        <f t="shared" si="0"/>
        <v>1.0618503996334882E-2</v>
      </c>
    </row>
    <row r="18" spans="1:7" x14ac:dyDescent="0.3">
      <c r="A18" t="s">
        <v>17</v>
      </c>
      <c r="B18" s="1">
        <v>267</v>
      </c>
      <c r="C18">
        <v>929</v>
      </c>
      <c r="D18">
        <f t="shared" si="1"/>
        <v>248043</v>
      </c>
      <c r="E18" s="3">
        <f t="shared" si="0"/>
        <v>3.135717110260007E-2</v>
      </c>
    </row>
    <row r="19" spans="1:7" x14ac:dyDescent="0.3">
      <c r="A19" t="s">
        <v>18</v>
      </c>
      <c r="B19" s="1">
        <f>368+532</f>
        <v>900</v>
      </c>
      <c r="C19">
        <v>224</v>
      </c>
      <c r="D19">
        <f t="shared" si="1"/>
        <v>201600</v>
      </c>
      <c r="E19" s="3">
        <f t="shared" si="0"/>
        <v>2.5485926610644829E-2</v>
      </c>
    </row>
    <row r="20" spans="1:7" x14ac:dyDescent="0.3">
      <c r="A20" t="s">
        <v>19</v>
      </c>
      <c r="B20" s="1">
        <f>6886+2045</f>
        <v>8931</v>
      </c>
      <c r="C20">
        <v>36</v>
      </c>
      <c r="D20">
        <f t="shared" si="1"/>
        <v>321516</v>
      </c>
      <c r="E20" s="3">
        <f t="shared" si="0"/>
        <v>4.0645501885655168E-2</v>
      </c>
    </row>
    <row r="21" spans="1:7" x14ac:dyDescent="0.3">
      <c r="A21" t="s">
        <v>20</v>
      </c>
      <c r="B21" s="1">
        <f>920+319+331</f>
        <v>1570</v>
      </c>
      <c r="C21">
        <v>243</v>
      </c>
      <c r="D21">
        <f t="shared" si="1"/>
        <v>381510</v>
      </c>
      <c r="E21" s="3">
        <f t="shared" si="0"/>
        <v>4.822984058148367E-2</v>
      </c>
    </row>
    <row r="22" spans="1:7" x14ac:dyDescent="0.3">
      <c r="A22" t="s">
        <v>36</v>
      </c>
      <c r="B22" s="1">
        <f>419+419</f>
        <v>838</v>
      </c>
      <c r="C22">
        <v>396</v>
      </c>
      <c r="D22">
        <f t="shared" si="1"/>
        <v>331848</v>
      </c>
      <c r="E22" s="3">
        <f t="shared" si="0"/>
        <v>4.1951655624450718E-2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</f>
        <v>964.31999999999937</v>
      </c>
      <c r="C23">
        <v>1000</v>
      </c>
      <c r="D23">
        <f t="shared" si="1"/>
        <v>964319.99999999942</v>
      </c>
      <c r="E23" s="3">
        <f t="shared" si="0"/>
        <v>0.12190768228758435</v>
      </c>
      <c r="G23" t="s">
        <v>66</v>
      </c>
    </row>
    <row r="24" spans="1:7" x14ac:dyDescent="0.3">
      <c r="B24" s="1"/>
      <c r="E24" s="3"/>
    </row>
    <row r="25" spans="1:7" x14ac:dyDescent="0.3">
      <c r="B25" s="1"/>
      <c r="D25">
        <f>SUM(D5:D23)</f>
        <v>7910247.9999999991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42915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</f>
        <v>114</v>
      </c>
      <c r="C5">
        <v>2474</v>
      </c>
      <c r="D5">
        <f>B5*C5</f>
        <v>282036</v>
      </c>
      <c r="E5" s="3">
        <f t="shared" ref="E5:E23" si="0">D5/$D$25</f>
        <v>3.5714570634593511E-2</v>
      </c>
      <c r="G5" t="s">
        <v>67</v>
      </c>
    </row>
    <row r="6" spans="1:7" x14ac:dyDescent="0.3">
      <c r="A6" t="s">
        <v>7</v>
      </c>
      <c r="B6" s="1">
        <f>473+780+961-554-554</f>
        <v>1106</v>
      </c>
      <c r="C6">
        <v>655</v>
      </c>
      <c r="D6">
        <f t="shared" ref="D6:D23" si="1">C6*B6</f>
        <v>724430</v>
      </c>
      <c r="E6" s="3">
        <f t="shared" si="0"/>
        <v>9.1735474920997942E-2</v>
      </c>
    </row>
    <row r="7" spans="1:7" x14ac:dyDescent="0.3">
      <c r="A7" t="s">
        <v>60</v>
      </c>
      <c r="B7" s="1">
        <f>6000+6000</f>
        <v>12000</v>
      </c>
      <c r="C7">
        <v>32</v>
      </c>
      <c r="D7">
        <f t="shared" si="1"/>
        <v>384000</v>
      </c>
      <c r="E7" s="3">
        <f t="shared" si="0"/>
        <v>4.8626399196144844E-2</v>
      </c>
    </row>
    <row r="8" spans="1:7" x14ac:dyDescent="0.3">
      <c r="A8" t="s">
        <v>8</v>
      </c>
      <c r="B8" s="1">
        <f>840+420</f>
        <v>1260</v>
      </c>
      <c r="C8">
        <v>1048</v>
      </c>
      <c r="D8">
        <f t="shared" si="1"/>
        <v>1320480</v>
      </c>
      <c r="E8" s="3">
        <f t="shared" si="0"/>
        <v>0.16721403023574308</v>
      </c>
    </row>
    <row r="9" spans="1:7" x14ac:dyDescent="0.3">
      <c r="A9" t="s">
        <v>41</v>
      </c>
      <c r="B9" s="1">
        <f>1280+1280+1280+910</f>
        <v>4750</v>
      </c>
      <c r="C9">
        <v>71</v>
      </c>
      <c r="D9">
        <f t="shared" si="1"/>
        <v>337250</v>
      </c>
      <c r="E9" s="3">
        <f t="shared" si="0"/>
        <v>4.2706388356510021E-2</v>
      </c>
    </row>
    <row r="10" spans="1:7" x14ac:dyDescent="0.3">
      <c r="A10" t="s">
        <v>9</v>
      </c>
      <c r="B10" s="1">
        <f>766+383+229</f>
        <v>1378</v>
      </c>
      <c r="C10">
        <v>327</v>
      </c>
      <c r="D10">
        <f t="shared" si="1"/>
        <v>450606</v>
      </c>
      <c r="E10" s="3">
        <f t="shared" si="0"/>
        <v>5.7060800094213653E-2</v>
      </c>
    </row>
    <row r="11" spans="1:7" x14ac:dyDescent="0.3">
      <c r="A11" t="s">
        <v>10</v>
      </c>
      <c r="B11" s="1">
        <v>2928</v>
      </c>
      <c r="C11">
        <v>89</v>
      </c>
      <c r="D11">
        <f t="shared" si="1"/>
        <v>260592</v>
      </c>
      <c r="E11" s="3">
        <f t="shared" si="0"/>
        <v>3.2999090154483796E-2</v>
      </c>
    </row>
    <row r="12" spans="1:7" x14ac:dyDescent="0.3">
      <c r="A12" t="s">
        <v>23</v>
      </c>
      <c r="B12" s="1">
        <v>2750</v>
      </c>
      <c r="C12">
        <v>150</v>
      </c>
      <c r="D12">
        <f t="shared" si="1"/>
        <v>412500</v>
      </c>
      <c r="E12" s="3">
        <f t="shared" si="0"/>
        <v>5.2235389761483716E-2</v>
      </c>
    </row>
    <row r="13" spans="1:7" x14ac:dyDescent="0.3">
      <c r="A13" t="s">
        <v>12</v>
      </c>
      <c r="B13" s="1">
        <v>1228</v>
      </c>
      <c r="C13">
        <v>28</v>
      </c>
      <c r="D13">
        <f>C13*B13</f>
        <v>34384</v>
      </c>
      <c r="E13" s="3">
        <f t="shared" si="0"/>
        <v>4.3540888280214698E-3</v>
      </c>
    </row>
    <row r="14" spans="1:7" x14ac:dyDescent="0.3">
      <c r="A14" t="s">
        <v>13</v>
      </c>
      <c r="B14" s="1">
        <f>278+278</f>
        <v>556</v>
      </c>
      <c r="C14">
        <v>1424</v>
      </c>
      <c r="D14">
        <f>C14*B14</f>
        <v>791744</v>
      </c>
      <c r="E14" s="3">
        <f t="shared" si="0"/>
        <v>0.10025953074258465</v>
      </c>
    </row>
    <row r="15" spans="1:7" x14ac:dyDescent="0.3">
      <c r="A15" t="s">
        <v>14</v>
      </c>
      <c r="B15" s="1">
        <v>1011</v>
      </c>
      <c r="C15">
        <v>334</v>
      </c>
      <c r="D15">
        <f>C15*B15</f>
        <v>337674</v>
      </c>
      <c r="E15" s="3">
        <f t="shared" si="0"/>
        <v>4.2760080005622432E-2</v>
      </c>
    </row>
    <row r="16" spans="1:7" x14ac:dyDescent="0.3">
      <c r="A16" t="s">
        <v>15</v>
      </c>
      <c r="B16" s="1">
        <f>265+65+158-244</f>
        <v>244</v>
      </c>
      <c r="C16">
        <v>329</v>
      </c>
      <c r="D16">
        <f>C16*B16</f>
        <v>80276</v>
      </c>
      <c r="E16" s="3">
        <f t="shared" si="0"/>
        <v>1.0165450056952404E-2</v>
      </c>
    </row>
    <row r="17" spans="1:7" x14ac:dyDescent="0.3">
      <c r="A17" t="s">
        <v>16</v>
      </c>
      <c r="B17" s="1">
        <f>186+349</f>
        <v>535</v>
      </c>
      <c r="C17">
        <v>155</v>
      </c>
      <c r="D17">
        <f t="shared" si="1"/>
        <v>82925</v>
      </c>
      <c r="E17" s="3">
        <f t="shared" si="0"/>
        <v>1.0500896232657061E-2</v>
      </c>
    </row>
    <row r="18" spans="1:7" x14ac:dyDescent="0.3">
      <c r="A18" t="s">
        <v>17</v>
      </c>
      <c r="B18" s="1">
        <v>267</v>
      </c>
      <c r="C18">
        <v>940</v>
      </c>
      <c r="D18">
        <f t="shared" si="1"/>
        <v>250980</v>
      </c>
      <c r="E18" s="3">
        <f t="shared" si="0"/>
        <v>3.1781910599605293E-2</v>
      </c>
    </row>
    <row r="19" spans="1:7" x14ac:dyDescent="0.3">
      <c r="A19" t="s">
        <v>18</v>
      </c>
      <c r="B19" s="1">
        <f>368+532</f>
        <v>900</v>
      </c>
      <c r="C19">
        <v>224</v>
      </c>
      <c r="D19">
        <f t="shared" si="1"/>
        <v>201600</v>
      </c>
      <c r="E19" s="3">
        <f t="shared" si="0"/>
        <v>2.5528859577976043E-2</v>
      </c>
    </row>
    <row r="20" spans="1:7" x14ac:dyDescent="0.3">
      <c r="A20" t="s">
        <v>19</v>
      </c>
      <c r="B20" s="1">
        <f>6886+2045</f>
        <v>8931</v>
      </c>
      <c r="C20">
        <v>35</v>
      </c>
      <c r="D20">
        <f t="shared" si="1"/>
        <v>312585</v>
      </c>
      <c r="E20" s="3">
        <f t="shared" si="0"/>
        <v>3.9583028626893065E-2</v>
      </c>
    </row>
    <row r="21" spans="1:7" x14ac:dyDescent="0.3">
      <c r="A21" t="s">
        <v>20</v>
      </c>
      <c r="B21" s="1">
        <f>920+319+331</f>
        <v>1570</v>
      </c>
      <c r="C21">
        <v>239</v>
      </c>
      <c r="D21">
        <f t="shared" si="1"/>
        <v>375230</v>
      </c>
      <c r="E21" s="3">
        <f t="shared" si="0"/>
        <v>4.7515843152003724E-2</v>
      </c>
    </row>
    <row r="22" spans="1:7" x14ac:dyDescent="0.3">
      <c r="A22" t="s">
        <v>36</v>
      </c>
      <c r="B22" s="1">
        <f>419+419</f>
        <v>838</v>
      </c>
      <c r="C22">
        <v>388</v>
      </c>
      <c r="D22">
        <f t="shared" si="1"/>
        <v>325144</v>
      </c>
      <c r="E22" s="3">
        <f t="shared" si="0"/>
        <v>4.1173390469352394E-2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</f>
        <v>932.50899999999933</v>
      </c>
      <c r="C23">
        <v>1000</v>
      </c>
      <c r="D23">
        <f t="shared" si="1"/>
        <v>932508.9999999993</v>
      </c>
      <c r="E23" s="3">
        <f t="shared" si="0"/>
        <v>0.11808477835416094</v>
      </c>
      <c r="G23" t="s">
        <v>68</v>
      </c>
    </row>
    <row r="24" spans="1:7" x14ac:dyDescent="0.3">
      <c r="B24" s="1"/>
      <c r="E24" s="3"/>
    </row>
    <row r="25" spans="1:7" x14ac:dyDescent="0.3">
      <c r="B25" s="1"/>
      <c r="D25">
        <f>SUM(D5:D23)</f>
        <v>7896944.9999999991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5"/>
  <sheetViews>
    <sheetView tabSelected="1"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42916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</f>
        <v>134</v>
      </c>
      <c r="C5">
        <v>2456</v>
      </c>
      <c r="D5">
        <f>B5*C5</f>
        <v>329104</v>
      </c>
      <c r="E5" s="3">
        <f t="shared" ref="E5:E23" si="0">D5/$D$25</f>
        <v>4.1174511498070922E-2</v>
      </c>
      <c r="G5" t="s">
        <v>69</v>
      </c>
    </row>
    <row r="6" spans="1:7" x14ac:dyDescent="0.3">
      <c r="A6" t="s">
        <v>7</v>
      </c>
      <c r="B6" s="1">
        <f>473+780+961-554-554</f>
        <v>1106</v>
      </c>
      <c r="C6">
        <v>663</v>
      </c>
      <c r="D6">
        <f t="shared" ref="D6:D23" si="1">C6*B6</f>
        <v>733278</v>
      </c>
      <c r="E6" s="3">
        <f t="shared" si="0"/>
        <v>9.1741101421685692E-2</v>
      </c>
    </row>
    <row r="7" spans="1:7" x14ac:dyDescent="0.3">
      <c r="A7" t="s">
        <v>60</v>
      </c>
      <c r="B7" s="1">
        <f>6000+6000</f>
        <v>12000</v>
      </c>
      <c r="C7">
        <v>33</v>
      </c>
      <c r="D7">
        <f t="shared" si="1"/>
        <v>396000</v>
      </c>
      <c r="E7" s="3">
        <f t="shared" si="0"/>
        <v>4.9543933082661057E-2</v>
      </c>
    </row>
    <row r="8" spans="1:7" x14ac:dyDescent="0.3">
      <c r="A8" t="s">
        <v>8</v>
      </c>
      <c r="B8" s="1">
        <f>840+420</f>
        <v>1260</v>
      </c>
      <c r="C8">
        <v>1086</v>
      </c>
      <c r="D8">
        <f t="shared" si="1"/>
        <v>1368360</v>
      </c>
      <c r="E8" s="3">
        <f t="shared" si="0"/>
        <v>0.17119680877017698</v>
      </c>
    </row>
    <row r="9" spans="1:7" x14ac:dyDescent="0.3">
      <c r="A9" t="s">
        <v>41</v>
      </c>
      <c r="B9" s="1">
        <f>1280+1280+1280+910</f>
        <v>4750</v>
      </c>
      <c r="C9">
        <v>72</v>
      </c>
      <c r="D9">
        <f t="shared" si="1"/>
        <v>342000</v>
      </c>
      <c r="E9" s="3">
        <f t="shared" si="0"/>
        <v>4.2787942207752727E-2</v>
      </c>
    </row>
    <row r="10" spans="1:7" x14ac:dyDescent="0.3">
      <c r="A10" t="s">
        <v>9</v>
      </c>
      <c r="B10" s="1">
        <f>766+383+229</f>
        <v>1378</v>
      </c>
      <c r="C10">
        <v>326</v>
      </c>
      <c r="D10">
        <f t="shared" si="1"/>
        <v>449228</v>
      </c>
      <c r="E10" s="3">
        <f t="shared" si="0"/>
        <v>5.6203338310246619E-2</v>
      </c>
    </row>
    <row r="11" spans="1:7" x14ac:dyDescent="0.3">
      <c r="A11" t="s">
        <v>10</v>
      </c>
      <c r="B11" s="1">
        <v>2928</v>
      </c>
      <c r="C11">
        <v>88</v>
      </c>
      <c r="D11">
        <f t="shared" si="1"/>
        <v>257664</v>
      </c>
      <c r="E11" s="3">
        <f t="shared" si="0"/>
        <v>3.2236585792451457E-2</v>
      </c>
    </row>
    <row r="12" spans="1:7" x14ac:dyDescent="0.3">
      <c r="A12" t="s">
        <v>23</v>
      </c>
      <c r="B12" s="1">
        <v>2750</v>
      </c>
      <c r="C12">
        <v>155</v>
      </c>
      <c r="D12">
        <f t="shared" si="1"/>
        <v>426250</v>
      </c>
      <c r="E12" s="3">
        <f t="shared" si="0"/>
        <v>5.3328539082030994E-2</v>
      </c>
    </row>
    <row r="13" spans="1:7" x14ac:dyDescent="0.3">
      <c r="A13" t="s">
        <v>12</v>
      </c>
      <c r="B13" s="1">
        <v>1228</v>
      </c>
      <c r="C13">
        <v>27</v>
      </c>
      <c r="D13">
        <f>C13*B13</f>
        <v>33156</v>
      </c>
      <c r="E13" s="3">
        <f t="shared" si="0"/>
        <v>4.1481783971937117E-3</v>
      </c>
    </row>
    <row r="14" spans="1:7" x14ac:dyDescent="0.3">
      <c r="A14" t="s">
        <v>13</v>
      </c>
      <c r="B14" s="1">
        <f>278+278</f>
        <v>556</v>
      </c>
      <c r="C14">
        <v>1423</v>
      </c>
      <c r="D14">
        <f>C14*B14</f>
        <v>791188</v>
      </c>
      <c r="E14" s="3">
        <f t="shared" si="0"/>
        <v>9.8986276080314226E-2</v>
      </c>
    </row>
    <row r="15" spans="1:7" x14ac:dyDescent="0.3">
      <c r="A15" t="s">
        <v>14</v>
      </c>
      <c r="B15" s="1">
        <v>1011</v>
      </c>
      <c r="C15">
        <v>327</v>
      </c>
      <c r="D15">
        <f>C15*B15</f>
        <v>330597</v>
      </c>
      <c r="E15" s="3">
        <f t="shared" si="0"/>
        <v>4.1361302134667918E-2</v>
      </c>
    </row>
    <row r="16" spans="1:7" x14ac:dyDescent="0.3">
      <c r="A16" t="s">
        <v>15</v>
      </c>
      <c r="B16" s="1">
        <f>265+65+158-244</f>
        <v>244</v>
      </c>
      <c r="C16">
        <v>331</v>
      </c>
      <c r="D16">
        <f>C16*B16</f>
        <v>80764</v>
      </c>
      <c r="E16" s="3">
        <f t="shared" si="0"/>
        <v>1.0104460130020297E-2</v>
      </c>
    </row>
    <row r="17" spans="1:7" x14ac:dyDescent="0.3">
      <c r="A17" t="s">
        <v>16</v>
      </c>
      <c r="B17" s="1">
        <f>186+349</f>
        <v>535</v>
      </c>
      <c r="C17">
        <v>155</v>
      </c>
      <c r="D17">
        <f t="shared" si="1"/>
        <v>82925</v>
      </c>
      <c r="E17" s="3">
        <f t="shared" si="0"/>
        <v>1.0374824875958758E-2</v>
      </c>
    </row>
    <row r="18" spans="1:7" x14ac:dyDescent="0.3">
      <c r="A18" t="s">
        <v>17</v>
      </c>
      <c r="B18" s="1">
        <v>267</v>
      </c>
      <c r="C18">
        <v>969</v>
      </c>
      <c r="D18">
        <f t="shared" si="1"/>
        <v>258723</v>
      </c>
      <c r="E18" s="3">
        <f t="shared" si="0"/>
        <v>3.2369078280164942E-2</v>
      </c>
    </row>
    <row r="19" spans="1:7" x14ac:dyDescent="0.3">
      <c r="A19" t="s">
        <v>18</v>
      </c>
      <c r="B19" s="1">
        <f>368+532</f>
        <v>900</v>
      </c>
      <c r="C19">
        <v>224</v>
      </c>
      <c r="D19">
        <f t="shared" si="1"/>
        <v>201600</v>
      </c>
      <c r="E19" s="3">
        <f t="shared" si="0"/>
        <v>2.5222365932991084E-2</v>
      </c>
    </row>
    <row r="20" spans="1:7" x14ac:dyDescent="0.3">
      <c r="A20" t="s">
        <v>19</v>
      </c>
      <c r="B20" s="1">
        <f>6886+2045</f>
        <v>8931</v>
      </c>
      <c r="C20">
        <v>36</v>
      </c>
      <c r="D20">
        <f t="shared" si="1"/>
        <v>321516</v>
      </c>
      <c r="E20" s="3">
        <f t="shared" si="0"/>
        <v>4.0225169669204169E-2</v>
      </c>
    </row>
    <row r="21" spans="1:7" x14ac:dyDescent="0.3">
      <c r="A21" t="s">
        <v>20</v>
      </c>
      <c r="B21" s="1">
        <f>920+319+331</f>
        <v>1570</v>
      </c>
      <c r="C21">
        <v>238</v>
      </c>
      <c r="D21">
        <f t="shared" si="1"/>
        <v>373660</v>
      </c>
      <c r="E21" s="3">
        <f t="shared" si="0"/>
        <v>4.6748954635523053E-2</v>
      </c>
    </row>
    <row r="22" spans="1:7" x14ac:dyDescent="0.3">
      <c r="A22" t="s">
        <v>36</v>
      </c>
      <c r="B22" s="1">
        <f>419+419</f>
        <v>838</v>
      </c>
      <c r="C22">
        <v>398</v>
      </c>
      <c r="D22">
        <f t="shared" si="1"/>
        <v>333524</v>
      </c>
      <c r="E22" s="3">
        <f t="shared" si="0"/>
        <v>4.1727501862276375E-2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</f>
        <v>883.36899999999935</v>
      </c>
      <c r="C23">
        <v>1000</v>
      </c>
      <c r="D23">
        <f t="shared" si="1"/>
        <v>883368.9999999993</v>
      </c>
      <c r="E23" s="3">
        <f t="shared" si="0"/>
        <v>0.11051912783660904</v>
      </c>
      <c r="G23" t="s">
        <v>70</v>
      </c>
    </row>
    <row r="24" spans="1:7" x14ac:dyDescent="0.3">
      <c r="B24" s="1"/>
      <c r="E24" s="3"/>
    </row>
    <row r="25" spans="1:7" x14ac:dyDescent="0.3">
      <c r="B25" s="1"/>
      <c r="D25">
        <f>SUM(D5:D23)</f>
        <v>7992905.9999999991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5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42928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</f>
        <v>153</v>
      </c>
      <c r="C5">
        <v>2429</v>
      </c>
      <c r="D5">
        <f>B5*C5</f>
        <v>371637</v>
      </c>
      <c r="E5" s="3">
        <f t="shared" ref="E5:E23" si="0">D5/$D$25</f>
        <v>4.6182919339794161E-2</v>
      </c>
      <c r="G5" t="s">
        <v>71</v>
      </c>
    </row>
    <row r="6" spans="1:7" x14ac:dyDescent="0.3">
      <c r="A6" t="s">
        <v>7</v>
      </c>
      <c r="B6" s="1">
        <f>473+780+961-554-554</f>
        <v>1106</v>
      </c>
      <c r="C6">
        <v>680</v>
      </c>
      <c r="D6">
        <f t="shared" ref="D6:D23" si="1">C6*B6</f>
        <v>752080</v>
      </c>
      <c r="E6" s="3">
        <f t="shared" si="0"/>
        <v>9.3460150569163972E-2</v>
      </c>
    </row>
    <row r="7" spans="1:7" x14ac:dyDescent="0.3">
      <c r="A7" t="s">
        <v>60</v>
      </c>
      <c r="B7" s="1">
        <f>6000+6000</f>
        <v>12000</v>
      </c>
      <c r="C7">
        <v>35</v>
      </c>
      <c r="D7">
        <f t="shared" si="1"/>
        <v>420000</v>
      </c>
      <c r="E7" s="3">
        <f t="shared" si="0"/>
        <v>5.2192935909808627E-2</v>
      </c>
    </row>
    <row r="8" spans="1:7" x14ac:dyDescent="0.3">
      <c r="A8" t="s">
        <v>8</v>
      </c>
      <c r="B8" s="1">
        <f>840+420</f>
        <v>1260</v>
      </c>
      <c r="C8">
        <v>1068</v>
      </c>
      <c r="D8">
        <f t="shared" si="1"/>
        <v>1345680</v>
      </c>
      <c r="E8" s="3">
        <f t="shared" si="0"/>
        <v>0.16722616665502682</v>
      </c>
    </row>
    <row r="9" spans="1:7" x14ac:dyDescent="0.3">
      <c r="A9" t="s">
        <v>41</v>
      </c>
      <c r="B9" s="1">
        <f>1280+1280+1280+910</f>
        <v>4750</v>
      </c>
      <c r="C9">
        <v>75</v>
      </c>
      <c r="D9">
        <f t="shared" si="1"/>
        <v>356250</v>
      </c>
      <c r="E9" s="3">
        <f t="shared" si="0"/>
        <v>4.4270793852069813E-2</v>
      </c>
    </row>
    <row r="10" spans="1:7" x14ac:dyDescent="0.3">
      <c r="A10" t="s">
        <v>9</v>
      </c>
      <c r="B10" s="1">
        <f>766+383+229</f>
        <v>1378</v>
      </c>
      <c r="C10">
        <v>329</v>
      </c>
      <c r="D10">
        <f t="shared" si="1"/>
        <v>453362</v>
      </c>
      <c r="E10" s="3">
        <f t="shared" si="0"/>
        <v>5.6338794785577753E-2</v>
      </c>
    </row>
    <row r="11" spans="1:7" x14ac:dyDescent="0.3">
      <c r="A11" t="s">
        <v>10</v>
      </c>
      <c r="B11" s="1">
        <v>2928</v>
      </c>
      <c r="C11">
        <v>86</v>
      </c>
      <c r="D11">
        <f t="shared" si="1"/>
        <v>251808</v>
      </c>
      <c r="E11" s="3">
        <f t="shared" si="0"/>
        <v>3.1291901918040689E-2</v>
      </c>
    </row>
    <row r="12" spans="1:7" x14ac:dyDescent="0.3">
      <c r="A12" t="s">
        <v>23</v>
      </c>
      <c r="B12" s="1">
        <v>2750</v>
      </c>
      <c r="C12">
        <v>165</v>
      </c>
      <c r="D12">
        <f t="shared" si="1"/>
        <v>453750</v>
      </c>
      <c r="E12" s="3">
        <f t="shared" si="0"/>
        <v>5.6387011116846818E-2</v>
      </c>
    </row>
    <row r="13" spans="1:7" x14ac:dyDescent="0.3">
      <c r="A13" t="s">
        <v>12</v>
      </c>
      <c r="B13" s="1">
        <v>1228</v>
      </c>
      <c r="C13">
        <v>30</v>
      </c>
      <c r="D13">
        <f>C13*B13</f>
        <v>36840</v>
      </c>
      <c r="E13" s="3">
        <f t="shared" si="0"/>
        <v>4.5780660926603564E-3</v>
      </c>
    </row>
    <row r="14" spans="1:7" x14ac:dyDescent="0.3">
      <c r="A14" t="s">
        <v>13</v>
      </c>
      <c r="B14" s="1">
        <f>278+278</f>
        <v>556</v>
      </c>
      <c r="C14">
        <v>1349</v>
      </c>
      <c r="D14">
        <f>C14*B14</f>
        <v>750044</v>
      </c>
      <c r="E14" s="3">
        <f t="shared" si="0"/>
        <v>9.3207139098896427E-2</v>
      </c>
    </row>
    <row r="15" spans="1:7" x14ac:dyDescent="0.3">
      <c r="A15" t="s">
        <v>14</v>
      </c>
      <c r="B15" s="1">
        <v>1011</v>
      </c>
      <c r="C15">
        <v>312</v>
      </c>
      <c r="D15">
        <f>C15*B15</f>
        <v>315432</v>
      </c>
      <c r="E15" s="3">
        <f t="shared" si="0"/>
        <v>3.919838609500656E-2</v>
      </c>
    </row>
    <row r="16" spans="1:7" x14ac:dyDescent="0.3">
      <c r="A16" t="s">
        <v>15</v>
      </c>
      <c r="B16" s="1">
        <f>265+65+158-244</f>
        <v>244</v>
      </c>
      <c r="C16">
        <v>340</v>
      </c>
      <c r="D16">
        <f>C16*B16</f>
        <v>82960</v>
      </c>
      <c r="E16" s="3">
        <f t="shared" si="0"/>
        <v>1.0309347531137436E-2</v>
      </c>
    </row>
    <row r="17" spans="1:7" x14ac:dyDescent="0.3">
      <c r="A17" t="s">
        <v>16</v>
      </c>
      <c r="B17" s="1">
        <f>186+349</f>
        <v>535</v>
      </c>
      <c r="C17">
        <v>167</v>
      </c>
      <c r="D17">
        <f t="shared" si="1"/>
        <v>89345</v>
      </c>
      <c r="E17" s="3">
        <f t="shared" si="0"/>
        <v>1.1102804425861552E-2</v>
      </c>
    </row>
    <row r="18" spans="1:7" x14ac:dyDescent="0.3">
      <c r="A18" t="s">
        <v>17</v>
      </c>
      <c r="B18" s="1">
        <v>267</v>
      </c>
      <c r="C18">
        <v>979</v>
      </c>
      <c r="D18">
        <f t="shared" si="1"/>
        <v>261393</v>
      </c>
      <c r="E18" s="3">
        <f t="shared" si="0"/>
        <v>3.2483019276839539E-2</v>
      </c>
    </row>
    <row r="19" spans="1:7" x14ac:dyDescent="0.3">
      <c r="A19" t="s">
        <v>18</v>
      </c>
      <c r="B19" s="1">
        <f>368+532</f>
        <v>900</v>
      </c>
      <c r="C19">
        <v>244</v>
      </c>
      <c r="D19">
        <f t="shared" si="1"/>
        <v>219600</v>
      </c>
      <c r="E19" s="3">
        <f t="shared" si="0"/>
        <v>2.728944934712851E-2</v>
      </c>
    </row>
    <row r="20" spans="1:7" x14ac:dyDescent="0.3">
      <c r="A20" t="s">
        <v>19</v>
      </c>
      <c r="B20" s="1">
        <f>6886+2045</f>
        <v>8931</v>
      </c>
      <c r="C20">
        <v>37</v>
      </c>
      <c r="D20">
        <f t="shared" si="1"/>
        <v>330447</v>
      </c>
      <c r="E20" s="3">
        <f t="shared" si="0"/>
        <v>4.1064283553782215E-2</v>
      </c>
    </row>
    <row r="21" spans="1:7" x14ac:dyDescent="0.3">
      <c r="A21" t="s">
        <v>20</v>
      </c>
      <c r="B21" s="1">
        <f>920+319+331</f>
        <v>1570</v>
      </c>
      <c r="C21">
        <v>247</v>
      </c>
      <c r="D21">
        <f t="shared" si="1"/>
        <v>387790</v>
      </c>
      <c r="E21" s="3">
        <f t="shared" si="0"/>
        <v>4.8190234801106395E-2</v>
      </c>
    </row>
    <row r="22" spans="1:7" x14ac:dyDescent="0.3">
      <c r="A22" t="s">
        <v>36</v>
      </c>
      <c r="B22" s="1">
        <f>419+419</f>
        <v>838</v>
      </c>
      <c r="C22">
        <v>396</v>
      </c>
      <c r="D22">
        <f t="shared" si="1"/>
        <v>331848</v>
      </c>
      <c r="E22" s="3">
        <f t="shared" si="0"/>
        <v>4.1238384275709937E-2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</f>
        <v>836.79999999999939</v>
      </c>
      <c r="C23">
        <v>1000</v>
      </c>
      <c r="D23">
        <f t="shared" si="1"/>
        <v>836799.99999999942</v>
      </c>
      <c r="E23" s="3">
        <f t="shared" si="0"/>
        <v>0.10398821135554244</v>
      </c>
      <c r="G23" t="s">
        <v>72</v>
      </c>
    </row>
    <row r="24" spans="1:7" x14ac:dyDescent="0.3">
      <c r="B24" s="1"/>
      <c r="E24" s="3"/>
    </row>
    <row r="25" spans="1:7" x14ac:dyDescent="0.3">
      <c r="B25" s="1"/>
      <c r="D25">
        <f>SUM(D5:D23)</f>
        <v>8047065.9999999991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5"/>
  <sheetViews>
    <sheetView workbookViewId="0">
      <selection activeCell="B1" sqref="B1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42930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2414</v>
      </c>
      <c r="D5">
        <f>B5*C5</f>
        <v>398310</v>
      </c>
      <c r="E5" s="3">
        <f t="shared" ref="E5:E23" si="0">D5/$D$25</f>
        <v>4.9330744865638099E-2</v>
      </c>
      <c r="G5" t="s">
        <v>73</v>
      </c>
    </row>
    <row r="6" spans="1:7" x14ac:dyDescent="0.3">
      <c r="A6" t="s">
        <v>7</v>
      </c>
      <c r="B6" s="1">
        <f>473+780+961-554-554</f>
        <v>1106</v>
      </c>
      <c r="C6">
        <v>672</v>
      </c>
      <c r="D6">
        <f t="shared" ref="D6:D23" si="1">C6*B6</f>
        <v>743232</v>
      </c>
      <c r="E6" s="3">
        <f t="shared" si="0"/>
        <v>9.2049379046415941E-2</v>
      </c>
    </row>
    <row r="7" spans="1:7" x14ac:dyDescent="0.3">
      <c r="A7" t="s">
        <v>60</v>
      </c>
      <c r="B7" s="1">
        <f>6000+6000</f>
        <v>12000</v>
      </c>
      <c r="C7">
        <v>35</v>
      </c>
      <c r="D7">
        <f t="shared" si="1"/>
        <v>420000</v>
      </c>
      <c r="E7" s="3">
        <f t="shared" si="0"/>
        <v>5.2017054162757655E-2</v>
      </c>
    </row>
    <row r="8" spans="1:7" x14ac:dyDescent="0.3">
      <c r="A8" t="s">
        <v>8</v>
      </c>
      <c r="B8" s="1">
        <f>840+420</f>
        <v>1260</v>
      </c>
      <c r="C8">
        <v>1066</v>
      </c>
      <c r="D8">
        <f t="shared" si="1"/>
        <v>1343160</v>
      </c>
      <c r="E8" s="3">
        <f t="shared" si="0"/>
        <v>0.16635053921249898</v>
      </c>
    </row>
    <row r="9" spans="1:7" x14ac:dyDescent="0.3">
      <c r="A9" t="s">
        <v>41</v>
      </c>
      <c r="B9" s="1">
        <f>1280+1280+1280+910</f>
        <v>4750</v>
      </c>
      <c r="C9">
        <v>77</v>
      </c>
      <c r="D9">
        <f t="shared" si="1"/>
        <v>365750</v>
      </c>
      <c r="E9" s="3">
        <f t="shared" si="0"/>
        <v>4.5298184666734791E-2</v>
      </c>
    </row>
    <row r="10" spans="1:7" x14ac:dyDescent="0.3">
      <c r="A10" t="s">
        <v>9</v>
      </c>
      <c r="B10" s="1">
        <f>766+383+229</f>
        <v>1378</v>
      </c>
      <c r="C10">
        <v>323</v>
      </c>
      <c r="D10">
        <f t="shared" si="1"/>
        <v>445094</v>
      </c>
      <c r="E10" s="3">
        <f t="shared" si="0"/>
        <v>5.5124949298853462E-2</v>
      </c>
    </row>
    <row r="11" spans="1:7" x14ac:dyDescent="0.3">
      <c r="A11" t="s">
        <v>10</v>
      </c>
      <c r="B11" s="1">
        <v>2928</v>
      </c>
      <c r="C11">
        <v>85</v>
      </c>
      <c r="D11">
        <f t="shared" si="1"/>
        <v>248880</v>
      </c>
      <c r="E11" s="3">
        <f t="shared" si="0"/>
        <v>3.0823820095302677E-2</v>
      </c>
    </row>
    <row r="12" spans="1:7" x14ac:dyDescent="0.3">
      <c r="A12" t="s">
        <v>23</v>
      </c>
      <c r="B12" s="1">
        <v>2750</v>
      </c>
      <c r="C12">
        <v>172</v>
      </c>
      <c r="D12">
        <f t="shared" si="1"/>
        <v>473000</v>
      </c>
      <c r="E12" s="3">
        <f t="shared" si="0"/>
        <v>5.8581110997581835E-2</v>
      </c>
    </row>
    <row r="13" spans="1:7" x14ac:dyDescent="0.3">
      <c r="A13" t="s">
        <v>12</v>
      </c>
      <c r="B13" s="1">
        <v>1228</v>
      </c>
      <c r="C13">
        <v>29</v>
      </c>
      <c r="D13">
        <f>C13*B13</f>
        <v>35612</v>
      </c>
      <c r="E13" s="3">
        <f t="shared" si="0"/>
        <v>4.4105507924860135E-3</v>
      </c>
    </row>
    <row r="14" spans="1:7" x14ac:dyDescent="0.3">
      <c r="A14" t="s">
        <v>13</v>
      </c>
      <c r="B14" s="1">
        <f>278+278</f>
        <v>556</v>
      </c>
      <c r="C14">
        <v>1304</v>
      </c>
      <c r="D14">
        <f>C14*B14</f>
        <v>725024</v>
      </c>
      <c r="E14" s="3">
        <f t="shared" si="0"/>
        <v>8.9794315898331437E-2</v>
      </c>
    </row>
    <row r="15" spans="1:7" x14ac:dyDescent="0.3">
      <c r="A15" t="s">
        <v>14</v>
      </c>
      <c r="B15" s="1">
        <v>1011</v>
      </c>
      <c r="C15">
        <v>315</v>
      </c>
      <c r="D15">
        <f>C15*B15</f>
        <v>318465</v>
      </c>
      <c r="E15" s="3">
        <f t="shared" si="0"/>
        <v>3.9441931318910987E-2</v>
      </c>
    </row>
    <row r="16" spans="1:7" x14ac:dyDescent="0.3">
      <c r="A16" t="s">
        <v>15</v>
      </c>
      <c r="B16" s="1">
        <f>265+65+158-244</f>
        <v>244</v>
      </c>
      <c r="C16">
        <v>346</v>
      </c>
      <c r="D16">
        <f>C16*B16</f>
        <v>84424</v>
      </c>
      <c r="E16" s="3">
        <f t="shared" si="0"/>
        <v>1.0455923287230124E-2</v>
      </c>
    </row>
    <row r="17" spans="1:7" x14ac:dyDescent="0.3">
      <c r="A17" t="s">
        <v>16</v>
      </c>
      <c r="B17" s="1">
        <f>186+349</f>
        <v>535</v>
      </c>
      <c r="C17">
        <v>168</v>
      </c>
      <c r="D17">
        <f t="shared" si="1"/>
        <v>89880</v>
      </c>
      <c r="E17" s="3">
        <f t="shared" si="0"/>
        <v>1.1131649590830137E-2</v>
      </c>
    </row>
    <row r="18" spans="1:7" x14ac:dyDescent="0.3">
      <c r="A18" t="s">
        <v>17</v>
      </c>
      <c r="B18" s="1">
        <v>267</v>
      </c>
      <c r="C18">
        <v>1003</v>
      </c>
      <c r="D18">
        <f t="shared" si="1"/>
        <v>267801</v>
      </c>
      <c r="E18" s="3">
        <f t="shared" si="0"/>
        <v>3.316718838533491E-2</v>
      </c>
    </row>
    <row r="19" spans="1:7" x14ac:dyDescent="0.3">
      <c r="A19" t="s">
        <v>18</v>
      </c>
      <c r="B19" s="1">
        <f>368+532</f>
        <v>900</v>
      </c>
      <c r="C19">
        <v>247</v>
      </c>
      <c r="D19">
        <f t="shared" si="1"/>
        <v>222300</v>
      </c>
      <c r="E19" s="3">
        <f t="shared" si="0"/>
        <v>2.7531883667573871E-2</v>
      </c>
    </row>
    <row r="20" spans="1:7" x14ac:dyDescent="0.3">
      <c r="A20" t="s">
        <v>19</v>
      </c>
      <c r="B20" s="1">
        <f>6886+2045</f>
        <v>8931</v>
      </c>
      <c r="C20">
        <v>41</v>
      </c>
      <c r="D20">
        <f t="shared" si="1"/>
        <v>366171</v>
      </c>
      <c r="E20" s="3">
        <f t="shared" si="0"/>
        <v>4.5350325571026508E-2</v>
      </c>
    </row>
    <row r="21" spans="1:7" x14ac:dyDescent="0.3">
      <c r="A21" t="s">
        <v>20</v>
      </c>
      <c r="B21" s="1">
        <f>920+319+331</f>
        <v>1570</v>
      </c>
      <c r="C21">
        <v>248</v>
      </c>
      <c r="D21">
        <f t="shared" si="1"/>
        <v>389360</v>
      </c>
      <c r="E21" s="3">
        <f t="shared" si="0"/>
        <v>4.8222286211455523E-2</v>
      </c>
    </row>
    <row r="22" spans="1:7" x14ac:dyDescent="0.3">
      <c r="A22" t="s">
        <v>36</v>
      </c>
      <c r="B22" s="1">
        <f>419+419</f>
        <v>838</v>
      </c>
      <c r="C22">
        <v>394</v>
      </c>
      <c r="D22">
        <f t="shared" si="1"/>
        <v>330172</v>
      </c>
      <c r="E22" s="3">
        <f t="shared" si="0"/>
        <v>4.0891844778633384E-2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</f>
        <v>807.63999999999942</v>
      </c>
      <c r="C23">
        <v>1000</v>
      </c>
      <c r="D23">
        <f t="shared" si="1"/>
        <v>807639.99999999942</v>
      </c>
      <c r="E23" s="3">
        <f t="shared" si="0"/>
        <v>0.10002631815240372</v>
      </c>
      <c r="G23" t="s">
        <v>74</v>
      </c>
    </row>
    <row r="24" spans="1:7" x14ac:dyDescent="0.3">
      <c r="B24" s="1"/>
      <c r="E24" s="3"/>
    </row>
    <row r="25" spans="1:7" x14ac:dyDescent="0.3">
      <c r="B25" s="1"/>
      <c r="D25">
        <f>SUM(D5:D23)</f>
        <v>8074274.9999999991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5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42944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2347</v>
      </c>
      <c r="D5">
        <f>B5*C5</f>
        <v>387255</v>
      </c>
      <c r="E5" s="3">
        <f t="shared" ref="E5:E23" si="0">D5/$D$25</f>
        <v>4.6720301322447963E-2</v>
      </c>
    </row>
    <row r="6" spans="1:7" x14ac:dyDescent="0.3">
      <c r="A6" t="s">
        <v>7</v>
      </c>
      <c r="B6" s="1">
        <f>473+780+961-554-554-1106</f>
        <v>0</v>
      </c>
      <c r="C6">
        <v>641</v>
      </c>
      <c r="D6">
        <f t="shared" ref="D6:D23" si="1">C6*B6</f>
        <v>0</v>
      </c>
      <c r="E6" s="3">
        <f t="shared" si="0"/>
        <v>0</v>
      </c>
      <c r="G6" t="s">
        <v>75</v>
      </c>
    </row>
    <row r="7" spans="1:7" x14ac:dyDescent="0.3">
      <c r="A7" t="s">
        <v>60</v>
      </c>
      <c r="B7" s="1">
        <f>6000+6000</f>
        <v>12000</v>
      </c>
      <c r="C7">
        <v>33</v>
      </c>
      <c r="D7">
        <f t="shared" si="1"/>
        <v>396000</v>
      </c>
      <c r="E7" s="3">
        <f t="shared" si="0"/>
        <v>4.7775340082605498E-2</v>
      </c>
    </row>
    <row r="8" spans="1:7" x14ac:dyDescent="0.3">
      <c r="A8" t="s">
        <v>8</v>
      </c>
      <c r="B8" s="1">
        <f>840+420</f>
        <v>1260</v>
      </c>
      <c r="C8">
        <v>1244</v>
      </c>
      <c r="D8">
        <f t="shared" si="1"/>
        <v>1567440</v>
      </c>
      <c r="E8" s="3">
        <f t="shared" si="0"/>
        <v>0.18910348247242212</v>
      </c>
    </row>
    <row r="9" spans="1:7" x14ac:dyDescent="0.3">
      <c r="A9" t="s">
        <v>41</v>
      </c>
      <c r="B9" s="1">
        <f>1280+1280+1280+910</f>
        <v>4750</v>
      </c>
      <c r="C9">
        <v>77</v>
      </c>
      <c r="D9">
        <f t="shared" si="1"/>
        <v>365750</v>
      </c>
      <c r="E9" s="3">
        <f t="shared" si="0"/>
        <v>4.4125834937406468E-2</v>
      </c>
    </row>
    <row r="10" spans="1:7" x14ac:dyDescent="0.3">
      <c r="A10" t="s">
        <v>9</v>
      </c>
      <c r="B10" s="1">
        <f>766+383+229</f>
        <v>1378</v>
      </c>
      <c r="C10">
        <v>307</v>
      </c>
      <c r="D10">
        <f t="shared" si="1"/>
        <v>423046</v>
      </c>
      <c r="E10" s="3">
        <f t="shared" si="0"/>
        <v>5.1038299294408902E-2</v>
      </c>
    </row>
    <row r="11" spans="1:7" x14ac:dyDescent="0.3">
      <c r="A11" t="s">
        <v>10</v>
      </c>
      <c r="B11" s="1">
        <v>2928</v>
      </c>
      <c r="C11">
        <v>86</v>
      </c>
      <c r="D11">
        <f t="shared" si="1"/>
        <v>251808</v>
      </c>
      <c r="E11" s="3">
        <f t="shared" si="0"/>
        <v>3.0379325342224053E-2</v>
      </c>
    </row>
    <row r="12" spans="1:7" x14ac:dyDescent="0.3">
      <c r="A12" t="s">
        <v>23</v>
      </c>
      <c r="B12" s="1">
        <v>2750</v>
      </c>
      <c r="C12">
        <v>170</v>
      </c>
      <c r="D12">
        <f t="shared" si="1"/>
        <v>467500</v>
      </c>
      <c r="E12" s="3">
        <f t="shared" si="0"/>
        <v>5.6401443153075936E-2</v>
      </c>
    </row>
    <row r="13" spans="1:7" x14ac:dyDescent="0.3">
      <c r="A13" t="s">
        <v>12</v>
      </c>
      <c r="B13" s="1">
        <v>1228</v>
      </c>
      <c r="C13">
        <v>28</v>
      </c>
      <c r="D13">
        <f>C13*B13</f>
        <v>34384</v>
      </c>
      <c r="E13" s="3">
        <f t="shared" si="0"/>
        <v>4.1482507409098673E-3</v>
      </c>
    </row>
    <row r="14" spans="1:7" x14ac:dyDescent="0.3">
      <c r="A14" t="s">
        <v>13</v>
      </c>
      <c r="B14" s="1">
        <f>278+278</f>
        <v>556</v>
      </c>
      <c r="C14">
        <v>1449</v>
      </c>
      <c r="D14">
        <f>C14*B14</f>
        <v>805644</v>
      </c>
      <c r="E14" s="3">
        <f t="shared" si="0"/>
        <v>9.7196757791693497E-2</v>
      </c>
    </row>
    <row r="15" spans="1:7" x14ac:dyDescent="0.3">
      <c r="A15" t="s">
        <v>14</v>
      </c>
      <c r="B15" s="1">
        <v>1011</v>
      </c>
      <c r="C15">
        <v>283</v>
      </c>
      <c r="D15">
        <f>C15*B15</f>
        <v>286113</v>
      </c>
      <c r="E15" s="3">
        <f t="shared" si="0"/>
        <v>3.4518045144077039E-2</v>
      </c>
    </row>
    <row r="16" spans="1:7" x14ac:dyDescent="0.3">
      <c r="A16" t="s">
        <v>15</v>
      </c>
      <c r="B16" s="1">
        <f>265+65+158-244</f>
        <v>244</v>
      </c>
      <c r="C16">
        <v>432</v>
      </c>
      <c r="D16">
        <f>C16*B16</f>
        <v>105408</v>
      </c>
      <c r="E16" s="3">
        <f t="shared" si="0"/>
        <v>1.2716926887442628E-2</v>
      </c>
    </row>
    <row r="17" spans="1:7" x14ac:dyDescent="0.3">
      <c r="A17" t="s">
        <v>16</v>
      </c>
      <c r="B17" s="1">
        <f>186+349</f>
        <v>535</v>
      </c>
      <c r="C17">
        <v>166</v>
      </c>
      <c r="D17">
        <f t="shared" si="1"/>
        <v>88810</v>
      </c>
      <c r="E17" s="3">
        <f t="shared" si="0"/>
        <v>1.0714464527111603E-2</v>
      </c>
    </row>
    <row r="18" spans="1:7" x14ac:dyDescent="0.3">
      <c r="A18" t="s">
        <v>17</v>
      </c>
      <c r="B18" s="1">
        <v>267</v>
      </c>
      <c r="C18">
        <v>1079</v>
      </c>
      <c r="D18">
        <f t="shared" si="1"/>
        <v>288093</v>
      </c>
      <c r="E18" s="3">
        <f t="shared" si="0"/>
        <v>3.4756921844490064E-2</v>
      </c>
    </row>
    <row r="19" spans="1:7" x14ac:dyDescent="0.3">
      <c r="A19" t="s">
        <v>18</v>
      </c>
      <c r="B19" s="1">
        <f>368+532</f>
        <v>900</v>
      </c>
      <c r="C19">
        <v>242</v>
      </c>
      <c r="D19">
        <f t="shared" si="1"/>
        <v>217800</v>
      </c>
      <c r="E19" s="3">
        <f t="shared" si="0"/>
        <v>2.6276437045433025E-2</v>
      </c>
    </row>
    <row r="20" spans="1:7" x14ac:dyDescent="0.3">
      <c r="A20" t="s">
        <v>19</v>
      </c>
      <c r="B20" s="1">
        <f>6886+2045</f>
        <v>8931</v>
      </c>
      <c r="C20">
        <v>40</v>
      </c>
      <c r="D20">
        <f t="shared" si="1"/>
        <v>357240</v>
      </c>
      <c r="E20" s="3">
        <f t="shared" si="0"/>
        <v>4.3099147704823204E-2</v>
      </c>
    </row>
    <row r="21" spans="1:7" x14ac:dyDescent="0.3">
      <c r="A21" t="s">
        <v>20</v>
      </c>
      <c r="B21" s="1">
        <f>920+319+331</f>
        <v>1570</v>
      </c>
      <c r="C21">
        <v>242</v>
      </c>
      <c r="D21">
        <f t="shared" si="1"/>
        <v>379940</v>
      </c>
      <c r="E21" s="3">
        <f t="shared" si="0"/>
        <v>4.5837784623699834E-2</v>
      </c>
    </row>
    <row r="22" spans="1:7" x14ac:dyDescent="0.3">
      <c r="A22" t="s">
        <v>36</v>
      </c>
      <c r="B22" s="1">
        <f>419+419</f>
        <v>838</v>
      </c>
      <c r="C22">
        <v>382</v>
      </c>
      <c r="D22">
        <f t="shared" si="1"/>
        <v>320116</v>
      </c>
      <c r="E22" s="3">
        <f t="shared" si="0"/>
        <v>3.8620330216877129E-2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</f>
        <v>1546.4479999999994</v>
      </c>
      <c r="C23">
        <v>1000</v>
      </c>
      <c r="D23">
        <f t="shared" si="1"/>
        <v>1546447.9999999993</v>
      </c>
      <c r="E23" s="3">
        <f t="shared" si="0"/>
        <v>0.18657090686885119</v>
      </c>
      <c r="G23" t="s">
        <v>76</v>
      </c>
    </row>
    <row r="24" spans="1:7" x14ac:dyDescent="0.3">
      <c r="B24" s="1"/>
      <c r="E24" s="3"/>
    </row>
    <row r="25" spans="1:7" x14ac:dyDescent="0.3">
      <c r="B25" s="1"/>
      <c r="D25">
        <f>SUM(D5:D23)</f>
        <v>8288794.9999999991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5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42961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2141</v>
      </c>
      <c r="D5">
        <f>B5*C5</f>
        <v>353265</v>
      </c>
      <c r="E5" s="3">
        <f t="shared" ref="E5:E23" si="0">D5/$D$25</f>
        <v>4.4984925437070646E-2</v>
      </c>
    </row>
    <row r="6" spans="1:7" x14ac:dyDescent="0.3">
      <c r="A6" t="s">
        <v>60</v>
      </c>
      <c r="B6" s="1">
        <f>6000+6000</f>
        <v>12000</v>
      </c>
      <c r="C6">
        <v>34</v>
      </c>
      <c r="D6">
        <f t="shared" ref="D6:D23" si="1">C6*B6</f>
        <v>408000</v>
      </c>
      <c r="E6" s="3">
        <f t="shared" si="0"/>
        <v>5.1954905179751244E-2</v>
      </c>
    </row>
    <row r="7" spans="1:7" x14ac:dyDescent="0.3">
      <c r="A7" t="s">
        <v>8</v>
      </c>
      <c r="B7" s="1">
        <f>840+420</f>
        <v>1260</v>
      </c>
      <c r="C7">
        <v>1220</v>
      </c>
      <c r="D7">
        <f t="shared" si="1"/>
        <v>1537200</v>
      </c>
      <c r="E7" s="3">
        <f t="shared" si="0"/>
        <v>0.19574774569194514</v>
      </c>
    </row>
    <row r="8" spans="1:7" x14ac:dyDescent="0.3">
      <c r="A8" t="s">
        <v>41</v>
      </c>
      <c r="B8" s="1">
        <f>1280+1280+1280+910</f>
        <v>4750</v>
      </c>
      <c r="C8">
        <v>69</v>
      </c>
      <c r="D8">
        <f t="shared" si="1"/>
        <v>327750</v>
      </c>
      <c r="E8" s="3">
        <f t="shared" si="0"/>
        <v>4.1735833756528111E-2</v>
      </c>
    </row>
    <row r="9" spans="1:7" x14ac:dyDescent="0.3">
      <c r="A9" t="s">
        <v>9</v>
      </c>
      <c r="B9" s="1">
        <f>766+383+229</f>
        <v>1378</v>
      </c>
      <c r="C9">
        <v>294</v>
      </c>
      <c r="D9">
        <f t="shared" si="1"/>
        <v>405132</v>
      </c>
      <c r="E9" s="3">
        <f t="shared" si="0"/>
        <v>5.1589692758046521E-2</v>
      </c>
    </row>
    <row r="10" spans="1:7" x14ac:dyDescent="0.3">
      <c r="A10" t="s">
        <v>10</v>
      </c>
      <c r="B10" s="1">
        <v>2928</v>
      </c>
      <c r="C10">
        <v>72</v>
      </c>
      <c r="D10">
        <f t="shared" si="1"/>
        <v>210816</v>
      </c>
      <c r="E10" s="3">
        <f t="shared" si="0"/>
        <v>2.684540512346676E-2</v>
      </c>
    </row>
    <row r="11" spans="1:7" x14ac:dyDescent="0.3">
      <c r="A11" t="s">
        <v>23</v>
      </c>
      <c r="B11" s="1">
        <v>2750</v>
      </c>
      <c r="C11">
        <v>176</v>
      </c>
      <c r="D11">
        <f t="shared" si="1"/>
        <v>484000</v>
      </c>
      <c r="E11" s="3">
        <f t="shared" si="0"/>
        <v>6.1632779674018631E-2</v>
      </c>
    </row>
    <row r="12" spans="1:7" x14ac:dyDescent="0.3">
      <c r="A12" t="s">
        <v>12</v>
      </c>
      <c r="B12" s="1">
        <v>1228</v>
      </c>
      <c r="C12">
        <v>25</v>
      </c>
      <c r="D12">
        <f>C12*B12</f>
        <v>30700</v>
      </c>
      <c r="E12" s="3">
        <f t="shared" si="0"/>
        <v>3.9093519338685373E-3</v>
      </c>
    </row>
    <row r="13" spans="1:7" x14ac:dyDescent="0.3">
      <c r="A13" t="s">
        <v>13</v>
      </c>
      <c r="B13" s="1">
        <f>278+278</f>
        <v>556</v>
      </c>
      <c r="C13">
        <v>1239</v>
      </c>
      <c r="D13">
        <f>C13*B13</f>
        <v>688884</v>
      </c>
      <c r="E13" s="3">
        <f t="shared" si="0"/>
        <v>8.7722801225117053E-2</v>
      </c>
    </row>
    <row r="14" spans="1:7" x14ac:dyDescent="0.3">
      <c r="A14" t="s">
        <v>14</v>
      </c>
      <c r="B14" s="1">
        <v>1011</v>
      </c>
      <c r="C14">
        <v>272</v>
      </c>
      <c r="D14">
        <f>C14*B14</f>
        <v>274992</v>
      </c>
      <c r="E14" s="3">
        <f t="shared" si="0"/>
        <v>3.5017606091152335E-2</v>
      </c>
    </row>
    <row r="15" spans="1:7" x14ac:dyDescent="0.3">
      <c r="A15" t="s">
        <v>15</v>
      </c>
      <c r="B15" s="1">
        <f>265+65+158-244</f>
        <v>244</v>
      </c>
      <c r="C15">
        <v>345</v>
      </c>
      <c r="D15">
        <f>C15*B15</f>
        <v>84180</v>
      </c>
      <c r="E15" s="3">
        <f t="shared" si="0"/>
        <v>1.0719519406939852E-2</v>
      </c>
    </row>
    <row r="16" spans="1:7" x14ac:dyDescent="0.3">
      <c r="A16" t="s">
        <v>16</v>
      </c>
      <c r="B16" s="1">
        <f>186+349</f>
        <v>535</v>
      </c>
      <c r="C16">
        <v>165</v>
      </c>
      <c r="D16">
        <f t="shared" si="1"/>
        <v>88275</v>
      </c>
      <c r="E16" s="3">
        <f t="shared" si="0"/>
        <v>1.1240978565545444E-2</v>
      </c>
    </row>
    <row r="17" spans="1:7" x14ac:dyDescent="0.3">
      <c r="A17" t="s">
        <v>17</v>
      </c>
      <c r="B17" s="1">
        <v>267</v>
      </c>
      <c r="C17">
        <v>875</v>
      </c>
      <c r="D17">
        <f t="shared" si="1"/>
        <v>233625</v>
      </c>
      <c r="E17" s="3">
        <f t="shared" si="0"/>
        <v>2.9749913535831826E-2</v>
      </c>
    </row>
    <row r="18" spans="1:7" x14ac:dyDescent="0.3">
      <c r="A18" t="s">
        <v>77</v>
      </c>
      <c r="B18" s="1">
        <v>2345</v>
      </c>
      <c r="C18">
        <v>164</v>
      </c>
      <c r="D18">
        <f t="shared" si="1"/>
        <v>384580</v>
      </c>
      <c r="E18" s="3">
        <f t="shared" si="0"/>
        <v>4.8972591750070425E-2</v>
      </c>
      <c r="G18" t="s">
        <v>78</v>
      </c>
    </row>
    <row r="19" spans="1:7" x14ac:dyDescent="0.3">
      <c r="A19" t="s">
        <v>18</v>
      </c>
      <c r="B19" s="1">
        <f>368+532</f>
        <v>900</v>
      </c>
      <c r="C19">
        <v>243</v>
      </c>
      <c r="D19">
        <f t="shared" si="1"/>
        <v>218700</v>
      </c>
      <c r="E19" s="3">
        <f t="shared" si="0"/>
        <v>2.7849357261793131E-2</v>
      </c>
    </row>
    <row r="20" spans="1:7" x14ac:dyDescent="0.3">
      <c r="A20" t="s">
        <v>19</v>
      </c>
      <c r="B20" s="1">
        <f>6886+2045</f>
        <v>8931</v>
      </c>
      <c r="C20">
        <v>35</v>
      </c>
      <c r="D20">
        <f t="shared" si="1"/>
        <v>312585</v>
      </c>
      <c r="E20" s="3">
        <f t="shared" si="0"/>
        <v>3.9804715773560151E-2</v>
      </c>
    </row>
    <row r="21" spans="1:7" x14ac:dyDescent="0.3">
      <c r="A21" t="s">
        <v>20</v>
      </c>
      <c r="B21" s="1">
        <f>920+319+331</f>
        <v>1570</v>
      </c>
      <c r="C21">
        <v>248</v>
      </c>
      <c r="D21">
        <f t="shared" si="1"/>
        <v>389360</v>
      </c>
      <c r="E21" s="3">
        <f t="shared" si="0"/>
        <v>4.9581279119578298E-2</v>
      </c>
    </row>
    <row r="22" spans="1:7" x14ac:dyDescent="0.3">
      <c r="A22" t="s">
        <v>36</v>
      </c>
      <c r="B22" s="1">
        <f>419+419</f>
        <v>838</v>
      </c>
      <c r="C22">
        <v>329</v>
      </c>
      <c r="D22">
        <f t="shared" si="1"/>
        <v>275702</v>
      </c>
      <c r="E22" s="3">
        <f t="shared" si="0"/>
        <v>3.5108017813401414E-2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</f>
        <v>1145.2179999999994</v>
      </c>
      <c r="C23">
        <v>1000</v>
      </c>
      <c r="D23">
        <f t="shared" si="1"/>
        <v>1145217.9999999993</v>
      </c>
      <c r="E23" s="3">
        <f t="shared" si="0"/>
        <v>0.14583257990231452</v>
      </c>
      <c r="G23" t="s">
        <v>79</v>
      </c>
    </row>
    <row r="24" spans="1:7" x14ac:dyDescent="0.3">
      <c r="B24" s="1"/>
      <c r="E24" s="3"/>
    </row>
    <row r="25" spans="1:7" x14ac:dyDescent="0.3">
      <c r="B25" s="1"/>
      <c r="D25">
        <f>SUM(D5:D23)</f>
        <v>7852963.9999999991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5"/>
  <sheetViews>
    <sheetView workbookViewId="0">
      <selection activeCell="B23" sqref="B23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42968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2112</v>
      </c>
      <c r="D5">
        <f>B5*C5</f>
        <v>348480</v>
      </c>
      <c r="E5" s="3">
        <f t="shared" ref="E5:E23" si="0">D5/$D$25</f>
        <v>4.2843269587659355E-2</v>
      </c>
    </row>
    <row r="6" spans="1:7" x14ac:dyDescent="0.3">
      <c r="A6" t="s">
        <v>60</v>
      </c>
      <c r="B6" s="1">
        <f>6000+6000</f>
        <v>12000</v>
      </c>
      <c r="C6">
        <v>34</v>
      </c>
      <c r="D6">
        <f t="shared" ref="D6:D23" si="1">C6*B6</f>
        <v>408000</v>
      </c>
      <c r="E6" s="3">
        <f t="shared" si="0"/>
        <v>5.0160852823017146E-2</v>
      </c>
    </row>
    <row r="7" spans="1:7" x14ac:dyDescent="0.3">
      <c r="A7" t="s">
        <v>8</v>
      </c>
      <c r="B7" s="1">
        <f>840+420</f>
        <v>1260</v>
      </c>
      <c r="C7">
        <v>1303</v>
      </c>
      <c r="D7">
        <f t="shared" si="1"/>
        <v>1641780</v>
      </c>
      <c r="E7" s="3">
        <f t="shared" si="0"/>
        <v>0.20184579644062034</v>
      </c>
    </row>
    <row r="8" spans="1:7" x14ac:dyDescent="0.3">
      <c r="A8" t="s">
        <v>41</v>
      </c>
      <c r="B8" s="1">
        <f>1280+1280+1280+910+1300</f>
        <v>6050</v>
      </c>
      <c r="C8">
        <v>76</v>
      </c>
      <c r="D8">
        <f t="shared" si="1"/>
        <v>459800</v>
      </c>
      <c r="E8" s="3">
        <f t="shared" si="0"/>
        <v>5.6529314039272756E-2</v>
      </c>
      <c r="G8" t="s">
        <v>80</v>
      </c>
    </row>
    <row r="9" spans="1:7" x14ac:dyDescent="0.3">
      <c r="A9" t="s">
        <v>9</v>
      </c>
      <c r="B9" s="1">
        <f>766+383+229</f>
        <v>1378</v>
      </c>
      <c r="C9">
        <v>289</v>
      </c>
      <c r="D9">
        <f t="shared" si="1"/>
        <v>398242</v>
      </c>
      <c r="E9" s="3">
        <f t="shared" si="0"/>
        <v>4.896117242633332E-2</v>
      </c>
    </row>
    <row r="10" spans="1:7" x14ac:dyDescent="0.3">
      <c r="A10" t="s">
        <v>10</v>
      </c>
      <c r="B10" s="1">
        <v>2928</v>
      </c>
      <c r="C10">
        <v>82</v>
      </c>
      <c r="D10">
        <f t="shared" si="1"/>
        <v>240096</v>
      </c>
      <c r="E10" s="3">
        <f t="shared" si="0"/>
        <v>2.9518186567144916E-2</v>
      </c>
    </row>
    <row r="11" spans="1:7" x14ac:dyDescent="0.3">
      <c r="A11" t="s">
        <v>23</v>
      </c>
      <c r="B11" s="1">
        <v>2750</v>
      </c>
      <c r="C11">
        <v>180</v>
      </c>
      <c r="D11">
        <f t="shared" si="1"/>
        <v>495000</v>
      </c>
      <c r="E11" s="3">
        <f t="shared" si="0"/>
        <v>6.0856917027925214E-2</v>
      </c>
    </row>
    <row r="12" spans="1:7" x14ac:dyDescent="0.3">
      <c r="A12" t="s">
        <v>12</v>
      </c>
      <c r="B12" s="1">
        <v>1228</v>
      </c>
      <c r="C12">
        <v>23</v>
      </c>
      <c r="D12">
        <f>C12*B12</f>
        <v>28244</v>
      </c>
      <c r="E12" s="3">
        <f t="shared" si="0"/>
        <v>3.4724096253267067E-3</v>
      </c>
    </row>
    <row r="13" spans="1:7" x14ac:dyDescent="0.3">
      <c r="A13" t="s">
        <v>13</v>
      </c>
      <c r="B13" s="1">
        <f>278+278</f>
        <v>556</v>
      </c>
      <c r="C13">
        <v>1272</v>
      </c>
      <c r="D13">
        <f>C13*B13</f>
        <v>707232</v>
      </c>
      <c r="E13" s="3">
        <f t="shared" si="0"/>
        <v>8.6949412411098201E-2</v>
      </c>
    </row>
    <row r="14" spans="1:7" x14ac:dyDescent="0.3">
      <c r="A14" t="s">
        <v>14</v>
      </c>
      <c r="B14" s="1">
        <v>1011</v>
      </c>
      <c r="C14">
        <v>287</v>
      </c>
      <c r="D14">
        <f>C14*B14</f>
        <v>290157</v>
      </c>
      <c r="E14" s="3">
        <f t="shared" si="0"/>
        <v>3.5672849442569085E-2</v>
      </c>
    </row>
    <row r="15" spans="1:7" x14ac:dyDescent="0.3">
      <c r="A15" t="s">
        <v>15</v>
      </c>
      <c r="B15" s="1">
        <f>265+65+158-244</f>
        <v>244</v>
      </c>
      <c r="C15">
        <v>346</v>
      </c>
      <c r="D15">
        <f>C15*B15</f>
        <v>84424</v>
      </c>
      <c r="E15" s="3">
        <f t="shared" si="0"/>
        <v>1.0379362349829412E-2</v>
      </c>
    </row>
    <row r="16" spans="1:7" x14ac:dyDescent="0.3">
      <c r="A16" t="s">
        <v>16</v>
      </c>
      <c r="B16" s="1">
        <f>186+349</f>
        <v>535</v>
      </c>
      <c r="C16">
        <v>169</v>
      </c>
      <c r="D16">
        <f t="shared" si="1"/>
        <v>90415</v>
      </c>
      <c r="E16" s="3">
        <f t="shared" si="0"/>
        <v>1.1115915460767392E-2</v>
      </c>
    </row>
    <row r="17" spans="1:7" x14ac:dyDescent="0.3">
      <c r="A17" t="s">
        <v>17</v>
      </c>
      <c r="B17" s="1">
        <v>267</v>
      </c>
      <c r="C17">
        <v>907</v>
      </c>
      <c r="D17">
        <f t="shared" si="1"/>
        <v>242169</v>
      </c>
      <c r="E17" s="3">
        <f t="shared" si="0"/>
        <v>2.9773047959061862E-2</v>
      </c>
    </row>
    <row r="18" spans="1:7" x14ac:dyDescent="0.3">
      <c r="A18" t="s">
        <v>77</v>
      </c>
      <c r="B18" s="1">
        <v>2345</v>
      </c>
      <c r="C18">
        <v>194</v>
      </c>
      <c r="D18">
        <f t="shared" si="1"/>
        <v>454930</v>
      </c>
      <c r="E18" s="3">
        <f t="shared" si="0"/>
        <v>5.5930580330331353E-2</v>
      </c>
    </row>
    <row r="19" spans="1:7" x14ac:dyDescent="0.3">
      <c r="A19" t="s">
        <v>18</v>
      </c>
      <c r="B19" s="1">
        <f>368+532</f>
        <v>900</v>
      </c>
      <c r="C19">
        <v>241</v>
      </c>
      <c r="D19">
        <f t="shared" si="1"/>
        <v>216900</v>
      </c>
      <c r="E19" s="3">
        <f t="shared" si="0"/>
        <v>2.6666394552236322E-2</v>
      </c>
    </row>
    <row r="20" spans="1:7" x14ac:dyDescent="0.3">
      <c r="A20" t="s">
        <v>19</v>
      </c>
      <c r="B20" s="1">
        <f>6886+2045</f>
        <v>8931</v>
      </c>
      <c r="C20">
        <v>36</v>
      </c>
      <c r="D20">
        <f t="shared" si="1"/>
        <v>321516</v>
      </c>
      <c r="E20" s="3">
        <f t="shared" si="0"/>
        <v>3.952822734373819E-2</v>
      </c>
    </row>
    <row r="21" spans="1:7" x14ac:dyDescent="0.3">
      <c r="A21" t="s">
        <v>20</v>
      </c>
      <c r="B21" s="1">
        <f>920+319+331</f>
        <v>1570</v>
      </c>
      <c r="C21">
        <v>240</v>
      </c>
      <c r="D21">
        <f t="shared" si="1"/>
        <v>376800</v>
      </c>
      <c r="E21" s="3">
        <f t="shared" si="0"/>
        <v>4.6325022901257014E-2</v>
      </c>
    </row>
    <row r="22" spans="1:7" x14ac:dyDescent="0.3">
      <c r="A22" t="s">
        <v>36</v>
      </c>
      <c r="B22" s="1">
        <f>419+419</f>
        <v>838</v>
      </c>
      <c r="C22">
        <v>340</v>
      </c>
      <c r="D22">
        <f t="shared" si="1"/>
        <v>284920</v>
      </c>
      <c r="E22" s="3">
        <f t="shared" si="0"/>
        <v>3.502899555474031E-2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</f>
        <v>1044.7279999999994</v>
      </c>
      <c r="C23">
        <v>1000</v>
      </c>
      <c r="D23">
        <f t="shared" si="1"/>
        <v>1044727.9999999994</v>
      </c>
      <c r="E23" s="3">
        <f t="shared" si="0"/>
        <v>0.12844227315707116</v>
      </c>
      <c r="G23" t="s">
        <v>81</v>
      </c>
    </row>
    <row r="24" spans="1:7" x14ac:dyDescent="0.3">
      <c r="B24" s="1"/>
      <c r="E24" s="3"/>
    </row>
    <row r="25" spans="1:7" x14ac:dyDescent="0.3">
      <c r="B25" s="1"/>
      <c r="D25">
        <f>SUM(D5:D23)</f>
        <v>8133832.9999999991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25"/>
  <sheetViews>
    <sheetView workbookViewId="0">
      <selection activeCell="B23" sqref="B23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42969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2156</v>
      </c>
      <c r="D5">
        <f>B5*C5</f>
        <v>355740</v>
      </c>
      <c r="E5" s="3">
        <f t="shared" ref="E5:E23" si="0">D5/$D$25</f>
        <v>4.38113807617126E-2</v>
      </c>
    </row>
    <row r="6" spans="1:7" x14ac:dyDescent="0.3">
      <c r="A6" t="s">
        <v>60</v>
      </c>
      <c r="B6" s="1">
        <f>6000+6000</f>
        <v>12000</v>
      </c>
      <c r="C6">
        <v>34</v>
      </c>
      <c r="D6">
        <f t="shared" ref="D6:D23" si="1">C6*B6</f>
        <v>408000</v>
      </c>
      <c r="E6" s="3">
        <f t="shared" si="0"/>
        <v>5.0247493536792996E-2</v>
      </c>
    </row>
    <row r="7" spans="1:7" x14ac:dyDescent="0.3">
      <c r="A7" t="s">
        <v>8</v>
      </c>
      <c r="B7" s="1">
        <f>840+420</f>
        <v>1260</v>
      </c>
      <c r="C7">
        <v>1291</v>
      </c>
      <c r="D7">
        <f t="shared" si="1"/>
        <v>1626660</v>
      </c>
      <c r="E7" s="3">
        <f t="shared" si="0"/>
        <v>0.20033232312882276</v>
      </c>
    </row>
    <row r="8" spans="1:7" x14ac:dyDescent="0.3">
      <c r="A8" t="s">
        <v>41</v>
      </c>
      <c r="B8" s="1">
        <f>1280+1280+1280+910+1300+1300</f>
        <v>7350</v>
      </c>
      <c r="C8">
        <v>77</v>
      </c>
      <c r="D8">
        <f t="shared" si="1"/>
        <v>565950</v>
      </c>
      <c r="E8" s="3">
        <f t="shared" si="0"/>
        <v>6.9699923939088221E-2</v>
      </c>
      <c r="G8" t="s">
        <v>82</v>
      </c>
    </row>
    <row r="9" spans="1:7" x14ac:dyDescent="0.3">
      <c r="A9" t="s">
        <v>9</v>
      </c>
      <c r="B9" s="1">
        <f>766+383+229</f>
        <v>1378</v>
      </c>
      <c r="C9">
        <v>285</v>
      </c>
      <c r="D9">
        <f t="shared" si="1"/>
        <v>392730</v>
      </c>
      <c r="E9" s="3">
        <f t="shared" si="0"/>
        <v>4.8366907197805668E-2</v>
      </c>
    </row>
    <row r="10" spans="1:7" x14ac:dyDescent="0.3">
      <c r="A10" t="s">
        <v>10</v>
      </c>
      <c r="B10" s="1">
        <v>2928</v>
      </c>
      <c r="C10">
        <v>81</v>
      </c>
      <c r="D10">
        <f t="shared" si="1"/>
        <v>237168</v>
      </c>
      <c r="E10" s="3">
        <f t="shared" si="0"/>
        <v>2.9208572419446376E-2</v>
      </c>
    </row>
    <row r="11" spans="1:7" x14ac:dyDescent="0.3">
      <c r="A11" t="s">
        <v>23</v>
      </c>
      <c r="B11" s="1">
        <v>2750</v>
      </c>
      <c r="C11">
        <v>178</v>
      </c>
      <c r="D11">
        <f t="shared" si="1"/>
        <v>489500</v>
      </c>
      <c r="E11" s="3">
        <f t="shared" si="0"/>
        <v>6.0284676682010221E-2</v>
      </c>
    </row>
    <row r="12" spans="1:7" x14ac:dyDescent="0.3">
      <c r="A12" t="s">
        <v>12</v>
      </c>
      <c r="B12" s="1">
        <v>1228</v>
      </c>
      <c r="C12">
        <v>23</v>
      </c>
      <c r="D12">
        <f>C12*B12</f>
        <v>28244</v>
      </c>
      <c r="E12" s="3">
        <f t="shared" si="0"/>
        <v>3.4784073712087779E-3</v>
      </c>
    </row>
    <row r="13" spans="1:7" x14ac:dyDescent="0.3">
      <c r="A13" t="s">
        <v>13</v>
      </c>
      <c r="B13" s="1">
        <f>278+278</f>
        <v>556</v>
      </c>
      <c r="C13">
        <v>1252</v>
      </c>
      <c r="D13">
        <f>C13*B13</f>
        <v>696112</v>
      </c>
      <c r="E13" s="3">
        <f t="shared" si="0"/>
        <v>8.573010593353933E-2</v>
      </c>
    </row>
    <row r="14" spans="1:7" x14ac:dyDescent="0.3">
      <c r="A14" t="s">
        <v>14</v>
      </c>
      <c r="B14" s="1">
        <v>1011</v>
      </c>
      <c r="C14">
        <v>293</v>
      </c>
      <c r="D14">
        <f>C14*B14</f>
        <v>296223</v>
      </c>
      <c r="E14" s="3">
        <f t="shared" si="0"/>
        <v>3.648152764203292E-2</v>
      </c>
    </row>
    <row r="15" spans="1:7" x14ac:dyDescent="0.3">
      <c r="A15" t="s">
        <v>15</v>
      </c>
      <c r="B15" s="1">
        <f>265+65+158-244</f>
        <v>244</v>
      </c>
      <c r="C15">
        <v>342</v>
      </c>
      <c r="D15">
        <f>C15*B15</f>
        <v>83448</v>
      </c>
      <c r="E15" s="3">
        <f t="shared" si="0"/>
        <v>1.0277090295731131E-2</v>
      </c>
    </row>
    <row r="16" spans="1:7" x14ac:dyDescent="0.3">
      <c r="A16" t="s">
        <v>16</v>
      </c>
      <c r="B16" s="1">
        <f>186+349</f>
        <v>535</v>
      </c>
      <c r="C16">
        <v>181</v>
      </c>
      <c r="D16">
        <f t="shared" si="1"/>
        <v>96835</v>
      </c>
      <c r="E16" s="3">
        <f t="shared" si="0"/>
        <v>1.1925774599596446E-2</v>
      </c>
    </row>
    <row r="17" spans="1:7" x14ac:dyDescent="0.3">
      <c r="A17" t="s">
        <v>17</v>
      </c>
      <c r="B17" s="1">
        <v>267</v>
      </c>
      <c r="C17">
        <v>902</v>
      </c>
      <c r="D17">
        <f t="shared" si="1"/>
        <v>240834</v>
      </c>
      <c r="E17" s="3">
        <f t="shared" si="0"/>
        <v>2.9660060927549029E-2</v>
      </c>
    </row>
    <row r="18" spans="1:7" x14ac:dyDescent="0.3">
      <c r="A18" t="s">
        <v>77</v>
      </c>
      <c r="B18" s="1">
        <v>2345</v>
      </c>
      <c r="C18">
        <v>196</v>
      </c>
      <c r="D18">
        <f t="shared" si="1"/>
        <v>459620</v>
      </c>
      <c r="E18" s="3">
        <f t="shared" si="0"/>
        <v>5.6604786714168617E-2</v>
      </c>
    </row>
    <row r="19" spans="1:7" x14ac:dyDescent="0.3">
      <c r="A19" t="s">
        <v>18</v>
      </c>
      <c r="B19" s="1">
        <f>368+532</f>
        <v>900</v>
      </c>
      <c r="C19">
        <v>236</v>
      </c>
      <c r="D19">
        <f t="shared" si="1"/>
        <v>212400</v>
      </c>
      <c r="E19" s="3">
        <f t="shared" si="0"/>
        <v>2.6158253988271648E-2</v>
      </c>
    </row>
    <row r="20" spans="1:7" x14ac:dyDescent="0.3">
      <c r="A20" t="s">
        <v>19</v>
      </c>
      <c r="B20" s="1">
        <f>6886+2045</f>
        <v>8931</v>
      </c>
      <c r="C20">
        <v>36</v>
      </c>
      <c r="D20">
        <f t="shared" si="1"/>
        <v>321516</v>
      </c>
      <c r="E20" s="3">
        <f t="shared" si="0"/>
        <v>3.9596502774449843E-2</v>
      </c>
    </row>
    <row r="21" spans="1:7" x14ac:dyDescent="0.3">
      <c r="A21" t="s">
        <v>20</v>
      </c>
      <c r="B21" s="1">
        <f>920+319+331</f>
        <v>1570</v>
      </c>
      <c r="C21">
        <v>244</v>
      </c>
      <c r="D21">
        <f t="shared" si="1"/>
        <v>383080</v>
      </c>
      <c r="E21" s="3">
        <f t="shared" si="0"/>
        <v>4.7178455451163386E-2</v>
      </c>
    </row>
    <row r="22" spans="1:7" x14ac:dyDescent="0.3">
      <c r="A22" t="s">
        <v>36</v>
      </c>
      <c r="B22" s="1">
        <f>419+419</f>
        <v>838</v>
      </c>
      <c r="C22">
        <v>335</v>
      </c>
      <c r="D22">
        <f t="shared" si="1"/>
        <v>280730</v>
      </c>
      <c r="E22" s="3">
        <f t="shared" si="0"/>
        <v>3.457347759947034E-2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</f>
        <v>945.01799999999935</v>
      </c>
      <c r="C23">
        <v>1000</v>
      </c>
      <c r="D23">
        <f t="shared" si="1"/>
        <v>945017.9999999993</v>
      </c>
      <c r="E23" s="3">
        <f t="shared" si="0"/>
        <v>0.11638427903713972</v>
      </c>
      <c r="G23" t="s">
        <v>83</v>
      </c>
    </row>
    <row r="24" spans="1:7" x14ac:dyDescent="0.3">
      <c r="B24" s="1"/>
      <c r="E24" s="3"/>
    </row>
    <row r="25" spans="1:7" x14ac:dyDescent="0.3">
      <c r="B25" s="1"/>
      <c r="D25">
        <f>SUM(D5:D23)</f>
        <v>8119807.9999999991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G25"/>
  <sheetViews>
    <sheetView workbookViewId="0">
      <selection activeCell="C25" sqref="C25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42975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2135</v>
      </c>
      <c r="D5">
        <f>B5*C5</f>
        <v>352275</v>
      </c>
      <c r="E5" s="3">
        <f t="shared" ref="E5:E23" si="0">D5/$D$25</f>
        <v>4.3040720779807085E-2</v>
      </c>
    </row>
    <row r="6" spans="1:7" x14ac:dyDescent="0.3">
      <c r="A6" t="s">
        <v>60</v>
      </c>
      <c r="B6" s="1">
        <f>6000+6000</f>
        <v>12000</v>
      </c>
      <c r="C6">
        <v>34</v>
      </c>
      <c r="D6">
        <f t="shared" ref="D6:D23" si="1">C6*B6</f>
        <v>408000</v>
      </c>
      <c r="E6" s="3">
        <f t="shared" si="0"/>
        <v>4.9849163517596454E-2</v>
      </c>
    </row>
    <row r="7" spans="1:7" x14ac:dyDescent="0.3">
      <c r="A7" t="s">
        <v>8</v>
      </c>
      <c r="B7" s="1">
        <f>840+420</f>
        <v>1260</v>
      </c>
      <c r="C7">
        <v>1376</v>
      </c>
      <c r="D7">
        <f t="shared" si="1"/>
        <v>1733760</v>
      </c>
      <c r="E7" s="3">
        <f t="shared" si="0"/>
        <v>0.21182962191242163</v>
      </c>
    </row>
    <row r="8" spans="1:7" x14ac:dyDescent="0.3">
      <c r="A8" t="s">
        <v>41</v>
      </c>
      <c r="B8" s="1">
        <f>1280+1280+1280+910+1300+1300+2940</f>
        <v>10290</v>
      </c>
      <c r="C8">
        <v>74</v>
      </c>
      <c r="D8">
        <f t="shared" si="1"/>
        <v>761460</v>
      </c>
      <c r="E8" s="3">
        <f t="shared" si="0"/>
        <v>9.3034666794384796E-2</v>
      </c>
      <c r="G8" t="s">
        <v>85</v>
      </c>
    </row>
    <row r="9" spans="1:7" x14ac:dyDescent="0.3">
      <c r="A9" t="s">
        <v>9</v>
      </c>
      <c r="B9" s="1">
        <f>766+383+229</f>
        <v>1378</v>
      </c>
      <c r="C9">
        <v>285</v>
      </c>
      <c r="D9">
        <f t="shared" si="1"/>
        <v>392730</v>
      </c>
      <c r="E9" s="3">
        <f t="shared" si="0"/>
        <v>4.7983485265357E-2</v>
      </c>
    </row>
    <row r="10" spans="1:7" x14ac:dyDescent="0.3">
      <c r="A10" t="s">
        <v>10</v>
      </c>
      <c r="B10" s="1">
        <v>2928</v>
      </c>
      <c r="C10">
        <v>82</v>
      </c>
      <c r="D10">
        <f t="shared" si="1"/>
        <v>240096</v>
      </c>
      <c r="E10" s="3">
        <f t="shared" si="0"/>
        <v>2.9334766578237349E-2</v>
      </c>
    </row>
    <row r="11" spans="1:7" x14ac:dyDescent="0.3">
      <c r="A11" t="s">
        <v>23</v>
      </c>
      <c r="B11" s="1">
        <v>2750</v>
      </c>
      <c r="C11">
        <v>173</v>
      </c>
      <c r="D11">
        <f t="shared" si="1"/>
        <v>475750</v>
      </c>
      <c r="E11" s="3">
        <f t="shared" si="0"/>
        <v>5.8126812606609103E-2</v>
      </c>
    </row>
    <row r="12" spans="1:7" x14ac:dyDescent="0.3">
      <c r="A12" t="s">
        <v>12</v>
      </c>
      <c r="B12" s="1">
        <v>1228</v>
      </c>
      <c r="C12">
        <v>22</v>
      </c>
      <c r="D12">
        <f>C12*B12</f>
        <v>27016</v>
      </c>
      <c r="E12" s="3">
        <f t="shared" si="0"/>
        <v>3.3007965725279065E-3</v>
      </c>
    </row>
    <row r="13" spans="1:7" x14ac:dyDescent="0.3">
      <c r="A13" t="s">
        <v>13</v>
      </c>
      <c r="B13" s="1">
        <f>278+278</f>
        <v>556</v>
      </c>
      <c r="C13">
        <v>1231</v>
      </c>
      <c r="D13">
        <f>C13*B13</f>
        <v>684436</v>
      </c>
      <c r="E13" s="3">
        <f t="shared" si="0"/>
        <v>8.3623926669925602E-2</v>
      </c>
    </row>
    <row r="14" spans="1:7" x14ac:dyDescent="0.3">
      <c r="A14" t="s">
        <v>14</v>
      </c>
      <c r="B14" s="1">
        <v>1011</v>
      </c>
      <c r="C14">
        <v>284</v>
      </c>
      <c r="D14">
        <f>C14*B14</f>
        <v>287124</v>
      </c>
      <c r="E14" s="3">
        <f t="shared" si="0"/>
        <v>3.5080615749574426E-2</v>
      </c>
    </row>
    <row r="15" spans="1:7" x14ac:dyDescent="0.3">
      <c r="A15" t="s">
        <v>15</v>
      </c>
      <c r="B15" s="1">
        <f>265+65+158-244</f>
        <v>244</v>
      </c>
      <c r="C15">
        <v>348</v>
      </c>
      <c r="D15">
        <f>C15*B15</f>
        <v>84912</v>
      </c>
      <c r="E15" s="3">
        <f t="shared" si="0"/>
        <v>1.0374490619132721E-2</v>
      </c>
    </row>
    <row r="16" spans="1:7" x14ac:dyDescent="0.3">
      <c r="A16" t="s">
        <v>16</v>
      </c>
      <c r="B16" s="1">
        <f>186+349</f>
        <v>535</v>
      </c>
      <c r="C16">
        <v>196</v>
      </c>
      <c r="D16">
        <f t="shared" si="1"/>
        <v>104860</v>
      </c>
      <c r="E16" s="3">
        <f t="shared" si="0"/>
        <v>1.2811723741311678E-2</v>
      </c>
    </row>
    <row r="17" spans="1:7" x14ac:dyDescent="0.3">
      <c r="A17" t="s">
        <v>17</v>
      </c>
      <c r="B17" s="1">
        <v>267</v>
      </c>
      <c r="C17">
        <v>938</v>
      </c>
      <c r="D17">
        <f t="shared" si="1"/>
        <v>250446</v>
      </c>
      <c r="E17" s="3">
        <f t="shared" si="0"/>
        <v>3.0599322564529317E-2</v>
      </c>
    </row>
    <row r="18" spans="1:7" x14ac:dyDescent="0.3">
      <c r="A18" t="s">
        <v>77</v>
      </c>
      <c r="B18" s="1">
        <v>2345</v>
      </c>
      <c r="C18">
        <v>194</v>
      </c>
      <c r="D18">
        <f t="shared" si="1"/>
        <v>454930</v>
      </c>
      <c r="E18" s="3">
        <f t="shared" si="0"/>
        <v>5.558303911534352E-2</v>
      </c>
    </row>
    <row r="19" spans="1:7" x14ac:dyDescent="0.3">
      <c r="A19" t="s">
        <v>18</v>
      </c>
      <c r="B19" s="1">
        <f>368+532</f>
        <v>900</v>
      </c>
      <c r="C19">
        <v>239</v>
      </c>
      <c r="D19">
        <f t="shared" si="1"/>
        <v>215100</v>
      </c>
      <c r="E19" s="3">
        <f t="shared" si="0"/>
        <v>2.6280772236850485E-2</v>
      </c>
    </row>
    <row r="20" spans="1:7" x14ac:dyDescent="0.3">
      <c r="A20" t="s">
        <v>19</v>
      </c>
      <c r="B20" s="1">
        <f>6886+2045</f>
        <v>8931</v>
      </c>
      <c r="C20">
        <v>37</v>
      </c>
      <c r="D20">
        <f t="shared" si="1"/>
        <v>330447</v>
      </c>
      <c r="E20" s="3">
        <f t="shared" si="0"/>
        <v>4.0373790531615675E-2</v>
      </c>
    </row>
    <row r="21" spans="1:7" x14ac:dyDescent="0.3">
      <c r="A21" t="s">
        <v>20</v>
      </c>
      <c r="B21" s="1">
        <f>920+319+331</f>
        <v>1570</v>
      </c>
      <c r="C21">
        <v>243</v>
      </c>
      <c r="D21">
        <f t="shared" si="1"/>
        <v>381510</v>
      </c>
      <c r="E21" s="3">
        <f t="shared" si="0"/>
        <v>4.6612633268623097E-2</v>
      </c>
    </row>
    <row r="22" spans="1:7" x14ac:dyDescent="0.3">
      <c r="A22" t="s">
        <v>36</v>
      </c>
      <c r="B22" s="1">
        <f>419+419</f>
        <v>838</v>
      </c>
      <c r="C22">
        <v>343</v>
      </c>
      <c r="D22">
        <f t="shared" si="1"/>
        <v>287434</v>
      </c>
      <c r="E22" s="3">
        <f t="shared" si="0"/>
        <v>3.5118491339502012E-2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</f>
        <v>712.40499999999929</v>
      </c>
      <c r="C23">
        <v>1000</v>
      </c>
      <c r="D23">
        <f t="shared" si="1"/>
        <v>712404.9999999993</v>
      </c>
      <c r="E23" s="3">
        <f t="shared" si="0"/>
        <v>8.704116013665017E-2</v>
      </c>
      <c r="G23" t="s">
        <v>84</v>
      </c>
    </row>
    <row r="24" spans="1:7" x14ac:dyDescent="0.3">
      <c r="B24" s="1"/>
      <c r="E24" s="3"/>
    </row>
    <row r="25" spans="1:7" x14ac:dyDescent="0.3">
      <c r="B25" s="1"/>
      <c r="D25">
        <f>SUM(D5:D23)</f>
        <v>8184690.9999999991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25"/>
  <sheetViews>
    <sheetView workbookViewId="0">
      <selection activeCell="B2" sqref="B2"/>
    </sheetView>
  </sheetViews>
  <sheetFormatPr defaultRowHeight="14.4" x14ac:dyDescent="0.3"/>
  <cols>
    <col min="1" max="1" width="15.109375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42990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2413</v>
      </c>
      <c r="D5">
        <f>B5*C5</f>
        <v>398145</v>
      </c>
      <c r="E5" s="3">
        <f t="shared" ref="E5:E23" si="0">D5/$D$25</f>
        <v>4.5039266611485378E-2</v>
      </c>
    </row>
    <row r="6" spans="1:7" x14ac:dyDescent="0.3">
      <c r="A6" t="s">
        <v>60</v>
      </c>
      <c r="B6" s="1">
        <f>6000+6000</f>
        <v>12000</v>
      </c>
      <c r="C6">
        <v>41</v>
      </c>
      <c r="D6">
        <f t="shared" ref="D6:D23" si="1">C6*B6</f>
        <v>492000</v>
      </c>
      <c r="E6" s="3">
        <f t="shared" si="0"/>
        <v>5.5656404508033018E-2</v>
      </c>
    </row>
    <row r="7" spans="1:7" x14ac:dyDescent="0.3">
      <c r="A7" t="s">
        <v>8</v>
      </c>
      <c r="B7" s="1">
        <f>840+420</f>
        <v>1260</v>
      </c>
      <c r="C7">
        <v>1454</v>
      </c>
      <c r="D7">
        <f t="shared" si="1"/>
        <v>1832040</v>
      </c>
      <c r="E7" s="3">
        <f t="shared" si="0"/>
        <v>0.20724544576198539</v>
      </c>
    </row>
    <row r="8" spans="1:7" x14ac:dyDescent="0.3">
      <c r="A8" t="s">
        <v>41</v>
      </c>
      <c r="B8" s="1">
        <f>1280+1280+1280+910+1300+1300+2940</f>
        <v>10290</v>
      </c>
      <c r="C8">
        <v>96</v>
      </c>
      <c r="D8">
        <f t="shared" si="1"/>
        <v>987840</v>
      </c>
      <c r="E8" s="3">
        <f t="shared" si="0"/>
        <v>0.11174720046588484</v>
      </c>
    </row>
    <row r="9" spans="1:7" x14ac:dyDescent="0.3">
      <c r="A9" t="s">
        <v>9</v>
      </c>
      <c r="B9" s="1">
        <f>766+383+229</f>
        <v>1378</v>
      </c>
      <c r="C9">
        <v>278</v>
      </c>
      <c r="D9">
        <f t="shared" si="1"/>
        <v>383084</v>
      </c>
      <c r="E9" s="3">
        <f t="shared" si="0"/>
        <v>4.3335524521453901E-2</v>
      </c>
    </row>
    <row r="10" spans="1:7" x14ac:dyDescent="0.3">
      <c r="A10" t="s">
        <v>10</v>
      </c>
      <c r="B10" s="1">
        <v>2928</v>
      </c>
      <c r="C10">
        <v>80</v>
      </c>
      <c r="D10">
        <f t="shared" si="1"/>
        <v>234240</v>
      </c>
      <c r="E10" s="3">
        <f t="shared" si="0"/>
        <v>2.6497878438946451E-2</v>
      </c>
    </row>
    <row r="11" spans="1:7" x14ac:dyDescent="0.3">
      <c r="A11" t="s">
        <v>23</v>
      </c>
      <c r="B11" s="1">
        <v>2750</v>
      </c>
      <c r="C11">
        <v>181</v>
      </c>
      <c r="D11">
        <f t="shared" si="1"/>
        <v>497750</v>
      </c>
      <c r="E11" s="3">
        <f t="shared" si="0"/>
        <v>5.6306860455027308E-2</v>
      </c>
    </row>
    <row r="12" spans="1:7" x14ac:dyDescent="0.3">
      <c r="A12" t="s">
        <v>12</v>
      </c>
      <c r="B12" s="1">
        <v>1228</v>
      </c>
      <c r="C12">
        <v>22</v>
      </c>
      <c r="D12">
        <f>C12*B12</f>
        <v>27016</v>
      </c>
      <c r="E12" s="3">
        <f t="shared" si="0"/>
        <v>3.0561248459126424E-3</v>
      </c>
    </row>
    <row r="13" spans="1:7" x14ac:dyDescent="0.3">
      <c r="A13" t="s">
        <v>13</v>
      </c>
      <c r="B13" s="1">
        <f>278+278</f>
        <v>556</v>
      </c>
      <c r="C13">
        <v>1215</v>
      </c>
      <c r="D13">
        <f>C13*B13</f>
        <v>675540</v>
      </c>
      <c r="E13" s="3">
        <f t="shared" si="0"/>
        <v>7.6418958336090706E-2</v>
      </c>
    </row>
    <row r="14" spans="1:7" x14ac:dyDescent="0.3">
      <c r="A14" t="s">
        <v>14</v>
      </c>
      <c r="B14" s="1">
        <v>1011</v>
      </c>
      <c r="C14">
        <v>291</v>
      </c>
      <c r="D14">
        <f>C14*B14</f>
        <v>294201</v>
      </c>
      <c r="E14" s="3">
        <f t="shared" si="0"/>
        <v>3.3280833054202888E-2</v>
      </c>
    </row>
    <row r="15" spans="1:7" x14ac:dyDescent="0.3">
      <c r="A15" t="s">
        <v>15</v>
      </c>
      <c r="B15" s="1">
        <f>265+65+158-244</f>
        <v>244</v>
      </c>
      <c r="C15">
        <v>408</v>
      </c>
      <c r="D15">
        <f>C15*B15</f>
        <v>99552</v>
      </c>
      <c r="E15" s="3">
        <f t="shared" si="0"/>
        <v>1.1261598336552242E-2</v>
      </c>
    </row>
    <row r="16" spans="1:7" x14ac:dyDescent="0.3">
      <c r="A16" t="s">
        <v>16</v>
      </c>
      <c r="B16" s="1">
        <f>186+349</f>
        <v>535</v>
      </c>
      <c r="C16">
        <v>197</v>
      </c>
      <c r="D16">
        <f t="shared" si="1"/>
        <v>105395</v>
      </c>
      <c r="E16" s="3">
        <f t="shared" si="0"/>
        <v>1.1922574701471829E-2</v>
      </c>
    </row>
    <row r="17" spans="1:7" x14ac:dyDescent="0.3">
      <c r="A17" t="s">
        <v>17</v>
      </c>
      <c r="B17" s="1">
        <f>267-267</f>
        <v>0</v>
      </c>
      <c r="C17">
        <v>941</v>
      </c>
      <c r="D17">
        <f t="shared" si="1"/>
        <v>0</v>
      </c>
      <c r="E17" s="3">
        <f t="shared" si="0"/>
        <v>0</v>
      </c>
      <c r="G17" t="s">
        <v>86</v>
      </c>
    </row>
    <row r="18" spans="1:7" x14ac:dyDescent="0.3">
      <c r="A18" t="s">
        <v>77</v>
      </c>
      <c r="B18" s="1">
        <v>2345</v>
      </c>
      <c r="C18">
        <v>209</v>
      </c>
      <c r="D18">
        <f t="shared" si="1"/>
        <v>490105</v>
      </c>
      <c r="E18" s="3">
        <f t="shared" si="0"/>
        <v>5.5442036852458382E-2</v>
      </c>
    </row>
    <row r="19" spans="1:7" x14ac:dyDescent="0.3">
      <c r="A19" t="s">
        <v>18</v>
      </c>
      <c r="B19" s="1">
        <f>368+532</f>
        <v>900</v>
      </c>
      <c r="C19">
        <v>240</v>
      </c>
      <c r="D19">
        <f t="shared" si="1"/>
        <v>216000</v>
      </c>
      <c r="E19" s="3">
        <f t="shared" si="0"/>
        <v>2.4434519052307178E-2</v>
      </c>
    </row>
    <row r="20" spans="1:7" x14ac:dyDescent="0.3">
      <c r="A20" t="s">
        <v>19</v>
      </c>
      <c r="B20" s="1">
        <f>6886+2045</f>
        <v>8931</v>
      </c>
      <c r="C20">
        <v>42</v>
      </c>
      <c r="D20">
        <f t="shared" si="1"/>
        <v>375102</v>
      </c>
      <c r="E20" s="3">
        <f t="shared" si="0"/>
        <v>4.243257854425244E-2</v>
      </c>
    </row>
    <row r="21" spans="1:7" x14ac:dyDescent="0.3">
      <c r="A21" t="s">
        <v>20</v>
      </c>
      <c r="B21" s="1">
        <f>920+319+331</f>
        <v>1570</v>
      </c>
      <c r="C21">
        <v>269</v>
      </c>
      <c r="D21">
        <f t="shared" si="1"/>
        <v>422330</v>
      </c>
      <c r="E21" s="3">
        <f t="shared" si="0"/>
        <v>4.7775140885930052E-2</v>
      </c>
    </row>
    <row r="22" spans="1:7" x14ac:dyDescent="0.3">
      <c r="A22" t="s">
        <v>36</v>
      </c>
      <c r="B22" s="1">
        <f>419+419</f>
        <v>838</v>
      </c>
      <c r="C22">
        <v>404</v>
      </c>
      <c r="D22">
        <f t="shared" si="1"/>
        <v>338552</v>
      </c>
      <c r="E22" s="3">
        <f t="shared" si="0"/>
        <v>3.8297941176836575E-2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</f>
        <v>971.06099999999924</v>
      </c>
      <c r="C23">
        <v>1000</v>
      </c>
      <c r="D23">
        <f t="shared" si="1"/>
        <v>971060.99999999919</v>
      </c>
      <c r="E23" s="3">
        <f t="shared" si="0"/>
        <v>0.10984911345116871</v>
      </c>
      <c r="G23" t="s">
        <v>87</v>
      </c>
    </row>
    <row r="24" spans="1:7" x14ac:dyDescent="0.3">
      <c r="B24" s="1"/>
      <c r="E24" s="3"/>
    </row>
    <row r="25" spans="1:7" x14ac:dyDescent="0.3">
      <c r="B25" s="1"/>
      <c r="D25">
        <f>SUM(D5:D23)</f>
        <v>8839953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B24" sqref="B24"/>
    </sheetView>
  </sheetViews>
  <sheetFormatPr defaultRowHeight="14.4" x14ac:dyDescent="0.3"/>
  <cols>
    <col min="1" max="1" width="17" bestFit="1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42999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2195</v>
      </c>
      <c r="D5">
        <f>B5*C5</f>
        <v>362175</v>
      </c>
      <c r="E5" s="3">
        <f t="shared" ref="E5:E23" si="0">D5/$D$25</f>
        <v>4.0782382146037806E-2</v>
      </c>
    </row>
    <row r="6" spans="1:7" x14ac:dyDescent="0.3">
      <c r="A6" t="s">
        <v>60</v>
      </c>
      <c r="B6" s="1">
        <f>6000+6000</f>
        <v>12000</v>
      </c>
      <c r="C6">
        <v>45</v>
      </c>
      <c r="D6">
        <f t="shared" ref="D6:D23" si="1">C6*B6</f>
        <v>540000</v>
      </c>
      <c r="E6" s="3">
        <f t="shared" si="0"/>
        <v>6.0806202412812635E-2</v>
      </c>
    </row>
    <row r="7" spans="1:7" x14ac:dyDescent="0.3">
      <c r="A7" t="s">
        <v>8</v>
      </c>
      <c r="B7" s="1">
        <f>840+420</f>
        <v>1260</v>
      </c>
      <c r="C7">
        <v>1471</v>
      </c>
      <c r="D7">
        <f t="shared" si="1"/>
        <v>1853460</v>
      </c>
      <c r="E7" s="3">
        <f t="shared" si="0"/>
        <v>0.20870715541491056</v>
      </c>
    </row>
    <row r="8" spans="1:7" x14ac:dyDescent="0.3">
      <c r="A8" t="s">
        <v>41</v>
      </c>
      <c r="B8" s="1">
        <f>1280+1280+1280+910+1300+1300+2940</f>
        <v>10290</v>
      </c>
      <c r="C8">
        <v>92</v>
      </c>
      <c r="D8">
        <f t="shared" si="1"/>
        <v>946680</v>
      </c>
      <c r="E8" s="3">
        <f t="shared" si="0"/>
        <v>0.10660002907437308</v>
      </c>
    </row>
    <row r="9" spans="1:7" x14ac:dyDescent="0.3">
      <c r="A9" t="s">
        <v>9</v>
      </c>
      <c r="B9" s="1">
        <f>766+383+229</f>
        <v>1378</v>
      </c>
      <c r="C9">
        <v>290</v>
      </c>
      <c r="D9">
        <f t="shared" si="1"/>
        <v>399620</v>
      </c>
      <c r="E9" s="3">
        <f t="shared" si="0"/>
        <v>4.4998841867052192E-2</v>
      </c>
    </row>
    <row r="10" spans="1:7" x14ac:dyDescent="0.3">
      <c r="A10" t="s">
        <v>10</v>
      </c>
      <c r="B10" s="1">
        <v>2928</v>
      </c>
      <c r="C10">
        <v>78</v>
      </c>
      <c r="D10">
        <f t="shared" si="1"/>
        <v>228384</v>
      </c>
      <c r="E10" s="3">
        <f t="shared" si="0"/>
        <v>2.5716969873792222E-2</v>
      </c>
    </row>
    <row r="11" spans="1:7" x14ac:dyDescent="0.3">
      <c r="A11" t="s">
        <v>23</v>
      </c>
      <c r="B11" s="1">
        <v>2750</v>
      </c>
      <c r="C11">
        <v>181</v>
      </c>
      <c r="D11">
        <f t="shared" si="1"/>
        <v>497750</v>
      </c>
      <c r="E11" s="3">
        <f t="shared" si="0"/>
        <v>5.6048680094402753E-2</v>
      </c>
    </row>
    <row r="12" spans="1:7" x14ac:dyDescent="0.3">
      <c r="A12" t="s">
        <v>12</v>
      </c>
      <c r="B12" s="1">
        <v>1228</v>
      </c>
      <c r="C12">
        <v>25</v>
      </c>
      <c r="D12">
        <f>C12*B12</f>
        <v>30700</v>
      </c>
      <c r="E12" s="3">
        <f t="shared" si="0"/>
        <v>3.4569452112469404E-3</v>
      </c>
    </row>
    <row r="13" spans="1:7" x14ac:dyDescent="0.3">
      <c r="A13" t="s">
        <v>13</v>
      </c>
      <c r="B13" s="1">
        <f>278+278</f>
        <v>556</v>
      </c>
      <c r="C13">
        <v>1052</v>
      </c>
      <c r="D13">
        <f>C13*B13</f>
        <v>584912</v>
      </c>
      <c r="E13" s="3">
        <f t="shared" si="0"/>
        <v>6.586347678830197E-2</v>
      </c>
    </row>
    <row r="14" spans="1:7" x14ac:dyDescent="0.3">
      <c r="A14" t="s">
        <v>14</v>
      </c>
      <c r="B14" s="1">
        <v>1011</v>
      </c>
      <c r="C14">
        <v>302</v>
      </c>
      <c r="D14">
        <f>C14*B14</f>
        <v>305322</v>
      </c>
      <c r="E14" s="3">
        <f t="shared" si="0"/>
        <v>3.4380502468675515E-2</v>
      </c>
    </row>
    <row r="15" spans="1:7" x14ac:dyDescent="0.3">
      <c r="A15" t="s">
        <v>15</v>
      </c>
      <c r="B15" s="1">
        <f>265+65+158-244</f>
        <v>244</v>
      </c>
      <c r="C15">
        <v>411</v>
      </c>
      <c r="D15">
        <f>C15*B15</f>
        <v>100284</v>
      </c>
      <c r="E15" s="3">
        <f t="shared" si="0"/>
        <v>1.1292387412530559E-2</v>
      </c>
    </row>
    <row r="16" spans="1:7" x14ac:dyDescent="0.3">
      <c r="A16" t="s">
        <v>16</v>
      </c>
      <c r="B16" s="1">
        <f>186+349</f>
        <v>535</v>
      </c>
      <c r="C16">
        <v>194</v>
      </c>
      <c r="D16">
        <f t="shared" si="1"/>
        <v>103790</v>
      </c>
      <c r="E16" s="3">
        <f t="shared" si="0"/>
        <v>1.1687177311899673E-2</v>
      </c>
    </row>
    <row r="17" spans="1:7" x14ac:dyDescent="0.3">
      <c r="A17" t="s">
        <v>88</v>
      </c>
      <c r="B17" s="1">
        <v>8384</v>
      </c>
      <c r="C17">
        <v>31</v>
      </c>
      <c r="D17">
        <f t="shared" si="1"/>
        <v>259904</v>
      </c>
      <c r="E17" s="3">
        <f t="shared" si="0"/>
        <v>2.9266250429443804E-2</v>
      </c>
      <c r="G17" t="s">
        <v>89</v>
      </c>
    </row>
    <row r="18" spans="1:7" x14ac:dyDescent="0.3">
      <c r="A18" t="s">
        <v>77</v>
      </c>
      <c r="B18" s="1">
        <v>2345</v>
      </c>
      <c r="C18">
        <v>214</v>
      </c>
      <c r="D18">
        <f t="shared" si="1"/>
        <v>501830</v>
      </c>
      <c r="E18" s="3">
        <f t="shared" si="0"/>
        <v>5.6508104734855118E-2</v>
      </c>
    </row>
    <row r="19" spans="1:7" x14ac:dyDescent="0.3">
      <c r="A19" t="s">
        <v>18</v>
      </c>
      <c r="B19" s="1">
        <f>368+532</f>
        <v>900</v>
      </c>
      <c r="C19">
        <v>239</v>
      </c>
      <c r="D19">
        <f t="shared" si="1"/>
        <v>215100</v>
      </c>
      <c r="E19" s="3">
        <f t="shared" si="0"/>
        <v>2.4221137294437031E-2</v>
      </c>
    </row>
    <row r="20" spans="1:7" x14ac:dyDescent="0.3">
      <c r="A20" t="s">
        <v>19</v>
      </c>
      <c r="B20" s="1">
        <f>6886+2045</f>
        <v>8931</v>
      </c>
      <c r="C20">
        <v>43</v>
      </c>
      <c r="D20">
        <f t="shared" si="1"/>
        <v>384033</v>
      </c>
      <c r="E20" s="3">
        <f t="shared" si="0"/>
        <v>4.3243682094814211E-2</v>
      </c>
    </row>
    <row r="21" spans="1:7" x14ac:dyDescent="0.3">
      <c r="A21" t="s">
        <v>20</v>
      </c>
      <c r="B21" s="1">
        <f>920+319+331</f>
        <v>1570</v>
      </c>
      <c r="C21">
        <v>337</v>
      </c>
      <c r="D21">
        <f t="shared" si="1"/>
        <v>529090</v>
      </c>
      <c r="E21" s="3">
        <f t="shared" si="0"/>
        <v>5.9577691915916733E-2</v>
      </c>
    </row>
    <row r="22" spans="1:7" x14ac:dyDescent="0.3">
      <c r="A22" t="s">
        <v>36</v>
      </c>
      <c r="B22" s="1">
        <f>419+419</f>
        <v>838</v>
      </c>
      <c r="C22">
        <v>397</v>
      </c>
      <c r="D22">
        <f t="shared" si="1"/>
        <v>332686</v>
      </c>
      <c r="E22" s="3">
        <f t="shared" si="0"/>
        <v>3.7461800473905522E-2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</f>
        <v>704.95299999999929</v>
      </c>
      <c r="C23">
        <v>1000</v>
      </c>
      <c r="D23">
        <f t="shared" si="1"/>
        <v>704952.9999999993</v>
      </c>
      <c r="E23" s="3">
        <f t="shared" si="0"/>
        <v>7.9380582980591599E-2</v>
      </c>
      <c r="G23" t="s">
        <v>90</v>
      </c>
    </row>
    <row r="24" spans="1:7" x14ac:dyDescent="0.3">
      <c r="B24" s="1"/>
      <c r="E24" s="3"/>
    </row>
    <row r="25" spans="1:7" x14ac:dyDescent="0.3">
      <c r="B25" s="1"/>
      <c r="D25">
        <f>SUM(D5:D23)</f>
        <v>8880673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5"/>
  <sheetViews>
    <sheetView workbookViewId="0">
      <selection activeCell="G7" sqref="G7"/>
    </sheetView>
  </sheetViews>
  <sheetFormatPr defaultRowHeight="14.4" x14ac:dyDescent="0.3"/>
  <cols>
    <col min="1" max="1" width="17" bestFit="1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43000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2226</v>
      </c>
      <c r="D5">
        <f>B5*C5</f>
        <v>367290</v>
      </c>
      <c r="E5" s="3">
        <f t="shared" ref="E5:E23" si="0">D5/$D$25</f>
        <v>4.1249671077420655E-2</v>
      </c>
    </row>
    <row r="6" spans="1:7" x14ac:dyDescent="0.3">
      <c r="A6" t="s">
        <v>60</v>
      </c>
      <c r="B6" s="1">
        <f>6000+6000</f>
        <v>12000</v>
      </c>
      <c r="C6">
        <v>45</v>
      </c>
      <c r="D6">
        <f t="shared" ref="D6:D23" si="1">C6*B6</f>
        <v>540000</v>
      </c>
      <c r="E6" s="3">
        <f t="shared" si="0"/>
        <v>6.064641667839351E-2</v>
      </c>
    </row>
    <row r="7" spans="1:7" x14ac:dyDescent="0.3">
      <c r="A7" t="s">
        <v>8</v>
      </c>
      <c r="B7" s="1">
        <f>840+420</f>
        <v>1260</v>
      </c>
      <c r="C7">
        <v>1507</v>
      </c>
      <c r="D7">
        <f t="shared" si="1"/>
        <v>1898820</v>
      </c>
      <c r="E7" s="3">
        <f t="shared" si="0"/>
        <v>0.21325301651345771</v>
      </c>
    </row>
    <row r="8" spans="1:7" x14ac:dyDescent="0.3">
      <c r="A8" t="s">
        <v>41</v>
      </c>
      <c r="B8" s="1">
        <f>1280+1280+1280+910+1300+1300+2940</f>
        <v>10290</v>
      </c>
      <c r="C8">
        <v>90</v>
      </c>
      <c r="D8">
        <f t="shared" si="1"/>
        <v>926100</v>
      </c>
      <c r="E8" s="3">
        <f t="shared" si="0"/>
        <v>0.10400860460344487</v>
      </c>
    </row>
    <row r="9" spans="1:7" x14ac:dyDescent="0.3">
      <c r="A9" t="s">
        <v>9</v>
      </c>
      <c r="B9" s="1">
        <f>766+383+229</f>
        <v>1378</v>
      </c>
      <c r="C9">
        <v>289</v>
      </c>
      <c r="D9">
        <f t="shared" si="1"/>
        <v>398242</v>
      </c>
      <c r="E9" s="3">
        <f t="shared" si="0"/>
        <v>4.472583383488294E-2</v>
      </c>
    </row>
    <row r="10" spans="1:7" x14ac:dyDescent="0.3">
      <c r="A10" t="s">
        <v>10</v>
      </c>
      <c r="B10" s="1">
        <v>2928</v>
      </c>
      <c r="C10">
        <v>77</v>
      </c>
      <c r="D10">
        <f t="shared" si="1"/>
        <v>225456</v>
      </c>
      <c r="E10" s="3">
        <f t="shared" si="0"/>
        <v>2.5320552812303495E-2</v>
      </c>
    </row>
    <row r="11" spans="1:7" x14ac:dyDescent="0.3">
      <c r="A11" t="s">
        <v>23</v>
      </c>
      <c r="B11" s="1">
        <v>2750</v>
      </c>
      <c r="C11">
        <v>173</v>
      </c>
      <c r="D11">
        <f t="shared" si="1"/>
        <v>475750</v>
      </c>
      <c r="E11" s="3">
        <f t="shared" si="0"/>
        <v>5.3430616175455026E-2</v>
      </c>
    </row>
    <row r="12" spans="1:7" x14ac:dyDescent="0.3">
      <c r="A12" t="s">
        <v>12</v>
      </c>
      <c r="B12" s="1">
        <v>1228</v>
      </c>
      <c r="C12">
        <v>24</v>
      </c>
      <c r="D12">
        <f>C12*B12</f>
        <v>29472</v>
      </c>
      <c r="E12" s="3">
        <f t="shared" si="0"/>
        <v>3.3099466524918772E-3</v>
      </c>
    </row>
    <row r="13" spans="1:7" x14ac:dyDescent="0.3">
      <c r="A13" t="s">
        <v>13</v>
      </c>
      <c r="B13" s="1">
        <f>278+278</f>
        <v>556</v>
      </c>
      <c r="C13">
        <v>1035</v>
      </c>
      <c r="D13">
        <f>C13*B13</f>
        <v>575460</v>
      </c>
      <c r="E13" s="3">
        <f t="shared" si="0"/>
        <v>6.4628864706941347E-2</v>
      </c>
    </row>
    <row r="14" spans="1:7" x14ac:dyDescent="0.3">
      <c r="A14" t="s">
        <v>14</v>
      </c>
      <c r="B14" s="1">
        <v>1011</v>
      </c>
      <c r="C14">
        <v>307</v>
      </c>
      <c r="D14">
        <f>C14*B14</f>
        <v>310377</v>
      </c>
      <c r="E14" s="3">
        <f t="shared" si="0"/>
        <v>3.485787568405508E-2</v>
      </c>
    </row>
    <row r="15" spans="1:7" x14ac:dyDescent="0.3">
      <c r="A15" t="s">
        <v>15</v>
      </c>
      <c r="B15" s="1">
        <f>265+65+158-244</f>
        <v>244</v>
      </c>
      <c r="C15">
        <v>414</v>
      </c>
      <c r="D15">
        <f>C15*B15</f>
        <v>101016</v>
      </c>
      <c r="E15" s="3">
        <f t="shared" si="0"/>
        <v>1.1344923013304814E-2</v>
      </c>
    </row>
    <row r="16" spans="1:7" x14ac:dyDescent="0.3">
      <c r="A16" t="s">
        <v>16</v>
      </c>
      <c r="B16" s="1">
        <f>186+349</f>
        <v>535</v>
      </c>
      <c r="C16">
        <v>191</v>
      </c>
      <c r="D16">
        <f t="shared" si="1"/>
        <v>102185</v>
      </c>
      <c r="E16" s="3">
        <f t="shared" si="0"/>
        <v>1.1476211274595631E-2</v>
      </c>
    </row>
    <row r="17" spans="1:7" x14ac:dyDescent="0.3">
      <c r="A17" t="s">
        <v>88</v>
      </c>
      <c r="B17" s="1">
        <f>8384+5589</f>
        <v>13973</v>
      </c>
      <c r="C17">
        <v>31</v>
      </c>
      <c r="D17">
        <f t="shared" si="1"/>
        <v>433163</v>
      </c>
      <c r="E17" s="3">
        <f t="shared" si="0"/>
        <v>4.8647747754931421E-2</v>
      </c>
      <c r="G17" t="s">
        <v>92</v>
      </c>
    </row>
    <row r="18" spans="1:7" x14ac:dyDescent="0.3">
      <c r="A18" t="s">
        <v>77</v>
      </c>
      <c r="B18" s="1">
        <v>2345</v>
      </c>
      <c r="C18">
        <v>212</v>
      </c>
      <c r="D18">
        <f t="shared" si="1"/>
        <v>497140</v>
      </c>
      <c r="E18" s="3">
        <f t="shared" si="0"/>
        <v>5.583288812499361E-2</v>
      </c>
    </row>
    <row r="19" spans="1:7" x14ac:dyDescent="0.3">
      <c r="A19" t="s">
        <v>18</v>
      </c>
      <c r="B19" s="1">
        <f>368+532</f>
        <v>900</v>
      </c>
      <c r="C19">
        <v>267</v>
      </c>
      <c r="D19">
        <f t="shared" si="1"/>
        <v>240300</v>
      </c>
      <c r="E19" s="3">
        <f t="shared" si="0"/>
        <v>2.6987655421885113E-2</v>
      </c>
    </row>
    <row r="20" spans="1:7" x14ac:dyDescent="0.3">
      <c r="A20" t="s">
        <v>19</v>
      </c>
      <c r="B20" s="1">
        <f>6886+2045</f>
        <v>8931</v>
      </c>
      <c r="C20">
        <v>42</v>
      </c>
      <c r="D20">
        <f t="shared" si="1"/>
        <v>375102</v>
      </c>
      <c r="E20" s="3">
        <f t="shared" si="0"/>
        <v>4.2127022572034746E-2</v>
      </c>
    </row>
    <row r="21" spans="1:7" x14ac:dyDescent="0.3">
      <c r="A21" t="s">
        <v>20</v>
      </c>
      <c r="B21" s="1">
        <f>920+319+331</f>
        <v>1570</v>
      </c>
      <c r="C21">
        <v>343</v>
      </c>
      <c r="D21">
        <f t="shared" si="1"/>
        <v>538510</v>
      </c>
      <c r="E21" s="3">
        <f t="shared" si="0"/>
        <v>6.0479077491632761E-2</v>
      </c>
    </row>
    <row r="22" spans="1:7" x14ac:dyDescent="0.3">
      <c r="A22" t="s">
        <v>36</v>
      </c>
      <c r="B22" s="1">
        <f>419+419</f>
        <v>838</v>
      </c>
      <c r="C22">
        <v>400</v>
      </c>
      <c r="D22">
        <f t="shared" si="1"/>
        <v>335200</v>
      </c>
      <c r="E22" s="3">
        <f t="shared" si="0"/>
        <v>3.76457016122176E-2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</f>
        <v>534.48799999999926</v>
      </c>
      <c r="C23">
        <v>1000</v>
      </c>
      <c r="D23">
        <f t="shared" si="1"/>
        <v>534487.9999999993</v>
      </c>
      <c r="E23" s="3">
        <f t="shared" si="0"/>
        <v>6.0027373995557687E-2</v>
      </c>
      <c r="G23" t="s">
        <v>91</v>
      </c>
    </row>
    <row r="24" spans="1:7" x14ac:dyDescent="0.3">
      <c r="B24" s="1"/>
      <c r="E24" s="3"/>
    </row>
    <row r="25" spans="1:7" x14ac:dyDescent="0.3">
      <c r="B25" s="1"/>
      <c r="D25">
        <f>SUM(D5:D23)</f>
        <v>8904071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workbookViewId="0">
      <selection activeCell="B7" sqref="B7"/>
    </sheetView>
  </sheetViews>
  <sheetFormatPr defaultRowHeight="14.4" x14ac:dyDescent="0.3"/>
  <cols>
    <col min="1" max="1" width="17" bestFit="1" customWidth="1"/>
    <col min="2" max="2" width="16.88671875" customWidth="1"/>
    <col min="4" max="4" width="8.109375" customWidth="1"/>
    <col min="5" max="5" width="11" customWidth="1"/>
    <col min="7" max="7" width="33.88671875" customWidth="1"/>
  </cols>
  <sheetData>
    <row r="1" spans="1:7" x14ac:dyDescent="0.3">
      <c r="A1" t="s">
        <v>0</v>
      </c>
      <c r="B1" s="2">
        <v>43000</v>
      </c>
      <c r="C1" s="2"/>
      <c r="E1" s="3"/>
    </row>
    <row r="2" spans="1:7" x14ac:dyDescent="0.3">
      <c r="B2" s="1"/>
      <c r="E2" s="3"/>
    </row>
    <row r="3" spans="1:7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7" x14ac:dyDescent="0.3">
      <c r="B4" s="1"/>
      <c r="E4" s="3"/>
    </row>
    <row r="5" spans="1:7" x14ac:dyDescent="0.3">
      <c r="A5" t="s">
        <v>22</v>
      </c>
      <c r="B5" s="1">
        <f>44+30+9+18+13+20+19+12</f>
        <v>165</v>
      </c>
      <c r="C5">
        <v>2151</v>
      </c>
      <c r="D5">
        <f>B5*C5</f>
        <v>354915</v>
      </c>
      <c r="E5" s="3">
        <f t="shared" ref="E5:E23" si="0">D5/$D$25</f>
        <v>3.911352161985953E-2</v>
      </c>
    </row>
    <row r="6" spans="1:7" x14ac:dyDescent="0.3">
      <c r="A6" t="s">
        <v>60</v>
      </c>
      <c r="B6" s="1">
        <f>6000+6000</f>
        <v>12000</v>
      </c>
      <c r="C6">
        <v>44</v>
      </c>
      <c r="D6">
        <f t="shared" ref="D6:D23" si="1">C6*B6</f>
        <v>528000</v>
      </c>
      <c r="E6" s="3">
        <f t="shared" si="0"/>
        <v>5.8188409662273587E-2</v>
      </c>
    </row>
    <row r="7" spans="1:7" x14ac:dyDescent="0.3">
      <c r="A7" t="s">
        <v>8</v>
      </c>
      <c r="B7" s="1">
        <f>(840+420)*2</f>
        <v>2520</v>
      </c>
      <c r="C7">
        <v>783</v>
      </c>
      <c r="D7">
        <f t="shared" si="1"/>
        <v>1973160</v>
      </c>
      <c r="E7" s="3">
        <f t="shared" si="0"/>
        <v>0.21745273183562833</v>
      </c>
      <c r="G7" t="s">
        <v>95</v>
      </c>
    </row>
    <row r="8" spans="1:7" x14ac:dyDescent="0.3">
      <c r="A8" t="s">
        <v>41</v>
      </c>
      <c r="B8" s="1">
        <f>1280+1280+1280+910+1300+1300+2940</f>
        <v>10290</v>
      </c>
      <c r="C8">
        <v>94</v>
      </c>
      <c r="D8">
        <f t="shared" si="1"/>
        <v>967260</v>
      </c>
      <c r="E8" s="3">
        <f t="shared" si="0"/>
        <v>0.10659719910971734</v>
      </c>
    </row>
    <row r="9" spans="1:7" x14ac:dyDescent="0.3">
      <c r="A9" t="s">
        <v>9</v>
      </c>
      <c r="B9" s="1">
        <f>766+383+229</f>
        <v>1378</v>
      </c>
      <c r="C9">
        <v>279</v>
      </c>
      <c r="D9">
        <f t="shared" si="1"/>
        <v>384462</v>
      </c>
      <c r="E9" s="3">
        <f t="shared" si="0"/>
        <v>4.2369758249198919E-2</v>
      </c>
    </row>
    <row r="10" spans="1:7" x14ac:dyDescent="0.3">
      <c r="A10" t="s">
        <v>10</v>
      </c>
      <c r="B10" s="1">
        <v>2928</v>
      </c>
      <c r="C10">
        <v>73</v>
      </c>
      <c r="D10">
        <f t="shared" si="1"/>
        <v>213744</v>
      </c>
      <c r="E10" s="3">
        <f t="shared" si="0"/>
        <v>2.3555726202373117E-2</v>
      </c>
    </row>
    <row r="11" spans="1:7" x14ac:dyDescent="0.3">
      <c r="A11" t="s">
        <v>23</v>
      </c>
      <c r="B11" s="1">
        <v>2750</v>
      </c>
      <c r="C11">
        <v>180</v>
      </c>
      <c r="D11">
        <f t="shared" si="1"/>
        <v>495000</v>
      </c>
      <c r="E11" s="3">
        <f t="shared" si="0"/>
        <v>5.4551634058381489E-2</v>
      </c>
    </row>
    <row r="12" spans="1:7" x14ac:dyDescent="0.3">
      <c r="A12" t="s">
        <v>12</v>
      </c>
      <c r="B12" s="1">
        <v>1228</v>
      </c>
      <c r="C12">
        <v>29</v>
      </c>
      <c r="D12">
        <f>C12*B12</f>
        <v>35612</v>
      </c>
      <c r="E12" s="3">
        <f t="shared" si="0"/>
        <v>3.9246319032062256E-3</v>
      </c>
    </row>
    <row r="13" spans="1:7" x14ac:dyDescent="0.3">
      <c r="A13" t="s">
        <v>13</v>
      </c>
      <c r="B13" s="1">
        <f>278+278</f>
        <v>556</v>
      </c>
      <c r="C13">
        <v>1172</v>
      </c>
      <c r="D13">
        <f>C13*B13</f>
        <v>651632</v>
      </c>
      <c r="E13" s="3">
        <f t="shared" si="0"/>
        <v>7.1813313948952018E-2</v>
      </c>
    </row>
    <row r="14" spans="1:7" x14ac:dyDescent="0.3">
      <c r="A14" t="s">
        <v>14</v>
      </c>
      <c r="B14" s="1">
        <v>1011</v>
      </c>
      <c r="C14">
        <v>323</v>
      </c>
      <c r="D14">
        <f>C14*B14</f>
        <v>326553</v>
      </c>
      <c r="E14" s="3">
        <f t="shared" si="0"/>
        <v>3.5987878296296266E-2</v>
      </c>
    </row>
    <row r="15" spans="1:7" x14ac:dyDescent="0.3">
      <c r="A15" t="s">
        <v>15</v>
      </c>
      <c r="B15" s="1">
        <f>265+65+158-244</f>
        <v>244</v>
      </c>
      <c r="C15">
        <v>379</v>
      </c>
      <c r="D15">
        <f>C15*B15</f>
        <v>92476</v>
      </c>
      <c r="E15" s="3">
        <f t="shared" si="0"/>
        <v>1.0191347295318964E-2</v>
      </c>
    </row>
    <row r="16" spans="1:7" x14ac:dyDescent="0.3">
      <c r="A16" t="s">
        <v>16</v>
      </c>
      <c r="B16" s="1">
        <f>186+349</f>
        <v>535</v>
      </c>
      <c r="C16">
        <v>186</v>
      </c>
      <c r="D16">
        <f t="shared" si="1"/>
        <v>99510</v>
      </c>
      <c r="E16" s="3">
        <f t="shared" si="0"/>
        <v>1.0966531525554631E-2</v>
      </c>
    </row>
    <row r="17" spans="1:5" x14ac:dyDescent="0.3">
      <c r="A17" t="s">
        <v>88</v>
      </c>
      <c r="B17" s="1">
        <f>8384+5589</f>
        <v>13973</v>
      </c>
      <c r="C17">
        <v>30</v>
      </c>
      <c r="D17">
        <f t="shared" si="1"/>
        <v>419190</v>
      </c>
      <c r="E17" s="3">
        <f t="shared" si="0"/>
        <v>4.6196968648349365E-2</v>
      </c>
    </row>
    <row r="18" spans="1:5" x14ac:dyDescent="0.3">
      <c r="A18" t="s">
        <v>77</v>
      </c>
      <c r="B18" s="1">
        <v>2345</v>
      </c>
      <c r="C18">
        <v>209</v>
      </c>
      <c r="D18">
        <f t="shared" si="1"/>
        <v>490105</v>
      </c>
      <c r="E18" s="3">
        <f t="shared" si="0"/>
        <v>5.4012179010470826E-2</v>
      </c>
    </row>
    <row r="19" spans="1:5" x14ac:dyDescent="0.3">
      <c r="A19" t="s">
        <v>18</v>
      </c>
      <c r="B19" s="1">
        <f>368+532</f>
        <v>900</v>
      </c>
      <c r="C19">
        <v>238</v>
      </c>
      <c r="D19">
        <f t="shared" si="1"/>
        <v>214200</v>
      </c>
      <c r="E19" s="3">
        <f t="shared" si="0"/>
        <v>2.3605979828899625E-2</v>
      </c>
    </row>
    <row r="20" spans="1:5" x14ac:dyDescent="0.3">
      <c r="A20" t="s">
        <v>19</v>
      </c>
      <c r="B20" s="1">
        <f>6886+2045</f>
        <v>8931</v>
      </c>
      <c r="C20">
        <v>41</v>
      </c>
      <c r="D20">
        <f t="shared" si="1"/>
        <v>366171</v>
      </c>
      <c r="E20" s="3">
        <f t="shared" si="0"/>
        <v>4.0353992716750726E-2</v>
      </c>
    </row>
    <row r="21" spans="1:5" x14ac:dyDescent="0.3">
      <c r="A21" t="s">
        <v>20</v>
      </c>
      <c r="B21" s="1">
        <f>920+319+331</f>
        <v>1570</v>
      </c>
      <c r="C21">
        <v>389</v>
      </c>
      <c r="D21">
        <f t="shared" si="1"/>
        <v>610730</v>
      </c>
      <c r="E21" s="3">
        <f t="shared" si="0"/>
        <v>6.7305695895909748E-2</v>
      </c>
    </row>
    <row r="22" spans="1:5" x14ac:dyDescent="0.3">
      <c r="A22" t="s">
        <v>36</v>
      </c>
      <c r="B22" s="1">
        <f>419+419</f>
        <v>838</v>
      </c>
      <c r="C22">
        <v>378</v>
      </c>
      <c r="D22">
        <f t="shared" si="1"/>
        <v>316764</v>
      </c>
      <c r="E22" s="3">
        <f t="shared" si="0"/>
        <v>3.4909078405796268E-2</v>
      </c>
    </row>
    <row r="23" spans="1:5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</f>
        <v>534.48799999999926</v>
      </c>
      <c r="C23">
        <v>1000</v>
      </c>
      <c r="D23">
        <f t="shared" si="1"/>
        <v>534487.9999999993</v>
      </c>
      <c r="E23" s="3">
        <f t="shared" si="0"/>
        <v>5.8903421787062968E-2</v>
      </c>
    </row>
    <row r="24" spans="1:5" x14ac:dyDescent="0.3">
      <c r="B24" s="1"/>
      <c r="E24" s="3"/>
    </row>
    <row r="25" spans="1:5" x14ac:dyDescent="0.3">
      <c r="B25" s="1"/>
      <c r="D25">
        <f>SUM(D5:D23)</f>
        <v>9073972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K25"/>
  <sheetViews>
    <sheetView workbookViewId="0">
      <selection activeCell="B24" sqref="B24"/>
    </sheetView>
  </sheetViews>
  <sheetFormatPr defaultRowHeight="14.4" x14ac:dyDescent="0.3"/>
  <cols>
    <col min="1" max="1" width="17" bestFit="1" customWidth="1"/>
    <col min="2" max="2" width="16.88671875" customWidth="1"/>
    <col min="4" max="4" width="12" bestFit="1" customWidth="1"/>
    <col min="5" max="5" width="11" customWidth="1"/>
    <col min="7" max="7" width="33.88671875" customWidth="1"/>
    <col min="10" max="10" width="9.109375" style="4"/>
  </cols>
  <sheetData>
    <row r="1" spans="1:11" x14ac:dyDescent="0.3">
      <c r="A1" t="s">
        <v>0</v>
      </c>
      <c r="B1" s="2">
        <v>43000</v>
      </c>
      <c r="C1" s="2"/>
      <c r="E1" s="3"/>
    </row>
    <row r="2" spans="1:11" x14ac:dyDescent="0.3">
      <c r="B2" s="1"/>
      <c r="E2" s="3"/>
    </row>
    <row r="3" spans="1:11" x14ac:dyDescent="0.3">
      <c r="A3" t="s">
        <v>1</v>
      </c>
      <c r="B3" s="1" t="s">
        <v>2</v>
      </c>
      <c r="C3" t="s">
        <v>3</v>
      </c>
      <c r="D3" t="s">
        <v>4</v>
      </c>
      <c r="E3" s="3" t="s">
        <v>5</v>
      </c>
      <c r="G3" t="s">
        <v>6</v>
      </c>
    </row>
    <row r="4" spans="1:11" x14ac:dyDescent="0.3">
      <c r="B4" s="1"/>
      <c r="E4" s="3"/>
    </row>
    <row r="5" spans="1:11" x14ac:dyDescent="0.3">
      <c r="A5" t="s">
        <v>22</v>
      </c>
      <c r="B5" s="1">
        <f>44+30+9+18+13+20+19+12</f>
        <v>165</v>
      </c>
      <c r="C5">
        <v>2178.4499999999998</v>
      </c>
      <c r="D5">
        <f>B5*C5</f>
        <v>359444.24999999994</v>
      </c>
      <c r="E5" s="3">
        <f t="shared" ref="E5:E23" si="0">D5/$D$25</f>
        <v>3.4642912431759078E-2</v>
      </c>
    </row>
    <row r="6" spans="1:11" x14ac:dyDescent="0.3">
      <c r="A6" t="s">
        <v>60</v>
      </c>
      <c r="B6" s="1">
        <f>6000+6000</f>
        <v>12000</v>
      </c>
      <c r="C6">
        <v>40.85</v>
      </c>
      <c r="D6">
        <f t="shared" ref="D6:D23" si="1">C6*B6</f>
        <v>490200</v>
      </c>
      <c r="E6" s="3">
        <f t="shared" si="0"/>
        <v>4.7245033615222115E-2</v>
      </c>
    </row>
    <row r="7" spans="1:11" x14ac:dyDescent="0.3">
      <c r="A7" t="s">
        <v>8</v>
      </c>
      <c r="B7" s="1">
        <f>(840+420)*2</f>
        <v>2520</v>
      </c>
      <c r="C7">
        <v>827.7</v>
      </c>
      <c r="D7">
        <f t="shared" si="1"/>
        <v>2085804</v>
      </c>
      <c r="E7" s="3">
        <f t="shared" si="0"/>
        <v>0.20102790717006272</v>
      </c>
    </row>
    <row r="8" spans="1:11" x14ac:dyDescent="0.3">
      <c r="A8" t="s">
        <v>41</v>
      </c>
      <c r="B8" s="1">
        <f>1280+1280+1280+910+1300+1300+2940</f>
        <v>10290</v>
      </c>
      <c r="C8">
        <v>132.69999999999999</v>
      </c>
      <c r="D8">
        <f t="shared" si="1"/>
        <v>1365482.9999999998</v>
      </c>
      <c r="E8" s="3">
        <f t="shared" si="0"/>
        <v>0.13160401924931522</v>
      </c>
    </row>
    <row r="9" spans="1:11" x14ac:dyDescent="0.3">
      <c r="A9" t="s">
        <v>9</v>
      </c>
      <c r="B9" s="1">
        <f>766+383+229</f>
        <v>1378</v>
      </c>
      <c r="C9">
        <v>336.4</v>
      </c>
      <c r="D9">
        <f t="shared" si="1"/>
        <v>463559.19999999995</v>
      </c>
      <c r="E9" s="3">
        <f t="shared" si="0"/>
        <v>4.4677417353417931E-2</v>
      </c>
      <c r="K9" s="5"/>
    </row>
    <row r="10" spans="1:11" x14ac:dyDescent="0.3">
      <c r="A10" t="s">
        <v>10</v>
      </c>
      <c r="B10" s="1">
        <v>2928</v>
      </c>
      <c r="C10">
        <v>78.55</v>
      </c>
      <c r="D10">
        <f t="shared" si="1"/>
        <v>229994.4</v>
      </c>
      <c r="E10" s="3">
        <f t="shared" si="0"/>
        <v>2.2166652711776501E-2</v>
      </c>
    </row>
    <row r="11" spans="1:11" x14ac:dyDescent="0.3">
      <c r="A11" t="s">
        <v>23</v>
      </c>
      <c r="B11" s="1">
        <v>2750</v>
      </c>
      <c r="C11">
        <v>160.55000000000001</v>
      </c>
      <c r="D11">
        <f t="shared" si="1"/>
        <v>441512.50000000006</v>
      </c>
      <c r="E11" s="3">
        <f t="shared" si="0"/>
        <v>4.2552576303632718E-2</v>
      </c>
    </row>
    <row r="12" spans="1:11" x14ac:dyDescent="0.3">
      <c r="A12" t="s">
        <v>12</v>
      </c>
      <c r="B12" s="1">
        <v>1228</v>
      </c>
      <c r="C12">
        <v>26.2</v>
      </c>
      <c r="D12">
        <f>C12*B12</f>
        <v>32173.599999999999</v>
      </c>
      <c r="E12" s="3">
        <f t="shared" si="0"/>
        <v>3.1008625326860674E-3</v>
      </c>
    </row>
    <row r="13" spans="1:11" x14ac:dyDescent="0.3">
      <c r="A13" t="s">
        <v>13</v>
      </c>
      <c r="B13" s="1">
        <f>278+278</f>
        <v>556</v>
      </c>
      <c r="C13">
        <v>892.85</v>
      </c>
      <c r="D13">
        <f>C13*B13</f>
        <v>496424.60000000003</v>
      </c>
      <c r="E13" s="3">
        <f t="shared" si="0"/>
        <v>4.7844954945783752E-2</v>
      </c>
    </row>
    <row r="14" spans="1:11" x14ac:dyDescent="0.3">
      <c r="A14" t="s">
        <v>14</v>
      </c>
      <c r="B14" s="1">
        <v>1011</v>
      </c>
      <c r="C14">
        <v>520.6</v>
      </c>
      <c r="D14">
        <f>C14*B14</f>
        <v>526326.6</v>
      </c>
      <c r="E14" s="3">
        <f t="shared" si="0"/>
        <v>5.0726882720492784E-2</v>
      </c>
    </row>
    <row r="15" spans="1:11" x14ac:dyDescent="0.3">
      <c r="A15" t="s">
        <v>15</v>
      </c>
      <c r="B15" s="1">
        <f>265+65+158-244</f>
        <v>244</v>
      </c>
      <c r="C15">
        <v>526.70000000000005</v>
      </c>
      <c r="D15">
        <f>C15*B15</f>
        <v>128514.80000000002</v>
      </c>
      <c r="E15" s="3">
        <f t="shared" si="0"/>
        <v>1.2386140444825678E-2</v>
      </c>
    </row>
    <row r="16" spans="1:11" x14ac:dyDescent="0.3">
      <c r="A16" t="s">
        <v>16</v>
      </c>
      <c r="B16" s="1">
        <f>186+349</f>
        <v>535</v>
      </c>
      <c r="C16">
        <v>231.9</v>
      </c>
      <c r="D16">
        <f t="shared" si="1"/>
        <v>124066.5</v>
      </c>
      <c r="E16" s="3">
        <f t="shared" si="0"/>
        <v>1.1957417305228386E-2</v>
      </c>
    </row>
    <row r="17" spans="1:7" x14ac:dyDescent="0.3">
      <c r="A17" t="s">
        <v>88</v>
      </c>
      <c r="B17" s="1">
        <f>8384+5589</f>
        <v>13973</v>
      </c>
      <c r="C17">
        <v>31</v>
      </c>
      <c r="D17">
        <f t="shared" si="1"/>
        <v>433163</v>
      </c>
      <c r="E17" s="3">
        <f t="shared" si="0"/>
        <v>4.1747859028703503E-2</v>
      </c>
    </row>
    <row r="18" spans="1:7" x14ac:dyDescent="0.3">
      <c r="A18" t="s">
        <v>77</v>
      </c>
      <c r="B18" s="1">
        <v>2345</v>
      </c>
      <c r="C18">
        <v>316.39999999999998</v>
      </c>
      <c r="D18">
        <f t="shared" si="1"/>
        <v>741958</v>
      </c>
      <c r="E18" s="3">
        <f t="shared" si="0"/>
        <v>7.1509242454269623E-2</v>
      </c>
    </row>
    <row r="19" spans="1:7" x14ac:dyDescent="0.3">
      <c r="A19" t="s">
        <v>18</v>
      </c>
      <c r="B19" s="1">
        <f>368+532</f>
        <v>900</v>
      </c>
      <c r="C19">
        <v>241</v>
      </c>
      <c r="D19">
        <f t="shared" si="1"/>
        <v>216900</v>
      </c>
      <c r="E19" s="3">
        <f t="shared" si="0"/>
        <v>2.0904626256918964E-2</v>
      </c>
    </row>
    <row r="20" spans="1:7" x14ac:dyDescent="0.3">
      <c r="A20" t="s">
        <v>19</v>
      </c>
      <c r="B20" s="1">
        <f>6886+2045</f>
        <v>8931</v>
      </c>
      <c r="C20">
        <v>61.4</v>
      </c>
      <c r="D20">
        <f t="shared" si="1"/>
        <v>548363.4</v>
      </c>
      <c r="E20" s="3">
        <f t="shared" si="0"/>
        <v>5.2850769617212343E-2</v>
      </c>
    </row>
    <row r="21" spans="1:7" x14ac:dyDescent="0.3">
      <c r="A21" t="s">
        <v>20</v>
      </c>
      <c r="B21" s="1">
        <f>920+319+331</f>
        <v>1570</v>
      </c>
      <c r="C21">
        <v>431</v>
      </c>
      <c r="D21">
        <f t="shared" si="1"/>
        <v>676670</v>
      </c>
      <c r="E21" s="3">
        <f t="shared" si="0"/>
        <v>6.5216843933929722E-2</v>
      </c>
    </row>
    <row r="22" spans="1:7" x14ac:dyDescent="0.3">
      <c r="A22" t="s">
        <v>36</v>
      </c>
      <c r="B22" s="1">
        <f>419+419</f>
        <v>838</v>
      </c>
      <c r="C22">
        <v>523.54999999999995</v>
      </c>
      <c r="D22">
        <f t="shared" si="1"/>
        <v>438734.89999999997</v>
      </c>
      <c r="E22" s="3">
        <f t="shared" si="0"/>
        <v>4.228487372229929E-2</v>
      </c>
    </row>
    <row r="23" spans="1:7" x14ac:dyDescent="0.3">
      <c r="A23" t="s">
        <v>21</v>
      </c>
      <c r="B23" s="1">
        <f>48.4+47.4+129.5-97.5-56+86.5+391.64-150.9-44.65+28+666.65-157.4-303.27+183.51-105.34-76.3-98.36+434.72-160.72-64.6+155.95-254.77-161.7-85.65+146.4+135.27+113.1+214.6+13.78-151.45-147.34-70.81-58.76-273.8+189.4+55.07+264.7-276.6-84.36-112.97+24.27-110.22+137.37-247.49+1021.8-192.05+26.325-177.03-179.14-89.792-89.088-97.856+450.59-71.562+397.578+397.301-75.02-22.928-200.46-205.68-43.938-31.811-49.14-46.569-29.16+738.808-401.23-100.49-99.71-232.613+258.656-266.108-170.465+41.913</f>
        <v>576.40099999999927</v>
      </c>
      <c r="C23">
        <v>1000</v>
      </c>
      <c r="D23">
        <f t="shared" si="1"/>
        <v>576400.9999999993</v>
      </c>
      <c r="E23" s="3">
        <f t="shared" si="0"/>
        <v>5.5553008202463505E-2</v>
      </c>
      <c r="G23" t="s">
        <v>94</v>
      </c>
    </row>
    <row r="24" spans="1:7" x14ac:dyDescent="0.3">
      <c r="B24" s="1"/>
      <c r="E24" s="3"/>
    </row>
    <row r="25" spans="1:7" x14ac:dyDescent="0.3">
      <c r="B25" s="1"/>
      <c r="D25">
        <f>SUM(D5:D23)</f>
        <v>10375693.75</v>
      </c>
    </row>
  </sheetData>
  <pageMargins left="0.70866141732283472" right="0.70866141732283472" top="0.74803149606299213" bottom="0.74803149606299213" header="0.31496062992125984" footer="0.31496062992125984"/>
  <pageSetup scale="8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5"/>
  <dimension ref="A1:C16"/>
  <sheetViews>
    <sheetView workbookViewId="0">
      <selection activeCell="C16" sqref="C16"/>
    </sheetView>
  </sheetViews>
  <sheetFormatPr defaultRowHeight="14.4" x14ac:dyDescent="0.3"/>
  <cols>
    <col min="3" max="3" width="9.109375" style="4"/>
  </cols>
  <sheetData>
    <row r="1" spans="1:3" x14ac:dyDescent="0.3">
      <c r="A1" t="s">
        <v>93</v>
      </c>
    </row>
    <row r="3" spans="1:3" x14ac:dyDescent="0.3">
      <c r="A3" t="s">
        <v>24</v>
      </c>
      <c r="B3">
        <v>971345</v>
      </c>
      <c r="C3" s="4">
        <f>B3*0.005</f>
        <v>4856.7250000000004</v>
      </c>
    </row>
    <row r="4" spans="1:3" x14ac:dyDescent="0.3">
      <c r="A4" t="s">
        <v>25</v>
      </c>
      <c r="B4">
        <v>717467</v>
      </c>
      <c r="C4" s="4">
        <f t="shared" ref="C4:C14" si="0">B4*0.005</f>
        <v>3587.335</v>
      </c>
    </row>
    <row r="5" spans="1:3" x14ac:dyDescent="0.3">
      <c r="A5" t="s">
        <v>26</v>
      </c>
      <c r="B5">
        <v>717467</v>
      </c>
      <c r="C5" s="4">
        <f t="shared" si="0"/>
        <v>3587.335</v>
      </c>
    </row>
    <row r="6" spans="1:3" x14ac:dyDescent="0.3">
      <c r="A6" t="s">
        <v>27</v>
      </c>
      <c r="B6">
        <v>717467</v>
      </c>
      <c r="C6" s="4">
        <f t="shared" si="0"/>
        <v>3587.335</v>
      </c>
    </row>
    <row r="7" spans="1:3" x14ac:dyDescent="0.3">
      <c r="A7" t="s">
        <v>28</v>
      </c>
      <c r="B7">
        <v>717467</v>
      </c>
      <c r="C7" s="4">
        <f t="shared" si="0"/>
        <v>3587.335</v>
      </c>
    </row>
    <row r="8" spans="1:3" x14ac:dyDescent="0.3">
      <c r="A8" t="s">
        <v>29</v>
      </c>
      <c r="B8">
        <v>883369</v>
      </c>
      <c r="C8" s="4">
        <f t="shared" si="0"/>
        <v>4416.8450000000003</v>
      </c>
    </row>
    <row r="9" spans="1:3" x14ac:dyDescent="0.3">
      <c r="A9" t="s">
        <v>30</v>
      </c>
      <c r="B9">
        <v>807640</v>
      </c>
      <c r="C9" s="4">
        <f t="shared" si="0"/>
        <v>4038.2000000000003</v>
      </c>
    </row>
    <row r="10" spans="1:3" x14ac:dyDescent="0.3">
      <c r="A10" t="s">
        <v>31</v>
      </c>
      <c r="B10">
        <v>712405</v>
      </c>
      <c r="C10" s="4">
        <f t="shared" si="0"/>
        <v>3562.0250000000001</v>
      </c>
    </row>
    <row r="11" spans="1:3" x14ac:dyDescent="0.3">
      <c r="A11" t="s">
        <v>32</v>
      </c>
      <c r="B11">
        <v>534488</v>
      </c>
      <c r="C11" s="4">
        <f t="shared" si="0"/>
        <v>2672.44</v>
      </c>
    </row>
    <row r="12" spans="1:3" x14ac:dyDescent="0.3">
      <c r="A12" t="s">
        <v>33</v>
      </c>
      <c r="B12">
        <v>534488</v>
      </c>
      <c r="C12" s="4">
        <f t="shared" si="0"/>
        <v>2672.44</v>
      </c>
    </row>
    <row r="13" spans="1:3" x14ac:dyDescent="0.3">
      <c r="A13" t="s">
        <v>34</v>
      </c>
      <c r="B13">
        <v>534488</v>
      </c>
      <c r="C13" s="4">
        <f t="shared" si="0"/>
        <v>2672.44</v>
      </c>
    </row>
    <row r="14" spans="1:3" x14ac:dyDescent="0.3">
      <c r="A14" t="s">
        <v>35</v>
      </c>
      <c r="B14">
        <v>534488</v>
      </c>
      <c r="C14" s="4">
        <f t="shared" si="0"/>
        <v>2672.44</v>
      </c>
    </row>
    <row r="16" spans="1:3" x14ac:dyDescent="0.3">
      <c r="C16" s="4">
        <f>SUM(C3:C15)</f>
        <v>41912.895000000011</v>
      </c>
    </row>
  </sheetData>
  <pageMargins left="0.7" right="0.7" top="0.75" bottom="0.75" header="0.3" footer="0.3"/>
  <pageSetup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6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01Jan17</vt:lpstr>
      <vt:lpstr>07Feb17</vt:lpstr>
      <vt:lpstr>08Feb17</vt:lpstr>
      <vt:lpstr>14Feb17</vt:lpstr>
      <vt:lpstr>15Feb17</vt:lpstr>
      <vt:lpstr>16Feb17</vt:lpstr>
      <vt:lpstr>21Feb17</vt:lpstr>
      <vt:lpstr>22Feb17</vt:lpstr>
      <vt:lpstr>20Mar17</vt:lpstr>
      <vt:lpstr>14Jun17</vt:lpstr>
      <vt:lpstr>15Jun17</vt:lpstr>
      <vt:lpstr>16Jun17</vt:lpstr>
      <vt:lpstr>19Jun17</vt:lpstr>
      <vt:lpstr>20Jun17</vt:lpstr>
      <vt:lpstr>28Jun17</vt:lpstr>
      <vt:lpstr>29Jun17</vt:lpstr>
      <vt:lpstr>30Jun17</vt:lpstr>
      <vt:lpstr>12Jul17</vt:lpstr>
      <vt:lpstr>14Jul17</vt:lpstr>
      <vt:lpstr>28Jul17</vt:lpstr>
      <vt:lpstr>14Aug17</vt:lpstr>
      <vt:lpstr>21Aug17</vt:lpstr>
      <vt:lpstr>22Aug17</vt:lpstr>
      <vt:lpstr>28Aug17</vt:lpstr>
      <vt:lpstr>12Sep17</vt:lpstr>
      <vt:lpstr>21Sep17</vt:lpstr>
      <vt:lpstr>22Sep17</vt:lpstr>
      <vt:lpstr>10Oct17</vt:lpstr>
      <vt:lpstr>31Dec17</vt:lpstr>
      <vt:lpstr>Liquid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2023-07-04T11:11:03Z</dcterms:modified>
</cp:coreProperties>
</file>