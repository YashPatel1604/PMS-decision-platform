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3b54154a9f56a2/Samir/Research/Portfolio/"/>
    </mc:Choice>
  </mc:AlternateContent>
  <xr:revisionPtr revIDLastSave="2203" documentId="8_{EDF33660-9B23-4888-B529-2B640994E33F}" xr6:coauthVersionLast="47" xr6:coauthVersionMax="47" xr10:uidLastSave="{AAB4147E-D7A6-4805-B9FA-0F42DC26AEEB}"/>
  <bookViews>
    <workbookView xWindow="-108" yWindow="-108" windowWidth="23256" windowHeight="13896" firstSheet="18" activeTab="18" xr2:uid="{D1491BFC-AA9E-4856-B603-CFD392162666}"/>
  </bookViews>
  <sheets>
    <sheet name="01Jan26" sheetId="51" r:id="rId1"/>
    <sheet name="01Jan26-2" sheetId="74" r:id="rId2"/>
    <sheet name="28Jan26" sheetId="76" r:id="rId3"/>
    <sheet name="17Feb26" sheetId="77" r:id="rId4"/>
    <sheet name="04Mar26" sheetId="78" r:id="rId5"/>
    <sheet name="09Mar26" sheetId="79" r:id="rId6"/>
    <sheet name="16Mar26" sheetId="80" r:id="rId7"/>
    <sheet name="01Apr26" sheetId="81" r:id="rId8"/>
    <sheet name="08Apr26" sheetId="82" r:id="rId9"/>
    <sheet name="10Apr26" sheetId="83" r:id="rId10"/>
    <sheet name="16Apr26" sheetId="84" r:id="rId11"/>
    <sheet name="05May26" sheetId="85" r:id="rId12"/>
    <sheet name="11May" sheetId="86" r:id="rId13"/>
    <sheet name="05Jun26" sheetId="87" r:id="rId14"/>
    <sheet name="09Jun26" sheetId="88" r:id="rId15"/>
    <sheet name="22Jun26" sheetId="89" r:id="rId16"/>
    <sheet name="01Jul26" sheetId="90" r:id="rId17"/>
    <sheet name="24Jul26" sheetId="91" r:id="rId18"/>
    <sheet name="28Jul26" sheetId="92" r:id="rId19"/>
    <sheet name="Sheet1" sheetId="1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92" l="1"/>
  <c r="B8" i="92"/>
  <c r="D23" i="92" l="1"/>
  <c r="B22" i="92"/>
  <c r="D22" i="92" s="1"/>
  <c r="B21" i="92"/>
  <c r="D21" i="92" s="1"/>
  <c r="B20" i="92"/>
  <c r="D20" i="92" s="1"/>
  <c r="B19" i="92"/>
  <c r="D19" i="92" s="1"/>
  <c r="B18" i="92"/>
  <c r="D18" i="92" s="1"/>
  <c r="B17" i="92"/>
  <c r="D17" i="92" s="1"/>
  <c r="D16" i="92"/>
  <c r="B16" i="92"/>
  <c r="B15" i="92"/>
  <c r="D15" i="92" s="1"/>
  <c r="B14" i="92"/>
  <c r="D14" i="92" s="1"/>
  <c r="D13" i="92"/>
  <c r="B13" i="92"/>
  <c r="B12" i="92"/>
  <c r="D12" i="92" s="1"/>
  <c r="B11" i="92"/>
  <c r="D11" i="92" s="1"/>
  <c r="D10" i="92"/>
  <c r="B10" i="92"/>
  <c r="B9" i="92"/>
  <c r="D9" i="92" s="1"/>
  <c r="D8" i="92"/>
  <c r="D7" i="92"/>
  <c r="B7" i="92"/>
  <c r="B6" i="92"/>
  <c r="D6" i="92" s="1"/>
  <c r="B5" i="92"/>
  <c r="D5" i="92" s="1"/>
  <c r="B23" i="91"/>
  <c r="B13" i="91"/>
  <c r="D23" i="91"/>
  <c r="D22" i="91"/>
  <c r="B22" i="91"/>
  <c r="D21" i="91"/>
  <c r="B21" i="91"/>
  <c r="B20" i="91"/>
  <c r="D20" i="91" s="1"/>
  <c r="B19" i="91"/>
  <c r="D19" i="91" s="1"/>
  <c r="B18" i="91"/>
  <c r="D18" i="91" s="1"/>
  <c r="B17" i="91"/>
  <c r="D17" i="91" s="1"/>
  <c r="D16" i="91"/>
  <c r="B16" i="91"/>
  <c r="B15" i="91"/>
  <c r="D15" i="91" s="1"/>
  <c r="B14" i="91"/>
  <c r="D14" i="91" s="1"/>
  <c r="D13" i="91"/>
  <c r="B12" i="91"/>
  <c r="D12" i="91" s="1"/>
  <c r="B11" i="91"/>
  <c r="D11" i="91" s="1"/>
  <c r="D10" i="91"/>
  <c r="B10" i="91"/>
  <c r="B9" i="91"/>
  <c r="D9" i="91" s="1"/>
  <c r="B8" i="91"/>
  <c r="D8" i="91" s="1"/>
  <c r="B7" i="91"/>
  <c r="D7" i="91" s="1"/>
  <c r="B6" i="91"/>
  <c r="D6" i="91" s="1"/>
  <c r="B5" i="91"/>
  <c r="D5" i="91" s="1"/>
  <c r="B21" i="90"/>
  <c r="B23" i="90"/>
  <c r="B22" i="90"/>
  <c r="B20" i="90"/>
  <c r="B19" i="90"/>
  <c r="B18" i="90"/>
  <c r="B17" i="90"/>
  <c r="B16" i="90"/>
  <c r="B15" i="90"/>
  <c r="B14" i="90"/>
  <c r="B13" i="90"/>
  <c r="B12" i="90"/>
  <c r="B11" i="90"/>
  <c r="B10" i="90"/>
  <c r="B9" i="90"/>
  <c r="B8" i="90"/>
  <c r="B7" i="90"/>
  <c r="B6" i="90"/>
  <c r="B5" i="90"/>
  <c r="B21" i="89"/>
  <c r="D21" i="89" s="1"/>
  <c r="B23" i="89"/>
  <c r="D23" i="89"/>
  <c r="B7" i="89"/>
  <c r="B17" i="89"/>
  <c r="B11" i="89"/>
  <c r="D11" i="89" s="1"/>
  <c r="B22" i="89"/>
  <c r="D22" i="89" s="1"/>
  <c r="B20" i="89"/>
  <c r="D20" i="89" s="1"/>
  <c r="B19" i="89"/>
  <c r="D19" i="89" s="1"/>
  <c r="D18" i="89"/>
  <c r="B18" i="89"/>
  <c r="D17" i="89"/>
  <c r="B16" i="89"/>
  <c r="D16" i="89" s="1"/>
  <c r="B15" i="89"/>
  <c r="D15" i="89" s="1"/>
  <c r="B14" i="89"/>
  <c r="D14" i="89" s="1"/>
  <c r="B13" i="89"/>
  <c r="D13" i="89" s="1"/>
  <c r="D12" i="89"/>
  <c r="B12" i="89"/>
  <c r="B10" i="89"/>
  <c r="D10" i="89" s="1"/>
  <c r="B9" i="89"/>
  <c r="D9" i="89" s="1"/>
  <c r="B8" i="89"/>
  <c r="D8" i="89" s="1"/>
  <c r="D7" i="89"/>
  <c r="B6" i="89"/>
  <c r="D6" i="89" s="1"/>
  <c r="B5" i="89"/>
  <c r="D5" i="89" s="1"/>
  <c r="B21" i="88"/>
  <c r="D21" i="88"/>
  <c r="B13" i="88"/>
  <c r="D20" i="88"/>
  <c r="B15" i="88"/>
  <c r="D15" i="88" s="1"/>
  <c r="B23" i="88"/>
  <c r="D23" i="88" s="1"/>
  <c r="B22" i="88"/>
  <c r="D22" i="88" s="1"/>
  <c r="B20" i="88"/>
  <c r="B19" i="88"/>
  <c r="B18" i="88"/>
  <c r="B17" i="88"/>
  <c r="D17" i="88" s="1"/>
  <c r="B16" i="88"/>
  <c r="D16" i="88" s="1"/>
  <c r="D14" i="88"/>
  <c r="B14" i="88"/>
  <c r="D13" i="88"/>
  <c r="B12" i="88"/>
  <c r="D12" i="88" s="1"/>
  <c r="B11" i="88"/>
  <c r="D11" i="88" s="1"/>
  <c r="B10" i="88"/>
  <c r="D10" i="88" s="1"/>
  <c r="B9" i="88"/>
  <c r="D9" i="88" s="1"/>
  <c r="B8" i="88"/>
  <c r="D8" i="88" s="1"/>
  <c r="D7" i="88"/>
  <c r="B6" i="88"/>
  <c r="D6" i="88" s="1"/>
  <c r="B5" i="88"/>
  <c r="D5" i="88" s="1"/>
  <c r="B11" i="87"/>
  <c r="B23" i="87"/>
  <c r="B22" i="87"/>
  <c r="B21" i="87"/>
  <c r="B20" i="87"/>
  <c r="B19" i="87"/>
  <c r="B18" i="87"/>
  <c r="B17" i="87"/>
  <c r="B16" i="87"/>
  <c r="B15" i="87"/>
  <c r="B14" i="87"/>
  <c r="D13" i="87"/>
  <c r="B12" i="87"/>
  <c r="B10" i="87"/>
  <c r="B9" i="87"/>
  <c r="D8" i="87"/>
  <c r="B8" i="87"/>
  <c r="D7" i="87"/>
  <c r="B6" i="87"/>
  <c r="B5" i="87"/>
  <c r="B14" i="86"/>
  <c r="D14" i="86" s="1"/>
  <c r="B16" i="86"/>
  <c r="D16" i="86" s="1"/>
  <c r="B23" i="86"/>
  <c r="D23" i="86" s="1"/>
  <c r="B22" i="86"/>
  <c r="D22" i="86" s="1"/>
  <c r="B21" i="86"/>
  <c r="D21" i="86" s="1"/>
  <c r="B20" i="86"/>
  <c r="D20" i="86" s="1"/>
  <c r="B19" i="86"/>
  <c r="D19" i="86" s="1"/>
  <c r="B18" i="86"/>
  <c r="D18" i="86" s="1"/>
  <c r="B17" i="86"/>
  <c r="D17" i="86" s="1"/>
  <c r="B15" i="86"/>
  <c r="D15" i="86" s="1"/>
  <c r="D13" i="86"/>
  <c r="B12" i="86"/>
  <c r="D12" i="86" s="1"/>
  <c r="B11" i="86"/>
  <c r="D11" i="86" s="1"/>
  <c r="B10" i="86"/>
  <c r="D10" i="86" s="1"/>
  <c r="B9" i="86"/>
  <c r="D9" i="86" s="1"/>
  <c r="B8" i="86"/>
  <c r="D8" i="86" s="1"/>
  <c r="D7" i="86"/>
  <c r="B6" i="86"/>
  <c r="D6" i="86" s="1"/>
  <c r="B5" i="86"/>
  <c r="D5" i="86" s="1"/>
  <c r="B24" i="85"/>
  <c r="D24" i="85" s="1"/>
  <c r="B14" i="85"/>
  <c r="B22" i="85"/>
  <c r="D22" i="85" s="1"/>
  <c r="B18" i="85"/>
  <c r="D16" i="85"/>
  <c r="D18" i="85"/>
  <c r="B23" i="85"/>
  <c r="D23" i="85" s="1"/>
  <c r="B21" i="85"/>
  <c r="D21" i="85" s="1"/>
  <c r="B20" i="85"/>
  <c r="D20" i="85" s="1"/>
  <c r="B19" i="85"/>
  <c r="D19" i="85" s="1"/>
  <c r="B17" i="85"/>
  <c r="D17" i="85" s="1"/>
  <c r="B15" i="85"/>
  <c r="D15" i="85" s="1"/>
  <c r="D14" i="85"/>
  <c r="D13" i="85"/>
  <c r="B12" i="85"/>
  <c r="D12" i="85" s="1"/>
  <c r="D11" i="85"/>
  <c r="B11" i="85"/>
  <c r="B10" i="85"/>
  <c r="D10" i="85" s="1"/>
  <c r="B9" i="85"/>
  <c r="D9" i="85" s="1"/>
  <c r="B8" i="85"/>
  <c r="D8" i="85" s="1"/>
  <c r="D7" i="85"/>
  <c r="B6" i="85"/>
  <c r="D6" i="85" s="1"/>
  <c r="B5" i="85"/>
  <c r="D5" i="85" s="1"/>
  <c r="B23" i="84"/>
  <c r="B17" i="84"/>
  <c r="B21" i="84"/>
  <c r="D13" i="84"/>
  <c r="D23" i="84"/>
  <c r="B22" i="84"/>
  <c r="D22" i="84" s="1"/>
  <c r="D21" i="84"/>
  <c r="B20" i="84"/>
  <c r="D20" i="84" s="1"/>
  <c r="B19" i="84"/>
  <c r="D19" i="84" s="1"/>
  <c r="B18" i="84"/>
  <c r="D18" i="84" s="1"/>
  <c r="D17" i="84"/>
  <c r="B16" i="84"/>
  <c r="D16" i="84" s="1"/>
  <c r="B15" i="84"/>
  <c r="D15" i="84" s="1"/>
  <c r="B14" i="84"/>
  <c r="D14" i="84" s="1"/>
  <c r="B12" i="84"/>
  <c r="D12" i="84" s="1"/>
  <c r="B11" i="84"/>
  <c r="D11" i="84" s="1"/>
  <c r="B10" i="84"/>
  <c r="D10" i="84" s="1"/>
  <c r="B9" i="84"/>
  <c r="D9" i="84" s="1"/>
  <c r="B8" i="84"/>
  <c r="D8" i="84" s="1"/>
  <c r="D7" i="84"/>
  <c r="B6" i="84"/>
  <c r="D6" i="84" s="1"/>
  <c r="B5" i="84"/>
  <c r="D5" i="84" s="1"/>
  <c r="B22" i="83"/>
  <c r="D22" i="83" s="1"/>
  <c r="B20" i="83"/>
  <c r="D20" i="83" s="1"/>
  <c r="B16" i="83"/>
  <c r="D7" i="83"/>
  <c r="B8" i="83"/>
  <c r="D8" i="83" s="1"/>
  <c r="B9" i="83"/>
  <c r="D9" i="83"/>
  <c r="B10" i="83"/>
  <c r="D10" i="83" s="1"/>
  <c r="B11" i="83"/>
  <c r="D11" i="83"/>
  <c r="B12" i="83"/>
  <c r="D12" i="83" s="1"/>
  <c r="B13" i="83"/>
  <c r="D13" i="83" s="1"/>
  <c r="B14" i="83"/>
  <c r="D14" i="83"/>
  <c r="B15" i="83"/>
  <c r="D15" i="83"/>
  <c r="D16" i="83"/>
  <c r="B17" i="83"/>
  <c r="D17" i="83"/>
  <c r="B18" i="83"/>
  <c r="D18" i="83"/>
  <c r="B19" i="83"/>
  <c r="D19" i="83"/>
  <c r="B21" i="83"/>
  <c r="D21" i="83" s="1"/>
  <c r="B6" i="83"/>
  <c r="D6" i="83" s="1"/>
  <c r="B5" i="83"/>
  <c r="D5" i="83" s="1"/>
  <c r="B21" i="82"/>
  <c r="D21" i="82" s="1"/>
  <c r="B19" i="82"/>
  <c r="D19" i="82" s="1"/>
  <c r="D20" i="82"/>
  <c r="B20" i="82"/>
  <c r="D18" i="82"/>
  <c r="B18" i="82"/>
  <c r="B17" i="82"/>
  <c r="D17" i="82" s="1"/>
  <c r="D16" i="82"/>
  <c r="B16" i="82"/>
  <c r="B15" i="82"/>
  <c r="D15" i="82" s="1"/>
  <c r="D14" i="82"/>
  <c r="B14" i="82"/>
  <c r="D13" i="82"/>
  <c r="B13" i="82"/>
  <c r="B12" i="82"/>
  <c r="D12" i="82" s="1"/>
  <c r="B11" i="82"/>
  <c r="D11" i="82" s="1"/>
  <c r="D10" i="82"/>
  <c r="B10" i="82"/>
  <c r="B9" i="82"/>
  <c r="D9" i="82" s="1"/>
  <c r="D8" i="82"/>
  <c r="B8" i="82"/>
  <c r="D7" i="82"/>
  <c r="B7" i="82"/>
  <c r="B6" i="82"/>
  <c r="D6" i="82" s="1"/>
  <c r="B5" i="82"/>
  <c r="D5" i="82" s="1"/>
  <c r="B21" i="81"/>
  <c r="D21" i="81" s="1"/>
  <c r="B11" i="81"/>
  <c r="B20" i="81"/>
  <c r="D20" i="81" s="1"/>
  <c r="B19" i="81"/>
  <c r="D19" i="81" s="1"/>
  <c r="B18" i="81"/>
  <c r="D18" i="81" s="1"/>
  <c r="B17" i="81"/>
  <c r="D17" i="81" s="1"/>
  <c r="D16" i="81"/>
  <c r="B16" i="81"/>
  <c r="B15" i="81"/>
  <c r="D15" i="81" s="1"/>
  <c r="B14" i="81"/>
  <c r="D14" i="81" s="1"/>
  <c r="B13" i="81"/>
  <c r="D13" i="81" s="1"/>
  <c r="B12" i="81"/>
  <c r="D12" i="81" s="1"/>
  <c r="D11" i="81"/>
  <c r="D10" i="81"/>
  <c r="B10" i="81"/>
  <c r="B9" i="81"/>
  <c r="D9" i="81" s="1"/>
  <c r="B8" i="81"/>
  <c r="D8" i="81" s="1"/>
  <c r="B7" i="81"/>
  <c r="D7" i="81" s="1"/>
  <c r="B6" i="81"/>
  <c r="D6" i="81" s="1"/>
  <c r="B5" i="81"/>
  <c r="D5" i="81" s="1"/>
  <c r="B21" i="80"/>
  <c r="D21" i="80" s="1"/>
  <c r="B8" i="80"/>
  <c r="D20" i="80"/>
  <c r="B20" i="80"/>
  <c r="B19" i="80"/>
  <c r="D19" i="80" s="1"/>
  <c r="B18" i="80"/>
  <c r="D18" i="80" s="1"/>
  <c r="B17" i="80"/>
  <c r="D17" i="80" s="1"/>
  <c r="D16" i="80"/>
  <c r="B16" i="80"/>
  <c r="D15" i="80"/>
  <c r="B15" i="80"/>
  <c r="B14" i="80"/>
  <c r="D14" i="80" s="1"/>
  <c r="B13" i="80"/>
  <c r="D13" i="80" s="1"/>
  <c r="B12" i="80"/>
  <c r="D12" i="80" s="1"/>
  <c r="B11" i="80"/>
  <c r="D11" i="80" s="1"/>
  <c r="D10" i="80"/>
  <c r="B10" i="80"/>
  <c r="D9" i="80"/>
  <c r="B9" i="80"/>
  <c r="D8" i="80"/>
  <c r="B7" i="80"/>
  <c r="D7" i="80" s="1"/>
  <c r="B6" i="80"/>
  <c r="D6" i="80" s="1"/>
  <c r="B5" i="80"/>
  <c r="D5" i="80" s="1"/>
  <c r="B21" i="79"/>
  <c r="B13" i="79"/>
  <c r="D13" i="79" s="1"/>
  <c r="D21" i="79"/>
  <c r="B20" i="79"/>
  <c r="D20" i="79" s="1"/>
  <c r="B19" i="79"/>
  <c r="D19" i="79" s="1"/>
  <c r="B18" i="79"/>
  <c r="D18" i="79" s="1"/>
  <c r="B17" i="79"/>
  <c r="D17" i="79" s="1"/>
  <c r="D16" i="79"/>
  <c r="B16" i="79"/>
  <c r="B15" i="79"/>
  <c r="D15" i="79" s="1"/>
  <c r="B14" i="79"/>
  <c r="D14" i="79" s="1"/>
  <c r="B12" i="79"/>
  <c r="D12" i="79" s="1"/>
  <c r="B11" i="79"/>
  <c r="D11" i="79" s="1"/>
  <c r="D10" i="79"/>
  <c r="B10" i="79"/>
  <c r="B9" i="79"/>
  <c r="D9" i="79" s="1"/>
  <c r="B8" i="79"/>
  <c r="D8" i="79" s="1"/>
  <c r="B7" i="79"/>
  <c r="D7" i="79" s="1"/>
  <c r="B6" i="79"/>
  <c r="D6" i="79" s="1"/>
  <c r="B5" i="79"/>
  <c r="D5" i="79" s="1"/>
  <c r="B8" i="78"/>
  <c r="B21" i="78"/>
  <c r="D21" i="78"/>
  <c r="B20" i="78"/>
  <c r="D20" i="78" s="1"/>
  <c r="B19" i="78"/>
  <c r="D19" i="78" s="1"/>
  <c r="B18" i="78"/>
  <c r="D18" i="78" s="1"/>
  <c r="B17" i="78"/>
  <c r="D17" i="78" s="1"/>
  <c r="D16" i="78"/>
  <c r="B16" i="78"/>
  <c r="B15" i="78"/>
  <c r="D15" i="78" s="1"/>
  <c r="B14" i="78"/>
  <c r="D14" i="78" s="1"/>
  <c r="B13" i="78"/>
  <c r="D13" i="78" s="1"/>
  <c r="B12" i="78"/>
  <c r="D12" i="78" s="1"/>
  <c r="B11" i="78"/>
  <c r="D11" i="78" s="1"/>
  <c r="D10" i="78"/>
  <c r="B10" i="78"/>
  <c r="B9" i="78"/>
  <c r="D9" i="78" s="1"/>
  <c r="D8" i="78"/>
  <c r="B7" i="78"/>
  <c r="D7" i="78" s="1"/>
  <c r="B6" i="78"/>
  <c r="D6" i="78" s="1"/>
  <c r="B5" i="78"/>
  <c r="D5" i="78" s="1"/>
  <c r="B21" i="77"/>
  <c r="B15" i="77"/>
  <c r="D15" i="77" s="1"/>
  <c r="D21" i="77"/>
  <c r="B20" i="77"/>
  <c r="D20" i="77" s="1"/>
  <c r="B19" i="77"/>
  <c r="D19" i="77" s="1"/>
  <c r="D18" i="77"/>
  <c r="B18" i="77"/>
  <c r="B17" i="77"/>
  <c r="D17" i="77" s="1"/>
  <c r="D16" i="77"/>
  <c r="B16" i="77"/>
  <c r="B14" i="77"/>
  <c r="D14" i="77" s="1"/>
  <c r="B13" i="77"/>
  <c r="D13" i="77" s="1"/>
  <c r="D12" i="77"/>
  <c r="B12" i="77"/>
  <c r="B11" i="77"/>
  <c r="D11" i="77" s="1"/>
  <c r="B10" i="77"/>
  <c r="D10" i="77" s="1"/>
  <c r="B9" i="77"/>
  <c r="D9" i="77" s="1"/>
  <c r="B8" i="77"/>
  <c r="D8" i="77" s="1"/>
  <c r="B7" i="77"/>
  <c r="D7" i="77" s="1"/>
  <c r="D6" i="77"/>
  <c r="B6" i="77"/>
  <c r="B5" i="77"/>
  <c r="D5" i="77" s="1"/>
  <c r="B15" i="76"/>
  <c r="B21" i="76"/>
  <c r="D21" i="76" s="1"/>
  <c r="B5" i="76"/>
  <c r="D5" i="76" s="1"/>
  <c r="B20" i="76"/>
  <c r="D20" i="76" s="1"/>
  <c r="B19" i="76"/>
  <c r="D19" i="76" s="1"/>
  <c r="B18" i="76"/>
  <c r="D18" i="76" s="1"/>
  <c r="B17" i="76"/>
  <c r="D17" i="76" s="1"/>
  <c r="D16" i="76"/>
  <c r="B16" i="76"/>
  <c r="D15" i="76"/>
  <c r="B14" i="76"/>
  <c r="D14" i="76" s="1"/>
  <c r="B13" i="76"/>
  <c r="D13" i="76" s="1"/>
  <c r="B12" i="76"/>
  <c r="D12" i="76" s="1"/>
  <c r="B11" i="76"/>
  <c r="D11" i="76" s="1"/>
  <c r="D10" i="76"/>
  <c r="B10" i="76"/>
  <c r="B9" i="76"/>
  <c r="D9" i="76" s="1"/>
  <c r="B8" i="76"/>
  <c r="D8" i="76" s="1"/>
  <c r="B7" i="76"/>
  <c r="D7" i="76" s="1"/>
  <c r="B6" i="76"/>
  <c r="D6" i="76" s="1"/>
  <c r="B21" i="74"/>
  <c r="B11" i="74"/>
  <c r="D21" i="74"/>
  <c r="B20" i="74"/>
  <c r="D20" i="74" s="1"/>
  <c r="B19" i="74"/>
  <c r="D19" i="74" s="1"/>
  <c r="B18" i="74"/>
  <c r="D18" i="74" s="1"/>
  <c r="B17" i="74"/>
  <c r="D17" i="74" s="1"/>
  <c r="D16" i="74"/>
  <c r="B16" i="74"/>
  <c r="D15" i="74"/>
  <c r="B15" i="74"/>
  <c r="B14" i="74"/>
  <c r="D14" i="74" s="1"/>
  <c r="B13" i="74"/>
  <c r="D13" i="74" s="1"/>
  <c r="B12" i="74"/>
  <c r="D12" i="74" s="1"/>
  <c r="D11" i="74"/>
  <c r="D10" i="74"/>
  <c r="B10" i="74"/>
  <c r="B9" i="74"/>
  <c r="D9" i="74" s="1"/>
  <c r="B8" i="74"/>
  <c r="D8" i="74" s="1"/>
  <c r="B7" i="74"/>
  <c r="D7" i="74" s="1"/>
  <c r="D6" i="74"/>
  <c r="B6" i="74"/>
  <c r="B5" i="74"/>
  <c r="D5" i="74" s="1"/>
  <c r="D25" i="92" l="1"/>
  <c r="E5" i="92" s="1"/>
  <c r="E15" i="92"/>
  <c r="E6" i="92"/>
  <c r="E20" i="92"/>
  <c r="E22" i="92"/>
  <c r="E8" i="92"/>
  <c r="E23" i="92"/>
  <c r="D25" i="91"/>
  <c r="E23" i="91" s="1"/>
  <c r="D22" i="90"/>
  <c r="D18" i="90"/>
  <c r="D16" i="90"/>
  <c r="D9" i="90"/>
  <c r="D8" i="90"/>
  <c r="D5" i="90"/>
  <c r="D20" i="90"/>
  <c r="D15" i="90"/>
  <c r="D14" i="90"/>
  <c r="D13" i="90"/>
  <c r="D12" i="90"/>
  <c r="D7" i="90"/>
  <c r="D6" i="90"/>
  <c r="D23" i="90"/>
  <c r="D17" i="90"/>
  <c r="D11" i="90"/>
  <c r="D10" i="90"/>
  <c r="D21" i="90"/>
  <c r="D19" i="90"/>
  <c r="D25" i="89"/>
  <c r="E12" i="89" s="1"/>
  <c r="D19" i="88"/>
  <c r="D18" i="88"/>
  <c r="D25" i="88"/>
  <c r="E21" i="88" s="1"/>
  <c r="D21" i="87"/>
  <c r="D12" i="87"/>
  <c r="D11" i="87"/>
  <c r="D23" i="87"/>
  <c r="D10" i="87"/>
  <c r="D5" i="87"/>
  <c r="D22" i="87"/>
  <c r="D19" i="87"/>
  <c r="D18" i="87"/>
  <c r="D17" i="87"/>
  <c r="D16" i="87"/>
  <c r="D15" i="87"/>
  <c r="D14" i="87"/>
  <c r="D9" i="87"/>
  <c r="D20" i="87"/>
  <c r="D6" i="87"/>
  <c r="D25" i="86"/>
  <c r="E14" i="86" s="1"/>
  <c r="E21" i="86"/>
  <c r="D26" i="85"/>
  <c r="E16" i="85" s="1"/>
  <c r="D25" i="84"/>
  <c r="D24" i="83"/>
  <c r="E7" i="83" s="1"/>
  <c r="D23" i="82"/>
  <c r="E16" i="82" s="1"/>
  <c r="D23" i="81"/>
  <c r="E6" i="81" s="1"/>
  <c r="E5" i="81"/>
  <c r="D23" i="80"/>
  <c r="E5" i="80" s="1"/>
  <c r="D23" i="79"/>
  <c r="E10" i="79" s="1"/>
  <c r="E6" i="79"/>
  <c r="E11" i="79"/>
  <c r="E13" i="79"/>
  <c r="E14" i="79"/>
  <c r="D23" i="78"/>
  <c r="E6" i="78" s="1"/>
  <c r="D23" i="77"/>
  <c r="E18" i="77" s="1"/>
  <c r="E6" i="77"/>
  <c r="D23" i="76"/>
  <c r="E7" i="76" s="1"/>
  <c r="D23" i="74"/>
  <c r="E7" i="74" s="1"/>
  <c r="B21" i="51"/>
  <c r="D21" i="51" s="1"/>
  <c r="B20" i="51"/>
  <c r="D20" i="51" s="1"/>
  <c r="B19" i="51"/>
  <c r="D19" i="51" s="1"/>
  <c r="B18" i="51"/>
  <c r="D18" i="51" s="1"/>
  <c r="B17" i="51"/>
  <c r="D17" i="51" s="1"/>
  <c r="B16" i="51"/>
  <c r="D16" i="51" s="1"/>
  <c r="B15" i="51"/>
  <c r="D15" i="51" s="1"/>
  <c r="B14" i="51"/>
  <c r="D14" i="51" s="1"/>
  <c r="B13" i="51"/>
  <c r="D13" i="51" s="1"/>
  <c r="B12" i="51"/>
  <c r="D12" i="51" s="1"/>
  <c r="B11" i="51"/>
  <c r="D11" i="51" s="1"/>
  <c r="B10" i="51"/>
  <c r="D10" i="51" s="1"/>
  <c r="B9" i="51"/>
  <c r="D9" i="51" s="1"/>
  <c r="B8" i="51"/>
  <c r="D8" i="51" s="1"/>
  <c r="B7" i="51"/>
  <c r="D7" i="51" s="1"/>
  <c r="B6" i="51"/>
  <c r="D6" i="51" s="1"/>
  <c r="B5" i="51"/>
  <c r="D5" i="51" s="1"/>
  <c r="E12" i="92" l="1"/>
  <c r="E19" i="92"/>
  <c r="E21" i="92"/>
  <c r="E10" i="92"/>
  <c r="E13" i="92"/>
  <c r="E7" i="92"/>
  <c r="E18" i="92"/>
  <c r="E17" i="92"/>
  <c r="E16" i="92"/>
  <c r="E14" i="92"/>
  <c r="E11" i="92"/>
  <c r="E9" i="92"/>
  <c r="E6" i="91"/>
  <c r="E9" i="91"/>
  <c r="E8" i="91"/>
  <c r="E7" i="91"/>
  <c r="E21" i="91"/>
  <c r="E5" i="91"/>
  <c r="E20" i="91"/>
  <c r="E19" i="91"/>
  <c r="E18" i="91"/>
  <c r="E17" i="91"/>
  <c r="E16" i="91"/>
  <c r="E15" i="91"/>
  <c r="E14" i="91"/>
  <c r="E13" i="91"/>
  <c r="E12" i="91"/>
  <c r="E11" i="91"/>
  <c r="E10" i="91"/>
  <c r="E22" i="91"/>
  <c r="D25" i="90"/>
  <c r="E22" i="89"/>
  <c r="E8" i="89"/>
  <c r="E9" i="89"/>
  <c r="E15" i="89"/>
  <c r="E19" i="89"/>
  <c r="E17" i="89"/>
  <c r="E21" i="89"/>
  <c r="E20" i="89"/>
  <c r="E5" i="89"/>
  <c r="E18" i="89"/>
  <c r="E13" i="89"/>
  <c r="E7" i="89"/>
  <c r="E6" i="89"/>
  <c r="E16" i="89"/>
  <c r="E14" i="89"/>
  <c r="E23" i="89"/>
  <c r="E11" i="89"/>
  <c r="E10" i="89"/>
  <c r="E15" i="88"/>
  <c r="E6" i="88"/>
  <c r="E22" i="88"/>
  <c r="E20" i="88"/>
  <c r="E17" i="88"/>
  <c r="E16" i="88"/>
  <c r="E14" i="88"/>
  <c r="E12" i="88"/>
  <c r="E10" i="88"/>
  <c r="E5" i="88"/>
  <c r="E19" i="88"/>
  <c r="E18" i="88"/>
  <c r="E13" i="88"/>
  <c r="E11" i="88"/>
  <c r="E9" i="88"/>
  <c r="E23" i="88"/>
  <c r="E8" i="88"/>
  <c r="E7" i="88"/>
  <c r="D25" i="87"/>
  <c r="E7" i="86"/>
  <c r="E19" i="86"/>
  <c r="E22" i="86"/>
  <c r="E10" i="86"/>
  <c r="E15" i="86"/>
  <c r="E16" i="86"/>
  <c r="E13" i="86"/>
  <c r="E11" i="86"/>
  <c r="E20" i="86"/>
  <c r="E9" i="86"/>
  <c r="E8" i="86"/>
  <c r="E6" i="86"/>
  <c r="E12" i="86"/>
  <c r="E18" i="86"/>
  <c r="E5" i="86"/>
  <c r="E17" i="86"/>
  <c r="E23" i="86"/>
  <c r="E21" i="85"/>
  <c r="E9" i="85"/>
  <c r="E8" i="85"/>
  <c r="E23" i="85"/>
  <c r="E22" i="85"/>
  <c r="E6" i="85"/>
  <c r="E5" i="85"/>
  <c r="E24" i="85"/>
  <c r="E18" i="85"/>
  <c r="E20" i="85"/>
  <c r="E17" i="85"/>
  <c r="E15" i="85"/>
  <c r="E13" i="85"/>
  <c r="E12" i="85"/>
  <c r="E10" i="85"/>
  <c r="E7" i="85"/>
  <c r="E19" i="85"/>
  <c r="E14" i="85"/>
  <c r="E11" i="85"/>
  <c r="E7" i="84"/>
  <c r="E13" i="84"/>
  <c r="E23" i="84"/>
  <c r="E18" i="84"/>
  <c r="E12" i="84"/>
  <c r="E9" i="84"/>
  <c r="E6" i="84"/>
  <c r="E22" i="84"/>
  <c r="E21" i="84"/>
  <c r="E20" i="84"/>
  <c r="E19" i="84"/>
  <c r="E17" i="84"/>
  <c r="E16" i="84"/>
  <c r="E15" i="84"/>
  <c r="E14" i="84"/>
  <c r="E11" i="84"/>
  <c r="E10" i="84"/>
  <c r="E8" i="84"/>
  <c r="E5" i="84"/>
  <c r="E22" i="83"/>
  <c r="E12" i="83"/>
  <c r="E8" i="83"/>
  <c r="E16" i="83"/>
  <c r="E11" i="83"/>
  <c r="E19" i="83"/>
  <c r="E14" i="83"/>
  <c r="E17" i="83"/>
  <c r="E15" i="83"/>
  <c r="E21" i="83"/>
  <c r="E13" i="83"/>
  <c r="E18" i="83"/>
  <c r="E10" i="83"/>
  <c r="E9" i="83"/>
  <c r="E20" i="83"/>
  <c r="E5" i="83"/>
  <c r="E6" i="83"/>
  <c r="E5" i="82"/>
  <c r="E21" i="82"/>
  <c r="E10" i="82"/>
  <c r="E9" i="82"/>
  <c r="E17" i="82"/>
  <c r="E15" i="82"/>
  <c r="E13" i="82"/>
  <c r="E11" i="82"/>
  <c r="E20" i="82"/>
  <c r="E6" i="82"/>
  <c r="E14" i="82"/>
  <c r="E12" i="82"/>
  <c r="E8" i="82"/>
  <c r="E19" i="82"/>
  <c r="E7" i="82"/>
  <c r="E18" i="82"/>
  <c r="E21" i="81"/>
  <c r="E20" i="81"/>
  <c r="E19" i="81"/>
  <c r="E18" i="81"/>
  <c r="E17" i="81"/>
  <c r="E16" i="81"/>
  <c r="E15" i="81"/>
  <c r="E14" i="81"/>
  <c r="E13" i="81"/>
  <c r="E12" i="81"/>
  <c r="E11" i="81"/>
  <c r="E10" i="81"/>
  <c r="E9" i="81"/>
  <c r="E8" i="81"/>
  <c r="E7" i="81"/>
  <c r="E19" i="80"/>
  <c r="E15" i="80"/>
  <c r="E9" i="80"/>
  <c r="E18" i="80"/>
  <c r="E17" i="80"/>
  <c r="E16" i="80"/>
  <c r="E14" i="80"/>
  <c r="E13" i="80"/>
  <c r="E12" i="80"/>
  <c r="E11" i="80"/>
  <c r="E10" i="80"/>
  <c r="E21" i="80"/>
  <c r="E8" i="80"/>
  <c r="E20" i="80"/>
  <c r="E7" i="80"/>
  <c r="E6" i="80"/>
  <c r="E20" i="79"/>
  <c r="E19" i="79"/>
  <c r="E16" i="79"/>
  <c r="E7" i="79"/>
  <c r="E18" i="79"/>
  <c r="E15" i="79"/>
  <c r="E5" i="79"/>
  <c r="E17" i="79"/>
  <c r="E12" i="79"/>
  <c r="E8" i="79"/>
  <c r="E21" i="79"/>
  <c r="E9" i="79"/>
  <c r="E21" i="78"/>
  <c r="E5" i="78"/>
  <c r="E18" i="78"/>
  <c r="E15" i="78"/>
  <c r="E19" i="78"/>
  <c r="E20" i="78"/>
  <c r="E17" i="78"/>
  <c r="E16" i="78"/>
  <c r="E14" i="78"/>
  <c r="E13" i="78"/>
  <c r="E12" i="78"/>
  <c r="E11" i="78"/>
  <c r="E10" i="78"/>
  <c r="E9" i="78"/>
  <c r="E7" i="78"/>
  <c r="E8" i="78"/>
  <c r="E13" i="77"/>
  <c r="E21" i="77"/>
  <c r="E20" i="77"/>
  <c r="E19" i="77"/>
  <c r="E17" i="77"/>
  <c r="E16" i="77"/>
  <c r="E15" i="77"/>
  <c r="E14" i="77"/>
  <c r="E12" i="77"/>
  <c r="E11" i="77"/>
  <c r="E10" i="77"/>
  <c r="E9" i="77"/>
  <c r="E8" i="77"/>
  <c r="E7" i="77"/>
  <c r="E5" i="77"/>
  <c r="E18" i="76"/>
  <c r="E19" i="76"/>
  <c r="E16" i="76"/>
  <c r="E14" i="76"/>
  <c r="E11" i="76"/>
  <c r="E17" i="76"/>
  <c r="E21" i="76"/>
  <c r="E5" i="76"/>
  <c r="E20" i="76"/>
  <c r="E15" i="76"/>
  <c r="E13" i="76"/>
  <c r="E12" i="76"/>
  <c r="E10" i="76"/>
  <c r="E9" i="76"/>
  <c r="E8" i="76"/>
  <c r="E6" i="76"/>
  <c r="E20" i="74"/>
  <c r="E19" i="74"/>
  <c r="E6" i="74"/>
  <c r="E21" i="74"/>
  <c r="E5" i="74"/>
  <c r="E15" i="74"/>
  <c r="E18" i="74"/>
  <c r="E17" i="74"/>
  <c r="E16" i="74"/>
  <c r="E14" i="74"/>
  <c r="E13" i="74"/>
  <c r="E12" i="74"/>
  <c r="E11" i="74"/>
  <c r="E10" i="74"/>
  <c r="E9" i="74"/>
  <c r="E8" i="74"/>
  <c r="D23" i="51"/>
  <c r="E5" i="90" l="1"/>
  <c r="E21" i="90"/>
  <c r="E23" i="90"/>
  <c r="E7" i="90"/>
  <c r="E15" i="90"/>
  <c r="E16" i="90"/>
  <c r="E10" i="90"/>
  <c r="E17" i="90"/>
  <c r="E13" i="90"/>
  <c r="E14" i="90"/>
  <c r="E8" i="90"/>
  <c r="E18" i="90"/>
  <c r="E19" i="90"/>
  <c r="E11" i="90"/>
  <c r="E6" i="90"/>
  <c r="E12" i="90"/>
  <c r="E20" i="90"/>
  <c r="E9" i="90"/>
  <c r="E22" i="90"/>
  <c r="E17" i="87"/>
  <c r="E12" i="87"/>
  <c r="E16" i="87"/>
  <c r="E19" i="87"/>
  <c r="E13" i="87"/>
  <c r="E15" i="87"/>
  <c r="E18" i="87"/>
  <c r="E22" i="87"/>
  <c r="E7" i="87"/>
  <c r="E10" i="87"/>
  <c r="E23" i="87"/>
  <c r="E11" i="87"/>
  <c r="E21" i="87"/>
  <c r="E6" i="87"/>
  <c r="E8" i="87"/>
  <c r="E20" i="87"/>
  <c r="E9" i="87"/>
  <c r="E14" i="87"/>
  <c r="E5" i="87"/>
  <c r="E5" i="51"/>
  <c r="E19" i="51"/>
  <c r="E6" i="51"/>
  <c r="E9" i="51"/>
  <c r="E10" i="51"/>
  <c r="E11" i="51"/>
  <c r="E12" i="51"/>
  <c r="E13" i="51"/>
  <c r="E14" i="51"/>
  <c r="E15" i="51"/>
  <c r="E16" i="51"/>
  <c r="E17" i="51"/>
  <c r="E18" i="51"/>
  <c r="E20" i="51"/>
  <c r="E21" i="51"/>
  <c r="E7" i="51"/>
  <c r="E8" i="51"/>
</calcChain>
</file>

<file path=xl/sharedStrings.xml><?xml version="1.0" encoding="utf-8"?>
<sst xmlns="http://schemas.openxmlformats.org/spreadsheetml/2006/main" count="523" uniqueCount="85">
  <si>
    <t>Model Portfolio</t>
  </si>
  <si>
    <t>Stock</t>
  </si>
  <si>
    <t>Number of shares</t>
  </si>
  <si>
    <t>CMP</t>
  </si>
  <si>
    <t>Amount</t>
  </si>
  <si>
    <t>Percentage</t>
  </si>
  <si>
    <t>Change</t>
  </si>
  <si>
    <t>Ashapura</t>
  </si>
  <si>
    <t>AstraMicro</t>
  </si>
  <si>
    <t>Aurionpro</t>
  </si>
  <si>
    <t>Avalon</t>
  </si>
  <si>
    <t>BirlaNu</t>
  </si>
  <si>
    <t>E2E</t>
  </si>
  <si>
    <t>HCG</t>
  </si>
  <si>
    <t>Heritage</t>
  </si>
  <si>
    <t>HindOilExp</t>
  </si>
  <si>
    <t>PowerMech</t>
  </si>
  <si>
    <t>SuryaRosni</t>
  </si>
  <si>
    <t>ThomasCook</t>
  </si>
  <si>
    <t>VadilalInd</t>
  </si>
  <si>
    <t>VRLLogistics</t>
  </si>
  <si>
    <t>WelEnt</t>
  </si>
  <si>
    <t>ZenTech</t>
  </si>
  <si>
    <t>LiquidCase</t>
  </si>
  <si>
    <t>Add 935@657.76 = 615006</t>
  </si>
  <si>
    <t>Sell 5505</t>
  </si>
  <si>
    <t>Rates of 28-01-2026</t>
  </si>
  <si>
    <t>Add 942@740.53 = 697579</t>
  </si>
  <si>
    <t>Sell 1759@244.95 = 430867</t>
  </si>
  <si>
    <t>Add 3820 Less 6212</t>
  </si>
  <si>
    <t>Rates of 16-02-2026</t>
  </si>
  <si>
    <t>Sell 2877@224.16 = 644908</t>
  </si>
  <si>
    <t>Buy 5704</t>
  </si>
  <si>
    <t>Rates of 04-03-2026</t>
  </si>
  <si>
    <t>Buy 320@976.63 = 312522</t>
  </si>
  <si>
    <t>Less 2774</t>
  </si>
  <si>
    <t>Rates of 09-03-2026</t>
  </si>
  <si>
    <t>Sell 1840@169.66</t>
  </si>
  <si>
    <t>Add 2757</t>
  </si>
  <si>
    <t>Buy 59@875.64 = 51663</t>
  </si>
  <si>
    <t>Less 458</t>
  </si>
  <si>
    <t>Rates of 02-04-2026</t>
  </si>
  <si>
    <t>Buy 289@512 = 147968</t>
  </si>
  <si>
    <t>Rights Issue 1:17 Ratio at 512</t>
  </si>
  <si>
    <t>Less 1307</t>
  </si>
  <si>
    <t>Sell 983@449.03 = 441396</t>
  </si>
  <si>
    <t>Add 3879</t>
  </si>
  <si>
    <t>AtherEnerg</t>
  </si>
  <si>
    <t>Buy 1655@864.33 = 1430466</t>
  </si>
  <si>
    <t>Sell 896@223.98 = 200686</t>
  </si>
  <si>
    <t>Sell 767@447.37 = 343132</t>
  </si>
  <si>
    <t>Less 7827</t>
  </si>
  <si>
    <t>Rates of 15-04-2026</t>
  </si>
  <si>
    <t>HEG</t>
  </si>
  <si>
    <t>Add 2434@623.82 = 1518378</t>
  </si>
  <si>
    <t>Sell 2991@235.58 = 704619</t>
  </si>
  <si>
    <t>Sell 1715@459.19 = 787510</t>
  </si>
  <si>
    <t>Less 231</t>
  </si>
  <si>
    <t>Rates of 04-05-2026</t>
  </si>
  <si>
    <t>Sell 130@355.29 = 46188</t>
  </si>
  <si>
    <t>InoxWind</t>
  </si>
  <si>
    <t>Buy 12359@104.89 = 1296335</t>
  </si>
  <si>
    <t>Sell 2717@258.8  = 703159</t>
  </si>
  <si>
    <t>Sell 339@521.43 = 176765</t>
  </si>
  <si>
    <t>Sell 3251</t>
  </si>
  <si>
    <t>Sell 373@373.43 = 129289</t>
  </si>
  <si>
    <t>Buy 1297@99.69 = 129298</t>
  </si>
  <si>
    <t>Rates of 05-06-2026</t>
  </si>
  <si>
    <t>Split 10:1 so quantity 10 times</t>
  </si>
  <si>
    <t>Buy 532@525.87 = 279763</t>
  </si>
  <si>
    <t>Sell 1507@185.65 = 279774</t>
  </si>
  <si>
    <t>Buy 330@968.16 = 319493</t>
  </si>
  <si>
    <t>Sell 3094@440.83 = 1363928</t>
  </si>
  <si>
    <t>Sell 143@2949.12 = 421724</t>
  </si>
  <si>
    <t>Sell 205@580.5 = 119002</t>
  </si>
  <si>
    <t>Buy 13804</t>
  </si>
  <si>
    <t>Rates of 10-07-2026</t>
  </si>
  <si>
    <t>Sell 937@602.72 = 564748.64</t>
  </si>
  <si>
    <t>Add 4918</t>
  </si>
  <si>
    <t>Rates of 23-07-2026</t>
  </si>
  <si>
    <t>Add 562@643.95 = 358036</t>
  </si>
  <si>
    <t>Sell 3138</t>
  </si>
  <si>
    <t>Rates of 27-07-2026</t>
  </si>
  <si>
    <t>Sell 604@745.93 = 450542</t>
  </si>
  <si>
    <t>Add 3905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</si>
</sst>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10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50A7C-6FC5-4FE6-9CDC-617875420FCB}">
  <sheetPr>
    <pageSetUpPr fitToPage="1"/>
  </sheetPr>
  <dimension ref="A1:J23"/>
  <sheetViews>
    <sheetView workbookViewId="0">
      <selection activeCell="C23" sqref="C23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9" max="9" width="11" bestFit="1" customWidth="1"/>
    <col min="10" max="10" width="11.5703125" style="2" bestFit="1" customWidth="1"/>
  </cols>
  <sheetData>
    <row r="1" spans="1:9">
      <c r="A1" t="s">
        <v>0</v>
      </c>
      <c r="B1" s="1">
        <v>46023</v>
      </c>
      <c r="E1" s="3"/>
    </row>
    <row r="2" spans="1:9">
      <c r="B2" s="4"/>
      <c r="E2" s="3"/>
    </row>
    <row r="3" spans="1:9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>
      <c r="B4" s="4"/>
      <c r="E4" s="3"/>
    </row>
    <row r="5" spans="1:9" s="2" customFormat="1">
      <c r="A5" t="s">
        <v>7</v>
      </c>
      <c r="B5" s="4">
        <f>2265+463</f>
        <v>2728</v>
      </c>
      <c r="C5" s="2">
        <v>878.65</v>
      </c>
      <c r="D5">
        <f t="shared" ref="D5:D21" si="0">C5*B5</f>
        <v>2396957.1999999997</v>
      </c>
      <c r="E5" s="3">
        <f t="shared" ref="E5:E21" si="1">D5/$D$23</f>
        <v>4.4730292418374881E-2</v>
      </c>
      <c r="F5"/>
      <c r="G5"/>
      <c r="H5"/>
      <c r="I5"/>
    </row>
    <row r="6" spans="1:9" s="2" customFormat="1">
      <c r="A6" t="s">
        <v>8</v>
      </c>
      <c r="B6" s="4">
        <f>4326+2424</f>
        <v>6750</v>
      </c>
      <c r="C6" s="2">
        <v>981.25</v>
      </c>
      <c r="D6">
        <f t="shared" si="0"/>
        <v>6623437.5</v>
      </c>
      <c r="E6" s="3">
        <f t="shared" si="1"/>
        <v>0.12360182993247852</v>
      </c>
      <c r="F6"/>
      <c r="G6"/>
      <c r="H6"/>
      <c r="I6"/>
    </row>
    <row r="7" spans="1:9" s="2" customFormat="1">
      <c r="A7" t="s">
        <v>9</v>
      </c>
      <c r="B7" s="4">
        <f>448*2+37+403+478+149+306+290</f>
        <v>2559</v>
      </c>
      <c r="C7" s="2">
        <v>1035.7</v>
      </c>
      <c r="D7">
        <f t="shared" si="0"/>
        <v>2650356.3000000003</v>
      </c>
      <c r="E7" s="3">
        <f t="shared" si="1"/>
        <v>4.9459044288267695E-2</v>
      </c>
      <c r="F7"/>
      <c r="G7"/>
      <c r="H7"/>
      <c r="I7"/>
    </row>
    <row r="8" spans="1:9" s="2" customFormat="1">
      <c r="A8" t="s">
        <v>10</v>
      </c>
      <c r="B8" s="4">
        <f>1410+2189</f>
        <v>3599</v>
      </c>
      <c r="C8" s="2">
        <v>878.9</v>
      </c>
      <c r="D8">
        <f t="shared" si="0"/>
        <v>3163161.1</v>
      </c>
      <c r="E8" s="3">
        <f t="shared" si="1"/>
        <v>5.9028638879921741E-2</v>
      </c>
      <c r="F8"/>
      <c r="G8"/>
      <c r="H8"/>
      <c r="I8"/>
    </row>
    <row r="9" spans="1:9" s="2" customFormat="1">
      <c r="A9" t="s">
        <v>11</v>
      </c>
      <c r="B9" s="4">
        <f>130+126+33+57+173+130</f>
        <v>649</v>
      </c>
      <c r="C9" s="2">
        <v>1626.7</v>
      </c>
      <c r="D9">
        <f t="shared" si="0"/>
        <v>1055728.3</v>
      </c>
      <c r="E9" s="3">
        <f t="shared" si="1"/>
        <v>1.9701242714452224E-2</v>
      </c>
      <c r="F9"/>
      <c r="G9"/>
      <c r="H9"/>
      <c r="I9"/>
    </row>
    <row r="10" spans="1:9" s="2" customFormat="1">
      <c r="A10" t="s">
        <v>12</v>
      </c>
      <c r="B10" s="4">
        <f>724+289+144+275-367</f>
        <v>1065</v>
      </c>
      <c r="C10" s="2">
        <v>1991.5</v>
      </c>
      <c r="D10">
        <f t="shared" si="0"/>
        <v>2120947.5</v>
      </c>
      <c r="E10" s="3">
        <f t="shared" si="1"/>
        <v>3.9579597782981341E-2</v>
      </c>
      <c r="F10"/>
      <c r="G10"/>
      <c r="H10"/>
      <c r="I10"/>
    </row>
    <row r="11" spans="1:9" s="2" customFormat="1">
      <c r="A11" t="s">
        <v>13</v>
      </c>
      <c r="B11" s="4">
        <f>3770+209</f>
        <v>3979</v>
      </c>
      <c r="C11" s="2">
        <v>662</v>
      </c>
      <c r="D11">
        <f t="shared" si="0"/>
        <v>2634098</v>
      </c>
      <c r="E11" s="3">
        <f t="shared" si="1"/>
        <v>4.915564357955847E-2</v>
      </c>
      <c r="F11"/>
      <c r="G11"/>
      <c r="H11"/>
      <c r="I11"/>
    </row>
    <row r="12" spans="1:9" s="2" customFormat="1">
      <c r="A12" t="s">
        <v>14</v>
      </c>
      <c r="B12" s="4">
        <f>((840+420)*2+290+562)+3372</f>
        <v>6744</v>
      </c>
      <c r="C12" s="2">
        <v>460.3</v>
      </c>
      <c r="D12">
        <f t="shared" si="0"/>
        <v>3104263.2</v>
      </c>
      <c r="E12" s="3">
        <f t="shared" si="1"/>
        <v>5.7929528603848313E-2</v>
      </c>
      <c r="F12"/>
      <c r="G12"/>
      <c r="H12"/>
      <c r="I12"/>
    </row>
    <row r="13" spans="1:9" s="2" customFormat="1">
      <c r="A13" t="s">
        <v>15</v>
      </c>
      <c r="B13" s="4">
        <f>1280+1280+1280+910+1300+1300+2940+1300-2365+1475-2568</f>
        <v>8132</v>
      </c>
      <c r="C13" s="2">
        <v>156.04</v>
      </c>
      <c r="D13">
        <f t="shared" si="0"/>
        <v>1268917.28</v>
      </c>
      <c r="E13" s="3">
        <f t="shared" si="1"/>
        <v>2.3679622226516553E-2</v>
      </c>
      <c r="F13"/>
      <c r="G13"/>
      <c r="H13"/>
      <c r="I13"/>
    </row>
    <row r="14" spans="1:9" s="2" customFormat="1">
      <c r="A14" t="s">
        <v>16</v>
      </c>
      <c r="B14" s="4">
        <f>(410+205+135+181)*2</f>
        <v>1862</v>
      </c>
      <c r="C14" s="2">
        <v>2291.6</v>
      </c>
      <c r="D14">
        <f t="shared" si="0"/>
        <v>4266959.2</v>
      </c>
      <c r="E14" s="3">
        <f t="shared" si="1"/>
        <v>7.9626925651102562E-2</v>
      </c>
      <c r="F14"/>
      <c r="G14"/>
      <c r="H14"/>
      <c r="I14"/>
    </row>
    <row r="15" spans="1:9" s="2" customFormat="1">
      <c r="A15" t="s">
        <v>17</v>
      </c>
      <c r="B15" s="4">
        <f>(1875+937+309+619)*2*2-3720</f>
        <v>11240</v>
      </c>
      <c r="C15" s="2">
        <v>275.25</v>
      </c>
      <c r="D15">
        <f t="shared" si="0"/>
        <v>3093810</v>
      </c>
      <c r="E15" s="3">
        <f t="shared" si="1"/>
        <v>5.7734458498838612E-2</v>
      </c>
      <c r="F15"/>
      <c r="G15"/>
      <c r="H15"/>
      <c r="I15"/>
    </row>
    <row r="16" spans="1:9" s="2" customFormat="1">
      <c r="A16" t="s">
        <v>18</v>
      </c>
      <c r="B16" s="4">
        <f>13763+6317+2811+3464+1538</f>
        <v>27893</v>
      </c>
      <c r="C16" s="2">
        <v>148.72999999999999</v>
      </c>
      <c r="D16">
        <f t="shared" si="0"/>
        <v>4148525.8899999997</v>
      </c>
      <c r="E16" s="3">
        <f t="shared" si="1"/>
        <v>7.741680834555531E-2</v>
      </c>
      <c r="F16"/>
      <c r="G16"/>
      <c r="H16"/>
      <c r="I16"/>
    </row>
    <row r="17" spans="1:9" s="2" customFormat="1">
      <c r="A17" t="s">
        <v>19</v>
      </c>
      <c r="B17" s="4">
        <f>458+115+189</f>
        <v>762</v>
      </c>
      <c r="C17" s="2">
        <v>4934</v>
      </c>
      <c r="D17">
        <f t="shared" si="0"/>
        <v>3759708</v>
      </c>
      <c r="E17" s="3">
        <f t="shared" si="1"/>
        <v>7.0160968350917313E-2</v>
      </c>
      <c r="F17"/>
      <c r="G17"/>
      <c r="H17"/>
      <c r="I17"/>
    </row>
    <row r="18" spans="1:9" s="2" customFormat="1">
      <c r="A18" t="s">
        <v>20</v>
      </c>
      <c r="B18" s="4">
        <f>(3075+1537+1153-53-1428-925-484-459-467-45+2345+1175)*2</f>
        <v>10848</v>
      </c>
      <c r="C18" s="2">
        <v>268.2</v>
      </c>
      <c r="D18">
        <f t="shared" si="0"/>
        <v>2909433.6</v>
      </c>
      <c r="E18" s="3">
        <f t="shared" si="1"/>
        <v>5.4293758645271244E-2</v>
      </c>
      <c r="F18"/>
      <c r="G18"/>
      <c r="H18"/>
      <c r="I18"/>
    </row>
    <row r="19" spans="1:9" s="2" customFormat="1">
      <c r="A19" t="s">
        <v>21</v>
      </c>
      <c r="B19" s="4">
        <f>7985+1084+1117+2249-5230-405</f>
        <v>6800</v>
      </c>
      <c r="C19" s="2">
        <v>520.1</v>
      </c>
      <c r="D19">
        <f t="shared" si="0"/>
        <v>3536680</v>
      </c>
      <c r="E19" s="3">
        <f t="shared" si="1"/>
        <v>6.5998980119552436E-2</v>
      </c>
      <c r="F19"/>
      <c r="G19"/>
      <c r="H19"/>
      <c r="I19" s="3"/>
    </row>
    <row r="20" spans="1:9" s="2" customFormat="1">
      <c r="A20" t="s">
        <v>22</v>
      </c>
      <c r="B20" s="4">
        <f>2592+518+820</f>
        <v>3930</v>
      </c>
      <c r="C20" s="2">
        <v>1368.4</v>
      </c>
      <c r="D20">
        <f t="shared" si="0"/>
        <v>5377812</v>
      </c>
      <c r="E20" s="3">
        <f t="shared" si="1"/>
        <v>0.10035686216301462</v>
      </c>
      <c r="F20"/>
      <c r="G20"/>
      <c r="H20"/>
      <c r="I20"/>
    </row>
    <row r="21" spans="1:9" s="2" customFormat="1">
      <c r="A21" t="s">
        <v>23</v>
      </c>
      <c r="B21" s="4">
        <f>40235+4295+1952-475+9018-12666-5975-9817+11418+1366-3600+5427-7979-25132+6426+17836-15111-2801-1247</f>
        <v>13170</v>
      </c>
      <c r="C21" s="2">
        <v>112.08</v>
      </c>
      <c r="D21">
        <f t="shared" si="0"/>
        <v>1476093.6</v>
      </c>
      <c r="E21" s="3">
        <f t="shared" si="1"/>
        <v>2.7545797799348144E-2</v>
      </c>
      <c r="F21"/>
      <c r="G21"/>
      <c r="H21"/>
      <c r="I21"/>
    </row>
    <row r="22" spans="1:9" s="2" customFormat="1">
      <c r="A22"/>
      <c r="B22" s="4"/>
      <c r="D22"/>
      <c r="E22" s="3"/>
      <c r="F22"/>
      <c r="G22"/>
      <c r="H22"/>
      <c r="I22"/>
    </row>
    <row r="23" spans="1:9" s="2" customFormat="1">
      <c r="A23"/>
      <c r="B23" s="4"/>
      <c r="D23">
        <f>SUM(D5:D21)</f>
        <v>53586888.670000002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DA4B-0B52-4D3D-87BA-DE210A100E71}">
  <sheetPr>
    <pageSetUpPr fitToPage="1"/>
  </sheetPr>
  <dimension ref="A1:J23"/>
  <sheetViews>
    <sheetView workbookViewId="0">
      <selection activeCell="G12" sqref="G12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9" max="9" width="11" bestFit="1" customWidth="1"/>
    <col min="10" max="10" width="11.5703125" style="2" bestFit="1" customWidth="1"/>
  </cols>
  <sheetData>
    <row r="1" spans="1:10">
      <c r="A1" t="s">
        <v>0</v>
      </c>
      <c r="B1" s="1">
        <v>46023</v>
      </c>
      <c r="E1" s="3"/>
    </row>
    <row r="2" spans="1:10">
      <c r="B2" s="4"/>
      <c r="E2" s="3"/>
    </row>
    <row r="3" spans="1:10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10">
      <c r="B4" s="4"/>
      <c r="E4" s="3"/>
    </row>
    <row r="5" spans="1:10" s="2" customFormat="1">
      <c r="A5" t="s">
        <v>7</v>
      </c>
      <c r="B5" s="4">
        <f>2265+463</f>
        <v>2728</v>
      </c>
      <c r="C5" s="2">
        <v>878.65</v>
      </c>
      <c r="D5">
        <f t="shared" ref="D5:D21" si="0">C5*B5</f>
        <v>2396957.1999999997</v>
      </c>
      <c r="E5" s="3">
        <f t="shared" ref="E5:E21" si="1">D5/$D$23</f>
        <v>4.472864840529471E-2</v>
      </c>
      <c r="F5"/>
      <c r="G5"/>
      <c r="H5"/>
      <c r="I5"/>
    </row>
    <row r="6" spans="1:10" s="2" customFormat="1">
      <c r="A6" t="s">
        <v>8</v>
      </c>
      <c r="B6" s="4">
        <f>4326+2424</f>
        <v>6750</v>
      </c>
      <c r="C6" s="2">
        <v>981.25</v>
      </c>
      <c r="D6">
        <f t="shared" si="0"/>
        <v>6623437.5</v>
      </c>
      <c r="E6" s="3">
        <f t="shared" si="1"/>
        <v>0.12359728708211569</v>
      </c>
      <c r="F6"/>
      <c r="G6"/>
      <c r="H6"/>
      <c r="I6"/>
    </row>
    <row r="7" spans="1:10" s="2" customFormat="1">
      <c r="A7" t="s">
        <v>9</v>
      </c>
      <c r="B7" s="4">
        <f>448*2+37+403+478+149+306+290</f>
        <v>2559</v>
      </c>
      <c r="C7" s="2">
        <v>1035.7</v>
      </c>
      <c r="D7">
        <f t="shared" si="0"/>
        <v>2650356.3000000003</v>
      </c>
      <c r="E7" s="3">
        <f t="shared" si="1"/>
        <v>4.9457226475073397E-2</v>
      </c>
      <c r="F7"/>
      <c r="G7"/>
      <c r="H7"/>
      <c r="I7"/>
    </row>
    <row r="8" spans="1:10" s="2" customFormat="1">
      <c r="A8" t="s">
        <v>10</v>
      </c>
      <c r="B8" s="4">
        <f>1410+2189</f>
        <v>3599</v>
      </c>
      <c r="C8" s="2">
        <v>878.9</v>
      </c>
      <c r="D8">
        <f t="shared" si="0"/>
        <v>3163161.1</v>
      </c>
      <c r="E8" s="3">
        <f t="shared" si="1"/>
        <v>5.9026469346722281E-2</v>
      </c>
      <c r="F8"/>
      <c r="G8"/>
      <c r="H8"/>
      <c r="I8"/>
    </row>
    <row r="9" spans="1:10" s="2" customFormat="1">
      <c r="A9" t="s">
        <v>11</v>
      </c>
      <c r="B9" s="4">
        <f>130+126+33+57+173+130</f>
        <v>649</v>
      </c>
      <c r="C9" s="2">
        <v>1626.7</v>
      </c>
      <c r="D9">
        <f t="shared" si="0"/>
        <v>1055728.3</v>
      </c>
      <c r="E9" s="3">
        <f t="shared" si="1"/>
        <v>1.9700518616777764E-2</v>
      </c>
      <c r="F9"/>
      <c r="G9"/>
      <c r="H9"/>
      <c r="I9"/>
    </row>
    <row r="10" spans="1:10" s="2" customFormat="1">
      <c r="A10" t="s">
        <v>12</v>
      </c>
      <c r="B10" s="4">
        <f>724+289+144+275-367</f>
        <v>1065</v>
      </c>
      <c r="C10" s="2">
        <v>1991.5</v>
      </c>
      <c r="D10">
        <f t="shared" si="0"/>
        <v>2120947.5</v>
      </c>
      <c r="E10" s="3">
        <f t="shared" si="1"/>
        <v>3.9578143078061137E-2</v>
      </c>
      <c r="F10"/>
      <c r="G10"/>
      <c r="H10"/>
      <c r="I10"/>
    </row>
    <row r="11" spans="1:10" s="2" customFormat="1">
      <c r="A11" t="s">
        <v>13</v>
      </c>
      <c r="B11" s="4">
        <f>3770+209+935</f>
        <v>4914</v>
      </c>
      <c r="C11" s="2">
        <v>662</v>
      </c>
      <c r="D11">
        <f t="shared" si="0"/>
        <v>3253068</v>
      </c>
      <c r="E11" s="3">
        <f t="shared" si="1"/>
        <v>6.0704185627726379E-2</v>
      </c>
      <c r="F11"/>
      <c r="G11" t="s">
        <v>24</v>
      </c>
      <c r="H11"/>
      <c r="I11"/>
    </row>
    <row r="12" spans="1:10" s="2" customFormat="1">
      <c r="A12" t="s">
        <v>14</v>
      </c>
      <c r="B12" s="4">
        <f>((840+420)*2+290+562)+3372</f>
        <v>6744</v>
      </c>
      <c r="C12" s="2">
        <v>460.3</v>
      </c>
      <c r="D12">
        <f t="shared" si="0"/>
        <v>3104263.2</v>
      </c>
      <c r="E12" s="3">
        <f t="shared" si="1"/>
        <v>5.7927399467247502E-2</v>
      </c>
      <c r="F12"/>
      <c r="G12"/>
      <c r="H12"/>
      <c r="I12"/>
    </row>
    <row r="13" spans="1:10" s="2" customFormat="1">
      <c r="A13" t="s">
        <v>15</v>
      </c>
      <c r="B13" s="4">
        <f>1280+1280+1280+910+1300+1300+2940+1300-2365+1475-2568</f>
        <v>8132</v>
      </c>
      <c r="C13" s="2">
        <v>156.04</v>
      </c>
      <c r="D13">
        <f t="shared" si="0"/>
        <v>1268917.28</v>
      </c>
      <c r="E13" s="3">
        <f t="shared" si="1"/>
        <v>2.367875190784504E-2</v>
      </c>
      <c r="F13"/>
      <c r="G13"/>
      <c r="H13"/>
      <c r="I13"/>
      <c r="J13" s="5"/>
    </row>
    <row r="14" spans="1:10" s="2" customFormat="1">
      <c r="A14" t="s">
        <v>16</v>
      </c>
      <c r="B14" s="4">
        <f>(410+205+135+181)*2</f>
        <v>1862</v>
      </c>
      <c r="C14" s="2">
        <v>2291.6</v>
      </c>
      <c r="D14">
        <f t="shared" si="0"/>
        <v>4266959.2</v>
      </c>
      <c r="E14" s="3">
        <f t="shared" si="1"/>
        <v>7.9623999050353347E-2</v>
      </c>
      <c r="F14"/>
      <c r="G14"/>
      <c r="H14"/>
      <c r="I14"/>
    </row>
    <row r="15" spans="1:10" s="2" customFormat="1">
      <c r="A15" t="s">
        <v>17</v>
      </c>
      <c r="B15" s="4">
        <f>(1875+937+309+619)*2*2-3720</f>
        <v>11240</v>
      </c>
      <c r="C15" s="2">
        <v>275.25</v>
      </c>
      <c r="D15">
        <f t="shared" si="0"/>
        <v>3093810</v>
      </c>
      <c r="E15" s="3">
        <f t="shared" si="1"/>
        <v>5.7732336531826613E-2</v>
      </c>
      <c r="F15"/>
      <c r="G15"/>
      <c r="H15"/>
      <c r="I15"/>
    </row>
    <row r="16" spans="1:10" s="2" customFormat="1">
      <c r="A16" t="s">
        <v>18</v>
      </c>
      <c r="B16" s="4">
        <f>13763+6317+2811+3464+1538</f>
        <v>27893</v>
      </c>
      <c r="C16" s="2">
        <v>148.72999999999999</v>
      </c>
      <c r="D16">
        <f t="shared" si="0"/>
        <v>4148525.8899999997</v>
      </c>
      <c r="E16" s="3">
        <f t="shared" si="1"/>
        <v>7.7413962975255587E-2</v>
      </c>
      <c r="F16"/>
      <c r="G16"/>
      <c r="H16"/>
      <c r="I16"/>
    </row>
    <row r="17" spans="1:9" s="2" customFormat="1">
      <c r="A17" t="s">
        <v>19</v>
      </c>
      <c r="B17" s="4">
        <f>458+115+189</f>
        <v>762</v>
      </c>
      <c r="C17" s="2">
        <v>4934</v>
      </c>
      <c r="D17">
        <f t="shared" si="0"/>
        <v>3759708</v>
      </c>
      <c r="E17" s="3">
        <f t="shared" si="1"/>
        <v>7.0158389661097734E-2</v>
      </c>
      <c r="F17"/>
      <c r="G17"/>
      <c r="H17"/>
      <c r="I17"/>
    </row>
    <row r="18" spans="1:9" s="2" customFormat="1">
      <c r="A18" t="s">
        <v>20</v>
      </c>
      <c r="B18" s="4">
        <f>(3075+1537+1153-53-1428-925-484-459-467-45+2345+1175)*2</f>
        <v>10848</v>
      </c>
      <c r="C18" s="2">
        <v>268.2</v>
      </c>
      <c r="D18">
        <f t="shared" si="0"/>
        <v>2909433.6</v>
      </c>
      <c r="E18" s="3">
        <f t="shared" si="1"/>
        <v>5.4291763137427257E-2</v>
      </c>
      <c r="F18"/>
      <c r="G18"/>
      <c r="H18"/>
      <c r="I18"/>
    </row>
    <row r="19" spans="1:9" s="2" customFormat="1">
      <c r="A19" t="s">
        <v>21</v>
      </c>
      <c r="B19" s="4">
        <f>7985+1084+1117+2249-5230-405</f>
        <v>6800</v>
      </c>
      <c r="C19" s="2">
        <v>520.1</v>
      </c>
      <c r="D19">
        <f t="shared" si="0"/>
        <v>3536680</v>
      </c>
      <c r="E19" s="3">
        <f t="shared" si="1"/>
        <v>6.5996554399068E-2</v>
      </c>
      <c r="F19"/>
      <c r="G19"/>
      <c r="H19"/>
      <c r="I19" s="3"/>
    </row>
    <row r="20" spans="1:9" s="2" customFormat="1">
      <c r="A20" t="s">
        <v>22</v>
      </c>
      <c r="B20" s="4">
        <f>2592+518+820</f>
        <v>3930</v>
      </c>
      <c r="C20" s="2">
        <v>1368.4</v>
      </c>
      <c r="D20">
        <f t="shared" si="0"/>
        <v>5377812</v>
      </c>
      <c r="E20" s="3">
        <f t="shared" si="1"/>
        <v>0.10035317365607312</v>
      </c>
      <c r="F20"/>
      <c r="G20"/>
      <c r="H20"/>
      <c r="I20"/>
    </row>
    <row r="21" spans="1:9" s="2" customFormat="1">
      <c r="A21" t="s">
        <v>23</v>
      </c>
      <c r="B21" s="4">
        <f>40235+4295+1952-475+9018-12666-5975-9817+11418+1366-3600+5427-7979-25132+6426+17836-15111-2801-1247-5505</f>
        <v>7665</v>
      </c>
      <c r="C21" s="2">
        <v>112.08</v>
      </c>
      <c r="D21">
        <f t="shared" si="0"/>
        <v>859093.2</v>
      </c>
      <c r="E21" s="3">
        <f t="shared" si="1"/>
        <v>1.6031190582034394E-2</v>
      </c>
      <c r="F21"/>
      <c r="G21" t="s">
        <v>25</v>
      </c>
      <c r="H21"/>
      <c r="I21"/>
    </row>
    <row r="22" spans="1:9" s="2" customFormat="1">
      <c r="A22"/>
      <c r="B22" s="4"/>
      <c r="D22"/>
      <c r="E22" s="3"/>
      <c r="F22"/>
      <c r="G22"/>
      <c r="H22"/>
      <c r="I22"/>
    </row>
    <row r="23" spans="1:9" s="2" customFormat="1">
      <c r="A23"/>
      <c r="B23" s="4"/>
      <c r="D23">
        <f>SUM(D5:D21)</f>
        <v>53588858.270000003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FFC9-5BF7-4F02-82A5-232D961811C5}">
  <sheetPr>
    <pageSetUpPr fitToPage="1"/>
  </sheetPr>
  <dimension ref="A1:J23"/>
  <sheetViews>
    <sheetView workbookViewId="0">
      <selection activeCell="G11" sqref="G11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9" max="9" width="11" bestFit="1" customWidth="1"/>
    <col min="10" max="10" width="11.5703125" style="2" bestFit="1" customWidth="1"/>
  </cols>
  <sheetData>
    <row r="1" spans="1:10">
      <c r="A1" t="s">
        <v>0</v>
      </c>
      <c r="B1" s="1">
        <v>46050</v>
      </c>
      <c r="C1" s="2" t="s">
        <v>26</v>
      </c>
      <c r="E1" s="3"/>
    </row>
    <row r="2" spans="1:10">
      <c r="B2" s="4"/>
      <c r="E2" s="3"/>
    </row>
    <row r="3" spans="1:10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>
      <c r="B4" s="4"/>
      <c r="E4" s="3"/>
    </row>
    <row r="5" spans="1:10" s="2" customFormat="1">
      <c r="A5" t="s">
        <v>7</v>
      </c>
      <c r="B5" s="4">
        <f>2265+463+942</f>
        <v>3670</v>
      </c>
      <c r="C5" s="2">
        <v>652.4</v>
      </c>
      <c r="D5">
        <f t="shared" ref="D5:D21" si="0">C5*B5</f>
        <v>2394308</v>
      </c>
      <c r="E5" s="3">
        <f t="shared" ref="E5:E21" si="1">D5/$D$23</f>
        <v>4.8756753541001563E-2</v>
      </c>
      <c r="F5"/>
      <c r="G5" t="s">
        <v>27</v>
      </c>
      <c r="H5"/>
      <c r="I5"/>
    </row>
    <row r="6" spans="1:10" s="2" customFormat="1">
      <c r="A6" t="s">
        <v>8</v>
      </c>
      <c r="B6" s="4">
        <f>4326+2424</f>
        <v>6750</v>
      </c>
      <c r="C6" s="2">
        <v>961.75</v>
      </c>
      <c r="D6">
        <f t="shared" si="0"/>
        <v>6491812.5</v>
      </c>
      <c r="E6" s="3">
        <f t="shared" si="1"/>
        <v>0.13219673579877494</v>
      </c>
      <c r="F6"/>
      <c r="G6"/>
      <c r="H6"/>
      <c r="I6"/>
    </row>
    <row r="7" spans="1:10" s="2" customFormat="1">
      <c r="A7" t="s">
        <v>9</v>
      </c>
      <c r="B7" s="4">
        <f>448*2+37+403+478+149+306+290</f>
        <v>2559</v>
      </c>
      <c r="C7" s="2">
        <v>944.9</v>
      </c>
      <c r="D7">
        <f t="shared" si="0"/>
        <v>2417999.1</v>
      </c>
      <c r="E7" s="3">
        <f t="shared" si="1"/>
        <v>4.9239189854047016E-2</v>
      </c>
      <c r="F7"/>
      <c r="G7"/>
      <c r="H7"/>
      <c r="I7"/>
    </row>
    <row r="8" spans="1:10" s="2" customFormat="1">
      <c r="A8" t="s">
        <v>10</v>
      </c>
      <c r="B8" s="4">
        <f>1410+2189</f>
        <v>3599</v>
      </c>
      <c r="C8" s="2">
        <v>793.85</v>
      </c>
      <c r="D8">
        <f t="shared" si="0"/>
        <v>2857066.15</v>
      </c>
      <c r="E8" s="3">
        <f t="shared" si="1"/>
        <v>5.8180179879066603E-2</v>
      </c>
      <c r="F8"/>
      <c r="G8"/>
      <c r="H8"/>
      <c r="I8"/>
    </row>
    <row r="9" spans="1:10" s="2" customFormat="1">
      <c r="A9" t="s">
        <v>11</v>
      </c>
      <c r="B9" s="4">
        <f>130+126+33+57+173+130</f>
        <v>649</v>
      </c>
      <c r="C9" s="2">
        <v>1616.1</v>
      </c>
      <c r="D9">
        <f t="shared" si="0"/>
        <v>1048848.8999999999</v>
      </c>
      <c r="E9" s="3">
        <f t="shared" si="1"/>
        <v>2.1358349602077342E-2</v>
      </c>
      <c r="F9"/>
      <c r="G9"/>
      <c r="H9"/>
      <c r="I9"/>
    </row>
    <row r="10" spans="1:10" s="2" customFormat="1">
      <c r="A10" t="s">
        <v>12</v>
      </c>
      <c r="B10" s="4">
        <f>724+289+144+275-367</f>
        <v>1065</v>
      </c>
      <c r="C10" s="2">
        <v>2076.4</v>
      </c>
      <c r="D10">
        <f t="shared" si="0"/>
        <v>2211366</v>
      </c>
      <c r="E10" s="3">
        <f t="shared" si="1"/>
        <v>4.5031394060810248E-2</v>
      </c>
      <c r="F10"/>
      <c r="G10"/>
      <c r="H10"/>
      <c r="I10"/>
    </row>
    <row r="11" spans="1:10" s="2" customFormat="1">
      <c r="A11" t="s">
        <v>13</v>
      </c>
      <c r="B11" s="4">
        <f>3770+209+935</f>
        <v>4914</v>
      </c>
      <c r="C11" s="2">
        <v>586.5</v>
      </c>
      <c r="D11">
        <f t="shared" si="0"/>
        <v>2882061</v>
      </c>
      <c r="E11" s="3">
        <f t="shared" si="1"/>
        <v>5.8689165248218905E-2</v>
      </c>
      <c r="F11"/>
      <c r="G11"/>
      <c r="H11"/>
      <c r="I11"/>
    </row>
    <row r="12" spans="1:10" s="2" customFormat="1">
      <c r="A12" t="s">
        <v>14</v>
      </c>
      <c r="B12" s="4">
        <f>((840+420)*2+290+562)+3372</f>
        <v>6744</v>
      </c>
      <c r="C12" s="2">
        <v>396.65</v>
      </c>
      <c r="D12">
        <f t="shared" si="0"/>
        <v>2675007.5999999996</v>
      </c>
      <c r="E12" s="3">
        <f t="shared" si="1"/>
        <v>5.4472810629837963E-2</v>
      </c>
      <c r="F12"/>
      <c r="G12"/>
      <c r="H12"/>
      <c r="I12"/>
    </row>
    <row r="13" spans="1:10" s="2" customFormat="1">
      <c r="A13" t="s">
        <v>15</v>
      </c>
      <c r="B13" s="4">
        <f>1280+1280+1280+910+1300+1300+2940+1300-2365+1475-2568</f>
        <v>8132</v>
      </c>
      <c r="C13" s="2">
        <v>152.91</v>
      </c>
      <c r="D13">
        <f t="shared" si="0"/>
        <v>1243464.1199999999</v>
      </c>
      <c r="E13" s="3">
        <f t="shared" si="1"/>
        <v>2.5321417977937001E-2</v>
      </c>
      <c r="F13"/>
      <c r="G13"/>
      <c r="H13"/>
      <c r="I13"/>
      <c r="J13" s="5"/>
    </row>
    <row r="14" spans="1:10" s="2" customFormat="1">
      <c r="A14" t="s">
        <v>16</v>
      </c>
      <c r="B14" s="4">
        <f>(410+205+135+181)*2</f>
        <v>1862</v>
      </c>
      <c r="C14" s="2">
        <v>2035.4</v>
      </c>
      <c r="D14">
        <f t="shared" si="0"/>
        <v>3789914.8000000003</v>
      </c>
      <c r="E14" s="3">
        <f t="shared" si="1"/>
        <v>7.7176345668558202E-2</v>
      </c>
      <c r="F14"/>
      <c r="G14"/>
      <c r="H14"/>
      <c r="I14"/>
    </row>
    <row r="15" spans="1:10" s="2" customFormat="1">
      <c r="A15" t="s">
        <v>17</v>
      </c>
      <c r="B15" s="4">
        <f>(1875+937+309+619)*2*2-3720-1759</f>
        <v>9481</v>
      </c>
      <c r="C15" s="2">
        <v>243.7</v>
      </c>
      <c r="D15">
        <f t="shared" si="0"/>
        <v>2310519.6999999997</v>
      </c>
      <c r="E15" s="3">
        <f t="shared" si="1"/>
        <v>4.7050521304915181E-2</v>
      </c>
      <c r="F15"/>
      <c r="G15" t="s">
        <v>28</v>
      </c>
      <c r="H15"/>
      <c r="I15"/>
    </row>
    <row r="16" spans="1:10" s="2" customFormat="1">
      <c r="A16" t="s">
        <v>18</v>
      </c>
      <c r="B16" s="4">
        <f>13763+6317+2811+3464+1538</f>
        <v>27893</v>
      </c>
      <c r="C16" s="2">
        <v>127.88</v>
      </c>
      <c r="D16">
        <f t="shared" si="0"/>
        <v>3566956.84</v>
      </c>
      <c r="E16" s="3">
        <f t="shared" si="1"/>
        <v>7.2636116798369191E-2</v>
      </c>
      <c r="F16"/>
      <c r="G16"/>
      <c r="H16"/>
      <c r="I16"/>
    </row>
    <row r="17" spans="1:9" s="2" customFormat="1">
      <c r="A17" t="s">
        <v>19</v>
      </c>
      <c r="B17" s="4">
        <f>458+115+189</f>
        <v>762</v>
      </c>
      <c r="C17" s="2">
        <v>4437.3999999999996</v>
      </c>
      <c r="D17">
        <f t="shared" si="0"/>
        <v>3381298.8</v>
      </c>
      <c r="E17" s="3">
        <f t="shared" si="1"/>
        <v>6.8855448939770622E-2</v>
      </c>
      <c r="F17"/>
      <c r="G17"/>
      <c r="H17"/>
      <c r="I17"/>
    </row>
    <row r="18" spans="1:9" s="2" customFormat="1">
      <c r="A18" t="s">
        <v>20</v>
      </c>
      <c r="B18" s="4">
        <f>(3075+1537+1153-53-1428-925-484-459-467-45+2345+1175)*2</f>
        <v>10848</v>
      </c>
      <c r="C18" s="2">
        <v>262.60000000000002</v>
      </c>
      <c r="D18">
        <f t="shared" si="0"/>
        <v>2848684.8000000003</v>
      </c>
      <c r="E18" s="3">
        <f t="shared" si="1"/>
        <v>5.8009505339161604E-2</v>
      </c>
      <c r="F18"/>
      <c r="G18"/>
      <c r="H18"/>
      <c r="I18"/>
    </row>
    <row r="19" spans="1:9" s="2" customFormat="1">
      <c r="A19" t="s">
        <v>21</v>
      </c>
      <c r="B19" s="4">
        <f>7985+1084+1117+2249-5230-405</f>
        <v>6800</v>
      </c>
      <c r="C19" s="2">
        <v>476.1</v>
      </c>
      <c r="D19">
        <f t="shared" si="0"/>
        <v>3237480</v>
      </c>
      <c r="E19" s="3">
        <f t="shared" si="1"/>
        <v>6.5926779033408295E-2</v>
      </c>
      <c r="F19"/>
      <c r="G19"/>
      <c r="H19"/>
      <c r="I19" s="3"/>
    </row>
    <row r="20" spans="1:9" s="2" customFormat="1">
      <c r="A20" t="s">
        <v>22</v>
      </c>
      <c r="B20" s="4">
        <f>2592+518+820</f>
        <v>3930</v>
      </c>
      <c r="C20" s="2">
        <v>1362.8</v>
      </c>
      <c r="D20">
        <f t="shared" si="0"/>
        <v>5355804</v>
      </c>
      <c r="E20" s="3">
        <f t="shared" si="1"/>
        <v>0.10906350212333181</v>
      </c>
      <c r="F20"/>
      <c r="G20"/>
      <c r="H20"/>
      <c r="I20"/>
    </row>
    <row r="21" spans="1:9" s="2" customFormat="1">
      <c r="A21" t="s">
        <v>23</v>
      </c>
      <c r="B21" s="4">
        <f>40235+4295+1952-475+9018-12666-5975-9817+11418+1366-3600+5427-7979-25132+6426+17836-15111-2801-1247-5505-1765+3820-6212</f>
        <v>3508</v>
      </c>
      <c r="C21" s="2">
        <v>112.49</v>
      </c>
      <c r="D21">
        <f t="shared" si="0"/>
        <v>394614.92</v>
      </c>
      <c r="E21" s="3">
        <f t="shared" si="1"/>
        <v>8.0357842007135454E-3</v>
      </c>
      <c r="F21"/>
      <c r="G21" t="s">
        <v>29</v>
      </c>
      <c r="H21"/>
      <c r="I21"/>
    </row>
    <row r="22" spans="1:9" s="2" customFormat="1">
      <c r="A22"/>
      <c r="B22" s="4"/>
      <c r="D22"/>
      <c r="E22" s="3"/>
      <c r="F22"/>
      <c r="G22"/>
      <c r="H22"/>
      <c r="I22"/>
    </row>
    <row r="23" spans="1:9" s="2" customFormat="1">
      <c r="A23"/>
      <c r="B23" s="4"/>
      <c r="D23">
        <f>SUM(D5:D21)</f>
        <v>49107207.229999997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AF35-4C1F-4B05-BB44-7775EB660D42}">
  <sheetPr>
    <pageSetUpPr fitToPage="1"/>
  </sheetPr>
  <dimension ref="A1:J23"/>
  <sheetViews>
    <sheetView workbookViewId="0">
      <selection activeCell="G16" sqref="G16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9" max="9" width="11" bestFit="1" customWidth="1"/>
    <col min="10" max="10" width="11.5703125" style="2" bestFit="1" customWidth="1"/>
  </cols>
  <sheetData>
    <row r="1" spans="1:10">
      <c r="A1" t="s">
        <v>0</v>
      </c>
      <c r="B1" s="1">
        <v>46070</v>
      </c>
      <c r="C1" s="2" t="s">
        <v>30</v>
      </c>
      <c r="E1" s="3"/>
    </row>
    <row r="2" spans="1:10">
      <c r="B2" s="4"/>
      <c r="E2" s="3"/>
    </row>
    <row r="3" spans="1:10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>
      <c r="B4" s="4"/>
      <c r="E4" s="3"/>
    </row>
    <row r="5" spans="1:10" s="2" customFormat="1">
      <c r="A5" t="s">
        <v>7</v>
      </c>
      <c r="B5" s="4">
        <f>2265+463+942</f>
        <v>3670</v>
      </c>
      <c r="C5" s="2">
        <v>536.9</v>
      </c>
      <c r="D5">
        <f t="shared" ref="D5:D21" si="0">C5*B5</f>
        <v>1970423</v>
      </c>
      <c r="E5" s="3">
        <f t="shared" ref="E5:E21" si="1">D5/$D$23</f>
        <v>3.9792543181830051E-2</v>
      </c>
      <c r="F5"/>
      <c r="G5"/>
      <c r="H5"/>
      <c r="I5"/>
    </row>
    <row r="6" spans="1:10" s="2" customFormat="1">
      <c r="A6" t="s">
        <v>8</v>
      </c>
      <c r="B6" s="4">
        <f>4326+2424</f>
        <v>6750</v>
      </c>
      <c r="C6" s="2">
        <v>894.45</v>
      </c>
      <c r="D6">
        <f t="shared" si="0"/>
        <v>6037537.5</v>
      </c>
      <c r="E6" s="3">
        <f t="shared" si="1"/>
        <v>0.12192761233535553</v>
      </c>
      <c r="F6"/>
      <c r="G6"/>
      <c r="H6"/>
      <c r="I6"/>
    </row>
    <row r="7" spans="1:10" s="2" customFormat="1">
      <c r="A7" t="s">
        <v>9</v>
      </c>
      <c r="B7" s="4">
        <f>448*2+37+403+478+149+306+290</f>
        <v>2559</v>
      </c>
      <c r="C7" s="2">
        <v>916.45</v>
      </c>
      <c r="D7">
        <f t="shared" si="0"/>
        <v>2345195.5500000003</v>
      </c>
      <c r="E7" s="3">
        <f t="shared" si="1"/>
        <v>4.7361046431761443E-2</v>
      </c>
      <c r="F7"/>
      <c r="G7"/>
      <c r="H7"/>
      <c r="I7"/>
    </row>
    <row r="8" spans="1:10" s="2" customFormat="1">
      <c r="A8" t="s">
        <v>10</v>
      </c>
      <c r="B8" s="4">
        <f>1410+2189</f>
        <v>3599</v>
      </c>
      <c r="C8" s="2">
        <v>1057.1500000000001</v>
      </c>
      <c r="D8">
        <f t="shared" si="0"/>
        <v>3804682.8500000006</v>
      </c>
      <c r="E8" s="3">
        <f t="shared" si="1"/>
        <v>7.6835281866783553E-2</v>
      </c>
      <c r="F8"/>
      <c r="G8"/>
      <c r="H8"/>
      <c r="I8"/>
    </row>
    <row r="9" spans="1:10" s="2" customFormat="1">
      <c r="A9" t="s">
        <v>11</v>
      </c>
      <c r="B9" s="4">
        <f>130+126+33+57+173+130</f>
        <v>649</v>
      </c>
      <c r="C9" s="2">
        <v>1693.8</v>
      </c>
      <c r="D9">
        <f t="shared" si="0"/>
        <v>1099276.2</v>
      </c>
      <c r="E9" s="3">
        <f t="shared" si="1"/>
        <v>2.2199799564488459E-2</v>
      </c>
      <c r="F9"/>
      <c r="G9"/>
      <c r="H9"/>
      <c r="I9"/>
    </row>
    <row r="10" spans="1:10" s="2" customFormat="1">
      <c r="A10" t="s">
        <v>12</v>
      </c>
      <c r="B10" s="4">
        <f>724+289+144+275-367</f>
        <v>1065</v>
      </c>
      <c r="C10" s="2">
        <v>2582.8000000000002</v>
      </c>
      <c r="D10">
        <f t="shared" si="0"/>
        <v>2750682</v>
      </c>
      <c r="E10" s="3">
        <f t="shared" si="1"/>
        <v>5.5549814564934859E-2</v>
      </c>
      <c r="F10"/>
      <c r="G10"/>
      <c r="H10"/>
      <c r="I10"/>
    </row>
    <row r="11" spans="1:10" s="2" customFormat="1">
      <c r="A11" t="s">
        <v>13</v>
      </c>
      <c r="B11" s="4">
        <f>3770+209+935</f>
        <v>4914</v>
      </c>
      <c r="C11" s="2">
        <v>584.45000000000005</v>
      </c>
      <c r="D11">
        <f t="shared" si="0"/>
        <v>2871987.3000000003</v>
      </c>
      <c r="E11" s="3">
        <f t="shared" si="1"/>
        <v>5.7999565906872538E-2</v>
      </c>
      <c r="F11"/>
      <c r="G11"/>
      <c r="H11"/>
      <c r="I11"/>
    </row>
    <row r="12" spans="1:10" s="2" customFormat="1">
      <c r="A12" t="s">
        <v>14</v>
      </c>
      <c r="B12" s="4">
        <f>((840+420)*2+290+562)+3372</f>
        <v>6744</v>
      </c>
      <c r="C12" s="2">
        <v>350.1</v>
      </c>
      <c r="D12">
        <f t="shared" si="0"/>
        <v>2361074.4000000004</v>
      </c>
      <c r="E12" s="3">
        <f t="shared" si="1"/>
        <v>4.7681718604336981E-2</v>
      </c>
      <c r="F12"/>
      <c r="G12"/>
      <c r="H12"/>
      <c r="I12"/>
    </row>
    <row r="13" spans="1:10" s="2" customFormat="1">
      <c r="A13" t="s">
        <v>15</v>
      </c>
      <c r="B13" s="4">
        <f>1280+1280+1280+910+1300+1300+2940+1300-2365+1475-2568</f>
        <v>8132</v>
      </c>
      <c r="C13" s="2">
        <v>130.11000000000001</v>
      </c>
      <c r="D13">
        <f t="shared" si="0"/>
        <v>1058054.52</v>
      </c>
      <c r="E13" s="3">
        <f t="shared" si="1"/>
        <v>2.1367330860343422E-2</v>
      </c>
      <c r="F13"/>
      <c r="G13"/>
      <c r="H13"/>
      <c r="I13"/>
      <c r="J13" s="5"/>
    </row>
    <row r="14" spans="1:10" s="2" customFormat="1">
      <c r="A14" t="s">
        <v>16</v>
      </c>
      <c r="B14" s="4">
        <f>(410+205+135+181)*2</f>
        <v>1862</v>
      </c>
      <c r="C14" s="2">
        <v>2097.1999999999998</v>
      </c>
      <c r="D14">
        <f t="shared" si="0"/>
        <v>3904986.3999999994</v>
      </c>
      <c r="E14" s="3">
        <f t="shared" si="1"/>
        <v>7.886090445881877E-2</v>
      </c>
      <c r="F14"/>
      <c r="G14"/>
      <c r="H14"/>
      <c r="I14"/>
    </row>
    <row r="15" spans="1:10" s="2" customFormat="1">
      <c r="A15" t="s">
        <v>17</v>
      </c>
      <c r="B15" s="4">
        <f>(1875+937+309+619)*2*2-3720-1759-2877</f>
        <v>6604</v>
      </c>
      <c r="C15" s="2">
        <v>225.21</v>
      </c>
      <c r="D15">
        <f t="shared" si="0"/>
        <v>1487286.84</v>
      </c>
      <c r="E15" s="3">
        <f t="shared" si="1"/>
        <v>3.0035645038891428E-2</v>
      </c>
      <c r="F15"/>
      <c r="G15" t="s">
        <v>31</v>
      </c>
      <c r="H15"/>
      <c r="I15"/>
    </row>
    <row r="16" spans="1:10" s="2" customFormat="1">
      <c r="A16" t="s">
        <v>18</v>
      </c>
      <c r="B16" s="4">
        <f>13763+6317+2811+3464+1538</f>
        <v>27893</v>
      </c>
      <c r="C16" s="2">
        <v>111.58</v>
      </c>
      <c r="D16">
        <f t="shared" si="0"/>
        <v>3112300.94</v>
      </c>
      <c r="E16" s="3">
        <f t="shared" si="1"/>
        <v>6.2852681657593445E-2</v>
      </c>
      <c r="F16"/>
      <c r="G16"/>
      <c r="H16"/>
      <c r="I16"/>
    </row>
    <row r="17" spans="1:9" s="2" customFormat="1">
      <c r="A17" t="s">
        <v>19</v>
      </c>
      <c r="B17" s="4">
        <f>458+115+189</f>
        <v>762</v>
      </c>
      <c r="C17" s="2">
        <v>5188.6000000000004</v>
      </c>
      <c r="D17">
        <f t="shared" si="0"/>
        <v>3953713.2</v>
      </c>
      <c r="E17" s="3">
        <f t="shared" si="1"/>
        <v>7.98449384926848E-2</v>
      </c>
      <c r="F17"/>
      <c r="G17"/>
      <c r="H17"/>
      <c r="I17"/>
    </row>
    <row r="18" spans="1:9" s="2" customFormat="1">
      <c r="A18" t="s">
        <v>20</v>
      </c>
      <c r="B18" s="4">
        <f>(3075+1537+1153-53-1428-925-484-459-467-45+2345+1175)*2</f>
        <v>10848</v>
      </c>
      <c r="C18" s="2">
        <v>284.89999999999998</v>
      </c>
      <c r="D18">
        <f t="shared" si="0"/>
        <v>3090595.1999999997</v>
      </c>
      <c r="E18" s="3">
        <f t="shared" si="1"/>
        <v>6.241433588298384E-2</v>
      </c>
      <c r="F18"/>
      <c r="G18"/>
      <c r="H18"/>
      <c r="I18"/>
    </row>
    <row r="19" spans="1:9" s="2" customFormat="1">
      <c r="A19" t="s">
        <v>21</v>
      </c>
      <c r="B19" s="4">
        <f>7985+1084+1117+2249-5230-405</f>
        <v>6800</v>
      </c>
      <c r="C19" s="2">
        <v>500.35</v>
      </c>
      <c r="D19">
        <f t="shared" si="0"/>
        <v>3402380</v>
      </c>
      <c r="E19" s="3">
        <f t="shared" si="1"/>
        <v>6.8710806294381935E-2</v>
      </c>
      <c r="F19"/>
      <c r="G19"/>
      <c r="H19"/>
      <c r="I19" s="3"/>
    </row>
    <row r="20" spans="1:9" s="2" customFormat="1">
      <c r="A20" t="s">
        <v>22</v>
      </c>
      <c r="B20" s="4">
        <f>2592+518+820</f>
        <v>3930</v>
      </c>
      <c r="C20" s="2">
        <v>1330.4</v>
      </c>
      <c r="D20">
        <f t="shared" si="0"/>
        <v>5228472</v>
      </c>
      <c r="E20" s="3">
        <f t="shared" si="1"/>
        <v>0.1055885958674809</v>
      </c>
      <c r="F20"/>
      <c r="G20"/>
      <c r="H20"/>
      <c r="I20"/>
    </row>
    <row r="21" spans="1:9" s="2" customFormat="1">
      <c r="A21" t="s">
        <v>23</v>
      </c>
      <c r="B21" s="4">
        <f>40235+4295+1952-475+9018-12666-5975-9817+11418+1366-3600+5427-7979-25132+6426+17836-15111-2801-1247-5505-1765+3820-6212+5704</f>
        <v>9212</v>
      </c>
      <c r="C21" s="2">
        <v>112.76</v>
      </c>
      <c r="D21">
        <f t="shared" si="0"/>
        <v>1038745.12</v>
      </c>
      <c r="E21" s="3">
        <f t="shared" si="1"/>
        <v>2.0977378990458005E-2</v>
      </c>
      <c r="F21"/>
      <c r="G21" t="s">
        <v>32</v>
      </c>
      <c r="H21"/>
      <c r="I21"/>
    </row>
    <row r="22" spans="1:9" s="2" customFormat="1">
      <c r="A22"/>
      <c r="B22" s="4"/>
      <c r="D22"/>
      <c r="E22" s="3"/>
      <c r="F22"/>
      <c r="G22"/>
      <c r="H22"/>
      <c r="I22"/>
    </row>
    <row r="23" spans="1:9" s="2" customFormat="1">
      <c r="A23"/>
      <c r="B23" s="4"/>
      <c r="D23">
        <f>SUM(D5:D21)</f>
        <v>49517393.020000003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0B111-6698-40F3-BB59-DF3B86B86F54}">
  <sheetPr>
    <pageSetUpPr fitToPage="1"/>
  </sheetPr>
  <dimension ref="A1:J23"/>
  <sheetViews>
    <sheetView workbookViewId="0">
      <selection activeCell="H6" sqref="H6:L12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9" max="9" width="11" bestFit="1" customWidth="1"/>
    <col min="10" max="10" width="11.5703125" style="2" bestFit="1" customWidth="1"/>
    <col min="11" max="11" width="9.5703125" bestFit="1" customWidth="1"/>
  </cols>
  <sheetData>
    <row r="1" spans="1:10">
      <c r="A1" t="s">
        <v>0</v>
      </c>
      <c r="B1" s="1">
        <v>46085</v>
      </c>
      <c r="C1" s="2" t="s">
        <v>33</v>
      </c>
      <c r="E1" s="3"/>
    </row>
    <row r="2" spans="1:10">
      <c r="B2" s="4"/>
      <c r="E2" s="3"/>
    </row>
    <row r="3" spans="1:10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>
      <c r="B4" s="4"/>
      <c r="E4" s="3"/>
    </row>
    <row r="5" spans="1:10" s="2" customFormat="1">
      <c r="A5" t="s">
        <v>7</v>
      </c>
      <c r="B5" s="4">
        <f>2265+463+942</f>
        <v>3670</v>
      </c>
      <c r="C5" s="2">
        <v>514.85</v>
      </c>
      <c r="D5">
        <f t="shared" ref="D5:D21" si="0">C5*B5</f>
        <v>1889499.5</v>
      </c>
      <c r="E5" s="3">
        <f t="shared" ref="E5:E21" si="1">D5/$D$23</f>
        <v>3.9512016459418507E-2</v>
      </c>
      <c r="F5"/>
      <c r="G5"/>
      <c r="H5"/>
      <c r="I5"/>
    </row>
    <row r="6" spans="1:10" s="2" customFormat="1">
      <c r="A6" t="s">
        <v>8</v>
      </c>
      <c r="B6" s="4">
        <f>4326+2424</f>
        <v>6750</v>
      </c>
      <c r="C6" s="2">
        <v>995.55</v>
      </c>
      <c r="D6">
        <f t="shared" si="0"/>
        <v>6719962.5</v>
      </c>
      <c r="E6" s="3">
        <f t="shared" si="1"/>
        <v>0.14052359839559372</v>
      </c>
      <c r="F6"/>
      <c r="G6"/>
      <c r="H6"/>
      <c r="I6"/>
    </row>
    <row r="7" spans="1:10" s="2" customFormat="1">
      <c r="A7" t="s">
        <v>9</v>
      </c>
      <c r="B7" s="4">
        <f>448*2+37+403+478+149+306+290</f>
        <v>2559</v>
      </c>
      <c r="C7" s="2">
        <v>860.7</v>
      </c>
      <c r="D7">
        <f t="shared" si="0"/>
        <v>2202531.3000000003</v>
      </c>
      <c r="E7" s="3">
        <f t="shared" si="1"/>
        <v>4.6057939141018273E-2</v>
      </c>
      <c r="F7"/>
      <c r="G7"/>
      <c r="H7"/>
      <c r="I7"/>
    </row>
    <row r="8" spans="1:10" s="2" customFormat="1">
      <c r="A8" t="s">
        <v>10</v>
      </c>
      <c r="B8" s="4">
        <f>1410+2189+320</f>
        <v>3919</v>
      </c>
      <c r="C8" s="2">
        <v>945.9</v>
      </c>
      <c r="D8">
        <f t="shared" si="0"/>
        <v>3706982.1</v>
      </c>
      <c r="E8" s="3">
        <f t="shared" si="1"/>
        <v>7.7518061132045693E-2</v>
      </c>
      <c r="F8"/>
      <c r="G8" t="s">
        <v>34</v>
      </c>
      <c r="H8"/>
      <c r="I8"/>
    </row>
    <row r="9" spans="1:10" s="2" customFormat="1">
      <c r="A9" t="s">
        <v>11</v>
      </c>
      <c r="B9" s="4">
        <f>130+126+33+57+173+130</f>
        <v>649</v>
      </c>
      <c r="C9" s="2">
        <v>1481.7</v>
      </c>
      <c r="D9">
        <f t="shared" si="0"/>
        <v>961623.3</v>
      </c>
      <c r="E9" s="3">
        <f t="shared" si="1"/>
        <v>2.0108857217141545E-2</v>
      </c>
      <c r="F9"/>
      <c r="G9"/>
      <c r="H9"/>
      <c r="I9"/>
    </row>
    <row r="10" spans="1:10" s="2" customFormat="1">
      <c r="A10" t="s">
        <v>12</v>
      </c>
      <c r="B10" s="4">
        <f>724+289+144+275-367</f>
        <v>1065</v>
      </c>
      <c r="C10" s="2">
        <v>2334.1999999999998</v>
      </c>
      <c r="D10">
        <f t="shared" si="0"/>
        <v>2485923</v>
      </c>
      <c r="E10" s="3">
        <f t="shared" si="1"/>
        <v>5.1984046829780597E-2</v>
      </c>
      <c r="F10"/>
      <c r="G10"/>
      <c r="H10"/>
      <c r="I10"/>
    </row>
    <row r="11" spans="1:10" s="2" customFormat="1">
      <c r="A11" t="s">
        <v>13</v>
      </c>
      <c r="B11" s="4">
        <f>3770+209+935</f>
        <v>4914</v>
      </c>
      <c r="C11" s="2">
        <v>553.5</v>
      </c>
      <c r="D11">
        <f t="shared" si="0"/>
        <v>2719899</v>
      </c>
      <c r="E11" s="3">
        <f t="shared" si="1"/>
        <v>5.687680470725498E-2</v>
      </c>
      <c r="F11"/>
      <c r="G11"/>
      <c r="H11"/>
      <c r="I11"/>
    </row>
    <row r="12" spans="1:10" s="2" customFormat="1">
      <c r="A12" t="s">
        <v>14</v>
      </c>
      <c r="B12" s="4">
        <f>((840+420)*2+290+562)+3372</f>
        <v>6744</v>
      </c>
      <c r="C12" s="2">
        <v>307.10000000000002</v>
      </c>
      <c r="D12">
        <f t="shared" si="0"/>
        <v>2071082.4000000001</v>
      </c>
      <c r="E12" s="3">
        <f t="shared" si="1"/>
        <v>4.3309163023124368E-2</v>
      </c>
      <c r="F12"/>
      <c r="G12"/>
      <c r="H12"/>
      <c r="I12"/>
    </row>
    <row r="13" spans="1:10" s="2" customFormat="1">
      <c r="A13" t="s">
        <v>15</v>
      </c>
      <c r="B13" s="4">
        <f>1280+1280+1280+910+1300+1300+2940+1300-2365+1475-2568</f>
        <v>8132</v>
      </c>
      <c r="C13" s="2">
        <v>148.86000000000001</v>
      </c>
      <c r="D13">
        <f t="shared" si="0"/>
        <v>1210529.52</v>
      </c>
      <c r="E13" s="3">
        <f t="shared" si="1"/>
        <v>2.5313826396276891E-2</v>
      </c>
      <c r="F13"/>
      <c r="G13"/>
      <c r="H13"/>
      <c r="I13"/>
      <c r="J13" s="5"/>
    </row>
    <row r="14" spans="1:10" s="2" customFormat="1">
      <c r="A14" t="s">
        <v>16</v>
      </c>
      <c r="B14" s="4">
        <f>(410+205+135+181)*2</f>
        <v>1862</v>
      </c>
      <c r="C14" s="2">
        <v>1963.6</v>
      </c>
      <c r="D14">
        <f t="shared" si="0"/>
        <v>3656223.1999999997</v>
      </c>
      <c r="E14" s="3">
        <f t="shared" si="1"/>
        <v>7.6456623173336527E-2</v>
      </c>
      <c r="F14"/>
      <c r="G14"/>
      <c r="H14"/>
      <c r="I14"/>
    </row>
    <row r="15" spans="1:10" s="2" customFormat="1">
      <c r="A15" t="s">
        <v>17</v>
      </c>
      <c r="B15" s="4">
        <f>(1875+937+309+619)*2*2-3720-1759-2877</f>
        <v>6604</v>
      </c>
      <c r="C15" s="2">
        <v>212.35</v>
      </c>
      <c r="D15">
        <f t="shared" si="0"/>
        <v>1402359.4</v>
      </c>
      <c r="E15" s="3">
        <f t="shared" si="1"/>
        <v>2.9325251313811015E-2</v>
      </c>
      <c r="F15"/>
      <c r="G15"/>
      <c r="H15"/>
      <c r="I15"/>
    </row>
    <row r="16" spans="1:10" s="2" customFormat="1">
      <c r="A16" t="s">
        <v>18</v>
      </c>
      <c r="B16" s="4">
        <f>13763+6317+2811+3464+1538</f>
        <v>27893</v>
      </c>
      <c r="C16" s="2">
        <v>95.61</v>
      </c>
      <c r="D16">
        <f t="shared" si="0"/>
        <v>2666849.73</v>
      </c>
      <c r="E16" s="3">
        <f t="shared" si="1"/>
        <v>5.5767471982160248E-2</v>
      </c>
      <c r="F16"/>
      <c r="G16"/>
      <c r="H16"/>
      <c r="I16"/>
    </row>
    <row r="17" spans="1:9" s="2" customFormat="1">
      <c r="A17" t="s">
        <v>19</v>
      </c>
      <c r="B17" s="4">
        <f>458+115+189</f>
        <v>762</v>
      </c>
      <c r="C17" s="2">
        <v>5030.2</v>
      </c>
      <c r="D17">
        <f t="shared" si="0"/>
        <v>3833012.4</v>
      </c>
      <c r="E17" s="3">
        <f t="shared" si="1"/>
        <v>8.0153526919671175E-2</v>
      </c>
      <c r="F17"/>
      <c r="G17"/>
      <c r="H17"/>
      <c r="I17"/>
    </row>
    <row r="18" spans="1:9" s="2" customFormat="1">
      <c r="A18" t="s">
        <v>20</v>
      </c>
      <c r="B18" s="4">
        <f>(3075+1537+1153-53-1428-925-484-459-467-45+2345+1175)*2</f>
        <v>10848</v>
      </c>
      <c r="C18" s="2">
        <v>272.25</v>
      </c>
      <c r="D18">
        <f t="shared" si="0"/>
        <v>2953368</v>
      </c>
      <c r="E18" s="3">
        <f t="shared" si="1"/>
        <v>6.1758960521937113E-2</v>
      </c>
      <c r="F18"/>
      <c r="G18"/>
      <c r="H18"/>
      <c r="I18"/>
    </row>
    <row r="19" spans="1:9" s="2" customFormat="1">
      <c r="A19" t="s">
        <v>21</v>
      </c>
      <c r="B19" s="4">
        <f>7985+1084+1117+2249-5230-405</f>
        <v>6800</v>
      </c>
      <c r="C19" s="2">
        <v>453.9</v>
      </c>
      <c r="D19">
        <f t="shared" si="0"/>
        <v>3086520</v>
      </c>
      <c r="E19" s="3">
        <f t="shared" si="1"/>
        <v>6.4543350788039064E-2</v>
      </c>
      <c r="F19"/>
      <c r="G19"/>
      <c r="H19"/>
      <c r="I19" s="3"/>
    </row>
    <row r="20" spans="1:9" s="2" customFormat="1">
      <c r="A20" t="s">
        <v>22</v>
      </c>
      <c r="B20" s="4">
        <f>2592+518+820</f>
        <v>3930</v>
      </c>
      <c r="C20" s="2">
        <v>1406.4</v>
      </c>
      <c r="D20">
        <f t="shared" si="0"/>
        <v>5527152</v>
      </c>
      <c r="E20" s="3">
        <f t="shared" si="1"/>
        <v>0.1155803009197451</v>
      </c>
      <c r="F20"/>
      <c r="G20"/>
      <c r="H20"/>
      <c r="I20"/>
    </row>
    <row r="21" spans="1:9" s="2" customFormat="1">
      <c r="A21" t="s">
        <v>23</v>
      </c>
      <c r="B21" s="4">
        <f>40235+4295+1952-475+9018-12666-5975-9817+11418+1366-3600+5427-7979-25132+6426+17836-15111-2801-1247-5505-1765+3820-6212+5704-2774</f>
        <v>6438</v>
      </c>
      <c r="C21" s="2">
        <v>112.98</v>
      </c>
      <c r="D21">
        <f t="shared" si="0"/>
        <v>727365.24</v>
      </c>
      <c r="E21" s="3">
        <f t="shared" si="1"/>
        <v>1.5210201079645108E-2</v>
      </c>
      <c r="F21"/>
      <c r="G21" t="s">
        <v>35</v>
      </c>
      <c r="H21"/>
      <c r="I21"/>
    </row>
    <row r="22" spans="1:9" s="2" customFormat="1">
      <c r="A22"/>
      <c r="B22" s="4"/>
      <c r="D22"/>
      <c r="E22" s="3"/>
      <c r="F22"/>
      <c r="G22"/>
      <c r="H22"/>
      <c r="I22"/>
    </row>
    <row r="23" spans="1:9" s="2" customFormat="1">
      <c r="A23"/>
      <c r="B23" s="4"/>
      <c r="D23">
        <f>SUM(D5:D21)</f>
        <v>47820882.590000004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BD2E4-E7B4-42C7-8E9F-FEF5EF828FBD}">
  <sheetPr>
    <pageSetUpPr fitToPage="1"/>
  </sheetPr>
  <dimension ref="A1:J23"/>
  <sheetViews>
    <sheetView workbookViewId="0">
      <selection activeCell="G21" sqref="G21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9" max="9" width="11" bestFit="1" customWidth="1"/>
    <col min="10" max="10" width="11.5703125" style="2" bestFit="1" customWidth="1"/>
    <col min="11" max="11" width="9.5703125" bestFit="1" customWidth="1"/>
  </cols>
  <sheetData>
    <row r="1" spans="1:10">
      <c r="A1" t="s">
        <v>0</v>
      </c>
      <c r="B1" s="1">
        <v>46090</v>
      </c>
      <c r="C1" s="2" t="s">
        <v>36</v>
      </c>
      <c r="E1" s="3"/>
    </row>
    <row r="2" spans="1:10">
      <c r="B2" s="4"/>
      <c r="E2" s="3"/>
    </row>
    <row r="3" spans="1:10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>
      <c r="B4" s="4"/>
      <c r="E4" s="3"/>
    </row>
    <row r="5" spans="1:10" s="2" customFormat="1">
      <c r="A5" t="s">
        <v>7</v>
      </c>
      <c r="B5" s="4">
        <f>2265+463+942</f>
        <v>3670</v>
      </c>
      <c r="C5" s="2">
        <v>514.15</v>
      </c>
      <c r="D5">
        <f t="shared" ref="D5:D21" si="0">C5*B5</f>
        <v>1886930.5</v>
      </c>
      <c r="E5" s="3">
        <f t="shared" ref="E5:E21" si="1">D5/$D$23</f>
        <v>3.9747859462489113E-2</v>
      </c>
      <c r="F5"/>
      <c r="G5"/>
      <c r="H5"/>
      <c r="I5"/>
    </row>
    <row r="6" spans="1:10" s="2" customFormat="1">
      <c r="A6" t="s">
        <v>8</v>
      </c>
      <c r="B6" s="4">
        <f>4326+2424</f>
        <v>6750</v>
      </c>
      <c r="C6" s="2">
        <v>1007.8</v>
      </c>
      <c r="D6">
        <f t="shared" si="0"/>
        <v>6802650</v>
      </c>
      <c r="E6" s="3">
        <f t="shared" si="1"/>
        <v>0.143296627073706</v>
      </c>
      <c r="F6"/>
      <c r="G6"/>
      <c r="H6"/>
      <c r="I6"/>
    </row>
    <row r="7" spans="1:10" s="2" customFormat="1">
      <c r="A7" t="s">
        <v>9</v>
      </c>
      <c r="B7" s="4">
        <f>448*2+37+403+478+149+306+290</f>
        <v>2559</v>
      </c>
      <c r="C7" s="2">
        <v>849.6</v>
      </c>
      <c r="D7">
        <f t="shared" si="0"/>
        <v>2174126.4</v>
      </c>
      <c r="E7" s="3">
        <f t="shared" si="1"/>
        <v>4.5797590637751309E-2</v>
      </c>
      <c r="F7"/>
      <c r="G7"/>
      <c r="H7"/>
      <c r="I7"/>
    </row>
    <row r="8" spans="1:10" s="2" customFormat="1">
      <c r="A8" t="s">
        <v>10</v>
      </c>
      <c r="B8" s="4">
        <f>1410+2189+320</f>
        <v>3919</v>
      </c>
      <c r="C8" s="2">
        <v>904.8</v>
      </c>
      <c r="D8">
        <f t="shared" si="0"/>
        <v>3545911.1999999997</v>
      </c>
      <c r="E8" s="3">
        <f t="shared" si="1"/>
        <v>7.4693996437105725E-2</v>
      </c>
      <c r="F8"/>
      <c r="G8"/>
      <c r="H8"/>
      <c r="I8"/>
    </row>
    <row r="9" spans="1:10" s="2" customFormat="1">
      <c r="A9" t="s">
        <v>11</v>
      </c>
      <c r="B9" s="4">
        <f>130+126+33+57+173+130</f>
        <v>649</v>
      </c>
      <c r="C9" s="2">
        <v>1396</v>
      </c>
      <c r="D9">
        <f t="shared" si="0"/>
        <v>906004</v>
      </c>
      <c r="E9" s="3">
        <f t="shared" si="1"/>
        <v>1.9084815081664635E-2</v>
      </c>
      <c r="F9"/>
      <c r="G9"/>
      <c r="H9"/>
      <c r="I9"/>
    </row>
    <row r="10" spans="1:10" s="2" customFormat="1">
      <c r="A10" t="s">
        <v>12</v>
      </c>
      <c r="B10" s="4">
        <f>724+289+144+275-367</f>
        <v>1065</v>
      </c>
      <c r="C10" s="2">
        <v>2306.8000000000002</v>
      </c>
      <c r="D10">
        <f t="shared" si="0"/>
        <v>2456742</v>
      </c>
      <c r="E10" s="3">
        <f t="shared" si="1"/>
        <v>5.1750838598239007E-2</v>
      </c>
      <c r="F10"/>
      <c r="G10"/>
      <c r="H10"/>
      <c r="I10"/>
    </row>
    <row r="11" spans="1:10" s="2" customFormat="1">
      <c r="A11" t="s">
        <v>13</v>
      </c>
      <c r="B11" s="4">
        <f>3770+209+935</f>
        <v>4914</v>
      </c>
      <c r="C11" s="2">
        <v>562</v>
      </c>
      <c r="D11">
        <f t="shared" si="0"/>
        <v>2761668</v>
      </c>
      <c r="E11" s="3">
        <f t="shared" si="1"/>
        <v>5.8174051214951158E-2</v>
      </c>
      <c r="F11"/>
      <c r="G11"/>
      <c r="H11"/>
      <c r="I11"/>
    </row>
    <row r="12" spans="1:10" s="2" customFormat="1">
      <c r="A12" t="s">
        <v>14</v>
      </c>
      <c r="B12" s="4">
        <f>((840+420)*2+290+562)+3372</f>
        <v>6744</v>
      </c>
      <c r="C12" s="2">
        <v>297.95</v>
      </c>
      <c r="D12">
        <f t="shared" si="0"/>
        <v>2009374.7999999998</v>
      </c>
      <c r="E12" s="3">
        <f t="shared" si="1"/>
        <v>4.2327127129413174E-2</v>
      </c>
      <c r="F12"/>
      <c r="G12"/>
      <c r="H12"/>
      <c r="I12"/>
    </row>
    <row r="13" spans="1:10" s="2" customFormat="1">
      <c r="A13" t="s">
        <v>15</v>
      </c>
      <c r="B13" s="4">
        <f>1280+1280+1280+910+1300+1300+2940+1300-2365+1475-2568-1840</f>
        <v>6292</v>
      </c>
      <c r="C13" s="2">
        <v>165.34</v>
      </c>
      <c r="D13">
        <f t="shared" si="0"/>
        <v>1040319.28</v>
      </c>
      <c r="E13" s="3">
        <f t="shared" si="1"/>
        <v>2.1914142856643563E-2</v>
      </c>
      <c r="F13"/>
      <c r="G13" t="s">
        <v>37</v>
      </c>
      <c r="H13"/>
      <c r="I13"/>
      <c r="J13" s="5"/>
    </row>
    <row r="14" spans="1:10" s="2" customFormat="1">
      <c r="A14" t="s">
        <v>16</v>
      </c>
      <c r="B14" s="4">
        <f>(410+205+135+181)*2</f>
        <v>1862</v>
      </c>
      <c r="C14" s="2">
        <v>1952.4</v>
      </c>
      <c r="D14">
        <f t="shared" si="0"/>
        <v>3635368.8000000003</v>
      </c>
      <c r="E14" s="3">
        <f t="shared" si="1"/>
        <v>7.6578405064053875E-2</v>
      </c>
      <c r="F14"/>
      <c r="G14"/>
      <c r="H14"/>
      <c r="I14"/>
    </row>
    <row r="15" spans="1:10" s="2" customFormat="1">
      <c r="A15" t="s">
        <v>17</v>
      </c>
      <c r="B15" s="4">
        <f>(1875+937+309+619)*2*2-3720-1759-2877</f>
        <v>6604</v>
      </c>
      <c r="C15" s="2">
        <v>205.97</v>
      </c>
      <c r="D15">
        <f t="shared" si="0"/>
        <v>1360225.88</v>
      </c>
      <c r="E15" s="3">
        <f t="shared" si="1"/>
        <v>2.8652919180372875E-2</v>
      </c>
      <c r="F15"/>
      <c r="G15"/>
      <c r="H15"/>
      <c r="I15"/>
    </row>
    <row r="16" spans="1:10" s="2" customFormat="1">
      <c r="A16" t="s">
        <v>18</v>
      </c>
      <c r="B16" s="4">
        <f>13763+6317+2811+3464+1538</f>
        <v>27893</v>
      </c>
      <c r="C16" s="2">
        <v>87.99</v>
      </c>
      <c r="D16">
        <f t="shared" si="0"/>
        <v>2454305.0699999998</v>
      </c>
      <c r="E16" s="3">
        <f t="shared" si="1"/>
        <v>5.1699505095939943E-2</v>
      </c>
      <c r="F16"/>
      <c r="G16"/>
      <c r="H16"/>
      <c r="I16"/>
    </row>
    <row r="17" spans="1:9" s="2" customFormat="1">
      <c r="A17" t="s">
        <v>19</v>
      </c>
      <c r="B17" s="4">
        <f>458+115+189</f>
        <v>762</v>
      </c>
      <c r="C17" s="2">
        <v>4966.8</v>
      </c>
      <c r="D17">
        <f t="shared" si="0"/>
        <v>3784701.6</v>
      </c>
      <c r="E17" s="3">
        <f t="shared" si="1"/>
        <v>7.9724074259363398E-2</v>
      </c>
      <c r="F17"/>
      <c r="G17"/>
      <c r="H17"/>
      <c r="I17"/>
    </row>
    <row r="18" spans="1:9" s="2" customFormat="1">
      <c r="A18" t="s">
        <v>20</v>
      </c>
      <c r="B18" s="4">
        <f>(3075+1537+1153-53-1428-925-484-459-467-45+2345+1175)*2</f>
        <v>10848</v>
      </c>
      <c r="C18" s="2">
        <v>267.35000000000002</v>
      </c>
      <c r="D18">
        <f t="shared" si="0"/>
        <v>2900212.8000000003</v>
      </c>
      <c r="E18" s="3">
        <f t="shared" si="1"/>
        <v>6.1092473085634084E-2</v>
      </c>
      <c r="F18"/>
      <c r="G18"/>
      <c r="H18"/>
      <c r="I18"/>
    </row>
    <row r="19" spans="1:9" s="2" customFormat="1">
      <c r="A19" t="s">
        <v>21</v>
      </c>
      <c r="B19" s="4">
        <f>7985+1084+1117+2249-5230-405</f>
        <v>6800</v>
      </c>
      <c r="C19" s="2">
        <v>448.9</v>
      </c>
      <c r="D19">
        <f t="shared" si="0"/>
        <v>3052520</v>
      </c>
      <c r="E19" s="3">
        <f t="shared" si="1"/>
        <v>6.4300797494363085E-2</v>
      </c>
      <c r="F19"/>
      <c r="G19"/>
      <c r="H19"/>
      <c r="I19" s="3"/>
    </row>
    <row r="20" spans="1:9" s="2" customFormat="1">
      <c r="A20" t="s">
        <v>22</v>
      </c>
      <c r="B20" s="4">
        <f>2592+518+820</f>
        <v>3930</v>
      </c>
      <c r="C20" s="2">
        <v>1440.7</v>
      </c>
      <c r="D20">
        <f t="shared" si="0"/>
        <v>5661951</v>
      </c>
      <c r="E20" s="3">
        <f t="shared" si="1"/>
        <v>0.1192680030512516</v>
      </c>
      <c r="F20"/>
      <c r="G20"/>
      <c r="H20"/>
      <c r="I20"/>
    </row>
    <row r="21" spans="1:9" s="2" customFormat="1">
      <c r="A21" t="s">
        <v>23</v>
      </c>
      <c r="B21" s="4">
        <f>40235+4295+1952-475+9018-12666-5975-9817+11418+1366-3600+5427-7979-25132+6426+17836-15111-2801-1247-5505-1765+3820-6212+5704-2774+2757</f>
        <v>9195</v>
      </c>
      <c r="C21" s="2">
        <v>113.05</v>
      </c>
      <c r="D21">
        <f t="shared" si="0"/>
        <v>1039494.75</v>
      </c>
      <c r="E21" s="3">
        <f t="shared" si="1"/>
        <v>2.1896774277057506E-2</v>
      </c>
      <c r="F21"/>
      <c r="G21" t="s">
        <v>38</v>
      </c>
      <c r="H21"/>
      <c r="I21"/>
    </row>
    <row r="22" spans="1:9" s="2" customFormat="1">
      <c r="A22"/>
      <c r="B22" s="4"/>
      <c r="D22"/>
      <c r="E22" s="3"/>
      <c r="F22"/>
      <c r="G22"/>
      <c r="H22"/>
      <c r="I22"/>
    </row>
    <row r="23" spans="1:9" s="2" customFormat="1">
      <c r="A23"/>
      <c r="B23" s="4"/>
      <c r="D23">
        <f>SUM(D5:D21)</f>
        <v>47472506.079999998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661D-4711-41EB-BA9C-B20A4C553574}">
  <sheetPr>
    <pageSetUpPr fitToPage="1"/>
  </sheetPr>
  <dimension ref="A1:J23"/>
  <sheetViews>
    <sheetView workbookViewId="0">
      <selection activeCell="C22" sqref="C22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9" max="9" width="11" bestFit="1" customWidth="1"/>
    <col min="10" max="10" width="11.5703125" style="2" bestFit="1" customWidth="1"/>
    <col min="11" max="11" width="9.5703125" bestFit="1" customWidth="1"/>
  </cols>
  <sheetData>
    <row r="1" spans="1:10">
      <c r="A1" t="s">
        <v>0</v>
      </c>
      <c r="B1" s="1">
        <v>46090</v>
      </c>
      <c r="C1" s="2" t="s">
        <v>36</v>
      </c>
      <c r="E1" s="3"/>
    </row>
    <row r="2" spans="1:10">
      <c r="B2" s="4"/>
      <c r="E2" s="3"/>
    </row>
    <row r="3" spans="1:10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>
      <c r="B4" s="4"/>
      <c r="E4" s="3"/>
    </row>
    <row r="5" spans="1:10" s="2" customFormat="1">
      <c r="A5" t="s">
        <v>7</v>
      </c>
      <c r="B5" s="4">
        <f>2265+463+942</f>
        <v>3670</v>
      </c>
      <c r="C5" s="2">
        <v>493</v>
      </c>
      <c r="D5">
        <f t="shared" ref="D5:D21" si="0">C5*B5</f>
        <v>1809310</v>
      </c>
      <c r="E5" s="3">
        <f t="shared" ref="E5:E21" si="1">D5/$D$23</f>
        <v>3.9442808852461438E-2</v>
      </c>
      <c r="F5"/>
      <c r="G5"/>
      <c r="H5"/>
      <c r="I5"/>
    </row>
    <row r="6" spans="1:10" s="2" customFormat="1">
      <c r="A6" t="s">
        <v>8</v>
      </c>
      <c r="B6" s="4">
        <f>4326+2424</f>
        <v>6750</v>
      </c>
      <c r="C6" s="2">
        <v>954.1</v>
      </c>
      <c r="D6">
        <f t="shared" si="0"/>
        <v>6440175</v>
      </c>
      <c r="E6" s="3">
        <f t="shared" si="1"/>
        <v>0.14039528411460769</v>
      </c>
      <c r="F6"/>
      <c r="G6"/>
      <c r="H6"/>
      <c r="I6"/>
    </row>
    <row r="7" spans="1:10" s="2" customFormat="1">
      <c r="A7" t="s">
        <v>9</v>
      </c>
      <c r="B7" s="4">
        <f>448*2+37+403+478+149+306+290</f>
        <v>2559</v>
      </c>
      <c r="C7" s="2">
        <v>830.5</v>
      </c>
      <c r="D7">
        <f t="shared" si="0"/>
        <v>2125249.5</v>
      </c>
      <c r="E7" s="3">
        <f t="shared" si="1"/>
        <v>4.6330263908500612E-2</v>
      </c>
      <c r="F7"/>
      <c r="G7"/>
      <c r="H7"/>
      <c r="I7"/>
    </row>
    <row r="8" spans="1:10" s="2" customFormat="1">
      <c r="A8" t="s">
        <v>10</v>
      </c>
      <c r="B8" s="4">
        <f>1410+2189+320+59</f>
        <v>3978</v>
      </c>
      <c r="C8" s="2">
        <v>885.1</v>
      </c>
      <c r="D8">
        <f t="shared" si="0"/>
        <v>3520927.8000000003</v>
      </c>
      <c r="E8" s="3">
        <f t="shared" si="1"/>
        <v>7.6755935798021105E-2</v>
      </c>
      <c r="F8"/>
      <c r="G8" t="s">
        <v>39</v>
      </c>
      <c r="H8"/>
      <c r="I8"/>
    </row>
    <row r="9" spans="1:10" s="2" customFormat="1">
      <c r="A9" t="s">
        <v>11</v>
      </c>
      <c r="B9" s="4">
        <f>130+126+33+57+173+130</f>
        <v>649</v>
      </c>
      <c r="C9" s="2">
        <v>1248.8</v>
      </c>
      <c r="D9">
        <f t="shared" si="0"/>
        <v>810471.2</v>
      </c>
      <c r="E9" s="3">
        <f t="shared" si="1"/>
        <v>1.7668205350119683E-2</v>
      </c>
      <c r="F9"/>
      <c r="G9"/>
      <c r="H9"/>
      <c r="I9"/>
    </row>
    <row r="10" spans="1:10" s="2" customFormat="1">
      <c r="A10" t="s">
        <v>12</v>
      </c>
      <c r="B10" s="4">
        <f>724+289+144+275-367</f>
        <v>1065</v>
      </c>
      <c r="C10" s="2">
        <v>2211.1</v>
      </c>
      <c r="D10">
        <f t="shared" si="0"/>
        <v>2354821.5</v>
      </c>
      <c r="E10" s="3">
        <f t="shared" si="1"/>
        <v>5.1334914584104725E-2</v>
      </c>
      <c r="F10"/>
      <c r="G10"/>
      <c r="H10"/>
      <c r="I10"/>
    </row>
    <row r="11" spans="1:10" s="2" customFormat="1">
      <c r="A11" t="s">
        <v>13</v>
      </c>
      <c r="B11" s="4">
        <f>3770+209+935</f>
        <v>4914</v>
      </c>
      <c r="C11" s="2">
        <v>549.04999999999995</v>
      </c>
      <c r="D11">
        <f t="shared" si="0"/>
        <v>2698031.6999999997</v>
      </c>
      <c r="E11" s="3">
        <f t="shared" si="1"/>
        <v>5.8816868652127915E-2</v>
      </c>
      <c r="F11"/>
      <c r="G11"/>
      <c r="H11"/>
      <c r="I11"/>
    </row>
    <row r="12" spans="1:10" s="2" customFormat="1">
      <c r="A12" t="s">
        <v>14</v>
      </c>
      <c r="B12" s="4">
        <f>((840+420)*2+290+562)+3372</f>
        <v>6744</v>
      </c>
      <c r="C12" s="2">
        <v>308.8</v>
      </c>
      <c r="D12">
        <f t="shared" si="0"/>
        <v>2082547.2000000002</v>
      </c>
      <c r="E12" s="3">
        <f t="shared" si="1"/>
        <v>4.5399357288595531E-2</v>
      </c>
      <c r="F12"/>
      <c r="G12"/>
      <c r="H12"/>
      <c r="I12"/>
    </row>
    <row r="13" spans="1:10" s="2" customFormat="1">
      <c r="A13" t="s">
        <v>15</v>
      </c>
      <c r="B13" s="4">
        <f>1280+1280+1280+910+1300+1300+2940+1300-2365+1475-2568-1840</f>
        <v>6292</v>
      </c>
      <c r="C13" s="2">
        <v>126.95</v>
      </c>
      <c r="D13">
        <f t="shared" si="0"/>
        <v>798769.4</v>
      </c>
      <c r="E13" s="3">
        <f t="shared" si="1"/>
        <v>1.7413107074738608E-2</v>
      </c>
      <c r="F13"/>
      <c r="G13"/>
      <c r="H13"/>
      <c r="I13"/>
      <c r="J13" s="5"/>
    </row>
    <row r="14" spans="1:10" s="2" customFormat="1">
      <c r="A14" t="s">
        <v>16</v>
      </c>
      <c r="B14" s="4">
        <f>(410+205+135+181)*2</f>
        <v>1862</v>
      </c>
      <c r="C14" s="2">
        <v>1876.5</v>
      </c>
      <c r="D14">
        <f t="shared" si="0"/>
        <v>3494043</v>
      </c>
      <c r="E14" s="3">
        <f t="shared" si="1"/>
        <v>7.6169849374226037E-2</v>
      </c>
      <c r="F14"/>
      <c r="G14"/>
      <c r="H14"/>
      <c r="I14"/>
    </row>
    <row r="15" spans="1:10" s="2" customFormat="1">
      <c r="A15" t="s">
        <v>17</v>
      </c>
      <c r="B15" s="4">
        <f>(1875+937+309+619)*2*2-3720-1759-2877</f>
        <v>6604</v>
      </c>
      <c r="C15" s="2">
        <v>203.05</v>
      </c>
      <c r="D15">
        <f t="shared" si="0"/>
        <v>1340942.2000000002</v>
      </c>
      <c r="E15" s="3">
        <f t="shared" si="1"/>
        <v>2.9232429421602223E-2</v>
      </c>
      <c r="F15"/>
      <c r="G15"/>
      <c r="H15"/>
      <c r="I15"/>
    </row>
    <row r="16" spans="1:10" s="2" customFormat="1">
      <c r="A16" t="s">
        <v>18</v>
      </c>
      <c r="B16" s="4">
        <f>13763+6317+2811+3464+1538</f>
        <v>27893</v>
      </c>
      <c r="C16" s="2">
        <v>88.08</v>
      </c>
      <c r="D16">
        <f t="shared" si="0"/>
        <v>2456815.44</v>
      </c>
      <c r="E16" s="3">
        <f t="shared" si="1"/>
        <v>5.3558374068399521E-2</v>
      </c>
      <c r="F16"/>
      <c r="G16"/>
      <c r="H16"/>
      <c r="I16"/>
    </row>
    <row r="17" spans="1:9" s="2" customFormat="1">
      <c r="A17" t="s">
        <v>19</v>
      </c>
      <c r="B17" s="4">
        <f>458+115+189</f>
        <v>762</v>
      </c>
      <c r="C17" s="2">
        <v>4607.8999999999996</v>
      </c>
      <c r="D17">
        <f t="shared" si="0"/>
        <v>3511219.8</v>
      </c>
      <c r="E17" s="3">
        <f t="shared" si="1"/>
        <v>7.6544302198284356E-2</v>
      </c>
      <c r="F17"/>
      <c r="G17"/>
      <c r="H17"/>
      <c r="I17"/>
    </row>
    <row r="18" spans="1:9" s="2" customFormat="1">
      <c r="A18" t="s">
        <v>20</v>
      </c>
      <c r="B18" s="4">
        <f>(3075+1537+1153-53-1428-925-484-459-467-45+2345+1175)*2</f>
        <v>10848</v>
      </c>
      <c r="C18" s="2">
        <v>252.35</v>
      </c>
      <c r="D18">
        <f t="shared" si="0"/>
        <v>2737492.8</v>
      </c>
      <c r="E18" s="3">
        <f t="shared" si="1"/>
        <v>5.9677117379216077E-2</v>
      </c>
      <c r="F18"/>
      <c r="G18"/>
      <c r="H18"/>
      <c r="I18"/>
    </row>
    <row r="19" spans="1:9" s="2" customFormat="1">
      <c r="A19" t="s">
        <v>21</v>
      </c>
      <c r="B19" s="4">
        <f>7985+1084+1117+2249-5230-405</f>
        <v>6800</v>
      </c>
      <c r="C19" s="2">
        <v>461.1</v>
      </c>
      <c r="D19">
        <f t="shared" si="0"/>
        <v>3135480</v>
      </c>
      <c r="E19" s="3">
        <f t="shared" si="1"/>
        <v>6.8353205531786032E-2</v>
      </c>
      <c r="F19"/>
      <c r="G19"/>
      <c r="H19"/>
      <c r="I19" s="3"/>
    </row>
    <row r="20" spans="1:9" s="2" customFormat="1">
      <c r="A20" t="s">
        <v>22</v>
      </c>
      <c r="B20" s="4">
        <f>2592+518+820</f>
        <v>3930</v>
      </c>
      <c r="C20" s="2">
        <v>1416.5</v>
      </c>
      <c r="D20">
        <f t="shared" si="0"/>
        <v>5566845</v>
      </c>
      <c r="E20" s="3">
        <f t="shared" si="1"/>
        <v>0.12135676210615134</v>
      </c>
      <c r="F20"/>
      <c r="G20"/>
      <c r="H20"/>
      <c r="I20"/>
    </row>
    <row r="21" spans="1:9" s="2" customFormat="1">
      <c r="A21" t="s">
        <v>23</v>
      </c>
      <c r="B21" s="4">
        <f>40235+4295+1952-475+9018-12666-5975-9817+11418+1366-3600+5427-7979-25132+6426+17836-15111-2801-1247-5505-1765+3820-6212+5704-2774+2757-458</f>
        <v>8737</v>
      </c>
      <c r="C21" s="2">
        <v>113.15</v>
      </c>
      <c r="D21">
        <f t="shared" si="0"/>
        <v>988591.55</v>
      </c>
      <c r="E21" s="3">
        <f t="shared" si="1"/>
        <v>2.1551214297057208E-2</v>
      </c>
      <c r="F21"/>
      <c r="G21" t="s">
        <v>40</v>
      </c>
      <c r="H21"/>
      <c r="I21"/>
    </row>
    <row r="22" spans="1:9" s="2" customFormat="1">
      <c r="A22"/>
      <c r="B22" s="4"/>
      <c r="D22"/>
      <c r="E22" s="3"/>
      <c r="F22"/>
      <c r="G22"/>
      <c r="H22"/>
      <c r="I22"/>
    </row>
    <row r="23" spans="1:9" s="2" customFormat="1">
      <c r="A23"/>
      <c r="B23" s="4"/>
      <c r="D23">
        <f>SUM(D5:D21)</f>
        <v>45871733.089999996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358C-9DFC-46A3-9E8C-7D7246CCED18}">
  <sheetPr>
    <pageSetUpPr fitToPage="1"/>
  </sheetPr>
  <dimension ref="A1:J23"/>
  <sheetViews>
    <sheetView workbookViewId="0">
      <selection activeCell="F12" sqref="F12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9" max="9" width="11" bestFit="1" customWidth="1"/>
    <col min="10" max="10" width="11.5703125" style="2" bestFit="1" customWidth="1"/>
    <col min="11" max="11" width="9.5703125" bestFit="1" customWidth="1"/>
  </cols>
  <sheetData>
    <row r="1" spans="1:10">
      <c r="A1" t="s">
        <v>0</v>
      </c>
      <c r="B1" s="1">
        <v>46113</v>
      </c>
      <c r="C1" s="2" t="s">
        <v>41</v>
      </c>
      <c r="E1" s="3"/>
    </row>
    <row r="2" spans="1:10">
      <c r="B2" s="4"/>
      <c r="E2" s="3"/>
    </row>
    <row r="3" spans="1:10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>
      <c r="B4" s="4"/>
      <c r="E4" s="3"/>
    </row>
    <row r="5" spans="1:10" s="2" customFormat="1">
      <c r="A5" t="s">
        <v>7</v>
      </c>
      <c r="B5" s="4">
        <f>2265+463+942</f>
        <v>3670</v>
      </c>
      <c r="C5" s="2">
        <v>489.65</v>
      </c>
      <c r="D5">
        <f t="shared" ref="D5:D21" si="0">C5*B5</f>
        <v>1797015.5</v>
      </c>
      <c r="E5" s="3">
        <f t="shared" ref="E5:E21" si="1">D5/$D$23</f>
        <v>3.9514443068324363E-2</v>
      </c>
      <c r="F5"/>
      <c r="G5"/>
      <c r="H5"/>
      <c r="I5"/>
    </row>
    <row r="6" spans="1:10" s="2" customFormat="1">
      <c r="A6" t="s">
        <v>8</v>
      </c>
      <c r="B6" s="4">
        <f>4326+2424</f>
        <v>6750</v>
      </c>
      <c r="C6" s="2">
        <v>952.65</v>
      </c>
      <c r="D6">
        <f t="shared" si="0"/>
        <v>6430387.5</v>
      </c>
      <c r="E6" s="3">
        <f t="shared" si="1"/>
        <v>0.14139732282554859</v>
      </c>
      <c r="F6"/>
      <c r="G6"/>
      <c r="H6"/>
      <c r="I6"/>
    </row>
    <row r="7" spans="1:10" s="2" customFormat="1">
      <c r="A7" t="s">
        <v>9</v>
      </c>
      <c r="B7" s="4">
        <f>448*2+37+403+478+149+306+290</f>
        <v>2559</v>
      </c>
      <c r="C7" s="2">
        <v>774.05</v>
      </c>
      <c r="D7">
        <f t="shared" si="0"/>
        <v>1980793.95</v>
      </c>
      <c r="E7" s="3">
        <f t="shared" si="1"/>
        <v>4.3555534032598126E-2</v>
      </c>
      <c r="F7"/>
      <c r="G7"/>
      <c r="H7"/>
      <c r="I7"/>
    </row>
    <row r="8" spans="1:10" s="2" customFormat="1">
      <c r="A8" t="s">
        <v>10</v>
      </c>
      <c r="B8" s="4">
        <f>1410+2189+320+59</f>
        <v>3978</v>
      </c>
      <c r="C8" s="2">
        <v>937.65</v>
      </c>
      <c r="D8">
        <f t="shared" si="0"/>
        <v>3729971.6999999997</v>
      </c>
      <c r="E8" s="3">
        <f t="shared" si="1"/>
        <v>8.2018076297122114E-2</v>
      </c>
      <c r="F8"/>
      <c r="G8"/>
      <c r="H8"/>
      <c r="I8"/>
    </row>
    <row r="9" spans="1:10" s="2" customFormat="1">
      <c r="A9" t="s">
        <v>11</v>
      </c>
      <c r="B9" s="4">
        <f>130+126+33+57+173+130</f>
        <v>649</v>
      </c>
      <c r="C9" s="2">
        <v>1392.1</v>
      </c>
      <c r="D9">
        <f t="shared" si="0"/>
        <v>903472.89999999991</v>
      </c>
      <c r="E9" s="3">
        <f t="shared" si="1"/>
        <v>1.9866399856219331E-2</v>
      </c>
      <c r="F9"/>
      <c r="G9"/>
      <c r="H9"/>
      <c r="I9"/>
    </row>
    <row r="10" spans="1:10" s="2" customFormat="1">
      <c r="A10" t="s">
        <v>12</v>
      </c>
      <c r="B10" s="4">
        <f>724+289+144+275-367</f>
        <v>1065</v>
      </c>
      <c r="C10" s="2">
        <v>2248.4</v>
      </c>
      <c r="D10">
        <f t="shared" si="0"/>
        <v>2394546</v>
      </c>
      <c r="E10" s="3">
        <f t="shared" si="1"/>
        <v>5.2653497753071044E-2</v>
      </c>
      <c r="F10"/>
      <c r="G10"/>
      <c r="H10"/>
      <c r="I10"/>
    </row>
    <row r="11" spans="1:10" s="2" customFormat="1">
      <c r="A11" t="s">
        <v>13</v>
      </c>
      <c r="B11" s="4">
        <f>3770+209+935+289</f>
        <v>5203</v>
      </c>
      <c r="C11" s="2">
        <v>527.70000000000005</v>
      </c>
      <c r="D11">
        <f t="shared" si="0"/>
        <v>2745623.1</v>
      </c>
      <c r="E11" s="3">
        <f t="shared" si="1"/>
        <v>6.0373306558583528E-2</v>
      </c>
      <c r="F11"/>
      <c r="G11" t="s">
        <v>42</v>
      </c>
      <c r="H11" t="s">
        <v>43</v>
      </c>
      <c r="I11"/>
    </row>
    <row r="12" spans="1:10" s="2" customFormat="1">
      <c r="A12" t="s">
        <v>14</v>
      </c>
      <c r="B12" s="4">
        <f>((840+420)*2+290+562)+3372</f>
        <v>6744</v>
      </c>
      <c r="C12" s="2">
        <v>311.95</v>
      </c>
      <c r="D12">
        <f t="shared" si="0"/>
        <v>2103790.7999999998</v>
      </c>
      <c r="E12" s="3">
        <f t="shared" si="1"/>
        <v>4.6260102817290427E-2</v>
      </c>
      <c r="F12"/>
      <c r="G12"/>
      <c r="H12"/>
      <c r="I12"/>
    </row>
    <row r="13" spans="1:10" s="2" customFormat="1">
      <c r="A13" t="s">
        <v>15</v>
      </c>
      <c r="B13" s="4">
        <f>1280+1280+1280+910+1300+1300+2940+1300-2365+1475-2568-1840</f>
        <v>6292</v>
      </c>
      <c r="C13" s="2">
        <v>123.94</v>
      </c>
      <c r="D13">
        <f t="shared" si="0"/>
        <v>779830.48</v>
      </c>
      <c r="E13" s="3">
        <f t="shared" si="1"/>
        <v>1.7147635679772413E-2</v>
      </c>
      <c r="F13"/>
      <c r="G13"/>
      <c r="H13"/>
      <c r="I13"/>
      <c r="J13" s="5"/>
    </row>
    <row r="14" spans="1:10" s="2" customFormat="1">
      <c r="A14" t="s">
        <v>16</v>
      </c>
      <c r="B14" s="4">
        <f>(410+205+135+181)*2</f>
        <v>1862</v>
      </c>
      <c r="C14" s="2">
        <v>1893.4</v>
      </c>
      <c r="D14">
        <f t="shared" si="0"/>
        <v>3525510.8000000003</v>
      </c>
      <c r="E14" s="3">
        <f t="shared" si="1"/>
        <v>7.7522200444772288E-2</v>
      </c>
      <c r="F14"/>
      <c r="G14"/>
      <c r="H14"/>
      <c r="I14"/>
    </row>
    <row r="15" spans="1:10" s="2" customFormat="1">
      <c r="A15" t="s">
        <v>17</v>
      </c>
      <c r="B15" s="4">
        <f>(1875+937+309+619)*2*2-3720-1759-2877</f>
        <v>6604</v>
      </c>
      <c r="C15" s="2">
        <v>217.39</v>
      </c>
      <c r="D15">
        <f t="shared" si="0"/>
        <v>1435643.5599999998</v>
      </c>
      <c r="E15" s="3">
        <f t="shared" si="1"/>
        <v>3.15682617751636E-2</v>
      </c>
      <c r="F15"/>
      <c r="G15"/>
      <c r="H15"/>
      <c r="I15"/>
    </row>
    <row r="16" spans="1:10" s="2" customFormat="1">
      <c r="A16" t="s">
        <v>18</v>
      </c>
      <c r="B16" s="4">
        <f>13763+6317+2811+3464+1538</f>
        <v>27893</v>
      </c>
      <c r="C16" s="2">
        <v>95.7</v>
      </c>
      <c r="D16">
        <f t="shared" si="0"/>
        <v>2669360.1</v>
      </c>
      <c r="E16" s="3">
        <f t="shared" si="1"/>
        <v>5.8696365000917711E-2</v>
      </c>
      <c r="F16"/>
      <c r="G16"/>
      <c r="H16"/>
      <c r="I16"/>
    </row>
    <row r="17" spans="1:9" s="2" customFormat="1">
      <c r="A17" t="s">
        <v>19</v>
      </c>
      <c r="B17" s="4">
        <f>458+115+189</f>
        <v>762</v>
      </c>
      <c r="C17" s="2">
        <v>4295.8999999999996</v>
      </c>
      <c r="D17">
        <f t="shared" si="0"/>
        <v>3273475.8</v>
      </c>
      <c r="E17" s="3">
        <f t="shared" si="1"/>
        <v>7.1980221169287373E-2</v>
      </c>
      <c r="F17"/>
      <c r="G17"/>
      <c r="H17"/>
      <c r="I17"/>
    </row>
    <row r="18" spans="1:9" s="2" customFormat="1">
      <c r="A18" t="s">
        <v>20</v>
      </c>
      <c r="B18" s="4">
        <f>(3075+1537+1153-53-1428-925-484-459-467-45+2345+1175)*2</f>
        <v>10848</v>
      </c>
      <c r="C18" s="2">
        <v>231.25</v>
      </c>
      <c r="D18">
        <f t="shared" si="0"/>
        <v>2508600</v>
      </c>
      <c r="E18" s="3">
        <f t="shared" si="1"/>
        <v>5.5161422859846508E-2</v>
      </c>
      <c r="F18"/>
      <c r="G18"/>
      <c r="H18"/>
      <c r="I18"/>
    </row>
    <row r="19" spans="1:9" s="2" customFormat="1">
      <c r="A19" t="s">
        <v>21</v>
      </c>
      <c r="B19" s="4">
        <f>7985+1084+1117+2249-5230-405</f>
        <v>6800</v>
      </c>
      <c r="C19" s="2">
        <v>438.7</v>
      </c>
      <c r="D19">
        <f t="shared" si="0"/>
        <v>2983160</v>
      </c>
      <c r="E19" s="3">
        <f t="shared" si="1"/>
        <v>6.5596488168133502E-2</v>
      </c>
      <c r="F19"/>
      <c r="G19"/>
      <c r="H19"/>
      <c r="I19" s="3"/>
    </row>
    <row r="20" spans="1:9" s="2" customFormat="1">
      <c r="A20" t="s">
        <v>22</v>
      </c>
      <c r="B20" s="4">
        <f>2592+518+820</f>
        <v>3930</v>
      </c>
      <c r="C20" s="2">
        <v>1367.2</v>
      </c>
      <c r="D20">
        <f t="shared" si="0"/>
        <v>5373096</v>
      </c>
      <c r="E20" s="3">
        <f t="shared" si="1"/>
        <v>0.11814861696665464</v>
      </c>
      <c r="F20"/>
      <c r="G20"/>
      <c r="H20"/>
      <c r="I20"/>
    </row>
    <row r="21" spans="1:9" s="2" customFormat="1">
      <c r="A21" t="s">
        <v>23</v>
      </c>
      <c r="B21" s="4">
        <f>40235+4295+1952-475+9018-12666-5975-9817+11418+1366-3600+5427-7979-25132+6426+17836-15111-2801-1247-5505-1765+3820-6212+5704-2774+2757-458-1307</f>
        <v>7430</v>
      </c>
      <c r="C21" s="2">
        <v>113.48</v>
      </c>
      <c r="D21">
        <f t="shared" si="0"/>
        <v>843156.4</v>
      </c>
      <c r="E21" s="3">
        <f t="shared" si="1"/>
        <v>1.8540104726694526E-2</v>
      </c>
      <c r="F21"/>
      <c r="G21" t="s">
        <v>44</v>
      </c>
      <c r="H21"/>
      <c r="I21"/>
    </row>
    <row r="22" spans="1:9" s="2" customFormat="1">
      <c r="A22"/>
      <c r="B22" s="4"/>
      <c r="D22"/>
      <c r="E22" s="3"/>
      <c r="F22"/>
      <c r="G22"/>
      <c r="H22"/>
      <c r="I22"/>
    </row>
    <row r="23" spans="1:9" s="2" customFormat="1">
      <c r="A23"/>
      <c r="B23" s="4"/>
      <c r="D23">
        <f>SUM(D5:D21)</f>
        <v>45477434.589999996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D575-10AA-4D85-88AC-979CC5858282}">
  <sheetPr>
    <pageSetUpPr fitToPage="1"/>
  </sheetPr>
  <dimension ref="A1:J23"/>
  <sheetViews>
    <sheetView workbookViewId="0">
      <selection activeCell="C22" sqref="C22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9" max="9" width="11" bestFit="1" customWidth="1"/>
    <col min="10" max="10" width="11.5703125" style="2" bestFit="1" customWidth="1"/>
    <col min="11" max="11" width="9.5703125" bestFit="1" customWidth="1"/>
  </cols>
  <sheetData>
    <row r="1" spans="1:10">
      <c r="A1" t="s">
        <v>0</v>
      </c>
      <c r="B1" s="1">
        <v>46113</v>
      </c>
      <c r="C1" s="2" t="s">
        <v>41</v>
      </c>
      <c r="E1" s="3"/>
    </row>
    <row r="2" spans="1:10">
      <c r="B2" s="4"/>
      <c r="E2" s="3"/>
    </row>
    <row r="3" spans="1:10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>
      <c r="B4" s="4"/>
      <c r="E4" s="3"/>
    </row>
    <row r="5" spans="1:10" s="2" customFormat="1">
      <c r="A5" t="s">
        <v>7</v>
      </c>
      <c r="B5" s="4">
        <f>2265+463+942</f>
        <v>3670</v>
      </c>
      <c r="C5" s="2">
        <v>529.4</v>
      </c>
      <c r="D5">
        <f t="shared" ref="D5:D21" si="0">C5*B5</f>
        <v>1942898</v>
      </c>
      <c r="E5" s="3">
        <f t="shared" ref="E5:E21" si="1">D5/$D$23</f>
        <v>4.0276400180942945E-2</v>
      </c>
      <c r="F5"/>
      <c r="G5"/>
      <c r="H5"/>
      <c r="I5"/>
    </row>
    <row r="6" spans="1:10" s="2" customFormat="1">
      <c r="A6" t="s">
        <v>8</v>
      </c>
      <c r="B6" s="4">
        <f>4326+2424</f>
        <v>6750</v>
      </c>
      <c r="C6" s="2">
        <v>1008</v>
      </c>
      <c r="D6">
        <f t="shared" si="0"/>
        <v>6804000</v>
      </c>
      <c r="E6" s="3">
        <f t="shared" si="1"/>
        <v>0.14104735649073488</v>
      </c>
      <c r="F6"/>
      <c r="G6"/>
      <c r="H6"/>
      <c r="I6"/>
    </row>
    <row r="7" spans="1:10" s="2" customFormat="1">
      <c r="A7" t="s">
        <v>9</v>
      </c>
      <c r="B7" s="4">
        <f>448*2+37+403+478+149+306+290</f>
        <v>2559</v>
      </c>
      <c r="C7" s="2">
        <v>840</v>
      </c>
      <c r="D7">
        <f t="shared" si="0"/>
        <v>2149560</v>
      </c>
      <c r="E7" s="3">
        <f t="shared" si="1"/>
        <v>4.4560516698739575E-2</v>
      </c>
      <c r="F7"/>
      <c r="G7"/>
      <c r="H7"/>
      <c r="I7"/>
    </row>
    <row r="8" spans="1:10" s="2" customFormat="1">
      <c r="A8" t="s">
        <v>10</v>
      </c>
      <c r="B8" s="4">
        <f>1410+2189+320+59</f>
        <v>3978</v>
      </c>
      <c r="C8" s="2">
        <v>997.95</v>
      </c>
      <c r="D8">
        <f t="shared" si="0"/>
        <v>3969845.1</v>
      </c>
      <c r="E8" s="3">
        <f t="shared" si="1"/>
        <v>8.2295143596810269E-2</v>
      </c>
      <c r="F8"/>
      <c r="G8"/>
      <c r="H8"/>
      <c r="I8"/>
    </row>
    <row r="9" spans="1:10" s="2" customFormat="1">
      <c r="A9" t="s">
        <v>11</v>
      </c>
      <c r="B9" s="4">
        <f>130+126+33+57+173+130</f>
        <v>649</v>
      </c>
      <c r="C9" s="2">
        <v>1451.7</v>
      </c>
      <c r="D9">
        <f t="shared" si="0"/>
        <v>942153.3</v>
      </c>
      <c r="E9" s="3">
        <f t="shared" si="1"/>
        <v>1.9530898350091461E-2</v>
      </c>
      <c r="F9"/>
      <c r="G9"/>
      <c r="H9"/>
      <c r="I9"/>
    </row>
    <row r="10" spans="1:10" s="2" customFormat="1">
      <c r="A10" t="s">
        <v>12</v>
      </c>
      <c r="B10" s="4">
        <f>724+289+144+275-367</f>
        <v>1065</v>
      </c>
      <c r="C10" s="2">
        <v>2463.3000000000002</v>
      </c>
      <c r="D10">
        <f t="shared" si="0"/>
        <v>2623414.5</v>
      </c>
      <c r="E10" s="3">
        <f t="shared" si="1"/>
        <v>5.4383550882490153E-2</v>
      </c>
      <c r="F10"/>
      <c r="G10"/>
      <c r="H10"/>
      <c r="I10"/>
    </row>
    <row r="11" spans="1:10" s="2" customFormat="1">
      <c r="A11" t="s">
        <v>13</v>
      </c>
      <c r="B11" s="4">
        <f>3770+209+935+289</f>
        <v>5203</v>
      </c>
      <c r="C11" s="2">
        <v>554.15</v>
      </c>
      <c r="D11">
        <f t="shared" si="0"/>
        <v>2883242.4499999997</v>
      </c>
      <c r="E11" s="3">
        <f t="shared" si="1"/>
        <v>5.9769800954492913E-2</v>
      </c>
      <c r="F11"/>
      <c r="G11"/>
      <c r="H11"/>
      <c r="I11"/>
    </row>
    <row r="12" spans="1:10" s="2" customFormat="1">
      <c r="A12" t="s">
        <v>14</v>
      </c>
      <c r="B12" s="4">
        <f>((840+420)*2+290+562)+3372</f>
        <v>6744</v>
      </c>
      <c r="C12" s="2">
        <v>327</v>
      </c>
      <c r="D12">
        <f t="shared" si="0"/>
        <v>2205288</v>
      </c>
      <c r="E12" s="3">
        <f t="shared" si="1"/>
        <v>4.5715761713806549E-2</v>
      </c>
      <c r="F12"/>
      <c r="G12"/>
      <c r="H12"/>
      <c r="I12"/>
    </row>
    <row r="13" spans="1:10" s="2" customFormat="1">
      <c r="A13" t="s">
        <v>15</v>
      </c>
      <c r="B13" s="4">
        <f>1280+1280+1280+910+1300+1300+2940+1300-2365+1475-2568-1840</f>
        <v>6292</v>
      </c>
      <c r="C13" s="2">
        <v>133.72</v>
      </c>
      <c r="D13">
        <f t="shared" si="0"/>
        <v>841366.24</v>
      </c>
      <c r="E13" s="3">
        <f t="shared" si="1"/>
        <v>1.744157613059218E-2</v>
      </c>
      <c r="F13"/>
      <c r="G13"/>
      <c r="H13"/>
      <c r="I13"/>
      <c r="J13" s="5"/>
    </row>
    <row r="14" spans="1:10" s="2" customFormat="1">
      <c r="A14" t="s">
        <v>16</v>
      </c>
      <c r="B14" s="4">
        <f>(410+205+135+181)*2</f>
        <v>1862</v>
      </c>
      <c r="C14" s="2">
        <v>2067.1999999999998</v>
      </c>
      <c r="D14">
        <f t="shared" si="0"/>
        <v>3849126.3999999994</v>
      </c>
      <c r="E14" s="3">
        <f t="shared" si="1"/>
        <v>7.9792637201454866E-2</v>
      </c>
      <c r="F14"/>
      <c r="G14"/>
      <c r="H14"/>
      <c r="I14"/>
    </row>
    <row r="15" spans="1:10" s="2" customFormat="1">
      <c r="A15" t="s">
        <v>17</v>
      </c>
      <c r="B15" s="4">
        <f>(1875+937+309+619)*2*2-3720-1759-2877</f>
        <v>6604</v>
      </c>
      <c r="C15" s="2">
        <v>217.87</v>
      </c>
      <c r="D15">
        <f t="shared" si="0"/>
        <v>1438813.48</v>
      </c>
      <c r="E15" s="3">
        <f t="shared" si="1"/>
        <v>2.9826695743273787E-2</v>
      </c>
      <c r="F15"/>
      <c r="G15"/>
      <c r="H15"/>
      <c r="I15"/>
    </row>
    <row r="16" spans="1:10" s="2" customFormat="1">
      <c r="A16" t="s">
        <v>18</v>
      </c>
      <c r="B16" s="4">
        <f>13763+6317+2811+3464+1538</f>
        <v>27893</v>
      </c>
      <c r="C16" s="2">
        <v>102.47</v>
      </c>
      <c r="D16">
        <f t="shared" si="0"/>
        <v>2858195.71</v>
      </c>
      <c r="E16" s="3">
        <f t="shared" si="1"/>
        <v>5.9250580427492518E-2</v>
      </c>
      <c r="F16"/>
      <c r="G16"/>
      <c r="H16"/>
      <c r="I16"/>
    </row>
    <row r="17" spans="1:9" s="2" customFormat="1">
      <c r="A17" t="s">
        <v>19</v>
      </c>
      <c r="B17" s="4">
        <f>458+115+189</f>
        <v>762</v>
      </c>
      <c r="C17" s="2">
        <v>4565.3999999999996</v>
      </c>
      <c r="D17">
        <f t="shared" si="0"/>
        <v>3478834.8</v>
      </c>
      <c r="E17" s="3">
        <f t="shared" si="1"/>
        <v>7.2116468578479476E-2</v>
      </c>
      <c r="F17"/>
      <c r="G17"/>
      <c r="H17"/>
      <c r="I17"/>
    </row>
    <row r="18" spans="1:9" s="2" customFormat="1">
      <c r="A18" t="s">
        <v>20</v>
      </c>
      <c r="B18" s="4">
        <f>(3075+1537+1153-53-1428-925-484-459-467-45+2345+1175)*2</f>
        <v>10848</v>
      </c>
      <c r="C18" s="2">
        <v>245.49</v>
      </c>
      <c r="D18">
        <f t="shared" si="0"/>
        <v>2663075.52</v>
      </c>
      <c r="E18" s="3">
        <f t="shared" si="1"/>
        <v>5.5205726371426983E-2</v>
      </c>
      <c r="F18"/>
      <c r="G18"/>
      <c r="H18"/>
      <c r="I18"/>
    </row>
    <row r="19" spans="1:9" s="2" customFormat="1">
      <c r="A19" t="s">
        <v>21</v>
      </c>
      <c r="B19" s="4">
        <f>7985+1084+1117+2249-5230-405-983</f>
        <v>5817</v>
      </c>
      <c r="C19" s="2">
        <v>447.9</v>
      </c>
      <c r="D19">
        <f t="shared" si="0"/>
        <v>2605434.2999999998</v>
      </c>
      <c r="E19" s="3">
        <f t="shared" si="1"/>
        <v>5.4010820183022966E-2</v>
      </c>
      <c r="F19"/>
      <c r="G19" t="s">
        <v>45</v>
      </c>
      <c r="H19"/>
      <c r="I19" s="3"/>
    </row>
    <row r="20" spans="1:9" s="2" customFormat="1">
      <c r="A20" t="s">
        <v>22</v>
      </c>
      <c r="B20" s="4">
        <f>2592+518+820</f>
        <v>3930</v>
      </c>
      <c r="C20" s="2">
        <v>1450.4</v>
      </c>
      <c r="D20">
        <f t="shared" si="0"/>
        <v>5700072</v>
      </c>
      <c r="E20" s="3">
        <f t="shared" si="1"/>
        <v>0.11816285823146035</v>
      </c>
      <c r="F20"/>
      <c r="G20"/>
      <c r="H20"/>
      <c r="I20"/>
    </row>
    <row r="21" spans="1:9" s="2" customFormat="1">
      <c r="A21" t="s">
        <v>23</v>
      </c>
      <c r="B21" s="4">
        <f>40235+4295+1952-475+9018-12666-5975-9817+11418+1366-3600+5427-7979-25132+6426+17836-15111-2801-1247-5505-1765+3820-6212+5704-2774+2757-458-1307+3879</f>
        <v>11309</v>
      </c>
      <c r="C21" s="2">
        <v>113.52</v>
      </c>
      <c r="D21">
        <f t="shared" si="0"/>
        <v>1283797.68</v>
      </c>
      <c r="E21" s="3">
        <f t="shared" si="1"/>
        <v>2.661320826468818E-2</v>
      </c>
      <c r="F21"/>
      <c r="G21" t="s">
        <v>46</v>
      </c>
      <c r="H21"/>
      <c r="I21"/>
    </row>
    <row r="22" spans="1:9" s="2" customFormat="1">
      <c r="A22"/>
      <c r="B22" s="4"/>
      <c r="D22"/>
      <c r="E22" s="3"/>
      <c r="F22"/>
      <c r="G22"/>
      <c r="H22"/>
      <c r="I22"/>
    </row>
    <row r="23" spans="1:9" s="2" customFormat="1">
      <c r="A23"/>
      <c r="B23" s="4"/>
      <c r="D23">
        <f>SUM(D5:D21)</f>
        <v>48239117.479999997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35F46-7C96-4F0E-A6E4-14384291A928}">
  <sheetPr>
    <pageSetUpPr fitToPage="1"/>
  </sheetPr>
  <dimension ref="A1:J24"/>
  <sheetViews>
    <sheetView workbookViewId="0">
      <selection activeCell="E23" sqref="E23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9" max="9" width="11" bestFit="1" customWidth="1"/>
    <col min="10" max="10" width="11.5703125" style="2" bestFit="1" customWidth="1"/>
    <col min="11" max="11" width="9.5703125" bestFit="1" customWidth="1"/>
  </cols>
  <sheetData>
    <row r="1" spans="1:10">
      <c r="A1" t="s">
        <v>0</v>
      </c>
      <c r="B1" s="1">
        <v>46113</v>
      </c>
      <c r="C1" s="2" t="s">
        <v>41</v>
      </c>
      <c r="E1" s="3"/>
    </row>
    <row r="2" spans="1:10">
      <c r="B2" s="4"/>
      <c r="E2" s="3"/>
    </row>
    <row r="3" spans="1:10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>
      <c r="B4" s="4"/>
      <c r="E4" s="3"/>
    </row>
    <row r="5" spans="1:10" s="2" customFormat="1">
      <c r="A5" t="s">
        <v>7</v>
      </c>
      <c r="B5" s="4">
        <f>2265+463+942</f>
        <v>3670</v>
      </c>
      <c r="C5" s="2">
        <v>530.20000000000005</v>
      </c>
      <c r="D5">
        <f t="shared" ref="D5:D22" si="0">C5*B5</f>
        <v>1945834.0000000002</v>
      </c>
      <c r="E5" s="3">
        <f t="shared" ref="E5:E22" si="1">D5/$D$24</f>
        <v>3.9076822013830004E-2</v>
      </c>
      <c r="F5"/>
      <c r="G5"/>
      <c r="H5"/>
      <c r="I5"/>
    </row>
    <row r="6" spans="1:10" s="2" customFormat="1">
      <c r="A6" t="s">
        <v>8</v>
      </c>
      <c r="B6" s="4">
        <f>4326+2424</f>
        <v>6750</v>
      </c>
      <c r="C6" s="2">
        <v>1015.65</v>
      </c>
      <c r="D6">
        <f t="shared" si="0"/>
        <v>6855637.5</v>
      </c>
      <c r="E6" s="3">
        <f t="shared" si="1"/>
        <v>0.13767696852806482</v>
      </c>
      <c r="F6"/>
      <c r="G6"/>
      <c r="H6"/>
      <c r="I6"/>
    </row>
    <row r="7" spans="1:10" s="2" customFormat="1">
      <c r="A7" t="s">
        <v>47</v>
      </c>
      <c r="B7" s="4">
        <v>1655</v>
      </c>
      <c r="C7" s="2">
        <v>863.05</v>
      </c>
      <c r="D7">
        <f t="shared" si="0"/>
        <v>1428347.75</v>
      </c>
      <c r="E7" s="3">
        <f t="shared" si="1"/>
        <v>2.8684507928530674E-2</v>
      </c>
      <c r="F7"/>
      <c r="G7" t="s">
        <v>48</v>
      </c>
      <c r="H7"/>
      <c r="I7"/>
    </row>
    <row r="8" spans="1:10" s="2" customFormat="1">
      <c r="A8" t="s">
        <v>9</v>
      </c>
      <c r="B8" s="4">
        <f>448*2+37+403+478+149+306+290</f>
        <v>2559</v>
      </c>
      <c r="C8" s="2">
        <v>869</v>
      </c>
      <c r="D8">
        <f t="shared" si="0"/>
        <v>2223771</v>
      </c>
      <c r="E8" s="3">
        <f t="shared" si="1"/>
        <v>4.4658436211165373E-2</v>
      </c>
      <c r="F8"/>
      <c r="G8"/>
      <c r="H8"/>
      <c r="I8"/>
    </row>
    <row r="9" spans="1:10" s="2" customFormat="1">
      <c r="A9" t="s">
        <v>10</v>
      </c>
      <c r="B9" s="4">
        <f>1410+2189+320+59</f>
        <v>3978</v>
      </c>
      <c r="C9" s="2">
        <v>1058.3499999999999</v>
      </c>
      <c r="D9">
        <f t="shared" si="0"/>
        <v>4210116.3</v>
      </c>
      <c r="E9" s="3">
        <f t="shared" si="1"/>
        <v>8.454881830239605E-2</v>
      </c>
      <c r="F9"/>
      <c r="G9"/>
      <c r="H9"/>
      <c r="I9"/>
    </row>
    <row r="10" spans="1:10" s="2" customFormat="1">
      <c r="A10" t="s">
        <v>11</v>
      </c>
      <c r="B10" s="4">
        <f>130+126+33+57+173+130</f>
        <v>649</v>
      </c>
      <c r="C10" s="2">
        <v>1427.6</v>
      </c>
      <c r="D10">
        <f t="shared" si="0"/>
        <v>926512.39999999991</v>
      </c>
      <c r="E10" s="3">
        <f t="shared" si="1"/>
        <v>1.8606499911300999E-2</v>
      </c>
      <c r="F10"/>
      <c r="G10"/>
      <c r="H10"/>
      <c r="I10"/>
    </row>
    <row r="11" spans="1:10" s="2" customFormat="1">
      <c r="A11" t="s">
        <v>12</v>
      </c>
      <c r="B11" s="4">
        <f>724+289+144+275-367</f>
        <v>1065</v>
      </c>
      <c r="C11" s="2">
        <v>2450.1</v>
      </c>
      <c r="D11">
        <f t="shared" si="0"/>
        <v>2609356.5</v>
      </c>
      <c r="E11" s="3">
        <f t="shared" si="1"/>
        <v>5.2401879873170271E-2</v>
      </c>
      <c r="F11"/>
      <c r="G11"/>
      <c r="H11"/>
      <c r="I11"/>
    </row>
    <row r="12" spans="1:10" s="2" customFormat="1">
      <c r="A12" t="s">
        <v>13</v>
      </c>
      <c r="B12" s="4">
        <f>3770+209+935+289</f>
        <v>5203</v>
      </c>
      <c r="C12" s="2">
        <v>558.20000000000005</v>
      </c>
      <c r="D12">
        <f t="shared" si="0"/>
        <v>2904314.6</v>
      </c>
      <c r="E12" s="3">
        <f t="shared" si="1"/>
        <v>5.8325316905947722E-2</v>
      </c>
      <c r="F12"/>
      <c r="G12"/>
      <c r="H12"/>
      <c r="I12"/>
    </row>
    <row r="13" spans="1:10" s="2" customFormat="1">
      <c r="A13" t="s">
        <v>14</v>
      </c>
      <c r="B13" s="4">
        <f>((840+420)*2+290+562)+3372</f>
        <v>6744</v>
      </c>
      <c r="C13" s="2">
        <v>338</v>
      </c>
      <c r="D13">
        <f t="shared" si="0"/>
        <v>2279472</v>
      </c>
      <c r="E13" s="3">
        <f t="shared" si="1"/>
        <v>4.5777040399905183E-2</v>
      </c>
      <c r="F13"/>
      <c r="G13"/>
      <c r="H13"/>
      <c r="I13"/>
    </row>
    <row r="14" spans="1:10" s="2" customFormat="1">
      <c r="A14" t="s">
        <v>15</v>
      </c>
      <c r="B14" s="4">
        <f>1280+1280+1280+910+1300+1300+2940+1300-2365+1475-2568-1840</f>
        <v>6292</v>
      </c>
      <c r="C14" s="2">
        <v>154.86000000000001</v>
      </c>
      <c r="D14">
        <f t="shared" si="0"/>
        <v>974379.12000000011</v>
      </c>
      <c r="E14" s="3">
        <f t="shared" si="1"/>
        <v>1.956777373929755E-2</v>
      </c>
      <c r="F14"/>
      <c r="G14"/>
      <c r="H14"/>
      <c r="I14"/>
      <c r="J14" s="5"/>
    </row>
    <row r="15" spans="1:10" s="2" customFormat="1">
      <c r="A15" t="s">
        <v>16</v>
      </c>
      <c r="B15" s="4">
        <f>(410+205+135+181)*2</f>
        <v>1862</v>
      </c>
      <c r="C15" s="2">
        <v>2261.6</v>
      </c>
      <c r="D15">
        <f t="shared" si="0"/>
        <v>4211099.2</v>
      </c>
      <c r="E15" s="3">
        <f t="shared" si="1"/>
        <v>8.4568557195003238E-2</v>
      </c>
      <c r="F15"/>
      <c r="G15"/>
      <c r="H15"/>
      <c r="I15"/>
    </row>
    <row r="16" spans="1:10" s="2" customFormat="1">
      <c r="A16" t="s">
        <v>17</v>
      </c>
      <c r="B16" s="4">
        <f>(1875+937+309+619)*2*2-3720-1759-2877-896</f>
        <v>5708</v>
      </c>
      <c r="C16" s="2">
        <v>222.55</v>
      </c>
      <c r="D16">
        <f t="shared" si="0"/>
        <v>1270315.4000000001</v>
      </c>
      <c r="E16" s="3">
        <f t="shared" si="1"/>
        <v>2.5510854876226476E-2</v>
      </c>
      <c r="F16"/>
      <c r="G16" t="s">
        <v>49</v>
      </c>
      <c r="H16"/>
      <c r="I16"/>
    </row>
    <row r="17" spans="1:9" s="2" customFormat="1">
      <c r="A17" t="s">
        <v>18</v>
      </c>
      <c r="B17" s="4">
        <f>13763+6317+2811+3464+1538</f>
        <v>27893</v>
      </c>
      <c r="C17" s="2">
        <v>106.86</v>
      </c>
      <c r="D17">
        <f t="shared" si="0"/>
        <v>2980645.98</v>
      </c>
      <c r="E17" s="3">
        <f t="shared" si="1"/>
        <v>5.9858226573642918E-2</v>
      </c>
      <c r="F17"/>
      <c r="G17"/>
      <c r="H17"/>
      <c r="I17"/>
    </row>
    <row r="18" spans="1:9" s="2" customFormat="1">
      <c r="A18" t="s">
        <v>19</v>
      </c>
      <c r="B18" s="4">
        <f>458+115+189</f>
        <v>762</v>
      </c>
      <c r="C18" s="2">
        <v>4499</v>
      </c>
      <c r="D18">
        <f t="shared" si="0"/>
        <v>3428238</v>
      </c>
      <c r="E18" s="3">
        <f t="shared" si="1"/>
        <v>6.8846903768280607E-2</v>
      </c>
      <c r="F18"/>
      <c r="G18"/>
      <c r="H18"/>
      <c r="I18"/>
    </row>
    <row r="19" spans="1:9" s="2" customFormat="1">
      <c r="A19" t="s">
        <v>20</v>
      </c>
      <c r="B19" s="4">
        <f>(3075+1537+1153-53-1428-925-484-459-467-45+2345+1175)*2</f>
        <v>10848</v>
      </c>
      <c r="C19" s="2">
        <v>263.48</v>
      </c>
      <c r="D19">
        <f t="shared" si="0"/>
        <v>2858231.04</v>
      </c>
      <c r="E19" s="3">
        <f t="shared" si="1"/>
        <v>5.7399853031905201E-2</v>
      </c>
      <c r="F19"/>
      <c r="G19"/>
      <c r="H19"/>
      <c r="I19"/>
    </row>
    <row r="20" spans="1:9" s="2" customFormat="1">
      <c r="A20" t="s">
        <v>21</v>
      </c>
      <c r="B20" s="4">
        <f>7985+1084+1117+2249-5230-405-983-767</f>
        <v>5050</v>
      </c>
      <c r="C20" s="2">
        <v>442.7</v>
      </c>
      <c r="D20">
        <f t="shared" si="0"/>
        <v>2235635</v>
      </c>
      <c r="E20" s="3">
        <f t="shared" si="1"/>
        <v>4.4896692617607072E-2</v>
      </c>
      <c r="F20"/>
      <c r="G20" t="s">
        <v>50</v>
      </c>
      <c r="H20"/>
    </row>
    <row r="21" spans="1:9" s="2" customFormat="1">
      <c r="A21" t="s">
        <v>22</v>
      </c>
      <c r="B21" s="4">
        <f>2592+518+820</f>
        <v>3930</v>
      </c>
      <c r="C21" s="2">
        <v>1541.4</v>
      </c>
      <c r="D21">
        <f t="shared" si="0"/>
        <v>6057702</v>
      </c>
      <c r="E21" s="3">
        <f t="shared" si="1"/>
        <v>0.1216525884874157</v>
      </c>
      <c r="F21"/>
      <c r="G21"/>
      <c r="H21"/>
      <c r="I21"/>
    </row>
    <row r="22" spans="1:9" s="2" customFormat="1">
      <c r="A22" t="s">
        <v>23</v>
      </c>
      <c r="B22" s="4">
        <f>40235+4295+1952-475+9018-12666-5975-9817+11418+1366-3600+5427-7979-25132+6426+17836-15111-2801-1247-5505-1765+3820-6212+5704-2774+2757-458-1307+3879-7827</f>
        <v>3482</v>
      </c>
      <c r="C22" s="2">
        <v>113.58</v>
      </c>
      <c r="D22">
        <f t="shared" si="0"/>
        <v>395485.56</v>
      </c>
      <c r="E22" s="3">
        <f t="shared" si="1"/>
        <v>7.9422596363101297E-3</v>
      </c>
      <c r="F22"/>
      <c r="G22" t="s">
        <v>51</v>
      </c>
      <c r="H22"/>
      <c r="I22"/>
    </row>
    <row r="23" spans="1:9" s="2" customFormat="1">
      <c r="A23"/>
      <c r="B23" s="4"/>
      <c r="D23"/>
      <c r="E23" s="3"/>
      <c r="F23"/>
      <c r="G23"/>
      <c r="H23"/>
      <c r="I23"/>
    </row>
    <row r="24" spans="1:9" s="2" customFormat="1">
      <c r="A24"/>
      <c r="B24" s="4"/>
      <c r="D24">
        <f>SUM(D5:D22)</f>
        <v>49795093.350000001</v>
      </c>
      <c r="E24"/>
      <c r="F24"/>
      <c r="G24"/>
      <c r="H24"/>
      <c r="I24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83CB7-9E5C-45AB-A32E-E0C6C1E35AD9}">
  <sheetPr>
    <pageSetUpPr fitToPage="1"/>
  </sheetPr>
  <dimension ref="A1:J25"/>
  <sheetViews>
    <sheetView workbookViewId="0">
      <selection activeCell="G18" sqref="G18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9" max="9" width="11" bestFit="1" customWidth="1"/>
    <col min="10" max="10" width="11.5703125" style="2" bestFit="1" customWidth="1"/>
    <col min="11" max="11" width="9.5703125" bestFit="1" customWidth="1"/>
  </cols>
  <sheetData>
    <row r="1" spans="1:10">
      <c r="A1" t="s">
        <v>0</v>
      </c>
      <c r="B1" s="1">
        <v>46128</v>
      </c>
      <c r="C1" s="2" t="s">
        <v>52</v>
      </c>
      <c r="E1" s="3"/>
    </row>
    <row r="2" spans="1:10">
      <c r="B2" s="4"/>
      <c r="E2" s="3"/>
    </row>
    <row r="3" spans="1:10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>
      <c r="B4" s="4"/>
      <c r="E4" s="3"/>
    </row>
    <row r="5" spans="1:10" s="2" customFormat="1">
      <c r="A5" t="s">
        <v>7</v>
      </c>
      <c r="B5" s="4">
        <f>2265+463+942</f>
        <v>3670</v>
      </c>
      <c r="C5" s="2">
        <v>541.95000000000005</v>
      </c>
      <c r="D5">
        <f t="shared" ref="D5:D23" si="0">C5*B5</f>
        <v>1988956.5000000002</v>
      </c>
      <c r="E5" s="3">
        <f t="shared" ref="E5:E23" si="1">D5/$D$25</f>
        <v>3.9267968099821374E-2</v>
      </c>
      <c r="F5"/>
      <c r="G5"/>
      <c r="H5"/>
      <c r="I5"/>
    </row>
    <row r="6" spans="1:10" s="2" customFormat="1">
      <c r="A6" t="s">
        <v>8</v>
      </c>
      <c r="B6" s="4">
        <f>4326+2424</f>
        <v>6750</v>
      </c>
      <c r="C6" s="2">
        <v>1032.5</v>
      </c>
      <c r="D6">
        <f t="shared" si="0"/>
        <v>6969375</v>
      </c>
      <c r="E6" s="3">
        <f t="shared" si="1"/>
        <v>0.13759637034580322</v>
      </c>
      <c r="F6"/>
      <c r="G6"/>
      <c r="H6"/>
      <c r="I6"/>
    </row>
    <row r="7" spans="1:10" s="2" customFormat="1">
      <c r="A7" t="s">
        <v>47</v>
      </c>
      <c r="B7" s="4">
        <v>1655</v>
      </c>
      <c r="C7" s="2">
        <v>871.05</v>
      </c>
      <c r="D7">
        <f t="shared" si="0"/>
        <v>1441587.75</v>
      </c>
      <c r="E7" s="3">
        <f t="shared" si="1"/>
        <v>2.8461266890499246E-2</v>
      </c>
      <c r="F7"/>
      <c r="G7"/>
      <c r="H7"/>
      <c r="I7"/>
    </row>
    <row r="8" spans="1:10" s="2" customFormat="1">
      <c r="A8" t="s">
        <v>9</v>
      </c>
      <c r="B8" s="4">
        <f>448*2+37+403+478+149+306+290</f>
        <v>2559</v>
      </c>
      <c r="C8" s="2">
        <v>902</v>
      </c>
      <c r="D8">
        <f t="shared" si="0"/>
        <v>2308218</v>
      </c>
      <c r="E8" s="3">
        <f t="shared" si="1"/>
        <v>4.557114788153159E-2</v>
      </c>
      <c r="F8"/>
      <c r="G8"/>
      <c r="H8"/>
      <c r="I8"/>
    </row>
    <row r="9" spans="1:10" s="2" customFormat="1">
      <c r="A9" t="s">
        <v>10</v>
      </c>
      <c r="B9" s="4">
        <f>1410+2189+320+59</f>
        <v>3978</v>
      </c>
      <c r="C9" s="2">
        <v>1067.05</v>
      </c>
      <c r="D9">
        <f t="shared" si="0"/>
        <v>4244724.8999999994</v>
      </c>
      <c r="E9" s="3">
        <f t="shared" si="1"/>
        <v>8.3803603530654108E-2</v>
      </c>
      <c r="F9"/>
      <c r="G9"/>
      <c r="H9"/>
      <c r="I9"/>
    </row>
    <row r="10" spans="1:10" s="2" customFormat="1">
      <c r="A10" t="s">
        <v>11</v>
      </c>
      <c r="B10" s="4">
        <f>130+126+33+57+173+130</f>
        <v>649</v>
      </c>
      <c r="C10" s="2">
        <v>1486.2</v>
      </c>
      <c r="D10">
        <f t="shared" si="0"/>
        <v>964543.8</v>
      </c>
      <c r="E10" s="3">
        <f t="shared" si="1"/>
        <v>1.9042988204759876E-2</v>
      </c>
      <c r="F10"/>
      <c r="G10"/>
      <c r="H10"/>
      <c r="I10"/>
    </row>
    <row r="11" spans="1:10" s="2" customFormat="1">
      <c r="A11" t="s">
        <v>12</v>
      </c>
      <c r="B11" s="4">
        <f>724+289+144+275-367</f>
        <v>1065</v>
      </c>
      <c r="C11" s="2">
        <v>2591.9</v>
      </c>
      <c r="D11">
        <f t="shared" si="0"/>
        <v>2760373.5</v>
      </c>
      <c r="E11" s="3">
        <f t="shared" si="1"/>
        <v>5.4498053899918006E-2</v>
      </c>
      <c r="F11"/>
      <c r="G11"/>
      <c r="H11"/>
      <c r="I11"/>
    </row>
    <row r="12" spans="1:10" s="2" customFormat="1">
      <c r="A12" t="s">
        <v>13</v>
      </c>
      <c r="B12" s="4">
        <f>3770+209+935+289</f>
        <v>5203</v>
      </c>
      <c r="C12" s="2">
        <v>560.85</v>
      </c>
      <c r="D12">
        <f t="shared" si="0"/>
        <v>2918102.5500000003</v>
      </c>
      <c r="E12" s="3">
        <f t="shared" si="1"/>
        <v>5.7612098527749303E-2</v>
      </c>
      <c r="F12"/>
      <c r="G12"/>
      <c r="H12"/>
      <c r="I12"/>
    </row>
    <row r="13" spans="1:10" s="2" customFormat="1">
      <c r="A13" t="s">
        <v>53</v>
      </c>
      <c r="B13" s="4">
        <v>2434</v>
      </c>
      <c r="C13" s="2">
        <v>626.85</v>
      </c>
      <c r="D13">
        <f t="shared" si="0"/>
        <v>1525752.9000000001</v>
      </c>
      <c r="E13" s="3">
        <f t="shared" si="1"/>
        <v>3.0122939443577548E-2</v>
      </c>
      <c r="F13"/>
      <c r="G13" t="s">
        <v>54</v>
      </c>
      <c r="H13"/>
      <c r="I13"/>
    </row>
    <row r="14" spans="1:10" s="2" customFormat="1">
      <c r="A14" t="s">
        <v>14</v>
      </c>
      <c r="B14" s="4">
        <f>((840+420)*2+290+562)+3372</f>
        <v>6744</v>
      </c>
      <c r="C14" s="2">
        <v>356.85</v>
      </c>
      <c r="D14">
        <f t="shared" si="0"/>
        <v>2406596.4000000004</v>
      </c>
      <c r="E14" s="3">
        <f t="shared" si="1"/>
        <v>4.7513432628790507E-2</v>
      </c>
      <c r="F14"/>
      <c r="G14"/>
      <c r="H14"/>
      <c r="I14"/>
    </row>
    <row r="15" spans="1:10" s="2" customFormat="1">
      <c r="A15" t="s">
        <v>15</v>
      </c>
      <c r="B15" s="4">
        <f>1280+1280+1280+910+1300+1300+2940+1300-2365+1475-2568-1840</f>
        <v>6292</v>
      </c>
      <c r="C15" s="2">
        <v>156.47999999999999</v>
      </c>
      <c r="D15">
        <f t="shared" si="0"/>
        <v>984572.15999999992</v>
      </c>
      <c r="E15" s="3">
        <f t="shared" si="1"/>
        <v>1.9438408115437525E-2</v>
      </c>
      <c r="F15"/>
      <c r="G15"/>
      <c r="H15"/>
      <c r="I15"/>
      <c r="J15" s="5"/>
    </row>
    <row r="16" spans="1:10" s="2" customFormat="1">
      <c r="A16" t="s">
        <v>16</v>
      </c>
      <c r="B16" s="4">
        <f>(410+205+135+181)*2</f>
        <v>1862</v>
      </c>
      <c r="C16" s="2">
        <v>2304.5</v>
      </c>
      <c r="D16">
        <f t="shared" si="0"/>
        <v>4290979</v>
      </c>
      <c r="E16" s="3">
        <f t="shared" si="1"/>
        <v>8.4716798225101156E-2</v>
      </c>
      <c r="F16"/>
      <c r="G16"/>
      <c r="H16"/>
      <c r="I16"/>
    </row>
    <row r="17" spans="1:9" s="2" customFormat="1">
      <c r="A17" t="s">
        <v>17</v>
      </c>
      <c r="B17" s="4">
        <f>(1875+937+309+619)*2*2-3720-1759-2877-896-2991</f>
        <v>2717</v>
      </c>
      <c r="C17" s="2">
        <v>235.28</v>
      </c>
      <c r="D17">
        <f t="shared" si="0"/>
        <v>639255.76</v>
      </c>
      <c r="E17" s="3">
        <f t="shared" si="1"/>
        <v>1.2620826444071082E-2</v>
      </c>
      <c r="F17"/>
      <c r="G17" t="s">
        <v>55</v>
      </c>
      <c r="H17"/>
      <c r="I17"/>
    </row>
    <row r="18" spans="1:9" s="2" customFormat="1">
      <c r="A18" t="s">
        <v>18</v>
      </c>
      <c r="B18" s="4">
        <f>13763+6317+2811+3464+1538</f>
        <v>27893</v>
      </c>
      <c r="C18" s="2">
        <v>107.7</v>
      </c>
      <c r="D18">
        <f t="shared" si="0"/>
        <v>3004076.1</v>
      </c>
      <c r="E18" s="3">
        <f t="shared" si="1"/>
        <v>5.9309474321955151E-2</v>
      </c>
      <c r="F18"/>
      <c r="G18"/>
      <c r="H18"/>
      <c r="I18"/>
    </row>
    <row r="19" spans="1:9" s="2" customFormat="1">
      <c r="A19" t="s">
        <v>19</v>
      </c>
      <c r="B19" s="4">
        <f>458+115+189</f>
        <v>762</v>
      </c>
      <c r="C19" s="2">
        <v>4601</v>
      </c>
      <c r="D19">
        <f t="shared" si="0"/>
        <v>3505962</v>
      </c>
      <c r="E19" s="3">
        <f t="shared" si="1"/>
        <v>6.9218207625549338E-2</v>
      </c>
      <c r="F19"/>
      <c r="G19"/>
      <c r="H19"/>
      <c r="I19"/>
    </row>
    <row r="20" spans="1:9" s="2" customFormat="1">
      <c r="A20" t="s">
        <v>20</v>
      </c>
      <c r="B20" s="4">
        <f>(3075+1537+1153-53-1428-925-484-459-467-45+2345+1175)*2</f>
        <v>10848</v>
      </c>
      <c r="C20" s="2">
        <v>264.37</v>
      </c>
      <c r="D20">
        <f t="shared" si="0"/>
        <v>2867885.7600000002</v>
      </c>
      <c r="E20" s="3">
        <f t="shared" si="1"/>
        <v>5.6620668444791009E-2</v>
      </c>
      <c r="F20"/>
      <c r="G20"/>
      <c r="H20"/>
      <c r="I20"/>
    </row>
    <row r="21" spans="1:9" s="2" customFormat="1">
      <c r="A21" t="s">
        <v>21</v>
      </c>
      <c r="B21" s="4">
        <f>7985+1084+1117+2249-5230-405-983-767-1715</f>
        <v>3335</v>
      </c>
      <c r="C21" s="2">
        <v>448.8</v>
      </c>
      <c r="D21">
        <f t="shared" si="0"/>
        <v>1496748</v>
      </c>
      <c r="E21" s="3">
        <f t="shared" si="1"/>
        <v>2.9550295704039498E-2</v>
      </c>
      <c r="F21"/>
      <c r="G21" t="s">
        <v>56</v>
      </c>
      <c r="H21"/>
    </row>
    <row r="22" spans="1:9" s="2" customFormat="1">
      <c r="A22" t="s">
        <v>22</v>
      </c>
      <c r="B22" s="4">
        <f>2592+518+820</f>
        <v>3930</v>
      </c>
      <c r="C22" s="2">
        <v>1517.5</v>
      </c>
      <c r="D22">
        <f t="shared" si="0"/>
        <v>5963775</v>
      </c>
      <c r="E22" s="3">
        <f t="shared" si="1"/>
        <v>0.11774280958608807</v>
      </c>
      <c r="F22"/>
      <c r="G22"/>
      <c r="H22"/>
      <c r="I22"/>
    </row>
    <row r="23" spans="1:9" s="2" customFormat="1">
      <c r="A23" t="s">
        <v>23</v>
      </c>
      <c r="B23" s="4">
        <f>40235+4295+1952-475+9018-12666-5975-9817+11418+1366-3600+5427-7979-25132+6426+17836-15111-2801-1247-5505-1765+3820-6212+5704-2774+2757-458-1307+3879-7827-231</f>
        <v>3251</v>
      </c>
      <c r="C23" s="2">
        <v>113.62</v>
      </c>
      <c r="D23">
        <f t="shared" si="0"/>
        <v>369378.62</v>
      </c>
      <c r="E23" s="3">
        <f t="shared" si="1"/>
        <v>7.2926420798625005E-3</v>
      </c>
      <c r="F23"/>
      <c r="G23" t="s">
        <v>57</v>
      </c>
      <c r="H23"/>
      <c r="I23"/>
    </row>
    <row r="24" spans="1:9" s="2" customFormat="1">
      <c r="A24"/>
      <c r="B24" s="4"/>
      <c r="D24"/>
      <c r="E24" s="3"/>
      <c r="F24"/>
      <c r="G24"/>
      <c r="H24"/>
      <c r="I24"/>
    </row>
    <row r="25" spans="1:9" s="2" customFormat="1">
      <c r="A25"/>
      <c r="B25" s="4"/>
      <c r="D25">
        <f>SUM(D5:D23)</f>
        <v>50650863.699999996</v>
      </c>
      <c r="E25"/>
      <c r="F25"/>
      <c r="G25"/>
      <c r="H25"/>
      <c r="I25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D955-6839-4287-AF9B-B8A53E869128}">
  <sheetPr>
    <pageSetUpPr fitToPage="1"/>
  </sheetPr>
  <dimension ref="A1:J26"/>
  <sheetViews>
    <sheetView workbookViewId="0">
      <selection activeCell="H14" sqref="H14:H15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9" max="9" width="11" bestFit="1" customWidth="1"/>
    <col min="10" max="10" width="11.5703125" style="2" bestFit="1" customWidth="1"/>
    <col min="11" max="11" width="9.5703125" bestFit="1" customWidth="1"/>
  </cols>
  <sheetData>
    <row r="1" spans="1:10">
      <c r="A1" t="s">
        <v>0</v>
      </c>
      <c r="B1" s="1">
        <v>46147</v>
      </c>
      <c r="C1" s="2" t="s">
        <v>58</v>
      </c>
      <c r="E1" s="3"/>
    </row>
    <row r="2" spans="1:10">
      <c r="B2" s="4"/>
      <c r="E2" s="3"/>
    </row>
    <row r="3" spans="1:10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>
      <c r="B4" s="4"/>
      <c r="E4" s="3"/>
    </row>
    <row r="5" spans="1:10" s="2" customFormat="1">
      <c r="A5" t="s">
        <v>7</v>
      </c>
      <c r="B5" s="4">
        <f>2265+463+942</f>
        <v>3670</v>
      </c>
      <c r="C5" s="2">
        <v>653.79999999999995</v>
      </c>
      <c r="D5">
        <f t="shared" ref="D5:D24" si="0">C5*B5</f>
        <v>2399446</v>
      </c>
      <c r="E5" s="3">
        <f t="shared" ref="E5:E24" si="1">D5/$D$26</f>
        <v>4.5659973015229699E-2</v>
      </c>
      <c r="F5"/>
      <c r="G5"/>
      <c r="H5"/>
      <c r="I5"/>
    </row>
    <row r="6" spans="1:10" s="2" customFormat="1">
      <c r="A6" t="s">
        <v>8</v>
      </c>
      <c r="B6" s="4">
        <f>4326+2424</f>
        <v>6750</v>
      </c>
      <c r="C6" s="2">
        <v>1110.7</v>
      </c>
      <c r="D6">
        <f t="shared" si="0"/>
        <v>7497225</v>
      </c>
      <c r="E6" s="3">
        <f t="shared" si="1"/>
        <v>0.14266755375578591</v>
      </c>
      <c r="F6"/>
      <c r="G6"/>
      <c r="H6"/>
      <c r="I6"/>
    </row>
    <row r="7" spans="1:10" s="2" customFormat="1">
      <c r="A7" t="s">
        <v>47</v>
      </c>
      <c r="B7" s="4">
        <v>1655</v>
      </c>
      <c r="C7" s="2">
        <v>934</v>
      </c>
      <c r="D7">
        <f t="shared" si="0"/>
        <v>1545770</v>
      </c>
      <c r="E7" s="3">
        <f t="shared" si="1"/>
        <v>2.9415046843209482E-2</v>
      </c>
      <c r="F7"/>
      <c r="G7"/>
      <c r="H7"/>
      <c r="I7"/>
    </row>
    <row r="8" spans="1:10" s="2" customFormat="1">
      <c r="A8" t="s">
        <v>9</v>
      </c>
      <c r="B8" s="4">
        <f>448*2+37+403+478+149+306+290</f>
        <v>2559</v>
      </c>
      <c r="C8" s="2">
        <v>859.15</v>
      </c>
      <c r="D8">
        <f t="shared" si="0"/>
        <v>2198564.85</v>
      </c>
      <c r="E8" s="3">
        <f t="shared" si="1"/>
        <v>4.1837329001458062E-2</v>
      </c>
      <c r="F8"/>
      <c r="G8"/>
      <c r="H8"/>
      <c r="I8"/>
    </row>
    <row r="9" spans="1:10" s="2" customFormat="1">
      <c r="A9" t="s">
        <v>10</v>
      </c>
      <c r="B9" s="4">
        <f>1410+2189+320+59</f>
        <v>3978</v>
      </c>
      <c r="C9" s="2">
        <v>1140</v>
      </c>
      <c r="D9">
        <f t="shared" si="0"/>
        <v>4534920</v>
      </c>
      <c r="E9" s="3">
        <f t="shared" si="1"/>
        <v>8.6296722170961751E-2</v>
      </c>
      <c r="F9"/>
      <c r="G9"/>
      <c r="H9"/>
      <c r="I9"/>
    </row>
    <row r="10" spans="1:10" s="2" customFormat="1">
      <c r="A10" t="s">
        <v>11</v>
      </c>
      <c r="B10" s="4">
        <f>130+126+33+57+173+130</f>
        <v>649</v>
      </c>
      <c r="C10" s="2">
        <v>1395.7</v>
      </c>
      <c r="D10">
        <f t="shared" si="0"/>
        <v>905809.3</v>
      </c>
      <c r="E10" s="3">
        <f t="shared" si="1"/>
        <v>1.7236990619894803E-2</v>
      </c>
      <c r="F10"/>
      <c r="G10"/>
      <c r="H10"/>
      <c r="I10"/>
    </row>
    <row r="11" spans="1:10" s="2" customFormat="1">
      <c r="A11" t="s">
        <v>12</v>
      </c>
      <c r="B11" s="4">
        <f>724+289+144+275-367</f>
        <v>1065</v>
      </c>
      <c r="C11" s="2">
        <v>2831.3</v>
      </c>
      <c r="D11">
        <f t="shared" si="0"/>
        <v>3015334.5</v>
      </c>
      <c r="E11" s="3">
        <f t="shared" si="1"/>
        <v>5.7379950164284231E-2</v>
      </c>
      <c r="F11"/>
      <c r="G11"/>
      <c r="H11"/>
      <c r="I11"/>
    </row>
    <row r="12" spans="1:10" s="2" customFormat="1">
      <c r="A12" t="s">
        <v>13</v>
      </c>
      <c r="B12" s="4">
        <f>3770+209+935+289</f>
        <v>5203</v>
      </c>
      <c r="C12" s="2">
        <v>605.85</v>
      </c>
      <c r="D12">
        <f t="shared" si="0"/>
        <v>3152237.5500000003</v>
      </c>
      <c r="E12" s="3">
        <f t="shared" si="1"/>
        <v>5.9985130513707664E-2</v>
      </c>
      <c r="F12"/>
      <c r="G12"/>
      <c r="H12"/>
      <c r="I12"/>
    </row>
    <row r="13" spans="1:10" s="2" customFormat="1">
      <c r="A13" t="s">
        <v>53</v>
      </c>
      <c r="B13" s="4">
        <v>2434</v>
      </c>
      <c r="C13" s="2">
        <v>615.75</v>
      </c>
      <c r="D13">
        <f t="shared" si="0"/>
        <v>1498735.5</v>
      </c>
      <c r="E13" s="3">
        <f t="shared" si="1"/>
        <v>2.8520009405073835E-2</v>
      </c>
      <c r="F13"/>
      <c r="G13"/>
      <c r="H13"/>
      <c r="I13"/>
    </row>
    <row r="14" spans="1:10" s="2" customFormat="1">
      <c r="A14" t="s">
        <v>14</v>
      </c>
      <c r="B14" s="4">
        <f>((840+420)*2+290+562)+3372-130</f>
        <v>6614</v>
      </c>
      <c r="C14" s="2">
        <v>362</v>
      </c>
      <c r="D14">
        <f t="shared" si="0"/>
        <v>2394268</v>
      </c>
      <c r="E14" s="3">
        <f t="shared" si="1"/>
        <v>4.5561438878486113E-2</v>
      </c>
      <c r="F14"/>
      <c r="G14" t="s">
        <v>59</v>
      </c>
      <c r="H14"/>
      <c r="I14"/>
    </row>
    <row r="15" spans="1:10" s="2" customFormat="1">
      <c r="A15" t="s">
        <v>15</v>
      </c>
      <c r="B15" s="4">
        <f>1280+1280+1280+910+1300+1300+2940+1300-2365+1475-2568-1840</f>
        <v>6292</v>
      </c>
      <c r="C15" s="2">
        <v>161.83000000000001</v>
      </c>
      <c r="D15">
        <f t="shared" si="0"/>
        <v>1018234.3600000001</v>
      </c>
      <c r="E15" s="3">
        <f t="shared" si="1"/>
        <v>1.9376369962391189E-2</v>
      </c>
      <c r="F15"/>
      <c r="G15"/>
      <c r="H15"/>
      <c r="I15"/>
      <c r="J15" s="5"/>
    </row>
    <row r="16" spans="1:10" s="2" customFormat="1">
      <c r="A16" t="s">
        <v>60</v>
      </c>
      <c r="B16" s="4">
        <v>12359</v>
      </c>
      <c r="C16" s="2">
        <v>103.38</v>
      </c>
      <c r="D16">
        <f t="shared" si="0"/>
        <v>1277673.42</v>
      </c>
      <c r="E16" s="3">
        <f t="shared" si="1"/>
        <v>2.4313334777892999E-2</v>
      </c>
      <c r="F16"/>
      <c r="G16" t="s">
        <v>61</v>
      </c>
      <c r="H16"/>
      <c r="I16"/>
      <c r="J16" s="5"/>
    </row>
    <row r="17" spans="1:9" s="2" customFormat="1">
      <c r="A17" t="s">
        <v>16</v>
      </c>
      <c r="B17" s="4">
        <f>(410+205+135+181)*2</f>
        <v>1862</v>
      </c>
      <c r="C17" s="2">
        <v>2472.5</v>
      </c>
      <c r="D17">
        <f t="shared" si="0"/>
        <v>4603795</v>
      </c>
      <c r="E17" s="3">
        <f t="shared" si="1"/>
        <v>8.760737081294992E-2</v>
      </c>
      <c r="F17"/>
      <c r="G17"/>
      <c r="H17"/>
      <c r="I17"/>
    </row>
    <row r="18" spans="1:9" s="2" customFormat="1">
      <c r="A18" t="s">
        <v>17</v>
      </c>
      <c r="B18" s="4">
        <f>(1875+937+309+619)*2*2-3720-1759-2877-896-2991-2717</f>
        <v>0</v>
      </c>
      <c r="C18" s="2">
        <v>267.89999999999998</v>
      </c>
      <c r="D18">
        <f t="shared" si="0"/>
        <v>0</v>
      </c>
      <c r="E18" s="3">
        <f t="shared" si="1"/>
        <v>0</v>
      </c>
      <c r="F18"/>
      <c r="G18" t="s">
        <v>62</v>
      </c>
      <c r="H18"/>
      <c r="I18"/>
    </row>
    <row r="19" spans="1:9" s="2" customFormat="1">
      <c r="A19" t="s">
        <v>18</v>
      </c>
      <c r="B19" s="4">
        <f>13763+6317+2811+3464+1538</f>
        <v>27893</v>
      </c>
      <c r="C19" s="2">
        <v>93.93</v>
      </c>
      <c r="D19">
        <f t="shared" si="0"/>
        <v>2619989.4900000002</v>
      </c>
      <c r="E19" s="3">
        <f t="shared" si="1"/>
        <v>4.9856779195524899E-2</v>
      </c>
      <c r="F19"/>
      <c r="G19"/>
      <c r="H19"/>
      <c r="I19"/>
    </row>
    <row r="20" spans="1:9" s="2" customFormat="1">
      <c r="A20" t="s">
        <v>19</v>
      </c>
      <c r="B20" s="4">
        <f>458+115+189</f>
        <v>762</v>
      </c>
      <c r="C20" s="2">
        <v>4643.3999999999996</v>
      </c>
      <c r="D20">
        <f t="shared" si="0"/>
        <v>3538270.8</v>
      </c>
      <c r="E20" s="3">
        <f t="shared" si="1"/>
        <v>6.7331104450183588E-2</v>
      </c>
      <c r="F20"/>
      <c r="G20"/>
      <c r="H20"/>
      <c r="I20"/>
    </row>
    <row r="21" spans="1:9" s="2" customFormat="1">
      <c r="A21" t="s">
        <v>20</v>
      </c>
      <c r="B21" s="4">
        <f>(3075+1537+1153-53-1428-925-484-459-467-45+2345+1175)*2</f>
        <v>10848</v>
      </c>
      <c r="C21" s="2">
        <v>254.95</v>
      </c>
      <c r="D21">
        <f t="shared" si="0"/>
        <v>2765697.6</v>
      </c>
      <c r="E21" s="3">
        <f t="shared" si="1"/>
        <v>5.2629514389690601E-2</v>
      </c>
      <c r="F21"/>
      <c r="G21"/>
      <c r="H21"/>
      <c r="I21"/>
    </row>
    <row r="22" spans="1:9" s="2" customFormat="1">
      <c r="A22" t="s">
        <v>21</v>
      </c>
      <c r="B22" s="4">
        <f>7985+1084+1117+2249-5230-405-983-767-1715-339</f>
        <v>2996</v>
      </c>
      <c r="C22" s="2">
        <v>527.4</v>
      </c>
      <c r="D22">
        <f t="shared" si="0"/>
        <v>1580090.4</v>
      </c>
      <c r="E22" s="3">
        <f t="shared" si="1"/>
        <v>3.0068142823644915E-2</v>
      </c>
      <c r="F22"/>
      <c r="G22" t="s">
        <v>63</v>
      </c>
      <c r="H22"/>
    </row>
    <row r="23" spans="1:9" s="2" customFormat="1">
      <c r="A23" t="s">
        <v>22</v>
      </c>
      <c r="B23" s="4">
        <f>2592+518+820</f>
        <v>3930</v>
      </c>
      <c r="C23" s="2">
        <v>1527.8</v>
      </c>
      <c r="D23">
        <f t="shared" si="0"/>
        <v>6004254</v>
      </c>
      <c r="E23" s="3">
        <f t="shared" si="1"/>
        <v>0.11425723921963028</v>
      </c>
      <c r="F23"/>
      <c r="G23"/>
      <c r="H23"/>
      <c r="I23"/>
    </row>
    <row r="24" spans="1:9" s="2" customFormat="1">
      <c r="A24" t="s">
        <v>23</v>
      </c>
      <c r="B24" s="4">
        <f>40235+4295+1952-475+9018-12666-5975-9817+11418+1366-3600+5427-7979-25132+6426+17836-15111-2801-1247-5505-1765+3820-6212+5704-2774+2757-458-1307+3879-7827-231-3251</f>
        <v>0</v>
      </c>
      <c r="C24" s="2">
        <v>113.9</v>
      </c>
      <c r="D24">
        <f t="shared" si="0"/>
        <v>0</v>
      </c>
      <c r="E24" s="3">
        <f t="shared" si="1"/>
        <v>0</v>
      </c>
      <c r="F24"/>
      <c r="G24" t="s">
        <v>64</v>
      </c>
      <c r="H24"/>
      <c r="I24"/>
    </row>
    <row r="25" spans="1:9" s="2" customFormat="1">
      <c r="A25"/>
      <c r="B25" s="4"/>
      <c r="D25"/>
      <c r="E25" s="3"/>
      <c r="F25"/>
      <c r="G25"/>
      <c r="H25"/>
      <c r="I25"/>
    </row>
    <row r="26" spans="1:9" s="2" customFormat="1">
      <c r="A26"/>
      <c r="B26" s="4"/>
      <c r="D26">
        <f>SUM(D5:D24)</f>
        <v>52550315.770000003</v>
      </c>
      <c r="E26"/>
      <c r="F26"/>
      <c r="G26"/>
      <c r="H26"/>
      <c r="I26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9A90-1E34-4968-A1FF-00D1B9B26349}">
  <sheetPr>
    <pageSetUpPr fitToPage="1"/>
  </sheetPr>
  <dimension ref="A1:J25"/>
  <sheetViews>
    <sheetView workbookViewId="0">
      <selection activeCell="G17" sqref="G17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9" max="9" width="11" bestFit="1" customWidth="1"/>
    <col min="10" max="10" width="11.5703125" style="2" bestFit="1" customWidth="1"/>
    <col min="11" max="11" width="9.5703125" bestFit="1" customWidth="1"/>
  </cols>
  <sheetData>
    <row r="1" spans="1:10">
      <c r="A1" t="s">
        <v>0</v>
      </c>
      <c r="B1" s="1">
        <v>46147</v>
      </c>
      <c r="C1" s="2" t="s">
        <v>58</v>
      </c>
      <c r="E1" s="3"/>
    </row>
    <row r="2" spans="1:10">
      <c r="B2" s="4"/>
      <c r="E2" s="3"/>
    </row>
    <row r="3" spans="1:10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>
      <c r="B4" s="4"/>
      <c r="E4" s="3"/>
    </row>
    <row r="5" spans="1:10" s="2" customFormat="1">
      <c r="A5" t="s">
        <v>7</v>
      </c>
      <c r="B5" s="4">
        <f>2265+463+942</f>
        <v>3670</v>
      </c>
      <c r="C5" s="2">
        <v>653.79999999999995</v>
      </c>
      <c r="D5">
        <f t="shared" ref="D5:D23" si="0">C5*B5</f>
        <v>2399446</v>
      </c>
      <c r="E5" s="3">
        <f t="shared" ref="E5:E23" si="1">D5/$D$25</f>
        <v>4.5660791637489206E-2</v>
      </c>
      <c r="F5"/>
      <c r="G5"/>
      <c r="H5"/>
      <c r="I5"/>
    </row>
    <row r="6" spans="1:10" s="2" customFormat="1">
      <c r="A6" t="s">
        <v>8</v>
      </c>
      <c r="B6" s="4">
        <f>4326+2424</f>
        <v>6750</v>
      </c>
      <c r="C6" s="2">
        <v>1110.7</v>
      </c>
      <c r="D6">
        <f t="shared" si="0"/>
        <v>7497225</v>
      </c>
      <c r="E6" s="3">
        <f t="shared" si="1"/>
        <v>0.14267011159424928</v>
      </c>
      <c r="F6"/>
      <c r="G6"/>
      <c r="H6"/>
      <c r="I6"/>
    </row>
    <row r="7" spans="1:10" s="2" customFormat="1">
      <c r="A7" t="s">
        <v>47</v>
      </c>
      <c r="B7" s="4">
        <v>1655</v>
      </c>
      <c r="C7" s="2">
        <v>934</v>
      </c>
      <c r="D7">
        <f t="shared" si="0"/>
        <v>1545770</v>
      </c>
      <c r="E7" s="3">
        <f t="shared" si="1"/>
        <v>2.9415574215665489E-2</v>
      </c>
      <c r="F7"/>
      <c r="G7"/>
      <c r="H7"/>
      <c r="I7"/>
    </row>
    <row r="8" spans="1:10" s="2" customFormat="1">
      <c r="A8" t="s">
        <v>9</v>
      </c>
      <c r="B8" s="4">
        <f>448*2+37+403+478+149+306+290</f>
        <v>2559</v>
      </c>
      <c r="C8" s="2">
        <v>859.15</v>
      </c>
      <c r="D8">
        <f t="shared" si="0"/>
        <v>2198564.85</v>
      </c>
      <c r="E8" s="3">
        <f t="shared" si="1"/>
        <v>4.1838079088822054E-2</v>
      </c>
      <c r="F8"/>
      <c r="G8"/>
      <c r="H8"/>
      <c r="I8"/>
    </row>
    <row r="9" spans="1:10" s="2" customFormat="1">
      <c r="A9" t="s">
        <v>10</v>
      </c>
      <c r="B9" s="4">
        <f>1410+2189+320+59</f>
        <v>3978</v>
      </c>
      <c r="C9" s="2">
        <v>1140</v>
      </c>
      <c r="D9">
        <f t="shared" si="0"/>
        <v>4534920</v>
      </c>
      <c r="E9" s="3">
        <f t="shared" si="1"/>
        <v>8.629826935579403E-2</v>
      </c>
      <c r="F9"/>
      <c r="G9"/>
      <c r="H9"/>
      <c r="I9"/>
    </row>
    <row r="10" spans="1:10" s="2" customFormat="1">
      <c r="A10" t="s">
        <v>11</v>
      </c>
      <c r="B10" s="4">
        <f>130+126+33+57+173+130</f>
        <v>649</v>
      </c>
      <c r="C10" s="2">
        <v>1395.7</v>
      </c>
      <c r="D10">
        <f t="shared" si="0"/>
        <v>905809.3</v>
      </c>
      <c r="E10" s="3">
        <f t="shared" si="1"/>
        <v>1.7237299656087262E-2</v>
      </c>
      <c r="F10"/>
      <c r="G10"/>
      <c r="H10"/>
      <c r="I10"/>
    </row>
    <row r="11" spans="1:10" s="2" customFormat="1">
      <c r="A11" t="s">
        <v>12</v>
      </c>
      <c r="B11" s="4">
        <f>724+289+144+275-367</f>
        <v>1065</v>
      </c>
      <c r="C11" s="2">
        <v>2831.3</v>
      </c>
      <c r="D11">
        <f t="shared" si="0"/>
        <v>3015334.5</v>
      </c>
      <c r="E11" s="3">
        <f t="shared" si="1"/>
        <v>5.7380978910062032E-2</v>
      </c>
      <c r="F11"/>
      <c r="G11"/>
      <c r="H11"/>
      <c r="I11"/>
    </row>
    <row r="12" spans="1:10" s="2" customFormat="1">
      <c r="A12" t="s">
        <v>13</v>
      </c>
      <c r="B12" s="4">
        <f>3770+209+935+289</f>
        <v>5203</v>
      </c>
      <c r="C12" s="2">
        <v>605.85</v>
      </c>
      <c r="D12">
        <f t="shared" si="0"/>
        <v>3152237.5500000003</v>
      </c>
      <c r="E12" s="3">
        <f t="shared" si="1"/>
        <v>5.9986205966885475E-2</v>
      </c>
      <c r="F12"/>
      <c r="G12"/>
      <c r="H12"/>
      <c r="I12"/>
    </row>
    <row r="13" spans="1:10" s="2" customFormat="1">
      <c r="A13" t="s">
        <v>53</v>
      </c>
      <c r="B13" s="4">
        <v>2434</v>
      </c>
      <c r="C13" s="2">
        <v>615.75</v>
      </c>
      <c r="D13">
        <f t="shared" si="0"/>
        <v>1498735.5</v>
      </c>
      <c r="E13" s="3">
        <f t="shared" si="1"/>
        <v>2.8520520730705424E-2</v>
      </c>
      <c r="F13"/>
      <c r="G13"/>
      <c r="H13"/>
      <c r="I13"/>
    </row>
    <row r="14" spans="1:10" s="2" customFormat="1">
      <c r="A14" t="s">
        <v>14</v>
      </c>
      <c r="B14" s="4">
        <f>((840+420)*2+290+562)+3372-130-373</f>
        <v>6241</v>
      </c>
      <c r="C14" s="2">
        <v>362</v>
      </c>
      <c r="D14">
        <f t="shared" si="0"/>
        <v>2259242</v>
      </c>
      <c r="E14" s="3">
        <f t="shared" si="1"/>
        <v>4.2992748418036658E-2</v>
      </c>
      <c r="F14"/>
      <c r="G14" t="s">
        <v>65</v>
      </c>
      <c r="H14"/>
      <c r="I14"/>
    </row>
    <row r="15" spans="1:10" s="2" customFormat="1">
      <c r="A15" t="s">
        <v>15</v>
      </c>
      <c r="B15" s="4">
        <f>1280+1280+1280+910+1300+1300+2940+1300-2365+1475-2568-1840</f>
        <v>6292</v>
      </c>
      <c r="C15" s="2">
        <v>161.83000000000001</v>
      </c>
      <c r="D15">
        <f t="shared" si="0"/>
        <v>1018234.3600000001</v>
      </c>
      <c r="E15" s="3">
        <f t="shared" si="1"/>
        <v>1.9376717354794473E-2</v>
      </c>
      <c r="F15"/>
      <c r="G15"/>
      <c r="H15"/>
      <c r="I15"/>
      <c r="J15" s="5"/>
    </row>
    <row r="16" spans="1:10" s="2" customFormat="1">
      <c r="A16" t="s">
        <v>60</v>
      </c>
      <c r="B16" s="4">
        <f>12359+1297</f>
        <v>13656</v>
      </c>
      <c r="C16" s="2">
        <v>103.38</v>
      </c>
      <c r="D16">
        <f t="shared" si="0"/>
        <v>1411757.28</v>
      </c>
      <c r="E16" s="3">
        <f t="shared" si="1"/>
        <v>2.6865349336800459E-2</v>
      </c>
      <c r="F16"/>
      <c r="G16" t="s">
        <v>66</v>
      </c>
      <c r="H16"/>
      <c r="I16"/>
      <c r="J16" s="5"/>
    </row>
    <row r="17" spans="1:9" s="2" customFormat="1">
      <c r="A17" t="s">
        <v>16</v>
      </c>
      <c r="B17" s="4">
        <f>(410+205+135+181)*2</f>
        <v>1862</v>
      </c>
      <c r="C17" s="2">
        <v>2472.5</v>
      </c>
      <c r="D17">
        <f t="shared" si="0"/>
        <v>4603795</v>
      </c>
      <c r="E17" s="3">
        <f t="shared" si="1"/>
        <v>8.7608941495959741E-2</v>
      </c>
      <c r="F17"/>
      <c r="G17"/>
      <c r="H17"/>
      <c r="I17"/>
    </row>
    <row r="18" spans="1:9" s="2" customFormat="1">
      <c r="A18" t="s">
        <v>18</v>
      </c>
      <c r="B18" s="4">
        <f>13763+6317+2811+3464+1538</f>
        <v>27893</v>
      </c>
      <c r="C18" s="2">
        <v>93.93</v>
      </c>
      <c r="D18">
        <f t="shared" si="0"/>
        <v>2619989.4900000002</v>
      </c>
      <c r="E18" s="3">
        <f t="shared" si="1"/>
        <v>4.9857673060907236E-2</v>
      </c>
      <c r="F18"/>
      <c r="G18"/>
      <c r="H18"/>
      <c r="I18"/>
    </row>
    <row r="19" spans="1:9" s="2" customFormat="1">
      <c r="A19" t="s">
        <v>19</v>
      </c>
      <c r="B19" s="4">
        <f>458+115+189</f>
        <v>762</v>
      </c>
      <c r="C19" s="2">
        <v>4643.3999999999996</v>
      </c>
      <c r="D19">
        <f t="shared" si="0"/>
        <v>3538270.8</v>
      </c>
      <c r="E19" s="3">
        <f t="shared" si="1"/>
        <v>6.733231160685102E-2</v>
      </c>
      <c r="F19"/>
      <c r="G19"/>
      <c r="H19"/>
      <c r="I19"/>
    </row>
    <row r="20" spans="1:9" s="2" customFormat="1">
      <c r="A20" t="s">
        <v>20</v>
      </c>
      <c r="B20" s="4">
        <f>(3075+1537+1153-53-1428-925-484-459-467-45+2345+1175)*2</f>
        <v>10848</v>
      </c>
      <c r="C20" s="2">
        <v>254.95</v>
      </c>
      <c r="D20">
        <f t="shared" si="0"/>
        <v>2765697.6</v>
      </c>
      <c r="E20" s="3">
        <f t="shared" si="1"/>
        <v>5.2630457966507262E-2</v>
      </c>
      <c r="F20"/>
      <c r="G20"/>
      <c r="H20"/>
      <c r="I20"/>
    </row>
    <row r="21" spans="1:9" s="2" customFormat="1">
      <c r="A21" t="s">
        <v>21</v>
      </c>
      <c r="B21" s="4">
        <f>7985+1084+1117+2249-5230-405-983-767-1715-339</f>
        <v>2996</v>
      </c>
      <c r="C21" s="2">
        <v>527.4</v>
      </c>
      <c r="D21">
        <f t="shared" si="0"/>
        <v>1580090.4</v>
      </c>
      <c r="E21" s="3">
        <f t="shared" si="1"/>
        <v>3.006868190523853E-2</v>
      </c>
      <c r="F21"/>
      <c r="G21"/>
      <c r="H21"/>
    </row>
    <row r="22" spans="1:9" s="2" customFormat="1">
      <c r="A22" t="s">
        <v>22</v>
      </c>
      <c r="B22" s="4">
        <f>2592+518+820</f>
        <v>3930</v>
      </c>
      <c r="C22" s="2">
        <v>1527.8</v>
      </c>
      <c r="D22">
        <f t="shared" si="0"/>
        <v>6004254</v>
      </c>
      <c r="E22" s="3">
        <f t="shared" si="1"/>
        <v>0.11425928769914435</v>
      </c>
      <c r="F22"/>
      <c r="G22"/>
      <c r="H22"/>
      <c r="I22"/>
    </row>
    <row r="23" spans="1:9" s="2" customFormat="1">
      <c r="A23" t="s">
        <v>23</v>
      </c>
      <c r="B23" s="4">
        <f>40235+4295+1952-475+9018-12666-5975-9817+11418+1366-3600+5427-7979-25132+6426+17836-15111-2801-1247-5505-1765+3820-6212+5704-2774+2757-458-1307+3879-7827-231-3251</f>
        <v>0</v>
      </c>
      <c r="C23" s="2">
        <v>113.9</v>
      </c>
      <c r="D23">
        <f t="shared" si="0"/>
        <v>0</v>
      </c>
      <c r="E23" s="3">
        <f t="shared" si="1"/>
        <v>0</v>
      </c>
      <c r="F23"/>
      <c r="G23"/>
      <c r="H23"/>
      <c r="I23"/>
    </row>
    <row r="24" spans="1:9" s="2" customFormat="1">
      <c r="A24"/>
      <c r="B24" s="4"/>
      <c r="D24"/>
      <c r="E24" s="3"/>
      <c r="F24"/>
      <c r="G24"/>
      <c r="H24"/>
      <c r="I24"/>
    </row>
    <row r="25" spans="1:9" s="2" customFormat="1">
      <c r="A25"/>
      <c r="B25" s="4"/>
      <c r="D25">
        <f>SUM(D5:D23)</f>
        <v>52549373.630000003</v>
      </c>
      <c r="E25"/>
      <c r="F25"/>
      <c r="G25"/>
      <c r="H25"/>
      <c r="I25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8E63B-2A0A-49B6-9D4C-4B7DA733CB4A}">
  <sheetPr>
    <pageSetUpPr fitToPage="1"/>
  </sheetPr>
  <dimension ref="A1:J25"/>
  <sheetViews>
    <sheetView workbookViewId="0">
      <selection activeCell="B12" sqref="B12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9" max="9" width="11" bestFit="1" customWidth="1"/>
    <col min="10" max="10" width="11.5703125" style="2" bestFit="1" customWidth="1"/>
    <col min="11" max="11" width="9.5703125" bestFit="1" customWidth="1"/>
  </cols>
  <sheetData>
    <row r="1" spans="1:10">
      <c r="A1" t="s">
        <v>0</v>
      </c>
      <c r="B1" s="1">
        <v>46178</v>
      </c>
      <c r="C1" s="2" t="s">
        <v>67</v>
      </c>
      <c r="E1" s="3"/>
    </row>
    <row r="2" spans="1:10">
      <c r="B2" s="4"/>
      <c r="E2" s="3"/>
    </row>
    <row r="3" spans="1:10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>
      <c r="B4" s="4"/>
      <c r="E4" s="3"/>
    </row>
    <row r="5" spans="1:10" s="2" customFormat="1">
      <c r="A5" t="s">
        <v>7</v>
      </c>
      <c r="B5" s="4">
        <f>2265+463+942</f>
        <v>3670</v>
      </c>
      <c r="C5" s="2">
        <v>702.75</v>
      </c>
      <c r="D5">
        <f t="shared" ref="D5:D23" si="0">C5*B5</f>
        <v>2579092.5</v>
      </c>
      <c r="E5" s="3">
        <f t="shared" ref="E5:E23" si="1">D5/$D$25</f>
        <v>4.296086491725274E-2</v>
      </c>
      <c r="F5"/>
      <c r="G5"/>
      <c r="H5"/>
      <c r="I5"/>
    </row>
    <row r="6" spans="1:10" s="2" customFormat="1">
      <c r="A6" t="s">
        <v>8</v>
      </c>
      <c r="B6" s="4">
        <f>4326+2424</f>
        <v>6750</v>
      </c>
      <c r="C6" s="2">
        <v>1419.5</v>
      </c>
      <c r="D6">
        <f t="shared" si="0"/>
        <v>9581625</v>
      </c>
      <c r="E6" s="3">
        <f t="shared" si="1"/>
        <v>0.1596045497836048</v>
      </c>
      <c r="F6"/>
      <c r="G6"/>
      <c r="H6"/>
      <c r="I6"/>
    </row>
    <row r="7" spans="1:10" s="2" customFormat="1">
      <c r="A7" t="s">
        <v>47</v>
      </c>
      <c r="B7" s="4">
        <v>1655</v>
      </c>
      <c r="C7" s="2">
        <v>1033.5999999999999</v>
      </c>
      <c r="D7">
        <f t="shared" si="0"/>
        <v>1710607.9999999998</v>
      </c>
      <c r="E7" s="3">
        <f t="shared" si="1"/>
        <v>2.8494208414150273E-2</v>
      </c>
      <c r="F7"/>
      <c r="G7"/>
      <c r="H7"/>
      <c r="I7"/>
    </row>
    <row r="8" spans="1:10" s="2" customFormat="1">
      <c r="A8" t="s">
        <v>9</v>
      </c>
      <c r="B8" s="4">
        <f>448*2+37+403+478+149+306+290</f>
        <v>2559</v>
      </c>
      <c r="C8" s="2">
        <v>778</v>
      </c>
      <c r="D8">
        <f t="shared" si="0"/>
        <v>1990902</v>
      </c>
      <c r="E8" s="3">
        <f t="shared" si="1"/>
        <v>3.31631656815288E-2</v>
      </c>
      <c r="F8"/>
      <c r="G8"/>
      <c r="H8"/>
      <c r="I8"/>
    </row>
    <row r="9" spans="1:10" s="2" customFormat="1">
      <c r="A9" t="s">
        <v>10</v>
      </c>
      <c r="B9" s="4">
        <f>1410+2189+320+59</f>
        <v>3978</v>
      </c>
      <c r="C9" s="2">
        <v>1607.9</v>
      </c>
      <c r="D9">
        <f t="shared" si="0"/>
        <v>6396226.2000000002</v>
      </c>
      <c r="E9" s="3">
        <f t="shared" si="1"/>
        <v>0.10654422427981657</v>
      </c>
      <c r="F9"/>
      <c r="G9"/>
      <c r="H9"/>
      <c r="I9"/>
    </row>
    <row r="10" spans="1:10" s="2" customFormat="1">
      <c r="A10" t="s">
        <v>11</v>
      </c>
      <c r="B10" s="4">
        <f>130+126+33+57+173+130</f>
        <v>649</v>
      </c>
      <c r="C10" s="2">
        <v>1347.9</v>
      </c>
      <c r="D10">
        <f t="shared" si="0"/>
        <v>874787.10000000009</v>
      </c>
      <c r="E10" s="3">
        <f t="shared" si="1"/>
        <v>1.4571641162329488E-2</v>
      </c>
      <c r="F10"/>
      <c r="G10"/>
      <c r="H10"/>
      <c r="I10"/>
    </row>
    <row r="11" spans="1:10" s="2" customFormat="1">
      <c r="A11" t="s">
        <v>12</v>
      </c>
      <c r="B11" s="4">
        <f>(724+289+144+275-367)*10</f>
        <v>10650</v>
      </c>
      <c r="C11" s="2">
        <v>452.9</v>
      </c>
      <c r="D11">
        <f t="shared" si="0"/>
        <v>4823385</v>
      </c>
      <c r="E11" s="3">
        <f t="shared" si="1"/>
        <v>8.0344846657846941E-2</v>
      </c>
      <c r="F11"/>
      <c r="G11" t="s">
        <v>68</v>
      </c>
      <c r="H11"/>
      <c r="I11"/>
    </row>
    <row r="12" spans="1:10" s="2" customFormat="1">
      <c r="A12" t="s">
        <v>13</v>
      </c>
      <c r="B12" s="4">
        <f>3770+209+935+289</f>
        <v>5203</v>
      </c>
      <c r="C12" s="2">
        <v>635.95000000000005</v>
      </c>
      <c r="D12">
        <f t="shared" si="0"/>
        <v>3308847.85</v>
      </c>
      <c r="E12" s="3">
        <f t="shared" si="1"/>
        <v>5.5116660420513088E-2</v>
      </c>
      <c r="F12"/>
      <c r="G12"/>
      <c r="H12"/>
      <c r="I12"/>
    </row>
    <row r="13" spans="1:10" s="2" customFormat="1">
      <c r="A13" t="s">
        <v>53</v>
      </c>
      <c r="B13" s="4">
        <v>2434</v>
      </c>
      <c r="C13" s="2">
        <v>539.45000000000005</v>
      </c>
      <c r="D13">
        <f t="shared" si="0"/>
        <v>1313021.3</v>
      </c>
      <c r="E13" s="3">
        <f t="shared" si="1"/>
        <v>2.1871464750789507E-2</v>
      </c>
      <c r="F13"/>
      <c r="G13"/>
      <c r="H13"/>
      <c r="I13"/>
    </row>
    <row r="14" spans="1:10" s="2" customFormat="1">
      <c r="A14" t="s">
        <v>14</v>
      </c>
      <c r="B14" s="4">
        <f>((840+420)*2+290+562)+3372-130-373</f>
        <v>6241</v>
      </c>
      <c r="C14" s="2">
        <v>320.14999999999998</v>
      </c>
      <c r="D14">
        <f t="shared" si="0"/>
        <v>1998056.15</v>
      </c>
      <c r="E14" s="3">
        <f t="shared" si="1"/>
        <v>3.3282334913244123E-2</v>
      </c>
      <c r="F14"/>
      <c r="G14"/>
      <c r="H14"/>
      <c r="I14"/>
    </row>
    <row r="15" spans="1:10" s="2" customFormat="1">
      <c r="A15" t="s">
        <v>15</v>
      </c>
      <c r="B15" s="4">
        <f>1280+1280+1280+910+1300+1300+2940+1300-2365+1475-2568-1840</f>
        <v>6292</v>
      </c>
      <c r="C15" s="2">
        <v>174.66</v>
      </c>
      <c r="D15">
        <f t="shared" si="0"/>
        <v>1098960.72</v>
      </c>
      <c r="E15" s="3">
        <f t="shared" si="1"/>
        <v>1.8305781216178485E-2</v>
      </c>
      <c r="F15"/>
      <c r="G15"/>
      <c r="H15"/>
      <c r="I15"/>
      <c r="J15" s="5"/>
    </row>
    <row r="16" spans="1:10" s="2" customFormat="1">
      <c r="A16" t="s">
        <v>60</v>
      </c>
      <c r="B16" s="4">
        <f>12359+1297</f>
        <v>13656</v>
      </c>
      <c r="C16" s="2">
        <v>86.79</v>
      </c>
      <c r="D16">
        <f t="shared" si="0"/>
        <v>1185204.24</v>
      </c>
      <c r="E16" s="3">
        <f t="shared" si="1"/>
        <v>1.9742370331422853E-2</v>
      </c>
      <c r="F16"/>
      <c r="G16"/>
      <c r="H16"/>
      <c r="I16"/>
      <c r="J16" s="5"/>
    </row>
    <row r="17" spans="1:9" s="2" customFormat="1">
      <c r="A17" t="s">
        <v>16</v>
      </c>
      <c r="B17" s="4">
        <f>(410+205+135+181)*2</f>
        <v>1862</v>
      </c>
      <c r="C17" s="2">
        <v>2601.8000000000002</v>
      </c>
      <c r="D17">
        <f t="shared" si="0"/>
        <v>4844551.6000000006</v>
      </c>
      <c r="E17" s="3">
        <f t="shared" si="1"/>
        <v>8.069742627387759E-2</v>
      </c>
      <c r="F17"/>
      <c r="G17"/>
      <c r="H17"/>
      <c r="I17"/>
    </row>
    <row r="18" spans="1:9" s="2" customFormat="1">
      <c r="A18" t="s">
        <v>18</v>
      </c>
      <c r="B18" s="4">
        <f>13763+6317+2811+3464+1538</f>
        <v>27893</v>
      </c>
      <c r="C18" s="2">
        <v>93.86</v>
      </c>
      <c r="D18">
        <f t="shared" si="0"/>
        <v>2618036.98</v>
      </c>
      <c r="E18" s="3">
        <f t="shared" si="1"/>
        <v>4.3609577029963952E-2</v>
      </c>
      <c r="F18"/>
      <c r="G18"/>
      <c r="H18"/>
      <c r="I18"/>
    </row>
    <row r="19" spans="1:9" s="2" customFormat="1">
      <c r="A19" t="s">
        <v>19</v>
      </c>
      <c r="B19" s="4">
        <f>458+115+189</f>
        <v>762</v>
      </c>
      <c r="C19" s="2">
        <v>5780.7</v>
      </c>
      <c r="D19">
        <f t="shared" si="0"/>
        <v>4404893.3999999994</v>
      </c>
      <c r="E19" s="3">
        <f t="shared" si="1"/>
        <v>7.3373882608823882E-2</v>
      </c>
      <c r="F19"/>
      <c r="G19"/>
      <c r="H19"/>
      <c r="I19"/>
    </row>
    <row r="20" spans="1:9" s="2" customFormat="1">
      <c r="A20" t="s">
        <v>20</v>
      </c>
      <c r="B20" s="4">
        <f>(3075+1537+1153-53-1428-925-484-459-467-45+2345+1175)*2</f>
        <v>10848</v>
      </c>
      <c r="C20" s="2">
        <v>234.99</v>
      </c>
      <c r="D20">
        <f t="shared" si="0"/>
        <v>2549171.52</v>
      </c>
      <c r="E20" s="3">
        <f t="shared" si="1"/>
        <v>4.246246046686105E-2</v>
      </c>
      <c r="F20"/>
      <c r="G20"/>
      <c r="H20"/>
      <c r="I20"/>
    </row>
    <row r="21" spans="1:9" s="2" customFormat="1">
      <c r="A21" t="s">
        <v>21</v>
      </c>
      <c r="B21" s="4">
        <f>7985+1084+1117+2249-5230-405-983-767-1715-339</f>
        <v>2996</v>
      </c>
      <c r="C21" s="2">
        <v>541.4</v>
      </c>
      <c r="D21">
        <f t="shared" si="0"/>
        <v>1622034.4</v>
      </c>
      <c r="E21" s="3">
        <f t="shared" si="1"/>
        <v>2.701880632413808E-2</v>
      </c>
      <c r="F21"/>
      <c r="G21"/>
      <c r="H21"/>
    </row>
    <row r="22" spans="1:9" s="2" customFormat="1">
      <c r="A22" t="s">
        <v>22</v>
      </c>
      <c r="B22" s="4">
        <f>2592+518+820</f>
        <v>3930</v>
      </c>
      <c r="C22" s="2">
        <v>1815.3</v>
      </c>
      <c r="D22">
        <f t="shared" si="0"/>
        <v>7134129</v>
      </c>
      <c r="E22" s="3">
        <f t="shared" si="1"/>
        <v>0.11883573476765776</v>
      </c>
      <c r="F22"/>
      <c r="G22"/>
      <c r="H22"/>
      <c r="I22"/>
    </row>
    <row r="23" spans="1:9" s="2" customFormat="1">
      <c r="A23" t="s">
        <v>23</v>
      </c>
      <c r="B23" s="4">
        <f>40235+4295+1952-475+9018-12666-5975-9817+11418+1366-3600+5427-7979-25132+6426+17836-15111-2801-1247-5505-1765+3820-6212+5704-2774+2757-458-1307+3879-7827-231-3251</f>
        <v>0</v>
      </c>
      <c r="C23" s="2">
        <v>114.42</v>
      </c>
      <c r="D23">
        <f t="shared" si="0"/>
        <v>0</v>
      </c>
      <c r="E23" s="3">
        <f t="shared" si="1"/>
        <v>0</v>
      </c>
      <c r="F23"/>
      <c r="G23"/>
      <c r="H23"/>
      <c r="I23"/>
    </row>
    <row r="24" spans="1:9" s="2" customFormat="1">
      <c r="A24"/>
      <c r="B24" s="4"/>
      <c r="D24"/>
      <c r="E24" s="3"/>
      <c r="F24"/>
      <c r="G24"/>
      <c r="H24"/>
      <c r="I24"/>
    </row>
    <row r="25" spans="1:9" s="2" customFormat="1">
      <c r="A25"/>
      <c r="B25" s="4"/>
      <c r="D25">
        <f>SUM(D5:D23)</f>
        <v>60033532.960000001</v>
      </c>
      <c r="E25"/>
      <c r="F25"/>
      <c r="G25"/>
      <c r="H25"/>
      <c r="I25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F8F28-AE12-440A-AF52-4177B47FE59C}">
  <sheetPr>
    <pageSetUpPr fitToPage="1"/>
  </sheetPr>
  <dimension ref="A1:J25"/>
  <sheetViews>
    <sheetView workbookViewId="0">
      <selection activeCell="G21" sqref="G21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9" max="9" width="11" bestFit="1" customWidth="1"/>
    <col min="10" max="10" width="11.5703125" style="2" bestFit="1" customWidth="1"/>
    <col min="11" max="11" width="9.5703125" bestFit="1" customWidth="1"/>
  </cols>
  <sheetData>
    <row r="1" spans="1:10">
      <c r="A1" t="s">
        <v>0</v>
      </c>
      <c r="B1" s="1">
        <v>46182</v>
      </c>
      <c r="C1" s="2" t="s">
        <v>67</v>
      </c>
      <c r="E1" s="3"/>
    </row>
    <row r="2" spans="1:10">
      <c r="B2" s="4"/>
      <c r="E2" s="3"/>
    </row>
    <row r="3" spans="1:10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>
      <c r="B4" s="4"/>
      <c r="E4" s="3"/>
    </row>
    <row r="5" spans="1:10" s="2" customFormat="1">
      <c r="A5" t="s">
        <v>7</v>
      </c>
      <c r="B5" s="4">
        <f>2265+463+942</f>
        <v>3670</v>
      </c>
      <c r="C5" s="2">
        <v>678.25</v>
      </c>
      <c r="D5">
        <f t="shared" ref="D5:D23" si="0">C5*B5</f>
        <v>2489177.5</v>
      </c>
      <c r="E5" s="3">
        <f t="shared" ref="E5:E23" si="1">D5/$D$25</f>
        <v>4.2582978354032554E-2</v>
      </c>
      <c r="F5"/>
      <c r="G5"/>
      <c r="H5"/>
      <c r="I5"/>
    </row>
    <row r="6" spans="1:10" s="2" customFormat="1">
      <c r="A6" t="s">
        <v>8</v>
      </c>
      <c r="B6" s="4">
        <f>4326+2424</f>
        <v>6750</v>
      </c>
      <c r="C6" s="2">
        <v>1396.3</v>
      </c>
      <c r="D6">
        <f t="shared" si="0"/>
        <v>9425025</v>
      </c>
      <c r="E6" s="3">
        <f t="shared" si="1"/>
        <v>0.16123624593313077</v>
      </c>
      <c r="F6"/>
      <c r="G6"/>
      <c r="H6"/>
      <c r="I6"/>
    </row>
    <row r="7" spans="1:10" s="2" customFormat="1">
      <c r="A7" t="s">
        <v>47</v>
      </c>
      <c r="B7" s="4">
        <v>1655</v>
      </c>
      <c r="C7" s="2">
        <v>1027.4000000000001</v>
      </c>
      <c r="D7">
        <f t="shared" si="0"/>
        <v>1700347.0000000002</v>
      </c>
      <c r="E7" s="3">
        <f t="shared" si="1"/>
        <v>2.9088258870789325E-2</v>
      </c>
      <c r="F7"/>
      <c r="G7"/>
      <c r="H7"/>
      <c r="I7"/>
    </row>
    <row r="8" spans="1:10" s="2" customFormat="1">
      <c r="A8" t="s">
        <v>9</v>
      </c>
      <c r="B8" s="4">
        <f>448*2+37+403+478+149+306+290</f>
        <v>2559</v>
      </c>
      <c r="C8" s="2">
        <v>752.5</v>
      </c>
      <c r="D8">
        <f t="shared" si="0"/>
        <v>1925647.5</v>
      </c>
      <c r="E8" s="3">
        <f t="shared" si="1"/>
        <v>3.2942530538700797E-2</v>
      </c>
      <c r="F8"/>
      <c r="G8"/>
      <c r="H8"/>
      <c r="I8"/>
    </row>
    <row r="9" spans="1:10" s="2" customFormat="1">
      <c r="A9" t="s">
        <v>10</v>
      </c>
      <c r="B9" s="4">
        <f>1410+2189+320+59</f>
        <v>3978</v>
      </c>
      <c r="C9" s="2">
        <v>1568.2</v>
      </c>
      <c r="D9">
        <f t="shared" si="0"/>
        <v>6238299.6000000006</v>
      </c>
      <c r="E9" s="3">
        <f t="shared" si="1"/>
        <v>0.10672014222881653</v>
      </c>
      <c r="F9"/>
      <c r="G9"/>
      <c r="H9"/>
      <c r="I9"/>
    </row>
    <row r="10" spans="1:10" s="2" customFormat="1">
      <c r="A10" t="s">
        <v>11</v>
      </c>
      <c r="B10" s="4">
        <f>130+126+33+57+173+130</f>
        <v>649</v>
      </c>
      <c r="C10" s="2">
        <v>1255.5</v>
      </c>
      <c r="D10">
        <f t="shared" si="0"/>
        <v>814819.5</v>
      </c>
      <c r="E10" s="3">
        <f t="shared" si="1"/>
        <v>1.3939319767651615E-2</v>
      </c>
      <c r="F10"/>
      <c r="G10"/>
      <c r="H10"/>
      <c r="I10"/>
    </row>
    <row r="11" spans="1:10" s="2" customFormat="1">
      <c r="A11" t="s">
        <v>12</v>
      </c>
      <c r="B11" s="4">
        <f>(724+289+144+275-367)*10</f>
        <v>10650</v>
      </c>
      <c r="C11" s="2">
        <v>369</v>
      </c>
      <c r="D11">
        <f t="shared" si="0"/>
        <v>3929850</v>
      </c>
      <c r="E11" s="3">
        <f t="shared" si="1"/>
        <v>6.7228920992815827E-2</v>
      </c>
      <c r="F11"/>
      <c r="G11"/>
      <c r="H11"/>
      <c r="I11"/>
    </row>
    <row r="12" spans="1:10" s="2" customFormat="1">
      <c r="A12" t="s">
        <v>13</v>
      </c>
      <c r="B12" s="4">
        <f>3770+209+935+289</f>
        <v>5203</v>
      </c>
      <c r="C12" s="2">
        <v>629.4</v>
      </c>
      <c r="D12">
        <f t="shared" si="0"/>
        <v>3274768.1999999997</v>
      </c>
      <c r="E12" s="3">
        <f t="shared" si="1"/>
        <v>5.6022273773193805E-2</v>
      </c>
      <c r="F12"/>
      <c r="G12"/>
      <c r="H12"/>
      <c r="I12"/>
    </row>
    <row r="13" spans="1:10" s="2" customFormat="1">
      <c r="A13" t="s">
        <v>53</v>
      </c>
      <c r="B13" s="4">
        <f>2434+532</f>
        <v>2966</v>
      </c>
      <c r="C13" s="2">
        <v>512</v>
      </c>
      <c r="D13">
        <f t="shared" si="0"/>
        <v>1518592</v>
      </c>
      <c r="E13" s="3">
        <f t="shared" si="1"/>
        <v>2.597893089769894E-2</v>
      </c>
      <c r="F13"/>
      <c r="G13" t="s">
        <v>69</v>
      </c>
      <c r="H13"/>
      <c r="I13"/>
    </row>
    <row r="14" spans="1:10" s="2" customFormat="1">
      <c r="A14" t="s">
        <v>14</v>
      </c>
      <c r="B14" s="4">
        <f>((840+420)*2+290+562)+3372-130-373</f>
        <v>6241</v>
      </c>
      <c r="C14" s="2">
        <v>314.95</v>
      </c>
      <c r="D14">
        <f t="shared" si="0"/>
        <v>1965602.95</v>
      </c>
      <c r="E14" s="3">
        <f t="shared" si="1"/>
        <v>3.3626058355610444E-2</v>
      </c>
      <c r="F14"/>
      <c r="G14"/>
      <c r="H14"/>
      <c r="I14"/>
    </row>
    <row r="15" spans="1:10" s="2" customFormat="1">
      <c r="A15" t="s">
        <v>15</v>
      </c>
      <c r="B15" s="4">
        <f>1280+1280+1280+910+1300+1300+2940+1300-2365+1475-2568-1840-1507</f>
        <v>4785</v>
      </c>
      <c r="C15" s="2">
        <v>167.7</v>
      </c>
      <c r="D15">
        <f t="shared" si="0"/>
        <v>802444.5</v>
      </c>
      <c r="E15" s="3">
        <f t="shared" si="1"/>
        <v>1.3727617565968065E-2</v>
      </c>
      <c r="F15"/>
      <c r="G15" t="s">
        <v>70</v>
      </c>
      <c r="H15"/>
      <c r="I15"/>
      <c r="J15" s="5"/>
    </row>
    <row r="16" spans="1:10" s="2" customFormat="1">
      <c r="A16" t="s">
        <v>60</v>
      </c>
      <c r="B16" s="4">
        <f>12359+1297</f>
        <v>13656</v>
      </c>
      <c r="C16" s="2">
        <v>81.099999999999994</v>
      </c>
      <c r="D16">
        <f t="shared" si="0"/>
        <v>1107501.5999999999</v>
      </c>
      <c r="E16" s="3">
        <f t="shared" si="1"/>
        <v>1.8946305219236639E-2</v>
      </c>
      <c r="F16"/>
      <c r="G16"/>
      <c r="H16"/>
      <c r="I16"/>
      <c r="J16" s="5"/>
    </row>
    <row r="17" spans="1:9" s="2" customFormat="1">
      <c r="A17" t="s">
        <v>16</v>
      </c>
      <c r="B17" s="4">
        <f>(410+205+135+181)*2</f>
        <v>1862</v>
      </c>
      <c r="C17" s="2">
        <v>2598.4</v>
      </c>
      <c r="D17">
        <f t="shared" si="0"/>
        <v>4838220.8</v>
      </c>
      <c r="E17" s="3">
        <f t="shared" si="1"/>
        <v>8.2768646108375171E-2</v>
      </c>
      <c r="F17"/>
      <c r="G17"/>
      <c r="H17"/>
      <c r="I17"/>
    </row>
    <row r="18" spans="1:9" s="2" customFormat="1">
      <c r="A18" t="s">
        <v>18</v>
      </c>
      <c r="B18" s="4">
        <f>13763+6317+2811+3464+1538</f>
        <v>27893</v>
      </c>
      <c r="C18" s="2">
        <v>108.16</v>
      </c>
      <c r="D18">
        <f t="shared" si="0"/>
        <v>3016906.88</v>
      </c>
      <c r="E18" s="3">
        <f t="shared" si="1"/>
        <v>5.1610976062242193E-2</v>
      </c>
      <c r="F18"/>
      <c r="G18"/>
      <c r="H18"/>
      <c r="I18"/>
    </row>
    <row r="19" spans="1:9" s="2" customFormat="1">
      <c r="A19" t="s">
        <v>19</v>
      </c>
      <c r="B19" s="4">
        <f>458+115+189</f>
        <v>762</v>
      </c>
      <c r="C19" s="2">
        <v>5940.9</v>
      </c>
      <c r="D19">
        <f t="shared" si="0"/>
        <v>4526965.8</v>
      </c>
      <c r="E19" s="3">
        <f t="shared" si="1"/>
        <v>7.7443929438879164E-2</v>
      </c>
      <c r="F19"/>
      <c r="G19"/>
      <c r="H19"/>
      <c r="I19"/>
    </row>
    <row r="20" spans="1:9" s="2" customFormat="1">
      <c r="A20" t="s">
        <v>20</v>
      </c>
      <c r="B20" s="4">
        <f>(3075+1537+1153-53-1428-925-484-459-467-45+2345+1175)*2</f>
        <v>10848</v>
      </c>
      <c r="C20" s="2">
        <v>229.65</v>
      </c>
      <c r="D20">
        <f t="shared" si="0"/>
        <v>2491243.2000000002</v>
      </c>
      <c r="E20" s="3">
        <f t="shared" si="1"/>
        <v>4.2618316797508736E-2</v>
      </c>
      <c r="F20"/>
      <c r="G20"/>
      <c r="H20"/>
      <c r="I20"/>
    </row>
    <row r="21" spans="1:9" s="2" customFormat="1">
      <c r="A21" t="s">
        <v>21</v>
      </c>
      <c r="B21" s="4">
        <f>7985+1084+1117+2249-5230-405-983-767-1715-339</f>
        <v>2996</v>
      </c>
      <c r="C21" s="2">
        <v>550.4</v>
      </c>
      <c r="D21">
        <f t="shared" si="0"/>
        <v>1648998.3999999999</v>
      </c>
      <c r="E21" s="3">
        <f t="shared" si="1"/>
        <v>2.820982560425454E-2</v>
      </c>
      <c r="F21"/>
      <c r="G21"/>
      <c r="H21"/>
    </row>
    <row r="22" spans="1:9" s="2" customFormat="1">
      <c r="A22" t="s">
        <v>22</v>
      </c>
      <c r="B22" s="4">
        <f>2592+518+820</f>
        <v>3930</v>
      </c>
      <c r="C22" s="2">
        <v>1715.1</v>
      </c>
      <c r="D22">
        <f t="shared" si="0"/>
        <v>6740343</v>
      </c>
      <c r="E22" s="3">
        <f t="shared" si="1"/>
        <v>0.11530872349109487</v>
      </c>
      <c r="F22"/>
      <c r="G22"/>
      <c r="H22"/>
      <c r="I22"/>
    </row>
    <row r="23" spans="1:9" s="2" customFormat="1">
      <c r="A23" t="s">
        <v>23</v>
      </c>
      <c r="B23" s="4">
        <f>40235+4295+1952-475+9018-12666-5975-9817+11418+1366-3600+5427-7979-25132+6426+17836-15111-2801-1247-5505-1765+3820-6212+5704-2774+2757-458-1307+3879-7827-231-3251</f>
        <v>0</v>
      </c>
      <c r="C23" s="2">
        <v>114.48</v>
      </c>
      <c r="D23">
        <f t="shared" si="0"/>
        <v>0</v>
      </c>
      <c r="E23" s="3">
        <f t="shared" si="1"/>
        <v>0</v>
      </c>
      <c r="F23"/>
      <c r="G23"/>
      <c r="H23"/>
      <c r="I23"/>
    </row>
    <row r="24" spans="1:9" s="2" customFormat="1">
      <c r="A24"/>
      <c r="B24" s="4"/>
      <c r="D24"/>
      <c r="E24" s="3"/>
      <c r="F24"/>
      <c r="G24"/>
      <c r="H24"/>
      <c r="I24"/>
    </row>
    <row r="25" spans="1:9" s="2" customFormat="1">
      <c r="A25"/>
      <c r="B25" s="4"/>
      <c r="D25">
        <f>SUM(D5:D23)</f>
        <v>58454753.43</v>
      </c>
      <c r="E25"/>
      <c r="F25"/>
      <c r="G25"/>
      <c r="H25"/>
      <c r="I25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58101-221B-4B5F-BD01-3297CB7D00F5}">
  <sheetPr>
    <pageSetUpPr fitToPage="1"/>
  </sheetPr>
  <dimension ref="A1:J25"/>
  <sheetViews>
    <sheetView workbookViewId="0">
      <selection activeCell="I20" sqref="I20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9" max="9" width="11" bestFit="1" customWidth="1"/>
    <col min="10" max="10" width="11.5703125" style="2" bestFit="1" customWidth="1"/>
    <col min="11" max="11" width="9.5703125" bestFit="1" customWidth="1"/>
  </cols>
  <sheetData>
    <row r="1" spans="1:10">
      <c r="A1" t="s">
        <v>0</v>
      </c>
      <c r="B1" s="1">
        <v>46182</v>
      </c>
      <c r="C1" s="2" t="s">
        <v>67</v>
      </c>
      <c r="E1" s="3"/>
    </row>
    <row r="2" spans="1:10">
      <c r="B2" s="4"/>
      <c r="E2" s="3"/>
    </row>
    <row r="3" spans="1:10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>
      <c r="B4" s="4"/>
      <c r="E4" s="3"/>
    </row>
    <row r="5" spans="1:10" s="2" customFormat="1">
      <c r="A5" t="s">
        <v>7</v>
      </c>
      <c r="B5" s="4">
        <f>2265+463+942</f>
        <v>3670</v>
      </c>
      <c r="C5" s="2">
        <v>708.15</v>
      </c>
      <c r="D5">
        <f t="shared" ref="D5:D23" si="0">C5*B5</f>
        <v>2598910.5</v>
      </c>
      <c r="E5" s="3">
        <f t="shared" ref="E5:E23" si="1">D5/$D$25</f>
        <v>4.0405382698355558E-2</v>
      </c>
      <c r="F5"/>
      <c r="G5"/>
      <c r="H5"/>
      <c r="I5"/>
    </row>
    <row r="6" spans="1:10" s="2" customFormat="1">
      <c r="A6" t="s">
        <v>8</v>
      </c>
      <c r="B6" s="4">
        <f>4326+2424</f>
        <v>6750</v>
      </c>
      <c r="C6" s="2">
        <v>1684.1</v>
      </c>
      <c r="D6">
        <f t="shared" si="0"/>
        <v>11367675</v>
      </c>
      <c r="E6" s="3">
        <f t="shared" si="1"/>
        <v>0.17673377315822494</v>
      </c>
      <c r="F6"/>
      <c r="G6"/>
      <c r="H6"/>
      <c r="I6"/>
    </row>
    <row r="7" spans="1:10" s="2" customFormat="1">
      <c r="A7" t="s">
        <v>47</v>
      </c>
      <c r="B7" s="4">
        <f>1655+330</f>
        <v>1985</v>
      </c>
      <c r="C7" s="2">
        <v>971.7</v>
      </c>
      <c r="D7">
        <f t="shared" si="0"/>
        <v>1928824.5</v>
      </c>
      <c r="E7" s="3">
        <f t="shared" si="1"/>
        <v>2.9987524418583981E-2</v>
      </c>
      <c r="F7"/>
      <c r="G7" t="s">
        <v>71</v>
      </c>
      <c r="H7"/>
      <c r="I7"/>
    </row>
    <row r="8" spans="1:10" s="2" customFormat="1">
      <c r="A8" t="s">
        <v>9</v>
      </c>
      <c r="B8" s="4">
        <f>448*2+37+403+478+149+306+290</f>
        <v>2559</v>
      </c>
      <c r="C8" s="2">
        <v>876.4</v>
      </c>
      <c r="D8">
        <f t="shared" si="0"/>
        <v>2242707.6</v>
      </c>
      <c r="E8" s="3">
        <f t="shared" si="1"/>
        <v>3.4867479606746951E-2</v>
      </c>
      <c r="F8"/>
      <c r="G8"/>
      <c r="H8"/>
      <c r="I8"/>
    </row>
    <row r="9" spans="1:10" s="2" customFormat="1">
      <c r="A9" t="s">
        <v>10</v>
      </c>
      <c r="B9" s="4">
        <f>1410+2189+320+59</f>
        <v>3978</v>
      </c>
      <c r="C9" s="2">
        <v>1744.6</v>
      </c>
      <c r="D9">
        <f t="shared" si="0"/>
        <v>6940018.7999999998</v>
      </c>
      <c r="E9" s="3">
        <f t="shared" si="1"/>
        <v>0.10789679581031447</v>
      </c>
      <c r="F9"/>
      <c r="G9"/>
      <c r="H9"/>
      <c r="I9"/>
    </row>
    <row r="10" spans="1:10" s="2" customFormat="1">
      <c r="A10" t="s">
        <v>11</v>
      </c>
      <c r="B10" s="4">
        <f>130+126+33+57+173+130</f>
        <v>649</v>
      </c>
      <c r="C10" s="2">
        <v>1423.1</v>
      </c>
      <c r="D10">
        <f t="shared" si="0"/>
        <v>923591.89999999991</v>
      </c>
      <c r="E10" s="3">
        <f t="shared" si="1"/>
        <v>1.4359126324897041E-2</v>
      </c>
      <c r="F10"/>
      <c r="G10"/>
      <c r="H10"/>
      <c r="I10"/>
    </row>
    <row r="11" spans="1:10" s="2" customFormat="1">
      <c r="A11" t="s">
        <v>12</v>
      </c>
      <c r="B11" s="4">
        <f>(724+289+144+275-367)*10-3094</f>
        <v>7556</v>
      </c>
      <c r="C11" s="2">
        <v>425.9</v>
      </c>
      <c r="D11">
        <f t="shared" si="0"/>
        <v>3218100.4</v>
      </c>
      <c r="E11" s="3">
        <f t="shared" si="1"/>
        <v>5.0031956938775345E-2</v>
      </c>
      <c r="F11"/>
      <c r="G11" t="s">
        <v>72</v>
      </c>
      <c r="H11"/>
      <c r="I11"/>
    </row>
    <row r="12" spans="1:10" s="2" customFormat="1">
      <c r="A12" t="s">
        <v>13</v>
      </c>
      <c r="B12" s="4">
        <f>3770+209+935+289</f>
        <v>5203</v>
      </c>
      <c r="C12" s="2">
        <v>610.95000000000005</v>
      </c>
      <c r="D12">
        <f t="shared" si="0"/>
        <v>3178772.85</v>
      </c>
      <c r="E12" s="3">
        <f t="shared" si="1"/>
        <v>4.9420529685571084E-2</v>
      </c>
      <c r="F12"/>
      <c r="G12"/>
      <c r="H12"/>
      <c r="I12"/>
    </row>
    <row r="13" spans="1:10" s="2" customFormat="1">
      <c r="A13" t="s">
        <v>53</v>
      </c>
      <c r="B13" s="4">
        <f>2434+532</f>
        <v>2966</v>
      </c>
      <c r="C13" s="2">
        <v>531.85</v>
      </c>
      <c r="D13">
        <f t="shared" si="0"/>
        <v>1577467.1</v>
      </c>
      <c r="E13" s="3">
        <f t="shared" si="1"/>
        <v>2.4524954541360743E-2</v>
      </c>
      <c r="F13"/>
      <c r="G13"/>
      <c r="H13"/>
      <c r="I13"/>
    </row>
    <row r="14" spans="1:10" s="2" customFormat="1">
      <c r="A14" t="s">
        <v>14</v>
      </c>
      <c r="B14" s="4">
        <f>((840+420)*2+290+562)+3372-130-373</f>
        <v>6241</v>
      </c>
      <c r="C14" s="2">
        <v>330</v>
      </c>
      <c r="D14">
        <f t="shared" si="0"/>
        <v>2059530</v>
      </c>
      <c r="E14" s="3">
        <f t="shared" si="1"/>
        <v>3.201960892025494E-2</v>
      </c>
      <c r="F14"/>
      <c r="G14"/>
      <c r="H14"/>
      <c r="I14"/>
    </row>
    <row r="15" spans="1:10" s="2" customFormat="1">
      <c r="A15" t="s">
        <v>15</v>
      </c>
      <c r="B15" s="4">
        <f>1280+1280+1280+910+1300+1300+2940+1300-2365+1475-2568-1840-1507</f>
        <v>4785</v>
      </c>
      <c r="C15" s="2">
        <v>162.68</v>
      </c>
      <c r="D15">
        <f t="shared" si="0"/>
        <v>778423.8</v>
      </c>
      <c r="E15" s="3">
        <f t="shared" si="1"/>
        <v>1.2102191106815024E-2</v>
      </c>
      <c r="F15"/>
      <c r="G15"/>
      <c r="H15"/>
      <c r="I15"/>
      <c r="J15" s="5"/>
    </row>
    <row r="16" spans="1:10" s="2" customFormat="1">
      <c r="A16" t="s">
        <v>60</v>
      </c>
      <c r="B16" s="4">
        <f>12359+1297</f>
        <v>13656</v>
      </c>
      <c r="C16" s="2">
        <v>90.72</v>
      </c>
      <c r="D16">
        <f t="shared" si="0"/>
        <v>1238872.32</v>
      </c>
      <c r="E16" s="3">
        <f t="shared" si="1"/>
        <v>1.9260805712239652E-2</v>
      </c>
      <c r="F16"/>
      <c r="G16"/>
      <c r="H16"/>
      <c r="I16"/>
      <c r="J16" s="5"/>
    </row>
    <row r="17" spans="1:9" s="2" customFormat="1">
      <c r="A17" t="s">
        <v>16</v>
      </c>
      <c r="B17" s="4">
        <f>(410+205+135+181)*2-143</f>
        <v>1719</v>
      </c>
      <c r="C17" s="2">
        <v>2839.9</v>
      </c>
      <c r="D17">
        <f t="shared" si="0"/>
        <v>4881788.1000000006</v>
      </c>
      <c r="E17" s="3">
        <f t="shared" si="1"/>
        <v>7.589738716772973E-2</v>
      </c>
      <c r="F17"/>
      <c r="G17" t="s">
        <v>73</v>
      </c>
      <c r="H17"/>
      <c r="I17"/>
    </row>
    <row r="18" spans="1:9" s="2" customFormat="1">
      <c r="A18" t="s">
        <v>18</v>
      </c>
      <c r="B18" s="4">
        <f>13763+6317+2811+3464+1538</f>
        <v>27893</v>
      </c>
      <c r="C18" s="2">
        <v>111.6</v>
      </c>
      <c r="D18">
        <f t="shared" si="0"/>
        <v>3112858.8</v>
      </c>
      <c r="E18" s="3">
        <f t="shared" si="1"/>
        <v>4.839576087746917E-2</v>
      </c>
      <c r="F18"/>
      <c r="G18"/>
      <c r="H18"/>
      <c r="I18"/>
    </row>
    <row r="19" spans="1:9" s="2" customFormat="1">
      <c r="A19" t="s">
        <v>19</v>
      </c>
      <c r="B19" s="4">
        <f>458+115+189</f>
        <v>762</v>
      </c>
      <c r="C19" s="2">
        <v>6108</v>
      </c>
      <c r="D19">
        <f t="shared" si="0"/>
        <v>4654296</v>
      </c>
      <c r="E19" s="3">
        <f t="shared" si="1"/>
        <v>7.236055688390404E-2</v>
      </c>
      <c r="F19"/>
      <c r="G19"/>
      <c r="H19"/>
      <c r="I19"/>
    </row>
    <row r="20" spans="1:9" s="2" customFormat="1">
      <c r="A20" t="s">
        <v>20</v>
      </c>
      <c r="B20" s="4">
        <f>(3075+1537+1153-53-1428-925-484-459-467-45+2345+1175)*2</f>
        <v>10848</v>
      </c>
      <c r="C20" s="2">
        <v>240.01</v>
      </c>
      <c r="D20">
        <f t="shared" si="0"/>
        <v>2603628.48</v>
      </c>
      <c r="E20" s="3">
        <f t="shared" si="1"/>
        <v>4.047873335335625E-2</v>
      </c>
      <c r="F20"/>
      <c r="G20"/>
      <c r="H20"/>
      <c r="I20"/>
    </row>
    <row r="21" spans="1:9" s="2" customFormat="1">
      <c r="A21" t="s">
        <v>21</v>
      </c>
      <c r="B21" s="4">
        <f>7985+1084+1117+2249-5230-405-983-767-1715-339-205</f>
        <v>2791</v>
      </c>
      <c r="C21" s="2">
        <v>567.85</v>
      </c>
      <c r="D21">
        <f t="shared" si="0"/>
        <v>1584869.35</v>
      </c>
      <c r="E21" s="3">
        <f t="shared" si="1"/>
        <v>2.4640037667185546E-2</v>
      </c>
      <c r="F21"/>
      <c r="G21" t="s">
        <v>74</v>
      </c>
      <c r="H21"/>
    </row>
    <row r="22" spans="1:9" s="2" customFormat="1">
      <c r="A22" t="s">
        <v>22</v>
      </c>
      <c r="B22" s="4">
        <f>2592+518+820</f>
        <v>3930</v>
      </c>
      <c r="C22" s="2">
        <v>1997</v>
      </c>
      <c r="D22">
        <f t="shared" si="0"/>
        <v>7848210</v>
      </c>
      <c r="E22" s="3">
        <f t="shared" si="1"/>
        <v>0.12201648673436852</v>
      </c>
      <c r="F22"/>
      <c r="G22"/>
      <c r="H22"/>
      <c r="I22"/>
    </row>
    <row r="23" spans="1:9" s="2" customFormat="1">
      <c r="A23" t="s">
        <v>23</v>
      </c>
      <c r="B23" s="4">
        <f>40235+4295+1952-475+9018-12666-5975-9817+11418+1366-3600+5427-7979-25132+6426+17836-15111-2801-1247-5505-1765+3820-6212+5704-2774+2757-458-1307+3879-7827-231-3251+13804</f>
        <v>13804</v>
      </c>
      <c r="C23" s="2">
        <v>114.63</v>
      </c>
      <c r="D23">
        <f t="shared" si="0"/>
        <v>1582352.52</v>
      </c>
      <c r="E23" s="3">
        <f t="shared" si="1"/>
        <v>2.4600908393847081E-2</v>
      </c>
      <c r="F23"/>
      <c r="G23" t="s">
        <v>75</v>
      </c>
      <c r="H23"/>
      <c r="I23"/>
    </row>
    <row r="24" spans="1:9" s="2" customFormat="1">
      <c r="A24"/>
      <c r="B24" s="4"/>
      <c r="D24"/>
      <c r="E24" s="3"/>
      <c r="F24"/>
      <c r="G24"/>
      <c r="H24"/>
      <c r="I24"/>
    </row>
    <row r="25" spans="1:9" s="2" customFormat="1">
      <c r="A25"/>
      <c r="B25" s="4"/>
      <c r="D25">
        <f>SUM(D5:D23)</f>
        <v>64320898.019999996</v>
      </c>
      <c r="E25"/>
      <c r="F25"/>
      <c r="G25"/>
      <c r="H25"/>
      <c r="I25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DA27-EF7D-4638-96C3-D16E414D42BC}">
  <sheetPr>
    <pageSetUpPr fitToPage="1"/>
  </sheetPr>
  <dimension ref="A1:J25"/>
  <sheetViews>
    <sheetView workbookViewId="0">
      <selection activeCell="G20" sqref="G20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9" max="9" width="11" bestFit="1" customWidth="1"/>
    <col min="10" max="10" width="11.5703125" style="2" bestFit="1" customWidth="1"/>
    <col min="11" max="11" width="9.5703125" bestFit="1" customWidth="1"/>
  </cols>
  <sheetData>
    <row r="1" spans="1:10">
      <c r="A1" t="s">
        <v>0</v>
      </c>
      <c r="B1" s="1">
        <v>46182</v>
      </c>
      <c r="C1" s="2" t="s">
        <v>76</v>
      </c>
      <c r="E1" s="3"/>
    </row>
    <row r="2" spans="1:10">
      <c r="B2" s="4"/>
      <c r="E2" s="3"/>
    </row>
    <row r="3" spans="1:10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>
      <c r="B4" s="4"/>
      <c r="E4" s="3"/>
    </row>
    <row r="5" spans="1:10" s="2" customFormat="1">
      <c r="A5" t="s">
        <v>7</v>
      </c>
      <c r="B5" s="4">
        <f>2265+463+942</f>
        <v>3670</v>
      </c>
      <c r="C5" s="2">
        <v>646.35</v>
      </c>
      <c r="D5">
        <f t="shared" ref="D5:D23" si="0">C5*B5</f>
        <v>2372104.5</v>
      </c>
      <c r="E5" s="3">
        <f t="shared" ref="E5:E23" si="1">D5/$D$25</f>
        <v>3.6717520849954596E-2</v>
      </c>
      <c r="F5"/>
      <c r="G5"/>
      <c r="H5"/>
      <c r="I5"/>
    </row>
    <row r="6" spans="1:10" s="2" customFormat="1">
      <c r="A6" t="s">
        <v>8</v>
      </c>
      <c r="B6" s="4">
        <f>4326+2424</f>
        <v>6750</v>
      </c>
      <c r="C6" s="2">
        <v>1803.7</v>
      </c>
      <c r="D6">
        <f t="shared" si="0"/>
        <v>12174975</v>
      </c>
      <c r="E6" s="3">
        <f t="shared" si="1"/>
        <v>0.18845497675594644</v>
      </c>
      <c r="F6"/>
      <c r="G6"/>
      <c r="H6"/>
      <c r="I6"/>
    </row>
    <row r="7" spans="1:10" s="2" customFormat="1">
      <c r="A7" t="s">
        <v>47</v>
      </c>
      <c r="B7" s="4">
        <f>1655+330</f>
        <v>1985</v>
      </c>
      <c r="C7" s="2">
        <v>1225.8</v>
      </c>
      <c r="D7">
        <f t="shared" si="0"/>
        <v>2433213</v>
      </c>
      <c r="E7" s="3">
        <f t="shared" si="1"/>
        <v>3.7663411987069108E-2</v>
      </c>
      <c r="F7"/>
      <c r="G7"/>
      <c r="H7"/>
      <c r="I7"/>
    </row>
    <row r="8" spans="1:10" s="2" customFormat="1">
      <c r="A8" t="s">
        <v>9</v>
      </c>
      <c r="B8" s="4">
        <f>448*2+37+403+478+149+306+290</f>
        <v>2559</v>
      </c>
      <c r="C8" s="2">
        <v>857.8</v>
      </c>
      <c r="D8">
        <f t="shared" si="0"/>
        <v>2195110.1999999997</v>
      </c>
      <c r="E8" s="3">
        <f t="shared" si="1"/>
        <v>3.397784732352558E-2</v>
      </c>
      <c r="F8"/>
      <c r="G8"/>
      <c r="H8"/>
      <c r="I8"/>
    </row>
    <row r="9" spans="1:10" s="2" customFormat="1">
      <c r="A9" t="s">
        <v>10</v>
      </c>
      <c r="B9" s="4">
        <f>1410+2189+320+59</f>
        <v>3978</v>
      </c>
      <c r="C9" s="2">
        <v>1768.1</v>
      </c>
      <c r="D9">
        <f t="shared" si="0"/>
        <v>7033501.7999999998</v>
      </c>
      <c r="E9" s="3">
        <f t="shared" si="1"/>
        <v>0.10887073018481824</v>
      </c>
      <c r="F9"/>
      <c r="G9"/>
      <c r="H9"/>
      <c r="I9"/>
    </row>
    <row r="10" spans="1:10" s="2" customFormat="1">
      <c r="A10" t="s">
        <v>11</v>
      </c>
      <c r="B10" s="4">
        <f>130+126+33+57+173+130</f>
        <v>649</v>
      </c>
      <c r="C10" s="2">
        <v>1319.7</v>
      </c>
      <c r="D10">
        <f t="shared" si="0"/>
        <v>856485.3</v>
      </c>
      <c r="E10" s="3">
        <f t="shared" si="1"/>
        <v>1.3257433161325573E-2</v>
      </c>
      <c r="F10"/>
      <c r="G10"/>
      <c r="H10"/>
      <c r="I10"/>
    </row>
    <row r="11" spans="1:10" s="2" customFormat="1">
      <c r="A11" t="s">
        <v>12</v>
      </c>
      <c r="B11" s="4">
        <f>(724+289+144+275-367)*10-3094</f>
        <v>7556</v>
      </c>
      <c r="C11" s="2">
        <v>397.9</v>
      </c>
      <c r="D11">
        <f t="shared" si="0"/>
        <v>3006532.4</v>
      </c>
      <c r="E11" s="3">
        <f t="shared" si="1"/>
        <v>4.6537754168530107E-2</v>
      </c>
      <c r="F11"/>
      <c r="G11"/>
      <c r="H11"/>
      <c r="I11"/>
    </row>
    <row r="12" spans="1:10" s="2" customFormat="1">
      <c r="A12" t="s">
        <v>13</v>
      </c>
      <c r="B12" s="4">
        <f>3770+209+935+289</f>
        <v>5203</v>
      </c>
      <c r="C12" s="2">
        <v>666.4</v>
      </c>
      <c r="D12">
        <f t="shared" si="0"/>
        <v>3467279.1999999997</v>
      </c>
      <c r="E12" s="3">
        <f t="shared" si="1"/>
        <v>5.3669598585818573E-2</v>
      </c>
      <c r="F12"/>
      <c r="G12"/>
      <c r="H12"/>
      <c r="I12"/>
    </row>
    <row r="13" spans="1:10" s="2" customFormat="1">
      <c r="A13" t="s">
        <v>53</v>
      </c>
      <c r="B13" s="4">
        <f>2434+532</f>
        <v>2966</v>
      </c>
      <c r="C13" s="2">
        <v>545.04999999999995</v>
      </c>
      <c r="D13">
        <f t="shared" si="0"/>
        <v>1616618.2999999998</v>
      </c>
      <c r="E13" s="3">
        <f t="shared" si="1"/>
        <v>2.5023440635380163E-2</v>
      </c>
      <c r="F13"/>
      <c r="G13"/>
      <c r="H13"/>
      <c r="I13"/>
    </row>
    <row r="14" spans="1:10" s="2" customFormat="1">
      <c r="A14" t="s">
        <v>14</v>
      </c>
      <c r="B14" s="4">
        <f>((840+420)*2+290+562)+3372-130-373</f>
        <v>6241</v>
      </c>
      <c r="C14" s="2">
        <v>336.65</v>
      </c>
      <c r="D14">
        <f t="shared" si="0"/>
        <v>2101032.65</v>
      </c>
      <c r="E14" s="3">
        <f t="shared" si="1"/>
        <v>3.2521632218483774E-2</v>
      </c>
      <c r="F14"/>
      <c r="G14"/>
      <c r="H14"/>
      <c r="I14"/>
    </row>
    <row r="15" spans="1:10" s="2" customFormat="1">
      <c r="A15" t="s">
        <v>15</v>
      </c>
      <c r="B15" s="4">
        <f>1280+1280+1280+910+1300+1300+2940+1300-2365+1475-2568-1840-1507</f>
        <v>4785</v>
      </c>
      <c r="C15" s="2">
        <v>153.69</v>
      </c>
      <c r="D15">
        <f t="shared" si="0"/>
        <v>735406.65</v>
      </c>
      <c r="E15" s="3">
        <f t="shared" si="1"/>
        <v>1.1383271270119113E-2</v>
      </c>
      <c r="F15"/>
      <c r="G15"/>
      <c r="H15"/>
      <c r="I15"/>
      <c r="J15" s="5"/>
    </row>
    <row r="16" spans="1:10" s="2" customFormat="1">
      <c r="A16" t="s">
        <v>60</v>
      </c>
      <c r="B16" s="4">
        <f>12359+1297</f>
        <v>13656</v>
      </c>
      <c r="C16" s="2">
        <v>82.61</v>
      </c>
      <c r="D16">
        <f t="shared" si="0"/>
        <v>1128122.1599999999</v>
      </c>
      <c r="E16" s="3">
        <f t="shared" si="1"/>
        <v>1.7462067514772563E-2</v>
      </c>
      <c r="F16"/>
      <c r="G16"/>
      <c r="H16"/>
      <c r="I16"/>
      <c r="J16" s="5"/>
    </row>
    <row r="17" spans="1:9" s="2" customFormat="1">
      <c r="A17" t="s">
        <v>16</v>
      </c>
      <c r="B17" s="4">
        <f>(410+205+135+181)*2-143</f>
        <v>1719</v>
      </c>
      <c r="C17" s="2">
        <v>2640</v>
      </c>
      <c r="D17">
        <f t="shared" si="0"/>
        <v>4538160</v>
      </c>
      <c r="E17" s="3">
        <f t="shared" si="1"/>
        <v>7.0245633959393414E-2</v>
      </c>
      <c r="F17"/>
      <c r="G17"/>
      <c r="H17"/>
      <c r="I17"/>
    </row>
    <row r="18" spans="1:9" s="2" customFormat="1">
      <c r="A18" t="s">
        <v>18</v>
      </c>
      <c r="B18" s="4">
        <f>13763+6317+2811+3464+1538</f>
        <v>27893</v>
      </c>
      <c r="C18" s="2">
        <v>102.98</v>
      </c>
      <c r="D18">
        <f t="shared" si="0"/>
        <v>2872421.14</v>
      </c>
      <c r="E18" s="3">
        <f t="shared" si="1"/>
        <v>4.4461862071338065E-2</v>
      </c>
      <c r="F18"/>
      <c r="G18"/>
      <c r="H18"/>
      <c r="I18"/>
    </row>
    <row r="19" spans="1:9" s="2" customFormat="1">
      <c r="A19" t="s">
        <v>19</v>
      </c>
      <c r="B19" s="4">
        <f>458+115+189</f>
        <v>762</v>
      </c>
      <c r="C19" s="2">
        <v>6410</v>
      </c>
      <c r="D19">
        <f t="shared" si="0"/>
        <v>4884420</v>
      </c>
      <c r="E19" s="3">
        <f t="shared" si="1"/>
        <v>7.5605350940456131E-2</v>
      </c>
      <c r="F19"/>
      <c r="G19"/>
      <c r="H19"/>
      <c r="I19"/>
    </row>
    <row r="20" spans="1:9" s="2" customFormat="1">
      <c r="A20" t="s">
        <v>20</v>
      </c>
      <c r="B20" s="4">
        <f>(3075+1537+1153-53-1428-925-484-459-467-45+2345+1175)*2</f>
        <v>10848</v>
      </c>
      <c r="C20" s="2">
        <v>231.21</v>
      </c>
      <c r="D20">
        <f t="shared" si="0"/>
        <v>2508166.08</v>
      </c>
      <c r="E20" s="3">
        <f t="shared" si="1"/>
        <v>3.8823601716344656E-2</v>
      </c>
      <c r="F20"/>
      <c r="G20"/>
      <c r="H20"/>
      <c r="I20"/>
    </row>
    <row r="21" spans="1:9" s="2" customFormat="1">
      <c r="A21" t="s">
        <v>21</v>
      </c>
      <c r="B21" s="4">
        <f>7985+1084+1117+2249-5230-405-983-767-1715-339-205-937</f>
        <v>1854</v>
      </c>
      <c r="C21" s="2">
        <v>614</v>
      </c>
      <c r="D21">
        <f t="shared" si="0"/>
        <v>1138356</v>
      </c>
      <c r="E21" s="3">
        <f t="shared" si="1"/>
        <v>1.7620475895843084E-2</v>
      </c>
      <c r="F21"/>
      <c r="G21" t="s">
        <v>77</v>
      </c>
      <c r="H21"/>
    </row>
    <row r="22" spans="1:9" s="2" customFormat="1">
      <c r="A22" t="s">
        <v>22</v>
      </c>
      <c r="B22" s="4">
        <f>2592+518+820</f>
        <v>3930</v>
      </c>
      <c r="C22" s="2">
        <v>1880.4</v>
      </c>
      <c r="D22">
        <f t="shared" si="0"/>
        <v>7389972</v>
      </c>
      <c r="E22" s="3">
        <f t="shared" si="1"/>
        <v>0.1143884896262288</v>
      </c>
      <c r="F22"/>
      <c r="G22"/>
      <c r="H22"/>
      <c r="I22"/>
    </row>
    <row r="23" spans="1:9" s="2" customFormat="1">
      <c r="A23" t="s">
        <v>23</v>
      </c>
      <c r="B23" s="4">
        <f>40235+4295+1952-475+9018-12666-5975-9817+11418+1366-3600+5427-7979-25132+6426+17836-15111-2801-1247-5505-1765+3820-6212+5704-2774+2757-458-1307+3879-7827-231-3251+13804+4918</f>
        <v>18722</v>
      </c>
      <c r="C23" s="2">
        <v>114.96</v>
      </c>
      <c r="D23">
        <f t="shared" si="0"/>
        <v>2152281.12</v>
      </c>
      <c r="E23" s="3">
        <f t="shared" si="1"/>
        <v>3.3314901134652221E-2</v>
      </c>
      <c r="F23"/>
      <c r="G23" t="s">
        <v>78</v>
      </c>
      <c r="H23"/>
      <c r="I23"/>
    </row>
    <row r="24" spans="1:9" s="2" customFormat="1">
      <c r="A24"/>
      <c r="B24" s="4"/>
      <c r="D24"/>
      <c r="E24" s="3"/>
      <c r="F24"/>
      <c r="G24"/>
      <c r="H24"/>
      <c r="I24"/>
    </row>
    <row r="25" spans="1:9" s="2" customFormat="1">
      <c r="A25"/>
      <c r="B25" s="4"/>
      <c r="D25">
        <f>SUM(D5:D23)</f>
        <v>64604157.499999985</v>
      </c>
      <c r="E25"/>
      <c r="F25"/>
      <c r="G25"/>
      <c r="H25"/>
      <c r="I25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E0724-5CD2-4776-891C-F7CEA8D1BBE8}">
  <sheetPr>
    <pageSetUpPr fitToPage="1"/>
  </sheetPr>
  <dimension ref="A1:J25"/>
  <sheetViews>
    <sheetView workbookViewId="0">
      <selection activeCell="H13" sqref="H13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9" max="9" width="11" bestFit="1" customWidth="1"/>
    <col min="10" max="10" width="11.5703125" style="2" bestFit="1" customWidth="1"/>
    <col min="11" max="11" width="9.5703125" bestFit="1" customWidth="1"/>
  </cols>
  <sheetData>
    <row r="1" spans="1:10">
      <c r="A1" t="s">
        <v>0</v>
      </c>
      <c r="B1" s="1">
        <v>46227</v>
      </c>
      <c r="C1" s="2" t="s">
        <v>79</v>
      </c>
      <c r="E1" s="3"/>
    </row>
    <row r="2" spans="1:10">
      <c r="B2" s="4"/>
      <c r="E2" s="3"/>
    </row>
    <row r="3" spans="1:10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>
      <c r="B4" s="4"/>
      <c r="E4" s="3"/>
    </row>
    <row r="5" spans="1:10" s="2" customFormat="1">
      <c r="A5" t="s">
        <v>7</v>
      </c>
      <c r="B5" s="4">
        <f>2265+463+942</f>
        <v>3670</v>
      </c>
      <c r="C5" s="2">
        <v>686.95</v>
      </c>
      <c r="D5">
        <f t="shared" ref="D5:D23" si="0">C5*B5</f>
        <v>2521106.5</v>
      </c>
      <c r="E5" s="3">
        <f t="shared" ref="E5:E23" si="1">D5/$D$25</f>
        <v>3.8715379477151882E-2</v>
      </c>
      <c r="F5"/>
      <c r="G5"/>
      <c r="H5"/>
      <c r="I5"/>
    </row>
    <row r="6" spans="1:10" s="2" customFormat="1">
      <c r="A6" t="s">
        <v>8</v>
      </c>
      <c r="B6" s="4">
        <f>4326+2424</f>
        <v>6750</v>
      </c>
      <c r="C6" s="2">
        <v>1783.1</v>
      </c>
      <c r="D6">
        <f t="shared" si="0"/>
        <v>12035925</v>
      </c>
      <c r="E6" s="3">
        <f t="shared" si="1"/>
        <v>0.18482971811525584</v>
      </c>
      <c r="F6"/>
      <c r="G6"/>
      <c r="H6"/>
      <c r="I6"/>
    </row>
    <row r="7" spans="1:10" s="2" customFormat="1">
      <c r="A7" t="s">
        <v>47</v>
      </c>
      <c r="B7" s="4">
        <f>1655+330</f>
        <v>1985</v>
      </c>
      <c r="C7" s="2">
        <v>1233.2</v>
      </c>
      <c r="D7">
        <f t="shared" si="0"/>
        <v>2447902</v>
      </c>
      <c r="E7" s="3">
        <f t="shared" si="1"/>
        <v>3.7591214354839447E-2</v>
      </c>
      <c r="F7"/>
      <c r="G7"/>
      <c r="H7"/>
      <c r="I7"/>
    </row>
    <row r="8" spans="1:10" s="2" customFormat="1">
      <c r="A8" t="s">
        <v>9</v>
      </c>
      <c r="B8" s="4">
        <f>448*2+37+403+478+149+306+290</f>
        <v>2559</v>
      </c>
      <c r="C8" s="2">
        <v>808.45</v>
      </c>
      <c r="D8">
        <f t="shared" si="0"/>
        <v>2068823.55</v>
      </c>
      <c r="E8" s="3">
        <f t="shared" si="1"/>
        <v>3.1769895008211077E-2</v>
      </c>
      <c r="F8"/>
      <c r="G8"/>
      <c r="H8"/>
      <c r="I8"/>
    </row>
    <row r="9" spans="1:10" s="2" customFormat="1">
      <c r="A9" t="s">
        <v>10</v>
      </c>
      <c r="B9" s="4">
        <f>1410+2189+320+59</f>
        <v>3978</v>
      </c>
      <c r="C9" s="2">
        <v>1740.8</v>
      </c>
      <c r="D9">
        <f t="shared" si="0"/>
        <v>6924902.3999999994</v>
      </c>
      <c r="E9" s="3">
        <f t="shared" si="1"/>
        <v>0.10634228433358121</v>
      </c>
      <c r="F9"/>
      <c r="G9"/>
      <c r="H9"/>
      <c r="I9"/>
    </row>
    <row r="10" spans="1:10" s="2" customFormat="1">
      <c r="A10" t="s">
        <v>11</v>
      </c>
      <c r="B10" s="4">
        <f>130+126+33+57+173+130</f>
        <v>649</v>
      </c>
      <c r="C10" s="2">
        <v>1347</v>
      </c>
      <c r="D10">
        <f t="shared" si="0"/>
        <v>874203</v>
      </c>
      <c r="E10" s="3">
        <f t="shared" si="1"/>
        <v>1.3424700973586242E-2</v>
      </c>
      <c r="F10"/>
      <c r="G10"/>
      <c r="H10"/>
      <c r="I10"/>
    </row>
    <row r="11" spans="1:10" s="2" customFormat="1">
      <c r="A11" t="s">
        <v>12</v>
      </c>
      <c r="B11" s="4">
        <f>(724+289+144+275-367)*10-3094</f>
        <v>7556</v>
      </c>
      <c r="C11" s="2">
        <v>492.1</v>
      </c>
      <c r="D11">
        <f t="shared" si="0"/>
        <v>3718307.6</v>
      </c>
      <c r="E11" s="3">
        <f t="shared" si="1"/>
        <v>5.7100201735538689E-2</v>
      </c>
      <c r="F11"/>
      <c r="G11"/>
      <c r="H11"/>
      <c r="I11"/>
    </row>
    <row r="12" spans="1:10" s="2" customFormat="1">
      <c r="A12" t="s">
        <v>13</v>
      </c>
      <c r="B12" s="4">
        <f>3770+209+935+289</f>
        <v>5203</v>
      </c>
      <c r="C12" s="2">
        <v>669.9</v>
      </c>
      <c r="D12">
        <f t="shared" si="0"/>
        <v>3485489.6999999997</v>
      </c>
      <c r="E12" s="3">
        <f t="shared" si="1"/>
        <v>5.3524932960667966E-2</v>
      </c>
      <c r="F12"/>
      <c r="G12"/>
      <c r="H12"/>
      <c r="I12"/>
    </row>
    <row r="13" spans="1:10" s="2" customFormat="1">
      <c r="A13" t="s">
        <v>53</v>
      </c>
      <c r="B13" s="4">
        <f>2434+532+562</f>
        <v>3528</v>
      </c>
      <c r="C13" s="2">
        <v>623.85</v>
      </c>
      <c r="D13">
        <f t="shared" si="0"/>
        <v>2200942.8000000003</v>
      </c>
      <c r="E13" s="3">
        <f t="shared" si="1"/>
        <v>3.3798784664394468E-2</v>
      </c>
      <c r="F13"/>
      <c r="G13" t="s">
        <v>80</v>
      </c>
      <c r="H13"/>
      <c r="I13"/>
    </row>
    <row r="14" spans="1:10" s="2" customFormat="1">
      <c r="A14" t="s">
        <v>14</v>
      </c>
      <c r="B14" s="4">
        <f>((840+420)*2+290+562)+3372-130-373</f>
        <v>6241</v>
      </c>
      <c r="C14" s="2">
        <v>330.05</v>
      </c>
      <c r="D14">
        <f t="shared" si="0"/>
        <v>2059842.05</v>
      </c>
      <c r="E14" s="3">
        <f t="shared" si="1"/>
        <v>3.1631970576706879E-2</v>
      </c>
      <c r="F14"/>
      <c r="G14"/>
      <c r="H14"/>
      <c r="I14"/>
    </row>
    <row r="15" spans="1:10" s="2" customFormat="1">
      <c r="A15" t="s">
        <v>15</v>
      </c>
      <c r="B15" s="4">
        <f>1280+1280+1280+910+1300+1300+2940+1300-2365+1475-2568-1840-1507</f>
        <v>4785</v>
      </c>
      <c r="C15" s="2">
        <v>167.5</v>
      </c>
      <c r="D15">
        <f t="shared" si="0"/>
        <v>801487.5</v>
      </c>
      <c r="E15" s="3">
        <f t="shared" si="1"/>
        <v>1.2308045181230451E-2</v>
      </c>
      <c r="F15"/>
      <c r="G15"/>
      <c r="H15"/>
      <c r="I15"/>
      <c r="J15" s="5"/>
    </row>
    <row r="16" spans="1:10" s="2" customFormat="1">
      <c r="A16" t="s">
        <v>60</v>
      </c>
      <c r="B16" s="4">
        <f>12359+1297</f>
        <v>13656</v>
      </c>
      <c r="C16" s="2">
        <v>76.209999999999994</v>
      </c>
      <c r="D16">
        <f t="shared" si="0"/>
        <v>1040723.7599999999</v>
      </c>
      <c r="E16" s="3">
        <f t="shared" si="1"/>
        <v>1.5981877520560253E-2</v>
      </c>
      <c r="F16"/>
      <c r="G16"/>
      <c r="H16"/>
      <c r="I16"/>
      <c r="J16" s="5"/>
    </row>
    <row r="17" spans="1:9" s="2" customFormat="1">
      <c r="A17" t="s">
        <v>16</v>
      </c>
      <c r="B17" s="4">
        <f>(410+205+135+181)*2-143</f>
        <v>1719</v>
      </c>
      <c r="C17" s="2">
        <v>2555.6</v>
      </c>
      <c r="D17">
        <f t="shared" si="0"/>
        <v>4393076.3999999994</v>
      </c>
      <c r="E17" s="3">
        <f t="shared" si="1"/>
        <v>6.7462290822747961E-2</v>
      </c>
      <c r="F17"/>
      <c r="G17"/>
      <c r="H17"/>
      <c r="I17"/>
    </row>
    <row r="18" spans="1:9" s="2" customFormat="1">
      <c r="A18" t="s">
        <v>18</v>
      </c>
      <c r="B18" s="4">
        <f>13763+6317+2811+3464+1538</f>
        <v>27893</v>
      </c>
      <c r="C18" s="2">
        <v>100.29</v>
      </c>
      <c r="D18">
        <f t="shared" si="0"/>
        <v>2797388.97</v>
      </c>
      <c r="E18" s="3">
        <f t="shared" si="1"/>
        <v>4.2958112050700374E-2</v>
      </c>
      <c r="F18"/>
      <c r="G18"/>
      <c r="H18"/>
      <c r="I18"/>
    </row>
    <row r="19" spans="1:9" s="2" customFormat="1">
      <c r="A19" t="s">
        <v>19</v>
      </c>
      <c r="B19" s="4">
        <f>458+115+189</f>
        <v>762</v>
      </c>
      <c r="C19" s="2">
        <v>6749.5</v>
      </c>
      <c r="D19">
        <f t="shared" si="0"/>
        <v>5143119</v>
      </c>
      <c r="E19" s="3">
        <f t="shared" si="1"/>
        <v>7.8980322243883752E-2</v>
      </c>
      <c r="F19"/>
      <c r="G19"/>
      <c r="H19"/>
      <c r="I19"/>
    </row>
    <row r="20" spans="1:9" s="2" customFormat="1">
      <c r="A20" t="s">
        <v>20</v>
      </c>
      <c r="B20" s="4">
        <f>(3075+1537+1153-53-1428-925-484-459-467-45+2345+1175)*2</f>
        <v>10848</v>
      </c>
      <c r="C20" s="2">
        <v>241.4</v>
      </c>
      <c r="D20">
        <f t="shared" si="0"/>
        <v>2618707.2000000002</v>
      </c>
      <c r="E20" s="3">
        <f t="shared" si="1"/>
        <v>4.0214184917436002E-2</v>
      </c>
      <c r="F20"/>
      <c r="G20"/>
      <c r="H20"/>
      <c r="I20"/>
    </row>
    <row r="21" spans="1:9" s="2" customFormat="1">
      <c r="A21" t="s">
        <v>21</v>
      </c>
      <c r="B21" s="4">
        <f>7985+1084+1117+2249-5230-405-983-767-1715-339-205-937</f>
        <v>1854</v>
      </c>
      <c r="C21" s="2">
        <v>602</v>
      </c>
      <c r="D21">
        <f t="shared" si="0"/>
        <v>1116108</v>
      </c>
      <c r="E21" s="3">
        <f t="shared" si="1"/>
        <v>1.7139515826675718E-2</v>
      </c>
      <c r="F21"/>
      <c r="G21"/>
      <c r="H21"/>
    </row>
    <row r="22" spans="1:9" s="2" customFormat="1">
      <c r="A22" t="s">
        <v>22</v>
      </c>
      <c r="B22" s="4">
        <f>2592+518+820</f>
        <v>3930</v>
      </c>
      <c r="C22" s="2">
        <v>1800.7</v>
      </c>
      <c r="D22">
        <f t="shared" si="0"/>
        <v>7076751</v>
      </c>
      <c r="E22" s="3">
        <f t="shared" si="1"/>
        <v>0.10867414781180963</v>
      </c>
      <c r="F22"/>
      <c r="G22"/>
      <c r="H22"/>
      <c r="I22"/>
    </row>
    <row r="23" spans="1:9" s="2" customFormat="1">
      <c r="A23" t="s">
        <v>23</v>
      </c>
      <c r="B23" s="4">
        <f>40235+4295+1952-475+9018-12666-5975-9817+11418+1366-3600+5427-7979-25132+6426+17836-15111-2801-1247-5505-1765+3820-6212+5704-2774+2757-458-1307+3879-7827-231-3251+13804+4918-3138</f>
        <v>15584</v>
      </c>
      <c r="C23" s="2">
        <v>115.13</v>
      </c>
      <c r="D23">
        <f t="shared" si="0"/>
        <v>1794185.92</v>
      </c>
      <c r="E23" s="3">
        <f t="shared" si="1"/>
        <v>2.7552421425022251E-2</v>
      </c>
      <c r="F23"/>
      <c r="G23" t="s">
        <v>81</v>
      </c>
      <c r="H23"/>
      <c r="I23"/>
    </row>
    <row r="24" spans="1:9" s="2" customFormat="1">
      <c r="A24"/>
      <c r="B24" s="4"/>
      <c r="D24"/>
      <c r="E24" s="3"/>
      <c r="F24"/>
      <c r="G24"/>
      <c r="H24"/>
      <c r="I24"/>
    </row>
    <row r="25" spans="1:9" s="2" customFormat="1">
      <c r="A25"/>
      <c r="B25" s="4"/>
      <c r="D25">
        <f>SUM(D5:D23)</f>
        <v>65118992.349999994</v>
      </c>
      <c r="E25"/>
      <c r="F25"/>
      <c r="G25"/>
      <c r="H25"/>
      <c r="I25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65A1-4147-4196-BA0F-14F5459B1221}">
  <sheetPr>
    <pageSetUpPr fitToPage="1"/>
  </sheetPr>
  <dimension ref="A1:J25"/>
  <sheetViews>
    <sheetView tabSelected="1" workbookViewId="0">
      <selection activeCell="G23" sqref="G23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9" max="9" width="11" bestFit="1" customWidth="1"/>
    <col min="10" max="10" width="11.5703125" style="2" bestFit="1" customWidth="1"/>
    <col min="11" max="11" width="9.5703125" bestFit="1" customWidth="1"/>
  </cols>
  <sheetData>
    <row r="1" spans="1:10">
      <c r="A1" t="s">
        <v>0</v>
      </c>
      <c r="B1" s="1">
        <v>46231</v>
      </c>
      <c r="C1" s="2" t="s">
        <v>82</v>
      </c>
      <c r="E1" s="3"/>
    </row>
    <row r="2" spans="1:10">
      <c r="B2" s="4"/>
      <c r="E2" s="3"/>
    </row>
    <row r="3" spans="1:10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>
      <c r="B4" s="4"/>
      <c r="E4" s="3"/>
    </row>
    <row r="5" spans="1:10" s="2" customFormat="1">
      <c r="A5" t="s">
        <v>7</v>
      </c>
      <c r="B5" s="4">
        <f>2265+463+942</f>
        <v>3670</v>
      </c>
      <c r="C5" s="2">
        <v>702.1</v>
      </c>
      <c r="D5">
        <f t="shared" ref="D5:D23" si="0">C5*B5</f>
        <v>2576707</v>
      </c>
      <c r="E5" s="3">
        <f t="shared" ref="E5:E23" si="1">D5/$D$25</f>
        <v>3.9218041743478899E-2</v>
      </c>
      <c r="F5"/>
      <c r="G5"/>
      <c r="H5"/>
      <c r="I5"/>
    </row>
    <row r="6" spans="1:10" s="2" customFormat="1">
      <c r="A6" t="s">
        <v>8</v>
      </c>
      <c r="B6" s="4">
        <f>4326+2424</f>
        <v>6750</v>
      </c>
      <c r="C6" s="2">
        <v>1801.8</v>
      </c>
      <c r="D6">
        <f t="shared" si="0"/>
        <v>12162150</v>
      </c>
      <c r="E6" s="3">
        <f t="shared" si="1"/>
        <v>0.18511057190066696</v>
      </c>
      <c r="F6"/>
      <c r="G6"/>
      <c r="H6"/>
      <c r="I6"/>
    </row>
    <row r="7" spans="1:10" s="2" customFormat="1">
      <c r="A7" t="s">
        <v>47</v>
      </c>
      <c r="B7" s="4">
        <f>1655+330</f>
        <v>1985</v>
      </c>
      <c r="C7" s="2">
        <v>1214.9000000000001</v>
      </c>
      <c r="D7">
        <f t="shared" si="0"/>
        <v>2411576.5</v>
      </c>
      <c r="E7" s="3">
        <f t="shared" si="1"/>
        <v>3.6704719568267846E-2</v>
      </c>
      <c r="F7"/>
      <c r="G7"/>
      <c r="H7"/>
      <c r="I7"/>
    </row>
    <row r="8" spans="1:10" s="2" customFormat="1">
      <c r="A8" t="s">
        <v>9</v>
      </c>
      <c r="B8" s="4">
        <f>448*2+37+403+478+149+306+290-604</f>
        <v>1955</v>
      </c>
      <c r="C8" s="2">
        <v>836.65</v>
      </c>
      <c r="D8">
        <f t="shared" si="0"/>
        <v>1635650.75</v>
      </c>
      <c r="E8" s="3">
        <f t="shared" si="1"/>
        <v>2.4894960657634947E-2</v>
      </c>
      <c r="F8"/>
      <c r="G8" t="s">
        <v>83</v>
      </c>
      <c r="H8"/>
      <c r="I8"/>
    </row>
    <row r="9" spans="1:10" s="2" customFormat="1">
      <c r="A9" t="s">
        <v>10</v>
      </c>
      <c r="B9" s="4">
        <f>1410+2189+320+59</f>
        <v>3978</v>
      </c>
      <c r="C9" s="2">
        <v>1728.2</v>
      </c>
      <c r="D9">
        <f t="shared" si="0"/>
        <v>6874779.6000000006</v>
      </c>
      <c r="E9" s="3">
        <f t="shared" si="1"/>
        <v>0.10463564283017712</v>
      </c>
      <c r="F9"/>
      <c r="G9"/>
      <c r="H9"/>
      <c r="I9"/>
    </row>
    <row r="10" spans="1:10" s="2" customFormat="1">
      <c r="A10" t="s">
        <v>11</v>
      </c>
      <c r="B10" s="4">
        <f>130+126+33+57+173+130</f>
        <v>649</v>
      </c>
      <c r="C10" s="2">
        <v>1368</v>
      </c>
      <c r="D10">
        <f t="shared" si="0"/>
        <v>887832</v>
      </c>
      <c r="E10" s="3">
        <f t="shared" si="1"/>
        <v>1.3512996408670585E-2</v>
      </c>
      <c r="F10"/>
      <c r="G10"/>
      <c r="H10"/>
      <c r="I10"/>
    </row>
    <row r="11" spans="1:10" s="2" customFormat="1">
      <c r="A11" t="s">
        <v>12</v>
      </c>
      <c r="B11" s="4">
        <f>(724+289+144+275-367)*10-3094</f>
        <v>7556</v>
      </c>
      <c r="C11" s="2">
        <v>542.5</v>
      </c>
      <c r="D11">
        <f t="shared" si="0"/>
        <v>4099130</v>
      </c>
      <c r="E11" s="3">
        <f t="shared" si="1"/>
        <v>6.2389651385255158E-2</v>
      </c>
      <c r="F11"/>
      <c r="G11"/>
      <c r="H11"/>
      <c r="I11"/>
    </row>
    <row r="12" spans="1:10" s="2" customFormat="1">
      <c r="A12" t="s">
        <v>13</v>
      </c>
      <c r="B12" s="4">
        <f>3770+209+935+289</f>
        <v>5203</v>
      </c>
      <c r="C12" s="2">
        <v>676.95</v>
      </c>
      <c r="D12">
        <f t="shared" si="0"/>
        <v>3522170.85</v>
      </c>
      <c r="E12" s="3">
        <f t="shared" si="1"/>
        <v>5.3608207461292481E-2</v>
      </c>
      <c r="F12"/>
      <c r="G12"/>
      <c r="H12"/>
      <c r="I12"/>
    </row>
    <row r="13" spans="1:10" s="2" customFormat="1">
      <c r="A13" t="s">
        <v>53</v>
      </c>
      <c r="B13" s="4">
        <f>2434+532+562</f>
        <v>3528</v>
      </c>
      <c r="C13" s="2">
        <v>652.5</v>
      </c>
      <c r="D13">
        <f t="shared" si="0"/>
        <v>2302020</v>
      </c>
      <c r="E13" s="3">
        <f t="shared" si="1"/>
        <v>3.50372457770027E-2</v>
      </c>
      <c r="F13"/>
      <c r="G13"/>
      <c r="H13"/>
      <c r="I13"/>
    </row>
    <row r="14" spans="1:10" s="2" customFormat="1">
      <c r="A14" t="s">
        <v>14</v>
      </c>
      <c r="B14" s="4">
        <f>((840+420)*2+290+562)+3372-130-373</f>
        <v>6241</v>
      </c>
      <c r="C14" s="2">
        <v>327.2</v>
      </c>
      <c r="D14">
        <f t="shared" si="0"/>
        <v>2042055.2</v>
      </c>
      <c r="E14" s="3">
        <f t="shared" si="1"/>
        <v>3.1080524901002771E-2</v>
      </c>
      <c r="F14"/>
      <c r="G14"/>
      <c r="H14"/>
      <c r="I14"/>
    </row>
    <row r="15" spans="1:10" s="2" customFormat="1">
      <c r="A15" t="s">
        <v>15</v>
      </c>
      <c r="B15" s="4">
        <f>1280+1280+1280+910+1300+1300+2940+1300-2365+1475-2568-1840-1507</f>
        <v>4785</v>
      </c>
      <c r="C15" s="2">
        <v>157.97999999999999</v>
      </c>
      <c r="D15">
        <f t="shared" si="0"/>
        <v>755934.29999999993</v>
      </c>
      <c r="E15" s="3">
        <f t="shared" si="1"/>
        <v>1.1505484687520738E-2</v>
      </c>
      <c r="F15"/>
      <c r="G15"/>
      <c r="H15"/>
      <c r="I15"/>
      <c r="J15" s="5"/>
    </row>
    <row r="16" spans="1:10" s="2" customFormat="1">
      <c r="A16" t="s">
        <v>60</v>
      </c>
      <c r="B16" s="4">
        <f>12359+1297</f>
        <v>13656</v>
      </c>
      <c r="C16" s="2">
        <v>78.23</v>
      </c>
      <c r="D16">
        <f t="shared" si="0"/>
        <v>1068308.8800000001</v>
      </c>
      <c r="E16" s="3">
        <f t="shared" si="1"/>
        <v>1.6259893829903515E-2</v>
      </c>
      <c r="F16"/>
      <c r="G16"/>
      <c r="H16"/>
      <c r="I16"/>
      <c r="J16" s="5"/>
    </row>
    <row r="17" spans="1:9" s="2" customFormat="1">
      <c r="A17" t="s">
        <v>16</v>
      </c>
      <c r="B17" s="4">
        <f>(410+205+135+181)*2-143</f>
        <v>1719</v>
      </c>
      <c r="C17" s="2">
        <v>2692.9</v>
      </c>
      <c r="D17">
        <f t="shared" si="0"/>
        <v>4629095.1000000006</v>
      </c>
      <c r="E17" s="3">
        <f t="shared" si="1"/>
        <v>7.0455835632974043E-2</v>
      </c>
      <c r="F17"/>
      <c r="G17"/>
      <c r="H17"/>
      <c r="I17"/>
    </row>
    <row r="18" spans="1:9" s="2" customFormat="1">
      <c r="A18" t="s">
        <v>18</v>
      </c>
      <c r="B18" s="4">
        <f>13763+6317+2811+3464+1538</f>
        <v>27893</v>
      </c>
      <c r="C18" s="2">
        <v>98.45</v>
      </c>
      <c r="D18">
        <f t="shared" si="0"/>
        <v>2746065.85</v>
      </c>
      <c r="E18" s="3">
        <f t="shared" si="1"/>
        <v>4.1795720326619157E-2</v>
      </c>
      <c r="F18"/>
      <c r="G18"/>
      <c r="H18"/>
      <c r="I18"/>
    </row>
    <row r="19" spans="1:9" s="2" customFormat="1">
      <c r="A19" t="s">
        <v>19</v>
      </c>
      <c r="B19" s="4">
        <f>458+115+189</f>
        <v>762</v>
      </c>
      <c r="C19" s="2">
        <v>6761.5</v>
      </c>
      <c r="D19">
        <f t="shared" si="0"/>
        <v>5152263</v>
      </c>
      <c r="E19" s="3">
        <f t="shared" si="1"/>
        <v>7.841856501627148E-2</v>
      </c>
      <c r="F19"/>
      <c r="G19"/>
      <c r="H19"/>
      <c r="I19"/>
    </row>
    <row r="20" spans="1:9" s="2" customFormat="1">
      <c r="A20" t="s">
        <v>20</v>
      </c>
      <c r="B20" s="4">
        <f>(3075+1537+1153-53-1428-925-484-459-467-45+2345+1175)*2</f>
        <v>10848</v>
      </c>
      <c r="C20" s="2">
        <v>262.75</v>
      </c>
      <c r="D20">
        <f t="shared" si="0"/>
        <v>2850312</v>
      </c>
      <c r="E20" s="3">
        <f t="shared" si="1"/>
        <v>4.3382369434296887E-2</v>
      </c>
      <c r="F20"/>
      <c r="G20"/>
      <c r="H20"/>
      <c r="I20"/>
    </row>
    <row r="21" spans="1:9" s="2" customFormat="1">
      <c r="A21" t="s">
        <v>21</v>
      </c>
      <c r="B21" s="4">
        <f>7985+1084+1117+2249-5230-405-983-767-1715-339-205-937</f>
        <v>1854</v>
      </c>
      <c r="C21" s="2">
        <v>596.79999999999995</v>
      </c>
      <c r="D21">
        <f t="shared" si="0"/>
        <v>1106467.2</v>
      </c>
      <c r="E21" s="3">
        <f t="shared" si="1"/>
        <v>1.6840671771136653E-2</v>
      </c>
      <c r="F21"/>
      <c r="G21"/>
      <c r="H21"/>
    </row>
    <row r="22" spans="1:9" s="2" customFormat="1">
      <c r="A22" t="s">
        <v>22</v>
      </c>
      <c r="B22" s="4">
        <f>2592+518+820</f>
        <v>3930</v>
      </c>
      <c r="C22" s="2">
        <v>1688.2</v>
      </c>
      <c r="D22">
        <f t="shared" si="0"/>
        <v>6634626</v>
      </c>
      <c r="E22" s="3">
        <f t="shared" si="1"/>
        <v>0.10098045273303112</v>
      </c>
      <c r="F22"/>
      <c r="G22"/>
      <c r="H22"/>
      <c r="I22"/>
    </row>
    <row r="23" spans="1:9" s="2" customFormat="1">
      <c r="A23" t="s">
        <v>23</v>
      </c>
      <c r="B23" s="4">
        <f>40235+4295+1952-475+9018-12666-5975-9817+11418+1366-3600+5427-7979-25132+6426+17836-15111-2801-1247-5505-1765+3820-6212+5704-2774+2757-458-1307+3879-7827-231-3251+13804+4918-3138+3905</f>
        <v>19489</v>
      </c>
      <c r="C23" s="2">
        <v>115.19</v>
      </c>
      <c r="D23">
        <f t="shared" si="0"/>
        <v>2244937.91</v>
      </c>
      <c r="E23" s="3">
        <f t="shared" si="1"/>
        <v>3.4168443934796733E-2</v>
      </c>
      <c r="F23"/>
      <c r="G23" t="s">
        <v>84</v>
      </c>
      <c r="H23"/>
      <c r="I23"/>
    </row>
    <row r="24" spans="1:9" s="2" customFormat="1">
      <c r="A24"/>
      <c r="B24" s="4"/>
      <c r="D24"/>
      <c r="E24" s="3"/>
      <c r="F24"/>
      <c r="G24"/>
      <c r="H24"/>
      <c r="I24"/>
    </row>
    <row r="25" spans="1:9" s="2" customFormat="1">
      <c r="A25"/>
      <c r="B25" s="4"/>
      <c r="D25">
        <f>SUM(D5:D23)</f>
        <v>65702082.140000015</v>
      </c>
      <c r="E25"/>
      <c r="F25"/>
      <c r="G25"/>
      <c r="H25"/>
      <c r="I25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A1E4-8160-48C8-BABC-214DD704FB6A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Samir Patel</dc:creator>
  <cp:keywords/>
  <dc:description/>
  <cp:lastModifiedBy>Samir Patel</cp:lastModifiedBy>
  <cp:revision/>
  <dcterms:created xsi:type="dcterms:W3CDTF">2023-01-17T10:27:46Z</dcterms:created>
  <dcterms:modified xsi:type="dcterms:W3CDTF">2026-07-31T15:28:32Z</dcterms:modified>
  <cp:category/>
  <cp:contentStatus/>
</cp:coreProperties>
</file>