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filterPrivacy="1" codeName="ThisWorkbook" defaultThemeVersion="124226"/>
  <xr:revisionPtr revIDLastSave="447" documentId="11_D36A57AAB285EA47AE23C02CF18E6DBA1DE0E9F0" xr6:coauthVersionLast="47" xr6:coauthVersionMax="47" xr10:uidLastSave="{1AB9627B-EA6D-4D51-A54D-1F5966D13C57}"/>
  <bookViews>
    <workbookView xWindow="-120" yWindow="-120" windowWidth="20730" windowHeight="11160" firstSheet="6" activeTab="12" xr2:uid="{00000000-000D-0000-FFFF-FFFF00000000}"/>
  </bookViews>
  <sheets>
    <sheet name="01Jan21" sheetId="101" r:id="rId1"/>
    <sheet name="10Feb21" sheetId="103" r:id="rId2"/>
    <sheet name="18Mar21" sheetId="102" r:id="rId3"/>
    <sheet name="15Jun21" sheetId="104" r:id="rId4"/>
    <sheet name="29Jun21" sheetId="105" r:id="rId5"/>
    <sheet name="30Jul21" sheetId="106" r:id="rId6"/>
    <sheet name="10Aug21" sheetId="107" r:id="rId7"/>
    <sheet name="22Sep21" sheetId="108" r:id="rId8"/>
    <sheet name="26Oct21" sheetId="109" r:id="rId9"/>
    <sheet name="23Nov21" sheetId="110" r:id="rId10"/>
    <sheet name="03Dec21" sheetId="111" r:id="rId11"/>
    <sheet name="15Dec21" sheetId="112" r:id="rId12"/>
    <sheet name="20Dec21" sheetId="113" r:id="rId13"/>
    <sheet name="31Dec21" sheetId="114" r:id="rId14"/>
    <sheet name="Liquid" sheetId="2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14" l="1"/>
  <c r="C4" i="2"/>
  <c r="C5" i="2"/>
  <c r="C6" i="2"/>
  <c r="C7" i="2"/>
  <c r="C8" i="2"/>
  <c r="C9" i="2"/>
  <c r="C10" i="2"/>
  <c r="C11" i="2"/>
  <c r="C12" i="2"/>
  <c r="C13" i="2"/>
  <c r="C14" i="2"/>
  <c r="C3" i="2"/>
  <c r="D19" i="114" l="1"/>
  <c r="B18" i="114"/>
  <c r="D18" i="114" s="1"/>
  <c r="D17" i="114"/>
  <c r="B17" i="114"/>
  <c r="D16" i="114"/>
  <c r="B16" i="114"/>
  <c r="B15" i="114"/>
  <c r="D15" i="114" s="1"/>
  <c r="B14" i="114"/>
  <c r="D14" i="114" s="1"/>
  <c r="D13" i="114"/>
  <c r="B13" i="114"/>
  <c r="D12" i="114"/>
  <c r="B12" i="114"/>
  <c r="B11" i="114"/>
  <c r="D11" i="114" s="1"/>
  <c r="D10" i="114"/>
  <c r="D9" i="114"/>
  <c r="B8" i="114"/>
  <c r="D8" i="114" s="1"/>
  <c r="B7" i="114"/>
  <c r="D7" i="114" s="1"/>
  <c r="B6" i="114"/>
  <c r="D6" i="114" s="1"/>
  <c r="B5" i="114"/>
  <c r="D5" i="114" s="1"/>
  <c r="B12" i="113"/>
  <c r="B20" i="113"/>
  <c r="D20" i="113" s="1"/>
  <c r="D9" i="113"/>
  <c r="B19" i="113"/>
  <c r="D19" i="113" s="1"/>
  <c r="B18" i="113"/>
  <c r="D18" i="113" s="1"/>
  <c r="B17" i="113"/>
  <c r="D17" i="113" s="1"/>
  <c r="B16" i="113"/>
  <c r="D16" i="113" s="1"/>
  <c r="B15" i="113"/>
  <c r="D15" i="113" s="1"/>
  <c r="B14" i="113"/>
  <c r="D14" i="113" s="1"/>
  <c r="B13" i="113"/>
  <c r="D13" i="113" s="1"/>
  <c r="D12" i="113"/>
  <c r="B11" i="113"/>
  <c r="D11" i="113" s="1"/>
  <c r="D10" i="113"/>
  <c r="B8" i="113"/>
  <c r="D8" i="113" s="1"/>
  <c r="B7" i="113"/>
  <c r="D7" i="113" s="1"/>
  <c r="B6" i="113"/>
  <c r="D6" i="113" s="1"/>
  <c r="B5" i="113"/>
  <c r="D5" i="113" s="1"/>
  <c r="B19" i="112"/>
  <c r="D19" i="112" s="1"/>
  <c r="B13" i="112"/>
  <c r="D13" i="112" s="1"/>
  <c r="B18" i="112"/>
  <c r="D18" i="112" s="1"/>
  <c r="D17" i="112"/>
  <c r="B17" i="112"/>
  <c r="B16" i="112"/>
  <c r="D16" i="112" s="1"/>
  <c r="B15" i="112"/>
  <c r="D15" i="112" s="1"/>
  <c r="B14" i="112"/>
  <c r="D14" i="112" s="1"/>
  <c r="B12" i="112"/>
  <c r="D12" i="112" s="1"/>
  <c r="B11" i="112"/>
  <c r="D11" i="112" s="1"/>
  <c r="B10" i="112"/>
  <c r="D10" i="112" s="1"/>
  <c r="D9" i="112"/>
  <c r="B8" i="112"/>
  <c r="D8" i="112" s="1"/>
  <c r="B7" i="112"/>
  <c r="D7" i="112" s="1"/>
  <c r="D6" i="112"/>
  <c r="B6" i="112"/>
  <c r="B5" i="112"/>
  <c r="D5" i="112" s="1"/>
  <c r="B19" i="111"/>
  <c r="D19" i="111" s="1"/>
  <c r="B12" i="111"/>
  <c r="D12" i="111" s="1"/>
  <c r="B18" i="111"/>
  <c r="D18" i="111" s="1"/>
  <c r="D17" i="111"/>
  <c r="B17" i="111"/>
  <c r="B16" i="111"/>
  <c r="D16" i="111" s="1"/>
  <c r="B15" i="111"/>
  <c r="D15" i="111" s="1"/>
  <c r="B14" i="111"/>
  <c r="D14" i="111" s="1"/>
  <c r="D13" i="111"/>
  <c r="B13" i="111"/>
  <c r="B11" i="111"/>
  <c r="D11" i="111" s="1"/>
  <c r="D10" i="111"/>
  <c r="B10" i="111"/>
  <c r="D9" i="111"/>
  <c r="B8" i="111"/>
  <c r="D8" i="111" s="1"/>
  <c r="D7" i="111"/>
  <c r="B7" i="111"/>
  <c r="D6" i="111"/>
  <c r="B6" i="111"/>
  <c r="B5" i="111"/>
  <c r="D5" i="111" s="1"/>
  <c r="B12" i="110"/>
  <c r="D12" i="110" s="1"/>
  <c r="B19" i="110"/>
  <c r="D19" i="110" s="1"/>
  <c r="B13" i="110"/>
  <c r="D13" i="110" s="1"/>
  <c r="D18" i="110"/>
  <c r="B18" i="110"/>
  <c r="D17" i="110"/>
  <c r="B17" i="110"/>
  <c r="B16" i="110"/>
  <c r="D16" i="110" s="1"/>
  <c r="B15" i="110"/>
  <c r="D15" i="110" s="1"/>
  <c r="D14" i="110"/>
  <c r="B14" i="110"/>
  <c r="B11" i="110"/>
  <c r="D11" i="110" s="1"/>
  <c r="D10" i="110"/>
  <c r="B10" i="110"/>
  <c r="D9" i="110"/>
  <c r="B8" i="110"/>
  <c r="D8" i="110" s="1"/>
  <c r="D7" i="110"/>
  <c r="B7" i="110"/>
  <c r="D6" i="110"/>
  <c r="B6" i="110"/>
  <c r="D5" i="110"/>
  <c r="B5" i="110"/>
  <c r="C5" i="109"/>
  <c r="B5" i="109"/>
  <c r="B19" i="109"/>
  <c r="D19" i="109" s="1"/>
  <c r="B18" i="109"/>
  <c r="D18" i="109" s="1"/>
  <c r="B17" i="109"/>
  <c r="D17" i="109" s="1"/>
  <c r="D16" i="109"/>
  <c r="B16" i="109"/>
  <c r="B15" i="109"/>
  <c r="D15" i="109" s="1"/>
  <c r="B14" i="109"/>
  <c r="D14" i="109" s="1"/>
  <c r="B13" i="109"/>
  <c r="D13" i="109" s="1"/>
  <c r="D12" i="109"/>
  <c r="B12" i="109"/>
  <c r="B11" i="109"/>
  <c r="D11" i="109" s="1"/>
  <c r="B10" i="109"/>
  <c r="D10" i="109" s="1"/>
  <c r="D9" i="109"/>
  <c r="B8" i="109"/>
  <c r="D8" i="109" s="1"/>
  <c r="B7" i="109"/>
  <c r="D7" i="109" s="1"/>
  <c r="D6" i="109"/>
  <c r="B6" i="109"/>
  <c r="B20" i="108"/>
  <c r="D20" i="108" s="1"/>
  <c r="B16" i="108"/>
  <c r="D16" i="108" s="1"/>
  <c r="B9" i="108"/>
  <c r="B19" i="108"/>
  <c r="D19" i="108" s="1"/>
  <c r="B18" i="108"/>
  <c r="D18" i="108" s="1"/>
  <c r="B17" i="108"/>
  <c r="D17" i="108" s="1"/>
  <c r="B15" i="108"/>
  <c r="D15" i="108" s="1"/>
  <c r="B14" i="108"/>
  <c r="D14" i="108" s="1"/>
  <c r="B13" i="108"/>
  <c r="D13" i="108" s="1"/>
  <c r="B12" i="108"/>
  <c r="D12" i="108" s="1"/>
  <c r="B11" i="108"/>
  <c r="D11" i="108" s="1"/>
  <c r="D10" i="108"/>
  <c r="D9" i="108"/>
  <c r="B8" i="108"/>
  <c r="D8" i="108" s="1"/>
  <c r="B7" i="108"/>
  <c r="D7" i="108" s="1"/>
  <c r="B6" i="108"/>
  <c r="D6" i="108" s="1"/>
  <c r="D5" i="108"/>
  <c r="B21" i="107"/>
  <c r="D21" i="107" s="1"/>
  <c r="B10" i="107"/>
  <c r="D10" i="107" s="1"/>
  <c r="B17" i="107"/>
  <c r="D17" i="107" s="1"/>
  <c r="B14" i="107"/>
  <c r="B20" i="107"/>
  <c r="D20" i="107" s="1"/>
  <c r="B11" i="106"/>
  <c r="B19" i="107"/>
  <c r="D19" i="107" s="1"/>
  <c r="D18" i="107"/>
  <c r="B18" i="107"/>
  <c r="B16" i="107"/>
  <c r="D16" i="107" s="1"/>
  <c r="D15" i="107"/>
  <c r="B15" i="107"/>
  <c r="D14" i="107"/>
  <c r="B13" i="107"/>
  <c r="D13" i="107" s="1"/>
  <c r="D12" i="107"/>
  <c r="B12" i="107"/>
  <c r="D11" i="107"/>
  <c r="D9" i="107"/>
  <c r="B9" i="107"/>
  <c r="B8" i="107"/>
  <c r="D8" i="107" s="1"/>
  <c r="B7" i="107"/>
  <c r="D7" i="107" s="1"/>
  <c r="B6" i="107"/>
  <c r="D6" i="107" s="1"/>
  <c r="D5" i="107"/>
  <c r="B22" i="106"/>
  <c r="D22" i="106"/>
  <c r="B21" i="106"/>
  <c r="D21" i="106" s="1"/>
  <c r="B20" i="106"/>
  <c r="D20" i="106" s="1"/>
  <c r="D19" i="106"/>
  <c r="B19" i="106"/>
  <c r="B18" i="106"/>
  <c r="D18" i="106" s="1"/>
  <c r="B17" i="106"/>
  <c r="D17" i="106" s="1"/>
  <c r="B16" i="106"/>
  <c r="D16" i="106" s="1"/>
  <c r="D15" i="106"/>
  <c r="D14" i="106"/>
  <c r="B14" i="106"/>
  <c r="B13" i="106"/>
  <c r="D13" i="106" s="1"/>
  <c r="D12" i="106"/>
  <c r="D11" i="106"/>
  <c r="B10" i="106"/>
  <c r="D10" i="106" s="1"/>
  <c r="D9" i="106"/>
  <c r="B9" i="106"/>
  <c r="B8" i="106"/>
  <c r="D8" i="106" s="1"/>
  <c r="D7" i="106"/>
  <c r="B7" i="106"/>
  <c r="B6" i="106"/>
  <c r="D6" i="106" s="1"/>
  <c r="D5" i="106"/>
  <c r="B22" i="105"/>
  <c r="D22" i="105" s="1"/>
  <c r="B10" i="105"/>
  <c r="D10" i="105" s="1"/>
  <c r="B9" i="105"/>
  <c r="D9" i="105" s="1"/>
  <c r="D15" i="105"/>
  <c r="B21" i="105"/>
  <c r="D21" i="105" s="1"/>
  <c r="B20" i="105"/>
  <c r="D20" i="105" s="1"/>
  <c r="B19" i="105"/>
  <c r="D19" i="105" s="1"/>
  <c r="B18" i="105"/>
  <c r="D18" i="105" s="1"/>
  <c r="B17" i="105"/>
  <c r="D17" i="105" s="1"/>
  <c r="B16" i="105"/>
  <c r="D16" i="105" s="1"/>
  <c r="B14" i="105"/>
  <c r="D14" i="105" s="1"/>
  <c r="B13" i="105"/>
  <c r="D13" i="105" s="1"/>
  <c r="D12" i="105"/>
  <c r="B11" i="105"/>
  <c r="D11" i="105" s="1"/>
  <c r="B8" i="105"/>
  <c r="D8" i="105" s="1"/>
  <c r="B7" i="105"/>
  <c r="D7" i="105" s="1"/>
  <c r="B6" i="105"/>
  <c r="D6" i="105" s="1"/>
  <c r="D5" i="105"/>
  <c r="B21" i="104"/>
  <c r="D21" i="104" s="1"/>
  <c r="B20" i="104"/>
  <c r="D20" i="104" s="1"/>
  <c r="B13" i="104"/>
  <c r="B10" i="104"/>
  <c r="D10" i="104" s="1"/>
  <c r="B19" i="104"/>
  <c r="D19" i="104" s="1"/>
  <c r="B18" i="104"/>
  <c r="D18" i="104" s="1"/>
  <c r="B17" i="104"/>
  <c r="D17" i="104" s="1"/>
  <c r="B16" i="104"/>
  <c r="D16" i="104" s="1"/>
  <c r="B15" i="104"/>
  <c r="D15" i="104" s="1"/>
  <c r="B14" i="104"/>
  <c r="D14" i="104" s="1"/>
  <c r="D13" i="104"/>
  <c r="D12" i="104"/>
  <c r="B11" i="104"/>
  <c r="D11" i="104" s="1"/>
  <c r="B9" i="104"/>
  <c r="D9" i="104" s="1"/>
  <c r="B8" i="104"/>
  <c r="D8" i="104" s="1"/>
  <c r="B7" i="104"/>
  <c r="D7" i="104" s="1"/>
  <c r="D5" i="104"/>
  <c r="B6" i="104"/>
  <c r="D6" i="104" s="1"/>
  <c r="B21" i="102"/>
  <c r="D21" i="102" s="1"/>
  <c r="D6" i="102"/>
  <c r="B15" i="102"/>
  <c r="D15" i="102" s="1"/>
  <c r="B13" i="102"/>
  <c r="D13" i="102" s="1"/>
  <c r="B21" i="103"/>
  <c r="D21" i="103" s="1"/>
  <c r="D20" i="103"/>
  <c r="B19" i="103"/>
  <c r="D19" i="103" s="1"/>
  <c r="B18" i="103"/>
  <c r="D18" i="103" s="1"/>
  <c r="D17" i="103"/>
  <c r="B17" i="103"/>
  <c r="B16" i="103"/>
  <c r="D16" i="103" s="1"/>
  <c r="D15" i="103"/>
  <c r="B15" i="103"/>
  <c r="B14" i="103"/>
  <c r="D14" i="103" s="1"/>
  <c r="D13" i="103"/>
  <c r="D12" i="103"/>
  <c r="D11" i="103"/>
  <c r="B11" i="103"/>
  <c r="B10" i="103"/>
  <c r="D10" i="103" s="1"/>
  <c r="D9" i="103"/>
  <c r="B9" i="103"/>
  <c r="B8" i="103"/>
  <c r="D8" i="103" s="1"/>
  <c r="D7" i="103"/>
  <c r="B7" i="103"/>
  <c r="B6" i="103"/>
  <c r="D6" i="103" s="1"/>
  <c r="D5" i="103"/>
  <c r="B5" i="103"/>
  <c r="B10" i="102"/>
  <c r="D10" i="102" s="1"/>
  <c r="D20" i="102"/>
  <c r="B19" i="102"/>
  <c r="D19" i="102" s="1"/>
  <c r="B18" i="102"/>
  <c r="D18" i="102" s="1"/>
  <c r="B17" i="102"/>
  <c r="D17" i="102" s="1"/>
  <c r="B16" i="102"/>
  <c r="D16" i="102" s="1"/>
  <c r="B14" i="102"/>
  <c r="D14" i="102" s="1"/>
  <c r="D12" i="102"/>
  <c r="B11" i="102"/>
  <c r="D11" i="102" s="1"/>
  <c r="B9" i="102"/>
  <c r="D9" i="102" s="1"/>
  <c r="B8" i="102"/>
  <c r="D8" i="102" s="1"/>
  <c r="B7" i="102"/>
  <c r="D7" i="102" s="1"/>
  <c r="B5" i="102"/>
  <c r="D5" i="102" s="1"/>
  <c r="B20" i="101"/>
  <c r="D20" i="101" s="1"/>
  <c r="B19" i="101"/>
  <c r="D19" i="101" s="1"/>
  <c r="D18" i="101"/>
  <c r="B18" i="101"/>
  <c r="B17" i="101"/>
  <c r="D17" i="101" s="1"/>
  <c r="B16" i="101"/>
  <c r="D16" i="101" s="1"/>
  <c r="B15" i="101"/>
  <c r="D15" i="101" s="1"/>
  <c r="D14" i="101"/>
  <c r="B14" i="101"/>
  <c r="D13" i="101"/>
  <c r="D12" i="101"/>
  <c r="B11" i="101"/>
  <c r="D11" i="101" s="1"/>
  <c r="B10" i="101"/>
  <c r="D10" i="101" s="1"/>
  <c r="D9" i="101"/>
  <c r="B9" i="101"/>
  <c r="D8" i="101"/>
  <c r="B8" i="101"/>
  <c r="B7" i="101"/>
  <c r="D7" i="101" s="1"/>
  <c r="B6" i="101"/>
  <c r="D6" i="101" s="1"/>
  <c r="D5" i="101"/>
  <c r="B5" i="101"/>
  <c r="D21" i="114" l="1"/>
  <c r="E16" i="114" s="1"/>
  <c r="D22" i="113"/>
  <c r="E14" i="113" s="1"/>
  <c r="D21" i="112"/>
  <c r="E10" i="112" s="1"/>
  <c r="D21" i="111"/>
  <c r="E9" i="111" s="1"/>
  <c r="E13" i="111"/>
  <c r="D21" i="110"/>
  <c r="E15" i="110" s="1"/>
  <c r="D5" i="109"/>
  <c r="D21" i="109"/>
  <c r="E9" i="109" s="1"/>
  <c r="D22" i="108"/>
  <c r="E19" i="108" s="1"/>
  <c r="D23" i="107"/>
  <c r="E10" i="107" s="1"/>
  <c r="E11" i="107"/>
  <c r="E6" i="107"/>
  <c r="D24" i="106"/>
  <c r="E7" i="106" s="1"/>
  <c r="D24" i="105"/>
  <c r="D23" i="104"/>
  <c r="E12" i="104" s="1"/>
  <c r="E16" i="104"/>
  <c r="E20" i="104"/>
  <c r="E8" i="104"/>
  <c r="E15" i="104"/>
  <c r="E5" i="104"/>
  <c r="E9" i="104"/>
  <c r="E7" i="104"/>
  <c r="E10" i="104"/>
  <c r="E14" i="104"/>
  <c r="E17" i="104"/>
  <c r="E19" i="104"/>
  <c r="E13" i="104"/>
  <c r="E11" i="104"/>
  <c r="E18" i="104"/>
  <c r="E21" i="104"/>
  <c r="E6" i="104"/>
  <c r="E6" i="103"/>
  <c r="E17" i="103"/>
  <c r="E9" i="103"/>
  <c r="E15" i="103"/>
  <c r="E7" i="103"/>
  <c r="E13" i="103"/>
  <c r="E16" i="103"/>
  <c r="E19" i="103"/>
  <c r="D23" i="103"/>
  <c r="E11" i="103" s="1"/>
  <c r="E8" i="103"/>
  <c r="E14" i="103"/>
  <c r="E20" i="103"/>
  <c r="E5" i="103"/>
  <c r="D23" i="102"/>
  <c r="E6" i="102" s="1"/>
  <c r="D22" i="101"/>
  <c r="E7" i="101" s="1"/>
  <c r="E13" i="114" l="1"/>
  <c r="E10" i="114"/>
  <c r="E17" i="114"/>
  <c r="E8" i="114"/>
  <c r="E6" i="114"/>
  <c r="E7" i="114"/>
  <c r="E5" i="114"/>
  <c r="E9" i="114"/>
  <c r="E18" i="114"/>
  <c r="E15" i="114"/>
  <c r="E19" i="114"/>
  <c r="E12" i="114"/>
  <c r="E11" i="114"/>
  <c r="E14" i="114"/>
  <c r="E12" i="113"/>
  <c r="E18" i="113"/>
  <c r="E9" i="113"/>
  <c r="E20" i="113"/>
  <c r="E19" i="113"/>
  <c r="E15" i="113"/>
  <c r="E11" i="113"/>
  <c r="E7" i="113"/>
  <c r="E13" i="113"/>
  <c r="E8" i="113"/>
  <c r="E5" i="113"/>
  <c r="E10" i="113"/>
  <c r="E17" i="113"/>
  <c r="E16" i="113"/>
  <c r="E6" i="113"/>
  <c r="E19" i="112"/>
  <c r="E11" i="112"/>
  <c r="E15" i="112"/>
  <c r="E5" i="112"/>
  <c r="E7" i="112"/>
  <c r="E9" i="112"/>
  <c r="E12" i="112"/>
  <c r="E17" i="112"/>
  <c r="E13" i="112"/>
  <c r="E18" i="112"/>
  <c r="E16" i="112"/>
  <c r="E6" i="112"/>
  <c r="E8" i="112"/>
  <c r="E14" i="112"/>
  <c r="E16" i="111"/>
  <c r="E17" i="111"/>
  <c r="E14" i="111"/>
  <c r="E10" i="111"/>
  <c r="E7" i="111"/>
  <c r="E18" i="111"/>
  <c r="E6" i="111"/>
  <c r="E11" i="111"/>
  <c r="E5" i="111"/>
  <c r="E15" i="111"/>
  <c r="E8" i="111"/>
  <c r="E19" i="111"/>
  <c r="E12" i="111"/>
  <c r="E19" i="110"/>
  <c r="E13" i="110"/>
  <c r="E18" i="110"/>
  <c r="E14" i="110"/>
  <c r="E10" i="110"/>
  <c r="E7" i="110"/>
  <c r="E11" i="110"/>
  <c r="E5" i="110"/>
  <c r="E17" i="110"/>
  <c r="E8" i="110"/>
  <c r="E9" i="110"/>
  <c r="E16" i="110"/>
  <c r="E12" i="110"/>
  <c r="E6" i="110"/>
  <c r="E6" i="109"/>
  <c r="E14" i="109"/>
  <c r="E16" i="109"/>
  <c r="E17" i="109"/>
  <c r="E5" i="109"/>
  <c r="E18" i="109"/>
  <c r="E11" i="109"/>
  <c r="E13" i="109"/>
  <c r="E12" i="109"/>
  <c r="E19" i="109"/>
  <c r="E15" i="109"/>
  <c r="E8" i="109"/>
  <c r="E10" i="109"/>
  <c r="E7" i="109"/>
  <c r="E15" i="108"/>
  <c r="E14" i="108"/>
  <c r="E7" i="108"/>
  <c r="E13" i="108"/>
  <c r="E12" i="108"/>
  <c r="E6" i="108"/>
  <c r="E11" i="108"/>
  <c r="E16" i="108"/>
  <c r="E10" i="108"/>
  <c r="E20" i="108"/>
  <c r="E9" i="108"/>
  <c r="E5" i="108"/>
  <c r="E8" i="108"/>
  <c r="E18" i="108"/>
  <c r="E17" i="108"/>
  <c r="E13" i="107"/>
  <c r="E5" i="107"/>
  <c r="E20" i="107"/>
  <c r="E8" i="107"/>
  <c r="E21" i="107"/>
  <c r="E17" i="107"/>
  <c r="E19" i="107"/>
  <c r="E18" i="107"/>
  <c r="E9" i="107"/>
  <c r="E14" i="107"/>
  <c r="E16" i="107"/>
  <c r="E15" i="107"/>
  <c r="E12" i="107"/>
  <c r="E7" i="107"/>
  <c r="E12" i="106"/>
  <c r="E20" i="106"/>
  <c r="E21" i="106"/>
  <c r="E5" i="106"/>
  <c r="E6" i="106"/>
  <c r="E9" i="106"/>
  <c r="E8" i="106"/>
  <c r="E18" i="106"/>
  <c r="E16" i="106"/>
  <c r="E22" i="106"/>
  <c r="E14" i="106"/>
  <c r="E19" i="106"/>
  <c r="E10" i="106"/>
  <c r="E15" i="106"/>
  <c r="E11" i="106"/>
  <c r="E13" i="106"/>
  <c r="E17" i="106"/>
  <c r="E20" i="105"/>
  <c r="E15" i="105"/>
  <c r="E5" i="105"/>
  <c r="E22" i="105"/>
  <c r="E8" i="105"/>
  <c r="E12" i="105"/>
  <c r="E10" i="105"/>
  <c r="E19" i="105"/>
  <c r="E17" i="105"/>
  <c r="E21" i="105"/>
  <c r="E7" i="105"/>
  <c r="E16" i="105"/>
  <c r="E9" i="105"/>
  <c r="E18" i="105"/>
  <c r="E13" i="105"/>
  <c r="E11" i="105"/>
  <c r="E6" i="105"/>
  <c r="E14" i="105"/>
  <c r="E18" i="103"/>
  <c r="E21" i="103"/>
  <c r="E10" i="103"/>
  <c r="E12" i="103"/>
  <c r="E12" i="102"/>
  <c r="E20" i="102"/>
  <c r="E21" i="102"/>
  <c r="E19" i="102"/>
  <c r="E14" i="102"/>
  <c r="E13" i="102"/>
  <c r="E16" i="102"/>
  <c r="E11" i="102"/>
  <c r="E15" i="102"/>
  <c r="E10" i="102"/>
  <c r="E8" i="102"/>
  <c r="E5" i="102"/>
  <c r="E18" i="102"/>
  <c r="E17" i="102"/>
  <c r="E7" i="102"/>
  <c r="E9" i="102"/>
  <c r="E6" i="101"/>
  <c r="E8" i="101"/>
  <c r="E16" i="101"/>
  <c r="E17" i="101"/>
  <c r="E13" i="101"/>
  <c r="E19" i="101"/>
  <c r="E20" i="101"/>
  <c r="E18" i="101"/>
  <c r="E14" i="101"/>
  <c r="E15" i="101"/>
  <c r="E10" i="101"/>
  <c r="E11" i="101"/>
  <c r="E12" i="101"/>
  <c r="E9" i="101"/>
  <c r="E5" i="101"/>
  <c r="C16" i="2" l="1"/>
</calcChain>
</file>

<file path=xl/sharedStrings.xml><?xml version="1.0" encoding="utf-8"?>
<sst xmlns="http://schemas.openxmlformats.org/spreadsheetml/2006/main" count="376" uniqueCount="78">
  <si>
    <t>Model Portfolio</t>
  </si>
  <si>
    <t>Stock</t>
  </si>
  <si>
    <t>Number of shares</t>
  </si>
  <si>
    <t>CMP</t>
  </si>
  <si>
    <t>Amount</t>
  </si>
  <si>
    <t>Percentage</t>
  </si>
  <si>
    <t>Change</t>
  </si>
  <si>
    <t>Heritage</t>
  </si>
  <si>
    <t>JBChem</t>
  </si>
  <si>
    <t>TV18Broadcast</t>
  </si>
  <si>
    <t>TVToday</t>
  </si>
  <si>
    <t>LiquidBees</t>
  </si>
  <si>
    <t>Magma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</si>
  <si>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</si>
  <si>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</si>
  <si>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</si>
  <si>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</si>
  <si>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</si>
  <si>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</si>
  <si>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</si>
  <si>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</si>
  <si>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</si>
  <si>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</si>
  <si>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</si>
  <si>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</si>
  <si>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UFO</t>
  </si>
  <si>
    <t>HindOilExp</t>
  </si>
  <si>
    <t>South Indian Bank</t>
  </si>
  <si>
    <t>Saregama</t>
  </si>
  <si>
    <t>MotilalOFS</t>
  </si>
  <si>
    <t>TIIndia</t>
  </si>
  <si>
    <t>Tanla</t>
  </si>
  <si>
    <t>IOLCP</t>
  </si>
  <si>
    <t>HIL</t>
  </si>
  <si>
    <t>PrincePipes</t>
  </si>
  <si>
    <t>VRLLogistics</t>
  </si>
  <si>
    <t>Sell 4125@95.25 = 392906</t>
  </si>
  <si>
    <t>Sell 265@1203.8 = 319007</t>
  </si>
  <si>
    <t>Less 4.408</t>
  </si>
  <si>
    <t>Add 3075@232.95 = 716321</t>
  </si>
  <si>
    <t>GPIL</t>
  </si>
  <si>
    <t>Sell 142@1518.6 = 215641</t>
  </si>
  <si>
    <t>Sell 590@895 = 528050</t>
  </si>
  <si>
    <t>Buy 1098@677.4</t>
  </si>
  <si>
    <t>Sell 0.094</t>
  </si>
  <si>
    <t>Sell 564@1514.4 = 854121.6</t>
  </si>
  <si>
    <t>Sell 142@2717.75 = 385920.5</t>
  </si>
  <si>
    <t>Buy 1537@275.62 = 423628</t>
  </si>
  <si>
    <t>Buy 816.414</t>
  </si>
  <si>
    <t>SuryaRosni</t>
  </si>
  <si>
    <t>Sell 283@1863.7 = 527427.1</t>
  </si>
  <si>
    <t>Sell 656@638.6 = 418921.6</t>
  </si>
  <si>
    <t>Buy 1875@526.56 = 987300</t>
  </si>
  <si>
    <t>Sell 40.951</t>
  </si>
  <si>
    <t>Sell 319*987 = 314853</t>
  </si>
  <si>
    <t>Buy 314.853</t>
  </si>
  <si>
    <t>Buy 1153@305.91 = 352714</t>
  </si>
  <si>
    <t>Buy 937@572.35 = 536292</t>
  </si>
  <si>
    <t>Sell 282@1759 = 496038</t>
  </si>
  <si>
    <t>Buy 13398@38 = 509124</t>
  </si>
  <si>
    <t>Sell 902.092</t>
  </si>
  <si>
    <t>Sell 328@568.54 = 186481</t>
  </si>
  <si>
    <t>Buy 9475@39.52 = 374452</t>
  </si>
  <si>
    <t>Sell 187.971</t>
  </si>
  <si>
    <t>Split 10 to 5 &amp; then bonus 1:1. So 4x qnty</t>
  </si>
  <si>
    <t>Sell 797@1597.2 = 1272968</t>
  </si>
  <si>
    <t>Add 309@593.5 = 183392</t>
  </si>
  <si>
    <t>Add 1089.576</t>
  </si>
  <si>
    <t>Add 619@627.62 = 388495</t>
  </si>
  <si>
    <t>Less 388.495</t>
  </si>
  <si>
    <t>Sell 452@2002.95 = 905333.4</t>
  </si>
  <si>
    <t>Add 905.333</t>
  </si>
  <si>
    <t>Idea</t>
  </si>
  <si>
    <t>Add 96000@13.89 = 1333440</t>
  </si>
  <si>
    <t>Sell 27946@8.815 = 246344</t>
  </si>
  <si>
    <t>Less 1333.44. Add 246.344</t>
  </si>
  <si>
    <t>LiquidFund Value for 2021</t>
  </si>
  <si>
    <t>Add 2.976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</si>
</sst>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BA6E-456E-4BEF-BE68-2522F4D4BEE9}">
  <sheetPr>
    <pageSetUpPr fitToPage="1"/>
  </sheetPr>
  <dimension ref="A1:J22"/>
  <sheetViews>
    <sheetView workbookViewId="0">
      <selection activeCell="C22" sqref="C2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44197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7</v>
      </c>
      <c r="B5" s="1">
        <f>(840+420)*2+290+562</f>
        <v>3372</v>
      </c>
      <c r="C5" s="4">
        <v>296.60000000000002</v>
      </c>
      <c r="D5">
        <f t="shared" ref="D5:D20" si="0">C5*B5</f>
        <v>1000135.2000000001</v>
      </c>
      <c r="E5" s="3">
        <f t="shared" ref="E5:E20" si="1">D5/$D$22</f>
        <v>7.9274671401366931E-2</v>
      </c>
    </row>
    <row r="6" spans="1:7" x14ac:dyDescent="0.25">
      <c r="A6" t="s">
        <v>33</v>
      </c>
      <c r="B6" s="1">
        <f>130+126+33+57+173</f>
        <v>519</v>
      </c>
      <c r="C6" s="4">
        <v>2283.75</v>
      </c>
      <c r="D6">
        <f t="shared" si="0"/>
        <v>1185266.25</v>
      </c>
      <c r="E6" s="3">
        <f t="shared" si="1"/>
        <v>9.3948890601871046E-2</v>
      </c>
    </row>
    <row r="7" spans="1:7" x14ac:dyDescent="0.25">
      <c r="A7" t="s">
        <v>26</v>
      </c>
      <c r="B7" s="1">
        <f>1280+1280+1280+910+1300+1300+2940+1300</f>
        <v>11590</v>
      </c>
      <c r="C7" s="4">
        <v>86.25</v>
      </c>
      <c r="D7">
        <f t="shared" si="0"/>
        <v>999637.5</v>
      </c>
      <c r="E7" s="3">
        <f t="shared" si="1"/>
        <v>7.9235221731005889E-2</v>
      </c>
    </row>
    <row r="8" spans="1:7" x14ac:dyDescent="0.25">
      <c r="A8" t="s">
        <v>32</v>
      </c>
      <c r="B8" s="1">
        <f>170+299+235+280</f>
        <v>984</v>
      </c>
      <c r="C8" s="4">
        <v>740.6</v>
      </c>
      <c r="D8">
        <f t="shared" si="0"/>
        <v>728750.4</v>
      </c>
      <c r="E8" s="3">
        <f t="shared" si="1"/>
        <v>5.7763638849642231E-2</v>
      </c>
    </row>
    <row r="9" spans="1:7" x14ac:dyDescent="0.25">
      <c r="A9" t="s">
        <v>8</v>
      </c>
      <c r="B9" s="1">
        <f>1378+229+460+413+248-340-476-191-172-155</f>
        <v>1394</v>
      </c>
      <c r="C9" s="4">
        <v>1017.1</v>
      </c>
      <c r="D9">
        <f t="shared" si="0"/>
        <v>1417837.4000000001</v>
      </c>
      <c r="E9" s="3">
        <f t="shared" si="1"/>
        <v>0.11238339974992224</v>
      </c>
    </row>
    <row r="10" spans="1:7" x14ac:dyDescent="0.25">
      <c r="A10" t="s">
        <v>12</v>
      </c>
      <c r="B10" s="1">
        <f>2750+1375</f>
        <v>4125</v>
      </c>
      <c r="C10" s="4">
        <v>40.1</v>
      </c>
      <c r="D10">
        <f t="shared" si="0"/>
        <v>165412.5</v>
      </c>
      <c r="E10" s="3">
        <f t="shared" si="1"/>
        <v>1.3111248942321603E-2</v>
      </c>
    </row>
    <row r="11" spans="1:7" x14ac:dyDescent="0.25">
      <c r="A11" t="s">
        <v>29</v>
      </c>
      <c r="B11" s="1">
        <f>545-226</f>
        <v>319</v>
      </c>
      <c r="C11" s="4">
        <v>601.15</v>
      </c>
      <c r="D11">
        <f t="shared" si="0"/>
        <v>191766.85</v>
      </c>
      <c r="E11" s="3">
        <f t="shared" si="1"/>
        <v>1.5200198952526838E-2</v>
      </c>
    </row>
    <row r="12" spans="1:7" x14ac:dyDescent="0.25">
      <c r="A12" t="s">
        <v>34</v>
      </c>
      <c r="B12" s="1">
        <v>1727</v>
      </c>
      <c r="C12" s="4">
        <v>298.2</v>
      </c>
      <c r="D12">
        <f t="shared" si="0"/>
        <v>514991.39999999997</v>
      </c>
      <c r="E12" s="3">
        <f t="shared" si="1"/>
        <v>4.0820255111038893E-2</v>
      </c>
    </row>
    <row r="13" spans="1:7" x14ac:dyDescent="0.25">
      <c r="A13" t="s">
        <v>28</v>
      </c>
      <c r="B13" s="1">
        <v>570</v>
      </c>
      <c r="C13" s="4">
        <v>835.45</v>
      </c>
      <c r="D13">
        <f>C13*B13</f>
        <v>476206.5</v>
      </c>
      <c r="E13" s="3">
        <f t="shared" si="1"/>
        <v>3.7746010546069207E-2</v>
      </c>
    </row>
    <row r="14" spans="1:7" x14ac:dyDescent="0.25">
      <c r="A14" t="s">
        <v>27</v>
      </c>
      <c r="B14" s="1">
        <f>8384+5589+13973</f>
        <v>27946</v>
      </c>
      <c r="C14" s="4">
        <v>9</v>
      </c>
      <c r="D14">
        <f t="shared" si="0"/>
        <v>251514</v>
      </c>
      <c r="E14" s="3">
        <f t="shared" si="1"/>
        <v>1.9935994356406413E-2</v>
      </c>
    </row>
    <row r="15" spans="1:7" x14ac:dyDescent="0.25">
      <c r="A15" t="s">
        <v>31</v>
      </c>
      <c r="B15" s="1">
        <f>1000+1150+450+500+1000+900+900+500+160-656</f>
        <v>5904</v>
      </c>
      <c r="C15" s="4">
        <v>673.9</v>
      </c>
      <c r="D15">
        <f t="shared" si="0"/>
        <v>3978705.6</v>
      </c>
      <c r="E15" s="3">
        <f t="shared" si="1"/>
        <v>0.31536794129711504</v>
      </c>
    </row>
    <row r="16" spans="1:7" x14ac:dyDescent="0.25">
      <c r="A16" t="s">
        <v>30</v>
      </c>
      <c r="B16" s="1">
        <f>480+154+159+192</f>
        <v>985</v>
      </c>
      <c r="C16" s="4">
        <v>800.85</v>
      </c>
      <c r="D16">
        <f>C16*B16</f>
        <v>788837.25</v>
      </c>
      <c r="E16" s="3">
        <f t="shared" si="1"/>
        <v>6.2526360219006316E-2</v>
      </c>
    </row>
    <row r="17" spans="1:5" x14ac:dyDescent="0.25">
      <c r="A17" t="s">
        <v>9</v>
      </c>
      <c r="B17" s="1">
        <f>6886+2045-4465+4466+4466</f>
        <v>13398</v>
      </c>
      <c r="C17" s="4">
        <v>30.9</v>
      </c>
      <c r="D17">
        <f t="shared" si="0"/>
        <v>413998.19999999995</v>
      </c>
      <c r="E17" s="3">
        <f t="shared" si="1"/>
        <v>3.2815134659551409E-2</v>
      </c>
    </row>
    <row r="18" spans="1:5" x14ac:dyDescent="0.25">
      <c r="A18" t="s">
        <v>10</v>
      </c>
      <c r="B18" s="1">
        <f>920+319+331-785+393+355</f>
        <v>1533</v>
      </c>
      <c r="C18" s="4">
        <v>228.15</v>
      </c>
      <c r="D18">
        <f t="shared" si="0"/>
        <v>349753.95</v>
      </c>
      <c r="E18" s="3">
        <f t="shared" si="1"/>
        <v>2.7722881324025107E-2</v>
      </c>
    </row>
    <row r="19" spans="1:5" x14ac:dyDescent="0.25">
      <c r="A19" t="s">
        <v>25</v>
      </c>
      <c r="B19" s="1">
        <f>419+419+838</f>
        <v>1676</v>
      </c>
      <c r="C19" s="4">
        <v>88.65</v>
      </c>
      <c r="D19">
        <f t="shared" si="0"/>
        <v>148577.40000000002</v>
      </c>
      <c r="E19" s="3">
        <f t="shared" si="1"/>
        <v>1.1776832334937771E-2</v>
      </c>
    </row>
    <row r="20" spans="1:5" x14ac:dyDescent="0.25">
      <c r="A20" t="s">
        <v>11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</f>
        <v>4.6845999999988486</v>
      </c>
      <c r="C20" s="4">
        <v>1000</v>
      </c>
      <c r="D20">
        <f t="shared" si="0"/>
        <v>4684.5999999988489</v>
      </c>
      <c r="E20" s="3">
        <f t="shared" si="1"/>
        <v>3.7131992319313652E-4</v>
      </c>
    </row>
    <row r="21" spans="1:5" x14ac:dyDescent="0.25">
      <c r="B21" s="1"/>
      <c r="E21" s="3"/>
    </row>
    <row r="22" spans="1:5" x14ac:dyDescent="0.25">
      <c r="B22" s="1"/>
      <c r="D22">
        <f>SUM(D5:D20)</f>
        <v>12616074.999999998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7AE9-01F4-4565-ADEE-1863252124BB}">
  <sheetPr>
    <pageSetUpPr fitToPage="1"/>
  </sheetPr>
  <dimension ref="A1:J23"/>
  <sheetViews>
    <sheetView workbookViewId="0">
      <selection activeCell="C23" sqref="C23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44237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7</v>
      </c>
      <c r="B5" s="1">
        <f>(840+420)*2+290+562</f>
        <v>3372</v>
      </c>
      <c r="C5" s="4">
        <v>278.25</v>
      </c>
      <c r="D5">
        <f t="shared" ref="D5:D21" si="0">C5*B5</f>
        <v>938259</v>
      </c>
      <c r="E5" s="3">
        <f t="shared" ref="E5:E21" si="1">D5/$D$23</f>
        <v>6.9135634867550422E-2</v>
      </c>
    </row>
    <row r="6" spans="1:7" x14ac:dyDescent="0.25">
      <c r="A6" t="s">
        <v>33</v>
      </c>
      <c r="B6" s="1">
        <f>130+126+33+57+173</f>
        <v>519</v>
      </c>
      <c r="C6" s="4">
        <v>3022.85</v>
      </c>
      <c r="D6">
        <f t="shared" si="0"/>
        <v>1568859.15</v>
      </c>
      <c r="E6" s="3">
        <f t="shared" si="1"/>
        <v>0.11560142066637837</v>
      </c>
    </row>
    <row r="7" spans="1:7" x14ac:dyDescent="0.25">
      <c r="A7" t="s">
        <v>26</v>
      </c>
      <c r="B7" s="1">
        <f>1280+1280+1280+910+1300+1300+2940+1300</f>
        <v>11590</v>
      </c>
      <c r="C7" s="4">
        <v>87.05</v>
      </c>
      <c r="D7">
        <f t="shared" si="0"/>
        <v>1008909.5</v>
      </c>
      <c r="E7" s="3">
        <f t="shared" si="1"/>
        <v>7.4341518500118678E-2</v>
      </c>
    </row>
    <row r="8" spans="1:7" x14ac:dyDescent="0.25">
      <c r="A8" t="s">
        <v>32</v>
      </c>
      <c r="B8" s="1">
        <f>170+299+235+280</f>
        <v>984</v>
      </c>
      <c r="C8" s="4">
        <v>697.9</v>
      </c>
      <c r="D8">
        <f t="shared" si="0"/>
        <v>686733.6</v>
      </c>
      <c r="E8" s="3">
        <f t="shared" si="1"/>
        <v>5.0601980285697679E-2</v>
      </c>
    </row>
    <row r="9" spans="1:7" x14ac:dyDescent="0.25">
      <c r="A9" t="s">
        <v>8</v>
      </c>
      <c r="B9" s="1">
        <f>1378+229+460+413+248-340-476-191-172-155-265</f>
        <v>1129</v>
      </c>
      <c r="C9" s="4">
        <v>1041.8</v>
      </c>
      <c r="D9">
        <f t="shared" si="0"/>
        <v>1176192.2</v>
      </c>
      <c r="E9" s="3">
        <f t="shared" si="1"/>
        <v>8.6667747896114852E-2</v>
      </c>
      <c r="G9" t="s">
        <v>37</v>
      </c>
    </row>
    <row r="10" spans="1:7" x14ac:dyDescent="0.25">
      <c r="A10" t="s">
        <v>12</v>
      </c>
      <c r="B10" s="1">
        <f>2750+1375-4125</f>
        <v>0</v>
      </c>
      <c r="C10" s="4">
        <v>77.349999999999994</v>
      </c>
      <c r="D10">
        <f t="shared" si="0"/>
        <v>0</v>
      </c>
      <c r="E10" s="3">
        <f t="shared" si="1"/>
        <v>0</v>
      </c>
      <c r="G10" t="s">
        <v>36</v>
      </c>
    </row>
    <row r="11" spans="1:7" x14ac:dyDescent="0.25">
      <c r="A11" t="s">
        <v>29</v>
      </c>
      <c r="B11" s="1">
        <f>545-226</f>
        <v>319</v>
      </c>
      <c r="C11" s="4">
        <v>610.85</v>
      </c>
      <c r="D11">
        <f t="shared" si="0"/>
        <v>194861.15</v>
      </c>
      <c r="E11" s="3">
        <f t="shared" si="1"/>
        <v>1.435834808541242E-2</v>
      </c>
    </row>
    <row r="12" spans="1:7" x14ac:dyDescent="0.25">
      <c r="A12" t="s">
        <v>34</v>
      </c>
      <c r="B12" s="1">
        <v>1727</v>
      </c>
      <c r="C12" s="4">
        <v>397.05</v>
      </c>
      <c r="D12">
        <f t="shared" si="0"/>
        <v>685705.35</v>
      </c>
      <c r="E12" s="3">
        <f t="shared" si="1"/>
        <v>5.052621366203347E-2</v>
      </c>
    </row>
    <row r="13" spans="1:7" x14ac:dyDescent="0.25">
      <c r="A13" t="s">
        <v>28</v>
      </c>
      <c r="B13" s="1">
        <v>570</v>
      </c>
      <c r="C13" s="4">
        <v>962.2</v>
      </c>
      <c r="D13">
        <f>C13*B13</f>
        <v>548454</v>
      </c>
      <c r="E13" s="3">
        <f t="shared" si="1"/>
        <v>4.0412844945422847E-2</v>
      </c>
    </row>
    <row r="14" spans="1:7" x14ac:dyDescent="0.25">
      <c r="A14" t="s">
        <v>27</v>
      </c>
      <c r="B14" s="1">
        <f>8384+5589+13973</f>
        <v>27946</v>
      </c>
      <c r="C14" s="4">
        <v>8.25</v>
      </c>
      <c r="D14">
        <f t="shared" si="0"/>
        <v>230554.5</v>
      </c>
      <c r="E14" s="3">
        <f t="shared" si="1"/>
        <v>1.6988413358220548E-2</v>
      </c>
    </row>
    <row r="15" spans="1:7" x14ac:dyDescent="0.25">
      <c r="A15" t="s">
        <v>31</v>
      </c>
      <c r="B15" s="1">
        <f>1000+1150+450+500+1000+900+900+500+160-656</f>
        <v>5904</v>
      </c>
      <c r="C15" s="4">
        <v>680.25</v>
      </c>
      <c r="D15">
        <f t="shared" si="0"/>
        <v>4016196</v>
      </c>
      <c r="E15" s="3">
        <f t="shared" si="1"/>
        <v>0.29593348980667011</v>
      </c>
    </row>
    <row r="16" spans="1:7" x14ac:dyDescent="0.25">
      <c r="A16" t="s">
        <v>30</v>
      </c>
      <c r="B16" s="1">
        <f>480+154+159+192</f>
        <v>985</v>
      </c>
      <c r="C16" s="4">
        <v>909.95</v>
      </c>
      <c r="D16">
        <f>C16*B16</f>
        <v>896300.75</v>
      </c>
      <c r="E16" s="3">
        <f t="shared" si="1"/>
        <v>6.6043940301677456E-2</v>
      </c>
    </row>
    <row r="17" spans="1:7" x14ac:dyDescent="0.25">
      <c r="A17" t="s">
        <v>9</v>
      </c>
      <c r="B17" s="1">
        <f>6886+2045-4465+4466+4466</f>
        <v>13398</v>
      </c>
      <c r="C17" s="4">
        <v>29.85</v>
      </c>
      <c r="D17">
        <f t="shared" si="0"/>
        <v>399930.30000000005</v>
      </c>
      <c r="E17" s="3">
        <f t="shared" si="1"/>
        <v>2.9468872873342971E-2</v>
      </c>
    </row>
    <row r="18" spans="1:7" x14ac:dyDescent="0.25">
      <c r="A18" t="s">
        <v>10</v>
      </c>
      <c r="B18" s="1">
        <f>920+319+331-785+393+355</f>
        <v>1533</v>
      </c>
      <c r="C18" s="4">
        <v>241.85</v>
      </c>
      <c r="D18">
        <f t="shared" si="0"/>
        <v>370756.05</v>
      </c>
      <c r="E18" s="3">
        <f t="shared" si="1"/>
        <v>2.7319167626140825E-2</v>
      </c>
    </row>
    <row r="19" spans="1:7" x14ac:dyDescent="0.25">
      <c r="A19" t="s">
        <v>25</v>
      </c>
      <c r="B19" s="1">
        <f>419+419+838</f>
        <v>1676</v>
      </c>
      <c r="C19" s="4">
        <v>84.75</v>
      </c>
      <c r="D19">
        <f t="shared" si="0"/>
        <v>142041</v>
      </c>
      <c r="E19" s="3">
        <f t="shared" si="1"/>
        <v>1.0466294181267356E-2</v>
      </c>
    </row>
    <row r="20" spans="1:7" x14ac:dyDescent="0.25">
      <c r="A20" t="s">
        <v>35</v>
      </c>
      <c r="B20" s="1">
        <v>3075</v>
      </c>
      <c r="C20" s="4">
        <v>230</v>
      </c>
      <c r="D20">
        <f t="shared" si="0"/>
        <v>707250</v>
      </c>
      <c r="E20" s="3">
        <f t="shared" si="1"/>
        <v>5.2113731666922493E-2</v>
      </c>
      <c r="G20" t="s">
        <v>39</v>
      </c>
    </row>
    <row r="21" spans="1:7" x14ac:dyDescent="0.25">
      <c r="A21" t="s">
        <v>11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</f>
        <v>0.27659999999884821</v>
      </c>
      <c r="C21" s="4">
        <v>1000</v>
      </c>
      <c r="D21">
        <f t="shared" si="0"/>
        <v>276.5999999988482</v>
      </c>
      <c r="E21" s="3">
        <f t="shared" si="1"/>
        <v>2.0381277029354172E-5</v>
      </c>
      <c r="G21" t="s">
        <v>38</v>
      </c>
    </row>
    <row r="22" spans="1:7" x14ac:dyDescent="0.25">
      <c r="B22" s="1"/>
      <c r="E22" s="3"/>
    </row>
    <row r="23" spans="1:7" x14ac:dyDescent="0.25">
      <c r="B23" s="1"/>
      <c r="D23">
        <f>SUM(D5:D21)</f>
        <v>13571279.15</v>
      </c>
    </row>
  </sheetData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F6D4-D6C4-430D-A2C2-24212818E1EC}">
  <sheetPr>
    <pageSetUpPr fitToPage="1"/>
  </sheetPr>
  <dimension ref="A1:J23"/>
  <sheetViews>
    <sheetView workbookViewId="0">
      <selection activeCell="F16" sqref="F16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44273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7</v>
      </c>
      <c r="B5" s="1">
        <f>(840+420)*2+290+562</f>
        <v>3372</v>
      </c>
      <c r="C5" s="4">
        <v>320.10000000000002</v>
      </c>
      <c r="D5">
        <f t="shared" ref="D5:D21" si="0">C5*B5</f>
        <v>1079377.2000000002</v>
      </c>
      <c r="E5" s="3">
        <f t="shared" ref="E5:E21" si="1">D5/$D$23</f>
        <v>6.6576410363753127E-2</v>
      </c>
    </row>
    <row r="6" spans="1:7" x14ac:dyDescent="0.25">
      <c r="A6" t="s">
        <v>40</v>
      </c>
      <c r="B6" s="1">
        <v>1098</v>
      </c>
      <c r="C6" s="4">
        <v>605.4</v>
      </c>
      <c r="D6">
        <f t="shared" si="0"/>
        <v>664729.19999999995</v>
      </c>
      <c r="E6" s="3">
        <f t="shared" si="1"/>
        <v>4.100075858557075E-2</v>
      </c>
      <c r="G6" t="s">
        <v>43</v>
      </c>
    </row>
    <row r="7" spans="1:7" x14ac:dyDescent="0.25">
      <c r="A7" t="s">
        <v>33</v>
      </c>
      <c r="B7" s="1">
        <f>130+126+33+57+173</f>
        <v>519</v>
      </c>
      <c r="C7" s="4">
        <v>3016.85</v>
      </c>
      <c r="D7">
        <f t="shared" si="0"/>
        <v>1565745.15</v>
      </c>
      <c r="E7" s="3">
        <f t="shared" si="1"/>
        <v>9.6575776875272315E-2</v>
      </c>
    </row>
    <row r="8" spans="1:7" x14ac:dyDescent="0.25">
      <c r="A8" t="s">
        <v>26</v>
      </c>
      <c r="B8" s="1">
        <f>1280+1280+1280+910+1300+1300+2940+1300</f>
        <v>11590</v>
      </c>
      <c r="C8" s="4">
        <v>104.55</v>
      </c>
      <c r="D8">
        <f t="shared" si="0"/>
        <v>1211734.5</v>
      </c>
      <c r="E8" s="3">
        <f t="shared" si="1"/>
        <v>7.4740260702113412E-2</v>
      </c>
    </row>
    <row r="9" spans="1:7" x14ac:dyDescent="0.25">
      <c r="A9" t="s">
        <v>32</v>
      </c>
      <c r="B9" s="1">
        <f>170+299+235+280</f>
        <v>984</v>
      </c>
      <c r="C9" s="4">
        <v>588.29999999999995</v>
      </c>
      <c r="D9">
        <f t="shared" si="0"/>
        <v>578887.19999999995</v>
      </c>
      <c r="E9" s="3">
        <f t="shared" si="1"/>
        <v>3.570599025208613E-2</v>
      </c>
    </row>
    <row r="10" spans="1:7" x14ac:dyDescent="0.25">
      <c r="A10" t="s">
        <v>8</v>
      </c>
      <c r="B10" s="1">
        <f>1378+229+460+413+248-340-476-191-172-155-265</f>
        <v>1129</v>
      </c>
      <c r="C10" s="4">
        <v>1182.9000000000001</v>
      </c>
      <c r="D10">
        <f t="shared" si="0"/>
        <v>1335494.1000000001</v>
      </c>
      <c r="E10" s="3">
        <f t="shared" si="1"/>
        <v>8.2373801521813839E-2</v>
      </c>
    </row>
    <row r="11" spans="1:7" x14ac:dyDescent="0.25">
      <c r="A11" t="s">
        <v>29</v>
      </c>
      <c r="B11" s="1">
        <f>545-226</f>
        <v>319</v>
      </c>
      <c r="C11" s="4">
        <v>664.2</v>
      </c>
      <c r="D11">
        <f t="shared" si="0"/>
        <v>211879.80000000002</v>
      </c>
      <c r="E11" s="3">
        <f t="shared" si="1"/>
        <v>1.3068829425514954E-2</v>
      </c>
    </row>
    <row r="12" spans="1:7" x14ac:dyDescent="0.25">
      <c r="A12" t="s">
        <v>34</v>
      </c>
      <c r="B12" s="1">
        <v>1727</v>
      </c>
      <c r="C12" s="4">
        <v>419.85</v>
      </c>
      <c r="D12">
        <f t="shared" si="0"/>
        <v>725080.95000000007</v>
      </c>
      <c r="E12" s="3">
        <f t="shared" si="1"/>
        <v>4.4723278270228393E-2</v>
      </c>
    </row>
    <row r="13" spans="1:7" x14ac:dyDescent="0.25">
      <c r="A13" t="s">
        <v>28</v>
      </c>
      <c r="B13" s="1">
        <f>570-142</f>
        <v>428</v>
      </c>
      <c r="C13" s="4">
        <v>1605.3</v>
      </c>
      <c r="D13">
        <f>C13*B13</f>
        <v>687068.4</v>
      </c>
      <c r="E13" s="3">
        <f t="shared" si="1"/>
        <v>4.2378649230655673E-2</v>
      </c>
      <c r="G13" t="s">
        <v>41</v>
      </c>
    </row>
    <row r="14" spans="1:7" x14ac:dyDescent="0.25">
      <c r="A14" t="s">
        <v>27</v>
      </c>
      <c r="B14" s="1">
        <f>8384+5589+13973</f>
        <v>27946</v>
      </c>
      <c r="C14" s="4">
        <v>9.0500000000000007</v>
      </c>
      <c r="D14">
        <f t="shared" si="0"/>
        <v>252911.30000000002</v>
      </c>
      <c r="E14" s="3">
        <f t="shared" si="1"/>
        <v>1.5599668488856607E-2</v>
      </c>
    </row>
    <row r="15" spans="1:7" x14ac:dyDescent="0.25">
      <c r="A15" t="s">
        <v>31</v>
      </c>
      <c r="B15" s="1">
        <f>1000+1150+450+500+1000+900+900+500+160-656-590</f>
        <v>5314</v>
      </c>
      <c r="C15" s="4">
        <v>952.7</v>
      </c>
      <c r="D15">
        <f t="shared" si="0"/>
        <v>5062647.8</v>
      </c>
      <c r="E15" s="3">
        <f t="shared" si="1"/>
        <v>0.31226610814083522</v>
      </c>
      <c r="G15" t="s">
        <v>42</v>
      </c>
    </row>
    <row r="16" spans="1:7" x14ac:dyDescent="0.25">
      <c r="A16" t="s">
        <v>30</v>
      </c>
      <c r="B16" s="1">
        <f>480+154+159+192</f>
        <v>985</v>
      </c>
      <c r="C16" s="4">
        <v>1170.75</v>
      </c>
      <c r="D16">
        <f>C16*B16</f>
        <v>1153188.75</v>
      </c>
      <c r="E16" s="3">
        <f t="shared" si="1"/>
        <v>7.1129135808004382E-2</v>
      </c>
    </row>
    <row r="17" spans="1:7" x14ac:dyDescent="0.25">
      <c r="A17" t="s">
        <v>9</v>
      </c>
      <c r="B17" s="1">
        <f>6886+2045-4465+4466+4466</f>
        <v>13398</v>
      </c>
      <c r="C17" s="4">
        <v>31.65</v>
      </c>
      <c r="D17">
        <f t="shared" si="0"/>
        <v>424046.69999999995</v>
      </c>
      <c r="E17" s="3">
        <f t="shared" si="1"/>
        <v>2.6155367291985886E-2</v>
      </c>
    </row>
    <row r="18" spans="1:7" x14ac:dyDescent="0.25">
      <c r="A18" t="s">
        <v>10</v>
      </c>
      <c r="B18" s="1">
        <f>920+319+331-785+393+355</f>
        <v>1533</v>
      </c>
      <c r="C18" s="4">
        <v>262.60000000000002</v>
      </c>
      <c r="D18">
        <f t="shared" si="0"/>
        <v>402565.80000000005</v>
      </c>
      <c r="E18" s="3">
        <f t="shared" si="1"/>
        <v>2.4830416928588606E-2</v>
      </c>
    </row>
    <row r="19" spans="1:7" x14ac:dyDescent="0.25">
      <c r="A19" t="s">
        <v>25</v>
      </c>
      <c r="B19" s="1">
        <f>419+419+838</f>
        <v>1676</v>
      </c>
      <c r="C19" s="4">
        <v>80.400000000000006</v>
      </c>
      <c r="D19">
        <f t="shared" si="0"/>
        <v>134750.40000000002</v>
      </c>
      <c r="E19" s="3">
        <f t="shared" si="1"/>
        <v>8.3114576878962048E-3</v>
      </c>
    </row>
    <row r="20" spans="1:7" x14ac:dyDescent="0.25">
      <c r="A20" t="s">
        <v>35</v>
      </c>
      <c r="B20" s="1">
        <v>3075</v>
      </c>
      <c r="C20" s="4">
        <v>234.9</v>
      </c>
      <c r="D20">
        <f t="shared" si="0"/>
        <v>722317.5</v>
      </c>
      <c r="E20" s="3">
        <f t="shared" si="1"/>
        <v>4.4552827586982792E-2</v>
      </c>
    </row>
    <row r="21" spans="1:7" x14ac:dyDescent="0.25">
      <c r="A21" t="s">
        <v>11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</f>
        <v>0.18259999999884821</v>
      </c>
      <c r="C21" s="4">
        <v>1000</v>
      </c>
      <c r="D21">
        <f t="shared" si="0"/>
        <v>182.5999999988482</v>
      </c>
      <c r="E21" s="3">
        <f t="shared" si="1"/>
        <v>1.1262839841664839E-5</v>
      </c>
      <c r="G21" t="s">
        <v>44</v>
      </c>
    </row>
    <row r="22" spans="1:7" x14ac:dyDescent="0.25">
      <c r="B22" s="1"/>
      <c r="E22" s="3"/>
    </row>
    <row r="23" spans="1:7" x14ac:dyDescent="0.25">
      <c r="B23" s="1"/>
      <c r="D23">
        <f>SUM(D5:D21)</f>
        <v>16212607.35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6B23-B5BA-4D65-9E30-187A4FA301C2}">
  <sheetPr>
    <pageSetUpPr fitToPage="1"/>
  </sheetPr>
  <dimension ref="A1:J23"/>
  <sheetViews>
    <sheetView workbookViewId="0">
      <selection activeCell="G22" sqref="G2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44362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40</v>
      </c>
      <c r="B5" s="1">
        <v>1098</v>
      </c>
      <c r="C5" s="4">
        <v>1504.05</v>
      </c>
      <c r="D5">
        <f>C5*B5</f>
        <v>1651446.9</v>
      </c>
      <c r="E5" s="3">
        <f t="shared" ref="E5:E21" si="0">D5/$D$23</f>
        <v>8.3577234626877731E-2</v>
      </c>
    </row>
    <row r="6" spans="1:7" x14ac:dyDescent="0.25">
      <c r="A6" t="s">
        <v>7</v>
      </c>
      <c r="B6" s="1">
        <f>(840+420)*2+290+562</f>
        <v>3372</v>
      </c>
      <c r="C6" s="4">
        <v>415.3</v>
      </c>
      <c r="D6">
        <f t="shared" ref="D6:D21" si="1">C6*B6</f>
        <v>1400391.6</v>
      </c>
      <c r="E6" s="3">
        <f t="shared" si="0"/>
        <v>7.0871704880555789E-2</v>
      </c>
    </row>
    <row r="7" spans="1:7" x14ac:dyDescent="0.25">
      <c r="A7" t="s">
        <v>33</v>
      </c>
      <c r="B7" s="1">
        <f>130+126+33+57+173</f>
        <v>519</v>
      </c>
      <c r="C7" s="4">
        <v>4561.3</v>
      </c>
      <c r="D7">
        <f t="shared" si="1"/>
        <v>2367314.7000000002</v>
      </c>
      <c r="E7" s="3">
        <f t="shared" si="0"/>
        <v>0.11980622332910414</v>
      </c>
    </row>
    <row r="8" spans="1:7" x14ac:dyDescent="0.25">
      <c r="A8" t="s">
        <v>26</v>
      </c>
      <c r="B8" s="1">
        <f>1280+1280+1280+910+1300+1300+2940+1300</f>
        <v>11590</v>
      </c>
      <c r="C8" s="4">
        <v>113.3</v>
      </c>
      <c r="D8">
        <f t="shared" si="1"/>
        <v>1313147</v>
      </c>
      <c r="E8" s="3">
        <f t="shared" si="0"/>
        <v>6.6456387376778892E-2</v>
      </c>
    </row>
    <row r="9" spans="1:7" x14ac:dyDescent="0.25">
      <c r="A9" t="s">
        <v>32</v>
      </c>
      <c r="B9" s="1">
        <f>170+299+235+280</f>
        <v>984</v>
      </c>
      <c r="C9" s="4">
        <v>656.4</v>
      </c>
      <c r="D9">
        <f t="shared" si="1"/>
        <v>645897.6</v>
      </c>
      <c r="E9" s="3">
        <f t="shared" si="0"/>
        <v>3.2687902505455807E-2</v>
      </c>
    </row>
    <row r="10" spans="1:7" x14ac:dyDescent="0.25">
      <c r="A10" t="s">
        <v>8</v>
      </c>
      <c r="B10" s="1">
        <f>1378+229+460+413+248-340-476-191-172-155-265-564</f>
        <v>565</v>
      </c>
      <c r="C10" s="4">
        <v>1544.85</v>
      </c>
      <c r="D10">
        <f t="shared" si="1"/>
        <v>872840.25</v>
      </c>
      <c r="E10" s="3">
        <f t="shared" si="0"/>
        <v>4.4173127435119246E-2</v>
      </c>
      <c r="G10" t="s">
        <v>45</v>
      </c>
    </row>
    <row r="11" spans="1:7" x14ac:dyDescent="0.25">
      <c r="A11" t="s">
        <v>29</v>
      </c>
      <c r="B11" s="1">
        <f>545-226</f>
        <v>319</v>
      </c>
      <c r="C11" s="4">
        <v>799.65</v>
      </c>
      <c r="D11">
        <f t="shared" si="1"/>
        <v>255088.35</v>
      </c>
      <c r="E11" s="3">
        <f t="shared" si="0"/>
        <v>1.2909636318632534E-2</v>
      </c>
    </row>
    <row r="12" spans="1:7" x14ac:dyDescent="0.25">
      <c r="A12" t="s">
        <v>34</v>
      </c>
      <c r="B12" s="1">
        <v>1727</v>
      </c>
      <c r="C12" s="4">
        <v>711.35</v>
      </c>
      <c r="D12">
        <f t="shared" si="1"/>
        <v>1228501.45</v>
      </c>
      <c r="E12" s="3">
        <f t="shared" si="0"/>
        <v>6.2172603870042392E-2</v>
      </c>
    </row>
    <row r="13" spans="1:7" x14ac:dyDescent="0.25">
      <c r="A13" t="s">
        <v>28</v>
      </c>
      <c r="B13" s="1">
        <f>570-142-142</f>
        <v>286</v>
      </c>
      <c r="C13" s="4">
        <v>2536.65</v>
      </c>
      <c r="D13">
        <f>C13*B13</f>
        <v>725481.9</v>
      </c>
      <c r="E13" s="3">
        <f t="shared" si="0"/>
        <v>3.6715543790026221E-2</v>
      </c>
      <c r="G13" t="s">
        <v>46</v>
      </c>
    </row>
    <row r="14" spans="1:7" x14ac:dyDescent="0.25">
      <c r="A14" t="s">
        <v>27</v>
      </c>
      <c r="B14" s="1">
        <f>8384+5589+13973</f>
        <v>27946</v>
      </c>
      <c r="C14" s="4">
        <v>10.55</v>
      </c>
      <c r="D14">
        <f t="shared" si="1"/>
        <v>294830.30000000005</v>
      </c>
      <c r="E14" s="3">
        <f t="shared" si="0"/>
        <v>1.4920916414698381E-2</v>
      </c>
    </row>
    <row r="15" spans="1:7" x14ac:dyDescent="0.25">
      <c r="A15" t="s">
        <v>31</v>
      </c>
      <c r="B15" s="1">
        <f>1000+1150+450+500+1000+900+900+500+160-656-590</f>
        <v>5314</v>
      </c>
      <c r="C15" s="4">
        <v>812.2</v>
      </c>
      <c r="D15">
        <f t="shared" si="1"/>
        <v>4316030.8</v>
      </c>
      <c r="E15" s="3">
        <f t="shared" si="0"/>
        <v>0.21842780341797899</v>
      </c>
    </row>
    <row r="16" spans="1:7" x14ac:dyDescent="0.25">
      <c r="A16" t="s">
        <v>30</v>
      </c>
      <c r="B16" s="1">
        <f>480+154+159+192</f>
        <v>985</v>
      </c>
      <c r="C16" s="4">
        <v>1329.8</v>
      </c>
      <c r="D16">
        <f>C16*B16</f>
        <v>1309853</v>
      </c>
      <c r="E16" s="3">
        <f t="shared" si="0"/>
        <v>6.6289683009317285E-2</v>
      </c>
    </row>
    <row r="17" spans="1:7" x14ac:dyDescent="0.25">
      <c r="A17" t="s">
        <v>9</v>
      </c>
      <c r="B17" s="1">
        <f>6886+2045-4465+4466+4466</f>
        <v>13398</v>
      </c>
      <c r="C17" s="4">
        <v>45.7</v>
      </c>
      <c r="D17">
        <f t="shared" si="1"/>
        <v>612288.60000000009</v>
      </c>
      <c r="E17" s="3">
        <f t="shared" si="0"/>
        <v>3.098700175074506E-2</v>
      </c>
    </row>
    <row r="18" spans="1:7" x14ac:dyDescent="0.25">
      <c r="A18" t="s">
        <v>10</v>
      </c>
      <c r="B18" s="1">
        <f>920+319+331-785+393+355</f>
        <v>1533</v>
      </c>
      <c r="C18" s="4">
        <v>323.64999999999998</v>
      </c>
      <c r="D18">
        <f t="shared" si="1"/>
        <v>496155.44999999995</v>
      </c>
      <c r="E18" s="3">
        <f t="shared" si="0"/>
        <v>2.5109678340886472E-2</v>
      </c>
    </row>
    <row r="19" spans="1:7" x14ac:dyDescent="0.25">
      <c r="A19" t="s">
        <v>25</v>
      </c>
      <c r="B19" s="1">
        <f>419+419+838</f>
        <v>1676</v>
      </c>
      <c r="C19" s="4">
        <v>91.2</v>
      </c>
      <c r="D19">
        <f t="shared" si="1"/>
        <v>152851.20000000001</v>
      </c>
      <c r="E19" s="3">
        <f t="shared" si="0"/>
        <v>7.7355684917267496E-3</v>
      </c>
    </row>
    <row r="20" spans="1:7" x14ac:dyDescent="0.25">
      <c r="A20" t="s">
        <v>35</v>
      </c>
      <c r="B20" s="1">
        <f>3075+1537</f>
        <v>4612</v>
      </c>
      <c r="C20" s="4">
        <v>282.05</v>
      </c>
      <c r="D20">
        <f t="shared" si="1"/>
        <v>1300814.6000000001</v>
      </c>
      <c r="E20" s="3">
        <f t="shared" si="0"/>
        <v>6.5832263229455415E-2</v>
      </c>
      <c r="G20" t="s">
        <v>47</v>
      </c>
    </row>
    <row r="21" spans="1:7" x14ac:dyDescent="0.25">
      <c r="A21" t="s">
        <v>11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</f>
        <v>816.59659999999883</v>
      </c>
      <c r="C21" s="4">
        <v>1000</v>
      </c>
      <c r="D21">
        <f t="shared" si="1"/>
        <v>816596.59999999881</v>
      </c>
      <c r="E21" s="3">
        <f t="shared" si="0"/>
        <v>4.1326721212598803E-2</v>
      </c>
      <c r="G21" t="s">
        <v>48</v>
      </c>
    </row>
    <row r="22" spans="1:7" x14ac:dyDescent="0.25">
      <c r="B22" s="1"/>
      <c r="E22" s="3"/>
    </row>
    <row r="23" spans="1:7" x14ac:dyDescent="0.25">
      <c r="B23" s="1"/>
      <c r="D23">
        <f>SUM(D5:D21)</f>
        <v>19759530.300000001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FEBB-C041-42FB-AB9B-856CB27B0225}">
  <sheetPr>
    <pageSetUpPr fitToPage="1"/>
  </sheetPr>
  <dimension ref="A1:J24"/>
  <sheetViews>
    <sheetView workbookViewId="0">
      <selection activeCell="B23" sqref="B23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44376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40</v>
      </c>
      <c r="B5" s="1">
        <v>1098</v>
      </c>
      <c r="C5" s="4">
        <v>1288.05</v>
      </c>
      <c r="D5">
        <f>C5*B5</f>
        <v>1414278.9</v>
      </c>
      <c r="E5" s="3">
        <f t="shared" ref="E5:E22" si="0">D5/$D$24</f>
        <v>7.2224734410808178E-2</v>
      </c>
    </row>
    <row r="6" spans="1:7" x14ac:dyDescent="0.25">
      <c r="A6" t="s">
        <v>7</v>
      </c>
      <c r="B6" s="1">
        <f>(840+420)*2+290+562</f>
        <v>3372</v>
      </c>
      <c r="C6" s="4">
        <v>400.1</v>
      </c>
      <c r="D6">
        <f t="shared" ref="D6:D22" si="1">C6*B6</f>
        <v>1349137.2000000002</v>
      </c>
      <c r="E6" s="3">
        <f t="shared" si="0"/>
        <v>6.8898062435734153E-2</v>
      </c>
    </row>
    <row r="7" spans="1:7" x14ac:dyDescent="0.25">
      <c r="A7" t="s">
        <v>33</v>
      </c>
      <c r="B7" s="1">
        <f>130+126+33+57+173</f>
        <v>519</v>
      </c>
      <c r="C7" s="4">
        <v>4613.75</v>
      </c>
      <c r="D7">
        <f t="shared" si="1"/>
        <v>2394536.25</v>
      </c>
      <c r="E7" s="3">
        <f t="shared" si="0"/>
        <v>0.1222847521046256</v>
      </c>
    </row>
    <row r="8" spans="1:7" x14ac:dyDescent="0.25">
      <c r="A8" t="s">
        <v>26</v>
      </c>
      <c r="B8" s="1">
        <f>1280+1280+1280+910+1300+1300+2940+1300</f>
        <v>11590</v>
      </c>
      <c r="C8" s="4">
        <v>120.05</v>
      </c>
      <c r="D8">
        <f t="shared" si="1"/>
        <v>1391379.5</v>
      </c>
      <c r="E8" s="3">
        <f t="shared" si="0"/>
        <v>7.1055302353830688E-2</v>
      </c>
    </row>
    <row r="9" spans="1:7" x14ac:dyDescent="0.25">
      <c r="A9" t="s">
        <v>32</v>
      </c>
      <c r="B9" s="1">
        <f>170+299+235+280-656</f>
        <v>328</v>
      </c>
      <c r="C9" s="4">
        <v>618.75</v>
      </c>
      <c r="D9">
        <f t="shared" si="1"/>
        <v>202950</v>
      </c>
      <c r="E9" s="3">
        <f t="shared" si="0"/>
        <v>1.036429932502954E-2</v>
      </c>
      <c r="G9" t="s">
        <v>51</v>
      </c>
    </row>
    <row r="10" spans="1:7" x14ac:dyDescent="0.25">
      <c r="A10" t="s">
        <v>8</v>
      </c>
      <c r="B10" s="1">
        <f>1378+229+460+413+248-340-476-191-172-155-265-564-283</f>
        <v>282</v>
      </c>
      <c r="C10" s="4">
        <v>1638.25</v>
      </c>
      <c r="D10">
        <f t="shared" si="1"/>
        <v>461986.5</v>
      </c>
      <c r="E10" s="3">
        <f t="shared" si="0"/>
        <v>2.3592837497525301E-2</v>
      </c>
      <c r="G10" t="s">
        <v>50</v>
      </c>
    </row>
    <row r="11" spans="1:7" x14ac:dyDescent="0.25">
      <c r="A11" t="s">
        <v>29</v>
      </c>
      <c r="B11" s="1">
        <f>545-226</f>
        <v>319</v>
      </c>
      <c r="C11" s="4">
        <v>785.2</v>
      </c>
      <c r="D11">
        <f t="shared" si="1"/>
        <v>250478.80000000002</v>
      </c>
      <c r="E11" s="3">
        <f t="shared" si="0"/>
        <v>1.2791511494329683E-2</v>
      </c>
    </row>
    <row r="12" spans="1:7" x14ac:dyDescent="0.25">
      <c r="A12" t="s">
        <v>34</v>
      </c>
      <c r="B12" s="1">
        <v>1727</v>
      </c>
      <c r="C12" s="4">
        <v>697.75</v>
      </c>
      <c r="D12">
        <f t="shared" si="1"/>
        <v>1205014.25</v>
      </c>
      <c r="E12" s="3">
        <f t="shared" si="0"/>
        <v>6.1537957023532777E-2</v>
      </c>
    </row>
    <row r="13" spans="1:7" x14ac:dyDescent="0.25">
      <c r="A13" t="s">
        <v>28</v>
      </c>
      <c r="B13" s="1">
        <f>570-142-142</f>
        <v>286</v>
      </c>
      <c r="C13" s="4">
        <v>2955.8</v>
      </c>
      <c r="D13">
        <f>C13*B13</f>
        <v>845358.8</v>
      </c>
      <c r="E13" s="3">
        <f t="shared" si="0"/>
        <v>4.3170986155446081E-2</v>
      </c>
    </row>
    <row r="14" spans="1:7" x14ac:dyDescent="0.25">
      <c r="A14" t="s">
        <v>27</v>
      </c>
      <c r="B14" s="1">
        <f>8384+5589+13973</f>
        <v>27946</v>
      </c>
      <c r="C14" s="4">
        <v>13.35</v>
      </c>
      <c r="D14">
        <f t="shared" si="1"/>
        <v>373079.1</v>
      </c>
      <c r="E14" s="3">
        <f t="shared" si="0"/>
        <v>1.9052493049089077E-2</v>
      </c>
    </row>
    <row r="15" spans="1:7" x14ac:dyDescent="0.25">
      <c r="A15" t="s">
        <v>49</v>
      </c>
      <c r="B15" s="1">
        <v>1875</v>
      </c>
      <c r="C15" s="4">
        <v>554.35</v>
      </c>
      <c r="D15">
        <f t="shared" si="1"/>
        <v>1039406.25</v>
      </c>
      <c r="E15" s="3">
        <f t="shared" si="0"/>
        <v>5.3080647919716603E-2</v>
      </c>
      <c r="G15" t="s">
        <v>52</v>
      </c>
    </row>
    <row r="16" spans="1:7" x14ac:dyDescent="0.25">
      <c r="A16" t="s">
        <v>31</v>
      </c>
      <c r="B16" s="1">
        <f>1000+1150+450+500+1000+900+900+500+160-656-590</f>
        <v>5314</v>
      </c>
      <c r="C16" s="4">
        <v>803</v>
      </c>
      <c r="D16">
        <f t="shared" si="1"/>
        <v>4267142</v>
      </c>
      <c r="E16" s="3">
        <f t="shared" si="0"/>
        <v>0.21791543212813599</v>
      </c>
    </row>
    <row r="17" spans="1:7" x14ac:dyDescent="0.25">
      <c r="A17" t="s">
        <v>30</v>
      </c>
      <c r="B17" s="1">
        <f>480+154+159+192</f>
        <v>985</v>
      </c>
      <c r="C17" s="4">
        <v>1161.5</v>
      </c>
      <c r="D17">
        <f>C17*B17</f>
        <v>1144077.5</v>
      </c>
      <c r="E17" s="3">
        <f t="shared" si="0"/>
        <v>5.8426024444599572E-2</v>
      </c>
    </row>
    <row r="18" spans="1:7" x14ac:dyDescent="0.25">
      <c r="A18" t="s">
        <v>9</v>
      </c>
      <c r="B18" s="1">
        <f>6886+2045-4465+4466+4466</f>
        <v>13398</v>
      </c>
      <c r="C18" s="4">
        <v>42.8</v>
      </c>
      <c r="D18">
        <f t="shared" si="1"/>
        <v>573434.39999999991</v>
      </c>
      <c r="E18" s="3">
        <f t="shared" si="0"/>
        <v>2.928428561157289E-2</v>
      </c>
    </row>
    <row r="19" spans="1:7" x14ac:dyDescent="0.25">
      <c r="A19" t="s">
        <v>10</v>
      </c>
      <c r="B19" s="1">
        <f>920+319+331-785+393+355</f>
        <v>1533</v>
      </c>
      <c r="C19" s="4">
        <v>300.25</v>
      </c>
      <c r="D19">
        <f t="shared" si="1"/>
        <v>460283.25</v>
      </c>
      <c r="E19" s="3">
        <f t="shared" si="0"/>
        <v>2.350585551760238E-2</v>
      </c>
    </row>
    <row r="20" spans="1:7" x14ac:dyDescent="0.25">
      <c r="A20" t="s">
        <v>25</v>
      </c>
      <c r="B20" s="1">
        <f>419+419+838</f>
        <v>1676</v>
      </c>
      <c r="C20" s="4">
        <v>94</v>
      </c>
      <c r="D20">
        <f t="shared" si="1"/>
        <v>157544</v>
      </c>
      <c r="E20" s="3">
        <f t="shared" si="0"/>
        <v>8.0454948157795206E-3</v>
      </c>
    </row>
    <row r="21" spans="1:7" x14ac:dyDescent="0.25">
      <c r="A21" t="s">
        <v>35</v>
      </c>
      <c r="B21" s="1">
        <f>3075+1537</f>
        <v>4612</v>
      </c>
      <c r="C21" s="4">
        <v>276.64999999999998</v>
      </c>
      <c r="D21">
        <f t="shared" si="1"/>
        <v>1275909.7999999998</v>
      </c>
      <c r="E21" s="3">
        <f t="shared" si="0"/>
        <v>6.5158467991813615E-2</v>
      </c>
    </row>
    <row r="22" spans="1:7" x14ac:dyDescent="0.25">
      <c r="A22" t="s">
        <v>11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</f>
        <v>775.64559999999881</v>
      </c>
      <c r="C22" s="4">
        <v>1000</v>
      </c>
      <c r="D22">
        <f t="shared" si="1"/>
        <v>775645.59999999881</v>
      </c>
      <c r="E22" s="3">
        <f t="shared" si="0"/>
        <v>3.9610855720828383E-2</v>
      </c>
      <c r="G22" t="s">
        <v>53</v>
      </c>
    </row>
    <row r="23" spans="1:7" x14ac:dyDescent="0.25">
      <c r="B23" s="1"/>
      <c r="E23" s="3"/>
    </row>
    <row r="24" spans="1:7" x14ac:dyDescent="0.25">
      <c r="B24" s="1"/>
      <c r="D24">
        <f>SUM(D5:D22)</f>
        <v>19581642.099999998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B99E-3278-4FAA-ABDF-0528F1AC569A}">
  <sheetPr>
    <pageSetUpPr fitToPage="1"/>
  </sheetPr>
  <dimension ref="A1:J24"/>
  <sheetViews>
    <sheetView workbookViewId="0">
      <selection activeCell="B2" sqref="B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44407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40</v>
      </c>
      <c r="B5" s="1">
        <v>1098</v>
      </c>
      <c r="C5" s="4">
        <v>1739.3</v>
      </c>
      <c r="D5">
        <f>C5*B5</f>
        <v>1909751.4</v>
      </c>
      <c r="E5" s="3">
        <f t="shared" ref="E5:E22" si="0">D5/$D$24</f>
        <v>8.7679625682121509E-2</v>
      </c>
    </row>
    <row r="6" spans="1:7" x14ac:dyDescent="0.25">
      <c r="A6" t="s">
        <v>7</v>
      </c>
      <c r="B6" s="1">
        <f>(840+420)*2+290+562</f>
        <v>3372</v>
      </c>
      <c r="C6" s="4">
        <v>498.05</v>
      </c>
      <c r="D6">
        <f t="shared" ref="D6:D22" si="1">C6*B6</f>
        <v>1679424.6</v>
      </c>
      <c r="E6" s="3">
        <f t="shared" si="0"/>
        <v>7.7104967845210981E-2</v>
      </c>
    </row>
    <row r="7" spans="1:7" x14ac:dyDescent="0.25">
      <c r="A7" t="s">
        <v>33</v>
      </c>
      <c r="B7" s="1">
        <f>130+126+33+57+173</f>
        <v>519</v>
      </c>
      <c r="C7" s="4">
        <v>5720.6</v>
      </c>
      <c r="D7">
        <f t="shared" si="1"/>
        <v>2968991.4000000004</v>
      </c>
      <c r="E7" s="3">
        <f t="shared" si="0"/>
        <v>0.13631096414194954</v>
      </c>
    </row>
    <row r="8" spans="1:7" x14ac:dyDescent="0.25">
      <c r="A8" t="s">
        <v>26</v>
      </c>
      <c r="B8" s="1">
        <f>1280+1280+1280+910+1300+1300+2940+1300</f>
        <v>11590</v>
      </c>
      <c r="C8" s="4">
        <v>119.7</v>
      </c>
      <c r="D8">
        <f t="shared" si="1"/>
        <v>1387323</v>
      </c>
      <c r="E8" s="3">
        <f t="shared" si="0"/>
        <v>6.3694133875329462E-2</v>
      </c>
    </row>
    <row r="9" spans="1:7" x14ac:dyDescent="0.25">
      <c r="A9" t="s">
        <v>32</v>
      </c>
      <c r="B9" s="1">
        <f>170+299+235+280-656</f>
        <v>328</v>
      </c>
      <c r="C9" s="4">
        <v>670.3</v>
      </c>
      <c r="D9">
        <f t="shared" si="1"/>
        <v>219858.4</v>
      </c>
      <c r="E9" s="3">
        <f t="shared" si="0"/>
        <v>1.0094037483135315E-2</v>
      </c>
    </row>
    <row r="10" spans="1:7" x14ac:dyDescent="0.25">
      <c r="A10" t="s">
        <v>8</v>
      </c>
      <c r="B10" s="1">
        <f>1378+229+460+413+248-340-476-191-172-155-265-564-283</f>
        <v>282</v>
      </c>
      <c r="C10" s="4">
        <v>1805.2</v>
      </c>
      <c r="D10">
        <f t="shared" si="1"/>
        <v>509066.4</v>
      </c>
      <c r="E10" s="3">
        <f t="shared" si="0"/>
        <v>2.3372021824068383E-2</v>
      </c>
    </row>
    <row r="11" spans="1:7" x14ac:dyDescent="0.25">
      <c r="A11" t="s">
        <v>29</v>
      </c>
      <c r="B11" s="1">
        <f>545-226-319</f>
        <v>0</v>
      </c>
      <c r="C11" s="4">
        <v>1059</v>
      </c>
      <c r="D11">
        <f t="shared" si="1"/>
        <v>0</v>
      </c>
      <c r="E11" s="3">
        <f t="shared" si="0"/>
        <v>0</v>
      </c>
      <c r="G11" t="s">
        <v>54</v>
      </c>
    </row>
    <row r="12" spans="1:7" x14ac:dyDescent="0.25">
      <c r="A12" t="s">
        <v>34</v>
      </c>
      <c r="B12" s="1">
        <v>1727</v>
      </c>
      <c r="C12" s="4">
        <v>684.2</v>
      </c>
      <c r="D12">
        <f t="shared" si="1"/>
        <v>1181613.4000000001</v>
      </c>
      <c r="E12" s="3">
        <f t="shared" si="0"/>
        <v>5.4249689573720922E-2</v>
      </c>
    </row>
    <row r="13" spans="1:7" x14ac:dyDescent="0.25">
      <c r="A13" t="s">
        <v>28</v>
      </c>
      <c r="B13" s="1">
        <f>570-142-142</f>
        <v>286</v>
      </c>
      <c r="C13" s="4">
        <v>3410.1</v>
      </c>
      <c r="D13">
        <f>C13*B13</f>
        <v>975288.6</v>
      </c>
      <c r="E13" s="3">
        <f t="shared" si="0"/>
        <v>4.4777000493383769E-2</v>
      </c>
    </row>
    <row r="14" spans="1:7" x14ac:dyDescent="0.25">
      <c r="A14" t="s">
        <v>27</v>
      </c>
      <c r="B14" s="1">
        <f>8384+5589+13973</f>
        <v>27946</v>
      </c>
      <c r="C14" s="4">
        <v>10.7</v>
      </c>
      <c r="D14">
        <f t="shared" si="1"/>
        <v>299022.19999999995</v>
      </c>
      <c r="E14" s="3">
        <f t="shared" si="0"/>
        <v>1.3728569365962749E-2</v>
      </c>
    </row>
    <row r="15" spans="1:7" x14ac:dyDescent="0.25">
      <c r="A15" t="s">
        <v>49</v>
      </c>
      <c r="B15" s="1">
        <v>1875</v>
      </c>
      <c r="C15" s="4">
        <v>522.54999999999995</v>
      </c>
      <c r="D15">
        <f t="shared" si="1"/>
        <v>979781.24999999988</v>
      </c>
      <c r="E15" s="3">
        <f t="shared" si="0"/>
        <v>4.4983264968603304E-2</v>
      </c>
    </row>
    <row r="16" spans="1:7" x14ac:dyDescent="0.25">
      <c r="A16" t="s">
        <v>31</v>
      </c>
      <c r="B16" s="1">
        <f>1000+1150+450+500+1000+900+900+500+160-656-590</f>
        <v>5314</v>
      </c>
      <c r="C16" s="4">
        <v>927.65</v>
      </c>
      <c r="D16">
        <f t="shared" si="1"/>
        <v>4929532.0999999996</v>
      </c>
      <c r="E16" s="3">
        <f t="shared" si="0"/>
        <v>0.22632240474650386</v>
      </c>
    </row>
    <row r="17" spans="1:7" x14ac:dyDescent="0.25">
      <c r="A17" t="s">
        <v>30</v>
      </c>
      <c r="B17" s="1">
        <f>480+154+159+192</f>
        <v>985</v>
      </c>
      <c r="C17" s="4">
        <v>1136.5</v>
      </c>
      <c r="D17">
        <f>C17*B17</f>
        <v>1119452.5</v>
      </c>
      <c r="E17" s="3">
        <f t="shared" si="0"/>
        <v>5.1395786995582324E-2</v>
      </c>
    </row>
    <row r="18" spans="1:7" x14ac:dyDescent="0.25">
      <c r="A18" t="s">
        <v>9</v>
      </c>
      <c r="B18" s="1">
        <f>6886+2045-4465+4466+4466</f>
        <v>13398</v>
      </c>
      <c r="C18" s="4">
        <v>38.9</v>
      </c>
      <c r="D18">
        <f t="shared" si="1"/>
        <v>521182.19999999995</v>
      </c>
      <c r="E18" s="3">
        <f t="shared" si="0"/>
        <v>2.3928276847020293E-2</v>
      </c>
    </row>
    <row r="19" spans="1:7" x14ac:dyDescent="0.25">
      <c r="A19" t="s">
        <v>10</v>
      </c>
      <c r="B19" s="1">
        <f>920+319+331-785+393+355</f>
        <v>1533</v>
      </c>
      <c r="C19" s="4">
        <v>292.75</v>
      </c>
      <c r="D19">
        <f t="shared" si="1"/>
        <v>448785.75</v>
      </c>
      <c r="E19" s="3">
        <f t="shared" si="0"/>
        <v>2.0604444416938334E-2</v>
      </c>
    </row>
    <row r="20" spans="1:7" x14ac:dyDescent="0.25">
      <c r="A20" t="s">
        <v>25</v>
      </c>
      <c r="B20" s="1">
        <f>419+419+838</f>
        <v>1676</v>
      </c>
      <c r="C20" s="4">
        <v>105.7</v>
      </c>
      <c r="D20">
        <f t="shared" si="1"/>
        <v>177153.2</v>
      </c>
      <c r="E20" s="3">
        <f t="shared" si="0"/>
        <v>8.1333760322888152E-3</v>
      </c>
    </row>
    <row r="21" spans="1:7" x14ac:dyDescent="0.25">
      <c r="A21" t="s">
        <v>35</v>
      </c>
      <c r="B21" s="1">
        <f>3075+1537</f>
        <v>4612</v>
      </c>
      <c r="C21" s="4">
        <v>300.14999999999998</v>
      </c>
      <c r="D21">
        <f t="shared" si="1"/>
        <v>1384291.7999999998</v>
      </c>
      <c r="E21" s="3">
        <f t="shared" si="0"/>
        <v>6.3554966818628961E-2</v>
      </c>
    </row>
    <row r="22" spans="1:7" x14ac:dyDescent="0.25">
      <c r="A22" t="s">
        <v>11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</f>
        <v>1090.4985999999988</v>
      </c>
      <c r="C22" s="4">
        <v>1000</v>
      </c>
      <c r="D22">
        <f t="shared" si="1"/>
        <v>1090498.5999999987</v>
      </c>
      <c r="E22" s="3">
        <f t="shared" si="0"/>
        <v>5.0066468889551512E-2</v>
      </c>
      <c r="G22" t="s">
        <v>55</v>
      </c>
    </row>
    <row r="23" spans="1:7" x14ac:dyDescent="0.25">
      <c r="B23" s="1"/>
      <c r="E23" s="3"/>
    </row>
    <row r="24" spans="1:7" x14ac:dyDescent="0.25">
      <c r="B24" s="1"/>
      <c r="D24">
        <f>SUM(D5:D22)</f>
        <v>21781016.799999997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1291-ED31-497C-B4B9-269A989A6D76}">
  <sheetPr>
    <pageSetUpPr fitToPage="1"/>
  </sheetPr>
  <dimension ref="A1:J23"/>
  <sheetViews>
    <sheetView workbookViewId="0">
      <selection activeCell="B14" sqref="B14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44418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40</v>
      </c>
      <c r="B5" s="1">
        <v>1098</v>
      </c>
      <c r="C5" s="4">
        <v>1431.3</v>
      </c>
      <c r="D5">
        <f>C5*B5</f>
        <v>1571567.4</v>
      </c>
      <c r="E5" s="3">
        <f t="shared" ref="E5:E21" si="0">D5/$D$23</f>
        <v>7.1171192388629234E-2</v>
      </c>
    </row>
    <row r="6" spans="1:7" x14ac:dyDescent="0.25">
      <c r="A6" t="s">
        <v>7</v>
      </c>
      <c r="B6" s="1">
        <f>(840+420)*2+290+562</f>
        <v>3372</v>
      </c>
      <c r="C6" s="4">
        <v>500.2</v>
      </c>
      <c r="D6">
        <f t="shared" ref="D6:D21" si="1">C6*B6</f>
        <v>1686674.4</v>
      </c>
      <c r="E6" s="3">
        <f t="shared" si="0"/>
        <v>7.6384015231784383E-2</v>
      </c>
    </row>
    <row r="7" spans="1:7" x14ac:dyDescent="0.25">
      <c r="A7" t="s">
        <v>33</v>
      </c>
      <c r="B7" s="1">
        <f>130+126+33+57+173</f>
        <v>519</v>
      </c>
      <c r="C7" s="4">
        <v>5917.8</v>
      </c>
      <c r="D7">
        <f t="shared" si="1"/>
        <v>3071338.2</v>
      </c>
      <c r="E7" s="3">
        <f t="shared" si="0"/>
        <v>0.13909094953404241</v>
      </c>
    </row>
    <row r="8" spans="1:7" x14ac:dyDescent="0.25">
      <c r="A8" t="s">
        <v>26</v>
      </c>
      <c r="B8" s="1">
        <f>1280+1280+1280+910+1300+1300+2940+1300</f>
        <v>11590</v>
      </c>
      <c r="C8" s="4">
        <v>167.75</v>
      </c>
      <c r="D8">
        <f t="shared" si="1"/>
        <v>1944222.5</v>
      </c>
      <c r="E8" s="3">
        <f t="shared" si="0"/>
        <v>8.8047533687579491E-2</v>
      </c>
    </row>
    <row r="9" spans="1:7" x14ac:dyDescent="0.25">
      <c r="A9" t="s">
        <v>32</v>
      </c>
      <c r="B9" s="1">
        <f>170+299+235+280-656</f>
        <v>328</v>
      </c>
      <c r="C9" s="4">
        <v>644.4</v>
      </c>
      <c r="D9">
        <f t="shared" si="1"/>
        <v>211363.19999999998</v>
      </c>
      <c r="E9" s="3">
        <f t="shared" si="0"/>
        <v>9.5719540702335244E-3</v>
      </c>
    </row>
    <row r="10" spans="1:7" x14ac:dyDescent="0.25">
      <c r="A10" t="s">
        <v>8</v>
      </c>
      <c r="B10" s="1">
        <f>1378+229+460+413+248-340-476-191-172-155-265-564-283-282</f>
        <v>0</v>
      </c>
      <c r="C10" s="4">
        <v>1808.85</v>
      </c>
      <c r="D10">
        <f t="shared" si="1"/>
        <v>0</v>
      </c>
      <c r="E10" s="3">
        <f t="shared" si="0"/>
        <v>0</v>
      </c>
      <c r="G10" t="s">
        <v>58</v>
      </c>
    </row>
    <row r="11" spans="1:7" x14ac:dyDescent="0.25">
      <c r="A11" t="s">
        <v>34</v>
      </c>
      <c r="B11" s="1">
        <v>1727</v>
      </c>
      <c r="C11" s="4">
        <v>652.4</v>
      </c>
      <c r="D11">
        <f t="shared" si="1"/>
        <v>1126694.8</v>
      </c>
      <c r="E11" s="3">
        <f t="shared" si="0"/>
        <v>5.1024354650057099E-2</v>
      </c>
    </row>
    <row r="12" spans="1:7" x14ac:dyDescent="0.25">
      <c r="A12" t="s">
        <v>28</v>
      </c>
      <c r="B12" s="1">
        <f>570-142-142</f>
        <v>286</v>
      </c>
      <c r="C12" s="4">
        <v>3560.65</v>
      </c>
      <c r="D12">
        <f>C12*B12</f>
        <v>1018345.9</v>
      </c>
      <c r="E12" s="3">
        <f t="shared" si="0"/>
        <v>4.6117584245557515E-2</v>
      </c>
    </row>
    <row r="13" spans="1:7" x14ac:dyDescent="0.25">
      <c r="A13" t="s">
        <v>27</v>
      </c>
      <c r="B13" s="1">
        <f>8384+5589+13973</f>
        <v>27946</v>
      </c>
      <c r="C13" s="4">
        <v>10.35</v>
      </c>
      <c r="D13">
        <f t="shared" si="1"/>
        <v>289241.09999999998</v>
      </c>
      <c r="E13" s="3">
        <f t="shared" si="0"/>
        <v>1.309879167434928E-2</v>
      </c>
    </row>
    <row r="14" spans="1:7" x14ac:dyDescent="0.25">
      <c r="A14" t="s">
        <v>49</v>
      </c>
      <c r="B14" s="1">
        <f>1875+937</f>
        <v>2812</v>
      </c>
      <c r="C14" s="4">
        <v>576.29999999999995</v>
      </c>
      <c r="D14">
        <f t="shared" si="1"/>
        <v>1620555.5999999999</v>
      </c>
      <c r="E14" s="3">
        <f t="shared" si="0"/>
        <v>7.3389709142649862E-2</v>
      </c>
      <c r="G14" t="s">
        <v>57</v>
      </c>
    </row>
    <row r="15" spans="1:7" x14ac:dyDescent="0.25">
      <c r="A15" t="s">
        <v>31</v>
      </c>
      <c r="B15" s="1">
        <f>1000+1150+450+500+1000+900+900+500+160-656-590</f>
        <v>5314</v>
      </c>
      <c r="C15" s="4">
        <v>896.1</v>
      </c>
      <c r="D15">
        <f t="shared" si="1"/>
        <v>4761875.4000000004</v>
      </c>
      <c r="E15" s="3">
        <f t="shared" si="0"/>
        <v>0.21564989845429525</v>
      </c>
    </row>
    <row r="16" spans="1:7" x14ac:dyDescent="0.25">
      <c r="A16" t="s">
        <v>30</v>
      </c>
      <c r="B16" s="1">
        <f>480+154+159+192</f>
        <v>985</v>
      </c>
      <c r="C16" s="4">
        <v>1189.25</v>
      </c>
      <c r="D16">
        <f>C16*B16</f>
        <v>1171411.25</v>
      </c>
      <c r="E16" s="3">
        <f t="shared" si="0"/>
        <v>5.3049417695960513E-2</v>
      </c>
    </row>
    <row r="17" spans="1:7" x14ac:dyDescent="0.25">
      <c r="A17" t="s">
        <v>9</v>
      </c>
      <c r="B17" s="1">
        <f>6886+2045-4465+4466+4466+13398</f>
        <v>26796</v>
      </c>
      <c r="C17" s="4">
        <v>39.1</v>
      </c>
      <c r="D17">
        <f t="shared" si="1"/>
        <v>1047723.6000000001</v>
      </c>
      <c r="E17" s="3">
        <f t="shared" si="0"/>
        <v>4.7448005033514457E-2</v>
      </c>
      <c r="G17" t="s">
        <v>59</v>
      </c>
    </row>
    <row r="18" spans="1:7" x14ac:dyDescent="0.25">
      <c r="A18" t="s">
        <v>10</v>
      </c>
      <c r="B18" s="1">
        <f>920+319+331-785+393+355</f>
        <v>1533</v>
      </c>
      <c r="C18" s="4">
        <v>293.45</v>
      </c>
      <c r="D18">
        <f t="shared" si="1"/>
        <v>449858.85</v>
      </c>
      <c r="E18" s="3">
        <f t="shared" si="0"/>
        <v>2.0372648835218585E-2</v>
      </c>
    </row>
    <row r="19" spans="1:7" x14ac:dyDescent="0.25">
      <c r="A19" t="s">
        <v>25</v>
      </c>
      <c r="B19" s="1">
        <f>419+419+838</f>
        <v>1676</v>
      </c>
      <c r="C19" s="4">
        <v>99</v>
      </c>
      <c r="D19">
        <f t="shared" si="1"/>
        <v>165924</v>
      </c>
      <c r="E19" s="3">
        <f t="shared" si="0"/>
        <v>7.5141600200480854E-3</v>
      </c>
    </row>
    <row r="20" spans="1:7" x14ac:dyDescent="0.25">
      <c r="A20" t="s">
        <v>35</v>
      </c>
      <c r="B20" s="1">
        <f>3075+1537+1153</f>
        <v>5765</v>
      </c>
      <c r="C20" s="4">
        <v>304.64999999999998</v>
      </c>
      <c r="D20">
        <f t="shared" si="1"/>
        <v>1756307.2499999998</v>
      </c>
      <c r="E20" s="3">
        <f t="shared" si="0"/>
        <v>7.9537461252565E-2</v>
      </c>
      <c r="G20" t="s">
        <v>56</v>
      </c>
    </row>
    <row r="21" spans="1:7" x14ac:dyDescent="0.25">
      <c r="A21" t="s">
        <v>11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</f>
        <v>188.40659999999878</v>
      </c>
      <c r="C21" s="4">
        <v>1000</v>
      </c>
      <c r="D21">
        <f t="shared" si="1"/>
        <v>188406.59999999878</v>
      </c>
      <c r="E21" s="3">
        <f t="shared" si="0"/>
        <v>8.532324083515239E-3</v>
      </c>
      <c r="G21" t="s">
        <v>60</v>
      </c>
    </row>
    <row r="22" spans="1:7" x14ac:dyDescent="0.25">
      <c r="B22" s="1"/>
      <c r="E22" s="3"/>
    </row>
    <row r="23" spans="1:7" x14ac:dyDescent="0.25">
      <c r="B23" s="1"/>
      <c r="D23">
        <f>SUM(D5:D21)</f>
        <v>22081510.050000001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7117-2A5B-4332-A2D8-6F1D823E2AC2}">
  <sheetPr>
    <pageSetUpPr fitToPage="1"/>
  </sheetPr>
  <dimension ref="A1:J22"/>
  <sheetViews>
    <sheetView workbookViewId="0">
      <selection activeCell="B16" sqref="B16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44461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40</v>
      </c>
      <c r="B5" s="1">
        <v>1098</v>
      </c>
      <c r="C5" s="4">
        <v>1166.05</v>
      </c>
      <c r="D5">
        <f>C5*B5</f>
        <v>1280322.8999999999</v>
      </c>
      <c r="E5" s="3">
        <f t="shared" ref="E5:E20" si="0">D5/$D$22</f>
        <v>5.7401365875213231E-2</v>
      </c>
    </row>
    <row r="6" spans="1:7" x14ac:dyDescent="0.25">
      <c r="A6" t="s">
        <v>7</v>
      </c>
      <c r="B6" s="1">
        <f>(840+420)*2+290+562</f>
        <v>3372</v>
      </c>
      <c r="C6" s="4">
        <v>471.1</v>
      </c>
      <c r="D6">
        <f t="shared" ref="D6:D20" si="1">C6*B6</f>
        <v>1588549.2000000002</v>
      </c>
      <c r="E6" s="3">
        <f t="shared" si="0"/>
        <v>7.1220231896170327E-2</v>
      </c>
    </row>
    <row r="7" spans="1:7" x14ac:dyDescent="0.25">
      <c r="A7" t="s">
        <v>33</v>
      </c>
      <c r="B7" s="1">
        <f>130+126+33+57+173</f>
        <v>519</v>
      </c>
      <c r="C7" s="4">
        <v>5161.55</v>
      </c>
      <c r="D7">
        <f t="shared" si="1"/>
        <v>2678844.4500000002</v>
      </c>
      <c r="E7" s="3">
        <f t="shared" si="0"/>
        <v>0.12010199176882205</v>
      </c>
    </row>
    <row r="8" spans="1:7" x14ac:dyDescent="0.25">
      <c r="A8" t="s">
        <v>26</v>
      </c>
      <c r="B8" s="1">
        <f>1280+1280+1280+910+1300+1300+2940+1300</f>
        <v>11590</v>
      </c>
      <c r="C8" s="4">
        <v>206.8</v>
      </c>
      <c r="D8">
        <f t="shared" si="1"/>
        <v>2396812</v>
      </c>
      <c r="E8" s="3">
        <f t="shared" si="0"/>
        <v>0.10745748790879363</v>
      </c>
    </row>
    <row r="9" spans="1:7" x14ac:dyDescent="0.25">
      <c r="A9" t="s">
        <v>32</v>
      </c>
      <c r="B9" s="1">
        <f>170+299+235+280-656-328</f>
        <v>0</v>
      </c>
      <c r="C9" s="4">
        <v>569.35</v>
      </c>
      <c r="D9">
        <f t="shared" si="1"/>
        <v>0</v>
      </c>
      <c r="E9" s="3">
        <f t="shared" si="0"/>
        <v>0</v>
      </c>
      <c r="G9" t="s">
        <v>61</v>
      </c>
    </row>
    <row r="10" spans="1:7" x14ac:dyDescent="0.25">
      <c r="A10" t="s">
        <v>34</v>
      </c>
      <c r="B10" s="1">
        <v>1727</v>
      </c>
      <c r="C10" s="4">
        <v>672.5</v>
      </c>
      <c r="D10">
        <f t="shared" si="1"/>
        <v>1161407.5</v>
      </c>
      <c r="E10" s="3">
        <f t="shared" si="0"/>
        <v>5.2069971440576998E-2</v>
      </c>
    </row>
    <row r="11" spans="1:7" x14ac:dyDescent="0.25">
      <c r="A11" t="s">
        <v>28</v>
      </c>
      <c r="B11" s="1">
        <f>570-142-142</f>
        <v>286</v>
      </c>
      <c r="C11" s="4">
        <v>3701.8</v>
      </c>
      <c r="D11">
        <f>C11*B11</f>
        <v>1058714.8</v>
      </c>
      <c r="E11" s="3">
        <f t="shared" si="0"/>
        <v>4.746589754217722E-2</v>
      </c>
    </row>
    <row r="12" spans="1:7" x14ac:dyDescent="0.25">
      <c r="A12" t="s">
        <v>27</v>
      </c>
      <c r="B12" s="1">
        <f>8384+5589+13973</f>
        <v>27946</v>
      </c>
      <c r="C12" s="4">
        <v>10.050000000000001</v>
      </c>
      <c r="D12">
        <f t="shared" si="1"/>
        <v>280857.30000000005</v>
      </c>
      <c r="E12" s="3">
        <f t="shared" si="0"/>
        <v>1.2591817764116012E-2</v>
      </c>
    </row>
    <row r="13" spans="1:7" x14ac:dyDescent="0.25">
      <c r="A13" t="s">
        <v>49</v>
      </c>
      <c r="B13" s="1">
        <f>1875+937</f>
        <v>2812</v>
      </c>
      <c r="C13" s="4">
        <v>752.05</v>
      </c>
      <c r="D13">
        <f t="shared" si="1"/>
        <v>2114764.6</v>
      </c>
      <c r="E13" s="3">
        <f t="shared" si="0"/>
        <v>9.4812313787833502E-2</v>
      </c>
    </row>
    <row r="14" spans="1:7" x14ac:dyDescent="0.25">
      <c r="A14" t="s">
        <v>31</v>
      </c>
      <c r="B14" s="1">
        <f>1000+1150+450+500+1000+900+900+500+160-656-590</f>
        <v>5314</v>
      </c>
      <c r="C14" s="4">
        <v>821.5</v>
      </c>
      <c r="D14">
        <f t="shared" si="1"/>
        <v>4365451</v>
      </c>
      <c r="E14" s="3">
        <f t="shared" si="0"/>
        <v>0.19571847856608321</v>
      </c>
    </row>
    <row r="15" spans="1:7" x14ac:dyDescent="0.25">
      <c r="A15" t="s">
        <v>30</v>
      </c>
      <c r="B15" s="1">
        <f>480+154+159+192</f>
        <v>985</v>
      </c>
      <c r="C15" s="4">
        <v>1502.55</v>
      </c>
      <c r="D15">
        <f>C15*B15</f>
        <v>1480011.75</v>
      </c>
      <c r="E15" s="3">
        <f t="shared" si="0"/>
        <v>6.635411735692974E-2</v>
      </c>
    </row>
    <row r="16" spans="1:7" x14ac:dyDescent="0.25">
      <c r="A16" t="s">
        <v>9</v>
      </c>
      <c r="B16" s="1">
        <f>6886+2045-4465+4466+4466+13398+9475</f>
        <v>36271</v>
      </c>
      <c r="C16" s="4">
        <v>36.6</v>
      </c>
      <c r="D16">
        <f t="shared" si="1"/>
        <v>1327518.6000000001</v>
      </c>
      <c r="E16" s="3">
        <f t="shared" si="0"/>
        <v>5.951731462801365E-2</v>
      </c>
      <c r="G16" t="s">
        <v>62</v>
      </c>
    </row>
    <row r="17" spans="1:7" x14ac:dyDescent="0.25">
      <c r="A17" t="s">
        <v>10</v>
      </c>
      <c r="B17" s="1">
        <f>920+319+331-785+393+355</f>
        <v>1533</v>
      </c>
      <c r="C17" s="4">
        <v>302.25</v>
      </c>
      <c r="D17">
        <f t="shared" si="1"/>
        <v>463349.25</v>
      </c>
      <c r="E17" s="3">
        <f t="shared" si="0"/>
        <v>2.0773571906942886E-2</v>
      </c>
    </row>
    <row r="18" spans="1:7" x14ac:dyDescent="0.25">
      <c r="A18" t="s">
        <v>25</v>
      </c>
      <c r="B18" s="1">
        <f>419+419+838</f>
        <v>1676</v>
      </c>
      <c r="C18" s="4">
        <v>103.55</v>
      </c>
      <c r="D18">
        <f t="shared" si="1"/>
        <v>173549.8</v>
      </c>
      <c r="E18" s="3">
        <f t="shared" si="0"/>
        <v>7.7808461969789662E-3</v>
      </c>
    </row>
    <row r="19" spans="1:7" x14ac:dyDescent="0.25">
      <c r="A19" t="s">
        <v>35</v>
      </c>
      <c r="B19" s="1">
        <f>3075+1537+1153</f>
        <v>5765</v>
      </c>
      <c r="C19" s="4">
        <v>335.5</v>
      </c>
      <c r="D19">
        <f t="shared" si="1"/>
        <v>1934157.5</v>
      </c>
      <c r="E19" s="3">
        <f t="shared" si="0"/>
        <v>8.6715064080934379E-2</v>
      </c>
    </row>
    <row r="20" spans="1:7" x14ac:dyDescent="0.25">
      <c r="A20" t="s">
        <v>11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</f>
        <v>0.43559999999877164</v>
      </c>
      <c r="C20" s="4">
        <v>999.99</v>
      </c>
      <c r="D20">
        <f t="shared" si="1"/>
        <v>435.59564399877166</v>
      </c>
      <c r="E20" s="3">
        <f t="shared" si="0"/>
        <v>1.9529280414200688E-5</v>
      </c>
      <c r="G20" t="s">
        <v>63</v>
      </c>
    </row>
    <row r="21" spans="1:7" x14ac:dyDescent="0.25">
      <c r="B21" s="1"/>
      <c r="E21" s="3"/>
    </row>
    <row r="22" spans="1:7" x14ac:dyDescent="0.25">
      <c r="B22" s="1"/>
      <c r="D22">
        <f>SUM(D5:D20)</f>
        <v>22304746.245643999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E2D7-16A8-4A1B-A987-36B919B0E777}">
  <sheetPr>
    <pageSetUpPr fitToPage="1"/>
  </sheetPr>
  <dimension ref="A1:J21"/>
  <sheetViews>
    <sheetView workbookViewId="0">
      <selection activeCell="B2" sqref="B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44495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40</v>
      </c>
      <c r="B5" s="1">
        <f>1098*4</f>
        <v>4392</v>
      </c>
      <c r="C5" s="4">
        <f>1313/4</f>
        <v>328.25</v>
      </c>
      <c r="D5">
        <f>C5*B5</f>
        <v>1441674</v>
      </c>
      <c r="E5" s="3">
        <f t="shared" ref="E5:E19" si="0">D5/$D$21</f>
        <v>6.0568971970323147E-2</v>
      </c>
      <c r="G5" t="s">
        <v>64</v>
      </c>
    </row>
    <row r="6" spans="1:7" x14ac:dyDescent="0.25">
      <c r="A6" t="s">
        <v>7</v>
      </c>
      <c r="B6" s="1">
        <f>(840+420)*2+290+562</f>
        <v>3372</v>
      </c>
      <c r="C6" s="4">
        <v>500.5</v>
      </c>
      <c r="D6">
        <f t="shared" ref="D6:D19" si="1">C6*B6</f>
        <v>1687686</v>
      </c>
      <c r="E6" s="3">
        <f t="shared" si="0"/>
        <v>7.0904660851695181E-2</v>
      </c>
    </row>
    <row r="7" spans="1:7" x14ac:dyDescent="0.25">
      <c r="A7" t="s">
        <v>33</v>
      </c>
      <c r="B7" s="1">
        <f>130+126+33+57+173</f>
        <v>519</v>
      </c>
      <c r="C7" s="4">
        <v>4791.75</v>
      </c>
      <c r="D7">
        <f t="shared" si="1"/>
        <v>2486918.25</v>
      </c>
      <c r="E7" s="3">
        <f t="shared" si="0"/>
        <v>0.10448276224495628</v>
      </c>
    </row>
    <row r="8" spans="1:7" x14ac:dyDescent="0.25">
      <c r="A8" t="s">
        <v>26</v>
      </c>
      <c r="B8" s="1">
        <f>1280+1280+1280+910+1300+1300+2940+1300</f>
        <v>11590</v>
      </c>
      <c r="C8" s="4">
        <v>171</v>
      </c>
      <c r="D8">
        <f t="shared" si="1"/>
        <v>1981890</v>
      </c>
      <c r="E8" s="3">
        <f t="shared" si="0"/>
        <v>8.3265037628662067E-2</v>
      </c>
    </row>
    <row r="9" spans="1:7" x14ac:dyDescent="0.25">
      <c r="A9" t="s">
        <v>34</v>
      </c>
      <c r="B9" s="1">
        <v>1727</v>
      </c>
      <c r="C9" s="4">
        <v>704.05</v>
      </c>
      <c r="D9">
        <f t="shared" si="1"/>
        <v>1215894.3499999999</v>
      </c>
      <c r="E9" s="3">
        <f t="shared" si="0"/>
        <v>5.1083303717778278E-2</v>
      </c>
    </row>
    <row r="10" spans="1:7" x14ac:dyDescent="0.25">
      <c r="A10" t="s">
        <v>28</v>
      </c>
      <c r="B10" s="1">
        <f>570-142-142</f>
        <v>286</v>
      </c>
      <c r="C10" s="4">
        <v>4334.25</v>
      </c>
      <c r="D10">
        <f>C10*B10</f>
        <v>1239595.5</v>
      </c>
      <c r="E10" s="3">
        <f t="shared" si="0"/>
        <v>5.2079058853831524E-2</v>
      </c>
    </row>
    <row r="11" spans="1:7" x14ac:dyDescent="0.25">
      <c r="A11" t="s">
        <v>27</v>
      </c>
      <c r="B11" s="1">
        <f>8384+5589+13973</f>
        <v>27946</v>
      </c>
      <c r="C11" s="4">
        <v>9.5</v>
      </c>
      <c r="D11">
        <f t="shared" si="1"/>
        <v>265487</v>
      </c>
      <c r="E11" s="3">
        <f t="shared" si="0"/>
        <v>1.1153891005515242E-2</v>
      </c>
    </row>
    <row r="12" spans="1:7" x14ac:dyDescent="0.25">
      <c r="A12" t="s">
        <v>49</v>
      </c>
      <c r="B12" s="1">
        <f>1875+937</f>
        <v>2812</v>
      </c>
      <c r="C12" s="4">
        <v>677.7</v>
      </c>
      <c r="D12">
        <f t="shared" si="1"/>
        <v>1905692.4000000001</v>
      </c>
      <c r="E12" s="3">
        <f t="shared" si="0"/>
        <v>8.0063751971428954E-2</v>
      </c>
    </row>
    <row r="13" spans="1:7" x14ac:dyDescent="0.25">
      <c r="A13" t="s">
        <v>31</v>
      </c>
      <c r="B13" s="1">
        <f>1000+1150+450+500+1000+900+900+500+160-656-590</f>
        <v>5314</v>
      </c>
      <c r="C13" s="4">
        <v>1116.4000000000001</v>
      </c>
      <c r="D13">
        <f t="shared" si="1"/>
        <v>5932549.6000000006</v>
      </c>
      <c r="E13" s="3">
        <f t="shared" si="0"/>
        <v>0.2492438862287534</v>
      </c>
    </row>
    <row r="14" spans="1:7" x14ac:dyDescent="0.25">
      <c r="A14" t="s">
        <v>30</v>
      </c>
      <c r="B14" s="1">
        <f>480+154+159+192</f>
        <v>985</v>
      </c>
      <c r="C14" s="4">
        <v>1387.45</v>
      </c>
      <c r="D14">
        <f>C14*B14</f>
        <v>1366638.25</v>
      </c>
      <c r="E14" s="3">
        <f t="shared" si="0"/>
        <v>5.7416499054447456E-2</v>
      </c>
    </row>
    <row r="15" spans="1:7" x14ac:dyDescent="0.25">
      <c r="A15" t="s">
        <v>9</v>
      </c>
      <c r="B15" s="1">
        <f>6886+2045-4465+4466+4466+13398+9475</f>
        <v>36271</v>
      </c>
      <c r="C15" s="4">
        <v>40.4</v>
      </c>
      <c r="D15">
        <f t="shared" si="1"/>
        <v>1465348.4</v>
      </c>
      <c r="E15" s="3">
        <f t="shared" si="0"/>
        <v>6.15636032600698E-2</v>
      </c>
    </row>
    <row r="16" spans="1:7" x14ac:dyDescent="0.25">
      <c r="A16" t="s">
        <v>10</v>
      </c>
      <c r="B16" s="1">
        <f>920+319+331-785+393+355</f>
        <v>1533</v>
      </c>
      <c r="C16" s="4">
        <v>295.85000000000002</v>
      </c>
      <c r="D16">
        <f t="shared" si="1"/>
        <v>453538.05000000005</v>
      </c>
      <c r="E16" s="3">
        <f t="shared" si="0"/>
        <v>1.9054469622067832E-2</v>
      </c>
    </row>
    <row r="17" spans="1:5" x14ac:dyDescent="0.25">
      <c r="A17" t="s">
        <v>25</v>
      </c>
      <c r="B17" s="1">
        <f>419+419+838</f>
        <v>1676</v>
      </c>
      <c r="C17" s="4">
        <v>100.15</v>
      </c>
      <c r="D17">
        <f t="shared" si="1"/>
        <v>167851.40000000002</v>
      </c>
      <c r="E17" s="3">
        <f t="shared" si="0"/>
        <v>7.0519318110609614E-3</v>
      </c>
    </row>
    <row r="18" spans="1:5" x14ac:dyDescent="0.25">
      <c r="A18" t="s">
        <v>35</v>
      </c>
      <c r="B18" s="1">
        <f>3075+1537+1153</f>
        <v>5765</v>
      </c>
      <c r="C18" s="4">
        <v>380.05</v>
      </c>
      <c r="D18">
        <f t="shared" si="1"/>
        <v>2190988.25</v>
      </c>
      <c r="E18" s="3">
        <f t="shared" si="0"/>
        <v>9.20498711231231E-2</v>
      </c>
    </row>
    <row r="19" spans="1:5" x14ac:dyDescent="0.25">
      <c r="A19" t="s">
        <v>11</v>
      </c>
      <c r="B19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</f>
        <v>0.43559999999877164</v>
      </c>
      <c r="C19" s="4">
        <v>999.99</v>
      </c>
      <c r="D19">
        <f t="shared" si="1"/>
        <v>435.59564399877166</v>
      </c>
      <c r="E19" s="3">
        <f t="shared" si="0"/>
        <v>1.8300656286897359E-5</v>
      </c>
    </row>
    <row r="20" spans="1:5" x14ac:dyDescent="0.25">
      <c r="B20" s="1"/>
      <c r="E20" s="3"/>
    </row>
    <row r="21" spans="1:5" x14ac:dyDescent="0.25">
      <c r="B21" s="1"/>
      <c r="D21">
        <f>SUM(D5:D19)</f>
        <v>23802187.045643996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738C-6939-4C9A-983C-D6BD31430720}">
  <sheetPr>
    <pageSetUpPr fitToPage="1"/>
  </sheetPr>
  <dimension ref="A1:J21"/>
  <sheetViews>
    <sheetView workbookViewId="0">
      <selection activeCell="B12" sqref="B1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44523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40</v>
      </c>
      <c r="B5" s="1">
        <f>1098*4</f>
        <v>4392</v>
      </c>
      <c r="C5" s="4">
        <v>270.39999999999998</v>
      </c>
      <c r="D5">
        <f>C5*B5</f>
        <v>1187596.7999999998</v>
      </c>
      <c r="E5" s="3">
        <f t="shared" ref="E5:E19" si="0">D5/$D$21</f>
        <v>4.4615074732608867E-2</v>
      </c>
    </row>
    <row r="6" spans="1:7" x14ac:dyDescent="0.25">
      <c r="A6" t="s">
        <v>7</v>
      </c>
      <c r="B6" s="1">
        <f>(840+420)*2+290+562</f>
        <v>3372</v>
      </c>
      <c r="C6" s="4">
        <v>460.25</v>
      </c>
      <c r="D6">
        <f t="shared" ref="D6:D19" si="1">C6*B6</f>
        <v>1551963</v>
      </c>
      <c r="E6" s="3">
        <f t="shared" si="0"/>
        <v>5.8303411753251495E-2</v>
      </c>
    </row>
    <row r="7" spans="1:7" x14ac:dyDescent="0.25">
      <c r="A7" t="s">
        <v>33</v>
      </c>
      <c r="B7" s="1">
        <f>130+126+33+57+173</f>
        <v>519</v>
      </c>
      <c r="C7" s="4">
        <v>4413.2</v>
      </c>
      <c r="D7">
        <f t="shared" si="1"/>
        <v>2290450.7999999998</v>
      </c>
      <c r="E7" s="3">
        <f t="shared" si="0"/>
        <v>8.604657204647552E-2</v>
      </c>
    </row>
    <row r="8" spans="1:7" x14ac:dyDescent="0.25">
      <c r="A8" t="s">
        <v>26</v>
      </c>
      <c r="B8" s="1">
        <f>1280+1280+1280+910+1300+1300+2940+1300</f>
        <v>11590</v>
      </c>
      <c r="C8" s="4">
        <v>170.4</v>
      </c>
      <c r="D8">
        <f t="shared" si="1"/>
        <v>1974936</v>
      </c>
      <c r="E8" s="3">
        <f t="shared" si="0"/>
        <v>7.4193461309528322E-2</v>
      </c>
    </row>
    <row r="9" spans="1:7" x14ac:dyDescent="0.25">
      <c r="A9" t="s">
        <v>34</v>
      </c>
      <c r="B9" s="1">
        <v>1727</v>
      </c>
      <c r="C9" s="4">
        <v>820.1</v>
      </c>
      <c r="D9">
        <f t="shared" si="1"/>
        <v>1416312.7</v>
      </c>
      <c r="E9" s="3">
        <f t="shared" si="0"/>
        <v>5.3207365458750856E-2</v>
      </c>
    </row>
    <row r="10" spans="1:7" x14ac:dyDescent="0.25">
      <c r="A10" t="s">
        <v>28</v>
      </c>
      <c r="B10" s="1">
        <f>570-142-142</f>
        <v>286</v>
      </c>
      <c r="C10" s="4">
        <v>4306.1499999999996</v>
      </c>
      <c r="D10">
        <f>C10*B10</f>
        <v>1231558.8999999999</v>
      </c>
      <c r="E10" s="3">
        <f t="shared" si="0"/>
        <v>4.6266622107022835E-2</v>
      </c>
    </row>
    <row r="11" spans="1:7" x14ac:dyDescent="0.25">
      <c r="A11" t="s">
        <v>27</v>
      </c>
      <c r="B11" s="1">
        <f>8384+5589+13973</f>
        <v>27946</v>
      </c>
      <c r="C11" s="4">
        <v>9</v>
      </c>
      <c r="D11">
        <f t="shared" si="1"/>
        <v>251514</v>
      </c>
      <c r="E11" s="3">
        <f t="shared" si="0"/>
        <v>9.4487589612041629E-3</v>
      </c>
    </row>
    <row r="12" spans="1:7" x14ac:dyDescent="0.25">
      <c r="A12" t="s">
        <v>49</v>
      </c>
      <c r="B12" s="1">
        <f>1875+937+309</f>
        <v>3121</v>
      </c>
      <c r="C12" s="4">
        <v>596.5</v>
      </c>
      <c r="D12">
        <f t="shared" si="1"/>
        <v>1861676.5</v>
      </c>
      <c r="E12" s="3">
        <f t="shared" si="0"/>
        <v>6.9938581996382712E-2</v>
      </c>
      <c r="G12" t="s">
        <v>66</v>
      </c>
    </row>
    <row r="13" spans="1:7" x14ac:dyDescent="0.25">
      <c r="A13" t="s">
        <v>31</v>
      </c>
      <c r="B13" s="1">
        <f>1000+1150+450+500+1000+900+900+500+160-656-590-797</f>
        <v>4517</v>
      </c>
      <c r="C13" s="4">
        <v>1577.65</v>
      </c>
      <c r="D13">
        <f t="shared" si="1"/>
        <v>7126245.0500000007</v>
      </c>
      <c r="E13" s="3">
        <f t="shared" si="0"/>
        <v>0.26771540262539784</v>
      </c>
      <c r="G13" t="s">
        <v>65</v>
      </c>
    </row>
    <row r="14" spans="1:7" x14ac:dyDescent="0.25">
      <c r="A14" t="s">
        <v>30</v>
      </c>
      <c r="B14" s="1">
        <f>480+154+159+192</f>
        <v>985</v>
      </c>
      <c r="C14" s="4">
        <v>1704.15</v>
      </c>
      <c r="D14">
        <f>C14*B14</f>
        <v>1678587.75</v>
      </c>
      <c r="E14" s="3">
        <f t="shared" si="0"/>
        <v>6.3060390455322704E-2</v>
      </c>
    </row>
    <row r="15" spans="1:7" x14ac:dyDescent="0.25">
      <c r="A15" t="s">
        <v>9</v>
      </c>
      <c r="B15" s="1">
        <f>6886+2045-4465+4466+4466+13398+9475</f>
        <v>36271</v>
      </c>
      <c r="C15" s="4">
        <v>42.2</v>
      </c>
      <c r="D15">
        <f t="shared" si="1"/>
        <v>1530636.2000000002</v>
      </c>
      <c r="E15" s="3">
        <f t="shared" si="0"/>
        <v>5.7502216620520089E-2</v>
      </c>
    </row>
    <row r="16" spans="1:7" x14ac:dyDescent="0.25">
      <c r="A16" t="s">
        <v>10</v>
      </c>
      <c r="B16" s="1">
        <f>920+319+331-785+393+355</f>
        <v>1533</v>
      </c>
      <c r="C16" s="4">
        <v>383.5</v>
      </c>
      <c r="D16">
        <f t="shared" si="1"/>
        <v>587905.5</v>
      </c>
      <c r="E16" s="3">
        <f t="shared" si="0"/>
        <v>2.2086155687024239E-2</v>
      </c>
    </row>
    <row r="17" spans="1:7" x14ac:dyDescent="0.25">
      <c r="A17" t="s">
        <v>25</v>
      </c>
      <c r="B17" s="1">
        <f>419+419+838</f>
        <v>1676</v>
      </c>
      <c r="C17" s="4">
        <v>107.2</v>
      </c>
      <c r="D17">
        <f t="shared" si="1"/>
        <v>179667.20000000001</v>
      </c>
      <c r="E17" s="3">
        <f t="shared" si="0"/>
        <v>6.7496523693888243E-3</v>
      </c>
    </row>
    <row r="18" spans="1:7" x14ac:dyDescent="0.25">
      <c r="A18" t="s">
        <v>35</v>
      </c>
      <c r="B18" s="1">
        <f>3075+1537+1153</f>
        <v>5765</v>
      </c>
      <c r="C18" s="4">
        <v>461.35</v>
      </c>
      <c r="D18">
        <f t="shared" si="1"/>
        <v>2659682.75</v>
      </c>
      <c r="E18" s="3">
        <f t="shared" si="0"/>
        <v>9.9917703261141064E-2</v>
      </c>
    </row>
    <row r="19" spans="1:7" x14ac:dyDescent="0.25">
      <c r="A19" t="s">
        <v>11</v>
      </c>
      <c r="B19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</f>
        <v>1090.0115999999989</v>
      </c>
      <c r="C19" s="4">
        <v>999.99</v>
      </c>
      <c r="D19">
        <f t="shared" si="1"/>
        <v>1090000.6998839988</v>
      </c>
      <c r="E19" s="3">
        <f t="shared" si="0"/>
        <v>4.0948630615980593E-2</v>
      </c>
      <c r="G19" t="s">
        <v>67</v>
      </c>
    </row>
    <row r="20" spans="1:7" x14ac:dyDescent="0.25">
      <c r="B20" s="1"/>
      <c r="E20" s="3"/>
    </row>
    <row r="21" spans="1:7" x14ac:dyDescent="0.25">
      <c r="B21" s="1"/>
      <c r="D21">
        <f>SUM(D5:D19)</f>
        <v>26618733.849883996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5FF3-F92D-464E-8A0F-E5A4EE231DD4}">
  <sheetPr>
    <pageSetUpPr fitToPage="1"/>
  </sheetPr>
  <dimension ref="A1:J21"/>
  <sheetViews>
    <sheetView workbookViewId="0">
      <selection activeCell="B2" sqref="B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44533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40</v>
      </c>
      <c r="B5" s="1">
        <f>1098*4</f>
        <v>4392</v>
      </c>
      <c r="C5" s="4">
        <v>263.14999999999998</v>
      </c>
      <c r="D5">
        <f>C5*B5</f>
        <v>1155754.7999999998</v>
      </c>
      <c r="E5" s="3">
        <f t="shared" ref="E5:E19" si="0">D5/$D$21</f>
        <v>4.4877393603431417E-2</v>
      </c>
    </row>
    <row r="6" spans="1:7" x14ac:dyDescent="0.25">
      <c r="A6" t="s">
        <v>7</v>
      </c>
      <c r="B6" s="1">
        <f>(840+420)*2+290+562</f>
        <v>3372</v>
      </c>
      <c r="C6" s="4">
        <v>419.9</v>
      </c>
      <c r="D6">
        <f t="shared" ref="D6:D19" si="1">C6*B6</f>
        <v>1415902.7999999998</v>
      </c>
      <c r="E6" s="3">
        <f t="shared" si="0"/>
        <v>5.4978813204842963E-2</v>
      </c>
    </row>
    <row r="7" spans="1:7" x14ac:dyDescent="0.25">
      <c r="A7" t="s">
        <v>33</v>
      </c>
      <c r="B7" s="1">
        <f>130+126+33+57+173</f>
        <v>519</v>
      </c>
      <c r="C7" s="4">
        <v>4441.8</v>
      </c>
      <c r="D7">
        <f t="shared" si="1"/>
        <v>2305294.2000000002</v>
      </c>
      <c r="E7" s="3">
        <f t="shared" si="0"/>
        <v>8.9513446264819815E-2</v>
      </c>
    </row>
    <row r="8" spans="1:7" x14ac:dyDescent="0.25">
      <c r="A8" t="s">
        <v>26</v>
      </c>
      <c r="B8" s="1">
        <f>1280+1280+1280+910+1300+1300+2940+1300</f>
        <v>11590</v>
      </c>
      <c r="C8" s="4">
        <v>160.80000000000001</v>
      </c>
      <c r="D8">
        <f t="shared" si="1"/>
        <v>1863672.0000000002</v>
      </c>
      <c r="E8" s="3">
        <f t="shared" si="0"/>
        <v>7.2365472236580172E-2</v>
      </c>
    </row>
    <row r="9" spans="1:7" x14ac:dyDescent="0.25">
      <c r="A9" t="s">
        <v>34</v>
      </c>
      <c r="B9" s="1">
        <v>1727</v>
      </c>
      <c r="C9" s="4">
        <v>742.85</v>
      </c>
      <c r="D9">
        <f t="shared" si="1"/>
        <v>1282901.95</v>
      </c>
      <c r="E9" s="3">
        <f t="shared" si="0"/>
        <v>4.9814455250161802E-2</v>
      </c>
    </row>
    <row r="10" spans="1:7" x14ac:dyDescent="0.25">
      <c r="A10" t="s">
        <v>28</v>
      </c>
      <c r="B10" s="1">
        <f>570-142-142</f>
        <v>286</v>
      </c>
      <c r="C10" s="4">
        <v>4338</v>
      </c>
      <c r="D10">
        <f>C10*B10</f>
        <v>1240668</v>
      </c>
      <c r="E10" s="3">
        <f t="shared" si="0"/>
        <v>4.8174531628319486E-2</v>
      </c>
    </row>
    <row r="11" spans="1:7" x14ac:dyDescent="0.25">
      <c r="A11" t="s">
        <v>27</v>
      </c>
      <c r="B11" s="1">
        <f>8384+5589+13973</f>
        <v>27946</v>
      </c>
      <c r="C11" s="4">
        <v>8.9</v>
      </c>
      <c r="D11">
        <f t="shared" si="1"/>
        <v>248719.40000000002</v>
      </c>
      <c r="E11" s="3">
        <f t="shared" si="0"/>
        <v>9.6576526531486646E-3</v>
      </c>
    </row>
    <row r="12" spans="1:7" x14ac:dyDescent="0.25">
      <c r="A12" t="s">
        <v>49</v>
      </c>
      <c r="B12" s="1">
        <f>1875+937+309+619</f>
        <v>3740</v>
      </c>
      <c r="C12" s="4">
        <v>613.29999999999995</v>
      </c>
      <c r="D12">
        <f t="shared" si="1"/>
        <v>2293742</v>
      </c>
      <c r="E12" s="3">
        <f t="shared" si="0"/>
        <v>8.906487998900979E-2</v>
      </c>
      <c r="G12" t="s">
        <v>68</v>
      </c>
    </row>
    <row r="13" spans="1:7" x14ac:dyDescent="0.25">
      <c r="A13" t="s">
        <v>31</v>
      </c>
      <c r="B13" s="1">
        <f>1000+1150+450+500+1000+900+900+500+160-656-590-797</f>
        <v>4517</v>
      </c>
      <c r="C13" s="4">
        <v>1449.05</v>
      </c>
      <c r="D13">
        <f t="shared" si="1"/>
        <v>6545358.8499999996</v>
      </c>
      <c r="E13" s="3">
        <f t="shared" si="0"/>
        <v>0.25415308280541277</v>
      </c>
    </row>
    <row r="14" spans="1:7" x14ac:dyDescent="0.25">
      <c r="A14" t="s">
        <v>30</v>
      </c>
      <c r="B14" s="1">
        <f>480+154+159+192</f>
        <v>985</v>
      </c>
      <c r="C14" s="4">
        <v>1669.6</v>
      </c>
      <c r="D14">
        <f>C14*B14</f>
        <v>1644556</v>
      </c>
      <c r="E14" s="3">
        <f t="shared" si="0"/>
        <v>6.3857305126385613E-2</v>
      </c>
    </row>
    <row r="15" spans="1:7" x14ac:dyDescent="0.25">
      <c r="A15" t="s">
        <v>9</v>
      </c>
      <c r="B15" s="1">
        <f>6886+2045-4465+4466+4466+13398+9475</f>
        <v>36271</v>
      </c>
      <c r="C15" s="4">
        <v>41</v>
      </c>
      <c r="D15">
        <f t="shared" si="1"/>
        <v>1487111</v>
      </c>
      <c r="E15" s="3">
        <f t="shared" si="0"/>
        <v>5.7743792782857149E-2</v>
      </c>
    </row>
    <row r="16" spans="1:7" x14ac:dyDescent="0.25">
      <c r="A16" t="s">
        <v>10</v>
      </c>
      <c r="B16" s="1">
        <f>920+319+331-785+393+355</f>
        <v>1533</v>
      </c>
      <c r="C16" s="4">
        <v>418.4</v>
      </c>
      <c r="D16">
        <f t="shared" si="1"/>
        <v>641407.19999999995</v>
      </c>
      <c r="E16" s="3">
        <f t="shared" si="0"/>
        <v>2.4905527863241284E-2</v>
      </c>
    </row>
    <row r="17" spans="1:7" x14ac:dyDescent="0.25">
      <c r="A17" t="s">
        <v>25</v>
      </c>
      <c r="B17" s="1">
        <f>419+419+838</f>
        <v>1676</v>
      </c>
      <c r="C17" s="4">
        <v>96.9</v>
      </c>
      <c r="D17">
        <f t="shared" si="1"/>
        <v>162404.40000000002</v>
      </c>
      <c r="E17" s="3">
        <f t="shared" si="0"/>
        <v>6.3060834198820715E-3</v>
      </c>
    </row>
    <row r="18" spans="1:7" x14ac:dyDescent="0.25">
      <c r="A18" t="s">
        <v>35</v>
      </c>
      <c r="B18" s="1">
        <f>3075+1537+1153</f>
        <v>5765</v>
      </c>
      <c r="C18" s="4">
        <v>479.55</v>
      </c>
      <c r="D18">
        <f t="shared" si="1"/>
        <v>2764605.75</v>
      </c>
      <c r="E18" s="3">
        <f t="shared" si="0"/>
        <v>0.10734828910168466</v>
      </c>
    </row>
    <row r="19" spans="1:7" x14ac:dyDescent="0.25">
      <c r="A19" t="s">
        <v>11</v>
      </c>
      <c r="B19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</f>
        <v>701.5165999999989</v>
      </c>
      <c r="C19" s="4">
        <v>999.99</v>
      </c>
      <c r="D19">
        <f t="shared" si="1"/>
        <v>701509.58483399893</v>
      </c>
      <c r="E19" s="3">
        <f t="shared" si="0"/>
        <v>2.7239274070222454E-2</v>
      </c>
      <c r="G19" t="s">
        <v>69</v>
      </c>
    </row>
    <row r="20" spans="1:7" x14ac:dyDescent="0.25">
      <c r="B20" s="1"/>
      <c r="E20" s="3"/>
    </row>
    <row r="21" spans="1:7" x14ac:dyDescent="0.25">
      <c r="B21" s="1"/>
      <c r="D21">
        <f>SUM(D5:D19)</f>
        <v>25753607.934833996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AFF7-C5D7-4D3A-9335-9D0887B0CE6E}">
  <sheetPr>
    <pageSetUpPr fitToPage="1"/>
  </sheetPr>
  <dimension ref="A1:J21"/>
  <sheetViews>
    <sheetView workbookViewId="0">
      <selection activeCell="B21" sqref="B21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44545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40</v>
      </c>
      <c r="B5" s="1">
        <f>1098*4</f>
        <v>4392</v>
      </c>
      <c r="C5" s="4">
        <v>266.3</v>
      </c>
      <c r="D5">
        <f>C5*B5</f>
        <v>1169589.6000000001</v>
      </c>
      <c r="E5" s="3">
        <f t="shared" ref="E5:E19" si="0">D5/$D$21</f>
        <v>4.0683434371919444E-2</v>
      </c>
    </row>
    <row r="6" spans="1:7" x14ac:dyDescent="0.25">
      <c r="A6" t="s">
        <v>7</v>
      </c>
      <c r="B6" s="1">
        <f>(840+420)*2+290+562</f>
        <v>3372</v>
      </c>
      <c r="C6" s="4">
        <v>425.4</v>
      </c>
      <c r="D6">
        <f t="shared" ref="D6:D19" si="1">C6*B6</f>
        <v>1434448.7999999998</v>
      </c>
      <c r="E6" s="3">
        <f t="shared" si="0"/>
        <v>4.9896394098133727E-2</v>
      </c>
    </row>
    <row r="7" spans="1:7" x14ac:dyDescent="0.25">
      <c r="A7" t="s">
        <v>33</v>
      </c>
      <c r="B7" s="1">
        <f>130+126+33+57+173</f>
        <v>519</v>
      </c>
      <c r="C7" s="4">
        <v>4284.3999999999996</v>
      </c>
      <c r="D7">
        <f t="shared" si="1"/>
        <v>2223603.5999999996</v>
      </c>
      <c r="E7" s="3">
        <f t="shared" si="0"/>
        <v>7.7346644609155024E-2</v>
      </c>
    </row>
    <row r="8" spans="1:7" x14ac:dyDescent="0.25">
      <c r="A8" t="s">
        <v>26</v>
      </c>
      <c r="B8" s="1">
        <f>1280+1280+1280+910+1300+1300+2940+1300</f>
        <v>11590</v>
      </c>
      <c r="C8" s="4">
        <v>184.15</v>
      </c>
      <c r="D8">
        <f t="shared" si="1"/>
        <v>2134298.5</v>
      </c>
      <c r="E8" s="3">
        <f t="shared" si="0"/>
        <v>7.4240223198663954E-2</v>
      </c>
    </row>
    <row r="9" spans="1:7" x14ac:dyDescent="0.25">
      <c r="A9" t="s">
        <v>34</v>
      </c>
      <c r="B9" s="1">
        <v>1727</v>
      </c>
      <c r="C9" s="4">
        <v>719</v>
      </c>
      <c r="D9">
        <f t="shared" si="1"/>
        <v>1241713</v>
      </c>
      <c r="E9" s="3">
        <f t="shared" si="0"/>
        <v>4.3192201216785103E-2</v>
      </c>
    </row>
    <row r="10" spans="1:7" x14ac:dyDescent="0.25">
      <c r="A10" t="s">
        <v>28</v>
      </c>
      <c r="B10" s="1">
        <f>570-142-142</f>
        <v>286</v>
      </c>
      <c r="C10" s="4">
        <v>4944.8</v>
      </c>
      <c r="D10">
        <f>C10*B10</f>
        <v>1414212.8</v>
      </c>
      <c r="E10" s="3">
        <f t="shared" si="0"/>
        <v>4.9192497639110704E-2</v>
      </c>
    </row>
    <row r="11" spans="1:7" x14ac:dyDescent="0.25">
      <c r="A11" t="s">
        <v>27</v>
      </c>
      <c r="B11" s="1">
        <f>8384+5589+13973</f>
        <v>27946</v>
      </c>
      <c r="C11" s="4">
        <v>9.3000000000000007</v>
      </c>
      <c r="D11">
        <f t="shared" si="1"/>
        <v>259897.80000000002</v>
      </c>
      <c r="E11" s="3">
        <f t="shared" si="0"/>
        <v>9.0403805657183044E-3</v>
      </c>
    </row>
    <row r="12" spans="1:7" x14ac:dyDescent="0.25">
      <c r="A12" t="s">
        <v>49</v>
      </c>
      <c r="B12" s="1">
        <f>1875+937+309+619</f>
        <v>3740</v>
      </c>
      <c r="C12" s="4">
        <v>632.20000000000005</v>
      </c>
      <c r="D12">
        <f t="shared" si="1"/>
        <v>2364428</v>
      </c>
      <c r="E12" s="3">
        <f t="shared" si="0"/>
        <v>8.2245132279843064E-2</v>
      </c>
    </row>
    <row r="13" spans="1:7" x14ac:dyDescent="0.25">
      <c r="A13" t="s">
        <v>31</v>
      </c>
      <c r="B13" s="1">
        <f>1000+1150+450+500+1000+900+900+500+160-656-590-797-452</f>
        <v>4065</v>
      </c>
      <c r="C13" s="4">
        <v>1927.6</v>
      </c>
      <c r="D13">
        <f t="shared" si="1"/>
        <v>7835694</v>
      </c>
      <c r="E13" s="3">
        <f t="shared" si="0"/>
        <v>0.27255965905257956</v>
      </c>
      <c r="G13" t="s">
        <v>70</v>
      </c>
    </row>
    <row r="14" spans="1:7" x14ac:dyDescent="0.25">
      <c r="A14" t="s">
        <v>30</v>
      </c>
      <c r="B14" s="1">
        <f>480+154+159+192</f>
        <v>985</v>
      </c>
      <c r="C14" s="4">
        <v>1627.75</v>
      </c>
      <c r="D14">
        <f>C14*B14</f>
        <v>1603333.75</v>
      </c>
      <c r="E14" s="3">
        <f t="shared" si="0"/>
        <v>5.577095024990688E-2</v>
      </c>
    </row>
    <row r="15" spans="1:7" x14ac:dyDescent="0.25">
      <c r="A15" t="s">
        <v>9</v>
      </c>
      <c r="B15" s="1">
        <f>6886+2045-4465+4466+4466+13398+9475</f>
        <v>36271</v>
      </c>
      <c r="C15" s="4">
        <v>53.8</v>
      </c>
      <c r="D15">
        <f t="shared" si="1"/>
        <v>1951379.7999999998</v>
      </c>
      <c r="E15" s="3">
        <f t="shared" si="0"/>
        <v>6.7877511930671472E-2</v>
      </c>
    </row>
    <row r="16" spans="1:7" x14ac:dyDescent="0.25">
      <c r="A16" t="s">
        <v>10</v>
      </c>
      <c r="B16" s="1">
        <f>920+319+331-785+393+355</f>
        <v>1533</v>
      </c>
      <c r="C16" s="4">
        <v>434.65</v>
      </c>
      <c r="D16">
        <f t="shared" si="1"/>
        <v>666318.44999999995</v>
      </c>
      <c r="E16" s="3">
        <f t="shared" si="0"/>
        <v>2.3177465780624316E-2</v>
      </c>
    </row>
    <row r="17" spans="1:7" x14ac:dyDescent="0.25">
      <c r="A17" t="s">
        <v>25</v>
      </c>
      <c r="B17" s="1">
        <f>419+419+838</f>
        <v>1676</v>
      </c>
      <c r="C17" s="4">
        <v>101</v>
      </c>
      <c r="D17">
        <f t="shared" si="1"/>
        <v>169276</v>
      </c>
      <c r="E17" s="3">
        <f t="shared" si="0"/>
        <v>5.8881585786510369E-3</v>
      </c>
    </row>
    <row r="18" spans="1:7" x14ac:dyDescent="0.25">
      <c r="A18" t="s">
        <v>35</v>
      </c>
      <c r="B18" s="1">
        <f>3075+1537+1153</f>
        <v>5765</v>
      </c>
      <c r="C18" s="4">
        <v>463.75</v>
      </c>
      <c r="D18">
        <f t="shared" si="1"/>
        <v>2673518.75</v>
      </c>
      <c r="E18" s="3">
        <f t="shared" si="0"/>
        <v>9.2996658492620912E-2</v>
      </c>
    </row>
    <row r="19" spans="1:7" x14ac:dyDescent="0.25">
      <c r="A19" t="s">
        <v>11</v>
      </c>
      <c r="B19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</f>
        <v>1606.8495999999989</v>
      </c>
      <c r="C19" s="4">
        <v>999.99</v>
      </c>
      <c r="D19">
        <f t="shared" si="1"/>
        <v>1606833.5315039989</v>
      </c>
      <c r="E19" s="3">
        <f t="shared" si="0"/>
        <v>5.5892687935616463E-2</v>
      </c>
      <c r="G19" t="s">
        <v>71</v>
      </c>
    </row>
    <row r="20" spans="1:7" x14ac:dyDescent="0.25">
      <c r="B20" s="1"/>
      <c r="E20" s="3"/>
    </row>
    <row r="21" spans="1:7" x14ac:dyDescent="0.25">
      <c r="B21" s="1"/>
      <c r="D21">
        <f>SUM(D5:D19)</f>
        <v>28748546.381503999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013B-DE67-4F60-950E-B348CAABABB4}">
  <sheetPr>
    <pageSetUpPr fitToPage="1"/>
  </sheetPr>
  <dimension ref="A1:J22"/>
  <sheetViews>
    <sheetView tabSelected="1" workbookViewId="0">
      <selection activeCell="G14" sqref="G14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44550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40</v>
      </c>
      <c r="B5" s="1">
        <f>1098*4</f>
        <v>4392</v>
      </c>
      <c r="C5" s="4">
        <v>248.75</v>
      </c>
      <c r="D5">
        <f>C5*B5</f>
        <v>1092510</v>
      </c>
      <c r="E5" s="3">
        <f t="shared" ref="E5:E20" si="0">D5/$D$22</f>
        <v>4.0057970994719416E-2</v>
      </c>
    </row>
    <row r="6" spans="1:7" x14ac:dyDescent="0.25">
      <c r="A6" t="s">
        <v>7</v>
      </c>
      <c r="B6" s="1">
        <f>(840+420)*2+290+562</f>
        <v>3372</v>
      </c>
      <c r="C6" s="4">
        <v>410.05</v>
      </c>
      <c r="D6">
        <f t="shared" ref="D6:D20" si="1">C6*B6</f>
        <v>1382688.6</v>
      </c>
      <c r="E6" s="3">
        <f t="shared" si="0"/>
        <v>5.0697659365616057E-2</v>
      </c>
    </row>
    <row r="7" spans="1:7" x14ac:dyDescent="0.25">
      <c r="A7" t="s">
        <v>33</v>
      </c>
      <c r="B7" s="1">
        <f>130+126+33+57+173</f>
        <v>519</v>
      </c>
      <c r="C7" s="4">
        <v>4221.8500000000004</v>
      </c>
      <c r="D7">
        <f t="shared" si="1"/>
        <v>2191140.1500000004</v>
      </c>
      <c r="E7" s="3">
        <f t="shared" si="0"/>
        <v>8.0340343405611997E-2</v>
      </c>
    </row>
    <row r="8" spans="1:7" x14ac:dyDescent="0.25">
      <c r="A8" t="s">
        <v>26</v>
      </c>
      <c r="B8" s="1">
        <f>1280+1280+1280+910+1300+1300+2940+1300</f>
        <v>11590</v>
      </c>
      <c r="C8" s="4">
        <v>171.65</v>
      </c>
      <c r="D8">
        <f t="shared" si="1"/>
        <v>1989423.5</v>
      </c>
      <c r="E8" s="3">
        <f t="shared" si="0"/>
        <v>7.2944200839546725E-2</v>
      </c>
    </row>
    <row r="9" spans="1:7" x14ac:dyDescent="0.25">
      <c r="A9" t="s">
        <v>72</v>
      </c>
      <c r="B9" s="1">
        <v>96000</v>
      </c>
      <c r="C9" s="4">
        <v>13.95</v>
      </c>
      <c r="D9">
        <f t="shared" si="1"/>
        <v>1339200</v>
      </c>
      <c r="E9" s="3">
        <f t="shared" si="0"/>
        <v>4.9103106384498309E-2</v>
      </c>
      <c r="G9" t="s">
        <v>73</v>
      </c>
    </row>
    <row r="10" spans="1:7" x14ac:dyDescent="0.25">
      <c r="A10" t="s">
        <v>34</v>
      </c>
      <c r="B10" s="1">
        <v>1727</v>
      </c>
      <c r="C10" s="4">
        <v>709.55</v>
      </c>
      <c r="D10">
        <f t="shared" si="1"/>
        <v>1225392.8499999999</v>
      </c>
      <c r="E10" s="3">
        <f t="shared" si="0"/>
        <v>4.4930253491900815E-2</v>
      </c>
    </row>
    <row r="11" spans="1:7" x14ac:dyDescent="0.25">
      <c r="A11" t="s">
        <v>28</v>
      </c>
      <c r="B11" s="1">
        <f>570-142-142</f>
        <v>286</v>
      </c>
      <c r="C11" s="4">
        <v>4983.25</v>
      </c>
      <c r="D11">
        <f>C11*B11</f>
        <v>1425209.5</v>
      </c>
      <c r="E11" s="3">
        <f t="shared" si="0"/>
        <v>5.2256730659123084E-2</v>
      </c>
    </row>
    <row r="12" spans="1:7" x14ac:dyDescent="0.25">
      <c r="A12" t="s">
        <v>27</v>
      </c>
      <c r="B12" s="1">
        <f>8384+5589+13973-27946</f>
        <v>0</v>
      </c>
      <c r="C12" s="4">
        <v>8.85</v>
      </c>
      <c r="D12">
        <f t="shared" si="1"/>
        <v>0</v>
      </c>
      <c r="E12" s="3">
        <f t="shared" si="0"/>
        <v>0</v>
      </c>
      <c r="G12" t="s">
        <v>74</v>
      </c>
    </row>
    <row r="13" spans="1:7" x14ac:dyDescent="0.25">
      <c r="A13" t="s">
        <v>49</v>
      </c>
      <c r="B13" s="1">
        <f>1875+937+309+619</f>
        <v>3740</v>
      </c>
      <c r="C13" s="4">
        <v>620.25</v>
      </c>
      <c r="D13">
        <f t="shared" si="1"/>
        <v>2319735</v>
      </c>
      <c r="E13" s="3">
        <f t="shared" si="0"/>
        <v>8.5055402097404559E-2</v>
      </c>
    </row>
    <row r="14" spans="1:7" x14ac:dyDescent="0.25">
      <c r="A14" t="s">
        <v>31</v>
      </c>
      <c r="B14" s="1">
        <f>1000+1150+450+500+1000+900+900+500+160-656-590-797-452</f>
        <v>4065</v>
      </c>
      <c r="C14" s="4">
        <v>1785.35</v>
      </c>
      <c r="D14">
        <f t="shared" si="1"/>
        <v>7257447.75</v>
      </c>
      <c r="E14" s="3">
        <f t="shared" si="0"/>
        <v>0.26610157478209967</v>
      </c>
    </row>
    <row r="15" spans="1:7" x14ac:dyDescent="0.25">
      <c r="A15" t="s">
        <v>30</v>
      </c>
      <c r="B15" s="1">
        <f>480+154+159+192</f>
        <v>985</v>
      </c>
      <c r="C15" s="4">
        <v>1553.15</v>
      </c>
      <c r="D15">
        <f>C15*B15</f>
        <v>1529852.75</v>
      </c>
      <c r="E15" s="3">
        <f t="shared" si="0"/>
        <v>5.6093579999900903E-2</v>
      </c>
    </row>
    <row r="16" spans="1:7" x14ac:dyDescent="0.25">
      <c r="A16" t="s">
        <v>9</v>
      </c>
      <c r="B16" s="1">
        <f>6886+2045-4465+4466+4466+13398+9475</f>
        <v>36271</v>
      </c>
      <c r="C16" s="4">
        <v>45.55</v>
      </c>
      <c r="D16">
        <f t="shared" si="1"/>
        <v>1652144.0499999998</v>
      </c>
      <c r="E16" s="3">
        <f t="shared" si="0"/>
        <v>6.0577512731231992E-2</v>
      </c>
    </row>
    <row r="17" spans="1:7" x14ac:dyDescent="0.25">
      <c r="A17" t="s">
        <v>10</v>
      </c>
      <c r="B17" s="1">
        <f>920+319+331-785+393+355</f>
        <v>1533</v>
      </c>
      <c r="C17" s="4">
        <v>423.25</v>
      </c>
      <c r="D17">
        <f t="shared" si="1"/>
        <v>648842.25</v>
      </c>
      <c r="E17" s="3">
        <f t="shared" si="0"/>
        <v>2.3790449543389519E-2</v>
      </c>
    </row>
    <row r="18" spans="1:7" x14ac:dyDescent="0.25">
      <c r="A18" t="s">
        <v>25</v>
      </c>
      <c r="B18" s="1">
        <f>419+419+838</f>
        <v>1676</v>
      </c>
      <c r="C18" s="4">
        <v>93.3</v>
      </c>
      <c r="D18">
        <f t="shared" si="1"/>
        <v>156370.79999999999</v>
      </c>
      <c r="E18" s="3">
        <f t="shared" si="0"/>
        <v>5.733491657578485E-3</v>
      </c>
    </row>
    <row r="19" spans="1:7" x14ac:dyDescent="0.25">
      <c r="A19" t="s">
        <v>35</v>
      </c>
      <c r="B19" s="1">
        <f>3075+1537+1153</f>
        <v>5765</v>
      </c>
      <c r="C19" s="4">
        <v>441.2</v>
      </c>
      <c r="D19">
        <f t="shared" si="1"/>
        <v>2543518</v>
      </c>
      <c r="E19" s="3">
        <f t="shared" si="0"/>
        <v>9.3260629439132589E-2</v>
      </c>
    </row>
    <row r="20" spans="1:7" x14ac:dyDescent="0.25">
      <c r="A20" t="s">
        <v>11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</f>
        <v>519.75359999999887</v>
      </c>
      <c r="C20" s="4">
        <v>999.99</v>
      </c>
      <c r="D20">
        <f t="shared" si="1"/>
        <v>519748.40246399888</v>
      </c>
      <c r="E20" s="3">
        <f t="shared" si="0"/>
        <v>1.9057094608245801E-2</v>
      </c>
      <c r="G20" t="s">
        <v>75</v>
      </c>
    </row>
    <row r="21" spans="1:7" x14ac:dyDescent="0.25">
      <c r="B21" s="1"/>
      <c r="E21" s="3"/>
    </row>
    <row r="22" spans="1:7" x14ac:dyDescent="0.25">
      <c r="B22" s="1"/>
      <c r="D22">
        <f>SUM(D5:D20)</f>
        <v>27273223.602464002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F163-BA8F-443C-AC68-1F4BBA4DF774}">
  <sheetPr>
    <pageSetUpPr fitToPage="1"/>
  </sheetPr>
  <dimension ref="A1:J21"/>
  <sheetViews>
    <sheetView workbookViewId="0">
      <selection activeCell="E21" sqref="E21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44561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40</v>
      </c>
      <c r="B5" s="1">
        <f>1098*4</f>
        <v>4392</v>
      </c>
      <c r="C5" s="4">
        <v>277.45</v>
      </c>
      <c r="D5">
        <f>C5*B5</f>
        <v>1218560.3999999999</v>
      </c>
      <c r="E5" s="3">
        <f t="shared" ref="E5:E19" si="0">D5/$D$21</f>
        <v>4.3195561665265558E-2</v>
      </c>
    </row>
    <row r="6" spans="1:7" x14ac:dyDescent="0.25">
      <c r="A6" t="s">
        <v>7</v>
      </c>
      <c r="B6" s="1">
        <f>(840+420)*2+290+562</f>
        <v>3372</v>
      </c>
      <c r="C6" s="4">
        <v>407.9</v>
      </c>
      <c r="D6">
        <f t="shared" ref="D6:D19" si="1">C6*B6</f>
        <v>1375438.7999999998</v>
      </c>
      <c r="E6" s="3">
        <f t="shared" si="0"/>
        <v>4.8756591386195432E-2</v>
      </c>
    </row>
    <row r="7" spans="1:7" x14ac:dyDescent="0.25">
      <c r="A7" t="s">
        <v>33</v>
      </c>
      <c r="B7" s="1">
        <f>130+126+33+57+173</f>
        <v>519</v>
      </c>
      <c r="C7" s="4">
        <v>4485</v>
      </c>
      <c r="D7">
        <f t="shared" si="1"/>
        <v>2327715</v>
      </c>
      <c r="E7" s="3">
        <f t="shared" si="0"/>
        <v>8.2512903604666316E-2</v>
      </c>
    </row>
    <row r="8" spans="1:7" x14ac:dyDescent="0.25">
      <c r="A8" t="s">
        <v>26</v>
      </c>
      <c r="B8" s="1">
        <f>1280+1280+1280+910+1300+1300+2940+1300</f>
        <v>11590</v>
      </c>
      <c r="C8" s="4">
        <v>182.45</v>
      </c>
      <c r="D8">
        <f t="shared" si="1"/>
        <v>2114595.5</v>
      </c>
      <c r="E8" s="3">
        <f t="shared" si="0"/>
        <v>7.4958237866045094E-2</v>
      </c>
    </row>
    <row r="9" spans="1:7" x14ac:dyDescent="0.25">
      <c r="A9" t="s">
        <v>72</v>
      </c>
      <c r="B9" s="1">
        <v>96000</v>
      </c>
      <c r="C9" s="4">
        <v>15.35</v>
      </c>
      <c r="D9">
        <f t="shared" si="1"/>
        <v>1473600</v>
      </c>
      <c r="E9" s="3">
        <f t="shared" si="0"/>
        <v>5.2236212230378838E-2</v>
      </c>
    </row>
    <row r="10" spans="1:7" x14ac:dyDescent="0.25">
      <c r="A10" t="s">
        <v>34</v>
      </c>
      <c r="B10" s="1">
        <v>1727</v>
      </c>
      <c r="C10" s="4">
        <v>700.1</v>
      </c>
      <c r="D10">
        <f t="shared" si="1"/>
        <v>1209072.7</v>
      </c>
      <c r="E10" s="3">
        <f t="shared" si="0"/>
        <v>4.2859241421795036E-2</v>
      </c>
    </row>
    <row r="11" spans="1:7" x14ac:dyDescent="0.25">
      <c r="A11" t="s">
        <v>28</v>
      </c>
      <c r="B11" s="1">
        <f>570-142-142</f>
        <v>286</v>
      </c>
      <c r="C11" s="4">
        <v>5243.7</v>
      </c>
      <c r="D11">
        <f>C11*B11</f>
        <v>1499698.2</v>
      </c>
      <c r="E11" s="3">
        <f t="shared" si="0"/>
        <v>5.3161341922310756E-2</v>
      </c>
    </row>
    <row r="12" spans="1:7" x14ac:dyDescent="0.25">
      <c r="A12" t="s">
        <v>49</v>
      </c>
      <c r="B12" s="1">
        <f>1875+937+309+619</f>
        <v>3740</v>
      </c>
      <c r="C12" s="4">
        <v>583.5</v>
      </c>
      <c r="D12">
        <f t="shared" si="1"/>
        <v>2182290</v>
      </c>
      <c r="E12" s="3">
        <f t="shared" si="0"/>
        <v>7.7357874313404879E-2</v>
      </c>
    </row>
    <row r="13" spans="1:7" x14ac:dyDescent="0.25">
      <c r="A13" t="s">
        <v>31</v>
      </c>
      <c r="B13" s="1">
        <f>1000+1150+450+500+1000+900+900+500+160-656-590-797-452</f>
        <v>4065</v>
      </c>
      <c r="C13" s="4">
        <v>1883.25</v>
      </c>
      <c r="D13">
        <f t="shared" si="1"/>
        <v>7655411.25</v>
      </c>
      <c r="E13" s="3">
        <f t="shared" si="0"/>
        <v>0.27136922283240345</v>
      </c>
    </row>
    <row r="14" spans="1:7" x14ac:dyDescent="0.25">
      <c r="A14" t="s">
        <v>30</v>
      </c>
      <c r="B14" s="1">
        <f>480+154+159+192</f>
        <v>985</v>
      </c>
      <c r="C14" s="4">
        <v>1754.8</v>
      </c>
      <c r="D14">
        <f>C14*B14</f>
        <v>1728478</v>
      </c>
      <c r="E14" s="3">
        <f t="shared" si="0"/>
        <v>6.127113439436805E-2</v>
      </c>
    </row>
    <row r="15" spans="1:7" x14ac:dyDescent="0.25">
      <c r="A15" t="s">
        <v>9</v>
      </c>
      <c r="B15" s="1">
        <f>6886+2045-4465+4466+4466+13398+9475</f>
        <v>36271</v>
      </c>
      <c r="C15" s="4">
        <v>44.85</v>
      </c>
      <c r="D15">
        <f t="shared" si="1"/>
        <v>1626754.35</v>
      </c>
      <c r="E15" s="3">
        <f t="shared" si="0"/>
        <v>5.7665231727261117E-2</v>
      </c>
    </row>
    <row r="16" spans="1:7" x14ac:dyDescent="0.25">
      <c r="A16" t="s">
        <v>10</v>
      </c>
      <c r="B16" s="1">
        <f>920+319+331-785+393+355</f>
        <v>1533</v>
      </c>
      <c r="C16" s="4">
        <v>424.2</v>
      </c>
      <c r="D16">
        <f t="shared" si="1"/>
        <v>650298.6</v>
      </c>
      <c r="E16" s="3">
        <f t="shared" si="0"/>
        <v>2.3051802173397282E-2</v>
      </c>
    </row>
    <row r="17" spans="1:7" x14ac:dyDescent="0.25">
      <c r="A17" t="s">
        <v>25</v>
      </c>
      <c r="B17" s="1">
        <f>419+419+838</f>
        <v>1676</v>
      </c>
      <c r="C17" s="4">
        <v>93.05</v>
      </c>
      <c r="D17">
        <f t="shared" si="1"/>
        <v>155951.79999999999</v>
      </c>
      <c r="E17" s="3">
        <f t="shared" si="0"/>
        <v>5.5281835793360434E-3</v>
      </c>
    </row>
    <row r="18" spans="1:7" x14ac:dyDescent="0.25">
      <c r="A18" t="s">
        <v>35</v>
      </c>
      <c r="B18" s="1">
        <f>3075+1537+1153</f>
        <v>5765</v>
      </c>
      <c r="C18" s="4">
        <v>428.4</v>
      </c>
      <c r="D18">
        <f t="shared" si="1"/>
        <v>2469726</v>
      </c>
      <c r="E18" s="3">
        <f t="shared" si="0"/>
        <v>8.7546913332576415E-2</v>
      </c>
    </row>
    <row r="19" spans="1:7" x14ac:dyDescent="0.25">
      <c r="A19" t="s">
        <v>11</v>
      </c>
      <c r="B19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</f>
        <v>522.72959999999887</v>
      </c>
      <c r="C19" s="4">
        <v>999.99</v>
      </c>
      <c r="D19">
        <f t="shared" si="1"/>
        <v>522724.37270399887</v>
      </c>
      <c r="E19" s="3">
        <f t="shared" si="0"/>
        <v>1.8529547550595639E-2</v>
      </c>
      <c r="G19" t="s">
        <v>77</v>
      </c>
    </row>
    <row r="20" spans="1:7" x14ac:dyDescent="0.25">
      <c r="B20" s="1"/>
      <c r="E20" s="3"/>
    </row>
    <row r="21" spans="1:7" x14ac:dyDescent="0.25">
      <c r="B21" s="1"/>
      <c r="D21">
        <f>SUM(D5:D19)</f>
        <v>28210314.972704001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"/>
  <dimension ref="A1:C16"/>
  <sheetViews>
    <sheetView workbookViewId="0">
      <selection activeCell="C17" sqref="C17"/>
    </sheetView>
  </sheetViews>
  <sheetFormatPr defaultRowHeight="15" x14ac:dyDescent="0.25"/>
  <cols>
    <col min="3" max="3" width="9.140625" style="4"/>
  </cols>
  <sheetData>
    <row r="1" spans="1:3" x14ac:dyDescent="0.25">
      <c r="A1" t="s">
        <v>76</v>
      </c>
    </row>
    <row r="3" spans="1:3" x14ac:dyDescent="0.25">
      <c r="A3" t="s">
        <v>13</v>
      </c>
      <c r="B3">
        <v>4686</v>
      </c>
      <c r="C3" s="4">
        <f>B3*0.002</f>
        <v>9.3719999999999999</v>
      </c>
    </row>
    <row r="4" spans="1:3" x14ac:dyDescent="0.25">
      <c r="A4" t="s">
        <v>14</v>
      </c>
      <c r="B4">
        <v>0</v>
      </c>
      <c r="C4" s="4">
        <f t="shared" ref="C4:C14" si="0">B4*0.002</f>
        <v>0</v>
      </c>
    </row>
    <row r="5" spans="1:3" x14ac:dyDescent="0.25">
      <c r="A5" t="s">
        <v>15</v>
      </c>
      <c r="B5">
        <v>0</v>
      </c>
      <c r="C5" s="4">
        <f t="shared" si="0"/>
        <v>0</v>
      </c>
    </row>
    <row r="6" spans="1:3" x14ac:dyDescent="0.25">
      <c r="A6" t="s">
        <v>16</v>
      </c>
      <c r="B6">
        <v>0</v>
      </c>
      <c r="C6" s="4">
        <f t="shared" si="0"/>
        <v>0</v>
      </c>
    </row>
    <row r="7" spans="1:3" x14ac:dyDescent="0.25">
      <c r="A7" t="s">
        <v>17</v>
      </c>
      <c r="B7">
        <v>0</v>
      </c>
      <c r="C7" s="4">
        <f t="shared" si="0"/>
        <v>0</v>
      </c>
    </row>
    <row r="8" spans="1:3" x14ac:dyDescent="0.25">
      <c r="A8" t="s">
        <v>18</v>
      </c>
      <c r="B8">
        <v>0</v>
      </c>
      <c r="C8" s="4">
        <f t="shared" si="0"/>
        <v>0</v>
      </c>
    </row>
    <row r="9" spans="1:3" x14ac:dyDescent="0.25">
      <c r="A9" t="s">
        <v>19</v>
      </c>
      <c r="B9">
        <v>775645</v>
      </c>
      <c r="C9" s="4">
        <f t="shared" si="0"/>
        <v>1551.29</v>
      </c>
    </row>
    <row r="10" spans="1:3" x14ac:dyDescent="0.25">
      <c r="A10" t="s">
        <v>20</v>
      </c>
      <c r="B10">
        <v>188406</v>
      </c>
      <c r="C10" s="4">
        <f t="shared" si="0"/>
        <v>376.81200000000001</v>
      </c>
    </row>
    <row r="11" spans="1:3" x14ac:dyDescent="0.25">
      <c r="A11" t="s">
        <v>21</v>
      </c>
      <c r="B11">
        <v>0</v>
      </c>
      <c r="C11" s="4">
        <f t="shared" si="0"/>
        <v>0</v>
      </c>
    </row>
    <row r="12" spans="1:3" x14ac:dyDescent="0.25">
      <c r="A12" t="s">
        <v>22</v>
      </c>
      <c r="B12">
        <v>0</v>
      </c>
      <c r="C12" s="4">
        <f t="shared" si="0"/>
        <v>0</v>
      </c>
    </row>
    <row r="13" spans="1:3" x14ac:dyDescent="0.25">
      <c r="A13" t="s">
        <v>23</v>
      </c>
      <c r="B13">
        <v>0</v>
      </c>
      <c r="C13" s="4">
        <f t="shared" si="0"/>
        <v>0</v>
      </c>
    </row>
    <row r="14" spans="1:3" x14ac:dyDescent="0.25">
      <c r="A14" t="s">
        <v>24</v>
      </c>
      <c r="B14">
        <v>519748</v>
      </c>
      <c r="C14" s="4">
        <f t="shared" si="0"/>
        <v>1039.4960000000001</v>
      </c>
    </row>
    <row r="16" spans="1:3" x14ac:dyDescent="0.25">
      <c r="C16" s="4">
        <f>SUM(C3:C15)</f>
        <v>2976.9700000000003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01Jan21</vt:lpstr>
      <vt:lpstr>10Feb21</vt:lpstr>
      <vt:lpstr>18Mar21</vt:lpstr>
      <vt:lpstr>15Jun21</vt:lpstr>
      <vt:lpstr>29Jun21</vt:lpstr>
      <vt:lpstr>30Jul21</vt:lpstr>
      <vt:lpstr>10Aug21</vt:lpstr>
      <vt:lpstr>22Sep21</vt:lpstr>
      <vt:lpstr>26Oct21</vt:lpstr>
      <vt:lpstr>23Nov21</vt:lpstr>
      <vt:lpstr>03Dec21</vt:lpstr>
      <vt:lpstr>15Dec21</vt:lpstr>
      <vt:lpstr>20Dec21</vt:lpstr>
      <vt:lpstr>31Dec21</vt:lpstr>
      <vt:lpstr>Liquid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2022-02-18T06:24:48Z</dcterms:modified>
</cp:coreProperties>
</file>