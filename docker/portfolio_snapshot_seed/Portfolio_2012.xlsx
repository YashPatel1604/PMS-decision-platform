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7400" windowHeight="9495" tabRatio="873"/>
  </bookViews>
  <sheets>
    <sheet name="Model" sheetId="3" r:id="rId1"/>
    <sheet name="1Jan2012" sheetId="1" r:id="rId2"/>
    <sheet name="17Feb2012" sheetId="5" r:id="rId3"/>
    <sheet name="09Apr2012" sheetId="6" r:id="rId4"/>
    <sheet name="24April2012" sheetId="7" r:id="rId5"/>
    <sheet name="07May2012" sheetId="8" r:id="rId6"/>
    <sheet name="31May2012" sheetId="9" r:id="rId7"/>
    <sheet name="04Jun12" sheetId="10" r:id="rId8"/>
    <sheet name="02Jul12" sheetId="11" r:id="rId9"/>
    <sheet name="13Jul12" sheetId="13" r:id="rId10"/>
    <sheet name="17Jul12" sheetId="14" r:id="rId11"/>
    <sheet name="24Jul12" sheetId="17" r:id="rId12"/>
    <sheet name="07Aug12" sheetId="19" r:id="rId13"/>
    <sheet name="27Aug12" sheetId="20" r:id="rId14"/>
    <sheet name="28Sep12" sheetId="21" r:id="rId15"/>
    <sheet name="09Oct12" sheetId="22" r:id="rId16"/>
    <sheet name="29Oct12" sheetId="23" r:id="rId17"/>
    <sheet name="30Oct12" sheetId="24" r:id="rId18"/>
    <sheet name="11Dec12" sheetId="25" r:id="rId19"/>
  </sheets>
  <calcPr calcId="124519"/>
</workbook>
</file>

<file path=xl/calcChain.xml><?xml version="1.0" encoding="utf-8"?>
<calcChain xmlns="http://schemas.openxmlformats.org/spreadsheetml/2006/main">
  <c r="D8" i="25"/>
  <c r="D18"/>
  <c r="D17"/>
  <c r="D16"/>
  <c r="D15"/>
  <c r="D14"/>
  <c r="D13"/>
  <c r="D12"/>
  <c r="D11"/>
  <c r="B10"/>
  <c r="D10" s="1"/>
  <c r="D9"/>
  <c r="D7"/>
  <c r="D6"/>
  <c r="D5"/>
  <c r="B17" i="24"/>
  <c r="D17" s="1"/>
  <c r="B9"/>
  <c r="D16"/>
  <c r="D15"/>
  <c r="D14"/>
  <c r="D13"/>
  <c r="D12"/>
  <c r="D11"/>
  <c r="D10"/>
  <c r="D9"/>
  <c r="D8"/>
  <c r="D7"/>
  <c r="D6"/>
  <c r="D5"/>
  <c r="B18" i="23"/>
  <c r="D18"/>
  <c r="D17"/>
  <c r="D16"/>
  <c r="D15"/>
  <c r="D14"/>
  <c r="D13"/>
  <c r="D12"/>
  <c r="D11"/>
  <c r="D10"/>
  <c r="D9"/>
  <c r="D8"/>
  <c r="D7"/>
  <c r="D6"/>
  <c r="D5"/>
  <c r="B18" i="22"/>
  <c r="D18" s="1"/>
  <c r="B17" i="20"/>
  <c r="D17" i="22"/>
  <c r="D16"/>
  <c r="D15"/>
  <c r="D14"/>
  <c r="D13"/>
  <c r="D12"/>
  <c r="D11"/>
  <c r="D10"/>
  <c r="D9"/>
  <c r="D8"/>
  <c r="D7"/>
  <c r="D6"/>
  <c r="D5"/>
  <c r="D10" i="21"/>
  <c r="D18"/>
  <c r="D17"/>
  <c r="D16"/>
  <c r="D15"/>
  <c r="D14"/>
  <c r="D13"/>
  <c r="D12"/>
  <c r="D11"/>
  <c r="D9"/>
  <c r="D8"/>
  <c r="D7"/>
  <c r="D6"/>
  <c r="D5"/>
  <c r="D6" i="20"/>
  <c r="D7"/>
  <c r="D8"/>
  <c r="D9"/>
  <c r="D10"/>
  <c r="D11"/>
  <c r="D12"/>
  <c r="D13"/>
  <c r="D14"/>
  <c r="D15"/>
  <c r="D16"/>
  <c r="D17"/>
  <c r="D5"/>
  <c r="L7" i="3"/>
  <c r="E19" i="19"/>
  <c r="E21" s="1"/>
  <c r="D21" s="1"/>
  <c r="B21" s="1"/>
  <c r="H16"/>
  <c r="D16"/>
  <c r="B16"/>
  <c r="H15"/>
  <c r="D15"/>
  <c r="B15" s="1"/>
  <c r="H14"/>
  <c r="D14"/>
  <c r="B14"/>
  <c r="D13"/>
  <c r="B13" s="1"/>
  <c r="H12"/>
  <c r="D12"/>
  <c r="B12"/>
  <c r="H11"/>
  <c r="D11"/>
  <c r="B11" s="1"/>
  <c r="H10"/>
  <c r="D10"/>
  <c r="B10"/>
  <c r="H9"/>
  <c r="D9"/>
  <c r="B9" s="1"/>
  <c r="H8"/>
  <c r="D8"/>
  <c r="B8"/>
  <c r="H7"/>
  <c r="D7"/>
  <c r="B7" s="1"/>
  <c r="H6"/>
  <c r="D6"/>
  <c r="B6"/>
  <c r="H5"/>
  <c r="H19" s="1"/>
  <c r="D5"/>
  <c r="B5" s="1"/>
  <c r="E19" i="17"/>
  <c r="E21" s="1"/>
  <c r="D21" s="1"/>
  <c r="B21" s="1"/>
  <c r="H16"/>
  <c r="D16"/>
  <c r="B16"/>
  <c r="H15"/>
  <c r="D15"/>
  <c r="B15" s="1"/>
  <c r="H14"/>
  <c r="D14"/>
  <c r="B14"/>
  <c r="H13"/>
  <c r="D13"/>
  <c r="B13" s="1"/>
  <c r="H12"/>
  <c r="D12"/>
  <c r="B12"/>
  <c r="H11"/>
  <c r="D11"/>
  <c r="B11" s="1"/>
  <c r="H10"/>
  <c r="D10"/>
  <c r="B10"/>
  <c r="H9"/>
  <c r="D9"/>
  <c r="B9" s="1"/>
  <c r="H8"/>
  <c r="D8"/>
  <c r="B8" s="1"/>
  <c r="H7"/>
  <c r="D7"/>
  <c r="B7" s="1"/>
  <c r="H6"/>
  <c r="D6"/>
  <c r="B6"/>
  <c r="H5"/>
  <c r="H19" s="1"/>
  <c r="D5"/>
  <c r="B5" s="1"/>
  <c r="K18" i="3"/>
  <c r="K13"/>
  <c r="J18"/>
  <c r="J12"/>
  <c r="I18"/>
  <c r="H18"/>
  <c r="H10"/>
  <c r="G18"/>
  <c r="G5"/>
  <c r="G16"/>
  <c r="G8"/>
  <c r="G7"/>
  <c r="G11"/>
  <c r="G13"/>
  <c r="F18"/>
  <c r="F11"/>
  <c r="F7"/>
  <c r="F13"/>
  <c r="F16"/>
  <c r="E18"/>
  <c r="E7"/>
  <c r="E11"/>
  <c r="E16"/>
  <c r="E13"/>
  <c r="D18"/>
  <c r="C18"/>
  <c r="E19" i="14"/>
  <c r="E21" s="1"/>
  <c r="D21" s="1"/>
  <c r="B21" s="1"/>
  <c r="H16"/>
  <c r="D16"/>
  <c r="B16" s="1"/>
  <c r="H15"/>
  <c r="D15"/>
  <c r="B15"/>
  <c r="H14"/>
  <c r="D14"/>
  <c r="B14" s="1"/>
  <c r="H13"/>
  <c r="D13"/>
  <c r="B13" s="1"/>
  <c r="H12"/>
  <c r="D12"/>
  <c r="B12" s="1"/>
  <c r="H11"/>
  <c r="D11"/>
  <c r="B11"/>
  <c r="H10"/>
  <c r="D10"/>
  <c r="B10" s="1"/>
  <c r="H9"/>
  <c r="D9"/>
  <c r="B9"/>
  <c r="H8"/>
  <c r="D8"/>
  <c r="B8" s="1"/>
  <c r="H7"/>
  <c r="D7"/>
  <c r="B7"/>
  <c r="H6"/>
  <c r="D6"/>
  <c r="B6" s="1"/>
  <c r="H5"/>
  <c r="D5"/>
  <c r="B5"/>
  <c r="E19" i="13"/>
  <c r="E21" s="1"/>
  <c r="D21" s="1"/>
  <c r="B21" s="1"/>
  <c r="H16"/>
  <c r="D16"/>
  <c r="B16"/>
  <c r="H15"/>
  <c r="D15"/>
  <c r="B15"/>
  <c r="H14"/>
  <c r="D14"/>
  <c r="B14" s="1"/>
  <c r="H13"/>
  <c r="D13"/>
  <c r="B13" s="1"/>
  <c r="H12"/>
  <c r="D12"/>
  <c r="B12" s="1"/>
  <c r="H11"/>
  <c r="D11"/>
  <c r="B11"/>
  <c r="H10"/>
  <c r="D10"/>
  <c r="B10" s="1"/>
  <c r="H9"/>
  <c r="D9"/>
  <c r="B9" s="1"/>
  <c r="H8"/>
  <c r="D8"/>
  <c r="B8"/>
  <c r="H7"/>
  <c r="D7"/>
  <c r="B7"/>
  <c r="H6"/>
  <c r="D6"/>
  <c r="B6" s="1"/>
  <c r="H5"/>
  <c r="D5"/>
  <c r="B5" s="1"/>
  <c r="H14" i="11"/>
  <c r="D14"/>
  <c r="B14" s="1"/>
  <c r="E19"/>
  <c r="E21" s="1"/>
  <c r="D21" s="1"/>
  <c r="B21" s="1"/>
  <c r="H16"/>
  <c r="D16"/>
  <c r="B16" s="1"/>
  <c r="H15"/>
  <c r="D15"/>
  <c r="B15" s="1"/>
  <c r="H13"/>
  <c r="D13"/>
  <c r="B13" s="1"/>
  <c r="H12"/>
  <c r="D12"/>
  <c r="B12" s="1"/>
  <c r="H11"/>
  <c r="D11"/>
  <c r="B11" s="1"/>
  <c r="H10"/>
  <c r="D10"/>
  <c r="B10" s="1"/>
  <c r="H9"/>
  <c r="D9"/>
  <c r="B9" s="1"/>
  <c r="H8"/>
  <c r="D8"/>
  <c r="B8" s="1"/>
  <c r="H7"/>
  <c r="D7"/>
  <c r="B7" s="1"/>
  <c r="H6"/>
  <c r="D6"/>
  <c r="B6" s="1"/>
  <c r="H5"/>
  <c r="H19" s="1"/>
  <c r="D5"/>
  <c r="B5" s="1"/>
  <c r="E18" i="10"/>
  <c r="E20" s="1"/>
  <c r="D20" s="1"/>
  <c r="B20" s="1"/>
  <c r="H15"/>
  <c r="D15"/>
  <c r="B15" s="1"/>
  <c r="H14"/>
  <c r="D14"/>
  <c r="B14" s="1"/>
  <c r="H13"/>
  <c r="D13"/>
  <c r="B13" s="1"/>
  <c r="H12"/>
  <c r="D12"/>
  <c r="B12" s="1"/>
  <c r="H11"/>
  <c r="D11"/>
  <c r="B11" s="1"/>
  <c r="H10"/>
  <c r="D10"/>
  <c r="B10" s="1"/>
  <c r="H9"/>
  <c r="D9"/>
  <c r="B9" s="1"/>
  <c r="H8"/>
  <c r="D8"/>
  <c r="B8" s="1"/>
  <c r="H7"/>
  <c r="D7"/>
  <c r="B7" s="1"/>
  <c r="H6"/>
  <c r="D6"/>
  <c r="B6" s="1"/>
  <c r="H5"/>
  <c r="D5"/>
  <c r="B5" s="1"/>
  <c r="E18" i="9"/>
  <c r="E20" s="1"/>
  <c r="D20" s="1"/>
  <c r="B20" s="1"/>
  <c r="H15"/>
  <c r="D15"/>
  <c r="B15" s="1"/>
  <c r="H14"/>
  <c r="D14"/>
  <c r="B14" s="1"/>
  <c r="H13"/>
  <c r="D13"/>
  <c r="B13" s="1"/>
  <c r="H12"/>
  <c r="D12"/>
  <c r="B12" s="1"/>
  <c r="H11"/>
  <c r="D11"/>
  <c r="B11" s="1"/>
  <c r="H10"/>
  <c r="D10"/>
  <c r="B10"/>
  <c r="H9"/>
  <c r="D9"/>
  <c r="B9" s="1"/>
  <c r="H8"/>
  <c r="D8"/>
  <c r="B8" s="1"/>
  <c r="H7"/>
  <c r="D7"/>
  <c r="B7" s="1"/>
  <c r="H6"/>
  <c r="D6"/>
  <c r="B6"/>
  <c r="H5"/>
  <c r="H18" s="1"/>
  <c r="D5"/>
  <c r="B5" s="1"/>
  <c r="E18" i="8"/>
  <c r="E20" s="1"/>
  <c r="D20" s="1"/>
  <c r="B20" s="1"/>
  <c r="H15"/>
  <c r="D15"/>
  <c r="B15" s="1"/>
  <c r="H14"/>
  <c r="D14"/>
  <c r="B14" s="1"/>
  <c r="H13"/>
  <c r="D13"/>
  <c r="B13" s="1"/>
  <c r="H12"/>
  <c r="D12"/>
  <c r="B12" s="1"/>
  <c r="H11"/>
  <c r="D11"/>
  <c r="B11"/>
  <c r="H10"/>
  <c r="D10"/>
  <c r="B10" s="1"/>
  <c r="H9"/>
  <c r="D9"/>
  <c r="B9" s="1"/>
  <c r="H8"/>
  <c r="D8"/>
  <c r="B8" s="1"/>
  <c r="H7"/>
  <c r="D7"/>
  <c r="B7" s="1"/>
  <c r="H6"/>
  <c r="D6"/>
  <c r="B6" s="1"/>
  <c r="H5"/>
  <c r="D5"/>
  <c r="B5" s="1"/>
  <c r="H6" i="7"/>
  <c r="H7"/>
  <c r="H8"/>
  <c r="H9"/>
  <c r="H10"/>
  <c r="H11"/>
  <c r="H12"/>
  <c r="H13"/>
  <c r="H14"/>
  <c r="H15"/>
  <c r="H5"/>
  <c r="E18"/>
  <c r="E20" s="1"/>
  <c r="D20" s="1"/>
  <c r="B20" s="1"/>
  <c r="D15"/>
  <c r="B15" s="1"/>
  <c r="D14"/>
  <c r="B14" s="1"/>
  <c r="D13"/>
  <c r="B13" s="1"/>
  <c r="D12"/>
  <c r="B12" s="1"/>
  <c r="D11"/>
  <c r="B11" s="1"/>
  <c r="D10"/>
  <c r="B10" s="1"/>
  <c r="D9"/>
  <c r="B9" s="1"/>
  <c r="D8"/>
  <c r="B8" s="1"/>
  <c r="D7"/>
  <c r="B7" s="1"/>
  <c r="D6"/>
  <c r="B6" s="1"/>
  <c r="D5"/>
  <c r="B5" s="1"/>
  <c r="D11" i="6"/>
  <c r="B11" s="1"/>
  <c r="D12"/>
  <c r="B12"/>
  <c r="E17"/>
  <c r="E19" s="1"/>
  <c r="D19" s="1"/>
  <c r="B19" s="1"/>
  <c r="D14"/>
  <c r="B14" s="1"/>
  <c r="D13"/>
  <c r="B13" s="1"/>
  <c r="D10"/>
  <c r="B10" s="1"/>
  <c r="D9"/>
  <c r="B9" s="1"/>
  <c r="D8"/>
  <c r="B8" s="1"/>
  <c r="D7"/>
  <c r="B7" s="1"/>
  <c r="D6"/>
  <c r="B6" s="1"/>
  <c r="D5"/>
  <c r="B5" s="1"/>
  <c r="D8" i="5"/>
  <c r="B8" s="1"/>
  <c r="E15"/>
  <c r="E17" s="1"/>
  <c r="D17" s="1"/>
  <c r="B17" s="1"/>
  <c r="D12"/>
  <c r="B12" s="1"/>
  <c r="D11"/>
  <c r="B11" s="1"/>
  <c r="D10"/>
  <c r="B10" s="1"/>
  <c r="D9"/>
  <c r="B9" s="1"/>
  <c r="D7"/>
  <c r="B7" s="1"/>
  <c r="D6"/>
  <c r="B6" s="1"/>
  <c r="D5"/>
  <c r="B5" s="1"/>
  <c r="D15" i="1"/>
  <c r="B15" s="1"/>
  <c r="E15"/>
  <c r="D10"/>
  <c r="B10" s="1"/>
  <c r="D6"/>
  <c r="B6" s="1"/>
  <c r="D7"/>
  <c r="B7" s="1"/>
  <c r="D8"/>
  <c r="B8" s="1"/>
  <c r="D9"/>
  <c r="B9" s="1"/>
  <c r="D11"/>
  <c r="B11" s="1"/>
  <c r="D5"/>
  <c r="B5" s="1"/>
  <c r="E13"/>
  <c r="D20" i="25" l="1"/>
  <c r="D19" i="24"/>
  <c r="E13" s="1"/>
  <c r="D20" i="23"/>
  <c r="E6" s="1"/>
  <c r="D20" i="22"/>
  <c r="E15" s="1"/>
  <c r="D20" i="21"/>
  <c r="E10" s="1"/>
  <c r="D19" i="20"/>
  <c r="H19" i="14"/>
  <c r="H19" i="13"/>
  <c r="H18" i="10"/>
  <c r="H18" i="8"/>
  <c r="H18" i="7"/>
  <c r="E18" i="25" l="1"/>
  <c r="E8"/>
  <c r="E6"/>
  <c r="E9"/>
  <c r="E7"/>
  <c r="E16"/>
  <c r="E14"/>
  <c r="E12"/>
  <c r="E17"/>
  <c r="E15"/>
  <c r="E13"/>
  <c r="E11"/>
  <c r="E5"/>
  <c r="E10"/>
  <c r="E6" i="24"/>
  <c r="E17"/>
  <c r="E15"/>
  <c r="E16"/>
  <c r="E9"/>
  <c r="E14"/>
  <c r="E11"/>
  <c r="E5"/>
  <c r="E12"/>
  <c r="E7"/>
  <c r="E10"/>
  <c r="E8"/>
  <c r="E16" i="23"/>
  <c r="E13"/>
  <c r="E10"/>
  <c r="E15"/>
  <c r="E17"/>
  <c r="E14"/>
  <c r="E7"/>
  <c r="E11"/>
  <c r="E5"/>
  <c r="E8"/>
  <c r="E18"/>
  <c r="E12"/>
  <c r="E9"/>
  <c r="E7" i="22"/>
  <c r="E11"/>
  <c r="E16"/>
  <c r="E14"/>
  <c r="E12"/>
  <c r="E10"/>
  <c r="E8"/>
  <c r="E6"/>
  <c r="E17"/>
  <c r="E18"/>
  <c r="E5"/>
  <c r="E9"/>
  <c r="E13"/>
  <c r="E14" i="21"/>
  <c r="E6"/>
  <c r="E11"/>
  <c r="E12"/>
  <c r="E18"/>
  <c r="E15"/>
  <c r="E5"/>
  <c r="E8"/>
  <c r="E17"/>
  <c r="E9"/>
  <c r="E13"/>
  <c r="E7"/>
  <c r="E16"/>
  <c r="E9" i="20"/>
  <c r="E8"/>
  <c r="E12"/>
  <c r="E16"/>
  <c r="E11"/>
  <c r="E15"/>
  <c r="E7"/>
  <c r="E6"/>
  <c r="E10"/>
  <c r="E14"/>
  <c r="E5"/>
  <c r="E13"/>
  <c r="E17"/>
</calcChain>
</file>

<file path=xl/sharedStrings.xml><?xml version="1.0" encoding="utf-8"?>
<sst xmlns="http://schemas.openxmlformats.org/spreadsheetml/2006/main" count="412" uniqueCount="49">
  <si>
    <t>Value Portfolio</t>
  </si>
  <si>
    <t>Stock</t>
  </si>
  <si>
    <t>CMP</t>
  </si>
  <si>
    <t>Value Price</t>
  </si>
  <si>
    <t>Percentage</t>
  </si>
  <si>
    <t>Ashiana</t>
  </si>
  <si>
    <t>Havells</t>
  </si>
  <si>
    <t>BharatForg</t>
  </si>
  <si>
    <t>NiftyBees</t>
  </si>
  <si>
    <t>Vguard</t>
  </si>
  <si>
    <t>Kaveri</t>
  </si>
  <si>
    <t>Amaraja</t>
  </si>
  <si>
    <t>Amount</t>
  </si>
  <si>
    <t>Number of shares</t>
  </si>
  <si>
    <t>SanghviMov</t>
  </si>
  <si>
    <t>Geometric</t>
  </si>
  <si>
    <t>RSSoftware</t>
  </si>
  <si>
    <t>NIIT Tech</t>
  </si>
  <si>
    <t>Zensar</t>
  </si>
  <si>
    <t>Below Value</t>
  </si>
  <si>
    <t>Change</t>
  </si>
  <si>
    <t>Upgrade to 7% after results</t>
  </si>
  <si>
    <t>Reduced holding due to IT weightage</t>
  </si>
  <si>
    <t>Reduced weightage</t>
  </si>
  <si>
    <t>Increased weightage</t>
  </si>
  <si>
    <t>New stock added</t>
  </si>
  <si>
    <t>New Stock added</t>
  </si>
  <si>
    <t>New Stock Added</t>
  </si>
  <si>
    <t>Downgrade to 10% after results</t>
  </si>
  <si>
    <t>Upgrade to 10% after results</t>
  </si>
  <si>
    <t>Reduce to 5% from 7%</t>
  </si>
  <si>
    <t>New Clients reduce to 10%</t>
  </si>
  <si>
    <t>New Addition</t>
  </si>
  <si>
    <t>Technofab</t>
  </si>
  <si>
    <t>New addition</t>
  </si>
  <si>
    <t>Model</t>
  </si>
  <si>
    <t>Reduce to 3% from 7%</t>
  </si>
  <si>
    <t>Upgrade after results</t>
  </si>
  <si>
    <t>Removed after results</t>
  </si>
  <si>
    <t>Take</t>
  </si>
  <si>
    <t>new addition</t>
  </si>
  <si>
    <t>Model Portfolio</t>
  </si>
  <si>
    <t>LiquidBees</t>
  </si>
  <si>
    <t>Heritage</t>
  </si>
  <si>
    <t>Reduce to 5%</t>
  </si>
  <si>
    <t>Completely sold.</t>
  </si>
  <si>
    <t>Upgraded to 7%</t>
  </si>
  <si>
    <t>Everest</t>
  </si>
  <si>
    <t>EverestInds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</si>
</sst>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49" fontId="0" fillId="0" borderId="0" xfId="0" applyNumberFormat="1"/>
    <xf numFmtId="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>
      <pane xSplit="1" topLeftCell="H1" activePane="topRight" state="frozen"/>
      <selection pane="topRight" activeCell="Q2" sqref="Q2"/>
    </sheetView>
  </sheetViews>
  <sheetFormatPr defaultRowHeight="15"/>
  <cols>
    <col min="1" max="1" width="11.7109375" bestFit="1" customWidth="1"/>
    <col min="2" max="2" width="9.28515625" bestFit="1" customWidth="1"/>
    <col min="3" max="3" width="9.7109375" bestFit="1" customWidth="1"/>
    <col min="4" max="4" width="9.5703125" bestFit="1" customWidth="1"/>
    <col min="5" max="5" width="9.5703125" style="1" bestFit="1" customWidth="1"/>
    <col min="6" max="7" width="10.140625" bestFit="1" customWidth="1"/>
    <col min="8" max="10" width="9.5703125" bestFit="1" customWidth="1"/>
    <col min="13" max="14" width="9.85546875" bestFit="1" customWidth="1"/>
    <col min="15" max="15" width="9.7109375" bestFit="1" customWidth="1"/>
    <col min="16" max="18" width="9.42578125" bestFit="1" customWidth="1"/>
    <col min="19" max="19" width="9.7109375" bestFit="1" customWidth="1"/>
  </cols>
  <sheetData>
    <row r="1" spans="1:19">
      <c r="A1" t="s">
        <v>35</v>
      </c>
      <c r="B1" s="5">
        <v>40909</v>
      </c>
      <c r="C1" s="5">
        <v>40956</v>
      </c>
      <c r="D1" s="5">
        <v>41008</v>
      </c>
      <c r="E1" s="5">
        <v>41023</v>
      </c>
      <c r="F1" s="5">
        <v>41036</v>
      </c>
      <c r="G1" s="5">
        <v>41060</v>
      </c>
      <c r="H1" s="5">
        <v>41064</v>
      </c>
      <c r="I1" s="5">
        <v>41092</v>
      </c>
      <c r="J1" s="5">
        <v>41103</v>
      </c>
      <c r="K1" s="5">
        <v>41107</v>
      </c>
      <c r="L1" s="5">
        <v>41114</v>
      </c>
      <c r="M1" s="5">
        <v>41128</v>
      </c>
      <c r="N1" s="5">
        <v>41148</v>
      </c>
      <c r="O1" s="5">
        <v>41180</v>
      </c>
      <c r="P1" s="5">
        <v>41191</v>
      </c>
      <c r="Q1" s="5">
        <v>41211</v>
      </c>
      <c r="R1" s="5">
        <v>41212</v>
      </c>
      <c r="S1" s="5">
        <v>41254</v>
      </c>
    </row>
    <row r="3" spans="1:19">
      <c r="A3" t="s">
        <v>11</v>
      </c>
      <c r="B3">
        <v>490</v>
      </c>
      <c r="C3">
        <v>490</v>
      </c>
      <c r="D3">
        <v>490</v>
      </c>
      <c r="E3" s="1">
        <v>490</v>
      </c>
      <c r="F3" s="1">
        <v>490</v>
      </c>
      <c r="G3" s="1">
        <v>490</v>
      </c>
      <c r="H3" s="1">
        <v>490</v>
      </c>
      <c r="I3" s="1">
        <v>490</v>
      </c>
      <c r="J3" s="1">
        <v>490</v>
      </c>
      <c r="K3" s="1">
        <v>490</v>
      </c>
      <c r="L3" s="1">
        <v>490</v>
      </c>
      <c r="M3" s="1">
        <v>490</v>
      </c>
      <c r="N3" s="1">
        <v>490</v>
      </c>
      <c r="O3" s="1">
        <v>980</v>
      </c>
      <c r="P3" s="1">
        <v>980</v>
      </c>
      <c r="Q3" s="1">
        <v>980</v>
      </c>
      <c r="R3" s="1">
        <v>980</v>
      </c>
      <c r="S3" s="1">
        <v>980</v>
      </c>
    </row>
    <row r="4" spans="1:19">
      <c r="A4" t="s">
        <v>5</v>
      </c>
      <c r="B4">
        <v>511</v>
      </c>
      <c r="C4">
        <v>511</v>
      </c>
      <c r="D4">
        <v>511</v>
      </c>
      <c r="E4" s="1">
        <v>511</v>
      </c>
      <c r="F4" s="1">
        <v>511</v>
      </c>
      <c r="G4" s="1">
        <v>511</v>
      </c>
      <c r="H4" s="1">
        <v>511</v>
      </c>
      <c r="I4" s="1">
        <v>511</v>
      </c>
      <c r="J4" s="1">
        <v>511</v>
      </c>
      <c r="K4" s="1">
        <v>511</v>
      </c>
      <c r="L4" s="1">
        <v>511</v>
      </c>
      <c r="M4" s="1">
        <v>511</v>
      </c>
      <c r="N4" s="1">
        <v>511</v>
      </c>
      <c r="O4" s="1">
        <v>511</v>
      </c>
      <c r="P4" s="1">
        <v>511</v>
      </c>
      <c r="Q4" s="1">
        <v>511</v>
      </c>
      <c r="R4" s="1">
        <v>511</v>
      </c>
      <c r="S4" s="1">
        <v>511</v>
      </c>
    </row>
    <row r="5" spans="1:19">
      <c r="A5" t="s">
        <v>7</v>
      </c>
      <c r="B5">
        <v>595</v>
      </c>
      <c r="C5">
        <v>595</v>
      </c>
      <c r="D5">
        <v>595</v>
      </c>
      <c r="E5" s="1">
        <v>595</v>
      </c>
      <c r="F5" s="1">
        <v>595</v>
      </c>
      <c r="G5" s="1">
        <f>595*10/15</f>
        <v>396.66666666666669</v>
      </c>
      <c r="H5" s="1">
        <v>396.66666666666669</v>
      </c>
      <c r="I5" s="1">
        <v>396.66666666666669</v>
      </c>
      <c r="J5" s="1">
        <v>396.66666666666669</v>
      </c>
      <c r="K5" s="1">
        <v>396.66666666666669</v>
      </c>
      <c r="L5" s="1">
        <v>396.66666666666669</v>
      </c>
      <c r="M5" s="1">
        <v>396.66666666666669</v>
      </c>
      <c r="N5" s="1">
        <v>396.66666666666669</v>
      </c>
      <c r="O5" s="1">
        <v>396.66666666666669</v>
      </c>
      <c r="P5" s="1">
        <v>396.66666666666669</v>
      </c>
      <c r="Q5" s="1">
        <v>396.66666666666669</v>
      </c>
      <c r="R5" s="1">
        <v>396.66666666666669</v>
      </c>
      <c r="S5" s="1">
        <v>396.66666666666669</v>
      </c>
    </row>
    <row r="6" spans="1:19">
      <c r="A6" t="s">
        <v>48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350</v>
      </c>
    </row>
    <row r="7" spans="1:19">
      <c r="A7" t="s">
        <v>15</v>
      </c>
      <c r="B7">
        <v>0</v>
      </c>
      <c r="C7">
        <v>1000</v>
      </c>
      <c r="D7">
        <v>1000</v>
      </c>
      <c r="E7" s="1">
        <f>1000*5/7</f>
        <v>714.28571428571433</v>
      </c>
      <c r="F7" s="1">
        <f>1000*5/7</f>
        <v>714.28571428571433</v>
      </c>
      <c r="G7" s="1">
        <f>1000*5/7</f>
        <v>714.28571428571433</v>
      </c>
      <c r="H7" s="1">
        <v>714.28571428571433</v>
      </c>
      <c r="I7" s="1">
        <v>714.28571428571433</v>
      </c>
      <c r="J7" s="1">
        <v>714.28571428571433</v>
      </c>
      <c r="K7" s="1">
        <v>714.28571428571433</v>
      </c>
      <c r="L7" s="1">
        <f>714.285714285714*7/5</f>
        <v>999.99999999999966</v>
      </c>
      <c r="M7" s="1">
        <v>999.99999999999966</v>
      </c>
      <c r="N7" s="1">
        <v>1250</v>
      </c>
      <c r="O7" s="1">
        <v>1250</v>
      </c>
      <c r="P7" s="1">
        <v>1250</v>
      </c>
      <c r="Q7" s="1">
        <v>1250</v>
      </c>
      <c r="R7" s="1">
        <v>1250</v>
      </c>
      <c r="S7" s="1">
        <v>1250</v>
      </c>
    </row>
    <row r="8" spans="1:19">
      <c r="A8" t="s">
        <v>6</v>
      </c>
      <c r="B8">
        <v>390</v>
      </c>
      <c r="C8">
        <v>390</v>
      </c>
      <c r="D8">
        <v>390</v>
      </c>
      <c r="E8" s="1">
        <v>390</v>
      </c>
      <c r="F8" s="1">
        <v>390</v>
      </c>
      <c r="G8" s="1">
        <f>390*10/15</f>
        <v>260</v>
      </c>
      <c r="H8" s="1">
        <v>260</v>
      </c>
      <c r="I8" s="1">
        <v>260</v>
      </c>
      <c r="J8" s="1">
        <v>260</v>
      </c>
      <c r="K8" s="1">
        <v>260</v>
      </c>
      <c r="L8" s="1">
        <v>260</v>
      </c>
      <c r="M8" s="1">
        <v>260</v>
      </c>
      <c r="N8" s="1">
        <v>260</v>
      </c>
      <c r="O8" s="1">
        <v>260</v>
      </c>
      <c r="P8" s="1">
        <v>132</v>
      </c>
      <c r="Q8" s="1">
        <v>0</v>
      </c>
      <c r="R8" s="1">
        <v>0</v>
      </c>
      <c r="S8" s="1">
        <v>0</v>
      </c>
    </row>
    <row r="9" spans="1:19">
      <c r="A9" t="s">
        <v>43</v>
      </c>
      <c r="F9" s="1"/>
      <c r="G9" s="1"/>
      <c r="H9" s="1"/>
      <c r="I9" s="1"/>
      <c r="J9" s="1"/>
      <c r="K9" s="1"/>
      <c r="L9" s="1"/>
      <c r="M9" s="1"/>
      <c r="N9" s="1"/>
      <c r="O9" s="1">
        <v>245</v>
      </c>
      <c r="P9" s="1">
        <v>245</v>
      </c>
      <c r="Q9" s="1">
        <v>245</v>
      </c>
      <c r="R9" s="1">
        <v>340</v>
      </c>
      <c r="S9" s="1">
        <v>340</v>
      </c>
    </row>
    <row r="10" spans="1:19">
      <c r="A10" t="s">
        <v>10</v>
      </c>
      <c r="B10">
        <v>156</v>
      </c>
      <c r="C10">
        <v>156</v>
      </c>
      <c r="D10">
        <v>156</v>
      </c>
      <c r="E10" s="1">
        <v>156</v>
      </c>
      <c r="F10" s="1">
        <v>156</v>
      </c>
      <c r="G10" s="1">
        <v>156</v>
      </c>
      <c r="H10" s="1">
        <f>156*5/7</f>
        <v>111.42857142857143</v>
      </c>
      <c r="I10" s="1">
        <v>111.42857142857143</v>
      </c>
      <c r="J10" s="1">
        <v>111.42857142857143</v>
      </c>
      <c r="K10" s="1">
        <v>111.42857142857143</v>
      </c>
      <c r="L10" s="1">
        <v>111.42857142857143</v>
      </c>
      <c r="M10" s="1">
        <v>111.42857142857143</v>
      </c>
      <c r="N10" s="1">
        <v>111.42857142857143</v>
      </c>
      <c r="O10" s="1">
        <v>111.42857142857143</v>
      </c>
      <c r="P10" s="1">
        <v>111.42857142857143</v>
      </c>
      <c r="Q10" s="1">
        <v>111.42857142857143</v>
      </c>
      <c r="R10" s="1">
        <v>111.42857142857143</v>
      </c>
      <c r="S10" s="1">
        <v>111.42857142857143</v>
      </c>
    </row>
    <row r="11" spans="1:19">
      <c r="A11" t="s">
        <v>17</v>
      </c>
      <c r="B11">
        <v>0</v>
      </c>
      <c r="C11">
        <v>0</v>
      </c>
      <c r="D11">
        <v>372</v>
      </c>
      <c r="E11" s="1">
        <f>372*5/7</f>
        <v>265.71428571428572</v>
      </c>
      <c r="F11" s="1">
        <f>266*7/5</f>
        <v>372.4</v>
      </c>
      <c r="G11" s="1">
        <f>266*7/5</f>
        <v>372.4</v>
      </c>
      <c r="H11" s="1">
        <v>372.4</v>
      </c>
      <c r="I11" s="1">
        <v>372.4</v>
      </c>
      <c r="J11" s="1">
        <v>372.4</v>
      </c>
      <c r="K11" s="1">
        <v>372.4</v>
      </c>
      <c r="L11" s="1">
        <v>372.4</v>
      </c>
      <c r="M11" s="1">
        <v>372.4</v>
      </c>
      <c r="N11" s="1">
        <v>372.4</v>
      </c>
      <c r="O11" s="1">
        <v>372.4</v>
      </c>
      <c r="P11" s="1">
        <v>372.4</v>
      </c>
      <c r="Q11" s="1">
        <v>372.4</v>
      </c>
      <c r="R11" s="1">
        <v>372.4</v>
      </c>
      <c r="S11" s="1">
        <v>372.4</v>
      </c>
    </row>
    <row r="12" spans="1:19">
      <c r="A12" t="s">
        <v>16</v>
      </c>
      <c r="B12">
        <v>0</v>
      </c>
      <c r="C12">
        <v>0</v>
      </c>
      <c r="D12">
        <v>781</v>
      </c>
      <c r="E12" s="1">
        <v>781</v>
      </c>
      <c r="F12" s="1">
        <v>781</v>
      </c>
      <c r="G12" s="1">
        <v>781</v>
      </c>
      <c r="H12" s="1">
        <v>781</v>
      </c>
      <c r="I12" s="1">
        <v>781</v>
      </c>
      <c r="J12" s="1">
        <f>781*7/5</f>
        <v>1093.4000000000001</v>
      </c>
      <c r="K12" s="1">
        <v>1093.4000000000001</v>
      </c>
      <c r="L12" s="1">
        <v>1093.4000000000001</v>
      </c>
      <c r="M12" s="1">
        <v>1093.4000000000001</v>
      </c>
      <c r="N12" s="1">
        <v>1093.4000000000001</v>
      </c>
      <c r="O12" s="1">
        <v>1093.4000000000001</v>
      </c>
      <c r="P12" s="1">
        <v>1093.4000000000001</v>
      </c>
      <c r="Q12" s="1">
        <v>1093.4000000000001</v>
      </c>
      <c r="R12" s="1">
        <v>1093.4000000000001</v>
      </c>
      <c r="S12" s="1">
        <v>1093.4000000000001</v>
      </c>
    </row>
    <row r="13" spans="1:19">
      <c r="A13" t="s">
        <v>14</v>
      </c>
      <c r="B13">
        <v>920</v>
      </c>
      <c r="C13">
        <v>920</v>
      </c>
      <c r="D13">
        <v>920</v>
      </c>
      <c r="E13" s="1">
        <f>920*7/8</f>
        <v>805</v>
      </c>
      <c r="F13" s="1">
        <f>920*7/8</f>
        <v>805</v>
      </c>
      <c r="G13" s="1">
        <f>920*7/8</f>
        <v>805</v>
      </c>
      <c r="H13" s="1">
        <v>805</v>
      </c>
      <c r="I13" s="1">
        <v>805</v>
      </c>
      <c r="J13" s="1">
        <v>805</v>
      </c>
      <c r="K13" s="1">
        <f>805*3/7</f>
        <v>345</v>
      </c>
      <c r="L13" s="1">
        <v>345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>
      <c r="A14" t="s">
        <v>39</v>
      </c>
      <c r="F14" s="1"/>
      <c r="G14" s="1"/>
      <c r="H14" s="1"/>
      <c r="I14" s="1"/>
      <c r="J14" s="1"/>
      <c r="K14" s="1"/>
      <c r="L14" s="1"/>
      <c r="M14" s="1"/>
      <c r="N14" s="1">
        <v>1850</v>
      </c>
      <c r="O14" s="1">
        <v>1850</v>
      </c>
      <c r="P14" s="1">
        <v>1850</v>
      </c>
      <c r="Q14" s="1">
        <v>1850</v>
      </c>
      <c r="R14" s="1">
        <v>1850</v>
      </c>
      <c r="S14" s="1">
        <v>1850</v>
      </c>
    </row>
    <row r="15" spans="1:19">
      <c r="A15" t="s">
        <v>33</v>
      </c>
      <c r="B15">
        <v>0</v>
      </c>
      <c r="C15">
        <v>0</v>
      </c>
      <c r="D15">
        <v>0</v>
      </c>
      <c r="E15" s="1">
        <v>0</v>
      </c>
      <c r="F15" s="1">
        <v>0</v>
      </c>
      <c r="G15" s="1">
        <v>0</v>
      </c>
      <c r="H15" s="1">
        <v>0</v>
      </c>
      <c r="I15" s="1">
        <v>368</v>
      </c>
      <c r="J15" s="1">
        <v>368</v>
      </c>
      <c r="K15" s="1">
        <v>368</v>
      </c>
      <c r="L15" s="1">
        <v>368</v>
      </c>
      <c r="M15" s="1">
        <v>368</v>
      </c>
      <c r="N15" s="1">
        <v>368</v>
      </c>
      <c r="O15" s="1">
        <v>368</v>
      </c>
      <c r="P15" s="1">
        <v>368</v>
      </c>
      <c r="Q15" s="1">
        <v>368</v>
      </c>
      <c r="R15" s="1">
        <v>368</v>
      </c>
      <c r="S15" s="1">
        <v>368</v>
      </c>
    </row>
    <row r="16" spans="1:19">
      <c r="A16" t="s">
        <v>9</v>
      </c>
      <c r="B16">
        <v>387</v>
      </c>
      <c r="C16">
        <v>387</v>
      </c>
      <c r="D16">
        <v>387</v>
      </c>
      <c r="E16" s="1">
        <f>387*7/6</f>
        <v>451.5</v>
      </c>
      <c r="F16" s="1">
        <f>387*7/6</f>
        <v>451.5</v>
      </c>
      <c r="G16" s="1">
        <f>452*10/7</f>
        <v>645.71428571428567</v>
      </c>
      <c r="H16" s="1">
        <v>645.71428571428567</v>
      </c>
      <c r="I16" s="1">
        <v>645.71428571428567</v>
      </c>
      <c r="J16" s="1">
        <v>645.71428571428567</v>
      </c>
      <c r="K16" s="1">
        <v>645.71428571428567</v>
      </c>
      <c r="L16" s="1">
        <v>645.71428571428567</v>
      </c>
      <c r="M16" s="1">
        <v>645.71428571428567</v>
      </c>
      <c r="N16" s="1">
        <v>645.71428571428567</v>
      </c>
      <c r="O16" s="1">
        <v>645.71428571428567</v>
      </c>
      <c r="P16" s="1">
        <v>645.71428571428567</v>
      </c>
      <c r="Q16" s="1">
        <v>645.71428571428567</v>
      </c>
      <c r="R16" s="1">
        <v>645.71428571428567</v>
      </c>
      <c r="S16" s="1">
        <v>645.71428571428567</v>
      </c>
    </row>
    <row r="17" spans="1:19">
      <c r="A17" t="s">
        <v>18</v>
      </c>
      <c r="B17">
        <v>0</v>
      </c>
      <c r="C17">
        <v>0</v>
      </c>
      <c r="D17">
        <v>0</v>
      </c>
      <c r="E17" s="1">
        <v>225</v>
      </c>
      <c r="F17" s="1">
        <v>225</v>
      </c>
      <c r="G17" s="1">
        <v>225</v>
      </c>
      <c r="H17" s="1">
        <v>225</v>
      </c>
      <c r="I17" s="1">
        <v>225</v>
      </c>
      <c r="J17" s="1">
        <v>225</v>
      </c>
      <c r="K17" s="1">
        <v>225</v>
      </c>
      <c r="L17" s="1">
        <v>225</v>
      </c>
      <c r="M17" s="1">
        <v>225</v>
      </c>
      <c r="N17" s="1">
        <v>225</v>
      </c>
      <c r="O17" s="1">
        <v>225</v>
      </c>
      <c r="P17" s="1">
        <v>225</v>
      </c>
      <c r="Q17" s="1">
        <v>225</v>
      </c>
      <c r="R17" s="1">
        <v>225</v>
      </c>
      <c r="S17" s="1">
        <v>225</v>
      </c>
    </row>
    <row r="18" spans="1:19">
      <c r="A18" t="s">
        <v>8</v>
      </c>
      <c r="B18">
        <v>681</v>
      </c>
      <c r="C18">
        <f>681-125</f>
        <v>556</v>
      </c>
      <c r="D18">
        <f>681-125-281</f>
        <v>275</v>
      </c>
      <c r="E18">
        <f>681-125-281-3</f>
        <v>272</v>
      </c>
      <c r="F18">
        <f>681-125-281-3-52</f>
        <v>220</v>
      </c>
      <c r="G18">
        <f>681-125-281-3-52+189</f>
        <v>409</v>
      </c>
      <c r="H18" s="1">
        <f>409+66</f>
        <v>475</v>
      </c>
      <c r="I18" s="1">
        <f>475-94</f>
        <v>381</v>
      </c>
      <c r="J18" s="1">
        <f>381-51</f>
        <v>330</v>
      </c>
      <c r="K18" s="1">
        <f>330+87</f>
        <v>417</v>
      </c>
      <c r="L18" s="1">
        <v>372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>
      <c r="A19" t="s">
        <v>42</v>
      </c>
      <c r="H19" s="1"/>
      <c r="M19" s="1">
        <v>232</v>
      </c>
      <c r="N19" s="1">
        <v>159</v>
      </c>
      <c r="O19" s="1">
        <v>63</v>
      </c>
      <c r="P19" s="1">
        <v>147</v>
      </c>
      <c r="Q19" s="1">
        <v>225</v>
      </c>
      <c r="R19" s="1">
        <v>189</v>
      </c>
      <c r="S19" s="1">
        <v>102</v>
      </c>
    </row>
    <row r="20" spans="1:19">
      <c r="H20" s="1"/>
    </row>
    <row r="21" spans="1:19">
      <c r="H21" s="1"/>
    </row>
  </sheetData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C16" sqref="C16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</cols>
  <sheetData>
    <row r="1" spans="1:7">
      <c r="A1" t="s">
        <v>0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</row>
    <row r="5" spans="1:7">
      <c r="A5" t="s">
        <v>11</v>
      </c>
      <c r="B5" s="1">
        <f t="shared" ref="B5:B15" si="0">D5/C5</f>
        <v>490.19607843137254</v>
      </c>
      <c r="C5">
        <v>204</v>
      </c>
      <c r="D5">
        <f t="shared" ref="D5:D11" si="1">$D$13*E5</f>
        <v>100000</v>
      </c>
      <c r="E5" s="2">
        <v>0.1</v>
      </c>
      <c r="F5">
        <v>230</v>
      </c>
    </row>
    <row r="6" spans="1:7">
      <c r="A6" t="s">
        <v>5</v>
      </c>
      <c r="B6" s="1">
        <f t="shared" si="0"/>
        <v>510.94890510948903</v>
      </c>
      <c r="C6">
        <v>137</v>
      </c>
      <c r="D6">
        <f t="shared" si="1"/>
        <v>70000</v>
      </c>
      <c r="E6" s="2">
        <v>7.0000000000000007E-2</v>
      </c>
      <c r="F6">
        <v>200</v>
      </c>
    </row>
    <row r="7" spans="1:7">
      <c r="A7" t="s">
        <v>7</v>
      </c>
      <c r="B7" s="1">
        <f t="shared" si="0"/>
        <v>595.23809523809518</v>
      </c>
      <c r="C7">
        <v>252</v>
      </c>
      <c r="D7">
        <f t="shared" si="1"/>
        <v>150000</v>
      </c>
      <c r="E7" s="2">
        <v>0.15</v>
      </c>
      <c r="F7">
        <v>300</v>
      </c>
      <c r="G7" t="s">
        <v>32</v>
      </c>
    </row>
    <row r="8" spans="1:7">
      <c r="A8" t="s">
        <v>6</v>
      </c>
      <c r="B8" s="1">
        <f t="shared" si="0"/>
        <v>389.61038961038963</v>
      </c>
      <c r="C8">
        <v>385</v>
      </c>
      <c r="D8">
        <f t="shared" si="1"/>
        <v>150000</v>
      </c>
      <c r="E8" s="2">
        <v>0.15</v>
      </c>
      <c r="F8">
        <v>400</v>
      </c>
    </row>
    <row r="9" spans="1:7">
      <c r="A9" t="s">
        <v>10</v>
      </c>
      <c r="B9" s="1">
        <f t="shared" si="0"/>
        <v>156.25</v>
      </c>
      <c r="C9">
        <v>448</v>
      </c>
      <c r="D9">
        <f t="shared" si="1"/>
        <v>70000</v>
      </c>
      <c r="E9" s="2">
        <v>7.0000000000000007E-2</v>
      </c>
      <c r="F9">
        <v>400</v>
      </c>
    </row>
    <row r="10" spans="1:7">
      <c r="A10" t="s">
        <v>14</v>
      </c>
      <c r="B10" s="1">
        <f t="shared" si="0"/>
        <v>919.54022988505744</v>
      </c>
      <c r="C10">
        <v>87</v>
      </c>
      <c r="D10">
        <f t="shared" si="1"/>
        <v>80000</v>
      </c>
      <c r="E10" s="2">
        <v>0.08</v>
      </c>
      <c r="F10">
        <v>125</v>
      </c>
    </row>
    <row r="11" spans="1:7">
      <c r="A11" t="s">
        <v>9</v>
      </c>
      <c r="B11" s="1">
        <f t="shared" si="0"/>
        <v>387.09677419354841</v>
      </c>
      <c r="C11">
        <v>155</v>
      </c>
      <c r="D11">
        <f t="shared" si="1"/>
        <v>60000</v>
      </c>
      <c r="E11" s="2">
        <v>0.06</v>
      </c>
      <c r="F11">
        <v>160</v>
      </c>
    </row>
    <row r="13" spans="1:7">
      <c r="D13">
        <v>1000000</v>
      </c>
      <c r="E13" s="2">
        <f>SUM(E5:E11)</f>
        <v>0.67999999999999994</v>
      </c>
    </row>
    <row r="15" spans="1:7">
      <c r="A15" t="s">
        <v>8</v>
      </c>
      <c r="B15" s="1">
        <f t="shared" si="0"/>
        <v>680.85106382978734</v>
      </c>
      <c r="C15">
        <v>470</v>
      </c>
      <c r="D15">
        <f>D13*E15</f>
        <v>320000.00000000006</v>
      </c>
      <c r="E15" s="2">
        <f>100%-E13</f>
        <v>0.32000000000000006</v>
      </c>
    </row>
    <row r="18" spans="2:2">
      <c r="B18" s="3"/>
    </row>
  </sheetData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J32" sqref="J32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6.7109375" bestFit="1" customWidth="1"/>
  </cols>
  <sheetData>
    <row r="1" spans="1:7">
      <c r="A1" t="s">
        <v>0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20</v>
      </c>
    </row>
    <row r="5" spans="1:7">
      <c r="A5" t="s">
        <v>11</v>
      </c>
      <c r="B5" s="1">
        <f t="shared" ref="B5:B17" si="0">D5/C5</f>
        <v>343.64261168384877</v>
      </c>
      <c r="C5">
        <v>291</v>
      </c>
      <c r="D5">
        <f t="shared" ref="D5:D12" si="1">$D$15*E5</f>
        <v>100000</v>
      </c>
      <c r="E5" s="2">
        <v>0.1</v>
      </c>
      <c r="F5">
        <v>260</v>
      </c>
    </row>
    <row r="6" spans="1:7">
      <c r="A6" t="s">
        <v>5</v>
      </c>
      <c r="B6" s="1">
        <f t="shared" si="0"/>
        <v>400</v>
      </c>
      <c r="C6">
        <v>175</v>
      </c>
      <c r="D6">
        <f t="shared" si="1"/>
        <v>70000</v>
      </c>
      <c r="E6" s="2">
        <v>7.0000000000000007E-2</v>
      </c>
      <c r="F6">
        <v>200</v>
      </c>
    </row>
    <row r="7" spans="1:7">
      <c r="A7" t="s">
        <v>7</v>
      </c>
      <c r="B7" s="1">
        <f t="shared" si="0"/>
        <v>467.28971962616822</v>
      </c>
      <c r="C7">
        <v>321</v>
      </c>
      <c r="D7">
        <f t="shared" si="1"/>
        <v>150000</v>
      </c>
      <c r="E7" s="2">
        <v>0.15</v>
      </c>
      <c r="F7">
        <v>300</v>
      </c>
    </row>
    <row r="8" spans="1:7">
      <c r="A8" t="s">
        <v>15</v>
      </c>
      <c r="B8" s="1">
        <f t="shared" si="0"/>
        <v>1000</v>
      </c>
      <c r="C8">
        <v>70</v>
      </c>
      <c r="D8">
        <f t="shared" si="1"/>
        <v>70000</v>
      </c>
      <c r="E8" s="2">
        <v>7.0000000000000007E-2</v>
      </c>
      <c r="F8">
        <v>80</v>
      </c>
      <c r="G8" t="s">
        <v>27</v>
      </c>
    </row>
    <row r="9" spans="1:7">
      <c r="A9" t="s">
        <v>6</v>
      </c>
      <c r="B9" s="1">
        <f t="shared" si="0"/>
        <v>276.24309392265195</v>
      </c>
      <c r="C9">
        <v>543</v>
      </c>
      <c r="D9">
        <f t="shared" si="1"/>
        <v>150000</v>
      </c>
      <c r="E9" s="2">
        <v>0.15</v>
      </c>
      <c r="F9">
        <v>450</v>
      </c>
    </row>
    <row r="10" spans="1:7">
      <c r="A10" t="s">
        <v>10</v>
      </c>
      <c r="B10" s="1">
        <f t="shared" si="0"/>
        <v>121.73913043478261</v>
      </c>
      <c r="C10">
        <v>575</v>
      </c>
      <c r="D10">
        <f t="shared" si="1"/>
        <v>70000</v>
      </c>
      <c r="E10" s="2">
        <v>7.0000000000000007E-2</v>
      </c>
      <c r="F10">
        <v>400</v>
      </c>
    </row>
    <row r="11" spans="1:7">
      <c r="A11" t="s">
        <v>14</v>
      </c>
      <c r="B11" s="1">
        <f t="shared" si="0"/>
        <v>714.28571428571433</v>
      </c>
      <c r="C11">
        <v>112</v>
      </c>
      <c r="D11">
        <f t="shared" si="1"/>
        <v>80000</v>
      </c>
      <c r="E11" s="2">
        <v>0.08</v>
      </c>
      <c r="F11">
        <v>125</v>
      </c>
    </row>
    <row r="12" spans="1:7">
      <c r="A12" t="s">
        <v>9</v>
      </c>
      <c r="B12" s="1">
        <f t="shared" si="0"/>
        <v>298.50746268656718</v>
      </c>
      <c r="C12">
        <v>201</v>
      </c>
      <c r="D12">
        <f t="shared" si="1"/>
        <v>60000</v>
      </c>
      <c r="E12" s="2">
        <v>0.06</v>
      </c>
      <c r="F12">
        <v>190</v>
      </c>
    </row>
    <row r="15" spans="1:7">
      <c r="D15">
        <v>1000000</v>
      </c>
      <c r="E15" s="2">
        <f>SUM(E5:E12)</f>
        <v>0.75</v>
      </c>
    </row>
    <row r="17" spans="1:5">
      <c r="A17" t="s">
        <v>8</v>
      </c>
      <c r="B17" s="1">
        <f t="shared" si="0"/>
        <v>448.02867383512546</v>
      </c>
      <c r="C17">
        <v>558</v>
      </c>
      <c r="D17">
        <f>D15*E17</f>
        <v>250000</v>
      </c>
      <c r="E17" s="2">
        <f>100%-E15</f>
        <v>0.25</v>
      </c>
    </row>
    <row r="20" spans="1:5">
      <c r="B20" s="3"/>
    </row>
  </sheetData>
  <pageMargins left="0.7" right="0.7" top="0.75" bottom="0.75" header="0.3" footer="0.3"/>
  <pageSetup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C20" sqref="C2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6.42578125" bestFit="1" customWidth="1"/>
  </cols>
  <sheetData>
    <row r="1" spans="1:7">
      <c r="A1" t="s">
        <v>0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20</v>
      </c>
    </row>
    <row r="5" spans="1:7">
      <c r="A5" t="s">
        <v>11</v>
      </c>
      <c r="B5" s="1">
        <f t="shared" ref="B5:B19" si="0">D5/C5</f>
        <v>325.73289902280129</v>
      </c>
      <c r="C5">
        <v>307</v>
      </c>
      <c r="D5">
        <f t="shared" ref="D5:D14" si="1">$D$17*E5</f>
        <v>100000</v>
      </c>
      <c r="E5" s="2">
        <v>0.1</v>
      </c>
      <c r="F5">
        <v>260</v>
      </c>
    </row>
    <row r="6" spans="1:7">
      <c r="A6" t="s">
        <v>5</v>
      </c>
      <c r="B6" s="1">
        <f t="shared" si="0"/>
        <v>421.68674698795184</v>
      </c>
      <c r="C6">
        <v>166</v>
      </c>
      <c r="D6">
        <f t="shared" si="1"/>
        <v>70000</v>
      </c>
      <c r="E6" s="2">
        <v>7.0000000000000007E-2</v>
      </c>
      <c r="F6">
        <v>200</v>
      </c>
    </row>
    <row r="7" spans="1:7">
      <c r="A7" t="s">
        <v>7</v>
      </c>
      <c r="B7" s="1">
        <f t="shared" si="0"/>
        <v>476.1904761904762</v>
      </c>
      <c r="C7">
        <v>315</v>
      </c>
      <c r="D7">
        <f t="shared" si="1"/>
        <v>150000</v>
      </c>
      <c r="E7" s="2">
        <v>0.15</v>
      </c>
      <c r="F7">
        <v>300</v>
      </c>
    </row>
    <row r="8" spans="1:7">
      <c r="A8" t="s">
        <v>15</v>
      </c>
      <c r="B8" s="1">
        <f t="shared" si="0"/>
        <v>1000</v>
      </c>
      <c r="C8">
        <v>70</v>
      </c>
      <c r="D8">
        <f t="shared" si="1"/>
        <v>70000</v>
      </c>
      <c r="E8" s="2">
        <v>7.0000000000000007E-2</v>
      </c>
      <c r="F8">
        <v>80</v>
      </c>
    </row>
    <row r="9" spans="1:7">
      <c r="A9" t="s">
        <v>6</v>
      </c>
      <c r="B9" s="1">
        <f t="shared" si="0"/>
        <v>259.06735751295338</v>
      </c>
      <c r="C9">
        <v>579</v>
      </c>
      <c r="D9">
        <f t="shared" si="1"/>
        <v>150000</v>
      </c>
      <c r="E9" s="2">
        <v>0.15</v>
      </c>
      <c r="F9">
        <v>450</v>
      </c>
    </row>
    <row r="10" spans="1:7">
      <c r="A10" t="s">
        <v>10</v>
      </c>
      <c r="B10" s="1">
        <f t="shared" si="0"/>
        <v>119.45392491467577</v>
      </c>
      <c r="C10">
        <v>586</v>
      </c>
      <c r="D10">
        <f t="shared" si="1"/>
        <v>70000</v>
      </c>
      <c r="E10" s="2">
        <v>7.0000000000000007E-2</v>
      </c>
      <c r="F10">
        <v>400</v>
      </c>
    </row>
    <row r="11" spans="1:7">
      <c r="A11" t="s">
        <v>17</v>
      </c>
      <c r="B11" s="1">
        <f t="shared" si="0"/>
        <v>371.74721189591077</v>
      </c>
      <c r="C11">
        <v>269</v>
      </c>
      <c r="D11">
        <f t="shared" si="1"/>
        <v>100000</v>
      </c>
      <c r="E11" s="2">
        <v>0.1</v>
      </c>
      <c r="F11">
        <v>300</v>
      </c>
      <c r="G11" t="s">
        <v>26</v>
      </c>
    </row>
    <row r="12" spans="1:7">
      <c r="A12" t="s">
        <v>16</v>
      </c>
      <c r="B12" s="1">
        <f t="shared" si="0"/>
        <v>781.25</v>
      </c>
      <c r="C12">
        <v>64</v>
      </c>
      <c r="D12">
        <f t="shared" si="1"/>
        <v>50000</v>
      </c>
      <c r="E12" s="2">
        <v>0.05</v>
      </c>
      <c r="F12">
        <v>100</v>
      </c>
      <c r="G12" t="s">
        <v>26</v>
      </c>
    </row>
    <row r="13" spans="1:7">
      <c r="A13" t="s">
        <v>14</v>
      </c>
      <c r="B13" s="1">
        <f t="shared" si="0"/>
        <v>720.72072072072069</v>
      </c>
      <c r="C13">
        <v>111</v>
      </c>
      <c r="D13">
        <f t="shared" si="1"/>
        <v>80000</v>
      </c>
      <c r="E13" s="2">
        <v>0.08</v>
      </c>
      <c r="F13">
        <v>125</v>
      </c>
    </row>
    <row r="14" spans="1:7">
      <c r="A14" t="s">
        <v>9</v>
      </c>
      <c r="B14" s="1">
        <f t="shared" si="0"/>
        <v>310.88082901554407</v>
      </c>
      <c r="C14">
        <v>193</v>
      </c>
      <c r="D14">
        <f t="shared" si="1"/>
        <v>60000</v>
      </c>
      <c r="E14" s="2">
        <v>0.06</v>
      </c>
      <c r="F14">
        <v>190</v>
      </c>
    </row>
    <row r="17" spans="1:5">
      <c r="D17">
        <v>1000000</v>
      </c>
      <c r="E17" s="2">
        <f>SUM(E5:E14)</f>
        <v>0.90000000000000013</v>
      </c>
    </row>
    <row r="19" spans="1:5">
      <c r="A19" t="s">
        <v>8</v>
      </c>
      <c r="B19" s="1">
        <f t="shared" si="0"/>
        <v>187.61726078799225</v>
      </c>
      <c r="C19">
        <v>533</v>
      </c>
      <c r="D19">
        <f>D17*E19</f>
        <v>99999.999999999869</v>
      </c>
      <c r="E19" s="2">
        <f>100%-E17</f>
        <v>9.9999999999999867E-2</v>
      </c>
    </row>
    <row r="22" spans="1:5">
      <c r="B22" s="3"/>
    </row>
  </sheetData>
  <pageMargins left="0.7" right="0.7" top="0.75" bottom="0.75" header="0.3" footer="0.3"/>
  <pageSetup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C18" sqref="C18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34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0" si="0">D5/C5</f>
        <v>326.79738562091501</v>
      </c>
      <c r="C5">
        <v>306</v>
      </c>
      <c r="D5">
        <f t="shared" ref="D5:D15" si="1">$D$18*E5</f>
        <v>100000</v>
      </c>
      <c r="E5" s="2">
        <v>0.1</v>
      </c>
      <c r="F5">
        <v>260</v>
      </c>
      <c r="G5">
        <v>0</v>
      </c>
      <c r="H5" s="2">
        <f t="shared" ref="H5:H15" si="2">G5*E5</f>
        <v>0</v>
      </c>
    </row>
    <row r="6" spans="1:9">
      <c r="A6" t="s">
        <v>5</v>
      </c>
      <c r="B6" s="1">
        <f t="shared" si="0"/>
        <v>414.20118343195264</v>
      </c>
      <c r="C6">
        <v>169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470.2194357366771</v>
      </c>
      <c r="C7">
        <v>319</v>
      </c>
      <c r="D7">
        <f t="shared" si="1"/>
        <v>150000</v>
      </c>
      <c r="E7" s="2">
        <v>0.15</v>
      </c>
      <c r="F7">
        <v>300</v>
      </c>
      <c r="G7">
        <v>0</v>
      </c>
      <c r="H7" s="2">
        <f t="shared" si="2"/>
        <v>0</v>
      </c>
    </row>
    <row r="8" spans="1:9">
      <c r="A8" t="s">
        <v>15</v>
      </c>
      <c r="B8" s="1">
        <f t="shared" si="0"/>
        <v>675.67567567567562</v>
      </c>
      <c r="C8">
        <v>74</v>
      </c>
      <c r="D8">
        <f t="shared" si="1"/>
        <v>50000</v>
      </c>
      <c r="E8" s="2">
        <v>0.05</v>
      </c>
      <c r="F8">
        <v>80</v>
      </c>
      <c r="G8">
        <v>1</v>
      </c>
      <c r="H8" s="2">
        <f t="shared" si="2"/>
        <v>0.05</v>
      </c>
      <c r="I8" t="s">
        <v>22</v>
      </c>
    </row>
    <row r="9" spans="1:9">
      <c r="A9" t="s">
        <v>6</v>
      </c>
      <c r="B9" s="1">
        <f t="shared" si="0"/>
        <v>261.78010471204186</v>
      </c>
      <c r="C9">
        <v>573</v>
      </c>
      <c r="D9">
        <f t="shared" si="1"/>
        <v>150000</v>
      </c>
      <c r="E9" s="2">
        <v>0.15</v>
      </c>
      <c r="F9">
        <v>450</v>
      </c>
      <c r="G9">
        <v>0</v>
      </c>
      <c r="H9" s="2">
        <f t="shared" si="2"/>
        <v>0</v>
      </c>
    </row>
    <row r="10" spans="1:9">
      <c r="A10" t="s">
        <v>10</v>
      </c>
      <c r="B10" s="1">
        <f t="shared" si="0"/>
        <v>102.94117647058823</v>
      </c>
      <c r="C10">
        <v>680</v>
      </c>
      <c r="D10">
        <f t="shared" si="1"/>
        <v>70000</v>
      </c>
      <c r="E10" s="2">
        <v>7.0000000000000007E-2</v>
      </c>
      <c r="F10">
        <v>400</v>
      </c>
      <c r="G10">
        <v>0</v>
      </c>
      <c r="H10" s="2">
        <f t="shared" si="2"/>
        <v>0</v>
      </c>
    </row>
    <row r="11" spans="1:9">
      <c r="A11" t="s">
        <v>17</v>
      </c>
      <c r="B11" s="1">
        <f t="shared" si="0"/>
        <v>196.85039370078741</v>
      </c>
      <c r="C11">
        <v>254</v>
      </c>
      <c r="D11">
        <f t="shared" si="1"/>
        <v>50000</v>
      </c>
      <c r="E11" s="2">
        <v>0.05</v>
      </c>
      <c r="F11">
        <v>300</v>
      </c>
      <c r="G11">
        <v>1</v>
      </c>
      <c r="H11" s="2">
        <f t="shared" si="2"/>
        <v>0.05</v>
      </c>
      <c r="I11" t="s">
        <v>22</v>
      </c>
    </row>
    <row r="12" spans="1:9">
      <c r="A12" t="s">
        <v>16</v>
      </c>
      <c r="B12" s="1">
        <f t="shared" si="0"/>
        <v>625</v>
      </c>
      <c r="C12">
        <v>80</v>
      </c>
      <c r="D12">
        <f t="shared" si="1"/>
        <v>50000</v>
      </c>
      <c r="E12" s="2">
        <v>0.05</v>
      </c>
      <c r="F12">
        <v>100</v>
      </c>
      <c r="G12">
        <v>1</v>
      </c>
      <c r="H12" s="2">
        <f t="shared" si="2"/>
        <v>0.05</v>
      </c>
    </row>
    <row r="13" spans="1:9">
      <c r="A13" t="s">
        <v>14</v>
      </c>
      <c r="B13" s="1">
        <f t="shared" si="0"/>
        <v>636.36363636363637</v>
      </c>
      <c r="C13">
        <v>110</v>
      </c>
      <c r="D13">
        <f t="shared" si="1"/>
        <v>70000</v>
      </c>
      <c r="E13" s="2">
        <v>7.0000000000000007E-2</v>
      </c>
      <c r="F13">
        <v>125</v>
      </c>
      <c r="G13">
        <v>1</v>
      </c>
      <c r="H13" s="2">
        <f t="shared" si="2"/>
        <v>7.0000000000000007E-2</v>
      </c>
      <c r="I13" t="s">
        <v>23</v>
      </c>
    </row>
    <row r="14" spans="1:9">
      <c r="A14" t="s">
        <v>9</v>
      </c>
      <c r="B14" s="1">
        <f t="shared" si="0"/>
        <v>372.34042553191489</v>
      </c>
      <c r="C14">
        <v>188</v>
      </c>
      <c r="D14">
        <f t="shared" si="1"/>
        <v>70000</v>
      </c>
      <c r="E14" s="2">
        <v>7.0000000000000007E-2</v>
      </c>
      <c r="F14">
        <v>190</v>
      </c>
      <c r="G14">
        <v>1</v>
      </c>
      <c r="H14" s="2">
        <f t="shared" si="2"/>
        <v>7.0000000000000007E-2</v>
      </c>
      <c r="I14" t="s">
        <v>24</v>
      </c>
    </row>
    <row r="15" spans="1:9">
      <c r="A15" t="s">
        <v>18</v>
      </c>
      <c r="B15" s="1">
        <f t="shared" si="0"/>
        <v>225.22522522522522</v>
      </c>
      <c r="C15">
        <v>222</v>
      </c>
      <c r="D15">
        <f t="shared" si="1"/>
        <v>50000</v>
      </c>
      <c r="E15" s="2">
        <v>0.05</v>
      </c>
      <c r="F15">
        <v>250</v>
      </c>
      <c r="G15">
        <v>1</v>
      </c>
      <c r="H15" s="2">
        <f t="shared" si="2"/>
        <v>0.05</v>
      </c>
      <c r="I15" t="s">
        <v>25</v>
      </c>
    </row>
    <row r="18" spans="1:8">
      <c r="D18">
        <v>1000000</v>
      </c>
      <c r="E18" s="2">
        <f>SUM(E5:E15)</f>
        <v>0.88000000000000034</v>
      </c>
      <c r="G18" s="4"/>
      <c r="H18" s="2">
        <f>SUM(H5:H15)</f>
        <v>0.41000000000000003</v>
      </c>
    </row>
    <row r="20" spans="1:8">
      <c r="A20" t="s">
        <v>8</v>
      </c>
      <c r="B20" s="1">
        <f t="shared" si="0"/>
        <v>230.32629558541203</v>
      </c>
      <c r="C20">
        <v>521</v>
      </c>
      <c r="D20">
        <f>D18*E20</f>
        <v>119999.99999999967</v>
      </c>
      <c r="E20" s="2">
        <f>100%-E18</f>
        <v>0.11999999999999966</v>
      </c>
    </row>
    <row r="23" spans="1:8">
      <c r="B23" s="3"/>
    </row>
  </sheetData>
  <pageMargins left="0.7" right="0.7" top="0.75" bottom="0.75" header="0.3" footer="0.3"/>
  <pageSetup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C21" sqref="C21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7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0" si="0">D5/C5</f>
        <v>341.29692832764505</v>
      </c>
      <c r="C5">
        <v>293</v>
      </c>
      <c r="D5">
        <f t="shared" ref="D5:D15" si="1">$D$18*E5</f>
        <v>100000</v>
      </c>
      <c r="E5" s="2">
        <v>0.1</v>
      </c>
      <c r="F5">
        <v>260</v>
      </c>
      <c r="G5">
        <v>0</v>
      </c>
      <c r="H5" s="2">
        <f t="shared" ref="H5:H15" si="2">G5*E5</f>
        <v>0</v>
      </c>
    </row>
    <row r="6" spans="1:9">
      <c r="A6" t="s">
        <v>5</v>
      </c>
      <c r="B6" s="1">
        <f t="shared" si="0"/>
        <v>411.76470588235293</v>
      </c>
      <c r="C6">
        <v>170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468.75</v>
      </c>
      <c r="C7">
        <v>320</v>
      </c>
      <c r="D7">
        <f t="shared" si="1"/>
        <v>150000</v>
      </c>
      <c r="E7" s="2">
        <v>0.15</v>
      </c>
      <c r="F7">
        <v>300</v>
      </c>
      <c r="G7">
        <v>0</v>
      </c>
      <c r="H7" s="2">
        <f t="shared" si="2"/>
        <v>0</v>
      </c>
    </row>
    <row r="8" spans="1:9">
      <c r="A8" t="s">
        <v>15</v>
      </c>
      <c r="B8" s="1">
        <f t="shared" si="0"/>
        <v>757.57575757575762</v>
      </c>
      <c r="C8">
        <v>66</v>
      </c>
      <c r="D8">
        <f t="shared" si="1"/>
        <v>50000</v>
      </c>
      <c r="E8" s="2">
        <v>0.05</v>
      </c>
      <c r="F8">
        <v>80</v>
      </c>
      <c r="G8">
        <v>1</v>
      </c>
      <c r="H8" s="2">
        <f t="shared" si="2"/>
        <v>0.05</v>
      </c>
    </row>
    <row r="9" spans="1:9">
      <c r="A9" t="s">
        <v>6</v>
      </c>
      <c r="B9" s="1">
        <f t="shared" si="0"/>
        <v>277.26432532347502</v>
      </c>
      <c r="C9">
        <v>541</v>
      </c>
      <c r="D9">
        <f t="shared" si="1"/>
        <v>150000</v>
      </c>
      <c r="E9" s="2">
        <v>0.15</v>
      </c>
      <c r="F9">
        <v>450</v>
      </c>
      <c r="G9">
        <v>0</v>
      </c>
      <c r="H9" s="2">
        <f t="shared" si="2"/>
        <v>0</v>
      </c>
    </row>
    <row r="10" spans="1:9">
      <c r="A10" t="s">
        <v>10</v>
      </c>
      <c r="B10" s="1">
        <f t="shared" si="0"/>
        <v>106.87022900763358</v>
      </c>
      <c r="C10">
        <v>655</v>
      </c>
      <c r="D10">
        <f t="shared" si="1"/>
        <v>70000</v>
      </c>
      <c r="E10" s="2">
        <v>7.0000000000000007E-2</v>
      </c>
      <c r="F10">
        <v>400</v>
      </c>
      <c r="G10">
        <v>0</v>
      </c>
      <c r="H10" s="2">
        <f t="shared" si="2"/>
        <v>0</v>
      </c>
    </row>
    <row r="11" spans="1:9">
      <c r="A11" t="s">
        <v>17</v>
      </c>
      <c r="B11" s="1">
        <f t="shared" si="0"/>
        <v>278.88446215139442</v>
      </c>
      <c r="C11">
        <v>251</v>
      </c>
      <c r="D11">
        <f t="shared" si="1"/>
        <v>70000</v>
      </c>
      <c r="E11" s="2">
        <v>7.0000000000000007E-2</v>
      </c>
      <c r="F11">
        <v>300</v>
      </c>
      <c r="G11">
        <v>1</v>
      </c>
      <c r="H11" s="2">
        <f t="shared" si="2"/>
        <v>7.0000000000000007E-2</v>
      </c>
      <c r="I11" t="s">
        <v>21</v>
      </c>
    </row>
    <row r="12" spans="1:9">
      <c r="A12" t="s">
        <v>16</v>
      </c>
      <c r="B12" s="1">
        <f t="shared" si="0"/>
        <v>675.67567567567562</v>
      </c>
      <c r="C12">
        <v>74</v>
      </c>
      <c r="D12">
        <f t="shared" si="1"/>
        <v>50000</v>
      </c>
      <c r="E12" s="2">
        <v>0.05</v>
      </c>
      <c r="F12">
        <v>100</v>
      </c>
      <c r="G12">
        <v>1</v>
      </c>
      <c r="H12" s="2">
        <f t="shared" si="2"/>
        <v>0.05</v>
      </c>
    </row>
    <row r="13" spans="1:9">
      <c r="A13" t="s">
        <v>14</v>
      </c>
      <c r="B13" s="1">
        <f t="shared" si="0"/>
        <v>660.37735849056605</v>
      </c>
      <c r="C13">
        <v>106</v>
      </c>
      <c r="D13">
        <f t="shared" si="1"/>
        <v>70000</v>
      </c>
      <c r="E13" s="2">
        <v>7.0000000000000007E-2</v>
      </c>
      <c r="F13">
        <v>125</v>
      </c>
      <c r="G13">
        <v>1</v>
      </c>
      <c r="H13" s="2">
        <f t="shared" si="2"/>
        <v>7.0000000000000007E-2</v>
      </c>
    </row>
    <row r="14" spans="1:9">
      <c r="A14" t="s">
        <v>9</v>
      </c>
      <c r="B14" s="1">
        <f t="shared" si="0"/>
        <v>376.3440860215054</v>
      </c>
      <c r="C14">
        <v>186</v>
      </c>
      <c r="D14">
        <f t="shared" si="1"/>
        <v>70000</v>
      </c>
      <c r="E14" s="2">
        <v>7.0000000000000007E-2</v>
      </c>
      <c r="F14">
        <v>190</v>
      </c>
      <c r="G14">
        <v>1</v>
      </c>
      <c r="H14" s="2">
        <f t="shared" si="2"/>
        <v>7.0000000000000007E-2</v>
      </c>
    </row>
    <row r="15" spans="1:9">
      <c r="A15" t="s">
        <v>18</v>
      </c>
      <c r="B15" s="1">
        <f t="shared" si="0"/>
        <v>247.52475247524754</v>
      </c>
      <c r="C15">
        <v>202</v>
      </c>
      <c r="D15">
        <f t="shared" si="1"/>
        <v>50000</v>
      </c>
      <c r="E15" s="2">
        <v>0.05</v>
      </c>
      <c r="F15">
        <v>250</v>
      </c>
      <c r="G15">
        <v>1</v>
      </c>
      <c r="H15" s="2">
        <f t="shared" si="2"/>
        <v>0.05</v>
      </c>
    </row>
    <row r="18" spans="1:8">
      <c r="D18">
        <v>1000000</v>
      </c>
      <c r="E18" s="2">
        <f>SUM(E5:E15)</f>
        <v>0.90000000000000036</v>
      </c>
      <c r="G18" s="4"/>
      <c r="H18" s="2">
        <f>SUM(H5:H15)</f>
        <v>0.43</v>
      </c>
    </row>
    <row r="20" spans="1:8">
      <c r="A20" t="s">
        <v>8</v>
      </c>
      <c r="B20" s="1">
        <f t="shared" si="0"/>
        <v>195.69471624266077</v>
      </c>
      <c r="C20">
        <v>511</v>
      </c>
      <c r="D20">
        <f>D18*E20</f>
        <v>99999.999999999651</v>
      </c>
      <c r="E20" s="2">
        <f>100%-E18</f>
        <v>9.9999999999999645E-2</v>
      </c>
    </row>
    <row r="23" spans="1:8">
      <c r="B23" s="3"/>
    </row>
  </sheetData>
  <pageMargins left="0.7" right="0.7" top="0.75" bottom="0.75" header="0.3" footer="0.3"/>
  <pageSetup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I10" sqref="I1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7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0" si="0">D5/C5</f>
        <v>331.12582781456956</v>
      </c>
      <c r="C5">
        <v>302</v>
      </c>
      <c r="D5">
        <f t="shared" ref="D5:D15" si="1">$D$18*E5</f>
        <v>100000</v>
      </c>
      <c r="E5" s="2">
        <v>0.1</v>
      </c>
      <c r="F5">
        <v>260</v>
      </c>
      <c r="G5">
        <v>0</v>
      </c>
      <c r="H5" s="2">
        <f t="shared" ref="H5:H15" si="2">G5*E5</f>
        <v>0</v>
      </c>
    </row>
    <row r="6" spans="1:9">
      <c r="A6" t="s">
        <v>5</v>
      </c>
      <c r="B6" s="1">
        <f t="shared" si="0"/>
        <v>404.62427745664741</v>
      </c>
      <c r="C6">
        <v>173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476.1904761904762</v>
      </c>
      <c r="C7">
        <v>315</v>
      </c>
      <c r="D7">
        <f t="shared" si="1"/>
        <v>150000</v>
      </c>
      <c r="E7" s="2">
        <v>0.15</v>
      </c>
      <c r="F7">
        <v>300</v>
      </c>
      <c r="G7">
        <v>0</v>
      </c>
      <c r="H7" s="2">
        <f t="shared" si="2"/>
        <v>0</v>
      </c>
      <c r="I7" t="s">
        <v>31</v>
      </c>
    </row>
    <row r="8" spans="1:9">
      <c r="A8" t="s">
        <v>15</v>
      </c>
      <c r="B8" s="1">
        <f t="shared" si="0"/>
        <v>724.63768115942025</v>
      </c>
      <c r="C8">
        <v>69</v>
      </c>
      <c r="D8">
        <f t="shared" si="1"/>
        <v>50000</v>
      </c>
      <c r="E8" s="2">
        <v>0.05</v>
      </c>
      <c r="F8">
        <v>80</v>
      </c>
      <c r="G8">
        <v>1</v>
      </c>
      <c r="H8" s="2">
        <f t="shared" si="2"/>
        <v>0.05</v>
      </c>
    </row>
    <row r="9" spans="1:9">
      <c r="A9" t="s">
        <v>6</v>
      </c>
      <c r="B9" s="1">
        <f t="shared" si="0"/>
        <v>182.81535648994515</v>
      </c>
      <c r="C9">
        <v>547</v>
      </c>
      <c r="D9">
        <f t="shared" si="1"/>
        <v>100000</v>
      </c>
      <c r="E9" s="2">
        <v>0.1</v>
      </c>
      <c r="F9">
        <v>450</v>
      </c>
      <c r="G9">
        <v>0</v>
      </c>
      <c r="H9" s="2">
        <f t="shared" si="2"/>
        <v>0</v>
      </c>
      <c r="I9" t="s">
        <v>28</v>
      </c>
    </row>
    <row r="10" spans="1:9">
      <c r="A10" t="s">
        <v>10</v>
      </c>
      <c r="B10" s="1">
        <f t="shared" si="0"/>
        <v>95.49795361527967</v>
      </c>
      <c r="C10">
        <v>733</v>
      </c>
      <c r="D10">
        <f t="shared" si="1"/>
        <v>70000</v>
      </c>
      <c r="E10" s="2">
        <v>7.0000000000000007E-2</v>
      </c>
      <c r="F10">
        <v>400</v>
      </c>
      <c r="G10">
        <v>0</v>
      </c>
      <c r="H10" s="2">
        <f t="shared" si="2"/>
        <v>0</v>
      </c>
    </row>
    <row r="11" spans="1:9">
      <c r="A11" t="s">
        <v>17</v>
      </c>
      <c r="B11" s="1">
        <f t="shared" si="0"/>
        <v>238.90784982935153</v>
      </c>
      <c r="C11">
        <v>293</v>
      </c>
      <c r="D11">
        <f t="shared" si="1"/>
        <v>70000</v>
      </c>
      <c r="E11" s="2">
        <v>7.0000000000000007E-2</v>
      </c>
      <c r="F11">
        <v>300</v>
      </c>
      <c r="G11">
        <v>1</v>
      </c>
      <c r="H11" s="2">
        <f t="shared" si="2"/>
        <v>7.0000000000000007E-2</v>
      </c>
    </row>
    <row r="12" spans="1:9">
      <c r="A12" t="s">
        <v>16</v>
      </c>
      <c r="B12" s="1">
        <f t="shared" si="0"/>
        <v>675.67567567567562</v>
      </c>
      <c r="C12">
        <v>74</v>
      </c>
      <c r="D12">
        <f t="shared" si="1"/>
        <v>50000</v>
      </c>
      <c r="E12" s="2">
        <v>0.05</v>
      </c>
      <c r="F12">
        <v>100</v>
      </c>
      <c r="G12">
        <v>1</v>
      </c>
      <c r="H12" s="2">
        <f t="shared" si="2"/>
        <v>0.05</v>
      </c>
    </row>
    <row r="13" spans="1:9">
      <c r="A13" t="s">
        <v>14</v>
      </c>
      <c r="B13" s="1">
        <f t="shared" si="0"/>
        <v>673.07692307692309</v>
      </c>
      <c r="C13">
        <v>104</v>
      </c>
      <c r="D13">
        <f t="shared" si="1"/>
        <v>70000</v>
      </c>
      <c r="E13" s="2">
        <v>7.0000000000000007E-2</v>
      </c>
      <c r="F13">
        <v>125</v>
      </c>
      <c r="G13">
        <v>1</v>
      </c>
      <c r="H13" s="2">
        <f t="shared" si="2"/>
        <v>7.0000000000000007E-2</v>
      </c>
    </row>
    <row r="14" spans="1:9">
      <c r="A14" t="s">
        <v>9</v>
      </c>
      <c r="B14" s="1">
        <f t="shared" si="0"/>
        <v>490.19607843137254</v>
      </c>
      <c r="C14">
        <v>204</v>
      </c>
      <c r="D14">
        <f t="shared" si="1"/>
        <v>100000</v>
      </c>
      <c r="E14" s="2">
        <v>0.1</v>
      </c>
      <c r="F14">
        <v>190</v>
      </c>
      <c r="G14">
        <v>1</v>
      </c>
      <c r="H14" s="2">
        <f t="shared" si="2"/>
        <v>0.1</v>
      </c>
      <c r="I14" t="s">
        <v>29</v>
      </c>
    </row>
    <row r="15" spans="1:9">
      <c r="A15" t="s">
        <v>18</v>
      </c>
      <c r="B15" s="1">
        <f t="shared" si="0"/>
        <v>231.4814814814815</v>
      </c>
      <c r="C15">
        <v>216</v>
      </c>
      <c r="D15">
        <f t="shared" si="1"/>
        <v>50000</v>
      </c>
      <c r="E15" s="2">
        <v>0.05</v>
      </c>
      <c r="F15">
        <v>250</v>
      </c>
      <c r="G15">
        <v>1</v>
      </c>
      <c r="H15" s="2">
        <f t="shared" si="2"/>
        <v>0.05</v>
      </c>
    </row>
    <row r="18" spans="1:8">
      <c r="D18">
        <v>1000000</v>
      </c>
      <c r="E18" s="2">
        <f>SUM(E5:E15)</f>
        <v>0.88000000000000023</v>
      </c>
      <c r="G18" s="4"/>
      <c r="H18" s="2">
        <f>SUM(H5:H15)</f>
        <v>0.46</v>
      </c>
    </row>
    <row r="20" spans="1:8">
      <c r="A20" t="s">
        <v>8</v>
      </c>
      <c r="B20" s="1">
        <f t="shared" si="0"/>
        <v>241.93548387096726</v>
      </c>
      <c r="C20">
        <v>496</v>
      </c>
      <c r="D20">
        <f>D18*E20</f>
        <v>119999.99999999977</v>
      </c>
      <c r="E20" s="2">
        <f>100%-E18</f>
        <v>0.11999999999999977</v>
      </c>
    </row>
    <row r="23" spans="1:8">
      <c r="B23" s="3"/>
    </row>
  </sheetData>
  <pageMargins left="0.7" right="0.7" top="0.75" bottom="0.75" header="0.3" footer="0.3"/>
  <pageSetup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I10" sqref="I1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7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0" si="0">D5/C5</f>
        <v>337.83783783783781</v>
      </c>
      <c r="C5">
        <v>296</v>
      </c>
      <c r="D5">
        <f t="shared" ref="D5:D15" si="1">$D$18*E5</f>
        <v>100000</v>
      </c>
      <c r="E5" s="2">
        <v>0.1</v>
      </c>
      <c r="F5">
        <v>260</v>
      </c>
      <c r="G5">
        <v>0</v>
      </c>
      <c r="H5" s="2">
        <f t="shared" ref="H5:H15" si="2">G5*E5</f>
        <v>0</v>
      </c>
    </row>
    <row r="6" spans="1:9">
      <c r="A6" t="s">
        <v>5</v>
      </c>
      <c r="B6" s="1">
        <f t="shared" si="0"/>
        <v>402.29885057471262</v>
      </c>
      <c r="C6">
        <v>174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331.12582781456956</v>
      </c>
      <c r="C7">
        <v>302</v>
      </c>
      <c r="D7">
        <f t="shared" si="1"/>
        <v>100000</v>
      </c>
      <c r="E7" s="2">
        <v>0.1</v>
      </c>
      <c r="F7">
        <v>300</v>
      </c>
      <c r="G7">
        <v>0</v>
      </c>
      <c r="H7" s="2">
        <f t="shared" si="2"/>
        <v>0</v>
      </c>
    </row>
    <row r="8" spans="1:9">
      <c r="A8" t="s">
        <v>15</v>
      </c>
      <c r="B8" s="1">
        <f t="shared" si="0"/>
        <v>675.67567567567562</v>
      </c>
      <c r="C8">
        <v>74</v>
      </c>
      <c r="D8">
        <f t="shared" si="1"/>
        <v>50000</v>
      </c>
      <c r="E8" s="2">
        <v>0.05</v>
      </c>
      <c r="F8">
        <v>80</v>
      </c>
      <c r="G8">
        <v>1</v>
      </c>
      <c r="H8" s="2">
        <f t="shared" si="2"/>
        <v>0.05</v>
      </c>
    </row>
    <row r="9" spans="1:9">
      <c r="A9" t="s">
        <v>6</v>
      </c>
      <c r="B9" s="1">
        <f t="shared" si="0"/>
        <v>189.03591682419659</v>
      </c>
      <c r="C9">
        <v>529</v>
      </c>
      <c r="D9">
        <f t="shared" si="1"/>
        <v>100000</v>
      </c>
      <c r="E9" s="2">
        <v>0.1</v>
      </c>
      <c r="F9">
        <v>450</v>
      </c>
      <c r="G9">
        <v>0</v>
      </c>
      <c r="H9" s="2">
        <f t="shared" si="2"/>
        <v>0</v>
      </c>
    </row>
    <row r="10" spans="1:9">
      <c r="A10" t="s">
        <v>10</v>
      </c>
      <c r="B10" s="1">
        <f t="shared" si="0"/>
        <v>69.54102920723227</v>
      </c>
      <c r="C10">
        <v>719</v>
      </c>
      <c r="D10">
        <f t="shared" si="1"/>
        <v>50000</v>
      </c>
      <c r="E10" s="2">
        <v>0.05</v>
      </c>
      <c r="F10">
        <v>400</v>
      </c>
      <c r="G10">
        <v>0</v>
      </c>
      <c r="H10" s="2">
        <f t="shared" si="2"/>
        <v>0</v>
      </c>
      <c r="I10" t="s">
        <v>30</v>
      </c>
    </row>
    <row r="11" spans="1:9">
      <c r="A11" t="s">
        <v>17</v>
      </c>
      <c r="B11" s="1">
        <f t="shared" si="0"/>
        <v>239.72602739726028</v>
      </c>
      <c r="C11">
        <v>292</v>
      </c>
      <c r="D11">
        <f t="shared" si="1"/>
        <v>70000</v>
      </c>
      <c r="E11" s="2">
        <v>7.0000000000000007E-2</v>
      </c>
      <c r="F11">
        <v>300</v>
      </c>
      <c r="G11">
        <v>1</v>
      </c>
      <c r="H11" s="2">
        <f t="shared" si="2"/>
        <v>7.0000000000000007E-2</v>
      </c>
    </row>
    <row r="12" spans="1:9">
      <c r="A12" t="s">
        <v>16</v>
      </c>
      <c r="B12" s="1">
        <f t="shared" si="0"/>
        <v>704.22535211267609</v>
      </c>
      <c r="C12">
        <v>71</v>
      </c>
      <c r="D12">
        <f t="shared" si="1"/>
        <v>50000</v>
      </c>
      <c r="E12" s="2">
        <v>0.05</v>
      </c>
      <c r="F12">
        <v>100</v>
      </c>
      <c r="G12">
        <v>1</v>
      </c>
      <c r="H12" s="2">
        <f t="shared" si="2"/>
        <v>0.05</v>
      </c>
    </row>
    <row r="13" spans="1:9">
      <c r="A13" t="s">
        <v>14</v>
      </c>
      <c r="B13" s="1">
        <f t="shared" si="0"/>
        <v>654.20560747663546</v>
      </c>
      <c r="C13">
        <v>107</v>
      </c>
      <c r="D13">
        <f t="shared" si="1"/>
        <v>70000</v>
      </c>
      <c r="E13" s="2">
        <v>7.0000000000000007E-2</v>
      </c>
      <c r="F13">
        <v>125</v>
      </c>
      <c r="G13">
        <v>1</v>
      </c>
      <c r="H13" s="2">
        <f t="shared" si="2"/>
        <v>7.0000000000000007E-2</v>
      </c>
    </row>
    <row r="14" spans="1:9">
      <c r="A14" t="s">
        <v>9</v>
      </c>
      <c r="B14" s="1">
        <f t="shared" si="0"/>
        <v>462.96296296296299</v>
      </c>
      <c r="C14">
        <v>216</v>
      </c>
      <c r="D14">
        <f t="shared" si="1"/>
        <v>100000</v>
      </c>
      <c r="E14" s="2">
        <v>0.1</v>
      </c>
      <c r="F14">
        <v>190</v>
      </c>
      <c r="G14">
        <v>1</v>
      </c>
      <c r="H14" s="2">
        <f t="shared" si="2"/>
        <v>0.1</v>
      </c>
    </row>
    <row r="15" spans="1:9">
      <c r="A15" t="s">
        <v>18</v>
      </c>
      <c r="B15" s="1">
        <f t="shared" si="0"/>
        <v>225.22522522522522</v>
      </c>
      <c r="C15">
        <v>222</v>
      </c>
      <c r="D15">
        <f t="shared" si="1"/>
        <v>50000</v>
      </c>
      <c r="E15" s="2">
        <v>0.05</v>
      </c>
      <c r="F15">
        <v>250</v>
      </c>
      <c r="G15">
        <v>1</v>
      </c>
      <c r="H15" s="2">
        <f t="shared" si="2"/>
        <v>0.05</v>
      </c>
    </row>
    <row r="18" spans="1:8">
      <c r="D18">
        <v>1000000</v>
      </c>
      <c r="E18" s="2">
        <f>SUM(E5:E15)</f>
        <v>0.81000000000000016</v>
      </c>
      <c r="G18" s="4"/>
      <c r="H18" s="2">
        <f>SUM(H5:H15)</f>
        <v>0.46</v>
      </c>
    </row>
    <row r="20" spans="1:8">
      <c r="A20" t="s">
        <v>8</v>
      </c>
      <c r="B20" s="1">
        <f t="shared" si="0"/>
        <v>387.75510204081598</v>
      </c>
      <c r="C20">
        <v>490</v>
      </c>
      <c r="D20">
        <f>D18*E20</f>
        <v>189999.99999999983</v>
      </c>
      <c r="E20" s="2">
        <f>100%-E18</f>
        <v>0.18999999999999984</v>
      </c>
    </row>
    <row r="23" spans="1:8">
      <c r="B23" s="3"/>
    </row>
  </sheetData>
  <pageMargins left="0.7" right="0.7" top="0.75" bottom="0.75" header="0.3" footer="0.3"/>
  <pageSetup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selection activeCell="C5" sqref="C5:C16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7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1" si="0">D5/C5</f>
        <v>331.12582781456956</v>
      </c>
      <c r="C5">
        <v>302</v>
      </c>
      <c r="D5">
        <f t="shared" ref="D5:D16" si="1">$D$19*E5</f>
        <v>100000</v>
      </c>
      <c r="E5" s="2">
        <v>0.1</v>
      </c>
      <c r="F5">
        <v>260</v>
      </c>
      <c r="G5">
        <v>0</v>
      </c>
      <c r="H5" s="2">
        <f t="shared" ref="H5:H16" si="2">G5*E5</f>
        <v>0</v>
      </c>
    </row>
    <row r="6" spans="1:9">
      <c r="A6" t="s">
        <v>5</v>
      </c>
      <c r="B6" s="1">
        <f t="shared" si="0"/>
        <v>414.20118343195264</v>
      </c>
      <c r="C6">
        <v>169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333.33333333333331</v>
      </c>
      <c r="C7">
        <v>300</v>
      </c>
      <c r="D7">
        <f t="shared" si="1"/>
        <v>100000</v>
      </c>
      <c r="E7" s="2">
        <v>0.1</v>
      </c>
      <c r="F7">
        <v>300</v>
      </c>
      <c r="G7">
        <v>0</v>
      </c>
      <c r="H7" s="2">
        <f t="shared" si="2"/>
        <v>0</v>
      </c>
    </row>
    <row r="8" spans="1:9">
      <c r="A8" t="s">
        <v>15</v>
      </c>
      <c r="B8" s="1">
        <f t="shared" si="0"/>
        <v>675.67567567567562</v>
      </c>
      <c r="C8">
        <v>74</v>
      </c>
      <c r="D8">
        <f t="shared" si="1"/>
        <v>50000</v>
      </c>
      <c r="E8" s="2">
        <v>0.05</v>
      </c>
      <c r="F8">
        <v>80</v>
      </c>
      <c r="G8">
        <v>1</v>
      </c>
      <c r="H8" s="2">
        <f t="shared" si="2"/>
        <v>0.05</v>
      </c>
    </row>
    <row r="9" spans="1:9">
      <c r="A9" t="s">
        <v>6</v>
      </c>
      <c r="B9" s="1">
        <f t="shared" si="0"/>
        <v>171.52658662092625</v>
      </c>
      <c r="C9">
        <v>583</v>
      </c>
      <c r="D9">
        <f t="shared" si="1"/>
        <v>100000</v>
      </c>
      <c r="E9" s="2">
        <v>0.1</v>
      </c>
      <c r="F9">
        <v>450</v>
      </c>
      <c r="G9">
        <v>0</v>
      </c>
      <c r="H9" s="2">
        <f t="shared" si="2"/>
        <v>0</v>
      </c>
    </row>
    <row r="10" spans="1:9">
      <c r="A10" t="s">
        <v>10</v>
      </c>
      <c r="B10" s="1">
        <f t="shared" si="0"/>
        <v>61.050061050061053</v>
      </c>
      <c r="C10">
        <v>819</v>
      </c>
      <c r="D10">
        <f t="shared" si="1"/>
        <v>50000</v>
      </c>
      <c r="E10" s="2">
        <v>0.05</v>
      </c>
      <c r="F10">
        <v>400</v>
      </c>
      <c r="G10">
        <v>0</v>
      </c>
      <c r="H10" s="2">
        <f t="shared" si="2"/>
        <v>0</v>
      </c>
    </row>
    <row r="11" spans="1:9">
      <c r="A11" t="s">
        <v>17</v>
      </c>
      <c r="B11" s="1">
        <f t="shared" si="0"/>
        <v>244.75524475524475</v>
      </c>
      <c r="C11">
        <v>286</v>
      </c>
      <c r="D11">
        <f t="shared" si="1"/>
        <v>70000</v>
      </c>
      <c r="E11" s="2">
        <v>7.0000000000000007E-2</v>
      </c>
      <c r="F11">
        <v>300</v>
      </c>
      <c r="G11">
        <v>1</v>
      </c>
      <c r="H11" s="2">
        <f t="shared" si="2"/>
        <v>7.0000000000000007E-2</v>
      </c>
    </row>
    <row r="12" spans="1:9">
      <c r="A12" t="s">
        <v>16</v>
      </c>
      <c r="B12" s="1">
        <f t="shared" si="0"/>
        <v>588.23529411764707</v>
      </c>
      <c r="C12">
        <v>85</v>
      </c>
      <c r="D12">
        <f t="shared" si="1"/>
        <v>50000</v>
      </c>
      <c r="E12" s="2">
        <v>0.05</v>
      </c>
      <c r="F12">
        <v>100</v>
      </c>
      <c r="G12">
        <v>1</v>
      </c>
      <c r="H12" s="2">
        <f t="shared" si="2"/>
        <v>0.05</v>
      </c>
    </row>
    <row r="13" spans="1:9">
      <c r="A13" t="s">
        <v>14</v>
      </c>
      <c r="B13" s="1">
        <f t="shared" si="0"/>
        <v>666.66666666666663</v>
      </c>
      <c r="C13">
        <v>105</v>
      </c>
      <c r="D13">
        <f t="shared" si="1"/>
        <v>70000</v>
      </c>
      <c r="E13" s="2">
        <v>7.0000000000000007E-2</v>
      </c>
      <c r="F13">
        <v>125</v>
      </c>
      <c r="G13">
        <v>1</v>
      </c>
      <c r="H13" s="2">
        <f t="shared" si="2"/>
        <v>7.0000000000000007E-2</v>
      </c>
    </row>
    <row r="14" spans="1:9">
      <c r="A14" t="s">
        <v>33</v>
      </c>
      <c r="B14" s="1">
        <f t="shared" si="0"/>
        <v>367.64705882352939</v>
      </c>
      <c r="C14">
        <v>136</v>
      </c>
      <c r="D14">
        <f t="shared" si="1"/>
        <v>50000</v>
      </c>
      <c r="E14" s="2">
        <v>0.05</v>
      </c>
      <c r="F14">
        <v>150</v>
      </c>
      <c r="G14">
        <v>1</v>
      </c>
      <c r="H14" s="2">
        <f t="shared" si="2"/>
        <v>0.05</v>
      </c>
      <c r="I14" t="s">
        <v>34</v>
      </c>
    </row>
    <row r="15" spans="1:9">
      <c r="A15" t="s">
        <v>9</v>
      </c>
      <c r="B15" s="1">
        <f t="shared" si="0"/>
        <v>429.18454935622316</v>
      </c>
      <c r="C15">
        <v>233</v>
      </c>
      <c r="D15">
        <f t="shared" si="1"/>
        <v>100000</v>
      </c>
      <c r="E15" s="2">
        <v>0.1</v>
      </c>
      <c r="F15">
        <v>190</v>
      </c>
      <c r="G15">
        <v>1</v>
      </c>
      <c r="H15" s="2">
        <f t="shared" si="2"/>
        <v>0.1</v>
      </c>
    </row>
    <row r="16" spans="1:9">
      <c r="A16" t="s">
        <v>18</v>
      </c>
      <c r="B16" s="1">
        <f t="shared" si="0"/>
        <v>192.30769230769232</v>
      </c>
      <c r="C16">
        <v>260</v>
      </c>
      <c r="D16">
        <f t="shared" si="1"/>
        <v>50000</v>
      </c>
      <c r="E16" s="2">
        <v>0.05</v>
      </c>
      <c r="F16">
        <v>250</v>
      </c>
      <c r="G16">
        <v>1</v>
      </c>
      <c r="H16" s="2">
        <f t="shared" si="2"/>
        <v>0.05</v>
      </c>
    </row>
    <row r="19" spans="1:8">
      <c r="D19">
        <v>1000000</v>
      </c>
      <c r="E19" s="2">
        <f>SUM(E5:E16)</f>
        <v>0.86000000000000021</v>
      </c>
      <c r="G19" s="4"/>
      <c r="H19" s="2">
        <f>SUM(H5:H16)</f>
        <v>0.51</v>
      </c>
    </row>
    <row r="21" spans="1:8">
      <c r="A21" t="s">
        <v>8</v>
      </c>
      <c r="B21" s="1">
        <f t="shared" si="0"/>
        <v>262.17228464419435</v>
      </c>
      <c r="C21">
        <v>534</v>
      </c>
      <c r="D21">
        <f>D19*E21</f>
        <v>139999.9999999998</v>
      </c>
      <c r="E21" s="2">
        <f>100%-E19</f>
        <v>0.13999999999999979</v>
      </c>
    </row>
    <row r="24" spans="1:8">
      <c r="B24" s="3"/>
    </row>
  </sheetData>
  <pageMargins left="0.7" right="0.7" top="0.75" bottom="0.75" header="0.3" footer="0.3"/>
  <pageSetup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selection activeCell="C22" sqref="C22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7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1" si="0">D5/C5</f>
        <v>325.73289902280129</v>
      </c>
      <c r="C5">
        <v>307</v>
      </c>
      <c r="D5">
        <f t="shared" ref="D5:D16" si="1">$D$19*E5</f>
        <v>100000</v>
      </c>
      <c r="E5" s="2">
        <v>0.1</v>
      </c>
      <c r="F5">
        <v>260</v>
      </c>
      <c r="G5">
        <v>0</v>
      </c>
      <c r="H5" s="2">
        <f t="shared" ref="H5:H16" si="2">G5*E5</f>
        <v>0</v>
      </c>
    </row>
    <row r="6" spans="1:9">
      <c r="A6" t="s">
        <v>5</v>
      </c>
      <c r="B6" s="1">
        <f t="shared" si="0"/>
        <v>393.25842696629212</v>
      </c>
      <c r="C6">
        <v>178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330.03300330033005</v>
      </c>
      <c r="C7">
        <v>303</v>
      </c>
      <c r="D7">
        <f t="shared" si="1"/>
        <v>100000</v>
      </c>
      <c r="E7" s="2">
        <v>0.1</v>
      </c>
      <c r="F7">
        <v>300</v>
      </c>
      <c r="G7">
        <v>0</v>
      </c>
      <c r="H7" s="2">
        <f t="shared" si="2"/>
        <v>0</v>
      </c>
    </row>
    <row r="8" spans="1:9">
      <c r="A8" t="s">
        <v>15</v>
      </c>
      <c r="B8" s="1">
        <f t="shared" si="0"/>
        <v>675.67567567567562</v>
      </c>
      <c r="C8">
        <v>74</v>
      </c>
      <c r="D8">
        <f t="shared" si="1"/>
        <v>50000</v>
      </c>
      <c r="E8" s="2">
        <v>0.05</v>
      </c>
      <c r="F8">
        <v>80</v>
      </c>
      <c r="G8">
        <v>1</v>
      </c>
      <c r="H8" s="2">
        <f t="shared" si="2"/>
        <v>0.05</v>
      </c>
    </row>
    <row r="9" spans="1:9">
      <c r="A9" t="s">
        <v>6</v>
      </c>
      <c r="B9" s="1">
        <f t="shared" si="0"/>
        <v>173.3102253032929</v>
      </c>
      <c r="C9">
        <v>577</v>
      </c>
      <c r="D9">
        <f t="shared" si="1"/>
        <v>100000</v>
      </c>
      <c r="E9" s="2">
        <v>0.1</v>
      </c>
      <c r="F9">
        <v>450</v>
      </c>
      <c r="G9">
        <v>0</v>
      </c>
      <c r="H9" s="2">
        <f t="shared" si="2"/>
        <v>0</v>
      </c>
    </row>
    <row r="10" spans="1:9">
      <c r="A10" t="s">
        <v>10</v>
      </c>
      <c r="B10" s="1">
        <f t="shared" si="0"/>
        <v>60.459492140266022</v>
      </c>
      <c r="C10">
        <v>827</v>
      </c>
      <c r="D10">
        <f t="shared" si="1"/>
        <v>50000</v>
      </c>
      <c r="E10" s="2">
        <v>0.05</v>
      </c>
      <c r="F10">
        <v>400</v>
      </c>
      <c r="G10">
        <v>0</v>
      </c>
      <c r="H10" s="2">
        <f t="shared" si="2"/>
        <v>0</v>
      </c>
    </row>
    <row r="11" spans="1:9">
      <c r="A11" t="s">
        <v>17</v>
      </c>
      <c r="B11" s="1">
        <f t="shared" si="0"/>
        <v>247.34982332155477</v>
      </c>
      <c r="C11">
        <v>283</v>
      </c>
      <c r="D11">
        <f t="shared" si="1"/>
        <v>70000</v>
      </c>
      <c r="E11" s="2">
        <v>7.0000000000000007E-2</v>
      </c>
      <c r="F11">
        <v>300</v>
      </c>
      <c r="G11">
        <v>1</v>
      </c>
      <c r="H11" s="2">
        <f t="shared" si="2"/>
        <v>7.0000000000000007E-2</v>
      </c>
    </row>
    <row r="12" spans="1:9">
      <c r="A12" t="s">
        <v>16</v>
      </c>
      <c r="B12" s="1">
        <f t="shared" si="0"/>
        <v>813.95348837209303</v>
      </c>
      <c r="C12">
        <v>86</v>
      </c>
      <c r="D12">
        <f t="shared" si="1"/>
        <v>70000</v>
      </c>
      <c r="E12" s="2">
        <v>7.0000000000000007E-2</v>
      </c>
      <c r="F12">
        <v>100</v>
      </c>
      <c r="G12">
        <v>1</v>
      </c>
      <c r="H12" s="2">
        <f t="shared" si="2"/>
        <v>7.0000000000000007E-2</v>
      </c>
      <c r="I12" t="s">
        <v>21</v>
      </c>
    </row>
    <row r="13" spans="1:9">
      <c r="A13" t="s">
        <v>14</v>
      </c>
      <c r="B13" s="1">
        <f t="shared" si="0"/>
        <v>679.61165048543694</v>
      </c>
      <c r="C13">
        <v>103</v>
      </c>
      <c r="D13">
        <f t="shared" si="1"/>
        <v>70000</v>
      </c>
      <c r="E13" s="2">
        <v>7.0000000000000007E-2</v>
      </c>
      <c r="F13">
        <v>125</v>
      </c>
      <c r="G13">
        <v>1</v>
      </c>
      <c r="H13" s="2">
        <f t="shared" si="2"/>
        <v>7.0000000000000007E-2</v>
      </c>
    </row>
    <row r="14" spans="1:9">
      <c r="A14" t="s">
        <v>33</v>
      </c>
      <c r="B14" s="1">
        <f t="shared" si="0"/>
        <v>347.22222222222223</v>
      </c>
      <c r="C14">
        <v>144</v>
      </c>
      <c r="D14">
        <f t="shared" si="1"/>
        <v>50000</v>
      </c>
      <c r="E14" s="2">
        <v>0.05</v>
      </c>
      <c r="F14">
        <v>150</v>
      </c>
      <c r="G14">
        <v>1</v>
      </c>
      <c r="H14" s="2">
        <f t="shared" si="2"/>
        <v>0.05</v>
      </c>
    </row>
    <row r="15" spans="1:9">
      <c r="A15" t="s">
        <v>9</v>
      </c>
      <c r="B15" s="1">
        <f t="shared" si="0"/>
        <v>322.58064516129031</v>
      </c>
      <c r="C15">
        <v>310</v>
      </c>
      <c r="D15">
        <f t="shared" si="1"/>
        <v>100000</v>
      </c>
      <c r="E15" s="2">
        <v>0.1</v>
      </c>
      <c r="F15">
        <v>190</v>
      </c>
      <c r="G15">
        <v>1</v>
      </c>
      <c r="H15" s="2">
        <f t="shared" si="2"/>
        <v>0.1</v>
      </c>
    </row>
    <row r="16" spans="1:9">
      <c r="A16" t="s">
        <v>18</v>
      </c>
      <c r="B16" s="1">
        <f t="shared" si="0"/>
        <v>192.30769230769232</v>
      </c>
      <c r="C16">
        <v>260</v>
      </c>
      <c r="D16">
        <f t="shared" si="1"/>
        <v>50000</v>
      </c>
      <c r="E16" s="2">
        <v>0.05</v>
      </c>
      <c r="F16">
        <v>250</v>
      </c>
      <c r="G16">
        <v>1</v>
      </c>
      <c r="H16" s="2">
        <f t="shared" si="2"/>
        <v>0.05</v>
      </c>
    </row>
    <row r="19" spans="1:8">
      <c r="D19">
        <v>1000000</v>
      </c>
      <c r="E19" s="2">
        <f>SUM(E5:E16)</f>
        <v>0.88000000000000023</v>
      </c>
      <c r="G19" s="4"/>
      <c r="H19" s="2">
        <f>SUM(H5:H16)</f>
        <v>0.53</v>
      </c>
    </row>
    <row r="21" spans="1:8">
      <c r="A21" t="s">
        <v>8</v>
      </c>
      <c r="B21" s="1">
        <f t="shared" si="0"/>
        <v>228.13688212927713</v>
      </c>
      <c r="C21">
        <v>526</v>
      </c>
      <c r="D21">
        <f>D19*E21</f>
        <v>119999.99999999977</v>
      </c>
      <c r="E21" s="2">
        <f>100%-E19</f>
        <v>0.11999999999999977</v>
      </c>
    </row>
    <row r="24" spans="1:8">
      <c r="B24" s="3"/>
    </row>
  </sheetData>
  <pageMargins left="0.7" right="0.7" top="0.75" bottom="0.75" header="0.3" footer="0.3"/>
  <pageSetup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selection activeCell="E22" sqref="E22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7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1" si="0">D5/C5</f>
        <v>328.94736842105266</v>
      </c>
      <c r="C5">
        <v>304</v>
      </c>
      <c r="D5">
        <f t="shared" ref="D5:D16" si="1">$D$19*E5</f>
        <v>100000</v>
      </c>
      <c r="E5" s="2">
        <v>0.1</v>
      </c>
      <c r="F5">
        <v>260</v>
      </c>
      <c r="G5">
        <v>0</v>
      </c>
      <c r="H5" s="2">
        <f t="shared" ref="H5:H16" si="2">G5*E5</f>
        <v>0</v>
      </c>
    </row>
    <row r="6" spans="1:9">
      <c r="A6" t="s">
        <v>5</v>
      </c>
      <c r="B6" s="1">
        <f t="shared" si="0"/>
        <v>416.66666666666669</v>
      </c>
      <c r="C6">
        <v>168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331.12582781456956</v>
      </c>
      <c r="C7">
        <v>302</v>
      </c>
      <c r="D7">
        <f t="shared" si="1"/>
        <v>100000</v>
      </c>
      <c r="E7" s="2">
        <v>0.1</v>
      </c>
      <c r="F7">
        <v>300</v>
      </c>
      <c r="G7">
        <v>0</v>
      </c>
      <c r="H7" s="2">
        <f t="shared" si="2"/>
        <v>0</v>
      </c>
    </row>
    <row r="8" spans="1:9">
      <c r="A8" t="s">
        <v>15</v>
      </c>
      <c r="B8" s="1">
        <f t="shared" si="0"/>
        <v>704.22535211267609</v>
      </c>
      <c r="C8">
        <v>71</v>
      </c>
      <c r="D8">
        <f t="shared" si="1"/>
        <v>50000</v>
      </c>
      <c r="E8" s="2">
        <v>0.05</v>
      </c>
      <c r="F8">
        <v>80</v>
      </c>
      <c r="G8">
        <v>1</v>
      </c>
      <c r="H8" s="2">
        <f t="shared" si="2"/>
        <v>0.05</v>
      </c>
    </row>
    <row r="9" spans="1:9">
      <c r="A9" t="s">
        <v>6</v>
      </c>
      <c r="B9" s="1">
        <f t="shared" si="0"/>
        <v>170.94017094017093</v>
      </c>
      <c r="C9">
        <v>585</v>
      </c>
      <c r="D9">
        <f t="shared" si="1"/>
        <v>100000</v>
      </c>
      <c r="E9" s="2">
        <v>0.1</v>
      </c>
      <c r="F9">
        <v>450</v>
      </c>
      <c r="G9">
        <v>0</v>
      </c>
      <c r="H9" s="2">
        <f t="shared" si="2"/>
        <v>0</v>
      </c>
    </row>
    <row r="10" spans="1:9">
      <c r="A10" t="s">
        <v>10</v>
      </c>
      <c r="B10" s="1">
        <f t="shared" si="0"/>
        <v>65.189048239895698</v>
      </c>
      <c r="C10">
        <v>767</v>
      </c>
      <c r="D10">
        <f t="shared" si="1"/>
        <v>50000</v>
      </c>
      <c r="E10" s="2">
        <v>0.05</v>
      </c>
      <c r="F10">
        <v>400</v>
      </c>
      <c r="G10">
        <v>0</v>
      </c>
      <c r="H10" s="2">
        <f t="shared" si="2"/>
        <v>0</v>
      </c>
    </row>
    <row r="11" spans="1:9">
      <c r="A11" t="s">
        <v>17</v>
      </c>
      <c r="B11" s="1">
        <f t="shared" si="0"/>
        <v>250.89605734767025</v>
      </c>
      <c r="C11">
        <v>279</v>
      </c>
      <c r="D11">
        <f t="shared" si="1"/>
        <v>70000</v>
      </c>
      <c r="E11" s="2">
        <v>7.0000000000000007E-2</v>
      </c>
      <c r="F11">
        <v>300</v>
      </c>
      <c r="G11">
        <v>1</v>
      </c>
      <c r="H11" s="2">
        <f t="shared" si="2"/>
        <v>7.0000000000000007E-2</v>
      </c>
    </row>
    <row r="12" spans="1:9">
      <c r="A12" t="s">
        <v>16</v>
      </c>
      <c r="B12" s="1">
        <f t="shared" si="0"/>
        <v>660.37735849056605</v>
      </c>
      <c r="C12">
        <v>106</v>
      </c>
      <c r="D12">
        <f t="shared" si="1"/>
        <v>70000</v>
      </c>
      <c r="E12" s="2">
        <v>7.0000000000000007E-2</v>
      </c>
      <c r="F12">
        <v>100</v>
      </c>
      <c r="G12">
        <v>1</v>
      </c>
      <c r="H12" s="2">
        <f t="shared" si="2"/>
        <v>7.0000000000000007E-2</v>
      </c>
    </row>
    <row r="13" spans="1:9">
      <c r="A13" t="s">
        <v>14</v>
      </c>
      <c r="B13" s="1">
        <f t="shared" si="0"/>
        <v>300</v>
      </c>
      <c r="C13">
        <v>100</v>
      </c>
      <c r="D13">
        <f t="shared" si="1"/>
        <v>30000</v>
      </c>
      <c r="E13" s="2">
        <v>0.03</v>
      </c>
      <c r="F13">
        <v>125</v>
      </c>
      <c r="G13">
        <v>1</v>
      </c>
      <c r="H13" s="2">
        <f t="shared" si="2"/>
        <v>0.03</v>
      </c>
      <c r="I13" t="s">
        <v>36</v>
      </c>
    </row>
    <row r="14" spans="1:9">
      <c r="A14" t="s">
        <v>33</v>
      </c>
      <c r="B14" s="1">
        <f t="shared" si="0"/>
        <v>357.14285714285717</v>
      </c>
      <c r="C14">
        <v>140</v>
      </c>
      <c r="D14">
        <f t="shared" si="1"/>
        <v>50000</v>
      </c>
      <c r="E14" s="2">
        <v>0.05</v>
      </c>
      <c r="F14">
        <v>150</v>
      </c>
      <c r="G14">
        <v>1</v>
      </c>
      <c r="H14" s="2">
        <f t="shared" si="2"/>
        <v>0.05</v>
      </c>
    </row>
    <row r="15" spans="1:9">
      <c r="A15" t="s">
        <v>9</v>
      </c>
      <c r="B15" s="1">
        <f t="shared" si="0"/>
        <v>324.6753246753247</v>
      </c>
      <c r="C15">
        <v>308</v>
      </c>
      <c r="D15">
        <f t="shared" si="1"/>
        <v>100000</v>
      </c>
      <c r="E15" s="2">
        <v>0.1</v>
      </c>
      <c r="F15">
        <v>190</v>
      </c>
      <c r="G15">
        <v>1</v>
      </c>
      <c r="H15" s="2">
        <f t="shared" si="2"/>
        <v>0.1</v>
      </c>
    </row>
    <row r="16" spans="1:9">
      <c r="A16" t="s">
        <v>18</v>
      </c>
      <c r="B16" s="1">
        <f t="shared" si="0"/>
        <v>195.3125</v>
      </c>
      <c r="C16">
        <v>256</v>
      </c>
      <c r="D16">
        <f t="shared" si="1"/>
        <v>50000</v>
      </c>
      <c r="E16" s="2">
        <v>0.05</v>
      </c>
      <c r="F16">
        <v>250</v>
      </c>
      <c r="G16">
        <v>1</v>
      </c>
      <c r="H16" s="2">
        <f t="shared" si="2"/>
        <v>0.05</v>
      </c>
    </row>
    <row r="19" spans="1:8">
      <c r="D19">
        <v>1000000</v>
      </c>
      <c r="E19" s="2">
        <f>SUM(E5:E16)</f>
        <v>0.84000000000000019</v>
      </c>
      <c r="G19" s="4"/>
      <c r="H19" s="2">
        <f>SUM(H5:H16)</f>
        <v>0.49000000000000005</v>
      </c>
    </row>
    <row r="21" spans="1:8">
      <c r="A21" t="s">
        <v>8</v>
      </c>
      <c r="B21" s="1">
        <f t="shared" si="0"/>
        <v>304.76190476190436</v>
      </c>
      <c r="C21">
        <v>525</v>
      </c>
      <c r="D21">
        <f>D19*E21</f>
        <v>159999.9999999998</v>
      </c>
      <c r="E21" s="2">
        <f>100%-E19</f>
        <v>0.15999999999999981</v>
      </c>
    </row>
    <row r="24" spans="1:8">
      <c r="B24" s="3"/>
    </row>
  </sheetData>
  <pageMargins left="0.7" right="0.7" top="0.75" bottom="0.75" header="0.3" footer="0.3"/>
  <pageSetup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selection activeCell="C22" sqref="C22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7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1" si="0">D5/C5</f>
        <v>334.44816053511704</v>
      </c>
      <c r="C5">
        <v>299</v>
      </c>
      <c r="D5">
        <f t="shared" ref="D5:D16" si="1">$D$19*E5</f>
        <v>100000</v>
      </c>
      <c r="E5" s="2">
        <v>0.1</v>
      </c>
      <c r="F5">
        <v>260</v>
      </c>
      <c r="G5">
        <v>0</v>
      </c>
      <c r="H5" s="2">
        <f t="shared" ref="H5:H16" si="2">G5*E5</f>
        <v>0</v>
      </c>
    </row>
    <row r="6" spans="1:9">
      <c r="A6" t="s">
        <v>5</v>
      </c>
      <c r="B6" s="1">
        <f t="shared" si="0"/>
        <v>402.29885057471262</v>
      </c>
      <c r="C6">
        <v>174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341.29692832764505</v>
      </c>
      <c r="C7">
        <v>293</v>
      </c>
      <c r="D7">
        <f t="shared" si="1"/>
        <v>100000</v>
      </c>
      <c r="E7" s="2">
        <v>0.1</v>
      </c>
      <c r="F7">
        <v>300</v>
      </c>
      <c r="G7">
        <v>0</v>
      </c>
      <c r="H7" s="2">
        <f t="shared" si="2"/>
        <v>0</v>
      </c>
    </row>
    <row r="8" spans="1:9">
      <c r="A8" t="s">
        <v>15</v>
      </c>
      <c r="B8" s="1">
        <f t="shared" si="0"/>
        <v>886.07594936708858</v>
      </c>
      <c r="C8">
        <v>79</v>
      </c>
      <c r="D8">
        <f t="shared" si="1"/>
        <v>70000</v>
      </c>
      <c r="E8" s="2">
        <v>7.0000000000000007E-2</v>
      </c>
      <c r="F8">
        <v>80</v>
      </c>
      <c r="G8">
        <v>1</v>
      </c>
      <c r="H8" s="2">
        <f t="shared" si="2"/>
        <v>7.0000000000000007E-2</v>
      </c>
      <c r="I8" t="s">
        <v>37</v>
      </c>
    </row>
    <row r="9" spans="1:9">
      <c r="A9" t="s">
        <v>6</v>
      </c>
      <c r="B9" s="1">
        <f t="shared" si="0"/>
        <v>165.8374792703151</v>
      </c>
      <c r="C9">
        <v>603</v>
      </c>
      <c r="D9">
        <f t="shared" si="1"/>
        <v>100000</v>
      </c>
      <c r="E9" s="2">
        <v>0.1</v>
      </c>
      <c r="F9">
        <v>450</v>
      </c>
      <c r="G9">
        <v>0</v>
      </c>
      <c r="H9" s="2">
        <f t="shared" si="2"/>
        <v>0</v>
      </c>
    </row>
    <row r="10" spans="1:9">
      <c r="A10" t="s">
        <v>10</v>
      </c>
      <c r="B10" s="1">
        <f t="shared" si="0"/>
        <v>65.876152832674578</v>
      </c>
      <c r="C10">
        <v>759</v>
      </c>
      <c r="D10">
        <f t="shared" si="1"/>
        <v>50000</v>
      </c>
      <c r="E10" s="2">
        <v>0.05</v>
      </c>
      <c r="F10">
        <v>400</v>
      </c>
      <c r="G10">
        <v>0</v>
      </c>
      <c r="H10" s="2">
        <f t="shared" si="2"/>
        <v>0</v>
      </c>
    </row>
    <row r="11" spans="1:9">
      <c r="A11" t="s">
        <v>17</v>
      </c>
      <c r="B11" s="1">
        <f t="shared" si="0"/>
        <v>243.90243902439025</v>
      </c>
      <c r="C11">
        <v>287</v>
      </c>
      <c r="D11">
        <f t="shared" si="1"/>
        <v>70000</v>
      </c>
      <c r="E11" s="2">
        <v>7.0000000000000007E-2</v>
      </c>
      <c r="F11">
        <v>300</v>
      </c>
      <c r="G11">
        <v>1</v>
      </c>
      <c r="H11" s="2">
        <f t="shared" si="2"/>
        <v>7.0000000000000007E-2</v>
      </c>
    </row>
    <row r="12" spans="1:9">
      <c r="A12" t="s">
        <v>16</v>
      </c>
      <c r="B12" s="1">
        <f t="shared" si="0"/>
        <v>608.695652173913</v>
      </c>
      <c r="C12">
        <v>115</v>
      </c>
      <c r="D12">
        <f t="shared" si="1"/>
        <v>70000</v>
      </c>
      <c r="E12" s="2">
        <v>7.0000000000000007E-2</v>
      </c>
      <c r="F12">
        <v>100</v>
      </c>
      <c r="G12">
        <v>1</v>
      </c>
      <c r="H12" s="2">
        <f t="shared" si="2"/>
        <v>7.0000000000000007E-2</v>
      </c>
    </row>
    <row r="13" spans="1:9">
      <c r="A13" t="s">
        <v>14</v>
      </c>
      <c r="B13" s="1">
        <f t="shared" si="0"/>
        <v>312.5</v>
      </c>
      <c r="C13">
        <v>96</v>
      </c>
      <c r="D13">
        <f t="shared" si="1"/>
        <v>30000</v>
      </c>
      <c r="E13" s="2">
        <v>0.03</v>
      </c>
      <c r="F13">
        <v>125</v>
      </c>
      <c r="G13">
        <v>1</v>
      </c>
      <c r="H13" s="2">
        <f t="shared" si="2"/>
        <v>0.03</v>
      </c>
    </row>
    <row r="14" spans="1:9">
      <c r="A14" t="s">
        <v>33</v>
      </c>
      <c r="B14" s="1">
        <f t="shared" si="0"/>
        <v>375.93984962406017</v>
      </c>
      <c r="C14">
        <v>133</v>
      </c>
      <c r="D14">
        <f t="shared" si="1"/>
        <v>50000</v>
      </c>
      <c r="E14" s="2">
        <v>0.05</v>
      </c>
      <c r="F14">
        <v>150</v>
      </c>
      <c r="G14">
        <v>1</v>
      </c>
      <c r="H14" s="2">
        <f t="shared" si="2"/>
        <v>0.05</v>
      </c>
    </row>
    <row r="15" spans="1:9">
      <c r="A15" t="s">
        <v>9</v>
      </c>
      <c r="B15" s="1">
        <f t="shared" si="0"/>
        <v>338.9830508474576</v>
      </c>
      <c r="C15">
        <v>295</v>
      </c>
      <c r="D15">
        <f t="shared" si="1"/>
        <v>100000</v>
      </c>
      <c r="E15" s="2">
        <v>0.1</v>
      </c>
      <c r="F15">
        <v>190</v>
      </c>
      <c r="G15">
        <v>1</v>
      </c>
      <c r="H15" s="2">
        <f t="shared" si="2"/>
        <v>0.1</v>
      </c>
    </row>
    <row r="16" spans="1:9">
      <c r="A16" t="s">
        <v>18</v>
      </c>
      <c r="B16" s="1">
        <f t="shared" si="0"/>
        <v>186.56716417910448</v>
      </c>
      <c r="C16">
        <v>268</v>
      </c>
      <c r="D16">
        <f t="shared" si="1"/>
        <v>50000</v>
      </c>
      <c r="E16" s="2">
        <v>0.05</v>
      </c>
      <c r="F16">
        <v>250</v>
      </c>
      <c r="G16">
        <v>1</v>
      </c>
      <c r="H16" s="2">
        <f t="shared" si="2"/>
        <v>0.05</v>
      </c>
    </row>
    <row r="19" spans="1:8">
      <c r="D19">
        <v>1000000</v>
      </c>
      <c r="E19" s="2">
        <f>SUM(E5:E16)</f>
        <v>0.86000000000000021</v>
      </c>
      <c r="G19" s="4"/>
      <c r="H19" s="2">
        <f>SUM(H5:H16)</f>
        <v>0.51000000000000012</v>
      </c>
    </row>
    <row r="21" spans="1:8">
      <c r="A21" t="s">
        <v>8</v>
      </c>
      <c r="B21" s="1">
        <f t="shared" si="0"/>
        <v>270.79303675048317</v>
      </c>
      <c r="C21">
        <v>517</v>
      </c>
      <c r="D21">
        <f>D19*E21</f>
        <v>139999.9999999998</v>
      </c>
      <c r="E21" s="2">
        <f>100%-E19</f>
        <v>0.13999999999999979</v>
      </c>
    </row>
    <row r="24" spans="1:8">
      <c r="B24" s="3"/>
    </row>
  </sheetData>
  <pageMargins left="0.7" right="0.7" top="0.75" bottom="0.75" header="0.3" footer="0.3"/>
  <pageSetup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selection activeCell="C22" sqref="C22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140625" bestFit="1" customWidth="1"/>
    <col min="8" max="8" width="9.140625" style="2"/>
    <col min="9" max="9" width="7.5703125" bestFit="1" customWidth="1"/>
  </cols>
  <sheetData>
    <row r="1" spans="1:9">
      <c r="A1" t="s">
        <v>0</v>
      </c>
    </row>
    <row r="3" spans="1:9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F3" t="s">
        <v>3</v>
      </c>
      <c r="G3" t="s">
        <v>19</v>
      </c>
      <c r="I3" t="s">
        <v>20</v>
      </c>
    </row>
    <row r="5" spans="1:9">
      <c r="A5" t="s">
        <v>11</v>
      </c>
      <c r="B5" s="1">
        <f t="shared" ref="B5:B21" si="0">D5/C5</f>
        <v>322.58064516129031</v>
      </c>
      <c r="C5">
        <v>310</v>
      </c>
      <c r="D5">
        <f t="shared" ref="D5:D16" si="1">$D$19*E5</f>
        <v>100000</v>
      </c>
      <c r="E5" s="2">
        <v>0.1</v>
      </c>
      <c r="F5">
        <v>260</v>
      </c>
      <c r="G5">
        <v>0</v>
      </c>
      <c r="H5" s="2">
        <f t="shared" ref="H5:H16" si="2">G5*E5</f>
        <v>0</v>
      </c>
    </row>
    <row r="6" spans="1:9">
      <c r="A6" t="s">
        <v>5</v>
      </c>
      <c r="B6" s="1">
        <f t="shared" si="0"/>
        <v>443.03797468354429</v>
      </c>
      <c r="C6">
        <v>158</v>
      </c>
      <c r="D6">
        <f t="shared" si="1"/>
        <v>70000</v>
      </c>
      <c r="E6" s="2">
        <v>7.0000000000000007E-2</v>
      </c>
      <c r="F6">
        <v>200</v>
      </c>
      <c r="G6">
        <v>1</v>
      </c>
      <c r="H6" s="2">
        <f t="shared" si="2"/>
        <v>7.0000000000000007E-2</v>
      </c>
    </row>
    <row r="7" spans="1:9">
      <c r="A7" t="s">
        <v>7</v>
      </c>
      <c r="B7" s="1">
        <f t="shared" si="0"/>
        <v>333.33333333333331</v>
      </c>
      <c r="C7">
        <v>300</v>
      </c>
      <c r="D7">
        <f t="shared" si="1"/>
        <v>100000</v>
      </c>
      <c r="E7" s="2">
        <v>0.1</v>
      </c>
      <c r="F7">
        <v>300</v>
      </c>
      <c r="G7">
        <v>0</v>
      </c>
      <c r="H7" s="2">
        <f t="shared" si="2"/>
        <v>0</v>
      </c>
    </row>
    <row r="8" spans="1:9">
      <c r="A8" t="s">
        <v>15</v>
      </c>
      <c r="B8" s="1">
        <f t="shared" si="0"/>
        <v>752.68817204301081</v>
      </c>
      <c r="C8">
        <v>93</v>
      </c>
      <c r="D8">
        <f t="shared" si="1"/>
        <v>70000</v>
      </c>
      <c r="E8" s="2">
        <v>7.0000000000000007E-2</v>
      </c>
      <c r="F8">
        <v>80</v>
      </c>
      <c r="G8">
        <v>1</v>
      </c>
      <c r="H8" s="2">
        <f t="shared" si="2"/>
        <v>7.0000000000000007E-2</v>
      </c>
    </row>
    <row r="9" spans="1:9">
      <c r="A9" t="s">
        <v>6</v>
      </c>
      <c r="B9" s="1">
        <f t="shared" si="0"/>
        <v>183.48623853211009</v>
      </c>
      <c r="C9">
        <v>545</v>
      </c>
      <c r="D9">
        <f t="shared" si="1"/>
        <v>100000</v>
      </c>
      <c r="E9" s="2">
        <v>0.1</v>
      </c>
      <c r="F9">
        <v>450</v>
      </c>
      <c r="G9">
        <v>0</v>
      </c>
      <c r="H9" s="2">
        <f t="shared" si="2"/>
        <v>0</v>
      </c>
    </row>
    <row r="10" spans="1:9">
      <c r="A10" t="s">
        <v>10</v>
      </c>
      <c r="B10" s="1">
        <f t="shared" si="0"/>
        <v>66.755674232309744</v>
      </c>
      <c r="C10">
        <v>749</v>
      </c>
      <c r="D10">
        <f t="shared" si="1"/>
        <v>50000</v>
      </c>
      <c r="E10" s="2">
        <v>0.05</v>
      </c>
      <c r="F10">
        <v>400</v>
      </c>
      <c r="G10">
        <v>0</v>
      </c>
      <c r="H10" s="2">
        <f t="shared" si="2"/>
        <v>0</v>
      </c>
    </row>
    <row r="11" spans="1:9">
      <c r="A11" t="s">
        <v>17</v>
      </c>
      <c r="B11" s="1">
        <f t="shared" si="0"/>
        <v>255.47445255474452</v>
      </c>
      <c r="C11">
        <v>274</v>
      </c>
      <c r="D11">
        <f t="shared" si="1"/>
        <v>70000</v>
      </c>
      <c r="E11" s="2">
        <v>7.0000000000000007E-2</v>
      </c>
      <c r="F11">
        <v>300</v>
      </c>
      <c r="G11">
        <v>1</v>
      </c>
      <c r="H11" s="2">
        <f t="shared" si="2"/>
        <v>7.0000000000000007E-2</v>
      </c>
    </row>
    <row r="12" spans="1:9">
      <c r="A12" t="s">
        <v>16</v>
      </c>
      <c r="B12" s="1">
        <f t="shared" si="0"/>
        <v>578.51239669421489</v>
      </c>
      <c r="C12">
        <v>121</v>
      </c>
      <c r="D12">
        <f t="shared" si="1"/>
        <v>70000</v>
      </c>
      <c r="E12" s="2">
        <v>7.0000000000000007E-2</v>
      </c>
      <c r="F12">
        <v>100</v>
      </c>
      <c r="G12">
        <v>1</v>
      </c>
      <c r="H12" s="2">
        <f t="shared" si="2"/>
        <v>7.0000000000000007E-2</v>
      </c>
    </row>
    <row r="13" spans="1:9">
      <c r="A13" t="s">
        <v>14</v>
      </c>
      <c r="B13" s="1">
        <f t="shared" si="0"/>
        <v>0</v>
      </c>
      <c r="C13">
        <v>98</v>
      </c>
      <c r="D13">
        <f t="shared" si="1"/>
        <v>0</v>
      </c>
      <c r="E13" s="2">
        <v>0</v>
      </c>
      <c r="F13">
        <v>125</v>
      </c>
      <c r="G13">
        <v>1</v>
      </c>
      <c r="H13" s="2">
        <v>0</v>
      </c>
      <c r="I13" t="s">
        <v>38</v>
      </c>
    </row>
    <row r="14" spans="1:9">
      <c r="A14" t="s">
        <v>33</v>
      </c>
      <c r="B14" s="1">
        <f t="shared" si="0"/>
        <v>390.625</v>
      </c>
      <c r="C14">
        <v>128</v>
      </c>
      <c r="D14">
        <f t="shared" si="1"/>
        <v>50000</v>
      </c>
      <c r="E14" s="2">
        <v>0.05</v>
      </c>
      <c r="F14">
        <v>150</v>
      </c>
      <c r="G14">
        <v>1</v>
      </c>
      <c r="H14" s="2">
        <f t="shared" si="2"/>
        <v>0.05</v>
      </c>
    </row>
    <row r="15" spans="1:9">
      <c r="A15" t="s">
        <v>9</v>
      </c>
      <c r="B15" s="1">
        <f t="shared" si="0"/>
        <v>297.61904761904759</v>
      </c>
      <c r="C15">
        <v>336</v>
      </c>
      <c r="D15">
        <f t="shared" si="1"/>
        <v>100000</v>
      </c>
      <c r="E15" s="2">
        <v>0.1</v>
      </c>
      <c r="F15">
        <v>190</v>
      </c>
      <c r="G15">
        <v>1</v>
      </c>
      <c r="H15" s="2">
        <f t="shared" si="2"/>
        <v>0.1</v>
      </c>
    </row>
    <row r="16" spans="1:9">
      <c r="A16" t="s">
        <v>18</v>
      </c>
      <c r="B16" s="1">
        <f t="shared" si="0"/>
        <v>190.83969465648855</v>
      </c>
      <c r="C16">
        <v>262</v>
      </c>
      <c r="D16">
        <f t="shared" si="1"/>
        <v>50000</v>
      </c>
      <c r="E16" s="2">
        <v>0.05</v>
      </c>
      <c r="F16">
        <v>250</v>
      </c>
      <c r="G16">
        <v>1</v>
      </c>
      <c r="H16" s="2">
        <f t="shared" si="2"/>
        <v>0.05</v>
      </c>
    </row>
    <row r="19" spans="1:8">
      <c r="D19">
        <v>1000000</v>
      </c>
      <c r="E19" s="2">
        <f>SUM(E5:E16)</f>
        <v>0.83000000000000018</v>
      </c>
      <c r="G19" s="4"/>
      <c r="H19" s="2">
        <f>SUM(H5:H16)</f>
        <v>0.48000000000000004</v>
      </c>
    </row>
    <row r="21" spans="1:8">
      <c r="A21" t="s">
        <v>8</v>
      </c>
      <c r="B21" s="1">
        <f t="shared" si="0"/>
        <v>320.15065913370967</v>
      </c>
      <c r="C21">
        <v>531</v>
      </c>
      <c r="D21">
        <f>D19*E21</f>
        <v>169999.99999999983</v>
      </c>
      <c r="E21" s="2">
        <f>100%-E19</f>
        <v>0.16999999999999982</v>
      </c>
    </row>
    <row r="24" spans="1:8">
      <c r="B24" s="3"/>
    </row>
  </sheetData>
  <pageMargins left="0.7" right="0.7" top="0.75" bottom="0.75" header="0.3" footer="0.3"/>
  <pageSetup orientation="portrait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B18" sqref="B18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7109375" bestFit="1" customWidth="1"/>
  </cols>
  <sheetData>
    <row r="1" spans="1:7">
      <c r="A1" t="s">
        <v>41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G3" t="s">
        <v>20</v>
      </c>
    </row>
    <row r="5" spans="1:7">
      <c r="A5" t="s">
        <v>11</v>
      </c>
      <c r="B5" s="1">
        <v>490</v>
      </c>
      <c r="C5">
        <v>383</v>
      </c>
      <c r="D5">
        <f>C5*B5</f>
        <v>187670</v>
      </c>
      <c r="E5" s="2">
        <f>D5/$D$19</f>
        <v>0.1181084027076762</v>
      </c>
    </row>
    <row r="6" spans="1:7">
      <c r="A6" t="s">
        <v>5</v>
      </c>
      <c r="B6" s="1">
        <v>511</v>
      </c>
      <c r="C6">
        <v>162</v>
      </c>
      <c r="D6">
        <f t="shared" ref="D6:D17" si="0">C6*B6</f>
        <v>82782</v>
      </c>
      <c r="E6" s="2">
        <f t="shared" ref="E6:E17" si="1">D6/$D$19</f>
        <v>5.2098096621446426E-2</v>
      </c>
    </row>
    <row r="7" spans="1:7">
      <c r="A7" t="s">
        <v>7</v>
      </c>
      <c r="B7" s="1">
        <v>397</v>
      </c>
      <c r="C7">
        <v>284</v>
      </c>
      <c r="D7">
        <f t="shared" si="0"/>
        <v>112748</v>
      </c>
      <c r="E7" s="2">
        <f t="shared" si="1"/>
        <v>7.095692539289751E-2</v>
      </c>
    </row>
    <row r="8" spans="1:7">
      <c r="A8" t="s">
        <v>15</v>
      </c>
      <c r="B8" s="1">
        <v>1250</v>
      </c>
      <c r="C8">
        <v>104</v>
      </c>
      <c r="D8">
        <f t="shared" si="0"/>
        <v>130000</v>
      </c>
      <c r="E8" s="2">
        <f t="shared" si="1"/>
        <v>8.1814314232418098E-2</v>
      </c>
    </row>
    <row r="9" spans="1:7">
      <c r="A9" t="s">
        <v>6</v>
      </c>
      <c r="B9" s="1">
        <v>260</v>
      </c>
      <c r="C9">
        <v>543</v>
      </c>
      <c r="D9">
        <f t="shared" si="0"/>
        <v>141180</v>
      </c>
      <c r="E9" s="2">
        <f t="shared" si="1"/>
        <v>8.885034525640606E-2</v>
      </c>
    </row>
    <row r="10" spans="1:7">
      <c r="A10" t="s">
        <v>10</v>
      </c>
      <c r="B10" s="1">
        <v>111</v>
      </c>
      <c r="C10">
        <v>829</v>
      </c>
      <c r="D10">
        <f t="shared" si="0"/>
        <v>92019</v>
      </c>
      <c r="E10" s="2">
        <f t="shared" si="1"/>
        <v>5.7911318318099085E-2</v>
      </c>
    </row>
    <row r="11" spans="1:7">
      <c r="A11" t="s">
        <v>17</v>
      </c>
      <c r="B11" s="1">
        <v>372</v>
      </c>
      <c r="C11">
        <v>260</v>
      </c>
      <c r="D11">
        <f t="shared" si="0"/>
        <v>96720</v>
      </c>
      <c r="E11" s="2">
        <f t="shared" si="1"/>
        <v>6.0869849788919073E-2</v>
      </c>
    </row>
    <row r="12" spans="1:7">
      <c r="A12" t="s">
        <v>16</v>
      </c>
      <c r="B12" s="1">
        <v>1093</v>
      </c>
      <c r="C12">
        <v>144</v>
      </c>
      <c r="D12">
        <f t="shared" si="0"/>
        <v>157392</v>
      </c>
      <c r="E12" s="2">
        <f t="shared" si="1"/>
        <v>9.9053219582067309E-2</v>
      </c>
    </row>
    <row r="13" spans="1:7">
      <c r="A13" t="s">
        <v>39</v>
      </c>
      <c r="B13" s="1">
        <v>1850</v>
      </c>
      <c r="C13">
        <v>38</v>
      </c>
      <c r="D13">
        <f t="shared" si="0"/>
        <v>70300</v>
      </c>
      <c r="E13" s="2">
        <f t="shared" si="1"/>
        <v>4.4242663773376864E-2</v>
      </c>
      <c r="G13" t="s">
        <v>40</v>
      </c>
    </row>
    <row r="14" spans="1:7">
      <c r="A14" t="s">
        <v>33</v>
      </c>
      <c r="B14" s="1">
        <v>368</v>
      </c>
      <c r="C14">
        <v>121</v>
      </c>
      <c r="D14">
        <f t="shared" si="0"/>
        <v>44528</v>
      </c>
      <c r="E14" s="2">
        <f t="shared" si="1"/>
        <v>2.8023290647239334E-2</v>
      </c>
    </row>
    <row r="15" spans="1:7">
      <c r="A15" t="s">
        <v>9</v>
      </c>
      <c r="B15" s="1">
        <v>646</v>
      </c>
      <c r="C15">
        <v>425</v>
      </c>
      <c r="D15">
        <f t="shared" si="0"/>
        <v>274550</v>
      </c>
      <c r="E15" s="2">
        <f t="shared" si="1"/>
        <v>0.17278553825007992</v>
      </c>
    </row>
    <row r="16" spans="1:7">
      <c r="A16" t="s">
        <v>18</v>
      </c>
      <c r="B16" s="1">
        <v>225</v>
      </c>
      <c r="C16">
        <v>267</v>
      </c>
      <c r="D16">
        <f t="shared" si="0"/>
        <v>60075</v>
      </c>
      <c r="E16" s="2">
        <f t="shared" si="1"/>
        <v>3.7807653288557827E-2</v>
      </c>
    </row>
    <row r="17" spans="1:5">
      <c r="A17" t="s">
        <v>42</v>
      </c>
      <c r="B17" s="1">
        <f>232-73-6-14</f>
        <v>139</v>
      </c>
      <c r="C17">
        <v>1000</v>
      </c>
      <c r="D17">
        <f t="shared" si="0"/>
        <v>139000</v>
      </c>
      <c r="E17" s="2">
        <f t="shared" si="1"/>
        <v>8.7478382140816283E-2</v>
      </c>
    </row>
    <row r="19" spans="1:5">
      <c r="D19">
        <f>SUM(D5:D17)</f>
        <v>1588964</v>
      </c>
      <c r="E19"/>
    </row>
  </sheetData>
  <pageMargins left="0.7" right="0.7" top="0.75" bottom="0.75" header="0.3" footer="0.3"/>
  <pageSetup orientation="portrait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9" sqref="B9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7109375" bestFit="1" customWidth="1"/>
  </cols>
  <sheetData>
    <row r="1" spans="1:7">
      <c r="A1" t="s">
        <v>41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G3" t="s">
        <v>20</v>
      </c>
    </row>
    <row r="5" spans="1:7">
      <c r="A5" t="s">
        <v>11</v>
      </c>
      <c r="B5" s="1">
        <v>980</v>
      </c>
      <c r="C5">
        <v>222</v>
      </c>
      <c r="D5">
        <f>C5*B5</f>
        <v>217560</v>
      </c>
      <c r="E5" s="2">
        <f>D5/$D$20</f>
        <v>0.1282489619120154</v>
      </c>
    </row>
    <row r="6" spans="1:7">
      <c r="A6" t="s">
        <v>5</v>
      </c>
      <c r="B6" s="1">
        <v>511</v>
      </c>
      <c r="C6">
        <v>171</v>
      </c>
      <c r="D6">
        <f t="shared" ref="D6:D18" si="0">C6*B6</f>
        <v>87381</v>
      </c>
      <c r="E6" s="2">
        <f t="shared" ref="E6:E18" si="1">D6/$D$20</f>
        <v>5.1510031903078776E-2</v>
      </c>
    </row>
    <row r="7" spans="1:7">
      <c r="A7" t="s">
        <v>7</v>
      </c>
      <c r="B7" s="1">
        <v>397</v>
      </c>
      <c r="C7">
        <v>300</v>
      </c>
      <c r="D7">
        <f t="shared" si="0"/>
        <v>119100</v>
      </c>
      <c r="E7" s="2">
        <f t="shared" si="1"/>
        <v>7.0207994869098345E-2</v>
      </c>
    </row>
    <row r="8" spans="1:7">
      <c r="A8" t="s">
        <v>15</v>
      </c>
      <c r="B8" s="1">
        <v>1250</v>
      </c>
      <c r="C8">
        <v>114</v>
      </c>
      <c r="D8">
        <f t="shared" si="0"/>
        <v>142500</v>
      </c>
      <c r="E8" s="2">
        <f t="shared" si="1"/>
        <v>8.4002008974361997E-2</v>
      </c>
    </row>
    <row r="9" spans="1:7">
      <c r="A9" t="s">
        <v>6</v>
      </c>
      <c r="B9" s="1">
        <v>260</v>
      </c>
      <c r="C9">
        <v>617</v>
      </c>
      <c r="D9">
        <f t="shared" si="0"/>
        <v>160420</v>
      </c>
      <c r="E9" s="2">
        <f t="shared" si="1"/>
        <v>9.4565630032751938E-2</v>
      </c>
    </row>
    <row r="10" spans="1:7">
      <c r="A10" t="s">
        <v>43</v>
      </c>
      <c r="B10" s="1">
        <v>245</v>
      </c>
      <c r="C10">
        <v>290</v>
      </c>
      <c r="D10">
        <f t="shared" si="0"/>
        <v>71050</v>
      </c>
      <c r="E10" s="2">
        <f t="shared" si="1"/>
        <v>4.1883106930725757E-2</v>
      </c>
      <c r="G10" t="s">
        <v>40</v>
      </c>
    </row>
    <row r="11" spans="1:7">
      <c r="A11" t="s">
        <v>10</v>
      </c>
      <c r="B11" s="1">
        <v>111</v>
      </c>
      <c r="C11">
        <v>1044</v>
      </c>
      <c r="D11">
        <f t="shared" si="0"/>
        <v>115884</v>
      </c>
      <c r="E11" s="2">
        <f t="shared" si="1"/>
        <v>6.8312202161298005E-2</v>
      </c>
    </row>
    <row r="12" spans="1:7">
      <c r="A12" t="s">
        <v>17</v>
      </c>
      <c r="B12" s="1">
        <v>372</v>
      </c>
      <c r="C12">
        <v>292</v>
      </c>
      <c r="D12">
        <f t="shared" si="0"/>
        <v>108624</v>
      </c>
      <c r="E12" s="2">
        <f t="shared" si="1"/>
        <v>6.4032520861972614E-2</v>
      </c>
    </row>
    <row r="13" spans="1:7">
      <c r="A13" t="s">
        <v>16</v>
      </c>
      <c r="B13" s="1">
        <v>1093</v>
      </c>
      <c r="C13">
        <v>162</v>
      </c>
      <c r="D13">
        <f t="shared" si="0"/>
        <v>177066</v>
      </c>
      <c r="E13" s="2">
        <f t="shared" si="1"/>
        <v>0.10437824365652197</v>
      </c>
    </row>
    <row r="14" spans="1:7">
      <c r="A14" t="s">
        <v>39</v>
      </c>
      <c r="B14" s="1">
        <v>1850</v>
      </c>
      <c r="C14">
        <v>38</v>
      </c>
      <c r="D14">
        <f t="shared" si="0"/>
        <v>70300</v>
      </c>
      <c r="E14" s="2">
        <f t="shared" si="1"/>
        <v>4.1440991094018588E-2</v>
      </c>
    </row>
    <row r="15" spans="1:7">
      <c r="A15" t="s">
        <v>33</v>
      </c>
      <c r="B15" s="1">
        <v>368</v>
      </c>
      <c r="C15">
        <v>118</v>
      </c>
      <c r="D15">
        <f t="shared" si="0"/>
        <v>43424</v>
      </c>
      <c r="E15" s="2">
        <f t="shared" si="1"/>
        <v>2.5597917457562774E-2</v>
      </c>
    </row>
    <row r="16" spans="1:7">
      <c r="A16" t="s">
        <v>9</v>
      </c>
      <c r="B16" s="1">
        <v>646</v>
      </c>
      <c r="C16">
        <v>399</v>
      </c>
      <c r="D16">
        <f t="shared" si="0"/>
        <v>257754</v>
      </c>
      <c r="E16" s="2">
        <f t="shared" si="1"/>
        <v>0.15194283383282597</v>
      </c>
    </row>
    <row r="17" spans="1:5">
      <c r="A17" t="s">
        <v>18</v>
      </c>
      <c r="B17" s="1">
        <v>225</v>
      </c>
      <c r="C17">
        <v>277</v>
      </c>
      <c r="D17">
        <f t="shared" si="0"/>
        <v>62325</v>
      </c>
      <c r="E17" s="2">
        <f t="shared" si="1"/>
        <v>3.6739826030365692E-2</v>
      </c>
    </row>
    <row r="18" spans="1:5">
      <c r="A18" t="s">
        <v>42</v>
      </c>
      <c r="B18" s="1">
        <v>63</v>
      </c>
      <c r="C18">
        <v>1000</v>
      </c>
      <c r="D18">
        <f t="shared" si="0"/>
        <v>63000</v>
      </c>
      <c r="E18" s="2">
        <f t="shared" si="1"/>
        <v>3.7137730283402143E-2</v>
      </c>
    </row>
    <row r="20" spans="1:5">
      <c r="D20">
        <f>SUM(D5:D18)</f>
        <v>1696388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A20" sqref="A2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7109375" bestFit="1" customWidth="1"/>
  </cols>
  <sheetData>
    <row r="1" spans="1:7">
      <c r="A1" t="s">
        <v>41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G3" t="s">
        <v>20</v>
      </c>
    </row>
    <row r="5" spans="1:7">
      <c r="A5" t="s">
        <v>11</v>
      </c>
      <c r="B5" s="1">
        <v>980</v>
      </c>
      <c r="C5">
        <v>221</v>
      </c>
      <c r="D5">
        <f>C5*B5</f>
        <v>216580</v>
      </c>
      <c r="E5" s="2">
        <f>D5/$D$20</f>
        <v>0.12386014977824927</v>
      </c>
    </row>
    <row r="6" spans="1:7">
      <c r="A6" t="s">
        <v>5</v>
      </c>
      <c r="B6" s="1">
        <v>511</v>
      </c>
      <c r="C6">
        <v>179</v>
      </c>
      <c r="D6">
        <f t="shared" ref="D6:D18" si="0">C6*B6</f>
        <v>91469</v>
      </c>
      <c r="E6" s="2">
        <f t="shared" ref="E6:E18" si="1">D6/$D$20</f>
        <v>5.2310296611259958E-2</v>
      </c>
    </row>
    <row r="7" spans="1:7">
      <c r="A7" t="s">
        <v>7</v>
      </c>
      <c r="B7" s="1">
        <v>397</v>
      </c>
      <c r="C7">
        <v>302</v>
      </c>
      <c r="D7">
        <f t="shared" si="0"/>
        <v>119894</v>
      </c>
      <c r="E7" s="2">
        <f t="shared" si="1"/>
        <v>6.8566297892295777E-2</v>
      </c>
    </row>
    <row r="8" spans="1:7">
      <c r="A8" t="s">
        <v>15</v>
      </c>
      <c r="B8" s="1">
        <v>1250</v>
      </c>
      <c r="C8">
        <v>123</v>
      </c>
      <c r="D8">
        <f t="shared" si="0"/>
        <v>153750</v>
      </c>
      <c r="E8" s="2">
        <f t="shared" si="1"/>
        <v>8.7928239119059129E-2</v>
      </c>
    </row>
    <row r="9" spans="1:7">
      <c r="A9" t="s">
        <v>6</v>
      </c>
      <c r="B9" s="1">
        <v>132</v>
      </c>
      <c r="C9">
        <v>661</v>
      </c>
      <c r="D9">
        <f t="shared" si="0"/>
        <v>87252</v>
      </c>
      <c r="E9" s="2">
        <f t="shared" si="1"/>
        <v>4.9898632322706644E-2</v>
      </c>
      <c r="G9" t="s">
        <v>44</v>
      </c>
    </row>
    <row r="10" spans="1:7">
      <c r="A10" t="s">
        <v>43</v>
      </c>
      <c r="B10" s="1">
        <v>245</v>
      </c>
      <c r="C10">
        <v>291</v>
      </c>
      <c r="D10">
        <f t="shared" si="0"/>
        <v>71295</v>
      </c>
      <c r="E10" s="2">
        <f t="shared" si="1"/>
        <v>4.0772967856867126E-2</v>
      </c>
    </row>
    <row r="11" spans="1:7">
      <c r="A11" t="s">
        <v>10</v>
      </c>
      <c r="B11" s="1">
        <v>111</v>
      </c>
      <c r="C11">
        <v>1064</v>
      </c>
      <c r="D11">
        <f t="shared" si="0"/>
        <v>118104</v>
      </c>
      <c r="E11" s="2">
        <f t="shared" si="1"/>
        <v>6.7542613027104778E-2</v>
      </c>
    </row>
    <row r="12" spans="1:7">
      <c r="A12" t="s">
        <v>17</v>
      </c>
      <c r="B12" s="1">
        <v>372</v>
      </c>
      <c r="C12">
        <v>285</v>
      </c>
      <c r="D12">
        <f t="shared" si="0"/>
        <v>106020</v>
      </c>
      <c r="E12" s="2">
        <f t="shared" si="1"/>
        <v>6.0631882350586329E-2</v>
      </c>
    </row>
    <row r="13" spans="1:7">
      <c r="A13" t="s">
        <v>16</v>
      </c>
      <c r="B13" s="1">
        <v>1093</v>
      </c>
      <c r="C13">
        <v>191</v>
      </c>
      <c r="D13">
        <f t="shared" si="0"/>
        <v>208763</v>
      </c>
      <c r="E13" s="2">
        <f t="shared" si="1"/>
        <v>0.11938967793959115</v>
      </c>
    </row>
    <row r="14" spans="1:7">
      <c r="A14" t="s">
        <v>39</v>
      </c>
      <c r="B14" s="1">
        <v>1850</v>
      </c>
      <c r="C14">
        <v>37</v>
      </c>
      <c r="D14">
        <f t="shared" si="0"/>
        <v>68450</v>
      </c>
      <c r="E14" s="2">
        <f t="shared" si="1"/>
        <v>3.9145938001298196E-2</v>
      </c>
    </row>
    <row r="15" spans="1:7">
      <c r="A15" t="s">
        <v>33</v>
      </c>
      <c r="B15" s="1">
        <v>368</v>
      </c>
      <c r="C15">
        <v>133</v>
      </c>
      <c r="D15">
        <f t="shared" si="0"/>
        <v>48944</v>
      </c>
      <c r="E15" s="2">
        <f t="shared" si="1"/>
        <v>2.7990632425647023E-2</v>
      </c>
    </row>
    <row r="16" spans="1:7">
      <c r="A16" t="s">
        <v>9</v>
      </c>
      <c r="B16" s="1">
        <v>646</v>
      </c>
      <c r="C16">
        <v>384</v>
      </c>
      <c r="D16">
        <f t="shared" si="0"/>
        <v>248064</v>
      </c>
      <c r="E16" s="2">
        <f t="shared" si="1"/>
        <v>0.14186556558588803</v>
      </c>
    </row>
    <row r="17" spans="1:5">
      <c r="A17" t="s">
        <v>18</v>
      </c>
      <c r="B17" s="1">
        <v>225</v>
      </c>
      <c r="C17">
        <v>280</v>
      </c>
      <c r="D17">
        <f t="shared" si="0"/>
        <v>63000</v>
      </c>
      <c r="E17" s="2">
        <f t="shared" si="1"/>
        <v>3.6029132126833986E-2</v>
      </c>
    </row>
    <row r="18" spans="1:5">
      <c r="A18" t="s">
        <v>42</v>
      </c>
      <c r="B18" s="1">
        <f>63+84</f>
        <v>147</v>
      </c>
      <c r="C18">
        <v>1000</v>
      </c>
      <c r="D18">
        <f t="shared" si="0"/>
        <v>147000</v>
      </c>
      <c r="E18" s="2">
        <f t="shared" si="1"/>
        <v>8.4067974962612632E-2</v>
      </c>
    </row>
    <row r="20" spans="1:5">
      <c r="D20">
        <f>SUM(D5:D18)</f>
        <v>1748585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A36" sqref="A36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7109375" bestFit="1" customWidth="1"/>
  </cols>
  <sheetData>
    <row r="1" spans="1:7">
      <c r="A1" t="s">
        <v>41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G3" t="s">
        <v>20</v>
      </c>
    </row>
    <row r="5" spans="1:7">
      <c r="A5" t="s">
        <v>11</v>
      </c>
      <c r="B5" s="1">
        <v>980</v>
      </c>
      <c r="C5">
        <v>229</v>
      </c>
      <c r="D5">
        <f>C5*B5</f>
        <v>224420</v>
      </c>
      <c r="E5" s="2">
        <f>D5/$D$20</f>
        <v>0.12863074344695086</v>
      </c>
    </row>
    <row r="6" spans="1:7">
      <c r="A6" t="s">
        <v>5</v>
      </c>
      <c r="B6" s="1">
        <v>511</v>
      </c>
      <c r="C6">
        <v>177</v>
      </c>
      <c r="D6">
        <f t="shared" ref="D6:D18" si="0">C6*B6</f>
        <v>90447</v>
      </c>
      <c r="E6" s="2">
        <f t="shared" ref="E6:E18" si="1">D6/$D$20</f>
        <v>5.1841479603183152E-2</v>
      </c>
    </row>
    <row r="7" spans="1:7">
      <c r="A7" t="s">
        <v>7</v>
      </c>
      <c r="B7" s="1">
        <v>397</v>
      </c>
      <c r="C7">
        <v>288</v>
      </c>
      <c r="D7">
        <f t="shared" si="0"/>
        <v>114336</v>
      </c>
      <c r="E7" s="2">
        <f t="shared" si="1"/>
        <v>6.5533930499735202E-2</v>
      </c>
    </row>
    <row r="8" spans="1:7">
      <c r="A8" t="s">
        <v>15</v>
      </c>
      <c r="B8" s="1">
        <v>1250</v>
      </c>
      <c r="C8">
        <v>113</v>
      </c>
      <c r="D8">
        <f t="shared" si="0"/>
        <v>141250</v>
      </c>
      <c r="E8" s="2">
        <f t="shared" si="1"/>
        <v>8.0960219730335126E-2</v>
      </c>
    </row>
    <row r="9" spans="1:7">
      <c r="A9" t="s">
        <v>6</v>
      </c>
      <c r="B9" s="1">
        <v>0</v>
      </c>
      <c r="C9">
        <v>621</v>
      </c>
      <c r="D9">
        <f t="shared" si="0"/>
        <v>0</v>
      </c>
      <c r="E9" s="2">
        <f t="shared" si="1"/>
        <v>0</v>
      </c>
      <c r="G9" t="s">
        <v>45</v>
      </c>
    </row>
    <row r="10" spans="1:7">
      <c r="A10" t="s">
        <v>43</v>
      </c>
      <c r="B10" s="1">
        <v>245</v>
      </c>
      <c r="C10">
        <v>372</v>
      </c>
      <c r="D10">
        <f t="shared" si="0"/>
        <v>91140</v>
      </c>
      <c r="E10" s="2">
        <f t="shared" si="1"/>
        <v>5.2238686203346853E-2</v>
      </c>
    </row>
    <row r="11" spans="1:7">
      <c r="A11" t="s">
        <v>10</v>
      </c>
      <c r="B11" s="1">
        <v>111</v>
      </c>
      <c r="C11">
        <v>1103</v>
      </c>
      <c r="D11">
        <f t="shared" si="0"/>
        <v>122433</v>
      </c>
      <c r="E11" s="2">
        <f t="shared" si="1"/>
        <v>7.0174885538011461E-2</v>
      </c>
    </row>
    <row r="12" spans="1:7">
      <c r="A12" t="s">
        <v>17</v>
      </c>
      <c r="B12" s="1">
        <v>372</v>
      </c>
      <c r="C12">
        <v>278</v>
      </c>
      <c r="D12">
        <f t="shared" si="0"/>
        <v>103416</v>
      </c>
      <c r="E12" s="2">
        <f t="shared" si="1"/>
        <v>5.927491740624663E-2</v>
      </c>
    </row>
    <row r="13" spans="1:7">
      <c r="A13" t="s">
        <v>16</v>
      </c>
      <c r="B13" s="1">
        <v>1093</v>
      </c>
      <c r="C13">
        <v>174</v>
      </c>
      <c r="D13">
        <f t="shared" si="0"/>
        <v>190182</v>
      </c>
      <c r="E13" s="2">
        <f t="shared" si="1"/>
        <v>0.10900655935401482</v>
      </c>
    </row>
    <row r="14" spans="1:7">
      <c r="A14" t="s">
        <v>39</v>
      </c>
      <c r="B14" s="1">
        <v>1850</v>
      </c>
      <c r="C14">
        <v>37</v>
      </c>
      <c r="D14">
        <f t="shared" si="0"/>
        <v>68450</v>
      </c>
      <c r="E14" s="2">
        <f t="shared" si="1"/>
        <v>3.9233465773744702E-2</v>
      </c>
    </row>
    <row r="15" spans="1:7">
      <c r="A15" t="s">
        <v>33</v>
      </c>
      <c r="B15" s="1">
        <v>368</v>
      </c>
      <c r="C15">
        <v>130</v>
      </c>
      <c r="D15">
        <f t="shared" si="0"/>
        <v>47840</v>
      </c>
      <c r="E15" s="2">
        <f t="shared" si="1"/>
        <v>2.7420438314330848E-2</v>
      </c>
    </row>
    <row r="16" spans="1:7">
      <c r="A16" t="s">
        <v>9</v>
      </c>
      <c r="B16" s="1">
        <v>646</v>
      </c>
      <c r="C16">
        <v>420</v>
      </c>
      <c r="D16">
        <f t="shared" si="0"/>
        <v>271320</v>
      </c>
      <c r="E16" s="2">
        <f t="shared" si="1"/>
        <v>0.15551240224590815</v>
      </c>
    </row>
    <row r="17" spans="1:5">
      <c r="A17" t="s">
        <v>18</v>
      </c>
      <c r="B17" s="1">
        <v>225</v>
      </c>
      <c r="C17">
        <v>242</v>
      </c>
      <c r="D17">
        <f t="shared" si="0"/>
        <v>54450</v>
      </c>
      <c r="E17" s="2">
        <f t="shared" si="1"/>
        <v>3.1209090012861929E-2</v>
      </c>
    </row>
    <row r="18" spans="1:5">
      <c r="A18" t="s">
        <v>42</v>
      </c>
      <c r="B18" s="1">
        <f>63+84+78</f>
        <v>225</v>
      </c>
      <c r="C18">
        <v>1000</v>
      </c>
      <c r="D18">
        <f t="shared" si="0"/>
        <v>225000</v>
      </c>
      <c r="E18" s="2">
        <f t="shared" si="1"/>
        <v>0.12896318187133027</v>
      </c>
    </row>
    <row r="20" spans="1:5">
      <c r="D20">
        <f>SUM(D5:D18)</f>
        <v>1744684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G10" sqref="G1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2.7109375" bestFit="1" customWidth="1"/>
  </cols>
  <sheetData>
    <row r="1" spans="1:7">
      <c r="A1" t="s">
        <v>41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G3" t="s">
        <v>20</v>
      </c>
    </row>
    <row r="5" spans="1:7">
      <c r="A5" t="s">
        <v>11</v>
      </c>
      <c r="B5" s="1">
        <v>980</v>
      </c>
      <c r="C5">
        <v>224</v>
      </c>
      <c r="D5">
        <f>C5*B5</f>
        <v>219520</v>
      </c>
      <c r="E5" s="2">
        <f t="shared" ref="E5:E17" si="0">D5/$D$19</f>
        <v>0.12751321921504322</v>
      </c>
    </row>
    <row r="6" spans="1:7">
      <c r="A6" t="s">
        <v>5</v>
      </c>
      <c r="B6" s="1">
        <v>511</v>
      </c>
      <c r="C6">
        <v>173</v>
      </c>
      <c r="D6">
        <f t="shared" ref="D6:D17" si="1">C6*B6</f>
        <v>88403</v>
      </c>
      <c r="E6" s="2">
        <f t="shared" si="0"/>
        <v>5.1350907062078469E-2</v>
      </c>
    </row>
    <row r="7" spans="1:7">
      <c r="A7" t="s">
        <v>7</v>
      </c>
      <c r="B7" s="1">
        <v>397</v>
      </c>
      <c r="C7">
        <v>284</v>
      </c>
      <c r="D7">
        <f t="shared" si="1"/>
        <v>112748</v>
      </c>
      <c r="E7" s="2">
        <f t="shared" si="0"/>
        <v>6.5492257835539774E-2</v>
      </c>
    </row>
    <row r="8" spans="1:7">
      <c r="A8" t="s">
        <v>15</v>
      </c>
      <c r="B8" s="1">
        <v>1250</v>
      </c>
      <c r="C8">
        <v>101</v>
      </c>
      <c r="D8">
        <f t="shared" si="1"/>
        <v>126250</v>
      </c>
      <c r="E8" s="2">
        <f t="shared" si="0"/>
        <v>7.3335203744074373E-2</v>
      </c>
    </row>
    <row r="9" spans="1:7">
      <c r="A9" t="s">
        <v>43</v>
      </c>
      <c r="B9" s="1">
        <f>245+95</f>
        <v>340</v>
      </c>
      <c r="C9">
        <v>350</v>
      </c>
      <c r="D9">
        <f t="shared" si="1"/>
        <v>119000</v>
      </c>
      <c r="E9" s="2">
        <f t="shared" si="0"/>
        <v>6.9123875212236438E-2</v>
      </c>
      <c r="G9" t="s">
        <v>46</v>
      </c>
    </row>
    <row r="10" spans="1:7">
      <c r="A10" t="s">
        <v>10</v>
      </c>
      <c r="B10" s="1">
        <v>111</v>
      </c>
      <c r="C10">
        <v>1088</v>
      </c>
      <c r="D10">
        <f t="shared" si="1"/>
        <v>120768</v>
      </c>
      <c r="E10" s="2">
        <f t="shared" si="0"/>
        <v>7.0150858501103946E-2</v>
      </c>
    </row>
    <row r="11" spans="1:7">
      <c r="A11" t="s">
        <v>17</v>
      </c>
      <c r="B11" s="1">
        <v>372</v>
      </c>
      <c r="C11">
        <v>281</v>
      </c>
      <c r="D11">
        <f t="shared" si="1"/>
        <v>104532</v>
      </c>
      <c r="E11" s="2">
        <f t="shared" si="0"/>
        <v>6.0719806081390749E-2</v>
      </c>
    </row>
    <row r="12" spans="1:7">
      <c r="A12" t="s">
        <v>16</v>
      </c>
      <c r="B12" s="1">
        <v>1093</v>
      </c>
      <c r="C12">
        <v>176</v>
      </c>
      <c r="D12">
        <f t="shared" si="1"/>
        <v>192368</v>
      </c>
      <c r="E12" s="2">
        <f t="shared" si="0"/>
        <v>0.11174135820863444</v>
      </c>
    </row>
    <row r="13" spans="1:7">
      <c r="A13" t="s">
        <v>39</v>
      </c>
      <c r="B13" s="1">
        <v>1850</v>
      </c>
      <c r="C13">
        <v>36</v>
      </c>
      <c r="D13">
        <f t="shared" si="1"/>
        <v>66600</v>
      </c>
      <c r="E13" s="2">
        <f t="shared" si="0"/>
        <v>3.8686135202814678E-2</v>
      </c>
    </row>
    <row r="14" spans="1:7">
      <c r="A14" t="s">
        <v>33</v>
      </c>
      <c r="B14" s="1">
        <v>368</v>
      </c>
      <c r="C14">
        <v>126</v>
      </c>
      <c r="D14">
        <f t="shared" si="1"/>
        <v>46368</v>
      </c>
      <c r="E14" s="2">
        <f t="shared" si="0"/>
        <v>2.6933914670932597E-2</v>
      </c>
    </row>
    <row r="15" spans="1:7">
      <c r="A15" t="s">
        <v>9</v>
      </c>
      <c r="B15" s="1">
        <v>646</v>
      </c>
      <c r="C15">
        <v>440</v>
      </c>
      <c r="D15">
        <f t="shared" si="1"/>
        <v>284240</v>
      </c>
      <c r="E15" s="2">
        <f t="shared" si="0"/>
        <v>0.16510731336408474</v>
      </c>
    </row>
    <row r="16" spans="1:7">
      <c r="A16" t="s">
        <v>18</v>
      </c>
      <c r="B16" s="1">
        <v>225</v>
      </c>
      <c r="C16">
        <v>230</v>
      </c>
      <c r="D16">
        <f t="shared" si="1"/>
        <v>51750</v>
      </c>
      <c r="E16" s="2">
        <f t="shared" si="0"/>
        <v>3.0060172623808702E-2</v>
      </c>
    </row>
    <row r="17" spans="1:5">
      <c r="A17" t="s">
        <v>42</v>
      </c>
      <c r="B17" s="1">
        <f>63+84+78-36</f>
        <v>189</v>
      </c>
      <c r="C17">
        <v>1000</v>
      </c>
      <c r="D17">
        <f t="shared" si="1"/>
        <v>189000</v>
      </c>
      <c r="E17" s="2">
        <f t="shared" si="0"/>
        <v>0.10978497827825787</v>
      </c>
    </row>
    <row r="19" spans="1:5">
      <c r="D19">
        <f>SUM(D5:D17)</f>
        <v>1721547</v>
      </c>
      <c r="E19"/>
    </row>
  </sheetData>
  <pageMargins left="0.7" right="0.7" top="0.75" bottom="0.75" header="0.3" footer="0.3"/>
  <pageSetup orientation="portrait" horizontalDpi="180" verticalDpi="18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A20" sqref="A2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3.42578125" bestFit="1" customWidth="1"/>
  </cols>
  <sheetData>
    <row r="1" spans="1:7">
      <c r="A1" t="s">
        <v>41</v>
      </c>
    </row>
    <row r="3" spans="1:7">
      <c r="A3" t="s">
        <v>1</v>
      </c>
      <c r="B3" s="1" t="s">
        <v>13</v>
      </c>
      <c r="C3" t="s">
        <v>2</v>
      </c>
      <c r="D3" t="s">
        <v>12</v>
      </c>
      <c r="E3" s="2" t="s">
        <v>4</v>
      </c>
      <c r="G3" t="s">
        <v>20</v>
      </c>
    </row>
    <row r="5" spans="1:7">
      <c r="A5" t="s">
        <v>11</v>
      </c>
      <c r="B5" s="1">
        <v>980</v>
      </c>
      <c r="C5">
        <v>253</v>
      </c>
      <c r="D5">
        <f>C5*B5</f>
        <v>247940</v>
      </c>
      <c r="E5" s="2">
        <f t="shared" ref="E5:E18" si="0">D5/$D$20</f>
        <v>0.13062770209255106</v>
      </c>
    </row>
    <row r="6" spans="1:7">
      <c r="A6" t="s">
        <v>5</v>
      </c>
      <c r="B6" s="1">
        <v>511</v>
      </c>
      <c r="C6">
        <v>193</v>
      </c>
      <c r="D6">
        <f t="shared" ref="D6:D18" si="1">C6*B6</f>
        <v>98623</v>
      </c>
      <c r="E6" s="2">
        <f t="shared" si="0"/>
        <v>5.1959731642629917E-2</v>
      </c>
    </row>
    <row r="7" spans="1:7">
      <c r="A7" t="s">
        <v>7</v>
      </c>
      <c r="B7" s="1">
        <v>397</v>
      </c>
      <c r="C7">
        <v>256</v>
      </c>
      <c r="D7">
        <f t="shared" si="1"/>
        <v>101632</v>
      </c>
      <c r="E7" s="2">
        <f t="shared" si="0"/>
        <v>5.3545029519521448E-2</v>
      </c>
    </row>
    <row r="8" spans="1:7">
      <c r="A8" t="s">
        <v>47</v>
      </c>
      <c r="B8" s="1">
        <v>350</v>
      </c>
      <c r="C8">
        <v>248</v>
      </c>
      <c r="D8">
        <f t="shared" si="1"/>
        <v>86800</v>
      </c>
      <c r="E8" s="2">
        <f t="shared" si="0"/>
        <v>4.5730759625850735E-2</v>
      </c>
      <c r="G8" t="s">
        <v>32</v>
      </c>
    </row>
    <row r="9" spans="1:7">
      <c r="A9" t="s">
        <v>15</v>
      </c>
      <c r="B9" s="1">
        <v>1250</v>
      </c>
      <c r="C9">
        <v>103</v>
      </c>
      <c r="D9">
        <f t="shared" si="1"/>
        <v>128750</v>
      </c>
      <c r="E9" s="2">
        <f t="shared" si="0"/>
        <v>6.7832203938113844E-2</v>
      </c>
    </row>
    <row r="10" spans="1:7">
      <c r="A10" t="s">
        <v>43</v>
      </c>
      <c r="B10" s="1">
        <f>245+95</f>
        <v>340</v>
      </c>
      <c r="C10">
        <v>505</v>
      </c>
      <c r="D10">
        <f t="shared" si="1"/>
        <v>171700</v>
      </c>
      <c r="E10" s="2">
        <f t="shared" si="0"/>
        <v>9.04605003197992E-2</v>
      </c>
    </row>
    <row r="11" spans="1:7">
      <c r="A11" t="s">
        <v>10</v>
      </c>
      <c r="B11" s="1">
        <v>111</v>
      </c>
      <c r="C11">
        <v>1368</v>
      </c>
      <c r="D11">
        <f t="shared" si="1"/>
        <v>151848</v>
      </c>
      <c r="E11" s="2">
        <f t="shared" si="0"/>
        <v>8.0001433037628827E-2</v>
      </c>
    </row>
    <row r="12" spans="1:7">
      <c r="A12" t="s">
        <v>17</v>
      </c>
      <c r="B12" s="1">
        <v>372</v>
      </c>
      <c r="C12">
        <v>275</v>
      </c>
      <c r="D12">
        <f t="shared" si="1"/>
        <v>102300</v>
      </c>
      <c r="E12" s="2">
        <f t="shared" si="0"/>
        <v>5.3896966701895511E-2</v>
      </c>
    </row>
    <row r="13" spans="1:7">
      <c r="A13" t="s">
        <v>16</v>
      </c>
      <c r="B13" s="1">
        <v>1093</v>
      </c>
      <c r="C13">
        <v>183</v>
      </c>
      <c r="D13">
        <f t="shared" si="1"/>
        <v>200019</v>
      </c>
      <c r="E13" s="2">
        <f t="shared" si="0"/>
        <v>0.10538042407376771</v>
      </c>
    </row>
    <row r="14" spans="1:7">
      <c r="A14" t="s">
        <v>39</v>
      </c>
      <c r="B14" s="1">
        <v>1850</v>
      </c>
      <c r="C14">
        <v>26</v>
      </c>
      <c r="D14">
        <f t="shared" si="1"/>
        <v>48100</v>
      </c>
      <c r="E14" s="2">
        <f t="shared" si="0"/>
        <v>2.5341584539209913E-2</v>
      </c>
    </row>
    <row r="15" spans="1:7">
      <c r="A15" t="s">
        <v>33</v>
      </c>
      <c r="B15" s="1">
        <v>368</v>
      </c>
      <c r="C15">
        <v>129</v>
      </c>
      <c r="D15">
        <f t="shared" si="1"/>
        <v>47472</v>
      </c>
      <c r="E15" s="2">
        <f t="shared" si="0"/>
        <v>2.5010721439612742E-2</v>
      </c>
    </row>
    <row r="16" spans="1:7">
      <c r="A16" t="s">
        <v>9</v>
      </c>
      <c r="B16" s="1">
        <v>646</v>
      </c>
      <c r="C16">
        <v>542</v>
      </c>
      <c r="D16">
        <f t="shared" si="1"/>
        <v>350132</v>
      </c>
      <c r="E16" s="2">
        <f t="shared" si="0"/>
        <v>0.18446776877094895</v>
      </c>
    </row>
    <row r="17" spans="1:5">
      <c r="A17" t="s">
        <v>18</v>
      </c>
      <c r="B17" s="1">
        <v>225</v>
      </c>
      <c r="C17">
        <v>270</v>
      </c>
      <c r="D17">
        <f t="shared" si="1"/>
        <v>60750</v>
      </c>
      <c r="E17" s="2">
        <f t="shared" si="0"/>
        <v>3.2006263217401291E-2</v>
      </c>
    </row>
    <row r="18" spans="1:5">
      <c r="A18" t="s">
        <v>42</v>
      </c>
      <c r="B18" s="1">
        <v>102</v>
      </c>
      <c r="C18">
        <v>1000</v>
      </c>
      <c r="D18">
        <f t="shared" si="1"/>
        <v>102000</v>
      </c>
      <c r="E18" s="2">
        <f t="shared" si="0"/>
        <v>5.3738911081068833E-2</v>
      </c>
    </row>
    <row r="20" spans="1:5">
      <c r="D20">
        <f>SUM(D5:D18)</f>
        <v>1898066</v>
      </c>
      <c r="E20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Model</vt:lpstr>
      <vt:lpstr>1Jan2012</vt:lpstr>
      <vt:lpstr>17Feb2012</vt:lpstr>
      <vt:lpstr>09Apr2012</vt:lpstr>
      <vt:lpstr>24April2012</vt:lpstr>
      <vt:lpstr>07May2012</vt:lpstr>
      <vt:lpstr>31May2012</vt:lpstr>
      <vt:lpstr>04Jun12</vt:lpstr>
      <vt:lpstr>02Jul12</vt:lpstr>
      <vt:lpstr>13Jul12</vt:lpstr>
      <vt:lpstr>17Jul12</vt:lpstr>
      <vt:lpstr>24Jul12</vt:lpstr>
      <vt:lpstr>07Aug12</vt:lpstr>
      <vt:lpstr>27Aug12</vt:lpstr>
      <vt:lpstr>28Sep12</vt:lpstr>
      <vt:lpstr>09Oct12</vt:lpstr>
      <vt:lpstr>29Oct12</vt:lpstr>
      <vt:lpstr>30Oct12</vt:lpstr>
      <vt:lpstr>11Dec12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2011-12-31T05:17:18Z</dcterms:created>
  <dcterms:modified xsi:type="dcterms:W3CDTF">2013-12-05T13:09:57Z</dcterms:modified>
</cp:coreProperties>
</file>