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3b54154a9f56a2/Samir/Research/Portfolio/Portfolio Yearly/"/>
    </mc:Choice>
  </mc:AlternateContent>
  <xr:revisionPtr revIDLastSave="533" documentId="8_{EDF33660-9B23-4888-B529-2B640994E33F}" xr6:coauthVersionLast="47" xr6:coauthVersionMax="47" xr10:uidLastSave="{F6641DEE-883B-4770-B1FC-09697E7ADCB5}"/>
  <bookViews>
    <workbookView xWindow="-108" yWindow="-108" windowWidth="23256" windowHeight="13896" firstSheet="25" activeTab="2" xr2:uid="{D1491BFC-AA9E-4856-B603-CFD392162666}"/>
  </bookViews>
  <sheets>
    <sheet name="01Jan23" sheetId="2" r:id="rId1"/>
    <sheet name="20Jan23" sheetId="4" r:id="rId2"/>
    <sheet name="08Feb23" sheetId="5" r:id="rId3"/>
    <sheet name="12Feb23" sheetId="6" r:id="rId4"/>
    <sheet name="10Apr23" sheetId="7" r:id="rId5"/>
    <sheet name="21Apr23" sheetId="8" r:id="rId6"/>
    <sheet name="16May23" sheetId="9" r:id="rId7"/>
    <sheet name="22May23" sheetId="10" r:id="rId8"/>
    <sheet name="31May23" sheetId="11" r:id="rId9"/>
    <sheet name="30Jun23" sheetId="12" r:id="rId10"/>
    <sheet name="28Jul23" sheetId="13" r:id="rId11"/>
    <sheet name="31Jul23" sheetId="15" r:id="rId12"/>
    <sheet name="04Aug23" sheetId="16" r:id="rId13"/>
    <sheet name="07Aug23" sheetId="17" r:id="rId14"/>
    <sheet name="11Aug23" sheetId="18" r:id="rId15"/>
    <sheet name="17Aug23" sheetId="19" r:id="rId16"/>
    <sheet name="05Sep23" sheetId="20" r:id="rId17"/>
    <sheet name="12Sep23" sheetId="21" r:id="rId18"/>
    <sheet name="06Oct23" sheetId="22" r:id="rId19"/>
    <sheet name="20Oct23" sheetId="23" r:id="rId20"/>
    <sheet name="31Oct23" sheetId="25" r:id="rId21"/>
    <sheet name="02Nov23" sheetId="26" r:id="rId22"/>
    <sheet name="09Nov23" sheetId="27" r:id="rId23"/>
    <sheet name="23Nov23" sheetId="28" r:id="rId24"/>
    <sheet name="01Dec23" sheetId="29" r:id="rId25"/>
    <sheet name="31Dec23" sheetId="30" r:id="rId26"/>
    <sheet name="Liquid" sheetId="3" r:id="rId27"/>
    <sheet name="Sheet1" sheetId="1" r:id="rId2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B19" i="30"/>
  <c r="D19" i="30" s="1"/>
  <c r="B18" i="30"/>
  <c r="D18" i="30" s="1"/>
  <c r="D17" i="30"/>
  <c r="B17" i="30"/>
  <c r="B16" i="30"/>
  <c r="D16" i="30" s="1"/>
  <c r="B15" i="30"/>
  <c r="D15" i="30" s="1"/>
  <c r="D14" i="30"/>
  <c r="B14" i="30"/>
  <c r="B13" i="30"/>
  <c r="D13" i="30" s="1"/>
  <c r="B12" i="30"/>
  <c r="D12" i="30" s="1"/>
  <c r="B11" i="30"/>
  <c r="D11" i="30" s="1"/>
  <c r="B10" i="30"/>
  <c r="D10" i="30" s="1"/>
  <c r="D9" i="30"/>
  <c r="B9" i="30"/>
  <c r="B8" i="30"/>
  <c r="D8" i="30" s="1"/>
  <c r="B7" i="30"/>
  <c r="D7" i="30" s="1"/>
  <c r="D6" i="30"/>
  <c r="B6" i="30"/>
  <c r="B5" i="30"/>
  <c r="D5" i="30" s="1"/>
  <c r="D21" i="30" l="1"/>
  <c r="E10" i="30" s="1"/>
  <c r="E19" i="30"/>
  <c r="B19" i="29"/>
  <c r="B12" i="29"/>
  <c r="D19" i="29"/>
  <c r="D18" i="29"/>
  <c r="B18" i="29"/>
  <c r="B17" i="29"/>
  <c r="D17" i="29" s="1"/>
  <c r="B16" i="29"/>
  <c r="D16" i="29" s="1"/>
  <c r="B15" i="29"/>
  <c r="D15" i="29" s="1"/>
  <c r="B14" i="29"/>
  <c r="D14" i="29" s="1"/>
  <c r="B13" i="29"/>
  <c r="D13" i="29" s="1"/>
  <c r="D12" i="29"/>
  <c r="B11" i="29"/>
  <c r="D11" i="29" s="1"/>
  <c r="B10" i="29"/>
  <c r="D10" i="29" s="1"/>
  <c r="B9" i="29"/>
  <c r="D9" i="29" s="1"/>
  <c r="D8" i="29"/>
  <c r="B8" i="29"/>
  <c r="B7" i="29"/>
  <c r="D7" i="29" s="1"/>
  <c r="B6" i="29"/>
  <c r="D6" i="29" s="1"/>
  <c r="B5" i="29"/>
  <c r="D5" i="29" s="1"/>
  <c r="B19" i="28"/>
  <c r="B13" i="28"/>
  <c r="D19" i="28"/>
  <c r="B18" i="28"/>
  <c r="D18" i="28" s="1"/>
  <c r="D17" i="28"/>
  <c r="B17" i="28"/>
  <c r="B16" i="28"/>
  <c r="D16" i="28" s="1"/>
  <c r="D15" i="28"/>
  <c r="B15" i="28"/>
  <c r="D14" i="28"/>
  <c r="B14" i="28"/>
  <c r="D13" i="28"/>
  <c r="D12" i="28"/>
  <c r="D11" i="28"/>
  <c r="B11" i="28"/>
  <c r="B10" i="28"/>
  <c r="D10" i="28" s="1"/>
  <c r="B9" i="28"/>
  <c r="D9" i="28" s="1"/>
  <c r="B8" i="28"/>
  <c r="D8" i="28" s="1"/>
  <c r="B7" i="28"/>
  <c r="D7" i="28" s="1"/>
  <c r="D6" i="28"/>
  <c r="B6" i="28"/>
  <c r="B5" i="28"/>
  <c r="D5" i="28" s="1"/>
  <c r="B19" i="27"/>
  <c r="D19" i="27" s="1"/>
  <c r="B14" i="27"/>
  <c r="B17" i="27"/>
  <c r="D17" i="27" s="1"/>
  <c r="B16" i="27"/>
  <c r="D16" i="27" s="1"/>
  <c r="B13" i="27"/>
  <c r="D14" i="27"/>
  <c r="D18" i="27"/>
  <c r="B18" i="27"/>
  <c r="D15" i="27"/>
  <c r="B15" i="27"/>
  <c r="D13" i="27"/>
  <c r="D12" i="27"/>
  <c r="B11" i="27"/>
  <c r="D11" i="27" s="1"/>
  <c r="D10" i="27"/>
  <c r="B10" i="27"/>
  <c r="D9" i="27"/>
  <c r="B9" i="27"/>
  <c r="B8" i="27"/>
  <c r="D8" i="27" s="1"/>
  <c r="B7" i="27"/>
  <c r="D7" i="27" s="1"/>
  <c r="B6" i="27"/>
  <c r="D6" i="27" s="1"/>
  <c r="B5" i="27"/>
  <c r="D5" i="27" s="1"/>
  <c r="B18" i="26"/>
  <c r="B14" i="26"/>
  <c r="D14" i="26" s="1"/>
  <c r="B19" i="26"/>
  <c r="D19" i="26" s="1"/>
  <c r="B18" i="25"/>
  <c r="D18" i="25" s="1"/>
  <c r="B17" i="25"/>
  <c r="D17" i="25" s="1"/>
  <c r="D12" i="26"/>
  <c r="D18" i="26"/>
  <c r="D17" i="26"/>
  <c r="B16" i="26"/>
  <c r="D16" i="26" s="1"/>
  <c r="B15" i="26"/>
  <c r="D15" i="26" s="1"/>
  <c r="B13" i="26"/>
  <c r="D13" i="26" s="1"/>
  <c r="B11" i="26"/>
  <c r="D11" i="26" s="1"/>
  <c r="B10" i="26"/>
  <c r="D10" i="26" s="1"/>
  <c r="B9" i="26"/>
  <c r="D9" i="26" s="1"/>
  <c r="B8" i="26"/>
  <c r="D8" i="26" s="1"/>
  <c r="B7" i="26"/>
  <c r="D7" i="26" s="1"/>
  <c r="B6" i="26"/>
  <c r="D6" i="26" s="1"/>
  <c r="B5" i="26"/>
  <c r="D5" i="26" s="1"/>
  <c r="D16" i="25"/>
  <c r="B15" i="25"/>
  <c r="D15" i="25" s="1"/>
  <c r="D14" i="25"/>
  <c r="B14" i="25"/>
  <c r="B13" i="25"/>
  <c r="D13" i="25" s="1"/>
  <c r="D12" i="25"/>
  <c r="B12" i="25"/>
  <c r="B11" i="25"/>
  <c r="D11" i="25" s="1"/>
  <c r="B10" i="25"/>
  <c r="D10" i="25" s="1"/>
  <c r="B9" i="25"/>
  <c r="D9" i="25" s="1"/>
  <c r="B8" i="25"/>
  <c r="D8" i="25" s="1"/>
  <c r="B7" i="25"/>
  <c r="D7" i="25" s="1"/>
  <c r="D6" i="25"/>
  <c r="B6" i="25"/>
  <c r="B5" i="25"/>
  <c r="D5" i="25" s="1"/>
  <c r="B13" i="23"/>
  <c r="B18" i="23"/>
  <c r="D18" i="23" s="1"/>
  <c r="D17" i="23"/>
  <c r="B17" i="23"/>
  <c r="D16" i="23"/>
  <c r="B15" i="23"/>
  <c r="D15" i="23" s="1"/>
  <c r="D14" i="23"/>
  <c r="B14" i="23"/>
  <c r="D13" i="23"/>
  <c r="B12" i="23"/>
  <c r="D12" i="23" s="1"/>
  <c r="B11" i="23"/>
  <c r="D11" i="23" s="1"/>
  <c r="B10" i="23"/>
  <c r="D10" i="23" s="1"/>
  <c r="D9" i="23"/>
  <c r="B9" i="23"/>
  <c r="D8" i="23"/>
  <c r="B8" i="23"/>
  <c r="B7" i="23"/>
  <c r="D7" i="23" s="1"/>
  <c r="D6" i="23"/>
  <c r="B6" i="23"/>
  <c r="B5" i="23"/>
  <c r="D5" i="23" s="1"/>
  <c r="C11" i="22"/>
  <c r="B11" i="22"/>
  <c r="D11" i="22" s="1"/>
  <c r="D18" i="22"/>
  <c r="B18" i="22"/>
  <c r="B17" i="22"/>
  <c r="D17" i="22" s="1"/>
  <c r="D16" i="22"/>
  <c r="B15" i="22"/>
  <c r="D15" i="22" s="1"/>
  <c r="D14" i="22"/>
  <c r="B14" i="22"/>
  <c r="B13" i="22"/>
  <c r="D13" i="22" s="1"/>
  <c r="D12" i="22"/>
  <c r="B12" i="22"/>
  <c r="B10" i="22"/>
  <c r="D10" i="22" s="1"/>
  <c r="B9" i="22"/>
  <c r="D9" i="22" s="1"/>
  <c r="B8" i="22"/>
  <c r="D8" i="22" s="1"/>
  <c r="B7" i="22"/>
  <c r="D7" i="22" s="1"/>
  <c r="D6" i="22"/>
  <c r="B6" i="22"/>
  <c r="B5" i="22"/>
  <c r="D5" i="22" s="1"/>
  <c r="B18" i="21"/>
  <c r="D18" i="21" s="1"/>
  <c r="B15" i="21"/>
  <c r="D15" i="21" s="1"/>
  <c r="B17" i="21"/>
  <c r="D17" i="21" s="1"/>
  <c r="D16" i="21"/>
  <c r="B14" i="21"/>
  <c r="D14" i="21" s="1"/>
  <c r="B13" i="21"/>
  <c r="D13" i="21" s="1"/>
  <c r="B12" i="21"/>
  <c r="D12" i="21" s="1"/>
  <c r="D11" i="21"/>
  <c r="B11" i="21"/>
  <c r="D10" i="21"/>
  <c r="B10" i="21"/>
  <c r="B9" i="21"/>
  <c r="D9" i="21" s="1"/>
  <c r="D8" i="21"/>
  <c r="B8" i="21"/>
  <c r="D7" i="21"/>
  <c r="B7" i="21"/>
  <c r="B6" i="21"/>
  <c r="D6" i="21" s="1"/>
  <c r="B5" i="21"/>
  <c r="D5" i="21" s="1"/>
  <c r="B18" i="20"/>
  <c r="B9" i="20"/>
  <c r="D9" i="20" s="1"/>
  <c r="D18" i="20"/>
  <c r="D17" i="20"/>
  <c r="D16" i="20"/>
  <c r="B15" i="20"/>
  <c r="D15" i="20" s="1"/>
  <c r="B14" i="20"/>
  <c r="D14" i="20" s="1"/>
  <c r="D13" i="20"/>
  <c r="B13" i="20"/>
  <c r="B12" i="20"/>
  <c r="D12" i="20" s="1"/>
  <c r="B11" i="20"/>
  <c r="D11" i="20" s="1"/>
  <c r="D10" i="20"/>
  <c r="B10" i="20"/>
  <c r="B8" i="20"/>
  <c r="D8" i="20" s="1"/>
  <c r="D7" i="20"/>
  <c r="B7" i="20"/>
  <c r="B6" i="20"/>
  <c r="D6" i="20" s="1"/>
  <c r="D5" i="20"/>
  <c r="B5" i="20"/>
  <c r="B18" i="19"/>
  <c r="D18" i="19" s="1"/>
  <c r="B18" i="18"/>
  <c r="B15" i="19"/>
  <c r="D15" i="19" s="1"/>
  <c r="D18" i="18"/>
  <c r="B19" i="17"/>
  <c r="D19" i="17" s="1"/>
  <c r="D17" i="19"/>
  <c r="D16" i="19"/>
  <c r="D14" i="19"/>
  <c r="B14" i="19"/>
  <c r="D13" i="19"/>
  <c r="B13" i="19"/>
  <c r="B12" i="19"/>
  <c r="D12" i="19" s="1"/>
  <c r="B11" i="19"/>
  <c r="D11" i="19" s="1"/>
  <c r="D10" i="19"/>
  <c r="B10" i="19"/>
  <c r="B9" i="19"/>
  <c r="D9" i="19" s="1"/>
  <c r="B8" i="19"/>
  <c r="D8" i="19" s="1"/>
  <c r="B7" i="19"/>
  <c r="D7" i="19" s="1"/>
  <c r="D6" i="19"/>
  <c r="B6" i="19"/>
  <c r="D5" i="19"/>
  <c r="B5" i="19"/>
  <c r="B18" i="16"/>
  <c r="D18" i="16" s="1"/>
  <c r="B9" i="18"/>
  <c r="D9" i="18" s="1"/>
  <c r="B10" i="17"/>
  <c r="D10" i="17" s="1"/>
  <c r="B14" i="18"/>
  <c r="D14" i="18" s="1"/>
  <c r="D17" i="18"/>
  <c r="D16" i="18"/>
  <c r="D15" i="18"/>
  <c r="B15" i="18"/>
  <c r="B13" i="18"/>
  <c r="D13" i="18" s="1"/>
  <c r="B12" i="18"/>
  <c r="D12" i="18" s="1"/>
  <c r="B11" i="18"/>
  <c r="D11" i="18" s="1"/>
  <c r="B10" i="18"/>
  <c r="D10" i="18" s="1"/>
  <c r="B8" i="18"/>
  <c r="D8" i="18" s="1"/>
  <c r="B7" i="18"/>
  <c r="D7" i="18" s="1"/>
  <c r="B6" i="18"/>
  <c r="D6" i="18" s="1"/>
  <c r="B5" i="18"/>
  <c r="D5" i="18" s="1"/>
  <c r="B6" i="17"/>
  <c r="D18" i="17"/>
  <c r="D17" i="17"/>
  <c r="B16" i="17"/>
  <c r="D16" i="17" s="1"/>
  <c r="B15" i="17"/>
  <c r="D15" i="17" s="1"/>
  <c r="B14" i="17"/>
  <c r="D14" i="17" s="1"/>
  <c r="B13" i="17"/>
  <c r="D13" i="17" s="1"/>
  <c r="D12" i="17"/>
  <c r="B12" i="17"/>
  <c r="B11" i="17"/>
  <c r="D11" i="17" s="1"/>
  <c r="B9" i="17"/>
  <c r="D9" i="17" s="1"/>
  <c r="B8" i="17"/>
  <c r="D8" i="17" s="1"/>
  <c r="B7" i="17"/>
  <c r="D7" i="17" s="1"/>
  <c r="D6" i="17"/>
  <c r="B5" i="17"/>
  <c r="D5" i="17" s="1"/>
  <c r="D17" i="16"/>
  <c r="B16" i="16"/>
  <c r="D16" i="16" s="1"/>
  <c r="B15" i="16"/>
  <c r="D15" i="16" s="1"/>
  <c r="B14" i="16"/>
  <c r="D14" i="16" s="1"/>
  <c r="D13" i="16"/>
  <c r="B13" i="16"/>
  <c r="B12" i="16"/>
  <c r="D12" i="16" s="1"/>
  <c r="B11" i="16"/>
  <c r="D11" i="16" s="1"/>
  <c r="B10" i="16"/>
  <c r="D10" i="16" s="1"/>
  <c r="B9" i="16"/>
  <c r="D9" i="16" s="1"/>
  <c r="B8" i="16"/>
  <c r="D8" i="16" s="1"/>
  <c r="B7" i="16"/>
  <c r="D7" i="16" s="1"/>
  <c r="D6" i="16"/>
  <c r="B6" i="16"/>
  <c r="B5" i="16"/>
  <c r="D5" i="16" s="1"/>
  <c r="B18" i="15"/>
  <c r="B11" i="15"/>
  <c r="D18" i="15"/>
  <c r="B17" i="15"/>
  <c r="D17" i="15" s="1"/>
  <c r="D16" i="15"/>
  <c r="B16" i="15"/>
  <c r="D15" i="15"/>
  <c r="B15" i="15"/>
  <c r="B14" i="15"/>
  <c r="D14" i="15" s="1"/>
  <c r="D13" i="15"/>
  <c r="B13" i="15"/>
  <c r="D12" i="15"/>
  <c r="B12" i="15"/>
  <c r="D11" i="15"/>
  <c r="B10" i="15"/>
  <c r="D10" i="15" s="1"/>
  <c r="B9" i="15"/>
  <c r="D9" i="15" s="1"/>
  <c r="D8" i="15"/>
  <c r="B8" i="15"/>
  <c r="D7" i="15"/>
  <c r="B7" i="15"/>
  <c r="B6" i="15"/>
  <c r="D6" i="15" s="1"/>
  <c r="D5" i="15"/>
  <c r="B5" i="15"/>
  <c r="B18" i="13"/>
  <c r="D18" i="13" s="1"/>
  <c r="B6" i="13"/>
  <c r="D6" i="13" s="1"/>
  <c r="D17" i="13"/>
  <c r="B17" i="13"/>
  <c r="B16" i="13"/>
  <c r="D16" i="13" s="1"/>
  <c r="B15" i="13"/>
  <c r="D15" i="13" s="1"/>
  <c r="B14" i="13"/>
  <c r="D14" i="13" s="1"/>
  <c r="B13" i="13"/>
  <c r="D13" i="13" s="1"/>
  <c r="B12" i="13"/>
  <c r="D12" i="13" s="1"/>
  <c r="B11" i="13"/>
  <c r="D11" i="13" s="1"/>
  <c r="D10" i="13"/>
  <c r="B10" i="13"/>
  <c r="B9" i="13"/>
  <c r="D9" i="13" s="1"/>
  <c r="B8" i="13"/>
  <c r="D8" i="13" s="1"/>
  <c r="B7" i="13"/>
  <c r="D7" i="13" s="1"/>
  <c r="B5" i="13"/>
  <c r="D5" i="13" s="1"/>
  <c r="B18" i="12"/>
  <c r="D18" i="12" s="1"/>
  <c r="B6" i="12"/>
  <c r="D6" i="12" s="1"/>
  <c r="B17" i="12"/>
  <c r="D17" i="12" s="1"/>
  <c r="B16" i="12"/>
  <c r="D16" i="12" s="1"/>
  <c r="B15" i="12"/>
  <c r="D15" i="12" s="1"/>
  <c r="B14" i="12"/>
  <c r="D14" i="12" s="1"/>
  <c r="D13" i="12"/>
  <c r="B13" i="12"/>
  <c r="D12" i="12"/>
  <c r="B12" i="12"/>
  <c r="D11" i="12"/>
  <c r="B11" i="12"/>
  <c r="B10" i="12"/>
  <c r="D10" i="12" s="1"/>
  <c r="B9" i="12"/>
  <c r="D9" i="12" s="1"/>
  <c r="B8" i="12"/>
  <c r="D8" i="12" s="1"/>
  <c r="B7" i="12"/>
  <c r="D7" i="12" s="1"/>
  <c r="D5" i="12"/>
  <c r="B5" i="12"/>
  <c r="B18" i="11"/>
  <c r="D18" i="11" s="1"/>
  <c r="B16" i="11"/>
  <c r="D17" i="11"/>
  <c r="B17" i="11"/>
  <c r="D16" i="11"/>
  <c r="D15" i="11"/>
  <c r="B15" i="11"/>
  <c r="D14" i="11"/>
  <c r="B14" i="11"/>
  <c r="D13" i="11"/>
  <c r="B13" i="11"/>
  <c r="B12" i="11"/>
  <c r="D12" i="11" s="1"/>
  <c r="B11" i="11"/>
  <c r="D11" i="11" s="1"/>
  <c r="D10" i="11"/>
  <c r="B10" i="11"/>
  <c r="B9" i="11"/>
  <c r="D9" i="11" s="1"/>
  <c r="D8" i="11"/>
  <c r="B8" i="11"/>
  <c r="B7" i="11"/>
  <c r="D7" i="11" s="1"/>
  <c r="D6" i="11"/>
  <c r="B6" i="11"/>
  <c r="D5" i="11"/>
  <c r="B5" i="11"/>
  <c r="B5" i="10"/>
  <c r="D5" i="10" s="1"/>
  <c r="B18" i="10"/>
  <c r="D18" i="10" s="1"/>
  <c r="B19" i="9"/>
  <c r="D19" i="9" s="1"/>
  <c r="B5" i="9"/>
  <c r="D5" i="9" s="1"/>
  <c r="B17" i="10"/>
  <c r="D17" i="10"/>
  <c r="D16" i="10"/>
  <c r="D15" i="10"/>
  <c r="B15" i="10"/>
  <c r="B14" i="10"/>
  <c r="D14" i="10" s="1"/>
  <c r="B13" i="10"/>
  <c r="D13" i="10" s="1"/>
  <c r="B12" i="10"/>
  <c r="D12" i="10" s="1"/>
  <c r="B11" i="10"/>
  <c r="D11" i="10" s="1"/>
  <c r="B10" i="10"/>
  <c r="D10" i="10" s="1"/>
  <c r="B9" i="10"/>
  <c r="D9" i="10" s="1"/>
  <c r="B8" i="10"/>
  <c r="D8" i="10" s="1"/>
  <c r="B7" i="10"/>
  <c r="D7" i="10" s="1"/>
  <c r="B6" i="10"/>
  <c r="D6" i="10" s="1"/>
  <c r="B16" i="9"/>
  <c r="D16" i="9" s="1"/>
  <c r="B14" i="9"/>
  <c r="D14" i="9" s="1"/>
  <c r="B18" i="9"/>
  <c r="D18" i="9" s="1"/>
  <c r="D17" i="9"/>
  <c r="D15" i="9"/>
  <c r="B15" i="9"/>
  <c r="D13" i="9"/>
  <c r="B13" i="9"/>
  <c r="B12" i="9"/>
  <c r="D12" i="9" s="1"/>
  <c r="B11" i="9"/>
  <c r="D11" i="9" s="1"/>
  <c r="B10" i="9"/>
  <c r="D10" i="9" s="1"/>
  <c r="B9" i="9"/>
  <c r="D9" i="9" s="1"/>
  <c r="B8" i="9"/>
  <c r="D8" i="9" s="1"/>
  <c r="D7" i="9"/>
  <c r="B7" i="9"/>
  <c r="B6" i="9"/>
  <c r="D6" i="9" s="1"/>
  <c r="B6" i="8"/>
  <c r="D6" i="8" s="1"/>
  <c r="B19" i="8"/>
  <c r="B19" i="7"/>
  <c r="D19" i="7" s="1"/>
  <c r="D19" i="8"/>
  <c r="B18" i="8"/>
  <c r="D18" i="8" s="1"/>
  <c r="D17" i="8"/>
  <c r="D16" i="8"/>
  <c r="B16" i="8"/>
  <c r="D15" i="8"/>
  <c r="B15" i="8"/>
  <c r="B14" i="8"/>
  <c r="D14" i="8" s="1"/>
  <c r="B13" i="8"/>
  <c r="D13" i="8" s="1"/>
  <c r="B12" i="8"/>
  <c r="D12" i="8" s="1"/>
  <c r="B11" i="8"/>
  <c r="D11" i="8" s="1"/>
  <c r="D10" i="8"/>
  <c r="B10" i="8"/>
  <c r="D9" i="8"/>
  <c r="B9" i="8"/>
  <c r="D8" i="8"/>
  <c r="B8" i="8"/>
  <c r="D7" i="8"/>
  <c r="B7" i="8"/>
  <c r="D5" i="8"/>
  <c r="B18" i="7"/>
  <c r="D18" i="7"/>
  <c r="D17" i="7"/>
  <c r="B16" i="7"/>
  <c r="D16" i="7" s="1"/>
  <c r="D15" i="7"/>
  <c r="B15" i="7"/>
  <c r="D14" i="7"/>
  <c r="B14" i="7"/>
  <c r="B13" i="7"/>
  <c r="D13" i="7" s="1"/>
  <c r="D12" i="7"/>
  <c r="B12" i="7"/>
  <c r="B11" i="7"/>
  <c r="D11" i="7" s="1"/>
  <c r="D10" i="7"/>
  <c r="B10" i="7"/>
  <c r="D9" i="7"/>
  <c r="B9" i="7"/>
  <c r="B8" i="7"/>
  <c r="D8" i="7" s="1"/>
  <c r="D7" i="7"/>
  <c r="B7" i="7"/>
  <c r="D6" i="7"/>
  <c r="B6" i="7"/>
  <c r="D5" i="7"/>
  <c r="B19" i="6"/>
  <c r="D19" i="6" s="1"/>
  <c r="B21" i="5"/>
  <c r="D21" i="5" s="1"/>
  <c r="D5" i="6"/>
  <c r="B18" i="6"/>
  <c r="D18" i="6" s="1"/>
  <c r="D17" i="6"/>
  <c r="B16" i="6"/>
  <c r="D16" i="6" s="1"/>
  <c r="B15" i="6"/>
  <c r="D15" i="6" s="1"/>
  <c r="B14" i="6"/>
  <c r="D14" i="6" s="1"/>
  <c r="B13" i="6"/>
  <c r="D13" i="6" s="1"/>
  <c r="B12" i="6"/>
  <c r="D12" i="6" s="1"/>
  <c r="B11" i="6"/>
  <c r="D11" i="6" s="1"/>
  <c r="B10" i="6"/>
  <c r="D10" i="6" s="1"/>
  <c r="B9" i="6"/>
  <c r="D9" i="6" s="1"/>
  <c r="B8" i="6"/>
  <c r="D8" i="6" s="1"/>
  <c r="B7" i="6"/>
  <c r="D7" i="6" s="1"/>
  <c r="B6" i="6"/>
  <c r="D6" i="6" s="1"/>
  <c r="B18" i="5"/>
  <c r="D18" i="5" s="1"/>
  <c r="B9" i="5"/>
  <c r="B20" i="5"/>
  <c r="D20" i="5" s="1"/>
  <c r="D19" i="5"/>
  <c r="B17" i="5"/>
  <c r="D17" i="5" s="1"/>
  <c r="D16" i="5"/>
  <c r="B16" i="5"/>
  <c r="D15" i="5"/>
  <c r="B15" i="5"/>
  <c r="B14" i="5"/>
  <c r="D14" i="5" s="1"/>
  <c r="D13" i="5"/>
  <c r="B12" i="5"/>
  <c r="D12" i="5" s="1"/>
  <c r="D11" i="5"/>
  <c r="B11" i="5"/>
  <c r="B10" i="5"/>
  <c r="D10" i="5" s="1"/>
  <c r="D9" i="5"/>
  <c r="D8" i="5"/>
  <c r="B8" i="5"/>
  <c r="D7" i="5"/>
  <c r="B7" i="5"/>
  <c r="B6" i="5"/>
  <c r="D6" i="5" s="1"/>
  <c r="D5" i="5"/>
  <c r="B5" i="5"/>
  <c r="B21" i="4"/>
  <c r="D21" i="4" s="1"/>
  <c r="B6" i="4"/>
  <c r="D20" i="4"/>
  <c r="B20" i="4"/>
  <c r="D19" i="4"/>
  <c r="B18" i="4"/>
  <c r="D18" i="4" s="1"/>
  <c r="D17" i="4"/>
  <c r="B17" i="4"/>
  <c r="B16" i="4"/>
  <c r="D16" i="4" s="1"/>
  <c r="B15" i="4"/>
  <c r="D15" i="4" s="1"/>
  <c r="B14" i="4"/>
  <c r="D14" i="4" s="1"/>
  <c r="D13" i="4"/>
  <c r="B13" i="4"/>
  <c r="D12" i="4"/>
  <c r="B12" i="4"/>
  <c r="B11" i="4"/>
  <c r="D11" i="4" s="1"/>
  <c r="B10" i="4"/>
  <c r="D10" i="4" s="1"/>
  <c r="B9" i="4"/>
  <c r="D9" i="4" s="1"/>
  <c r="B8" i="4"/>
  <c r="D8" i="4" s="1"/>
  <c r="B7" i="4"/>
  <c r="D7" i="4" s="1"/>
  <c r="D6" i="4"/>
  <c r="D5" i="4"/>
  <c r="B5" i="4"/>
  <c r="C14" i="3"/>
  <c r="C13" i="3"/>
  <c r="C12" i="3"/>
  <c r="C11" i="3"/>
  <c r="C10" i="3"/>
  <c r="C9" i="3"/>
  <c r="C8" i="3"/>
  <c r="C7" i="3"/>
  <c r="C6" i="3"/>
  <c r="C5" i="3"/>
  <c r="C4" i="3"/>
  <c r="C3" i="3"/>
  <c r="D21" i="2"/>
  <c r="B21" i="2"/>
  <c r="B20" i="2"/>
  <c r="D20" i="2" s="1"/>
  <c r="D19" i="2"/>
  <c r="D18" i="2"/>
  <c r="B18" i="2"/>
  <c r="B17" i="2"/>
  <c r="D17" i="2" s="1"/>
  <c r="D16" i="2"/>
  <c r="B16" i="2"/>
  <c r="B15" i="2"/>
  <c r="D15" i="2" s="1"/>
  <c r="B14" i="2"/>
  <c r="D14" i="2" s="1"/>
  <c r="B13" i="2"/>
  <c r="D13" i="2" s="1"/>
  <c r="B12" i="2"/>
  <c r="D12" i="2" s="1"/>
  <c r="D11" i="2"/>
  <c r="B11" i="2"/>
  <c r="D10" i="2"/>
  <c r="B10" i="2"/>
  <c r="B9" i="2"/>
  <c r="D9" i="2" s="1"/>
  <c r="D8" i="2"/>
  <c r="B8" i="2"/>
  <c r="B7" i="2"/>
  <c r="D7" i="2" s="1"/>
  <c r="B6" i="2"/>
  <c r="D6" i="2" s="1"/>
  <c r="B5" i="2"/>
  <c r="D5" i="2" s="1"/>
  <c r="E13" i="30" l="1"/>
  <c r="E12" i="30"/>
  <c r="E17" i="30"/>
  <c r="E11" i="30"/>
  <c r="E9" i="30"/>
  <c r="C16" i="3"/>
  <c r="E5" i="30"/>
  <c r="E14" i="30"/>
  <c r="E6" i="30"/>
  <c r="E16" i="30"/>
  <c r="E15" i="30"/>
  <c r="E8" i="30"/>
  <c r="E18" i="30"/>
  <c r="E7" i="30"/>
  <c r="D21" i="29"/>
  <c r="E8" i="29" s="1"/>
  <c r="D21" i="28"/>
  <c r="E16" i="28" s="1"/>
  <c r="D21" i="27"/>
  <c r="E16" i="27" s="1"/>
  <c r="D21" i="26"/>
  <c r="E12" i="26" s="1"/>
  <c r="D20" i="25"/>
  <c r="E5" i="25" s="1"/>
  <c r="D20" i="23"/>
  <c r="E6" i="23" s="1"/>
  <c r="D20" i="22"/>
  <c r="E13" i="22" s="1"/>
  <c r="D20" i="21"/>
  <c r="E5" i="21" s="1"/>
  <c r="D20" i="20"/>
  <c r="E15" i="20" s="1"/>
  <c r="D20" i="19"/>
  <c r="E12" i="19" s="1"/>
  <c r="D20" i="18"/>
  <c r="E7" i="18" s="1"/>
  <c r="D21" i="17"/>
  <c r="D20" i="16"/>
  <c r="D20" i="15"/>
  <c r="E9" i="15" s="1"/>
  <c r="D20" i="13"/>
  <c r="E17" i="13" s="1"/>
  <c r="D20" i="12"/>
  <c r="E7" i="12" s="1"/>
  <c r="D20" i="11"/>
  <c r="E9" i="11" s="1"/>
  <c r="D20" i="10"/>
  <c r="D21" i="9"/>
  <c r="E7" i="9" s="1"/>
  <c r="D21" i="8"/>
  <c r="E15" i="8" s="1"/>
  <c r="D21" i="7"/>
  <c r="D21" i="6"/>
  <c r="E5" i="6" s="1"/>
  <c r="D23" i="5"/>
  <c r="E11" i="5" s="1"/>
  <c r="D23" i="4"/>
  <c r="E10" i="4" s="1"/>
  <c r="E18" i="2"/>
  <c r="E13" i="2"/>
  <c r="E14" i="2"/>
  <c r="D23" i="2"/>
  <c r="E6" i="2" s="1"/>
  <c r="E5" i="2"/>
  <c r="E9" i="2"/>
  <c r="E21" i="2"/>
  <c r="E7" i="29" l="1"/>
  <c r="E9" i="29"/>
  <c r="E16" i="29"/>
  <c r="E5" i="29"/>
  <c r="E13" i="29"/>
  <c r="E10" i="29"/>
  <c r="E11" i="29"/>
  <c r="E6" i="29"/>
  <c r="E15" i="29"/>
  <c r="E17" i="29"/>
  <c r="E19" i="29"/>
  <c r="E18" i="29"/>
  <c r="E12" i="29"/>
  <c r="E14" i="29"/>
  <c r="E18" i="28"/>
  <c r="E13" i="28"/>
  <c r="E19" i="28"/>
  <c r="E7" i="28"/>
  <c r="E6" i="28"/>
  <c r="E14" i="28"/>
  <c r="E11" i="28"/>
  <c r="E12" i="28"/>
  <c r="E10" i="28"/>
  <c r="E15" i="28"/>
  <c r="E5" i="28"/>
  <c r="E17" i="28"/>
  <c r="E8" i="28"/>
  <c r="E9" i="28"/>
  <c r="E11" i="27"/>
  <c r="E15" i="27"/>
  <c r="E19" i="27"/>
  <c r="E6" i="27"/>
  <c r="E5" i="27"/>
  <c r="E10" i="27"/>
  <c r="E14" i="27"/>
  <c r="E18" i="27"/>
  <c r="E13" i="27"/>
  <c r="E8" i="27"/>
  <c r="E17" i="27"/>
  <c r="E9" i="27"/>
  <c r="E12" i="27"/>
  <c r="E7" i="27"/>
  <c r="E10" i="26"/>
  <c r="E14" i="26"/>
  <c r="E17" i="26"/>
  <c r="E9" i="26"/>
  <c r="E5" i="26"/>
  <c r="E18" i="26"/>
  <c r="E13" i="26"/>
  <c r="E16" i="26"/>
  <c r="E19" i="26"/>
  <c r="E15" i="26"/>
  <c r="E6" i="26"/>
  <c r="E8" i="26"/>
  <c r="E11" i="26"/>
  <c r="E7" i="26"/>
  <c r="E9" i="25"/>
  <c r="E6" i="25"/>
  <c r="E11" i="25"/>
  <c r="E8" i="25"/>
  <c r="E14" i="25"/>
  <c r="E7" i="25"/>
  <c r="E10" i="25"/>
  <c r="E12" i="25"/>
  <c r="E13" i="25"/>
  <c r="E18" i="25"/>
  <c r="E17" i="25"/>
  <c r="E16" i="25"/>
  <c r="E15" i="25"/>
  <c r="E10" i="23"/>
  <c r="E12" i="23"/>
  <c r="E16" i="23"/>
  <c r="E18" i="23"/>
  <c r="E15" i="23"/>
  <c r="E5" i="23"/>
  <c r="E7" i="23"/>
  <c r="E11" i="23"/>
  <c r="E9" i="23"/>
  <c r="E14" i="23"/>
  <c r="E13" i="23"/>
  <c r="E17" i="23"/>
  <c r="E8" i="23"/>
  <c r="E10" i="22"/>
  <c r="E8" i="22"/>
  <c r="E15" i="22"/>
  <c r="E9" i="22"/>
  <c r="E18" i="22"/>
  <c r="E12" i="22"/>
  <c r="E6" i="22"/>
  <c r="E5" i="22"/>
  <c r="E17" i="22"/>
  <c r="E14" i="22"/>
  <c r="E11" i="22"/>
  <c r="E7" i="22"/>
  <c r="E16" i="22"/>
  <c r="E10" i="21"/>
  <c r="E17" i="21"/>
  <c r="E7" i="21"/>
  <c r="E8" i="21"/>
  <c r="E9" i="21"/>
  <c r="E18" i="21"/>
  <c r="E11" i="21"/>
  <c r="E6" i="21"/>
  <c r="E16" i="21"/>
  <c r="E14" i="21"/>
  <c r="E15" i="21"/>
  <c r="E12" i="21"/>
  <c r="E13" i="21"/>
  <c r="E18" i="20"/>
  <c r="E5" i="20"/>
  <c r="E9" i="20"/>
  <c r="E8" i="20"/>
  <c r="E17" i="20"/>
  <c r="E14" i="20"/>
  <c r="E16" i="20"/>
  <c r="E11" i="20"/>
  <c r="E7" i="20"/>
  <c r="E10" i="20"/>
  <c r="E13" i="20"/>
  <c r="E6" i="20"/>
  <c r="E12" i="20"/>
  <c r="E7" i="19"/>
  <c r="E18" i="19"/>
  <c r="E14" i="19"/>
  <c r="E17" i="19"/>
  <c r="E10" i="19"/>
  <c r="E15" i="19"/>
  <c r="E5" i="19"/>
  <c r="E9" i="19"/>
  <c r="E11" i="19"/>
  <c r="E13" i="19"/>
  <c r="E6" i="19"/>
  <c r="E16" i="19"/>
  <c r="E8" i="19"/>
  <c r="E18" i="18"/>
  <c r="E9" i="18"/>
  <c r="E15" i="18"/>
  <c r="E17" i="18"/>
  <c r="E8" i="18"/>
  <c r="E10" i="18"/>
  <c r="E6" i="18"/>
  <c r="E12" i="18"/>
  <c r="E11" i="18"/>
  <c r="E14" i="18"/>
  <c r="E13" i="18"/>
  <c r="E16" i="18"/>
  <c r="E5" i="18"/>
  <c r="E9" i="17"/>
  <c r="E18" i="17"/>
  <c r="E6" i="17"/>
  <c r="E17" i="17"/>
  <c r="E7" i="17"/>
  <c r="E12" i="17"/>
  <c r="E15" i="17"/>
  <c r="E10" i="17"/>
  <c r="E19" i="17"/>
  <c r="E5" i="17"/>
  <c r="E13" i="17"/>
  <c r="E16" i="17"/>
  <c r="E14" i="17"/>
  <c r="E11" i="17"/>
  <c r="E8" i="17"/>
  <c r="E16" i="16"/>
  <c r="E17" i="16"/>
  <c r="E14" i="16"/>
  <c r="E7" i="16"/>
  <c r="E11" i="16"/>
  <c r="E9" i="16"/>
  <c r="E15" i="16"/>
  <c r="E18" i="16"/>
  <c r="E10" i="16"/>
  <c r="E6" i="16"/>
  <c r="E8" i="16"/>
  <c r="E13" i="16"/>
  <c r="E12" i="16"/>
  <c r="E5" i="16"/>
  <c r="E7" i="15"/>
  <c r="E11" i="15"/>
  <c r="E18" i="15"/>
  <c r="E10" i="15"/>
  <c r="E6" i="15"/>
  <c r="E14" i="15"/>
  <c r="E13" i="15"/>
  <c r="E5" i="15"/>
  <c r="E8" i="15"/>
  <c r="E12" i="15"/>
  <c r="E16" i="15"/>
  <c r="E15" i="15"/>
  <c r="E17" i="15"/>
  <c r="E16" i="13"/>
  <c r="E7" i="13"/>
  <c r="E9" i="13"/>
  <c r="E6" i="13"/>
  <c r="E11" i="13"/>
  <c r="E5" i="13"/>
  <c r="E14" i="13"/>
  <c r="E10" i="13"/>
  <c r="E13" i="13"/>
  <c r="E15" i="13"/>
  <c r="E18" i="13"/>
  <c r="E8" i="13"/>
  <c r="E12" i="13"/>
  <c r="E9" i="12"/>
  <c r="E8" i="12"/>
  <c r="E10" i="12"/>
  <c r="E15" i="12"/>
  <c r="E5" i="12"/>
  <c r="E18" i="12"/>
  <c r="E13" i="12"/>
  <c r="E17" i="12"/>
  <c r="E11" i="12"/>
  <c r="E12" i="12"/>
  <c r="E14" i="12"/>
  <c r="E16" i="12"/>
  <c r="E6" i="12"/>
  <c r="E17" i="11"/>
  <c r="E7" i="11"/>
  <c r="E12" i="11"/>
  <c r="E8" i="11"/>
  <c r="E11" i="11"/>
  <c r="E6" i="11"/>
  <c r="E18" i="11"/>
  <c r="E10" i="11"/>
  <c r="E15" i="11"/>
  <c r="E5" i="11"/>
  <c r="E16" i="11"/>
  <c r="E13" i="11"/>
  <c r="E14" i="11"/>
  <c r="E11" i="10"/>
  <c r="E18" i="10"/>
  <c r="E10" i="10"/>
  <c r="E12" i="10"/>
  <c r="E16" i="10"/>
  <c r="E14" i="10"/>
  <c r="E9" i="10"/>
  <c r="E13" i="10"/>
  <c r="E5" i="10"/>
  <c r="E6" i="10"/>
  <c r="E15" i="10"/>
  <c r="E8" i="10"/>
  <c r="E17" i="10"/>
  <c r="E7" i="10"/>
  <c r="E17" i="9"/>
  <c r="E8" i="9"/>
  <c r="E11" i="9"/>
  <c r="E16" i="9"/>
  <c r="E13" i="9"/>
  <c r="E10" i="9"/>
  <c r="E18" i="9"/>
  <c r="E15" i="9"/>
  <c r="E19" i="9"/>
  <c r="E6" i="9"/>
  <c r="E14" i="9"/>
  <c r="E9" i="9"/>
  <c r="E12" i="9"/>
  <c r="E5" i="9"/>
  <c r="E10" i="8"/>
  <c r="E19" i="8"/>
  <c r="E13" i="8"/>
  <c r="E11" i="8"/>
  <c r="E17" i="8"/>
  <c r="E16" i="8"/>
  <c r="E6" i="8"/>
  <c r="E7" i="8"/>
  <c r="E5" i="8"/>
  <c r="E14" i="8"/>
  <c r="E18" i="8"/>
  <c r="E9" i="8"/>
  <c r="E12" i="8"/>
  <c r="E8" i="8"/>
  <c r="E12" i="7"/>
  <c r="E15" i="7"/>
  <c r="E7" i="7"/>
  <c r="E9" i="7"/>
  <c r="E6" i="7"/>
  <c r="E18" i="7"/>
  <c r="E11" i="7"/>
  <c r="E13" i="7"/>
  <c r="E8" i="7"/>
  <c r="E10" i="7"/>
  <c r="E17" i="7"/>
  <c r="E5" i="7"/>
  <c r="E16" i="7"/>
  <c r="E19" i="7"/>
  <c r="E14" i="7"/>
  <c r="E13" i="6"/>
  <c r="E7" i="6"/>
  <c r="E10" i="6"/>
  <c r="E12" i="6"/>
  <c r="E15" i="6"/>
  <c r="E11" i="6"/>
  <c r="E9" i="6"/>
  <c r="E6" i="6"/>
  <c r="E8" i="6"/>
  <c r="E17" i="6"/>
  <c r="E19" i="6"/>
  <c r="E18" i="6"/>
  <c r="E16" i="6"/>
  <c r="E14" i="6"/>
  <c r="E7" i="5"/>
  <c r="E17" i="5"/>
  <c r="E12" i="5"/>
  <c r="E10" i="5"/>
  <c r="E13" i="5"/>
  <c r="E5" i="5"/>
  <c r="E8" i="5"/>
  <c r="E16" i="5"/>
  <c r="E19" i="5"/>
  <c r="E9" i="5"/>
  <c r="E15" i="5"/>
  <c r="E20" i="5"/>
  <c r="E21" i="5"/>
  <c r="E14" i="5"/>
  <c r="E18" i="5"/>
  <c r="E6" i="5"/>
  <c r="E14" i="4"/>
  <c r="E21" i="4"/>
  <c r="E13" i="4"/>
  <c r="E8" i="4"/>
  <c r="E7" i="4"/>
  <c r="E6" i="4"/>
  <c r="E18" i="4"/>
  <c r="E20" i="4"/>
  <c r="E17" i="4"/>
  <c r="E19" i="4"/>
  <c r="E11" i="4"/>
  <c r="E12" i="4"/>
  <c r="E5" i="4"/>
  <c r="E15" i="4"/>
  <c r="E16" i="4"/>
  <c r="E9" i="4"/>
  <c r="E7" i="2"/>
  <c r="E15" i="2"/>
  <c r="E19" i="2"/>
  <c r="E16" i="2"/>
  <c r="E8" i="2"/>
  <c r="E10" i="2"/>
  <c r="E17" i="2"/>
  <c r="E12" i="2"/>
  <c r="E20" i="2"/>
  <c r="E11" i="2"/>
</calcChain>
</file>

<file path=xl/sharedStrings.xml><?xml version="1.0" encoding="utf-8"?>
<sst xmlns="http://schemas.openxmlformats.org/spreadsheetml/2006/main" count="642" uniqueCount="105">
  <si>
    <t>Model Portfolio</t>
  </si>
  <si>
    <t>Stock</t>
  </si>
  <si>
    <t>Number of shares</t>
  </si>
  <si>
    <t>CMP</t>
  </si>
  <si>
    <t>Amount</t>
  </si>
  <si>
    <t>Percentage</t>
  </si>
  <si>
    <t>Change</t>
  </si>
  <si>
    <t>GPIL</t>
  </si>
  <si>
    <t>Heritage</t>
  </si>
  <si>
    <t>HIL</t>
  </si>
  <si>
    <t>HindOilExp</t>
  </si>
  <si>
    <t>Idea</t>
  </si>
  <si>
    <t>MAS Financial</t>
  </si>
  <si>
    <t>PEL</t>
  </si>
  <si>
    <t>PowerMech</t>
  </si>
  <si>
    <t>PrincePipes</t>
  </si>
  <si>
    <t>SuryaRosni</t>
  </si>
  <si>
    <t>TIIndia</t>
  </si>
  <si>
    <t>TWL</t>
  </si>
  <si>
    <t>TV18Broadcast</t>
  </si>
  <si>
    <t>TVToday</t>
  </si>
  <si>
    <t>VadilalInd</t>
  </si>
  <si>
    <t>VRLLogistics</t>
  </si>
  <si>
    <t>LiquidBees</t>
  </si>
  <si>
    <t>Right Issue 1:1 at face value of Rs5. 3372*5 = 16860</t>
  </si>
  <si>
    <t>Price is changed to closing price of 20/1/23</t>
  </si>
  <si>
    <t>Less 16.86</t>
  </si>
  <si>
    <t>Sell 36000@7.88 = 283680</t>
  </si>
  <si>
    <t>Sell 648@580.82 = 376371</t>
  </si>
  <si>
    <t>Sell 1533@299.68 = 459409</t>
  </si>
  <si>
    <t>Add 1119.46</t>
  </si>
  <si>
    <t>AstraMicro</t>
  </si>
  <si>
    <t>Buy 4326@273.23 = 1181992.98</t>
  </si>
  <si>
    <t>Less 1181.99</t>
  </si>
  <si>
    <t>Approx 53@698.83 = 37038</t>
  </si>
  <si>
    <t>VRL Buyback at 700</t>
  </si>
  <si>
    <t>Add 37.038</t>
  </si>
  <si>
    <t>Approx 147@499.17 = 73378</t>
  </si>
  <si>
    <t>GPIL Buyback at 500</t>
  </si>
  <si>
    <t>Add 73.378</t>
  </si>
  <si>
    <t>Buy 2424@336.75 = 816282</t>
  </si>
  <si>
    <t>Sell 246@2708 = 666168</t>
  </si>
  <si>
    <t>Sell 16088@31.26 = 502911</t>
  </si>
  <si>
    <t>Add 352.797</t>
  </si>
  <si>
    <t>Sell 1428@698.65 = 997672</t>
  </si>
  <si>
    <t>Add 997.672</t>
  </si>
  <si>
    <t>Buy 115@2685.54 = 308837</t>
  </si>
  <si>
    <t>Less 308.837</t>
  </si>
  <si>
    <t>Sell 849@522.34 = 443466.66</t>
  </si>
  <si>
    <t>Add 443.467</t>
  </si>
  <si>
    <t>Sell 1304@545.95 = 711919</t>
  </si>
  <si>
    <t>Add 711.919</t>
  </si>
  <si>
    <t>Sell 1269@1010.85 = 1282768</t>
  </si>
  <si>
    <t>Add 1282.768</t>
  </si>
  <si>
    <t>WelEnt</t>
  </si>
  <si>
    <t>Add 6%. 7985@285.12 = 2276683</t>
  </si>
  <si>
    <t>Less 2276.683</t>
  </si>
  <si>
    <t>Sell 2092@561.88 = 1175453</t>
  </si>
  <si>
    <t>Sell 217@813.59 = 176549</t>
  </si>
  <si>
    <t>ZenTech</t>
  </si>
  <si>
    <t>Add 6%. 2592@729.25 = 1890216</t>
  </si>
  <si>
    <t>Less 538.214</t>
  </si>
  <si>
    <t>Add till 6%. 189@2904.62 = 548973</t>
  </si>
  <si>
    <t>Less 548.973</t>
  </si>
  <si>
    <t>Sell 925@684.08 = 632774</t>
  </si>
  <si>
    <t>Add 632.774</t>
  </si>
  <si>
    <t>Price of 5/9/23</t>
  </si>
  <si>
    <t>Sell 171@884.38 = 151229</t>
  </si>
  <si>
    <t>Add 151.229</t>
  </si>
  <si>
    <t>Price of 13/9/23</t>
  </si>
  <si>
    <t>Sell 484@698.81 = 338224</t>
  </si>
  <si>
    <t>Buy 518@772 = 399896</t>
  </si>
  <si>
    <t>Less 61.672</t>
  </si>
  <si>
    <t>Split 10 to 5, Shares double</t>
  </si>
  <si>
    <t>Sell 3258@831.52 = 2709092</t>
  </si>
  <si>
    <t>Add 2709.092</t>
  </si>
  <si>
    <t>Add 820@710.33 = 582471</t>
  </si>
  <si>
    <t>Less 582.471</t>
  </si>
  <si>
    <t>ThomasCook</t>
  </si>
  <si>
    <t>Buy 13763@142.45 = 1960539</t>
  </si>
  <si>
    <t>Sell 1143@802.42 = 917166</t>
  </si>
  <si>
    <t>Less 1043.373</t>
  </si>
  <si>
    <t>Sell 74@3247.12 = 240287</t>
  </si>
  <si>
    <t>Sell 1205@802.42 = 966916</t>
  </si>
  <si>
    <t>Sell 459@660.25 = 303055</t>
  </si>
  <si>
    <t>Buy 1084@289.05 = 313330</t>
  </si>
  <si>
    <t>Add 1196.928</t>
  </si>
  <si>
    <t>Sell 85@3470.7 = 295009</t>
  </si>
  <si>
    <t>Add 295.009</t>
  </si>
  <si>
    <t>Buy 6317@143.24 = 904847</t>
  </si>
  <si>
    <t>Less 904.847</t>
  </si>
  <si>
    <t>Add 20.192</t>
  </si>
  <si>
    <t>LiquidFund Value for 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</si>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</sst>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BA7F-8EEF-4A57-8692-2DD1BE84A82A}">
  <sheetPr>
    <pageSetUpPr fitToPage="1"/>
  </sheetPr>
  <dimension ref="A1:J23"/>
  <sheetViews>
    <sheetView workbookViewId="0">
      <selection activeCell="B23" sqref="B23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1.570312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44927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7</v>
      </c>
      <c r="B5" s="4">
        <f>1098*4</f>
        <v>4392</v>
      </c>
      <c r="C5" s="2">
        <v>336.9</v>
      </c>
      <c r="D5">
        <f>C5*B5</f>
        <v>1479664.7999999998</v>
      </c>
      <c r="E5" s="3">
        <f t="shared" ref="E5:E21" si="0">D5/$D$23</f>
        <v>6.5521298168756598E-2</v>
      </c>
    </row>
    <row r="6" spans="1:7">
      <c r="A6" t="s">
        <v>8</v>
      </c>
      <c r="B6" s="4">
        <f>(840+420)*2+290+562</f>
        <v>3372</v>
      </c>
      <c r="C6" s="2">
        <v>338.8</v>
      </c>
      <c r="D6">
        <f t="shared" ref="D6:D21" si="1">C6*B6</f>
        <v>1142433.6000000001</v>
      </c>
      <c r="E6" s="3">
        <f t="shared" si="0"/>
        <v>5.0588303880450505E-2</v>
      </c>
    </row>
    <row r="7" spans="1:7">
      <c r="A7" t="s">
        <v>9</v>
      </c>
      <c r="B7" s="4">
        <f>130+126+33+57+173+130</f>
        <v>649</v>
      </c>
      <c r="C7" s="2">
        <v>2609.1</v>
      </c>
      <c r="D7">
        <f t="shared" si="1"/>
        <v>1693305.9</v>
      </c>
      <c r="E7" s="3">
        <f t="shared" si="0"/>
        <v>7.4981577425383597E-2</v>
      </c>
    </row>
    <row r="8" spans="1:7">
      <c r="A8" t="s">
        <v>10</v>
      </c>
      <c r="B8" s="4">
        <f>1280+1280+1280+910+1300+1300+2940+1300</f>
        <v>11590</v>
      </c>
      <c r="C8" s="2">
        <v>130.9</v>
      </c>
      <c r="D8">
        <f t="shared" si="1"/>
        <v>1517131</v>
      </c>
      <c r="E8" s="3">
        <f t="shared" si="0"/>
        <v>6.7180345583718604E-2</v>
      </c>
    </row>
    <row r="9" spans="1:7">
      <c r="A9" t="s">
        <v>11</v>
      </c>
      <c r="B9" s="4">
        <f>96000-48000-12000</f>
        <v>36000</v>
      </c>
      <c r="C9" s="2">
        <v>7.85</v>
      </c>
      <c r="D9">
        <f t="shared" si="1"/>
        <v>282600</v>
      </c>
      <c r="E9" s="3">
        <f t="shared" si="0"/>
        <v>1.2513860478731815E-2</v>
      </c>
    </row>
    <row r="10" spans="1:7">
      <c r="A10" t="s">
        <v>12</v>
      </c>
      <c r="B10" s="4">
        <f>862+390+71+35</f>
        <v>1358</v>
      </c>
      <c r="C10" s="2">
        <v>753.5</v>
      </c>
      <c r="D10">
        <f t="shared" si="1"/>
        <v>1023253</v>
      </c>
      <c r="E10" s="3">
        <f t="shared" si="0"/>
        <v>4.5310846696545524E-2</v>
      </c>
    </row>
    <row r="11" spans="1:7">
      <c r="A11" t="s">
        <v>13</v>
      </c>
      <c r="B11" s="4">
        <f>635+317+317</f>
        <v>1269</v>
      </c>
      <c r="C11" s="2">
        <v>810.1</v>
      </c>
      <c r="D11">
        <f t="shared" si="1"/>
        <v>1028016.9</v>
      </c>
      <c r="E11" s="3">
        <f t="shared" si="0"/>
        <v>4.5521797793271042E-2</v>
      </c>
    </row>
    <row r="12" spans="1:7">
      <c r="A12" t="s">
        <v>14</v>
      </c>
      <c r="B12" s="4">
        <f>410+205</f>
        <v>615</v>
      </c>
      <c r="C12" s="2">
        <v>1965.45</v>
      </c>
      <c r="D12">
        <f t="shared" si="1"/>
        <v>1208751.75</v>
      </c>
      <c r="E12" s="3">
        <f t="shared" si="0"/>
        <v>5.3524949585714507E-2</v>
      </c>
    </row>
    <row r="13" spans="1:7">
      <c r="A13" t="s">
        <v>15</v>
      </c>
      <c r="B13" s="4">
        <f>1727-863-216</f>
        <v>648</v>
      </c>
      <c r="C13" s="2">
        <v>568.95000000000005</v>
      </c>
      <c r="D13">
        <f t="shared" si="1"/>
        <v>368679.60000000003</v>
      </c>
      <c r="E13" s="3">
        <f t="shared" si="0"/>
        <v>1.6325566439329989E-2</v>
      </c>
    </row>
    <row r="14" spans="1:7">
      <c r="A14" t="s">
        <v>16</v>
      </c>
      <c r="B14" s="4">
        <f>1875+937+309+619</f>
        <v>3740</v>
      </c>
      <c r="C14" s="2">
        <v>469.9</v>
      </c>
      <c r="D14">
        <f t="shared" si="1"/>
        <v>1757426</v>
      </c>
      <c r="E14" s="3">
        <f t="shared" si="0"/>
        <v>7.7820890890643091E-2</v>
      </c>
    </row>
    <row r="15" spans="1:7">
      <c r="A15" t="s">
        <v>17</v>
      </c>
      <c r="B15" s="4">
        <f>480+154+159+192</f>
        <v>985</v>
      </c>
      <c r="C15" s="2">
        <v>2759.4</v>
      </c>
      <c r="D15">
        <f t="shared" si="1"/>
        <v>2718009</v>
      </c>
      <c r="E15" s="3">
        <f t="shared" si="0"/>
        <v>0.12035663625597091</v>
      </c>
    </row>
    <row r="16" spans="1:7">
      <c r="A16" t="s">
        <v>18</v>
      </c>
      <c r="B16" s="4">
        <f>10500+5250</f>
        <v>15750</v>
      </c>
      <c r="C16" s="2">
        <v>193.45</v>
      </c>
      <c r="D16">
        <f t="shared" si="1"/>
        <v>3046837.5</v>
      </c>
      <c r="E16" s="3">
        <f t="shared" si="0"/>
        <v>0.13491754910250547</v>
      </c>
    </row>
    <row r="17" spans="1:5">
      <c r="A17" t="s">
        <v>19</v>
      </c>
      <c r="B17" s="4">
        <f>6886+2045-4465+4466+4466+13398+9475-20183</f>
        <v>16088</v>
      </c>
      <c r="C17" s="2">
        <v>36.200000000000003</v>
      </c>
      <c r="D17">
        <f t="shared" si="1"/>
        <v>582385.60000000009</v>
      </c>
      <c r="E17" s="3">
        <f t="shared" si="0"/>
        <v>2.5788719544311806E-2</v>
      </c>
    </row>
    <row r="18" spans="1:5">
      <c r="A18" t="s">
        <v>20</v>
      </c>
      <c r="B18" s="4">
        <f>920+319+331-785+393+355</f>
        <v>1533</v>
      </c>
      <c r="C18" s="2">
        <v>234.85</v>
      </c>
      <c r="D18">
        <f t="shared" si="1"/>
        <v>360025.05</v>
      </c>
      <c r="E18" s="3">
        <f t="shared" si="0"/>
        <v>1.594233278325706E-2</v>
      </c>
    </row>
    <row r="19" spans="1:5">
      <c r="A19" t="s">
        <v>21</v>
      </c>
      <c r="B19" s="4">
        <v>458</v>
      </c>
      <c r="C19" s="2">
        <v>2606.9499999999998</v>
      </c>
      <c r="D19">
        <f t="shared" si="1"/>
        <v>1193983.0999999999</v>
      </c>
      <c r="E19" s="3">
        <f t="shared" si="0"/>
        <v>5.2870976388406564E-2</v>
      </c>
    </row>
    <row r="20" spans="1:5">
      <c r="A20" t="s">
        <v>22</v>
      </c>
      <c r="B20" s="4">
        <f>3075+1537+1153</f>
        <v>5765</v>
      </c>
      <c r="C20" s="2">
        <v>537.75</v>
      </c>
      <c r="D20">
        <f t="shared" si="1"/>
        <v>3100128.75</v>
      </c>
      <c r="E20" s="3">
        <f t="shared" si="0"/>
        <v>0.13727734834962937</v>
      </c>
    </row>
    <row r="21" spans="1:5">
      <c r="A21" t="s">
        <v>23</v>
      </c>
      <c r="B21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</f>
        <v>80.327599999998682</v>
      </c>
      <c r="C21" s="2">
        <v>1000</v>
      </c>
      <c r="D21">
        <f t="shared" si="1"/>
        <v>80327.599999998682</v>
      </c>
      <c r="E21" s="3">
        <f t="shared" si="0"/>
        <v>3.5570006333735357E-3</v>
      </c>
    </row>
    <row r="22" spans="1:5">
      <c r="B22" s="4"/>
      <c r="E22" s="3"/>
    </row>
    <row r="23" spans="1:5">
      <c r="B23" s="4"/>
      <c r="D23">
        <f>SUM(D5:D21)</f>
        <v>22582959.149999999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4289-180C-42C1-B6BB-1F4C3639C196}">
  <sheetPr>
    <pageSetUpPr fitToPage="1"/>
  </sheetPr>
  <dimension ref="A1:J23"/>
  <sheetViews>
    <sheetView workbookViewId="0">
      <selection activeCell="C7" sqref="C7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8">
      <c r="A1" t="s">
        <v>0</v>
      </c>
      <c r="B1" s="1">
        <v>44946</v>
      </c>
      <c r="E1" s="3"/>
    </row>
    <row r="2" spans="1:8">
      <c r="B2" s="4"/>
      <c r="E2" s="3"/>
    </row>
    <row r="3" spans="1:8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8">
      <c r="B4" s="4"/>
      <c r="E4" s="3"/>
    </row>
    <row r="5" spans="1:8">
      <c r="A5" t="s">
        <v>7</v>
      </c>
      <c r="B5" s="4">
        <f>1098*4</f>
        <v>4392</v>
      </c>
      <c r="C5" s="2">
        <v>407.9</v>
      </c>
      <c r="D5">
        <f>C5*B5</f>
        <v>1791496.7999999998</v>
      </c>
      <c r="E5" s="3">
        <f t="shared" ref="E5:E21" si="0">D5/$D$23</f>
        <v>7.3599957457792853E-2</v>
      </c>
    </row>
    <row r="6" spans="1:8">
      <c r="A6" t="s">
        <v>8</v>
      </c>
      <c r="B6" s="4">
        <f>((840+420)*2+290+562)+3372</f>
        <v>6744</v>
      </c>
      <c r="C6" s="2">
        <v>186.85</v>
      </c>
      <c r="D6">
        <f t="shared" ref="D6:D21" si="1">C6*B6</f>
        <v>1260116.3999999999</v>
      </c>
      <c r="E6" s="3">
        <f t="shared" si="0"/>
        <v>5.1769287799937502E-2</v>
      </c>
      <c r="G6" t="s">
        <v>24</v>
      </c>
      <c r="H6" t="s">
        <v>25</v>
      </c>
    </row>
    <row r="7" spans="1:8">
      <c r="A7" t="s">
        <v>9</v>
      </c>
      <c r="B7" s="4">
        <f>130+126+33+57+173+130</f>
        <v>649</v>
      </c>
      <c r="C7" s="2">
        <v>2786.1</v>
      </c>
      <c r="D7">
        <f t="shared" si="1"/>
        <v>1808178.9</v>
      </c>
      <c r="E7" s="3">
        <f t="shared" si="0"/>
        <v>7.4285307188982241E-2</v>
      </c>
    </row>
    <row r="8" spans="1:8">
      <c r="A8" t="s">
        <v>10</v>
      </c>
      <c r="B8" s="4">
        <f>1280+1280+1280+910+1300+1300+2940+1300</f>
        <v>11590</v>
      </c>
      <c r="C8" s="2">
        <v>134.85</v>
      </c>
      <c r="D8">
        <f t="shared" si="1"/>
        <v>1562911.5</v>
      </c>
      <c r="E8" s="3">
        <f t="shared" si="0"/>
        <v>6.4209001048896777E-2</v>
      </c>
    </row>
    <row r="9" spans="1:8">
      <c r="A9" t="s">
        <v>11</v>
      </c>
      <c r="B9" s="4">
        <f>96000-48000-12000</f>
        <v>36000</v>
      </c>
      <c r="C9" s="2">
        <v>7.4</v>
      </c>
      <c r="D9">
        <f t="shared" si="1"/>
        <v>266400</v>
      </c>
      <c r="E9" s="3">
        <f t="shared" si="0"/>
        <v>1.0944495500497694E-2</v>
      </c>
    </row>
    <row r="10" spans="1:8">
      <c r="A10" t="s">
        <v>12</v>
      </c>
      <c r="B10" s="4">
        <f>862+390+71+35</f>
        <v>1358</v>
      </c>
      <c r="C10" s="2">
        <v>808.55</v>
      </c>
      <c r="D10">
        <f t="shared" si="1"/>
        <v>1098010.8999999999</v>
      </c>
      <c r="E10" s="3">
        <f t="shared" si="0"/>
        <v>4.5109517096649482E-2</v>
      </c>
    </row>
    <row r="11" spans="1:8">
      <c r="A11" t="s">
        <v>13</v>
      </c>
      <c r="B11" s="4">
        <f>635+317+317</f>
        <v>1269</v>
      </c>
      <c r="C11" s="2">
        <v>836.55</v>
      </c>
      <c r="D11">
        <f t="shared" si="1"/>
        <v>1061581.95</v>
      </c>
      <c r="E11" s="3">
        <f t="shared" si="0"/>
        <v>4.3612908690632758E-2</v>
      </c>
    </row>
    <row r="12" spans="1:8">
      <c r="A12" t="s">
        <v>14</v>
      </c>
      <c r="B12" s="4">
        <f>410+205</f>
        <v>615</v>
      </c>
      <c r="C12" s="2">
        <v>2184.5</v>
      </c>
      <c r="D12">
        <f t="shared" si="1"/>
        <v>1343467.5</v>
      </c>
      <c r="E12" s="3">
        <f t="shared" si="0"/>
        <v>5.5193596129185007E-2</v>
      </c>
    </row>
    <row r="13" spans="1:8">
      <c r="A13" t="s">
        <v>15</v>
      </c>
      <c r="B13" s="4">
        <f>1727-863-216</f>
        <v>648</v>
      </c>
      <c r="C13" s="2">
        <v>590.29999999999995</v>
      </c>
      <c r="D13">
        <f t="shared" si="1"/>
        <v>382514.39999999997</v>
      </c>
      <c r="E13" s="3">
        <f t="shared" si="0"/>
        <v>1.5714816552836242E-2</v>
      </c>
    </row>
    <row r="14" spans="1:8">
      <c r="A14" t="s">
        <v>16</v>
      </c>
      <c r="B14" s="4">
        <f>1875+937+309+619</f>
        <v>3740</v>
      </c>
      <c r="C14" s="2">
        <v>610.54999999999995</v>
      </c>
      <c r="D14">
        <f t="shared" si="1"/>
        <v>2283457</v>
      </c>
      <c r="E14" s="3">
        <f t="shared" si="0"/>
        <v>9.3811129362162016E-2</v>
      </c>
    </row>
    <row r="15" spans="1:8">
      <c r="A15" t="s">
        <v>17</v>
      </c>
      <c r="B15" s="4">
        <f>480+154+159+192</f>
        <v>985</v>
      </c>
      <c r="C15" s="2">
        <v>2598.6999999999998</v>
      </c>
      <c r="D15">
        <f t="shared" si="1"/>
        <v>2559719.5</v>
      </c>
      <c r="E15" s="3">
        <f t="shared" si="0"/>
        <v>0.10516080536894222</v>
      </c>
    </row>
    <row r="16" spans="1:8">
      <c r="A16" t="s">
        <v>18</v>
      </c>
      <c r="B16" s="4">
        <f>10500+5250</f>
        <v>15750</v>
      </c>
      <c r="C16" s="2">
        <v>219.85</v>
      </c>
      <c r="D16">
        <f t="shared" si="1"/>
        <v>3462637.5</v>
      </c>
      <c r="E16" s="3">
        <f t="shared" si="0"/>
        <v>0.14225533235211932</v>
      </c>
    </row>
    <row r="17" spans="1:7">
      <c r="A17" t="s">
        <v>19</v>
      </c>
      <c r="B17" s="4">
        <f>6886+2045-4465+4466+4466+13398+9475-20183</f>
        <v>16088</v>
      </c>
      <c r="C17" s="2">
        <v>35.1</v>
      </c>
      <c r="D17">
        <f t="shared" si="1"/>
        <v>564688.80000000005</v>
      </c>
      <c r="E17" s="3">
        <f t="shared" si="0"/>
        <v>2.3199076692122532E-2</v>
      </c>
    </row>
    <row r="18" spans="1:7">
      <c r="A18" t="s">
        <v>20</v>
      </c>
      <c r="B18" s="4">
        <f>920+319+331-785+393+355</f>
        <v>1533</v>
      </c>
      <c r="C18" s="2">
        <v>255.45</v>
      </c>
      <c r="D18">
        <f t="shared" si="1"/>
        <v>391604.85</v>
      </c>
      <c r="E18" s="3">
        <f t="shared" si="0"/>
        <v>1.6088278974467244E-2</v>
      </c>
    </row>
    <row r="19" spans="1:7">
      <c r="A19" t="s">
        <v>21</v>
      </c>
      <c r="B19" s="4">
        <v>458</v>
      </c>
      <c r="C19" s="2">
        <v>2668.45</v>
      </c>
      <c r="D19">
        <f t="shared" si="1"/>
        <v>1222150.0999999999</v>
      </c>
      <c r="E19" s="3">
        <f t="shared" si="0"/>
        <v>5.020952053446999E-2</v>
      </c>
    </row>
    <row r="20" spans="1:7">
      <c r="A20" t="s">
        <v>22</v>
      </c>
      <c r="B20" s="4">
        <f>3075+1537+1153</f>
        <v>5765</v>
      </c>
      <c r="C20" s="2">
        <v>558.29999999999995</v>
      </c>
      <c r="D20">
        <f t="shared" si="1"/>
        <v>3218599.4999999995</v>
      </c>
      <c r="E20" s="3">
        <f t="shared" si="0"/>
        <v>0.13222953357978273</v>
      </c>
    </row>
    <row r="21" spans="1:7">
      <c r="A21" t="s">
        <v>23</v>
      </c>
      <c r="B21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</f>
        <v>63.467599999998683</v>
      </c>
      <c r="C21" s="2">
        <v>1000</v>
      </c>
      <c r="D21">
        <f t="shared" si="1"/>
        <v>63467.599999998682</v>
      </c>
      <c r="E21" s="3">
        <f t="shared" si="0"/>
        <v>2.6074356705231721E-3</v>
      </c>
      <c r="G21" t="s">
        <v>26</v>
      </c>
    </row>
    <row r="22" spans="1:7">
      <c r="B22" s="4"/>
      <c r="E22" s="3"/>
    </row>
    <row r="23" spans="1:7">
      <c r="B23" s="4"/>
      <c r="D23">
        <f>SUM(D5:D21)</f>
        <v>24341003.200000003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B1AC-0A20-4018-95D8-E76D2F757234}">
  <sheetPr>
    <pageSetUpPr fitToPage="1"/>
  </sheetPr>
  <dimension ref="A1:J23"/>
  <sheetViews>
    <sheetView tabSelected="1" workbookViewId="0">
      <selection activeCell="B14" sqref="B14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44965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7</v>
      </c>
      <c r="B5" s="4">
        <f>1098*4</f>
        <v>4392</v>
      </c>
      <c r="C5" s="2">
        <v>374.5</v>
      </c>
      <c r="D5">
        <f>C5*B5</f>
        <v>1644804</v>
      </c>
      <c r="E5" s="3">
        <f t="shared" ref="E5:E21" si="0">D5/$D$23</f>
        <v>7.1319595387765874E-2</v>
      </c>
    </row>
    <row r="6" spans="1:7">
      <c r="A6" t="s">
        <v>8</v>
      </c>
      <c r="B6" s="4">
        <f>((840+420)*2+290+562)+3372</f>
        <v>6744</v>
      </c>
      <c r="C6" s="2">
        <v>144.65</v>
      </c>
      <c r="D6">
        <f t="shared" ref="D6:D21" si="1">C6*B6</f>
        <v>975519.60000000009</v>
      </c>
      <c r="E6" s="3">
        <f t="shared" si="0"/>
        <v>4.2299060048999894E-2</v>
      </c>
    </row>
    <row r="7" spans="1:7">
      <c r="A7" t="s">
        <v>9</v>
      </c>
      <c r="B7" s="4">
        <f>130+126+33+57+173+130</f>
        <v>649</v>
      </c>
      <c r="C7" s="2">
        <v>2371.4</v>
      </c>
      <c r="D7">
        <f t="shared" si="1"/>
        <v>1539038.6</v>
      </c>
      <c r="E7" s="3">
        <f t="shared" si="0"/>
        <v>6.6733550160477273E-2</v>
      </c>
    </row>
    <row r="8" spans="1:7">
      <c r="A8" t="s">
        <v>10</v>
      </c>
      <c r="B8" s="4">
        <f>1280+1280+1280+910+1300+1300+2940+1300</f>
        <v>11590</v>
      </c>
      <c r="C8" s="2">
        <v>129</v>
      </c>
      <c r="D8">
        <f t="shared" si="1"/>
        <v>1495110</v>
      </c>
      <c r="E8" s="3">
        <f t="shared" si="0"/>
        <v>6.4828782189368855E-2</v>
      </c>
    </row>
    <row r="9" spans="1:7">
      <c r="A9" t="s">
        <v>11</v>
      </c>
      <c r="B9" s="4">
        <f>96000-48000-12000-36000</f>
        <v>0</v>
      </c>
      <c r="C9" s="2">
        <v>7.95</v>
      </c>
      <c r="D9">
        <f t="shared" si="1"/>
        <v>0</v>
      </c>
      <c r="E9" s="3">
        <f t="shared" si="0"/>
        <v>0</v>
      </c>
      <c r="G9" t="s">
        <v>27</v>
      </c>
    </row>
    <row r="10" spans="1:7">
      <c r="A10" t="s">
        <v>12</v>
      </c>
      <c r="B10" s="4">
        <f>862+390+71+35</f>
        <v>1358</v>
      </c>
      <c r="C10" s="2">
        <v>838.9</v>
      </c>
      <c r="D10">
        <f t="shared" si="1"/>
        <v>1139226.2</v>
      </c>
      <c r="E10" s="3">
        <f t="shared" si="0"/>
        <v>4.9397467199217684E-2</v>
      </c>
    </row>
    <row r="11" spans="1:7">
      <c r="A11" t="s">
        <v>13</v>
      </c>
      <c r="B11" s="4">
        <f>635+317+317</f>
        <v>1269</v>
      </c>
      <c r="C11" s="2">
        <v>841.5</v>
      </c>
      <c r="D11">
        <f t="shared" si="1"/>
        <v>1067863.5</v>
      </c>
      <c r="E11" s="3">
        <f t="shared" si="0"/>
        <v>4.6303141741729427E-2</v>
      </c>
    </row>
    <row r="12" spans="1:7">
      <c r="A12" t="s">
        <v>14</v>
      </c>
      <c r="B12" s="4">
        <f>410+205</f>
        <v>615</v>
      </c>
      <c r="C12" s="2">
        <v>1819.3</v>
      </c>
      <c r="D12">
        <f t="shared" si="1"/>
        <v>1118869.5</v>
      </c>
      <c r="E12" s="3">
        <f t="shared" si="0"/>
        <v>4.8514789623390946E-2</v>
      </c>
    </row>
    <row r="13" spans="1:7">
      <c r="A13" t="s">
        <v>15</v>
      </c>
      <c r="B13" s="4">
        <f>1727-863-216-648</f>
        <v>0</v>
      </c>
      <c r="C13" s="2">
        <v>611.9</v>
      </c>
      <c r="D13">
        <f t="shared" si="1"/>
        <v>0</v>
      </c>
      <c r="E13" s="3">
        <f t="shared" si="0"/>
        <v>0</v>
      </c>
      <c r="G13" t="s">
        <v>28</v>
      </c>
    </row>
    <row r="14" spans="1:7">
      <c r="A14" t="s">
        <v>16</v>
      </c>
      <c r="B14" s="4">
        <f>1875+937+309+619</f>
        <v>3740</v>
      </c>
      <c r="C14" s="2">
        <v>620.65</v>
      </c>
      <c r="D14">
        <f t="shared" si="1"/>
        <v>2321231</v>
      </c>
      <c r="E14" s="3">
        <f t="shared" si="0"/>
        <v>0.10064983774452103</v>
      </c>
    </row>
    <row r="15" spans="1:7">
      <c r="A15" t="s">
        <v>17</v>
      </c>
      <c r="B15" s="4">
        <f>480+154+159+192</f>
        <v>985</v>
      </c>
      <c r="C15" s="2">
        <v>2584.1999999999998</v>
      </c>
      <c r="D15">
        <f t="shared" si="1"/>
        <v>2545437</v>
      </c>
      <c r="E15" s="3">
        <f t="shared" si="0"/>
        <v>0.11037153176004473</v>
      </c>
    </row>
    <row r="16" spans="1:7">
      <c r="A16" t="s">
        <v>18</v>
      </c>
      <c r="B16" s="4">
        <f>10500+5250</f>
        <v>15750</v>
      </c>
      <c r="C16" s="2">
        <v>208.75</v>
      </c>
      <c r="D16">
        <f t="shared" si="1"/>
        <v>3287812.5</v>
      </c>
      <c r="E16" s="3">
        <f t="shared" si="0"/>
        <v>0.14256133691968101</v>
      </c>
    </row>
    <row r="17" spans="1:7">
      <c r="A17" t="s">
        <v>19</v>
      </c>
      <c r="B17" s="4">
        <f>6886+2045-4465+4466+4466+13398+9475-20183</f>
        <v>16088</v>
      </c>
      <c r="C17" s="2">
        <v>31.9</v>
      </c>
      <c r="D17">
        <f t="shared" si="1"/>
        <v>513207.19999999995</v>
      </c>
      <c r="E17" s="3">
        <f t="shared" si="0"/>
        <v>2.225294311911221E-2</v>
      </c>
    </row>
    <row r="18" spans="1:7">
      <c r="A18" t="s">
        <v>20</v>
      </c>
      <c r="B18" s="4">
        <f>920+319+331-785+393+355-1533</f>
        <v>0</v>
      </c>
      <c r="C18" s="2">
        <v>298.25</v>
      </c>
      <c r="D18">
        <f t="shared" si="1"/>
        <v>0</v>
      </c>
      <c r="E18" s="3">
        <f t="shared" si="0"/>
        <v>0</v>
      </c>
      <c r="G18" t="s">
        <v>29</v>
      </c>
    </row>
    <row r="19" spans="1:7">
      <c r="A19" t="s">
        <v>21</v>
      </c>
      <c r="B19" s="4">
        <v>458</v>
      </c>
      <c r="C19" s="2">
        <v>2821.2</v>
      </c>
      <c r="D19">
        <f t="shared" si="1"/>
        <v>1292109.5999999999</v>
      </c>
      <c r="E19" s="3">
        <f t="shared" si="0"/>
        <v>5.6026574515047389E-2</v>
      </c>
    </row>
    <row r="20" spans="1:7">
      <c r="A20" t="s">
        <v>22</v>
      </c>
      <c r="B20" s="4">
        <f>3075+1537+1153</f>
        <v>5765</v>
      </c>
      <c r="C20" s="2">
        <v>509.85</v>
      </c>
      <c r="D20">
        <f t="shared" si="1"/>
        <v>2939285.25</v>
      </c>
      <c r="E20" s="3">
        <f t="shared" si="0"/>
        <v>0.12744900593580041</v>
      </c>
    </row>
    <row r="21" spans="1:7">
      <c r="A21" t="s">
        <v>23</v>
      </c>
      <c r="B21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</f>
        <v>1182.9275999999986</v>
      </c>
      <c r="C21" s="2">
        <v>1000</v>
      </c>
      <c r="D21">
        <f t="shared" si="1"/>
        <v>1182927.5999999987</v>
      </c>
      <c r="E21" s="3">
        <f t="shared" si="0"/>
        <v>5.1292383654843295E-2</v>
      </c>
      <c r="G21" t="s">
        <v>30</v>
      </c>
    </row>
    <row r="22" spans="1:7">
      <c r="B22" s="4"/>
      <c r="E22" s="3"/>
    </row>
    <row r="23" spans="1:7">
      <c r="B23" s="4"/>
      <c r="D23">
        <f>SUM(D5:D21)</f>
        <v>23062441.549999997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F6DA-8B3D-40D4-8DEE-792C055BF79A}">
  <sheetPr>
    <pageSetUpPr fitToPage="1"/>
  </sheetPr>
  <dimension ref="A1:J21"/>
  <sheetViews>
    <sheetView workbookViewId="0">
      <selection activeCell="G8" sqref="G8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44969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v>4326</v>
      </c>
      <c r="C5" s="2">
        <v>270.89999999999998</v>
      </c>
      <c r="D5">
        <f>C5*B5</f>
        <v>1171913.3999999999</v>
      </c>
      <c r="E5" s="3">
        <f t="shared" ref="E5:E19" si="0">D5/$D$21</f>
        <v>5.083701401317612E-2</v>
      </c>
      <c r="G5" t="s">
        <v>32</v>
      </c>
    </row>
    <row r="6" spans="1:7">
      <c r="A6" t="s">
        <v>7</v>
      </c>
      <c r="B6" s="4">
        <f>1098*4</f>
        <v>4392</v>
      </c>
      <c r="C6" s="2">
        <v>374.5</v>
      </c>
      <c r="D6">
        <f>C6*B6</f>
        <v>1644804</v>
      </c>
      <c r="E6" s="3">
        <f t="shared" si="0"/>
        <v>7.1350770455332391E-2</v>
      </c>
    </row>
    <row r="7" spans="1:7">
      <c r="A7" t="s">
        <v>8</v>
      </c>
      <c r="B7" s="4">
        <f>((840+420)*2+290+562)+3372</f>
        <v>6744</v>
      </c>
      <c r="C7" s="2">
        <v>144.65</v>
      </c>
      <c r="D7">
        <f t="shared" ref="D7:D19" si="1">C7*B7</f>
        <v>975519.60000000009</v>
      </c>
      <c r="E7" s="3">
        <f t="shared" si="0"/>
        <v>4.231754972281055E-2</v>
      </c>
    </row>
    <row r="8" spans="1:7">
      <c r="A8" t="s">
        <v>9</v>
      </c>
      <c r="B8" s="4">
        <f>130+126+33+57+173+130</f>
        <v>649</v>
      </c>
      <c r="C8" s="2">
        <v>2371.4</v>
      </c>
      <c r="D8">
        <f t="shared" si="1"/>
        <v>1539038.6</v>
      </c>
      <c r="E8" s="3">
        <f t="shared" si="0"/>
        <v>6.6762720585854696E-2</v>
      </c>
    </row>
    <row r="9" spans="1:7">
      <c r="A9" t="s">
        <v>10</v>
      </c>
      <c r="B9" s="4">
        <f>1280+1280+1280+910+1300+1300+2940+1300</f>
        <v>11590</v>
      </c>
      <c r="C9" s="2">
        <v>129</v>
      </c>
      <c r="D9">
        <f t="shared" si="1"/>
        <v>1495110</v>
      </c>
      <c r="E9" s="3">
        <f t="shared" si="0"/>
        <v>6.4857120006682881E-2</v>
      </c>
    </row>
    <row r="10" spans="1:7">
      <c r="A10" t="s">
        <v>12</v>
      </c>
      <c r="B10" s="4">
        <f>862+390+71+35</f>
        <v>1358</v>
      </c>
      <c r="C10" s="2">
        <v>838.9</v>
      </c>
      <c r="D10">
        <f t="shared" si="1"/>
        <v>1139226.2</v>
      </c>
      <c r="E10" s="3">
        <f t="shared" si="0"/>
        <v>4.9419059713437338E-2</v>
      </c>
    </row>
    <row r="11" spans="1:7">
      <c r="A11" t="s">
        <v>13</v>
      </c>
      <c r="B11" s="4">
        <f>635+317+317</f>
        <v>1269</v>
      </c>
      <c r="C11" s="2">
        <v>841.5</v>
      </c>
      <c r="D11">
        <f t="shared" si="1"/>
        <v>1067863.5</v>
      </c>
      <c r="E11" s="3">
        <f t="shared" si="0"/>
        <v>4.6323381671085337E-2</v>
      </c>
    </row>
    <row r="12" spans="1:7">
      <c r="A12" t="s">
        <v>14</v>
      </c>
      <c r="B12" s="4">
        <f>410+205</f>
        <v>615</v>
      </c>
      <c r="C12" s="2">
        <v>1819.3</v>
      </c>
      <c r="D12">
        <f t="shared" si="1"/>
        <v>1118869.5</v>
      </c>
      <c r="E12" s="3">
        <f t="shared" si="0"/>
        <v>4.8535996303494235E-2</v>
      </c>
    </row>
    <row r="13" spans="1:7">
      <c r="A13" t="s">
        <v>16</v>
      </c>
      <c r="B13" s="4">
        <f>1875+937+309+619</f>
        <v>3740</v>
      </c>
      <c r="C13" s="2">
        <v>620.65</v>
      </c>
      <c r="D13">
        <f t="shared" si="1"/>
        <v>2321231</v>
      </c>
      <c r="E13" s="3">
        <f t="shared" si="0"/>
        <v>0.1006938335843065</v>
      </c>
    </row>
    <row r="14" spans="1:7">
      <c r="A14" t="s">
        <v>17</v>
      </c>
      <c r="B14" s="4">
        <f>480+154+159+192</f>
        <v>985</v>
      </c>
      <c r="C14" s="2">
        <v>2584.1999999999998</v>
      </c>
      <c r="D14">
        <f t="shared" si="1"/>
        <v>2545437</v>
      </c>
      <c r="E14" s="3">
        <f t="shared" si="0"/>
        <v>0.11041977712573044</v>
      </c>
    </row>
    <row r="15" spans="1:7">
      <c r="A15" t="s">
        <v>18</v>
      </c>
      <c r="B15" s="4">
        <f>10500+5250</f>
        <v>15750</v>
      </c>
      <c r="C15" s="2">
        <v>208.75</v>
      </c>
      <c r="D15">
        <f t="shared" si="1"/>
        <v>3287812.5</v>
      </c>
      <c r="E15" s="3">
        <f t="shared" si="0"/>
        <v>0.14262365302350466</v>
      </c>
    </row>
    <row r="16" spans="1:7">
      <c r="A16" t="s">
        <v>19</v>
      </c>
      <c r="B16" s="4">
        <f>6886+2045-4465+4466+4466+13398+9475-20183</f>
        <v>16088</v>
      </c>
      <c r="C16" s="2">
        <v>31.9</v>
      </c>
      <c r="D16">
        <f t="shared" si="1"/>
        <v>513207.19999999995</v>
      </c>
      <c r="E16" s="3">
        <f t="shared" si="0"/>
        <v>2.2262670277567332E-2</v>
      </c>
    </row>
    <row r="17" spans="1:7">
      <c r="A17" t="s">
        <v>21</v>
      </c>
      <c r="B17" s="4">
        <v>458</v>
      </c>
      <c r="C17" s="2">
        <v>2821.2</v>
      </c>
      <c r="D17">
        <f t="shared" si="1"/>
        <v>1292109.5999999999</v>
      </c>
      <c r="E17" s="3">
        <f t="shared" si="0"/>
        <v>5.6051064730345594E-2</v>
      </c>
    </row>
    <row r="18" spans="1:7">
      <c r="A18" t="s">
        <v>22</v>
      </c>
      <c r="B18" s="4">
        <f>3075+1537+1153</f>
        <v>5765</v>
      </c>
      <c r="C18" s="2">
        <v>509.85</v>
      </c>
      <c r="D18">
        <f t="shared" si="1"/>
        <v>2939285.25</v>
      </c>
      <c r="E18" s="3">
        <f t="shared" si="0"/>
        <v>0.12750471617012987</v>
      </c>
    </row>
    <row r="19" spans="1:7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</f>
        <v>0.93759999999861066</v>
      </c>
      <c r="C19" s="2">
        <v>1000</v>
      </c>
      <c r="D19">
        <f t="shared" si="1"/>
        <v>937.59999999861066</v>
      </c>
      <c r="E19" s="3">
        <f t="shared" si="0"/>
        <v>4.0672616542044231E-5</v>
      </c>
      <c r="G19" t="s">
        <v>33</v>
      </c>
    </row>
    <row r="20" spans="1:7">
      <c r="B20" s="4"/>
      <c r="E20" s="3"/>
    </row>
    <row r="21" spans="1:7">
      <c r="B21" s="4"/>
      <c r="D21">
        <f>SUM(D5:D19)</f>
        <v>23052364.949999999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5622-9C59-42D0-BD42-E455E50BF83F}">
  <sheetPr>
    <pageSetUpPr fitToPage="1"/>
  </sheetPr>
  <dimension ref="A1:J21"/>
  <sheetViews>
    <sheetView workbookViewId="0">
      <selection activeCell="B19" sqref="B19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45026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v>4326</v>
      </c>
      <c r="C5" s="2">
        <v>248.8</v>
      </c>
      <c r="D5">
        <f>C5*B5</f>
        <v>1076308.8</v>
      </c>
      <c r="E5" s="3">
        <f t="shared" ref="E5:E19" si="0">D5/$D$21</f>
        <v>4.2099644043829064E-2</v>
      </c>
    </row>
    <row r="6" spans="1:7">
      <c r="A6" t="s">
        <v>7</v>
      </c>
      <c r="B6" s="4">
        <f>1098*4</f>
        <v>4392</v>
      </c>
      <c r="C6" s="2">
        <v>374.1</v>
      </c>
      <c r="D6">
        <f>C6*B6</f>
        <v>1643047.2000000002</v>
      </c>
      <c r="E6" s="3">
        <f t="shared" si="0"/>
        <v>6.4267524587005173E-2</v>
      </c>
    </row>
    <row r="7" spans="1:7">
      <c r="A7" t="s">
        <v>8</v>
      </c>
      <c r="B7" s="4">
        <f>((840+420)*2+290+562)+3372</f>
        <v>6744</v>
      </c>
      <c r="C7" s="2">
        <v>174.1</v>
      </c>
      <c r="D7">
        <f t="shared" ref="D7:D19" si="1">C7*B7</f>
        <v>1174130.3999999999</v>
      </c>
      <c r="E7" s="3">
        <f t="shared" si="0"/>
        <v>4.5925920052905481E-2</v>
      </c>
    </row>
    <row r="8" spans="1:7">
      <c r="A8" t="s">
        <v>9</v>
      </c>
      <c r="B8" s="4">
        <f>130+126+33+57+173+130</f>
        <v>649</v>
      </c>
      <c r="C8" s="2">
        <v>2608.4</v>
      </c>
      <c r="D8">
        <f t="shared" si="1"/>
        <v>1692851.6</v>
      </c>
      <c r="E8" s="3">
        <f t="shared" si="0"/>
        <v>6.6215615610525996E-2</v>
      </c>
    </row>
    <row r="9" spans="1:7">
      <c r="A9" t="s">
        <v>10</v>
      </c>
      <c r="B9" s="4">
        <f>1280+1280+1280+910+1300+1300+2940+1300</f>
        <v>11590</v>
      </c>
      <c r="C9" s="2">
        <v>134.65</v>
      </c>
      <c r="D9">
        <f t="shared" si="1"/>
        <v>1560593.5</v>
      </c>
      <c r="E9" s="3">
        <f t="shared" si="0"/>
        <v>6.1042361492457696E-2</v>
      </c>
    </row>
    <row r="10" spans="1:7">
      <c r="A10" t="s">
        <v>12</v>
      </c>
      <c r="B10" s="4">
        <f>862+390+71+35</f>
        <v>1358</v>
      </c>
      <c r="C10" s="2">
        <v>748.1</v>
      </c>
      <c r="D10">
        <f t="shared" si="1"/>
        <v>1015919.8</v>
      </c>
      <c r="E10" s="3">
        <f t="shared" si="0"/>
        <v>3.9737538109024119E-2</v>
      </c>
    </row>
    <row r="11" spans="1:7">
      <c r="A11" t="s">
        <v>13</v>
      </c>
      <c r="B11" s="4">
        <f>635+317+317</f>
        <v>1269</v>
      </c>
      <c r="C11" s="2">
        <v>699.2</v>
      </c>
      <c r="D11">
        <f t="shared" si="1"/>
        <v>887284.8</v>
      </c>
      <c r="E11" s="3">
        <f t="shared" si="0"/>
        <v>3.4706000959483063E-2</v>
      </c>
    </row>
    <row r="12" spans="1:7">
      <c r="A12" t="s">
        <v>14</v>
      </c>
      <c r="B12" s="4">
        <f>410+205</f>
        <v>615</v>
      </c>
      <c r="C12" s="2">
        <v>2517.35</v>
      </c>
      <c r="D12">
        <f t="shared" si="1"/>
        <v>1548170.25</v>
      </c>
      <c r="E12" s="3">
        <f t="shared" si="0"/>
        <v>6.0556428084807865E-2</v>
      </c>
    </row>
    <row r="13" spans="1:7">
      <c r="A13" t="s">
        <v>16</v>
      </c>
      <c r="B13" s="4">
        <f>1875+937+309+619</f>
        <v>3740</v>
      </c>
      <c r="C13" s="2">
        <v>713.75</v>
      </c>
      <c r="D13">
        <f t="shared" si="1"/>
        <v>2669425</v>
      </c>
      <c r="E13" s="3">
        <f t="shared" si="0"/>
        <v>0.1044141256688586</v>
      </c>
    </row>
    <row r="14" spans="1:7">
      <c r="A14" t="s">
        <v>17</v>
      </c>
      <c r="B14" s="4">
        <f>480+154+159+192</f>
        <v>985</v>
      </c>
      <c r="C14" s="2">
        <v>2597.9</v>
      </c>
      <c r="D14">
        <f t="shared" si="1"/>
        <v>2558931.5</v>
      </c>
      <c r="E14" s="3">
        <f t="shared" si="0"/>
        <v>0.10009219034773438</v>
      </c>
    </row>
    <row r="15" spans="1:7">
      <c r="A15" t="s">
        <v>18</v>
      </c>
      <c r="B15" s="4">
        <f>10500+5250</f>
        <v>15750</v>
      </c>
      <c r="C15" s="2">
        <v>288.35000000000002</v>
      </c>
      <c r="D15">
        <f t="shared" si="1"/>
        <v>4541512.5</v>
      </c>
      <c r="E15" s="3">
        <f t="shared" si="0"/>
        <v>0.17764052442068692</v>
      </c>
    </row>
    <row r="16" spans="1:7">
      <c r="A16" t="s">
        <v>19</v>
      </c>
      <c r="B16" s="4">
        <f>6886+2045-4465+4466+4466+13398+9475-20183</f>
        <v>16088</v>
      </c>
      <c r="C16" s="2">
        <v>30.35</v>
      </c>
      <c r="D16">
        <f t="shared" si="1"/>
        <v>488270.80000000005</v>
      </c>
      <c r="E16" s="3">
        <f t="shared" si="0"/>
        <v>1.9098633103246627E-2</v>
      </c>
    </row>
    <row r="17" spans="1:8">
      <c r="A17" t="s">
        <v>21</v>
      </c>
      <c r="B17" s="4">
        <v>458</v>
      </c>
      <c r="C17" s="2">
        <v>2124.65</v>
      </c>
      <c r="D17">
        <f t="shared" si="1"/>
        <v>973089.70000000007</v>
      </c>
      <c r="E17" s="3">
        <f t="shared" si="0"/>
        <v>3.8062245698182916E-2</v>
      </c>
    </row>
    <row r="18" spans="1:8">
      <c r="A18" t="s">
        <v>22</v>
      </c>
      <c r="B18" s="4">
        <f>3075+1537+1153-53</f>
        <v>5712</v>
      </c>
      <c r="C18" s="2">
        <v>647.45000000000005</v>
      </c>
      <c r="D18">
        <f t="shared" si="1"/>
        <v>3698234.4000000004</v>
      </c>
      <c r="E18" s="3">
        <f t="shared" si="0"/>
        <v>0.14465583839010121</v>
      </c>
      <c r="G18" t="s">
        <v>34</v>
      </c>
      <c r="H18" t="s">
        <v>35</v>
      </c>
    </row>
    <row r="19" spans="1:8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</f>
        <v>37.975599999998607</v>
      </c>
      <c r="C19" s="2">
        <v>1000</v>
      </c>
      <c r="D19">
        <f t="shared" si="1"/>
        <v>37975.599999998609</v>
      </c>
      <c r="E19" s="3">
        <f t="shared" si="0"/>
        <v>1.4854094311509637E-3</v>
      </c>
      <c r="G19" t="s">
        <v>36</v>
      </c>
    </row>
    <row r="20" spans="1:8">
      <c r="B20" s="4"/>
      <c r="E20" s="3"/>
    </row>
    <row r="21" spans="1:8">
      <c r="B21" s="4"/>
      <c r="D21">
        <f>SUM(D5:D19)</f>
        <v>25565745.849999998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DDA3-0F14-4F68-AD9A-508087063550}">
  <sheetPr>
    <pageSetUpPr fitToPage="1"/>
  </sheetPr>
  <dimension ref="A1:J21"/>
  <sheetViews>
    <sheetView workbookViewId="0">
      <selection activeCell="B21" sqref="B21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8">
      <c r="A1" t="s">
        <v>0</v>
      </c>
      <c r="B1" s="1">
        <v>45037</v>
      </c>
      <c r="E1" s="3"/>
    </row>
    <row r="2" spans="1:8">
      <c r="B2" s="4"/>
      <c r="E2" s="3"/>
    </row>
    <row r="3" spans="1:8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8">
      <c r="B4" s="4"/>
      <c r="E4" s="3"/>
    </row>
    <row r="5" spans="1:8">
      <c r="A5" t="s">
        <v>31</v>
      </c>
      <c r="B5" s="4">
        <v>4326</v>
      </c>
      <c r="C5" s="2">
        <v>257.85000000000002</v>
      </c>
      <c r="D5">
        <f>C5*B5</f>
        <v>1115459.1000000001</v>
      </c>
      <c r="E5" s="3">
        <f t="shared" ref="E5:E19" si="0">D5/$D$21</f>
        <v>4.2564270044788688E-2</v>
      </c>
    </row>
    <row r="6" spans="1:8">
      <c r="A6" t="s">
        <v>7</v>
      </c>
      <c r="B6" s="4">
        <f>1098*4-147</f>
        <v>4245</v>
      </c>
      <c r="C6" s="2">
        <v>370.2</v>
      </c>
      <c r="D6">
        <f>C6*B6</f>
        <v>1571499</v>
      </c>
      <c r="E6" s="3">
        <f t="shared" si="0"/>
        <v>5.9966078371780168E-2</v>
      </c>
      <c r="G6" t="s">
        <v>37</v>
      </c>
      <c r="H6" t="s">
        <v>38</v>
      </c>
    </row>
    <row r="7" spans="1:8">
      <c r="A7" t="s">
        <v>8</v>
      </c>
      <c r="B7" s="4">
        <f>((840+420)*2+290+562)+3372</f>
        <v>6744</v>
      </c>
      <c r="C7" s="2">
        <v>168.65</v>
      </c>
      <c r="D7">
        <f t="shared" ref="D7:D19" si="1">C7*B7</f>
        <v>1137375.6000000001</v>
      </c>
      <c r="E7" s="3">
        <f t="shared" si="0"/>
        <v>4.3400571281146536E-2</v>
      </c>
    </row>
    <row r="8" spans="1:8">
      <c r="A8" t="s">
        <v>9</v>
      </c>
      <c r="B8" s="4">
        <f>130+126+33+57+173+130</f>
        <v>649</v>
      </c>
      <c r="C8" s="2">
        <v>2689.8</v>
      </c>
      <c r="D8">
        <f t="shared" si="1"/>
        <v>1745680.2000000002</v>
      </c>
      <c r="E8" s="3">
        <f t="shared" si="0"/>
        <v>6.6612575436105839E-2</v>
      </c>
    </row>
    <row r="9" spans="1:8">
      <c r="A9" t="s">
        <v>10</v>
      </c>
      <c r="B9" s="4">
        <f>1280+1280+1280+910+1300+1300+2940+1300</f>
        <v>11590</v>
      </c>
      <c r="C9" s="2">
        <v>137</v>
      </c>
      <c r="D9">
        <f t="shared" si="1"/>
        <v>1587830</v>
      </c>
      <c r="E9" s="3">
        <f t="shared" si="0"/>
        <v>6.0589245186324463E-2</v>
      </c>
    </row>
    <row r="10" spans="1:8">
      <c r="A10" t="s">
        <v>12</v>
      </c>
      <c r="B10" s="4">
        <f>862+390+71+35</f>
        <v>1358</v>
      </c>
      <c r="C10" s="2">
        <v>707.6</v>
      </c>
      <c r="D10">
        <f t="shared" si="1"/>
        <v>960920.8</v>
      </c>
      <c r="E10" s="3">
        <f t="shared" si="0"/>
        <v>3.6667317002348522E-2</v>
      </c>
    </row>
    <row r="11" spans="1:8">
      <c r="A11" t="s">
        <v>13</v>
      </c>
      <c r="B11" s="4">
        <f>635+317+317</f>
        <v>1269</v>
      </c>
      <c r="C11" s="2">
        <v>716.75</v>
      </c>
      <c r="D11">
        <f t="shared" si="1"/>
        <v>909555.75</v>
      </c>
      <c r="E11" s="3">
        <f t="shared" si="0"/>
        <v>3.470730263780205E-2</v>
      </c>
    </row>
    <row r="12" spans="1:8">
      <c r="A12" t="s">
        <v>14</v>
      </c>
      <c r="B12" s="4">
        <f>410+205</f>
        <v>615</v>
      </c>
      <c r="C12" s="2">
        <v>2468.1999999999998</v>
      </c>
      <c r="D12">
        <f t="shared" si="1"/>
        <v>1517943</v>
      </c>
      <c r="E12" s="3">
        <f t="shared" si="0"/>
        <v>5.7922460594562963E-2</v>
      </c>
    </row>
    <row r="13" spans="1:8">
      <c r="A13" t="s">
        <v>16</v>
      </c>
      <c r="B13" s="4">
        <f>1875+937+309+619</f>
        <v>3740</v>
      </c>
      <c r="C13" s="2">
        <v>756.4</v>
      </c>
      <c r="D13">
        <f t="shared" si="1"/>
        <v>2828936</v>
      </c>
      <c r="E13" s="3">
        <f t="shared" si="0"/>
        <v>0.10794801516561595</v>
      </c>
    </row>
    <row r="14" spans="1:8">
      <c r="A14" t="s">
        <v>17</v>
      </c>
      <c r="B14" s="4">
        <f>480+154+159+192</f>
        <v>985</v>
      </c>
      <c r="C14" s="2">
        <v>2635.55</v>
      </c>
      <c r="D14">
        <f t="shared" si="1"/>
        <v>2596016.75</v>
      </c>
      <c r="E14" s="3">
        <f t="shared" si="0"/>
        <v>9.9060160957756924E-2</v>
      </c>
    </row>
    <row r="15" spans="1:8">
      <c r="A15" t="s">
        <v>18</v>
      </c>
      <c r="B15" s="4">
        <f>10500+5250</f>
        <v>15750</v>
      </c>
      <c r="C15" s="2">
        <v>331.35</v>
      </c>
      <c r="D15">
        <f t="shared" si="1"/>
        <v>5218762.5</v>
      </c>
      <c r="E15" s="3">
        <f t="shared" si="0"/>
        <v>0.19914026103656915</v>
      </c>
    </row>
    <row r="16" spans="1:8">
      <c r="A16" t="s">
        <v>19</v>
      </c>
      <c r="B16" s="4">
        <f>6886+2045-4465+4466+4466+13398+9475-20183</f>
        <v>16088</v>
      </c>
      <c r="C16" s="2">
        <v>29.45</v>
      </c>
      <c r="D16">
        <f t="shared" si="1"/>
        <v>473791.6</v>
      </c>
      <c r="E16" s="3">
        <f t="shared" si="0"/>
        <v>1.8079186953024545E-2</v>
      </c>
    </row>
    <row r="17" spans="1:7">
      <c r="A17" t="s">
        <v>21</v>
      </c>
      <c r="B17" s="4">
        <v>458</v>
      </c>
      <c r="C17" s="2">
        <v>1939.9</v>
      </c>
      <c r="D17">
        <f t="shared" si="1"/>
        <v>888474.20000000007</v>
      </c>
      <c r="E17" s="3">
        <f t="shared" si="0"/>
        <v>3.3902861858966939E-2</v>
      </c>
    </row>
    <row r="18" spans="1:7">
      <c r="A18" t="s">
        <v>22</v>
      </c>
      <c r="B18" s="4">
        <f>3075+1537+1153-53</f>
        <v>5712</v>
      </c>
      <c r="C18" s="2">
        <v>620.25</v>
      </c>
      <c r="D18">
        <f t="shared" si="1"/>
        <v>3542868</v>
      </c>
      <c r="E18" s="3">
        <f t="shared" si="0"/>
        <v>0.13519060473399733</v>
      </c>
    </row>
    <row r="19" spans="1:7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</f>
        <v>111.35359999999861</v>
      </c>
      <c r="C19" s="2">
        <v>1000</v>
      </c>
      <c r="D19">
        <f t="shared" si="1"/>
        <v>111353.59999999861</v>
      </c>
      <c r="E19" s="3">
        <f t="shared" si="0"/>
        <v>4.2490887392100003E-3</v>
      </c>
      <c r="G19" t="s">
        <v>39</v>
      </c>
    </row>
    <row r="20" spans="1:7">
      <c r="B20" s="4"/>
      <c r="E20" s="3"/>
    </row>
    <row r="21" spans="1:7">
      <c r="B21" s="4"/>
      <c r="D21">
        <f>SUM(D5:D19)</f>
        <v>26206466.099999998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E2CA-9FE0-48C3-BC80-A92CE1EFB60B}">
  <sheetPr>
    <pageSetUpPr fitToPage="1"/>
  </sheetPr>
  <dimension ref="A1:J21"/>
  <sheetViews>
    <sheetView workbookViewId="0">
      <selection activeCell="B14" sqref="B14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45062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322.8</v>
      </c>
      <c r="D5">
        <f>C5*B5</f>
        <v>2178900</v>
      </c>
      <c r="E5" s="3">
        <f t="shared" ref="E5:E19" si="0">D5/$D$21</f>
        <v>7.788423704361544E-2</v>
      </c>
      <c r="G5" t="s">
        <v>40</v>
      </c>
    </row>
    <row r="6" spans="1:7">
      <c r="A6" t="s">
        <v>7</v>
      </c>
      <c r="B6" s="4">
        <f>1098*4-147</f>
        <v>4245</v>
      </c>
      <c r="C6" s="2">
        <v>367.85</v>
      </c>
      <c r="D6">
        <f>C6*B6</f>
        <v>1561523.25</v>
      </c>
      <c r="E6" s="3">
        <f t="shared" si="0"/>
        <v>5.5816259099599239E-2</v>
      </c>
    </row>
    <row r="7" spans="1:7">
      <c r="A7" t="s">
        <v>8</v>
      </c>
      <c r="B7" s="4">
        <f>((840+420)*2+290+562)+3372</f>
        <v>6744</v>
      </c>
      <c r="C7" s="2">
        <v>190.95</v>
      </c>
      <c r="D7">
        <f t="shared" ref="D7:D19" si="1">C7*B7</f>
        <v>1287766.7999999998</v>
      </c>
      <c r="E7" s="3">
        <f t="shared" si="0"/>
        <v>4.6030903074073204E-2</v>
      </c>
    </row>
    <row r="8" spans="1:7">
      <c r="A8" t="s">
        <v>9</v>
      </c>
      <c r="B8" s="4">
        <f>130+126+33+57+173+130</f>
        <v>649</v>
      </c>
      <c r="C8" s="2">
        <v>2525.5</v>
      </c>
      <c r="D8">
        <f t="shared" si="1"/>
        <v>1639049.5</v>
      </c>
      <c r="E8" s="3">
        <f t="shared" si="0"/>
        <v>5.858741556942465E-2</v>
      </c>
    </row>
    <row r="9" spans="1:7">
      <c r="A9" t="s">
        <v>10</v>
      </c>
      <c r="B9" s="4">
        <f>1280+1280+1280+910+1300+1300+2940+1300</f>
        <v>11590</v>
      </c>
      <c r="C9" s="2">
        <v>168.7</v>
      </c>
      <c r="D9">
        <f t="shared" si="1"/>
        <v>1955232.9999999998</v>
      </c>
      <c r="E9" s="3">
        <f t="shared" si="0"/>
        <v>6.988931591514036E-2</v>
      </c>
    </row>
    <row r="10" spans="1:7">
      <c r="A10" t="s">
        <v>12</v>
      </c>
      <c r="B10" s="4">
        <f>862+390+71+35</f>
        <v>1358</v>
      </c>
      <c r="C10" s="2">
        <v>731.1</v>
      </c>
      <c r="D10">
        <f t="shared" si="1"/>
        <v>992833.8</v>
      </c>
      <c r="E10" s="3">
        <f t="shared" si="0"/>
        <v>3.5488596550605114E-2</v>
      </c>
    </row>
    <row r="11" spans="1:7">
      <c r="A11" t="s">
        <v>13</v>
      </c>
      <c r="B11" s="4">
        <f>635+317+317</f>
        <v>1269</v>
      </c>
      <c r="C11" s="2">
        <v>736.7</v>
      </c>
      <c r="D11">
        <f t="shared" si="1"/>
        <v>934872.3</v>
      </c>
      <c r="E11" s="3">
        <f t="shared" si="0"/>
        <v>3.3416777189733342E-2</v>
      </c>
    </row>
    <row r="12" spans="1:7">
      <c r="A12" t="s">
        <v>14</v>
      </c>
      <c r="B12" s="4">
        <f>410+205</f>
        <v>615</v>
      </c>
      <c r="C12" s="2">
        <v>3102.65</v>
      </c>
      <c r="D12">
        <f t="shared" si="1"/>
        <v>1908129.75</v>
      </c>
      <c r="E12" s="3">
        <f t="shared" si="0"/>
        <v>6.8205621992278059E-2</v>
      </c>
    </row>
    <row r="13" spans="1:7">
      <c r="A13" t="s">
        <v>16</v>
      </c>
      <c r="B13" s="4">
        <f>1875+937+309+619</f>
        <v>3740</v>
      </c>
      <c r="C13" s="2">
        <v>808.95</v>
      </c>
      <c r="D13">
        <f t="shared" si="1"/>
        <v>3025473</v>
      </c>
      <c r="E13" s="3">
        <f t="shared" si="0"/>
        <v>0.10814477777826351</v>
      </c>
    </row>
    <row r="14" spans="1:7">
      <c r="A14" t="s">
        <v>17</v>
      </c>
      <c r="B14" s="4">
        <f>480+154+159+192-246</f>
        <v>739</v>
      </c>
      <c r="C14" s="2">
        <v>2646.1</v>
      </c>
      <c r="D14">
        <f t="shared" si="1"/>
        <v>1955467.9</v>
      </c>
      <c r="E14" s="3">
        <f t="shared" si="0"/>
        <v>6.9897712357052125E-2</v>
      </c>
      <c r="G14" t="s">
        <v>41</v>
      </c>
    </row>
    <row r="15" spans="1:7">
      <c r="A15" t="s">
        <v>18</v>
      </c>
      <c r="B15" s="4">
        <f>10500+5250</f>
        <v>15750</v>
      </c>
      <c r="C15" s="2">
        <v>333.05</v>
      </c>
      <c r="D15">
        <f t="shared" si="1"/>
        <v>5245537.5</v>
      </c>
      <c r="E15" s="3">
        <f t="shared" si="0"/>
        <v>0.18750042960722105</v>
      </c>
    </row>
    <row r="16" spans="1:7">
      <c r="A16" t="s">
        <v>19</v>
      </c>
      <c r="B16" s="4">
        <f>6886+2045-4465+4466+4466+13398+9475-20183-16088</f>
        <v>0</v>
      </c>
      <c r="C16" s="2">
        <v>32.75</v>
      </c>
      <c r="D16">
        <f t="shared" si="1"/>
        <v>0</v>
      </c>
      <c r="E16" s="3">
        <f t="shared" si="0"/>
        <v>0</v>
      </c>
      <c r="G16" t="s">
        <v>42</v>
      </c>
    </row>
    <row r="17" spans="1:7">
      <c r="A17" t="s">
        <v>21</v>
      </c>
      <c r="B17" s="4">
        <v>458</v>
      </c>
      <c r="C17" s="2">
        <v>2371.4499999999998</v>
      </c>
      <c r="D17">
        <f t="shared" si="1"/>
        <v>1086124.0999999999</v>
      </c>
      <c r="E17" s="3">
        <f t="shared" si="0"/>
        <v>3.8823235055846284E-2</v>
      </c>
    </row>
    <row r="18" spans="1:7">
      <c r="A18" t="s">
        <v>22</v>
      </c>
      <c r="B18" s="4">
        <f>3075+1537+1153-53</f>
        <v>5712</v>
      </c>
      <c r="C18" s="2">
        <v>654.95000000000005</v>
      </c>
      <c r="D18">
        <f t="shared" si="1"/>
        <v>3741074.4000000004</v>
      </c>
      <c r="E18" s="3">
        <f t="shared" si="0"/>
        <v>0.13372377133755631</v>
      </c>
    </row>
    <row r="19" spans="1:7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</f>
        <v>464.15059999999863</v>
      </c>
      <c r="C19" s="2">
        <v>1000</v>
      </c>
      <c r="D19">
        <f t="shared" si="1"/>
        <v>464150.59999999864</v>
      </c>
      <c r="E19" s="3">
        <f t="shared" si="0"/>
        <v>1.6590947429591184E-2</v>
      </c>
      <c r="G19" t="s">
        <v>43</v>
      </c>
    </row>
    <row r="20" spans="1:7">
      <c r="B20" s="4"/>
      <c r="E20" s="3"/>
    </row>
    <row r="21" spans="1:7">
      <c r="B21" s="4"/>
      <c r="D21">
        <f>SUM(D5:D19)</f>
        <v>27976135.900000002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E69F-1581-4D0A-A15B-B2916C7E6686}">
  <sheetPr>
    <pageSetUpPr fitToPage="1"/>
  </sheetPr>
  <dimension ref="A1:J20"/>
  <sheetViews>
    <sheetView workbookViewId="0">
      <selection activeCell="E20" sqref="E20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45068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334</v>
      </c>
      <c r="D5">
        <f>C5*B5</f>
        <v>2254500</v>
      </c>
      <c r="E5" s="3">
        <f t="shared" ref="E5:E18" si="0">D5/$D$20</f>
        <v>7.9209777541105267E-2</v>
      </c>
    </row>
    <row r="6" spans="1:7">
      <c r="A6" t="s">
        <v>7</v>
      </c>
      <c r="B6" s="4">
        <f>1098*4-147</f>
        <v>4245</v>
      </c>
      <c r="C6" s="2">
        <v>384.35</v>
      </c>
      <c r="D6">
        <f>C6*B6</f>
        <v>1631565.75</v>
      </c>
      <c r="E6" s="3">
        <f t="shared" si="0"/>
        <v>5.732355737466692E-2</v>
      </c>
    </row>
    <row r="7" spans="1:7">
      <c r="A7" t="s">
        <v>8</v>
      </c>
      <c r="B7" s="4">
        <f>((840+420)*2+290+562)+3372</f>
        <v>6744</v>
      </c>
      <c r="C7" s="2">
        <v>197.6</v>
      </c>
      <c r="D7">
        <f t="shared" ref="D7:D18" si="1">C7*B7</f>
        <v>1332614.3999999999</v>
      </c>
      <c r="E7" s="3">
        <f t="shared" si="0"/>
        <v>4.6820177499256363E-2</v>
      </c>
    </row>
    <row r="8" spans="1:7">
      <c r="A8" t="s">
        <v>9</v>
      </c>
      <c r="B8" s="4">
        <f>130+126+33+57+173+130</f>
        <v>649</v>
      </c>
      <c r="C8" s="2">
        <v>2670.7</v>
      </c>
      <c r="D8">
        <f t="shared" si="1"/>
        <v>1733284.2999999998</v>
      </c>
      <c r="E8" s="3">
        <f t="shared" si="0"/>
        <v>6.0897344785313973E-2</v>
      </c>
    </row>
    <row r="9" spans="1:7">
      <c r="A9" t="s">
        <v>10</v>
      </c>
      <c r="B9" s="4">
        <f>1280+1280+1280+910+1300+1300+2940+1300</f>
        <v>11590</v>
      </c>
      <c r="C9" s="2">
        <v>177.2</v>
      </c>
      <c r="D9">
        <f t="shared" si="1"/>
        <v>2053747.9999999998</v>
      </c>
      <c r="E9" s="3">
        <f t="shared" si="0"/>
        <v>7.2156541231088861E-2</v>
      </c>
    </row>
    <row r="10" spans="1:7">
      <c r="A10" t="s">
        <v>12</v>
      </c>
      <c r="B10" s="4">
        <f>862+390+71+35</f>
        <v>1358</v>
      </c>
      <c r="C10" s="2">
        <v>735.25</v>
      </c>
      <c r="D10">
        <f t="shared" si="1"/>
        <v>998469.5</v>
      </c>
      <c r="E10" s="3">
        <f t="shared" si="0"/>
        <v>3.5080304713496831E-2</v>
      </c>
    </row>
    <row r="11" spans="1:7">
      <c r="A11" t="s">
        <v>13</v>
      </c>
      <c r="B11" s="4">
        <f>635+317+317</f>
        <v>1269</v>
      </c>
      <c r="C11" s="2">
        <v>741.1</v>
      </c>
      <c r="D11">
        <f t="shared" si="1"/>
        <v>940455.9</v>
      </c>
      <c r="E11" s="3">
        <f t="shared" si="0"/>
        <v>3.3042050399742715E-2</v>
      </c>
    </row>
    <row r="12" spans="1:7">
      <c r="A12" t="s">
        <v>14</v>
      </c>
      <c r="B12" s="4">
        <f>410+205</f>
        <v>615</v>
      </c>
      <c r="C12" s="2">
        <v>3136.75</v>
      </c>
      <c r="D12">
        <f t="shared" si="1"/>
        <v>1929101.25</v>
      </c>
      <c r="E12" s="3">
        <f t="shared" si="0"/>
        <v>6.7777192666563804E-2</v>
      </c>
    </row>
    <row r="13" spans="1:7">
      <c r="A13" t="s">
        <v>16</v>
      </c>
      <c r="B13" s="4">
        <f>1875+937+309+619</f>
        <v>3740</v>
      </c>
      <c r="C13" s="2">
        <v>807.45</v>
      </c>
      <c r="D13">
        <f t="shared" si="1"/>
        <v>3019863</v>
      </c>
      <c r="E13" s="3">
        <f t="shared" si="0"/>
        <v>0.10610010043673311</v>
      </c>
    </row>
    <row r="14" spans="1:7">
      <c r="A14" t="s">
        <v>17</v>
      </c>
      <c r="B14" s="4">
        <f>480+154+159+192-246</f>
        <v>739</v>
      </c>
      <c r="C14" s="2">
        <v>2700.9</v>
      </c>
      <c r="D14">
        <f t="shared" si="1"/>
        <v>1995965.1</v>
      </c>
      <c r="E14" s="3">
        <f t="shared" si="0"/>
        <v>7.0126392348995314E-2</v>
      </c>
    </row>
    <row r="15" spans="1:7">
      <c r="A15" t="s">
        <v>18</v>
      </c>
      <c r="B15" s="4">
        <f>10500+5250</f>
        <v>15750</v>
      </c>
      <c r="C15" s="2">
        <v>329.1</v>
      </c>
      <c r="D15">
        <f t="shared" si="1"/>
        <v>5183325</v>
      </c>
      <c r="E15" s="3">
        <f t="shared" si="0"/>
        <v>0.18211134183776867</v>
      </c>
    </row>
    <row r="16" spans="1:7">
      <c r="A16" t="s">
        <v>21</v>
      </c>
      <c r="B16" s="4">
        <v>458</v>
      </c>
      <c r="C16" s="2">
        <v>2422.85</v>
      </c>
      <c r="D16">
        <f t="shared" si="1"/>
        <v>1109665.3</v>
      </c>
      <c r="E16" s="3">
        <f t="shared" si="0"/>
        <v>3.8987066559362987E-2</v>
      </c>
    </row>
    <row r="17" spans="1:7">
      <c r="A17" t="s">
        <v>22</v>
      </c>
      <c r="B17" s="4">
        <f>3075+1537+1153-53-1428</f>
        <v>4284</v>
      </c>
      <c r="C17" s="2">
        <v>657.8</v>
      </c>
      <c r="D17">
        <f t="shared" si="1"/>
        <v>2818015.1999999997</v>
      </c>
      <c r="E17" s="3">
        <f t="shared" si="0"/>
        <v>9.9008364204680968E-2</v>
      </c>
      <c r="G17" t="s">
        <v>44</v>
      </c>
    </row>
    <row r="18" spans="1:7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</f>
        <v>1461.8225999999986</v>
      </c>
      <c r="C18" s="2">
        <v>1000</v>
      </c>
      <c r="D18">
        <f t="shared" si="1"/>
        <v>1461822.5999999987</v>
      </c>
      <c r="E18" s="3">
        <f t="shared" si="0"/>
        <v>5.1359788401224224E-2</v>
      </c>
      <c r="G18" t="s">
        <v>45</v>
      </c>
    </row>
    <row r="19" spans="1:7">
      <c r="B19" s="4"/>
      <c r="E19" s="3"/>
    </row>
    <row r="20" spans="1:7">
      <c r="B20" s="4"/>
      <c r="D20">
        <f>SUM(D5:D18)</f>
        <v>28462395.299999997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7DE2-8025-447C-8977-0C111FBAAF0B}">
  <sheetPr>
    <pageSetUpPr fitToPage="1"/>
  </sheetPr>
  <dimension ref="A1:J20"/>
  <sheetViews>
    <sheetView workbookViewId="0">
      <selection activeCell="B2" sqref="B2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45077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339.75</v>
      </c>
      <c r="D5">
        <f>C5*B5</f>
        <v>2293312.5</v>
      </c>
      <c r="E5" s="3">
        <f t="shared" ref="E5:E18" si="0">D5/$D$20</f>
        <v>7.8460066748204521E-2</v>
      </c>
    </row>
    <row r="6" spans="1:7">
      <c r="A6" t="s">
        <v>7</v>
      </c>
      <c r="B6" s="4">
        <f>1098*4-147</f>
        <v>4245</v>
      </c>
      <c r="C6" s="2">
        <v>359.7</v>
      </c>
      <c r="D6">
        <f>C6*B6</f>
        <v>1526926.5</v>
      </c>
      <c r="E6" s="3">
        <f t="shared" si="0"/>
        <v>5.2240048013344149E-2</v>
      </c>
    </row>
    <row r="7" spans="1:7">
      <c r="A7" t="s">
        <v>8</v>
      </c>
      <c r="B7" s="4">
        <f>((840+420)*2+290+562)+3372</f>
        <v>6744</v>
      </c>
      <c r="C7" s="2">
        <v>212.45</v>
      </c>
      <c r="D7">
        <f t="shared" ref="D7:D18" si="1">C7*B7</f>
        <v>1432762.7999999998</v>
      </c>
      <c r="E7" s="3">
        <f t="shared" si="0"/>
        <v>4.901846779378928E-2</v>
      </c>
    </row>
    <row r="8" spans="1:7">
      <c r="A8" t="s">
        <v>9</v>
      </c>
      <c r="B8" s="4">
        <f>130+126+33+57+173+130</f>
        <v>649</v>
      </c>
      <c r="C8" s="2">
        <v>2715.4</v>
      </c>
      <c r="D8">
        <f t="shared" si="1"/>
        <v>1762294.6</v>
      </c>
      <c r="E8" s="3">
        <f t="shared" si="0"/>
        <v>6.0292590715831526E-2</v>
      </c>
    </row>
    <row r="9" spans="1:7">
      <c r="A9" t="s">
        <v>10</v>
      </c>
      <c r="B9" s="4">
        <f>1280+1280+1280+910+1300+1300+2940+1300</f>
        <v>11590</v>
      </c>
      <c r="C9" s="2">
        <v>178.75</v>
      </c>
      <c r="D9">
        <f t="shared" si="1"/>
        <v>2071712.5</v>
      </c>
      <c r="E9" s="3">
        <f t="shared" si="0"/>
        <v>7.0878565844423577E-2</v>
      </c>
    </row>
    <row r="10" spans="1:7">
      <c r="A10" t="s">
        <v>12</v>
      </c>
      <c r="B10" s="4">
        <f>862+390+71+35</f>
        <v>1358</v>
      </c>
      <c r="C10" s="2">
        <v>738.85</v>
      </c>
      <c r="D10">
        <f t="shared" si="1"/>
        <v>1003358.3</v>
      </c>
      <c r="E10" s="3">
        <f t="shared" si="0"/>
        <v>3.4327445208782066E-2</v>
      </c>
    </row>
    <row r="11" spans="1:7">
      <c r="A11" t="s">
        <v>13</v>
      </c>
      <c r="B11" s="4">
        <f>635+317+317</f>
        <v>1269</v>
      </c>
      <c r="C11" s="2">
        <v>777.85</v>
      </c>
      <c r="D11">
        <f t="shared" si="1"/>
        <v>987091.65</v>
      </c>
      <c r="E11" s="3">
        <f t="shared" si="0"/>
        <v>3.3770921645260001E-2</v>
      </c>
    </row>
    <row r="12" spans="1:7">
      <c r="A12" t="s">
        <v>14</v>
      </c>
      <c r="B12" s="4">
        <f>410+205</f>
        <v>615</v>
      </c>
      <c r="C12" s="2">
        <v>3056.35</v>
      </c>
      <c r="D12">
        <f t="shared" si="1"/>
        <v>1879655.25</v>
      </c>
      <c r="E12" s="3">
        <f t="shared" si="0"/>
        <v>6.430779772866238E-2</v>
      </c>
    </row>
    <row r="13" spans="1:7">
      <c r="A13" t="s">
        <v>16</v>
      </c>
      <c r="B13" s="4">
        <f>1875+937+309+619</f>
        <v>3740</v>
      </c>
      <c r="C13" s="2">
        <v>761.2</v>
      </c>
      <c r="D13">
        <f t="shared" si="1"/>
        <v>2846888</v>
      </c>
      <c r="E13" s="3">
        <f t="shared" si="0"/>
        <v>9.7399295780519424E-2</v>
      </c>
    </row>
    <row r="14" spans="1:7">
      <c r="A14" t="s">
        <v>17</v>
      </c>
      <c r="B14" s="4">
        <f>480+154+159+192-246</f>
        <v>739</v>
      </c>
      <c r="C14" s="2">
        <v>2863.2</v>
      </c>
      <c r="D14">
        <f t="shared" si="1"/>
        <v>2115904.7999999998</v>
      </c>
      <c r="E14" s="3">
        <f t="shared" si="0"/>
        <v>7.2390497082646305E-2</v>
      </c>
    </row>
    <row r="15" spans="1:7">
      <c r="A15" t="s">
        <v>18</v>
      </c>
      <c r="B15" s="4">
        <f>10500+5250</f>
        <v>15750</v>
      </c>
      <c r="C15" s="2">
        <v>351.4</v>
      </c>
      <c r="D15">
        <f t="shared" si="1"/>
        <v>5534550</v>
      </c>
      <c r="E15" s="3">
        <f t="shared" si="0"/>
        <v>0.18935106420135733</v>
      </c>
    </row>
    <row r="16" spans="1:7">
      <c r="A16" t="s">
        <v>21</v>
      </c>
      <c r="B16" s="4">
        <f>458+115</f>
        <v>573</v>
      </c>
      <c r="C16" s="2">
        <v>2565.1999999999998</v>
      </c>
      <c r="D16">
        <f t="shared" si="1"/>
        <v>1469859.5999999999</v>
      </c>
      <c r="E16" s="3">
        <f t="shared" si="0"/>
        <v>5.0287643889129451E-2</v>
      </c>
      <c r="G16" t="s">
        <v>46</v>
      </c>
    </row>
    <row r="17" spans="1:7">
      <c r="A17" t="s">
        <v>22</v>
      </c>
      <c r="B17" s="4">
        <f>3075+1537+1153-53-1428</f>
        <v>4284</v>
      </c>
      <c r="C17" s="2">
        <v>735.7</v>
      </c>
      <c r="D17">
        <f t="shared" si="1"/>
        <v>3151738.8000000003</v>
      </c>
      <c r="E17" s="3">
        <f t="shared" si="0"/>
        <v>0.1078290187756383</v>
      </c>
    </row>
    <row r="18" spans="1:7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</f>
        <v>1152.9855999999986</v>
      </c>
      <c r="C18" s="2">
        <v>1000</v>
      </c>
      <c r="D18">
        <f t="shared" si="1"/>
        <v>1152985.5999999987</v>
      </c>
      <c r="E18" s="3">
        <f t="shared" si="0"/>
        <v>3.9446576572411539E-2</v>
      </c>
      <c r="G18" t="s">
        <v>47</v>
      </c>
    </row>
    <row r="19" spans="1:7">
      <c r="B19" s="4"/>
      <c r="E19" s="3"/>
    </row>
    <row r="20" spans="1:7">
      <c r="B20" s="4"/>
      <c r="D20">
        <f>SUM(D5:D18)</f>
        <v>29229040.900000002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8C4A-5FDB-4843-8EB7-352E485DF13E}">
  <sheetPr>
    <pageSetUpPr fitToPage="1"/>
  </sheetPr>
  <dimension ref="A1:J20"/>
  <sheetViews>
    <sheetView workbookViewId="0">
      <selection activeCell="G6" sqref="G6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45107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366.75</v>
      </c>
      <c r="D5">
        <f>C5*B5</f>
        <v>2475562.5</v>
      </c>
      <c r="E5" s="3">
        <f t="shared" ref="E5:E18" si="0">D5/$D$20</f>
        <v>7.2439734424173965E-2</v>
      </c>
    </row>
    <row r="6" spans="1:7">
      <c r="A6" t="s">
        <v>7</v>
      </c>
      <c r="B6" s="4">
        <f>1098*4-147-849</f>
        <v>3396</v>
      </c>
      <c r="C6" s="2">
        <v>501.5</v>
      </c>
      <c r="D6">
        <f>C6*B6</f>
        <v>1703094</v>
      </c>
      <c r="E6" s="3">
        <f t="shared" si="0"/>
        <v>4.9835815924422884E-2</v>
      </c>
      <c r="G6" t="s">
        <v>48</v>
      </c>
    </row>
    <row r="7" spans="1:7">
      <c r="A7" t="s">
        <v>8</v>
      </c>
      <c r="B7" s="4">
        <f>((840+420)*2+290+562)+3372</f>
        <v>6744</v>
      </c>
      <c r="C7" s="2">
        <v>210.95</v>
      </c>
      <c r="D7">
        <f t="shared" ref="D7:D18" si="1">C7*B7</f>
        <v>1422646.7999999998</v>
      </c>
      <c r="E7" s="3">
        <f t="shared" si="0"/>
        <v>4.1629389834189567E-2</v>
      </c>
    </row>
    <row r="8" spans="1:7">
      <c r="A8" t="s">
        <v>9</v>
      </c>
      <c r="B8" s="4">
        <f>130+126+33+57+173+130</f>
        <v>649</v>
      </c>
      <c r="C8" s="2">
        <v>3100.05</v>
      </c>
      <c r="D8">
        <f t="shared" si="1"/>
        <v>2011932.4500000002</v>
      </c>
      <c r="E8" s="3">
        <f t="shared" si="0"/>
        <v>5.8873024759979874E-2</v>
      </c>
    </row>
    <row r="9" spans="1:7">
      <c r="A9" t="s">
        <v>10</v>
      </c>
      <c r="B9" s="4">
        <f>1280+1280+1280+910+1300+1300+2940+1300</f>
        <v>11590</v>
      </c>
      <c r="C9" s="2">
        <v>205.95</v>
      </c>
      <c r="D9">
        <f t="shared" si="1"/>
        <v>2386960.5</v>
      </c>
      <c r="E9" s="3">
        <f t="shared" si="0"/>
        <v>6.9847068979673702E-2</v>
      </c>
    </row>
    <row r="10" spans="1:7">
      <c r="A10" t="s">
        <v>12</v>
      </c>
      <c r="B10" s="4">
        <f>862+390+71+35</f>
        <v>1358</v>
      </c>
      <c r="C10" s="2">
        <v>772.55</v>
      </c>
      <c r="D10">
        <f t="shared" si="1"/>
        <v>1049122.8999999999</v>
      </c>
      <c r="E10" s="3">
        <f t="shared" si="0"/>
        <v>3.0699359945191934E-2</v>
      </c>
    </row>
    <row r="11" spans="1:7">
      <c r="A11" t="s">
        <v>13</v>
      </c>
      <c r="B11" s="4">
        <f>635+317+317</f>
        <v>1269</v>
      </c>
      <c r="C11" s="2">
        <v>949.35</v>
      </c>
      <c r="D11">
        <f t="shared" si="1"/>
        <v>1204725.1500000001</v>
      </c>
      <c r="E11" s="3">
        <f t="shared" si="0"/>
        <v>3.5252581956675764E-2</v>
      </c>
    </row>
    <row r="12" spans="1:7">
      <c r="A12" t="s">
        <v>14</v>
      </c>
      <c r="B12" s="4">
        <f>410+205</f>
        <v>615</v>
      </c>
      <c r="C12" s="2">
        <v>3296.55</v>
      </c>
      <c r="D12">
        <f t="shared" si="1"/>
        <v>2027378.25</v>
      </c>
      <c r="E12" s="3">
        <f t="shared" si="0"/>
        <v>5.9324998664887905E-2</v>
      </c>
    </row>
    <row r="13" spans="1:7">
      <c r="A13" t="s">
        <v>16</v>
      </c>
      <c r="B13" s="4">
        <f>1875+937+309+619</f>
        <v>3740</v>
      </c>
      <c r="C13" s="2">
        <v>872.85</v>
      </c>
      <c r="D13">
        <f t="shared" si="1"/>
        <v>3264459</v>
      </c>
      <c r="E13" s="3">
        <f t="shared" si="0"/>
        <v>9.5524367895621506E-2</v>
      </c>
    </row>
    <row r="14" spans="1:7">
      <c r="A14" t="s">
        <v>17</v>
      </c>
      <c r="B14" s="4">
        <f>480+154+159+192-246</f>
        <v>739</v>
      </c>
      <c r="C14" s="2">
        <v>3147.2</v>
      </c>
      <c r="D14">
        <f t="shared" si="1"/>
        <v>2325780.7999999998</v>
      </c>
      <c r="E14" s="3">
        <f t="shared" si="0"/>
        <v>6.8056832934269618E-2</v>
      </c>
    </row>
    <row r="15" spans="1:7">
      <c r="A15" t="s">
        <v>18</v>
      </c>
      <c r="B15" s="4">
        <f>10500+5250</f>
        <v>15750</v>
      </c>
      <c r="C15" s="2">
        <v>509.05</v>
      </c>
      <c r="D15">
        <f t="shared" si="1"/>
        <v>8017537.5</v>
      </c>
      <c r="E15" s="3">
        <f t="shared" si="0"/>
        <v>0.23460861409714182</v>
      </c>
    </row>
    <row r="16" spans="1:7">
      <c r="A16" t="s">
        <v>21</v>
      </c>
      <c r="B16" s="4">
        <f>458+115</f>
        <v>573</v>
      </c>
      <c r="C16" s="2">
        <v>2891.2</v>
      </c>
      <c r="D16">
        <f t="shared" si="1"/>
        <v>1656657.5999999999</v>
      </c>
      <c r="E16" s="3">
        <f t="shared" si="0"/>
        <v>4.8476997278715205E-2</v>
      </c>
    </row>
    <row r="17" spans="1:7">
      <c r="A17" t="s">
        <v>22</v>
      </c>
      <c r="B17" s="4">
        <f>3075+1537+1153-53-1428</f>
        <v>4284</v>
      </c>
      <c r="C17" s="2">
        <v>707.7</v>
      </c>
      <c r="D17">
        <f t="shared" si="1"/>
        <v>3031786.8000000003</v>
      </c>
      <c r="E17" s="3">
        <f t="shared" si="0"/>
        <v>8.8715930469425122E-2</v>
      </c>
    </row>
    <row r="18" spans="1:7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</f>
        <v>1596.4525999999987</v>
      </c>
      <c r="C18" s="2">
        <v>1000</v>
      </c>
      <c r="D18">
        <f t="shared" si="1"/>
        <v>1596452.5999999987</v>
      </c>
      <c r="E18" s="3">
        <f t="shared" si="0"/>
        <v>4.6715282835631061E-2</v>
      </c>
      <c r="G18" t="s">
        <v>49</v>
      </c>
    </row>
    <row r="19" spans="1:7">
      <c r="B19" s="4"/>
      <c r="E19" s="3"/>
    </row>
    <row r="20" spans="1:7">
      <c r="B20" s="4"/>
      <c r="D20">
        <f>SUM(D5:D18)</f>
        <v>34174096.850000001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6574-AC6F-4F58-8587-6EF74A40741D}">
  <sheetPr>
    <pageSetUpPr fitToPage="1"/>
  </sheetPr>
  <dimension ref="A1:J20"/>
  <sheetViews>
    <sheetView workbookViewId="0">
      <selection activeCell="G20" sqref="G20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45135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366.2</v>
      </c>
      <c r="D5">
        <f>C5*B5</f>
        <v>2471850</v>
      </c>
      <c r="E5" s="3">
        <f t="shared" ref="E5:E18" si="0">D5/$D$20</f>
        <v>6.4869807338535493E-2</v>
      </c>
    </row>
    <row r="6" spans="1:7">
      <c r="A6" t="s">
        <v>7</v>
      </c>
      <c r="B6" s="4">
        <f>1098*4-147-849-1304</f>
        <v>2092</v>
      </c>
      <c r="C6" s="2">
        <v>546.25</v>
      </c>
      <c r="D6">
        <f>C6*B6</f>
        <v>1142755</v>
      </c>
      <c r="E6" s="3">
        <f t="shared" si="0"/>
        <v>2.9989803865585748E-2</v>
      </c>
      <c r="G6" t="s">
        <v>50</v>
      </c>
    </row>
    <row r="7" spans="1:7">
      <c r="A7" t="s">
        <v>8</v>
      </c>
      <c r="B7" s="4">
        <f>((840+420)*2+290+562)+3372</f>
        <v>6744</v>
      </c>
      <c r="C7" s="2">
        <v>273</v>
      </c>
      <c r="D7">
        <f t="shared" ref="D7:D18" si="1">C7*B7</f>
        <v>1841112</v>
      </c>
      <c r="E7" s="3">
        <f t="shared" si="0"/>
        <v>4.8317082642015396E-2</v>
      </c>
    </row>
    <row r="8" spans="1:7">
      <c r="A8" t="s">
        <v>9</v>
      </c>
      <c r="B8" s="4">
        <f>130+126+33+57+173+130</f>
        <v>649</v>
      </c>
      <c r="C8" s="2">
        <v>2860.15</v>
      </c>
      <c r="D8">
        <f t="shared" si="1"/>
        <v>1856237.35</v>
      </c>
      <c r="E8" s="3">
        <f t="shared" si="0"/>
        <v>4.8714023613525774E-2</v>
      </c>
    </row>
    <row r="9" spans="1:7">
      <c r="A9" t="s">
        <v>10</v>
      </c>
      <c r="B9" s="4">
        <f>1280+1280+1280+910+1300+1300+2940+1300</f>
        <v>11590</v>
      </c>
      <c r="C9" s="2">
        <v>225.5</v>
      </c>
      <c r="D9">
        <f t="shared" si="1"/>
        <v>2613545</v>
      </c>
      <c r="E9" s="3">
        <f t="shared" si="0"/>
        <v>6.8588369286401982E-2</v>
      </c>
    </row>
    <row r="10" spans="1:7">
      <c r="A10" t="s">
        <v>12</v>
      </c>
      <c r="B10" s="4">
        <f>862+390+71+35</f>
        <v>1358</v>
      </c>
      <c r="C10" s="2">
        <v>789.55</v>
      </c>
      <c r="D10">
        <f t="shared" si="1"/>
        <v>1072208.8999999999</v>
      </c>
      <c r="E10" s="3">
        <f t="shared" si="0"/>
        <v>2.813843265961246E-2</v>
      </c>
    </row>
    <row r="11" spans="1:7">
      <c r="A11" t="s">
        <v>13</v>
      </c>
      <c r="B11" s="4">
        <f>635+317+317</f>
        <v>1269</v>
      </c>
      <c r="C11" s="2">
        <v>1095.75</v>
      </c>
      <c r="D11">
        <f t="shared" si="1"/>
        <v>1390506.75</v>
      </c>
      <c r="E11" s="3">
        <f t="shared" si="0"/>
        <v>3.6491658059928045E-2</v>
      </c>
    </row>
    <row r="12" spans="1:7">
      <c r="A12" t="s">
        <v>14</v>
      </c>
      <c r="B12" s="4">
        <f>410+205</f>
        <v>615</v>
      </c>
      <c r="C12" s="2">
        <v>4170.6499999999996</v>
      </c>
      <c r="D12">
        <f t="shared" si="1"/>
        <v>2564949.75</v>
      </c>
      <c r="E12" s="3">
        <f t="shared" si="0"/>
        <v>6.7313063541689339E-2</v>
      </c>
    </row>
    <row r="13" spans="1:7">
      <c r="A13" t="s">
        <v>16</v>
      </c>
      <c r="B13" s="4">
        <f>1875+937+309+619</f>
        <v>3740</v>
      </c>
      <c r="C13" s="2">
        <v>815.1</v>
      </c>
      <c r="D13">
        <f t="shared" si="1"/>
        <v>3048474</v>
      </c>
      <c r="E13" s="3">
        <f t="shared" si="0"/>
        <v>8.0002395394758841E-2</v>
      </c>
    </row>
    <row r="14" spans="1:7">
      <c r="A14" t="s">
        <v>17</v>
      </c>
      <c r="B14" s="4">
        <f>480+154+159+192-246</f>
        <v>739</v>
      </c>
      <c r="C14" s="2">
        <v>3122.8</v>
      </c>
      <c r="D14">
        <f t="shared" si="1"/>
        <v>2307749.2000000002</v>
      </c>
      <c r="E14" s="3">
        <f t="shared" si="0"/>
        <v>6.0563240483710347E-2</v>
      </c>
    </row>
    <row r="15" spans="1:7">
      <c r="A15" t="s">
        <v>18</v>
      </c>
      <c r="B15" s="4">
        <f>10500+5250</f>
        <v>15750</v>
      </c>
      <c r="C15" s="2">
        <v>677.95</v>
      </c>
      <c r="D15">
        <f t="shared" si="1"/>
        <v>10677712.5</v>
      </c>
      <c r="E15" s="3">
        <f t="shared" si="0"/>
        <v>0.28021973529594119</v>
      </c>
    </row>
    <row r="16" spans="1:7">
      <c r="A16" t="s">
        <v>21</v>
      </c>
      <c r="B16" s="4">
        <f>458+115</f>
        <v>573</v>
      </c>
      <c r="C16" s="2">
        <v>2812.8</v>
      </c>
      <c r="D16">
        <f t="shared" si="1"/>
        <v>1611734.4000000001</v>
      </c>
      <c r="E16" s="3">
        <f t="shared" si="0"/>
        <v>4.22974290547121E-2</v>
      </c>
    </row>
    <row r="17" spans="1:7">
      <c r="A17" t="s">
        <v>22</v>
      </c>
      <c r="B17" s="4">
        <f>3075+1537+1153-53-1428</f>
        <v>4284</v>
      </c>
      <c r="C17" s="2">
        <v>746.4</v>
      </c>
      <c r="D17">
        <f t="shared" si="1"/>
        <v>3197577.6</v>
      </c>
      <c r="E17" s="3">
        <f t="shared" si="0"/>
        <v>8.3915384372844917E-2</v>
      </c>
    </row>
    <row r="18" spans="1:7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</f>
        <v>2308.3715999999986</v>
      </c>
      <c r="C18" s="2">
        <v>1000</v>
      </c>
      <c r="D18">
        <f t="shared" si="1"/>
        <v>2308371.5999999987</v>
      </c>
      <c r="E18" s="3">
        <f t="shared" si="0"/>
        <v>6.0579574390738446E-2</v>
      </c>
      <c r="G18" t="s">
        <v>51</v>
      </c>
    </row>
    <row r="19" spans="1:7">
      <c r="B19" s="4"/>
      <c r="E19" s="3"/>
    </row>
    <row r="20" spans="1:7">
      <c r="B20" s="4"/>
      <c r="D20">
        <f>SUM(D5:D18)</f>
        <v>38104784.049999997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BAB5-E288-4B33-A32B-FD48294E81B8}">
  <sheetPr>
    <pageSetUpPr fitToPage="1"/>
  </sheetPr>
  <dimension ref="A1:J20"/>
  <sheetViews>
    <sheetView workbookViewId="0">
      <selection activeCell="B19" sqref="B19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45138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372.9</v>
      </c>
      <c r="D5">
        <f>C5*B5</f>
        <v>2517075</v>
      </c>
      <c r="E5" s="3">
        <f t="shared" ref="E5:E18" si="0">D5/$D$20</f>
        <v>6.6725025952663816E-2</v>
      </c>
    </row>
    <row r="6" spans="1:7">
      <c r="A6" t="s">
        <v>7</v>
      </c>
      <c r="B6" s="4">
        <f>1098*4-147-849-1304</f>
        <v>2092</v>
      </c>
      <c r="C6" s="2">
        <v>546.54999999999995</v>
      </c>
      <c r="D6">
        <f>C6*B6</f>
        <v>1143382.5999999999</v>
      </c>
      <c r="E6" s="3">
        <f t="shared" si="0"/>
        <v>3.0309877003595134E-2</v>
      </c>
    </row>
    <row r="7" spans="1:7">
      <c r="A7" t="s">
        <v>8</v>
      </c>
      <c r="B7" s="4">
        <f>((840+420)*2+290+562)+3372</f>
        <v>6744</v>
      </c>
      <c r="C7" s="2">
        <v>264.60000000000002</v>
      </c>
      <c r="D7">
        <f t="shared" ref="D7:D18" si="1">C7*B7</f>
        <v>1784462.4000000001</v>
      </c>
      <c r="E7" s="3">
        <f t="shared" si="0"/>
        <v>4.7304232075545134E-2</v>
      </c>
    </row>
    <row r="8" spans="1:7">
      <c r="A8" t="s">
        <v>9</v>
      </c>
      <c r="B8" s="4">
        <f>130+126+33+57+173+130</f>
        <v>649</v>
      </c>
      <c r="C8" s="2">
        <v>2896.9</v>
      </c>
      <c r="D8">
        <f t="shared" si="1"/>
        <v>1880088.1</v>
      </c>
      <c r="E8" s="3">
        <f t="shared" si="0"/>
        <v>4.983916937945608E-2</v>
      </c>
    </row>
    <row r="9" spans="1:7">
      <c r="A9" t="s">
        <v>10</v>
      </c>
      <c r="B9" s="4">
        <f>1280+1280+1280+910+1300+1300+2940+1300</f>
        <v>11590</v>
      </c>
      <c r="C9" s="2">
        <v>224.85</v>
      </c>
      <c r="D9">
        <f t="shared" si="1"/>
        <v>2606011.5</v>
      </c>
      <c r="E9" s="3">
        <f t="shared" si="0"/>
        <v>6.9082639559981465E-2</v>
      </c>
    </row>
    <row r="10" spans="1:7">
      <c r="A10" t="s">
        <v>12</v>
      </c>
      <c r="B10" s="4">
        <f>862+390+71+35</f>
        <v>1358</v>
      </c>
      <c r="C10" s="2">
        <v>798.25</v>
      </c>
      <c r="D10">
        <f t="shared" si="1"/>
        <v>1084023.5</v>
      </c>
      <c r="E10" s="3">
        <f t="shared" si="0"/>
        <v>2.8736329338934066E-2</v>
      </c>
    </row>
    <row r="11" spans="1:7">
      <c r="A11" t="s">
        <v>13</v>
      </c>
      <c r="B11" s="4">
        <f>635+317+317-1269</f>
        <v>0</v>
      </c>
      <c r="C11" s="2">
        <v>1072.95</v>
      </c>
      <c r="D11">
        <f t="shared" si="1"/>
        <v>0</v>
      </c>
      <c r="E11" s="3">
        <f t="shared" si="0"/>
        <v>0</v>
      </c>
      <c r="G11" t="s">
        <v>52</v>
      </c>
    </row>
    <row r="12" spans="1:7">
      <c r="A12" t="s">
        <v>14</v>
      </c>
      <c r="B12" s="4">
        <f>410+205</f>
        <v>615</v>
      </c>
      <c r="C12" s="2">
        <v>4224.55</v>
      </c>
      <c r="D12">
        <f t="shared" si="1"/>
        <v>2598098.25</v>
      </c>
      <c r="E12" s="3">
        <f t="shared" si="0"/>
        <v>6.8872867577970634E-2</v>
      </c>
    </row>
    <row r="13" spans="1:7">
      <c r="A13" t="s">
        <v>16</v>
      </c>
      <c r="B13" s="4">
        <f>1875+937+309+619</f>
        <v>3740</v>
      </c>
      <c r="C13" s="2">
        <v>804.15</v>
      </c>
      <c r="D13">
        <f t="shared" si="1"/>
        <v>3007521</v>
      </c>
      <c r="E13" s="3">
        <f t="shared" si="0"/>
        <v>7.9726236515869187E-2</v>
      </c>
    </row>
    <row r="14" spans="1:7">
      <c r="A14" t="s">
        <v>17</v>
      </c>
      <c r="B14" s="4">
        <f>480+154+159+192-246</f>
        <v>739</v>
      </c>
      <c r="C14" s="2">
        <v>3098.45</v>
      </c>
      <c r="D14">
        <f t="shared" si="1"/>
        <v>2289754.5499999998</v>
      </c>
      <c r="E14" s="3">
        <f t="shared" si="0"/>
        <v>6.0698998549498943E-2</v>
      </c>
    </row>
    <row r="15" spans="1:7">
      <c r="A15" t="s">
        <v>18</v>
      </c>
      <c r="B15" s="4">
        <f>10500+5250</f>
        <v>15750</v>
      </c>
      <c r="C15" s="2">
        <v>662.8</v>
      </c>
      <c r="D15">
        <f t="shared" si="1"/>
        <v>10439100</v>
      </c>
      <c r="E15" s="3">
        <f t="shared" si="0"/>
        <v>0.27672962403680973</v>
      </c>
    </row>
    <row r="16" spans="1:7">
      <c r="A16" t="s">
        <v>21</v>
      </c>
      <c r="B16" s="4">
        <f>458+115</f>
        <v>573</v>
      </c>
      <c r="C16" s="2">
        <v>2857.5</v>
      </c>
      <c r="D16">
        <f t="shared" si="1"/>
        <v>1637347.5</v>
      </c>
      <c r="E16" s="3">
        <f t="shared" si="0"/>
        <v>4.3404369925818351E-2</v>
      </c>
    </row>
    <row r="17" spans="1:7">
      <c r="A17" t="s">
        <v>22</v>
      </c>
      <c r="B17" s="4">
        <f>3075+1537+1153-53-1428</f>
        <v>4284</v>
      </c>
      <c r="C17" s="2">
        <v>734.15</v>
      </c>
      <c r="D17">
        <f t="shared" si="1"/>
        <v>3145098.6</v>
      </c>
      <c r="E17" s="3">
        <f t="shared" si="0"/>
        <v>8.3373274816478105E-2</v>
      </c>
    </row>
    <row r="18" spans="1:7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</f>
        <v>3591.1395999999986</v>
      </c>
      <c r="C18" s="2">
        <v>1000</v>
      </c>
      <c r="D18">
        <f t="shared" si="1"/>
        <v>3591139.5999999987</v>
      </c>
      <c r="E18" s="3">
        <f t="shared" si="0"/>
        <v>9.5197355267379269E-2</v>
      </c>
      <c r="G18" t="s">
        <v>53</v>
      </c>
    </row>
    <row r="19" spans="1:7">
      <c r="B19" s="4"/>
      <c r="E19" s="3"/>
    </row>
    <row r="20" spans="1:7">
      <c r="B20" s="4"/>
      <c r="D20">
        <f>SUM(D5:D18)</f>
        <v>37723102.600000001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9383-F5C9-466D-81D7-B3643CE75853}">
  <sheetPr>
    <pageSetUpPr fitToPage="1"/>
  </sheetPr>
  <dimension ref="A1:J20"/>
  <sheetViews>
    <sheetView workbookViewId="0">
      <selection activeCell="B18" sqref="B18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45142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360.95</v>
      </c>
      <c r="D5">
        <f>C5*B5</f>
        <v>2436412.5</v>
      </c>
      <c r="E5" s="3">
        <f t="shared" ref="E5:E18" si="0">D5/$D$20</f>
        <v>6.5364792545824849E-2</v>
      </c>
    </row>
    <row r="6" spans="1:7">
      <c r="A6" t="s">
        <v>7</v>
      </c>
      <c r="B6" s="4">
        <f>1098*4-147-849-1304</f>
        <v>2092</v>
      </c>
      <c r="C6" s="2">
        <v>589.45000000000005</v>
      </c>
      <c r="D6">
        <f>C6*B6</f>
        <v>1233129.4000000001</v>
      </c>
      <c r="E6" s="3">
        <f t="shared" si="0"/>
        <v>3.3082758938873226E-2</v>
      </c>
    </row>
    <row r="7" spans="1:7">
      <c r="A7" t="s">
        <v>8</v>
      </c>
      <c r="B7" s="4">
        <f>((840+420)*2+290+562)+3372</f>
        <v>6744</v>
      </c>
      <c r="C7" s="2">
        <v>246.3</v>
      </c>
      <c r="D7">
        <f t="shared" ref="D7:D18" si="1">C7*B7</f>
        <v>1661047.2000000002</v>
      </c>
      <c r="E7" s="3">
        <f t="shared" si="0"/>
        <v>4.4563063782025104E-2</v>
      </c>
    </row>
    <row r="8" spans="1:7">
      <c r="A8" t="s">
        <v>9</v>
      </c>
      <c r="B8" s="4">
        <f>130+126+33+57+173+130</f>
        <v>649</v>
      </c>
      <c r="C8" s="2">
        <v>3089</v>
      </c>
      <c r="D8">
        <f t="shared" si="1"/>
        <v>2004761</v>
      </c>
      <c r="E8" s="3">
        <f t="shared" si="0"/>
        <v>5.3784318898774469E-2</v>
      </c>
    </row>
    <row r="9" spans="1:7">
      <c r="A9" t="s">
        <v>10</v>
      </c>
      <c r="B9" s="4">
        <f>1280+1280+1280+910+1300+1300+2940+1300</f>
        <v>11590</v>
      </c>
      <c r="C9" s="2">
        <v>225.8</v>
      </c>
      <c r="D9">
        <f t="shared" si="1"/>
        <v>2617022</v>
      </c>
      <c r="E9" s="3">
        <f t="shared" si="0"/>
        <v>7.0210237436337086E-2</v>
      </c>
    </row>
    <row r="10" spans="1:7">
      <c r="A10" t="s">
        <v>12</v>
      </c>
      <c r="B10" s="4">
        <f>862+390+71+35</f>
        <v>1358</v>
      </c>
      <c r="C10" s="2">
        <v>758.75</v>
      </c>
      <c r="D10">
        <f t="shared" si="1"/>
        <v>1030382.5</v>
      </c>
      <c r="E10" s="3">
        <f t="shared" si="0"/>
        <v>2.7643405357404942E-2</v>
      </c>
    </row>
    <row r="11" spans="1:7">
      <c r="A11" t="s">
        <v>14</v>
      </c>
      <c r="B11" s="4">
        <f>410+205</f>
        <v>615</v>
      </c>
      <c r="C11" s="2">
        <v>4301.5</v>
      </c>
      <c r="D11">
        <f t="shared" si="1"/>
        <v>2645422.5</v>
      </c>
      <c r="E11" s="3">
        <f t="shared" si="0"/>
        <v>7.0972174419790299E-2</v>
      </c>
    </row>
    <row r="12" spans="1:7">
      <c r="A12" t="s">
        <v>16</v>
      </c>
      <c r="B12" s="4">
        <f>1875+937+309+619</f>
        <v>3740</v>
      </c>
      <c r="C12" s="2">
        <v>814.75</v>
      </c>
      <c r="D12">
        <f t="shared" si="1"/>
        <v>3047165</v>
      </c>
      <c r="E12" s="3">
        <f t="shared" si="0"/>
        <v>8.1750240600841753E-2</v>
      </c>
    </row>
    <row r="13" spans="1:7">
      <c r="A13" t="s">
        <v>17</v>
      </c>
      <c r="B13" s="4">
        <f>480+154+159+192-246</f>
        <v>739</v>
      </c>
      <c r="C13" s="2">
        <v>3056.4</v>
      </c>
      <c r="D13">
        <f t="shared" si="1"/>
        <v>2258679.6</v>
      </c>
      <c r="E13" s="3">
        <f t="shared" si="0"/>
        <v>6.0596521927828988E-2</v>
      </c>
    </row>
    <row r="14" spans="1:7">
      <c r="A14" t="s">
        <v>18</v>
      </c>
      <c r="B14" s="4">
        <f>10500+5250</f>
        <v>15750</v>
      </c>
      <c r="C14" s="2">
        <v>645.45000000000005</v>
      </c>
      <c r="D14">
        <f t="shared" si="1"/>
        <v>10165837.5</v>
      </c>
      <c r="E14" s="3">
        <f t="shared" si="0"/>
        <v>0.27273208425997925</v>
      </c>
    </row>
    <row r="15" spans="1:7">
      <c r="A15" t="s">
        <v>21</v>
      </c>
      <c r="B15" s="4">
        <f>458+115</f>
        <v>573</v>
      </c>
      <c r="C15" s="2">
        <v>2729.8</v>
      </c>
      <c r="D15">
        <f t="shared" si="1"/>
        <v>1564175.4000000001</v>
      </c>
      <c r="E15" s="3">
        <f t="shared" si="0"/>
        <v>4.1964158584099617E-2</v>
      </c>
    </row>
    <row r="16" spans="1:7">
      <c r="A16" t="s">
        <v>22</v>
      </c>
      <c r="B16" s="4">
        <f>3075+1537+1153-53-1428</f>
        <v>4284</v>
      </c>
      <c r="C16" s="2">
        <v>714.05</v>
      </c>
      <c r="D16">
        <f t="shared" si="1"/>
        <v>3058990.1999999997</v>
      </c>
      <c r="E16" s="3">
        <f t="shared" si="0"/>
        <v>8.2067490551255673E-2</v>
      </c>
    </row>
    <row r="17" spans="1:7">
      <c r="A17" t="s">
        <v>54</v>
      </c>
      <c r="B17" s="4">
        <v>7985</v>
      </c>
      <c r="C17" s="2">
        <v>280.10000000000002</v>
      </c>
      <c r="D17">
        <f t="shared" si="1"/>
        <v>2236598.5</v>
      </c>
      <c r="E17" s="3">
        <f t="shared" si="0"/>
        <v>6.0004123669864205E-2</v>
      </c>
      <c r="G17" t="s">
        <v>55</v>
      </c>
    </row>
    <row r="18" spans="1:7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</f>
        <v>1314.4565999999986</v>
      </c>
      <c r="C18" s="2">
        <v>1000</v>
      </c>
      <c r="D18">
        <f t="shared" si="1"/>
        <v>1314456.5999999987</v>
      </c>
      <c r="E18" s="3">
        <f t="shared" si="0"/>
        <v>3.5264629027100369E-2</v>
      </c>
      <c r="G18" t="s">
        <v>56</v>
      </c>
    </row>
    <row r="19" spans="1:7">
      <c r="B19" s="4"/>
      <c r="E19" s="3"/>
    </row>
    <row r="20" spans="1:7">
      <c r="B20" s="4"/>
      <c r="D20">
        <f>SUM(D5:D18)</f>
        <v>37274079.900000006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1123-04A4-4755-BEA5-9D016FD541D8}">
  <sheetPr>
    <pageSetUpPr fitToPage="1"/>
  </sheetPr>
  <dimension ref="A1:J21"/>
  <sheetViews>
    <sheetView workbookViewId="0">
      <selection activeCell="B10" sqref="B10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45145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357.45</v>
      </c>
      <c r="D5">
        <f>C5*B5</f>
        <v>2412787.5</v>
      </c>
      <c r="E5" s="3">
        <f t="shared" ref="E5:E19" si="0">D5/$D$21</f>
        <v>6.4771018070702971E-2</v>
      </c>
    </row>
    <row r="6" spans="1:7">
      <c r="A6" t="s">
        <v>7</v>
      </c>
      <c r="B6" s="4">
        <f>1098*4-147-849-1304-2092</f>
        <v>0</v>
      </c>
      <c r="C6" s="2">
        <v>575.4</v>
      </c>
      <c r="D6">
        <f>C6*B6</f>
        <v>0</v>
      </c>
      <c r="E6" s="3">
        <f t="shared" si="0"/>
        <v>0</v>
      </c>
      <c r="G6" t="s">
        <v>57</v>
      </c>
    </row>
    <row r="7" spans="1:7">
      <c r="A7" t="s">
        <v>8</v>
      </c>
      <c r="B7" s="4">
        <f>((840+420)*2+290+562)+3372</f>
        <v>6744</v>
      </c>
      <c r="C7" s="2">
        <v>252.8</v>
      </c>
      <c r="D7">
        <f t="shared" ref="D7:D19" si="1">C7*B7</f>
        <v>1704883.2000000002</v>
      </c>
      <c r="E7" s="3">
        <f t="shared" si="0"/>
        <v>4.5767404114799966E-2</v>
      </c>
    </row>
    <row r="8" spans="1:7">
      <c r="A8" t="s">
        <v>9</v>
      </c>
      <c r="B8" s="4">
        <f>130+126+33+57+173+130</f>
        <v>649</v>
      </c>
      <c r="C8" s="2">
        <v>3119</v>
      </c>
      <c r="D8">
        <f t="shared" si="1"/>
        <v>2024231</v>
      </c>
      <c r="E8" s="3">
        <f t="shared" si="0"/>
        <v>5.4340261079882567E-2</v>
      </c>
    </row>
    <row r="9" spans="1:7">
      <c r="A9" t="s">
        <v>10</v>
      </c>
      <c r="B9" s="4">
        <f>1280+1280+1280+910+1300+1300+2940+1300</f>
        <v>11590</v>
      </c>
      <c r="C9" s="2">
        <v>226.9</v>
      </c>
      <c r="D9">
        <f t="shared" si="1"/>
        <v>2629771</v>
      </c>
      <c r="E9" s="3">
        <f t="shared" si="0"/>
        <v>7.0595916533391617E-2</v>
      </c>
    </row>
    <row r="10" spans="1:7">
      <c r="A10" t="s">
        <v>12</v>
      </c>
      <c r="B10" s="4">
        <f>862+390+71+35-217</f>
        <v>1141</v>
      </c>
      <c r="C10" s="2">
        <v>762.55</v>
      </c>
      <c r="D10">
        <f t="shared" si="1"/>
        <v>870069.54999999993</v>
      </c>
      <c r="E10" s="3">
        <f t="shared" si="0"/>
        <v>2.3356922458284621E-2</v>
      </c>
      <c r="G10" t="s">
        <v>58</v>
      </c>
    </row>
    <row r="11" spans="1:7">
      <c r="A11" t="s">
        <v>14</v>
      </c>
      <c r="B11" s="4">
        <f>410+205</f>
        <v>615</v>
      </c>
      <c r="C11" s="2">
        <v>4339.8999999999996</v>
      </c>
      <c r="D11">
        <f t="shared" si="1"/>
        <v>2669038.5</v>
      </c>
      <c r="E11" s="3">
        <f t="shared" si="0"/>
        <v>7.1650048300939045E-2</v>
      </c>
    </row>
    <row r="12" spans="1:7">
      <c r="A12" t="s">
        <v>16</v>
      </c>
      <c r="B12" s="4">
        <f>1875+937+309+619</f>
        <v>3740</v>
      </c>
      <c r="C12" s="2">
        <v>824.55</v>
      </c>
      <c r="D12">
        <f t="shared" si="1"/>
        <v>3083817</v>
      </c>
      <c r="E12" s="3">
        <f t="shared" si="0"/>
        <v>8.278473203037609E-2</v>
      </c>
    </row>
    <row r="13" spans="1:7">
      <c r="A13" t="s">
        <v>17</v>
      </c>
      <c r="B13" s="4">
        <f>480+154+159+192-246</f>
        <v>739</v>
      </c>
      <c r="C13" s="2">
        <v>3102.45</v>
      </c>
      <c r="D13">
        <f t="shared" si="1"/>
        <v>2292710.5499999998</v>
      </c>
      <c r="E13" s="3">
        <f t="shared" si="0"/>
        <v>6.154756540513466E-2</v>
      </c>
    </row>
    <row r="14" spans="1:7">
      <c r="A14" t="s">
        <v>18</v>
      </c>
      <c r="B14" s="4">
        <f>10500+5250</f>
        <v>15750</v>
      </c>
      <c r="C14" s="2">
        <v>651.54999999999995</v>
      </c>
      <c r="D14">
        <f t="shared" si="1"/>
        <v>10261912.5</v>
      </c>
      <c r="E14" s="3">
        <f t="shared" si="0"/>
        <v>0.27547992518092568</v>
      </c>
    </row>
    <row r="15" spans="1:7">
      <c r="A15" t="s">
        <v>21</v>
      </c>
      <c r="B15" s="4">
        <f>458+115</f>
        <v>573</v>
      </c>
      <c r="C15" s="2">
        <v>2718.1</v>
      </c>
      <c r="D15">
        <f t="shared" si="1"/>
        <v>1557471.3</v>
      </c>
      <c r="E15" s="3">
        <f t="shared" si="0"/>
        <v>4.1810147688887342E-2</v>
      </c>
    </row>
    <row r="16" spans="1:7">
      <c r="A16" t="s">
        <v>22</v>
      </c>
      <c r="B16" s="4">
        <f>3075+1537+1153-53-1428</f>
        <v>4284</v>
      </c>
      <c r="C16" s="2">
        <v>719.1</v>
      </c>
      <c r="D16">
        <f t="shared" si="1"/>
        <v>3080624.4</v>
      </c>
      <c r="E16" s="3">
        <f t="shared" si="0"/>
        <v>8.2699027030539787E-2</v>
      </c>
    </row>
    <row r="17" spans="1:7">
      <c r="A17" t="s">
        <v>54</v>
      </c>
      <c r="B17" s="4">
        <v>7985</v>
      </c>
      <c r="C17" s="2">
        <v>287.7</v>
      </c>
      <c r="D17">
        <f t="shared" si="1"/>
        <v>2297284.5</v>
      </c>
      <c r="E17" s="3">
        <f t="shared" si="0"/>
        <v>6.1670352595512803E-2</v>
      </c>
    </row>
    <row r="18" spans="1:7">
      <c r="A18" t="s">
        <v>59</v>
      </c>
      <c r="B18" s="4">
        <v>2592</v>
      </c>
      <c r="C18" s="2">
        <v>613.5</v>
      </c>
      <c r="D18">
        <f t="shared" si="1"/>
        <v>1590192</v>
      </c>
      <c r="E18" s="3">
        <f t="shared" si="0"/>
        <v>4.2688531322334564E-2</v>
      </c>
      <c r="G18" t="s">
        <v>60</v>
      </c>
    </row>
    <row r="19" spans="1:7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</f>
        <v>776.24259999999856</v>
      </c>
      <c r="C19" s="2">
        <v>1000</v>
      </c>
      <c r="D19">
        <f t="shared" si="1"/>
        <v>776242.59999999858</v>
      </c>
      <c r="E19" s="3">
        <f t="shared" si="0"/>
        <v>2.0838148188288181E-2</v>
      </c>
      <c r="G19" t="s">
        <v>61</v>
      </c>
    </row>
    <row r="20" spans="1:7">
      <c r="B20" s="4"/>
      <c r="E20" s="3"/>
    </row>
    <row r="21" spans="1:7">
      <c r="B21" s="4"/>
      <c r="D21">
        <f>SUM(D5:D19)</f>
        <v>37251035.600000001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2715-E4CB-40BB-9CE1-74609DCB3320}">
  <sheetPr>
    <pageSetUpPr fitToPage="1"/>
  </sheetPr>
  <dimension ref="A1:J20"/>
  <sheetViews>
    <sheetView workbookViewId="0">
      <selection activeCell="C19" sqref="C19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45149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380.8</v>
      </c>
      <c r="D5">
        <f>C5*B5</f>
        <v>2570400</v>
      </c>
      <c r="E5" s="3">
        <f t="shared" ref="E5:E18" si="0">D5/$D$20</f>
        <v>6.7493665556425095E-2</v>
      </c>
    </row>
    <row r="6" spans="1:7">
      <c r="A6" t="s">
        <v>8</v>
      </c>
      <c r="B6" s="4">
        <f>((840+420)*2+290+562)+3372</f>
        <v>6744</v>
      </c>
      <c r="C6" s="2">
        <v>249.75</v>
      </c>
      <c r="D6">
        <f t="shared" ref="D6:D18" si="1">C6*B6</f>
        <v>1684314</v>
      </c>
      <c r="E6" s="3">
        <f t="shared" si="0"/>
        <v>4.4226784083412921E-2</v>
      </c>
    </row>
    <row r="7" spans="1:7">
      <c r="A7" t="s">
        <v>9</v>
      </c>
      <c r="B7" s="4">
        <f>130+126+33+57+173+130</f>
        <v>649</v>
      </c>
      <c r="C7" s="2">
        <v>3155.45</v>
      </c>
      <c r="D7">
        <f t="shared" si="1"/>
        <v>2047887.0499999998</v>
      </c>
      <c r="E7" s="3">
        <f t="shared" si="0"/>
        <v>5.3773499708229838E-2</v>
      </c>
    </row>
    <row r="8" spans="1:7">
      <c r="A8" t="s">
        <v>10</v>
      </c>
      <c r="B8" s="4">
        <f>1280+1280+1280+910+1300+1300+2940+1300</f>
        <v>11590</v>
      </c>
      <c r="C8" s="2">
        <v>246.95</v>
      </c>
      <c r="D8">
        <f t="shared" si="1"/>
        <v>2862150.5</v>
      </c>
      <c r="E8" s="3">
        <f t="shared" si="0"/>
        <v>7.515446180328153E-2</v>
      </c>
    </row>
    <row r="9" spans="1:7">
      <c r="A9" t="s">
        <v>12</v>
      </c>
      <c r="B9" s="4">
        <f>862+390+71+35-217</f>
        <v>1141</v>
      </c>
      <c r="C9" s="2">
        <v>819.4</v>
      </c>
      <c r="D9">
        <f t="shared" si="1"/>
        <v>934935.4</v>
      </c>
      <c r="E9" s="3">
        <f t="shared" si="0"/>
        <v>2.4549570963454139E-2</v>
      </c>
    </row>
    <row r="10" spans="1:7">
      <c r="A10" t="s">
        <v>14</v>
      </c>
      <c r="B10" s="4">
        <f>410+205</f>
        <v>615</v>
      </c>
      <c r="C10" s="2">
        <v>4056.45</v>
      </c>
      <c r="D10">
        <f t="shared" si="1"/>
        <v>2494716.75</v>
      </c>
      <c r="E10" s="3">
        <f t="shared" si="0"/>
        <v>6.5506371764126881E-2</v>
      </c>
    </row>
    <row r="11" spans="1:7">
      <c r="A11" t="s">
        <v>16</v>
      </c>
      <c r="B11" s="4">
        <f>1875+937+309+619</f>
        <v>3740</v>
      </c>
      <c r="C11" s="2">
        <v>824.75</v>
      </c>
      <c r="D11">
        <f t="shared" si="1"/>
        <v>3084565</v>
      </c>
      <c r="E11" s="3">
        <f t="shared" si="0"/>
        <v>8.0994630601094908E-2</v>
      </c>
    </row>
    <row r="12" spans="1:7">
      <c r="A12" t="s">
        <v>17</v>
      </c>
      <c r="B12" s="4">
        <f>480+154+159+192-246</f>
        <v>739</v>
      </c>
      <c r="C12" s="2">
        <v>2946.55</v>
      </c>
      <c r="D12">
        <f t="shared" si="1"/>
        <v>2177500.4500000002</v>
      </c>
      <c r="E12" s="3">
        <f t="shared" si="0"/>
        <v>5.717689352679161E-2</v>
      </c>
    </row>
    <row r="13" spans="1:7">
      <c r="A13" t="s">
        <v>18</v>
      </c>
      <c r="B13" s="4">
        <f>10500+5250</f>
        <v>15750</v>
      </c>
      <c r="C13" s="2">
        <v>663.4</v>
      </c>
      <c r="D13">
        <f t="shared" si="1"/>
        <v>10448550</v>
      </c>
      <c r="E13" s="3">
        <f t="shared" si="0"/>
        <v>0.27435844197385051</v>
      </c>
    </row>
    <row r="14" spans="1:7">
      <c r="A14" t="s">
        <v>21</v>
      </c>
      <c r="B14" s="4">
        <f>458+115+189</f>
        <v>762</v>
      </c>
      <c r="C14" s="2">
        <v>2895.4</v>
      </c>
      <c r="D14">
        <f t="shared" si="1"/>
        <v>2206294.8000000003</v>
      </c>
      <c r="E14" s="3">
        <f t="shared" si="0"/>
        <v>5.7932976715717323E-2</v>
      </c>
      <c r="G14" t="s">
        <v>62</v>
      </c>
    </row>
    <row r="15" spans="1:7">
      <c r="A15" t="s">
        <v>22</v>
      </c>
      <c r="B15" s="4">
        <f>3075+1537+1153-53-1428</f>
        <v>4284</v>
      </c>
      <c r="C15" s="2">
        <v>682.15</v>
      </c>
      <c r="D15">
        <f t="shared" si="1"/>
        <v>2922330.6</v>
      </c>
      <c r="E15" s="3">
        <f t="shared" si="0"/>
        <v>7.6734673265525633E-2</v>
      </c>
    </row>
    <row r="16" spans="1:7">
      <c r="A16" t="s">
        <v>54</v>
      </c>
      <c r="B16" s="4">
        <v>7985</v>
      </c>
      <c r="C16" s="2">
        <v>286.14999999999998</v>
      </c>
      <c r="D16">
        <f t="shared" si="1"/>
        <v>2284907.75</v>
      </c>
      <c r="E16" s="3">
        <f t="shared" si="0"/>
        <v>5.9997198687279707E-2</v>
      </c>
    </row>
    <row r="17" spans="1:7">
      <c r="A17" t="s">
        <v>59</v>
      </c>
      <c r="B17" s="4">
        <v>2592</v>
      </c>
      <c r="C17" s="2">
        <v>824.75</v>
      </c>
      <c r="D17">
        <f t="shared" si="1"/>
        <v>2137752</v>
      </c>
      <c r="E17" s="3">
        <f t="shared" si="0"/>
        <v>5.613317714386043E-2</v>
      </c>
    </row>
    <row r="18" spans="1:7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</f>
        <v>227.2695999999986</v>
      </c>
      <c r="C18" s="2">
        <v>1000</v>
      </c>
      <c r="D18">
        <f t="shared" si="1"/>
        <v>227269.59999999861</v>
      </c>
      <c r="E18" s="3">
        <f t="shared" si="0"/>
        <v>5.9676542069492739E-3</v>
      </c>
      <c r="G18" t="s">
        <v>63</v>
      </c>
    </row>
    <row r="19" spans="1:7">
      <c r="B19" s="4"/>
      <c r="E19" s="3"/>
    </row>
    <row r="20" spans="1:7">
      <c r="B20" s="4"/>
      <c r="D20">
        <f>SUM(D5:D18)</f>
        <v>38083573.900000006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AE76-4690-4DAB-AAC9-38872C4E7DFA}">
  <sheetPr>
    <pageSetUpPr fitToPage="1"/>
  </sheetPr>
  <dimension ref="A1:J20"/>
  <sheetViews>
    <sheetView workbookViewId="0">
      <selection activeCell="B2" sqref="B2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45155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358.7</v>
      </c>
      <c r="D5">
        <f>C5*B5</f>
        <v>2421225</v>
      </c>
      <c r="E5" s="3">
        <f t="shared" ref="E5:E18" si="0">D5/$D$20</f>
        <v>6.5031698059428725E-2</v>
      </c>
    </row>
    <row r="6" spans="1:7">
      <c r="A6" t="s">
        <v>8</v>
      </c>
      <c r="B6" s="4">
        <f>((840+420)*2+290+562)+3372</f>
        <v>6744</v>
      </c>
      <c r="C6" s="2">
        <v>252.6</v>
      </c>
      <c r="D6">
        <f t="shared" ref="D6:D18" si="1">C6*B6</f>
        <v>1703534.4</v>
      </c>
      <c r="E6" s="3">
        <f t="shared" si="0"/>
        <v>4.5755241555266474E-2</v>
      </c>
    </row>
    <row r="7" spans="1:7">
      <c r="A7" t="s">
        <v>9</v>
      </c>
      <c r="B7" s="4">
        <f>130+126+33+57+173+130</f>
        <v>649</v>
      </c>
      <c r="C7" s="2">
        <v>3042.5</v>
      </c>
      <c r="D7">
        <f t="shared" si="1"/>
        <v>1974582.5</v>
      </c>
      <c r="E7" s="3">
        <f t="shared" si="0"/>
        <v>5.3035324240180863E-2</v>
      </c>
    </row>
    <row r="8" spans="1:7">
      <c r="A8" t="s">
        <v>10</v>
      </c>
      <c r="B8" s="4">
        <f>1280+1280+1280+910+1300+1300+2940+1300</f>
        <v>11590</v>
      </c>
      <c r="C8" s="2">
        <v>200.2</v>
      </c>
      <c r="D8">
        <f t="shared" si="1"/>
        <v>2320318</v>
      </c>
      <c r="E8" s="3">
        <f t="shared" si="0"/>
        <v>6.2321436288596696E-2</v>
      </c>
    </row>
    <row r="9" spans="1:7">
      <c r="A9" t="s">
        <v>12</v>
      </c>
      <c r="B9" s="4">
        <f>862+390+71+35-217</f>
        <v>1141</v>
      </c>
      <c r="C9" s="2">
        <v>839.3</v>
      </c>
      <c r="D9">
        <f t="shared" si="1"/>
        <v>957641.29999999993</v>
      </c>
      <c r="E9" s="3">
        <f t="shared" si="0"/>
        <v>2.5721293919746736E-2</v>
      </c>
    </row>
    <row r="10" spans="1:7">
      <c r="A10" t="s">
        <v>14</v>
      </c>
      <c r="B10" s="4">
        <f>410+205</f>
        <v>615</v>
      </c>
      <c r="C10" s="2">
        <v>4002.35</v>
      </c>
      <c r="D10">
        <f t="shared" si="1"/>
        <v>2461445.25</v>
      </c>
      <c r="E10" s="3">
        <f t="shared" si="0"/>
        <v>6.6111974016382219E-2</v>
      </c>
    </row>
    <row r="11" spans="1:7">
      <c r="A11" t="s">
        <v>16</v>
      </c>
      <c r="B11" s="4">
        <f>1875+937+309+619</f>
        <v>3740</v>
      </c>
      <c r="C11" s="2">
        <v>781.9</v>
      </c>
      <c r="D11">
        <f t="shared" si="1"/>
        <v>2924306</v>
      </c>
      <c r="E11" s="3">
        <f t="shared" si="0"/>
        <v>7.8543953918109949E-2</v>
      </c>
    </row>
    <row r="12" spans="1:7">
      <c r="A12" t="s">
        <v>17</v>
      </c>
      <c r="B12" s="4">
        <f>480+154+159+192-246</f>
        <v>739</v>
      </c>
      <c r="C12" s="2">
        <v>2792.35</v>
      </c>
      <c r="D12">
        <f t="shared" si="1"/>
        <v>2063546.65</v>
      </c>
      <c r="E12" s="3">
        <f t="shared" si="0"/>
        <v>5.5424812925005167E-2</v>
      </c>
    </row>
    <row r="13" spans="1:7">
      <c r="A13" t="s">
        <v>18</v>
      </c>
      <c r="B13" s="4">
        <f>10500+5250</f>
        <v>15750</v>
      </c>
      <c r="C13" s="2">
        <v>672.65</v>
      </c>
      <c r="D13">
        <f t="shared" si="1"/>
        <v>10594237.5</v>
      </c>
      <c r="E13" s="3">
        <f t="shared" si="0"/>
        <v>0.28455069407835992</v>
      </c>
    </row>
    <row r="14" spans="1:7">
      <c r="A14" t="s">
        <v>21</v>
      </c>
      <c r="B14" s="4">
        <f>458+115+189</f>
        <v>762</v>
      </c>
      <c r="C14" s="2">
        <v>2798.2</v>
      </c>
      <c r="D14">
        <f t="shared" si="1"/>
        <v>2132228.4</v>
      </c>
      <c r="E14" s="3">
        <f t="shared" si="0"/>
        <v>5.7269536496004629E-2</v>
      </c>
    </row>
    <row r="15" spans="1:7">
      <c r="A15" t="s">
        <v>22</v>
      </c>
      <c r="B15" s="4">
        <f>3075+1537+1153-53-1428-925</f>
        <v>3359</v>
      </c>
      <c r="C15" s="2">
        <v>689.35</v>
      </c>
      <c r="D15">
        <f t="shared" si="1"/>
        <v>2315526.65</v>
      </c>
      <c r="E15" s="3">
        <f t="shared" si="0"/>
        <v>6.2192745387710968E-2</v>
      </c>
      <c r="G15" t="s">
        <v>64</v>
      </c>
    </row>
    <row r="16" spans="1:7">
      <c r="A16" t="s">
        <v>54</v>
      </c>
      <c r="B16" s="4">
        <v>7985</v>
      </c>
      <c r="C16" s="2">
        <v>282.14999999999998</v>
      </c>
      <c r="D16">
        <f t="shared" si="1"/>
        <v>2252967.75</v>
      </c>
      <c r="E16" s="3">
        <f t="shared" si="0"/>
        <v>6.0512475484777541E-2</v>
      </c>
    </row>
    <row r="17" spans="1:7">
      <c r="A17" t="s">
        <v>59</v>
      </c>
      <c r="B17" s="4">
        <v>2592</v>
      </c>
      <c r="C17" s="2">
        <v>868</v>
      </c>
      <c r="D17">
        <f t="shared" si="1"/>
        <v>2249856</v>
      </c>
      <c r="E17" s="3">
        <f t="shared" si="0"/>
        <v>6.0428896971241444E-2</v>
      </c>
    </row>
    <row r="18" spans="1:7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</f>
        <v>860.04359999999861</v>
      </c>
      <c r="C18" s="2">
        <v>1000</v>
      </c>
      <c r="D18">
        <f t="shared" si="1"/>
        <v>860043.59999999858</v>
      </c>
      <c r="E18" s="3">
        <f t="shared" si="0"/>
        <v>2.3099916659188632E-2</v>
      </c>
      <c r="G18" t="s">
        <v>65</v>
      </c>
    </row>
    <row r="19" spans="1:7">
      <c r="B19" s="4"/>
      <c r="E19" s="3"/>
    </row>
    <row r="20" spans="1:7">
      <c r="B20" s="4"/>
      <c r="D20">
        <f>SUM(D5:D18)</f>
        <v>37231459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9D83-0CF6-4FB0-979C-1AD208ABE417}">
  <sheetPr>
    <pageSetUpPr fitToPage="1"/>
  </sheetPr>
  <dimension ref="A1:J20"/>
  <sheetViews>
    <sheetView workbookViewId="0">
      <selection activeCell="C2" sqref="C2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45174</v>
      </c>
      <c r="C1" s="2" t="s">
        <v>66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385.55</v>
      </c>
      <c r="D5">
        <f>C5*B5</f>
        <v>2602462.5</v>
      </c>
      <c r="E5" s="3">
        <f t="shared" ref="E5:E18" si="0">D5/$D$20</f>
        <v>6.4294412817780491E-2</v>
      </c>
    </row>
    <row r="6" spans="1:7">
      <c r="A6" t="s">
        <v>8</v>
      </c>
      <c r="B6" s="4">
        <f>((840+420)*2+290+562)+3372</f>
        <v>6744</v>
      </c>
      <c r="C6" s="2">
        <v>254.05</v>
      </c>
      <c r="D6">
        <f t="shared" ref="D6:D18" si="1">C6*B6</f>
        <v>1713313.2000000002</v>
      </c>
      <c r="E6" s="3">
        <f t="shared" si="0"/>
        <v>4.2327782308852681E-2</v>
      </c>
    </row>
    <row r="7" spans="1:7">
      <c r="A7" t="s">
        <v>9</v>
      </c>
      <c r="B7" s="4">
        <f>130+126+33+57+173+130</f>
        <v>649</v>
      </c>
      <c r="C7" s="2">
        <v>2997.85</v>
      </c>
      <c r="D7">
        <f t="shared" si="1"/>
        <v>1945604.65</v>
      </c>
      <c r="E7" s="3">
        <f t="shared" si="0"/>
        <v>4.8066594061314354E-2</v>
      </c>
    </row>
    <row r="8" spans="1:7">
      <c r="A8" t="s">
        <v>10</v>
      </c>
      <c r="B8" s="4">
        <f>1280+1280+1280+910+1300+1300+2940+1300</f>
        <v>11590</v>
      </c>
      <c r="C8" s="2">
        <v>166.05</v>
      </c>
      <c r="D8">
        <f t="shared" si="1"/>
        <v>1924519.5000000002</v>
      </c>
      <c r="E8" s="3">
        <f t="shared" si="0"/>
        <v>4.7545680757693339E-2</v>
      </c>
    </row>
    <row r="9" spans="1:7">
      <c r="A9" t="s">
        <v>12</v>
      </c>
      <c r="B9" s="4">
        <f>862+390+71+35-217-171</f>
        <v>970</v>
      </c>
      <c r="C9" s="2">
        <v>873.55</v>
      </c>
      <c r="D9">
        <f t="shared" si="1"/>
        <v>847343.5</v>
      </c>
      <c r="E9" s="3">
        <f t="shared" si="0"/>
        <v>2.0933808954965914E-2</v>
      </c>
      <c r="G9" t="s">
        <v>67</v>
      </c>
    </row>
    <row r="10" spans="1:7">
      <c r="A10" t="s">
        <v>14</v>
      </c>
      <c r="B10" s="4">
        <f>410+205</f>
        <v>615</v>
      </c>
      <c r="C10" s="2">
        <v>4116.25</v>
      </c>
      <c r="D10">
        <f t="shared" si="1"/>
        <v>2531493.75</v>
      </c>
      <c r="E10" s="3">
        <f t="shared" si="0"/>
        <v>6.2541114121003161E-2</v>
      </c>
    </row>
    <row r="11" spans="1:7">
      <c r="A11" t="s">
        <v>16</v>
      </c>
      <c r="B11" s="4">
        <f>1875+937+309+619</f>
        <v>3740</v>
      </c>
      <c r="C11" s="2">
        <v>1048.6500000000001</v>
      </c>
      <c r="D11">
        <f t="shared" si="1"/>
        <v>3921951.0000000005</v>
      </c>
      <c r="E11" s="3">
        <f t="shared" si="0"/>
        <v>9.6892668634075238E-2</v>
      </c>
    </row>
    <row r="12" spans="1:7">
      <c r="A12" t="s">
        <v>17</v>
      </c>
      <c r="B12" s="4">
        <f>480+154+159+192-246</f>
        <v>739</v>
      </c>
      <c r="C12" s="2">
        <v>3170.1</v>
      </c>
      <c r="D12">
        <f t="shared" si="1"/>
        <v>2342703.9</v>
      </c>
      <c r="E12" s="3">
        <f t="shared" si="0"/>
        <v>5.7877019037324964E-2</v>
      </c>
    </row>
    <row r="13" spans="1:7">
      <c r="A13" t="s">
        <v>18</v>
      </c>
      <c r="B13" s="4">
        <f>10500+5250</f>
        <v>15750</v>
      </c>
      <c r="C13" s="2">
        <v>823.3</v>
      </c>
      <c r="D13">
        <f t="shared" si="1"/>
        <v>12966975</v>
      </c>
      <c r="E13" s="3">
        <f t="shared" si="0"/>
        <v>0.32035199110374851</v>
      </c>
    </row>
    <row r="14" spans="1:7">
      <c r="A14" t="s">
        <v>21</v>
      </c>
      <c r="B14" s="4">
        <f>458+115+189</f>
        <v>762</v>
      </c>
      <c r="C14" s="2">
        <v>2667.5</v>
      </c>
      <c r="D14">
        <f t="shared" si="1"/>
        <v>2032635</v>
      </c>
      <c r="E14" s="3">
        <f t="shared" si="0"/>
        <v>5.0216698145648303E-2</v>
      </c>
    </row>
    <row r="15" spans="1:7">
      <c r="A15" t="s">
        <v>22</v>
      </c>
      <c r="B15" s="4">
        <f>3075+1537+1153-53-1428-925</f>
        <v>3359</v>
      </c>
      <c r="C15" s="2">
        <v>679.1</v>
      </c>
      <c r="D15">
        <f t="shared" si="1"/>
        <v>2281096.9</v>
      </c>
      <c r="E15" s="3">
        <f t="shared" si="0"/>
        <v>5.6355004449039833E-2</v>
      </c>
    </row>
    <row r="16" spans="1:7">
      <c r="A16" t="s">
        <v>54</v>
      </c>
      <c r="B16" s="4">
        <v>7985</v>
      </c>
      <c r="C16" s="2">
        <v>274.3</v>
      </c>
      <c r="D16">
        <f t="shared" si="1"/>
        <v>2190285.5</v>
      </c>
      <c r="E16" s="3">
        <f t="shared" si="0"/>
        <v>5.4111488686503166E-2</v>
      </c>
    </row>
    <row r="17" spans="1:7">
      <c r="A17" t="s">
        <v>59</v>
      </c>
      <c r="B17" s="4">
        <v>2592</v>
      </c>
      <c r="C17" s="2">
        <v>835.5</v>
      </c>
      <c r="D17">
        <f t="shared" si="1"/>
        <v>2165616</v>
      </c>
      <c r="E17" s="3">
        <f t="shared" si="0"/>
        <v>5.3502023221771881E-2</v>
      </c>
    </row>
    <row r="18" spans="1:7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</f>
        <v>1011.2725999999986</v>
      </c>
      <c r="C18" s="2">
        <v>1000</v>
      </c>
      <c r="D18">
        <f t="shared" si="1"/>
        <v>1011272.5999999987</v>
      </c>
      <c r="E18" s="3">
        <f t="shared" si="0"/>
        <v>2.4983713700278146E-2</v>
      </c>
      <c r="G18" t="s">
        <v>68</v>
      </c>
    </row>
    <row r="19" spans="1:7">
      <c r="B19" s="4"/>
      <c r="E19" s="3"/>
    </row>
    <row r="20" spans="1:7">
      <c r="B20" s="4"/>
      <c r="D20">
        <f>SUM(D5:D18)</f>
        <v>40477273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88B4-F5FF-4074-B44A-16D4F8874019}">
  <sheetPr>
    <pageSetUpPr fitToPage="1"/>
  </sheetPr>
  <dimension ref="A1:J20"/>
  <sheetViews>
    <sheetView workbookViewId="0">
      <selection activeCell="E20" sqref="E20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45181</v>
      </c>
      <c r="C1" s="2" t="s">
        <v>69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399.55</v>
      </c>
      <c r="D5">
        <f>C5*B5</f>
        <v>2696962.5</v>
      </c>
      <c r="E5" s="3">
        <f t="shared" ref="E5:E18" si="0">D5/$D$20</f>
        <v>6.8773867335744462E-2</v>
      </c>
    </row>
    <row r="6" spans="1:7">
      <c r="A6" t="s">
        <v>8</v>
      </c>
      <c r="B6" s="4">
        <f>((840+420)*2+290+562)+3372</f>
        <v>6744</v>
      </c>
      <c r="C6" s="2">
        <v>235.35</v>
      </c>
      <c r="D6">
        <f t="shared" ref="D6:D18" si="1">C6*B6</f>
        <v>1587200.4</v>
      </c>
      <c r="E6" s="3">
        <f t="shared" si="0"/>
        <v>4.0474389148844499E-2</v>
      </c>
    </row>
    <row r="7" spans="1:7">
      <c r="A7" t="s">
        <v>9</v>
      </c>
      <c r="B7" s="4">
        <f>130+126+33+57+173+130</f>
        <v>649</v>
      </c>
      <c r="C7" s="2">
        <v>3034.7</v>
      </c>
      <c r="D7">
        <f t="shared" si="1"/>
        <v>1969520.2999999998</v>
      </c>
      <c r="E7" s="3">
        <f t="shared" si="0"/>
        <v>5.0223734229621515E-2</v>
      </c>
    </row>
    <row r="8" spans="1:7">
      <c r="A8" t="s">
        <v>10</v>
      </c>
      <c r="B8" s="4">
        <f>1280+1280+1280+910+1300+1300+2940+1300</f>
        <v>11590</v>
      </c>
      <c r="C8" s="2">
        <v>161.65</v>
      </c>
      <c r="D8">
        <f t="shared" si="1"/>
        <v>1873523.5</v>
      </c>
      <c r="E8" s="3">
        <f t="shared" si="0"/>
        <v>4.777576871736245E-2</v>
      </c>
    </row>
    <row r="9" spans="1:7">
      <c r="A9" t="s">
        <v>12</v>
      </c>
      <c r="B9" s="4">
        <f>862+390+71+35-217-171</f>
        <v>970</v>
      </c>
      <c r="C9" s="2">
        <v>890.8</v>
      </c>
      <c r="D9">
        <f t="shared" si="1"/>
        <v>864076</v>
      </c>
      <c r="E9" s="3">
        <f t="shared" si="0"/>
        <v>2.20343620617642E-2</v>
      </c>
    </row>
    <row r="10" spans="1:7">
      <c r="A10" t="s">
        <v>14</v>
      </c>
      <c r="B10" s="4">
        <f>410+205</f>
        <v>615</v>
      </c>
      <c r="C10" s="2">
        <v>4292.6499999999996</v>
      </c>
      <c r="D10">
        <f t="shared" si="1"/>
        <v>2639979.75</v>
      </c>
      <c r="E10" s="3">
        <f t="shared" si="0"/>
        <v>6.7320779245373941E-2</v>
      </c>
    </row>
    <row r="11" spans="1:7">
      <c r="A11" t="s">
        <v>16</v>
      </c>
      <c r="B11" s="4">
        <f>1875+937+309+619</f>
        <v>3740</v>
      </c>
      <c r="C11" s="2">
        <v>1026.5</v>
      </c>
      <c r="D11">
        <f t="shared" si="1"/>
        <v>3839110</v>
      </c>
      <c r="E11" s="3">
        <f t="shared" si="0"/>
        <v>9.7899189116396654E-2</v>
      </c>
    </row>
    <row r="12" spans="1:7">
      <c r="A12" t="s">
        <v>17</v>
      </c>
      <c r="B12" s="4">
        <f>480+154+159+192-246</f>
        <v>739</v>
      </c>
      <c r="C12" s="2">
        <v>3264.8</v>
      </c>
      <c r="D12">
        <f t="shared" si="1"/>
        <v>2412687.2000000002</v>
      </c>
      <c r="E12" s="3">
        <f t="shared" si="0"/>
        <v>6.1524707672223386E-2</v>
      </c>
    </row>
    <row r="13" spans="1:7">
      <c r="A13" t="s">
        <v>18</v>
      </c>
      <c r="B13" s="4">
        <f>10500+5250</f>
        <v>15750</v>
      </c>
      <c r="C13" s="2">
        <v>754.6</v>
      </c>
      <c r="D13">
        <f t="shared" si="1"/>
        <v>11884950</v>
      </c>
      <c r="E13" s="3">
        <f t="shared" si="0"/>
        <v>0.30307205776571089</v>
      </c>
    </row>
    <row r="14" spans="1:7">
      <c r="A14" t="s">
        <v>21</v>
      </c>
      <c r="B14" s="4">
        <f>458+115+189</f>
        <v>762</v>
      </c>
      <c r="C14" s="2">
        <v>2537.15</v>
      </c>
      <c r="D14">
        <f t="shared" si="1"/>
        <v>1933308.3</v>
      </c>
      <c r="E14" s="3">
        <f t="shared" si="0"/>
        <v>4.9300310457892405E-2</v>
      </c>
    </row>
    <row r="15" spans="1:7">
      <c r="A15" t="s">
        <v>22</v>
      </c>
      <c r="B15" s="4">
        <f>3075+1537+1153-53-1428-925-484</f>
        <v>2875</v>
      </c>
      <c r="C15" s="2">
        <v>725.75</v>
      </c>
      <c r="D15">
        <f t="shared" si="1"/>
        <v>2086531.25</v>
      </c>
      <c r="E15" s="3">
        <f t="shared" si="0"/>
        <v>5.3207570879975172E-2</v>
      </c>
      <c r="G15" t="s">
        <v>70</v>
      </c>
    </row>
    <row r="16" spans="1:7">
      <c r="A16" t="s">
        <v>54</v>
      </c>
      <c r="B16" s="4">
        <v>7985</v>
      </c>
      <c r="C16" s="2">
        <v>264.05</v>
      </c>
      <c r="D16">
        <f t="shared" si="1"/>
        <v>2108439.25</v>
      </c>
      <c r="E16" s="3">
        <f t="shared" si="0"/>
        <v>5.3766235631743688E-2</v>
      </c>
    </row>
    <row r="17" spans="1:7">
      <c r="A17" t="s">
        <v>59</v>
      </c>
      <c r="B17" s="4">
        <f>2592+518</f>
        <v>3110</v>
      </c>
      <c r="C17" s="2">
        <v>761.75</v>
      </c>
      <c r="D17">
        <f t="shared" si="1"/>
        <v>2369042.5</v>
      </c>
      <c r="E17" s="3">
        <f t="shared" si="0"/>
        <v>6.0411746402755095E-2</v>
      </c>
      <c r="G17" t="s">
        <v>71</v>
      </c>
    </row>
    <row r="18" spans="1:7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</f>
        <v>949.60059999999862</v>
      </c>
      <c r="C18" s="2">
        <v>1000</v>
      </c>
      <c r="D18">
        <f t="shared" si="1"/>
        <v>949600.59999999858</v>
      </c>
      <c r="E18" s="3">
        <f t="shared" si="0"/>
        <v>2.4215281334591506E-2</v>
      </c>
      <c r="G18" t="s">
        <v>72</v>
      </c>
    </row>
    <row r="19" spans="1:7">
      <c r="B19" s="4"/>
      <c r="E19" s="3"/>
    </row>
    <row r="20" spans="1:7">
      <c r="B20" s="4"/>
      <c r="D20">
        <f>SUM(D5:D18)</f>
        <v>39214931.550000004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8CB3-E569-4ABB-909B-2C83B6A1992A}">
  <sheetPr>
    <pageSetUpPr fitToPage="1"/>
  </sheetPr>
  <dimension ref="A1:J20"/>
  <sheetViews>
    <sheetView workbookViewId="0">
      <selection activeCell="G11" sqref="G11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45205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437.85</v>
      </c>
      <c r="D5">
        <f>C5*B5</f>
        <v>2955487.5</v>
      </c>
      <c r="E5" s="3">
        <f t="shared" ref="E5:E18" si="0">D5/$D$20</f>
        <v>7.5388858261955974E-2</v>
      </c>
    </row>
    <row r="6" spans="1:7">
      <c r="A6" t="s">
        <v>8</v>
      </c>
      <c r="B6" s="4">
        <f>((840+420)*2+290+562)+3372</f>
        <v>6744</v>
      </c>
      <c r="C6" s="2">
        <v>229.75</v>
      </c>
      <c r="D6">
        <f t="shared" ref="D6:D18" si="1">C6*B6</f>
        <v>1549434</v>
      </c>
      <c r="E6" s="3">
        <f t="shared" si="0"/>
        <v>3.9523110895327923E-2</v>
      </c>
    </row>
    <row r="7" spans="1:7">
      <c r="A7" t="s">
        <v>9</v>
      </c>
      <c r="B7" s="4">
        <f>130+126+33+57+173+130</f>
        <v>649</v>
      </c>
      <c r="C7" s="2">
        <v>2933.95</v>
      </c>
      <c r="D7">
        <f t="shared" si="1"/>
        <v>1904133.5499999998</v>
      </c>
      <c r="E7" s="3">
        <f t="shared" si="0"/>
        <v>4.8570820994094897E-2</v>
      </c>
    </row>
    <row r="8" spans="1:7">
      <c r="A8" t="s">
        <v>10</v>
      </c>
      <c r="B8" s="4">
        <f>1280+1280+1280+910+1300+1300+2940+1300</f>
        <v>11590</v>
      </c>
      <c r="C8" s="2">
        <v>163.35</v>
      </c>
      <c r="D8">
        <f t="shared" si="1"/>
        <v>1893226.5</v>
      </c>
      <c r="E8" s="3">
        <f t="shared" si="0"/>
        <v>4.8292602917887145E-2</v>
      </c>
    </row>
    <row r="9" spans="1:7">
      <c r="A9" t="s">
        <v>12</v>
      </c>
      <c r="B9" s="4">
        <f>862+390+71+35-217-171</f>
        <v>970</v>
      </c>
      <c r="C9" s="2">
        <v>910.85</v>
      </c>
      <c r="D9">
        <f t="shared" si="1"/>
        <v>883524.5</v>
      </c>
      <c r="E9" s="3">
        <f t="shared" si="0"/>
        <v>2.2537027580548222E-2</v>
      </c>
    </row>
    <row r="10" spans="1:7">
      <c r="A10" t="s">
        <v>14</v>
      </c>
      <c r="B10" s="4">
        <f>410+205</f>
        <v>615</v>
      </c>
      <c r="C10" s="2">
        <v>4109.8500000000004</v>
      </c>
      <c r="D10">
        <f t="shared" si="1"/>
        <v>2527557.75</v>
      </c>
      <c r="E10" s="3">
        <f t="shared" si="0"/>
        <v>6.4473185206724209E-2</v>
      </c>
    </row>
    <row r="11" spans="1:7">
      <c r="A11" t="s">
        <v>16</v>
      </c>
      <c r="B11" s="4">
        <f>(1875+937+309+619)*2</f>
        <v>7480</v>
      </c>
      <c r="C11" s="2">
        <f>965.75/2</f>
        <v>482.875</v>
      </c>
      <c r="D11">
        <f t="shared" si="1"/>
        <v>3611905</v>
      </c>
      <c r="E11" s="3">
        <f t="shared" si="0"/>
        <v>9.2132818731478328E-2</v>
      </c>
      <c r="G11" t="s">
        <v>73</v>
      </c>
    </row>
    <row r="12" spans="1:7">
      <c r="A12" t="s">
        <v>17</v>
      </c>
      <c r="B12" s="4">
        <f>480+154+159+192-246</f>
        <v>739</v>
      </c>
      <c r="C12" s="2">
        <v>3005.9</v>
      </c>
      <c r="D12">
        <f t="shared" si="1"/>
        <v>2221360.1</v>
      </c>
      <c r="E12" s="3">
        <f t="shared" si="0"/>
        <v>5.6662666219249563E-2</v>
      </c>
    </row>
    <row r="13" spans="1:7">
      <c r="A13" t="s">
        <v>18</v>
      </c>
      <c r="B13" s="4">
        <f>10500+5250</f>
        <v>15750</v>
      </c>
      <c r="C13" s="2">
        <v>780.45</v>
      </c>
      <c r="D13">
        <f t="shared" si="1"/>
        <v>12292087.5</v>
      </c>
      <c r="E13" s="3">
        <f t="shared" si="0"/>
        <v>0.31354774543321895</v>
      </c>
    </row>
    <row r="14" spans="1:7">
      <c r="A14" t="s">
        <v>21</v>
      </c>
      <c r="B14" s="4">
        <f>458+115+189</f>
        <v>762</v>
      </c>
      <c r="C14" s="2">
        <v>2502.35</v>
      </c>
      <c r="D14">
        <f t="shared" si="1"/>
        <v>1906790.7</v>
      </c>
      <c r="E14" s="3">
        <f t="shared" si="0"/>
        <v>4.8638599830828522E-2</v>
      </c>
    </row>
    <row r="15" spans="1:7">
      <c r="A15" t="s">
        <v>22</v>
      </c>
      <c r="B15" s="4">
        <f>3075+1537+1153-53-1428-925-484</f>
        <v>2875</v>
      </c>
      <c r="C15" s="2">
        <v>686.6</v>
      </c>
      <c r="D15">
        <f t="shared" si="1"/>
        <v>1973975</v>
      </c>
      <c r="E15" s="3">
        <f t="shared" si="0"/>
        <v>5.0352343390944652E-2</v>
      </c>
    </row>
    <row r="16" spans="1:7">
      <c r="A16" t="s">
        <v>54</v>
      </c>
      <c r="B16" s="4">
        <v>7985</v>
      </c>
      <c r="C16" s="2">
        <v>279.95</v>
      </c>
      <c r="D16">
        <f t="shared" si="1"/>
        <v>2235400.75</v>
      </c>
      <c r="E16" s="3">
        <f t="shared" si="0"/>
        <v>5.7020816464431016E-2</v>
      </c>
    </row>
    <row r="17" spans="1:5">
      <c r="A17" t="s">
        <v>59</v>
      </c>
      <c r="B17" s="4">
        <f>2592+518</f>
        <v>3110</v>
      </c>
      <c r="C17" s="2">
        <v>739.15</v>
      </c>
      <c r="D17">
        <f t="shared" si="1"/>
        <v>2298756.5</v>
      </c>
      <c r="E17" s="3">
        <f t="shared" si="0"/>
        <v>5.8636901004402824E-2</v>
      </c>
    </row>
    <row r="18" spans="1:5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</f>
        <v>949.60059999999862</v>
      </c>
      <c r="C18" s="2">
        <v>1000</v>
      </c>
      <c r="D18">
        <f t="shared" si="1"/>
        <v>949600.59999999858</v>
      </c>
      <c r="E18" s="3">
        <f t="shared" si="0"/>
        <v>2.4222503068907664E-2</v>
      </c>
    </row>
    <row r="19" spans="1:5">
      <c r="B19" s="4"/>
      <c r="E19" s="3"/>
    </row>
    <row r="20" spans="1:5">
      <c r="B20" s="4"/>
      <c r="D20">
        <f>SUM(D5:D18)</f>
        <v>39203239.950000003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64E7-ED6C-4657-9388-DF3586CFA6FB}">
  <sheetPr>
    <pageSetUpPr fitToPage="1"/>
  </sheetPr>
  <dimension ref="A1:J20"/>
  <sheetViews>
    <sheetView workbookViewId="0">
      <selection activeCell="B14" sqref="B14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45219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490.4</v>
      </c>
      <c r="D5">
        <f>C5*B5</f>
        <v>3310200</v>
      </c>
      <c r="E5" s="3">
        <f t="shared" ref="E5:E18" si="0">D5/$D$20</f>
        <v>8.1189055337625701E-2</v>
      </c>
    </row>
    <row r="6" spans="1:7">
      <c r="A6" t="s">
        <v>8</v>
      </c>
      <c r="B6" s="4">
        <f>((840+420)*2+290+562)+3372</f>
        <v>6744</v>
      </c>
      <c r="C6" s="2">
        <v>241.45</v>
      </c>
      <c r="D6">
        <f t="shared" ref="D6:D18" si="1">C6*B6</f>
        <v>1628338.7999999998</v>
      </c>
      <c r="E6" s="3">
        <f t="shared" si="0"/>
        <v>3.9938157495499671E-2</v>
      </c>
    </row>
    <row r="7" spans="1:7">
      <c r="A7" t="s">
        <v>9</v>
      </c>
      <c r="B7" s="4">
        <f>130+126+33+57+173+130</f>
        <v>649</v>
      </c>
      <c r="C7" s="2">
        <v>2893.3</v>
      </c>
      <c r="D7">
        <f t="shared" si="1"/>
        <v>1877751.7000000002</v>
      </c>
      <c r="E7" s="3">
        <f t="shared" si="0"/>
        <v>4.605549111280912E-2</v>
      </c>
    </row>
    <row r="8" spans="1:7">
      <c r="A8" t="s">
        <v>10</v>
      </c>
      <c r="B8" s="4">
        <f>1280+1280+1280+910+1300+1300+2940+1300</f>
        <v>11590</v>
      </c>
      <c r="C8" s="2">
        <v>179.8</v>
      </c>
      <c r="D8">
        <f t="shared" si="1"/>
        <v>2083882.0000000002</v>
      </c>
      <c r="E8" s="3">
        <f t="shared" si="0"/>
        <v>5.1111235277349447E-2</v>
      </c>
    </row>
    <row r="9" spans="1:7">
      <c r="A9" t="s">
        <v>12</v>
      </c>
      <c r="B9" s="4">
        <f>862+390+71+35-217-171</f>
        <v>970</v>
      </c>
      <c r="C9" s="2">
        <v>925.95</v>
      </c>
      <c r="D9">
        <f t="shared" si="1"/>
        <v>898171.5</v>
      </c>
      <c r="E9" s="3">
        <f t="shared" si="0"/>
        <v>2.2029392669983168E-2</v>
      </c>
    </row>
    <row r="10" spans="1:7">
      <c r="A10" t="s">
        <v>14</v>
      </c>
      <c r="B10" s="4">
        <f>410+205</f>
        <v>615</v>
      </c>
      <c r="C10" s="2">
        <v>4039.45</v>
      </c>
      <c r="D10">
        <f t="shared" si="1"/>
        <v>2484261.75</v>
      </c>
      <c r="E10" s="3">
        <f t="shared" si="0"/>
        <v>6.0931322788320003E-2</v>
      </c>
    </row>
    <row r="11" spans="1:7">
      <c r="A11" t="s">
        <v>16</v>
      </c>
      <c r="B11" s="4">
        <f>(1875+937+309+619)*2</f>
        <v>7480</v>
      </c>
      <c r="C11" s="2">
        <v>583.4</v>
      </c>
      <c r="D11">
        <f t="shared" si="1"/>
        <v>4363832</v>
      </c>
      <c r="E11" s="3">
        <f t="shared" si="0"/>
        <v>0.10703141735608176</v>
      </c>
    </row>
    <row r="12" spans="1:7">
      <c r="A12" t="s">
        <v>17</v>
      </c>
      <c r="B12" s="4">
        <f>480+154+159+192-246</f>
        <v>739</v>
      </c>
      <c r="C12" s="2">
        <v>2961.5</v>
      </c>
      <c r="D12">
        <f t="shared" si="1"/>
        <v>2188548.5</v>
      </c>
      <c r="E12" s="3">
        <f t="shared" si="0"/>
        <v>5.3678383564611722E-2</v>
      </c>
    </row>
    <row r="13" spans="1:7">
      <c r="A13" t="s">
        <v>18</v>
      </c>
      <c r="B13" s="4">
        <f>10500+5250-3258</f>
        <v>12492</v>
      </c>
      <c r="C13" s="2">
        <v>795.2</v>
      </c>
      <c r="D13">
        <f t="shared" si="1"/>
        <v>9933638.4000000004</v>
      </c>
      <c r="E13" s="3">
        <f t="shared" si="0"/>
        <v>0.24364168864768404</v>
      </c>
      <c r="G13" t="s">
        <v>74</v>
      </c>
    </row>
    <row r="14" spans="1:7">
      <c r="A14" t="s">
        <v>21</v>
      </c>
      <c r="B14" s="4">
        <f>458+115+189</f>
        <v>762</v>
      </c>
      <c r="C14" s="2">
        <v>2553.65</v>
      </c>
      <c r="D14">
        <f t="shared" si="1"/>
        <v>1945881.3</v>
      </c>
      <c r="E14" s="3">
        <f t="shared" si="0"/>
        <v>4.772650128274758E-2</v>
      </c>
    </row>
    <row r="15" spans="1:7">
      <c r="A15" t="s">
        <v>22</v>
      </c>
      <c r="B15" s="4">
        <f>3075+1537+1153-53-1428-925-484</f>
        <v>2875</v>
      </c>
      <c r="C15" s="2">
        <v>678.25</v>
      </c>
      <c r="D15">
        <f t="shared" si="1"/>
        <v>1949968.75</v>
      </c>
      <c r="E15" s="3">
        <f t="shared" si="0"/>
        <v>4.7826753897163558E-2</v>
      </c>
    </row>
    <row r="16" spans="1:7">
      <c r="A16" t="s">
        <v>54</v>
      </c>
      <c r="B16" s="4">
        <v>7985</v>
      </c>
      <c r="C16" s="2">
        <v>280.39999999999998</v>
      </c>
      <c r="D16">
        <f t="shared" si="1"/>
        <v>2238994</v>
      </c>
      <c r="E16" s="3">
        <f t="shared" si="0"/>
        <v>5.4915656989490642E-2</v>
      </c>
    </row>
    <row r="17" spans="1:7">
      <c r="A17" t="s">
        <v>59</v>
      </c>
      <c r="B17" s="4">
        <f>2592+518</f>
        <v>3110</v>
      </c>
      <c r="C17" s="2">
        <v>710.4</v>
      </c>
      <c r="D17">
        <f t="shared" si="1"/>
        <v>2209344</v>
      </c>
      <c r="E17" s="3">
        <f t="shared" si="0"/>
        <v>5.4188433410625132E-2</v>
      </c>
    </row>
    <row r="18" spans="1:7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</f>
        <v>3658.6925999999985</v>
      </c>
      <c r="C18" s="2">
        <v>1000</v>
      </c>
      <c r="D18">
        <f t="shared" si="1"/>
        <v>3658692.5999999987</v>
      </c>
      <c r="E18" s="3">
        <f t="shared" si="0"/>
        <v>8.9736510170008318E-2</v>
      </c>
      <c r="G18" t="s">
        <v>75</v>
      </c>
    </row>
    <row r="19" spans="1:7">
      <c r="B19" s="4"/>
      <c r="E19" s="3"/>
    </row>
    <row r="20" spans="1:7">
      <c r="B20" s="4"/>
      <c r="D20">
        <f>SUM(D5:D18)</f>
        <v>40771505.300000004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1ADB-5380-4EF3-B0F5-BB3966686DD3}">
  <sheetPr>
    <pageSetUpPr fitToPage="1"/>
  </sheetPr>
  <dimension ref="A1:J20"/>
  <sheetViews>
    <sheetView workbookViewId="0">
      <selection activeCell="B17" sqref="B17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45230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468.05</v>
      </c>
      <c r="D5">
        <f>C5*B5</f>
        <v>3159337.5</v>
      </c>
      <c r="E5" s="3">
        <f t="shared" ref="E5:E18" si="0">D5/$D$20</f>
        <v>8.1165827308386396E-2</v>
      </c>
    </row>
    <row r="6" spans="1:7">
      <c r="A6" t="s">
        <v>8</v>
      </c>
      <c r="B6" s="4">
        <f>((840+420)*2+290+562)+3372</f>
        <v>6744</v>
      </c>
      <c r="C6" s="2">
        <v>216.2</v>
      </c>
      <c r="D6">
        <f t="shared" ref="D6:D18" si="1">C6*B6</f>
        <v>1458052.7999999998</v>
      </c>
      <c r="E6" s="3">
        <f t="shared" si="0"/>
        <v>3.745850570612011E-2</v>
      </c>
    </row>
    <row r="7" spans="1:7">
      <c r="A7" t="s">
        <v>9</v>
      </c>
      <c r="B7" s="4">
        <f>130+126+33+57+173+130</f>
        <v>649</v>
      </c>
      <c r="C7" s="2">
        <v>2767.1</v>
      </c>
      <c r="D7">
        <f t="shared" si="1"/>
        <v>1795847.9</v>
      </c>
      <c r="E7" s="3">
        <f t="shared" si="0"/>
        <v>4.6136723450257648E-2</v>
      </c>
    </row>
    <row r="8" spans="1:7">
      <c r="A8" t="s">
        <v>10</v>
      </c>
      <c r="B8" s="4">
        <f>1280+1280+1280+910+1300+1300+2940+1300</f>
        <v>11590</v>
      </c>
      <c r="C8" s="2">
        <v>162.80000000000001</v>
      </c>
      <c r="D8">
        <f t="shared" si="1"/>
        <v>1886852.0000000002</v>
      </c>
      <c r="E8" s="3">
        <f t="shared" si="0"/>
        <v>4.847468926269622E-2</v>
      </c>
    </row>
    <row r="9" spans="1:7">
      <c r="A9" t="s">
        <v>12</v>
      </c>
      <c r="B9" s="4">
        <f>862+390+71+35-217-171</f>
        <v>970</v>
      </c>
      <c r="C9" s="2">
        <v>899.75</v>
      </c>
      <c r="D9">
        <f t="shared" si="1"/>
        <v>872757.5</v>
      </c>
      <c r="E9" s="3">
        <f t="shared" si="0"/>
        <v>2.2421816133002266E-2</v>
      </c>
    </row>
    <row r="10" spans="1:7">
      <c r="A10" t="s">
        <v>14</v>
      </c>
      <c r="B10" s="4">
        <f>410+205</f>
        <v>615</v>
      </c>
      <c r="C10" s="2">
        <v>3573.5</v>
      </c>
      <c r="D10">
        <f t="shared" si="1"/>
        <v>2197702.5</v>
      </c>
      <c r="E10" s="3">
        <f t="shared" si="0"/>
        <v>5.6460679364015103E-2</v>
      </c>
    </row>
    <row r="11" spans="1:7">
      <c r="A11" t="s">
        <v>16</v>
      </c>
      <c r="B11" s="4">
        <f>(1875+937+309+619)*2</f>
        <v>7480</v>
      </c>
      <c r="C11" s="2">
        <v>570.70000000000005</v>
      </c>
      <c r="D11">
        <f t="shared" si="1"/>
        <v>4268836</v>
      </c>
      <c r="E11" s="3">
        <f t="shared" si="0"/>
        <v>0.10966970308927836</v>
      </c>
    </row>
    <row r="12" spans="1:7">
      <c r="A12" t="s">
        <v>17</v>
      </c>
      <c r="B12" s="4">
        <f>480+154+159+192-246</f>
        <v>739</v>
      </c>
      <c r="C12" s="2">
        <v>3060.9</v>
      </c>
      <c r="D12">
        <f t="shared" si="1"/>
        <v>2262005.1</v>
      </c>
      <c r="E12" s="3">
        <f t="shared" si="0"/>
        <v>5.8112662960918014E-2</v>
      </c>
    </row>
    <row r="13" spans="1:7">
      <c r="A13" t="s">
        <v>18</v>
      </c>
      <c r="B13" s="4">
        <f>10500+5250-3258</f>
        <v>12492</v>
      </c>
      <c r="C13" s="2">
        <v>741.2</v>
      </c>
      <c r="D13">
        <f t="shared" si="1"/>
        <v>9259070.4000000004</v>
      </c>
      <c r="E13" s="3">
        <f t="shared" si="0"/>
        <v>0.23787268980366683</v>
      </c>
    </row>
    <row r="14" spans="1:7">
      <c r="A14" t="s">
        <v>21</v>
      </c>
      <c r="B14" s="4">
        <f>458+115+189</f>
        <v>762</v>
      </c>
      <c r="C14" s="2">
        <v>2498.35</v>
      </c>
      <c r="D14">
        <f t="shared" si="1"/>
        <v>1903742.7</v>
      </c>
      <c r="E14" s="3">
        <f t="shared" si="0"/>
        <v>4.8908624427685003E-2</v>
      </c>
    </row>
    <row r="15" spans="1:7">
      <c r="A15" t="s">
        <v>22</v>
      </c>
      <c r="B15" s="4">
        <f>3075+1537+1153-53-1428-925-484</f>
        <v>2875</v>
      </c>
      <c r="C15" s="2">
        <v>661</v>
      </c>
      <c r="D15">
        <f t="shared" si="1"/>
        <v>1900375</v>
      </c>
      <c r="E15" s="3">
        <f t="shared" si="0"/>
        <v>4.8822105606373109E-2</v>
      </c>
    </row>
    <row r="16" spans="1:7">
      <c r="A16" t="s">
        <v>54</v>
      </c>
      <c r="B16" s="4">
        <v>7985</v>
      </c>
      <c r="C16" s="2">
        <v>264.60000000000002</v>
      </c>
      <c r="D16">
        <f t="shared" si="1"/>
        <v>2112831</v>
      </c>
      <c r="E16" s="3">
        <f t="shared" si="0"/>
        <v>5.428026479532666E-2</v>
      </c>
    </row>
    <row r="17" spans="1:7">
      <c r="A17" t="s">
        <v>59</v>
      </c>
      <c r="B17" s="4">
        <f>2592+518+820</f>
        <v>3930</v>
      </c>
      <c r="C17" s="2">
        <v>705.05</v>
      </c>
      <c r="D17">
        <f t="shared" si="1"/>
        <v>2770846.5</v>
      </c>
      <c r="E17" s="3">
        <f t="shared" si="0"/>
        <v>7.1185192628849203E-2</v>
      </c>
      <c r="G17" t="s">
        <v>76</v>
      </c>
    </row>
    <row r="18" spans="1:7">
      <c r="A18" t="s">
        <v>23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+2709.092-582.471</f>
        <v>3076.2215999999985</v>
      </c>
      <c r="C18" s="2">
        <v>1000</v>
      </c>
      <c r="D18">
        <f t="shared" si="1"/>
        <v>3076221.5999999987</v>
      </c>
      <c r="E18" s="3">
        <f t="shared" si="0"/>
        <v>7.903051546342485E-2</v>
      </c>
      <c r="G18" t="s">
        <v>77</v>
      </c>
    </row>
    <row r="19" spans="1:7">
      <c r="B19" s="4"/>
      <c r="E19" s="3"/>
    </row>
    <row r="20" spans="1:7">
      <c r="B20" s="4"/>
      <c r="D20">
        <f>SUM(D5:D18)</f>
        <v>38924478.500000007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C272-E461-4E4D-B58F-26FD90FE347B}">
  <sheetPr>
    <pageSetUpPr fitToPage="1"/>
  </sheetPr>
  <dimension ref="A1:J21"/>
  <sheetViews>
    <sheetView workbookViewId="0">
      <selection activeCell="B19" sqref="B19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45232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462.15</v>
      </c>
      <c r="D5">
        <f>C5*B5</f>
        <v>3119512.5</v>
      </c>
      <c r="E5" s="3">
        <f t="shared" ref="E5:E12" si="0">D5/$D$21</f>
        <v>7.9461181023247729E-2</v>
      </c>
    </row>
    <row r="6" spans="1:7">
      <c r="A6" t="s">
        <v>8</v>
      </c>
      <c r="B6" s="4">
        <f>((840+420)*2+290+562)+3372</f>
        <v>6744</v>
      </c>
      <c r="C6" s="2">
        <v>220.55</v>
      </c>
      <c r="D6">
        <f t="shared" ref="D6:D19" si="1">C6*B6</f>
        <v>1487389.2000000002</v>
      </c>
      <c r="E6" s="3">
        <f t="shared" si="0"/>
        <v>3.7887234775697685E-2</v>
      </c>
    </row>
    <row r="7" spans="1:7">
      <c r="A7" t="s">
        <v>9</v>
      </c>
      <c r="B7" s="4">
        <f>130+126+33+57+173+130</f>
        <v>649</v>
      </c>
      <c r="C7" s="2">
        <v>2831.6</v>
      </c>
      <c r="D7">
        <f t="shared" si="1"/>
        <v>1837708.4</v>
      </c>
      <c r="E7" s="3">
        <f t="shared" si="0"/>
        <v>4.6810673090857284E-2</v>
      </c>
    </row>
    <row r="8" spans="1:7">
      <c r="A8" t="s">
        <v>10</v>
      </c>
      <c r="B8" s="4">
        <f>1280+1280+1280+910+1300+1300+2940+1300</f>
        <v>11590</v>
      </c>
      <c r="C8" s="2">
        <v>164.65</v>
      </c>
      <c r="D8">
        <f t="shared" si="1"/>
        <v>1908293.5</v>
      </c>
      <c r="E8" s="3">
        <f t="shared" si="0"/>
        <v>4.8608638448791909E-2</v>
      </c>
    </row>
    <row r="9" spans="1:7">
      <c r="A9" t="s">
        <v>12</v>
      </c>
      <c r="B9" s="4">
        <f>862+390+71+35-217-171</f>
        <v>970</v>
      </c>
      <c r="C9" s="2">
        <v>915.3</v>
      </c>
      <c r="D9">
        <f t="shared" si="1"/>
        <v>887841</v>
      </c>
      <c r="E9" s="3">
        <f t="shared" si="0"/>
        <v>2.2615358784701545E-2</v>
      </c>
    </row>
    <row r="10" spans="1:7">
      <c r="A10" t="s">
        <v>14</v>
      </c>
      <c r="B10" s="4">
        <f>410+205</f>
        <v>615</v>
      </c>
      <c r="C10" s="2">
        <v>3465.5</v>
      </c>
      <c r="D10">
        <f t="shared" si="1"/>
        <v>2131282.5</v>
      </c>
      <c r="E10" s="3">
        <f t="shared" si="0"/>
        <v>5.4288682781101202E-2</v>
      </c>
    </row>
    <row r="11" spans="1:7">
      <c r="A11" t="s">
        <v>16</v>
      </c>
      <c r="B11" s="4">
        <f>(1875+937+309+619)*2</f>
        <v>7480</v>
      </c>
      <c r="C11" s="2">
        <v>569.5</v>
      </c>
      <c r="D11">
        <f t="shared" si="1"/>
        <v>4259860</v>
      </c>
      <c r="E11" s="3">
        <f t="shared" si="0"/>
        <v>0.10850846297095845</v>
      </c>
    </row>
    <row r="12" spans="1:7">
      <c r="A12" t="s">
        <v>78</v>
      </c>
      <c r="B12" s="4">
        <v>13763</v>
      </c>
      <c r="C12" s="2">
        <v>142.44999999999999</v>
      </c>
      <c r="D12">
        <f t="shared" si="1"/>
        <v>1960539.3499999999</v>
      </c>
      <c r="E12" s="3">
        <f t="shared" si="0"/>
        <v>4.9939460795092316E-2</v>
      </c>
      <c r="G12" t="s">
        <v>79</v>
      </c>
    </row>
    <row r="13" spans="1:7">
      <c r="A13" t="s">
        <v>17</v>
      </c>
      <c r="B13" s="4">
        <f>480+154+159+192-246</f>
        <v>739</v>
      </c>
      <c r="C13" s="2">
        <v>3105.25</v>
      </c>
      <c r="D13">
        <f t="shared" si="1"/>
        <v>2294779.75</v>
      </c>
      <c r="E13" s="3">
        <f t="shared" ref="E13:E19" si="2">D13/$D$21</f>
        <v>5.8453334975651854E-2</v>
      </c>
    </row>
    <row r="14" spans="1:7">
      <c r="A14" t="s">
        <v>18</v>
      </c>
      <c r="B14" s="4">
        <f>10500+5250-3258-1143</f>
        <v>11349</v>
      </c>
      <c r="C14" s="2">
        <v>761.7</v>
      </c>
      <c r="D14">
        <f t="shared" si="1"/>
        <v>8644533.3000000007</v>
      </c>
      <c r="E14" s="3">
        <f t="shared" si="2"/>
        <v>0.22019620867452624</v>
      </c>
      <c r="G14" t="s">
        <v>80</v>
      </c>
    </row>
    <row r="15" spans="1:7">
      <c r="A15" t="s">
        <v>21</v>
      </c>
      <c r="B15" s="4">
        <f>458+115+189</f>
        <v>762</v>
      </c>
      <c r="C15" s="2">
        <v>2439.5</v>
      </c>
      <c r="D15">
        <f t="shared" si="1"/>
        <v>1858899</v>
      </c>
      <c r="E15" s="3">
        <f t="shared" si="2"/>
        <v>4.7350446565908672E-2</v>
      </c>
    </row>
    <row r="16" spans="1:7">
      <c r="A16" t="s">
        <v>22</v>
      </c>
      <c r="B16" s="4">
        <f>3075+1537+1153-53-1428-925-484</f>
        <v>2875</v>
      </c>
      <c r="C16" s="2">
        <v>667.15</v>
      </c>
      <c r="D16">
        <f t="shared" si="1"/>
        <v>1918056.25</v>
      </c>
      <c r="E16" s="3">
        <f t="shared" si="2"/>
        <v>4.8857318216875771E-2</v>
      </c>
    </row>
    <row r="17" spans="1:7">
      <c r="A17" t="s">
        <v>54</v>
      </c>
      <c r="B17" s="4">
        <v>7985</v>
      </c>
      <c r="C17" s="2">
        <v>265.3</v>
      </c>
      <c r="D17">
        <f t="shared" si="1"/>
        <v>2118420.5</v>
      </c>
      <c r="E17" s="3">
        <f t="shared" si="2"/>
        <v>5.3961057964620737E-2</v>
      </c>
    </row>
    <row r="18" spans="1:7">
      <c r="A18" t="s">
        <v>59</v>
      </c>
      <c r="B18" s="4">
        <f>2592+518+820</f>
        <v>3930</v>
      </c>
      <c r="C18" s="2">
        <v>712.05</v>
      </c>
      <c r="D18">
        <f t="shared" si="1"/>
        <v>2798356.5</v>
      </c>
      <c r="E18" s="3">
        <f t="shared" si="2"/>
        <v>7.1280596700311963E-2</v>
      </c>
    </row>
    <row r="19" spans="1:7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+2709.092-582.471-1043.373</f>
        <v>2032.8485999999984</v>
      </c>
      <c r="C19" s="2">
        <v>1000</v>
      </c>
      <c r="D19">
        <f t="shared" si="1"/>
        <v>2032848.5999999985</v>
      </c>
      <c r="E19" s="3">
        <f t="shared" si="2"/>
        <v>5.1781344231656576E-2</v>
      </c>
      <c r="G19" t="s">
        <v>81</v>
      </c>
    </row>
    <row r="20" spans="1:7">
      <c r="B20" s="4"/>
      <c r="E20" s="3"/>
    </row>
    <row r="21" spans="1:7">
      <c r="B21" s="4"/>
      <c r="D21">
        <f>SUM(D5:D19)</f>
        <v>39258320.350000001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E6F6-DEE5-44A6-B49C-5CA15591BF58}">
  <sheetPr>
    <pageSetUpPr fitToPage="1"/>
  </sheetPr>
  <dimension ref="A1:J21"/>
  <sheetViews>
    <sheetView workbookViewId="0">
      <selection activeCell="B2" sqref="B2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45239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487.5</v>
      </c>
      <c r="D5">
        <f>C5*B5</f>
        <v>3290625</v>
      </c>
      <c r="E5" s="3">
        <f t="shared" ref="E5:E19" si="0">D5/$D$21</f>
        <v>8.2145562380889478E-2</v>
      </c>
    </row>
    <row r="6" spans="1:7">
      <c r="A6" t="s">
        <v>8</v>
      </c>
      <c r="B6" s="4">
        <f>((840+420)*2+290+562)+3372</f>
        <v>6744</v>
      </c>
      <c r="C6" s="2">
        <v>225.7</v>
      </c>
      <c r="D6">
        <f t="shared" ref="D6:D19" si="1">C6*B6</f>
        <v>1522120.7999999998</v>
      </c>
      <c r="E6" s="3">
        <f t="shared" si="0"/>
        <v>3.7997483495581956E-2</v>
      </c>
    </row>
    <row r="7" spans="1:7">
      <c r="A7" t="s">
        <v>9</v>
      </c>
      <c r="B7" s="4">
        <f>130+126+33+57+173+130</f>
        <v>649</v>
      </c>
      <c r="C7" s="2">
        <v>2555.4</v>
      </c>
      <c r="D7">
        <f t="shared" si="1"/>
        <v>1658454.6</v>
      </c>
      <c r="E7" s="3">
        <f t="shared" si="0"/>
        <v>4.1400854184288127E-2</v>
      </c>
    </row>
    <row r="8" spans="1:7">
      <c r="A8" t="s">
        <v>10</v>
      </c>
      <c r="B8" s="4">
        <f>1280+1280+1280+910+1300+1300+2940+1300</f>
        <v>11590</v>
      </c>
      <c r="C8" s="2">
        <v>172.4</v>
      </c>
      <c r="D8">
        <f t="shared" si="1"/>
        <v>1998116</v>
      </c>
      <c r="E8" s="3">
        <f t="shared" si="0"/>
        <v>4.9879996208092192E-2</v>
      </c>
    </row>
    <row r="9" spans="1:7">
      <c r="A9" t="s">
        <v>12</v>
      </c>
      <c r="B9" s="4">
        <f>862+390+71+35-217-171</f>
        <v>970</v>
      </c>
      <c r="C9" s="2">
        <v>892.9</v>
      </c>
      <c r="D9">
        <f t="shared" si="1"/>
        <v>866113</v>
      </c>
      <c r="E9" s="3">
        <f t="shared" si="0"/>
        <v>2.1621223770681656E-2</v>
      </c>
    </row>
    <row r="10" spans="1:7">
      <c r="A10" t="s">
        <v>14</v>
      </c>
      <c r="B10" s="4">
        <f>410+205</f>
        <v>615</v>
      </c>
      <c r="C10" s="2">
        <v>3821.35</v>
      </c>
      <c r="D10">
        <f t="shared" si="1"/>
        <v>2350130.25</v>
      </c>
      <c r="E10" s="3">
        <f t="shared" si="0"/>
        <v>5.8667508772525093E-2</v>
      </c>
    </row>
    <row r="11" spans="1:7">
      <c r="A11" t="s">
        <v>16</v>
      </c>
      <c r="B11" s="4">
        <f>(1875+937+309+619)*2</f>
        <v>7480</v>
      </c>
      <c r="C11" s="2">
        <v>521.45000000000005</v>
      </c>
      <c r="D11">
        <f t="shared" si="1"/>
        <v>3900446.0000000005</v>
      </c>
      <c r="E11" s="3">
        <f t="shared" si="0"/>
        <v>9.7368837289661045E-2</v>
      </c>
    </row>
    <row r="12" spans="1:7">
      <c r="A12" t="s">
        <v>78</v>
      </c>
      <c r="B12" s="4">
        <v>13763</v>
      </c>
      <c r="C12" s="2">
        <v>148.05000000000001</v>
      </c>
      <c r="D12">
        <f t="shared" si="1"/>
        <v>2037612.1500000001</v>
      </c>
      <c r="E12" s="3">
        <f t="shared" si="0"/>
        <v>5.0865958891056662E-2</v>
      </c>
    </row>
    <row r="13" spans="1:7">
      <c r="A13" t="s">
        <v>17</v>
      </c>
      <c r="B13" s="4">
        <f>480+154+159+192-246-74</f>
        <v>665</v>
      </c>
      <c r="C13" s="2">
        <v>3252.3</v>
      </c>
      <c r="D13">
        <f t="shared" si="1"/>
        <v>2162779.5</v>
      </c>
      <c r="E13" s="3">
        <f t="shared" si="0"/>
        <v>5.3990575751827981E-2</v>
      </c>
      <c r="G13" t="s">
        <v>82</v>
      </c>
    </row>
    <row r="14" spans="1:7">
      <c r="A14" t="s">
        <v>18</v>
      </c>
      <c r="B14" s="4">
        <f>10500+5250-3258-1143-1205</f>
        <v>10144</v>
      </c>
      <c r="C14" s="2">
        <v>797.8</v>
      </c>
      <c r="D14">
        <f t="shared" si="1"/>
        <v>8092883.1999999993</v>
      </c>
      <c r="E14" s="3">
        <f t="shared" si="0"/>
        <v>0.20202680091072436</v>
      </c>
      <c r="G14" t="s">
        <v>83</v>
      </c>
    </row>
    <row r="15" spans="1:7">
      <c r="A15" t="s">
        <v>21</v>
      </c>
      <c r="B15" s="4">
        <f>458+115+189</f>
        <v>762</v>
      </c>
      <c r="C15" s="2">
        <v>2583.5</v>
      </c>
      <c r="D15">
        <f t="shared" si="1"/>
        <v>1968627</v>
      </c>
      <c r="E15" s="3">
        <f t="shared" si="0"/>
        <v>4.9143847151590751E-2</v>
      </c>
    </row>
    <row r="16" spans="1:7">
      <c r="A16" t="s">
        <v>22</v>
      </c>
      <c r="B16" s="4">
        <f>3075+1537+1153-53-1428-925-484-459</f>
        <v>2416</v>
      </c>
      <c r="C16" s="2">
        <v>662.6</v>
      </c>
      <c r="D16">
        <f t="shared" si="1"/>
        <v>1600841.6</v>
      </c>
      <c r="E16" s="3">
        <f t="shared" si="0"/>
        <v>3.9962631267532134E-2</v>
      </c>
      <c r="G16" t="s">
        <v>84</v>
      </c>
    </row>
    <row r="17" spans="1:7">
      <c r="A17" t="s">
        <v>54</v>
      </c>
      <c r="B17" s="4">
        <f>7985+1084</f>
        <v>9069</v>
      </c>
      <c r="C17" s="2">
        <v>286.35000000000002</v>
      </c>
      <c r="D17">
        <f t="shared" si="1"/>
        <v>2596908.1500000004</v>
      </c>
      <c r="E17" s="3">
        <f t="shared" si="0"/>
        <v>6.4827952268418712E-2</v>
      </c>
      <c r="G17" t="s">
        <v>85</v>
      </c>
    </row>
    <row r="18" spans="1:7">
      <c r="A18" t="s">
        <v>59</v>
      </c>
      <c r="B18" s="4">
        <f>2592+518+820</f>
        <v>3930</v>
      </c>
      <c r="C18" s="2">
        <v>708.15</v>
      </c>
      <c r="D18">
        <f t="shared" si="1"/>
        <v>2783029.5</v>
      </c>
      <c r="E18" s="3">
        <f t="shared" si="0"/>
        <v>6.947419514533125E-2</v>
      </c>
    </row>
    <row r="19" spans="1:7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+2709.092-582.471-1043.373+1196.928</f>
        <v>3229.7765999999983</v>
      </c>
      <c r="C19" s="2">
        <v>1000</v>
      </c>
      <c r="D19">
        <f t="shared" si="1"/>
        <v>3229776.5999999982</v>
      </c>
      <c r="E19" s="3">
        <f t="shared" si="0"/>
        <v>8.0626572511798514E-2</v>
      </c>
      <c r="G19" t="s">
        <v>86</v>
      </c>
    </row>
    <row r="20" spans="1:7">
      <c r="B20" s="4"/>
      <c r="E20" s="3"/>
    </row>
    <row r="21" spans="1:7">
      <c r="B21" s="4"/>
      <c r="D21">
        <f>SUM(D5:D19)</f>
        <v>40058463.350000001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BD4C-C40A-4936-A299-AAC7B04C6C57}">
  <sheetPr>
    <pageSetUpPr fitToPage="1"/>
  </sheetPr>
  <dimension ref="A1:J21"/>
  <sheetViews>
    <sheetView workbookViewId="0">
      <selection activeCell="B21" sqref="B21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45253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557.35</v>
      </c>
      <c r="D5">
        <f>C5*B5</f>
        <v>3762112.5</v>
      </c>
      <c r="E5" s="3">
        <f t="shared" ref="E5:E19" si="0">D5/$D$21</f>
        <v>8.6994282981609231E-2</v>
      </c>
    </row>
    <row r="6" spans="1:7">
      <c r="A6" t="s">
        <v>8</v>
      </c>
      <c r="B6" s="4">
        <f>((840+420)*2+290+562)+3372</f>
        <v>6744</v>
      </c>
      <c r="C6" s="2">
        <v>244.05</v>
      </c>
      <c r="D6">
        <f t="shared" ref="D6:D19" si="1">C6*B6</f>
        <v>1645873.2000000002</v>
      </c>
      <c r="E6" s="3">
        <f t="shared" si="0"/>
        <v>3.8058819057815718E-2</v>
      </c>
    </row>
    <row r="7" spans="1:7">
      <c r="A7" t="s">
        <v>9</v>
      </c>
      <c r="B7" s="4">
        <f>130+126+33+57+173+130</f>
        <v>649</v>
      </c>
      <c r="C7" s="2">
        <v>2703.55</v>
      </c>
      <c r="D7">
        <f t="shared" si="1"/>
        <v>1754603.9500000002</v>
      </c>
      <c r="E7" s="3">
        <f t="shared" si="0"/>
        <v>4.0573085612657607E-2</v>
      </c>
    </row>
    <row r="8" spans="1:7">
      <c r="A8" t="s">
        <v>10</v>
      </c>
      <c r="B8" s="4">
        <f>1280+1280+1280+910+1300+1300+2940+1300</f>
        <v>11590</v>
      </c>
      <c r="C8" s="2">
        <v>162.05000000000001</v>
      </c>
      <c r="D8">
        <f t="shared" si="1"/>
        <v>1878159.5000000002</v>
      </c>
      <c r="E8" s="3">
        <f t="shared" si="0"/>
        <v>4.3430157664768855E-2</v>
      </c>
    </row>
    <row r="9" spans="1:7">
      <c r="A9" t="s">
        <v>12</v>
      </c>
      <c r="B9" s="4">
        <f>862+390+71+35-217-171</f>
        <v>970</v>
      </c>
      <c r="C9" s="2">
        <v>900.55</v>
      </c>
      <c r="D9">
        <f t="shared" si="1"/>
        <v>873533.5</v>
      </c>
      <c r="E9" s="3">
        <f t="shared" si="0"/>
        <v>2.0199401398261096E-2</v>
      </c>
    </row>
    <row r="10" spans="1:7">
      <c r="A10" t="s">
        <v>14</v>
      </c>
      <c r="B10" s="4">
        <f>410+205</f>
        <v>615</v>
      </c>
      <c r="C10" s="2">
        <v>4002.4</v>
      </c>
      <c r="D10">
        <f t="shared" si="1"/>
        <v>2461476</v>
      </c>
      <c r="E10" s="3">
        <f t="shared" si="0"/>
        <v>5.6918643367639743E-2</v>
      </c>
    </row>
    <row r="11" spans="1:7">
      <c r="A11" t="s">
        <v>16</v>
      </c>
      <c r="B11" s="4">
        <f>(1875+937+309+619)*2</f>
        <v>7480</v>
      </c>
      <c r="C11" s="2">
        <v>488.8</v>
      </c>
      <c r="D11">
        <f t="shared" si="1"/>
        <v>3656224</v>
      </c>
      <c r="E11" s="3">
        <f t="shared" si="0"/>
        <v>8.4545740006486042E-2</v>
      </c>
    </row>
    <row r="12" spans="1:7">
      <c r="A12" t="s">
        <v>78</v>
      </c>
      <c r="B12" s="4">
        <v>13763</v>
      </c>
      <c r="C12" s="2">
        <v>154.85</v>
      </c>
      <c r="D12">
        <f t="shared" si="1"/>
        <v>2131200.5499999998</v>
      </c>
      <c r="E12" s="3">
        <f t="shared" si="0"/>
        <v>4.9281424661612651E-2</v>
      </c>
    </row>
    <row r="13" spans="1:7">
      <c r="A13" t="s">
        <v>17</v>
      </c>
      <c r="B13" s="4">
        <f>480+154+159+192-246-74-85</f>
        <v>580</v>
      </c>
      <c r="C13" s="2">
        <v>3730.35</v>
      </c>
      <c r="D13">
        <f t="shared" si="1"/>
        <v>2163603</v>
      </c>
      <c r="E13" s="3">
        <f t="shared" si="0"/>
        <v>5.0030691969434375E-2</v>
      </c>
      <c r="G13" t="s">
        <v>87</v>
      </c>
    </row>
    <row r="14" spans="1:7">
      <c r="A14" t="s">
        <v>18</v>
      </c>
      <c r="B14" s="4">
        <f>10500+5250-3258-1143-1205</f>
        <v>10144</v>
      </c>
      <c r="C14" s="2">
        <v>968.4</v>
      </c>
      <c r="D14">
        <f t="shared" si="1"/>
        <v>9823449.5999999996</v>
      </c>
      <c r="E14" s="3">
        <f t="shared" si="0"/>
        <v>0.22715534273841517</v>
      </c>
    </row>
    <row r="15" spans="1:7">
      <c r="A15" t="s">
        <v>21</v>
      </c>
      <c r="B15" s="4">
        <f>458+115+189</f>
        <v>762</v>
      </c>
      <c r="C15" s="2">
        <v>2461.6</v>
      </c>
      <c r="D15">
        <f t="shared" si="1"/>
        <v>1875739.2</v>
      </c>
      <c r="E15" s="3">
        <f t="shared" si="0"/>
        <v>4.3374191166398485E-2</v>
      </c>
    </row>
    <row r="16" spans="1:7">
      <c r="A16" t="s">
        <v>22</v>
      </c>
      <c r="B16" s="4">
        <f>3075+1537+1153-53-1428-925-484-459</f>
        <v>2416</v>
      </c>
      <c r="C16" s="2">
        <v>701.45</v>
      </c>
      <c r="D16">
        <f t="shared" si="1"/>
        <v>1694703.2000000002</v>
      </c>
      <c r="E16" s="3">
        <f t="shared" si="0"/>
        <v>3.9187953510331955E-2</v>
      </c>
    </row>
    <row r="17" spans="1:7">
      <c r="A17" t="s">
        <v>54</v>
      </c>
      <c r="B17" s="4">
        <f>7985+1084</f>
        <v>9069</v>
      </c>
      <c r="C17" s="2">
        <v>334.1</v>
      </c>
      <c r="D17">
        <f t="shared" si="1"/>
        <v>3029952.9000000004</v>
      </c>
      <c r="E17" s="3">
        <f t="shared" si="0"/>
        <v>7.0063981341213902E-2</v>
      </c>
    </row>
    <row r="18" spans="1:7">
      <c r="A18" t="s">
        <v>59</v>
      </c>
      <c r="B18" s="4">
        <f>2592+518+820</f>
        <v>3930</v>
      </c>
      <c r="C18" s="2">
        <v>755.75</v>
      </c>
      <c r="D18">
        <f t="shared" si="1"/>
        <v>2970097.5</v>
      </c>
      <c r="E18" s="3">
        <f t="shared" si="0"/>
        <v>6.8679897902566747E-2</v>
      </c>
    </row>
    <row r="19" spans="1:7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+2709.092-582.471-1043.373+1196.928+295.009</f>
        <v>3524.7855999999983</v>
      </c>
      <c r="C19" s="2">
        <v>1000</v>
      </c>
      <c r="D19">
        <f t="shared" si="1"/>
        <v>3524785.5999999982</v>
      </c>
      <c r="E19" s="3">
        <f t="shared" si="0"/>
        <v>8.150638662078849E-2</v>
      </c>
      <c r="G19" t="s">
        <v>88</v>
      </c>
    </row>
    <row r="20" spans="1:7">
      <c r="B20" s="4"/>
      <c r="E20" s="3"/>
    </row>
    <row r="21" spans="1:7">
      <c r="B21" s="4"/>
      <c r="D21">
        <f>SUM(D5:D19)</f>
        <v>43245514.199999996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C9A9-A9FB-4377-B716-38F0D44E3B5B}">
  <sheetPr>
    <pageSetUpPr fitToPage="1"/>
  </sheetPr>
  <dimension ref="A1:J21"/>
  <sheetViews>
    <sheetView workbookViewId="0">
      <selection activeCell="B22" sqref="B22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45261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576.70000000000005</v>
      </c>
      <c r="D5">
        <f>C5*B5</f>
        <v>3892725.0000000005</v>
      </c>
      <c r="E5" s="3">
        <f t="shared" ref="E5:E19" si="0">D5/$D$21</f>
        <v>8.9802934957088798E-2</v>
      </c>
    </row>
    <row r="6" spans="1:7">
      <c r="A6" t="s">
        <v>8</v>
      </c>
      <c r="B6" s="4">
        <f>((840+420)*2+290+562)+3372</f>
        <v>6744</v>
      </c>
      <c r="C6" s="2">
        <v>238.25</v>
      </c>
      <c r="D6">
        <f t="shared" ref="D6:D19" si="1">C6*B6</f>
        <v>1606758</v>
      </c>
      <c r="E6" s="3">
        <f t="shared" si="0"/>
        <v>3.7066986279735162E-2</v>
      </c>
    </row>
    <row r="7" spans="1:7">
      <c r="A7" t="s">
        <v>9</v>
      </c>
      <c r="B7" s="4">
        <f>130+126+33+57+173+130</f>
        <v>649</v>
      </c>
      <c r="C7" s="2">
        <v>2735.5</v>
      </c>
      <c r="D7">
        <f t="shared" si="1"/>
        <v>1775339.5</v>
      </c>
      <c r="E7" s="3">
        <f t="shared" si="0"/>
        <v>4.0956064876211534E-2</v>
      </c>
    </row>
    <row r="8" spans="1:7">
      <c r="A8" t="s">
        <v>10</v>
      </c>
      <c r="B8" s="4">
        <f>1280+1280+1280+910+1300+1300+2940+1300</f>
        <v>11590</v>
      </c>
      <c r="C8" s="2">
        <v>160.65</v>
      </c>
      <c r="D8">
        <f t="shared" si="1"/>
        <v>1861933.5</v>
      </c>
      <c r="E8" s="3">
        <f t="shared" si="0"/>
        <v>4.2953738832032747E-2</v>
      </c>
    </row>
    <row r="9" spans="1:7">
      <c r="A9" t="s">
        <v>12</v>
      </c>
      <c r="B9" s="4">
        <f>862+390+71+35-217-171</f>
        <v>970</v>
      </c>
      <c r="C9" s="2">
        <v>843.55</v>
      </c>
      <c r="D9">
        <f t="shared" si="1"/>
        <v>818243.5</v>
      </c>
      <c r="E9" s="3">
        <f t="shared" si="0"/>
        <v>1.8876408636510588E-2</v>
      </c>
    </row>
    <row r="10" spans="1:7">
      <c r="A10" t="s">
        <v>14</v>
      </c>
      <c r="B10" s="4">
        <f>410+205</f>
        <v>615</v>
      </c>
      <c r="C10" s="2">
        <v>4165.25</v>
      </c>
      <c r="D10">
        <f t="shared" si="1"/>
        <v>2561628.75</v>
      </c>
      <c r="E10" s="3">
        <f t="shared" si="0"/>
        <v>5.9095307277153834E-2</v>
      </c>
    </row>
    <row r="11" spans="1:7">
      <c r="A11" t="s">
        <v>16</v>
      </c>
      <c r="B11" s="4">
        <f>(1875+937+309+619)*2</f>
        <v>7480</v>
      </c>
      <c r="C11" s="2">
        <v>499.6</v>
      </c>
      <c r="D11">
        <f t="shared" si="1"/>
        <v>3737008</v>
      </c>
      <c r="E11" s="3">
        <f t="shared" si="0"/>
        <v>8.6210633003389769E-2</v>
      </c>
    </row>
    <row r="12" spans="1:7">
      <c r="A12" t="s">
        <v>78</v>
      </c>
      <c r="B12" s="4">
        <f>13763+6317</f>
        <v>20080</v>
      </c>
      <c r="C12" s="2">
        <v>150.5</v>
      </c>
      <c r="D12">
        <f t="shared" si="1"/>
        <v>3022040</v>
      </c>
      <c r="E12" s="3">
        <f t="shared" si="0"/>
        <v>6.9716730968080357E-2</v>
      </c>
      <c r="G12" t="s">
        <v>89</v>
      </c>
    </row>
    <row r="13" spans="1:7">
      <c r="A13" t="s">
        <v>17</v>
      </c>
      <c r="B13" s="4">
        <f>480+154+159+192-246-74-85</f>
        <v>580</v>
      </c>
      <c r="C13" s="2">
        <v>3366.3</v>
      </c>
      <c r="D13">
        <f t="shared" si="1"/>
        <v>1952454</v>
      </c>
      <c r="E13" s="3">
        <f t="shared" si="0"/>
        <v>4.504199489270571E-2</v>
      </c>
    </row>
    <row r="14" spans="1:7">
      <c r="A14" t="s">
        <v>18</v>
      </c>
      <c r="B14" s="4">
        <f>10500+5250-3258-1143-1205</f>
        <v>10144</v>
      </c>
      <c r="C14" s="2">
        <v>972.05</v>
      </c>
      <c r="D14">
        <f t="shared" si="1"/>
        <v>9860475.1999999993</v>
      </c>
      <c r="E14" s="3">
        <f t="shared" si="0"/>
        <v>0.22747551214935219</v>
      </c>
    </row>
    <row r="15" spans="1:7">
      <c r="A15" t="s">
        <v>21</v>
      </c>
      <c r="B15" s="4">
        <f>458+115+189</f>
        <v>762</v>
      </c>
      <c r="C15" s="2">
        <v>2481.9499999999998</v>
      </c>
      <c r="D15">
        <f t="shared" si="1"/>
        <v>1891245.9</v>
      </c>
      <c r="E15" s="3">
        <f t="shared" si="0"/>
        <v>4.3629959102058545E-2</v>
      </c>
    </row>
    <row r="16" spans="1:7">
      <c r="A16" t="s">
        <v>22</v>
      </c>
      <c r="B16" s="4">
        <f>3075+1537+1153-53-1428-925-484-459</f>
        <v>2416</v>
      </c>
      <c r="C16" s="2">
        <v>709.2</v>
      </c>
      <c r="D16">
        <f t="shared" si="1"/>
        <v>1713427.2000000002</v>
      </c>
      <c r="E16" s="3">
        <f t="shared" si="0"/>
        <v>3.9527783595118271E-2</v>
      </c>
    </row>
    <row r="17" spans="1:7">
      <c r="A17" t="s">
        <v>54</v>
      </c>
      <c r="B17" s="4">
        <f>7985+1084</f>
        <v>9069</v>
      </c>
      <c r="C17" s="2">
        <v>330.65</v>
      </c>
      <c r="D17">
        <f t="shared" si="1"/>
        <v>2998664.8499999996</v>
      </c>
      <c r="E17" s="3">
        <f t="shared" si="0"/>
        <v>6.9177479653111482E-2</v>
      </c>
    </row>
    <row r="18" spans="1:7">
      <c r="A18" t="s">
        <v>59</v>
      </c>
      <c r="B18" s="4">
        <f>2592+518+820</f>
        <v>3930</v>
      </c>
      <c r="C18" s="2">
        <v>772.4</v>
      </c>
      <c r="D18">
        <f t="shared" si="1"/>
        <v>3035532</v>
      </c>
      <c r="E18" s="3">
        <f t="shared" si="0"/>
        <v>7.0027983676258052E-2</v>
      </c>
    </row>
    <row r="19" spans="1:7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+2709.092-582.471-1043.373+1196.928+295.009-904.847</f>
        <v>2619.9385999999986</v>
      </c>
      <c r="C19" s="2">
        <v>1000</v>
      </c>
      <c r="D19">
        <f t="shared" si="1"/>
        <v>2619938.5999999987</v>
      </c>
      <c r="E19" s="3">
        <f t="shared" si="0"/>
        <v>6.0440482101192905E-2</v>
      </c>
      <c r="G19" t="s">
        <v>90</v>
      </c>
    </row>
    <row r="20" spans="1:7">
      <c r="B20" s="4"/>
      <c r="E20" s="3"/>
    </row>
    <row r="21" spans="1:7">
      <c r="B21" s="4"/>
      <c r="D21">
        <f>SUM(D5:D19)</f>
        <v>43347414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C1BD-FB9C-40E6-BA5C-FA3F55E224B0}">
  <sheetPr>
    <pageSetUpPr fitToPage="1"/>
  </sheetPr>
  <dimension ref="A1:J21"/>
  <sheetViews>
    <sheetView workbookViewId="0">
      <selection activeCell="C21" sqref="C21"/>
    </sheetView>
  </sheetViews>
  <sheetFormatPr defaultRowHeight="14.45"/>
  <cols>
    <col min="1" max="1" width="17" bestFit="1" customWidth="1"/>
    <col min="2" max="2" width="16.85546875" customWidth="1"/>
    <col min="3" max="3" width="8.85546875" style="2"/>
    <col min="4" max="4" width="12" bestFit="1" customWidth="1"/>
    <col min="5" max="5" width="11" customWidth="1"/>
    <col min="7" max="7" width="43.85546875" bestFit="1" customWidth="1"/>
    <col min="8" max="8" width="11.5703125" bestFit="1" customWidth="1"/>
    <col min="10" max="10" width="11.5703125" style="2" bestFit="1" customWidth="1"/>
  </cols>
  <sheetData>
    <row r="1" spans="1:7">
      <c r="A1" t="s">
        <v>0</v>
      </c>
      <c r="B1" s="1">
        <v>45289</v>
      </c>
      <c r="E1" s="3"/>
    </row>
    <row r="2" spans="1:7">
      <c r="B2" s="4"/>
      <c r="E2" s="3"/>
    </row>
    <row r="3" spans="1:7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>
      <c r="B4" s="4"/>
      <c r="E4" s="3"/>
    </row>
    <row r="5" spans="1:7">
      <c r="A5" t="s">
        <v>31</v>
      </c>
      <c r="B5" s="4">
        <f>4326+2424</f>
        <v>6750</v>
      </c>
      <c r="C5" s="2">
        <v>603.1</v>
      </c>
      <c r="D5">
        <f>C5*B5</f>
        <v>4070925</v>
      </c>
      <c r="E5" s="3">
        <f t="shared" ref="E5:E19" si="0">D5/$D$21</f>
        <v>8.6206866795462078E-2</v>
      </c>
    </row>
    <row r="6" spans="1:7">
      <c r="A6" t="s">
        <v>8</v>
      </c>
      <c r="B6" s="4">
        <f>((840+420)*2+290+562)+3372</f>
        <v>6744</v>
      </c>
      <c r="C6" s="2">
        <v>303.3</v>
      </c>
      <c r="D6">
        <f t="shared" ref="D6:D19" si="1">C6*B6</f>
        <v>2045455.2000000002</v>
      </c>
      <c r="E6" s="3">
        <f t="shared" si="0"/>
        <v>4.3315041166930184E-2</v>
      </c>
    </row>
    <row r="7" spans="1:7">
      <c r="A7" t="s">
        <v>9</v>
      </c>
      <c r="B7" s="4">
        <f>130+126+33+57+173+130</f>
        <v>649</v>
      </c>
      <c r="C7" s="2">
        <v>2813.6</v>
      </c>
      <c r="D7">
        <f t="shared" si="1"/>
        <v>1826026.4</v>
      </c>
      <c r="E7" s="3">
        <f t="shared" si="0"/>
        <v>3.8668365206874888E-2</v>
      </c>
    </row>
    <row r="8" spans="1:7">
      <c r="A8" t="s">
        <v>10</v>
      </c>
      <c r="B8" s="4">
        <f>1280+1280+1280+910+1300+1300+2940+1300</f>
        <v>11590</v>
      </c>
      <c r="C8" s="2">
        <v>182.15</v>
      </c>
      <c r="D8">
        <f t="shared" si="1"/>
        <v>2111118.5</v>
      </c>
      <c r="E8" s="3">
        <f t="shared" si="0"/>
        <v>4.4705542676157312E-2</v>
      </c>
    </row>
    <row r="9" spans="1:7">
      <c r="A9" t="s">
        <v>12</v>
      </c>
      <c r="B9" s="4">
        <f>862+390+71+35-217-171</f>
        <v>970</v>
      </c>
      <c r="C9" s="2">
        <v>869.75</v>
      </c>
      <c r="D9">
        <f t="shared" si="1"/>
        <v>843657.5</v>
      </c>
      <c r="E9" s="3">
        <f t="shared" si="0"/>
        <v>1.7865489961984695E-2</v>
      </c>
    </row>
    <row r="10" spans="1:7">
      <c r="A10" t="s">
        <v>14</v>
      </c>
      <c r="B10" s="4">
        <f>410+205</f>
        <v>615</v>
      </c>
      <c r="C10" s="2">
        <v>4285.55</v>
      </c>
      <c r="D10">
        <f t="shared" si="1"/>
        <v>2635613.25</v>
      </c>
      <c r="E10" s="3">
        <f t="shared" si="0"/>
        <v>5.5812367058372454E-2</v>
      </c>
    </row>
    <row r="11" spans="1:7">
      <c r="A11" t="s">
        <v>16</v>
      </c>
      <c r="B11" s="4">
        <f>(1875+937+309+619)*2</f>
        <v>7480</v>
      </c>
      <c r="C11" s="2">
        <v>777.05</v>
      </c>
      <c r="D11">
        <f t="shared" si="1"/>
        <v>5812334</v>
      </c>
      <c r="E11" s="3">
        <f t="shared" si="0"/>
        <v>0.12308335400645683</v>
      </c>
    </row>
    <row r="12" spans="1:7">
      <c r="A12" t="s">
        <v>78</v>
      </c>
      <c r="B12" s="4">
        <f>13763+6317</f>
        <v>20080</v>
      </c>
      <c r="C12" s="2">
        <v>135.85</v>
      </c>
      <c r="D12">
        <f t="shared" si="1"/>
        <v>2727868</v>
      </c>
      <c r="E12" s="3">
        <f t="shared" si="0"/>
        <v>5.77659753769975E-2</v>
      </c>
    </row>
    <row r="13" spans="1:7">
      <c r="A13" t="s">
        <v>17</v>
      </c>
      <c r="B13" s="4">
        <f>480+154+159+192-246-74-85</f>
        <v>580</v>
      </c>
      <c r="C13" s="2">
        <v>3541.65</v>
      </c>
      <c r="D13">
        <f t="shared" si="1"/>
        <v>2054157</v>
      </c>
      <c r="E13" s="3">
        <f t="shared" si="0"/>
        <v>4.3499312533629576E-2</v>
      </c>
    </row>
    <row r="14" spans="1:7">
      <c r="A14" t="s">
        <v>18</v>
      </c>
      <c r="B14" s="4">
        <f>10500+5250-3258-1143-1205</f>
        <v>10144</v>
      </c>
      <c r="C14" s="2">
        <v>1043.5</v>
      </c>
      <c r="D14">
        <f t="shared" si="1"/>
        <v>10585264</v>
      </c>
      <c r="E14" s="3">
        <f t="shared" si="0"/>
        <v>0.22415604405455763</v>
      </c>
    </row>
    <row r="15" spans="1:7">
      <c r="A15" t="s">
        <v>21</v>
      </c>
      <c r="B15" s="4">
        <f>458+115+189</f>
        <v>762</v>
      </c>
      <c r="C15" s="2">
        <v>2529.1999999999998</v>
      </c>
      <c r="D15">
        <f t="shared" si="1"/>
        <v>1927250.4</v>
      </c>
      <c r="E15" s="3">
        <f t="shared" si="0"/>
        <v>4.0811908476403029E-2</v>
      </c>
    </row>
    <row r="16" spans="1:7">
      <c r="A16" t="s">
        <v>22</v>
      </c>
      <c r="B16" s="4">
        <f>3075+1537+1153-53-1428-925-484-459</f>
        <v>2416</v>
      </c>
      <c r="C16" s="2">
        <v>770.45</v>
      </c>
      <c r="D16">
        <f t="shared" si="1"/>
        <v>1861407.2000000002</v>
      </c>
      <c r="E16" s="3">
        <f t="shared" si="0"/>
        <v>3.9417597362396521E-2</v>
      </c>
    </row>
    <row r="17" spans="1:7">
      <c r="A17" t="s">
        <v>54</v>
      </c>
      <c r="B17" s="4">
        <f>7985+1084</f>
        <v>9069</v>
      </c>
      <c r="C17" s="2">
        <v>326.25</v>
      </c>
      <c r="D17">
        <f t="shared" si="1"/>
        <v>2958761.25</v>
      </c>
      <c r="E17" s="3">
        <f t="shared" si="0"/>
        <v>6.2655425230954853E-2</v>
      </c>
    </row>
    <row r="18" spans="1:7">
      <c r="A18" t="s">
        <v>59</v>
      </c>
      <c r="B18" s="4">
        <f>2592+518+820</f>
        <v>3930</v>
      </c>
      <c r="C18" s="2">
        <v>794.6</v>
      </c>
      <c r="D18">
        <f t="shared" si="1"/>
        <v>3122778</v>
      </c>
      <c r="E18" s="3">
        <f t="shared" si="0"/>
        <v>6.6128682566689259E-2</v>
      </c>
    </row>
    <row r="19" spans="1:7">
      <c r="A19" t="s">
        <v>23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+2709.092-582.471-1043.373+1196.928+295.009-904.847+20.192</f>
        <v>2640.1305999999986</v>
      </c>
      <c r="C19" s="2">
        <v>1000</v>
      </c>
      <c r="D19">
        <f t="shared" si="1"/>
        <v>2640130.5999999987</v>
      </c>
      <c r="E19" s="3">
        <f t="shared" si="0"/>
        <v>5.5908027526133067E-2</v>
      </c>
      <c r="G19" t="s">
        <v>91</v>
      </c>
    </row>
    <row r="20" spans="1:7">
      <c r="B20" s="4"/>
      <c r="E20" s="3"/>
    </row>
    <row r="21" spans="1:7">
      <c r="B21" s="4"/>
      <c r="D21">
        <f>SUM(D5:D19)</f>
        <v>47222746.300000004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A242-0910-4E92-A461-DA397E54CBAB}">
  <dimension ref="A1:C16"/>
  <sheetViews>
    <sheetView workbookViewId="0">
      <selection activeCell="B15" sqref="B15"/>
    </sheetView>
  </sheetViews>
  <sheetFormatPr defaultRowHeight="14.45"/>
  <cols>
    <col min="3" max="3" width="8.85546875" style="2"/>
  </cols>
  <sheetData>
    <row r="1" spans="1:3">
      <c r="A1" t="s">
        <v>92</v>
      </c>
    </row>
    <row r="3" spans="1:3">
      <c r="A3" t="s">
        <v>93</v>
      </c>
      <c r="B3">
        <v>63467</v>
      </c>
      <c r="C3" s="2">
        <f>B3*0.002</f>
        <v>126.934</v>
      </c>
    </row>
    <row r="4" spans="1:3">
      <c r="A4" t="s">
        <v>94</v>
      </c>
      <c r="B4">
        <v>938</v>
      </c>
      <c r="C4" s="2">
        <f t="shared" ref="C4:C14" si="0">B4*0.002</f>
        <v>1.8760000000000001</v>
      </c>
    </row>
    <row r="5" spans="1:3">
      <c r="A5" t="s">
        <v>95</v>
      </c>
      <c r="B5">
        <v>938</v>
      </c>
      <c r="C5" s="2">
        <f t="shared" si="0"/>
        <v>1.8760000000000001</v>
      </c>
    </row>
    <row r="6" spans="1:3">
      <c r="A6" t="s">
        <v>96</v>
      </c>
      <c r="B6">
        <v>37975</v>
      </c>
      <c r="C6" s="2">
        <f t="shared" si="0"/>
        <v>75.95</v>
      </c>
    </row>
    <row r="7" spans="1:3">
      <c r="A7" t="s">
        <v>97</v>
      </c>
      <c r="B7">
        <v>464150</v>
      </c>
      <c r="C7" s="2">
        <f t="shared" si="0"/>
        <v>928.30000000000007</v>
      </c>
    </row>
    <row r="8" spans="1:3">
      <c r="A8" t="s">
        <v>98</v>
      </c>
      <c r="B8">
        <v>1152985</v>
      </c>
      <c r="C8" s="2">
        <f t="shared" si="0"/>
        <v>2305.9700000000003</v>
      </c>
    </row>
    <row r="9" spans="1:3">
      <c r="A9" t="s">
        <v>99</v>
      </c>
      <c r="B9">
        <v>1596452</v>
      </c>
      <c r="C9" s="2">
        <f t="shared" si="0"/>
        <v>3192.904</v>
      </c>
    </row>
    <row r="10" spans="1:3">
      <c r="A10" t="s">
        <v>100</v>
      </c>
      <c r="B10">
        <v>227269</v>
      </c>
      <c r="C10" s="2">
        <f t="shared" si="0"/>
        <v>454.53800000000001</v>
      </c>
    </row>
    <row r="11" spans="1:3">
      <c r="A11" t="s">
        <v>101</v>
      </c>
      <c r="B11">
        <v>949600</v>
      </c>
      <c r="C11" s="2">
        <f t="shared" si="0"/>
        <v>1899.2</v>
      </c>
    </row>
    <row r="12" spans="1:3">
      <c r="A12" t="s">
        <v>102</v>
      </c>
      <c r="B12">
        <v>949600</v>
      </c>
      <c r="C12" s="2">
        <f t="shared" si="0"/>
        <v>1899.2</v>
      </c>
    </row>
    <row r="13" spans="1:3">
      <c r="A13" t="s">
        <v>103</v>
      </c>
      <c r="B13">
        <v>2032848</v>
      </c>
      <c r="C13" s="2">
        <f t="shared" si="0"/>
        <v>4065.6959999999999</v>
      </c>
    </row>
    <row r="14" spans="1:3">
      <c r="A14" t="s">
        <v>104</v>
      </c>
      <c r="B14">
        <v>2619938</v>
      </c>
      <c r="C14" s="2">
        <f t="shared" si="0"/>
        <v>5239.8760000000002</v>
      </c>
    </row>
    <row r="16" spans="1:3">
      <c r="C16" s="2">
        <f>SUM(C3:C15)</f>
        <v>20192.32</v>
      </c>
    </row>
  </sheetData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A1E4-8160-48C8-BABC-214DD704FB6A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Samir Patel</dc:creator>
  <cp:keywords/>
  <dc:description/>
  <cp:lastModifiedBy>Yash Patel</cp:lastModifiedBy>
  <cp:revision/>
  <dcterms:created xsi:type="dcterms:W3CDTF">2023-01-17T10:27:46Z</dcterms:created>
  <dcterms:modified xsi:type="dcterms:W3CDTF">2026-07-14T10:37:39Z</dcterms:modified>
  <cp:category/>
  <cp:contentStatus/>
</cp:coreProperties>
</file>