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filterPrivacy="1" codeName="ThisWorkbook" defaultThemeVersion="124226"/>
  <xr:revisionPtr revIDLastSave="94" documentId="11_D36A57AAB285EA47AE23C02CF18E6DBA1DE0E9F0" xr6:coauthVersionLast="46" xr6:coauthVersionMax="46" xr10:uidLastSave="{50BF3991-B6E3-450A-A192-B00D5FBCA873}"/>
  <bookViews>
    <workbookView xWindow="-120" yWindow="-120" windowWidth="20730" windowHeight="11160" firstSheet="5" activeTab="10" xr2:uid="{00000000-000D-0000-FFFF-FFFF00000000}"/>
  </bookViews>
  <sheets>
    <sheet name="01Jan20" sheetId="76" r:id="rId1"/>
    <sheet name="02Jan20" sheetId="77" r:id="rId2"/>
    <sheet name="13Jan20" sheetId="78" r:id="rId3"/>
    <sheet name="24Jan20" sheetId="79" r:id="rId4"/>
    <sheet name="06Feb20" sheetId="80" r:id="rId5"/>
    <sheet name="07Feb20" sheetId="81" r:id="rId6"/>
    <sheet name="12Feb20" sheetId="82" r:id="rId7"/>
    <sheet name="20Mar20" sheetId="83" r:id="rId8"/>
    <sheet name="03Apr20" sheetId="84" r:id="rId9"/>
    <sheet name="22Apr20" sheetId="85" r:id="rId10"/>
    <sheet name="01Jun20" sheetId="86" r:id="rId11"/>
    <sheet name="02Jun20" sheetId="87" r:id="rId12"/>
    <sheet name="08Jun20" sheetId="88" r:id="rId13"/>
    <sheet name="26Jun20" sheetId="89" r:id="rId14"/>
    <sheet name="05Aug20" sheetId="90" r:id="rId15"/>
    <sheet name="07Aug20" sheetId="91" r:id="rId16"/>
    <sheet name="10Aug20" sheetId="92" r:id="rId17"/>
    <sheet name="21Aug20" sheetId="93" r:id="rId18"/>
    <sheet name="28Aug20" sheetId="94" r:id="rId19"/>
    <sheet name="01Sep20" sheetId="95" r:id="rId20"/>
    <sheet name="03Sep20" sheetId="96" r:id="rId21"/>
    <sheet name="26Oct20" sheetId="97" r:id="rId22"/>
    <sheet name="28Oct20" sheetId="98" r:id="rId23"/>
    <sheet name="11Nov20" sheetId="99" r:id="rId24"/>
    <sheet name="09Dec20" sheetId="100" r:id="rId25"/>
    <sheet name="31Dec20" sheetId="101" r:id="rId26"/>
    <sheet name="Liquid" sheetId="2" r:id="rId27"/>
    <sheet name="Sheet3" sheetId="3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01" l="1"/>
  <c r="D20" i="101" s="1"/>
  <c r="B19" i="101"/>
  <c r="D19" i="101" s="1"/>
  <c r="D18" i="101"/>
  <c r="B18" i="101"/>
  <c r="B17" i="101"/>
  <c r="D17" i="101" s="1"/>
  <c r="B16" i="101"/>
  <c r="D16" i="101" s="1"/>
  <c r="B15" i="101"/>
  <c r="D15" i="101" s="1"/>
  <c r="D14" i="101"/>
  <c r="B14" i="101"/>
  <c r="D13" i="101"/>
  <c r="D12" i="101"/>
  <c r="B11" i="101"/>
  <c r="D11" i="101" s="1"/>
  <c r="B10" i="101"/>
  <c r="D10" i="101" s="1"/>
  <c r="D9" i="101"/>
  <c r="B9" i="101"/>
  <c r="D8" i="101"/>
  <c r="B8" i="101"/>
  <c r="B7" i="101"/>
  <c r="D7" i="101" s="1"/>
  <c r="B6" i="101"/>
  <c r="D6" i="101" s="1"/>
  <c r="D5" i="101"/>
  <c r="B5" i="101"/>
  <c r="C4" i="2"/>
  <c r="C5" i="2"/>
  <c r="C6" i="2"/>
  <c r="C7" i="2"/>
  <c r="C8" i="2"/>
  <c r="C9" i="2"/>
  <c r="C10" i="2"/>
  <c r="C11" i="2"/>
  <c r="C12" i="2"/>
  <c r="C13" i="2"/>
  <c r="C14" i="2"/>
  <c r="C3" i="2"/>
  <c r="D22" i="101" l="1"/>
  <c r="E7" i="101" s="1"/>
  <c r="B8" i="100"/>
  <c r="E6" i="101" l="1"/>
  <c r="E8" i="101"/>
  <c r="E16" i="101"/>
  <c r="E17" i="101"/>
  <c r="E13" i="101"/>
  <c r="E19" i="101"/>
  <c r="E20" i="101"/>
  <c r="E18" i="101"/>
  <c r="E14" i="101"/>
  <c r="E15" i="101"/>
  <c r="E10" i="101"/>
  <c r="E11" i="101"/>
  <c r="E12" i="101"/>
  <c r="E9" i="101"/>
  <c r="E5" i="101"/>
  <c r="B6" i="100"/>
  <c r="B15" i="100" l="1"/>
  <c r="D15" i="100" s="1"/>
  <c r="B20" i="100"/>
  <c r="D20" i="100" s="1"/>
  <c r="B19" i="100"/>
  <c r="D19" i="100" s="1"/>
  <c r="B18" i="100"/>
  <c r="D18" i="100" s="1"/>
  <c r="B17" i="100"/>
  <c r="D17" i="100" s="1"/>
  <c r="B16" i="100"/>
  <c r="D16" i="100" s="1"/>
  <c r="B14" i="100"/>
  <c r="D14" i="100" s="1"/>
  <c r="D13" i="100"/>
  <c r="D12" i="100"/>
  <c r="B11" i="100"/>
  <c r="D11" i="100" s="1"/>
  <c r="B10" i="100"/>
  <c r="D10" i="100" s="1"/>
  <c r="B9" i="100"/>
  <c r="D9" i="100" s="1"/>
  <c r="D8" i="100"/>
  <c r="B7" i="100"/>
  <c r="D7" i="100" s="1"/>
  <c r="D6" i="100"/>
  <c r="B5" i="100"/>
  <c r="D5" i="100" s="1"/>
  <c r="D22" i="100" l="1"/>
  <c r="E6" i="100" s="1"/>
  <c r="B21" i="99"/>
  <c r="E14" i="100" l="1"/>
  <c r="E10" i="100"/>
  <c r="E15" i="100"/>
  <c r="E11" i="100"/>
  <c r="E16" i="100"/>
  <c r="E12" i="100"/>
  <c r="E8" i="100"/>
  <c r="E20" i="100"/>
  <c r="E7" i="100"/>
  <c r="E13" i="100"/>
  <c r="E5" i="100"/>
  <c r="E19" i="100"/>
  <c r="E17" i="100"/>
  <c r="E9" i="100"/>
  <c r="E18" i="100"/>
  <c r="B5" i="99"/>
  <c r="D5" i="99" s="1"/>
  <c r="D13" i="99"/>
  <c r="B10" i="99"/>
  <c r="D10" i="99" s="1"/>
  <c r="D21" i="99"/>
  <c r="B20" i="99"/>
  <c r="D20" i="99" s="1"/>
  <c r="D19" i="99"/>
  <c r="B19" i="99"/>
  <c r="B18" i="99"/>
  <c r="D18" i="99" s="1"/>
  <c r="B17" i="99"/>
  <c r="D17" i="99" s="1"/>
  <c r="B16" i="99"/>
  <c r="D16" i="99" s="1"/>
  <c r="D15" i="99"/>
  <c r="B15" i="99"/>
  <c r="D14" i="99"/>
  <c r="B12" i="99"/>
  <c r="D12" i="99" s="1"/>
  <c r="D11" i="99"/>
  <c r="B11" i="99"/>
  <c r="B9" i="99"/>
  <c r="D9" i="99" s="1"/>
  <c r="B8" i="99"/>
  <c r="D8" i="99" s="1"/>
  <c r="D7" i="99"/>
  <c r="B7" i="99"/>
  <c r="B6" i="99"/>
  <c r="D6" i="99" s="1"/>
  <c r="D23" i="99" l="1"/>
  <c r="E8" i="99" s="1"/>
  <c r="E11" i="99"/>
  <c r="E15" i="99"/>
  <c r="E6" i="99"/>
  <c r="E9" i="99"/>
  <c r="E12" i="99"/>
  <c r="E16" i="99"/>
  <c r="E19" i="99"/>
  <c r="E10" i="99"/>
  <c r="E14" i="99"/>
  <c r="E17" i="99"/>
  <c r="E20" i="99"/>
  <c r="E7" i="99"/>
  <c r="E18" i="99"/>
  <c r="E21" i="99"/>
  <c r="B20" i="98"/>
  <c r="E5" i="99" l="1"/>
  <c r="E13" i="99"/>
  <c r="B6" i="98"/>
  <c r="D6" i="98" s="1"/>
  <c r="D20" i="98"/>
  <c r="D19" i="98"/>
  <c r="B19" i="98"/>
  <c r="B18" i="98"/>
  <c r="D18" i="98" s="1"/>
  <c r="B17" i="98"/>
  <c r="D17" i="98" s="1"/>
  <c r="B16" i="98"/>
  <c r="D16" i="98" s="1"/>
  <c r="D15" i="98"/>
  <c r="B15" i="98"/>
  <c r="B14" i="98"/>
  <c r="D14" i="98" s="1"/>
  <c r="D13" i="98"/>
  <c r="D12" i="98"/>
  <c r="B12" i="98"/>
  <c r="B11" i="98"/>
  <c r="D11" i="98" s="1"/>
  <c r="B10" i="98"/>
  <c r="D10" i="98" s="1"/>
  <c r="B9" i="98"/>
  <c r="D9" i="98" s="1"/>
  <c r="D8" i="98"/>
  <c r="B8" i="98"/>
  <c r="B7" i="98"/>
  <c r="D7" i="98" s="1"/>
  <c r="B5" i="98"/>
  <c r="D5" i="98" s="1"/>
  <c r="D22" i="98" l="1"/>
  <c r="E5" i="98"/>
  <c r="E8" i="98"/>
  <c r="E18" i="98"/>
  <c r="E6" i="98"/>
  <c r="E9" i="98"/>
  <c r="E12" i="98"/>
  <c r="E15" i="98"/>
  <c r="E7" i="98"/>
  <c r="E10" i="98"/>
  <c r="E13" i="98"/>
  <c r="E16" i="98"/>
  <c r="E19" i="98"/>
  <c r="E11" i="98"/>
  <c r="E14" i="98"/>
  <c r="E17" i="98"/>
  <c r="E20" i="98"/>
  <c r="B20" i="97"/>
  <c r="B16" i="97" l="1"/>
  <c r="D20" i="97"/>
  <c r="B19" i="97"/>
  <c r="D19" i="97" s="1"/>
  <c r="B18" i="97"/>
  <c r="D18" i="97" s="1"/>
  <c r="B17" i="97"/>
  <c r="D17" i="97" s="1"/>
  <c r="D16" i="97"/>
  <c r="B15" i="97"/>
  <c r="D15" i="97" s="1"/>
  <c r="B14" i="97"/>
  <c r="D14" i="97" s="1"/>
  <c r="D13" i="97"/>
  <c r="B12" i="97"/>
  <c r="D12" i="97" s="1"/>
  <c r="B11" i="97"/>
  <c r="D11" i="97" s="1"/>
  <c r="D10" i="97"/>
  <c r="B10" i="97"/>
  <c r="B9" i="97"/>
  <c r="D9" i="97" s="1"/>
  <c r="B8" i="97"/>
  <c r="D8" i="97" s="1"/>
  <c r="B7" i="97"/>
  <c r="D7" i="97" s="1"/>
  <c r="B6" i="97"/>
  <c r="D6" i="97" s="1"/>
  <c r="B5" i="97"/>
  <c r="D5" i="97" s="1"/>
  <c r="D22" i="97" l="1"/>
  <c r="E12" i="97" s="1"/>
  <c r="E15" i="97"/>
  <c r="E9" i="97"/>
  <c r="B20" i="96"/>
  <c r="E19" i="97" l="1"/>
  <c r="E14" i="97"/>
  <c r="E16" i="97"/>
  <c r="E20" i="97"/>
  <c r="E11" i="97"/>
  <c r="E10" i="97"/>
  <c r="E13" i="97"/>
  <c r="E17" i="97"/>
  <c r="E6" i="97"/>
  <c r="E5" i="97"/>
  <c r="E8" i="97"/>
  <c r="E7" i="97"/>
  <c r="E18" i="97"/>
  <c r="B15" i="96"/>
  <c r="D20" i="96"/>
  <c r="D19" i="96"/>
  <c r="B19" i="96"/>
  <c r="B18" i="96"/>
  <c r="D18" i="96" s="1"/>
  <c r="B17" i="96"/>
  <c r="D17" i="96" s="1"/>
  <c r="B16" i="96"/>
  <c r="D16" i="96" s="1"/>
  <c r="D15" i="96"/>
  <c r="B14" i="96"/>
  <c r="D14" i="96" s="1"/>
  <c r="D13" i="96"/>
  <c r="B12" i="96"/>
  <c r="D12" i="96" s="1"/>
  <c r="B11" i="96"/>
  <c r="D11" i="96" s="1"/>
  <c r="D10" i="96"/>
  <c r="B10" i="96"/>
  <c r="B9" i="96"/>
  <c r="D9" i="96" s="1"/>
  <c r="B8" i="96"/>
  <c r="D8" i="96" s="1"/>
  <c r="B7" i="96"/>
  <c r="D7" i="96" s="1"/>
  <c r="B6" i="96"/>
  <c r="D6" i="96" s="1"/>
  <c r="B5" i="96"/>
  <c r="D5" i="96" s="1"/>
  <c r="D22" i="96" l="1"/>
  <c r="E12" i="96" s="1"/>
  <c r="E18" i="96"/>
  <c r="E9" i="96"/>
  <c r="E17" i="96"/>
  <c r="B20" i="95"/>
  <c r="D20" i="95" s="1"/>
  <c r="B9" i="95"/>
  <c r="D9" i="95" s="1"/>
  <c r="B19" i="95"/>
  <c r="D19" i="95" s="1"/>
  <c r="B18" i="95"/>
  <c r="D18" i="95" s="1"/>
  <c r="B17" i="95"/>
  <c r="D17" i="95" s="1"/>
  <c r="B16" i="95"/>
  <c r="D16" i="95" s="1"/>
  <c r="B15" i="95"/>
  <c r="D15" i="95" s="1"/>
  <c r="B14" i="95"/>
  <c r="D14" i="95" s="1"/>
  <c r="D13" i="95"/>
  <c r="B12" i="95"/>
  <c r="D12" i="95" s="1"/>
  <c r="B11" i="95"/>
  <c r="D11" i="95" s="1"/>
  <c r="B10" i="95"/>
  <c r="D10" i="95" s="1"/>
  <c r="B8" i="95"/>
  <c r="D8" i="95" s="1"/>
  <c r="B7" i="95"/>
  <c r="D7" i="95" s="1"/>
  <c r="B6" i="95"/>
  <c r="D6" i="95" s="1"/>
  <c r="B5" i="95"/>
  <c r="D5" i="95" s="1"/>
  <c r="E15" i="96" l="1"/>
  <c r="E19" i="96"/>
  <c r="E16" i="96"/>
  <c r="E5" i="96"/>
  <c r="E14" i="96"/>
  <c r="E6" i="96"/>
  <c r="E13" i="96"/>
  <c r="E7" i="96"/>
  <c r="E20" i="96"/>
  <c r="E11" i="96"/>
  <c r="E8" i="96"/>
  <c r="E10" i="96"/>
  <c r="D22" i="95"/>
  <c r="E16" i="95" s="1"/>
  <c r="B6" i="94"/>
  <c r="D6" i="94" s="1"/>
  <c r="B21" i="94"/>
  <c r="D21" i="94" s="1"/>
  <c r="D20" i="94"/>
  <c r="B20" i="94"/>
  <c r="B19" i="94"/>
  <c r="D19" i="94" s="1"/>
  <c r="B18" i="94"/>
  <c r="D18" i="94" s="1"/>
  <c r="B17" i="94"/>
  <c r="D17" i="94" s="1"/>
  <c r="B16" i="94"/>
  <c r="D16" i="94" s="1"/>
  <c r="B15" i="94"/>
  <c r="D15" i="94" s="1"/>
  <c r="D14" i="94"/>
  <c r="B13" i="94"/>
  <c r="D13" i="94" s="1"/>
  <c r="B12" i="94"/>
  <c r="D12" i="94" s="1"/>
  <c r="B11" i="94"/>
  <c r="D11" i="94" s="1"/>
  <c r="B10" i="94"/>
  <c r="D10" i="94" s="1"/>
  <c r="B9" i="94"/>
  <c r="D9" i="94" s="1"/>
  <c r="B8" i="94"/>
  <c r="D8" i="94" s="1"/>
  <c r="B7" i="94"/>
  <c r="D7" i="94" s="1"/>
  <c r="B5" i="94"/>
  <c r="D5" i="94" s="1"/>
  <c r="E20" i="95" l="1"/>
  <c r="E9" i="95"/>
  <c r="E13" i="95"/>
  <c r="E5" i="95"/>
  <c r="E17" i="95"/>
  <c r="E15" i="95"/>
  <c r="E11" i="95"/>
  <c r="E10" i="95"/>
  <c r="E6" i="95"/>
  <c r="E18" i="95"/>
  <c r="E7" i="95"/>
  <c r="E12" i="95"/>
  <c r="E14" i="95"/>
  <c r="E8" i="95"/>
  <c r="E19" i="95"/>
  <c r="D23" i="94"/>
  <c r="E6" i="94" s="1"/>
  <c r="B22" i="93"/>
  <c r="E21" i="94" l="1"/>
  <c r="E20" i="94"/>
  <c r="E17" i="94"/>
  <c r="E12" i="94"/>
  <c r="E16" i="94"/>
  <c r="E5" i="94"/>
  <c r="E13" i="94"/>
  <c r="E18" i="94"/>
  <c r="E14" i="94"/>
  <c r="E11" i="94"/>
  <c r="E10" i="94"/>
  <c r="E9" i="94"/>
  <c r="E15" i="94"/>
  <c r="E8" i="94"/>
  <c r="E19" i="94"/>
  <c r="E7" i="94"/>
  <c r="B5" i="93"/>
  <c r="B7" i="93"/>
  <c r="D7" i="93" s="1"/>
  <c r="D22" i="93"/>
  <c r="B21" i="93"/>
  <c r="D21" i="93" s="1"/>
  <c r="B20" i="93"/>
  <c r="D20" i="93" s="1"/>
  <c r="B19" i="93"/>
  <c r="D19" i="93" s="1"/>
  <c r="B18" i="93"/>
  <c r="D18" i="93" s="1"/>
  <c r="B17" i="93"/>
  <c r="D17" i="93" s="1"/>
  <c r="B16" i="93"/>
  <c r="D16" i="93" s="1"/>
  <c r="D15" i="93"/>
  <c r="B14" i="93"/>
  <c r="D14" i="93" s="1"/>
  <c r="B13" i="93"/>
  <c r="D13" i="93" s="1"/>
  <c r="B12" i="93"/>
  <c r="D12" i="93" s="1"/>
  <c r="B11" i="93"/>
  <c r="D11" i="93" s="1"/>
  <c r="B10" i="93"/>
  <c r="D10" i="93" s="1"/>
  <c r="B9" i="93"/>
  <c r="D9" i="93" s="1"/>
  <c r="B8" i="93"/>
  <c r="D8" i="93" s="1"/>
  <c r="B6" i="93"/>
  <c r="D6" i="93" s="1"/>
  <c r="D5" i="93"/>
  <c r="D24" i="93" l="1"/>
  <c r="E22" i="93" s="1"/>
  <c r="B23" i="92"/>
  <c r="B15" i="92"/>
  <c r="E9" i="93" l="1"/>
  <c r="E8" i="93"/>
  <c r="E11" i="93"/>
  <c r="E13" i="93"/>
  <c r="E15" i="93"/>
  <c r="E5" i="93"/>
  <c r="E20" i="93"/>
  <c r="E10" i="93"/>
  <c r="E18" i="93"/>
  <c r="E6" i="93"/>
  <c r="E17" i="93"/>
  <c r="E19" i="93"/>
  <c r="E7" i="93"/>
  <c r="E12" i="93"/>
  <c r="E21" i="93"/>
  <c r="E14" i="93"/>
  <c r="E16" i="93"/>
  <c r="D23" i="92"/>
  <c r="B22" i="92"/>
  <c r="D22" i="92" s="1"/>
  <c r="B21" i="92"/>
  <c r="D21" i="92" s="1"/>
  <c r="B20" i="92"/>
  <c r="D20" i="92" s="1"/>
  <c r="B19" i="92"/>
  <c r="D19" i="92" s="1"/>
  <c r="B18" i="92"/>
  <c r="D18" i="92" s="1"/>
  <c r="B17" i="92"/>
  <c r="D17" i="92" s="1"/>
  <c r="D16" i="92"/>
  <c r="D15" i="92"/>
  <c r="B14" i="92"/>
  <c r="D14" i="92" s="1"/>
  <c r="B13" i="92"/>
  <c r="D13" i="92" s="1"/>
  <c r="B12" i="92"/>
  <c r="D12" i="92" s="1"/>
  <c r="B11" i="92"/>
  <c r="D11" i="92" s="1"/>
  <c r="B10" i="92"/>
  <c r="D10" i="92" s="1"/>
  <c r="B9" i="92"/>
  <c r="D9" i="92" s="1"/>
  <c r="B8" i="92"/>
  <c r="D8" i="92" s="1"/>
  <c r="B7" i="92"/>
  <c r="D7" i="92" s="1"/>
  <c r="B6" i="92"/>
  <c r="D6" i="92" s="1"/>
  <c r="D5" i="92"/>
  <c r="D25" i="92" l="1"/>
  <c r="E8" i="92"/>
  <c r="E19" i="92"/>
  <c r="E23" i="92"/>
  <c r="B9" i="91"/>
  <c r="B24" i="91"/>
  <c r="D24" i="91" s="1"/>
  <c r="B16" i="91"/>
  <c r="B15" i="91"/>
  <c r="D9" i="91"/>
  <c r="B23" i="91"/>
  <c r="B22" i="91"/>
  <c r="D22" i="91" s="1"/>
  <c r="B21" i="91"/>
  <c r="D20" i="91"/>
  <c r="B20" i="91"/>
  <c r="B19" i="91"/>
  <c r="D19" i="91" s="1"/>
  <c r="B18" i="91"/>
  <c r="D18" i="91" s="1"/>
  <c r="D17" i="91"/>
  <c r="D16" i="91"/>
  <c r="D15" i="91"/>
  <c r="B14" i="91"/>
  <c r="D14" i="91" s="1"/>
  <c r="D13" i="91"/>
  <c r="B13" i="91"/>
  <c r="B12" i="91"/>
  <c r="D12" i="91" s="1"/>
  <c r="B11" i="91"/>
  <c r="B10" i="91"/>
  <c r="D10" i="91" s="1"/>
  <c r="B8" i="91"/>
  <c r="D8" i="91" s="1"/>
  <c r="B7" i="91"/>
  <c r="D7" i="91" s="1"/>
  <c r="B6" i="91"/>
  <c r="D6" i="91" s="1"/>
  <c r="D5" i="91"/>
  <c r="E5" i="92" l="1"/>
  <c r="E9" i="92"/>
  <c r="E16" i="92"/>
  <c r="E22" i="92"/>
  <c r="E18" i="92"/>
  <c r="E14" i="92"/>
  <c r="E13" i="92"/>
  <c r="E15" i="92"/>
  <c r="E20" i="92"/>
  <c r="E21" i="92"/>
  <c r="E10" i="92"/>
  <c r="E6" i="92"/>
  <c r="E7" i="92"/>
  <c r="E17" i="92"/>
  <c r="E11" i="92"/>
  <c r="E12" i="92"/>
  <c r="D11" i="91"/>
  <c r="D26" i="91" s="1"/>
  <c r="D21" i="91"/>
  <c r="D23" i="91"/>
  <c r="B24" i="90"/>
  <c r="D5" i="90"/>
  <c r="E17" i="91" l="1"/>
  <c r="E5" i="91"/>
  <c r="E10" i="91"/>
  <c r="E18" i="91"/>
  <c r="E8" i="91"/>
  <c r="E7" i="91"/>
  <c r="E11" i="91"/>
  <c r="D24" i="90"/>
  <c r="B23" i="90"/>
  <c r="D23" i="90" s="1"/>
  <c r="B22" i="90"/>
  <c r="D22" i="90" s="1"/>
  <c r="B21" i="90"/>
  <c r="D21" i="90" s="1"/>
  <c r="B20" i="90"/>
  <c r="D20" i="90" s="1"/>
  <c r="B19" i="90"/>
  <c r="D19" i="90" s="1"/>
  <c r="B18" i="90"/>
  <c r="D18" i="90" s="1"/>
  <c r="D17" i="90"/>
  <c r="B16" i="90"/>
  <c r="D16" i="90" s="1"/>
  <c r="B15" i="90"/>
  <c r="D15" i="90" s="1"/>
  <c r="B14" i="90"/>
  <c r="D14" i="90" s="1"/>
  <c r="B13" i="90"/>
  <c r="D13" i="90" s="1"/>
  <c r="B12" i="90"/>
  <c r="D12" i="90" s="1"/>
  <c r="B11" i="90"/>
  <c r="D11" i="90" s="1"/>
  <c r="B10" i="90"/>
  <c r="D10" i="90" s="1"/>
  <c r="B9" i="90"/>
  <c r="D9" i="90" s="1"/>
  <c r="B8" i="90"/>
  <c r="D8" i="90" s="1"/>
  <c r="B7" i="90"/>
  <c r="D7" i="90" s="1"/>
  <c r="B6" i="90"/>
  <c r="D6" i="90" s="1"/>
  <c r="D26" i="90" s="1"/>
  <c r="E13" i="91" l="1"/>
  <c r="E6" i="91"/>
  <c r="E9" i="91"/>
  <c r="E15" i="91"/>
  <c r="E16" i="91"/>
  <c r="E19" i="91"/>
  <c r="E24" i="91"/>
  <c r="E23" i="91"/>
  <c r="E14" i="91"/>
  <c r="E12" i="91"/>
  <c r="E21" i="91"/>
  <c r="E22" i="91"/>
  <c r="E20" i="91"/>
  <c r="E5" i="90"/>
  <c r="E6" i="90"/>
  <c r="E9" i="90"/>
  <c r="E7" i="90"/>
  <c r="E10" i="90"/>
  <c r="E12" i="90"/>
  <c r="E15" i="90"/>
  <c r="E18" i="90"/>
  <c r="E11" i="90"/>
  <c r="E13" i="90"/>
  <c r="E16" i="90"/>
  <c r="E19" i="90"/>
  <c r="E22" i="90"/>
  <c r="E8" i="90"/>
  <c r="E14" i="90"/>
  <c r="E17" i="90"/>
  <c r="E20" i="90"/>
  <c r="E23" i="90"/>
  <c r="E21" i="90"/>
  <c r="E24" i="90"/>
  <c r="B11" i="89"/>
  <c r="B24" i="89"/>
  <c r="B19" i="89"/>
  <c r="B8" i="89"/>
  <c r="D24" i="89" l="1"/>
  <c r="B23" i="89"/>
  <c r="D23" i="89" s="1"/>
  <c r="B22" i="89"/>
  <c r="D22" i="89" s="1"/>
  <c r="B21" i="89"/>
  <c r="D21" i="89" s="1"/>
  <c r="B20" i="89"/>
  <c r="D20" i="89" s="1"/>
  <c r="D19" i="89"/>
  <c r="B18" i="89"/>
  <c r="D18" i="89" s="1"/>
  <c r="D17" i="89"/>
  <c r="B16" i="89"/>
  <c r="D16" i="89" s="1"/>
  <c r="B15" i="89"/>
  <c r="D15" i="89" s="1"/>
  <c r="B14" i="89"/>
  <c r="D14" i="89" s="1"/>
  <c r="B13" i="89"/>
  <c r="D13" i="89" s="1"/>
  <c r="B12" i="89"/>
  <c r="D12" i="89" s="1"/>
  <c r="D11" i="89"/>
  <c r="B10" i="89"/>
  <c r="D10" i="89" s="1"/>
  <c r="B9" i="89"/>
  <c r="D9" i="89" s="1"/>
  <c r="D8" i="89"/>
  <c r="B7" i="89"/>
  <c r="D7" i="89" s="1"/>
  <c r="B6" i="89"/>
  <c r="D6" i="89" s="1"/>
  <c r="B5" i="89"/>
  <c r="D5" i="89" s="1"/>
  <c r="D26" i="89" l="1"/>
  <c r="E9" i="89" s="1"/>
  <c r="B10" i="88"/>
  <c r="E5" i="89" l="1"/>
  <c r="E21" i="89"/>
  <c r="E24" i="89"/>
  <c r="E20" i="89"/>
  <c r="E18" i="89"/>
  <c r="E16" i="89"/>
  <c r="E11" i="89"/>
  <c r="E10" i="89"/>
  <c r="E17" i="89"/>
  <c r="E12" i="89"/>
  <c r="E13" i="89"/>
  <c r="E8" i="89"/>
  <c r="E6" i="89"/>
  <c r="E14" i="89"/>
  <c r="E22" i="89"/>
  <c r="E15" i="89"/>
  <c r="E23" i="89"/>
  <c r="E7" i="89"/>
  <c r="E19" i="89"/>
  <c r="B12" i="88"/>
  <c r="B24" i="88" l="1"/>
  <c r="D24" i="88" s="1"/>
  <c r="B23" i="88"/>
  <c r="D23" i="88" s="1"/>
  <c r="B22" i="88"/>
  <c r="D22" i="88" s="1"/>
  <c r="B21" i="88"/>
  <c r="D21" i="88" s="1"/>
  <c r="B20" i="88"/>
  <c r="D20" i="88" s="1"/>
  <c r="B19" i="88"/>
  <c r="D19" i="88" s="1"/>
  <c r="B18" i="88"/>
  <c r="D18" i="88" s="1"/>
  <c r="D17" i="88"/>
  <c r="B16" i="88"/>
  <c r="D16" i="88" s="1"/>
  <c r="B15" i="88"/>
  <c r="D15" i="88" s="1"/>
  <c r="B14" i="88"/>
  <c r="D14" i="88" s="1"/>
  <c r="B13" i="88"/>
  <c r="D13" i="88" s="1"/>
  <c r="D12" i="88"/>
  <c r="B11" i="88"/>
  <c r="D11" i="88" s="1"/>
  <c r="D10" i="88"/>
  <c r="B9" i="88"/>
  <c r="D9" i="88" s="1"/>
  <c r="B8" i="88"/>
  <c r="D8" i="88" s="1"/>
  <c r="B7" i="88"/>
  <c r="D7" i="88" s="1"/>
  <c r="B6" i="88"/>
  <c r="D6" i="88" s="1"/>
  <c r="B5" i="88"/>
  <c r="D5" i="88" s="1"/>
  <c r="D26" i="88" l="1"/>
  <c r="E18" i="88" s="1"/>
  <c r="B24" i="87"/>
  <c r="B8" i="87"/>
  <c r="E9" i="88" l="1"/>
  <c r="E14" i="88"/>
  <c r="E21" i="88"/>
  <c r="E23" i="88"/>
  <c r="E6" i="88"/>
  <c r="E11" i="88"/>
  <c r="E13" i="88"/>
  <c r="E12" i="88"/>
  <c r="E17" i="88"/>
  <c r="E19" i="88"/>
  <c r="E5" i="88"/>
  <c r="E16" i="88"/>
  <c r="E24" i="88"/>
  <c r="E15" i="88"/>
  <c r="E20" i="88"/>
  <c r="E22" i="88"/>
  <c r="E8" i="88"/>
  <c r="E10" i="88"/>
  <c r="E7" i="88"/>
  <c r="B12" i="87"/>
  <c r="D12" i="87" s="1"/>
  <c r="D24" i="87"/>
  <c r="B23" i="87"/>
  <c r="D23" i="87" s="1"/>
  <c r="B22" i="87"/>
  <c r="D22" i="87" s="1"/>
  <c r="B21" i="87"/>
  <c r="D21" i="87" s="1"/>
  <c r="B20" i="87"/>
  <c r="D20" i="87" s="1"/>
  <c r="B19" i="87"/>
  <c r="D19" i="87" s="1"/>
  <c r="B18" i="87"/>
  <c r="D18" i="87" s="1"/>
  <c r="D17" i="87"/>
  <c r="B16" i="87"/>
  <c r="D16" i="87" s="1"/>
  <c r="B15" i="87"/>
  <c r="D15" i="87" s="1"/>
  <c r="B14" i="87"/>
  <c r="D14" i="87" s="1"/>
  <c r="B13" i="87"/>
  <c r="D13" i="87" s="1"/>
  <c r="B11" i="87"/>
  <c r="D11" i="87" s="1"/>
  <c r="D10" i="87"/>
  <c r="B9" i="87"/>
  <c r="D9" i="87" s="1"/>
  <c r="D8" i="87"/>
  <c r="B7" i="87"/>
  <c r="D7" i="87" s="1"/>
  <c r="B6" i="87"/>
  <c r="D6" i="87" s="1"/>
  <c r="B5" i="87"/>
  <c r="D5" i="87" s="1"/>
  <c r="D26" i="87" l="1"/>
  <c r="E5" i="87" s="1"/>
  <c r="B24" i="86"/>
  <c r="E23" i="87" l="1"/>
  <c r="E22" i="87"/>
  <c r="E20" i="87"/>
  <c r="E21" i="87"/>
  <c r="E12" i="87"/>
  <c r="E6" i="87"/>
  <c r="E24" i="87"/>
  <c r="E19" i="87"/>
  <c r="E15" i="87"/>
  <c r="E17" i="87"/>
  <c r="E13" i="87"/>
  <c r="E11" i="87"/>
  <c r="E7" i="87"/>
  <c r="E10" i="87"/>
  <c r="E9" i="87"/>
  <c r="E8" i="87"/>
  <c r="E14" i="87"/>
  <c r="E16" i="87"/>
  <c r="E18" i="87"/>
  <c r="B15" i="86"/>
  <c r="D15" i="86" s="1"/>
  <c r="D8" i="86"/>
  <c r="D10" i="86"/>
  <c r="D24" i="86"/>
  <c r="B23" i="86"/>
  <c r="D23" i="86" s="1"/>
  <c r="B22" i="86"/>
  <c r="D22" i="86" s="1"/>
  <c r="B21" i="86"/>
  <c r="D21" i="86" s="1"/>
  <c r="B20" i="86"/>
  <c r="D20" i="86" s="1"/>
  <c r="B19" i="86"/>
  <c r="D19" i="86" s="1"/>
  <c r="B18" i="86"/>
  <c r="D18" i="86" s="1"/>
  <c r="D17" i="86"/>
  <c r="B16" i="86"/>
  <c r="D16" i="86" s="1"/>
  <c r="B14" i="86"/>
  <c r="D14" i="86" s="1"/>
  <c r="B13" i="86"/>
  <c r="D13" i="86" s="1"/>
  <c r="B12" i="86"/>
  <c r="D12" i="86" s="1"/>
  <c r="B11" i="86"/>
  <c r="D11" i="86" s="1"/>
  <c r="B9" i="86"/>
  <c r="D9" i="86" s="1"/>
  <c r="B7" i="86"/>
  <c r="D7" i="86" s="1"/>
  <c r="B6" i="86"/>
  <c r="D6" i="86" s="1"/>
  <c r="B5" i="86"/>
  <c r="D5" i="86" s="1"/>
  <c r="D26" i="86" l="1"/>
  <c r="E8" i="86" s="1"/>
  <c r="B18" i="85"/>
  <c r="B23" i="85"/>
  <c r="E18" i="86" l="1"/>
  <c r="E6" i="86"/>
  <c r="E13" i="86"/>
  <c r="E10" i="86"/>
  <c r="E20" i="86"/>
  <c r="E5" i="86"/>
  <c r="E14" i="86"/>
  <c r="E16" i="86"/>
  <c r="E21" i="86"/>
  <c r="E11" i="86"/>
  <c r="E7" i="86"/>
  <c r="E9" i="86"/>
  <c r="E22" i="86"/>
  <c r="E12" i="86"/>
  <c r="E17" i="86"/>
  <c r="E24" i="86"/>
  <c r="E23" i="86"/>
  <c r="E15" i="86"/>
  <c r="E19" i="86"/>
  <c r="B5" i="85"/>
  <c r="B17" i="85"/>
  <c r="D17" i="85" l="1"/>
  <c r="D23" i="85"/>
  <c r="B22" i="85"/>
  <c r="D22" i="85" s="1"/>
  <c r="B21" i="85"/>
  <c r="D21" i="85" s="1"/>
  <c r="B20" i="85"/>
  <c r="D20" i="85" s="1"/>
  <c r="B19" i="85"/>
  <c r="D19" i="85" s="1"/>
  <c r="D18" i="85"/>
  <c r="B16" i="85"/>
  <c r="D16" i="85" s="1"/>
  <c r="D15" i="85"/>
  <c r="B14" i="85"/>
  <c r="D14" i="85" s="1"/>
  <c r="B13" i="85"/>
  <c r="D13" i="85" s="1"/>
  <c r="B12" i="85"/>
  <c r="D12" i="85" s="1"/>
  <c r="B11" i="85"/>
  <c r="D11" i="85" s="1"/>
  <c r="B10" i="85"/>
  <c r="D10" i="85" s="1"/>
  <c r="B9" i="85"/>
  <c r="D9" i="85" s="1"/>
  <c r="B8" i="85"/>
  <c r="D8" i="85" s="1"/>
  <c r="B7" i="85"/>
  <c r="D7" i="85" s="1"/>
  <c r="B6" i="85"/>
  <c r="D6" i="85" s="1"/>
  <c r="D5" i="85"/>
  <c r="D25" i="85" l="1"/>
  <c r="E8" i="85" s="1"/>
  <c r="B23" i="84"/>
  <c r="E14" i="85" l="1"/>
  <c r="E5" i="85"/>
  <c r="E6" i="85"/>
  <c r="E23" i="85"/>
  <c r="E19" i="85"/>
  <c r="E9" i="85"/>
  <c r="E12" i="85"/>
  <c r="E13" i="85"/>
  <c r="E15" i="85"/>
  <c r="E11" i="85"/>
  <c r="E22" i="85"/>
  <c r="E18" i="85"/>
  <c r="E7" i="85"/>
  <c r="E16" i="85"/>
  <c r="E17" i="85"/>
  <c r="E21" i="85"/>
  <c r="E20" i="85"/>
  <c r="E10" i="85"/>
  <c r="B10" i="84"/>
  <c r="D10" i="84" s="1"/>
  <c r="D23" i="84"/>
  <c r="B22" i="84"/>
  <c r="D22" i="84" s="1"/>
  <c r="B21" i="84"/>
  <c r="D21" i="84" s="1"/>
  <c r="B20" i="84"/>
  <c r="D20" i="84" s="1"/>
  <c r="B19" i="84"/>
  <c r="D19" i="84" s="1"/>
  <c r="B18" i="84"/>
  <c r="D18" i="84" s="1"/>
  <c r="B17" i="84"/>
  <c r="D17" i="84" s="1"/>
  <c r="B16" i="84"/>
  <c r="D16" i="84" s="1"/>
  <c r="D15" i="84"/>
  <c r="B14" i="84"/>
  <c r="D14" i="84" s="1"/>
  <c r="B13" i="84"/>
  <c r="D13" i="84" s="1"/>
  <c r="B12" i="84"/>
  <c r="D12" i="84" s="1"/>
  <c r="B11" i="84"/>
  <c r="D11" i="84" s="1"/>
  <c r="B9" i="84"/>
  <c r="D9" i="84" s="1"/>
  <c r="B8" i="84"/>
  <c r="D8" i="84" s="1"/>
  <c r="B7" i="84"/>
  <c r="D7" i="84" s="1"/>
  <c r="B6" i="84"/>
  <c r="D6" i="84" s="1"/>
  <c r="B5" i="84"/>
  <c r="D5" i="84" s="1"/>
  <c r="D25" i="84" l="1"/>
  <c r="E18" i="84" s="1"/>
  <c r="B24" i="83"/>
  <c r="B18" i="83"/>
  <c r="E15" i="84" l="1"/>
  <c r="E23" i="84"/>
  <c r="E21" i="84"/>
  <c r="E5" i="84"/>
  <c r="E11" i="84"/>
  <c r="E20" i="84"/>
  <c r="E6" i="84"/>
  <c r="E22" i="84"/>
  <c r="E13" i="84"/>
  <c r="E9" i="84"/>
  <c r="E14" i="84"/>
  <c r="E10" i="84"/>
  <c r="E7" i="84"/>
  <c r="E16" i="84"/>
  <c r="E8" i="84"/>
  <c r="E17" i="84"/>
  <c r="E19" i="84"/>
  <c r="E12" i="84"/>
  <c r="B7" i="83"/>
  <c r="D7" i="83" s="1"/>
  <c r="B22" i="83"/>
  <c r="D22" i="83" s="1"/>
  <c r="B9" i="83"/>
  <c r="D9" i="83" s="1"/>
  <c r="B8" i="83"/>
  <c r="D8" i="83" s="1"/>
  <c r="D24" i="83"/>
  <c r="B23" i="83"/>
  <c r="D23" i="83" s="1"/>
  <c r="B21" i="83"/>
  <c r="D21" i="83" s="1"/>
  <c r="B20" i="83"/>
  <c r="D20" i="83" s="1"/>
  <c r="B19" i="83"/>
  <c r="D19" i="83" s="1"/>
  <c r="D18" i="83"/>
  <c r="B17" i="83"/>
  <c r="D17" i="83" s="1"/>
  <c r="D16" i="83"/>
  <c r="B15" i="83"/>
  <c r="D15" i="83" s="1"/>
  <c r="B14" i="83"/>
  <c r="D14" i="83" s="1"/>
  <c r="B13" i="83"/>
  <c r="D13" i="83" s="1"/>
  <c r="B12" i="83"/>
  <c r="D12" i="83" s="1"/>
  <c r="B11" i="83"/>
  <c r="D11" i="83" s="1"/>
  <c r="B10" i="83"/>
  <c r="D10" i="83" s="1"/>
  <c r="B6" i="83"/>
  <c r="D6" i="83" s="1"/>
  <c r="B5" i="83"/>
  <c r="D5" i="83" s="1"/>
  <c r="D26" i="83" l="1"/>
  <c r="E12" i="83" s="1"/>
  <c r="B18" i="82"/>
  <c r="B24" i="82"/>
  <c r="E17" i="83" l="1"/>
  <c r="E5" i="83"/>
  <c r="E16" i="83"/>
  <c r="E9" i="83"/>
  <c r="E19" i="83"/>
  <c r="E14" i="83"/>
  <c r="E13" i="83"/>
  <c r="E23" i="83"/>
  <c r="E6" i="83"/>
  <c r="E11" i="83"/>
  <c r="E20" i="83"/>
  <c r="E21" i="83"/>
  <c r="E10" i="83"/>
  <c r="E18" i="83"/>
  <c r="E24" i="83"/>
  <c r="E8" i="83"/>
  <c r="E22" i="83"/>
  <c r="E15" i="83"/>
  <c r="E7" i="83"/>
  <c r="B22" i="82"/>
  <c r="D22" i="82" s="1"/>
  <c r="B7" i="82"/>
  <c r="D7" i="82" s="1"/>
  <c r="B21" i="82"/>
  <c r="D21" i="82" s="1"/>
  <c r="D24" i="82"/>
  <c r="D23" i="82"/>
  <c r="B23" i="82"/>
  <c r="B20" i="82"/>
  <c r="D20" i="82" s="1"/>
  <c r="B19" i="82"/>
  <c r="D19" i="82" s="1"/>
  <c r="D18" i="82"/>
  <c r="B17" i="82"/>
  <c r="D17" i="82" s="1"/>
  <c r="D16" i="82"/>
  <c r="B15" i="82"/>
  <c r="D15" i="82" s="1"/>
  <c r="B14" i="82"/>
  <c r="D14" i="82" s="1"/>
  <c r="B13" i="82"/>
  <c r="D13" i="82" s="1"/>
  <c r="B12" i="82"/>
  <c r="D12" i="82" s="1"/>
  <c r="B11" i="82"/>
  <c r="D11" i="82" s="1"/>
  <c r="B10" i="82"/>
  <c r="D10" i="82" s="1"/>
  <c r="B9" i="82"/>
  <c r="D9" i="82" s="1"/>
  <c r="B8" i="82"/>
  <c r="D8" i="82" s="1"/>
  <c r="B6" i="82"/>
  <c r="D6" i="82" s="1"/>
  <c r="B5" i="82"/>
  <c r="D5" i="82" s="1"/>
  <c r="D26" i="82" l="1"/>
  <c r="E16" i="82" s="1"/>
  <c r="E6" i="82"/>
  <c r="B24" i="81"/>
  <c r="D24" i="81" s="1"/>
  <c r="B10" i="81"/>
  <c r="D10" i="81" s="1"/>
  <c r="B23" i="81"/>
  <c r="D23" i="81" s="1"/>
  <c r="B22" i="81"/>
  <c r="D22" i="81" s="1"/>
  <c r="B21" i="81"/>
  <c r="D21" i="81" s="1"/>
  <c r="B20" i="81"/>
  <c r="D20" i="81" s="1"/>
  <c r="B19" i="81"/>
  <c r="D19" i="81" s="1"/>
  <c r="B18" i="81"/>
  <c r="D18" i="81" s="1"/>
  <c r="B17" i="81"/>
  <c r="D17" i="81" s="1"/>
  <c r="D16" i="81"/>
  <c r="B15" i="81"/>
  <c r="D15" i="81" s="1"/>
  <c r="B14" i="81"/>
  <c r="D14" i="81" s="1"/>
  <c r="B13" i="81"/>
  <c r="D13" i="81" s="1"/>
  <c r="B12" i="81"/>
  <c r="D12" i="81" s="1"/>
  <c r="B11" i="81"/>
  <c r="D11" i="81" s="1"/>
  <c r="B9" i="81"/>
  <c r="D9" i="81" s="1"/>
  <c r="B8" i="81"/>
  <c r="D8" i="81" s="1"/>
  <c r="D7" i="81"/>
  <c r="B6" i="81"/>
  <c r="D6" i="81" s="1"/>
  <c r="B5" i="81"/>
  <c r="D5" i="81" s="1"/>
  <c r="E23" i="82" l="1"/>
  <c r="E20" i="82"/>
  <c r="E10" i="82"/>
  <c r="E21" i="82"/>
  <c r="E9" i="82"/>
  <c r="E18" i="82"/>
  <c r="E7" i="82"/>
  <c r="E8" i="82"/>
  <c r="E5" i="82"/>
  <c r="E14" i="82"/>
  <c r="E17" i="82"/>
  <c r="E19" i="82"/>
  <c r="E22" i="82"/>
  <c r="E24" i="82"/>
  <c r="E11" i="82"/>
  <c r="E13" i="82"/>
  <c r="E12" i="82"/>
  <c r="E15" i="82"/>
  <c r="D26" i="81"/>
  <c r="E9" i="81" s="1"/>
  <c r="E20" i="81"/>
  <c r="B24" i="80"/>
  <c r="E24" i="81" l="1"/>
  <c r="E12" i="81"/>
  <c r="E22" i="81"/>
  <c r="E17" i="81"/>
  <c r="E21" i="81"/>
  <c r="E13" i="81"/>
  <c r="E11" i="81"/>
  <c r="E5" i="81"/>
  <c r="E23" i="81"/>
  <c r="E10" i="81"/>
  <c r="E7" i="81"/>
  <c r="E8" i="81"/>
  <c r="E6" i="81"/>
  <c r="E14" i="81"/>
  <c r="E19" i="81"/>
  <c r="E15" i="81"/>
  <c r="E18" i="81"/>
  <c r="E16" i="81"/>
  <c r="B18" i="80"/>
  <c r="D18" i="80" s="1"/>
  <c r="D24" i="80"/>
  <c r="B23" i="80"/>
  <c r="D23" i="80" s="1"/>
  <c r="B22" i="80"/>
  <c r="D22" i="80" s="1"/>
  <c r="B21" i="80"/>
  <c r="D21" i="80" s="1"/>
  <c r="B20" i="80"/>
  <c r="D20" i="80" s="1"/>
  <c r="B19" i="80"/>
  <c r="D19" i="80" s="1"/>
  <c r="B17" i="80"/>
  <c r="D17" i="80" s="1"/>
  <c r="D16" i="80"/>
  <c r="B15" i="80"/>
  <c r="D15" i="80" s="1"/>
  <c r="B14" i="80"/>
  <c r="D14" i="80" s="1"/>
  <c r="B13" i="80"/>
  <c r="D13" i="80" s="1"/>
  <c r="D12" i="80"/>
  <c r="B12" i="80"/>
  <c r="B11" i="80"/>
  <c r="D11" i="80" s="1"/>
  <c r="D10" i="80"/>
  <c r="D9" i="80"/>
  <c r="B9" i="80"/>
  <c r="B8" i="80"/>
  <c r="D8" i="80" s="1"/>
  <c r="D7" i="80"/>
  <c r="D6" i="80"/>
  <c r="B6" i="80"/>
  <c r="B5" i="80"/>
  <c r="D5" i="80" s="1"/>
  <c r="D26" i="80" l="1"/>
  <c r="E16" i="80" s="1"/>
  <c r="E20" i="80"/>
  <c r="E15" i="80"/>
  <c r="E21" i="80"/>
  <c r="E24" i="80"/>
  <c r="B24" i="79"/>
  <c r="E23" i="80" l="1"/>
  <c r="E10" i="80"/>
  <c r="E19" i="80"/>
  <c r="E18" i="80"/>
  <c r="E7" i="80"/>
  <c r="E11" i="80"/>
  <c r="E17" i="80"/>
  <c r="E14" i="80"/>
  <c r="E13" i="80"/>
  <c r="E6" i="80"/>
  <c r="E5" i="80"/>
  <c r="E12" i="80"/>
  <c r="E22" i="80"/>
  <c r="E9" i="80"/>
  <c r="E8" i="80"/>
  <c r="B21" i="79"/>
  <c r="D21" i="79" s="1"/>
  <c r="D24" i="79"/>
  <c r="B23" i="79"/>
  <c r="D23" i="79" s="1"/>
  <c r="B22" i="79"/>
  <c r="D22" i="79" s="1"/>
  <c r="B20" i="79"/>
  <c r="D20" i="79" s="1"/>
  <c r="B19" i="79"/>
  <c r="D19" i="79" s="1"/>
  <c r="B18" i="79"/>
  <c r="D18" i="79" s="1"/>
  <c r="B17" i="79"/>
  <c r="D17" i="79" s="1"/>
  <c r="D16" i="79"/>
  <c r="B15" i="79"/>
  <c r="D15" i="79" s="1"/>
  <c r="B14" i="79"/>
  <c r="D14" i="79" s="1"/>
  <c r="B13" i="79"/>
  <c r="D13" i="79" s="1"/>
  <c r="B12" i="79"/>
  <c r="D12" i="79" s="1"/>
  <c r="B11" i="79"/>
  <c r="D11" i="79" s="1"/>
  <c r="D10" i="79"/>
  <c r="B9" i="79"/>
  <c r="D9" i="79" s="1"/>
  <c r="B8" i="79"/>
  <c r="D8" i="79" s="1"/>
  <c r="D7" i="79"/>
  <c r="B6" i="79"/>
  <c r="D6" i="79" s="1"/>
  <c r="B5" i="79"/>
  <c r="D5" i="79" s="1"/>
  <c r="D26" i="79" l="1"/>
  <c r="E9" i="79" s="1"/>
  <c r="B24" i="78"/>
  <c r="D24" i="78" s="1"/>
  <c r="B14" i="78"/>
  <c r="D14" i="78" s="1"/>
  <c r="B23" i="78"/>
  <c r="D23" i="78" s="1"/>
  <c r="B22" i="78"/>
  <c r="D22" i="78" s="1"/>
  <c r="B21" i="78"/>
  <c r="D21" i="78" s="1"/>
  <c r="B20" i="78"/>
  <c r="D20" i="78" s="1"/>
  <c r="B19" i="78"/>
  <c r="D19" i="78" s="1"/>
  <c r="B18" i="78"/>
  <c r="D18" i="78" s="1"/>
  <c r="B17" i="78"/>
  <c r="D17" i="78" s="1"/>
  <c r="D16" i="78"/>
  <c r="B15" i="78"/>
  <c r="D15" i="78" s="1"/>
  <c r="B13" i="78"/>
  <c r="D13" i="78" s="1"/>
  <c r="B12" i="78"/>
  <c r="D12" i="78" s="1"/>
  <c r="B11" i="78"/>
  <c r="D11" i="78" s="1"/>
  <c r="D10" i="78"/>
  <c r="B9" i="78"/>
  <c r="D9" i="78" s="1"/>
  <c r="B8" i="78"/>
  <c r="D8" i="78" s="1"/>
  <c r="D7" i="78"/>
  <c r="B6" i="78"/>
  <c r="D6" i="78" s="1"/>
  <c r="B5" i="78"/>
  <c r="D5" i="78" s="1"/>
  <c r="E6" i="79" l="1"/>
  <c r="E21" i="79"/>
  <c r="E7" i="79"/>
  <c r="E15" i="79"/>
  <c r="E24" i="79"/>
  <c r="E10" i="79"/>
  <c r="E16" i="79"/>
  <c r="E20" i="79"/>
  <c r="E23" i="79"/>
  <c r="E13" i="79"/>
  <c r="E11" i="79"/>
  <c r="E22" i="79"/>
  <c r="E18" i="79"/>
  <c r="E17" i="79"/>
  <c r="E5" i="79"/>
  <c r="E8" i="79"/>
  <c r="E19" i="79"/>
  <c r="E12" i="79"/>
  <c r="E14" i="79"/>
  <c r="D26" i="78"/>
  <c r="E21" i="78" s="1"/>
  <c r="B19" i="77"/>
  <c r="D19" i="77" s="1"/>
  <c r="B16" i="77"/>
  <c r="D16" i="77" s="1"/>
  <c r="B25" i="77"/>
  <c r="D25" i="77" s="1"/>
  <c r="B5" i="77"/>
  <c r="D5" i="77" s="1"/>
  <c r="B24" i="77"/>
  <c r="D24" i="77" s="1"/>
  <c r="B23" i="77"/>
  <c r="D23" i="77" s="1"/>
  <c r="B22" i="77"/>
  <c r="D22" i="77" s="1"/>
  <c r="B21" i="77"/>
  <c r="D21" i="77" s="1"/>
  <c r="B20" i="77"/>
  <c r="D20" i="77" s="1"/>
  <c r="B18" i="77"/>
  <c r="D18" i="77" s="1"/>
  <c r="D17" i="77"/>
  <c r="B15" i="77"/>
  <c r="D15" i="77" s="1"/>
  <c r="B14" i="77"/>
  <c r="D14" i="77" s="1"/>
  <c r="B13" i="77"/>
  <c r="D13" i="77" s="1"/>
  <c r="B12" i="77"/>
  <c r="D12" i="77" s="1"/>
  <c r="B11" i="77"/>
  <c r="D11" i="77" s="1"/>
  <c r="D10" i="77"/>
  <c r="B9" i="77"/>
  <c r="D9" i="77" s="1"/>
  <c r="B8" i="77"/>
  <c r="D8" i="77" s="1"/>
  <c r="D7" i="77"/>
  <c r="B6" i="77"/>
  <c r="D6" i="77" s="1"/>
  <c r="E6" i="78" l="1"/>
  <c r="E11" i="78"/>
  <c r="E16" i="78"/>
  <c r="E17" i="78"/>
  <c r="E18" i="78"/>
  <c r="E15" i="78"/>
  <c r="E8" i="78"/>
  <c r="E10" i="78"/>
  <c r="E14" i="78"/>
  <c r="E13" i="78"/>
  <c r="E5" i="78"/>
  <c r="E12" i="78"/>
  <c r="E23" i="78"/>
  <c r="E22" i="78"/>
  <c r="E7" i="78"/>
  <c r="E24" i="78"/>
  <c r="E9" i="78"/>
  <c r="E20" i="78"/>
  <c r="E19" i="78"/>
  <c r="D27" i="77"/>
  <c r="E11" i="77" s="1"/>
  <c r="B25" i="76"/>
  <c r="D25" i="76" s="1"/>
  <c r="B24" i="76"/>
  <c r="D24" i="76" s="1"/>
  <c r="B23" i="76"/>
  <c r="D23" i="76" s="1"/>
  <c r="D22" i="76"/>
  <c r="B22" i="76"/>
  <c r="B21" i="76"/>
  <c r="D21" i="76" s="1"/>
  <c r="B20" i="76"/>
  <c r="D20" i="76" s="1"/>
  <c r="D19" i="76"/>
  <c r="B19" i="76"/>
  <c r="B18" i="76"/>
  <c r="D18" i="76" s="1"/>
  <c r="D17" i="76"/>
  <c r="B16" i="76"/>
  <c r="D16" i="76" s="1"/>
  <c r="B15" i="76"/>
  <c r="D15" i="76" s="1"/>
  <c r="B14" i="76"/>
  <c r="D14" i="76" s="1"/>
  <c r="B13" i="76"/>
  <c r="D13" i="76" s="1"/>
  <c r="B12" i="76"/>
  <c r="D12" i="76" s="1"/>
  <c r="B11" i="76"/>
  <c r="D11" i="76" s="1"/>
  <c r="D10" i="76"/>
  <c r="B9" i="76"/>
  <c r="D9" i="76" s="1"/>
  <c r="B8" i="76"/>
  <c r="D8" i="76" s="1"/>
  <c r="D7" i="76"/>
  <c r="B6" i="76"/>
  <c r="D6" i="76" s="1"/>
  <c r="B5" i="76"/>
  <c r="D5" i="76" s="1"/>
  <c r="E6" i="77" l="1"/>
  <c r="E24" i="77"/>
  <c r="E22" i="77"/>
  <c r="E18" i="77"/>
  <c r="E25" i="77"/>
  <c r="E15" i="77"/>
  <c r="E19" i="77"/>
  <c r="E5" i="77"/>
  <c r="E21" i="77"/>
  <c r="E12" i="77"/>
  <c r="E8" i="77"/>
  <c r="E16" i="77"/>
  <c r="E23" i="77"/>
  <c r="E9" i="77"/>
  <c r="E14" i="77"/>
  <c r="E20" i="77"/>
  <c r="E17" i="77"/>
  <c r="E10" i="77"/>
  <c r="E7" i="77"/>
  <c r="E13" i="77"/>
  <c r="D27" i="76"/>
  <c r="E10" i="76" s="1"/>
  <c r="E8" i="76"/>
  <c r="E14" i="76"/>
  <c r="E19" i="76"/>
  <c r="E16" i="76"/>
  <c r="E12" i="76"/>
  <c r="E6" i="76"/>
  <c r="E20" i="76"/>
  <c r="E13" i="76"/>
  <c r="E21" i="76"/>
  <c r="E11" i="76"/>
  <c r="E24" i="76"/>
  <c r="E17" i="76"/>
  <c r="E22" i="76"/>
  <c r="E25" i="76"/>
  <c r="E15" i="76" l="1"/>
  <c r="E5" i="76"/>
  <c r="E7" i="76"/>
  <c r="E18" i="76"/>
  <c r="E9" i="76"/>
  <c r="E23" i="76"/>
  <c r="C16" i="2" l="1"/>
</calcChain>
</file>

<file path=xl/sharedStrings.xml><?xml version="1.0" encoding="utf-8"?>
<sst xmlns="http://schemas.openxmlformats.org/spreadsheetml/2006/main" count="750" uniqueCount="113">
  <si>
    <t>Model Portfolio</t>
  </si>
  <si>
    <t>Stock</t>
  </si>
  <si>
    <t>Number of shares</t>
  </si>
  <si>
    <t>CMP</t>
  </si>
  <si>
    <t>Amount</t>
  </si>
  <si>
    <t>Percentage</t>
  </si>
  <si>
    <t>Change</t>
  </si>
  <si>
    <t>Heritage</t>
  </si>
  <si>
    <t>JBChem</t>
  </si>
  <si>
    <t>Nucleus</t>
  </si>
  <si>
    <t>Technofab</t>
  </si>
  <si>
    <t>TV18Broadcast</t>
  </si>
  <si>
    <t>TVToday</t>
  </si>
  <si>
    <t>LiquidBees</t>
  </si>
  <si>
    <t>Dynamatic</t>
  </si>
  <si>
    <t>Magma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</si>
  <si>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</si>
  <si>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</si>
  <si>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</si>
  <si>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</si>
  <si>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</si>
  <si>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</si>
  <si>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</si>
  <si>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</si>
  <si>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</si>
  <si>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</si>
  <si>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</si>
  <si>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</si>
  <si>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UFO</t>
  </si>
  <si>
    <t>HindOilExp</t>
  </si>
  <si>
    <t>South Indian Bank</t>
  </si>
  <si>
    <t>Saregama</t>
  </si>
  <si>
    <t>MotilalOFS</t>
  </si>
  <si>
    <t>Insecticides</t>
  </si>
  <si>
    <t>RKForge</t>
  </si>
  <si>
    <t>Balrampur</t>
  </si>
  <si>
    <t>Praj</t>
  </si>
  <si>
    <t>FineOrganics</t>
  </si>
  <si>
    <t>TIIndia</t>
  </si>
  <si>
    <t>Tanla</t>
  </si>
  <si>
    <t>Sell 190@389.55 = 74014.5</t>
  </si>
  <si>
    <t>Sell 403@187.05 = 75381.15</t>
  </si>
  <si>
    <t>Buy 500@70.1 = 35050</t>
  </si>
  <si>
    <t>Buy 114.35</t>
  </si>
  <si>
    <t>sell 144@314.6 = 45302.4</t>
  </si>
  <si>
    <t>Add 45.302</t>
  </si>
  <si>
    <t>Buy 4466@27.08 = 120940</t>
  </si>
  <si>
    <t>Buy 1000@80.7 = 80700</t>
  </si>
  <si>
    <t>Less 80.7</t>
  </si>
  <si>
    <t>Sell 147@495.95 = 72904</t>
  </si>
  <si>
    <t>Add 72.904</t>
  </si>
  <si>
    <t>Sell 90@2264.24 =203781</t>
  </si>
  <si>
    <t>Buy 4466@27.03 = 120716</t>
  </si>
  <si>
    <t>Buy 393@248.87 = 97806</t>
  </si>
  <si>
    <t>Buy 900@77.78 = 70002</t>
  </si>
  <si>
    <t>Sell 84.743</t>
  </si>
  <si>
    <t>Buy 1300@38.28 = 49764</t>
  </si>
  <si>
    <t>Buy 355@151.85 = 53907</t>
  </si>
  <si>
    <t>Buy 900@38.28 = 34452</t>
  </si>
  <si>
    <t>Sell 90@1818.35 = 163652</t>
  </si>
  <si>
    <t>Buy 290@180.25 = 52273</t>
  </si>
  <si>
    <t>Sell 26.744</t>
  </si>
  <si>
    <t>Buy 218.983</t>
  </si>
  <si>
    <r>
      <t>Sell 476</t>
    </r>
    <r>
      <rPr>
        <b/>
        <sz val="11"/>
        <color theme="1"/>
        <rFont val="Calibri"/>
        <family val="2"/>
        <scheme val="minor"/>
      </rPr>
      <t>@</t>
    </r>
    <r>
      <rPr>
        <sz val="11"/>
        <color theme="1"/>
        <rFont val="Calibri"/>
        <family val="2"/>
        <scheme val="minor"/>
      </rPr>
      <t>460.05</t>
    </r>
    <r>
      <rPr>
        <b/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218983</t>
    </r>
  </si>
  <si>
    <t>Buy 806@99.4 = 80116</t>
  </si>
  <si>
    <t>Sell 900@5.4 = 4860</t>
  </si>
  <si>
    <t>Sell 75.256</t>
  </si>
  <si>
    <t>IOLCP</t>
  </si>
  <si>
    <t>HIL</t>
  </si>
  <si>
    <t>Sell 204@242.55 = 49480.2</t>
  </si>
  <si>
    <t>Buy 170@385.3 = 65501</t>
  </si>
  <si>
    <t>Buy 130@975.62 = 126830.75</t>
  </si>
  <si>
    <t>Sell 142.851</t>
  </si>
  <si>
    <t>Sell 191@684.1 = 130663</t>
  </si>
  <si>
    <t>Buy 126@1035 = 130410</t>
  </si>
  <si>
    <t>Add 0.253</t>
  </si>
  <si>
    <t>Sell 172@707.8 = 121741</t>
  </si>
  <si>
    <t>Buy 299@407.15 = 121738</t>
  </si>
  <si>
    <t>Sell 313@460.4 = 144105</t>
  </si>
  <si>
    <t>Buy 33@1190 = 39270</t>
  </si>
  <si>
    <t>Buy 500@70.45 = 35225</t>
  </si>
  <si>
    <t>Add 69.610</t>
  </si>
  <si>
    <t>AartiDrugs</t>
  </si>
  <si>
    <t>Buy 38@1872.8 = 71167</t>
  </si>
  <si>
    <t>Less 71.167</t>
  </si>
  <si>
    <t>Add 57@1474.5 = 84046.5</t>
  </si>
  <si>
    <t>Sell 61@343.1 = 20929.1</t>
  </si>
  <si>
    <t>Sell 1575@59.73 = 94074.75</t>
  </si>
  <si>
    <t>Add 30.957</t>
  </si>
  <si>
    <t>Sell 551@403.7 = 222438.7</t>
  </si>
  <si>
    <t>Sell 38@2958 = 112404</t>
  </si>
  <si>
    <t>Sell 82@933 = 76506</t>
  </si>
  <si>
    <t>Add 188.91</t>
  </si>
  <si>
    <t>Sell 83@871.75 = 72355</t>
  </si>
  <si>
    <t>Add 72.355</t>
  </si>
  <si>
    <t>Add 235@785.27 = 184538</t>
  </si>
  <si>
    <t>Sell 184.538</t>
  </si>
  <si>
    <t>Add 160@201 = 32160</t>
  </si>
  <si>
    <t>Less 32.16</t>
  </si>
  <si>
    <t>Add 192 @624.15 = 119837</t>
  </si>
  <si>
    <t>Less 119.837</t>
  </si>
  <si>
    <t>Buy 562@ 308 = 173096</t>
  </si>
  <si>
    <t>Less 173.096</t>
  </si>
  <si>
    <t>PrincePipes</t>
  </si>
  <si>
    <t>Sell 155@928 = 143840</t>
  </si>
  <si>
    <t>Sell 2015@149 = 300235</t>
  </si>
  <si>
    <t>Buy 1727@259.26 = 447742</t>
  </si>
  <si>
    <t>Less 3.667</t>
  </si>
  <si>
    <t>Sell 656@854.5 = 560552</t>
  </si>
  <si>
    <t>Buy 173@2071 = 358283</t>
  </si>
  <si>
    <t>Buy 280@722.4 = 202272</t>
  </si>
  <si>
    <t>LiquidFund Value for 2020</t>
  </si>
  <si>
    <t>Add 2.8606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</si>
</sst>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4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7"/>
  <sheetViews>
    <sheetView workbookViewId="0">
      <selection activeCell="B5" sqref="B5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43831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35</v>
      </c>
      <c r="B5" s="1">
        <f>1345+670-403</f>
        <v>1612</v>
      </c>
      <c r="C5" s="4">
        <v>183.4</v>
      </c>
      <c r="D5">
        <f>B5*C5</f>
        <v>295640.8</v>
      </c>
      <c r="E5" s="3">
        <f t="shared" ref="E5:E25" si="0">D5/$D$27</f>
        <v>4.5169214544029106E-2</v>
      </c>
    </row>
    <row r="6" spans="1:7" x14ac:dyDescent="0.25">
      <c r="A6" t="s">
        <v>14</v>
      </c>
      <c r="B6" s="1">
        <f>44+30+9+18+13+20+19+12</f>
        <v>165</v>
      </c>
      <c r="C6" s="4">
        <v>973.45</v>
      </c>
      <c r="D6">
        <f>B6*C6</f>
        <v>160619.25</v>
      </c>
      <c r="E6" s="3">
        <f t="shared" si="0"/>
        <v>2.454006809327754E-2</v>
      </c>
    </row>
    <row r="7" spans="1:7" x14ac:dyDescent="0.25">
      <c r="A7" t="s">
        <v>37</v>
      </c>
      <c r="B7" s="1">
        <v>180</v>
      </c>
      <c r="C7" s="4">
        <v>1945.05</v>
      </c>
      <c r="D7">
        <f>B7*C7</f>
        <v>350109</v>
      </c>
      <c r="E7" s="3">
        <f t="shared" si="0"/>
        <v>5.3491089642550983E-2</v>
      </c>
    </row>
    <row r="8" spans="1:7" x14ac:dyDescent="0.25">
      <c r="A8" t="s">
        <v>7</v>
      </c>
      <c r="B8" s="1">
        <f>(840+420)*2</f>
        <v>2520</v>
      </c>
      <c r="C8" s="4">
        <v>362.65</v>
      </c>
      <c r="D8">
        <f t="shared" ref="D8:D25" si="1">C8*B8</f>
        <v>913878</v>
      </c>
      <c r="E8" s="3">
        <f t="shared" si="0"/>
        <v>0.13962603080856306</v>
      </c>
    </row>
    <row r="9" spans="1:7" x14ac:dyDescent="0.25">
      <c r="A9" t="s">
        <v>29</v>
      </c>
      <c r="B9" s="1">
        <f>1280+1280+1280+910+1300+1300+2940</f>
        <v>10290</v>
      </c>
      <c r="C9" s="4">
        <v>90.7</v>
      </c>
      <c r="D9">
        <f t="shared" si="1"/>
        <v>933303</v>
      </c>
      <c r="E9" s="3">
        <f t="shared" si="0"/>
        <v>0.14259386201629137</v>
      </c>
    </row>
    <row r="10" spans="1:7" x14ac:dyDescent="0.25">
      <c r="A10" t="s">
        <v>33</v>
      </c>
      <c r="B10" s="1">
        <v>460</v>
      </c>
      <c r="C10" s="4">
        <v>480.75</v>
      </c>
      <c r="D10">
        <f t="shared" si="1"/>
        <v>221145</v>
      </c>
      <c r="E10" s="3">
        <f t="shared" si="0"/>
        <v>3.3787440537095412E-2</v>
      </c>
    </row>
    <row r="11" spans="1:7" x14ac:dyDescent="0.25">
      <c r="A11" t="s">
        <v>8</v>
      </c>
      <c r="B11" s="1">
        <f>1378+229+460+413+248-340</f>
        <v>2388</v>
      </c>
      <c r="C11" s="4">
        <v>425.65</v>
      </c>
      <c r="D11">
        <f t="shared" si="1"/>
        <v>1016452.2</v>
      </c>
      <c r="E11" s="3">
        <f t="shared" si="0"/>
        <v>0.1552977379832228</v>
      </c>
    </row>
    <row r="12" spans="1:7" x14ac:dyDescent="0.25">
      <c r="A12" t="s">
        <v>15</v>
      </c>
      <c r="B12" s="1">
        <f>2750+1375</f>
        <v>4125</v>
      </c>
      <c r="C12" s="4">
        <v>53.85</v>
      </c>
      <c r="D12">
        <f t="shared" si="1"/>
        <v>222131.25</v>
      </c>
      <c r="E12" s="3">
        <f t="shared" si="0"/>
        <v>3.3938123859032193E-2</v>
      </c>
    </row>
    <row r="13" spans="1:7" x14ac:dyDescent="0.25">
      <c r="A13" t="s">
        <v>32</v>
      </c>
      <c r="B13" s="1">
        <f>545-226</f>
        <v>319</v>
      </c>
      <c r="C13" s="4">
        <v>759.45</v>
      </c>
      <c r="D13">
        <f t="shared" si="1"/>
        <v>242264.55000000002</v>
      </c>
      <c r="E13" s="3">
        <f t="shared" si="0"/>
        <v>3.7014172047168954E-2</v>
      </c>
    </row>
    <row r="14" spans="1:7" x14ac:dyDescent="0.25">
      <c r="A14" t="s">
        <v>9</v>
      </c>
      <c r="B14" s="1">
        <f>1011-51</f>
        <v>960</v>
      </c>
      <c r="C14" s="4">
        <v>283.64999999999998</v>
      </c>
      <c r="D14">
        <f>C14*B14</f>
        <v>272304</v>
      </c>
      <c r="E14" s="3">
        <f t="shared" si="0"/>
        <v>4.1603722480785137E-2</v>
      </c>
    </row>
    <row r="15" spans="1:7" x14ac:dyDescent="0.25">
      <c r="A15" t="s">
        <v>36</v>
      </c>
      <c r="B15" s="1">
        <f>1050+525</f>
        <v>1575</v>
      </c>
      <c r="C15" s="4">
        <v>102.55</v>
      </c>
      <c r="D15">
        <f>C15*B15</f>
        <v>161516.25</v>
      </c>
      <c r="E15" s="3">
        <f t="shared" si="0"/>
        <v>2.4677115433989628E-2</v>
      </c>
    </row>
    <row r="16" spans="1:7" x14ac:dyDescent="0.25">
      <c r="A16" t="s">
        <v>34</v>
      </c>
      <c r="B16" s="1">
        <f>425+85-130-190</f>
        <v>190</v>
      </c>
      <c r="C16" s="4">
        <v>380.9</v>
      </c>
      <c r="D16">
        <f>C16*B16</f>
        <v>72371</v>
      </c>
      <c r="E16" s="3">
        <f t="shared" si="0"/>
        <v>1.1057138344118709E-2</v>
      </c>
    </row>
    <row r="17" spans="1:5" x14ac:dyDescent="0.25">
      <c r="A17" t="s">
        <v>31</v>
      </c>
      <c r="B17" s="1">
        <v>570</v>
      </c>
      <c r="C17" s="4">
        <v>430.95</v>
      </c>
      <c r="D17">
        <f>C17*B17</f>
        <v>245641.5</v>
      </c>
      <c r="E17" s="3">
        <f t="shared" si="0"/>
        <v>3.7530116325003603E-2</v>
      </c>
    </row>
    <row r="18" spans="1:5" x14ac:dyDescent="0.25">
      <c r="A18" t="s">
        <v>30</v>
      </c>
      <c r="B18" s="1">
        <f>8384+5589+13973</f>
        <v>27946</v>
      </c>
      <c r="C18" s="4">
        <v>10.1</v>
      </c>
      <c r="D18">
        <f t="shared" si="1"/>
        <v>282254.59999999998</v>
      </c>
      <c r="E18" s="3">
        <f t="shared" si="0"/>
        <v>4.3124015979658814E-2</v>
      </c>
    </row>
    <row r="19" spans="1:5" x14ac:dyDescent="0.25">
      <c r="A19" t="s">
        <v>39</v>
      </c>
      <c r="B19" s="1">
        <f>1000+1150+450</f>
        <v>2600</v>
      </c>
      <c r="C19" s="4">
        <v>70.5</v>
      </c>
      <c r="D19">
        <f t="shared" si="1"/>
        <v>183300</v>
      </c>
      <c r="E19" s="3">
        <f t="shared" si="0"/>
        <v>2.8005326145513525E-2</v>
      </c>
    </row>
    <row r="20" spans="1:5" x14ac:dyDescent="0.25">
      <c r="A20" t="s">
        <v>10</v>
      </c>
      <c r="B20" s="1">
        <f>368+532</f>
        <v>900</v>
      </c>
      <c r="C20" s="4">
        <v>14.4</v>
      </c>
      <c r="D20">
        <f t="shared" si="1"/>
        <v>12960</v>
      </c>
      <c r="E20" s="3">
        <f t="shared" si="0"/>
        <v>1.9800819795191232E-3</v>
      </c>
    </row>
    <row r="21" spans="1:5" x14ac:dyDescent="0.25">
      <c r="A21" t="s">
        <v>38</v>
      </c>
      <c r="B21" s="1">
        <f>480+154+159</f>
        <v>793</v>
      </c>
      <c r="C21" s="4">
        <v>481.6</v>
      </c>
      <c r="D21">
        <f>C21*B21</f>
        <v>381908.80000000005</v>
      </c>
      <c r="E21" s="3">
        <f t="shared" si="0"/>
        <v>5.8349593572513347E-2</v>
      </c>
    </row>
    <row r="22" spans="1:5" x14ac:dyDescent="0.25">
      <c r="A22" t="s">
        <v>11</v>
      </c>
      <c r="B22" s="1">
        <f>6886+2045-4465</f>
        <v>4466</v>
      </c>
      <c r="C22" s="4">
        <v>21.15</v>
      </c>
      <c r="D22">
        <f t="shared" si="1"/>
        <v>94455.9</v>
      </c>
      <c r="E22" s="3">
        <f t="shared" si="0"/>
        <v>1.4431359988368853E-2</v>
      </c>
    </row>
    <row r="23" spans="1:5" x14ac:dyDescent="0.25">
      <c r="A23" t="s">
        <v>12</v>
      </c>
      <c r="B23" s="1">
        <f>920+319+331-785</f>
        <v>785</v>
      </c>
      <c r="C23" s="4">
        <v>241.45</v>
      </c>
      <c r="D23">
        <f t="shared" si="1"/>
        <v>189538.25</v>
      </c>
      <c r="E23" s="3">
        <f t="shared" si="0"/>
        <v>2.8958431578286301E-2</v>
      </c>
    </row>
    <row r="24" spans="1:5" x14ac:dyDescent="0.25">
      <c r="A24" t="s">
        <v>28</v>
      </c>
      <c r="B24" s="1">
        <f>419+419+838</f>
        <v>1676</v>
      </c>
      <c r="C24" s="4">
        <v>126.45</v>
      </c>
      <c r="D24">
        <f t="shared" si="1"/>
        <v>211930.2</v>
      </c>
      <c r="E24" s="3">
        <f t="shared" si="0"/>
        <v>3.2379565581472508E-2</v>
      </c>
    </row>
    <row r="25" spans="1:5" x14ac:dyDescent="0.25">
      <c r="A25" t="s">
        <v>13</v>
      </c>
      <c r="B25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</f>
        <v>81.459999999998857</v>
      </c>
      <c r="C25" s="4">
        <v>1000</v>
      </c>
      <c r="D25">
        <f t="shared" si="1"/>
        <v>81459.99999999885</v>
      </c>
      <c r="E25" s="3">
        <f t="shared" si="0"/>
        <v>1.2445793059539004E-2</v>
      </c>
    </row>
    <row r="26" spans="1:5" x14ac:dyDescent="0.25">
      <c r="B26" s="1"/>
      <c r="E26" s="3"/>
    </row>
    <row r="27" spans="1:5" x14ac:dyDescent="0.25">
      <c r="B27" s="1"/>
      <c r="D27">
        <f>SUM(D5:D25)</f>
        <v>6545183.5499999989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7"/>
  <sheetViews>
    <sheetView workbookViewId="0">
      <selection activeCell="B5" sqref="B5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43832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35</v>
      </c>
      <c r="B5" s="1">
        <f>1345+670-403-403</f>
        <v>1209</v>
      </c>
      <c r="C5" s="4">
        <v>187.2</v>
      </c>
      <c r="D5">
        <f>B5*C5</f>
        <v>226324.8</v>
      </c>
      <c r="E5" s="3">
        <f t="shared" ref="E5:E25" si="0">D5/$D$27</f>
        <v>3.4263372196426334E-2</v>
      </c>
      <c r="G5" t="s">
        <v>41</v>
      </c>
    </row>
    <row r="6" spans="1:7" x14ac:dyDescent="0.25">
      <c r="A6" t="s">
        <v>14</v>
      </c>
      <c r="B6" s="1">
        <f>44+30+9+18+13+20+19+12</f>
        <v>165</v>
      </c>
      <c r="C6" s="4">
        <v>976.95</v>
      </c>
      <c r="D6">
        <f>B6*C6</f>
        <v>161196.75</v>
      </c>
      <c r="E6" s="3">
        <f t="shared" si="0"/>
        <v>2.4403619232643909E-2</v>
      </c>
    </row>
    <row r="7" spans="1:7" x14ac:dyDescent="0.25">
      <c r="A7" t="s">
        <v>37</v>
      </c>
      <c r="B7" s="1">
        <v>180</v>
      </c>
      <c r="C7" s="4">
        <v>1898.75</v>
      </c>
      <c r="D7">
        <f>B7*C7</f>
        <v>341775</v>
      </c>
      <c r="E7" s="3">
        <f t="shared" si="0"/>
        <v>5.1741408950471225E-2</v>
      </c>
    </row>
    <row r="8" spans="1:7" x14ac:dyDescent="0.25">
      <c r="A8" t="s">
        <v>7</v>
      </c>
      <c r="B8" s="1">
        <f>(840+420)*2</f>
        <v>2520</v>
      </c>
      <c r="C8" s="4">
        <v>361.45</v>
      </c>
      <c r="D8">
        <f t="shared" ref="D8:D25" si="1">C8*B8</f>
        <v>910854</v>
      </c>
      <c r="E8" s="3">
        <f t="shared" si="0"/>
        <v>0.13789443144809455</v>
      </c>
    </row>
    <row r="9" spans="1:7" x14ac:dyDescent="0.25">
      <c r="A9" t="s">
        <v>29</v>
      </c>
      <c r="B9" s="1">
        <f>1280+1280+1280+910+1300+1300+2940</f>
        <v>10290</v>
      </c>
      <c r="C9" s="4">
        <v>93.25</v>
      </c>
      <c r="D9">
        <f t="shared" si="1"/>
        <v>959542.5</v>
      </c>
      <c r="E9" s="3">
        <f t="shared" si="0"/>
        <v>0.14526539652653803</v>
      </c>
    </row>
    <row r="10" spans="1:7" x14ac:dyDescent="0.25">
      <c r="A10" t="s">
        <v>33</v>
      </c>
      <c r="B10" s="1">
        <v>460</v>
      </c>
      <c r="C10" s="4">
        <v>466.65</v>
      </c>
      <c r="D10">
        <f t="shared" si="1"/>
        <v>214659</v>
      </c>
      <c r="E10" s="3">
        <f t="shared" si="0"/>
        <v>3.2497283604415776E-2</v>
      </c>
    </row>
    <row r="11" spans="1:7" x14ac:dyDescent="0.25">
      <c r="A11" t="s">
        <v>8</v>
      </c>
      <c r="B11" s="1">
        <f>1378+229+460+413+248-340</f>
        <v>2388</v>
      </c>
      <c r="C11" s="4">
        <v>429.5</v>
      </c>
      <c r="D11">
        <f t="shared" si="1"/>
        <v>1025646</v>
      </c>
      <c r="E11" s="3">
        <f t="shared" si="0"/>
        <v>0.15527282312754007</v>
      </c>
    </row>
    <row r="12" spans="1:7" x14ac:dyDescent="0.25">
      <c r="A12" t="s">
        <v>15</v>
      </c>
      <c r="B12" s="1">
        <f>2750+1375</f>
        <v>4125</v>
      </c>
      <c r="C12" s="4">
        <v>53.15</v>
      </c>
      <c r="D12">
        <f t="shared" si="1"/>
        <v>219243.75</v>
      </c>
      <c r="E12" s="3">
        <f t="shared" si="0"/>
        <v>3.3191370137034236E-2</v>
      </c>
    </row>
    <row r="13" spans="1:7" x14ac:dyDescent="0.25">
      <c r="A13" t="s">
        <v>32</v>
      </c>
      <c r="B13" s="1">
        <f>545-226</f>
        <v>319</v>
      </c>
      <c r="C13" s="4">
        <v>818.8</v>
      </c>
      <c r="D13">
        <f t="shared" si="1"/>
        <v>261197.19999999998</v>
      </c>
      <c r="E13" s="3">
        <f t="shared" si="0"/>
        <v>3.9542714188919671E-2</v>
      </c>
    </row>
    <row r="14" spans="1:7" x14ac:dyDescent="0.25">
      <c r="A14" t="s">
        <v>9</v>
      </c>
      <c r="B14" s="1">
        <f>1011-51</f>
        <v>960</v>
      </c>
      <c r="C14" s="4">
        <v>284.10000000000002</v>
      </c>
      <c r="D14">
        <f>C14*B14</f>
        <v>272736</v>
      </c>
      <c r="E14" s="3">
        <f t="shared" si="0"/>
        <v>4.1289576216855299E-2</v>
      </c>
    </row>
    <row r="15" spans="1:7" x14ac:dyDescent="0.25">
      <c r="A15" t="s">
        <v>36</v>
      </c>
      <c r="B15" s="1">
        <f>1050+525</f>
        <v>1575</v>
      </c>
      <c r="C15" s="4">
        <v>107.45</v>
      </c>
      <c r="D15">
        <f>C15*B15</f>
        <v>169233.75</v>
      </c>
      <c r="E15" s="3">
        <f t="shared" si="0"/>
        <v>2.5620342819023655E-2</v>
      </c>
    </row>
    <row r="16" spans="1:7" x14ac:dyDescent="0.25">
      <c r="A16" t="s">
        <v>34</v>
      </c>
      <c r="B16" s="1">
        <f>425+85-130-190-190</f>
        <v>0</v>
      </c>
      <c r="C16" s="4">
        <v>373.15</v>
      </c>
      <c r="D16">
        <f>C16*B16</f>
        <v>0</v>
      </c>
      <c r="E16" s="3">
        <f t="shared" si="0"/>
        <v>0</v>
      </c>
      <c r="G16" t="s">
        <v>40</v>
      </c>
    </row>
    <row r="17" spans="1:7" x14ac:dyDescent="0.25">
      <c r="A17" t="s">
        <v>31</v>
      </c>
      <c r="B17" s="1">
        <v>570</v>
      </c>
      <c r="C17" s="4">
        <v>430.6</v>
      </c>
      <c r="D17">
        <f>C17*B17</f>
        <v>245442</v>
      </c>
      <c r="E17" s="3">
        <f t="shared" si="0"/>
        <v>3.7157530233696313E-2</v>
      </c>
    </row>
    <row r="18" spans="1:7" x14ac:dyDescent="0.25">
      <c r="A18" t="s">
        <v>30</v>
      </c>
      <c r="B18" s="1">
        <f>8384+5589+13973</f>
        <v>27946</v>
      </c>
      <c r="C18" s="4">
        <v>10.3</v>
      </c>
      <c r="D18">
        <f t="shared" si="1"/>
        <v>287843.80000000005</v>
      </c>
      <c r="E18" s="3">
        <f t="shared" si="0"/>
        <v>4.3576750112377008E-2</v>
      </c>
    </row>
    <row r="19" spans="1:7" x14ac:dyDescent="0.25">
      <c r="A19" t="s">
        <v>39</v>
      </c>
      <c r="B19" s="1">
        <f>1000+1150+450+500</f>
        <v>3100</v>
      </c>
      <c r="C19" s="4">
        <v>70.05</v>
      </c>
      <c r="D19">
        <f t="shared" si="1"/>
        <v>217155</v>
      </c>
      <c r="E19" s="3">
        <f t="shared" si="0"/>
        <v>3.2875153714108929E-2</v>
      </c>
      <c r="G19" t="s">
        <v>42</v>
      </c>
    </row>
    <row r="20" spans="1:7" x14ac:dyDescent="0.25">
      <c r="A20" t="s">
        <v>10</v>
      </c>
      <c r="B20" s="1">
        <f>368+532</f>
        <v>900</v>
      </c>
      <c r="C20" s="4">
        <v>14.35</v>
      </c>
      <c r="D20">
        <f t="shared" si="1"/>
        <v>12915</v>
      </c>
      <c r="E20" s="3">
        <f t="shared" si="0"/>
        <v>1.955205315179097E-3</v>
      </c>
    </row>
    <row r="21" spans="1:7" x14ac:dyDescent="0.25">
      <c r="A21" t="s">
        <v>38</v>
      </c>
      <c r="B21" s="1">
        <f>480+154+159</f>
        <v>793</v>
      </c>
      <c r="C21" s="4">
        <v>490.55</v>
      </c>
      <c r="D21">
        <f>C21*B21</f>
        <v>389006.15</v>
      </c>
      <c r="E21" s="3">
        <f t="shared" si="0"/>
        <v>5.8891745421398148E-2</v>
      </c>
    </row>
    <row r="22" spans="1:7" x14ac:dyDescent="0.25">
      <c r="A22" t="s">
        <v>11</v>
      </c>
      <c r="B22" s="1">
        <f>6886+2045-4465</f>
        <v>4466</v>
      </c>
      <c r="C22" s="4">
        <v>21.25</v>
      </c>
      <c r="D22">
        <f t="shared" si="1"/>
        <v>94902.5</v>
      </c>
      <c r="E22" s="3">
        <f t="shared" si="0"/>
        <v>1.4367314937962389E-2</v>
      </c>
    </row>
    <row r="23" spans="1:7" x14ac:dyDescent="0.25">
      <c r="A23" t="s">
        <v>12</v>
      </c>
      <c r="B23" s="1">
        <f>920+319+331-785</f>
        <v>785</v>
      </c>
      <c r="C23" s="4">
        <v>243.8</v>
      </c>
      <c r="D23">
        <f t="shared" si="1"/>
        <v>191383</v>
      </c>
      <c r="E23" s="3">
        <f t="shared" si="0"/>
        <v>2.8973523719312513E-2</v>
      </c>
    </row>
    <row r="24" spans="1:7" x14ac:dyDescent="0.25">
      <c r="A24" t="s">
        <v>28</v>
      </c>
      <c r="B24" s="1">
        <f>419+419+838</f>
        <v>1676</v>
      </c>
      <c r="C24" s="4">
        <v>124.45</v>
      </c>
      <c r="D24">
        <f t="shared" si="1"/>
        <v>208578.2</v>
      </c>
      <c r="E24" s="3">
        <f t="shared" si="0"/>
        <v>3.1576709660897311E-2</v>
      </c>
    </row>
    <row r="25" spans="1:7" x14ac:dyDescent="0.25">
      <c r="A25" t="s">
        <v>13</v>
      </c>
      <c r="B25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</f>
        <v>195.80999999999887</v>
      </c>
      <c r="C25" s="4">
        <v>1000</v>
      </c>
      <c r="D25">
        <f t="shared" si="1"/>
        <v>195809.99999999886</v>
      </c>
      <c r="E25" s="3">
        <f t="shared" si="0"/>
        <v>2.964372843710544E-2</v>
      </c>
      <c r="G25" t="s">
        <v>43</v>
      </c>
    </row>
    <row r="26" spans="1:7" x14ac:dyDescent="0.25">
      <c r="B26" s="1"/>
      <c r="E26" s="3"/>
    </row>
    <row r="27" spans="1:7" x14ac:dyDescent="0.25">
      <c r="B27" s="1"/>
      <c r="D27">
        <f>SUM(D5:D25)</f>
        <v>6605444.3999999994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6"/>
  <sheetViews>
    <sheetView workbookViewId="0">
      <selection activeCell="B2" sqref="B2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43843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35</v>
      </c>
      <c r="B5" s="1">
        <f>1345+670-403-403</f>
        <v>1209</v>
      </c>
      <c r="C5" s="4">
        <v>184.35</v>
      </c>
      <c r="D5">
        <f>B5*C5</f>
        <v>222879.15</v>
      </c>
      <c r="E5" s="3">
        <f t="shared" ref="E5:E24" si="0">D5/$D$26</f>
        <v>3.2788194663171372E-2</v>
      </c>
    </row>
    <row r="6" spans="1:7" x14ac:dyDescent="0.25">
      <c r="A6" t="s">
        <v>14</v>
      </c>
      <c r="B6" s="1">
        <f>44+30+9+18+13+20+19+12</f>
        <v>165</v>
      </c>
      <c r="C6" s="4">
        <v>995.1</v>
      </c>
      <c r="D6">
        <f>B6*C6</f>
        <v>164191.5</v>
      </c>
      <c r="E6" s="3">
        <f t="shared" si="0"/>
        <v>2.4154537847250863E-2</v>
      </c>
    </row>
    <row r="7" spans="1:7" x14ac:dyDescent="0.25">
      <c r="A7" t="s">
        <v>37</v>
      </c>
      <c r="B7" s="1">
        <v>180</v>
      </c>
      <c r="C7" s="4">
        <v>1940.95</v>
      </c>
      <c r="D7">
        <f>B7*C7</f>
        <v>349371</v>
      </c>
      <c r="E7" s="3">
        <f t="shared" si="0"/>
        <v>5.1396662081970634E-2</v>
      </c>
    </row>
    <row r="8" spans="1:7" x14ac:dyDescent="0.25">
      <c r="A8" t="s">
        <v>7</v>
      </c>
      <c r="B8" s="1">
        <f>(840+420)*2</f>
        <v>2520</v>
      </c>
      <c r="C8" s="4">
        <v>362.8</v>
      </c>
      <c r="D8">
        <f t="shared" ref="D8:D24" si="1">C8*B8</f>
        <v>914256</v>
      </c>
      <c r="E8" s="3">
        <f t="shared" si="0"/>
        <v>0.13449801697454608</v>
      </c>
    </row>
    <row r="9" spans="1:7" x14ac:dyDescent="0.25">
      <c r="A9" t="s">
        <v>29</v>
      </c>
      <c r="B9" s="1">
        <f>1280+1280+1280+910+1300+1300+2940</f>
        <v>10290</v>
      </c>
      <c r="C9" s="4">
        <v>100.9</v>
      </c>
      <c r="D9">
        <f t="shared" si="1"/>
        <v>1038261.0000000001</v>
      </c>
      <c r="E9" s="3">
        <f t="shared" si="0"/>
        <v>0.15274063894796339</v>
      </c>
    </row>
    <row r="10" spans="1:7" x14ac:dyDescent="0.25">
      <c r="A10" t="s">
        <v>33</v>
      </c>
      <c r="B10" s="1">
        <v>460</v>
      </c>
      <c r="C10" s="4">
        <v>486.25</v>
      </c>
      <c r="D10">
        <f t="shared" si="1"/>
        <v>223675</v>
      </c>
      <c r="E10" s="3">
        <f t="shared" si="0"/>
        <v>3.2905273738188863E-2</v>
      </c>
    </row>
    <row r="11" spans="1:7" x14ac:dyDescent="0.25">
      <c r="A11" t="s">
        <v>8</v>
      </c>
      <c r="B11" s="1">
        <f>1378+229+460+413+248-340</f>
        <v>2388</v>
      </c>
      <c r="C11" s="4">
        <v>443.05</v>
      </c>
      <c r="D11">
        <f t="shared" si="1"/>
        <v>1058003.4000000001</v>
      </c>
      <c r="E11" s="3">
        <f t="shared" si="0"/>
        <v>0.15564498264416912</v>
      </c>
    </row>
    <row r="12" spans="1:7" x14ac:dyDescent="0.25">
      <c r="A12" t="s">
        <v>15</v>
      </c>
      <c r="B12" s="1">
        <f>2750+1375</f>
        <v>4125</v>
      </c>
      <c r="C12" s="4">
        <v>56.7</v>
      </c>
      <c r="D12">
        <f t="shared" si="1"/>
        <v>233887.5</v>
      </c>
      <c r="E12" s="3">
        <f t="shared" si="0"/>
        <v>3.4407654907524968E-2</v>
      </c>
    </row>
    <row r="13" spans="1:7" x14ac:dyDescent="0.25">
      <c r="A13" t="s">
        <v>32</v>
      </c>
      <c r="B13" s="1">
        <f>545-226</f>
        <v>319</v>
      </c>
      <c r="C13" s="4">
        <v>888.6</v>
      </c>
      <c r="D13">
        <f t="shared" si="1"/>
        <v>283463.40000000002</v>
      </c>
      <c r="E13" s="3">
        <f t="shared" si="0"/>
        <v>4.1700864074025824E-2</v>
      </c>
    </row>
    <row r="14" spans="1:7" x14ac:dyDescent="0.25">
      <c r="A14" t="s">
        <v>9</v>
      </c>
      <c r="B14" s="1">
        <f>1011-51-144</f>
        <v>816</v>
      </c>
      <c r="C14" s="4">
        <v>281.25</v>
      </c>
      <c r="D14">
        <f>C14*B14</f>
        <v>229500</v>
      </c>
      <c r="E14" s="3">
        <f t="shared" si="0"/>
        <v>3.3762201063660867E-2</v>
      </c>
      <c r="G14" t="s">
        <v>44</v>
      </c>
    </row>
    <row r="15" spans="1:7" x14ac:dyDescent="0.25">
      <c r="A15" t="s">
        <v>36</v>
      </c>
      <c r="B15" s="1">
        <f>1050+525</f>
        <v>1575</v>
      </c>
      <c r="C15" s="4">
        <v>111.7</v>
      </c>
      <c r="D15">
        <f>C15*B15</f>
        <v>175927.5</v>
      </c>
      <c r="E15" s="3">
        <f t="shared" si="0"/>
        <v>2.5881044129094539E-2</v>
      </c>
    </row>
    <row r="16" spans="1:7" x14ac:dyDescent="0.25">
      <c r="A16" t="s">
        <v>31</v>
      </c>
      <c r="B16" s="1">
        <v>570</v>
      </c>
      <c r="C16" s="4">
        <v>429.65</v>
      </c>
      <c r="D16">
        <f>C16*B16</f>
        <v>244900.5</v>
      </c>
      <c r="E16" s="3">
        <f t="shared" si="0"/>
        <v>3.6027799222619075E-2</v>
      </c>
    </row>
    <row r="17" spans="1:7" x14ac:dyDescent="0.25">
      <c r="A17" t="s">
        <v>30</v>
      </c>
      <c r="B17" s="1">
        <f>8384+5589+13973</f>
        <v>27946</v>
      </c>
      <c r="C17" s="4">
        <v>10.3</v>
      </c>
      <c r="D17">
        <f t="shared" si="1"/>
        <v>287843.80000000005</v>
      </c>
      <c r="E17" s="3">
        <f t="shared" si="0"/>
        <v>4.2345273422780771E-2</v>
      </c>
    </row>
    <row r="18" spans="1:7" x14ac:dyDescent="0.25">
      <c r="A18" t="s">
        <v>39</v>
      </c>
      <c r="B18" s="1">
        <f>1000+1150+450+500</f>
        <v>3100</v>
      </c>
      <c r="C18" s="4">
        <v>69.400000000000006</v>
      </c>
      <c r="D18">
        <f t="shared" si="1"/>
        <v>215140.00000000003</v>
      </c>
      <c r="E18" s="3">
        <f t="shared" si="0"/>
        <v>3.1649672927389974E-2</v>
      </c>
    </row>
    <row r="19" spans="1:7" x14ac:dyDescent="0.25">
      <c r="A19" t="s">
        <v>10</v>
      </c>
      <c r="B19" s="1">
        <f>368+532</f>
        <v>900</v>
      </c>
      <c r="C19" s="4">
        <v>16.95</v>
      </c>
      <c r="D19">
        <f t="shared" si="1"/>
        <v>15255</v>
      </c>
      <c r="E19" s="3">
        <f t="shared" si="0"/>
        <v>2.2441933648198104E-3</v>
      </c>
    </row>
    <row r="20" spans="1:7" x14ac:dyDescent="0.25">
      <c r="A20" t="s">
        <v>38</v>
      </c>
      <c r="B20" s="1">
        <f>480+154+159</f>
        <v>793</v>
      </c>
      <c r="C20" s="4">
        <v>498.35</v>
      </c>
      <c r="D20">
        <f>C20*B20</f>
        <v>395191.55000000005</v>
      </c>
      <c r="E20" s="3">
        <f t="shared" si="0"/>
        <v>5.8137414247319337E-2</v>
      </c>
    </row>
    <row r="21" spans="1:7" x14ac:dyDescent="0.25">
      <c r="A21" t="s">
        <v>11</v>
      </c>
      <c r="B21" s="1">
        <f>6886+2045-4465</f>
        <v>4466</v>
      </c>
      <c r="C21" s="4">
        <v>22.25</v>
      </c>
      <c r="D21">
        <f t="shared" si="1"/>
        <v>99368.5</v>
      </c>
      <c r="E21" s="3">
        <f t="shared" si="0"/>
        <v>1.4618297500629127E-2</v>
      </c>
    </row>
    <row r="22" spans="1:7" x14ac:dyDescent="0.25">
      <c r="A22" t="s">
        <v>12</v>
      </c>
      <c r="B22" s="1">
        <f>920+319+331-785</f>
        <v>785</v>
      </c>
      <c r="C22" s="4">
        <v>240.8</v>
      </c>
      <c r="D22">
        <f t="shared" si="1"/>
        <v>189028</v>
      </c>
      <c r="E22" s="3">
        <f t="shared" si="0"/>
        <v>2.7808284717480113E-2</v>
      </c>
    </row>
    <row r="23" spans="1:7" x14ac:dyDescent="0.25">
      <c r="A23" t="s">
        <v>28</v>
      </c>
      <c r="B23" s="1">
        <f>419+419+838</f>
        <v>1676</v>
      </c>
      <c r="C23" s="4">
        <v>129.05000000000001</v>
      </c>
      <c r="D23">
        <f t="shared" si="1"/>
        <v>216287.80000000002</v>
      </c>
      <c r="E23" s="3">
        <f t="shared" si="0"/>
        <v>3.181852806630444E-2</v>
      </c>
    </row>
    <row r="24" spans="1:7" x14ac:dyDescent="0.25">
      <c r="A24" t="s">
        <v>13</v>
      </c>
      <c r="B24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</f>
        <v>241.11199999999886</v>
      </c>
      <c r="C24" s="4">
        <v>1000</v>
      </c>
      <c r="D24">
        <f t="shared" si="1"/>
        <v>241111.99999999886</v>
      </c>
      <c r="E24" s="3">
        <f t="shared" si="0"/>
        <v>3.5470465459090897E-2</v>
      </c>
      <c r="G24" t="s">
        <v>45</v>
      </c>
    </row>
    <row r="25" spans="1:7" x14ac:dyDescent="0.25">
      <c r="B25" s="1"/>
      <c r="E25" s="3"/>
    </row>
    <row r="26" spans="1:7" x14ac:dyDescent="0.25">
      <c r="B26" s="1"/>
      <c r="D26">
        <f>SUM(D5:D24)</f>
        <v>6797542.5999999987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26"/>
  <sheetViews>
    <sheetView workbookViewId="0">
      <selection activeCell="B2" sqref="B2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43854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35</v>
      </c>
      <c r="B5" s="1">
        <f>1345+670-403-403</f>
        <v>1209</v>
      </c>
      <c r="C5" s="4">
        <v>183.15</v>
      </c>
      <c r="D5">
        <f>B5*C5</f>
        <v>221428.35</v>
      </c>
      <c r="E5" s="3">
        <f t="shared" ref="E5:E24" si="0">D5/$D$26</f>
        <v>3.0752284137612551E-2</v>
      </c>
    </row>
    <row r="6" spans="1:7" x14ac:dyDescent="0.25">
      <c r="A6" t="s">
        <v>14</v>
      </c>
      <c r="B6" s="1">
        <f>44+30+9+18+13+20+19+12</f>
        <v>165</v>
      </c>
      <c r="C6" s="4">
        <v>998.85</v>
      </c>
      <c r="D6">
        <f>B6*C6</f>
        <v>164810.25</v>
      </c>
      <c r="E6" s="3">
        <f t="shared" si="0"/>
        <v>2.2889081893944289E-2</v>
      </c>
    </row>
    <row r="7" spans="1:7" x14ac:dyDescent="0.25">
      <c r="A7" t="s">
        <v>37</v>
      </c>
      <c r="B7" s="1">
        <v>180</v>
      </c>
      <c r="C7" s="4">
        <v>2227.15</v>
      </c>
      <c r="D7">
        <f>B7*C7</f>
        <v>400887</v>
      </c>
      <c r="E7" s="3">
        <f t="shared" si="0"/>
        <v>5.5675756654805418E-2</v>
      </c>
    </row>
    <row r="8" spans="1:7" x14ac:dyDescent="0.25">
      <c r="A8" t="s">
        <v>7</v>
      </c>
      <c r="B8" s="1">
        <f>(840+420)*2</f>
        <v>2520</v>
      </c>
      <c r="C8" s="4">
        <v>367.35</v>
      </c>
      <c r="D8">
        <f t="shared" ref="D8:D24" si="1">C8*B8</f>
        <v>925722</v>
      </c>
      <c r="E8" s="3">
        <f t="shared" si="0"/>
        <v>0.12856558781402186</v>
      </c>
    </row>
    <row r="9" spans="1:7" x14ac:dyDescent="0.25">
      <c r="A9" t="s">
        <v>29</v>
      </c>
      <c r="B9" s="1">
        <f>1280+1280+1280+910+1300+1300+2940</f>
        <v>10290</v>
      </c>
      <c r="C9" s="4">
        <v>103.85</v>
      </c>
      <c r="D9">
        <f t="shared" si="1"/>
        <v>1068616.5</v>
      </c>
      <c r="E9" s="3">
        <f t="shared" si="0"/>
        <v>0.14841097918193874</v>
      </c>
    </row>
    <row r="10" spans="1:7" x14ac:dyDescent="0.25">
      <c r="A10" t="s">
        <v>33</v>
      </c>
      <c r="B10" s="1">
        <v>460</v>
      </c>
      <c r="C10" s="4">
        <v>565.54999999999995</v>
      </c>
      <c r="D10">
        <f t="shared" si="1"/>
        <v>260152.99999999997</v>
      </c>
      <c r="E10" s="3">
        <f t="shared" si="0"/>
        <v>3.6130418599300031E-2</v>
      </c>
    </row>
    <row r="11" spans="1:7" x14ac:dyDescent="0.25">
      <c r="A11" t="s">
        <v>8</v>
      </c>
      <c r="B11" s="1">
        <f>1378+229+460+413+248-340</f>
        <v>2388</v>
      </c>
      <c r="C11" s="4">
        <v>497.35</v>
      </c>
      <c r="D11">
        <f t="shared" si="1"/>
        <v>1187671.8</v>
      </c>
      <c r="E11" s="3">
        <f t="shared" si="0"/>
        <v>0.16494554855252161</v>
      </c>
    </row>
    <row r="12" spans="1:7" x14ac:dyDescent="0.25">
      <c r="A12" t="s">
        <v>15</v>
      </c>
      <c r="B12" s="1">
        <f>2750+1375</f>
        <v>4125</v>
      </c>
      <c r="C12" s="4">
        <v>67.05</v>
      </c>
      <c r="D12">
        <f t="shared" si="1"/>
        <v>276581.25</v>
      </c>
      <c r="E12" s="3">
        <f t="shared" si="0"/>
        <v>3.8411997321644006E-2</v>
      </c>
    </row>
    <row r="13" spans="1:7" x14ac:dyDescent="0.25">
      <c r="A13" t="s">
        <v>32</v>
      </c>
      <c r="B13" s="1">
        <f>545-226</f>
        <v>319</v>
      </c>
      <c r="C13" s="4">
        <v>846.3</v>
      </c>
      <c r="D13">
        <f t="shared" si="1"/>
        <v>269969.7</v>
      </c>
      <c r="E13" s="3">
        <f t="shared" si="0"/>
        <v>3.7493775855467558E-2</v>
      </c>
    </row>
    <row r="14" spans="1:7" x14ac:dyDescent="0.25">
      <c r="A14" t="s">
        <v>9</v>
      </c>
      <c r="B14" s="1">
        <f>1011-51-144</f>
        <v>816</v>
      </c>
      <c r="C14" s="4">
        <v>302.60000000000002</v>
      </c>
      <c r="D14">
        <f>C14*B14</f>
        <v>246921.60000000001</v>
      </c>
      <c r="E14" s="3">
        <f t="shared" si="0"/>
        <v>3.4292822951143845E-2</v>
      </c>
    </row>
    <row r="15" spans="1:7" x14ac:dyDescent="0.25">
      <c r="A15" t="s">
        <v>36</v>
      </c>
      <c r="B15" s="1">
        <f>1050+525</f>
        <v>1575</v>
      </c>
      <c r="C15" s="4">
        <v>120.8</v>
      </c>
      <c r="D15">
        <f>C15*B15</f>
        <v>190260</v>
      </c>
      <c r="E15" s="3">
        <f t="shared" si="0"/>
        <v>2.6423579365614944E-2</v>
      </c>
    </row>
    <row r="16" spans="1:7" x14ac:dyDescent="0.25">
      <c r="A16" t="s">
        <v>31</v>
      </c>
      <c r="B16" s="1">
        <v>570</v>
      </c>
      <c r="C16" s="4">
        <v>427.2</v>
      </c>
      <c r="D16">
        <f>C16*B16</f>
        <v>243504</v>
      </c>
      <c r="E16" s="3">
        <f t="shared" si="0"/>
        <v>3.3818181803031123E-2</v>
      </c>
    </row>
    <row r="17" spans="1:7" x14ac:dyDescent="0.25">
      <c r="A17" t="s">
        <v>30</v>
      </c>
      <c r="B17" s="1">
        <f>8384+5589+13973</f>
        <v>27946</v>
      </c>
      <c r="C17" s="4">
        <v>11.05</v>
      </c>
      <c r="D17">
        <f t="shared" si="1"/>
        <v>308803.30000000005</v>
      </c>
      <c r="E17" s="3">
        <f t="shared" si="0"/>
        <v>4.2887041448091051E-2</v>
      </c>
    </row>
    <row r="18" spans="1:7" x14ac:dyDescent="0.25">
      <c r="A18" t="s">
        <v>39</v>
      </c>
      <c r="B18" s="1">
        <f>1000+1150+450+500</f>
        <v>3100</v>
      </c>
      <c r="C18" s="4">
        <v>75.849999999999994</v>
      </c>
      <c r="D18">
        <f t="shared" si="1"/>
        <v>235134.99999999997</v>
      </c>
      <c r="E18" s="3">
        <f t="shared" si="0"/>
        <v>3.2655883181613943E-2</v>
      </c>
    </row>
    <row r="19" spans="1:7" x14ac:dyDescent="0.25">
      <c r="A19" t="s">
        <v>10</v>
      </c>
      <c r="B19" s="1">
        <f>368+532</f>
        <v>900</v>
      </c>
      <c r="C19" s="4">
        <v>21</v>
      </c>
      <c r="D19">
        <f t="shared" si="1"/>
        <v>18900</v>
      </c>
      <c r="E19" s="3">
        <f t="shared" si="0"/>
        <v>2.624858877378968E-3</v>
      </c>
    </row>
    <row r="20" spans="1:7" x14ac:dyDescent="0.25">
      <c r="A20" t="s">
        <v>38</v>
      </c>
      <c r="B20" s="1">
        <f>480+154+159</f>
        <v>793</v>
      </c>
      <c r="C20" s="4">
        <v>519.9</v>
      </c>
      <c r="D20">
        <f>C20*B20</f>
        <v>412280.69999999995</v>
      </c>
      <c r="E20" s="3">
        <f t="shared" si="0"/>
        <v>5.7258129913598674E-2</v>
      </c>
    </row>
    <row r="21" spans="1:7" x14ac:dyDescent="0.25">
      <c r="A21" t="s">
        <v>11</v>
      </c>
      <c r="B21" s="1">
        <f>6886+2045-4465+4466</f>
        <v>8932</v>
      </c>
      <c r="C21" s="4">
        <v>26.4</v>
      </c>
      <c r="D21">
        <f t="shared" si="1"/>
        <v>235804.79999999999</v>
      </c>
      <c r="E21" s="3">
        <f t="shared" si="0"/>
        <v>3.2748905958125504E-2</v>
      </c>
      <c r="G21" t="s">
        <v>46</v>
      </c>
    </row>
    <row r="22" spans="1:7" x14ac:dyDescent="0.25">
      <c r="A22" t="s">
        <v>12</v>
      </c>
      <c r="B22" s="1">
        <f>920+319+331-785</f>
        <v>785</v>
      </c>
      <c r="C22" s="4">
        <v>249.65</v>
      </c>
      <c r="D22">
        <f t="shared" si="1"/>
        <v>195975.25</v>
      </c>
      <c r="E22" s="3">
        <f t="shared" si="0"/>
        <v>2.7217321413177915E-2</v>
      </c>
    </row>
    <row r="23" spans="1:7" x14ac:dyDescent="0.25">
      <c r="A23" t="s">
        <v>28</v>
      </c>
      <c r="B23" s="1">
        <f>419+419+838</f>
        <v>1676</v>
      </c>
      <c r="C23" s="4">
        <v>129.35</v>
      </c>
      <c r="D23">
        <f t="shared" si="1"/>
        <v>216790.59999999998</v>
      </c>
      <c r="E23" s="3">
        <f t="shared" si="0"/>
        <v>3.0108186822344594E-2</v>
      </c>
    </row>
    <row r="24" spans="1:7" x14ac:dyDescent="0.25">
      <c r="A24" t="s">
        <v>13</v>
      </c>
      <c r="B24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</f>
        <v>120.17199999999886</v>
      </c>
      <c r="C24" s="4">
        <v>1000</v>
      </c>
      <c r="D24">
        <f t="shared" si="1"/>
        <v>120171.99999999886</v>
      </c>
      <c r="E24" s="3">
        <f t="shared" si="0"/>
        <v>1.6689658254623405E-2</v>
      </c>
    </row>
    <row r="25" spans="1:7" x14ac:dyDescent="0.25">
      <c r="B25" s="1"/>
      <c r="E25" s="3"/>
    </row>
    <row r="26" spans="1:7" x14ac:dyDescent="0.25">
      <c r="B26" s="1"/>
      <c r="D26">
        <f>SUM(D5:D24)</f>
        <v>7200387.0999999987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26"/>
  <sheetViews>
    <sheetView workbookViewId="0">
      <selection activeCell="B2" sqref="B2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43867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35</v>
      </c>
      <c r="B5" s="1">
        <f>1345+670-403-403</f>
        <v>1209</v>
      </c>
      <c r="C5" s="4">
        <v>156.80000000000001</v>
      </c>
      <c r="D5">
        <f>B5*C5</f>
        <v>189571.20000000001</v>
      </c>
      <c r="E5" s="3">
        <f t="shared" ref="E5:E24" si="0">D5/$D$26</f>
        <v>2.7096852431135601E-2</v>
      </c>
    </row>
    <row r="6" spans="1:7" x14ac:dyDescent="0.25">
      <c r="A6" t="s">
        <v>14</v>
      </c>
      <c r="B6" s="1">
        <f>44+30+9+18+13+20+19+12</f>
        <v>165</v>
      </c>
      <c r="C6" s="4">
        <v>1184.8499999999999</v>
      </c>
      <c r="D6">
        <f>B6*C6</f>
        <v>195500.24999999997</v>
      </c>
      <c r="E6" s="3">
        <f t="shared" si="0"/>
        <v>2.7944336610730515E-2</v>
      </c>
    </row>
    <row r="7" spans="1:7" x14ac:dyDescent="0.25">
      <c r="A7" t="s">
        <v>37</v>
      </c>
      <c r="B7" s="1">
        <v>180</v>
      </c>
      <c r="C7" s="4">
        <v>2348.65</v>
      </c>
      <c r="D7">
        <f>B7*C7</f>
        <v>422757</v>
      </c>
      <c r="E7" s="3">
        <f t="shared" si="0"/>
        <v>6.0427871128259945E-2</v>
      </c>
    </row>
    <row r="8" spans="1:7" x14ac:dyDescent="0.25">
      <c r="A8" t="s">
        <v>7</v>
      </c>
      <c r="B8" s="1">
        <f>(840+420)*2</f>
        <v>2520</v>
      </c>
      <c r="C8" s="4">
        <v>348.15</v>
      </c>
      <c r="D8">
        <f t="shared" ref="D8:D24" si="1">C8*B8</f>
        <v>877338</v>
      </c>
      <c r="E8" s="3">
        <f t="shared" si="0"/>
        <v>0.12540458845134517</v>
      </c>
    </row>
    <row r="9" spans="1:7" x14ac:dyDescent="0.25">
      <c r="A9" t="s">
        <v>29</v>
      </c>
      <c r="B9" s="1">
        <f>1280+1280+1280+910+1300+1300+2940</f>
        <v>10290</v>
      </c>
      <c r="C9" s="4">
        <v>97.45</v>
      </c>
      <c r="D9">
        <f t="shared" si="1"/>
        <v>1002760.5</v>
      </c>
      <c r="E9" s="3">
        <f t="shared" si="0"/>
        <v>0.14333217963631473</v>
      </c>
    </row>
    <row r="10" spans="1:7" x14ac:dyDescent="0.25">
      <c r="A10" t="s">
        <v>33</v>
      </c>
      <c r="B10" s="1">
        <v>460</v>
      </c>
      <c r="C10" s="4">
        <v>548.6</v>
      </c>
      <c r="D10">
        <f t="shared" si="1"/>
        <v>252356</v>
      </c>
      <c r="E10" s="3">
        <f t="shared" si="0"/>
        <v>3.6071161084129104E-2</v>
      </c>
    </row>
    <row r="11" spans="1:7" x14ac:dyDescent="0.25">
      <c r="A11" t="s">
        <v>8</v>
      </c>
      <c r="B11" s="1">
        <f>1378+229+460+413+248-340</f>
        <v>2388</v>
      </c>
      <c r="C11" s="4">
        <v>521.95000000000005</v>
      </c>
      <c r="D11">
        <f t="shared" si="1"/>
        <v>1246416.6000000001</v>
      </c>
      <c r="E11" s="3">
        <f t="shared" si="0"/>
        <v>0.1781597978908071</v>
      </c>
    </row>
    <row r="12" spans="1:7" x14ac:dyDescent="0.25">
      <c r="A12" t="s">
        <v>15</v>
      </c>
      <c r="B12" s="1">
        <f>2750+1375</f>
        <v>4125</v>
      </c>
      <c r="C12" s="4">
        <v>59.65</v>
      </c>
      <c r="D12">
        <f t="shared" si="1"/>
        <v>246056.25</v>
      </c>
      <c r="E12" s="3">
        <f t="shared" si="0"/>
        <v>3.5170689936069449E-2</v>
      </c>
    </row>
    <row r="13" spans="1:7" x14ac:dyDescent="0.25">
      <c r="A13" t="s">
        <v>32</v>
      </c>
      <c r="B13" s="1">
        <f>545-226</f>
        <v>319</v>
      </c>
      <c r="C13" s="4">
        <v>801</v>
      </c>
      <c r="D13">
        <f t="shared" si="1"/>
        <v>255519</v>
      </c>
      <c r="E13" s="3">
        <f t="shared" si="0"/>
        <v>3.6523272714164057E-2</v>
      </c>
    </row>
    <row r="14" spans="1:7" x14ac:dyDescent="0.25">
      <c r="A14" t="s">
        <v>9</v>
      </c>
      <c r="B14" s="1">
        <f>1011-51-144</f>
        <v>816</v>
      </c>
      <c r="C14" s="4">
        <v>296.10000000000002</v>
      </c>
      <c r="D14">
        <f>C14*B14</f>
        <v>241617.6</v>
      </c>
      <c r="E14" s="3">
        <f t="shared" si="0"/>
        <v>3.4536239956096434E-2</v>
      </c>
    </row>
    <row r="15" spans="1:7" x14ac:dyDescent="0.25">
      <c r="A15" t="s">
        <v>36</v>
      </c>
      <c r="B15" s="1">
        <f>1050+525</f>
        <v>1575</v>
      </c>
      <c r="C15" s="4">
        <v>106.9</v>
      </c>
      <c r="D15">
        <f>C15*B15</f>
        <v>168367.5</v>
      </c>
      <c r="E15" s="3">
        <f t="shared" si="0"/>
        <v>2.4066046433736891E-2</v>
      </c>
    </row>
    <row r="16" spans="1:7" x14ac:dyDescent="0.25">
      <c r="A16" t="s">
        <v>31</v>
      </c>
      <c r="B16" s="1">
        <v>570</v>
      </c>
      <c r="C16" s="4">
        <v>378.4</v>
      </c>
      <c r="D16">
        <f>C16*B16</f>
        <v>215688</v>
      </c>
      <c r="E16" s="3">
        <f t="shared" si="0"/>
        <v>3.0829925153012562E-2</v>
      </c>
    </row>
    <row r="17" spans="1:7" x14ac:dyDescent="0.25">
      <c r="A17" t="s">
        <v>30</v>
      </c>
      <c r="B17" s="1">
        <f>8384+5589+13973</f>
        <v>27946</v>
      </c>
      <c r="C17" s="4">
        <v>10.1</v>
      </c>
      <c r="D17">
        <f t="shared" si="1"/>
        <v>282254.59999999998</v>
      </c>
      <c r="E17" s="3">
        <f t="shared" si="0"/>
        <v>4.0344795223162616E-2</v>
      </c>
    </row>
    <row r="18" spans="1:7" x14ac:dyDescent="0.25">
      <c r="A18" t="s">
        <v>39</v>
      </c>
      <c r="B18" s="1">
        <f>1000+1150+450+500+1000</f>
        <v>4100</v>
      </c>
      <c r="C18" s="4">
        <v>77.95</v>
      </c>
      <c r="D18">
        <f t="shared" si="1"/>
        <v>319595</v>
      </c>
      <c r="E18" s="3">
        <f t="shared" si="0"/>
        <v>4.5682142396781693E-2</v>
      </c>
      <c r="G18" t="s">
        <v>47</v>
      </c>
    </row>
    <row r="19" spans="1:7" x14ac:dyDescent="0.25">
      <c r="A19" t="s">
        <v>10</v>
      </c>
      <c r="B19" s="1">
        <f>368+532</f>
        <v>900</v>
      </c>
      <c r="C19" s="4">
        <v>18.95</v>
      </c>
      <c r="D19">
        <f t="shared" si="1"/>
        <v>17055</v>
      </c>
      <c r="E19" s="3">
        <f t="shared" si="0"/>
        <v>2.4378007746589021E-3</v>
      </c>
    </row>
    <row r="20" spans="1:7" x14ac:dyDescent="0.25">
      <c r="A20" t="s">
        <v>38</v>
      </c>
      <c r="B20" s="1">
        <f>480+154+159</f>
        <v>793</v>
      </c>
      <c r="C20" s="4">
        <v>523.20000000000005</v>
      </c>
      <c r="D20">
        <f>C20*B20</f>
        <v>414897.60000000003</v>
      </c>
      <c r="E20" s="3">
        <f t="shared" si="0"/>
        <v>5.930446735175135E-2</v>
      </c>
    </row>
    <row r="21" spans="1:7" x14ac:dyDescent="0.25">
      <c r="A21" t="s">
        <v>11</v>
      </c>
      <c r="B21" s="1">
        <f>6886+2045-4465+4466</f>
        <v>8932</v>
      </c>
      <c r="C21" s="4">
        <v>25</v>
      </c>
      <c r="D21">
        <f t="shared" si="1"/>
        <v>223300</v>
      </c>
      <c r="E21" s="3">
        <f t="shared" si="0"/>
        <v>3.1917966167184571E-2</v>
      </c>
    </row>
    <row r="22" spans="1:7" x14ac:dyDescent="0.25">
      <c r="A22" t="s">
        <v>12</v>
      </c>
      <c r="B22" s="1">
        <f>920+319+331-785</f>
        <v>785</v>
      </c>
      <c r="C22" s="4">
        <v>234.5</v>
      </c>
      <c r="D22">
        <f t="shared" si="1"/>
        <v>184082.5</v>
      </c>
      <c r="E22" s="3">
        <f t="shared" si="0"/>
        <v>2.6312310823872608E-2</v>
      </c>
    </row>
    <row r="23" spans="1:7" x14ac:dyDescent="0.25">
      <c r="A23" t="s">
        <v>28</v>
      </c>
      <c r="B23" s="1">
        <f>419+419+838</f>
        <v>1676</v>
      </c>
      <c r="C23" s="4">
        <v>120.2</v>
      </c>
      <c r="D23">
        <f t="shared" si="1"/>
        <v>201455.2</v>
      </c>
      <c r="E23" s="3">
        <f t="shared" si="0"/>
        <v>2.8795522874175552E-2</v>
      </c>
    </row>
    <row r="24" spans="1:7" x14ac:dyDescent="0.25">
      <c r="A24" t="s">
        <v>13</v>
      </c>
      <c r="B24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</f>
        <v>39.471999999998857</v>
      </c>
      <c r="C24" s="4">
        <v>1000</v>
      </c>
      <c r="D24">
        <f t="shared" si="1"/>
        <v>39471.999999998858</v>
      </c>
      <c r="E24" s="3">
        <f t="shared" si="0"/>
        <v>5.6420329626111635E-3</v>
      </c>
      <c r="G24" t="s">
        <v>48</v>
      </c>
    </row>
    <row r="25" spans="1:7" x14ac:dyDescent="0.25">
      <c r="B25" s="1"/>
      <c r="E25" s="3"/>
    </row>
    <row r="26" spans="1:7" x14ac:dyDescent="0.25">
      <c r="B26" s="1"/>
      <c r="D26">
        <f>SUM(D5:D24)</f>
        <v>6996059.7999999989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26"/>
  <sheetViews>
    <sheetView workbookViewId="0">
      <selection activeCell="G22" sqref="G22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43868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35</v>
      </c>
      <c r="B5" s="1">
        <f>1345+670-403-403</f>
        <v>1209</v>
      </c>
      <c r="C5" s="4">
        <v>168.4</v>
      </c>
      <c r="D5">
        <f>B5*C5</f>
        <v>203595.6</v>
      </c>
      <c r="E5" s="3">
        <f t="shared" ref="E5:E24" si="0">D5/$D$26</f>
        <v>2.8511267336907394E-2</v>
      </c>
    </row>
    <row r="6" spans="1:7" x14ac:dyDescent="0.25">
      <c r="A6" t="s">
        <v>14</v>
      </c>
      <c r="B6" s="1">
        <f>44+30+9+18+13+20+19+12</f>
        <v>165</v>
      </c>
      <c r="C6" s="4">
        <v>1201.8499999999999</v>
      </c>
      <c r="D6">
        <f>B6*C6</f>
        <v>198305.24999999997</v>
      </c>
      <c r="E6" s="3">
        <f t="shared" si="0"/>
        <v>2.7770413491560005E-2</v>
      </c>
    </row>
    <row r="7" spans="1:7" x14ac:dyDescent="0.25">
      <c r="A7" t="s">
        <v>37</v>
      </c>
      <c r="B7" s="1">
        <v>180</v>
      </c>
      <c r="C7" s="4">
        <v>2373.5500000000002</v>
      </c>
      <c r="D7">
        <f>B7*C7</f>
        <v>427239.00000000006</v>
      </c>
      <c r="E7" s="3">
        <f t="shared" si="0"/>
        <v>5.983000293598182E-2</v>
      </c>
    </row>
    <row r="8" spans="1:7" x14ac:dyDescent="0.25">
      <c r="A8" t="s">
        <v>7</v>
      </c>
      <c r="B8" s="1">
        <f>(840+420)*2</f>
        <v>2520</v>
      </c>
      <c r="C8" s="4">
        <v>347.7</v>
      </c>
      <c r="D8">
        <f t="shared" ref="D8:D24" si="1">C8*B8</f>
        <v>876204</v>
      </c>
      <c r="E8" s="3">
        <f t="shared" si="0"/>
        <v>0.12270248711498483</v>
      </c>
    </row>
    <row r="9" spans="1:7" x14ac:dyDescent="0.25">
      <c r="A9" t="s">
        <v>29</v>
      </c>
      <c r="B9" s="1">
        <f>1280+1280+1280+910+1300+1300+2940</f>
        <v>10290</v>
      </c>
      <c r="C9" s="4">
        <v>97.7</v>
      </c>
      <c r="D9">
        <f t="shared" si="1"/>
        <v>1005333</v>
      </c>
      <c r="E9" s="3">
        <f t="shared" si="0"/>
        <v>0.14078554706297738</v>
      </c>
    </row>
    <row r="10" spans="1:7" x14ac:dyDescent="0.25">
      <c r="A10" t="s">
        <v>33</v>
      </c>
      <c r="B10" s="1">
        <f>460-147</f>
        <v>313</v>
      </c>
      <c r="C10" s="4">
        <v>550.1</v>
      </c>
      <c r="D10">
        <f t="shared" si="1"/>
        <v>172181.30000000002</v>
      </c>
      <c r="E10" s="3">
        <f t="shared" si="0"/>
        <v>2.4112048957424685E-2</v>
      </c>
      <c r="G10" t="s">
        <v>49</v>
      </c>
    </row>
    <row r="11" spans="1:7" x14ac:dyDescent="0.25">
      <c r="A11" t="s">
        <v>8</v>
      </c>
      <c r="B11" s="1">
        <f>1378+229+460+413+248-340</f>
        <v>2388</v>
      </c>
      <c r="C11" s="4">
        <v>548.15</v>
      </c>
      <c r="D11">
        <f t="shared" si="1"/>
        <v>1308982.2</v>
      </c>
      <c r="E11" s="3">
        <f t="shared" si="0"/>
        <v>0.18330819253192693</v>
      </c>
    </row>
    <row r="12" spans="1:7" x14ac:dyDescent="0.25">
      <c r="A12" t="s">
        <v>15</v>
      </c>
      <c r="B12" s="1">
        <f>2750+1375</f>
        <v>4125</v>
      </c>
      <c r="C12" s="4">
        <v>59.2</v>
      </c>
      <c r="D12">
        <f t="shared" si="1"/>
        <v>244200</v>
      </c>
      <c r="E12" s="3">
        <f t="shared" si="0"/>
        <v>3.419745556226552E-2</v>
      </c>
    </row>
    <row r="13" spans="1:7" x14ac:dyDescent="0.25">
      <c r="A13" t="s">
        <v>32</v>
      </c>
      <c r="B13" s="1">
        <f>545-226</f>
        <v>319</v>
      </c>
      <c r="C13" s="4">
        <v>810.7</v>
      </c>
      <c r="D13">
        <f t="shared" si="1"/>
        <v>258613.30000000002</v>
      </c>
      <c r="E13" s="3">
        <f t="shared" si="0"/>
        <v>3.6215875653402299E-2</v>
      </c>
    </row>
    <row r="14" spans="1:7" x14ac:dyDescent="0.25">
      <c r="A14" t="s">
        <v>9</v>
      </c>
      <c r="B14" s="1">
        <f>1011-51-144</f>
        <v>816</v>
      </c>
      <c r="C14" s="4">
        <v>303.5</v>
      </c>
      <c r="D14">
        <f>C14*B14</f>
        <v>247656</v>
      </c>
      <c r="E14" s="3">
        <f t="shared" si="0"/>
        <v>3.4681429380542299E-2</v>
      </c>
    </row>
    <row r="15" spans="1:7" x14ac:dyDescent="0.25">
      <c r="A15" t="s">
        <v>36</v>
      </c>
      <c r="B15" s="1">
        <f>1050+525</f>
        <v>1575</v>
      </c>
      <c r="C15" s="4">
        <v>108.95</v>
      </c>
      <c r="D15">
        <f>C15*B15</f>
        <v>171596.25</v>
      </c>
      <c r="E15" s="3">
        <f t="shared" si="0"/>
        <v>2.4030119303957431E-2</v>
      </c>
    </row>
    <row r="16" spans="1:7" x14ac:dyDescent="0.25">
      <c r="A16" t="s">
        <v>31</v>
      </c>
      <c r="B16" s="1">
        <v>570</v>
      </c>
      <c r="C16" s="4">
        <v>399</v>
      </c>
      <c r="D16">
        <f>C16*B16</f>
        <v>227430</v>
      </c>
      <c r="E16" s="3">
        <f t="shared" si="0"/>
        <v>3.1849006218370376E-2</v>
      </c>
    </row>
    <row r="17" spans="1:7" x14ac:dyDescent="0.25">
      <c r="A17" t="s">
        <v>30</v>
      </c>
      <c r="B17" s="1">
        <f>8384+5589+13973</f>
        <v>27946</v>
      </c>
      <c r="C17" s="4">
        <v>10.1</v>
      </c>
      <c r="D17">
        <f t="shared" si="1"/>
        <v>282254.59999999998</v>
      </c>
      <c r="E17" s="3">
        <f t="shared" si="0"/>
        <v>3.9526573057923946E-2</v>
      </c>
    </row>
    <row r="18" spans="1:7" x14ac:dyDescent="0.25">
      <c r="A18" t="s">
        <v>39</v>
      </c>
      <c r="B18" s="1">
        <f>1000+1150+450+500+1000</f>
        <v>4100</v>
      </c>
      <c r="C18" s="4">
        <v>85.55</v>
      </c>
      <c r="D18">
        <f t="shared" si="1"/>
        <v>350755</v>
      </c>
      <c r="E18" s="3">
        <f t="shared" si="0"/>
        <v>4.9119281432196731E-2</v>
      </c>
    </row>
    <row r="19" spans="1:7" x14ac:dyDescent="0.25">
      <c r="A19" t="s">
        <v>10</v>
      </c>
      <c r="B19" s="1">
        <f>368+532</f>
        <v>900</v>
      </c>
      <c r="C19" s="4">
        <v>18.05</v>
      </c>
      <c r="D19">
        <f t="shared" si="1"/>
        <v>16245</v>
      </c>
      <c r="E19" s="3">
        <f t="shared" si="0"/>
        <v>2.2749290155978843E-3</v>
      </c>
    </row>
    <row r="20" spans="1:7" x14ac:dyDescent="0.25">
      <c r="A20" t="s">
        <v>38</v>
      </c>
      <c r="B20" s="1">
        <f>480+154+159</f>
        <v>793</v>
      </c>
      <c r="C20" s="4">
        <v>534.79999999999995</v>
      </c>
      <c r="D20">
        <f>C20*B20</f>
        <v>424096.39999999997</v>
      </c>
      <c r="E20" s="3">
        <f t="shared" si="0"/>
        <v>5.9389917252730469E-2</v>
      </c>
    </row>
    <row r="21" spans="1:7" x14ac:dyDescent="0.25">
      <c r="A21" t="s">
        <v>11</v>
      </c>
      <c r="B21" s="1">
        <f>6886+2045-4465+4466</f>
        <v>8932</v>
      </c>
      <c r="C21" s="4">
        <v>25.35</v>
      </c>
      <c r="D21">
        <f t="shared" si="1"/>
        <v>226426.2</v>
      </c>
      <c r="E21" s="3">
        <f t="shared" si="0"/>
        <v>3.1708435350666031E-2</v>
      </c>
    </row>
    <row r="22" spans="1:7" x14ac:dyDescent="0.25">
      <c r="A22" t="s">
        <v>12</v>
      </c>
      <c r="B22" s="1">
        <f>920+319+331-785</f>
        <v>785</v>
      </c>
      <c r="C22" s="4">
        <v>236.65</v>
      </c>
      <c r="D22">
        <f t="shared" si="1"/>
        <v>185770.25</v>
      </c>
      <c r="E22" s="3">
        <f t="shared" si="0"/>
        <v>2.6015028129262718E-2</v>
      </c>
    </row>
    <row r="23" spans="1:7" x14ac:dyDescent="0.25">
      <c r="A23" t="s">
        <v>28</v>
      </c>
      <c r="B23" s="1">
        <f>419+419+838</f>
        <v>1676</v>
      </c>
      <c r="C23" s="4">
        <v>120.3</v>
      </c>
      <c r="D23">
        <f t="shared" si="1"/>
        <v>201622.8</v>
      </c>
      <c r="E23" s="3">
        <f t="shared" si="0"/>
        <v>2.8234998948974396E-2</v>
      </c>
    </row>
    <row r="24" spans="1:7" x14ac:dyDescent="0.25">
      <c r="A24" t="s">
        <v>13</v>
      </c>
      <c r="B24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</f>
        <v>112.37599999999885</v>
      </c>
      <c r="C24" s="4">
        <v>1000</v>
      </c>
      <c r="D24">
        <f t="shared" si="1"/>
        <v>112375.99999999885</v>
      </c>
      <c r="E24" s="3">
        <f t="shared" si="0"/>
        <v>1.573699126234689E-2</v>
      </c>
      <c r="G24" t="s">
        <v>50</v>
      </c>
    </row>
    <row r="25" spans="1:7" x14ac:dyDescent="0.25">
      <c r="B25" s="1"/>
      <c r="E25" s="3"/>
    </row>
    <row r="26" spans="1:7" x14ac:dyDescent="0.25">
      <c r="B26" s="1"/>
      <c r="D26">
        <f>SUM(D5:D24)</f>
        <v>7140882.1499999985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26"/>
  <sheetViews>
    <sheetView workbookViewId="0">
      <selection activeCell="B2" sqref="B2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43873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35</v>
      </c>
      <c r="B5" s="1">
        <f>1345+670-403-403</f>
        <v>1209</v>
      </c>
      <c r="C5" s="4">
        <v>159.1</v>
      </c>
      <c r="D5">
        <f>B5*C5</f>
        <v>192351.9</v>
      </c>
      <c r="E5" s="3">
        <f t="shared" ref="E5:E24" si="0">D5/$D$26</f>
        <v>2.7002556527946052E-2</v>
      </c>
    </row>
    <row r="6" spans="1:7" x14ac:dyDescent="0.25">
      <c r="A6" t="s">
        <v>14</v>
      </c>
      <c r="B6" s="1">
        <f>44+30+9+18+13+20+19+12</f>
        <v>165</v>
      </c>
      <c r="C6" s="4">
        <v>1156.1500000000001</v>
      </c>
      <c r="D6">
        <f>B6*C6</f>
        <v>190764.75000000003</v>
      </c>
      <c r="E6" s="3">
        <f t="shared" si="0"/>
        <v>2.6779750787044462E-2</v>
      </c>
    </row>
    <row r="7" spans="1:7" x14ac:dyDescent="0.25">
      <c r="A7" t="s">
        <v>37</v>
      </c>
      <c r="B7" s="1">
        <f>180-90</f>
        <v>90</v>
      </c>
      <c r="C7" s="4">
        <v>2417.6999999999998</v>
      </c>
      <c r="D7">
        <f>B7*C7</f>
        <v>217592.99999999997</v>
      </c>
      <c r="E7" s="3">
        <f t="shared" si="0"/>
        <v>3.0545927971521804E-2</v>
      </c>
      <c r="G7" t="s">
        <v>51</v>
      </c>
    </row>
    <row r="8" spans="1:7" x14ac:dyDescent="0.25">
      <c r="A8" t="s">
        <v>7</v>
      </c>
      <c r="B8" s="1">
        <f>(840+420)*2</f>
        <v>2520</v>
      </c>
      <c r="C8" s="4">
        <v>340.6</v>
      </c>
      <c r="D8">
        <f t="shared" ref="D8:D24" si="1">C8*B8</f>
        <v>858312</v>
      </c>
      <c r="E8" s="3">
        <f t="shared" si="0"/>
        <v>0.12049071674682929</v>
      </c>
    </row>
    <row r="9" spans="1:7" x14ac:dyDescent="0.25">
      <c r="A9" t="s">
        <v>29</v>
      </c>
      <c r="B9" s="1">
        <f>1280+1280+1280+910+1300+1300+2940</f>
        <v>10290</v>
      </c>
      <c r="C9" s="4">
        <v>96.75</v>
      </c>
      <c r="D9">
        <f t="shared" si="1"/>
        <v>995557.5</v>
      </c>
      <c r="E9" s="3">
        <f t="shared" si="0"/>
        <v>0.13975738046034716</v>
      </c>
    </row>
    <row r="10" spans="1:7" x14ac:dyDescent="0.25">
      <c r="A10" t="s">
        <v>33</v>
      </c>
      <c r="B10" s="1">
        <f>460-147</f>
        <v>313</v>
      </c>
      <c r="C10" s="4">
        <v>514.70000000000005</v>
      </c>
      <c r="D10">
        <f t="shared" si="1"/>
        <v>161101.1</v>
      </c>
      <c r="E10" s="3">
        <f t="shared" si="0"/>
        <v>2.2615537249511392E-2</v>
      </c>
    </row>
    <row r="11" spans="1:7" x14ac:dyDescent="0.25">
      <c r="A11" t="s">
        <v>8</v>
      </c>
      <c r="B11" s="1">
        <f>1378+229+460+413+248-340</f>
        <v>2388</v>
      </c>
      <c r="C11" s="4">
        <v>577.20000000000005</v>
      </c>
      <c r="D11">
        <f t="shared" si="1"/>
        <v>1378353.6</v>
      </c>
      <c r="E11" s="3">
        <f t="shared" si="0"/>
        <v>0.19349468863836514</v>
      </c>
    </row>
    <row r="12" spans="1:7" x14ac:dyDescent="0.25">
      <c r="A12" t="s">
        <v>15</v>
      </c>
      <c r="B12" s="1">
        <f>2750+1375</f>
        <v>4125</v>
      </c>
      <c r="C12" s="4">
        <v>56.2</v>
      </c>
      <c r="D12">
        <f t="shared" si="1"/>
        <v>231825</v>
      </c>
      <c r="E12" s="3">
        <f t="shared" si="0"/>
        <v>3.2543830693073962E-2</v>
      </c>
    </row>
    <row r="13" spans="1:7" x14ac:dyDescent="0.25">
      <c r="A13" t="s">
        <v>32</v>
      </c>
      <c r="B13" s="1">
        <f>545-226</f>
        <v>319</v>
      </c>
      <c r="C13" s="4">
        <v>791.15</v>
      </c>
      <c r="D13">
        <f t="shared" si="1"/>
        <v>252376.85</v>
      </c>
      <c r="E13" s="3">
        <f t="shared" si="0"/>
        <v>3.5428920423816776E-2</v>
      </c>
    </row>
    <row r="14" spans="1:7" x14ac:dyDescent="0.25">
      <c r="A14" t="s">
        <v>9</v>
      </c>
      <c r="B14" s="1">
        <f>1011-51-144</f>
        <v>816</v>
      </c>
      <c r="C14" s="4">
        <v>296.7</v>
      </c>
      <c r="D14">
        <f>C14*B14</f>
        <v>242107.19999999998</v>
      </c>
      <c r="E14" s="3">
        <f t="shared" si="0"/>
        <v>3.398725644936567E-2</v>
      </c>
    </row>
    <row r="15" spans="1:7" x14ac:dyDescent="0.25">
      <c r="A15" t="s">
        <v>36</v>
      </c>
      <c r="B15" s="1">
        <f>1050+525</f>
        <v>1575</v>
      </c>
      <c r="C15" s="4">
        <v>105.85</v>
      </c>
      <c r="D15">
        <f>C15*B15</f>
        <v>166713.75</v>
      </c>
      <c r="E15" s="3">
        <f t="shared" si="0"/>
        <v>2.3403446799126322E-2</v>
      </c>
    </row>
    <row r="16" spans="1:7" x14ac:dyDescent="0.25">
      <c r="A16" t="s">
        <v>31</v>
      </c>
      <c r="B16" s="1">
        <v>570</v>
      </c>
      <c r="C16" s="4">
        <v>400.5</v>
      </c>
      <c r="D16">
        <f>C16*B16</f>
        <v>228285</v>
      </c>
      <c r="E16" s="3">
        <f t="shared" si="0"/>
        <v>3.2046881871102731E-2</v>
      </c>
    </row>
    <row r="17" spans="1:7" x14ac:dyDescent="0.25">
      <c r="A17" t="s">
        <v>30</v>
      </c>
      <c r="B17" s="1">
        <f>8384+5589+13973</f>
        <v>27946</v>
      </c>
      <c r="C17" s="4">
        <v>10</v>
      </c>
      <c r="D17">
        <f t="shared" si="1"/>
        <v>279460</v>
      </c>
      <c r="E17" s="3">
        <f t="shared" si="0"/>
        <v>3.9230880731096519E-2</v>
      </c>
    </row>
    <row r="18" spans="1:7" x14ac:dyDescent="0.25">
      <c r="A18" t="s">
        <v>39</v>
      </c>
      <c r="B18" s="1">
        <f>1000+1150+450+500+1000+900</f>
        <v>5000</v>
      </c>
      <c r="C18" s="4">
        <v>83.65</v>
      </c>
      <c r="D18">
        <f t="shared" si="1"/>
        <v>418250</v>
      </c>
      <c r="E18" s="3">
        <f t="shared" si="0"/>
        <v>5.8714362934878403E-2</v>
      </c>
      <c r="G18" t="s">
        <v>54</v>
      </c>
    </row>
    <row r="19" spans="1:7" x14ac:dyDescent="0.25">
      <c r="A19" t="s">
        <v>10</v>
      </c>
      <c r="B19" s="1">
        <f>368+532</f>
        <v>900</v>
      </c>
      <c r="C19" s="4">
        <v>17.2</v>
      </c>
      <c r="D19">
        <f t="shared" si="1"/>
        <v>15480</v>
      </c>
      <c r="E19" s="3">
        <f t="shared" si="0"/>
        <v>2.1730982384504903E-3</v>
      </c>
    </row>
    <row r="20" spans="1:7" x14ac:dyDescent="0.25">
      <c r="A20" t="s">
        <v>38</v>
      </c>
      <c r="B20" s="1">
        <f>480+154+159</f>
        <v>793</v>
      </c>
      <c r="C20" s="4">
        <v>519.4</v>
      </c>
      <c r="D20">
        <f>C20*B20</f>
        <v>411884.19999999995</v>
      </c>
      <c r="E20" s="3">
        <f t="shared" si="0"/>
        <v>5.7820725417673732E-2</v>
      </c>
    </row>
    <row r="21" spans="1:7" x14ac:dyDescent="0.25">
      <c r="A21" t="s">
        <v>11</v>
      </c>
      <c r="B21" s="1">
        <f>6886+2045-4465+4466+4466</f>
        <v>13398</v>
      </c>
      <c r="C21" s="4">
        <v>27.35</v>
      </c>
      <c r="D21">
        <f t="shared" si="1"/>
        <v>366435.30000000005</v>
      </c>
      <c r="E21" s="3">
        <f t="shared" si="0"/>
        <v>5.1440562334371907E-2</v>
      </c>
      <c r="G21" t="s">
        <v>52</v>
      </c>
    </row>
    <row r="22" spans="1:7" x14ac:dyDescent="0.25">
      <c r="A22" t="s">
        <v>12</v>
      </c>
      <c r="B22" s="1">
        <f>920+319+331-785+393</f>
        <v>1178</v>
      </c>
      <c r="C22" s="4">
        <v>240.1</v>
      </c>
      <c r="D22">
        <f t="shared" si="1"/>
        <v>282837.8</v>
      </c>
      <c r="E22" s="3">
        <f t="shared" si="0"/>
        <v>3.9705059751111896E-2</v>
      </c>
      <c r="G22" t="s">
        <v>53</v>
      </c>
    </row>
    <row r="23" spans="1:7" x14ac:dyDescent="0.25">
      <c r="A23" t="s">
        <v>28</v>
      </c>
      <c r="B23" s="1">
        <f>419+419+838</f>
        <v>1676</v>
      </c>
      <c r="C23" s="4">
        <v>123</v>
      </c>
      <c r="D23">
        <f t="shared" si="1"/>
        <v>206148</v>
      </c>
      <c r="E23" s="3">
        <f t="shared" si="0"/>
        <v>2.8939267161504634E-2</v>
      </c>
    </row>
    <row r="24" spans="1:7" x14ac:dyDescent="0.25">
      <c r="A24" t="s">
        <v>13</v>
      </c>
      <c r="B24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</f>
        <v>27.632999999998859</v>
      </c>
      <c r="C24" s="4">
        <v>1000</v>
      </c>
      <c r="D24">
        <f t="shared" si="1"/>
        <v>27632.999999998858</v>
      </c>
      <c r="E24" s="3">
        <f t="shared" si="0"/>
        <v>3.8791488128617521E-3</v>
      </c>
      <c r="G24" t="s">
        <v>55</v>
      </c>
    </row>
    <row r="25" spans="1:7" x14ac:dyDescent="0.25">
      <c r="B25" s="1"/>
      <c r="E25" s="3"/>
    </row>
    <row r="26" spans="1:7" x14ac:dyDescent="0.25">
      <c r="B26" s="1"/>
      <c r="D26">
        <f>SUM(D5:D24)</f>
        <v>7123469.9499999983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26"/>
  <sheetViews>
    <sheetView workbookViewId="0">
      <selection activeCell="B2" sqref="B2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43910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35</v>
      </c>
      <c r="B5" s="1">
        <f>1345+670-403-403</f>
        <v>1209</v>
      </c>
      <c r="C5" s="4">
        <v>85.15</v>
      </c>
      <c r="D5">
        <f>B5*C5</f>
        <v>102946.35</v>
      </c>
      <c r="E5" s="3">
        <f t="shared" ref="E5:E24" si="0">D5/$D$26</f>
        <v>2.3553133153659693E-2</v>
      </c>
    </row>
    <row r="6" spans="1:7" x14ac:dyDescent="0.25">
      <c r="A6" t="s">
        <v>14</v>
      </c>
      <c r="B6" s="1">
        <f>44+30+9+18+13+20+19+12</f>
        <v>165</v>
      </c>
      <c r="C6" s="4">
        <v>555.65</v>
      </c>
      <c r="D6">
        <f>B6*C6</f>
        <v>91682.25</v>
      </c>
      <c r="E6" s="3">
        <f t="shared" si="0"/>
        <v>2.0976015585565843E-2</v>
      </c>
    </row>
    <row r="7" spans="1:7" x14ac:dyDescent="0.25">
      <c r="A7" t="s">
        <v>37</v>
      </c>
      <c r="B7" s="1">
        <f>180-90-90</f>
        <v>0</v>
      </c>
      <c r="C7" s="4">
        <v>1823.85</v>
      </c>
      <c r="D7">
        <f>B7*C7</f>
        <v>0</v>
      </c>
      <c r="E7" s="3">
        <f t="shared" si="0"/>
        <v>0</v>
      </c>
      <c r="G7" t="s">
        <v>59</v>
      </c>
    </row>
    <row r="8" spans="1:7" x14ac:dyDescent="0.25">
      <c r="A8" t="s">
        <v>7</v>
      </c>
      <c r="B8" s="1">
        <f>(840+420)*2+290</f>
        <v>2810</v>
      </c>
      <c r="C8" s="4">
        <v>199.55</v>
      </c>
      <c r="D8">
        <f t="shared" ref="D8:D24" si="1">C8*B8</f>
        <v>560735.5</v>
      </c>
      <c r="E8" s="3">
        <f t="shared" si="0"/>
        <v>0.12829088059444502</v>
      </c>
      <c r="G8" t="s">
        <v>60</v>
      </c>
    </row>
    <row r="9" spans="1:7" x14ac:dyDescent="0.25">
      <c r="A9" t="s">
        <v>29</v>
      </c>
      <c r="B9" s="1">
        <f>1280+1280+1280+910+1300+1300+2940+1300</f>
        <v>11590</v>
      </c>
      <c r="C9" s="4">
        <v>37</v>
      </c>
      <c r="D9">
        <f t="shared" si="1"/>
        <v>428830</v>
      </c>
      <c r="E9" s="3">
        <f t="shared" si="0"/>
        <v>9.811217289669702E-2</v>
      </c>
      <c r="G9" t="s">
        <v>56</v>
      </c>
    </row>
    <row r="10" spans="1:7" x14ac:dyDescent="0.25">
      <c r="A10" t="s">
        <v>33</v>
      </c>
      <c r="B10" s="1">
        <f>460-147</f>
        <v>313</v>
      </c>
      <c r="C10" s="4">
        <v>264.95</v>
      </c>
      <c r="D10">
        <f t="shared" si="1"/>
        <v>82929.349999999991</v>
      </c>
      <c r="E10" s="3">
        <f t="shared" si="0"/>
        <v>1.8973436386005411E-2</v>
      </c>
    </row>
    <row r="11" spans="1:7" x14ac:dyDescent="0.25">
      <c r="A11" t="s">
        <v>8</v>
      </c>
      <c r="B11" s="1">
        <f>1378+229+460+413+248-340</f>
        <v>2388</v>
      </c>
      <c r="C11" s="4">
        <v>514.35</v>
      </c>
      <c r="D11">
        <f t="shared" si="1"/>
        <v>1228267.8</v>
      </c>
      <c r="E11" s="3">
        <f t="shared" si="0"/>
        <v>0.28101584020951353</v>
      </c>
    </row>
    <row r="12" spans="1:7" x14ac:dyDescent="0.25">
      <c r="A12" t="s">
        <v>15</v>
      </c>
      <c r="B12" s="1">
        <f>2750+1375</f>
        <v>4125</v>
      </c>
      <c r="C12" s="4">
        <v>19.95</v>
      </c>
      <c r="D12">
        <f t="shared" si="1"/>
        <v>82293.75</v>
      </c>
      <c r="E12" s="3">
        <f t="shared" si="0"/>
        <v>1.8828017229012804E-2</v>
      </c>
    </row>
    <row r="13" spans="1:7" x14ac:dyDescent="0.25">
      <c r="A13" t="s">
        <v>32</v>
      </c>
      <c r="B13" s="1">
        <f>545-226</f>
        <v>319</v>
      </c>
      <c r="C13" s="4">
        <v>554.85</v>
      </c>
      <c r="D13">
        <f t="shared" si="1"/>
        <v>176997.15</v>
      </c>
      <c r="E13" s="3">
        <f t="shared" si="0"/>
        <v>4.0495242830545009E-2</v>
      </c>
    </row>
    <row r="14" spans="1:7" x14ac:dyDescent="0.25">
      <c r="A14" t="s">
        <v>9</v>
      </c>
      <c r="B14" s="1">
        <f>1011-51-144</f>
        <v>816</v>
      </c>
      <c r="C14" s="4">
        <v>202.15</v>
      </c>
      <c r="D14">
        <f>C14*B14</f>
        <v>164954.4</v>
      </c>
      <c r="E14" s="3">
        <f t="shared" si="0"/>
        <v>3.773997764352055E-2</v>
      </c>
    </row>
    <row r="15" spans="1:7" x14ac:dyDescent="0.25">
      <c r="A15" t="s">
        <v>36</v>
      </c>
      <c r="B15" s="1">
        <f>1050+525</f>
        <v>1575</v>
      </c>
      <c r="C15" s="4">
        <v>48.1</v>
      </c>
      <c r="D15">
        <f>C15*B15</f>
        <v>75757.5</v>
      </c>
      <c r="E15" s="3">
        <f t="shared" si="0"/>
        <v>1.7332586195512263E-2</v>
      </c>
    </row>
    <row r="16" spans="1:7" x14ac:dyDescent="0.25">
      <c r="A16" t="s">
        <v>31</v>
      </c>
      <c r="B16" s="1">
        <v>570</v>
      </c>
      <c r="C16" s="4">
        <v>235.7</v>
      </c>
      <c r="D16">
        <f>C16*B16</f>
        <v>134349</v>
      </c>
      <c r="E16" s="3">
        <f t="shared" si="0"/>
        <v>3.0737756958464538E-2</v>
      </c>
    </row>
    <row r="17" spans="1:7" x14ac:dyDescent="0.25">
      <c r="A17" t="s">
        <v>30</v>
      </c>
      <c r="B17" s="1">
        <f>8384+5589+13973</f>
        <v>27946</v>
      </c>
      <c r="C17" s="4">
        <v>5.45</v>
      </c>
      <c r="D17">
        <f t="shared" si="1"/>
        <v>152305.70000000001</v>
      </c>
      <c r="E17" s="3">
        <f t="shared" si="0"/>
        <v>3.4846076933872323E-2</v>
      </c>
    </row>
    <row r="18" spans="1:7" x14ac:dyDescent="0.25">
      <c r="A18" t="s">
        <v>39</v>
      </c>
      <c r="B18" s="1">
        <f>1000+1150+450+500+1000+900+900</f>
        <v>5900</v>
      </c>
      <c r="C18" s="4">
        <v>44.05</v>
      </c>
      <c r="D18">
        <f t="shared" si="1"/>
        <v>259894.99999999997</v>
      </c>
      <c r="E18" s="3">
        <f t="shared" si="0"/>
        <v>5.9461472320003428E-2</v>
      </c>
      <c r="G18" t="s">
        <v>58</v>
      </c>
    </row>
    <row r="19" spans="1:7" x14ac:dyDescent="0.25">
      <c r="A19" t="s">
        <v>10</v>
      </c>
      <c r="B19" s="1">
        <f>368+532</f>
        <v>900</v>
      </c>
      <c r="C19" s="4">
        <v>5.75</v>
      </c>
      <c r="D19">
        <f t="shared" si="1"/>
        <v>5175</v>
      </c>
      <c r="E19" s="3">
        <f t="shared" si="0"/>
        <v>1.1839901470055898E-3</v>
      </c>
    </row>
    <row r="20" spans="1:7" x14ac:dyDescent="0.25">
      <c r="A20" t="s">
        <v>38</v>
      </c>
      <c r="B20" s="1">
        <f>480+154+159</f>
        <v>793</v>
      </c>
      <c r="C20" s="4">
        <v>388.75</v>
      </c>
      <c r="D20">
        <f>C20*B20</f>
        <v>308278.75</v>
      </c>
      <c r="E20" s="3">
        <f t="shared" si="0"/>
        <v>7.053120821858927E-2</v>
      </c>
    </row>
    <row r="21" spans="1:7" x14ac:dyDescent="0.25">
      <c r="A21" t="s">
        <v>11</v>
      </c>
      <c r="B21" s="1">
        <f>6886+2045-4465+4466+4466</f>
        <v>13398</v>
      </c>
      <c r="C21" s="4">
        <v>13.8</v>
      </c>
      <c r="D21">
        <f t="shared" si="1"/>
        <v>184892.40000000002</v>
      </c>
      <c r="E21" s="3">
        <f t="shared" si="0"/>
        <v>4.230159997221572E-2</v>
      </c>
    </row>
    <row r="22" spans="1:7" x14ac:dyDescent="0.25">
      <c r="A22" t="s">
        <v>12</v>
      </c>
      <c r="B22" s="1">
        <f>920+319+331-785+393+355</f>
        <v>1533</v>
      </c>
      <c r="C22" s="4">
        <v>140.30000000000001</v>
      </c>
      <c r="D22">
        <f t="shared" si="1"/>
        <v>215079.90000000002</v>
      </c>
      <c r="E22" s="3">
        <f t="shared" si="0"/>
        <v>4.9208209163081655E-2</v>
      </c>
      <c r="G22" t="s">
        <v>57</v>
      </c>
    </row>
    <row r="23" spans="1:7" x14ac:dyDescent="0.25">
      <c r="A23" t="s">
        <v>28</v>
      </c>
      <c r="B23" s="1">
        <f>419+419+838</f>
        <v>1676</v>
      </c>
      <c r="C23" s="4">
        <v>68.349999999999994</v>
      </c>
      <c r="D23">
        <f t="shared" si="1"/>
        <v>114554.59999999999</v>
      </c>
      <c r="E23" s="3">
        <f t="shared" si="0"/>
        <v>2.620898892640899E-2</v>
      </c>
    </row>
    <row r="24" spans="1:7" x14ac:dyDescent="0.25">
      <c r="A24" t="s">
        <v>13</v>
      </c>
      <c r="B24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</f>
        <v>0.88899999999885893</v>
      </c>
      <c r="C24" s="4">
        <v>1000</v>
      </c>
      <c r="D24">
        <f t="shared" si="1"/>
        <v>888.99999999885893</v>
      </c>
      <c r="E24" s="3">
        <f t="shared" si="0"/>
        <v>2.0339463588147215E-4</v>
      </c>
      <c r="G24" t="s">
        <v>61</v>
      </c>
    </row>
    <row r="25" spans="1:7" x14ac:dyDescent="0.25">
      <c r="B25" s="1"/>
      <c r="E25" s="3"/>
    </row>
    <row r="26" spans="1:7" x14ac:dyDescent="0.25">
      <c r="B26" s="1"/>
      <c r="D26">
        <f>SUM(D5:D24)</f>
        <v>4370813.3999999985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25"/>
  <sheetViews>
    <sheetView workbookViewId="0">
      <selection activeCell="G19" sqref="G19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43924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35</v>
      </c>
      <c r="B5" s="1">
        <f>1345+670-403-403</f>
        <v>1209</v>
      </c>
      <c r="C5" s="4">
        <v>109.25</v>
      </c>
      <c r="D5">
        <f>B5*C5</f>
        <v>132083.25</v>
      </c>
      <c r="E5" s="3">
        <f t="shared" ref="E5:E23" si="0">D5/$D$25</f>
        <v>3.0551289873188215E-2</v>
      </c>
    </row>
    <row r="6" spans="1:7" x14ac:dyDescent="0.25">
      <c r="A6" t="s">
        <v>14</v>
      </c>
      <c r="B6" s="1">
        <f>44+30+9+18+13+20+19+12</f>
        <v>165</v>
      </c>
      <c r="C6" s="4">
        <v>450.05</v>
      </c>
      <c r="D6">
        <f>B6*C6</f>
        <v>74258.25</v>
      </c>
      <c r="E6" s="3">
        <f t="shared" si="0"/>
        <v>1.7176177306552333E-2</v>
      </c>
    </row>
    <row r="7" spans="1:7" x14ac:dyDescent="0.25">
      <c r="A7" t="s">
        <v>7</v>
      </c>
      <c r="B7" s="1">
        <f>(840+420)*2+290</f>
        <v>2810</v>
      </c>
      <c r="C7" s="4">
        <v>216</v>
      </c>
      <c r="D7">
        <f t="shared" ref="D7:D23" si="1">C7*B7</f>
        <v>606960</v>
      </c>
      <c r="E7" s="3">
        <f t="shared" si="0"/>
        <v>0.14039184303407373</v>
      </c>
    </row>
    <row r="8" spans="1:7" x14ac:dyDescent="0.25">
      <c r="A8" t="s">
        <v>29</v>
      </c>
      <c r="B8" s="1">
        <f>1280+1280+1280+910+1300+1300+2940+1300</f>
        <v>11590</v>
      </c>
      <c r="C8" s="4">
        <v>35.4</v>
      </c>
      <c r="D8">
        <f t="shared" si="1"/>
        <v>410286</v>
      </c>
      <c r="E8" s="3">
        <f t="shared" si="0"/>
        <v>9.4900500380713668E-2</v>
      </c>
    </row>
    <row r="9" spans="1:7" x14ac:dyDescent="0.25">
      <c r="A9" t="s">
        <v>33</v>
      </c>
      <c r="B9" s="1">
        <f>460-147</f>
        <v>313</v>
      </c>
      <c r="C9" s="4">
        <v>298.85000000000002</v>
      </c>
      <c r="D9">
        <f t="shared" si="1"/>
        <v>93540.05</v>
      </c>
      <c r="E9" s="3">
        <f t="shared" si="0"/>
        <v>2.1636121024448743E-2</v>
      </c>
    </row>
    <row r="10" spans="1:7" x14ac:dyDescent="0.25">
      <c r="A10" t="s">
        <v>8</v>
      </c>
      <c r="B10" s="1">
        <f>1378+229+460+413+248-340-476</f>
        <v>1912</v>
      </c>
      <c r="C10" s="4">
        <v>505.6</v>
      </c>
      <c r="D10">
        <f t="shared" si="1"/>
        <v>966707.20000000007</v>
      </c>
      <c r="E10" s="3">
        <f t="shared" si="0"/>
        <v>0.22360255285736938</v>
      </c>
      <c r="G10" t="s">
        <v>63</v>
      </c>
    </row>
    <row r="11" spans="1:7" x14ac:dyDescent="0.25">
      <c r="A11" t="s">
        <v>15</v>
      </c>
      <c r="B11" s="1">
        <f>2750+1375</f>
        <v>4125</v>
      </c>
      <c r="C11" s="4">
        <v>17</v>
      </c>
      <c r="D11">
        <f t="shared" si="1"/>
        <v>70125</v>
      </c>
      <c r="E11" s="3">
        <f t="shared" si="0"/>
        <v>1.6220142995855443E-2</v>
      </c>
    </row>
    <row r="12" spans="1:7" x14ac:dyDescent="0.25">
      <c r="A12" t="s">
        <v>32</v>
      </c>
      <c r="B12" s="1">
        <f>545-226</f>
        <v>319</v>
      </c>
      <c r="C12" s="4">
        <v>474.9</v>
      </c>
      <c r="D12">
        <f t="shared" si="1"/>
        <v>151493.1</v>
      </c>
      <c r="E12" s="3">
        <f t="shared" si="0"/>
        <v>3.5040851976975804E-2</v>
      </c>
    </row>
    <row r="13" spans="1:7" x14ac:dyDescent="0.25">
      <c r="A13" t="s">
        <v>9</v>
      </c>
      <c r="B13" s="1">
        <f>1011-51-144</f>
        <v>816</v>
      </c>
      <c r="C13" s="4">
        <v>178.6</v>
      </c>
      <c r="D13">
        <f>C13*B13</f>
        <v>145737.60000000001</v>
      </c>
      <c r="E13" s="3">
        <f t="shared" si="0"/>
        <v>3.3709585909059286E-2</v>
      </c>
    </row>
    <row r="14" spans="1:7" x14ac:dyDescent="0.25">
      <c r="A14" t="s">
        <v>36</v>
      </c>
      <c r="B14" s="1">
        <f>1050+525</f>
        <v>1575</v>
      </c>
      <c r="C14" s="4">
        <v>53.85</v>
      </c>
      <c r="D14">
        <f>C14*B14</f>
        <v>84813.75</v>
      </c>
      <c r="E14" s="3">
        <f t="shared" si="0"/>
        <v>1.961769915172527E-2</v>
      </c>
    </row>
    <row r="15" spans="1:7" x14ac:dyDescent="0.25">
      <c r="A15" t="s">
        <v>31</v>
      </c>
      <c r="B15" s="1">
        <v>570</v>
      </c>
      <c r="C15" s="4">
        <v>204.8</v>
      </c>
      <c r="D15">
        <f>C15*B15</f>
        <v>116736</v>
      </c>
      <c r="E15" s="3">
        <f t="shared" si="0"/>
        <v>2.700142050287602E-2</v>
      </c>
    </row>
    <row r="16" spans="1:7" x14ac:dyDescent="0.25">
      <c r="A16" t="s">
        <v>30</v>
      </c>
      <c r="B16" s="1">
        <f>8384+5589+13973</f>
        <v>27946</v>
      </c>
      <c r="C16" s="4">
        <v>5.75</v>
      </c>
      <c r="D16">
        <f t="shared" si="1"/>
        <v>160689.5</v>
      </c>
      <c r="E16" s="3">
        <f t="shared" si="0"/>
        <v>3.7168009524884325E-2</v>
      </c>
    </row>
    <row r="17" spans="1:7" x14ac:dyDescent="0.25">
      <c r="A17" t="s">
        <v>39</v>
      </c>
      <c r="B17" s="1">
        <f>1000+1150+450+500+1000+900+900</f>
        <v>5900</v>
      </c>
      <c r="C17" s="4">
        <v>50.25</v>
      </c>
      <c r="D17">
        <f t="shared" si="1"/>
        <v>296475</v>
      </c>
      <c r="E17" s="3">
        <f t="shared" si="0"/>
        <v>6.8575641992103281E-2</v>
      </c>
    </row>
    <row r="18" spans="1:7" x14ac:dyDescent="0.25">
      <c r="A18" t="s">
        <v>10</v>
      </c>
      <c r="B18" s="1">
        <f>368+532</f>
        <v>900</v>
      </c>
      <c r="C18" s="4">
        <v>4.7</v>
      </c>
      <c r="D18">
        <f t="shared" si="1"/>
        <v>4230</v>
      </c>
      <c r="E18" s="3">
        <f t="shared" si="0"/>
        <v>9.7841290370721595E-4</v>
      </c>
    </row>
    <row r="19" spans="1:7" x14ac:dyDescent="0.25">
      <c r="A19" t="s">
        <v>38</v>
      </c>
      <c r="B19" s="1">
        <f>480+154+159</f>
        <v>793</v>
      </c>
      <c r="C19" s="4">
        <v>258.8</v>
      </c>
      <c r="D19">
        <f>C19*B19</f>
        <v>205228.40000000002</v>
      </c>
      <c r="E19" s="3">
        <f t="shared" si="0"/>
        <v>4.7470003491060529E-2</v>
      </c>
    </row>
    <row r="20" spans="1:7" x14ac:dyDescent="0.25">
      <c r="A20" t="s">
        <v>11</v>
      </c>
      <c r="B20" s="1">
        <f>6886+2045-4465+4466+4466</f>
        <v>13398</v>
      </c>
      <c r="C20" s="4">
        <v>15.2</v>
      </c>
      <c r="D20">
        <f t="shared" si="1"/>
        <v>203649.59999999998</v>
      </c>
      <c r="E20" s="3">
        <f t="shared" si="0"/>
        <v>4.7104821861657931E-2</v>
      </c>
    </row>
    <row r="21" spans="1:7" x14ac:dyDescent="0.25">
      <c r="A21" t="s">
        <v>12</v>
      </c>
      <c r="B21" s="1">
        <f>920+319+331-785+393+355</f>
        <v>1533</v>
      </c>
      <c r="C21" s="4">
        <v>161.80000000000001</v>
      </c>
      <c r="D21">
        <f t="shared" si="1"/>
        <v>248039.40000000002</v>
      </c>
      <c r="E21" s="3">
        <f t="shared" si="0"/>
        <v>5.7372328507753111E-2</v>
      </c>
    </row>
    <row r="22" spans="1:7" x14ac:dyDescent="0.25">
      <c r="A22" t="s">
        <v>28</v>
      </c>
      <c r="B22" s="1">
        <f>419+419+838</f>
        <v>1676</v>
      </c>
      <c r="C22" s="4">
        <v>79</v>
      </c>
      <c r="D22">
        <f t="shared" si="1"/>
        <v>132404</v>
      </c>
      <c r="E22" s="3">
        <f t="shared" si="0"/>
        <v>3.0625480402470505E-2</v>
      </c>
    </row>
    <row r="23" spans="1:7" x14ac:dyDescent="0.25">
      <c r="A23" t="s">
        <v>13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</f>
        <v>219.87199999999888</v>
      </c>
      <c r="C23" s="4">
        <v>1000</v>
      </c>
      <c r="D23">
        <f t="shared" si="1"/>
        <v>219871.99999999886</v>
      </c>
      <c r="E23" s="3">
        <f t="shared" si="0"/>
        <v>5.0857116303525268E-2</v>
      </c>
      <c r="G23" t="s">
        <v>62</v>
      </c>
    </row>
    <row r="24" spans="1:7" x14ac:dyDescent="0.25">
      <c r="B24" s="1"/>
      <c r="E24" s="3"/>
    </row>
    <row r="25" spans="1:7" x14ac:dyDescent="0.25">
      <c r="B25" s="1"/>
      <c r="D25">
        <f>SUM(D5:D23)</f>
        <v>4323328.0999999987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25"/>
  <sheetViews>
    <sheetView workbookViewId="0">
      <selection activeCell="G10" sqref="G10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43943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35</v>
      </c>
      <c r="B5" s="1">
        <f>1345+670-403-403+806</f>
        <v>2015</v>
      </c>
      <c r="C5" s="4">
        <v>100.25</v>
      </c>
      <c r="D5">
        <f>B5*C5</f>
        <v>202003.75</v>
      </c>
      <c r="E5" s="3">
        <f t="shared" ref="E5:E23" si="0">D5/$D$25</f>
        <v>4.004435047544648E-2</v>
      </c>
      <c r="G5" t="s">
        <v>64</v>
      </c>
    </row>
    <row r="6" spans="1:7" x14ac:dyDescent="0.25">
      <c r="A6" t="s">
        <v>14</v>
      </c>
      <c r="B6" s="1">
        <f>44+30+9+18+13+20+19+12</f>
        <v>165</v>
      </c>
      <c r="C6" s="4">
        <v>631.20000000000005</v>
      </c>
      <c r="D6">
        <f>B6*C6</f>
        <v>104148.00000000001</v>
      </c>
      <c r="E6" s="3">
        <f t="shared" si="0"/>
        <v>2.0645849462283747E-2</v>
      </c>
    </row>
    <row r="7" spans="1:7" x14ac:dyDescent="0.25">
      <c r="A7" t="s">
        <v>7</v>
      </c>
      <c r="B7" s="1">
        <f>(840+420)*2+290</f>
        <v>2810</v>
      </c>
      <c r="C7" s="4">
        <v>291.7</v>
      </c>
      <c r="D7">
        <f t="shared" ref="D7:D23" si="1">C7*B7</f>
        <v>819677</v>
      </c>
      <c r="E7" s="3">
        <f t="shared" si="0"/>
        <v>0.16248922638645344</v>
      </c>
    </row>
    <row r="8" spans="1:7" x14ac:dyDescent="0.25">
      <c r="A8" t="s">
        <v>29</v>
      </c>
      <c r="B8" s="1">
        <f>1280+1280+1280+910+1300+1300+2940+1300</f>
        <v>11590</v>
      </c>
      <c r="C8" s="4">
        <v>38.950000000000003</v>
      </c>
      <c r="D8">
        <f t="shared" si="1"/>
        <v>451430.50000000006</v>
      </c>
      <c r="E8" s="3">
        <f t="shared" si="0"/>
        <v>8.9489631540533507E-2</v>
      </c>
    </row>
    <row r="9" spans="1:7" x14ac:dyDescent="0.25">
      <c r="A9" t="s">
        <v>33</v>
      </c>
      <c r="B9" s="1">
        <f>460-147</f>
        <v>313</v>
      </c>
      <c r="C9" s="4">
        <v>394.9</v>
      </c>
      <c r="D9">
        <f t="shared" si="1"/>
        <v>123603.7</v>
      </c>
      <c r="E9" s="3">
        <f t="shared" si="0"/>
        <v>2.4502663355813661E-2</v>
      </c>
    </row>
    <row r="10" spans="1:7" x14ac:dyDescent="0.25">
      <c r="A10" t="s">
        <v>8</v>
      </c>
      <c r="B10" s="1">
        <f>1378+229+460+413+248-340-476</f>
        <v>1912</v>
      </c>
      <c r="C10" s="4">
        <v>560.75</v>
      </c>
      <c r="D10">
        <f t="shared" si="1"/>
        <v>1072154</v>
      </c>
      <c r="E10" s="3">
        <f t="shared" si="0"/>
        <v>0.21253917583040832</v>
      </c>
    </row>
    <row r="11" spans="1:7" x14ac:dyDescent="0.25">
      <c r="A11" t="s">
        <v>15</v>
      </c>
      <c r="B11" s="1">
        <f>2750+1375</f>
        <v>4125</v>
      </c>
      <c r="C11" s="4">
        <v>18.75</v>
      </c>
      <c r="D11">
        <f t="shared" si="1"/>
        <v>77343.75</v>
      </c>
      <c r="E11" s="3">
        <f t="shared" si="0"/>
        <v>1.5332290772252068E-2</v>
      </c>
    </row>
    <row r="12" spans="1:7" x14ac:dyDescent="0.25">
      <c r="A12" t="s">
        <v>32</v>
      </c>
      <c r="B12" s="1">
        <f>545-226</f>
        <v>319</v>
      </c>
      <c r="C12" s="4">
        <v>503.7</v>
      </c>
      <c r="D12">
        <f t="shared" si="1"/>
        <v>160680.29999999999</v>
      </c>
      <c r="E12" s="3">
        <f t="shared" si="0"/>
        <v>3.1852568319646953E-2</v>
      </c>
    </row>
    <row r="13" spans="1:7" x14ac:dyDescent="0.25">
      <c r="A13" t="s">
        <v>9</v>
      </c>
      <c r="B13" s="1">
        <f>1011-51-144</f>
        <v>816</v>
      </c>
      <c r="C13" s="4">
        <v>218.25</v>
      </c>
      <c r="D13">
        <f>C13*B13</f>
        <v>178092</v>
      </c>
      <c r="E13" s="3">
        <f t="shared" si="0"/>
        <v>3.5304188485972235E-2</v>
      </c>
    </row>
    <row r="14" spans="1:7" x14ac:dyDescent="0.25">
      <c r="A14" t="s">
        <v>36</v>
      </c>
      <c r="B14" s="1">
        <f>1050+525</f>
        <v>1575</v>
      </c>
      <c r="C14" s="4">
        <v>63.7</v>
      </c>
      <c r="D14">
        <f>C14*B14</f>
        <v>100327.5</v>
      </c>
      <c r="E14" s="3">
        <f t="shared" si="0"/>
        <v>1.988849005191912E-2</v>
      </c>
    </row>
    <row r="15" spans="1:7" x14ac:dyDescent="0.25">
      <c r="A15" t="s">
        <v>31</v>
      </c>
      <c r="B15" s="1">
        <v>570</v>
      </c>
      <c r="C15" s="4">
        <v>262.3</v>
      </c>
      <c r="D15">
        <f>C15*B15</f>
        <v>149511</v>
      </c>
      <c r="E15" s="3">
        <f t="shared" si="0"/>
        <v>2.96384145538609E-2</v>
      </c>
    </row>
    <row r="16" spans="1:7" x14ac:dyDescent="0.25">
      <c r="A16" t="s">
        <v>30</v>
      </c>
      <c r="B16" s="1">
        <f>8384+5589+13973</f>
        <v>27946</v>
      </c>
      <c r="C16" s="4">
        <v>5.9</v>
      </c>
      <c r="D16">
        <f t="shared" si="1"/>
        <v>164881.40000000002</v>
      </c>
      <c r="E16" s="3">
        <f t="shared" si="0"/>
        <v>3.2685376229313973E-2</v>
      </c>
    </row>
    <row r="17" spans="1:7" x14ac:dyDescent="0.25">
      <c r="A17" t="s">
        <v>39</v>
      </c>
      <c r="B17" s="1">
        <f>1000+1150+450+500+1000+900+900</f>
        <v>5900</v>
      </c>
      <c r="C17" s="4">
        <v>60.25</v>
      </c>
      <c r="D17">
        <f t="shared" si="1"/>
        <v>355475</v>
      </c>
      <c r="E17" s="3">
        <f t="shared" si="0"/>
        <v>7.0467827875766359E-2</v>
      </c>
    </row>
    <row r="18" spans="1:7" x14ac:dyDescent="0.25">
      <c r="A18" t="s">
        <v>10</v>
      </c>
      <c r="B18" s="1">
        <f>368+532-900</f>
        <v>0</v>
      </c>
      <c r="C18" s="4">
        <v>6.1</v>
      </c>
      <c r="D18">
        <f t="shared" si="1"/>
        <v>0</v>
      </c>
      <c r="E18" s="3">
        <f t="shared" si="0"/>
        <v>0</v>
      </c>
      <c r="G18" t="s">
        <v>65</v>
      </c>
    </row>
    <row r="19" spans="1:7" x14ac:dyDescent="0.25">
      <c r="A19" t="s">
        <v>38</v>
      </c>
      <c r="B19" s="1">
        <f>480+154+159</f>
        <v>793</v>
      </c>
      <c r="C19" s="4">
        <v>342.9</v>
      </c>
      <c r="D19">
        <f>C19*B19</f>
        <v>271919.69999999995</v>
      </c>
      <c r="E19" s="3">
        <f t="shared" si="0"/>
        <v>5.3904186273662058E-2</v>
      </c>
    </row>
    <row r="20" spans="1:7" x14ac:dyDescent="0.25">
      <c r="A20" t="s">
        <v>11</v>
      </c>
      <c r="B20" s="1">
        <f>6886+2045-4465+4466+4466</f>
        <v>13398</v>
      </c>
      <c r="C20" s="4">
        <v>17.149999999999999</v>
      </c>
      <c r="D20">
        <f t="shared" si="1"/>
        <v>229775.69999999998</v>
      </c>
      <c r="E20" s="3">
        <f t="shared" si="0"/>
        <v>4.5549741831728607E-2</v>
      </c>
    </row>
    <row r="21" spans="1:7" x14ac:dyDescent="0.25">
      <c r="A21" t="s">
        <v>12</v>
      </c>
      <c r="B21" s="1">
        <f>920+319+331-785+393+355</f>
        <v>1533</v>
      </c>
      <c r="C21" s="4">
        <v>205.1</v>
      </c>
      <c r="D21">
        <f t="shared" si="1"/>
        <v>314418.3</v>
      </c>
      <c r="E21" s="3">
        <f t="shared" si="0"/>
        <v>6.2328925087252456E-2</v>
      </c>
    </row>
    <row r="22" spans="1:7" x14ac:dyDescent="0.25">
      <c r="A22" t="s">
        <v>28</v>
      </c>
      <c r="B22" s="1">
        <f>419+419+838</f>
        <v>1676</v>
      </c>
      <c r="C22" s="4">
        <v>74.25</v>
      </c>
      <c r="D22">
        <f t="shared" si="1"/>
        <v>124443</v>
      </c>
      <c r="E22" s="3">
        <f t="shared" si="0"/>
        <v>2.4669042560922689E-2</v>
      </c>
    </row>
    <row r="23" spans="1:7" x14ac:dyDescent="0.25">
      <c r="A23" t="s">
        <v>13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</f>
        <v>144.61599999999888</v>
      </c>
      <c r="C23" s="4">
        <v>1000</v>
      </c>
      <c r="D23">
        <f t="shared" si="1"/>
        <v>144615.99999999886</v>
      </c>
      <c r="E23" s="3">
        <f t="shared" si="0"/>
        <v>2.8668050906763477E-2</v>
      </c>
      <c r="G23" t="s">
        <v>66</v>
      </c>
    </row>
    <row r="24" spans="1:7" x14ac:dyDescent="0.25">
      <c r="B24" s="1"/>
      <c r="E24" s="3"/>
    </row>
    <row r="25" spans="1:7" x14ac:dyDescent="0.25">
      <c r="B25" s="1"/>
      <c r="D25">
        <f>SUM(D5:D23)</f>
        <v>5044500.5999999987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26"/>
  <sheetViews>
    <sheetView tabSelected="1" workbookViewId="0">
      <selection activeCell="B2" sqref="B2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43983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35</v>
      </c>
      <c r="B5" s="1">
        <f>1345+670-403-403+806</f>
        <v>2015</v>
      </c>
      <c r="C5" s="4">
        <v>99.75</v>
      </c>
      <c r="D5">
        <f>B5*C5</f>
        <v>200996.25</v>
      </c>
      <c r="E5" s="3">
        <f t="shared" ref="E5:E24" si="0">D5/$D$26</f>
        <v>3.827441511936918E-2</v>
      </c>
    </row>
    <row r="6" spans="1:7" x14ac:dyDescent="0.25">
      <c r="A6" t="s">
        <v>14</v>
      </c>
      <c r="B6" s="1">
        <f>44+30+9+18+13+20+19+12</f>
        <v>165</v>
      </c>
      <c r="C6" s="4">
        <v>503.15</v>
      </c>
      <c r="D6">
        <f>B6*C6</f>
        <v>83019.75</v>
      </c>
      <c r="E6" s="3">
        <f t="shared" si="0"/>
        <v>1.580891372155575E-2</v>
      </c>
    </row>
    <row r="7" spans="1:7" x14ac:dyDescent="0.25">
      <c r="A7" t="s">
        <v>7</v>
      </c>
      <c r="B7" s="1">
        <f>(840+420)*2+290</f>
        <v>2810</v>
      </c>
      <c r="C7" s="4">
        <v>233.7</v>
      </c>
      <c r="D7">
        <f t="shared" ref="D7:D24" si="1">C7*B7</f>
        <v>656697</v>
      </c>
      <c r="E7" s="3">
        <f t="shared" si="0"/>
        <v>0.12505055982708327</v>
      </c>
    </row>
    <row r="8" spans="1:7" x14ac:dyDescent="0.25">
      <c r="A8" t="s">
        <v>68</v>
      </c>
      <c r="B8" s="1">
        <v>130</v>
      </c>
      <c r="C8" s="4">
        <v>927.35</v>
      </c>
      <c r="D8">
        <f t="shared" si="1"/>
        <v>120555.5</v>
      </c>
      <c r="E8" s="3">
        <f t="shared" si="0"/>
        <v>2.2956603677546778E-2</v>
      </c>
      <c r="G8" t="s">
        <v>71</v>
      </c>
    </row>
    <row r="9" spans="1:7" x14ac:dyDescent="0.25">
      <c r="A9" t="s">
        <v>29</v>
      </c>
      <c r="B9" s="1">
        <f>1280+1280+1280+910+1300+1300+2940+1300</f>
        <v>11590</v>
      </c>
      <c r="C9" s="4">
        <v>50.8</v>
      </c>
      <c r="D9">
        <f t="shared" si="1"/>
        <v>588772</v>
      </c>
      <c r="E9" s="3">
        <f t="shared" si="0"/>
        <v>0.11211604166078339</v>
      </c>
    </row>
    <row r="10" spans="1:7" x14ac:dyDescent="0.25">
      <c r="A10" t="s">
        <v>67</v>
      </c>
      <c r="B10" s="1">
        <v>170</v>
      </c>
      <c r="C10" s="4">
        <v>380.95</v>
      </c>
      <c r="D10">
        <f t="shared" si="1"/>
        <v>64761.5</v>
      </c>
      <c r="E10" s="3">
        <f t="shared" si="0"/>
        <v>1.2332113334219057E-2</v>
      </c>
      <c r="G10" t="s">
        <v>70</v>
      </c>
    </row>
    <row r="11" spans="1:7" x14ac:dyDescent="0.25">
      <c r="A11" t="s">
        <v>33</v>
      </c>
      <c r="B11" s="1">
        <f>460-147</f>
        <v>313</v>
      </c>
      <c r="C11" s="4">
        <v>393.05</v>
      </c>
      <c r="D11">
        <f t="shared" si="1"/>
        <v>123024.65000000001</v>
      </c>
      <c r="E11" s="3">
        <f t="shared" si="0"/>
        <v>2.3426787932685818E-2</v>
      </c>
    </row>
    <row r="12" spans="1:7" x14ac:dyDescent="0.25">
      <c r="A12" t="s">
        <v>8</v>
      </c>
      <c r="B12" s="1">
        <f>1378+229+460+413+248-340-476</f>
        <v>1912</v>
      </c>
      <c r="C12" s="4">
        <v>682.15</v>
      </c>
      <c r="D12">
        <f t="shared" si="1"/>
        <v>1304270.8</v>
      </c>
      <c r="E12" s="3">
        <f t="shared" si="0"/>
        <v>0.24836384771990394</v>
      </c>
    </row>
    <row r="13" spans="1:7" x14ac:dyDescent="0.25">
      <c r="A13" t="s">
        <v>15</v>
      </c>
      <c r="B13" s="1">
        <f>2750+1375</f>
        <v>4125</v>
      </c>
      <c r="C13" s="4">
        <v>13.35</v>
      </c>
      <c r="D13">
        <f t="shared" si="1"/>
        <v>55068.75</v>
      </c>
      <c r="E13" s="3">
        <f t="shared" si="0"/>
        <v>1.0486385679358504E-2</v>
      </c>
    </row>
    <row r="14" spans="1:7" x14ac:dyDescent="0.25">
      <c r="A14" t="s">
        <v>32</v>
      </c>
      <c r="B14" s="1">
        <f>545-226</f>
        <v>319</v>
      </c>
      <c r="C14" s="4">
        <v>519.95000000000005</v>
      </c>
      <c r="D14">
        <f t="shared" si="1"/>
        <v>165864.05000000002</v>
      </c>
      <c r="E14" s="3">
        <f t="shared" si="0"/>
        <v>3.1584417635054422E-2</v>
      </c>
    </row>
    <row r="15" spans="1:7" x14ac:dyDescent="0.25">
      <c r="A15" t="s">
        <v>9</v>
      </c>
      <c r="B15" s="1">
        <f>1011-51-144-204</f>
        <v>612</v>
      </c>
      <c r="C15" s="4">
        <v>241.6</v>
      </c>
      <c r="D15">
        <f>C15*B15</f>
        <v>147859.19999999998</v>
      </c>
      <c r="E15" s="3">
        <f t="shared" si="0"/>
        <v>2.8155870569813272E-2</v>
      </c>
      <c r="G15" t="s">
        <v>69</v>
      </c>
    </row>
    <row r="16" spans="1:7" x14ac:dyDescent="0.25">
      <c r="A16" t="s">
        <v>36</v>
      </c>
      <c r="B16" s="1">
        <f>1050+525</f>
        <v>1575</v>
      </c>
      <c r="C16" s="4">
        <v>58.1</v>
      </c>
      <c r="D16">
        <f>C16*B16</f>
        <v>91507.5</v>
      </c>
      <c r="E16" s="3">
        <f t="shared" si="0"/>
        <v>1.7425181024699095E-2</v>
      </c>
    </row>
    <row r="17" spans="1:7" x14ac:dyDescent="0.25">
      <c r="A17" t="s">
        <v>31</v>
      </c>
      <c r="B17" s="1">
        <v>570</v>
      </c>
      <c r="C17" s="4">
        <v>270.45</v>
      </c>
      <c r="D17">
        <f>C17*B17</f>
        <v>154156.5</v>
      </c>
      <c r="E17" s="3">
        <f t="shared" si="0"/>
        <v>2.9355024655181555E-2</v>
      </c>
    </row>
    <row r="18" spans="1:7" x14ac:dyDescent="0.25">
      <c r="A18" t="s">
        <v>30</v>
      </c>
      <c r="B18" s="1">
        <f>8384+5589+13973</f>
        <v>27946</v>
      </c>
      <c r="C18" s="4">
        <v>4.9000000000000004</v>
      </c>
      <c r="D18">
        <f t="shared" si="1"/>
        <v>136935.40000000002</v>
      </c>
      <c r="E18" s="3">
        <f t="shared" si="0"/>
        <v>2.6075722030320804E-2</v>
      </c>
    </row>
    <row r="19" spans="1:7" x14ac:dyDescent="0.25">
      <c r="A19" t="s">
        <v>39</v>
      </c>
      <c r="B19" s="1">
        <f>1000+1150+450+500+1000+900+900</f>
        <v>5900</v>
      </c>
      <c r="C19" s="4">
        <v>68.650000000000006</v>
      </c>
      <c r="D19">
        <f t="shared" si="1"/>
        <v>405035.00000000006</v>
      </c>
      <c r="E19" s="3">
        <f t="shared" si="0"/>
        <v>7.7128193823883279E-2</v>
      </c>
    </row>
    <row r="20" spans="1:7" x14ac:dyDescent="0.25">
      <c r="A20" t="s">
        <v>38</v>
      </c>
      <c r="B20" s="1">
        <f>480+154+159</f>
        <v>793</v>
      </c>
      <c r="C20" s="4">
        <v>367.5</v>
      </c>
      <c r="D20">
        <f>C20*B20</f>
        <v>291427.5</v>
      </c>
      <c r="E20" s="3">
        <f t="shared" si="0"/>
        <v>5.5494652821632059E-2</v>
      </c>
    </row>
    <row r="21" spans="1:7" x14ac:dyDescent="0.25">
      <c r="A21" t="s">
        <v>11</v>
      </c>
      <c r="B21" s="1">
        <f>6886+2045-4465+4466+4466</f>
        <v>13398</v>
      </c>
      <c r="C21" s="4">
        <v>20.75</v>
      </c>
      <c r="D21">
        <f t="shared" si="1"/>
        <v>278008.5</v>
      </c>
      <c r="E21" s="3">
        <f t="shared" si="0"/>
        <v>5.2939359494085819E-2</v>
      </c>
    </row>
    <row r="22" spans="1:7" x14ac:dyDescent="0.25">
      <c r="A22" t="s">
        <v>12</v>
      </c>
      <c r="B22" s="1">
        <f>920+319+331-785+393+355</f>
        <v>1533</v>
      </c>
      <c r="C22" s="4">
        <v>176.85</v>
      </c>
      <c r="D22">
        <f t="shared" si="1"/>
        <v>271111.05</v>
      </c>
      <c r="E22" s="3">
        <f t="shared" si="0"/>
        <v>5.1625922728150669E-2</v>
      </c>
    </row>
    <row r="23" spans="1:7" x14ac:dyDescent="0.25">
      <c r="A23" t="s">
        <v>28</v>
      </c>
      <c r="B23" s="1">
        <f>419+419+838</f>
        <v>1676</v>
      </c>
      <c r="C23" s="4">
        <v>66</v>
      </c>
      <c r="D23">
        <f t="shared" si="1"/>
        <v>110616</v>
      </c>
      <c r="E23" s="3">
        <f t="shared" si="0"/>
        <v>2.1063889017054506E-2</v>
      </c>
    </row>
    <row r="24" spans="1:7" x14ac:dyDescent="0.25">
      <c r="A24" t="s">
        <v>13</v>
      </c>
      <c r="B24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</f>
        <v>1.7649999999988779</v>
      </c>
      <c r="C24" s="4">
        <v>1000</v>
      </c>
      <c r="D24">
        <f t="shared" si="1"/>
        <v>1764.9999999988779</v>
      </c>
      <c r="E24" s="3">
        <f t="shared" si="0"/>
        <v>3.360975276187673E-4</v>
      </c>
      <c r="G24" t="s">
        <v>72</v>
      </c>
    </row>
    <row r="25" spans="1:7" x14ac:dyDescent="0.25">
      <c r="B25" s="1"/>
      <c r="E25" s="3"/>
    </row>
    <row r="26" spans="1:7" x14ac:dyDescent="0.25">
      <c r="B26" s="1"/>
      <c r="D26">
        <f>SUM(D5:D24)</f>
        <v>5251451.8999999994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26"/>
  <sheetViews>
    <sheetView workbookViewId="0">
      <selection activeCell="G14" sqref="G14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43984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35</v>
      </c>
      <c r="B5" s="1">
        <f>1345+670-403-403+806</f>
        <v>2015</v>
      </c>
      <c r="C5" s="4">
        <v>104.7</v>
      </c>
      <c r="D5">
        <f>B5*C5</f>
        <v>210970.5</v>
      </c>
      <c r="E5" s="3">
        <f t="shared" ref="E5:E24" si="0">D5/$D$26</f>
        <v>3.9440777206369473E-2</v>
      </c>
    </row>
    <row r="6" spans="1:7" x14ac:dyDescent="0.25">
      <c r="A6" t="s">
        <v>14</v>
      </c>
      <c r="B6" s="1">
        <f>44+30+9+18+13+20+19+12</f>
        <v>165</v>
      </c>
      <c r="C6" s="4">
        <v>492.1</v>
      </c>
      <c r="D6">
        <f>B6*C6</f>
        <v>81196.5</v>
      </c>
      <c r="E6" s="3">
        <f t="shared" si="0"/>
        <v>1.5179624954375037E-2</v>
      </c>
    </row>
    <row r="7" spans="1:7" x14ac:dyDescent="0.25">
      <c r="A7" t="s">
        <v>7</v>
      </c>
      <c r="B7" s="1">
        <f>(840+420)*2+290</f>
        <v>2810</v>
      </c>
      <c r="C7" s="4">
        <v>239.65</v>
      </c>
      <c r="D7">
        <f t="shared" ref="D7:D24" si="1">C7*B7</f>
        <v>673416.5</v>
      </c>
      <c r="E7" s="3">
        <f t="shared" si="0"/>
        <v>0.12589471107853045</v>
      </c>
    </row>
    <row r="8" spans="1:7" x14ac:dyDescent="0.25">
      <c r="A8" t="s">
        <v>68</v>
      </c>
      <c r="B8" s="1">
        <f>130+126</f>
        <v>256</v>
      </c>
      <c r="C8" s="4">
        <v>958.75</v>
      </c>
      <c r="D8">
        <f t="shared" si="1"/>
        <v>245440</v>
      </c>
      <c r="E8" s="3">
        <f t="shared" si="0"/>
        <v>4.5884824454278314E-2</v>
      </c>
      <c r="G8" t="s">
        <v>74</v>
      </c>
    </row>
    <row r="9" spans="1:7" x14ac:dyDescent="0.25">
      <c r="A9" t="s">
        <v>29</v>
      </c>
      <c r="B9" s="1">
        <f>1280+1280+1280+910+1300+1300+2940+1300</f>
        <v>11590</v>
      </c>
      <c r="C9" s="4">
        <v>51.3</v>
      </c>
      <c r="D9">
        <f t="shared" si="1"/>
        <v>594567</v>
      </c>
      <c r="E9" s="3">
        <f t="shared" si="0"/>
        <v>0.1111538560190144</v>
      </c>
    </row>
    <row r="10" spans="1:7" x14ac:dyDescent="0.25">
      <c r="A10" t="s">
        <v>67</v>
      </c>
      <c r="B10" s="1">
        <v>170</v>
      </c>
      <c r="C10" s="4">
        <v>377.6</v>
      </c>
      <c r="D10">
        <f t="shared" si="1"/>
        <v>64192.000000000007</v>
      </c>
      <c r="E10" s="3">
        <f t="shared" si="0"/>
        <v>1.2000646395734329E-2</v>
      </c>
    </row>
    <row r="11" spans="1:7" x14ac:dyDescent="0.25">
      <c r="A11" t="s">
        <v>33</v>
      </c>
      <c r="B11" s="1">
        <f>460-147</f>
        <v>313</v>
      </c>
      <c r="C11" s="4">
        <v>391.85</v>
      </c>
      <c r="D11">
        <f t="shared" si="1"/>
        <v>122649.05</v>
      </c>
      <c r="E11" s="3">
        <f t="shared" si="0"/>
        <v>2.2929148177697211E-2</v>
      </c>
    </row>
    <row r="12" spans="1:7" x14ac:dyDescent="0.25">
      <c r="A12" t="s">
        <v>8</v>
      </c>
      <c r="B12" s="1">
        <f>1378+229+460+413+248-340-476-191</f>
        <v>1721</v>
      </c>
      <c r="C12" s="4">
        <v>687.55</v>
      </c>
      <c r="D12">
        <f t="shared" si="1"/>
        <v>1183273.5499999998</v>
      </c>
      <c r="E12" s="3">
        <f t="shared" si="0"/>
        <v>0.22121210529310914</v>
      </c>
      <c r="G12" t="s">
        <v>73</v>
      </c>
    </row>
    <row r="13" spans="1:7" x14ac:dyDescent="0.25">
      <c r="A13" t="s">
        <v>15</v>
      </c>
      <c r="B13" s="1">
        <f>2750+1375</f>
        <v>4125</v>
      </c>
      <c r="C13" s="4">
        <v>14</v>
      </c>
      <c r="D13">
        <f t="shared" si="1"/>
        <v>57750</v>
      </c>
      <c r="E13" s="3">
        <f t="shared" si="0"/>
        <v>1.0796319313211265E-2</v>
      </c>
    </row>
    <row r="14" spans="1:7" x14ac:dyDescent="0.25">
      <c r="A14" t="s">
        <v>32</v>
      </c>
      <c r="B14" s="1">
        <f>545-226</f>
        <v>319</v>
      </c>
      <c r="C14" s="4">
        <v>526</v>
      </c>
      <c r="D14">
        <f t="shared" si="1"/>
        <v>167794</v>
      </c>
      <c r="E14" s="3">
        <f t="shared" si="0"/>
        <v>3.1368962819757068E-2</v>
      </c>
    </row>
    <row r="15" spans="1:7" x14ac:dyDescent="0.25">
      <c r="A15" t="s">
        <v>9</v>
      </c>
      <c r="B15" s="1">
        <f>1011-51-144-204</f>
        <v>612</v>
      </c>
      <c r="C15" s="4">
        <v>240.05</v>
      </c>
      <c r="D15">
        <f>C15*B15</f>
        <v>146910.6</v>
      </c>
      <c r="E15" s="3">
        <f t="shared" si="0"/>
        <v>2.7464826806847701E-2</v>
      </c>
    </row>
    <row r="16" spans="1:7" x14ac:dyDescent="0.25">
      <c r="A16" t="s">
        <v>36</v>
      </c>
      <c r="B16" s="1">
        <f>1050+525</f>
        <v>1575</v>
      </c>
      <c r="C16" s="4">
        <v>61.2</v>
      </c>
      <c r="D16">
        <f>C16*B16</f>
        <v>96390</v>
      </c>
      <c r="E16" s="3">
        <f t="shared" si="0"/>
        <v>1.8020038417323529E-2</v>
      </c>
    </row>
    <row r="17" spans="1:7" x14ac:dyDescent="0.25">
      <c r="A17" t="s">
        <v>31</v>
      </c>
      <c r="B17" s="1">
        <v>570</v>
      </c>
      <c r="C17" s="4">
        <v>275.60000000000002</v>
      </c>
      <c r="D17">
        <f>C17*B17</f>
        <v>157092</v>
      </c>
      <c r="E17" s="3">
        <f t="shared" si="0"/>
        <v>2.9368231922960761E-2</v>
      </c>
    </row>
    <row r="18" spans="1:7" x14ac:dyDescent="0.25">
      <c r="A18" t="s">
        <v>30</v>
      </c>
      <c r="B18" s="1">
        <f>8384+5589+13973</f>
        <v>27946</v>
      </c>
      <c r="C18" s="4">
        <v>5.65</v>
      </c>
      <c r="D18">
        <f t="shared" si="1"/>
        <v>157894.90000000002</v>
      </c>
      <c r="E18" s="3">
        <f t="shared" si="0"/>
        <v>2.9518333477533531E-2</v>
      </c>
    </row>
    <row r="19" spans="1:7" x14ac:dyDescent="0.25">
      <c r="A19" t="s">
        <v>39</v>
      </c>
      <c r="B19" s="1">
        <f>1000+1150+450+500+1000+900+900</f>
        <v>5900</v>
      </c>
      <c r="C19" s="4">
        <v>68.7</v>
      </c>
      <c r="D19">
        <f t="shared" si="1"/>
        <v>405330</v>
      </c>
      <c r="E19" s="3">
        <f t="shared" si="0"/>
        <v>7.5776140384829813E-2</v>
      </c>
    </row>
    <row r="20" spans="1:7" x14ac:dyDescent="0.25">
      <c r="A20" t="s">
        <v>38</v>
      </c>
      <c r="B20" s="1">
        <f>480+154+159</f>
        <v>793</v>
      </c>
      <c r="C20" s="4">
        <v>391.8</v>
      </c>
      <c r="D20">
        <f>C20*B20</f>
        <v>310697.40000000002</v>
      </c>
      <c r="E20" s="3">
        <f t="shared" si="0"/>
        <v>5.8084646583281829E-2</v>
      </c>
    </row>
    <row r="21" spans="1:7" x14ac:dyDescent="0.25">
      <c r="A21" t="s">
        <v>11</v>
      </c>
      <c r="B21" s="1">
        <f>6886+2045-4465+4466+4466</f>
        <v>13398</v>
      </c>
      <c r="C21" s="4">
        <v>21.3</v>
      </c>
      <c r="D21">
        <f t="shared" si="1"/>
        <v>285377.40000000002</v>
      </c>
      <c r="E21" s="3">
        <f t="shared" si="0"/>
        <v>5.3351091518164785E-2</v>
      </c>
    </row>
    <row r="22" spans="1:7" x14ac:dyDescent="0.25">
      <c r="A22" t="s">
        <v>12</v>
      </c>
      <c r="B22" s="1">
        <f>920+319+331-785+393+355</f>
        <v>1533</v>
      </c>
      <c r="C22" s="4">
        <v>178.6</v>
      </c>
      <c r="D22">
        <f t="shared" si="1"/>
        <v>273793.8</v>
      </c>
      <c r="E22" s="3">
        <f t="shared" si="0"/>
        <v>5.1185546160649388E-2</v>
      </c>
    </row>
    <row r="23" spans="1:7" x14ac:dyDescent="0.25">
      <c r="A23" t="s">
        <v>28</v>
      </c>
      <c r="B23" s="1">
        <f>419+419+838</f>
        <v>1676</v>
      </c>
      <c r="C23" s="4">
        <v>67</v>
      </c>
      <c r="D23">
        <f t="shared" si="1"/>
        <v>112292</v>
      </c>
      <c r="E23" s="3">
        <f t="shared" si="0"/>
        <v>2.0992905425439294E-2</v>
      </c>
    </row>
    <row r="24" spans="1:7" x14ac:dyDescent="0.25">
      <c r="A24" t="s">
        <v>13</v>
      </c>
      <c r="B24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</f>
        <v>2.017999999998878</v>
      </c>
      <c r="C24" s="4">
        <v>1000</v>
      </c>
      <c r="D24">
        <f t="shared" si="1"/>
        <v>2017.9999999988781</v>
      </c>
      <c r="E24" s="3">
        <f t="shared" si="0"/>
        <v>3.7726359089260982E-4</v>
      </c>
      <c r="G24" t="s">
        <v>75</v>
      </c>
    </row>
    <row r="25" spans="1:7" x14ac:dyDescent="0.25">
      <c r="B25" s="1"/>
      <c r="E25" s="3"/>
    </row>
    <row r="26" spans="1:7" x14ac:dyDescent="0.25">
      <c r="B26" s="1"/>
      <c r="D26">
        <f>SUM(D5:D24)</f>
        <v>5349045.1999999993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26"/>
  <sheetViews>
    <sheetView workbookViewId="0">
      <selection activeCell="G11" sqref="G11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43990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35</v>
      </c>
      <c r="B5" s="1">
        <f>1345+670-403-403+806</f>
        <v>2015</v>
      </c>
      <c r="C5" s="4">
        <v>123.95</v>
      </c>
      <c r="D5">
        <f>B5*C5</f>
        <v>249759.25</v>
      </c>
      <c r="E5" s="3">
        <f t="shared" ref="E5:E24" si="0">D5/$D$26</f>
        <v>4.2549417977036569E-2</v>
      </c>
    </row>
    <row r="6" spans="1:7" x14ac:dyDescent="0.25">
      <c r="A6" t="s">
        <v>14</v>
      </c>
      <c r="B6" s="1">
        <f>44+30+9+18+13+20+19+12</f>
        <v>165</v>
      </c>
      <c r="C6" s="4">
        <v>512.95000000000005</v>
      </c>
      <c r="D6">
        <f>B6*C6</f>
        <v>84636.750000000015</v>
      </c>
      <c r="E6" s="3">
        <f t="shared" si="0"/>
        <v>1.4418863173107505E-2</v>
      </c>
    </row>
    <row r="7" spans="1:7" x14ac:dyDescent="0.25">
      <c r="A7" t="s">
        <v>7</v>
      </c>
      <c r="B7" s="1">
        <f>(840+420)*2+290</f>
        <v>2810</v>
      </c>
      <c r="C7" s="4">
        <v>240.4</v>
      </c>
      <c r="D7">
        <f t="shared" ref="D7:D24" si="1">C7*B7</f>
        <v>675524</v>
      </c>
      <c r="E7" s="3">
        <f t="shared" si="0"/>
        <v>0.11508343746836064</v>
      </c>
    </row>
    <row r="8" spans="1:7" x14ac:dyDescent="0.25">
      <c r="A8" t="s">
        <v>68</v>
      </c>
      <c r="B8" s="1">
        <f>130+126</f>
        <v>256</v>
      </c>
      <c r="C8" s="4">
        <v>1060.95</v>
      </c>
      <c r="D8">
        <f t="shared" si="1"/>
        <v>271603.20000000001</v>
      </c>
      <c r="E8" s="3">
        <f t="shared" si="0"/>
        <v>4.6270791094626763E-2</v>
      </c>
    </row>
    <row r="9" spans="1:7" x14ac:dyDescent="0.25">
      <c r="A9" t="s">
        <v>29</v>
      </c>
      <c r="B9" s="1">
        <f>1280+1280+1280+910+1300+1300+2940+1300</f>
        <v>11590</v>
      </c>
      <c r="C9" s="4">
        <v>62.25</v>
      </c>
      <c r="D9">
        <f t="shared" si="1"/>
        <v>721477.5</v>
      </c>
      <c r="E9" s="3">
        <f t="shared" si="0"/>
        <v>0.12291215523960536</v>
      </c>
    </row>
    <row r="10" spans="1:7" x14ac:dyDescent="0.25">
      <c r="A10" t="s">
        <v>67</v>
      </c>
      <c r="B10" s="1">
        <f>170+299</f>
        <v>469</v>
      </c>
      <c r="C10" s="4">
        <v>383.55</v>
      </c>
      <c r="D10">
        <f t="shared" si="1"/>
        <v>179884.95</v>
      </c>
      <c r="E10" s="3">
        <f t="shared" si="0"/>
        <v>3.0645511328722862E-2</v>
      </c>
      <c r="G10" t="s">
        <v>77</v>
      </c>
    </row>
    <row r="11" spans="1:7" x14ac:dyDescent="0.25">
      <c r="A11" t="s">
        <v>33</v>
      </c>
      <c r="B11" s="1">
        <f>460-147</f>
        <v>313</v>
      </c>
      <c r="C11" s="4">
        <v>406.35</v>
      </c>
      <c r="D11">
        <f t="shared" si="1"/>
        <v>127187.55</v>
      </c>
      <c r="E11" s="3">
        <f t="shared" si="0"/>
        <v>2.1667891084815628E-2</v>
      </c>
    </row>
    <row r="12" spans="1:7" x14ac:dyDescent="0.25">
      <c r="A12" t="s">
        <v>8</v>
      </c>
      <c r="B12" s="1">
        <f>1378+229+460+413+248-340-476-191-172</f>
        <v>1549</v>
      </c>
      <c r="C12" s="4">
        <v>707.65</v>
      </c>
      <c r="D12">
        <f t="shared" si="1"/>
        <v>1096149.8499999999</v>
      </c>
      <c r="E12" s="3">
        <f t="shared" si="0"/>
        <v>0.18674198506408046</v>
      </c>
      <c r="G12" t="s">
        <v>76</v>
      </c>
    </row>
    <row r="13" spans="1:7" x14ac:dyDescent="0.25">
      <c r="A13" t="s">
        <v>15</v>
      </c>
      <c r="B13" s="1">
        <f>2750+1375</f>
        <v>4125</v>
      </c>
      <c r="C13" s="4">
        <v>14.6</v>
      </c>
      <c r="D13">
        <f t="shared" si="1"/>
        <v>60225</v>
      </c>
      <c r="E13" s="3">
        <f t="shared" si="0"/>
        <v>1.0260035204570112E-2</v>
      </c>
    </row>
    <row r="14" spans="1:7" x14ac:dyDescent="0.25">
      <c r="A14" t="s">
        <v>32</v>
      </c>
      <c r="B14" s="1">
        <f>545-226</f>
        <v>319</v>
      </c>
      <c r="C14" s="4">
        <v>566.25</v>
      </c>
      <c r="D14">
        <f t="shared" si="1"/>
        <v>180633.75</v>
      </c>
      <c r="E14" s="3">
        <f t="shared" si="0"/>
        <v>3.0773078192337339E-2</v>
      </c>
    </row>
    <row r="15" spans="1:7" x14ac:dyDescent="0.25">
      <c r="A15" t="s">
        <v>9</v>
      </c>
      <c r="B15" s="1">
        <f>1011-51-144-204</f>
        <v>612</v>
      </c>
      <c r="C15" s="4">
        <v>249.2</v>
      </c>
      <c r="D15">
        <f>C15*B15</f>
        <v>152510.39999999999</v>
      </c>
      <c r="E15" s="3">
        <f t="shared" si="0"/>
        <v>2.5981935625787787E-2</v>
      </c>
    </row>
    <row r="16" spans="1:7" x14ac:dyDescent="0.25">
      <c r="A16" t="s">
        <v>36</v>
      </c>
      <c r="B16" s="1">
        <f>1050+525</f>
        <v>1575</v>
      </c>
      <c r="C16" s="4">
        <v>64.099999999999994</v>
      </c>
      <c r="D16">
        <f>C16*B16</f>
        <v>100957.49999999999</v>
      </c>
      <c r="E16" s="3">
        <f t="shared" si="0"/>
        <v>1.7199294382156692E-2</v>
      </c>
    </row>
    <row r="17" spans="1:5" x14ac:dyDescent="0.25">
      <c r="A17" t="s">
        <v>31</v>
      </c>
      <c r="B17" s="1">
        <v>570</v>
      </c>
      <c r="C17" s="4">
        <v>441.7</v>
      </c>
      <c r="D17">
        <f>C17*B17</f>
        <v>251769</v>
      </c>
      <c r="E17" s="3">
        <f t="shared" si="0"/>
        <v>4.2891802464415311E-2</v>
      </c>
    </row>
    <row r="18" spans="1:5" x14ac:dyDescent="0.25">
      <c r="A18" t="s">
        <v>30</v>
      </c>
      <c r="B18" s="1">
        <f>8384+5589+13973</f>
        <v>27946</v>
      </c>
      <c r="C18" s="4">
        <v>7.3</v>
      </c>
      <c r="D18">
        <f t="shared" si="1"/>
        <v>204005.8</v>
      </c>
      <c r="E18" s="3">
        <f t="shared" si="0"/>
        <v>3.4754781069929248E-2</v>
      </c>
    </row>
    <row r="19" spans="1:5" x14ac:dyDescent="0.25">
      <c r="A19" t="s">
        <v>39</v>
      </c>
      <c r="B19" s="1">
        <f>1000+1150+450+500+1000+900+900</f>
        <v>5900</v>
      </c>
      <c r="C19" s="4">
        <v>71.849999999999994</v>
      </c>
      <c r="D19">
        <f t="shared" si="1"/>
        <v>423914.99999999994</v>
      </c>
      <c r="E19" s="3">
        <f t="shared" si="0"/>
        <v>7.221889288078602E-2</v>
      </c>
    </row>
    <row r="20" spans="1:5" x14ac:dyDescent="0.25">
      <c r="A20" t="s">
        <v>38</v>
      </c>
      <c r="B20" s="1">
        <f>480+154+159</f>
        <v>793</v>
      </c>
      <c r="C20" s="4">
        <v>399.8</v>
      </c>
      <c r="D20">
        <f>C20*B20</f>
        <v>317041.40000000002</v>
      </c>
      <c r="E20" s="3">
        <f t="shared" si="0"/>
        <v>5.4011721466271395E-2</v>
      </c>
    </row>
    <row r="21" spans="1:5" x14ac:dyDescent="0.25">
      <c r="A21" t="s">
        <v>11</v>
      </c>
      <c r="B21" s="1">
        <f>6886+2045-4465+4466+4466</f>
        <v>13398</v>
      </c>
      <c r="C21" s="4">
        <v>24.65</v>
      </c>
      <c r="D21">
        <f t="shared" si="1"/>
        <v>330260.69999999995</v>
      </c>
      <c r="E21" s="3">
        <f t="shared" si="0"/>
        <v>5.6263784287023125E-2</v>
      </c>
    </row>
    <row r="22" spans="1:5" x14ac:dyDescent="0.25">
      <c r="A22" t="s">
        <v>12</v>
      </c>
      <c r="B22" s="1">
        <f>920+319+331-785+393+355</f>
        <v>1533</v>
      </c>
      <c r="C22" s="4">
        <v>191.5</v>
      </c>
      <c r="D22">
        <f t="shared" si="1"/>
        <v>293569.5</v>
      </c>
      <c r="E22" s="3">
        <f t="shared" si="0"/>
        <v>5.0013007969913578E-2</v>
      </c>
    </row>
    <row r="23" spans="1:5" x14ac:dyDescent="0.25">
      <c r="A23" t="s">
        <v>28</v>
      </c>
      <c r="B23" s="1">
        <f>419+419+838</f>
        <v>1676</v>
      </c>
      <c r="C23" s="4">
        <v>87.55</v>
      </c>
      <c r="D23">
        <f t="shared" si="1"/>
        <v>146733.79999999999</v>
      </c>
      <c r="E23" s="3">
        <f t="shared" si="0"/>
        <v>2.4997824054800326E-2</v>
      </c>
    </row>
    <row r="24" spans="1:5" x14ac:dyDescent="0.25">
      <c r="A24" t="s">
        <v>13</v>
      </c>
      <c r="B24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</f>
        <v>2.017999999998878</v>
      </c>
      <c r="C24" s="4">
        <v>1000</v>
      </c>
      <c r="D24">
        <f t="shared" si="1"/>
        <v>2017.9999999988781</v>
      </c>
      <c r="E24" s="3">
        <f t="shared" si="0"/>
        <v>3.4378997165315024E-4</v>
      </c>
    </row>
    <row r="25" spans="1:5" x14ac:dyDescent="0.25">
      <c r="B25" s="1"/>
      <c r="E25" s="3"/>
    </row>
    <row r="26" spans="1:5" x14ac:dyDescent="0.25">
      <c r="B26" s="1"/>
      <c r="D26">
        <f>SUM(D5:D24)</f>
        <v>5869862.8999999994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26"/>
  <sheetViews>
    <sheetView workbookViewId="0">
      <selection activeCell="D26" sqref="D26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44008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35</v>
      </c>
      <c r="B5" s="1">
        <f>1345+670-403-403+806</f>
        <v>2015</v>
      </c>
      <c r="C5" s="4">
        <v>128.1</v>
      </c>
      <c r="D5">
        <f>B5*C5</f>
        <v>258121.5</v>
      </c>
      <c r="E5" s="3">
        <f t="shared" ref="E5:E24" si="0">D5/$D$26</f>
        <v>4.061015921923411E-2</v>
      </c>
    </row>
    <row r="6" spans="1:7" x14ac:dyDescent="0.25">
      <c r="A6" t="s">
        <v>14</v>
      </c>
      <c r="B6" s="1">
        <f>44+30+9+18+13+20+19+12</f>
        <v>165</v>
      </c>
      <c r="C6" s="4">
        <v>617.15</v>
      </c>
      <c r="D6">
        <f>B6*C6</f>
        <v>101829.75</v>
      </c>
      <c r="E6" s="3">
        <f t="shared" si="0"/>
        <v>1.6020836546954843E-2</v>
      </c>
    </row>
    <row r="7" spans="1:7" x14ac:dyDescent="0.25">
      <c r="A7" t="s">
        <v>7</v>
      </c>
      <c r="B7" s="1">
        <f>(840+420)*2+290</f>
        <v>2810</v>
      </c>
      <c r="C7" s="4">
        <v>268.10000000000002</v>
      </c>
      <c r="D7">
        <f t="shared" ref="D7:D24" si="1">C7*B7</f>
        <v>753361.00000000012</v>
      </c>
      <c r="E7" s="3">
        <f t="shared" si="0"/>
        <v>0.11852600484485576</v>
      </c>
    </row>
    <row r="8" spans="1:7" x14ac:dyDescent="0.25">
      <c r="A8" t="s">
        <v>68</v>
      </c>
      <c r="B8" s="1">
        <f>130+126+33</f>
        <v>289</v>
      </c>
      <c r="C8" s="4">
        <v>1214.25</v>
      </c>
      <c r="D8">
        <f t="shared" si="1"/>
        <v>350918.25</v>
      </c>
      <c r="E8" s="3">
        <f t="shared" si="0"/>
        <v>5.5209837248873114E-2</v>
      </c>
      <c r="G8" t="s">
        <v>79</v>
      </c>
    </row>
    <row r="9" spans="1:7" x14ac:dyDescent="0.25">
      <c r="A9" t="s">
        <v>29</v>
      </c>
      <c r="B9" s="1">
        <f>1280+1280+1280+910+1300+1300+2940+1300</f>
        <v>11590</v>
      </c>
      <c r="C9" s="4">
        <v>67.099999999999994</v>
      </c>
      <c r="D9">
        <f t="shared" si="1"/>
        <v>777688.99999999988</v>
      </c>
      <c r="E9" s="3">
        <f t="shared" si="0"/>
        <v>0.12235352000142162</v>
      </c>
    </row>
    <row r="10" spans="1:7" x14ac:dyDescent="0.25">
      <c r="A10" t="s">
        <v>67</v>
      </c>
      <c r="B10" s="1">
        <f>170+299</f>
        <v>469</v>
      </c>
      <c r="C10" s="4">
        <v>466.5</v>
      </c>
      <c r="D10">
        <f t="shared" si="1"/>
        <v>218788.5</v>
      </c>
      <c r="E10" s="3">
        <f t="shared" si="0"/>
        <v>3.4421913015139777E-2</v>
      </c>
    </row>
    <row r="11" spans="1:7" x14ac:dyDescent="0.25">
      <c r="A11" t="s">
        <v>33</v>
      </c>
      <c r="B11" s="1">
        <f>460-147-313</f>
        <v>0</v>
      </c>
      <c r="C11" s="4">
        <v>501.4</v>
      </c>
      <c r="D11">
        <f t="shared" si="1"/>
        <v>0</v>
      </c>
      <c r="E11" s="3">
        <f t="shared" si="0"/>
        <v>0</v>
      </c>
      <c r="G11" t="s">
        <v>78</v>
      </c>
    </row>
    <row r="12" spans="1:7" x14ac:dyDescent="0.25">
      <c r="A12" t="s">
        <v>8</v>
      </c>
      <c r="B12" s="1">
        <f>1378+229+460+413+248-340-476-191-172</f>
        <v>1549</v>
      </c>
      <c r="C12" s="4">
        <v>692.85</v>
      </c>
      <c r="D12">
        <f t="shared" si="1"/>
        <v>1073224.6500000001</v>
      </c>
      <c r="E12" s="3">
        <f t="shared" si="0"/>
        <v>0.16885003347069813</v>
      </c>
    </row>
    <row r="13" spans="1:7" x14ac:dyDescent="0.25">
      <c r="A13" t="s">
        <v>15</v>
      </c>
      <c r="B13" s="1">
        <f>2750+1375</f>
        <v>4125</v>
      </c>
      <c r="C13" s="4">
        <v>28.45</v>
      </c>
      <c r="D13">
        <f t="shared" si="1"/>
        <v>117356.25</v>
      </c>
      <c r="E13" s="3">
        <f t="shared" si="0"/>
        <v>1.8463614994768909E-2</v>
      </c>
    </row>
    <row r="14" spans="1:7" x14ac:dyDescent="0.25">
      <c r="A14" t="s">
        <v>32</v>
      </c>
      <c r="B14" s="1">
        <f>545-226</f>
        <v>319</v>
      </c>
      <c r="C14" s="4">
        <v>628.5</v>
      </c>
      <c r="D14">
        <f t="shared" si="1"/>
        <v>200491.5</v>
      </c>
      <c r="E14" s="3">
        <f t="shared" si="0"/>
        <v>3.15432528367574E-2</v>
      </c>
    </row>
    <row r="15" spans="1:7" x14ac:dyDescent="0.25">
      <c r="A15" t="s">
        <v>9</v>
      </c>
      <c r="B15" s="1">
        <f>1011-51-144-204</f>
        <v>612</v>
      </c>
      <c r="C15" s="4">
        <v>252.65</v>
      </c>
      <c r="D15">
        <f>C15*B15</f>
        <v>154621.80000000002</v>
      </c>
      <c r="E15" s="3">
        <f t="shared" si="0"/>
        <v>2.4326590062294592E-2</v>
      </c>
    </row>
    <row r="16" spans="1:7" x14ac:dyDescent="0.25">
      <c r="A16" t="s">
        <v>36</v>
      </c>
      <c r="B16" s="1">
        <f>1050+525</f>
        <v>1575</v>
      </c>
      <c r="C16" s="4">
        <v>65.55</v>
      </c>
      <c r="D16">
        <f>C16*B16</f>
        <v>103241.25</v>
      </c>
      <c r="E16" s="3">
        <f t="shared" si="0"/>
        <v>1.6242907314937941E-2</v>
      </c>
    </row>
    <row r="17" spans="1:7" x14ac:dyDescent="0.25">
      <c r="A17" t="s">
        <v>31</v>
      </c>
      <c r="B17" s="1">
        <v>570</v>
      </c>
      <c r="C17" s="4">
        <v>434.65</v>
      </c>
      <c r="D17">
        <f>C17*B17</f>
        <v>247750.5</v>
      </c>
      <c r="E17" s="3">
        <f t="shared" si="0"/>
        <v>3.8978493661492204E-2</v>
      </c>
    </row>
    <row r="18" spans="1:7" x14ac:dyDescent="0.25">
      <c r="A18" t="s">
        <v>30</v>
      </c>
      <c r="B18" s="1">
        <f>8384+5589+13973</f>
        <v>27946</v>
      </c>
      <c r="C18" s="4">
        <v>8.6</v>
      </c>
      <c r="D18">
        <f t="shared" si="1"/>
        <v>240335.59999999998</v>
      </c>
      <c r="E18" s="3">
        <f t="shared" si="0"/>
        <v>3.781191021302046E-2</v>
      </c>
    </row>
    <row r="19" spans="1:7" x14ac:dyDescent="0.25">
      <c r="A19" t="s">
        <v>39</v>
      </c>
      <c r="B19" s="1">
        <f>1000+1150+450+500+1000+900+900+500</f>
        <v>6400</v>
      </c>
      <c r="C19" s="4">
        <v>67.25</v>
      </c>
      <c r="D19">
        <f t="shared" si="1"/>
        <v>430400</v>
      </c>
      <c r="E19" s="3">
        <f t="shared" si="0"/>
        <v>6.7714671299982224E-2</v>
      </c>
      <c r="G19" t="s">
        <v>80</v>
      </c>
    </row>
    <row r="20" spans="1:7" x14ac:dyDescent="0.25">
      <c r="A20" t="s">
        <v>38</v>
      </c>
      <c r="B20" s="1">
        <f>480+154+159</f>
        <v>793</v>
      </c>
      <c r="C20" s="4">
        <v>440.6</v>
      </c>
      <c r="D20">
        <f>C20*B20</f>
        <v>349395.80000000005</v>
      </c>
      <c r="E20" s="3">
        <f t="shared" si="0"/>
        <v>5.4970310758815831E-2</v>
      </c>
    </row>
    <row r="21" spans="1:7" x14ac:dyDescent="0.25">
      <c r="A21" t="s">
        <v>11</v>
      </c>
      <c r="B21" s="1">
        <f>6886+2045-4465+4466+4466</f>
        <v>13398</v>
      </c>
      <c r="C21" s="4">
        <v>35.549999999999997</v>
      </c>
      <c r="D21">
        <f t="shared" si="1"/>
        <v>476298.89999999997</v>
      </c>
      <c r="E21" s="3">
        <f t="shared" si="0"/>
        <v>7.4935928099542526E-2</v>
      </c>
    </row>
    <row r="22" spans="1:7" x14ac:dyDescent="0.25">
      <c r="A22" t="s">
        <v>12</v>
      </c>
      <c r="B22" s="1">
        <f>920+319+331-785+393+355</f>
        <v>1533</v>
      </c>
      <c r="C22" s="4">
        <v>194.1</v>
      </c>
      <c r="D22">
        <f t="shared" si="1"/>
        <v>297555.3</v>
      </c>
      <c r="E22" s="3">
        <f t="shared" si="0"/>
        <v>4.6814264249692379E-2</v>
      </c>
    </row>
    <row r="23" spans="1:7" x14ac:dyDescent="0.25">
      <c r="A23" t="s">
        <v>28</v>
      </c>
      <c r="B23" s="1">
        <f>419+419+838</f>
        <v>1676</v>
      </c>
      <c r="C23" s="4">
        <v>79.400000000000006</v>
      </c>
      <c r="D23">
        <f t="shared" si="1"/>
        <v>133074.40000000002</v>
      </c>
      <c r="E23" s="3">
        <f t="shared" si="0"/>
        <v>2.093654566552592E-2</v>
      </c>
    </row>
    <row r="24" spans="1:7" x14ac:dyDescent="0.25">
      <c r="A24" t="s">
        <v>13</v>
      </c>
      <c r="B24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</f>
        <v>71.627999999998877</v>
      </c>
      <c r="C24" s="4">
        <v>1000</v>
      </c>
      <c r="D24">
        <f t="shared" si="1"/>
        <v>71627.99999999888</v>
      </c>
      <c r="E24" s="3">
        <f t="shared" si="0"/>
        <v>1.1269206495992218E-2</v>
      </c>
      <c r="G24" t="s">
        <v>81</v>
      </c>
    </row>
    <row r="25" spans="1:7" x14ac:dyDescent="0.25">
      <c r="B25" s="1"/>
      <c r="E25" s="3"/>
    </row>
    <row r="26" spans="1:7" x14ac:dyDescent="0.25">
      <c r="B26" s="1"/>
      <c r="D26">
        <f>SUM(D5:D24)</f>
        <v>6356081.9499999993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26"/>
  <sheetViews>
    <sheetView workbookViewId="0">
      <selection activeCell="D27" sqref="D27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44048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82</v>
      </c>
      <c r="B5" s="1">
        <v>38</v>
      </c>
      <c r="C5" s="4">
        <v>1732.75</v>
      </c>
      <c r="D5">
        <f>B5*C5</f>
        <v>65844.5</v>
      </c>
      <c r="E5" s="3">
        <f t="shared" ref="E5:E24" si="0">D5/$D$26</f>
        <v>9.1776531724242754E-3</v>
      </c>
      <c r="G5" t="s">
        <v>83</v>
      </c>
    </row>
    <row r="6" spans="1:7" x14ac:dyDescent="0.25">
      <c r="A6" t="s">
        <v>35</v>
      </c>
      <c r="B6" s="1">
        <f>1345+670-403-403+806</f>
        <v>2015</v>
      </c>
      <c r="C6" s="4">
        <v>126.65</v>
      </c>
      <c r="D6">
        <f>B6*C6</f>
        <v>255199.75</v>
      </c>
      <c r="E6" s="3">
        <f t="shared" si="0"/>
        <v>3.5570697555443231E-2</v>
      </c>
    </row>
    <row r="7" spans="1:7" x14ac:dyDescent="0.25">
      <c r="A7" t="s">
        <v>14</v>
      </c>
      <c r="B7" s="1">
        <f>44+30+9+18+13+20+19+12</f>
        <v>165</v>
      </c>
      <c r="C7" s="4">
        <v>543.1</v>
      </c>
      <c r="D7">
        <f>B7*C7</f>
        <v>89611.5</v>
      </c>
      <c r="E7" s="3">
        <f t="shared" si="0"/>
        <v>1.2490386702924282E-2</v>
      </c>
    </row>
    <row r="8" spans="1:7" x14ac:dyDescent="0.25">
      <c r="A8" t="s">
        <v>7</v>
      </c>
      <c r="B8" s="1">
        <f>(840+420)*2+290</f>
        <v>2810</v>
      </c>
      <c r="C8" s="4">
        <v>314.10000000000002</v>
      </c>
      <c r="D8">
        <f t="shared" ref="D8:D24" si="1">C8*B8</f>
        <v>882621.00000000012</v>
      </c>
      <c r="E8" s="3">
        <f t="shared" si="0"/>
        <v>0.12302302273839558</v>
      </c>
    </row>
    <row r="9" spans="1:7" x14ac:dyDescent="0.25">
      <c r="A9" t="s">
        <v>68</v>
      </c>
      <c r="B9" s="1">
        <f>130+126+33</f>
        <v>289</v>
      </c>
      <c r="C9" s="4">
        <v>1298.05</v>
      </c>
      <c r="D9">
        <f t="shared" si="1"/>
        <v>375136.45</v>
      </c>
      <c r="E9" s="3">
        <f t="shared" si="0"/>
        <v>5.2287924282734023E-2</v>
      </c>
    </row>
    <row r="10" spans="1:7" x14ac:dyDescent="0.25">
      <c r="A10" t="s">
        <v>29</v>
      </c>
      <c r="B10" s="1">
        <f>1280+1280+1280+910+1300+1300+2940+1300</f>
        <v>11590</v>
      </c>
      <c r="C10" s="4">
        <v>71.2</v>
      </c>
      <c r="D10">
        <f t="shared" si="1"/>
        <v>825208</v>
      </c>
      <c r="E10" s="3">
        <f t="shared" si="0"/>
        <v>0.11502058363431861</v>
      </c>
    </row>
    <row r="11" spans="1:7" x14ac:dyDescent="0.25">
      <c r="A11" t="s">
        <v>67</v>
      </c>
      <c r="B11" s="1">
        <f>170+299</f>
        <v>469</v>
      </c>
      <c r="C11" s="4">
        <v>744.65</v>
      </c>
      <c r="D11">
        <f t="shared" si="1"/>
        <v>349240.85</v>
      </c>
      <c r="E11" s="3">
        <f t="shared" si="0"/>
        <v>4.8678498506977051E-2</v>
      </c>
    </row>
    <row r="12" spans="1:7" x14ac:dyDescent="0.25">
      <c r="A12" t="s">
        <v>8</v>
      </c>
      <c r="B12" s="1">
        <f>1378+229+460+413+248-340-476-191-172</f>
        <v>1549</v>
      </c>
      <c r="C12" s="4">
        <v>734.85</v>
      </c>
      <c r="D12">
        <f t="shared" si="1"/>
        <v>1138282.6500000001</v>
      </c>
      <c r="E12" s="3">
        <f t="shared" si="0"/>
        <v>0.15865810164688032</v>
      </c>
    </row>
    <row r="13" spans="1:7" x14ac:dyDescent="0.25">
      <c r="A13" t="s">
        <v>15</v>
      </c>
      <c r="B13" s="1">
        <f>2750+1375</f>
        <v>4125</v>
      </c>
      <c r="C13" s="4">
        <v>28.25</v>
      </c>
      <c r="D13">
        <f t="shared" si="1"/>
        <v>116531.25</v>
      </c>
      <c r="E13" s="3">
        <f t="shared" si="0"/>
        <v>1.6242562343841419E-2</v>
      </c>
    </row>
    <row r="14" spans="1:7" x14ac:dyDescent="0.25">
      <c r="A14" t="s">
        <v>32</v>
      </c>
      <c r="B14" s="1">
        <f>545-226</f>
        <v>319</v>
      </c>
      <c r="C14" s="4">
        <v>664.75</v>
      </c>
      <c r="D14">
        <f t="shared" si="1"/>
        <v>212055.25</v>
      </c>
      <c r="E14" s="3">
        <f t="shared" si="0"/>
        <v>2.9557055454771816E-2</v>
      </c>
    </row>
    <row r="15" spans="1:7" x14ac:dyDescent="0.25">
      <c r="A15" t="s">
        <v>9</v>
      </c>
      <c r="B15" s="1">
        <f>1011-51-144-204</f>
        <v>612</v>
      </c>
      <c r="C15" s="4">
        <v>317.95</v>
      </c>
      <c r="D15">
        <f>C15*B15</f>
        <v>194585.4</v>
      </c>
      <c r="E15" s="3">
        <f t="shared" si="0"/>
        <v>2.712204229081315E-2</v>
      </c>
    </row>
    <row r="16" spans="1:7" x14ac:dyDescent="0.25">
      <c r="A16" t="s">
        <v>36</v>
      </c>
      <c r="B16" s="1">
        <f>1050+525</f>
        <v>1575</v>
      </c>
      <c r="C16" s="4">
        <v>59.05</v>
      </c>
      <c r="D16">
        <f>C16*B16</f>
        <v>93003.75</v>
      </c>
      <c r="E16" s="3">
        <f t="shared" si="0"/>
        <v>1.296321122090462E-2</v>
      </c>
    </row>
    <row r="17" spans="1:7" x14ac:dyDescent="0.25">
      <c r="A17" t="s">
        <v>31</v>
      </c>
      <c r="B17" s="1">
        <v>570</v>
      </c>
      <c r="C17" s="4">
        <v>473.95</v>
      </c>
      <c r="D17">
        <f>C17*B17</f>
        <v>270151.5</v>
      </c>
      <c r="E17" s="3">
        <f t="shared" si="0"/>
        <v>3.7654728504433577E-2</v>
      </c>
    </row>
    <row r="18" spans="1:7" x14ac:dyDescent="0.25">
      <c r="A18" t="s">
        <v>30</v>
      </c>
      <c r="B18" s="1">
        <f>8384+5589+13973</f>
        <v>27946</v>
      </c>
      <c r="C18" s="4">
        <v>6.8</v>
      </c>
      <c r="D18">
        <f t="shared" si="1"/>
        <v>190032.8</v>
      </c>
      <c r="E18" s="3">
        <f t="shared" si="0"/>
        <v>2.6487483841242134E-2</v>
      </c>
    </row>
    <row r="19" spans="1:7" x14ac:dyDescent="0.25">
      <c r="A19" t="s">
        <v>39</v>
      </c>
      <c r="B19" s="1">
        <f>1000+1150+450+500+1000+900+900+500</f>
        <v>6400</v>
      </c>
      <c r="C19" s="4">
        <v>126.6</v>
      </c>
      <c r="D19">
        <f t="shared" si="1"/>
        <v>810240</v>
      </c>
      <c r="E19" s="3">
        <f t="shared" si="0"/>
        <v>0.11293428769942888</v>
      </c>
    </row>
    <row r="20" spans="1:7" x14ac:dyDescent="0.25">
      <c r="A20" t="s">
        <v>38</v>
      </c>
      <c r="B20" s="1">
        <f>480+154+159</f>
        <v>793</v>
      </c>
      <c r="C20" s="4">
        <v>504.25</v>
      </c>
      <c r="D20">
        <f>C20*B20</f>
        <v>399870.25</v>
      </c>
      <c r="E20" s="3">
        <f t="shared" si="0"/>
        <v>5.5735414020466223E-2</v>
      </c>
    </row>
    <row r="21" spans="1:7" x14ac:dyDescent="0.25">
      <c r="A21" t="s">
        <v>11</v>
      </c>
      <c r="B21" s="1">
        <f>6886+2045-4465+4466+4466</f>
        <v>13398</v>
      </c>
      <c r="C21" s="4">
        <v>35.9</v>
      </c>
      <c r="D21">
        <f t="shared" si="1"/>
        <v>480988.19999999995</v>
      </c>
      <c r="E21" s="3">
        <f t="shared" si="0"/>
        <v>6.7041937893501227E-2</v>
      </c>
    </row>
    <row r="22" spans="1:7" x14ac:dyDescent="0.25">
      <c r="A22" t="s">
        <v>12</v>
      </c>
      <c r="B22" s="1">
        <f>920+319+331-785+393+355</f>
        <v>1533</v>
      </c>
      <c r="C22" s="4">
        <v>203.9</v>
      </c>
      <c r="D22">
        <f t="shared" si="1"/>
        <v>312578.7</v>
      </c>
      <c r="E22" s="3">
        <f t="shared" si="0"/>
        <v>4.3568390642912555E-2</v>
      </c>
    </row>
    <row r="23" spans="1:7" x14ac:dyDescent="0.25">
      <c r="A23" t="s">
        <v>28</v>
      </c>
      <c r="B23" s="1">
        <f>419+419+838</f>
        <v>1676</v>
      </c>
      <c r="C23" s="4">
        <v>67.3</v>
      </c>
      <c r="D23">
        <f t="shared" si="1"/>
        <v>112794.79999999999</v>
      </c>
      <c r="E23" s="3">
        <f t="shared" si="0"/>
        <v>1.5721761939918467E-2</v>
      </c>
    </row>
    <row r="24" spans="1:7" x14ac:dyDescent="0.25">
      <c r="A24" t="s">
        <v>13</v>
      </c>
      <c r="B24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</f>
        <v>0.46099999999887586</v>
      </c>
      <c r="C24" s="4">
        <v>1000</v>
      </c>
      <c r="D24">
        <f t="shared" si="1"/>
        <v>460.99999999887586</v>
      </c>
      <c r="E24" s="3">
        <f t="shared" si="0"/>
        <v>6.4255907668480647E-5</v>
      </c>
      <c r="G24" t="s">
        <v>84</v>
      </c>
    </row>
    <row r="25" spans="1:7" x14ac:dyDescent="0.25">
      <c r="B25" s="1"/>
      <c r="E25" s="3"/>
    </row>
    <row r="26" spans="1:7" x14ac:dyDescent="0.25">
      <c r="B26" s="1"/>
      <c r="D26">
        <f>SUM(D5:D24)</f>
        <v>7174437.5999999996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26"/>
  <sheetViews>
    <sheetView workbookViewId="0">
      <selection activeCell="B1" sqref="B1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44050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82</v>
      </c>
      <c r="B5" s="1">
        <v>38</v>
      </c>
      <c r="C5" s="4">
        <v>2218.75</v>
      </c>
      <c r="D5">
        <f>B5*C5</f>
        <v>84312.5</v>
      </c>
      <c r="E5" s="3">
        <f t="shared" ref="E5:E24" si="0">D5/$D$26</f>
        <v>1.1397312545806807E-2</v>
      </c>
    </row>
    <row r="6" spans="1:7" x14ac:dyDescent="0.25">
      <c r="A6" t="s">
        <v>35</v>
      </c>
      <c r="B6" s="1">
        <f>1345+670-403-403+806</f>
        <v>2015</v>
      </c>
      <c r="C6" s="4">
        <v>127.45</v>
      </c>
      <c r="D6">
        <f>B6*C6</f>
        <v>256811.75</v>
      </c>
      <c r="E6" s="3">
        <f t="shared" si="0"/>
        <v>3.471565639953271E-2</v>
      </c>
    </row>
    <row r="7" spans="1:7" x14ac:dyDescent="0.25">
      <c r="A7" t="s">
        <v>14</v>
      </c>
      <c r="B7" s="1">
        <f>44+30+9+18+13+20+19+12</f>
        <v>165</v>
      </c>
      <c r="C7" s="4">
        <v>539.35</v>
      </c>
      <c r="D7">
        <f>B7*C7</f>
        <v>88992.75</v>
      </c>
      <c r="E7" s="3">
        <f t="shared" si="0"/>
        <v>1.2029985898423707E-2</v>
      </c>
    </row>
    <row r="8" spans="1:7" x14ac:dyDescent="0.25">
      <c r="A8" t="s">
        <v>7</v>
      </c>
      <c r="B8" s="1">
        <f>(840+420)*2+290</f>
        <v>2810</v>
      </c>
      <c r="C8" s="4">
        <v>319.7</v>
      </c>
      <c r="D8">
        <f t="shared" ref="D8:D24" si="1">C8*B8</f>
        <v>898357</v>
      </c>
      <c r="E8" s="3">
        <f t="shared" si="0"/>
        <v>0.12143935367488054</v>
      </c>
    </row>
    <row r="9" spans="1:7" x14ac:dyDescent="0.25">
      <c r="A9" t="s">
        <v>68</v>
      </c>
      <c r="B9" s="1">
        <f>130+126+33+57</f>
        <v>346</v>
      </c>
      <c r="C9" s="4">
        <v>1349.25</v>
      </c>
      <c r="D9">
        <f t="shared" si="1"/>
        <v>466840.5</v>
      </c>
      <c r="E9" s="3">
        <f t="shared" si="0"/>
        <v>6.3107215271053799E-2</v>
      </c>
      <c r="G9" t="s">
        <v>85</v>
      </c>
    </row>
    <row r="10" spans="1:7" x14ac:dyDescent="0.25">
      <c r="A10" t="s">
        <v>29</v>
      </c>
      <c r="B10" s="1">
        <f>1280+1280+1280+910+1300+1300+2940+1300</f>
        <v>11590</v>
      </c>
      <c r="C10" s="4">
        <v>78.45</v>
      </c>
      <c r="D10">
        <f t="shared" si="1"/>
        <v>909235.5</v>
      </c>
      <c r="E10" s="3">
        <f t="shared" si="0"/>
        <v>0.12290990269821113</v>
      </c>
    </row>
    <row r="11" spans="1:7" x14ac:dyDescent="0.25">
      <c r="A11" t="s">
        <v>67</v>
      </c>
      <c r="B11" s="1">
        <f>170+299</f>
        <v>469</v>
      </c>
      <c r="C11" s="4">
        <v>741.05</v>
      </c>
      <c r="D11">
        <f t="shared" si="1"/>
        <v>347552.44999999995</v>
      </c>
      <c r="E11" s="3">
        <f t="shared" si="0"/>
        <v>4.6981929117401247E-2</v>
      </c>
    </row>
    <row r="12" spans="1:7" x14ac:dyDescent="0.25">
      <c r="A12" t="s">
        <v>8</v>
      </c>
      <c r="B12" s="1">
        <f>1378+229+460+413+248-340-476-191-172</f>
        <v>1549</v>
      </c>
      <c r="C12" s="4">
        <v>735.2</v>
      </c>
      <c r="D12">
        <f t="shared" si="1"/>
        <v>1138824.8</v>
      </c>
      <c r="E12" s="3">
        <f t="shared" si="0"/>
        <v>0.15394564483932902</v>
      </c>
    </row>
    <row r="13" spans="1:7" x14ac:dyDescent="0.25">
      <c r="A13" t="s">
        <v>15</v>
      </c>
      <c r="B13" s="1">
        <f>2750+1375</f>
        <v>4125</v>
      </c>
      <c r="C13" s="4">
        <v>31.1</v>
      </c>
      <c r="D13">
        <f t="shared" si="1"/>
        <v>128287.5</v>
      </c>
      <c r="E13" s="3">
        <f t="shared" si="0"/>
        <v>1.7341826339157193E-2</v>
      </c>
    </row>
    <row r="14" spans="1:7" x14ac:dyDescent="0.25">
      <c r="A14" t="s">
        <v>32</v>
      </c>
      <c r="B14" s="1">
        <f>545-226</f>
        <v>319</v>
      </c>
      <c r="C14" s="4">
        <v>663.65</v>
      </c>
      <c r="D14">
        <f t="shared" si="1"/>
        <v>211704.35</v>
      </c>
      <c r="E14" s="3">
        <f t="shared" si="0"/>
        <v>2.861806546190512E-2</v>
      </c>
    </row>
    <row r="15" spans="1:7" x14ac:dyDescent="0.25">
      <c r="A15" t="s">
        <v>9</v>
      </c>
      <c r="B15" s="1">
        <f>1011-51-144-204-61</f>
        <v>551</v>
      </c>
      <c r="C15" s="4">
        <v>339</v>
      </c>
      <c r="D15">
        <f>C15*B15</f>
        <v>186789</v>
      </c>
      <c r="E15" s="3">
        <f t="shared" si="0"/>
        <v>2.5250023580355319E-2</v>
      </c>
      <c r="G15" t="s">
        <v>86</v>
      </c>
    </row>
    <row r="16" spans="1:7" x14ac:dyDescent="0.25">
      <c r="A16" t="s">
        <v>36</v>
      </c>
      <c r="B16" s="1">
        <f>1050+525-1575</f>
        <v>0</v>
      </c>
      <c r="C16" s="4">
        <v>60.3</v>
      </c>
      <c r="D16">
        <f>C16*B16</f>
        <v>0</v>
      </c>
      <c r="E16" s="3">
        <f t="shared" si="0"/>
        <v>0</v>
      </c>
      <c r="G16" t="s">
        <v>87</v>
      </c>
    </row>
    <row r="17" spans="1:7" x14ac:dyDescent="0.25">
      <c r="A17" t="s">
        <v>31</v>
      </c>
      <c r="B17" s="1">
        <v>570</v>
      </c>
      <c r="C17" s="4">
        <v>467.7</v>
      </c>
      <c r="D17">
        <f>C17*B17</f>
        <v>266589</v>
      </c>
      <c r="E17" s="3">
        <f t="shared" si="0"/>
        <v>3.6037339116668239E-2</v>
      </c>
    </row>
    <row r="18" spans="1:7" x14ac:dyDescent="0.25">
      <c r="A18" t="s">
        <v>30</v>
      </c>
      <c r="B18" s="1">
        <f>8384+5589+13973</f>
        <v>27946</v>
      </c>
      <c r="C18" s="4">
        <v>7.05</v>
      </c>
      <c r="D18">
        <f t="shared" si="1"/>
        <v>197019.3</v>
      </c>
      <c r="E18" s="3">
        <f t="shared" si="0"/>
        <v>2.6632949321347073E-2</v>
      </c>
    </row>
    <row r="19" spans="1:7" x14ac:dyDescent="0.25">
      <c r="A19" t="s">
        <v>39</v>
      </c>
      <c r="B19" s="1">
        <f>1000+1150+450+500+1000+900+900+500</f>
        <v>6400</v>
      </c>
      <c r="C19" s="4">
        <v>139.5</v>
      </c>
      <c r="D19">
        <f t="shared" si="1"/>
        <v>892800</v>
      </c>
      <c r="E19" s="3">
        <f t="shared" si="0"/>
        <v>0.12068816178972652</v>
      </c>
    </row>
    <row r="20" spans="1:7" x14ac:dyDescent="0.25">
      <c r="A20" t="s">
        <v>38</v>
      </c>
      <c r="B20" s="1">
        <f>480+154+159</f>
        <v>793</v>
      </c>
      <c r="C20" s="4">
        <v>509.5</v>
      </c>
      <c r="D20">
        <f>C20*B20</f>
        <v>404033.5</v>
      </c>
      <c r="E20" s="3">
        <f t="shared" si="0"/>
        <v>5.4617003154647709E-2</v>
      </c>
    </row>
    <row r="21" spans="1:7" x14ac:dyDescent="0.25">
      <c r="A21" t="s">
        <v>11</v>
      </c>
      <c r="B21" s="1">
        <f>6886+2045-4465+4466+4466</f>
        <v>13398</v>
      </c>
      <c r="C21" s="4">
        <v>33.4</v>
      </c>
      <c r="D21">
        <f t="shared" si="1"/>
        <v>447493.19999999995</v>
      </c>
      <c r="E21" s="3">
        <f t="shared" si="0"/>
        <v>6.0491859006947181E-2</v>
      </c>
    </row>
    <row r="22" spans="1:7" x14ac:dyDescent="0.25">
      <c r="A22" t="s">
        <v>12</v>
      </c>
      <c r="B22" s="1">
        <f>920+319+331-785+393+355</f>
        <v>1533</v>
      </c>
      <c r="C22" s="4">
        <v>209.35</v>
      </c>
      <c r="D22">
        <f t="shared" si="1"/>
        <v>320933.55</v>
      </c>
      <c r="E22" s="3">
        <f t="shared" si="0"/>
        <v>4.3383602381441851E-2</v>
      </c>
    </row>
    <row r="23" spans="1:7" x14ac:dyDescent="0.25">
      <c r="A23" t="s">
        <v>28</v>
      </c>
      <c r="B23" s="1">
        <f>419+419+838</f>
        <v>1676</v>
      </c>
      <c r="C23" s="4">
        <v>71.349999999999994</v>
      </c>
      <c r="D23">
        <f t="shared" si="1"/>
        <v>119582.59999999999</v>
      </c>
      <c r="E23" s="3">
        <f t="shared" si="0"/>
        <v>1.6165103243768089E-2</v>
      </c>
    </row>
    <row r="24" spans="1:7" x14ac:dyDescent="0.25">
      <c r="A24" t="s">
        <v>13</v>
      </c>
      <c r="B24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</f>
        <v>31.417999999998877</v>
      </c>
      <c r="C24" s="4">
        <v>1000</v>
      </c>
      <c r="D24">
        <f t="shared" si="1"/>
        <v>31417.999999998876</v>
      </c>
      <c r="E24" s="3">
        <f t="shared" si="0"/>
        <v>4.2470661593968324E-3</v>
      </c>
      <c r="G24" t="s">
        <v>88</v>
      </c>
    </row>
    <row r="25" spans="1:7" x14ac:dyDescent="0.25">
      <c r="B25" s="1"/>
      <c r="E25" s="3"/>
    </row>
    <row r="26" spans="1:7" x14ac:dyDescent="0.25">
      <c r="B26" s="1"/>
      <c r="D26">
        <f>SUM(D5:D24)</f>
        <v>7397577.2499999981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J25"/>
  <sheetViews>
    <sheetView workbookViewId="0">
      <selection activeCell="G16" sqref="G16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44053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82</v>
      </c>
      <c r="B5" s="1">
        <v>38</v>
      </c>
      <c r="C5" s="4">
        <v>2356.4499999999998</v>
      </c>
      <c r="D5">
        <f>B5*C5</f>
        <v>89545.099999999991</v>
      </c>
      <c r="E5" s="3">
        <f t="shared" ref="E5:E23" si="0">D5/$D$25</f>
        <v>1.1785531882947431E-2</v>
      </c>
    </row>
    <row r="6" spans="1:7" x14ac:dyDescent="0.25">
      <c r="A6" t="s">
        <v>35</v>
      </c>
      <c r="B6" s="1">
        <f>1345+670-403-403+806</f>
        <v>2015</v>
      </c>
      <c r="C6" s="4">
        <v>130.19999999999999</v>
      </c>
      <c r="D6">
        <f>B6*C6</f>
        <v>262353</v>
      </c>
      <c r="E6" s="3">
        <f t="shared" si="0"/>
        <v>3.4529746977633703E-2</v>
      </c>
    </row>
    <row r="7" spans="1:7" x14ac:dyDescent="0.25">
      <c r="A7" t="s">
        <v>14</v>
      </c>
      <c r="B7" s="1">
        <f>44+30+9+18+13+20+19+12</f>
        <v>165</v>
      </c>
      <c r="C7" s="4">
        <v>541.4</v>
      </c>
      <c r="D7">
        <f>B7*C7</f>
        <v>89331</v>
      </c>
      <c r="E7" s="3">
        <f t="shared" si="0"/>
        <v>1.1757352983419272E-2</v>
      </c>
    </row>
    <row r="8" spans="1:7" x14ac:dyDescent="0.25">
      <c r="A8" t="s">
        <v>7</v>
      </c>
      <c r="B8" s="1">
        <f>(840+420)*2+290</f>
        <v>2810</v>
      </c>
      <c r="C8" s="4">
        <v>313.35000000000002</v>
      </c>
      <c r="D8">
        <f t="shared" ref="D8:D23" si="1">C8*B8</f>
        <v>880513.50000000012</v>
      </c>
      <c r="E8" s="3">
        <f t="shared" si="0"/>
        <v>0.11588931083460328</v>
      </c>
    </row>
    <row r="9" spans="1:7" x14ac:dyDescent="0.25">
      <c r="A9" t="s">
        <v>68</v>
      </c>
      <c r="B9" s="1">
        <f>130+126+33+57</f>
        <v>346</v>
      </c>
      <c r="C9" s="4">
        <v>1562.65</v>
      </c>
      <c r="D9">
        <f t="shared" si="1"/>
        <v>540676.9</v>
      </c>
      <c r="E9" s="3">
        <f t="shared" si="0"/>
        <v>7.1161513509094082E-2</v>
      </c>
    </row>
    <row r="10" spans="1:7" x14ac:dyDescent="0.25">
      <c r="A10" t="s">
        <v>29</v>
      </c>
      <c r="B10" s="1">
        <f>1280+1280+1280+910+1300+1300+2940+1300</f>
        <v>11590</v>
      </c>
      <c r="C10" s="4">
        <v>81.349999999999994</v>
      </c>
      <c r="D10">
        <f t="shared" si="1"/>
        <v>942846.49999999988</v>
      </c>
      <c r="E10" s="3">
        <f t="shared" si="0"/>
        <v>0.12409330590367752</v>
      </c>
    </row>
    <row r="11" spans="1:7" x14ac:dyDescent="0.25">
      <c r="A11" t="s">
        <v>67</v>
      </c>
      <c r="B11" s="1">
        <f>170+299</f>
        <v>469</v>
      </c>
      <c r="C11" s="4">
        <v>741.75</v>
      </c>
      <c r="D11">
        <f t="shared" si="1"/>
        <v>347880.75</v>
      </c>
      <c r="E11" s="3">
        <f t="shared" si="0"/>
        <v>4.5786532938024135E-2</v>
      </c>
    </row>
    <row r="12" spans="1:7" x14ac:dyDescent="0.25">
      <c r="A12" t="s">
        <v>8</v>
      </c>
      <c r="B12" s="1">
        <f>1378+229+460+413+248-340-476-191-172</f>
        <v>1549</v>
      </c>
      <c r="C12" s="4">
        <v>732.95</v>
      </c>
      <c r="D12">
        <f t="shared" si="1"/>
        <v>1135339.55</v>
      </c>
      <c r="E12" s="3">
        <f t="shared" si="0"/>
        <v>0.14942839378699885</v>
      </c>
    </row>
    <row r="13" spans="1:7" x14ac:dyDescent="0.25">
      <c r="A13" t="s">
        <v>15</v>
      </c>
      <c r="B13" s="1">
        <f>2750+1375</f>
        <v>4125</v>
      </c>
      <c r="C13" s="4">
        <v>28.95</v>
      </c>
      <c r="D13">
        <f t="shared" si="1"/>
        <v>119418.75</v>
      </c>
      <c r="E13" s="3">
        <f t="shared" si="0"/>
        <v>1.5717370191632246E-2</v>
      </c>
    </row>
    <row r="14" spans="1:7" x14ac:dyDescent="0.25">
      <c r="A14" t="s">
        <v>32</v>
      </c>
      <c r="B14" s="1">
        <f>545-226</f>
        <v>319</v>
      </c>
      <c r="C14" s="4">
        <v>659.4</v>
      </c>
      <c r="D14">
        <f t="shared" si="1"/>
        <v>210348.6</v>
      </c>
      <c r="E14" s="3">
        <f t="shared" si="0"/>
        <v>2.7685156773886638E-2</v>
      </c>
    </row>
    <row r="15" spans="1:7" x14ac:dyDescent="0.25">
      <c r="A15" t="s">
        <v>9</v>
      </c>
      <c r="B15" s="1">
        <f>1011-51-144-204-61-551</f>
        <v>0</v>
      </c>
      <c r="C15" s="4">
        <v>338.6</v>
      </c>
      <c r="D15">
        <f>C15*B15</f>
        <v>0</v>
      </c>
      <c r="E15" s="3">
        <f t="shared" si="0"/>
        <v>0</v>
      </c>
      <c r="G15" t="s">
        <v>89</v>
      </c>
    </row>
    <row r="16" spans="1:7" x14ac:dyDescent="0.25">
      <c r="A16" t="s">
        <v>31</v>
      </c>
      <c r="B16" s="1">
        <v>570</v>
      </c>
      <c r="C16" s="4">
        <v>459.65</v>
      </c>
      <c r="D16">
        <f>C16*B16</f>
        <v>262000.5</v>
      </c>
      <c r="E16" s="3">
        <f t="shared" si="0"/>
        <v>3.4483352479344698E-2</v>
      </c>
    </row>
    <row r="17" spans="1:5" x14ac:dyDescent="0.25">
      <c r="A17" t="s">
        <v>30</v>
      </c>
      <c r="B17" s="1">
        <f>8384+5589+13973</f>
        <v>27946</v>
      </c>
      <c r="C17" s="4">
        <v>7</v>
      </c>
      <c r="D17">
        <f t="shared" si="1"/>
        <v>195622</v>
      </c>
      <c r="E17" s="3">
        <f t="shared" si="0"/>
        <v>2.5746906508630204E-2</v>
      </c>
    </row>
    <row r="18" spans="1:5" x14ac:dyDescent="0.25">
      <c r="A18" t="s">
        <v>39</v>
      </c>
      <c r="B18" s="1">
        <f>1000+1150+450+500+1000+900+900+500</f>
        <v>6400</v>
      </c>
      <c r="C18" s="4">
        <v>148.80000000000001</v>
      </c>
      <c r="D18">
        <f t="shared" si="1"/>
        <v>952320.00000000012</v>
      </c>
      <c r="E18" s="3">
        <f t="shared" si="0"/>
        <v>0.12534016627116951</v>
      </c>
    </row>
    <row r="19" spans="1:5" x14ac:dyDescent="0.25">
      <c r="A19" t="s">
        <v>38</v>
      </c>
      <c r="B19" s="1">
        <f>480+154+159</f>
        <v>793</v>
      </c>
      <c r="C19" s="4">
        <v>546.4</v>
      </c>
      <c r="D19">
        <f>C19*B19</f>
        <v>433295.19999999995</v>
      </c>
      <c r="E19" s="3">
        <f t="shared" si="0"/>
        <v>5.7028406851163088E-2</v>
      </c>
    </row>
    <row r="20" spans="1:5" x14ac:dyDescent="0.25">
      <c r="A20" t="s">
        <v>11</v>
      </c>
      <c r="B20" s="1">
        <f>6886+2045-4465+4466+4466</f>
        <v>13398</v>
      </c>
      <c r="C20" s="4">
        <v>33.9</v>
      </c>
      <c r="D20">
        <f t="shared" si="1"/>
        <v>454192.19999999995</v>
      </c>
      <c r="E20" s="3">
        <f t="shared" si="0"/>
        <v>5.977877800221381E-2</v>
      </c>
    </row>
    <row r="21" spans="1:5" x14ac:dyDescent="0.25">
      <c r="A21" t="s">
        <v>12</v>
      </c>
      <c r="B21" s="1">
        <f>920+319+331-785+393+355</f>
        <v>1533</v>
      </c>
      <c r="C21" s="4">
        <v>201.3</v>
      </c>
      <c r="D21">
        <f t="shared" si="1"/>
        <v>308592.90000000002</v>
      </c>
      <c r="E21" s="3">
        <f t="shared" si="0"/>
        <v>4.0615639066807777E-2</v>
      </c>
    </row>
    <row r="22" spans="1:5" x14ac:dyDescent="0.25">
      <c r="A22" t="s">
        <v>28</v>
      </c>
      <c r="B22" s="1">
        <f>419+419+838</f>
        <v>1676</v>
      </c>
      <c r="C22" s="4">
        <v>71.45</v>
      </c>
      <c r="D22">
        <f t="shared" si="1"/>
        <v>119750.20000000001</v>
      </c>
      <c r="E22" s="3">
        <f t="shared" si="0"/>
        <v>1.5760994181583714E-2</v>
      </c>
    </row>
    <row r="23" spans="1:5" x14ac:dyDescent="0.25">
      <c r="A23" t="s">
        <v>13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</f>
        <v>253.85699999999886</v>
      </c>
      <c r="C23" s="4">
        <v>1000</v>
      </c>
      <c r="D23">
        <f t="shared" si="1"/>
        <v>253856.99999999886</v>
      </c>
      <c r="E23" s="3">
        <f t="shared" si="0"/>
        <v>3.3411540857169991E-2</v>
      </c>
    </row>
    <row r="24" spans="1:5" x14ac:dyDescent="0.25">
      <c r="B24" s="1"/>
      <c r="E24" s="3"/>
    </row>
    <row r="25" spans="1:5" x14ac:dyDescent="0.25">
      <c r="B25" s="1"/>
      <c r="D25">
        <f>SUM(D5:D23)</f>
        <v>7597883.6499999994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J24"/>
  <sheetViews>
    <sheetView workbookViewId="0">
      <selection activeCell="B23" sqref="B23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44064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82</v>
      </c>
      <c r="B5" s="1">
        <f>38-38</f>
        <v>0</v>
      </c>
      <c r="C5" s="4">
        <v>2848.85</v>
      </c>
      <c r="D5">
        <f>B5*C5</f>
        <v>0</v>
      </c>
      <c r="E5" s="3">
        <f t="shared" ref="E5:E22" si="0">D5/$D$24</f>
        <v>0</v>
      </c>
      <c r="G5" t="s">
        <v>90</v>
      </c>
    </row>
    <row r="6" spans="1:7" x14ac:dyDescent="0.25">
      <c r="A6" t="s">
        <v>35</v>
      </c>
      <c r="B6" s="1">
        <f>1345+670-403-403+806</f>
        <v>2015</v>
      </c>
      <c r="C6" s="4">
        <v>147.85</v>
      </c>
      <c r="D6">
        <f>B6*C6</f>
        <v>297917.75</v>
      </c>
      <c r="E6" s="3">
        <f t="shared" si="0"/>
        <v>3.5214158950528825E-2</v>
      </c>
    </row>
    <row r="7" spans="1:7" x14ac:dyDescent="0.25">
      <c r="A7" t="s">
        <v>14</v>
      </c>
      <c r="B7" s="1">
        <f>44+30+9+18+13+20+19+12-82</f>
        <v>83</v>
      </c>
      <c r="C7" s="4">
        <v>892</v>
      </c>
      <c r="D7">
        <f>B7*C7</f>
        <v>74036</v>
      </c>
      <c r="E7" s="3">
        <f t="shared" si="0"/>
        <v>8.7511250070240933E-3</v>
      </c>
      <c r="G7" t="s">
        <v>91</v>
      </c>
    </row>
    <row r="8" spans="1:7" x14ac:dyDescent="0.25">
      <c r="A8" t="s">
        <v>7</v>
      </c>
      <c r="B8" s="1">
        <f>(840+420)*2+290</f>
        <v>2810</v>
      </c>
      <c r="C8" s="4">
        <v>363.7</v>
      </c>
      <c r="D8">
        <f t="shared" ref="D8:D22" si="1">C8*B8</f>
        <v>1021997</v>
      </c>
      <c r="E8" s="3">
        <f t="shared" si="0"/>
        <v>0.12080100901998489</v>
      </c>
    </row>
    <row r="9" spans="1:7" x14ac:dyDescent="0.25">
      <c r="A9" t="s">
        <v>68</v>
      </c>
      <c r="B9" s="1">
        <f>130+126+33+57</f>
        <v>346</v>
      </c>
      <c r="C9" s="4">
        <v>1605.45</v>
      </c>
      <c r="D9">
        <f t="shared" si="1"/>
        <v>555485.70000000007</v>
      </c>
      <c r="E9" s="3">
        <f t="shared" si="0"/>
        <v>6.5658933496059807E-2</v>
      </c>
    </row>
    <row r="10" spans="1:7" x14ac:dyDescent="0.25">
      <c r="A10" t="s">
        <v>29</v>
      </c>
      <c r="B10" s="1">
        <f>1280+1280+1280+910+1300+1300+2940+1300</f>
        <v>11590</v>
      </c>
      <c r="C10" s="4">
        <v>80.75</v>
      </c>
      <c r="D10">
        <f t="shared" si="1"/>
        <v>935892.5</v>
      </c>
      <c r="E10" s="3">
        <f t="shared" si="0"/>
        <v>0.11062337593381998</v>
      </c>
    </row>
    <row r="11" spans="1:7" x14ac:dyDescent="0.25">
      <c r="A11" t="s">
        <v>67</v>
      </c>
      <c r="B11" s="1">
        <f>170+299</f>
        <v>469</v>
      </c>
      <c r="C11" s="4">
        <v>811.1</v>
      </c>
      <c r="D11">
        <f t="shared" si="1"/>
        <v>380405.9</v>
      </c>
      <c r="E11" s="3">
        <f t="shared" si="0"/>
        <v>4.4964336056911587E-2</v>
      </c>
    </row>
    <row r="12" spans="1:7" x14ac:dyDescent="0.25">
      <c r="A12" t="s">
        <v>8</v>
      </c>
      <c r="B12" s="1">
        <f>1378+229+460+413+248-340-476-191-172</f>
        <v>1549</v>
      </c>
      <c r="C12" s="4">
        <v>785.9</v>
      </c>
      <c r="D12">
        <f t="shared" si="1"/>
        <v>1217359.0999999999</v>
      </c>
      <c r="E12" s="3">
        <f t="shared" si="0"/>
        <v>0.14389299344289727</v>
      </c>
    </row>
    <row r="13" spans="1:7" x14ac:dyDescent="0.25">
      <c r="A13" t="s">
        <v>15</v>
      </c>
      <c r="B13" s="1">
        <f>2750+1375</f>
        <v>4125</v>
      </c>
      <c r="C13" s="4">
        <v>36.799999999999997</v>
      </c>
      <c r="D13">
        <f t="shared" si="1"/>
        <v>151800</v>
      </c>
      <c r="E13" s="3">
        <f t="shared" si="0"/>
        <v>1.7942903129102832E-2</v>
      </c>
    </row>
    <row r="14" spans="1:7" x14ac:dyDescent="0.25">
      <c r="A14" t="s">
        <v>32</v>
      </c>
      <c r="B14" s="1">
        <f>545-226</f>
        <v>319</v>
      </c>
      <c r="C14" s="4">
        <v>689.45</v>
      </c>
      <c r="D14">
        <f t="shared" si="1"/>
        <v>219934.55000000002</v>
      </c>
      <c r="E14" s="3">
        <f t="shared" si="0"/>
        <v>2.5996471181770908E-2</v>
      </c>
    </row>
    <row r="15" spans="1:7" x14ac:dyDescent="0.25">
      <c r="A15" t="s">
        <v>31</v>
      </c>
      <c r="B15" s="1">
        <v>570</v>
      </c>
      <c r="C15" s="4">
        <v>472.45</v>
      </c>
      <c r="D15">
        <f>C15*B15</f>
        <v>269296.5</v>
      </c>
      <c r="E15" s="3">
        <f t="shared" si="0"/>
        <v>3.1831100214139929E-2</v>
      </c>
    </row>
    <row r="16" spans="1:7" x14ac:dyDescent="0.25">
      <c r="A16" t="s">
        <v>30</v>
      </c>
      <c r="B16" s="1">
        <f>8384+5589+13973</f>
        <v>27946</v>
      </c>
      <c r="C16" s="4">
        <v>7.25</v>
      </c>
      <c r="D16">
        <f t="shared" si="1"/>
        <v>202608.5</v>
      </c>
      <c r="E16" s="3">
        <f t="shared" si="0"/>
        <v>2.3948515735394145E-2</v>
      </c>
    </row>
    <row r="17" spans="1:7" x14ac:dyDescent="0.25">
      <c r="A17" t="s">
        <v>39</v>
      </c>
      <c r="B17" s="1">
        <f>1000+1150+450+500+1000+900+900+500</f>
        <v>6400</v>
      </c>
      <c r="C17" s="4">
        <v>198.8</v>
      </c>
      <c r="D17">
        <f t="shared" si="1"/>
        <v>1272320</v>
      </c>
      <c r="E17" s="3">
        <f t="shared" si="0"/>
        <v>0.15038942364440128</v>
      </c>
    </row>
    <row r="18" spans="1:7" x14ac:dyDescent="0.25">
      <c r="A18" t="s">
        <v>38</v>
      </c>
      <c r="B18" s="1">
        <f>480+154+159</f>
        <v>793</v>
      </c>
      <c r="C18" s="4">
        <v>590.1</v>
      </c>
      <c r="D18">
        <f>C18*B18</f>
        <v>467949.30000000005</v>
      </c>
      <c r="E18" s="3">
        <f t="shared" si="0"/>
        <v>5.5312048479785776E-2</v>
      </c>
    </row>
    <row r="19" spans="1:7" x14ac:dyDescent="0.25">
      <c r="A19" t="s">
        <v>11</v>
      </c>
      <c r="B19" s="1">
        <f>6886+2045-4465+4466+4466</f>
        <v>13398</v>
      </c>
      <c r="C19" s="4">
        <v>34.85</v>
      </c>
      <c r="D19">
        <f t="shared" si="1"/>
        <v>466920.30000000005</v>
      </c>
      <c r="E19" s="3">
        <f t="shared" si="0"/>
        <v>5.5190419709562802E-2</v>
      </c>
    </row>
    <row r="20" spans="1:7" x14ac:dyDescent="0.25">
      <c r="A20" t="s">
        <v>12</v>
      </c>
      <c r="B20" s="1">
        <f>920+319+331-785+393+355</f>
        <v>1533</v>
      </c>
      <c r="C20" s="4">
        <v>227.7</v>
      </c>
      <c r="D20">
        <f t="shared" si="1"/>
        <v>349064.1</v>
      </c>
      <c r="E20" s="3">
        <f t="shared" si="0"/>
        <v>4.1259705745371959E-2</v>
      </c>
    </row>
    <row r="21" spans="1:7" x14ac:dyDescent="0.25">
      <c r="A21" t="s">
        <v>28</v>
      </c>
      <c r="B21" s="1">
        <f>419+419+838</f>
        <v>1676</v>
      </c>
      <c r="C21" s="4">
        <v>80.2</v>
      </c>
      <c r="D21">
        <f t="shared" si="1"/>
        <v>134415.20000000001</v>
      </c>
      <c r="E21" s="3">
        <f t="shared" si="0"/>
        <v>1.5888003377331907E-2</v>
      </c>
    </row>
    <row r="22" spans="1:7" x14ac:dyDescent="0.25">
      <c r="A22" t="s">
        <v>13</v>
      </c>
      <c r="B22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</f>
        <v>442.76699999999886</v>
      </c>
      <c r="C22" s="4">
        <v>1000</v>
      </c>
      <c r="D22">
        <f t="shared" si="1"/>
        <v>442766.99999999884</v>
      </c>
      <c r="E22" s="3">
        <f t="shared" si="0"/>
        <v>5.2335476875912071E-2</v>
      </c>
      <c r="G22" t="s">
        <v>92</v>
      </c>
    </row>
    <row r="23" spans="1:7" x14ac:dyDescent="0.25">
      <c r="B23" s="1"/>
      <c r="E23" s="3"/>
    </row>
    <row r="24" spans="1:7" x14ac:dyDescent="0.25">
      <c r="B24" s="1"/>
      <c r="D24">
        <f>SUM(D5:D22)</f>
        <v>8460169.3999999985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J23"/>
  <sheetViews>
    <sheetView workbookViewId="0">
      <selection activeCell="G13" sqref="G13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44071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35</v>
      </c>
      <c r="B5" s="1">
        <f>1345+670-403-403+806</f>
        <v>2015</v>
      </c>
      <c r="C5" s="4">
        <v>158.80000000000001</v>
      </c>
      <c r="D5">
        <f>B5*C5</f>
        <v>319982</v>
      </c>
      <c r="E5" s="3">
        <f t="shared" ref="E5:E21" si="0">D5/$D$23</f>
        <v>3.5389277937548154E-2</v>
      </c>
    </row>
    <row r="6" spans="1:7" x14ac:dyDescent="0.25">
      <c r="A6" t="s">
        <v>14</v>
      </c>
      <c r="B6" s="1">
        <f>44+30+9+18+13+20+19+12-82-83</f>
        <v>0</v>
      </c>
      <c r="C6" s="4">
        <v>843.2</v>
      </c>
      <c r="D6">
        <f>B6*C6</f>
        <v>0</v>
      </c>
      <c r="E6" s="3">
        <f t="shared" si="0"/>
        <v>0</v>
      </c>
      <c r="G6" t="s">
        <v>93</v>
      </c>
    </row>
    <row r="7" spans="1:7" x14ac:dyDescent="0.25">
      <c r="A7" t="s">
        <v>7</v>
      </c>
      <c r="B7" s="1">
        <f>(840+420)*2+290</f>
        <v>2810</v>
      </c>
      <c r="C7" s="4">
        <v>342.35</v>
      </c>
      <c r="D7">
        <f t="shared" ref="D7:D21" si="1">C7*B7</f>
        <v>962003.50000000012</v>
      </c>
      <c r="E7" s="3">
        <f t="shared" si="0"/>
        <v>0.10639538861059095</v>
      </c>
    </row>
    <row r="8" spans="1:7" x14ac:dyDescent="0.25">
      <c r="A8" t="s">
        <v>68</v>
      </c>
      <c r="B8" s="1">
        <f>130+126+33+57</f>
        <v>346</v>
      </c>
      <c r="C8" s="4">
        <v>1806.25</v>
      </c>
      <c r="D8">
        <f t="shared" si="1"/>
        <v>624962.5</v>
      </c>
      <c r="E8" s="3">
        <f t="shared" si="0"/>
        <v>6.9119424258379969E-2</v>
      </c>
    </row>
    <row r="9" spans="1:7" x14ac:dyDescent="0.25">
      <c r="A9" t="s">
        <v>29</v>
      </c>
      <c r="B9" s="1">
        <f>1280+1280+1280+910+1300+1300+2940+1300</f>
        <v>11590</v>
      </c>
      <c r="C9" s="4">
        <v>84.85</v>
      </c>
      <c r="D9">
        <f t="shared" si="1"/>
        <v>983411.49999999988</v>
      </c>
      <c r="E9" s="3">
        <f t="shared" si="0"/>
        <v>0.1087630644863809</v>
      </c>
    </row>
    <row r="10" spans="1:7" x14ac:dyDescent="0.25">
      <c r="A10" t="s">
        <v>67</v>
      </c>
      <c r="B10" s="1">
        <f>170+299</f>
        <v>469</v>
      </c>
      <c r="C10" s="4">
        <v>861</v>
      </c>
      <c r="D10">
        <f t="shared" si="1"/>
        <v>403809</v>
      </c>
      <c r="E10" s="3">
        <f t="shared" si="0"/>
        <v>4.4660352565717397E-2</v>
      </c>
    </row>
    <row r="11" spans="1:7" x14ac:dyDescent="0.25">
      <c r="A11" t="s">
        <v>8</v>
      </c>
      <c r="B11" s="1">
        <f>1378+229+460+413+248-340-476-191-172</f>
        <v>1549</v>
      </c>
      <c r="C11" s="4">
        <v>796.1</v>
      </c>
      <c r="D11">
        <f t="shared" si="1"/>
        <v>1233158.9000000001</v>
      </c>
      <c r="E11" s="3">
        <f t="shared" si="0"/>
        <v>0.13638455617272582</v>
      </c>
    </row>
    <row r="12" spans="1:7" x14ac:dyDescent="0.25">
      <c r="A12" t="s">
        <v>15</v>
      </c>
      <c r="B12" s="1">
        <f>2750+1375</f>
        <v>4125</v>
      </c>
      <c r="C12" s="4">
        <v>40.25</v>
      </c>
      <c r="D12">
        <f t="shared" si="1"/>
        <v>166031.25</v>
      </c>
      <c r="E12" s="3">
        <f t="shared" si="0"/>
        <v>1.8362676814847531E-2</v>
      </c>
    </row>
    <row r="13" spans="1:7" x14ac:dyDescent="0.25">
      <c r="A13" t="s">
        <v>32</v>
      </c>
      <c r="B13" s="1">
        <f>545-226</f>
        <v>319</v>
      </c>
      <c r="C13" s="4">
        <v>705.3</v>
      </c>
      <c r="D13">
        <f t="shared" si="1"/>
        <v>224990.69999999998</v>
      </c>
      <c r="E13" s="3">
        <f t="shared" si="0"/>
        <v>2.4883457243418429E-2</v>
      </c>
    </row>
    <row r="14" spans="1:7" x14ac:dyDescent="0.25">
      <c r="A14" t="s">
        <v>31</v>
      </c>
      <c r="B14" s="1">
        <v>570</v>
      </c>
      <c r="C14" s="4">
        <v>551.70000000000005</v>
      </c>
      <c r="D14">
        <f>C14*B14</f>
        <v>314469</v>
      </c>
      <c r="E14" s="3">
        <f t="shared" si="0"/>
        <v>3.477955273653778E-2</v>
      </c>
    </row>
    <row r="15" spans="1:7" x14ac:dyDescent="0.25">
      <c r="A15" t="s">
        <v>30</v>
      </c>
      <c r="B15" s="1">
        <f>8384+5589+13973</f>
        <v>27946</v>
      </c>
      <c r="C15" s="4">
        <v>7.45</v>
      </c>
      <c r="D15">
        <f t="shared" si="1"/>
        <v>208197.7</v>
      </c>
      <c r="E15" s="3">
        <f t="shared" si="0"/>
        <v>2.3026189820859518E-2</v>
      </c>
    </row>
    <row r="16" spans="1:7" x14ac:dyDescent="0.25">
      <c r="A16" t="s">
        <v>39</v>
      </c>
      <c r="B16" s="1">
        <f>1000+1150+450+500+1000+900+900+500</f>
        <v>6400</v>
      </c>
      <c r="C16" s="4">
        <v>253.6</v>
      </c>
      <c r="D16">
        <f t="shared" si="1"/>
        <v>1623040</v>
      </c>
      <c r="E16" s="3">
        <f t="shared" si="0"/>
        <v>0.17950451482820334</v>
      </c>
    </row>
    <row r="17" spans="1:7" x14ac:dyDescent="0.25">
      <c r="A17" t="s">
        <v>38</v>
      </c>
      <c r="B17" s="1">
        <f>480+154+159</f>
        <v>793</v>
      </c>
      <c r="C17" s="4">
        <v>628.04999999999995</v>
      </c>
      <c r="D17">
        <f>C17*B17</f>
        <v>498043.64999999997</v>
      </c>
      <c r="E17" s="3">
        <f t="shared" si="0"/>
        <v>5.5082489499037303E-2</v>
      </c>
    </row>
    <row r="18" spans="1:7" x14ac:dyDescent="0.25">
      <c r="A18" t="s">
        <v>11</v>
      </c>
      <c r="B18" s="1">
        <f>6886+2045-4465+4466+4466</f>
        <v>13398</v>
      </c>
      <c r="C18" s="4">
        <v>34.299999999999997</v>
      </c>
      <c r="D18">
        <f t="shared" si="1"/>
        <v>459551.39999999997</v>
      </c>
      <c r="E18" s="3">
        <f t="shared" si="0"/>
        <v>5.0825334616288936E-2</v>
      </c>
    </row>
    <row r="19" spans="1:7" x14ac:dyDescent="0.25">
      <c r="A19" t="s">
        <v>12</v>
      </c>
      <c r="B19" s="1">
        <f>920+319+331-785+393+355</f>
        <v>1533</v>
      </c>
      <c r="C19" s="4">
        <v>233.05</v>
      </c>
      <c r="D19">
        <f t="shared" si="1"/>
        <v>357265.65</v>
      </c>
      <c r="E19" s="3">
        <f t="shared" si="0"/>
        <v>3.9512764422338767E-2</v>
      </c>
    </row>
    <row r="20" spans="1:7" x14ac:dyDescent="0.25">
      <c r="A20" t="s">
        <v>28</v>
      </c>
      <c r="B20" s="1">
        <f>419+419+838</f>
        <v>1676</v>
      </c>
      <c r="C20" s="4">
        <v>88.15</v>
      </c>
      <c r="D20">
        <f t="shared" si="1"/>
        <v>147739.40000000002</v>
      </c>
      <c r="E20" s="3">
        <f t="shared" si="0"/>
        <v>1.6339640007646063E-2</v>
      </c>
    </row>
    <row r="21" spans="1:7" x14ac:dyDescent="0.25">
      <c r="A21" t="s">
        <v>13</v>
      </c>
      <c r="B21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</f>
        <v>515.12199999999882</v>
      </c>
      <c r="C21" s="4">
        <v>1000</v>
      </c>
      <c r="D21">
        <f t="shared" si="1"/>
        <v>515121.99999999884</v>
      </c>
      <c r="E21" s="3">
        <f t="shared" si="0"/>
        <v>5.6971315979478972E-2</v>
      </c>
      <c r="G21" t="s">
        <v>94</v>
      </c>
    </row>
    <row r="22" spans="1:7" x14ac:dyDescent="0.25">
      <c r="B22" s="1"/>
      <c r="E22" s="3"/>
    </row>
    <row r="23" spans="1:7" x14ac:dyDescent="0.25">
      <c r="B23" s="1"/>
      <c r="D23">
        <f>SUM(D5:D21)</f>
        <v>9041778.1500000004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J22"/>
  <sheetViews>
    <sheetView workbookViewId="0">
      <selection activeCell="B9" sqref="B9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44075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35</v>
      </c>
      <c r="B5" s="1">
        <f>1345+670-403-403+806</f>
        <v>2015</v>
      </c>
      <c r="C5" s="4">
        <v>147.44999999999999</v>
      </c>
      <c r="D5">
        <f>B5*C5</f>
        <v>297111.75</v>
      </c>
      <c r="E5" s="3">
        <f t="shared" ref="E5:E20" si="0">D5/$D$22</f>
        <v>3.4687303118520911E-2</v>
      </c>
    </row>
    <row r="6" spans="1:7" x14ac:dyDescent="0.25">
      <c r="A6" t="s">
        <v>7</v>
      </c>
      <c r="B6" s="1">
        <f>(840+420)*2+290</f>
        <v>2810</v>
      </c>
      <c r="C6" s="4">
        <v>361.55</v>
      </c>
      <c r="D6">
        <f t="shared" ref="D6:D20" si="1">C6*B6</f>
        <v>1015955.5</v>
      </c>
      <c r="E6" s="3">
        <f t="shared" si="0"/>
        <v>0.11861111646856266</v>
      </c>
    </row>
    <row r="7" spans="1:7" x14ac:dyDescent="0.25">
      <c r="A7" t="s">
        <v>68</v>
      </c>
      <c r="B7" s="1">
        <f>130+126+33+57</f>
        <v>346</v>
      </c>
      <c r="C7" s="4">
        <v>1636.2</v>
      </c>
      <c r="D7">
        <f t="shared" si="1"/>
        <v>566125.20000000007</v>
      </c>
      <c r="E7" s="3">
        <f t="shared" si="0"/>
        <v>6.6094176401415558E-2</v>
      </c>
    </row>
    <row r="8" spans="1:7" x14ac:dyDescent="0.25">
      <c r="A8" t="s">
        <v>29</v>
      </c>
      <c r="B8" s="1">
        <f>1280+1280+1280+910+1300+1300+2940+1300</f>
        <v>11590</v>
      </c>
      <c r="C8" s="4">
        <v>75.349999999999994</v>
      </c>
      <c r="D8">
        <f t="shared" si="1"/>
        <v>873306.49999999988</v>
      </c>
      <c r="E8" s="3">
        <f t="shared" si="0"/>
        <v>0.10195708275042835</v>
      </c>
    </row>
    <row r="9" spans="1:7" x14ac:dyDescent="0.25">
      <c r="A9" t="s">
        <v>67</v>
      </c>
      <c r="B9" s="1">
        <f>170+299+235</f>
        <v>704</v>
      </c>
      <c r="C9" s="4">
        <v>756.6</v>
      </c>
      <c r="D9">
        <f t="shared" si="1"/>
        <v>532646.40000000002</v>
      </c>
      <c r="E9" s="3">
        <f t="shared" si="0"/>
        <v>6.2185582131265217E-2</v>
      </c>
      <c r="G9" t="s">
        <v>95</v>
      </c>
    </row>
    <row r="10" spans="1:7" x14ac:dyDescent="0.25">
      <c r="A10" t="s">
        <v>8</v>
      </c>
      <c r="B10" s="1">
        <f>1378+229+460+413+248-340-476-191-172</f>
        <v>1549</v>
      </c>
      <c r="C10" s="4">
        <v>770.25</v>
      </c>
      <c r="D10">
        <f t="shared" si="1"/>
        <v>1193117.25</v>
      </c>
      <c r="E10" s="3">
        <f t="shared" si="0"/>
        <v>0.1392944564012904</v>
      </c>
    </row>
    <row r="11" spans="1:7" x14ac:dyDescent="0.25">
      <c r="A11" t="s">
        <v>15</v>
      </c>
      <c r="B11" s="1">
        <f>2750+1375</f>
        <v>4125</v>
      </c>
      <c r="C11" s="4">
        <v>37.4</v>
      </c>
      <c r="D11">
        <f t="shared" si="1"/>
        <v>154275</v>
      </c>
      <c r="E11" s="3">
        <f t="shared" si="0"/>
        <v>1.8011349899860283E-2</v>
      </c>
    </row>
    <row r="12" spans="1:7" x14ac:dyDescent="0.25">
      <c r="A12" t="s">
        <v>32</v>
      </c>
      <c r="B12" s="1">
        <f>545-226</f>
        <v>319</v>
      </c>
      <c r="C12" s="4">
        <v>683.95</v>
      </c>
      <c r="D12">
        <f t="shared" si="1"/>
        <v>218180.05000000002</v>
      </c>
      <c r="E12" s="3">
        <f t="shared" si="0"/>
        <v>2.5472158299912572E-2</v>
      </c>
    </row>
    <row r="13" spans="1:7" x14ac:dyDescent="0.25">
      <c r="A13" t="s">
        <v>31</v>
      </c>
      <c r="B13" s="1">
        <v>570</v>
      </c>
      <c r="C13" s="4">
        <v>512.45000000000005</v>
      </c>
      <c r="D13">
        <f>C13*B13</f>
        <v>292096.5</v>
      </c>
      <c r="E13" s="3">
        <f t="shared" si="0"/>
        <v>3.4101781014581362E-2</v>
      </c>
    </row>
    <row r="14" spans="1:7" x14ac:dyDescent="0.25">
      <c r="A14" t="s">
        <v>30</v>
      </c>
      <c r="B14" s="1">
        <f>8384+5589+13973</f>
        <v>27946</v>
      </c>
      <c r="C14" s="4">
        <v>7.25</v>
      </c>
      <c r="D14">
        <f t="shared" si="1"/>
        <v>202608.5</v>
      </c>
      <c r="E14" s="3">
        <f t="shared" si="0"/>
        <v>2.365420571178637E-2</v>
      </c>
    </row>
    <row r="15" spans="1:7" x14ac:dyDescent="0.25">
      <c r="A15" t="s">
        <v>39</v>
      </c>
      <c r="B15" s="1">
        <f>1000+1150+450+500+1000+900+900+500</f>
        <v>6400</v>
      </c>
      <c r="C15" s="4">
        <v>228.95</v>
      </c>
      <c r="D15">
        <f t="shared" si="1"/>
        <v>1465280</v>
      </c>
      <c r="E15" s="3">
        <f t="shared" si="0"/>
        <v>0.17106900522616936</v>
      </c>
    </row>
    <row r="16" spans="1:7" x14ac:dyDescent="0.25">
      <c r="A16" t="s">
        <v>38</v>
      </c>
      <c r="B16" s="1">
        <f>480+154+159</f>
        <v>793</v>
      </c>
      <c r="C16" s="4">
        <v>647.9</v>
      </c>
      <c r="D16">
        <f>C16*B16</f>
        <v>513784.69999999995</v>
      </c>
      <c r="E16" s="3">
        <f t="shared" si="0"/>
        <v>5.9983509997697262E-2</v>
      </c>
    </row>
    <row r="17" spans="1:7" x14ac:dyDescent="0.25">
      <c r="A17" t="s">
        <v>11</v>
      </c>
      <c r="B17" s="1">
        <f>6886+2045-4465+4466+4466</f>
        <v>13398</v>
      </c>
      <c r="C17" s="4">
        <v>31.75</v>
      </c>
      <c r="D17">
        <f t="shared" si="1"/>
        <v>425386.5</v>
      </c>
      <c r="E17" s="3">
        <f t="shared" si="0"/>
        <v>4.9663167034042562E-2</v>
      </c>
    </row>
    <row r="18" spans="1:7" x14ac:dyDescent="0.25">
      <c r="A18" t="s">
        <v>12</v>
      </c>
      <c r="B18" s="1">
        <f>920+319+331-785+393+355</f>
        <v>1533</v>
      </c>
      <c r="C18" s="4">
        <v>229.55</v>
      </c>
      <c r="D18">
        <f t="shared" si="1"/>
        <v>351900.15</v>
      </c>
      <c r="E18" s="3">
        <f t="shared" si="0"/>
        <v>4.1083757779700657E-2</v>
      </c>
    </row>
    <row r="19" spans="1:7" x14ac:dyDescent="0.25">
      <c r="A19" t="s">
        <v>28</v>
      </c>
      <c r="B19" s="1">
        <f>419+419+838</f>
        <v>1676</v>
      </c>
      <c r="C19" s="4">
        <v>79.400000000000006</v>
      </c>
      <c r="D19">
        <f t="shared" si="1"/>
        <v>133074.40000000002</v>
      </c>
      <c r="E19" s="3">
        <f t="shared" si="0"/>
        <v>1.5536215077711669E-2</v>
      </c>
    </row>
    <row r="20" spans="1:7" x14ac:dyDescent="0.25">
      <c r="A20" t="s">
        <v>13</v>
      </c>
      <c r="B20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</f>
        <v>330.58399999999881</v>
      </c>
      <c r="C20" s="4">
        <v>1000</v>
      </c>
      <c r="D20">
        <f t="shared" si="1"/>
        <v>330583.99999999884</v>
      </c>
      <c r="E20" s="3">
        <f t="shared" si="0"/>
        <v>3.8595132687054876E-2</v>
      </c>
      <c r="G20" t="s">
        <v>96</v>
      </c>
    </row>
    <row r="21" spans="1:7" x14ac:dyDescent="0.25">
      <c r="B21" s="1"/>
      <c r="E21" s="3"/>
    </row>
    <row r="22" spans="1:7" x14ac:dyDescent="0.25">
      <c r="B22" s="1"/>
      <c r="D22">
        <f>SUM(D5:D20)</f>
        <v>8565432.3999999985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J22"/>
  <sheetViews>
    <sheetView workbookViewId="0">
      <selection activeCell="G16" sqref="G16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44077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35</v>
      </c>
      <c r="B5" s="1">
        <f>1345+670-403-403+806</f>
        <v>2015</v>
      </c>
      <c r="C5" s="4">
        <v>156.30000000000001</v>
      </c>
      <c r="D5">
        <f>B5*C5</f>
        <v>314944.5</v>
      </c>
      <c r="E5" s="3">
        <f t="shared" ref="E5:E20" si="0">D5/$D$22</f>
        <v>3.7401225773399036E-2</v>
      </c>
    </row>
    <row r="6" spans="1:7" x14ac:dyDescent="0.25">
      <c r="A6" t="s">
        <v>7</v>
      </c>
      <c r="B6" s="1">
        <f>(840+420)*2+290</f>
        <v>2810</v>
      </c>
      <c r="C6" s="4">
        <v>348.2</v>
      </c>
      <c r="D6">
        <f t="shared" ref="D6:D20" si="1">C6*B6</f>
        <v>978442</v>
      </c>
      <c r="E6" s="3">
        <f t="shared" si="0"/>
        <v>0.11619485384941187</v>
      </c>
    </row>
    <row r="7" spans="1:7" x14ac:dyDescent="0.25">
      <c r="A7" t="s">
        <v>68</v>
      </c>
      <c r="B7" s="1">
        <f>130+126+33+57</f>
        <v>346</v>
      </c>
      <c r="C7" s="4">
        <v>1636.45</v>
      </c>
      <c r="D7">
        <f t="shared" si="1"/>
        <v>566211.70000000007</v>
      </c>
      <c r="E7" s="3">
        <f t="shared" si="0"/>
        <v>6.7240455468312935E-2</v>
      </c>
    </row>
    <row r="8" spans="1:7" x14ac:dyDescent="0.25">
      <c r="A8" t="s">
        <v>29</v>
      </c>
      <c r="B8" s="1">
        <f>1280+1280+1280+910+1300+1300+2940+1300</f>
        <v>11590</v>
      </c>
      <c r="C8" s="4">
        <v>75.849999999999994</v>
      </c>
      <c r="D8">
        <f t="shared" si="1"/>
        <v>879101.49999999988</v>
      </c>
      <c r="E8" s="3">
        <f t="shared" si="0"/>
        <v>0.10439767539751844</v>
      </c>
    </row>
    <row r="9" spans="1:7" x14ac:dyDescent="0.25">
      <c r="A9" t="s">
        <v>67</v>
      </c>
      <c r="B9" s="1">
        <f>170+299+235</f>
        <v>704</v>
      </c>
      <c r="C9" s="4">
        <v>775.4</v>
      </c>
      <c r="D9">
        <f t="shared" si="1"/>
        <v>545881.59999999998</v>
      </c>
      <c r="E9" s="3">
        <f t="shared" si="0"/>
        <v>6.4826154980145073E-2</v>
      </c>
    </row>
    <row r="10" spans="1:7" x14ac:dyDescent="0.25">
      <c r="A10" t="s">
        <v>8</v>
      </c>
      <c r="B10" s="1">
        <f>1378+229+460+413+248-340-476-191-172</f>
        <v>1549</v>
      </c>
      <c r="C10" s="4">
        <v>766.95</v>
      </c>
      <c r="D10">
        <f t="shared" si="1"/>
        <v>1188005.55</v>
      </c>
      <c r="E10" s="3">
        <f t="shared" si="0"/>
        <v>0.14108156769081884</v>
      </c>
    </row>
    <row r="11" spans="1:7" x14ac:dyDescent="0.25">
      <c r="A11" t="s">
        <v>15</v>
      </c>
      <c r="B11" s="1">
        <f>2750+1375</f>
        <v>4125</v>
      </c>
      <c r="C11" s="4">
        <v>35.6</v>
      </c>
      <c r="D11">
        <f t="shared" si="1"/>
        <v>146850</v>
      </c>
      <c r="E11" s="3">
        <f t="shared" si="0"/>
        <v>1.7439167868699559E-2</v>
      </c>
    </row>
    <row r="12" spans="1:7" x14ac:dyDescent="0.25">
      <c r="A12" t="s">
        <v>32</v>
      </c>
      <c r="B12" s="1">
        <f>545-226</f>
        <v>319</v>
      </c>
      <c r="C12" s="4">
        <v>670.55</v>
      </c>
      <c r="D12">
        <f t="shared" si="1"/>
        <v>213905.44999999998</v>
      </c>
      <c r="E12" s="3">
        <f t="shared" si="0"/>
        <v>2.5402336061148927E-2</v>
      </c>
    </row>
    <row r="13" spans="1:7" x14ac:dyDescent="0.25">
      <c r="A13" t="s">
        <v>31</v>
      </c>
      <c r="B13" s="1">
        <v>570</v>
      </c>
      <c r="C13" s="4">
        <v>517.25</v>
      </c>
      <c r="D13">
        <f>C13*B13</f>
        <v>294832.5</v>
      </c>
      <c r="E13" s="3">
        <f t="shared" si="0"/>
        <v>3.5012825744966718E-2</v>
      </c>
    </row>
    <row r="14" spans="1:7" x14ac:dyDescent="0.25">
      <c r="A14" t="s">
        <v>30</v>
      </c>
      <c r="B14" s="1">
        <f>8384+5589+13973</f>
        <v>27946</v>
      </c>
      <c r="C14" s="4">
        <v>7.25</v>
      </c>
      <c r="D14">
        <f t="shared" si="1"/>
        <v>202608.5</v>
      </c>
      <c r="E14" s="3">
        <f t="shared" si="0"/>
        <v>2.4060767062481541E-2</v>
      </c>
    </row>
    <row r="15" spans="1:7" x14ac:dyDescent="0.25">
      <c r="A15" t="s">
        <v>39</v>
      </c>
      <c r="B15" s="1">
        <f>1000+1150+450+500+1000+900+900+500+160</f>
        <v>6560</v>
      </c>
      <c r="C15" s="4">
        <v>206.7</v>
      </c>
      <c r="D15">
        <f t="shared" si="1"/>
        <v>1355952</v>
      </c>
      <c r="E15" s="3">
        <f t="shared" si="0"/>
        <v>0.16102604392168132</v>
      </c>
      <c r="G15" t="s">
        <v>97</v>
      </c>
    </row>
    <row r="16" spans="1:7" x14ac:dyDescent="0.25">
      <c r="A16" t="s">
        <v>38</v>
      </c>
      <c r="B16" s="1">
        <f>480+154+159</f>
        <v>793</v>
      </c>
      <c r="C16" s="4">
        <v>649.04999999999995</v>
      </c>
      <c r="D16">
        <f>C16*B16</f>
        <v>514696.64999999997</v>
      </c>
      <c r="E16" s="3">
        <f t="shared" si="0"/>
        <v>6.112278706712497E-2</v>
      </c>
    </row>
    <row r="17" spans="1:7" x14ac:dyDescent="0.25">
      <c r="A17" t="s">
        <v>11</v>
      </c>
      <c r="B17" s="1">
        <f>6886+2045-4465+4466+4466</f>
        <v>13398</v>
      </c>
      <c r="C17" s="4">
        <v>32.299999999999997</v>
      </c>
      <c r="D17">
        <f t="shared" si="1"/>
        <v>432755.39999999997</v>
      </c>
      <c r="E17" s="3">
        <f t="shared" si="0"/>
        <v>5.139185608911287E-2</v>
      </c>
    </row>
    <row r="18" spans="1:7" x14ac:dyDescent="0.25">
      <c r="A18" t="s">
        <v>12</v>
      </c>
      <c r="B18" s="1">
        <f>920+319+331-785+393+355</f>
        <v>1533</v>
      </c>
      <c r="C18" s="4">
        <v>231.8</v>
      </c>
      <c r="D18">
        <f t="shared" si="1"/>
        <v>355349.4</v>
      </c>
      <c r="E18" s="3">
        <f t="shared" si="0"/>
        <v>4.2199508604982415E-2</v>
      </c>
    </row>
    <row r="19" spans="1:7" x14ac:dyDescent="0.25">
      <c r="A19" t="s">
        <v>28</v>
      </c>
      <c r="B19" s="1">
        <f>419+419+838</f>
        <v>1676</v>
      </c>
      <c r="C19" s="4">
        <v>79.2</v>
      </c>
      <c r="D19">
        <f t="shared" si="1"/>
        <v>132739.20000000001</v>
      </c>
      <c r="E19" s="3">
        <f t="shared" si="0"/>
        <v>1.5763440187653282E-2</v>
      </c>
    </row>
    <row r="20" spans="1:7" x14ac:dyDescent="0.25">
      <c r="A20" t="s">
        <v>13</v>
      </c>
      <c r="B20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</f>
        <v>298.42399999999884</v>
      </c>
      <c r="C20" s="4">
        <v>1000</v>
      </c>
      <c r="D20">
        <f t="shared" si="1"/>
        <v>298423.99999999884</v>
      </c>
      <c r="E20" s="3">
        <f t="shared" si="0"/>
        <v>3.5439334232541891E-2</v>
      </c>
      <c r="G20" t="s">
        <v>98</v>
      </c>
    </row>
    <row r="21" spans="1:7" x14ac:dyDescent="0.25">
      <c r="B21" s="1"/>
      <c r="E21" s="3"/>
    </row>
    <row r="22" spans="1:7" x14ac:dyDescent="0.25">
      <c r="B22" s="1"/>
      <c r="D22">
        <f>SUM(D5:D20)</f>
        <v>8420699.9500000011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J22"/>
  <sheetViews>
    <sheetView workbookViewId="0">
      <selection activeCell="B2" sqref="B2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44130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35</v>
      </c>
      <c r="B5" s="1">
        <f>1345+670-403-403+806</f>
        <v>2015</v>
      </c>
      <c r="C5" s="4">
        <v>159.1</v>
      </c>
      <c r="D5">
        <f>B5*C5</f>
        <v>320586.5</v>
      </c>
      <c r="E5" s="3">
        <f t="shared" ref="E5:E20" si="0">D5/$D$22</f>
        <v>3.5779897843978413E-2</v>
      </c>
    </row>
    <row r="6" spans="1:7" x14ac:dyDescent="0.25">
      <c r="A6" t="s">
        <v>7</v>
      </c>
      <c r="B6" s="1">
        <f>(840+420)*2+290</f>
        <v>2810</v>
      </c>
      <c r="C6" s="4">
        <v>302.75</v>
      </c>
      <c r="D6">
        <f t="shared" ref="D6:D20" si="1">C6*B6</f>
        <v>850727.5</v>
      </c>
      <c r="E6" s="3">
        <f t="shared" si="0"/>
        <v>9.4947675722661898E-2</v>
      </c>
    </row>
    <row r="7" spans="1:7" x14ac:dyDescent="0.25">
      <c r="A7" t="s">
        <v>68</v>
      </c>
      <c r="B7" s="1">
        <f>130+126+33+57</f>
        <v>346</v>
      </c>
      <c r="C7" s="4">
        <v>1782.5</v>
      </c>
      <c r="D7">
        <f t="shared" si="1"/>
        <v>616745</v>
      </c>
      <c r="E7" s="3">
        <f t="shared" si="0"/>
        <v>6.8833444626596782E-2</v>
      </c>
    </row>
    <row r="8" spans="1:7" x14ac:dyDescent="0.25">
      <c r="A8" t="s">
        <v>29</v>
      </c>
      <c r="B8" s="1">
        <f>1280+1280+1280+910+1300+1300+2940+1300</f>
        <v>11590</v>
      </c>
      <c r="C8" s="4">
        <v>67.55</v>
      </c>
      <c r="D8">
        <f t="shared" si="1"/>
        <v>782904.5</v>
      </c>
      <c r="E8" s="3">
        <f t="shared" si="0"/>
        <v>8.7378111778228337E-2</v>
      </c>
    </row>
    <row r="9" spans="1:7" x14ac:dyDescent="0.25">
      <c r="A9" t="s">
        <v>67</v>
      </c>
      <c r="B9" s="1">
        <f>170+299+235</f>
        <v>704</v>
      </c>
      <c r="C9" s="4">
        <v>674.25</v>
      </c>
      <c r="D9">
        <f t="shared" si="1"/>
        <v>474672</v>
      </c>
      <c r="E9" s="3">
        <f t="shared" si="0"/>
        <v>5.2977014532417689E-2</v>
      </c>
    </row>
    <row r="10" spans="1:7" x14ac:dyDescent="0.25">
      <c r="A10" t="s">
        <v>8</v>
      </c>
      <c r="B10" s="1">
        <f>1378+229+460+413+248-340-476-191-172</f>
        <v>1549</v>
      </c>
      <c r="C10" s="4">
        <v>999.35</v>
      </c>
      <c r="D10">
        <f t="shared" si="1"/>
        <v>1547993.1500000001</v>
      </c>
      <c r="E10" s="3">
        <f t="shared" si="0"/>
        <v>0.17276783885216115</v>
      </c>
    </row>
    <row r="11" spans="1:7" x14ac:dyDescent="0.25">
      <c r="A11" t="s">
        <v>15</v>
      </c>
      <c r="B11" s="1">
        <f>2750+1375</f>
        <v>4125</v>
      </c>
      <c r="C11" s="4">
        <v>41.3</v>
      </c>
      <c r="D11">
        <f t="shared" si="1"/>
        <v>170362.5</v>
      </c>
      <c r="E11" s="3">
        <f t="shared" si="0"/>
        <v>1.9013753999138371E-2</v>
      </c>
    </row>
    <row r="12" spans="1:7" x14ac:dyDescent="0.25">
      <c r="A12" t="s">
        <v>32</v>
      </c>
      <c r="B12" s="1">
        <f>545-226</f>
        <v>319</v>
      </c>
      <c r="C12" s="4">
        <v>559.70000000000005</v>
      </c>
      <c r="D12">
        <f t="shared" si="1"/>
        <v>178544.30000000002</v>
      </c>
      <c r="E12" s="3">
        <f t="shared" si="0"/>
        <v>1.9926905264646626E-2</v>
      </c>
    </row>
    <row r="13" spans="1:7" x14ac:dyDescent="0.25">
      <c r="A13" t="s">
        <v>31</v>
      </c>
      <c r="B13" s="1">
        <v>570</v>
      </c>
      <c r="C13" s="4">
        <v>586.95000000000005</v>
      </c>
      <c r="D13">
        <f>C13*B13</f>
        <v>334561.5</v>
      </c>
      <c r="E13" s="3">
        <f t="shared" si="0"/>
        <v>3.7339614402129177E-2</v>
      </c>
    </row>
    <row r="14" spans="1:7" x14ac:dyDescent="0.25">
      <c r="A14" t="s">
        <v>30</v>
      </c>
      <c r="B14" s="1">
        <f>8384+5589+13973</f>
        <v>27946</v>
      </c>
      <c r="C14" s="4">
        <v>6.75</v>
      </c>
      <c r="D14">
        <f t="shared" si="1"/>
        <v>188635.5</v>
      </c>
      <c r="E14" s="3">
        <f t="shared" si="0"/>
        <v>2.1053160129162612E-2</v>
      </c>
    </row>
    <row r="15" spans="1:7" x14ac:dyDescent="0.25">
      <c r="A15" t="s">
        <v>39</v>
      </c>
      <c r="B15" s="1">
        <f>1000+1150+450+500+1000+900+900+500+160</f>
        <v>6560</v>
      </c>
      <c r="C15" s="4">
        <v>286.55</v>
      </c>
      <c r="D15">
        <f t="shared" si="1"/>
        <v>1879768</v>
      </c>
      <c r="E15" s="3">
        <f t="shared" si="0"/>
        <v>0.20979644186632818</v>
      </c>
    </row>
    <row r="16" spans="1:7" x14ac:dyDescent="0.25">
      <c r="A16" t="s">
        <v>38</v>
      </c>
      <c r="B16" s="1">
        <f>480+154+159+192</f>
        <v>985</v>
      </c>
      <c r="C16" s="4">
        <v>610.35</v>
      </c>
      <c r="D16">
        <f>C16*B16</f>
        <v>601194.75</v>
      </c>
      <c r="E16" s="3">
        <f t="shared" si="0"/>
        <v>6.7097918157302761E-2</v>
      </c>
      <c r="G16" t="s">
        <v>99</v>
      </c>
    </row>
    <row r="17" spans="1:7" x14ac:dyDescent="0.25">
      <c r="A17" t="s">
        <v>11</v>
      </c>
      <c r="B17" s="1">
        <f>6886+2045-4465+4466+4466</f>
        <v>13398</v>
      </c>
      <c r="C17" s="4">
        <v>30.05</v>
      </c>
      <c r="D17">
        <f t="shared" si="1"/>
        <v>402609.9</v>
      </c>
      <c r="E17" s="3">
        <f t="shared" si="0"/>
        <v>4.4934334705217988E-2</v>
      </c>
    </row>
    <row r="18" spans="1:7" x14ac:dyDescent="0.25">
      <c r="A18" t="s">
        <v>12</v>
      </c>
      <c r="B18" s="1">
        <f>920+319+331-785+393+355</f>
        <v>1533</v>
      </c>
      <c r="C18" s="4">
        <v>202.2</v>
      </c>
      <c r="D18">
        <f t="shared" si="1"/>
        <v>309972.59999999998</v>
      </c>
      <c r="E18" s="3">
        <f t="shared" si="0"/>
        <v>3.4595305673920711E-2</v>
      </c>
    </row>
    <row r="19" spans="1:7" x14ac:dyDescent="0.25">
      <c r="A19" t="s">
        <v>28</v>
      </c>
      <c r="B19" s="1">
        <f>419+419+838</f>
        <v>1676</v>
      </c>
      <c r="C19" s="4">
        <v>72.849999999999994</v>
      </c>
      <c r="D19">
        <f t="shared" si="1"/>
        <v>122096.59999999999</v>
      </c>
      <c r="E19" s="3">
        <f t="shared" si="0"/>
        <v>1.3626911535879067E-2</v>
      </c>
    </row>
    <row r="20" spans="1:7" x14ac:dyDescent="0.25">
      <c r="A20" t="s">
        <v>13</v>
      </c>
      <c r="B20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</f>
        <v>178.58699999999885</v>
      </c>
      <c r="C20" s="4">
        <v>1000</v>
      </c>
      <c r="D20">
        <f t="shared" si="1"/>
        <v>178586.99999999886</v>
      </c>
      <c r="E20" s="3">
        <f t="shared" si="0"/>
        <v>1.9931670910230258E-2</v>
      </c>
      <c r="G20" t="s">
        <v>100</v>
      </c>
    </row>
    <row r="21" spans="1:7" x14ac:dyDescent="0.25">
      <c r="B21" s="1"/>
      <c r="E21" s="3"/>
    </row>
    <row r="22" spans="1:7" x14ac:dyDescent="0.25">
      <c r="B22" s="1"/>
      <c r="D22">
        <f>SUM(D5:D20)</f>
        <v>8959961.2999999989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7489F-5C4A-47B4-98C0-2978D1FE7FF4}">
  <sheetPr>
    <pageSetUpPr fitToPage="1"/>
  </sheetPr>
  <dimension ref="A1:J22"/>
  <sheetViews>
    <sheetView workbookViewId="0">
      <selection activeCell="E23" sqref="E23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44132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35</v>
      </c>
      <c r="B5" s="1">
        <f>1345+670-403-403+806</f>
        <v>2015</v>
      </c>
      <c r="C5" s="4">
        <v>161.69999999999999</v>
      </c>
      <c r="D5">
        <f>B5*C5</f>
        <v>325825.5</v>
      </c>
      <c r="E5" s="3">
        <f t="shared" ref="E5:E20" si="0">D5/$D$22</f>
        <v>3.6140365915527217E-2</v>
      </c>
    </row>
    <row r="6" spans="1:7" x14ac:dyDescent="0.25">
      <c r="A6" t="s">
        <v>7</v>
      </c>
      <c r="B6" s="1">
        <f>(840+420)*2+290+562</f>
        <v>3372</v>
      </c>
      <c r="C6" s="4">
        <v>312</v>
      </c>
      <c r="D6">
        <f t="shared" ref="D6:D20" si="1">C6*B6</f>
        <v>1052064</v>
      </c>
      <c r="E6" s="3">
        <f t="shared" si="0"/>
        <v>0.11669429779606945</v>
      </c>
      <c r="G6" t="s">
        <v>101</v>
      </c>
    </row>
    <row r="7" spans="1:7" x14ac:dyDescent="0.25">
      <c r="A7" t="s">
        <v>68</v>
      </c>
      <c r="B7" s="1">
        <f>130+126+33+57</f>
        <v>346</v>
      </c>
      <c r="C7" s="4">
        <v>1765.75</v>
      </c>
      <c r="D7">
        <f t="shared" si="1"/>
        <v>610949.5</v>
      </c>
      <c r="E7" s="3">
        <f t="shared" si="0"/>
        <v>6.7766146252851281E-2</v>
      </c>
    </row>
    <row r="8" spans="1:7" x14ac:dyDescent="0.25">
      <c r="A8" t="s">
        <v>29</v>
      </c>
      <c r="B8" s="1">
        <f>1280+1280+1280+910+1300+1300+2940+1300</f>
        <v>11590</v>
      </c>
      <c r="C8" s="4">
        <v>65.7</v>
      </c>
      <c r="D8">
        <f t="shared" si="1"/>
        <v>761463</v>
      </c>
      <c r="E8" s="3">
        <f t="shared" si="0"/>
        <v>8.4461011956200802E-2</v>
      </c>
    </row>
    <row r="9" spans="1:7" x14ac:dyDescent="0.25">
      <c r="A9" t="s">
        <v>67</v>
      </c>
      <c r="B9" s="1">
        <f>170+299+235</f>
        <v>704</v>
      </c>
      <c r="C9" s="4">
        <v>656.15</v>
      </c>
      <c r="D9">
        <f t="shared" si="1"/>
        <v>461929.6</v>
      </c>
      <c r="E9" s="3">
        <f t="shared" si="0"/>
        <v>5.1236949751364218E-2</v>
      </c>
    </row>
    <row r="10" spans="1:7" x14ac:dyDescent="0.25">
      <c r="A10" t="s">
        <v>8</v>
      </c>
      <c r="B10" s="1">
        <f>1378+229+460+413+248-340-476-191-172</f>
        <v>1549</v>
      </c>
      <c r="C10" s="4">
        <v>1033.5</v>
      </c>
      <c r="D10">
        <f t="shared" si="1"/>
        <v>1600891.5</v>
      </c>
      <c r="E10" s="3">
        <f t="shared" si="0"/>
        <v>0.17756990966347705</v>
      </c>
    </row>
    <row r="11" spans="1:7" x14ac:dyDescent="0.25">
      <c r="A11" t="s">
        <v>15</v>
      </c>
      <c r="B11" s="1">
        <f>2750+1375</f>
        <v>4125</v>
      </c>
      <c r="C11" s="4">
        <v>38.049999999999997</v>
      </c>
      <c r="D11">
        <f t="shared" si="1"/>
        <v>156956.25</v>
      </c>
      <c r="E11" s="3">
        <f t="shared" si="0"/>
        <v>1.7409491607406322E-2</v>
      </c>
    </row>
    <row r="12" spans="1:7" x14ac:dyDescent="0.25">
      <c r="A12" t="s">
        <v>32</v>
      </c>
      <c r="B12" s="1">
        <f>545-226</f>
        <v>319</v>
      </c>
      <c r="C12" s="4">
        <v>567.20000000000005</v>
      </c>
      <c r="D12">
        <f t="shared" si="1"/>
        <v>180936.80000000002</v>
      </c>
      <c r="E12" s="3">
        <f t="shared" si="0"/>
        <v>2.0069399600659146E-2</v>
      </c>
    </row>
    <row r="13" spans="1:7" x14ac:dyDescent="0.25">
      <c r="A13" t="s">
        <v>31</v>
      </c>
      <c r="B13" s="1">
        <v>570</v>
      </c>
      <c r="C13" s="4">
        <v>624.35</v>
      </c>
      <c r="D13">
        <f>C13*B13</f>
        <v>355879.5</v>
      </c>
      <c r="E13" s="3">
        <f t="shared" si="0"/>
        <v>3.9473937281872873E-2</v>
      </c>
    </row>
    <row r="14" spans="1:7" x14ac:dyDescent="0.25">
      <c r="A14" t="s">
        <v>30</v>
      </c>
      <c r="B14" s="1">
        <f>8384+5589+13973</f>
        <v>27946</v>
      </c>
      <c r="C14" s="4">
        <v>6.7</v>
      </c>
      <c r="D14">
        <f t="shared" si="1"/>
        <v>187238.2</v>
      </c>
      <c r="E14" s="3">
        <f t="shared" si="0"/>
        <v>2.0768347048848751E-2</v>
      </c>
    </row>
    <row r="15" spans="1:7" x14ac:dyDescent="0.25">
      <c r="A15" t="s">
        <v>39</v>
      </c>
      <c r="B15" s="1">
        <f>1000+1150+450+500+1000+900+900+500+160</f>
        <v>6560</v>
      </c>
      <c r="C15" s="4">
        <v>281.25</v>
      </c>
      <c r="D15">
        <f t="shared" si="1"/>
        <v>1845000</v>
      </c>
      <c r="E15" s="3">
        <f t="shared" si="0"/>
        <v>0.20464627573393648</v>
      </c>
    </row>
    <row r="16" spans="1:7" x14ac:dyDescent="0.25">
      <c r="A16" t="s">
        <v>38</v>
      </c>
      <c r="B16" s="1">
        <f>480+154+159+192</f>
        <v>985</v>
      </c>
      <c r="C16" s="4">
        <v>649.35</v>
      </c>
      <c r="D16">
        <f>C16*B16</f>
        <v>639609.75</v>
      </c>
      <c r="E16" s="3">
        <f t="shared" si="0"/>
        <v>7.0945123718490072E-2</v>
      </c>
    </row>
    <row r="17" spans="1:7" x14ac:dyDescent="0.25">
      <c r="A17" t="s">
        <v>11</v>
      </c>
      <c r="B17" s="1">
        <f>6886+2045-4465+4466+4466</f>
        <v>13398</v>
      </c>
      <c r="C17" s="4">
        <v>29.6</v>
      </c>
      <c r="D17">
        <f t="shared" si="1"/>
        <v>396580.80000000005</v>
      </c>
      <c r="E17" s="3">
        <f t="shared" si="0"/>
        <v>4.3988500676197896E-2</v>
      </c>
    </row>
    <row r="18" spans="1:7" x14ac:dyDescent="0.25">
      <c r="A18" t="s">
        <v>12</v>
      </c>
      <c r="B18" s="1">
        <f>920+319+331-785+393+355</f>
        <v>1533</v>
      </c>
      <c r="C18" s="4">
        <v>205.2</v>
      </c>
      <c r="D18">
        <f t="shared" si="1"/>
        <v>314571.59999999998</v>
      </c>
      <c r="E18" s="3">
        <f t="shared" si="0"/>
        <v>3.489209018518459E-2</v>
      </c>
    </row>
    <row r="19" spans="1:7" x14ac:dyDescent="0.25">
      <c r="A19" t="s">
        <v>28</v>
      </c>
      <c r="B19" s="1">
        <f>419+419+838</f>
        <v>1676</v>
      </c>
      <c r="C19" s="4">
        <v>71.7</v>
      </c>
      <c r="D19">
        <f t="shared" si="1"/>
        <v>120169.20000000001</v>
      </c>
      <c r="E19" s="3">
        <f t="shared" si="0"/>
        <v>1.3329094437900575E-2</v>
      </c>
    </row>
    <row r="20" spans="1:7" x14ac:dyDescent="0.25">
      <c r="A20" t="s">
        <v>13</v>
      </c>
      <c r="B20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</f>
        <v>5.4909999999988486</v>
      </c>
      <c r="C20" s="4">
        <v>1000</v>
      </c>
      <c r="D20">
        <f t="shared" si="1"/>
        <v>5490.9999999988486</v>
      </c>
      <c r="E20" s="3">
        <f t="shared" si="0"/>
        <v>6.0905837401344694E-4</v>
      </c>
      <c r="G20" t="s">
        <v>102</v>
      </c>
    </row>
    <row r="21" spans="1:7" x14ac:dyDescent="0.25">
      <c r="B21" s="1"/>
      <c r="E21" s="3"/>
    </row>
    <row r="22" spans="1:7" x14ac:dyDescent="0.25">
      <c r="B22" s="1"/>
      <c r="D22">
        <f>SUM(D5:D20)</f>
        <v>9015556.1999999974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D4D04-38BB-4C90-9214-51628815C3B1}">
  <sheetPr>
    <pageSetUpPr fitToPage="1"/>
  </sheetPr>
  <dimension ref="A1:J23"/>
  <sheetViews>
    <sheetView workbookViewId="0">
      <selection activeCell="G14" sqref="G14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44146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35</v>
      </c>
      <c r="B5" s="1">
        <f>1345+670-403-403+806-2015</f>
        <v>0</v>
      </c>
      <c r="C5" s="4">
        <v>148.69999999999999</v>
      </c>
      <c r="D5">
        <f>B5*C5</f>
        <v>0</v>
      </c>
      <c r="E5" s="3">
        <f t="shared" ref="E5:E21" si="0">D5/$D$23</f>
        <v>0</v>
      </c>
      <c r="G5" t="s">
        <v>105</v>
      </c>
    </row>
    <row r="6" spans="1:7" x14ac:dyDescent="0.25">
      <c r="A6" t="s">
        <v>7</v>
      </c>
      <c r="B6" s="1">
        <f>(840+420)*2+290+562</f>
        <v>3372</v>
      </c>
      <c r="C6" s="4">
        <v>267</v>
      </c>
      <c r="D6">
        <f t="shared" ref="D6:D21" si="1">C6*B6</f>
        <v>900324</v>
      </c>
      <c r="E6" s="3">
        <f t="shared" si="0"/>
        <v>9.7104202408039159E-2</v>
      </c>
    </row>
    <row r="7" spans="1:7" x14ac:dyDescent="0.25">
      <c r="A7" t="s">
        <v>68</v>
      </c>
      <c r="B7" s="1">
        <f>130+126+33+57</f>
        <v>346</v>
      </c>
      <c r="C7" s="4">
        <v>1813.3</v>
      </c>
      <c r="D7">
        <f t="shared" si="1"/>
        <v>627401.79999999993</v>
      </c>
      <c r="E7" s="3">
        <f t="shared" si="0"/>
        <v>6.7668252071885343E-2</v>
      </c>
    </row>
    <row r="8" spans="1:7" x14ac:dyDescent="0.25">
      <c r="A8" t="s">
        <v>29</v>
      </c>
      <c r="B8" s="1">
        <f>1280+1280+1280+910+1300+1300+2940+1300</f>
        <v>11590</v>
      </c>
      <c r="C8" s="4">
        <v>65.5</v>
      </c>
      <c r="D8">
        <f t="shared" si="1"/>
        <v>759145</v>
      </c>
      <c r="E8" s="3">
        <f t="shared" si="0"/>
        <v>8.1877379406803424E-2</v>
      </c>
    </row>
    <row r="9" spans="1:7" x14ac:dyDescent="0.25">
      <c r="A9" t="s">
        <v>67</v>
      </c>
      <c r="B9" s="1">
        <f>170+299+235</f>
        <v>704</v>
      </c>
      <c r="C9" s="4">
        <v>649.9</v>
      </c>
      <c r="D9">
        <f t="shared" si="1"/>
        <v>457529.59999999998</v>
      </c>
      <c r="E9" s="3">
        <f t="shared" si="0"/>
        <v>4.9346731716658883E-2</v>
      </c>
    </row>
    <row r="10" spans="1:7" x14ac:dyDescent="0.25">
      <c r="A10" t="s">
        <v>8</v>
      </c>
      <c r="B10" s="1">
        <f>1378+229+460+413+248-340-476-191-172-155</f>
        <v>1394</v>
      </c>
      <c r="C10" s="4">
        <v>970.5</v>
      </c>
      <c r="D10">
        <f t="shared" si="1"/>
        <v>1352877</v>
      </c>
      <c r="E10" s="3">
        <f t="shared" si="0"/>
        <v>0.1459141842727516</v>
      </c>
      <c r="G10" t="s">
        <v>104</v>
      </c>
    </row>
    <row r="11" spans="1:7" x14ac:dyDescent="0.25">
      <c r="A11" t="s">
        <v>15</v>
      </c>
      <c r="B11" s="1">
        <f>2750+1375</f>
        <v>4125</v>
      </c>
      <c r="C11" s="4">
        <v>41.85</v>
      </c>
      <c r="D11">
        <f t="shared" si="1"/>
        <v>172631.25</v>
      </c>
      <c r="E11" s="3">
        <f t="shared" si="0"/>
        <v>1.8619096949490196E-2</v>
      </c>
    </row>
    <row r="12" spans="1:7" x14ac:dyDescent="0.25">
      <c r="A12" t="s">
        <v>32</v>
      </c>
      <c r="B12" s="1">
        <f>545-226</f>
        <v>319</v>
      </c>
      <c r="C12" s="4">
        <v>564.65</v>
      </c>
      <c r="D12">
        <f t="shared" si="1"/>
        <v>180123.35</v>
      </c>
      <c r="E12" s="3">
        <f t="shared" si="0"/>
        <v>1.9427155376080259E-2</v>
      </c>
    </row>
    <row r="13" spans="1:7" x14ac:dyDescent="0.25">
      <c r="A13" t="s">
        <v>103</v>
      </c>
      <c r="B13" s="1">
        <v>1727</v>
      </c>
      <c r="C13" s="4">
        <v>241</v>
      </c>
      <c r="D13">
        <f t="shared" si="1"/>
        <v>416207</v>
      </c>
      <c r="E13" s="3">
        <f t="shared" si="0"/>
        <v>4.488989382893576E-2</v>
      </c>
      <c r="G13" t="s">
        <v>106</v>
      </c>
    </row>
    <row r="14" spans="1:7" x14ac:dyDescent="0.25">
      <c r="A14" t="s">
        <v>31</v>
      </c>
      <c r="B14" s="1">
        <v>570</v>
      </c>
      <c r="C14" s="4">
        <v>701.25</v>
      </c>
      <c r="D14">
        <f>C14*B14</f>
        <v>399712.5</v>
      </c>
      <c r="E14" s="3">
        <f t="shared" si="0"/>
        <v>4.3110883976238946E-2</v>
      </c>
    </row>
    <row r="15" spans="1:7" x14ac:dyDescent="0.25">
      <c r="A15" t="s">
        <v>30</v>
      </c>
      <c r="B15" s="1">
        <f>8384+5589+13973</f>
        <v>27946</v>
      </c>
      <c r="C15" s="4">
        <v>6.8</v>
      </c>
      <c r="D15">
        <f t="shared" si="1"/>
        <v>190032.8</v>
      </c>
      <c r="E15" s="3">
        <f t="shared" si="0"/>
        <v>2.0495936435512577E-2</v>
      </c>
    </row>
    <row r="16" spans="1:7" x14ac:dyDescent="0.25">
      <c r="A16" t="s">
        <v>39</v>
      </c>
      <c r="B16" s="1">
        <f>1000+1150+450+500+1000+900+900+500+160</f>
        <v>6560</v>
      </c>
      <c r="C16" s="4">
        <v>353.1</v>
      </c>
      <c r="D16">
        <f t="shared" si="1"/>
        <v>2316336</v>
      </c>
      <c r="E16" s="3">
        <f t="shared" si="0"/>
        <v>0.24982779509268641</v>
      </c>
    </row>
    <row r="17" spans="1:7" x14ac:dyDescent="0.25">
      <c r="A17" t="s">
        <v>38</v>
      </c>
      <c r="B17" s="1">
        <f>480+154+159+192</f>
        <v>985</v>
      </c>
      <c r="C17" s="4">
        <v>703.35</v>
      </c>
      <c r="D17">
        <f>C17*B17</f>
        <v>692799.75</v>
      </c>
      <c r="E17" s="3">
        <f t="shared" si="0"/>
        <v>7.4721730346229726E-2</v>
      </c>
    </row>
    <row r="18" spans="1:7" x14ac:dyDescent="0.25">
      <c r="A18" t="s">
        <v>11</v>
      </c>
      <c r="B18" s="1">
        <f>6886+2045-4465+4466+4466</f>
        <v>13398</v>
      </c>
      <c r="C18" s="4">
        <v>27.65</v>
      </c>
      <c r="D18">
        <f t="shared" si="1"/>
        <v>370454.69999999995</v>
      </c>
      <c r="E18" s="3">
        <f t="shared" si="0"/>
        <v>3.9955291841392009E-2</v>
      </c>
    </row>
    <row r="19" spans="1:7" x14ac:dyDescent="0.25">
      <c r="A19" t="s">
        <v>12</v>
      </c>
      <c r="B19" s="1">
        <f>920+319+331-785+393+355</f>
        <v>1533</v>
      </c>
      <c r="C19" s="4">
        <v>202.2</v>
      </c>
      <c r="D19">
        <f t="shared" si="1"/>
        <v>309972.59999999998</v>
      </c>
      <c r="E19" s="3">
        <f t="shared" si="0"/>
        <v>3.3432011244114518E-2</v>
      </c>
    </row>
    <row r="20" spans="1:7" x14ac:dyDescent="0.25">
      <c r="A20" t="s">
        <v>28</v>
      </c>
      <c r="B20" s="1">
        <f>419+419+838</f>
        <v>1676</v>
      </c>
      <c r="C20" s="4">
        <v>74.2</v>
      </c>
      <c r="D20">
        <f t="shared" si="1"/>
        <v>124359.20000000001</v>
      </c>
      <c r="E20" s="3">
        <f t="shared" si="0"/>
        <v>1.3412728004698114E-2</v>
      </c>
    </row>
    <row r="21" spans="1:7" x14ac:dyDescent="0.25">
      <c r="A21" t="s">
        <v>13</v>
      </c>
      <c r="B21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</f>
        <v>1.8239999999988488</v>
      </c>
      <c r="C21" s="4">
        <v>1000</v>
      </c>
      <c r="D21">
        <f t="shared" si="1"/>
        <v>1823.9999999988488</v>
      </c>
      <c r="E21" s="3">
        <f t="shared" si="0"/>
        <v>1.9672702848324785E-4</v>
      </c>
      <c r="G21" t="s">
        <v>107</v>
      </c>
    </row>
    <row r="22" spans="1:7" x14ac:dyDescent="0.25">
      <c r="B22" s="1"/>
      <c r="E22" s="3"/>
    </row>
    <row r="23" spans="1:7" x14ac:dyDescent="0.25">
      <c r="B23" s="1"/>
      <c r="D23">
        <f>SUM(D5:D21)</f>
        <v>9271730.549999997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E256-3334-40B4-8C21-7C826FAE902C}">
  <sheetPr>
    <pageSetUpPr fitToPage="1"/>
  </sheetPr>
  <dimension ref="A1:J22"/>
  <sheetViews>
    <sheetView workbookViewId="0">
      <selection activeCell="G9" sqref="G9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44174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7</v>
      </c>
      <c r="B5" s="1">
        <f>(840+420)*2+290+562</f>
        <v>3372</v>
      </c>
      <c r="C5" s="4">
        <v>279.75</v>
      </c>
      <c r="D5">
        <f t="shared" ref="D5:D20" si="0">C5*B5</f>
        <v>943317</v>
      </c>
      <c r="E5" s="3">
        <f t="shared" ref="E5:E20" si="1">D5/$D$22</f>
        <v>7.1126724007335163E-2</v>
      </c>
    </row>
    <row r="6" spans="1:7" x14ac:dyDescent="0.25">
      <c r="A6" t="s">
        <v>68</v>
      </c>
      <c r="B6" s="1">
        <f>130+126+33+57+173</f>
        <v>519</v>
      </c>
      <c r="C6" s="4">
        <v>2071.4</v>
      </c>
      <c r="D6">
        <f t="shared" si="0"/>
        <v>1075056.6000000001</v>
      </c>
      <c r="E6" s="3">
        <f t="shared" si="1"/>
        <v>8.1059976742138773E-2</v>
      </c>
      <c r="G6" t="s">
        <v>109</v>
      </c>
    </row>
    <row r="7" spans="1:7" x14ac:dyDescent="0.25">
      <c r="A7" t="s">
        <v>29</v>
      </c>
      <c r="B7" s="1">
        <f>1280+1280+1280+910+1300+1300+2940+1300</f>
        <v>11590</v>
      </c>
      <c r="C7" s="4">
        <v>83.15</v>
      </c>
      <c r="D7">
        <f t="shared" si="0"/>
        <v>963708.50000000012</v>
      </c>
      <c r="E7" s="3">
        <f t="shared" si="1"/>
        <v>7.2664256557470039E-2</v>
      </c>
    </row>
    <row r="8" spans="1:7" x14ac:dyDescent="0.25">
      <c r="A8" t="s">
        <v>67</v>
      </c>
      <c r="B8" s="1">
        <f>170+299+235+280</f>
        <v>984</v>
      </c>
      <c r="C8" s="4">
        <v>781.1</v>
      </c>
      <c r="D8">
        <f t="shared" si="0"/>
        <v>768602.4</v>
      </c>
      <c r="E8" s="3">
        <f t="shared" si="1"/>
        <v>5.7953127926429204E-2</v>
      </c>
      <c r="G8" t="s">
        <v>110</v>
      </c>
    </row>
    <row r="9" spans="1:7" x14ac:dyDescent="0.25">
      <c r="A9" t="s">
        <v>8</v>
      </c>
      <c r="B9" s="1">
        <f>1378+229+460+413+248-340-476-191-172-155</f>
        <v>1394</v>
      </c>
      <c r="C9" s="4">
        <v>1002.65</v>
      </c>
      <c r="D9">
        <f t="shared" si="0"/>
        <v>1397694.0999999999</v>
      </c>
      <c r="E9" s="3">
        <f t="shared" si="1"/>
        <v>0.10538705705227479</v>
      </c>
    </row>
    <row r="10" spans="1:7" x14ac:dyDescent="0.25">
      <c r="A10" t="s">
        <v>15</v>
      </c>
      <c r="B10" s="1">
        <f>2750+1375</f>
        <v>4125</v>
      </c>
      <c r="C10" s="4">
        <v>44</v>
      </c>
      <c r="D10">
        <f t="shared" si="0"/>
        <v>181500</v>
      </c>
      <c r="E10" s="3">
        <f t="shared" si="1"/>
        <v>1.3685219716523004E-2</v>
      </c>
    </row>
    <row r="11" spans="1:7" x14ac:dyDescent="0.25">
      <c r="A11" t="s">
        <v>32</v>
      </c>
      <c r="B11" s="1">
        <f>545-226</f>
        <v>319</v>
      </c>
      <c r="C11" s="4">
        <v>649.4</v>
      </c>
      <c r="D11">
        <f t="shared" si="0"/>
        <v>207158.6</v>
      </c>
      <c r="E11" s="3">
        <f t="shared" si="1"/>
        <v>1.5619895080811585E-2</v>
      </c>
    </row>
    <row r="12" spans="1:7" x14ac:dyDescent="0.25">
      <c r="A12" t="s">
        <v>103</v>
      </c>
      <c r="B12" s="1">
        <v>1727</v>
      </c>
      <c r="C12" s="4">
        <v>275.35000000000002</v>
      </c>
      <c r="D12">
        <f t="shared" si="0"/>
        <v>475529.45</v>
      </c>
      <c r="E12" s="3">
        <f t="shared" si="1"/>
        <v>3.5855234186927494E-2</v>
      </c>
    </row>
    <row r="13" spans="1:7" x14ac:dyDescent="0.25">
      <c r="A13" t="s">
        <v>31</v>
      </c>
      <c r="B13" s="1">
        <v>570</v>
      </c>
      <c r="C13" s="4">
        <v>764.85</v>
      </c>
      <c r="D13">
        <f>C13*B13</f>
        <v>435964.5</v>
      </c>
      <c r="E13" s="3">
        <f t="shared" si="1"/>
        <v>3.2872010860077648E-2</v>
      </c>
    </row>
    <row r="14" spans="1:7" x14ac:dyDescent="0.25">
      <c r="A14" t="s">
        <v>30</v>
      </c>
      <c r="B14" s="1">
        <f>8384+5589+13973</f>
        <v>27946</v>
      </c>
      <c r="C14" s="4">
        <v>9.5500000000000007</v>
      </c>
      <c r="D14">
        <f t="shared" si="0"/>
        <v>266884.30000000005</v>
      </c>
      <c r="E14" s="3">
        <f t="shared" si="1"/>
        <v>2.0123252255594717E-2</v>
      </c>
    </row>
    <row r="15" spans="1:7" x14ac:dyDescent="0.25">
      <c r="A15" t="s">
        <v>39</v>
      </c>
      <c r="B15" s="1">
        <f>1000+1150+450+500+1000+900+900+500+160-656</f>
        <v>5904</v>
      </c>
      <c r="C15" s="4">
        <v>820.85</v>
      </c>
      <c r="D15">
        <f t="shared" si="0"/>
        <v>4846298.4000000004</v>
      </c>
      <c r="E15" s="3">
        <f t="shared" si="1"/>
        <v>0.36541409595500768</v>
      </c>
      <c r="G15" t="s">
        <v>108</v>
      </c>
    </row>
    <row r="16" spans="1:7" x14ac:dyDescent="0.25">
      <c r="A16" t="s">
        <v>38</v>
      </c>
      <c r="B16" s="1">
        <f>480+154+159+192</f>
        <v>985</v>
      </c>
      <c r="C16" s="4">
        <v>810.8</v>
      </c>
      <c r="D16">
        <f>C16*B16</f>
        <v>798638</v>
      </c>
      <c r="E16" s="3">
        <f t="shared" si="1"/>
        <v>6.0217831977765833E-2</v>
      </c>
    </row>
    <row r="17" spans="1:5" x14ac:dyDescent="0.25">
      <c r="A17" t="s">
        <v>11</v>
      </c>
      <c r="B17" s="1">
        <f>6886+2045-4465+4466+4466</f>
        <v>13398</v>
      </c>
      <c r="C17" s="4">
        <v>31.75</v>
      </c>
      <c r="D17">
        <f t="shared" si="0"/>
        <v>425386.5</v>
      </c>
      <c r="E17" s="3">
        <f t="shared" si="1"/>
        <v>3.2074422682879959E-2</v>
      </c>
    </row>
    <row r="18" spans="1:5" x14ac:dyDescent="0.25">
      <c r="A18" t="s">
        <v>12</v>
      </c>
      <c r="B18" s="1">
        <f>920+319+331-785+393+355</f>
        <v>1533</v>
      </c>
      <c r="C18" s="4">
        <v>222.5</v>
      </c>
      <c r="D18">
        <f t="shared" si="0"/>
        <v>341092.5</v>
      </c>
      <c r="E18" s="3">
        <f t="shared" si="1"/>
        <v>2.5718599482964864E-2</v>
      </c>
    </row>
    <row r="19" spans="1:5" x14ac:dyDescent="0.25">
      <c r="A19" t="s">
        <v>28</v>
      </c>
      <c r="B19" s="1">
        <f>419+419+838</f>
        <v>1676</v>
      </c>
      <c r="C19" s="4">
        <v>79.849999999999994</v>
      </c>
      <c r="D19">
        <f t="shared" si="0"/>
        <v>133828.59999999998</v>
      </c>
      <c r="E19" s="3">
        <f t="shared" si="1"/>
        <v>1.0090764712697908E-2</v>
      </c>
    </row>
    <row r="20" spans="1:5" x14ac:dyDescent="0.25">
      <c r="A20" t="s">
        <v>13</v>
      </c>
      <c r="B20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</f>
        <v>1.8239999999988488</v>
      </c>
      <c r="C20" s="4">
        <v>1000</v>
      </c>
      <c r="D20">
        <f t="shared" si="0"/>
        <v>1823.9999999988488</v>
      </c>
      <c r="E20" s="3">
        <f t="shared" si="1"/>
        <v>1.3753080310149976E-4</v>
      </c>
    </row>
    <row r="21" spans="1:5" x14ac:dyDescent="0.25">
      <c r="B21" s="1"/>
      <c r="E21" s="3"/>
    </row>
    <row r="22" spans="1:5" x14ac:dyDescent="0.25">
      <c r="B22" s="1"/>
      <c r="D22">
        <f>SUM(D5:D20)</f>
        <v>13262483.449999997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5BA6E-456E-4BEF-BE68-2522F4D4BEE9}">
  <sheetPr>
    <pageSetUpPr fitToPage="1"/>
  </sheetPr>
  <dimension ref="A1:J22"/>
  <sheetViews>
    <sheetView workbookViewId="0">
      <selection activeCell="B2" sqref="B2"/>
    </sheetView>
  </sheetViews>
  <sheetFormatPr defaultRowHeight="15" x14ac:dyDescent="0.25"/>
  <cols>
    <col min="1" max="1" width="17" bestFit="1" customWidth="1"/>
    <col min="2" max="2" width="16.85546875" customWidth="1"/>
    <col min="3" max="3" width="9.140625" style="4"/>
    <col min="4" max="4" width="12" bestFit="1" customWidth="1"/>
    <col min="5" max="5" width="11" customWidth="1"/>
    <col min="7" max="7" width="41.5703125" bestFit="1" customWidth="1"/>
    <col min="10" max="10" width="9.140625" style="4"/>
  </cols>
  <sheetData>
    <row r="1" spans="1:7" x14ac:dyDescent="0.25">
      <c r="A1" t="s">
        <v>0</v>
      </c>
      <c r="B1" s="2">
        <v>44196</v>
      </c>
      <c r="E1" s="3"/>
    </row>
    <row r="2" spans="1:7" x14ac:dyDescent="0.25">
      <c r="B2" s="1"/>
      <c r="E2" s="3"/>
    </row>
    <row r="3" spans="1:7" x14ac:dyDescent="0.25">
      <c r="A3" t="s">
        <v>1</v>
      </c>
      <c r="B3" s="1" t="s">
        <v>2</v>
      </c>
      <c r="C3" s="4" t="s">
        <v>3</v>
      </c>
      <c r="D3" t="s">
        <v>4</v>
      </c>
      <c r="E3" s="3" t="s">
        <v>5</v>
      </c>
      <c r="G3" t="s">
        <v>6</v>
      </c>
    </row>
    <row r="4" spans="1:7" x14ac:dyDescent="0.25">
      <c r="B4" s="1"/>
      <c r="E4" s="3"/>
    </row>
    <row r="5" spans="1:7" x14ac:dyDescent="0.25">
      <c r="A5" t="s">
        <v>7</v>
      </c>
      <c r="B5" s="1">
        <f>(840+420)*2+290+562</f>
        <v>3372</v>
      </c>
      <c r="C5" s="4">
        <v>296.60000000000002</v>
      </c>
      <c r="D5">
        <f t="shared" ref="D5:D20" si="0">C5*B5</f>
        <v>1000135.2000000001</v>
      </c>
      <c r="E5" s="3">
        <f t="shared" ref="E5:E20" si="1">D5/$D$22</f>
        <v>7.9274671401366931E-2</v>
      </c>
    </row>
    <row r="6" spans="1:7" x14ac:dyDescent="0.25">
      <c r="A6" t="s">
        <v>68</v>
      </c>
      <c r="B6" s="1">
        <f>130+126+33+57+173</f>
        <v>519</v>
      </c>
      <c r="C6" s="4">
        <v>2283.75</v>
      </c>
      <c r="D6">
        <f t="shared" si="0"/>
        <v>1185266.25</v>
      </c>
      <c r="E6" s="3">
        <f t="shared" si="1"/>
        <v>9.3948890601871046E-2</v>
      </c>
    </row>
    <row r="7" spans="1:7" x14ac:dyDescent="0.25">
      <c r="A7" t="s">
        <v>29</v>
      </c>
      <c r="B7" s="1">
        <f>1280+1280+1280+910+1300+1300+2940+1300</f>
        <v>11590</v>
      </c>
      <c r="C7" s="4">
        <v>86.25</v>
      </c>
      <c r="D7">
        <f t="shared" si="0"/>
        <v>999637.5</v>
      </c>
      <c r="E7" s="3">
        <f t="shared" si="1"/>
        <v>7.9235221731005889E-2</v>
      </c>
    </row>
    <row r="8" spans="1:7" x14ac:dyDescent="0.25">
      <c r="A8" t="s">
        <v>67</v>
      </c>
      <c r="B8" s="1">
        <f>170+299+235+280</f>
        <v>984</v>
      </c>
      <c r="C8" s="4">
        <v>740.6</v>
      </c>
      <c r="D8">
        <f t="shared" si="0"/>
        <v>728750.4</v>
      </c>
      <c r="E8" s="3">
        <f t="shared" si="1"/>
        <v>5.7763638849642231E-2</v>
      </c>
    </row>
    <row r="9" spans="1:7" x14ac:dyDescent="0.25">
      <c r="A9" t="s">
        <v>8</v>
      </c>
      <c r="B9" s="1">
        <f>1378+229+460+413+248-340-476-191-172-155</f>
        <v>1394</v>
      </c>
      <c r="C9" s="4">
        <v>1017.1</v>
      </c>
      <c r="D9">
        <f t="shared" si="0"/>
        <v>1417837.4000000001</v>
      </c>
      <c r="E9" s="3">
        <f t="shared" si="1"/>
        <v>0.11238339974992224</v>
      </c>
    </row>
    <row r="10" spans="1:7" x14ac:dyDescent="0.25">
      <c r="A10" t="s">
        <v>15</v>
      </c>
      <c r="B10" s="1">
        <f>2750+1375</f>
        <v>4125</v>
      </c>
      <c r="C10" s="4">
        <v>40.1</v>
      </c>
      <c r="D10">
        <f t="shared" si="0"/>
        <v>165412.5</v>
      </c>
      <c r="E10" s="3">
        <f t="shared" si="1"/>
        <v>1.3111248942321603E-2</v>
      </c>
    </row>
    <row r="11" spans="1:7" x14ac:dyDescent="0.25">
      <c r="A11" t="s">
        <v>32</v>
      </c>
      <c r="B11" s="1">
        <f>545-226</f>
        <v>319</v>
      </c>
      <c r="C11" s="4">
        <v>601.15</v>
      </c>
      <c r="D11">
        <f t="shared" si="0"/>
        <v>191766.85</v>
      </c>
      <c r="E11" s="3">
        <f t="shared" si="1"/>
        <v>1.5200198952526838E-2</v>
      </c>
    </row>
    <row r="12" spans="1:7" x14ac:dyDescent="0.25">
      <c r="A12" t="s">
        <v>103</v>
      </c>
      <c r="B12" s="1">
        <v>1727</v>
      </c>
      <c r="C12" s="4">
        <v>298.2</v>
      </c>
      <c r="D12">
        <f t="shared" si="0"/>
        <v>514991.39999999997</v>
      </c>
      <c r="E12" s="3">
        <f t="shared" si="1"/>
        <v>4.0820255111038893E-2</v>
      </c>
    </row>
    <row r="13" spans="1:7" x14ac:dyDescent="0.25">
      <c r="A13" t="s">
        <v>31</v>
      </c>
      <c r="B13" s="1">
        <v>570</v>
      </c>
      <c r="C13" s="4">
        <v>835.45</v>
      </c>
      <c r="D13">
        <f>C13*B13</f>
        <v>476206.5</v>
      </c>
      <c r="E13" s="3">
        <f t="shared" si="1"/>
        <v>3.7746010546069207E-2</v>
      </c>
    </row>
    <row r="14" spans="1:7" x14ac:dyDescent="0.25">
      <c r="A14" t="s">
        <v>30</v>
      </c>
      <c r="B14" s="1">
        <f>8384+5589+13973</f>
        <v>27946</v>
      </c>
      <c r="C14" s="4">
        <v>9</v>
      </c>
      <c r="D14">
        <f t="shared" si="0"/>
        <v>251514</v>
      </c>
      <c r="E14" s="3">
        <f t="shared" si="1"/>
        <v>1.9935994356406413E-2</v>
      </c>
    </row>
    <row r="15" spans="1:7" x14ac:dyDescent="0.25">
      <c r="A15" t="s">
        <v>39</v>
      </c>
      <c r="B15" s="1">
        <f>1000+1150+450+500+1000+900+900+500+160-656</f>
        <v>5904</v>
      </c>
      <c r="C15" s="4">
        <v>673.9</v>
      </c>
      <c r="D15">
        <f t="shared" si="0"/>
        <v>3978705.6</v>
      </c>
      <c r="E15" s="3">
        <f t="shared" si="1"/>
        <v>0.31536794129711504</v>
      </c>
    </row>
    <row r="16" spans="1:7" x14ac:dyDescent="0.25">
      <c r="A16" t="s">
        <v>38</v>
      </c>
      <c r="B16" s="1">
        <f>480+154+159+192</f>
        <v>985</v>
      </c>
      <c r="C16" s="4">
        <v>800.85</v>
      </c>
      <c r="D16">
        <f>C16*B16</f>
        <v>788837.25</v>
      </c>
      <c r="E16" s="3">
        <f t="shared" si="1"/>
        <v>6.2526360219006316E-2</v>
      </c>
    </row>
    <row r="17" spans="1:7" x14ac:dyDescent="0.25">
      <c r="A17" t="s">
        <v>11</v>
      </c>
      <c r="B17" s="1">
        <f>6886+2045-4465+4466+4466</f>
        <v>13398</v>
      </c>
      <c r="C17" s="4">
        <v>30.9</v>
      </c>
      <c r="D17">
        <f t="shared" si="0"/>
        <v>413998.19999999995</v>
      </c>
      <c r="E17" s="3">
        <f t="shared" si="1"/>
        <v>3.2815134659551409E-2</v>
      </c>
    </row>
    <row r="18" spans="1:7" x14ac:dyDescent="0.25">
      <c r="A18" t="s">
        <v>12</v>
      </c>
      <c r="B18" s="1">
        <f>920+319+331-785+393+355</f>
        <v>1533</v>
      </c>
      <c r="C18" s="4">
        <v>228.15</v>
      </c>
      <c r="D18">
        <f t="shared" si="0"/>
        <v>349753.95</v>
      </c>
      <c r="E18" s="3">
        <f t="shared" si="1"/>
        <v>2.7722881324025107E-2</v>
      </c>
    </row>
    <row r="19" spans="1:7" x14ac:dyDescent="0.25">
      <c r="A19" t="s">
        <v>28</v>
      </c>
      <c r="B19" s="1">
        <f>419+419+838</f>
        <v>1676</v>
      </c>
      <c r="C19" s="4">
        <v>88.65</v>
      </c>
      <c r="D19">
        <f t="shared" si="0"/>
        <v>148577.40000000002</v>
      </c>
      <c r="E19" s="3">
        <f t="shared" si="1"/>
        <v>1.1776832334937771E-2</v>
      </c>
    </row>
    <row r="20" spans="1:7" x14ac:dyDescent="0.25">
      <c r="A20" t="s">
        <v>13</v>
      </c>
      <c r="B20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</f>
        <v>4.6845999999988486</v>
      </c>
      <c r="C20" s="4">
        <v>1000</v>
      </c>
      <c r="D20">
        <f t="shared" si="0"/>
        <v>4684.5999999988489</v>
      </c>
      <c r="E20" s="3">
        <f t="shared" si="1"/>
        <v>3.7131992319313652E-4</v>
      </c>
      <c r="G20" t="s">
        <v>112</v>
      </c>
    </row>
    <row r="21" spans="1:7" x14ac:dyDescent="0.25">
      <c r="B21" s="1"/>
      <c r="E21" s="3"/>
    </row>
    <row r="22" spans="1:7" x14ac:dyDescent="0.25">
      <c r="B22" s="1"/>
      <c r="D22">
        <f>SUM(D5:D20)</f>
        <v>12616074.999999998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5"/>
  <dimension ref="A1:C16"/>
  <sheetViews>
    <sheetView workbookViewId="0">
      <selection activeCell="C16" sqref="C16"/>
    </sheetView>
  </sheetViews>
  <sheetFormatPr defaultRowHeight="15" x14ac:dyDescent="0.25"/>
  <cols>
    <col min="3" max="3" width="9.140625" style="4"/>
  </cols>
  <sheetData>
    <row r="1" spans="1:3" x14ac:dyDescent="0.25">
      <c r="A1" t="s">
        <v>111</v>
      </c>
    </row>
    <row r="3" spans="1:3" x14ac:dyDescent="0.25">
      <c r="A3" t="s">
        <v>16</v>
      </c>
      <c r="B3">
        <v>120172</v>
      </c>
      <c r="C3" s="4">
        <f>B3*0.003</f>
        <v>360.51600000000002</v>
      </c>
    </row>
    <row r="4" spans="1:3" x14ac:dyDescent="0.25">
      <c r="A4" t="s">
        <v>17</v>
      </c>
      <c r="B4">
        <v>27633</v>
      </c>
      <c r="C4" s="4">
        <f t="shared" ref="C4:C14" si="0">B4*0.003</f>
        <v>82.899000000000001</v>
      </c>
    </row>
    <row r="5" spans="1:3" x14ac:dyDescent="0.25">
      <c r="A5" t="s">
        <v>18</v>
      </c>
      <c r="B5">
        <v>889</v>
      </c>
      <c r="C5" s="4">
        <f t="shared" si="0"/>
        <v>2.6670000000000003</v>
      </c>
    </row>
    <row r="6" spans="1:3" x14ac:dyDescent="0.25">
      <c r="A6" t="s">
        <v>19</v>
      </c>
      <c r="B6">
        <v>144616</v>
      </c>
      <c r="C6" s="4">
        <f t="shared" si="0"/>
        <v>433.84800000000001</v>
      </c>
    </row>
    <row r="7" spans="1:3" x14ac:dyDescent="0.25">
      <c r="A7" t="s">
        <v>20</v>
      </c>
      <c r="B7">
        <v>144616</v>
      </c>
      <c r="C7" s="4">
        <f t="shared" si="0"/>
        <v>433.84800000000001</v>
      </c>
    </row>
    <row r="8" spans="1:3" x14ac:dyDescent="0.25">
      <c r="A8" t="s">
        <v>21</v>
      </c>
      <c r="B8">
        <v>1765</v>
      </c>
      <c r="C8" s="4">
        <f t="shared" si="0"/>
        <v>5.2949999999999999</v>
      </c>
    </row>
    <row r="9" spans="1:3" x14ac:dyDescent="0.25">
      <c r="A9" t="s">
        <v>22</v>
      </c>
      <c r="B9">
        <v>1765</v>
      </c>
      <c r="C9" s="4">
        <f t="shared" si="0"/>
        <v>5.2949999999999999</v>
      </c>
    </row>
    <row r="10" spans="1:3" x14ac:dyDescent="0.25">
      <c r="A10" t="s">
        <v>23</v>
      </c>
      <c r="B10">
        <v>31418</v>
      </c>
      <c r="C10" s="4">
        <f t="shared" si="0"/>
        <v>94.254000000000005</v>
      </c>
    </row>
    <row r="11" spans="1:3" x14ac:dyDescent="0.25">
      <c r="A11" t="s">
        <v>24</v>
      </c>
      <c r="B11">
        <v>298424</v>
      </c>
      <c r="C11" s="4">
        <f t="shared" si="0"/>
        <v>895.27200000000005</v>
      </c>
    </row>
    <row r="12" spans="1:3" x14ac:dyDescent="0.25">
      <c r="A12" t="s">
        <v>25</v>
      </c>
      <c r="B12">
        <v>178587</v>
      </c>
      <c r="C12" s="4">
        <f t="shared" si="0"/>
        <v>535.76099999999997</v>
      </c>
    </row>
    <row r="13" spans="1:3" x14ac:dyDescent="0.25">
      <c r="A13" t="s">
        <v>26</v>
      </c>
      <c r="B13">
        <v>1824</v>
      </c>
      <c r="C13" s="4">
        <f t="shared" si="0"/>
        <v>5.4720000000000004</v>
      </c>
    </row>
    <row r="14" spans="1:3" x14ac:dyDescent="0.25">
      <c r="A14" t="s">
        <v>27</v>
      </c>
      <c r="B14">
        <v>1824</v>
      </c>
      <c r="C14" s="4">
        <f t="shared" si="0"/>
        <v>5.4720000000000004</v>
      </c>
    </row>
    <row r="16" spans="1:3" x14ac:dyDescent="0.25">
      <c r="C16" s="4">
        <f>SUM(C3:C15)</f>
        <v>2860.5990000000006</v>
      </c>
    </row>
  </sheetData>
  <pageMargins left="0.7" right="0.7" top="0.75" bottom="0.75" header="0.3" footer="0.3"/>
  <pageSetup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6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01Jan20</vt:lpstr>
      <vt:lpstr>02Jan20</vt:lpstr>
      <vt:lpstr>13Jan20</vt:lpstr>
      <vt:lpstr>24Jan20</vt:lpstr>
      <vt:lpstr>06Feb20</vt:lpstr>
      <vt:lpstr>07Feb20</vt:lpstr>
      <vt:lpstr>12Feb20</vt:lpstr>
      <vt:lpstr>20Mar20</vt:lpstr>
      <vt:lpstr>03Apr20</vt:lpstr>
      <vt:lpstr>22Apr20</vt:lpstr>
      <vt:lpstr>01Jun20</vt:lpstr>
      <vt:lpstr>02Jun20</vt:lpstr>
      <vt:lpstr>08Jun20</vt:lpstr>
      <vt:lpstr>26Jun20</vt:lpstr>
      <vt:lpstr>05Aug20</vt:lpstr>
      <vt:lpstr>07Aug20</vt:lpstr>
      <vt:lpstr>10Aug20</vt:lpstr>
      <vt:lpstr>21Aug20</vt:lpstr>
      <vt:lpstr>28Aug20</vt:lpstr>
      <vt:lpstr>01Sep20</vt:lpstr>
      <vt:lpstr>03Sep20</vt:lpstr>
      <vt:lpstr>26Oct20</vt:lpstr>
      <vt:lpstr>28Oct20</vt:lpstr>
      <vt:lpstr>11Nov20</vt:lpstr>
      <vt:lpstr>09Dec20</vt:lpstr>
      <vt:lpstr>31Dec20</vt:lpstr>
      <vt:lpstr>Liquid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2021-05-19T18:20:33Z</dcterms:modified>
</cp:coreProperties>
</file>