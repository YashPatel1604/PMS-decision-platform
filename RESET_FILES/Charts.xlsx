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 defaultThemeVersion="124226"/>
  <xr:revisionPtr revIDLastSave="0" documentId="8_{DEFB3EAB-84EA-42B6-BDC6-96D98351E949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BhavCopy_NSE_CM" sheetId="1" r:id="rId1"/>
    <sheet name="Range " sheetId="2" r:id="rId2"/>
  </sheets>
  <definedNames>
    <definedName name="_xlnm._FilterDatabase" localSheetId="1" hidden="1">'Range '!$A$1:$X$1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653" i="1" l="1"/>
  <c r="A3652" i="1"/>
  <c r="A3651" i="1"/>
  <c r="A3650" i="1"/>
  <c r="A3649" i="1"/>
  <c r="A3648" i="1"/>
  <c r="A3647" i="1"/>
  <c r="A3646" i="1"/>
  <c r="A3645" i="1"/>
  <c r="A3644" i="1"/>
  <c r="A3643" i="1"/>
  <c r="A3642" i="1"/>
  <c r="A3641" i="1"/>
  <c r="A3640" i="1"/>
  <c r="A3639" i="1"/>
  <c r="A3638" i="1"/>
  <c r="A3637" i="1"/>
  <c r="A3636" i="1"/>
  <c r="A3635" i="1"/>
  <c r="A3634" i="1"/>
  <c r="A3633" i="1"/>
  <c r="A3632" i="1"/>
  <c r="A3631" i="1"/>
  <c r="A3630" i="1"/>
  <c r="A3629" i="1"/>
  <c r="A3628" i="1"/>
  <c r="A3627" i="1"/>
  <c r="A3626" i="1"/>
  <c r="A3625" i="1"/>
  <c r="A3624" i="1"/>
  <c r="A3623" i="1"/>
  <c r="A3622" i="1"/>
  <c r="A3621" i="1"/>
  <c r="A3620" i="1"/>
  <c r="A3619" i="1"/>
  <c r="A3618" i="1"/>
  <c r="A3617" i="1"/>
  <c r="A3616" i="1"/>
  <c r="A3615" i="1"/>
  <c r="A3614" i="1"/>
  <c r="A3613" i="1"/>
  <c r="A3612" i="1"/>
  <c r="A3611" i="1"/>
  <c r="A3610" i="1"/>
  <c r="A3609" i="1"/>
  <c r="A3608" i="1"/>
  <c r="A3607" i="1"/>
  <c r="A3606" i="1"/>
  <c r="A3605" i="1"/>
  <c r="A3604" i="1"/>
  <c r="A3603" i="1"/>
  <c r="A3602" i="1"/>
  <c r="A3601" i="1"/>
  <c r="A3600" i="1"/>
  <c r="A3599" i="1"/>
  <c r="A3598" i="1"/>
  <c r="A3597" i="1"/>
  <c r="A3596" i="1"/>
  <c r="A3595" i="1"/>
  <c r="A3594" i="1"/>
  <c r="A3593" i="1"/>
  <c r="A3592" i="1"/>
  <c r="A3591" i="1"/>
  <c r="A3590" i="1"/>
  <c r="A3589" i="1"/>
  <c r="A3588" i="1"/>
  <c r="A3587" i="1"/>
  <c r="A3586" i="1"/>
  <c r="A3585" i="1"/>
  <c r="A3584" i="1"/>
  <c r="A3583" i="1"/>
  <c r="A3582" i="1"/>
  <c r="A3581" i="1"/>
  <c r="A3580" i="1"/>
  <c r="A3579" i="1"/>
  <c r="A3578" i="1"/>
  <c r="A3577" i="1"/>
  <c r="A3576" i="1"/>
  <c r="A3575" i="1"/>
  <c r="A3574" i="1"/>
  <c r="A3573" i="1"/>
  <c r="A3572" i="1"/>
  <c r="A3571" i="1"/>
  <c r="A3570" i="1"/>
  <c r="A3569" i="1"/>
  <c r="A3568" i="1"/>
  <c r="A3567" i="1"/>
  <c r="A3566" i="1"/>
  <c r="A3565" i="1"/>
  <c r="A3564" i="1"/>
  <c r="A3563" i="1"/>
  <c r="A3562" i="1"/>
  <c r="A3561" i="1"/>
  <c r="A3560" i="1"/>
  <c r="A3559" i="1"/>
  <c r="A3558" i="1"/>
  <c r="A3557" i="1"/>
  <c r="A3556" i="1"/>
  <c r="A3555" i="1"/>
  <c r="A3554" i="1"/>
  <c r="A3553" i="1"/>
  <c r="A3552" i="1"/>
  <c r="A3551" i="1"/>
  <c r="A3550" i="1"/>
  <c r="A3549" i="1"/>
  <c r="A3548" i="1"/>
  <c r="A3547" i="1"/>
  <c r="A3546" i="1"/>
  <c r="A3545" i="1"/>
  <c r="A3544" i="1"/>
  <c r="A3543" i="1"/>
  <c r="A3542" i="1"/>
  <c r="A3541" i="1"/>
  <c r="A3540" i="1"/>
  <c r="A3539" i="1"/>
  <c r="A3538" i="1"/>
  <c r="A3537" i="1"/>
  <c r="A3536" i="1"/>
  <c r="A3535" i="1"/>
  <c r="A3534" i="1"/>
  <c r="A3533" i="1"/>
  <c r="A3532" i="1"/>
  <c r="A3531" i="1"/>
  <c r="A3530" i="1"/>
  <c r="A3529" i="1"/>
  <c r="A3528" i="1"/>
  <c r="A3527" i="1"/>
  <c r="A3526" i="1"/>
  <c r="A3525" i="1"/>
  <c r="A3524" i="1"/>
  <c r="A3523" i="1"/>
  <c r="A3522" i="1"/>
  <c r="A3521" i="1"/>
  <c r="A3520" i="1"/>
  <c r="A3519" i="1"/>
  <c r="A3518" i="1"/>
  <c r="A3517" i="1"/>
  <c r="A3516" i="1"/>
  <c r="A3515" i="1"/>
  <c r="A3514" i="1"/>
  <c r="A3513" i="1"/>
  <c r="A3512" i="1"/>
  <c r="A3511" i="1"/>
  <c r="A3510" i="1"/>
  <c r="A3509" i="1"/>
  <c r="A3508" i="1"/>
  <c r="A3507" i="1"/>
  <c r="A3506" i="1"/>
  <c r="A3505" i="1"/>
  <c r="A3504" i="1"/>
  <c r="A3503" i="1"/>
  <c r="A3502" i="1"/>
  <c r="A3501" i="1"/>
  <c r="A3500" i="1"/>
  <c r="A3499" i="1"/>
  <c r="A3498" i="1"/>
  <c r="A3497" i="1"/>
  <c r="A3496" i="1"/>
  <c r="A3495" i="1"/>
  <c r="A3494" i="1"/>
  <c r="A3493" i="1"/>
  <c r="A3492" i="1"/>
  <c r="A3491" i="1"/>
  <c r="A3490" i="1"/>
  <c r="A3489" i="1"/>
  <c r="A3488" i="1"/>
  <c r="A3487" i="1"/>
  <c r="A3486" i="1"/>
  <c r="A3485" i="1"/>
  <c r="A3484" i="1"/>
  <c r="A3483" i="1"/>
  <c r="A3482" i="1"/>
  <c r="A3481" i="1"/>
  <c r="A3480" i="1"/>
  <c r="A3479" i="1"/>
  <c r="A3478" i="1"/>
  <c r="A3477" i="1"/>
  <c r="A3476" i="1"/>
  <c r="A3475" i="1"/>
  <c r="A3474" i="1"/>
  <c r="A3473" i="1"/>
  <c r="A3472" i="1"/>
  <c r="A3471" i="1"/>
  <c r="A3470" i="1"/>
  <c r="A3469" i="1"/>
  <c r="A3468" i="1"/>
  <c r="A3467" i="1"/>
  <c r="A3466" i="1"/>
  <c r="A3465" i="1"/>
  <c r="A3464" i="1"/>
  <c r="A3463" i="1"/>
  <c r="A3462" i="1"/>
  <c r="A3461" i="1"/>
  <c r="A3460" i="1"/>
  <c r="A3459" i="1"/>
  <c r="A3458" i="1"/>
  <c r="A3457" i="1"/>
  <c r="A3456" i="1"/>
  <c r="A3455" i="1"/>
  <c r="A3454" i="1"/>
  <c r="A3453" i="1"/>
  <c r="A3452" i="1"/>
  <c r="A3451" i="1"/>
  <c r="A3450" i="1"/>
  <c r="A3449" i="1"/>
  <c r="A3448" i="1"/>
  <c r="A3447" i="1"/>
  <c r="A3446" i="1"/>
  <c r="A3445" i="1"/>
  <c r="A3444" i="1"/>
  <c r="A3443" i="1"/>
  <c r="A3442" i="1"/>
  <c r="A3441" i="1"/>
  <c r="A3440" i="1"/>
  <c r="A3439" i="1"/>
  <c r="A3438" i="1"/>
  <c r="A3437" i="1"/>
  <c r="A3436" i="1"/>
  <c r="A3435" i="1"/>
  <c r="A3434" i="1"/>
  <c r="A3433" i="1"/>
  <c r="A3432" i="1"/>
  <c r="A3431" i="1"/>
  <c r="A3430" i="1"/>
  <c r="A3429" i="1"/>
  <c r="A3428" i="1"/>
  <c r="A3427" i="1"/>
  <c r="A3426" i="1"/>
  <c r="A3425" i="1"/>
  <c r="A3424" i="1"/>
  <c r="A3423" i="1"/>
  <c r="A3422" i="1"/>
  <c r="A3421" i="1"/>
  <c r="A3420" i="1"/>
  <c r="A3419" i="1"/>
  <c r="A3418" i="1"/>
  <c r="A3417" i="1"/>
  <c r="A3416" i="1"/>
  <c r="A3415" i="1"/>
  <c r="A3414" i="1"/>
  <c r="A3413" i="1"/>
  <c r="A3412" i="1"/>
  <c r="A3411" i="1"/>
  <c r="A3410" i="1"/>
  <c r="A3409" i="1"/>
  <c r="A3408" i="1"/>
  <c r="A3407" i="1"/>
  <c r="A3406" i="1"/>
  <c r="A3405" i="1"/>
  <c r="A3404" i="1"/>
  <c r="A3403" i="1"/>
  <c r="A3402" i="1"/>
  <c r="A3401" i="1"/>
  <c r="A3400" i="1"/>
  <c r="A3399" i="1"/>
  <c r="A3398" i="1"/>
  <c r="A3397" i="1"/>
  <c r="A3396" i="1"/>
  <c r="A3395" i="1"/>
  <c r="A3394" i="1"/>
  <c r="A3393" i="1"/>
  <c r="A3392" i="1"/>
  <c r="A3391" i="1"/>
  <c r="A3390" i="1"/>
  <c r="A3389" i="1"/>
  <c r="A3388" i="1"/>
  <c r="A3387" i="1"/>
  <c r="A3386" i="1"/>
  <c r="A3385" i="1"/>
  <c r="A3384" i="1"/>
  <c r="A3383" i="1"/>
  <c r="A3382" i="1"/>
  <c r="A3381" i="1"/>
  <c r="A3380" i="1"/>
  <c r="A3379" i="1"/>
  <c r="A3378" i="1"/>
  <c r="A3377" i="1"/>
  <c r="A3376" i="1"/>
  <c r="A3375" i="1"/>
  <c r="A3374" i="1"/>
  <c r="A3373" i="1"/>
  <c r="A3372" i="1"/>
  <c r="A3371" i="1"/>
  <c r="A3370" i="1"/>
  <c r="A3369" i="1"/>
  <c r="A3368" i="1"/>
  <c r="A3367" i="1"/>
  <c r="A3366" i="1"/>
  <c r="A3365" i="1"/>
  <c r="A3364" i="1"/>
  <c r="A3363" i="1"/>
  <c r="A3362" i="1"/>
  <c r="A3361" i="1"/>
  <c r="A3360" i="1"/>
  <c r="A3359" i="1"/>
  <c r="A3358" i="1"/>
  <c r="A3357" i="1"/>
  <c r="A3356" i="1"/>
  <c r="A3355" i="1"/>
  <c r="A3354" i="1"/>
  <c r="A3353" i="1"/>
  <c r="A3352" i="1"/>
  <c r="A3351" i="1"/>
  <c r="A3350" i="1"/>
  <c r="A3349" i="1"/>
  <c r="A3348" i="1"/>
  <c r="A3347" i="1"/>
  <c r="A3346" i="1"/>
  <c r="A3345" i="1"/>
  <c r="A3344" i="1"/>
  <c r="A3343" i="1"/>
  <c r="A3342" i="1"/>
  <c r="A3341" i="1"/>
  <c r="A3340" i="1"/>
  <c r="A3339" i="1"/>
  <c r="A3338" i="1"/>
  <c r="A3337" i="1"/>
  <c r="A3336" i="1"/>
  <c r="A3335" i="1"/>
  <c r="A3334" i="1"/>
  <c r="A3333" i="1"/>
  <c r="A3332" i="1"/>
  <c r="A3331" i="1"/>
  <c r="A3330" i="1"/>
  <c r="A3329" i="1"/>
  <c r="A3328" i="1"/>
  <c r="A3327" i="1"/>
  <c r="A3326" i="1"/>
  <c r="A3325" i="1"/>
  <c r="A3324" i="1"/>
  <c r="A3323" i="1"/>
  <c r="A3322" i="1"/>
  <c r="A3321" i="1"/>
  <c r="A3320" i="1"/>
  <c r="A3319" i="1"/>
  <c r="A3318" i="1"/>
  <c r="A3317" i="1"/>
  <c r="A3316" i="1"/>
  <c r="A3315" i="1"/>
  <c r="A3314" i="1"/>
  <c r="A3313" i="1"/>
  <c r="A3312" i="1"/>
  <c r="A3311" i="1"/>
  <c r="A3310" i="1"/>
  <c r="A3309" i="1"/>
  <c r="A3308" i="1"/>
  <c r="A3307" i="1"/>
  <c r="A3306" i="1"/>
  <c r="A3305" i="1"/>
  <c r="A3304" i="1"/>
  <c r="A3303" i="1"/>
  <c r="A3302" i="1"/>
  <c r="A3301" i="1"/>
  <c r="A3300" i="1"/>
  <c r="A3299" i="1"/>
  <c r="A3298" i="1"/>
  <c r="A3297" i="1"/>
  <c r="A3296" i="1"/>
  <c r="A3295" i="1"/>
  <c r="A3294" i="1"/>
  <c r="A3293" i="1"/>
  <c r="A3292" i="1"/>
  <c r="A3291" i="1"/>
  <c r="A3290" i="1"/>
  <c r="A3289" i="1"/>
  <c r="A3288" i="1"/>
  <c r="A3287" i="1"/>
  <c r="A3286" i="1"/>
  <c r="A3285" i="1"/>
  <c r="A3284" i="1"/>
  <c r="A3283" i="1"/>
  <c r="A3282" i="1"/>
  <c r="A3281" i="1"/>
  <c r="A3280" i="1"/>
  <c r="A3279" i="1"/>
  <c r="A3278" i="1"/>
  <c r="A3277" i="1"/>
  <c r="A3276" i="1"/>
  <c r="A3275" i="1"/>
  <c r="A3274" i="1"/>
  <c r="A3273" i="1"/>
  <c r="A3272" i="1"/>
  <c r="A3271" i="1"/>
  <c r="A3270" i="1"/>
  <c r="A3269" i="1"/>
  <c r="A3268" i="1"/>
  <c r="A3267" i="1"/>
  <c r="A3266" i="1"/>
  <c r="A3265" i="1"/>
  <c r="A3264" i="1"/>
  <c r="A3263" i="1"/>
  <c r="A3262" i="1"/>
  <c r="A3261" i="1"/>
  <c r="A3260" i="1"/>
  <c r="A3259" i="1"/>
  <c r="A3258" i="1"/>
  <c r="A3257" i="1"/>
  <c r="A3256" i="1"/>
  <c r="A3255" i="1"/>
  <c r="A3254" i="1"/>
  <c r="A3253" i="1"/>
  <c r="A3252" i="1"/>
  <c r="A3251" i="1"/>
  <c r="A3250" i="1"/>
  <c r="A3249" i="1"/>
  <c r="A3248" i="1"/>
  <c r="A3247" i="1"/>
  <c r="A3246" i="1"/>
  <c r="A3245" i="1"/>
  <c r="A3244" i="1"/>
  <c r="A3243" i="1"/>
  <c r="A3242" i="1"/>
  <c r="A3241" i="1"/>
  <c r="A3240" i="1"/>
  <c r="A3239" i="1"/>
  <c r="A3238" i="1"/>
  <c r="A3237" i="1"/>
  <c r="A3236" i="1"/>
  <c r="A3235" i="1"/>
  <c r="A3234" i="1"/>
  <c r="A3233" i="1"/>
  <c r="A3232" i="1"/>
  <c r="A3231" i="1"/>
  <c r="A3230" i="1"/>
  <c r="A3229" i="1"/>
  <c r="A3228" i="1"/>
  <c r="A3227" i="1"/>
  <c r="A3226" i="1"/>
  <c r="A3225" i="1"/>
  <c r="A3224" i="1"/>
  <c r="A3223" i="1"/>
  <c r="A3222" i="1"/>
  <c r="A3221" i="1"/>
  <c r="A3220" i="1"/>
  <c r="A3219" i="1"/>
  <c r="A3218" i="1"/>
  <c r="A3217" i="1"/>
  <c r="A3216" i="1"/>
  <c r="A3215" i="1"/>
  <c r="A3214" i="1"/>
  <c r="A3213" i="1"/>
  <c r="A3212" i="1"/>
  <c r="A3211" i="1"/>
  <c r="A3210" i="1"/>
  <c r="A3209" i="1"/>
  <c r="A3208" i="1"/>
  <c r="A3207" i="1"/>
  <c r="A3206" i="1"/>
  <c r="A3205" i="1"/>
  <c r="A3204" i="1"/>
  <c r="A3203" i="1"/>
  <c r="A3202" i="1"/>
  <c r="A3201" i="1"/>
  <c r="A3200" i="1"/>
  <c r="A3199" i="1"/>
  <c r="A3198" i="1"/>
  <c r="A3197" i="1"/>
  <c r="A3196" i="1"/>
  <c r="A3195" i="1"/>
  <c r="A3194" i="1"/>
  <c r="A3193" i="1"/>
  <c r="A3192" i="1"/>
  <c r="A3191" i="1"/>
  <c r="A3190" i="1"/>
  <c r="A3189" i="1"/>
  <c r="A3188" i="1"/>
  <c r="A3187" i="1"/>
  <c r="A3186" i="1"/>
  <c r="A3185" i="1"/>
  <c r="A3184" i="1"/>
  <c r="A3183" i="1"/>
  <c r="A3182" i="1"/>
  <c r="A3181" i="1"/>
  <c r="A3180" i="1"/>
  <c r="A3179" i="1"/>
  <c r="A3178" i="1"/>
  <c r="A3177" i="1"/>
  <c r="A3176" i="1"/>
  <c r="A3175" i="1"/>
  <c r="A3174" i="1"/>
  <c r="A3173" i="1"/>
  <c r="A3172" i="1"/>
  <c r="A3171" i="1"/>
  <c r="A3170" i="1"/>
  <c r="A3169" i="1"/>
  <c r="A3168" i="1"/>
  <c r="A3167" i="1"/>
  <c r="A3166" i="1"/>
  <c r="A3165" i="1"/>
  <c r="A3164" i="1"/>
  <c r="A3163" i="1"/>
  <c r="A3162" i="1"/>
  <c r="A3161" i="1"/>
  <c r="A3160" i="1"/>
  <c r="A3159" i="1"/>
  <c r="A3158" i="1"/>
  <c r="A3157" i="1"/>
  <c r="A3156" i="1"/>
  <c r="A3155" i="1"/>
  <c r="A3154" i="1"/>
  <c r="A3153" i="1"/>
  <c r="A3152" i="1"/>
  <c r="A3151" i="1"/>
  <c r="A3150" i="1"/>
  <c r="A3149" i="1"/>
  <c r="A3148" i="1"/>
  <c r="A3147" i="1"/>
  <c r="A3146" i="1"/>
  <c r="A3145" i="1"/>
  <c r="A3144" i="1"/>
  <c r="A3143" i="1"/>
  <c r="A3142" i="1"/>
  <c r="A3141" i="1"/>
  <c r="A3140" i="1"/>
  <c r="A3139" i="1"/>
  <c r="A3138" i="1"/>
  <c r="A3137" i="1"/>
  <c r="A3136" i="1"/>
  <c r="A3135" i="1"/>
  <c r="A3134" i="1"/>
  <c r="A3133" i="1"/>
  <c r="A3132" i="1"/>
  <c r="A3131" i="1"/>
  <c r="A3130" i="1"/>
  <c r="A3129" i="1"/>
  <c r="A3128" i="1"/>
  <c r="A3127" i="1"/>
  <c r="A3126" i="1"/>
  <c r="A3125" i="1"/>
  <c r="A3124" i="1"/>
  <c r="A3123" i="1"/>
  <c r="A3122" i="1"/>
  <c r="A3121" i="1"/>
  <c r="A3120" i="1"/>
  <c r="A3119" i="1"/>
  <c r="A3118" i="1"/>
  <c r="A3117" i="1"/>
  <c r="A3116" i="1"/>
  <c r="A3115" i="1"/>
  <c r="A3114" i="1"/>
  <c r="A3113" i="1"/>
  <c r="A3112" i="1"/>
  <c r="A3111" i="1"/>
  <c r="A3110" i="1"/>
  <c r="A3109" i="1"/>
  <c r="A3108" i="1"/>
  <c r="A3107" i="1"/>
  <c r="A3106" i="1"/>
  <c r="A3105" i="1"/>
  <c r="A3104" i="1"/>
  <c r="A3103" i="1"/>
  <c r="A3102" i="1"/>
  <c r="A3101" i="1"/>
  <c r="A3100" i="1"/>
  <c r="A3099" i="1"/>
  <c r="A3098" i="1"/>
  <c r="A3097" i="1"/>
  <c r="A3096" i="1"/>
  <c r="A3095" i="1"/>
  <c r="A3094" i="1"/>
  <c r="A3093" i="1"/>
  <c r="A3092" i="1"/>
  <c r="A3091" i="1"/>
  <c r="A3090" i="1"/>
  <c r="A3089" i="1"/>
  <c r="A3088" i="1"/>
  <c r="A3087" i="1"/>
  <c r="A3086" i="1"/>
  <c r="A3085" i="1"/>
  <c r="A3084" i="1"/>
  <c r="A3083" i="1"/>
  <c r="A3082" i="1"/>
  <c r="A3081" i="1"/>
  <c r="A3080" i="1"/>
  <c r="A3079" i="1"/>
  <c r="A3078" i="1"/>
  <c r="A3077" i="1"/>
  <c r="A3076" i="1"/>
  <c r="A3075" i="1"/>
  <c r="A3074" i="1"/>
  <c r="A3073" i="1"/>
  <c r="A3072" i="1"/>
  <c r="A3071" i="1"/>
  <c r="A3070" i="1"/>
  <c r="A3069" i="1"/>
  <c r="A3068" i="1"/>
  <c r="A3067" i="1"/>
  <c r="A3066" i="1"/>
  <c r="A3065" i="1"/>
  <c r="A3064" i="1"/>
  <c r="A3063" i="1"/>
  <c r="A3062" i="1"/>
  <c r="A3061" i="1"/>
  <c r="A3060" i="1"/>
  <c r="A3059" i="1"/>
  <c r="A3058" i="1"/>
  <c r="A3057" i="1"/>
  <c r="A3056" i="1"/>
  <c r="A3055" i="1"/>
  <c r="A3054" i="1"/>
  <c r="A3053" i="1"/>
  <c r="A3052" i="1"/>
  <c r="A3051" i="1"/>
  <c r="A3050" i="1"/>
  <c r="A3049" i="1"/>
  <c r="A3048" i="1"/>
  <c r="A3047" i="1"/>
  <c r="A3046" i="1"/>
  <c r="A3045" i="1"/>
  <c r="A3044" i="1"/>
  <c r="A3043" i="1"/>
  <c r="A3042" i="1"/>
  <c r="A3041" i="1"/>
  <c r="A3040" i="1"/>
  <c r="A3039" i="1"/>
  <c r="A3038" i="1"/>
  <c r="A3037" i="1"/>
  <c r="A3036" i="1"/>
  <c r="A3035" i="1"/>
  <c r="A3034" i="1"/>
  <c r="A3033" i="1"/>
  <c r="A3032" i="1"/>
  <c r="A3031" i="1"/>
  <c r="A3030" i="1"/>
  <c r="A3029" i="1"/>
  <c r="A3028" i="1"/>
  <c r="A3027" i="1"/>
  <c r="A3026" i="1"/>
  <c r="A3025" i="1"/>
  <c r="A3024" i="1"/>
  <c r="A3023" i="1"/>
  <c r="A3022" i="1"/>
  <c r="A3021" i="1"/>
  <c r="A3020" i="1"/>
  <c r="A3019" i="1"/>
  <c r="A3018" i="1"/>
  <c r="A3017" i="1"/>
  <c r="A3016" i="1"/>
  <c r="A3015" i="1"/>
  <c r="A3014" i="1"/>
  <c r="A3013" i="1"/>
  <c r="A3012" i="1"/>
  <c r="A3011" i="1"/>
  <c r="A3010" i="1"/>
  <c r="A3009" i="1"/>
  <c r="A3008" i="1"/>
  <c r="A3007" i="1"/>
  <c r="A3006" i="1"/>
  <c r="A3005" i="1"/>
  <c r="A3004" i="1"/>
  <c r="A3003" i="1"/>
  <c r="A3002" i="1"/>
  <c r="A3001" i="1"/>
  <c r="A3000" i="1"/>
  <c r="A2999" i="1"/>
  <c r="A2998" i="1"/>
  <c r="A2997" i="1"/>
  <c r="A2996" i="1"/>
  <c r="A2995" i="1"/>
  <c r="A2994" i="1"/>
  <c r="A2993" i="1"/>
  <c r="A2992" i="1"/>
  <c r="A2991" i="1"/>
  <c r="A2990" i="1"/>
  <c r="A2989" i="1"/>
  <c r="A2988" i="1"/>
  <c r="A2987" i="1"/>
  <c r="A2986" i="1"/>
  <c r="A2985" i="1"/>
  <c r="A2984" i="1"/>
  <c r="A2983" i="1"/>
  <c r="A2982" i="1"/>
  <c r="A2981" i="1"/>
  <c r="A2980" i="1"/>
  <c r="A2979" i="1"/>
  <c r="A2978" i="1"/>
  <c r="A2977" i="1"/>
  <c r="A2976" i="1"/>
  <c r="A2975" i="1"/>
  <c r="A2974" i="1"/>
  <c r="A2973" i="1"/>
  <c r="A2972" i="1"/>
  <c r="A2971" i="1"/>
  <c r="A2970" i="1"/>
  <c r="A2969" i="1"/>
  <c r="A2968" i="1"/>
  <c r="A2967" i="1"/>
  <c r="A2966" i="1"/>
  <c r="A2965" i="1"/>
  <c r="A2964" i="1"/>
  <c r="A2963" i="1"/>
  <c r="A2962" i="1"/>
  <c r="A2961" i="1"/>
  <c r="A2960" i="1"/>
  <c r="A2959" i="1"/>
  <c r="A2958" i="1"/>
  <c r="A2957" i="1"/>
  <c r="A2956" i="1"/>
  <c r="A2955" i="1"/>
  <c r="A2954" i="1"/>
  <c r="A2953" i="1"/>
  <c r="A2952" i="1"/>
  <c r="A2951" i="1"/>
  <c r="A2950" i="1"/>
  <c r="A2949" i="1"/>
  <c r="A2948" i="1"/>
  <c r="A2947" i="1"/>
  <c r="A2946" i="1"/>
  <c r="A2945" i="1"/>
  <c r="A2944" i="1"/>
  <c r="A2943" i="1"/>
  <c r="A2942" i="1"/>
  <c r="A2941" i="1"/>
  <c r="A2940" i="1"/>
  <c r="A2939" i="1"/>
  <c r="A2938" i="1"/>
  <c r="A2937" i="1"/>
  <c r="A2936" i="1"/>
  <c r="A2935" i="1"/>
  <c r="A2934" i="1"/>
  <c r="A2933" i="1"/>
  <c r="A2932" i="1"/>
  <c r="A2931" i="1"/>
  <c r="A2930" i="1"/>
  <c r="A2929" i="1"/>
  <c r="A2928" i="1"/>
  <c r="A2927" i="1"/>
  <c r="A2926" i="1"/>
  <c r="A2925" i="1"/>
  <c r="A2924" i="1"/>
  <c r="A2923" i="1"/>
  <c r="A2922" i="1"/>
  <c r="A2921" i="1"/>
  <c r="A2920" i="1"/>
  <c r="A2919" i="1"/>
  <c r="A2918" i="1"/>
  <c r="A2917" i="1"/>
  <c r="A2916" i="1"/>
  <c r="A2915" i="1"/>
  <c r="A2914" i="1"/>
  <c r="A2913" i="1"/>
  <c r="A2912" i="1"/>
  <c r="A2911" i="1"/>
  <c r="A2910" i="1"/>
  <c r="A2909" i="1"/>
  <c r="A2908" i="1"/>
  <c r="A2907" i="1"/>
  <c r="A2906" i="1"/>
  <c r="A2905" i="1"/>
  <c r="A2904" i="1"/>
  <c r="A2903" i="1"/>
  <c r="A2902" i="1"/>
  <c r="A2901" i="1"/>
  <c r="A2900" i="1"/>
  <c r="A2899" i="1"/>
  <c r="A2898" i="1"/>
  <c r="A2897" i="1"/>
  <c r="A2896" i="1"/>
  <c r="A2895" i="1"/>
  <c r="A2894" i="1"/>
  <c r="A2893" i="1"/>
  <c r="A2892" i="1"/>
  <c r="A2891" i="1"/>
  <c r="A2890" i="1"/>
  <c r="A2889" i="1"/>
  <c r="A2888" i="1"/>
  <c r="A2887" i="1"/>
  <c r="A2886" i="1"/>
  <c r="A2885" i="1"/>
  <c r="A2884" i="1"/>
  <c r="A2883" i="1"/>
  <c r="A2882" i="1"/>
  <c r="A2881" i="1"/>
  <c r="A2880" i="1"/>
  <c r="A2879" i="1"/>
  <c r="A2878" i="1"/>
  <c r="A2877" i="1"/>
  <c r="A2876" i="1"/>
  <c r="A2875" i="1"/>
  <c r="A2874" i="1"/>
  <c r="A2873" i="1"/>
  <c r="A2872" i="1"/>
  <c r="A2871" i="1"/>
  <c r="A2870" i="1"/>
  <c r="A2869" i="1"/>
  <c r="A2868" i="1"/>
  <c r="A2867" i="1"/>
  <c r="A2866" i="1"/>
  <c r="A2865" i="1"/>
  <c r="A2864" i="1"/>
  <c r="A2863" i="1"/>
  <c r="A2862" i="1"/>
  <c r="A2861" i="1"/>
  <c r="A2860" i="1"/>
  <c r="A2859" i="1"/>
  <c r="A2858" i="1"/>
  <c r="A2857" i="1"/>
  <c r="A2856" i="1"/>
  <c r="A2855" i="1"/>
  <c r="A2854" i="1"/>
  <c r="A2853" i="1"/>
  <c r="A2852" i="1"/>
  <c r="A2851" i="1"/>
  <c r="A2850" i="1"/>
  <c r="A2849" i="1"/>
  <c r="A2848" i="1"/>
  <c r="A2847" i="1"/>
  <c r="A2846" i="1"/>
  <c r="A2845" i="1"/>
  <c r="A2844" i="1"/>
  <c r="A2843" i="1"/>
  <c r="A2842" i="1"/>
  <c r="A2841" i="1"/>
  <c r="A2840" i="1"/>
  <c r="A2839" i="1"/>
  <c r="A2838" i="1"/>
  <c r="A2837" i="1"/>
  <c r="A2836" i="1"/>
  <c r="A2835" i="1"/>
  <c r="A2834" i="1"/>
  <c r="A2833" i="1"/>
  <c r="A2832" i="1"/>
  <c r="A2831" i="1"/>
  <c r="A2830" i="1"/>
  <c r="A2829" i="1"/>
  <c r="A2828" i="1"/>
  <c r="A2827" i="1"/>
  <c r="A2826" i="1"/>
  <c r="A2825" i="1"/>
  <c r="A2824" i="1"/>
  <c r="A2823" i="1"/>
  <c r="A2822" i="1"/>
  <c r="A2821" i="1"/>
  <c r="A2820" i="1"/>
  <c r="A2819" i="1"/>
  <c r="A2818" i="1"/>
  <c r="A2817" i="1"/>
  <c r="A2816" i="1"/>
  <c r="A2815" i="1"/>
  <c r="A2814" i="1"/>
  <c r="A2813" i="1"/>
  <c r="A2812" i="1"/>
  <c r="A2811" i="1"/>
  <c r="A2810" i="1"/>
  <c r="A2809" i="1"/>
  <c r="A2808" i="1"/>
  <c r="A2807" i="1"/>
  <c r="A2806" i="1"/>
  <c r="A2805" i="1"/>
  <c r="A2804" i="1"/>
  <c r="A2803" i="1"/>
  <c r="A2802" i="1"/>
  <c r="A2801" i="1"/>
  <c r="A2800" i="1"/>
  <c r="A2799" i="1"/>
  <c r="A2798" i="1"/>
  <c r="A2797" i="1"/>
  <c r="A2796" i="1"/>
  <c r="A2795" i="1"/>
  <c r="A2794" i="1"/>
  <c r="A2793" i="1"/>
  <c r="A2792" i="1"/>
  <c r="A2791" i="1"/>
  <c r="A2790" i="1"/>
  <c r="A2789" i="1"/>
  <c r="A2788" i="1"/>
  <c r="A2787" i="1"/>
  <c r="A2786" i="1"/>
  <c r="A2785" i="1"/>
  <c r="A2784" i="1"/>
  <c r="A2783" i="1"/>
  <c r="A2782" i="1"/>
  <c r="A2781" i="1"/>
  <c r="A2780" i="1"/>
  <c r="A2779" i="1"/>
  <c r="A2778" i="1"/>
  <c r="A2777" i="1"/>
  <c r="A2776" i="1"/>
  <c r="A2775" i="1"/>
  <c r="A2774" i="1"/>
  <c r="A2773" i="1"/>
  <c r="A2772" i="1"/>
  <c r="A2771" i="1"/>
  <c r="A2770" i="1"/>
  <c r="A2769" i="1"/>
  <c r="A2768" i="1"/>
  <c r="A2767" i="1"/>
  <c r="A2766" i="1"/>
  <c r="A2765" i="1"/>
  <c r="A2764" i="1"/>
  <c r="A2763" i="1"/>
  <c r="A2762" i="1"/>
  <c r="A2761" i="1"/>
  <c r="A2760" i="1"/>
  <c r="A2759" i="1"/>
  <c r="A2758" i="1"/>
  <c r="A2757" i="1"/>
  <c r="A2756" i="1"/>
  <c r="A2755" i="1"/>
  <c r="A2754" i="1"/>
  <c r="A2753" i="1"/>
  <c r="A2752" i="1"/>
  <c r="A2751" i="1"/>
  <c r="A2750" i="1"/>
  <c r="A2749" i="1"/>
  <c r="A2748" i="1"/>
  <c r="A2747" i="1"/>
  <c r="A2746" i="1"/>
  <c r="A2745" i="1"/>
  <c r="A2744" i="1"/>
  <c r="A2743" i="1"/>
  <c r="A2742" i="1"/>
  <c r="A2741" i="1"/>
  <c r="A2740" i="1"/>
  <c r="A2739" i="1"/>
  <c r="A2738" i="1"/>
  <c r="A2737" i="1"/>
  <c r="A2736" i="1"/>
  <c r="A2735" i="1"/>
  <c r="A2734" i="1"/>
  <c r="A2733" i="1"/>
  <c r="A2732" i="1"/>
  <c r="A2731" i="1"/>
  <c r="A2730" i="1"/>
  <c r="A2729" i="1"/>
  <c r="A2728" i="1"/>
  <c r="A2727" i="1"/>
  <c r="A2726" i="1"/>
  <c r="A2725" i="1"/>
  <c r="A2724" i="1"/>
  <c r="A2723" i="1"/>
  <c r="A2722" i="1"/>
  <c r="A2721" i="1"/>
  <c r="A2720" i="1"/>
  <c r="A2719" i="1"/>
  <c r="A2718" i="1"/>
  <c r="A2717" i="1"/>
  <c r="A2716" i="1"/>
  <c r="A2715" i="1"/>
  <c r="A2714" i="1"/>
  <c r="A2713" i="1"/>
  <c r="A2712" i="1"/>
  <c r="A2711" i="1"/>
  <c r="A2710" i="1"/>
  <c r="A2709" i="1"/>
  <c r="A2708" i="1"/>
  <c r="A2707" i="1"/>
  <c r="A2706" i="1"/>
  <c r="A2705" i="1"/>
  <c r="A2704" i="1"/>
  <c r="A2703" i="1"/>
  <c r="A2702" i="1"/>
  <c r="A2701" i="1"/>
  <c r="A2700" i="1"/>
  <c r="A2699" i="1"/>
  <c r="A2698" i="1"/>
  <c r="A2697" i="1"/>
  <c r="A2696" i="1"/>
  <c r="A2695" i="1"/>
  <c r="A2694" i="1"/>
  <c r="A2693" i="1"/>
  <c r="A2692" i="1"/>
  <c r="A2691" i="1"/>
  <c r="A2690" i="1"/>
  <c r="A2689" i="1"/>
  <c r="A2688" i="1"/>
  <c r="A2687" i="1"/>
  <c r="A2686" i="1"/>
  <c r="A2685" i="1"/>
  <c r="A2684" i="1"/>
  <c r="A2683" i="1"/>
  <c r="A2682" i="1"/>
  <c r="A2681" i="1"/>
  <c r="A2680" i="1"/>
  <c r="A2679" i="1"/>
  <c r="A2678" i="1"/>
  <c r="A2677" i="1"/>
  <c r="A2676" i="1"/>
  <c r="A2675" i="1"/>
  <c r="A2674" i="1"/>
  <c r="A2673" i="1"/>
  <c r="A2672" i="1"/>
  <c r="A2671" i="1"/>
  <c r="A2670" i="1"/>
  <c r="A2669" i="1"/>
  <c r="A2668" i="1"/>
  <c r="A2667" i="1"/>
  <c r="A2666" i="1"/>
  <c r="A2665" i="1"/>
  <c r="A2664" i="1"/>
  <c r="A2663" i="1"/>
  <c r="A2662" i="1"/>
  <c r="A2661" i="1"/>
  <c r="A2660" i="1"/>
  <c r="A2659" i="1"/>
  <c r="A2658" i="1"/>
  <c r="A2657" i="1"/>
  <c r="A2656" i="1"/>
  <c r="A2655" i="1"/>
  <c r="A2654" i="1"/>
  <c r="A2653" i="1"/>
  <c r="A2652" i="1"/>
  <c r="A2651" i="1"/>
  <c r="A2650" i="1"/>
  <c r="A2649" i="1"/>
  <c r="A2648" i="1"/>
  <c r="A2647" i="1"/>
  <c r="A2646" i="1"/>
  <c r="A2645" i="1"/>
  <c r="A2644" i="1"/>
  <c r="A2643" i="1"/>
  <c r="A2642" i="1"/>
  <c r="A2641" i="1"/>
  <c r="A2640" i="1"/>
  <c r="A2639" i="1"/>
  <c r="A2638" i="1"/>
  <c r="A2637" i="1"/>
  <c r="A2636" i="1"/>
  <c r="A2635" i="1"/>
  <c r="A2634" i="1"/>
  <c r="A2633" i="1"/>
  <c r="A2632" i="1"/>
  <c r="A2631" i="1"/>
  <c r="A2630" i="1"/>
  <c r="A2629" i="1"/>
  <c r="A2628" i="1"/>
  <c r="A2627" i="1"/>
  <c r="A2626" i="1"/>
  <c r="A2625" i="1"/>
  <c r="A2624" i="1"/>
  <c r="A2623" i="1"/>
  <c r="A2622" i="1"/>
  <c r="A2621" i="1"/>
  <c r="A2620" i="1"/>
  <c r="A2619" i="1"/>
  <c r="A2618" i="1"/>
  <c r="A2617" i="1"/>
  <c r="A2616" i="1"/>
  <c r="A2615" i="1"/>
  <c r="A2614" i="1"/>
  <c r="A2613" i="1"/>
  <c r="A2612" i="1"/>
  <c r="A2611" i="1"/>
  <c r="A2610" i="1"/>
  <c r="A2609" i="1"/>
  <c r="A2608" i="1"/>
  <c r="A2607" i="1"/>
  <c r="A2606" i="1"/>
  <c r="A2605" i="1"/>
  <c r="A2604" i="1"/>
  <c r="A2603" i="1"/>
  <c r="A2602" i="1"/>
  <c r="A2601" i="1"/>
  <c r="A2600" i="1"/>
  <c r="A2599" i="1"/>
  <c r="A2598" i="1"/>
  <c r="A2597" i="1"/>
  <c r="A2596" i="1"/>
  <c r="A2595" i="1"/>
  <c r="A2594" i="1"/>
  <c r="A2593" i="1"/>
  <c r="A2592" i="1"/>
  <c r="A2591" i="1"/>
  <c r="A2590" i="1"/>
  <c r="A2589" i="1"/>
  <c r="A2588" i="1"/>
  <c r="A2587" i="1"/>
  <c r="A2586" i="1"/>
  <c r="A2585" i="1"/>
  <c r="A2584" i="1"/>
  <c r="A2583" i="1"/>
  <c r="A2582" i="1"/>
  <c r="A2581" i="1"/>
  <c r="A2580" i="1"/>
  <c r="A2579" i="1"/>
  <c r="A2578" i="1"/>
  <c r="A2577" i="1"/>
  <c r="A2576" i="1"/>
  <c r="A2575" i="1"/>
  <c r="A2574" i="1"/>
  <c r="A2573" i="1"/>
  <c r="A2572" i="1"/>
  <c r="A2571" i="1"/>
  <c r="A2570" i="1"/>
  <c r="A2569" i="1"/>
  <c r="A2568" i="1"/>
  <c r="A2567" i="1"/>
  <c r="A2566" i="1"/>
  <c r="A2565" i="1"/>
  <c r="A2564" i="1"/>
  <c r="A2563" i="1"/>
  <c r="A2562" i="1"/>
  <c r="A2561" i="1"/>
  <c r="A2560" i="1"/>
  <c r="A2559" i="1"/>
  <c r="A2558" i="1"/>
  <c r="A2557" i="1"/>
  <c r="A2556" i="1"/>
  <c r="A2555" i="1"/>
  <c r="A2554" i="1"/>
  <c r="A2553" i="1"/>
  <c r="A2552" i="1"/>
  <c r="A2551" i="1"/>
  <c r="A2550" i="1"/>
  <c r="A2549" i="1"/>
  <c r="A2548" i="1"/>
  <c r="A2547" i="1"/>
  <c r="A2546" i="1"/>
  <c r="A2545" i="1"/>
  <c r="A2544" i="1"/>
  <c r="A2543" i="1"/>
  <c r="A2542" i="1"/>
  <c r="A2541" i="1"/>
  <c r="A2540" i="1"/>
  <c r="A2539" i="1"/>
  <c r="A2538" i="1"/>
  <c r="A2537" i="1"/>
  <c r="A2536" i="1"/>
  <c r="A2535" i="1"/>
  <c r="A2534" i="1"/>
  <c r="A2533" i="1"/>
  <c r="A2532" i="1"/>
  <c r="A2531" i="1"/>
  <c r="A2530" i="1"/>
  <c r="A2529" i="1"/>
  <c r="A2528" i="1"/>
  <c r="A2527" i="1"/>
  <c r="A2526" i="1"/>
  <c r="A2525" i="1"/>
  <c r="A2524" i="1"/>
  <c r="A2523" i="1"/>
  <c r="A2522" i="1"/>
  <c r="A2521" i="1"/>
  <c r="A2520" i="1"/>
  <c r="A2519" i="1"/>
  <c r="A2518" i="1"/>
  <c r="A2517" i="1"/>
  <c r="A2516" i="1"/>
  <c r="A2515" i="1"/>
  <c r="A2514" i="1"/>
  <c r="A2513" i="1"/>
  <c r="A2512" i="1"/>
  <c r="A2511" i="1"/>
  <c r="A2510" i="1"/>
  <c r="A2509" i="1"/>
  <c r="A2508" i="1"/>
  <c r="A2507" i="1"/>
  <c r="A2506" i="1"/>
  <c r="A2505" i="1"/>
  <c r="A2504" i="1"/>
  <c r="A2503" i="1"/>
  <c r="A2502" i="1"/>
  <c r="A2501" i="1"/>
  <c r="A2500" i="1"/>
  <c r="A2499" i="1"/>
  <c r="A2498" i="1"/>
  <c r="A2497" i="1"/>
  <c r="A2496" i="1"/>
  <c r="A2495" i="1"/>
  <c r="A2494" i="1"/>
  <c r="A2493" i="1"/>
  <c r="A2492" i="1"/>
  <c r="A2491" i="1"/>
  <c r="A2490" i="1"/>
  <c r="A2489" i="1"/>
  <c r="A2488" i="1"/>
  <c r="A2487" i="1"/>
  <c r="A2486" i="1"/>
  <c r="A2485" i="1"/>
  <c r="A2484" i="1"/>
  <c r="A2483" i="1"/>
  <c r="A2482" i="1"/>
  <c r="A2481" i="1"/>
  <c r="A2480" i="1"/>
  <c r="A2479" i="1"/>
  <c r="A2478" i="1"/>
  <c r="A2477" i="1"/>
  <c r="A2476" i="1"/>
  <c r="A2475" i="1"/>
  <c r="A2474" i="1"/>
  <c r="A2473" i="1"/>
  <c r="A2472" i="1"/>
  <c r="A2471" i="1"/>
  <c r="A2470" i="1"/>
  <c r="A2469" i="1"/>
  <c r="A2468" i="1"/>
  <c r="A2467" i="1"/>
  <c r="A2466" i="1"/>
  <c r="A2465" i="1"/>
  <c r="A2464" i="1"/>
  <c r="A2463" i="1"/>
  <c r="A2462" i="1"/>
  <c r="A2461" i="1"/>
  <c r="A2460" i="1"/>
  <c r="A2459" i="1"/>
  <c r="A2458" i="1"/>
  <c r="A2457" i="1"/>
  <c r="A2456" i="1"/>
  <c r="A2455" i="1"/>
  <c r="A2454" i="1"/>
  <c r="A2453" i="1"/>
  <c r="A2452" i="1"/>
  <c r="A2451" i="1"/>
  <c r="A2450" i="1"/>
  <c r="A2449" i="1"/>
  <c r="A2448" i="1"/>
  <c r="A2447" i="1"/>
  <c r="A2446" i="1"/>
  <c r="A2445" i="1"/>
  <c r="A2444" i="1"/>
  <c r="A2443" i="1"/>
  <c r="A2442" i="1"/>
  <c r="A2441" i="1"/>
  <c r="A2440" i="1"/>
  <c r="A2439" i="1"/>
  <c r="A2438" i="1"/>
  <c r="A2437" i="1"/>
  <c r="A2436" i="1"/>
  <c r="A2435" i="1"/>
  <c r="A2434" i="1"/>
  <c r="A2433" i="1"/>
  <c r="A2432" i="1"/>
  <c r="A2431" i="1"/>
  <c r="A2430" i="1"/>
  <c r="A2429" i="1"/>
  <c r="A2428" i="1"/>
  <c r="A2427" i="1"/>
  <c r="A2426" i="1"/>
  <c r="A2425" i="1"/>
  <c r="A2424" i="1"/>
  <c r="A2423" i="1"/>
  <c r="A2422" i="1"/>
  <c r="A2421" i="1"/>
  <c r="A2420" i="1"/>
  <c r="A2419" i="1"/>
  <c r="A2418" i="1"/>
  <c r="A2417" i="1"/>
  <c r="A2416" i="1"/>
  <c r="A2415" i="1"/>
  <c r="A2414" i="1"/>
  <c r="A2413" i="1"/>
  <c r="A2412" i="1"/>
  <c r="A2411" i="1"/>
  <c r="A2410" i="1"/>
  <c r="A2409" i="1"/>
  <c r="A2408" i="1"/>
  <c r="A2407" i="1"/>
  <c r="A2406" i="1"/>
  <c r="A2405" i="1"/>
  <c r="A2404" i="1"/>
  <c r="A2403" i="1"/>
  <c r="A2402" i="1"/>
  <c r="A2401" i="1"/>
  <c r="A2400" i="1"/>
  <c r="A2399" i="1"/>
  <c r="A2398" i="1"/>
  <c r="A2397" i="1"/>
  <c r="A2396" i="1"/>
  <c r="A2395" i="1"/>
  <c r="A2394" i="1"/>
  <c r="A2393" i="1"/>
  <c r="A2392" i="1"/>
  <c r="A2391" i="1"/>
  <c r="A2390" i="1"/>
  <c r="A2389" i="1"/>
  <c r="A2388" i="1"/>
  <c r="A2387" i="1"/>
  <c r="A2386" i="1"/>
  <c r="A2385" i="1"/>
  <c r="A2384" i="1"/>
  <c r="A2383" i="1"/>
  <c r="A2382" i="1"/>
  <c r="A2381" i="1"/>
  <c r="A2380" i="1"/>
  <c r="A2379" i="1"/>
  <c r="A2378" i="1"/>
  <c r="A2377" i="1"/>
  <c r="A2376" i="1"/>
  <c r="A2375" i="1"/>
  <c r="A2374" i="1"/>
  <c r="A2373" i="1"/>
  <c r="A2372" i="1"/>
  <c r="A2371" i="1"/>
  <c r="A2370" i="1"/>
  <c r="A2369" i="1"/>
  <c r="A2368" i="1"/>
  <c r="A2367" i="1"/>
  <c r="A2366" i="1"/>
  <c r="A2365" i="1"/>
  <c r="A2364" i="1"/>
  <c r="A2363" i="1"/>
  <c r="A2362" i="1"/>
  <c r="A2361" i="1"/>
  <c r="A2360" i="1"/>
  <c r="A2359" i="1"/>
  <c r="A2358" i="1"/>
  <c r="A2357" i="1"/>
  <c r="A2356" i="1"/>
  <c r="A2355" i="1"/>
  <c r="A2354" i="1"/>
  <c r="A2353" i="1"/>
  <c r="A2352" i="1"/>
  <c r="A2351" i="1"/>
  <c r="A2350" i="1"/>
  <c r="A2349" i="1"/>
  <c r="A2348" i="1"/>
  <c r="A2347" i="1"/>
  <c r="A2346" i="1"/>
  <c r="A2345" i="1"/>
  <c r="A2344" i="1"/>
  <c r="A2343" i="1"/>
  <c r="A2342" i="1"/>
  <c r="A2341" i="1"/>
  <c r="A2340" i="1"/>
  <c r="A2339" i="1"/>
  <c r="A2338" i="1"/>
  <c r="A2337" i="1"/>
  <c r="A2336" i="1"/>
  <c r="A2335" i="1"/>
  <c r="A2334" i="1"/>
  <c r="A2333" i="1"/>
  <c r="A2332" i="1"/>
  <c r="A2331" i="1"/>
  <c r="A2330" i="1"/>
  <c r="A2329" i="1"/>
  <c r="A2328" i="1"/>
  <c r="A2327" i="1"/>
  <c r="A2326" i="1"/>
  <c r="A2325" i="1"/>
  <c r="A2324" i="1"/>
  <c r="A2323" i="1"/>
  <c r="A2322" i="1"/>
  <c r="A2321" i="1"/>
  <c r="A2320" i="1"/>
  <c r="A2319" i="1"/>
  <c r="A2318" i="1"/>
  <c r="A2317" i="1"/>
  <c r="A2316" i="1"/>
  <c r="A2315" i="1"/>
  <c r="A2314" i="1"/>
  <c r="A2313" i="1"/>
  <c r="A2312" i="1"/>
  <c r="A2311" i="1"/>
  <c r="A2310" i="1"/>
  <c r="A2309" i="1"/>
  <c r="A2308" i="1"/>
  <c r="A2307" i="1"/>
  <c r="A2306" i="1"/>
  <c r="A2305" i="1"/>
  <c r="A2304" i="1"/>
  <c r="A2303" i="1"/>
  <c r="A2302" i="1"/>
  <c r="A2301" i="1"/>
  <c r="A2300" i="1"/>
  <c r="A2299" i="1"/>
  <c r="A2298" i="1"/>
  <c r="A2297" i="1"/>
  <c r="A2296" i="1"/>
  <c r="A2295" i="1"/>
  <c r="A2294" i="1"/>
  <c r="A2293" i="1"/>
  <c r="A2292" i="1"/>
  <c r="A2291" i="1"/>
  <c r="A2290" i="1"/>
  <c r="A2289" i="1"/>
  <c r="A2288" i="1"/>
  <c r="A2287" i="1"/>
  <c r="A2286" i="1"/>
  <c r="A2285" i="1"/>
  <c r="A2284" i="1"/>
  <c r="A2283" i="1"/>
  <c r="A2282" i="1"/>
  <c r="A2281" i="1"/>
  <c r="A2280" i="1"/>
  <c r="A2279" i="1"/>
  <c r="A2278" i="1"/>
  <c r="A2277" i="1"/>
  <c r="A2276" i="1"/>
  <c r="A2275" i="1"/>
  <c r="A2274" i="1"/>
  <c r="A2273" i="1"/>
  <c r="A2272" i="1"/>
  <c r="A2271" i="1"/>
  <c r="A2270" i="1"/>
  <c r="A2269" i="1"/>
  <c r="A2268" i="1"/>
  <c r="A2267" i="1"/>
  <c r="A2266" i="1"/>
  <c r="A2265" i="1"/>
  <c r="A2264" i="1"/>
  <c r="A2263" i="1"/>
  <c r="A2262" i="1"/>
  <c r="A2261" i="1"/>
  <c r="A2260" i="1"/>
  <c r="A2259" i="1"/>
  <c r="A2258" i="1"/>
  <c r="A2257" i="1"/>
  <c r="A2256" i="1"/>
  <c r="A2255" i="1"/>
  <c r="A2254" i="1"/>
  <c r="A2253" i="1"/>
  <c r="A2252" i="1"/>
  <c r="A2251" i="1"/>
  <c r="A2250" i="1"/>
  <c r="A2249" i="1"/>
  <c r="A2248" i="1"/>
  <c r="A2247" i="1"/>
  <c r="A2246" i="1"/>
  <c r="A2245" i="1"/>
  <c r="A2244" i="1"/>
  <c r="A2243" i="1"/>
  <c r="A2242" i="1"/>
  <c r="A2241" i="1"/>
  <c r="A2240" i="1"/>
  <c r="A2239" i="1"/>
  <c r="A2238" i="1"/>
  <c r="A2237" i="1"/>
  <c r="A2236" i="1"/>
  <c r="A2235" i="1"/>
  <c r="A2234" i="1"/>
  <c r="A2233" i="1"/>
  <c r="A2232" i="1"/>
  <c r="A2231" i="1"/>
  <c r="A2230" i="1"/>
  <c r="A2229" i="1"/>
  <c r="A2228" i="1"/>
  <c r="A2227" i="1"/>
  <c r="A2226" i="1"/>
  <c r="A2225" i="1"/>
  <c r="A2224" i="1"/>
  <c r="A2223" i="1"/>
  <c r="A2222" i="1"/>
  <c r="A2221" i="1"/>
  <c r="A2220" i="1"/>
  <c r="A2219" i="1"/>
  <c r="A2218" i="1"/>
  <c r="A2217" i="1"/>
  <c r="A2216" i="1"/>
  <c r="A2215" i="1"/>
  <c r="A2214" i="1"/>
  <c r="A2213" i="1"/>
  <c r="A2212" i="1"/>
  <c r="A2211" i="1"/>
  <c r="A2210" i="1"/>
  <c r="A2209" i="1"/>
  <c r="A2208" i="1"/>
  <c r="A2207" i="1"/>
  <c r="A2206" i="1"/>
  <c r="A2205" i="1"/>
  <c r="A2204" i="1"/>
  <c r="A2203" i="1"/>
  <c r="A2202" i="1"/>
  <c r="A2201" i="1"/>
  <c r="A2200" i="1"/>
  <c r="A2199" i="1"/>
  <c r="A2198" i="1"/>
  <c r="A2197" i="1"/>
  <c r="A2196" i="1"/>
  <c r="A2195" i="1"/>
  <c r="A2194" i="1"/>
  <c r="A2193" i="1"/>
  <c r="A2192" i="1"/>
  <c r="A2191" i="1"/>
  <c r="A2190" i="1"/>
  <c r="A2189" i="1"/>
  <c r="A2188" i="1"/>
  <c r="A2187" i="1"/>
  <c r="A2186" i="1"/>
  <c r="A2185" i="1"/>
  <c r="A2184" i="1"/>
  <c r="A2183" i="1"/>
  <c r="A2182" i="1"/>
  <c r="A2181" i="1"/>
  <c r="A2180" i="1"/>
  <c r="A2179" i="1"/>
  <c r="A2178" i="1"/>
  <c r="A2177" i="1"/>
  <c r="A2176" i="1"/>
  <c r="A2175" i="1"/>
  <c r="A2174" i="1"/>
  <c r="A2173" i="1"/>
  <c r="A2172" i="1"/>
  <c r="A2171" i="1"/>
  <c r="A2170" i="1"/>
  <c r="A2169" i="1"/>
  <c r="A2168" i="1"/>
  <c r="A2167" i="1"/>
  <c r="A2166" i="1"/>
  <c r="A2165" i="1"/>
  <c r="A2164" i="1"/>
  <c r="A2163" i="1"/>
  <c r="A2162" i="1"/>
  <c r="A2161" i="1"/>
  <c r="A2160" i="1"/>
  <c r="A2159" i="1"/>
  <c r="A2158" i="1"/>
  <c r="A2157" i="1"/>
  <c r="A2156" i="1"/>
  <c r="A2155" i="1"/>
  <c r="A2154" i="1"/>
  <c r="A2153" i="1"/>
  <c r="A2152" i="1"/>
  <c r="A2151" i="1"/>
  <c r="A2150" i="1"/>
  <c r="A2149" i="1"/>
  <c r="A2148" i="1"/>
  <c r="A2147" i="1"/>
  <c r="A2146" i="1"/>
  <c r="A2145" i="1"/>
  <c r="A2144" i="1"/>
  <c r="A2143" i="1"/>
  <c r="A2142" i="1"/>
  <c r="A2141" i="1"/>
  <c r="A2140" i="1"/>
  <c r="A2139" i="1"/>
  <c r="A2138" i="1"/>
  <c r="A2137" i="1"/>
  <c r="A2136" i="1"/>
  <c r="A2135" i="1"/>
  <c r="A2134" i="1"/>
  <c r="A2133" i="1"/>
  <c r="A2132" i="1"/>
  <c r="A2131" i="1"/>
  <c r="A2130" i="1"/>
  <c r="A2129" i="1"/>
  <c r="A2128" i="1"/>
  <c r="A2127" i="1"/>
  <c r="A2126" i="1"/>
  <c r="A2125" i="1"/>
  <c r="A2124" i="1"/>
  <c r="A2123" i="1"/>
  <c r="A2122" i="1"/>
  <c r="A2121" i="1"/>
  <c r="A2120" i="1"/>
  <c r="A2119" i="1"/>
  <c r="A2118" i="1"/>
  <c r="A2117" i="1"/>
  <c r="A2116" i="1"/>
  <c r="A2115" i="1"/>
  <c r="A2114" i="1"/>
  <c r="A2113" i="1"/>
  <c r="A2112" i="1"/>
  <c r="A2111" i="1"/>
  <c r="A2110" i="1"/>
  <c r="A2109" i="1"/>
  <c r="A2108" i="1"/>
  <c r="A2107" i="1"/>
  <c r="A2106" i="1"/>
  <c r="A2105" i="1"/>
  <c r="A2104" i="1"/>
  <c r="A2103" i="1"/>
  <c r="A2102" i="1"/>
  <c r="A2101" i="1"/>
  <c r="A2100" i="1"/>
  <c r="A2099" i="1"/>
  <c r="A2098" i="1"/>
  <c r="A2097" i="1"/>
  <c r="A2096" i="1"/>
  <c r="A2095" i="1"/>
  <c r="A2094" i="1"/>
  <c r="A2093" i="1"/>
  <c r="A2092" i="1"/>
  <c r="A2091" i="1"/>
  <c r="A2090" i="1"/>
  <c r="A2089" i="1"/>
  <c r="A2088" i="1"/>
  <c r="A2087" i="1"/>
  <c r="A2086" i="1"/>
  <c r="A2085" i="1"/>
  <c r="A2084" i="1"/>
  <c r="A2083" i="1"/>
  <c r="A2082" i="1"/>
  <c r="A2081" i="1"/>
  <c r="A2080" i="1"/>
  <c r="A2079" i="1"/>
  <c r="A2078" i="1"/>
  <c r="A2077" i="1"/>
  <c r="A2076" i="1"/>
  <c r="A2075" i="1"/>
  <c r="A2074" i="1"/>
  <c r="A2073" i="1"/>
  <c r="A2072" i="1"/>
  <c r="A2071" i="1"/>
  <c r="A2070" i="1"/>
  <c r="A2069" i="1"/>
  <c r="A2068" i="1"/>
  <c r="A2067" i="1"/>
  <c r="A2066" i="1"/>
  <c r="A2065" i="1"/>
  <c r="A2064" i="1"/>
  <c r="A2063" i="1"/>
  <c r="A2062" i="1"/>
  <c r="A2061" i="1"/>
  <c r="A2060" i="1"/>
  <c r="A2059" i="1"/>
  <c r="A2058" i="1"/>
  <c r="A2057" i="1"/>
  <c r="A2056" i="1"/>
  <c r="A2055" i="1"/>
  <c r="A2054" i="1"/>
  <c r="A2053" i="1"/>
  <c r="A2052" i="1"/>
  <c r="A2051" i="1"/>
  <c r="A2050" i="1"/>
  <c r="A2049" i="1"/>
  <c r="A2048" i="1"/>
  <c r="A2047" i="1"/>
  <c r="A2046" i="1"/>
  <c r="A2045" i="1"/>
  <c r="A2044" i="1"/>
  <c r="A2043" i="1"/>
  <c r="A2042" i="1"/>
  <c r="A2041" i="1"/>
  <c r="A2040" i="1"/>
  <c r="A2039" i="1"/>
  <c r="A2038" i="1"/>
  <c r="A2037" i="1"/>
  <c r="A2036" i="1"/>
  <c r="A2035" i="1"/>
  <c r="A2034" i="1"/>
  <c r="A2033" i="1"/>
  <c r="A2032" i="1"/>
  <c r="A2031" i="1"/>
  <c r="A2030" i="1"/>
  <c r="A2029" i="1"/>
  <c r="A2028" i="1"/>
  <c r="A2027" i="1"/>
  <c r="A2026" i="1"/>
  <c r="A2025" i="1"/>
  <c r="A2024" i="1"/>
  <c r="A2023" i="1"/>
  <c r="A2022" i="1"/>
  <c r="A2021" i="1"/>
  <c r="A2020" i="1"/>
  <c r="A2019" i="1"/>
  <c r="A2018" i="1"/>
  <c r="A2017" i="1"/>
  <c r="A2016" i="1"/>
  <c r="A2015" i="1"/>
  <c r="A2014" i="1"/>
  <c r="A2013" i="1"/>
  <c r="A2012" i="1"/>
  <c r="A2011" i="1"/>
  <c r="A2010" i="1"/>
  <c r="A2009" i="1"/>
  <c r="A2008" i="1"/>
  <c r="A2007" i="1"/>
  <c r="A2006" i="1"/>
  <c r="A2005" i="1"/>
  <c r="A2004" i="1"/>
  <c r="A2003" i="1"/>
  <c r="A2002" i="1"/>
  <c r="A2001" i="1"/>
  <c r="A2000" i="1"/>
  <c r="A1999" i="1"/>
  <c r="A1998" i="1"/>
  <c r="A1997" i="1"/>
  <c r="A1996" i="1"/>
  <c r="A1995" i="1"/>
  <c r="A1994" i="1"/>
  <c r="A1993" i="1"/>
  <c r="A1992" i="1"/>
  <c r="A1991" i="1"/>
  <c r="A1990" i="1"/>
  <c r="A1989" i="1"/>
  <c r="A1988" i="1"/>
  <c r="A1987" i="1"/>
  <c r="A1986" i="1"/>
  <c r="A1985" i="1"/>
  <c r="A1984" i="1"/>
  <c r="A1983" i="1"/>
  <c r="A1982" i="1"/>
  <c r="A1981" i="1"/>
  <c r="A1980" i="1"/>
  <c r="A1979" i="1"/>
  <c r="A1978" i="1"/>
  <c r="A1977" i="1"/>
  <c r="A1976" i="1"/>
  <c r="A1975" i="1"/>
  <c r="A1974" i="1"/>
  <c r="A1973" i="1"/>
  <c r="A1972" i="1"/>
  <c r="A1971" i="1"/>
  <c r="A1970" i="1"/>
  <c r="A1969" i="1"/>
  <c r="A1968" i="1"/>
  <c r="A1967" i="1"/>
  <c r="A1966" i="1"/>
  <c r="A1965" i="1"/>
  <c r="A1964" i="1"/>
  <c r="A1963" i="1"/>
  <c r="A1962" i="1"/>
  <c r="A1961" i="1"/>
  <c r="A1960" i="1"/>
  <c r="A1959" i="1"/>
  <c r="A1958" i="1"/>
  <c r="A1957" i="1"/>
  <c r="A1956" i="1"/>
  <c r="A1955" i="1"/>
  <c r="A1954" i="1"/>
  <c r="A1953" i="1"/>
  <c r="A1952" i="1"/>
  <c r="A1951" i="1"/>
  <c r="A1950" i="1"/>
  <c r="A1949" i="1"/>
  <c r="A1948" i="1"/>
  <c r="A1947" i="1"/>
  <c r="A1946" i="1"/>
  <c r="A1945" i="1"/>
  <c r="A1944" i="1"/>
  <c r="A1943" i="1"/>
  <c r="A1942" i="1"/>
  <c r="A1941" i="1"/>
  <c r="A1940" i="1"/>
  <c r="A1939" i="1"/>
  <c r="A1938" i="1"/>
  <c r="A1937" i="1"/>
  <c r="A1936" i="1"/>
  <c r="A1935" i="1"/>
  <c r="A1934" i="1"/>
  <c r="A1933" i="1"/>
  <c r="A1932" i="1"/>
  <c r="A1931" i="1"/>
  <c r="A1930" i="1"/>
  <c r="A1929" i="1"/>
  <c r="A1928" i="1"/>
  <c r="A1927" i="1"/>
  <c r="A1926" i="1"/>
  <c r="A1925" i="1"/>
  <c r="A1924" i="1"/>
  <c r="A1923" i="1"/>
  <c r="A1922" i="1"/>
  <c r="A1921" i="1"/>
  <c r="A1920" i="1"/>
  <c r="A1919" i="1"/>
  <c r="A1918" i="1"/>
  <c r="A1917" i="1"/>
  <c r="A1916" i="1"/>
  <c r="A1915" i="1"/>
  <c r="A1914" i="1"/>
  <c r="A1913" i="1"/>
  <c r="A1912" i="1"/>
  <c r="A1911" i="1"/>
  <c r="A1910" i="1"/>
  <c r="A1909" i="1"/>
  <c r="A1908" i="1"/>
  <c r="A1907" i="1"/>
  <c r="A1906" i="1"/>
  <c r="A1905" i="1"/>
  <c r="A1904" i="1"/>
  <c r="A1903" i="1"/>
  <c r="A1902" i="1"/>
  <c r="A1901" i="1"/>
  <c r="A1900" i="1"/>
  <c r="A1899" i="1"/>
  <c r="A1898" i="1"/>
  <c r="A1897" i="1"/>
  <c r="A1896" i="1"/>
  <c r="A1895" i="1"/>
  <c r="A1894" i="1"/>
  <c r="A1893" i="1"/>
  <c r="A1892" i="1"/>
  <c r="A1891" i="1"/>
  <c r="A1890" i="1"/>
  <c r="A1889" i="1"/>
  <c r="A1888" i="1"/>
  <c r="A1887" i="1"/>
  <c r="A1886" i="1"/>
  <c r="A1885" i="1"/>
  <c r="A1884" i="1"/>
  <c r="A1883" i="1"/>
  <c r="A1882" i="1"/>
  <c r="A1881" i="1"/>
  <c r="A1880" i="1"/>
  <c r="A1879" i="1"/>
  <c r="A1878" i="1"/>
  <c r="A1877" i="1"/>
  <c r="A1876" i="1"/>
  <c r="A1875" i="1"/>
  <c r="A1874" i="1"/>
  <c r="A1873" i="1"/>
  <c r="A1872" i="1"/>
  <c r="A1871" i="1"/>
  <c r="A1870" i="1"/>
  <c r="A1869" i="1"/>
  <c r="A1868" i="1"/>
  <c r="A1867" i="1"/>
  <c r="A1866" i="1"/>
  <c r="A1865" i="1"/>
  <c r="A1864" i="1"/>
  <c r="A1863" i="1"/>
  <c r="A1862" i="1"/>
  <c r="A1861" i="1"/>
  <c r="A1860" i="1"/>
  <c r="A1859" i="1"/>
  <c r="A1858" i="1"/>
  <c r="A1857" i="1"/>
  <c r="A1856" i="1"/>
  <c r="A1855" i="1"/>
  <c r="A1854" i="1"/>
  <c r="A1853" i="1"/>
  <c r="A1852" i="1"/>
  <c r="A1851" i="1"/>
  <c r="A1850" i="1"/>
  <c r="A1849" i="1"/>
  <c r="A1848" i="1"/>
  <c r="A1847" i="1"/>
  <c r="A1846" i="1"/>
  <c r="A1845" i="1"/>
  <c r="A1844" i="1"/>
  <c r="A1843" i="1"/>
  <c r="A1842" i="1"/>
  <c r="A1841" i="1"/>
  <c r="A1840" i="1"/>
  <c r="A1839" i="1"/>
  <c r="A1838" i="1"/>
  <c r="A1837" i="1"/>
  <c r="A1836" i="1"/>
  <c r="A1835" i="1"/>
  <c r="A1834" i="1"/>
  <c r="A1833" i="1"/>
  <c r="A1832" i="1"/>
  <c r="A1831" i="1"/>
  <c r="A1830" i="1"/>
  <c r="A1829" i="1"/>
  <c r="A1828" i="1"/>
  <c r="A1827" i="1"/>
  <c r="A1826" i="1"/>
  <c r="A1825" i="1"/>
  <c r="A1824" i="1"/>
  <c r="A1823" i="1"/>
  <c r="A1822" i="1"/>
  <c r="A1821" i="1"/>
  <c r="A1820" i="1"/>
  <c r="A1819" i="1"/>
  <c r="A1818" i="1"/>
  <c r="A1817" i="1"/>
  <c r="A1816" i="1"/>
  <c r="A1815" i="1"/>
  <c r="A1814" i="1"/>
  <c r="A1813" i="1"/>
  <c r="A1812" i="1"/>
  <c r="A1811" i="1"/>
  <c r="A1810" i="1"/>
  <c r="A1809" i="1"/>
  <c r="A1808" i="1"/>
  <c r="A1807" i="1"/>
  <c r="A1806" i="1"/>
  <c r="A1805" i="1"/>
  <c r="A1804" i="1"/>
  <c r="A1803" i="1"/>
  <c r="A1802" i="1"/>
  <c r="A1801" i="1"/>
  <c r="A1800" i="1"/>
  <c r="A1799" i="1"/>
  <c r="A1798" i="1"/>
  <c r="A1797" i="1"/>
  <c r="A1796" i="1"/>
  <c r="A1795" i="1"/>
  <c r="A1794" i="1"/>
  <c r="A1793" i="1"/>
  <c r="A1792" i="1"/>
  <c r="A1791" i="1"/>
  <c r="A1790" i="1"/>
  <c r="A1789" i="1"/>
  <c r="A1788" i="1"/>
  <c r="A1787" i="1"/>
  <c r="A1786" i="1"/>
  <c r="A1785" i="1"/>
  <c r="A1784" i="1"/>
  <c r="A1783" i="1"/>
  <c r="A1782" i="1"/>
  <c r="A1781" i="1"/>
  <c r="A1780" i="1"/>
  <c r="A1779" i="1"/>
  <c r="A1778" i="1"/>
  <c r="A1777" i="1"/>
  <c r="A1776" i="1"/>
  <c r="A1775" i="1"/>
  <c r="A1774" i="1"/>
  <c r="A1773" i="1"/>
  <c r="A1772" i="1"/>
  <c r="A1771" i="1"/>
  <c r="A1770" i="1"/>
  <c r="A1769" i="1"/>
  <c r="A1768" i="1"/>
  <c r="A1767" i="1"/>
  <c r="A1766" i="1"/>
  <c r="A1765" i="1"/>
  <c r="A1764" i="1"/>
  <c r="A1763" i="1"/>
  <c r="A1762" i="1"/>
  <c r="A1761" i="1"/>
  <c r="A1760" i="1"/>
  <c r="A1759" i="1"/>
  <c r="A1758" i="1"/>
  <c r="A1757" i="1"/>
  <c r="A1756" i="1"/>
  <c r="A1755" i="1"/>
  <c r="A1754" i="1"/>
  <c r="A1753" i="1"/>
  <c r="A1752" i="1"/>
  <c r="A1751" i="1"/>
  <c r="A1750" i="1"/>
  <c r="A1749" i="1"/>
  <c r="A1748" i="1"/>
  <c r="A1747" i="1"/>
  <c r="A1746" i="1"/>
  <c r="A1745" i="1"/>
  <c r="A1744" i="1"/>
  <c r="A1743" i="1"/>
  <c r="A1742" i="1"/>
  <c r="A1741" i="1"/>
  <c r="A1740" i="1"/>
  <c r="A1739" i="1"/>
  <c r="A1738" i="1"/>
  <c r="A1737" i="1"/>
  <c r="A1736" i="1"/>
  <c r="A1735" i="1"/>
  <c r="A1734" i="1"/>
  <c r="A1733" i="1"/>
  <c r="A1732" i="1"/>
  <c r="A1731" i="1"/>
  <c r="A1730" i="1"/>
  <c r="A1729" i="1"/>
  <c r="A1728" i="1"/>
  <c r="A1727" i="1"/>
  <c r="A1726" i="1"/>
  <c r="A1725" i="1"/>
  <c r="A1724" i="1"/>
  <c r="A1723" i="1"/>
  <c r="A1722" i="1"/>
  <c r="A1721" i="1"/>
  <c r="A1720" i="1"/>
  <c r="A1719" i="1"/>
  <c r="A1718" i="1"/>
  <c r="A1717" i="1"/>
  <c r="A1716" i="1"/>
  <c r="A1715" i="1"/>
  <c r="A1714" i="1"/>
  <c r="A1713" i="1"/>
  <c r="A1712" i="1"/>
  <c r="A1711" i="1"/>
  <c r="A1710" i="1"/>
  <c r="A1709" i="1"/>
  <c r="A1708" i="1"/>
  <c r="A1707" i="1"/>
  <c r="A1706" i="1"/>
  <c r="A1705" i="1"/>
  <c r="A1704" i="1"/>
  <c r="A1703" i="1"/>
  <c r="A1702" i="1"/>
  <c r="A1701" i="1"/>
  <c r="A1700" i="1"/>
  <c r="A1699" i="1"/>
  <c r="A1698" i="1"/>
  <c r="A1697" i="1"/>
  <c r="A1696" i="1"/>
  <c r="A1695" i="1"/>
  <c r="A1694" i="1"/>
  <c r="A1693" i="1"/>
  <c r="A1692" i="1"/>
  <c r="A1691" i="1"/>
  <c r="A1690" i="1"/>
  <c r="A1689" i="1"/>
  <c r="A1688" i="1"/>
  <c r="A1687" i="1"/>
  <c r="A1686" i="1"/>
  <c r="A1685" i="1"/>
  <c r="A1684" i="1"/>
  <c r="A1683" i="1"/>
  <c r="A1682" i="1"/>
  <c r="A1681" i="1"/>
  <c r="A1680" i="1"/>
  <c r="A1679" i="1"/>
  <c r="A1678" i="1"/>
  <c r="A1677" i="1"/>
  <c r="A1676" i="1"/>
  <c r="A1675" i="1"/>
  <c r="A1674" i="1"/>
  <c r="A1673" i="1"/>
  <c r="A1672" i="1"/>
  <c r="A1671" i="1"/>
  <c r="A1670" i="1"/>
  <c r="A1669" i="1"/>
  <c r="A1668" i="1"/>
  <c r="A1667" i="1"/>
  <c r="A1666" i="1"/>
  <c r="A1665" i="1"/>
  <c r="A1664" i="1"/>
  <c r="A1663" i="1"/>
  <c r="A1662" i="1"/>
  <c r="A1661" i="1"/>
  <c r="A1660" i="1"/>
  <c r="A1659" i="1"/>
  <c r="A1658" i="1"/>
  <c r="A1657" i="1"/>
  <c r="A1656" i="1"/>
  <c r="A1655" i="1"/>
  <c r="A1654" i="1"/>
  <c r="A1653" i="1"/>
  <c r="A1652" i="1"/>
  <c r="A1651" i="1"/>
  <c r="A1650" i="1"/>
  <c r="A1649" i="1"/>
  <c r="A1648" i="1"/>
  <c r="A1647" i="1"/>
  <c r="A1646" i="1"/>
  <c r="A1645" i="1"/>
  <c r="A1644" i="1"/>
  <c r="A1643" i="1"/>
  <c r="A1642" i="1"/>
  <c r="A1641" i="1"/>
  <c r="A1640" i="1"/>
  <c r="A1639" i="1"/>
  <c r="A1638" i="1"/>
  <c r="A1637" i="1"/>
  <c r="A1636" i="1"/>
  <c r="A1635" i="1"/>
  <c r="A1634" i="1"/>
  <c r="A1633" i="1"/>
  <c r="A1632" i="1"/>
  <c r="A1631" i="1"/>
  <c r="A1630" i="1"/>
  <c r="A1629" i="1"/>
  <c r="A1628" i="1"/>
  <c r="A1627" i="1"/>
  <c r="A1626" i="1"/>
  <c r="A1625" i="1"/>
  <c r="A1624" i="1"/>
  <c r="A1623" i="1"/>
  <c r="A1622" i="1"/>
  <c r="A1621" i="1"/>
  <c r="A1620" i="1"/>
  <c r="A1619" i="1"/>
  <c r="A1618" i="1"/>
  <c r="A1617" i="1"/>
  <c r="A1616" i="1"/>
  <c r="A1615" i="1"/>
  <c r="A1614" i="1"/>
  <c r="A1613" i="1"/>
  <c r="A1612" i="1"/>
  <c r="A1611" i="1"/>
  <c r="A1610" i="1"/>
  <c r="A1609" i="1"/>
  <c r="A1608" i="1"/>
  <c r="A1607" i="1"/>
  <c r="A1606" i="1"/>
  <c r="A1605" i="1"/>
  <c r="A1604" i="1"/>
  <c r="A1603" i="1"/>
  <c r="A1602" i="1"/>
  <c r="A1601" i="1"/>
  <c r="A1600" i="1"/>
  <c r="A1599" i="1"/>
  <c r="A1598" i="1"/>
  <c r="A1597" i="1"/>
  <c r="A1596" i="1"/>
  <c r="A1595" i="1"/>
  <c r="A1594" i="1"/>
  <c r="A1593" i="1"/>
  <c r="A1592" i="1"/>
  <c r="A1591" i="1"/>
  <c r="A1590" i="1"/>
  <c r="A1589" i="1"/>
  <c r="A1588" i="1"/>
  <c r="A1587" i="1"/>
  <c r="A1586" i="1"/>
  <c r="A1585" i="1"/>
  <c r="A1584" i="1"/>
  <c r="A1583" i="1"/>
  <c r="A1582" i="1"/>
  <c r="A1581" i="1"/>
  <c r="A1580" i="1"/>
  <c r="A1579" i="1"/>
  <c r="A1578" i="1"/>
  <c r="A1577" i="1"/>
  <c r="A1576" i="1"/>
  <c r="A1575" i="1"/>
  <c r="A1574" i="1"/>
  <c r="A1573" i="1"/>
  <c r="A1572" i="1"/>
  <c r="A1571" i="1"/>
  <c r="A1570" i="1"/>
  <c r="A1569" i="1"/>
  <c r="A1568" i="1"/>
  <c r="A1567" i="1"/>
  <c r="A1566" i="1"/>
  <c r="A1565" i="1"/>
  <c r="A1564" i="1"/>
  <c r="A1563" i="1"/>
  <c r="A1562" i="1"/>
  <c r="A1561" i="1"/>
  <c r="A1560" i="1"/>
  <c r="A1559" i="1"/>
  <c r="A1558" i="1"/>
  <c r="A1557" i="1"/>
  <c r="A1556" i="1"/>
  <c r="A1555" i="1"/>
  <c r="A1554" i="1"/>
  <c r="A1553" i="1"/>
  <c r="A1552" i="1"/>
  <c r="A1551" i="1"/>
  <c r="A1550" i="1"/>
  <c r="A1549" i="1"/>
  <c r="A1548" i="1"/>
  <c r="A1547" i="1"/>
  <c r="A1546" i="1"/>
  <c r="A1545" i="1"/>
  <c r="A1544" i="1"/>
  <c r="A1543" i="1"/>
  <c r="A1542" i="1"/>
  <c r="A1541" i="1"/>
  <c r="A1540" i="1"/>
  <c r="A1539" i="1"/>
  <c r="A1538" i="1"/>
  <c r="A1537" i="1"/>
  <c r="A1536" i="1"/>
  <c r="A1535" i="1"/>
  <c r="A1534" i="1"/>
  <c r="A1533" i="1"/>
  <c r="A1532" i="1"/>
  <c r="A1531" i="1"/>
  <c r="A1530" i="1"/>
  <c r="A1529" i="1"/>
  <c r="A1528" i="1"/>
  <c r="A1527" i="1"/>
  <c r="A1526" i="1"/>
  <c r="A1525" i="1"/>
  <c r="A1524" i="1"/>
  <c r="A1523" i="1"/>
  <c r="A1522" i="1"/>
  <c r="A1521" i="1"/>
  <c r="A1520" i="1"/>
  <c r="A1519" i="1"/>
  <c r="A1518" i="1"/>
  <c r="A1517" i="1"/>
  <c r="A1516" i="1"/>
  <c r="A1515" i="1"/>
  <c r="A1514" i="1"/>
  <c r="A1513" i="1"/>
  <c r="A1512" i="1"/>
  <c r="A1511" i="1"/>
  <c r="A1510" i="1"/>
  <c r="A1509" i="1"/>
  <c r="A1508" i="1"/>
  <c r="A1507" i="1"/>
  <c r="A1506" i="1"/>
  <c r="A1505" i="1"/>
  <c r="A1504" i="1"/>
  <c r="A1503" i="1"/>
  <c r="A1502" i="1"/>
  <c r="A1501" i="1"/>
  <c r="A1500" i="1"/>
  <c r="A1499" i="1"/>
  <c r="A1498" i="1"/>
  <c r="A1497" i="1"/>
  <c r="A1496" i="1"/>
  <c r="A1495" i="1"/>
  <c r="A1494" i="1"/>
  <c r="A1493" i="1"/>
  <c r="A1492" i="1"/>
  <c r="A1491" i="1"/>
  <c r="A1490" i="1"/>
  <c r="A1489" i="1"/>
  <c r="A1488" i="1"/>
  <c r="A1487" i="1"/>
  <c r="A1486" i="1"/>
  <c r="A1485" i="1"/>
  <c r="A1484" i="1"/>
  <c r="A1483" i="1"/>
  <c r="A1482" i="1"/>
  <c r="A1481" i="1"/>
  <c r="A1480" i="1"/>
  <c r="A1479" i="1"/>
  <c r="A1478" i="1"/>
  <c r="A1477" i="1"/>
  <c r="A1476" i="1"/>
  <c r="A1475" i="1"/>
  <c r="A1474" i="1"/>
  <c r="A1473" i="1"/>
  <c r="A1472" i="1"/>
  <c r="A1471" i="1"/>
  <c r="A1470" i="1"/>
  <c r="A1469" i="1"/>
  <c r="A1468" i="1"/>
  <c r="A1467" i="1"/>
  <c r="A1466" i="1"/>
  <c r="A1465" i="1"/>
  <c r="A1464" i="1"/>
  <c r="A1463" i="1"/>
  <c r="A1462" i="1"/>
  <c r="A1461" i="1"/>
  <c r="A1460" i="1"/>
  <c r="A1459" i="1"/>
  <c r="A1458" i="1"/>
  <c r="A1457" i="1"/>
  <c r="A1456" i="1"/>
  <c r="A1455" i="1"/>
  <c r="A1454" i="1"/>
  <c r="A1453" i="1"/>
  <c r="A1452" i="1"/>
  <c r="A1451" i="1"/>
  <c r="A1450" i="1"/>
  <c r="A1449" i="1"/>
  <c r="A1448" i="1"/>
  <c r="A1447" i="1"/>
  <c r="A1446" i="1"/>
  <c r="A1445" i="1"/>
  <c r="A1444" i="1"/>
  <c r="A1443" i="1"/>
  <c r="A1442" i="1"/>
  <c r="A1441" i="1"/>
  <c r="A1440" i="1"/>
  <c r="A1439" i="1"/>
  <c r="A1438" i="1"/>
  <c r="A1437" i="1"/>
  <c r="A1436" i="1"/>
  <c r="A1435" i="1"/>
  <c r="A1434" i="1"/>
  <c r="A1433" i="1"/>
  <c r="A1432" i="1"/>
  <c r="A1431" i="1"/>
  <c r="A1430" i="1"/>
  <c r="A1429" i="1"/>
  <c r="A1428" i="1"/>
  <c r="A1427" i="1"/>
  <c r="A1426" i="1"/>
  <c r="A1425" i="1"/>
  <c r="A1424" i="1"/>
  <c r="A1423" i="1"/>
  <c r="A1422" i="1"/>
  <c r="A1421" i="1"/>
  <c r="A1420" i="1"/>
  <c r="A1419" i="1"/>
  <c r="A1418" i="1"/>
  <c r="A1417" i="1"/>
  <c r="A1416" i="1"/>
  <c r="A1415" i="1"/>
  <c r="A1414" i="1"/>
  <c r="A1413" i="1"/>
  <c r="A1412" i="1"/>
  <c r="A1411" i="1"/>
  <c r="A1410" i="1"/>
  <c r="A1409" i="1"/>
  <c r="A1408" i="1"/>
  <c r="A1407" i="1"/>
  <c r="A1406" i="1"/>
  <c r="A1405" i="1"/>
  <c r="A1404" i="1"/>
  <c r="A1403" i="1"/>
  <c r="A1402" i="1"/>
  <c r="A1401" i="1"/>
  <c r="A1400" i="1"/>
  <c r="A1399" i="1"/>
  <c r="A1398" i="1"/>
  <c r="A1397" i="1"/>
  <c r="A1396" i="1"/>
  <c r="A1395" i="1"/>
  <c r="A1394" i="1"/>
  <c r="A1393" i="1"/>
  <c r="A1392" i="1"/>
  <c r="A1391" i="1"/>
  <c r="A1390" i="1"/>
  <c r="A1389" i="1"/>
  <c r="A1388" i="1"/>
  <c r="A1387" i="1"/>
  <c r="A1386" i="1"/>
  <c r="A1385" i="1"/>
  <c r="A1384" i="1"/>
  <c r="A1383" i="1"/>
  <c r="A1382" i="1"/>
  <c r="A1381" i="1"/>
  <c r="A1380" i="1"/>
  <c r="A1379" i="1"/>
  <c r="A1378" i="1"/>
  <c r="A1377" i="1"/>
  <c r="A1376" i="1"/>
  <c r="A1375" i="1"/>
  <c r="A1374" i="1"/>
  <c r="A1373" i="1"/>
  <c r="A1372" i="1"/>
  <c r="A1371" i="1"/>
  <c r="A1370" i="1"/>
  <c r="A1369" i="1"/>
  <c r="A1368" i="1"/>
  <c r="A1367" i="1"/>
  <c r="A1366" i="1"/>
  <c r="A1365" i="1"/>
  <c r="A1364" i="1"/>
  <c r="A1363" i="1"/>
  <c r="A1362" i="1"/>
  <c r="A1361" i="1"/>
  <c r="A1360" i="1"/>
  <c r="A1359" i="1"/>
  <c r="A1358" i="1"/>
  <c r="A1357" i="1"/>
  <c r="A1356" i="1"/>
  <c r="A1355" i="1"/>
  <c r="A1354" i="1"/>
  <c r="A1353" i="1"/>
  <c r="A1352" i="1"/>
  <c r="A1351" i="1"/>
  <c r="A1350" i="1"/>
  <c r="A1349" i="1"/>
  <c r="A1348" i="1"/>
  <c r="A1347" i="1"/>
  <c r="A1346" i="1"/>
  <c r="A1345" i="1"/>
  <c r="A1344" i="1"/>
  <c r="A1343" i="1"/>
  <c r="A1342" i="1"/>
  <c r="A1341" i="1"/>
  <c r="A1340" i="1"/>
  <c r="A1339" i="1"/>
  <c r="A1338" i="1"/>
  <c r="A1337" i="1"/>
  <c r="A1336" i="1"/>
  <c r="A1335" i="1"/>
  <c r="A1334" i="1"/>
  <c r="A1333" i="1"/>
  <c r="A1332" i="1"/>
  <c r="A1331" i="1"/>
  <c r="A1330" i="1"/>
  <c r="A1329" i="1"/>
  <c r="A1328" i="1"/>
  <c r="A1327" i="1"/>
  <c r="A1326" i="1"/>
  <c r="A1325" i="1"/>
  <c r="A1324" i="1"/>
  <c r="A1323" i="1"/>
  <c r="A1322" i="1"/>
  <c r="A1321" i="1"/>
  <c r="A1320" i="1"/>
  <c r="A1319" i="1"/>
  <c r="A1318" i="1"/>
  <c r="A1317" i="1"/>
  <c r="A1316" i="1"/>
  <c r="A1315" i="1"/>
  <c r="A1314" i="1"/>
  <c r="A1313" i="1"/>
  <c r="A1312" i="1"/>
  <c r="A1311" i="1"/>
  <c r="A1310" i="1"/>
  <c r="A1309" i="1"/>
  <c r="A1308" i="1"/>
  <c r="A1307" i="1"/>
  <c r="A1306" i="1"/>
  <c r="A1305" i="1"/>
  <c r="A1304" i="1"/>
  <c r="A1303" i="1"/>
  <c r="A1302" i="1"/>
  <c r="A1301" i="1"/>
  <c r="A1300" i="1"/>
  <c r="A1299" i="1"/>
  <c r="A1298" i="1"/>
  <c r="A1297" i="1"/>
  <c r="A1296" i="1"/>
  <c r="A1295" i="1"/>
  <c r="A1294" i="1"/>
  <c r="A1293" i="1"/>
  <c r="A1292" i="1"/>
  <c r="A1291" i="1"/>
  <c r="A1290" i="1"/>
  <c r="A1289" i="1"/>
  <c r="A1288" i="1"/>
  <c r="A1287" i="1"/>
  <c r="A1286" i="1"/>
  <c r="A1285" i="1"/>
  <c r="A1284" i="1"/>
  <c r="A1283" i="1"/>
  <c r="A1282" i="1"/>
  <c r="A1281" i="1"/>
  <c r="A1280" i="1"/>
  <c r="A1279" i="1"/>
  <c r="A1278" i="1"/>
  <c r="A1277" i="1"/>
  <c r="A1276" i="1"/>
  <c r="A1275" i="1"/>
  <c r="A1274" i="1"/>
  <c r="A1273" i="1"/>
  <c r="A1272" i="1"/>
  <c r="A1271" i="1"/>
  <c r="A1270" i="1"/>
  <c r="A1269" i="1"/>
  <c r="A1268" i="1"/>
  <c r="A1267" i="1"/>
  <c r="A1266" i="1"/>
  <c r="A1265" i="1"/>
  <c r="A1264" i="1"/>
  <c r="A1263" i="1"/>
  <c r="A1262" i="1"/>
  <c r="A1261" i="1"/>
  <c r="A1260" i="1"/>
  <c r="A1259" i="1"/>
  <c r="A1258" i="1"/>
  <c r="A1257" i="1"/>
  <c r="A1256" i="1"/>
  <c r="A1255" i="1"/>
  <c r="A1254" i="1"/>
  <c r="A1253" i="1"/>
  <c r="A1252" i="1"/>
  <c r="A1251" i="1"/>
  <c r="A1250" i="1"/>
  <c r="A1249" i="1"/>
  <c r="A1248" i="1"/>
  <c r="A1247" i="1"/>
  <c r="A1246" i="1"/>
  <c r="A1245" i="1"/>
  <c r="A1244" i="1"/>
  <c r="A1243" i="1"/>
  <c r="A1242" i="1"/>
  <c r="A1241" i="1"/>
  <c r="A1240" i="1"/>
  <c r="A1239" i="1"/>
  <c r="A1238" i="1"/>
  <c r="A1237" i="1"/>
  <c r="A1236" i="1"/>
  <c r="A1235" i="1"/>
  <c r="A1234" i="1"/>
  <c r="A1233" i="1"/>
  <c r="A1232" i="1"/>
  <c r="A1231" i="1"/>
  <c r="A1230" i="1"/>
  <c r="A1229" i="1"/>
  <c r="A1228" i="1"/>
  <c r="A1227" i="1"/>
  <c r="A1226" i="1"/>
  <c r="A1225" i="1"/>
  <c r="A1224" i="1"/>
  <c r="A1223" i="1"/>
  <c r="A1222" i="1"/>
  <c r="A1221" i="1"/>
  <c r="A1220" i="1"/>
  <c r="A1219" i="1"/>
  <c r="A1218" i="1"/>
  <c r="A1217" i="1"/>
  <c r="A1216" i="1"/>
  <c r="A1215" i="1"/>
  <c r="A1214" i="1"/>
  <c r="A1213" i="1"/>
  <c r="A1212" i="1"/>
  <c r="A1211" i="1"/>
  <c r="A1210" i="1"/>
  <c r="A1209" i="1"/>
  <c r="A1208" i="1"/>
  <c r="A1207" i="1"/>
  <c r="A1206" i="1"/>
  <c r="A1205" i="1"/>
  <c r="A1204" i="1"/>
  <c r="A1203" i="1"/>
  <c r="A1202" i="1"/>
  <c r="A1201" i="1"/>
  <c r="A1200" i="1"/>
  <c r="A1199" i="1"/>
  <c r="A1198" i="1"/>
  <c r="A1197" i="1"/>
  <c r="A1196" i="1"/>
  <c r="A1195" i="1"/>
  <c r="A1194" i="1"/>
  <c r="A1193" i="1"/>
  <c r="A1192" i="1"/>
  <c r="A1191" i="1"/>
  <c r="A1190" i="1"/>
  <c r="A1189" i="1"/>
  <c r="A1188" i="1"/>
  <c r="A1187" i="1"/>
  <c r="A1186" i="1"/>
  <c r="A1185" i="1"/>
  <c r="A1184" i="1"/>
  <c r="A1183" i="1"/>
  <c r="A1182" i="1"/>
  <c r="A1181" i="1"/>
  <c r="A1180" i="1"/>
  <c r="A1179" i="1"/>
  <c r="A1178" i="1"/>
  <c r="A1177" i="1"/>
  <c r="A1176" i="1"/>
  <c r="A1175" i="1"/>
  <c r="A1174" i="1"/>
  <c r="A1173" i="1"/>
  <c r="A1172" i="1"/>
  <c r="A1171" i="1"/>
  <c r="A1170" i="1"/>
  <c r="A1169" i="1"/>
  <c r="A1168" i="1"/>
  <c r="A1167" i="1"/>
  <c r="A1166" i="1"/>
  <c r="A1165" i="1"/>
  <c r="A1164" i="1"/>
  <c r="A1163" i="1"/>
  <c r="A1162" i="1"/>
  <c r="A1161" i="1"/>
  <c r="A1160" i="1"/>
  <c r="A1159" i="1"/>
  <c r="A1158" i="1"/>
  <c r="A1157" i="1"/>
  <c r="A1156" i="1"/>
  <c r="A1155" i="1"/>
  <c r="A1154" i="1"/>
  <c r="A1153" i="1"/>
  <c r="A1152" i="1"/>
  <c r="A1151" i="1"/>
  <c r="A1150" i="1"/>
  <c r="A1149" i="1"/>
  <c r="A1148" i="1"/>
  <c r="A1147" i="1"/>
  <c r="A1146" i="1"/>
  <c r="A1145" i="1"/>
  <c r="A1144" i="1"/>
  <c r="A1143" i="1"/>
  <c r="A1142" i="1"/>
  <c r="A1141" i="1"/>
  <c r="A1140" i="1"/>
  <c r="A1139" i="1"/>
  <c r="A1138" i="1"/>
  <c r="A1137" i="1"/>
  <c r="A1136" i="1"/>
  <c r="A1135" i="1"/>
  <c r="A1134" i="1"/>
  <c r="A1133" i="1"/>
  <c r="A1132" i="1"/>
  <c r="A1131" i="1"/>
  <c r="A1130" i="1"/>
  <c r="A1129" i="1"/>
  <c r="A1128" i="1"/>
  <c r="A1127" i="1"/>
  <c r="A1126" i="1"/>
  <c r="A1125" i="1"/>
  <c r="A1124" i="1"/>
  <c r="A1123" i="1"/>
  <c r="A1122" i="1"/>
  <c r="A1121" i="1"/>
  <c r="A1120" i="1"/>
  <c r="A1119" i="1"/>
  <c r="A1118" i="1"/>
  <c r="A1117" i="1"/>
  <c r="A1116" i="1"/>
  <c r="A1115" i="1"/>
  <c r="A1114" i="1"/>
  <c r="A1113" i="1"/>
  <c r="A1112" i="1"/>
  <c r="A1111" i="1"/>
  <c r="A1110" i="1"/>
  <c r="A1109" i="1"/>
  <c r="A1108" i="1"/>
  <c r="A1107" i="1"/>
  <c r="A1106" i="1"/>
  <c r="A1105" i="1"/>
  <c r="A1104" i="1"/>
  <c r="A1103" i="1"/>
  <c r="A1102" i="1"/>
  <c r="A1101" i="1"/>
  <c r="A1100" i="1"/>
  <c r="A1099" i="1"/>
  <c r="A1098" i="1"/>
  <c r="A1097" i="1"/>
  <c r="A1096" i="1"/>
  <c r="A1095" i="1"/>
  <c r="A1094" i="1"/>
  <c r="A1093" i="1"/>
  <c r="A1092" i="1"/>
  <c r="A1091" i="1"/>
  <c r="A1090" i="1"/>
  <c r="A1089" i="1"/>
  <c r="A1088" i="1"/>
  <c r="A1087" i="1"/>
  <c r="A1086" i="1"/>
  <c r="A1085" i="1"/>
  <c r="A1084" i="1"/>
  <c r="A1083" i="1"/>
  <c r="A1082" i="1"/>
  <c r="A1081" i="1"/>
  <c r="A1080" i="1"/>
  <c r="A1079" i="1"/>
  <c r="A1078" i="1"/>
  <c r="A1077" i="1"/>
  <c r="A1076" i="1"/>
  <c r="A1075" i="1"/>
  <c r="A1074" i="1"/>
  <c r="A1073" i="1"/>
  <c r="A1072" i="1"/>
  <c r="A1071" i="1"/>
  <c r="A1070" i="1"/>
  <c r="A1069" i="1"/>
  <c r="A1068" i="1"/>
  <c r="A1067" i="1"/>
  <c r="A1066" i="1"/>
  <c r="A1065" i="1"/>
  <c r="A1064" i="1"/>
  <c r="A1063" i="1"/>
  <c r="A1062" i="1"/>
  <c r="A1061" i="1"/>
  <c r="A1060" i="1"/>
  <c r="A1059" i="1"/>
  <c r="A1058" i="1"/>
  <c r="A1057" i="1"/>
  <c r="A1056" i="1"/>
  <c r="A1055" i="1"/>
  <c r="A1054" i="1"/>
  <c r="A1053" i="1"/>
  <c r="A1052" i="1"/>
  <c r="A1051" i="1"/>
  <c r="A1050" i="1"/>
  <c r="A1049" i="1"/>
  <c r="A1048" i="1"/>
  <c r="A1047" i="1"/>
  <c r="A1046" i="1"/>
  <c r="A1045" i="1"/>
  <c r="A1044" i="1"/>
  <c r="A1043" i="1"/>
  <c r="A1042" i="1"/>
  <c r="A1041" i="1"/>
  <c r="A1040" i="1"/>
  <c r="A1039" i="1"/>
  <c r="A1038" i="1"/>
  <c r="A1037" i="1"/>
  <c r="A1036" i="1"/>
  <c r="A1035" i="1"/>
  <c r="A1034" i="1"/>
  <c r="A1033" i="1"/>
  <c r="A1032" i="1"/>
  <c r="A1031" i="1"/>
  <c r="A1030" i="1"/>
  <c r="A1029" i="1"/>
  <c r="A1028" i="1"/>
  <c r="A1027" i="1"/>
  <c r="A1026" i="1"/>
  <c r="A1025" i="1"/>
  <c r="A1024" i="1"/>
  <c r="A1023" i="1"/>
  <c r="A1022" i="1"/>
  <c r="A1021" i="1"/>
  <c r="A1020" i="1"/>
  <c r="A1019" i="1"/>
  <c r="A1018" i="1"/>
  <c r="A1017" i="1"/>
  <c r="A1016" i="1"/>
  <c r="A1015" i="1"/>
  <c r="A1014" i="1"/>
  <c r="A1013" i="1"/>
  <c r="A1012" i="1"/>
  <c r="A1011" i="1"/>
  <c r="A1010" i="1"/>
  <c r="A1009" i="1"/>
  <c r="A1008" i="1"/>
  <c r="A1007" i="1"/>
  <c r="A1006" i="1"/>
  <c r="A1005" i="1"/>
  <c r="A1004" i="1"/>
  <c r="A1003" i="1"/>
  <c r="A1002" i="1"/>
  <c r="A1001" i="1"/>
  <c r="A1000" i="1"/>
  <c r="A999" i="1"/>
  <c r="A998" i="1"/>
  <c r="A997" i="1"/>
  <c r="A996" i="1"/>
  <c r="A995" i="1"/>
  <c r="A994" i="1"/>
  <c r="A993" i="1"/>
  <c r="A992" i="1"/>
  <c r="A991" i="1"/>
  <c r="A990" i="1"/>
  <c r="A989" i="1"/>
  <c r="A988" i="1"/>
  <c r="A987" i="1"/>
  <c r="A986" i="1"/>
  <c r="A985" i="1"/>
  <c r="A984" i="1"/>
  <c r="A983" i="1"/>
  <c r="A982" i="1"/>
  <c r="A981" i="1"/>
  <c r="A980" i="1"/>
  <c r="A979" i="1"/>
  <c r="A978" i="1"/>
  <c r="A977" i="1"/>
  <c r="A976" i="1"/>
  <c r="A975" i="1"/>
  <c r="A974" i="1"/>
  <c r="A973" i="1"/>
  <c r="A972" i="1"/>
  <c r="A971" i="1"/>
  <c r="A970" i="1"/>
  <c r="A969" i="1"/>
  <c r="A968" i="1"/>
  <c r="A967" i="1"/>
  <c r="A966" i="1"/>
  <c r="A965" i="1"/>
  <c r="A964" i="1"/>
  <c r="A963" i="1"/>
  <c r="A962" i="1"/>
  <c r="A961" i="1"/>
  <c r="A960" i="1"/>
  <c r="A959" i="1"/>
  <c r="A958" i="1"/>
  <c r="A957" i="1"/>
  <c r="A956" i="1"/>
  <c r="A955" i="1"/>
  <c r="A954" i="1"/>
  <c r="A953" i="1"/>
  <c r="A952" i="1"/>
  <c r="A951" i="1"/>
  <c r="A950" i="1"/>
  <c r="A949" i="1"/>
  <c r="A948" i="1"/>
  <c r="A947" i="1"/>
  <c r="A946" i="1"/>
  <c r="A945" i="1"/>
  <c r="A944" i="1"/>
  <c r="A943" i="1"/>
  <c r="A942" i="1"/>
  <c r="A941" i="1"/>
  <c r="A940" i="1"/>
  <c r="A939" i="1"/>
  <c r="A938" i="1"/>
  <c r="A937" i="1"/>
  <c r="A936" i="1"/>
  <c r="A935" i="1"/>
  <c r="A934" i="1"/>
  <c r="A933" i="1"/>
  <c r="A932" i="1"/>
  <c r="A931" i="1"/>
  <c r="A930" i="1"/>
  <c r="A929" i="1"/>
  <c r="A928" i="1"/>
  <c r="A927" i="1"/>
  <c r="A926" i="1"/>
  <c r="A925" i="1"/>
  <c r="A924" i="1"/>
  <c r="A923" i="1"/>
  <c r="A922" i="1"/>
  <c r="A921" i="1"/>
  <c r="A920" i="1"/>
  <c r="A919" i="1"/>
  <c r="A918" i="1"/>
  <c r="A917" i="1"/>
  <c r="A916" i="1"/>
  <c r="A915" i="1"/>
  <c r="A914" i="1"/>
  <c r="A913" i="1"/>
  <c r="A912" i="1"/>
  <c r="A911" i="1"/>
  <c r="A910" i="1"/>
  <c r="A909" i="1"/>
  <c r="A908" i="1"/>
  <c r="A907" i="1"/>
  <c r="A906" i="1"/>
  <c r="A905" i="1"/>
  <c r="A904" i="1"/>
  <c r="A903" i="1"/>
  <c r="A902" i="1"/>
  <c r="A901" i="1"/>
  <c r="A900" i="1"/>
  <c r="A899" i="1"/>
  <c r="A898" i="1"/>
  <c r="A897" i="1"/>
  <c r="A896" i="1"/>
  <c r="A895" i="1"/>
  <c r="A894" i="1"/>
  <c r="A893" i="1"/>
  <c r="A892" i="1"/>
  <c r="A891" i="1"/>
  <c r="A890" i="1"/>
  <c r="A889" i="1"/>
  <c r="A888" i="1"/>
  <c r="A887" i="1"/>
  <c r="A886" i="1"/>
  <c r="A885" i="1"/>
  <c r="A884" i="1"/>
  <c r="A883" i="1"/>
  <c r="A882" i="1"/>
  <c r="A881" i="1"/>
  <c r="A880" i="1"/>
  <c r="A879" i="1"/>
  <c r="A878" i="1"/>
  <c r="A877" i="1"/>
  <c r="A876" i="1"/>
  <c r="A875" i="1"/>
  <c r="A874" i="1"/>
  <c r="A873" i="1"/>
  <c r="A872" i="1"/>
  <c r="A871" i="1"/>
  <c r="A870" i="1"/>
  <c r="A869" i="1"/>
  <c r="A868" i="1"/>
  <c r="A867" i="1"/>
  <c r="A866" i="1"/>
  <c r="A865" i="1"/>
  <c r="A864" i="1"/>
  <c r="A863" i="1"/>
  <c r="A862" i="1"/>
  <c r="A861" i="1"/>
  <c r="A860" i="1"/>
  <c r="A859" i="1"/>
  <c r="A858" i="1"/>
  <c r="A857" i="1"/>
  <c r="A856" i="1"/>
  <c r="A855" i="1"/>
  <c r="A854" i="1"/>
  <c r="A853" i="1"/>
  <c r="A852" i="1"/>
  <c r="A851" i="1"/>
  <c r="A850" i="1"/>
  <c r="A849" i="1"/>
  <c r="A848" i="1"/>
  <c r="A847" i="1"/>
  <c r="A846" i="1"/>
  <c r="A845" i="1"/>
  <c r="A844" i="1"/>
  <c r="A843" i="1"/>
  <c r="A842" i="1"/>
  <c r="A841" i="1"/>
  <c r="A840" i="1"/>
  <c r="A839" i="1"/>
  <c r="A838" i="1"/>
  <c r="A837" i="1"/>
  <c r="A836" i="1"/>
  <c r="A835" i="1"/>
  <c r="A834" i="1"/>
  <c r="A833" i="1"/>
  <c r="A832" i="1"/>
  <c r="A831" i="1"/>
  <c r="A830" i="1"/>
  <c r="A829" i="1"/>
  <c r="A828" i="1"/>
  <c r="A827" i="1"/>
  <c r="A826" i="1"/>
  <c r="A825" i="1"/>
  <c r="A824" i="1"/>
  <c r="A823" i="1"/>
  <c r="A822" i="1"/>
  <c r="A821" i="1"/>
  <c r="A820" i="1"/>
  <c r="A819" i="1"/>
  <c r="A818" i="1"/>
  <c r="A817" i="1"/>
  <c r="A816" i="1"/>
  <c r="A815" i="1"/>
  <c r="A814" i="1"/>
  <c r="A813" i="1"/>
  <c r="A812" i="1"/>
  <c r="A811" i="1"/>
  <c r="A810" i="1"/>
  <c r="A809" i="1"/>
  <c r="A808" i="1"/>
  <c r="A807" i="1"/>
  <c r="A806" i="1"/>
  <c r="A805" i="1"/>
  <c r="A804" i="1"/>
  <c r="A803" i="1"/>
  <c r="A802" i="1"/>
  <c r="A801" i="1"/>
  <c r="A800" i="1"/>
  <c r="A799" i="1"/>
  <c r="A798" i="1"/>
  <c r="A797" i="1"/>
  <c r="A796" i="1"/>
  <c r="A795" i="1"/>
  <c r="A794" i="1"/>
  <c r="A793" i="1"/>
  <c r="A792" i="1"/>
  <c r="A791" i="1"/>
  <c r="A790" i="1"/>
  <c r="A789" i="1"/>
  <c r="A788" i="1"/>
  <c r="A787" i="1"/>
  <c r="A786" i="1"/>
  <c r="A785" i="1"/>
  <c r="A784" i="1"/>
  <c r="A783" i="1"/>
  <c r="A782" i="1"/>
  <c r="A781" i="1"/>
  <c r="A780" i="1"/>
  <c r="A779" i="1"/>
  <c r="A778" i="1"/>
  <c r="A777" i="1"/>
  <c r="A776" i="1"/>
  <c r="A775" i="1"/>
  <c r="A774" i="1"/>
  <c r="A773" i="1"/>
  <c r="A772" i="1"/>
  <c r="A771" i="1"/>
  <c r="A770" i="1"/>
  <c r="A769" i="1"/>
  <c r="A768" i="1"/>
  <c r="A767" i="1"/>
  <c r="A766" i="1"/>
  <c r="A765" i="1"/>
  <c r="A764" i="1"/>
  <c r="A763" i="1"/>
  <c r="A762" i="1"/>
  <c r="A761" i="1"/>
  <c r="A760" i="1"/>
  <c r="A759" i="1"/>
  <c r="A758" i="1"/>
  <c r="A757" i="1"/>
  <c r="A756" i="1"/>
  <c r="A755" i="1"/>
  <c r="A754" i="1"/>
  <c r="A753" i="1"/>
  <c r="A752" i="1"/>
  <c r="A751" i="1"/>
  <c r="A750" i="1"/>
  <c r="A749" i="1"/>
  <c r="A748" i="1"/>
  <c r="A747" i="1"/>
  <c r="A746" i="1"/>
  <c r="A745" i="1"/>
  <c r="A744" i="1"/>
  <c r="A743" i="1"/>
  <c r="A742" i="1"/>
  <c r="A741" i="1"/>
  <c r="A740" i="1"/>
  <c r="A739" i="1"/>
  <c r="A738" i="1"/>
  <c r="A737" i="1"/>
  <c r="A736" i="1"/>
  <c r="A735" i="1"/>
  <c r="A734" i="1"/>
  <c r="A733" i="1"/>
  <c r="A732" i="1"/>
  <c r="A731" i="1"/>
  <c r="A730" i="1"/>
  <c r="A729" i="1"/>
  <c r="A728" i="1"/>
  <c r="A727" i="1"/>
  <c r="A726" i="1"/>
  <c r="A725" i="1"/>
  <c r="A724" i="1"/>
  <c r="A723" i="1"/>
  <c r="A722" i="1"/>
  <c r="A721" i="1"/>
  <c r="A720" i="1"/>
  <c r="A719" i="1"/>
  <c r="A718" i="1"/>
  <c r="A717" i="1"/>
  <c r="A716" i="1"/>
  <c r="A715" i="1"/>
  <c r="A714" i="1"/>
  <c r="A713" i="1"/>
  <c r="A712" i="1"/>
  <c r="A711" i="1"/>
  <c r="A710" i="1"/>
  <c r="A709" i="1"/>
  <c r="A708" i="1"/>
  <c r="A707" i="1"/>
  <c r="A706" i="1"/>
  <c r="A705" i="1"/>
  <c r="A704" i="1"/>
  <c r="A703" i="1"/>
  <c r="A702" i="1"/>
  <c r="A701" i="1"/>
  <c r="A700" i="1"/>
  <c r="A699" i="1"/>
  <c r="A698" i="1"/>
  <c r="A697" i="1"/>
  <c r="A696" i="1"/>
  <c r="A695" i="1"/>
  <c r="A694" i="1"/>
  <c r="A693" i="1"/>
  <c r="A692" i="1"/>
  <c r="A691" i="1"/>
  <c r="A690" i="1"/>
  <c r="A689" i="1"/>
  <c r="A688" i="1"/>
  <c r="A687" i="1"/>
  <c r="A686" i="1"/>
  <c r="A685" i="1"/>
  <c r="A684" i="1"/>
  <c r="A683" i="1"/>
  <c r="A682" i="1"/>
  <c r="A681" i="1"/>
  <c r="A680" i="1"/>
  <c r="A679" i="1"/>
  <c r="A678" i="1"/>
  <c r="A677" i="1"/>
  <c r="A676" i="1"/>
  <c r="A675" i="1"/>
  <c r="A674" i="1"/>
  <c r="A673" i="1"/>
  <c r="A672" i="1"/>
  <c r="A671" i="1"/>
  <c r="A670" i="1"/>
  <c r="A669" i="1"/>
  <c r="A668" i="1"/>
  <c r="A667" i="1"/>
  <c r="A666" i="1"/>
  <c r="A665" i="1"/>
  <c r="A664" i="1"/>
  <c r="A663" i="1"/>
  <c r="A662" i="1"/>
  <c r="A661" i="1"/>
  <c r="A660" i="1"/>
  <c r="A659" i="1"/>
  <c r="A658" i="1"/>
  <c r="A657" i="1"/>
  <c r="A656" i="1"/>
  <c r="A655" i="1"/>
  <c r="A654" i="1"/>
  <c r="A653" i="1"/>
  <c r="A652" i="1"/>
  <c r="A651" i="1"/>
  <c r="A650" i="1"/>
  <c r="A649" i="1"/>
  <c r="A648" i="1"/>
  <c r="A647" i="1"/>
  <c r="A646" i="1"/>
  <c r="A645" i="1"/>
  <c r="A644" i="1"/>
  <c r="A643" i="1"/>
  <c r="A642" i="1"/>
  <c r="A641" i="1"/>
  <c r="A640" i="1"/>
  <c r="A639" i="1"/>
  <c r="A638" i="1"/>
  <c r="A637" i="1"/>
  <c r="A636" i="1"/>
  <c r="A635" i="1"/>
  <c r="A634" i="1"/>
  <c r="A633" i="1"/>
  <c r="A632" i="1"/>
  <c r="A631" i="1"/>
  <c r="A630" i="1"/>
  <c r="A629" i="1"/>
  <c r="A628" i="1"/>
  <c r="A627" i="1"/>
  <c r="A626" i="1"/>
  <c r="A625" i="1"/>
  <c r="A624" i="1"/>
  <c r="A623" i="1"/>
  <c r="A622" i="1"/>
  <c r="A621" i="1"/>
  <c r="A620" i="1"/>
  <c r="A619" i="1"/>
  <c r="A618" i="1"/>
  <c r="A617" i="1"/>
  <c r="A616" i="1"/>
  <c r="A615" i="1"/>
  <c r="A614" i="1"/>
  <c r="A613" i="1"/>
  <c r="A612" i="1"/>
  <c r="A611" i="1"/>
  <c r="A610" i="1"/>
  <c r="A609" i="1"/>
  <c r="A608" i="1"/>
  <c r="A607" i="1"/>
  <c r="A606" i="1"/>
  <c r="A605" i="1"/>
  <c r="A604" i="1"/>
  <c r="A603" i="1"/>
  <c r="A602" i="1"/>
  <c r="A601" i="1"/>
  <c r="A600" i="1"/>
  <c r="A599" i="1"/>
  <c r="A598" i="1"/>
  <c r="A597" i="1"/>
  <c r="A596" i="1"/>
  <c r="A595" i="1"/>
  <c r="A594" i="1"/>
  <c r="A593" i="1"/>
  <c r="A592" i="1"/>
  <c r="A591" i="1"/>
  <c r="A590" i="1"/>
  <c r="A589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560" i="1"/>
  <c r="A559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  <c r="N231" i="2"/>
  <c r="M231" i="2"/>
  <c r="L231" i="2"/>
  <c r="D231" i="2"/>
  <c r="N230" i="2"/>
  <c r="M230" i="2"/>
  <c r="L230" i="2"/>
  <c r="D230" i="2"/>
  <c r="N229" i="2"/>
  <c r="M229" i="2"/>
  <c r="L229" i="2"/>
  <c r="D229" i="2"/>
  <c r="N228" i="2"/>
  <c r="M228" i="2"/>
  <c r="L228" i="2"/>
  <c r="D228" i="2"/>
  <c r="N227" i="2"/>
  <c r="M227" i="2"/>
  <c r="L227" i="2"/>
  <c r="D227" i="2"/>
  <c r="N226" i="2"/>
  <c r="M226" i="2"/>
  <c r="L226" i="2"/>
  <c r="D226" i="2"/>
  <c r="N225" i="2"/>
  <c r="M225" i="2"/>
  <c r="L225" i="2"/>
  <c r="D225" i="2"/>
  <c r="N224" i="2"/>
  <c r="M224" i="2"/>
  <c r="L224" i="2"/>
  <c r="D224" i="2"/>
  <c r="N223" i="2"/>
  <c r="M223" i="2"/>
  <c r="L223" i="2"/>
  <c r="D223" i="2"/>
  <c r="N222" i="2"/>
  <c r="M222" i="2"/>
  <c r="L222" i="2"/>
  <c r="D222" i="2"/>
  <c r="N221" i="2"/>
  <c r="M221" i="2"/>
  <c r="L221" i="2"/>
  <c r="D221" i="2"/>
  <c r="N220" i="2"/>
  <c r="M220" i="2"/>
  <c r="L220" i="2"/>
  <c r="D220" i="2"/>
  <c r="N219" i="2"/>
  <c r="M219" i="2"/>
  <c r="L219" i="2"/>
  <c r="D219" i="2"/>
  <c r="N218" i="2"/>
  <c r="M218" i="2"/>
  <c r="L218" i="2"/>
  <c r="D218" i="2"/>
  <c r="N217" i="2"/>
  <c r="M217" i="2"/>
  <c r="L217" i="2"/>
  <c r="D217" i="2"/>
  <c r="N216" i="2"/>
  <c r="M216" i="2"/>
  <c r="L216" i="2"/>
  <c r="D216" i="2"/>
  <c r="N215" i="2"/>
  <c r="M215" i="2"/>
  <c r="L215" i="2"/>
  <c r="D215" i="2"/>
  <c r="N214" i="2"/>
  <c r="M214" i="2"/>
  <c r="L214" i="2"/>
  <c r="D214" i="2"/>
  <c r="N213" i="2"/>
  <c r="M213" i="2"/>
  <c r="L213" i="2"/>
  <c r="D213" i="2"/>
  <c r="N212" i="2"/>
  <c r="M212" i="2"/>
  <c r="L212" i="2"/>
  <c r="D212" i="2"/>
  <c r="N211" i="2"/>
  <c r="M211" i="2"/>
  <c r="L211" i="2"/>
  <c r="D211" i="2"/>
  <c r="N210" i="2"/>
  <c r="M210" i="2"/>
  <c r="L210" i="2"/>
  <c r="D210" i="2"/>
  <c r="N209" i="2"/>
  <c r="M209" i="2"/>
  <c r="L209" i="2"/>
  <c r="D209" i="2"/>
  <c r="N208" i="2"/>
  <c r="M208" i="2"/>
  <c r="L208" i="2"/>
  <c r="D208" i="2"/>
  <c r="N207" i="2"/>
  <c r="M207" i="2"/>
  <c r="L207" i="2"/>
  <c r="D207" i="2"/>
  <c r="N206" i="2"/>
  <c r="M206" i="2"/>
  <c r="L206" i="2"/>
  <c r="D206" i="2"/>
  <c r="N205" i="2"/>
  <c r="M205" i="2"/>
  <c r="L205" i="2"/>
  <c r="D205" i="2"/>
  <c r="N204" i="2"/>
  <c r="M204" i="2"/>
  <c r="L204" i="2"/>
  <c r="D204" i="2"/>
  <c r="N203" i="2"/>
  <c r="M203" i="2"/>
  <c r="L203" i="2"/>
  <c r="D203" i="2"/>
  <c r="N202" i="2"/>
  <c r="M202" i="2"/>
  <c r="L202" i="2"/>
  <c r="D202" i="2"/>
  <c r="N201" i="2"/>
  <c r="M201" i="2"/>
  <c r="L201" i="2"/>
  <c r="D201" i="2"/>
  <c r="N200" i="2"/>
  <c r="M200" i="2"/>
  <c r="L200" i="2"/>
  <c r="D200" i="2"/>
  <c r="N199" i="2"/>
  <c r="M199" i="2"/>
  <c r="L199" i="2"/>
  <c r="D199" i="2"/>
  <c r="N198" i="2"/>
  <c r="M198" i="2"/>
  <c r="L198" i="2"/>
  <c r="D198" i="2"/>
  <c r="N197" i="2"/>
  <c r="M197" i="2"/>
  <c r="L197" i="2"/>
  <c r="D197" i="2"/>
  <c r="N196" i="2"/>
  <c r="M196" i="2"/>
  <c r="L196" i="2"/>
  <c r="D196" i="2"/>
  <c r="N195" i="2"/>
  <c r="M195" i="2"/>
  <c r="L195" i="2"/>
  <c r="D195" i="2"/>
  <c r="N194" i="2"/>
  <c r="M194" i="2"/>
  <c r="L194" i="2"/>
  <c r="D194" i="2"/>
  <c r="N193" i="2"/>
  <c r="M193" i="2"/>
  <c r="L193" i="2"/>
  <c r="D193" i="2"/>
  <c r="N192" i="2"/>
  <c r="M192" i="2"/>
  <c r="L192" i="2"/>
  <c r="D192" i="2"/>
  <c r="N191" i="2"/>
  <c r="M191" i="2"/>
  <c r="L191" i="2"/>
  <c r="D191" i="2"/>
  <c r="N190" i="2"/>
  <c r="M190" i="2"/>
  <c r="L190" i="2"/>
  <c r="D190" i="2"/>
  <c r="N189" i="2"/>
  <c r="M189" i="2"/>
  <c r="L189" i="2"/>
  <c r="D189" i="2"/>
  <c r="N188" i="2"/>
  <c r="M188" i="2"/>
  <c r="L188" i="2"/>
  <c r="D188" i="2"/>
  <c r="N187" i="2"/>
  <c r="M187" i="2"/>
  <c r="L187" i="2"/>
  <c r="D187" i="2"/>
  <c r="N186" i="2"/>
  <c r="M186" i="2"/>
  <c r="L186" i="2"/>
  <c r="D186" i="2"/>
  <c r="N185" i="2"/>
  <c r="M185" i="2"/>
  <c r="L185" i="2"/>
  <c r="D185" i="2"/>
  <c r="N184" i="2"/>
  <c r="M184" i="2"/>
  <c r="L184" i="2"/>
  <c r="D184" i="2"/>
  <c r="N183" i="2"/>
  <c r="M183" i="2"/>
  <c r="L183" i="2"/>
  <c r="D183" i="2"/>
  <c r="N182" i="2"/>
  <c r="M182" i="2"/>
  <c r="L182" i="2"/>
  <c r="D182" i="2"/>
  <c r="N181" i="2"/>
  <c r="M181" i="2"/>
  <c r="L181" i="2"/>
  <c r="D181" i="2"/>
  <c r="N180" i="2"/>
  <c r="M180" i="2"/>
  <c r="L180" i="2"/>
  <c r="D180" i="2"/>
  <c r="N179" i="2"/>
  <c r="M179" i="2"/>
  <c r="L179" i="2"/>
  <c r="D179" i="2"/>
  <c r="N178" i="2"/>
  <c r="M178" i="2"/>
  <c r="L178" i="2"/>
  <c r="D178" i="2"/>
  <c r="N177" i="2"/>
  <c r="M177" i="2"/>
  <c r="L177" i="2"/>
  <c r="D177" i="2"/>
  <c r="N176" i="2"/>
  <c r="M176" i="2"/>
  <c r="L176" i="2"/>
  <c r="D176" i="2"/>
  <c r="N175" i="2"/>
  <c r="M175" i="2"/>
  <c r="L175" i="2"/>
  <c r="D175" i="2"/>
  <c r="N174" i="2"/>
  <c r="M174" i="2"/>
  <c r="L174" i="2"/>
  <c r="D174" i="2"/>
  <c r="N173" i="2"/>
  <c r="M173" i="2"/>
  <c r="L173" i="2"/>
  <c r="D173" i="2"/>
  <c r="N172" i="2"/>
  <c r="M172" i="2"/>
  <c r="L172" i="2"/>
  <c r="D172" i="2"/>
  <c r="N171" i="2"/>
  <c r="M171" i="2"/>
  <c r="L171" i="2"/>
  <c r="D171" i="2"/>
  <c r="N170" i="2"/>
  <c r="M170" i="2"/>
  <c r="L170" i="2"/>
  <c r="D170" i="2"/>
  <c r="N169" i="2"/>
  <c r="M169" i="2"/>
  <c r="L169" i="2"/>
  <c r="D169" i="2"/>
  <c r="N168" i="2"/>
  <c r="M168" i="2"/>
  <c r="L168" i="2"/>
  <c r="D168" i="2"/>
  <c r="N167" i="2"/>
  <c r="M167" i="2"/>
  <c r="L167" i="2"/>
  <c r="D167" i="2"/>
  <c r="N166" i="2"/>
  <c r="M166" i="2"/>
  <c r="L166" i="2"/>
  <c r="D166" i="2"/>
  <c r="N165" i="2"/>
  <c r="M165" i="2"/>
  <c r="L165" i="2"/>
  <c r="D165" i="2"/>
  <c r="N164" i="2"/>
  <c r="M164" i="2"/>
  <c r="L164" i="2"/>
  <c r="D164" i="2"/>
  <c r="N163" i="2"/>
  <c r="M163" i="2"/>
  <c r="L163" i="2"/>
  <c r="D163" i="2"/>
  <c r="N162" i="2"/>
  <c r="M162" i="2"/>
  <c r="L162" i="2"/>
  <c r="D162" i="2"/>
  <c r="N161" i="2"/>
  <c r="M161" i="2"/>
  <c r="L161" i="2"/>
  <c r="D161" i="2"/>
  <c r="N160" i="2"/>
  <c r="M160" i="2"/>
  <c r="L160" i="2"/>
  <c r="D160" i="2"/>
  <c r="N159" i="2"/>
  <c r="M159" i="2"/>
  <c r="L159" i="2"/>
  <c r="D159" i="2"/>
  <c r="N158" i="2"/>
  <c r="M158" i="2"/>
  <c r="L158" i="2"/>
  <c r="D158" i="2"/>
  <c r="N157" i="2"/>
  <c r="M157" i="2"/>
  <c r="L157" i="2"/>
  <c r="D157" i="2"/>
  <c r="N156" i="2"/>
  <c r="M156" i="2"/>
  <c r="L156" i="2"/>
  <c r="D156" i="2"/>
  <c r="N155" i="2"/>
  <c r="M155" i="2"/>
  <c r="L155" i="2"/>
  <c r="D155" i="2"/>
  <c r="N154" i="2"/>
  <c r="M154" i="2"/>
  <c r="L154" i="2"/>
  <c r="D154" i="2"/>
  <c r="N153" i="2"/>
  <c r="M153" i="2"/>
  <c r="L153" i="2"/>
  <c r="D153" i="2"/>
  <c r="N152" i="2"/>
  <c r="M152" i="2"/>
  <c r="L152" i="2"/>
  <c r="D152" i="2"/>
  <c r="N151" i="2"/>
  <c r="M151" i="2"/>
  <c r="L151" i="2"/>
  <c r="D151" i="2"/>
  <c r="N150" i="2"/>
  <c r="M150" i="2"/>
  <c r="L150" i="2"/>
  <c r="D150" i="2"/>
  <c r="N149" i="2"/>
  <c r="M149" i="2"/>
  <c r="L149" i="2"/>
  <c r="D149" i="2"/>
  <c r="N148" i="2"/>
  <c r="M148" i="2"/>
  <c r="L148" i="2"/>
  <c r="D148" i="2"/>
  <c r="N147" i="2"/>
  <c r="M147" i="2"/>
  <c r="L147" i="2"/>
  <c r="D147" i="2"/>
  <c r="N146" i="2"/>
  <c r="M146" i="2"/>
  <c r="L146" i="2"/>
  <c r="D146" i="2"/>
  <c r="N145" i="2"/>
  <c r="M145" i="2"/>
  <c r="L145" i="2"/>
  <c r="D145" i="2"/>
  <c r="N144" i="2"/>
  <c r="M144" i="2"/>
  <c r="L144" i="2"/>
  <c r="D144" i="2"/>
  <c r="N143" i="2"/>
  <c r="M143" i="2"/>
  <c r="L143" i="2"/>
  <c r="D143" i="2"/>
  <c r="N142" i="2"/>
  <c r="M142" i="2"/>
  <c r="L142" i="2"/>
  <c r="D142" i="2"/>
  <c r="N141" i="2"/>
  <c r="M141" i="2"/>
  <c r="L141" i="2"/>
  <c r="D141" i="2"/>
  <c r="N140" i="2"/>
  <c r="M140" i="2"/>
  <c r="L140" i="2"/>
  <c r="D140" i="2"/>
  <c r="N139" i="2"/>
  <c r="M139" i="2"/>
  <c r="L139" i="2"/>
  <c r="D139" i="2"/>
  <c r="N138" i="2"/>
  <c r="M138" i="2"/>
  <c r="L138" i="2"/>
  <c r="D138" i="2"/>
  <c r="N137" i="2"/>
  <c r="M137" i="2"/>
  <c r="L137" i="2"/>
  <c r="D137" i="2"/>
  <c r="N136" i="2"/>
  <c r="M136" i="2"/>
  <c r="L136" i="2"/>
  <c r="D136" i="2"/>
  <c r="N135" i="2"/>
  <c r="M135" i="2"/>
  <c r="L135" i="2"/>
  <c r="D135" i="2"/>
  <c r="N134" i="2"/>
  <c r="M134" i="2"/>
  <c r="L134" i="2"/>
  <c r="D134" i="2"/>
  <c r="N133" i="2"/>
  <c r="M133" i="2"/>
  <c r="L133" i="2"/>
  <c r="D133" i="2"/>
  <c r="N132" i="2"/>
  <c r="M132" i="2"/>
  <c r="L132" i="2"/>
  <c r="D132" i="2"/>
  <c r="N131" i="2"/>
  <c r="M131" i="2"/>
  <c r="L131" i="2"/>
  <c r="D131" i="2"/>
  <c r="N130" i="2"/>
  <c r="M130" i="2"/>
  <c r="L130" i="2"/>
  <c r="D130" i="2"/>
  <c r="N129" i="2"/>
  <c r="M129" i="2"/>
  <c r="L129" i="2"/>
  <c r="D129" i="2"/>
  <c r="N128" i="2"/>
  <c r="M128" i="2"/>
  <c r="L128" i="2"/>
  <c r="D128" i="2"/>
  <c r="N127" i="2"/>
  <c r="M127" i="2"/>
  <c r="L127" i="2"/>
  <c r="D127" i="2"/>
  <c r="N126" i="2"/>
  <c r="M126" i="2"/>
  <c r="L126" i="2"/>
  <c r="D126" i="2"/>
  <c r="N125" i="2"/>
  <c r="M125" i="2"/>
  <c r="L125" i="2"/>
  <c r="D125" i="2"/>
  <c r="N124" i="2"/>
  <c r="M124" i="2"/>
  <c r="L124" i="2"/>
  <c r="D124" i="2"/>
  <c r="N123" i="2"/>
  <c r="M123" i="2"/>
  <c r="L123" i="2"/>
  <c r="D123" i="2"/>
  <c r="N122" i="2"/>
  <c r="M122" i="2"/>
  <c r="L122" i="2"/>
  <c r="D122" i="2"/>
  <c r="N121" i="2"/>
  <c r="M121" i="2"/>
  <c r="L121" i="2"/>
  <c r="D121" i="2"/>
  <c r="N120" i="2"/>
  <c r="M120" i="2"/>
  <c r="L120" i="2"/>
  <c r="D120" i="2"/>
  <c r="N119" i="2"/>
  <c r="M119" i="2"/>
  <c r="L119" i="2"/>
  <c r="D119" i="2"/>
  <c r="N118" i="2"/>
  <c r="M118" i="2"/>
  <c r="L118" i="2"/>
  <c r="D118" i="2"/>
  <c r="N117" i="2"/>
  <c r="M117" i="2"/>
  <c r="L117" i="2"/>
  <c r="D117" i="2"/>
  <c r="N116" i="2"/>
  <c r="M116" i="2"/>
  <c r="L116" i="2"/>
  <c r="D116" i="2"/>
  <c r="N115" i="2"/>
  <c r="M115" i="2"/>
  <c r="L115" i="2"/>
  <c r="D115" i="2"/>
  <c r="N114" i="2"/>
  <c r="M114" i="2"/>
  <c r="L114" i="2"/>
  <c r="D114" i="2"/>
  <c r="N113" i="2"/>
  <c r="M113" i="2"/>
  <c r="L113" i="2"/>
  <c r="D113" i="2"/>
  <c r="N112" i="2"/>
  <c r="M112" i="2"/>
  <c r="L112" i="2"/>
  <c r="D112" i="2"/>
  <c r="N111" i="2"/>
  <c r="M111" i="2"/>
  <c r="L111" i="2"/>
  <c r="D111" i="2"/>
  <c r="N110" i="2"/>
  <c r="M110" i="2"/>
  <c r="L110" i="2"/>
  <c r="D110" i="2"/>
  <c r="N109" i="2"/>
  <c r="M109" i="2"/>
  <c r="L109" i="2"/>
  <c r="D109" i="2"/>
  <c r="N108" i="2"/>
  <c r="M108" i="2"/>
  <c r="L108" i="2"/>
  <c r="D108" i="2"/>
  <c r="N107" i="2"/>
  <c r="M107" i="2"/>
  <c r="L107" i="2"/>
  <c r="D107" i="2"/>
  <c r="N106" i="2"/>
  <c r="M106" i="2"/>
  <c r="L106" i="2"/>
  <c r="D106" i="2"/>
  <c r="N105" i="2"/>
  <c r="M105" i="2"/>
  <c r="L105" i="2"/>
  <c r="D105" i="2"/>
  <c r="N104" i="2"/>
  <c r="M104" i="2"/>
  <c r="L104" i="2"/>
  <c r="D104" i="2"/>
  <c r="N103" i="2"/>
  <c r="M103" i="2"/>
  <c r="L103" i="2"/>
  <c r="D103" i="2"/>
  <c r="N102" i="2"/>
  <c r="M102" i="2"/>
  <c r="L102" i="2"/>
  <c r="D102" i="2"/>
  <c r="N101" i="2"/>
  <c r="M101" i="2"/>
  <c r="L101" i="2"/>
  <c r="D101" i="2"/>
  <c r="N100" i="2"/>
  <c r="M100" i="2"/>
  <c r="L100" i="2"/>
  <c r="D100" i="2"/>
  <c r="N99" i="2"/>
  <c r="M99" i="2"/>
  <c r="L99" i="2"/>
  <c r="D99" i="2"/>
  <c r="N98" i="2"/>
  <c r="M98" i="2"/>
  <c r="L98" i="2"/>
  <c r="D98" i="2"/>
  <c r="N97" i="2"/>
  <c r="M97" i="2"/>
  <c r="L97" i="2"/>
  <c r="D97" i="2"/>
  <c r="N96" i="2"/>
  <c r="M96" i="2"/>
  <c r="L96" i="2"/>
  <c r="D96" i="2"/>
  <c r="N95" i="2"/>
  <c r="M95" i="2"/>
  <c r="L95" i="2"/>
  <c r="D95" i="2"/>
  <c r="N94" i="2"/>
  <c r="M94" i="2"/>
  <c r="L94" i="2"/>
  <c r="D94" i="2"/>
  <c r="N93" i="2"/>
  <c r="M93" i="2"/>
  <c r="L93" i="2"/>
  <c r="D93" i="2"/>
  <c r="N92" i="2"/>
  <c r="M92" i="2"/>
  <c r="L92" i="2"/>
  <c r="D92" i="2"/>
  <c r="N91" i="2"/>
  <c r="M91" i="2"/>
  <c r="L91" i="2"/>
  <c r="D91" i="2"/>
  <c r="N90" i="2"/>
  <c r="M90" i="2"/>
  <c r="L90" i="2"/>
  <c r="D90" i="2"/>
  <c r="N89" i="2"/>
  <c r="M89" i="2"/>
  <c r="L89" i="2"/>
  <c r="D89" i="2"/>
  <c r="N88" i="2"/>
  <c r="M88" i="2"/>
  <c r="L88" i="2"/>
  <c r="D88" i="2"/>
  <c r="N87" i="2"/>
  <c r="M87" i="2"/>
  <c r="L87" i="2"/>
  <c r="D87" i="2"/>
  <c r="N86" i="2"/>
  <c r="M86" i="2"/>
  <c r="L86" i="2"/>
  <c r="D86" i="2"/>
  <c r="N85" i="2"/>
  <c r="M85" i="2"/>
  <c r="L85" i="2"/>
  <c r="D85" i="2"/>
  <c r="N84" i="2"/>
  <c r="M84" i="2"/>
  <c r="L84" i="2"/>
  <c r="D84" i="2"/>
  <c r="N83" i="2"/>
  <c r="M83" i="2"/>
  <c r="L83" i="2"/>
  <c r="D83" i="2"/>
  <c r="N82" i="2"/>
  <c r="M82" i="2"/>
  <c r="L82" i="2"/>
  <c r="D82" i="2"/>
  <c r="N81" i="2"/>
  <c r="M81" i="2"/>
  <c r="L81" i="2"/>
  <c r="D81" i="2"/>
  <c r="N80" i="2"/>
  <c r="M80" i="2"/>
  <c r="L80" i="2"/>
  <c r="D80" i="2"/>
  <c r="N79" i="2"/>
  <c r="M79" i="2"/>
  <c r="L79" i="2"/>
  <c r="D79" i="2"/>
  <c r="N78" i="2"/>
  <c r="M78" i="2"/>
  <c r="L78" i="2"/>
  <c r="D78" i="2"/>
  <c r="N77" i="2"/>
  <c r="M77" i="2"/>
  <c r="L77" i="2"/>
  <c r="D77" i="2"/>
  <c r="N76" i="2"/>
  <c r="M76" i="2"/>
  <c r="L76" i="2"/>
  <c r="D76" i="2"/>
  <c r="N75" i="2"/>
  <c r="M75" i="2"/>
  <c r="L75" i="2"/>
  <c r="D75" i="2"/>
  <c r="N74" i="2"/>
  <c r="M74" i="2"/>
  <c r="L74" i="2"/>
  <c r="D74" i="2"/>
  <c r="N73" i="2"/>
  <c r="M73" i="2"/>
  <c r="L73" i="2"/>
  <c r="D73" i="2"/>
  <c r="N72" i="2"/>
  <c r="M72" i="2"/>
  <c r="L72" i="2"/>
  <c r="D72" i="2"/>
  <c r="N71" i="2"/>
  <c r="M71" i="2"/>
  <c r="L71" i="2"/>
  <c r="D71" i="2"/>
  <c r="N70" i="2"/>
  <c r="M70" i="2"/>
  <c r="L70" i="2"/>
  <c r="D70" i="2"/>
  <c r="N69" i="2"/>
  <c r="M69" i="2"/>
  <c r="L69" i="2"/>
  <c r="D69" i="2"/>
  <c r="N68" i="2"/>
  <c r="M68" i="2"/>
  <c r="L68" i="2"/>
  <c r="D68" i="2"/>
  <c r="N67" i="2"/>
  <c r="M67" i="2"/>
  <c r="L67" i="2"/>
  <c r="D67" i="2"/>
  <c r="N66" i="2"/>
  <c r="M66" i="2"/>
  <c r="L66" i="2"/>
  <c r="D66" i="2"/>
  <c r="N65" i="2"/>
  <c r="M65" i="2"/>
  <c r="L65" i="2"/>
  <c r="D65" i="2"/>
  <c r="N64" i="2"/>
  <c r="M64" i="2"/>
  <c r="L64" i="2"/>
  <c r="D64" i="2"/>
  <c r="N63" i="2"/>
  <c r="M63" i="2"/>
  <c r="L63" i="2"/>
  <c r="D63" i="2"/>
  <c r="N62" i="2"/>
  <c r="M62" i="2"/>
  <c r="L62" i="2"/>
  <c r="D62" i="2"/>
  <c r="N61" i="2"/>
  <c r="M61" i="2"/>
  <c r="L61" i="2"/>
  <c r="D61" i="2"/>
  <c r="N60" i="2"/>
  <c r="M60" i="2"/>
  <c r="L60" i="2"/>
  <c r="D60" i="2"/>
  <c r="N59" i="2"/>
  <c r="M59" i="2"/>
  <c r="L59" i="2"/>
  <c r="D59" i="2"/>
  <c r="N58" i="2"/>
  <c r="M58" i="2"/>
  <c r="L58" i="2"/>
  <c r="D58" i="2"/>
  <c r="N57" i="2"/>
  <c r="M57" i="2"/>
  <c r="L57" i="2"/>
  <c r="D57" i="2"/>
  <c r="N56" i="2"/>
  <c r="M56" i="2"/>
  <c r="L56" i="2"/>
  <c r="D56" i="2"/>
  <c r="N55" i="2"/>
  <c r="M55" i="2"/>
  <c r="L55" i="2"/>
  <c r="D55" i="2"/>
  <c r="N54" i="2"/>
  <c r="M54" i="2"/>
  <c r="L54" i="2"/>
  <c r="D54" i="2"/>
  <c r="N53" i="2"/>
  <c r="M53" i="2"/>
  <c r="L53" i="2"/>
  <c r="D53" i="2"/>
  <c r="N52" i="2"/>
  <c r="M52" i="2"/>
  <c r="L52" i="2"/>
  <c r="D52" i="2"/>
  <c r="N51" i="2"/>
  <c r="M51" i="2"/>
  <c r="L51" i="2"/>
  <c r="D51" i="2"/>
  <c r="N50" i="2"/>
  <c r="M50" i="2"/>
  <c r="L50" i="2"/>
  <c r="D50" i="2"/>
  <c r="N49" i="2"/>
  <c r="M49" i="2"/>
  <c r="L49" i="2"/>
  <c r="D49" i="2"/>
  <c r="N48" i="2"/>
  <c r="M48" i="2"/>
  <c r="L48" i="2"/>
  <c r="D48" i="2"/>
  <c r="N47" i="2"/>
  <c r="M47" i="2"/>
  <c r="L47" i="2"/>
  <c r="D47" i="2"/>
  <c r="N46" i="2"/>
  <c r="M46" i="2"/>
  <c r="L46" i="2"/>
  <c r="D46" i="2"/>
  <c r="N45" i="2"/>
  <c r="M45" i="2"/>
  <c r="L45" i="2"/>
  <c r="D45" i="2"/>
  <c r="N44" i="2"/>
  <c r="M44" i="2"/>
  <c r="L44" i="2"/>
  <c r="D44" i="2"/>
  <c r="N43" i="2"/>
  <c r="M43" i="2"/>
  <c r="L43" i="2"/>
  <c r="D43" i="2"/>
  <c r="N42" i="2"/>
  <c r="M42" i="2"/>
  <c r="L42" i="2"/>
  <c r="D42" i="2"/>
  <c r="N41" i="2"/>
  <c r="M41" i="2"/>
  <c r="L41" i="2"/>
  <c r="D41" i="2"/>
  <c r="N40" i="2"/>
  <c r="M40" i="2"/>
  <c r="L40" i="2"/>
  <c r="D40" i="2"/>
  <c r="N39" i="2"/>
  <c r="M39" i="2"/>
  <c r="L39" i="2"/>
  <c r="D39" i="2"/>
  <c r="N38" i="2"/>
  <c r="M38" i="2"/>
  <c r="L38" i="2"/>
  <c r="D38" i="2"/>
  <c r="N37" i="2"/>
  <c r="M37" i="2"/>
  <c r="L37" i="2"/>
  <c r="D37" i="2"/>
  <c r="N36" i="2"/>
  <c r="M36" i="2"/>
  <c r="L36" i="2"/>
  <c r="D36" i="2"/>
  <c r="N35" i="2"/>
  <c r="M35" i="2"/>
  <c r="L35" i="2"/>
  <c r="D35" i="2"/>
  <c r="N34" i="2"/>
  <c r="M34" i="2"/>
  <c r="L34" i="2"/>
  <c r="D34" i="2"/>
  <c r="N33" i="2"/>
  <c r="M33" i="2"/>
  <c r="L33" i="2"/>
  <c r="D33" i="2"/>
  <c r="N32" i="2"/>
  <c r="M32" i="2"/>
  <c r="L32" i="2"/>
  <c r="D32" i="2"/>
  <c r="N31" i="2"/>
  <c r="M31" i="2"/>
  <c r="L31" i="2"/>
  <c r="D31" i="2"/>
  <c r="N30" i="2"/>
  <c r="M30" i="2"/>
  <c r="L30" i="2"/>
  <c r="D30" i="2"/>
  <c r="N29" i="2"/>
  <c r="M29" i="2"/>
  <c r="L29" i="2"/>
  <c r="D29" i="2"/>
  <c r="N28" i="2"/>
  <c r="M28" i="2"/>
  <c r="L28" i="2"/>
  <c r="D28" i="2"/>
  <c r="N27" i="2"/>
  <c r="M27" i="2"/>
  <c r="L27" i="2"/>
  <c r="D27" i="2"/>
  <c r="N26" i="2"/>
  <c r="M26" i="2"/>
  <c r="L26" i="2"/>
  <c r="D26" i="2"/>
  <c r="N25" i="2"/>
  <c r="M25" i="2"/>
  <c r="L25" i="2"/>
  <c r="D25" i="2"/>
  <c r="N24" i="2"/>
  <c r="M24" i="2"/>
  <c r="L24" i="2"/>
  <c r="D24" i="2"/>
  <c r="N23" i="2"/>
  <c r="M23" i="2"/>
  <c r="L23" i="2"/>
  <c r="D23" i="2"/>
  <c r="D22" i="2"/>
  <c r="G21" i="2"/>
  <c r="N20" i="2"/>
  <c r="M20" i="2"/>
  <c r="L20" i="2"/>
  <c r="D20" i="2"/>
  <c r="N19" i="2"/>
  <c r="M19" i="2"/>
  <c r="L19" i="2"/>
  <c r="D19" i="2"/>
  <c r="N18" i="2"/>
  <c r="M18" i="2"/>
  <c r="L18" i="2"/>
  <c r="D18" i="2"/>
  <c r="N17" i="2"/>
  <c r="M17" i="2"/>
  <c r="L17" i="2"/>
  <c r="D17" i="2"/>
  <c r="N16" i="2"/>
  <c r="M16" i="2"/>
  <c r="L16" i="2"/>
  <c r="D16" i="2"/>
  <c r="N15" i="2"/>
  <c r="M15" i="2"/>
  <c r="L15" i="2"/>
  <c r="D15" i="2"/>
  <c r="N14" i="2"/>
  <c r="M14" i="2"/>
  <c r="L14" i="2"/>
  <c r="D14" i="2"/>
  <c r="N13" i="2"/>
  <c r="M13" i="2"/>
  <c r="L13" i="2"/>
  <c r="D13" i="2"/>
  <c r="N12" i="2"/>
  <c r="M12" i="2"/>
  <c r="L12" i="2"/>
  <c r="D12" i="2"/>
  <c r="N11" i="2"/>
  <c r="M11" i="2"/>
  <c r="L11" i="2"/>
  <c r="D11" i="2"/>
  <c r="N10" i="2"/>
  <c r="M10" i="2"/>
  <c r="L10" i="2"/>
  <c r="D10" i="2"/>
  <c r="N9" i="2"/>
  <c r="M9" i="2"/>
  <c r="L9" i="2"/>
  <c r="D9" i="2"/>
  <c r="N8" i="2"/>
  <c r="M8" i="2"/>
  <c r="L8" i="2"/>
  <c r="D8" i="2"/>
  <c r="N7" i="2"/>
  <c r="M7" i="2"/>
  <c r="L7" i="2"/>
  <c r="D7" i="2"/>
  <c r="N6" i="2"/>
  <c r="M6" i="2"/>
  <c r="L6" i="2"/>
  <c r="D6" i="2"/>
  <c r="N5" i="2"/>
  <c r="M5" i="2"/>
  <c r="L5" i="2"/>
  <c r="D5" i="2"/>
  <c r="N4" i="2"/>
  <c r="M4" i="2"/>
  <c r="L4" i="2"/>
  <c r="D4" i="2"/>
  <c r="N3" i="2"/>
  <c r="M3" i="2"/>
  <c r="L3" i="2"/>
  <c r="D3" i="2"/>
  <c r="I3" i="2" l="1"/>
  <c r="H3" i="2"/>
  <c r="G3" i="2"/>
  <c r="F3" i="2"/>
  <c r="E3" i="2"/>
  <c r="J3" i="2" s="1"/>
  <c r="R3" i="2"/>
  <c r="P3" i="2"/>
  <c r="O3" i="2"/>
  <c r="I4" i="2"/>
  <c r="H4" i="2"/>
  <c r="G4" i="2"/>
  <c r="F4" i="2"/>
  <c r="E4" i="2"/>
  <c r="J4" i="2" s="1"/>
  <c r="R4" i="2"/>
  <c r="P4" i="2"/>
  <c r="O4" i="2"/>
  <c r="I5" i="2"/>
  <c r="H5" i="2"/>
  <c r="G5" i="2"/>
  <c r="F5" i="2"/>
  <c r="E5" i="2"/>
  <c r="J5" i="2" s="1"/>
  <c r="R5" i="2"/>
  <c r="P5" i="2"/>
  <c r="O5" i="2"/>
  <c r="I6" i="2"/>
  <c r="H6" i="2"/>
  <c r="G6" i="2"/>
  <c r="F6" i="2"/>
  <c r="E6" i="2"/>
  <c r="J6" i="2" s="1"/>
  <c r="R6" i="2"/>
  <c r="P6" i="2"/>
  <c r="O6" i="2"/>
  <c r="I7" i="2"/>
  <c r="H7" i="2"/>
  <c r="G7" i="2"/>
  <c r="F7" i="2"/>
  <c r="E7" i="2"/>
  <c r="J7" i="2" s="1"/>
  <c r="R7" i="2"/>
  <c r="P7" i="2"/>
  <c r="O7" i="2"/>
  <c r="I8" i="2"/>
  <c r="H8" i="2"/>
  <c r="G8" i="2"/>
  <c r="F8" i="2"/>
  <c r="E8" i="2"/>
  <c r="J8" i="2" s="1"/>
  <c r="R8" i="2"/>
  <c r="P8" i="2"/>
  <c r="O8" i="2"/>
  <c r="I9" i="2"/>
  <c r="H9" i="2"/>
  <c r="G9" i="2"/>
  <c r="F9" i="2"/>
  <c r="E9" i="2"/>
  <c r="J9" i="2" s="1"/>
  <c r="R9" i="2"/>
  <c r="P9" i="2"/>
  <c r="O9" i="2"/>
  <c r="I10" i="2"/>
  <c r="H10" i="2"/>
  <c r="G10" i="2"/>
  <c r="F10" i="2"/>
  <c r="E10" i="2"/>
  <c r="J10" i="2" s="1"/>
  <c r="R10" i="2"/>
  <c r="P10" i="2"/>
  <c r="O10" i="2"/>
  <c r="I11" i="2"/>
  <c r="H11" i="2"/>
  <c r="G11" i="2"/>
  <c r="F11" i="2"/>
  <c r="E11" i="2"/>
  <c r="J11" i="2" s="1"/>
  <c r="R11" i="2"/>
  <c r="P11" i="2"/>
  <c r="O11" i="2"/>
  <c r="I12" i="2"/>
  <c r="H12" i="2"/>
  <c r="G12" i="2"/>
  <c r="F12" i="2"/>
  <c r="E12" i="2"/>
  <c r="J12" i="2" s="1"/>
  <c r="R12" i="2"/>
  <c r="P12" i="2"/>
  <c r="O12" i="2"/>
  <c r="I13" i="2"/>
  <c r="H13" i="2"/>
  <c r="G13" i="2"/>
  <c r="F13" i="2"/>
  <c r="E13" i="2"/>
  <c r="J13" i="2" s="1"/>
  <c r="R13" i="2"/>
  <c r="P13" i="2"/>
  <c r="O13" i="2"/>
  <c r="I14" i="2"/>
  <c r="H14" i="2"/>
  <c r="G14" i="2"/>
  <c r="F14" i="2"/>
  <c r="E14" i="2"/>
  <c r="J14" i="2" s="1"/>
  <c r="R14" i="2"/>
  <c r="P14" i="2"/>
  <c r="O14" i="2"/>
  <c r="I15" i="2"/>
  <c r="H15" i="2"/>
  <c r="G15" i="2"/>
  <c r="F15" i="2"/>
  <c r="E15" i="2"/>
  <c r="J15" i="2" s="1"/>
  <c r="R15" i="2"/>
  <c r="P15" i="2"/>
  <c r="O15" i="2"/>
  <c r="I16" i="2"/>
  <c r="H16" i="2"/>
  <c r="G16" i="2"/>
  <c r="F16" i="2"/>
  <c r="E16" i="2"/>
  <c r="J16" i="2" s="1"/>
  <c r="R16" i="2"/>
  <c r="P16" i="2"/>
  <c r="O16" i="2"/>
  <c r="I17" i="2"/>
  <c r="H17" i="2"/>
  <c r="G17" i="2"/>
  <c r="F17" i="2"/>
  <c r="E17" i="2"/>
  <c r="J17" i="2" s="1"/>
  <c r="R17" i="2"/>
  <c r="P17" i="2"/>
  <c r="O17" i="2"/>
  <c r="I18" i="2"/>
  <c r="H18" i="2"/>
  <c r="G18" i="2"/>
  <c r="F18" i="2"/>
  <c r="E18" i="2"/>
  <c r="J18" i="2" s="1"/>
  <c r="R18" i="2"/>
  <c r="P18" i="2"/>
  <c r="O18" i="2"/>
  <c r="I19" i="2"/>
  <c r="H19" i="2"/>
  <c r="G19" i="2"/>
  <c r="F19" i="2"/>
  <c r="E19" i="2"/>
  <c r="J19" i="2" s="1"/>
  <c r="R19" i="2"/>
  <c r="P19" i="2"/>
  <c r="O19" i="2"/>
  <c r="I20" i="2"/>
  <c r="H20" i="2"/>
  <c r="G20" i="2"/>
  <c r="F20" i="2"/>
  <c r="E20" i="2"/>
  <c r="J20" i="2" s="1"/>
  <c r="R20" i="2"/>
  <c r="P20" i="2"/>
  <c r="O20" i="2"/>
  <c r="I22" i="2"/>
  <c r="H22" i="2"/>
  <c r="G22" i="2"/>
  <c r="F22" i="2"/>
  <c r="E22" i="2"/>
  <c r="I23" i="2"/>
  <c r="H23" i="2"/>
  <c r="G23" i="2"/>
  <c r="F23" i="2"/>
  <c r="E23" i="2"/>
  <c r="J23" i="2" s="1"/>
  <c r="R23" i="2"/>
  <c r="P23" i="2"/>
  <c r="O23" i="2"/>
  <c r="I24" i="2"/>
  <c r="H24" i="2"/>
  <c r="G24" i="2"/>
  <c r="F24" i="2"/>
  <c r="E24" i="2"/>
  <c r="J24" i="2" s="1"/>
  <c r="R24" i="2"/>
  <c r="P24" i="2"/>
  <c r="O24" i="2"/>
  <c r="I25" i="2"/>
  <c r="H25" i="2"/>
  <c r="G25" i="2"/>
  <c r="F25" i="2"/>
  <c r="E25" i="2"/>
  <c r="J25" i="2" s="1"/>
  <c r="R25" i="2"/>
  <c r="P25" i="2"/>
  <c r="O25" i="2"/>
  <c r="I26" i="2"/>
  <c r="H26" i="2"/>
  <c r="G26" i="2"/>
  <c r="F26" i="2"/>
  <c r="E26" i="2"/>
  <c r="J26" i="2" s="1"/>
  <c r="R26" i="2"/>
  <c r="P26" i="2"/>
  <c r="O26" i="2"/>
  <c r="I27" i="2"/>
  <c r="H27" i="2"/>
  <c r="G27" i="2"/>
  <c r="F27" i="2"/>
  <c r="E27" i="2"/>
  <c r="J27" i="2" s="1"/>
  <c r="R27" i="2"/>
  <c r="P27" i="2"/>
  <c r="O27" i="2"/>
  <c r="I28" i="2"/>
  <c r="H28" i="2"/>
  <c r="G28" i="2"/>
  <c r="F28" i="2"/>
  <c r="E28" i="2"/>
  <c r="J28" i="2" s="1"/>
  <c r="R28" i="2"/>
  <c r="P28" i="2"/>
  <c r="O28" i="2"/>
  <c r="I29" i="2"/>
  <c r="H29" i="2"/>
  <c r="G29" i="2"/>
  <c r="F29" i="2"/>
  <c r="E29" i="2"/>
  <c r="J29" i="2" s="1"/>
  <c r="R29" i="2"/>
  <c r="P29" i="2"/>
  <c r="O29" i="2"/>
  <c r="I30" i="2"/>
  <c r="H30" i="2"/>
  <c r="G30" i="2"/>
  <c r="F30" i="2"/>
  <c r="E30" i="2"/>
  <c r="J30" i="2" s="1"/>
  <c r="R30" i="2"/>
  <c r="P30" i="2"/>
  <c r="O30" i="2"/>
  <c r="I31" i="2"/>
  <c r="H31" i="2"/>
  <c r="G31" i="2"/>
  <c r="F31" i="2"/>
  <c r="E31" i="2"/>
  <c r="J31" i="2" s="1"/>
  <c r="R31" i="2"/>
  <c r="P31" i="2"/>
  <c r="O31" i="2"/>
  <c r="I32" i="2"/>
  <c r="H32" i="2"/>
  <c r="G32" i="2"/>
  <c r="F32" i="2"/>
  <c r="E32" i="2"/>
  <c r="J32" i="2" s="1"/>
  <c r="R32" i="2"/>
  <c r="P32" i="2"/>
  <c r="O32" i="2"/>
  <c r="I33" i="2"/>
  <c r="H33" i="2"/>
  <c r="G33" i="2"/>
  <c r="F33" i="2"/>
  <c r="E33" i="2"/>
  <c r="J33" i="2" s="1"/>
  <c r="R33" i="2"/>
  <c r="P33" i="2"/>
  <c r="O33" i="2"/>
  <c r="I34" i="2"/>
  <c r="H34" i="2"/>
  <c r="G34" i="2"/>
  <c r="F34" i="2"/>
  <c r="E34" i="2"/>
  <c r="J34" i="2" s="1"/>
  <c r="R34" i="2"/>
  <c r="P34" i="2"/>
  <c r="O34" i="2"/>
  <c r="I35" i="2"/>
  <c r="H35" i="2"/>
  <c r="G35" i="2"/>
  <c r="F35" i="2"/>
  <c r="E35" i="2"/>
  <c r="J35" i="2" s="1"/>
  <c r="R35" i="2"/>
  <c r="P35" i="2"/>
  <c r="O35" i="2"/>
  <c r="I36" i="2"/>
  <c r="H36" i="2"/>
  <c r="G36" i="2"/>
  <c r="F36" i="2"/>
  <c r="E36" i="2"/>
  <c r="J36" i="2" s="1"/>
  <c r="R36" i="2"/>
  <c r="P36" i="2"/>
  <c r="O36" i="2"/>
  <c r="I37" i="2"/>
  <c r="H37" i="2"/>
  <c r="G37" i="2"/>
  <c r="F37" i="2"/>
  <c r="E37" i="2"/>
  <c r="J37" i="2" s="1"/>
  <c r="R37" i="2"/>
  <c r="P37" i="2"/>
  <c r="O37" i="2"/>
  <c r="I38" i="2"/>
  <c r="H38" i="2"/>
  <c r="G38" i="2"/>
  <c r="F38" i="2"/>
  <c r="E38" i="2"/>
  <c r="J38" i="2" s="1"/>
  <c r="R38" i="2"/>
  <c r="P38" i="2"/>
  <c r="O38" i="2"/>
  <c r="I39" i="2"/>
  <c r="H39" i="2"/>
  <c r="G39" i="2"/>
  <c r="F39" i="2"/>
  <c r="E39" i="2"/>
  <c r="J39" i="2" s="1"/>
  <c r="R39" i="2"/>
  <c r="P39" i="2"/>
  <c r="O39" i="2"/>
  <c r="I40" i="2"/>
  <c r="H40" i="2"/>
  <c r="G40" i="2"/>
  <c r="F40" i="2"/>
  <c r="E40" i="2"/>
  <c r="J40" i="2" s="1"/>
  <c r="R40" i="2"/>
  <c r="P40" i="2"/>
  <c r="O40" i="2"/>
  <c r="I41" i="2"/>
  <c r="H41" i="2"/>
  <c r="G41" i="2"/>
  <c r="F41" i="2"/>
  <c r="E41" i="2"/>
  <c r="J41" i="2" s="1"/>
  <c r="R41" i="2"/>
  <c r="P41" i="2"/>
  <c r="O41" i="2"/>
  <c r="I42" i="2"/>
  <c r="H42" i="2"/>
  <c r="G42" i="2"/>
  <c r="F42" i="2"/>
  <c r="E42" i="2"/>
  <c r="J42" i="2" s="1"/>
  <c r="R42" i="2"/>
  <c r="P42" i="2"/>
  <c r="O42" i="2"/>
  <c r="I43" i="2"/>
  <c r="H43" i="2"/>
  <c r="G43" i="2"/>
  <c r="F43" i="2"/>
  <c r="E43" i="2"/>
  <c r="J43" i="2" s="1"/>
  <c r="R43" i="2"/>
  <c r="P43" i="2"/>
  <c r="O43" i="2"/>
  <c r="I44" i="2"/>
  <c r="H44" i="2"/>
  <c r="G44" i="2"/>
  <c r="F44" i="2"/>
  <c r="E44" i="2"/>
  <c r="J44" i="2" s="1"/>
  <c r="R44" i="2"/>
  <c r="P44" i="2"/>
  <c r="O44" i="2"/>
  <c r="I45" i="2"/>
  <c r="H45" i="2"/>
  <c r="G45" i="2"/>
  <c r="F45" i="2"/>
  <c r="E45" i="2"/>
  <c r="J45" i="2" s="1"/>
  <c r="R45" i="2"/>
  <c r="P45" i="2"/>
  <c r="O45" i="2"/>
  <c r="I46" i="2"/>
  <c r="H46" i="2"/>
  <c r="G46" i="2"/>
  <c r="F46" i="2"/>
  <c r="E46" i="2"/>
  <c r="J46" i="2" s="1"/>
  <c r="R46" i="2"/>
  <c r="P46" i="2"/>
  <c r="O46" i="2"/>
  <c r="I47" i="2"/>
  <c r="H47" i="2"/>
  <c r="G47" i="2"/>
  <c r="F47" i="2"/>
  <c r="E47" i="2"/>
  <c r="J47" i="2" s="1"/>
  <c r="R47" i="2"/>
  <c r="P47" i="2"/>
  <c r="O47" i="2"/>
  <c r="I48" i="2"/>
  <c r="H48" i="2"/>
  <c r="G48" i="2"/>
  <c r="F48" i="2"/>
  <c r="E48" i="2"/>
  <c r="J48" i="2" s="1"/>
  <c r="R48" i="2"/>
  <c r="P48" i="2"/>
  <c r="O48" i="2"/>
  <c r="I49" i="2"/>
  <c r="H49" i="2"/>
  <c r="G49" i="2"/>
  <c r="F49" i="2"/>
  <c r="E49" i="2"/>
  <c r="J49" i="2" s="1"/>
  <c r="R49" i="2"/>
  <c r="P49" i="2"/>
  <c r="O49" i="2"/>
  <c r="I50" i="2"/>
  <c r="H50" i="2"/>
  <c r="G50" i="2"/>
  <c r="F50" i="2"/>
  <c r="E50" i="2"/>
  <c r="J50" i="2" s="1"/>
  <c r="R50" i="2"/>
  <c r="P50" i="2"/>
  <c r="O50" i="2"/>
  <c r="I51" i="2"/>
  <c r="H51" i="2"/>
  <c r="G51" i="2"/>
  <c r="F51" i="2"/>
  <c r="E51" i="2"/>
  <c r="J51" i="2" s="1"/>
  <c r="R51" i="2"/>
  <c r="P51" i="2"/>
  <c r="O51" i="2"/>
  <c r="I52" i="2"/>
  <c r="H52" i="2"/>
  <c r="G52" i="2"/>
  <c r="F52" i="2"/>
  <c r="E52" i="2"/>
  <c r="J52" i="2" s="1"/>
  <c r="R52" i="2"/>
  <c r="P52" i="2"/>
  <c r="O52" i="2"/>
  <c r="I53" i="2"/>
  <c r="H53" i="2"/>
  <c r="G53" i="2"/>
  <c r="F53" i="2"/>
  <c r="E53" i="2"/>
  <c r="J53" i="2" s="1"/>
  <c r="R53" i="2"/>
  <c r="P53" i="2"/>
  <c r="O53" i="2"/>
  <c r="I54" i="2"/>
  <c r="H54" i="2"/>
  <c r="G54" i="2"/>
  <c r="F54" i="2"/>
  <c r="E54" i="2"/>
  <c r="J54" i="2" s="1"/>
  <c r="R54" i="2"/>
  <c r="P54" i="2"/>
  <c r="O54" i="2"/>
  <c r="I55" i="2"/>
  <c r="H55" i="2"/>
  <c r="G55" i="2"/>
  <c r="F55" i="2"/>
  <c r="E55" i="2"/>
  <c r="J55" i="2" s="1"/>
  <c r="R55" i="2"/>
  <c r="P55" i="2"/>
  <c r="O55" i="2"/>
  <c r="I56" i="2"/>
  <c r="H56" i="2"/>
  <c r="G56" i="2"/>
  <c r="F56" i="2"/>
  <c r="E56" i="2"/>
  <c r="J56" i="2" s="1"/>
  <c r="R56" i="2"/>
  <c r="P56" i="2"/>
  <c r="O56" i="2"/>
  <c r="I57" i="2"/>
  <c r="H57" i="2"/>
  <c r="G57" i="2"/>
  <c r="F57" i="2"/>
  <c r="E57" i="2"/>
  <c r="J57" i="2" s="1"/>
  <c r="R57" i="2"/>
  <c r="P57" i="2"/>
  <c r="O57" i="2"/>
  <c r="I58" i="2"/>
  <c r="H58" i="2"/>
  <c r="G58" i="2"/>
  <c r="F58" i="2"/>
  <c r="E58" i="2"/>
  <c r="J58" i="2" s="1"/>
  <c r="R58" i="2"/>
  <c r="P58" i="2"/>
  <c r="O58" i="2"/>
  <c r="I59" i="2"/>
  <c r="H59" i="2"/>
  <c r="G59" i="2"/>
  <c r="F59" i="2"/>
  <c r="E59" i="2"/>
  <c r="J59" i="2" s="1"/>
  <c r="R59" i="2"/>
  <c r="P59" i="2"/>
  <c r="O59" i="2"/>
  <c r="I60" i="2"/>
  <c r="H60" i="2"/>
  <c r="G60" i="2"/>
  <c r="F60" i="2"/>
  <c r="E60" i="2"/>
  <c r="J60" i="2" s="1"/>
  <c r="R60" i="2"/>
  <c r="P60" i="2"/>
  <c r="O60" i="2"/>
  <c r="I61" i="2"/>
  <c r="H61" i="2"/>
  <c r="G61" i="2"/>
  <c r="F61" i="2"/>
  <c r="E61" i="2"/>
  <c r="J61" i="2" s="1"/>
  <c r="R61" i="2"/>
  <c r="P61" i="2"/>
  <c r="O61" i="2"/>
  <c r="I62" i="2"/>
  <c r="H62" i="2"/>
  <c r="G62" i="2"/>
  <c r="F62" i="2"/>
  <c r="E62" i="2"/>
  <c r="J62" i="2" s="1"/>
  <c r="R62" i="2"/>
  <c r="P62" i="2"/>
  <c r="O62" i="2"/>
  <c r="I63" i="2"/>
  <c r="H63" i="2"/>
  <c r="G63" i="2"/>
  <c r="F63" i="2"/>
  <c r="E63" i="2"/>
  <c r="J63" i="2" s="1"/>
  <c r="R63" i="2"/>
  <c r="P63" i="2"/>
  <c r="O63" i="2"/>
  <c r="I64" i="2"/>
  <c r="H64" i="2"/>
  <c r="G64" i="2"/>
  <c r="F64" i="2"/>
  <c r="E64" i="2"/>
  <c r="J64" i="2" s="1"/>
  <c r="R64" i="2"/>
  <c r="P64" i="2"/>
  <c r="O64" i="2"/>
  <c r="I65" i="2"/>
  <c r="H65" i="2"/>
  <c r="G65" i="2"/>
  <c r="F65" i="2"/>
  <c r="E65" i="2"/>
  <c r="J65" i="2" s="1"/>
  <c r="R65" i="2"/>
  <c r="P65" i="2"/>
  <c r="O65" i="2"/>
  <c r="I66" i="2"/>
  <c r="H66" i="2"/>
  <c r="G66" i="2"/>
  <c r="F66" i="2"/>
  <c r="E66" i="2"/>
  <c r="J66" i="2" s="1"/>
  <c r="R66" i="2"/>
  <c r="P66" i="2"/>
  <c r="O66" i="2"/>
  <c r="I67" i="2"/>
  <c r="H67" i="2"/>
  <c r="G67" i="2"/>
  <c r="F67" i="2"/>
  <c r="E67" i="2"/>
  <c r="J67" i="2" s="1"/>
  <c r="R67" i="2"/>
  <c r="P67" i="2"/>
  <c r="O67" i="2"/>
  <c r="I68" i="2"/>
  <c r="H68" i="2"/>
  <c r="G68" i="2"/>
  <c r="F68" i="2"/>
  <c r="E68" i="2"/>
  <c r="J68" i="2" s="1"/>
  <c r="R68" i="2"/>
  <c r="P68" i="2"/>
  <c r="O68" i="2"/>
  <c r="I69" i="2"/>
  <c r="H69" i="2"/>
  <c r="G69" i="2"/>
  <c r="F69" i="2"/>
  <c r="E69" i="2"/>
  <c r="J69" i="2" s="1"/>
  <c r="R69" i="2"/>
  <c r="P69" i="2"/>
  <c r="O69" i="2"/>
  <c r="I70" i="2"/>
  <c r="H70" i="2"/>
  <c r="G70" i="2"/>
  <c r="F70" i="2"/>
  <c r="E70" i="2"/>
  <c r="J70" i="2" s="1"/>
  <c r="R70" i="2"/>
  <c r="P70" i="2"/>
  <c r="O70" i="2"/>
  <c r="I71" i="2"/>
  <c r="H71" i="2"/>
  <c r="G71" i="2"/>
  <c r="F71" i="2"/>
  <c r="E71" i="2"/>
  <c r="J71" i="2" s="1"/>
  <c r="R71" i="2"/>
  <c r="P71" i="2"/>
  <c r="O71" i="2"/>
  <c r="I72" i="2"/>
  <c r="H72" i="2"/>
  <c r="G72" i="2"/>
  <c r="F72" i="2"/>
  <c r="E72" i="2"/>
  <c r="J72" i="2" s="1"/>
  <c r="R72" i="2"/>
  <c r="P72" i="2"/>
  <c r="O72" i="2"/>
  <c r="I73" i="2"/>
  <c r="H73" i="2"/>
  <c r="G73" i="2"/>
  <c r="F73" i="2"/>
  <c r="E73" i="2"/>
  <c r="J73" i="2" s="1"/>
  <c r="R73" i="2"/>
  <c r="P73" i="2"/>
  <c r="O73" i="2"/>
  <c r="I74" i="2"/>
  <c r="H74" i="2"/>
  <c r="G74" i="2"/>
  <c r="F74" i="2"/>
  <c r="E74" i="2"/>
  <c r="J74" i="2" s="1"/>
  <c r="R74" i="2"/>
  <c r="P74" i="2"/>
  <c r="O74" i="2"/>
  <c r="I75" i="2"/>
  <c r="H75" i="2"/>
  <c r="G75" i="2"/>
  <c r="F75" i="2"/>
  <c r="E75" i="2"/>
  <c r="J75" i="2" s="1"/>
  <c r="R75" i="2"/>
  <c r="P75" i="2"/>
  <c r="O75" i="2"/>
  <c r="I76" i="2"/>
  <c r="H76" i="2"/>
  <c r="G76" i="2"/>
  <c r="F76" i="2"/>
  <c r="E76" i="2"/>
  <c r="J76" i="2" s="1"/>
  <c r="R76" i="2"/>
  <c r="P76" i="2"/>
  <c r="O76" i="2"/>
  <c r="I77" i="2"/>
  <c r="H77" i="2"/>
  <c r="G77" i="2"/>
  <c r="F77" i="2"/>
  <c r="E77" i="2"/>
  <c r="J77" i="2" s="1"/>
  <c r="R77" i="2"/>
  <c r="P77" i="2"/>
  <c r="O77" i="2"/>
  <c r="I78" i="2"/>
  <c r="H78" i="2"/>
  <c r="G78" i="2"/>
  <c r="F78" i="2"/>
  <c r="E78" i="2"/>
  <c r="J78" i="2" s="1"/>
  <c r="R78" i="2"/>
  <c r="P78" i="2"/>
  <c r="O78" i="2"/>
  <c r="I79" i="2"/>
  <c r="H79" i="2"/>
  <c r="G79" i="2"/>
  <c r="F79" i="2"/>
  <c r="E79" i="2"/>
  <c r="J79" i="2" s="1"/>
  <c r="R79" i="2"/>
  <c r="P79" i="2"/>
  <c r="O79" i="2"/>
  <c r="I80" i="2"/>
  <c r="H80" i="2"/>
  <c r="G80" i="2"/>
  <c r="F80" i="2"/>
  <c r="E80" i="2"/>
  <c r="J80" i="2" s="1"/>
  <c r="R80" i="2"/>
  <c r="P80" i="2"/>
  <c r="O80" i="2"/>
  <c r="I81" i="2"/>
  <c r="H81" i="2"/>
  <c r="G81" i="2"/>
  <c r="F81" i="2"/>
  <c r="E81" i="2"/>
  <c r="J81" i="2" s="1"/>
  <c r="R81" i="2"/>
  <c r="P81" i="2"/>
  <c r="O81" i="2"/>
  <c r="I82" i="2"/>
  <c r="H82" i="2"/>
  <c r="G82" i="2"/>
  <c r="F82" i="2"/>
  <c r="E82" i="2"/>
  <c r="J82" i="2" s="1"/>
  <c r="R82" i="2"/>
  <c r="P82" i="2"/>
  <c r="O82" i="2"/>
  <c r="I83" i="2"/>
  <c r="H83" i="2"/>
  <c r="G83" i="2"/>
  <c r="F83" i="2"/>
  <c r="E83" i="2"/>
  <c r="J83" i="2" s="1"/>
  <c r="R83" i="2"/>
  <c r="P83" i="2"/>
  <c r="O83" i="2"/>
  <c r="I84" i="2"/>
  <c r="H84" i="2"/>
  <c r="G84" i="2"/>
  <c r="F84" i="2"/>
  <c r="E84" i="2"/>
  <c r="J84" i="2" s="1"/>
  <c r="R84" i="2"/>
  <c r="P84" i="2"/>
  <c r="O84" i="2"/>
  <c r="I85" i="2"/>
  <c r="H85" i="2"/>
  <c r="G85" i="2"/>
  <c r="F85" i="2"/>
  <c r="E85" i="2"/>
  <c r="J85" i="2" s="1"/>
  <c r="R85" i="2"/>
  <c r="P85" i="2"/>
  <c r="O85" i="2"/>
  <c r="I86" i="2"/>
  <c r="H86" i="2"/>
  <c r="G86" i="2"/>
  <c r="F86" i="2"/>
  <c r="E86" i="2"/>
  <c r="J86" i="2" s="1"/>
  <c r="R86" i="2"/>
  <c r="P86" i="2"/>
  <c r="O86" i="2"/>
  <c r="I87" i="2"/>
  <c r="H87" i="2"/>
  <c r="G87" i="2"/>
  <c r="F87" i="2"/>
  <c r="E87" i="2"/>
  <c r="J87" i="2" s="1"/>
  <c r="R87" i="2"/>
  <c r="P87" i="2"/>
  <c r="O87" i="2"/>
  <c r="I88" i="2"/>
  <c r="H88" i="2"/>
  <c r="G88" i="2"/>
  <c r="F88" i="2"/>
  <c r="E88" i="2"/>
  <c r="J88" i="2" s="1"/>
  <c r="R88" i="2"/>
  <c r="P88" i="2"/>
  <c r="O88" i="2"/>
  <c r="I89" i="2"/>
  <c r="H89" i="2"/>
  <c r="G89" i="2"/>
  <c r="F89" i="2"/>
  <c r="E89" i="2"/>
  <c r="J89" i="2" s="1"/>
  <c r="R89" i="2"/>
  <c r="P89" i="2"/>
  <c r="O89" i="2"/>
  <c r="I90" i="2"/>
  <c r="H90" i="2"/>
  <c r="G90" i="2"/>
  <c r="F90" i="2"/>
  <c r="E90" i="2"/>
  <c r="J90" i="2" s="1"/>
  <c r="R90" i="2"/>
  <c r="P90" i="2"/>
  <c r="O90" i="2"/>
  <c r="I91" i="2"/>
  <c r="H91" i="2"/>
  <c r="G91" i="2"/>
  <c r="F91" i="2"/>
  <c r="E91" i="2"/>
  <c r="J91" i="2" s="1"/>
  <c r="R91" i="2"/>
  <c r="P91" i="2"/>
  <c r="O91" i="2"/>
  <c r="I92" i="2"/>
  <c r="H92" i="2"/>
  <c r="G92" i="2"/>
  <c r="F92" i="2"/>
  <c r="E92" i="2"/>
  <c r="J92" i="2" s="1"/>
  <c r="R92" i="2"/>
  <c r="P92" i="2"/>
  <c r="O92" i="2"/>
  <c r="I93" i="2"/>
  <c r="H93" i="2"/>
  <c r="G93" i="2"/>
  <c r="F93" i="2"/>
  <c r="E93" i="2"/>
  <c r="J93" i="2" s="1"/>
  <c r="R93" i="2"/>
  <c r="P93" i="2"/>
  <c r="O93" i="2"/>
  <c r="I94" i="2"/>
  <c r="H94" i="2"/>
  <c r="G94" i="2"/>
  <c r="F94" i="2"/>
  <c r="E94" i="2"/>
  <c r="J94" i="2" s="1"/>
  <c r="R94" i="2"/>
  <c r="P94" i="2"/>
  <c r="O94" i="2"/>
  <c r="I95" i="2"/>
  <c r="H95" i="2"/>
  <c r="G95" i="2"/>
  <c r="F95" i="2"/>
  <c r="E95" i="2"/>
  <c r="J95" i="2" s="1"/>
  <c r="R95" i="2"/>
  <c r="P95" i="2"/>
  <c r="O95" i="2"/>
  <c r="I96" i="2"/>
  <c r="H96" i="2"/>
  <c r="G96" i="2"/>
  <c r="F96" i="2"/>
  <c r="E96" i="2"/>
  <c r="J96" i="2" s="1"/>
  <c r="R96" i="2"/>
  <c r="P96" i="2"/>
  <c r="O96" i="2"/>
  <c r="I97" i="2"/>
  <c r="H97" i="2"/>
  <c r="G97" i="2"/>
  <c r="F97" i="2"/>
  <c r="E97" i="2"/>
  <c r="J97" i="2" s="1"/>
  <c r="R97" i="2"/>
  <c r="P97" i="2"/>
  <c r="O97" i="2"/>
  <c r="I98" i="2"/>
  <c r="H98" i="2"/>
  <c r="G98" i="2"/>
  <c r="F98" i="2"/>
  <c r="E98" i="2"/>
  <c r="J98" i="2" s="1"/>
  <c r="R98" i="2"/>
  <c r="P98" i="2"/>
  <c r="O98" i="2"/>
  <c r="I99" i="2"/>
  <c r="H99" i="2"/>
  <c r="G99" i="2"/>
  <c r="F99" i="2"/>
  <c r="E99" i="2"/>
  <c r="J99" i="2" s="1"/>
  <c r="R99" i="2"/>
  <c r="P99" i="2"/>
  <c r="O99" i="2"/>
  <c r="I100" i="2"/>
  <c r="H100" i="2"/>
  <c r="G100" i="2"/>
  <c r="F100" i="2"/>
  <c r="E100" i="2"/>
  <c r="J100" i="2" s="1"/>
  <c r="R100" i="2"/>
  <c r="P100" i="2"/>
  <c r="O100" i="2"/>
  <c r="I101" i="2"/>
  <c r="H101" i="2"/>
  <c r="G101" i="2"/>
  <c r="F101" i="2"/>
  <c r="E101" i="2"/>
  <c r="J101" i="2" s="1"/>
  <c r="R101" i="2"/>
  <c r="P101" i="2"/>
  <c r="O101" i="2"/>
  <c r="I102" i="2"/>
  <c r="H102" i="2"/>
  <c r="G102" i="2"/>
  <c r="F102" i="2"/>
  <c r="E102" i="2"/>
  <c r="J102" i="2" s="1"/>
  <c r="R102" i="2"/>
  <c r="P102" i="2"/>
  <c r="O102" i="2"/>
  <c r="I103" i="2"/>
  <c r="H103" i="2"/>
  <c r="G103" i="2"/>
  <c r="F103" i="2"/>
  <c r="E103" i="2"/>
  <c r="J103" i="2" s="1"/>
  <c r="R103" i="2"/>
  <c r="P103" i="2"/>
  <c r="O103" i="2"/>
  <c r="I104" i="2"/>
  <c r="H104" i="2"/>
  <c r="G104" i="2"/>
  <c r="F104" i="2"/>
  <c r="E104" i="2"/>
  <c r="J104" i="2" s="1"/>
  <c r="R104" i="2"/>
  <c r="P104" i="2"/>
  <c r="O104" i="2"/>
  <c r="I105" i="2"/>
  <c r="H105" i="2"/>
  <c r="G105" i="2"/>
  <c r="F105" i="2"/>
  <c r="E105" i="2"/>
  <c r="J105" i="2" s="1"/>
  <c r="R105" i="2"/>
  <c r="P105" i="2"/>
  <c r="O105" i="2"/>
  <c r="I106" i="2"/>
  <c r="H106" i="2"/>
  <c r="G106" i="2"/>
  <c r="F106" i="2"/>
  <c r="E106" i="2"/>
  <c r="J106" i="2" s="1"/>
  <c r="R106" i="2"/>
  <c r="P106" i="2"/>
  <c r="O106" i="2"/>
  <c r="I107" i="2"/>
  <c r="H107" i="2"/>
  <c r="G107" i="2"/>
  <c r="F107" i="2"/>
  <c r="E107" i="2"/>
  <c r="J107" i="2" s="1"/>
  <c r="R107" i="2"/>
  <c r="P107" i="2"/>
  <c r="O107" i="2"/>
  <c r="I108" i="2"/>
  <c r="H108" i="2"/>
  <c r="G108" i="2"/>
  <c r="F108" i="2"/>
  <c r="E108" i="2"/>
  <c r="J108" i="2" s="1"/>
  <c r="R108" i="2"/>
  <c r="P108" i="2"/>
  <c r="O108" i="2"/>
  <c r="I109" i="2"/>
  <c r="H109" i="2"/>
  <c r="G109" i="2"/>
  <c r="F109" i="2"/>
  <c r="E109" i="2"/>
  <c r="J109" i="2" s="1"/>
  <c r="R109" i="2"/>
  <c r="P109" i="2"/>
  <c r="O109" i="2"/>
  <c r="I110" i="2"/>
  <c r="H110" i="2"/>
  <c r="G110" i="2"/>
  <c r="F110" i="2"/>
  <c r="E110" i="2"/>
  <c r="J110" i="2" s="1"/>
  <c r="R110" i="2"/>
  <c r="P110" i="2"/>
  <c r="O110" i="2"/>
  <c r="I111" i="2"/>
  <c r="H111" i="2"/>
  <c r="G111" i="2"/>
  <c r="F111" i="2"/>
  <c r="E111" i="2"/>
  <c r="J111" i="2" s="1"/>
  <c r="R111" i="2"/>
  <c r="P111" i="2"/>
  <c r="O111" i="2"/>
  <c r="I112" i="2"/>
  <c r="H112" i="2"/>
  <c r="G112" i="2"/>
  <c r="F112" i="2"/>
  <c r="E112" i="2"/>
  <c r="J112" i="2" s="1"/>
  <c r="R112" i="2"/>
  <c r="P112" i="2"/>
  <c r="O112" i="2"/>
  <c r="I113" i="2"/>
  <c r="H113" i="2"/>
  <c r="G113" i="2"/>
  <c r="F113" i="2"/>
  <c r="E113" i="2"/>
  <c r="J113" i="2" s="1"/>
  <c r="R113" i="2"/>
  <c r="P113" i="2"/>
  <c r="O113" i="2"/>
  <c r="I114" i="2"/>
  <c r="H114" i="2"/>
  <c r="G114" i="2"/>
  <c r="F114" i="2"/>
  <c r="E114" i="2"/>
  <c r="J114" i="2" s="1"/>
  <c r="R114" i="2"/>
  <c r="P114" i="2"/>
  <c r="O114" i="2"/>
  <c r="I115" i="2"/>
  <c r="H115" i="2"/>
  <c r="G115" i="2"/>
  <c r="F115" i="2"/>
  <c r="E115" i="2"/>
  <c r="J115" i="2" s="1"/>
  <c r="R115" i="2"/>
  <c r="P115" i="2"/>
  <c r="O115" i="2"/>
  <c r="I116" i="2"/>
  <c r="H116" i="2"/>
  <c r="G116" i="2"/>
  <c r="F116" i="2"/>
  <c r="E116" i="2"/>
  <c r="J116" i="2" s="1"/>
  <c r="R116" i="2"/>
  <c r="P116" i="2"/>
  <c r="O116" i="2"/>
  <c r="I117" i="2"/>
  <c r="H117" i="2"/>
  <c r="G117" i="2"/>
  <c r="F117" i="2"/>
  <c r="E117" i="2"/>
  <c r="J117" i="2" s="1"/>
  <c r="R117" i="2"/>
  <c r="P117" i="2"/>
  <c r="O117" i="2"/>
  <c r="I118" i="2"/>
  <c r="H118" i="2"/>
  <c r="G118" i="2"/>
  <c r="F118" i="2"/>
  <c r="E118" i="2"/>
  <c r="J118" i="2" s="1"/>
  <c r="R118" i="2"/>
  <c r="P118" i="2"/>
  <c r="O118" i="2"/>
  <c r="I119" i="2"/>
  <c r="H119" i="2"/>
  <c r="G119" i="2"/>
  <c r="F119" i="2"/>
  <c r="E119" i="2"/>
  <c r="J119" i="2" s="1"/>
  <c r="R119" i="2"/>
  <c r="P119" i="2"/>
  <c r="O119" i="2"/>
  <c r="I120" i="2"/>
  <c r="H120" i="2"/>
  <c r="G120" i="2"/>
  <c r="F120" i="2"/>
  <c r="E120" i="2"/>
  <c r="J120" i="2" s="1"/>
  <c r="R120" i="2"/>
  <c r="P120" i="2"/>
  <c r="O120" i="2"/>
  <c r="I121" i="2"/>
  <c r="H121" i="2"/>
  <c r="G121" i="2"/>
  <c r="F121" i="2"/>
  <c r="E121" i="2"/>
  <c r="J121" i="2" s="1"/>
  <c r="R121" i="2"/>
  <c r="P121" i="2"/>
  <c r="O121" i="2"/>
  <c r="I122" i="2"/>
  <c r="H122" i="2"/>
  <c r="G122" i="2"/>
  <c r="F122" i="2"/>
  <c r="E122" i="2"/>
  <c r="J122" i="2" s="1"/>
  <c r="R122" i="2"/>
  <c r="P122" i="2"/>
  <c r="O122" i="2"/>
  <c r="I123" i="2"/>
  <c r="H123" i="2"/>
  <c r="G123" i="2"/>
  <c r="F123" i="2"/>
  <c r="E123" i="2"/>
  <c r="J123" i="2" s="1"/>
  <c r="R123" i="2"/>
  <c r="P123" i="2"/>
  <c r="O123" i="2"/>
  <c r="I124" i="2"/>
  <c r="H124" i="2"/>
  <c r="G124" i="2"/>
  <c r="F124" i="2"/>
  <c r="E124" i="2"/>
  <c r="J124" i="2" s="1"/>
  <c r="R124" i="2"/>
  <c r="P124" i="2"/>
  <c r="O124" i="2"/>
  <c r="I125" i="2"/>
  <c r="H125" i="2"/>
  <c r="G125" i="2"/>
  <c r="F125" i="2"/>
  <c r="E125" i="2"/>
  <c r="J125" i="2" s="1"/>
  <c r="R125" i="2"/>
  <c r="P125" i="2"/>
  <c r="O125" i="2"/>
  <c r="I126" i="2"/>
  <c r="H126" i="2"/>
  <c r="G126" i="2"/>
  <c r="F126" i="2"/>
  <c r="E126" i="2"/>
  <c r="J126" i="2" s="1"/>
  <c r="R126" i="2"/>
  <c r="P126" i="2"/>
  <c r="O126" i="2"/>
  <c r="I127" i="2"/>
  <c r="H127" i="2"/>
  <c r="G127" i="2"/>
  <c r="F127" i="2"/>
  <c r="E127" i="2"/>
  <c r="J127" i="2" s="1"/>
  <c r="R127" i="2"/>
  <c r="P127" i="2"/>
  <c r="O127" i="2"/>
  <c r="I128" i="2"/>
  <c r="H128" i="2"/>
  <c r="G128" i="2"/>
  <c r="F128" i="2"/>
  <c r="E128" i="2"/>
  <c r="J128" i="2" s="1"/>
  <c r="R128" i="2"/>
  <c r="P128" i="2"/>
  <c r="O128" i="2"/>
  <c r="I129" i="2"/>
  <c r="H129" i="2"/>
  <c r="G129" i="2"/>
  <c r="F129" i="2"/>
  <c r="E129" i="2"/>
  <c r="J129" i="2" s="1"/>
  <c r="R129" i="2"/>
  <c r="P129" i="2"/>
  <c r="O129" i="2"/>
  <c r="I130" i="2"/>
  <c r="H130" i="2"/>
  <c r="G130" i="2"/>
  <c r="F130" i="2"/>
  <c r="E130" i="2"/>
  <c r="J130" i="2" s="1"/>
  <c r="R130" i="2"/>
  <c r="P130" i="2"/>
  <c r="O130" i="2"/>
  <c r="I131" i="2"/>
  <c r="H131" i="2"/>
  <c r="G131" i="2"/>
  <c r="F131" i="2"/>
  <c r="E131" i="2"/>
  <c r="J131" i="2" s="1"/>
  <c r="R131" i="2"/>
  <c r="P131" i="2"/>
  <c r="O131" i="2"/>
  <c r="I132" i="2"/>
  <c r="H132" i="2"/>
  <c r="G132" i="2"/>
  <c r="F132" i="2"/>
  <c r="E132" i="2"/>
  <c r="J132" i="2" s="1"/>
  <c r="R132" i="2"/>
  <c r="P132" i="2"/>
  <c r="O132" i="2"/>
  <c r="I133" i="2"/>
  <c r="H133" i="2"/>
  <c r="G133" i="2"/>
  <c r="F133" i="2"/>
  <c r="E133" i="2"/>
  <c r="J133" i="2" s="1"/>
  <c r="R133" i="2"/>
  <c r="P133" i="2"/>
  <c r="O133" i="2"/>
  <c r="I134" i="2"/>
  <c r="H134" i="2"/>
  <c r="G134" i="2"/>
  <c r="F134" i="2"/>
  <c r="E134" i="2"/>
  <c r="J134" i="2" s="1"/>
  <c r="R134" i="2"/>
  <c r="P134" i="2"/>
  <c r="O134" i="2"/>
  <c r="I135" i="2"/>
  <c r="H135" i="2"/>
  <c r="G135" i="2"/>
  <c r="F135" i="2"/>
  <c r="E135" i="2"/>
  <c r="J135" i="2" s="1"/>
  <c r="R135" i="2"/>
  <c r="P135" i="2"/>
  <c r="O135" i="2"/>
  <c r="I136" i="2"/>
  <c r="H136" i="2"/>
  <c r="G136" i="2"/>
  <c r="F136" i="2"/>
  <c r="E136" i="2"/>
  <c r="J136" i="2" s="1"/>
  <c r="R136" i="2"/>
  <c r="P136" i="2"/>
  <c r="O136" i="2"/>
  <c r="I137" i="2"/>
  <c r="H137" i="2"/>
  <c r="G137" i="2"/>
  <c r="F137" i="2"/>
  <c r="E137" i="2"/>
  <c r="J137" i="2" s="1"/>
  <c r="R137" i="2"/>
  <c r="P137" i="2"/>
  <c r="O137" i="2"/>
  <c r="I138" i="2"/>
  <c r="H138" i="2"/>
  <c r="G138" i="2"/>
  <c r="F138" i="2"/>
  <c r="E138" i="2"/>
  <c r="J138" i="2" s="1"/>
  <c r="R138" i="2"/>
  <c r="P138" i="2"/>
  <c r="O138" i="2"/>
  <c r="I139" i="2"/>
  <c r="H139" i="2"/>
  <c r="G139" i="2"/>
  <c r="F139" i="2"/>
  <c r="E139" i="2"/>
  <c r="J139" i="2" s="1"/>
  <c r="R139" i="2"/>
  <c r="P139" i="2"/>
  <c r="O139" i="2"/>
  <c r="I140" i="2"/>
  <c r="H140" i="2"/>
  <c r="G140" i="2"/>
  <c r="F140" i="2"/>
  <c r="E140" i="2"/>
  <c r="J140" i="2" s="1"/>
  <c r="R140" i="2"/>
  <c r="P140" i="2"/>
  <c r="O140" i="2"/>
  <c r="I141" i="2"/>
  <c r="H141" i="2"/>
  <c r="G141" i="2"/>
  <c r="F141" i="2"/>
  <c r="E141" i="2"/>
  <c r="J141" i="2" s="1"/>
  <c r="R141" i="2"/>
  <c r="P141" i="2"/>
  <c r="O141" i="2"/>
  <c r="I142" i="2"/>
  <c r="H142" i="2"/>
  <c r="G142" i="2"/>
  <c r="F142" i="2"/>
  <c r="E142" i="2"/>
  <c r="J142" i="2" s="1"/>
  <c r="R142" i="2"/>
  <c r="P142" i="2"/>
  <c r="O142" i="2"/>
  <c r="I143" i="2"/>
  <c r="H143" i="2"/>
  <c r="G143" i="2"/>
  <c r="F143" i="2"/>
  <c r="E143" i="2"/>
  <c r="J143" i="2" s="1"/>
  <c r="R143" i="2"/>
  <c r="P143" i="2"/>
  <c r="O143" i="2"/>
  <c r="I144" i="2"/>
  <c r="H144" i="2"/>
  <c r="G144" i="2"/>
  <c r="F144" i="2"/>
  <c r="E144" i="2"/>
  <c r="J144" i="2" s="1"/>
  <c r="R144" i="2"/>
  <c r="P144" i="2"/>
  <c r="O144" i="2"/>
  <c r="I145" i="2"/>
  <c r="H145" i="2"/>
  <c r="G145" i="2"/>
  <c r="F145" i="2"/>
  <c r="E145" i="2"/>
  <c r="J145" i="2" s="1"/>
  <c r="R145" i="2"/>
  <c r="P145" i="2"/>
  <c r="O145" i="2"/>
  <c r="I146" i="2"/>
  <c r="H146" i="2"/>
  <c r="G146" i="2"/>
  <c r="F146" i="2"/>
  <c r="E146" i="2"/>
  <c r="J146" i="2" s="1"/>
  <c r="R146" i="2"/>
  <c r="P146" i="2"/>
  <c r="O146" i="2"/>
  <c r="I147" i="2"/>
  <c r="H147" i="2"/>
  <c r="G147" i="2"/>
  <c r="F147" i="2"/>
  <c r="E147" i="2"/>
  <c r="J147" i="2" s="1"/>
  <c r="R147" i="2"/>
  <c r="P147" i="2"/>
  <c r="O147" i="2"/>
  <c r="I148" i="2"/>
  <c r="H148" i="2"/>
  <c r="G148" i="2"/>
  <c r="F148" i="2"/>
  <c r="E148" i="2"/>
  <c r="J148" i="2" s="1"/>
  <c r="R148" i="2"/>
  <c r="P148" i="2"/>
  <c r="O148" i="2"/>
  <c r="I149" i="2"/>
  <c r="H149" i="2"/>
  <c r="G149" i="2"/>
  <c r="F149" i="2"/>
  <c r="E149" i="2"/>
  <c r="J149" i="2" s="1"/>
  <c r="R149" i="2"/>
  <c r="P149" i="2"/>
  <c r="O149" i="2"/>
  <c r="I150" i="2"/>
  <c r="H150" i="2"/>
  <c r="G150" i="2"/>
  <c r="F150" i="2"/>
  <c r="E150" i="2"/>
  <c r="J150" i="2" s="1"/>
  <c r="R150" i="2"/>
  <c r="P150" i="2"/>
  <c r="O150" i="2"/>
  <c r="I151" i="2"/>
  <c r="H151" i="2"/>
  <c r="G151" i="2"/>
  <c r="F151" i="2"/>
  <c r="E151" i="2"/>
  <c r="J151" i="2" s="1"/>
  <c r="R151" i="2"/>
  <c r="P151" i="2"/>
  <c r="O151" i="2"/>
  <c r="I152" i="2"/>
  <c r="H152" i="2"/>
  <c r="G152" i="2"/>
  <c r="F152" i="2"/>
  <c r="E152" i="2"/>
  <c r="J152" i="2" s="1"/>
  <c r="R152" i="2"/>
  <c r="P152" i="2"/>
  <c r="O152" i="2"/>
  <c r="I153" i="2"/>
  <c r="H153" i="2"/>
  <c r="G153" i="2"/>
  <c r="F153" i="2"/>
  <c r="E153" i="2"/>
  <c r="J153" i="2" s="1"/>
  <c r="R153" i="2"/>
  <c r="P153" i="2"/>
  <c r="O153" i="2"/>
  <c r="I154" i="2"/>
  <c r="H154" i="2"/>
  <c r="G154" i="2"/>
  <c r="F154" i="2"/>
  <c r="E154" i="2"/>
  <c r="J154" i="2" s="1"/>
  <c r="R154" i="2"/>
  <c r="P154" i="2"/>
  <c r="O154" i="2"/>
  <c r="I155" i="2"/>
  <c r="H155" i="2"/>
  <c r="G155" i="2"/>
  <c r="F155" i="2"/>
  <c r="E155" i="2"/>
  <c r="J155" i="2" s="1"/>
  <c r="R155" i="2"/>
  <c r="P155" i="2"/>
  <c r="O155" i="2"/>
  <c r="I156" i="2"/>
  <c r="H156" i="2"/>
  <c r="G156" i="2"/>
  <c r="F156" i="2"/>
  <c r="E156" i="2"/>
  <c r="J156" i="2" s="1"/>
  <c r="R156" i="2"/>
  <c r="P156" i="2"/>
  <c r="O156" i="2"/>
  <c r="I157" i="2"/>
  <c r="H157" i="2"/>
  <c r="G157" i="2"/>
  <c r="F157" i="2"/>
  <c r="E157" i="2"/>
  <c r="J157" i="2" s="1"/>
  <c r="R157" i="2"/>
  <c r="P157" i="2"/>
  <c r="O157" i="2"/>
  <c r="I158" i="2"/>
  <c r="H158" i="2"/>
  <c r="G158" i="2"/>
  <c r="F158" i="2"/>
  <c r="E158" i="2"/>
  <c r="J158" i="2" s="1"/>
  <c r="R158" i="2"/>
  <c r="P158" i="2"/>
  <c r="O158" i="2"/>
  <c r="I159" i="2"/>
  <c r="H159" i="2"/>
  <c r="G159" i="2"/>
  <c r="F159" i="2"/>
  <c r="E159" i="2"/>
  <c r="J159" i="2" s="1"/>
  <c r="R159" i="2"/>
  <c r="P159" i="2"/>
  <c r="O159" i="2"/>
  <c r="I160" i="2"/>
  <c r="H160" i="2"/>
  <c r="G160" i="2"/>
  <c r="F160" i="2"/>
  <c r="E160" i="2"/>
  <c r="J160" i="2" s="1"/>
  <c r="R160" i="2"/>
  <c r="P160" i="2"/>
  <c r="O160" i="2"/>
  <c r="I161" i="2"/>
  <c r="H161" i="2"/>
  <c r="G161" i="2"/>
  <c r="F161" i="2"/>
  <c r="E161" i="2"/>
  <c r="J161" i="2" s="1"/>
  <c r="R161" i="2"/>
  <c r="P161" i="2"/>
  <c r="O161" i="2"/>
  <c r="I162" i="2"/>
  <c r="H162" i="2"/>
  <c r="G162" i="2"/>
  <c r="F162" i="2"/>
  <c r="E162" i="2"/>
  <c r="J162" i="2" s="1"/>
  <c r="R162" i="2"/>
  <c r="P162" i="2"/>
  <c r="O162" i="2"/>
  <c r="I163" i="2"/>
  <c r="H163" i="2"/>
  <c r="G163" i="2"/>
  <c r="F163" i="2"/>
  <c r="E163" i="2"/>
  <c r="J163" i="2" s="1"/>
  <c r="R163" i="2"/>
  <c r="P163" i="2"/>
  <c r="O163" i="2"/>
  <c r="I164" i="2"/>
  <c r="H164" i="2"/>
  <c r="G164" i="2"/>
  <c r="F164" i="2"/>
  <c r="E164" i="2"/>
  <c r="J164" i="2" s="1"/>
  <c r="R164" i="2"/>
  <c r="P164" i="2"/>
  <c r="O164" i="2"/>
  <c r="I165" i="2"/>
  <c r="H165" i="2"/>
  <c r="G165" i="2"/>
  <c r="F165" i="2"/>
  <c r="E165" i="2"/>
  <c r="J165" i="2" s="1"/>
  <c r="R165" i="2"/>
  <c r="P165" i="2"/>
  <c r="O165" i="2"/>
  <c r="I166" i="2"/>
  <c r="H166" i="2"/>
  <c r="G166" i="2"/>
  <c r="F166" i="2"/>
  <c r="E166" i="2"/>
  <c r="J166" i="2" s="1"/>
  <c r="R166" i="2"/>
  <c r="P166" i="2"/>
  <c r="O166" i="2"/>
  <c r="I167" i="2"/>
  <c r="H167" i="2"/>
  <c r="G167" i="2"/>
  <c r="F167" i="2"/>
  <c r="E167" i="2"/>
  <c r="J167" i="2" s="1"/>
  <c r="R167" i="2"/>
  <c r="P167" i="2"/>
  <c r="O167" i="2"/>
  <c r="I168" i="2"/>
  <c r="H168" i="2"/>
  <c r="G168" i="2"/>
  <c r="F168" i="2"/>
  <c r="E168" i="2"/>
  <c r="J168" i="2" s="1"/>
  <c r="R168" i="2"/>
  <c r="P168" i="2"/>
  <c r="O168" i="2"/>
  <c r="I169" i="2"/>
  <c r="H169" i="2"/>
  <c r="G169" i="2"/>
  <c r="F169" i="2"/>
  <c r="E169" i="2"/>
  <c r="J169" i="2" s="1"/>
  <c r="R169" i="2"/>
  <c r="P169" i="2"/>
  <c r="O169" i="2"/>
  <c r="I170" i="2"/>
  <c r="H170" i="2"/>
  <c r="G170" i="2"/>
  <c r="F170" i="2"/>
  <c r="E170" i="2"/>
  <c r="J170" i="2" s="1"/>
  <c r="R170" i="2"/>
  <c r="P170" i="2"/>
  <c r="O170" i="2"/>
  <c r="I171" i="2"/>
  <c r="H171" i="2"/>
  <c r="G171" i="2"/>
  <c r="F171" i="2"/>
  <c r="E171" i="2"/>
  <c r="J171" i="2" s="1"/>
  <c r="R171" i="2"/>
  <c r="P171" i="2"/>
  <c r="O171" i="2"/>
  <c r="I172" i="2"/>
  <c r="H172" i="2"/>
  <c r="G172" i="2"/>
  <c r="F172" i="2"/>
  <c r="E172" i="2"/>
  <c r="J172" i="2" s="1"/>
  <c r="R172" i="2"/>
  <c r="P172" i="2"/>
  <c r="O172" i="2"/>
  <c r="I173" i="2"/>
  <c r="H173" i="2"/>
  <c r="G173" i="2"/>
  <c r="F173" i="2"/>
  <c r="E173" i="2"/>
  <c r="J173" i="2" s="1"/>
  <c r="R173" i="2"/>
  <c r="P173" i="2"/>
  <c r="O173" i="2"/>
  <c r="I174" i="2"/>
  <c r="H174" i="2"/>
  <c r="G174" i="2"/>
  <c r="F174" i="2"/>
  <c r="E174" i="2"/>
  <c r="J174" i="2" s="1"/>
  <c r="R174" i="2"/>
  <c r="P174" i="2"/>
  <c r="O174" i="2"/>
  <c r="I175" i="2"/>
  <c r="H175" i="2"/>
  <c r="G175" i="2"/>
  <c r="F175" i="2"/>
  <c r="E175" i="2"/>
  <c r="J175" i="2" s="1"/>
  <c r="R175" i="2"/>
  <c r="P175" i="2"/>
  <c r="O175" i="2"/>
  <c r="I176" i="2"/>
  <c r="H176" i="2"/>
  <c r="G176" i="2"/>
  <c r="F176" i="2"/>
  <c r="E176" i="2"/>
  <c r="J176" i="2" s="1"/>
  <c r="R176" i="2"/>
  <c r="P176" i="2"/>
  <c r="O176" i="2"/>
  <c r="I177" i="2"/>
  <c r="H177" i="2"/>
  <c r="G177" i="2"/>
  <c r="F177" i="2"/>
  <c r="E177" i="2"/>
  <c r="J177" i="2" s="1"/>
  <c r="R177" i="2"/>
  <c r="P177" i="2"/>
  <c r="O177" i="2"/>
  <c r="I178" i="2"/>
  <c r="H178" i="2"/>
  <c r="G178" i="2"/>
  <c r="F178" i="2"/>
  <c r="E178" i="2"/>
  <c r="J178" i="2" s="1"/>
  <c r="R178" i="2"/>
  <c r="P178" i="2"/>
  <c r="O178" i="2"/>
  <c r="I179" i="2"/>
  <c r="H179" i="2"/>
  <c r="G179" i="2"/>
  <c r="F179" i="2"/>
  <c r="E179" i="2"/>
  <c r="J179" i="2" s="1"/>
  <c r="R179" i="2"/>
  <c r="P179" i="2"/>
  <c r="O179" i="2"/>
  <c r="I180" i="2"/>
  <c r="H180" i="2"/>
  <c r="G180" i="2"/>
  <c r="F180" i="2"/>
  <c r="E180" i="2"/>
  <c r="J180" i="2" s="1"/>
  <c r="R180" i="2"/>
  <c r="P180" i="2"/>
  <c r="O180" i="2"/>
  <c r="I181" i="2"/>
  <c r="H181" i="2"/>
  <c r="G181" i="2"/>
  <c r="F181" i="2"/>
  <c r="E181" i="2"/>
  <c r="J181" i="2" s="1"/>
  <c r="R181" i="2"/>
  <c r="P181" i="2"/>
  <c r="O181" i="2"/>
  <c r="I182" i="2"/>
  <c r="H182" i="2"/>
  <c r="G182" i="2"/>
  <c r="F182" i="2"/>
  <c r="E182" i="2"/>
  <c r="J182" i="2" s="1"/>
  <c r="R182" i="2"/>
  <c r="P182" i="2"/>
  <c r="O182" i="2"/>
  <c r="I183" i="2"/>
  <c r="H183" i="2"/>
  <c r="G183" i="2"/>
  <c r="F183" i="2"/>
  <c r="E183" i="2"/>
  <c r="J183" i="2" s="1"/>
  <c r="R183" i="2"/>
  <c r="P183" i="2"/>
  <c r="O183" i="2"/>
  <c r="I184" i="2"/>
  <c r="H184" i="2"/>
  <c r="G184" i="2"/>
  <c r="F184" i="2"/>
  <c r="E184" i="2"/>
  <c r="J184" i="2" s="1"/>
  <c r="R184" i="2"/>
  <c r="P184" i="2"/>
  <c r="O184" i="2"/>
  <c r="I185" i="2"/>
  <c r="H185" i="2"/>
  <c r="G185" i="2"/>
  <c r="F185" i="2"/>
  <c r="E185" i="2"/>
  <c r="J185" i="2" s="1"/>
  <c r="R185" i="2"/>
  <c r="P185" i="2"/>
  <c r="O185" i="2"/>
  <c r="I186" i="2"/>
  <c r="H186" i="2"/>
  <c r="G186" i="2"/>
  <c r="F186" i="2"/>
  <c r="E186" i="2"/>
  <c r="J186" i="2" s="1"/>
  <c r="R186" i="2"/>
  <c r="P186" i="2"/>
  <c r="O186" i="2"/>
  <c r="I187" i="2"/>
  <c r="H187" i="2"/>
  <c r="G187" i="2"/>
  <c r="F187" i="2"/>
  <c r="E187" i="2"/>
  <c r="J187" i="2" s="1"/>
  <c r="R187" i="2"/>
  <c r="P187" i="2"/>
  <c r="O187" i="2"/>
  <c r="I188" i="2"/>
  <c r="H188" i="2"/>
  <c r="G188" i="2"/>
  <c r="F188" i="2"/>
  <c r="E188" i="2"/>
  <c r="J188" i="2" s="1"/>
  <c r="R188" i="2"/>
  <c r="P188" i="2"/>
  <c r="O188" i="2"/>
  <c r="I189" i="2"/>
  <c r="H189" i="2"/>
  <c r="G189" i="2"/>
  <c r="F189" i="2"/>
  <c r="E189" i="2"/>
  <c r="J189" i="2" s="1"/>
  <c r="R189" i="2"/>
  <c r="P189" i="2"/>
  <c r="O189" i="2"/>
  <c r="I190" i="2"/>
  <c r="H190" i="2"/>
  <c r="G190" i="2"/>
  <c r="F190" i="2"/>
  <c r="E190" i="2"/>
  <c r="J190" i="2" s="1"/>
  <c r="R190" i="2"/>
  <c r="P190" i="2"/>
  <c r="O190" i="2"/>
  <c r="I191" i="2"/>
  <c r="H191" i="2"/>
  <c r="G191" i="2"/>
  <c r="F191" i="2"/>
  <c r="E191" i="2"/>
  <c r="J191" i="2" s="1"/>
  <c r="R191" i="2"/>
  <c r="P191" i="2"/>
  <c r="O191" i="2"/>
  <c r="I192" i="2"/>
  <c r="H192" i="2"/>
  <c r="G192" i="2"/>
  <c r="F192" i="2"/>
  <c r="E192" i="2"/>
  <c r="J192" i="2" s="1"/>
  <c r="R192" i="2"/>
  <c r="P192" i="2"/>
  <c r="O192" i="2"/>
  <c r="I193" i="2"/>
  <c r="H193" i="2"/>
  <c r="G193" i="2"/>
  <c r="F193" i="2"/>
  <c r="E193" i="2"/>
  <c r="J193" i="2" s="1"/>
  <c r="R193" i="2"/>
  <c r="P193" i="2"/>
  <c r="O193" i="2"/>
  <c r="I194" i="2"/>
  <c r="H194" i="2"/>
  <c r="G194" i="2"/>
  <c r="F194" i="2"/>
  <c r="E194" i="2"/>
  <c r="J194" i="2" s="1"/>
  <c r="R194" i="2"/>
  <c r="P194" i="2"/>
  <c r="O194" i="2"/>
  <c r="I195" i="2"/>
  <c r="H195" i="2"/>
  <c r="G195" i="2"/>
  <c r="F195" i="2"/>
  <c r="E195" i="2"/>
  <c r="J195" i="2" s="1"/>
  <c r="R195" i="2"/>
  <c r="P195" i="2"/>
  <c r="O195" i="2"/>
  <c r="I196" i="2"/>
  <c r="H196" i="2"/>
  <c r="G196" i="2"/>
  <c r="F196" i="2"/>
  <c r="E196" i="2"/>
  <c r="J196" i="2" s="1"/>
  <c r="R196" i="2"/>
  <c r="P196" i="2"/>
  <c r="O196" i="2"/>
  <c r="I197" i="2"/>
  <c r="H197" i="2"/>
  <c r="G197" i="2"/>
  <c r="F197" i="2"/>
  <c r="E197" i="2"/>
  <c r="J197" i="2" s="1"/>
  <c r="R197" i="2"/>
  <c r="P197" i="2"/>
  <c r="O197" i="2"/>
  <c r="I198" i="2"/>
  <c r="H198" i="2"/>
  <c r="G198" i="2"/>
  <c r="F198" i="2"/>
  <c r="E198" i="2"/>
  <c r="J198" i="2" s="1"/>
  <c r="R198" i="2"/>
  <c r="P198" i="2"/>
  <c r="O198" i="2"/>
  <c r="I199" i="2"/>
  <c r="H199" i="2"/>
  <c r="G199" i="2"/>
  <c r="F199" i="2"/>
  <c r="E199" i="2"/>
  <c r="J199" i="2" s="1"/>
  <c r="R199" i="2"/>
  <c r="P199" i="2"/>
  <c r="O199" i="2"/>
  <c r="I200" i="2"/>
  <c r="H200" i="2"/>
  <c r="G200" i="2"/>
  <c r="F200" i="2"/>
  <c r="E200" i="2"/>
  <c r="J200" i="2" s="1"/>
  <c r="R200" i="2"/>
  <c r="P200" i="2"/>
  <c r="O200" i="2"/>
  <c r="I201" i="2"/>
  <c r="H201" i="2"/>
  <c r="G201" i="2"/>
  <c r="F201" i="2"/>
  <c r="E201" i="2"/>
  <c r="J201" i="2" s="1"/>
  <c r="R201" i="2"/>
  <c r="P201" i="2"/>
  <c r="O201" i="2"/>
  <c r="I202" i="2"/>
  <c r="H202" i="2"/>
  <c r="G202" i="2"/>
  <c r="F202" i="2"/>
  <c r="E202" i="2"/>
  <c r="J202" i="2" s="1"/>
  <c r="R202" i="2"/>
  <c r="P202" i="2"/>
  <c r="O202" i="2"/>
  <c r="I203" i="2"/>
  <c r="H203" i="2"/>
  <c r="G203" i="2"/>
  <c r="F203" i="2"/>
  <c r="E203" i="2"/>
  <c r="J203" i="2" s="1"/>
  <c r="R203" i="2"/>
  <c r="P203" i="2"/>
  <c r="O203" i="2"/>
  <c r="I204" i="2"/>
  <c r="H204" i="2"/>
  <c r="G204" i="2"/>
  <c r="F204" i="2"/>
  <c r="E204" i="2"/>
  <c r="J204" i="2" s="1"/>
  <c r="R204" i="2"/>
  <c r="P204" i="2"/>
  <c r="O204" i="2"/>
  <c r="I205" i="2"/>
  <c r="H205" i="2"/>
  <c r="G205" i="2"/>
  <c r="F205" i="2"/>
  <c r="E205" i="2"/>
  <c r="J205" i="2" s="1"/>
  <c r="R205" i="2"/>
  <c r="P205" i="2"/>
  <c r="O205" i="2"/>
  <c r="I206" i="2"/>
  <c r="H206" i="2"/>
  <c r="G206" i="2"/>
  <c r="F206" i="2"/>
  <c r="E206" i="2"/>
  <c r="J206" i="2" s="1"/>
  <c r="R206" i="2"/>
  <c r="P206" i="2"/>
  <c r="O206" i="2"/>
  <c r="I207" i="2"/>
  <c r="H207" i="2"/>
  <c r="G207" i="2"/>
  <c r="F207" i="2"/>
  <c r="E207" i="2"/>
  <c r="J207" i="2" s="1"/>
  <c r="R207" i="2"/>
  <c r="P207" i="2"/>
  <c r="O207" i="2"/>
  <c r="I208" i="2"/>
  <c r="H208" i="2"/>
  <c r="G208" i="2"/>
  <c r="F208" i="2"/>
  <c r="E208" i="2"/>
  <c r="J208" i="2" s="1"/>
  <c r="R208" i="2"/>
  <c r="P208" i="2"/>
  <c r="O208" i="2"/>
  <c r="I209" i="2"/>
  <c r="H209" i="2"/>
  <c r="G209" i="2"/>
  <c r="F209" i="2"/>
  <c r="E209" i="2"/>
  <c r="J209" i="2" s="1"/>
  <c r="R209" i="2"/>
  <c r="P209" i="2"/>
  <c r="O209" i="2"/>
  <c r="I210" i="2"/>
  <c r="H210" i="2"/>
  <c r="G210" i="2"/>
  <c r="F210" i="2"/>
  <c r="E210" i="2"/>
  <c r="J210" i="2" s="1"/>
  <c r="R210" i="2"/>
  <c r="P210" i="2"/>
  <c r="O210" i="2"/>
  <c r="I211" i="2"/>
  <c r="H211" i="2"/>
  <c r="G211" i="2"/>
  <c r="F211" i="2"/>
  <c r="E211" i="2"/>
  <c r="J211" i="2" s="1"/>
  <c r="R211" i="2"/>
  <c r="P211" i="2"/>
  <c r="O211" i="2"/>
  <c r="I212" i="2"/>
  <c r="H212" i="2"/>
  <c r="G212" i="2"/>
  <c r="F212" i="2"/>
  <c r="E212" i="2"/>
  <c r="J212" i="2" s="1"/>
  <c r="R212" i="2"/>
  <c r="P212" i="2"/>
  <c r="O212" i="2"/>
  <c r="I213" i="2"/>
  <c r="H213" i="2"/>
  <c r="G213" i="2"/>
  <c r="F213" i="2"/>
  <c r="E213" i="2"/>
  <c r="J213" i="2" s="1"/>
  <c r="R213" i="2"/>
  <c r="P213" i="2"/>
  <c r="O213" i="2"/>
  <c r="I214" i="2"/>
  <c r="H214" i="2"/>
  <c r="G214" i="2"/>
  <c r="F214" i="2"/>
  <c r="E214" i="2"/>
  <c r="J214" i="2" s="1"/>
  <c r="R214" i="2"/>
  <c r="P214" i="2"/>
  <c r="O214" i="2"/>
  <c r="I215" i="2"/>
  <c r="H215" i="2"/>
  <c r="G215" i="2"/>
  <c r="F215" i="2"/>
  <c r="E215" i="2"/>
  <c r="J215" i="2" s="1"/>
  <c r="R215" i="2"/>
  <c r="P215" i="2"/>
  <c r="O215" i="2"/>
  <c r="I216" i="2"/>
  <c r="H216" i="2"/>
  <c r="G216" i="2"/>
  <c r="F216" i="2"/>
  <c r="E216" i="2"/>
  <c r="J216" i="2" s="1"/>
  <c r="R216" i="2"/>
  <c r="P216" i="2"/>
  <c r="O216" i="2"/>
  <c r="I217" i="2"/>
  <c r="H217" i="2"/>
  <c r="G217" i="2"/>
  <c r="F217" i="2"/>
  <c r="E217" i="2"/>
  <c r="J217" i="2" s="1"/>
  <c r="R217" i="2"/>
  <c r="P217" i="2"/>
  <c r="O217" i="2"/>
  <c r="I218" i="2"/>
  <c r="H218" i="2"/>
  <c r="G218" i="2"/>
  <c r="F218" i="2"/>
  <c r="E218" i="2"/>
  <c r="J218" i="2" s="1"/>
  <c r="R218" i="2"/>
  <c r="P218" i="2"/>
  <c r="O218" i="2"/>
  <c r="I219" i="2"/>
  <c r="H219" i="2"/>
  <c r="G219" i="2"/>
  <c r="F219" i="2"/>
  <c r="E219" i="2"/>
  <c r="J219" i="2" s="1"/>
  <c r="R219" i="2"/>
  <c r="P219" i="2"/>
  <c r="O219" i="2"/>
  <c r="I220" i="2"/>
  <c r="H220" i="2"/>
  <c r="G220" i="2"/>
  <c r="F220" i="2"/>
  <c r="E220" i="2"/>
  <c r="J220" i="2" s="1"/>
  <c r="R220" i="2"/>
  <c r="P220" i="2"/>
  <c r="O220" i="2"/>
  <c r="I221" i="2"/>
  <c r="H221" i="2"/>
  <c r="G221" i="2"/>
  <c r="F221" i="2"/>
  <c r="E221" i="2"/>
  <c r="J221" i="2" s="1"/>
  <c r="R221" i="2"/>
  <c r="P221" i="2"/>
  <c r="O221" i="2"/>
  <c r="I222" i="2"/>
  <c r="H222" i="2"/>
  <c r="G222" i="2"/>
  <c r="F222" i="2"/>
  <c r="E222" i="2"/>
  <c r="J222" i="2" s="1"/>
  <c r="R222" i="2"/>
  <c r="P222" i="2"/>
  <c r="O222" i="2"/>
  <c r="I223" i="2"/>
  <c r="H223" i="2"/>
  <c r="G223" i="2"/>
  <c r="F223" i="2"/>
  <c r="E223" i="2"/>
  <c r="J223" i="2" s="1"/>
  <c r="R223" i="2"/>
  <c r="P223" i="2"/>
  <c r="O223" i="2"/>
  <c r="I224" i="2"/>
  <c r="H224" i="2"/>
  <c r="G224" i="2"/>
  <c r="F224" i="2"/>
  <c r="E224" i="2"/>
  <c r="J224" i="2" s="1"/>
  <c r="R224" i="2"/>
  <c r="P224" i="2"/>
  <c r="O224" i="2"/>
  <c r="I225" i="2"/>
  <c r="H225" i="2"/>
  <c r="G225" i="2"/>
  <c r="F225" i="2"/>
  <c r="E225" i="2"/>
  <c r="J225" i="2" s="1"/>
  <c r="R225" i="2"/>
  <c r="P225" i="2"/>
  <c r="O225" i="2"/>
  <c r="I226" i="2"/>
  <c r="H226" i="2"/>
  <c r="G226" i="2"/>
  <c r="F226" i="2"/>
  <c r="E226" i="2"/>
  <c r="J226" i="2" s="1"/>
  <c r="R226" i="2"/>
  <c r="P226" i="2"/>
  <c r="O226" i="2"/>
  <c r="I227" i="2"/>
  <c r="H227" i="2"/>
  <c r="G227" i="2"/>
  <c r="F227" i="2"/>
  <c r="E227" i="2"/>
  <c r="J227" i="2" s="1"/>
  <c r="R227" i="2"/>
  <c r="P227" i="2"/>
  <c r="O227" i="2"/>
  <c r="I228" i="2"/>
  <c r="H228" i="2"/>
  <c r="G228" i="2"/>
  <c r="F228" i="2"/>
  <c r="E228" i="2"/>
  <c r="J228" i="2" s="1"/>
  <c r="R228" i="2"/>
  <c r="P228" i="2"/>
  <c r="O228" i="2"/>
  <c r="I229" i="2"/>
  <c r="H229" i="2"/>
  <c r="G229" i="2"/>
  <c r="F229" i="2"/>
  <c r="E229" i="2"/>
  <c r="J229" i="2" s="1"/>
  <c r="R229" i="2"/>
  <c r="P229" i="2"/>
  <c r="O229" i="2"/>
  <c r="I230" i="2"/>
  <c r="H230" i="2"/>
  <c r="G230" i="2"/>
  <c r="F230" i="2"/>
  <c r="E230" i="2"/>
  <c r="J230" i="2" s="1"/>
  <c r="R230" i="2"/>
  <c r="P230" i="2"/>
  <c r="O230" i="2"/>
  <c r="I231" i="2"/>
  <c r="H231" i="2"/>
  <c r="G231" i="2"/>
  <c r="F231" i="2"/>
  <c r="E231" i="2"/>
  <c r="J231" i="2" s="1"/>
  <c r="R231" i="2"/>
  <c r="P231" i="2"/>
  <c r="O231" i="2"/>
</calcChain>
</file>

<file path=xl/sharedStrings.xml><?xml version="1.0" encoding="utf-8"?>
<sst xmlns="http://schemas.openxmlformats.org/spreadsheetml/2006/main" count="29527" uniqueCount="11091">
  <si>
    <t>SYMBOL+Series</t>
  </si>
  <si>
    <t>TradDt</t>
  </si>
  <si>
    <t>BizDt</t>
  </si>
  <si>
    <t>Sgmt</t>
  </si>
  <si>
    <t>Src</t>
  </si>
  <si>
    <t>FinInstrmTp</t>
  </si>
  <si>
    <t>FinInstrmId</t>
  </si>
  <si>
    <t>ISIN</t>
  </si>
  <si>
    <t>TckrSymb</t>
  </si>
  <si>
    <t>SctySrs</t>
  </si>
  <si>
    <t>XpryDt</t>
  </si>
  <si>
    <t>FininstrmActlXpryDt</t>
  </si>
  <si>
    <t>StrkPric</t>
  </si>
  <si>
    <t>OptnTp</t>
  </si>
  <si>
    <t>FinInstrmNm</t>
  </si>
  <si>
    <t>OpnPric</t>
  </si>
  <si>
    <t>HghPric</t>
  </si>
  <si>
    <t>LwPric</t>
  </si>
  <si>
    <t>ClsPric</t>
  </si>
  <si>
    <t>LastPric</t>
  </si>
  <si>
    <t>PrvsClsgPric</t>
  </si>
  <si>
    <t>UndrlygPric</t>
  </si>
  <si>
    <t>SttlmPric</t>
  </si>
  <si>
    <t>OpnIntrst</t>
  </si>
  <si>
    <t>ChngInOpnIntrst</t>
  </si>
  <si>
    <t>TtlTradgVol</t>
  </si>
  <si>
    <t>TtlTrfVal</t>
  </si>
  <si>
    <t>TtlNbOfTxsExctd</t>
  </si>
  <si>
    <t>SsnId</t>
  </si>
  <si>
    <t>NewBrdLotQty</t>
  </si>
  <si>
    <t>Rmks</t>
  </si>
  <si>
    <t>Rsvd1</t>
  </si>
  <si>
    <t>Rsvd2</t>
  </si>
  <si>
    <t>Rsvd3</t>
  </si>
  <si>
    <t>Rsvd4</t>
  </si>
  <si>
    <t>CM</t>
  </si>
  <si>
    <t>NSE</t>
  </si>
  <si>
    <t>STK</t>
  </si>
  <si>
    <t>IN0020200104</t>
  </si>
  <si>
    <t>SGBJUN28</t>
  </si>
  <si>
    <t>GB</t>
  </si>
  <si>
    <t>2.5%GOLDBONDS2028SR-III</t>
  </si>
  <si>
    <t>F1</t>
  </si>
  <si>
    <t>IN0020200286</t>
  </si>
  <si>
    <t>SGBN28VIII</t>
  </si>
  <si>
    <t>2.5%GOLDBONDS2028SR-VIII</t>
  </si>
  <si>
    <t>IN0020210053</t>
  </si>
  <si>
    <t>SGBMAY29I</t>
  </si>
  <si>
    <t>2.5%GOLDBONDS2029SR-I</t>
  </si>
  <si>
    <t>IN0020210061</t>
  </si>
  <si>
    <t>SGBJUN29II</t>
  </si>
  <si>
    <t>2.5%GOLDBONDS2029SR-II</t>
  </si>
  <si>
    <t>IN0020210087</t>
  </si>
  <si>
    <t>SGBJU29III</t>
  </si>
  <si>
    <t>2.5%GOLDBONDS2029SR-III</t>
  </si>
  <si>
    <t>IN0020210145</t>
  </si>
  <si>
    <t>SGBSEP29VI</t>
  </si>
  <si>
    <t>2.5%GOLDBONDS2029SR-VI</t>
  </si>
  <si>
    <t>IN0020210178</t>
  </si>
  <si>
    <t>SGBNV29VII</t>
  </si>
  <si>
    <t>2.5%GOLDBONDS2029SR-VII</t>
  </si>
  <si>
    <t>IN0020180249</t>
  </si>
  <si>
    <t>SGBOCT26</t>
  </si>
  <si>
    <t>2.50%GOLDBONDS2026SR-II</t>
  </si>
  <si>
    <t>IN0020180389</t>
  </si>
  <si>
    <t>SGBDEC26</t>
  </si>
  <si>
    <t>2.50%GOLDBONDS2026SR-IV</t>
  </si>
  <si>
    <t>IN0020190073</t>
  </si>
  <si>
    <t>SGBJUN27</t>
  </si>
  <si>
    <t>2.50%GOLDBONDS2027SR-I</t>
  </si>
  <si>
    <t>IN0020190081</t>
  </si>
  <si>
    <t>SGBJUL27</t>
  </si>
  <si>
    <t>2.50%GOLDBONDS2027SR-II</t>
  </si>
  <si>
    <t>IN0020190107</t>
  </si>
  <si>
    <t>SGBAUG27</t>
  </si>
  <si>
    <t>2.50%GOLDBONDS2027SR-III</t>
  </si>
  <si>
    <t>IN0020190115</t>
  </si>
  <si>
    <t>SGBSEP27</t>
  </si>
  <si>
    <t>2.50%GOLDBONDS2027SR-IV</t>
  </si>
  <si>
    <t>IN0020180561</t>
  </si>
  <si>
    <t>SGBFEB27</t>
  </si>
  <si>
    <t>2.50%GOLDBONDS2027SR-VI</t>
  </si>
  <si>
    <t>IN0020190388</t>
  </si>
  <si>
    <t>SGBOCT27VI</t>
  </si>
  <si>
    <t>IN0020190461</t>
  </si>
  <si>
    <t>SGBDC27VII</t>
  </si>
  <si>
    <t>2.50%GOLDBONDS2027SR-VII</t>
  </si>
  <si>
    <t>IN0020200062</t>
  </si>
  <si>
    <t>SGBAPR28I</t>
  </si>
  <si>
    <t>2.50%GOLDBONDS2028SR-I</t>
  </si>
  <si>
    <t>IN0020200088</t>
  </si>
  <si>
    <t>SGBMAY28</t>
  </si>
  <si>
    <t>2.50%GOLDBONDS2028SR-II</t>
  </si>
  <si>
    <t>IN0020200146</t>
  </si>
  <si>
    <t>SGBJUL28IV</t>
  </si>
  <si>
    <t>2.50%GOLDBONDS2028SR-IV</t>
  </si>
  <si>
    <t>IN0020190545</t>
  </si>
  <si>
    <t>SGBFEB28IX</t>
  </si>
  <si>
    <t>2.50%GOLDBONDS2028SR-IX</t>
  </si>
  <si>
    <t>IN0020200161</t>
  </si>
  <si>
    <t>SGBAUG28V</t>
  </si>
  <si>
    <t>2.50%GOLDBONDS2028SR-V</t>
  </si>
  <si>
    <t>IN0020200195</t>
  </si>
  <si>
    <t>SGBSEP28VI</t>
  </si>
  <si>
    <t>2.50%GOLDBONDS2028SR-VI</t>
  </si>
  <si>
    <t>IN0020200203</t>
  </si>
  <si>
    <t>SGBOC28VII</t>
  </si>
  <si>
    <t>2.50%GOLDBONDS2028SR-VII</t>
  </si>
  <si>
    <t>IN0020210111</t>
  </si>
  <si>
    <t>SGBJUL29IV</t>
  </si>
  <si>
    <t>2.50%GOLDBONDS2029SR-IV</t>
  </si>
  <si>
    <t>IN0020200377</t>
  </si>
  <si>
    <t>SGBJAN29IX</t>
  </si>
  <si>
    <t>2.50%GOLDBONDS2029SR-IX</t>
  </si>
  <si>
    <t>IN0020210129</t>
  </si>
  <si>
    <t>SGBAUG29V</t>
  </si>
  <si>
    <t>2.50%GOLDBONDS2029SR-V</t>
  </si>
  <si>
    <t>IN0020210228</t>
  </si>
  <si>
    <t>SGBD29VIII</t>
  </si>
  <si>
    <t>2.50%GOLDBONDS2029SR-VIII</t>
  </si>
  <si>
    <t>IN0020200385</t>
  </si>
  <si>
    <t>SGBJAN29X</t>
  </si>
  <si>
    <t>2.50%GOLDBONDS2029SR-X</t>
  </si>
  <si>
    <t>IN0020200393</t>
  </si>
  <si>
    <t>SGBFEB29XI</t>
  </si>
  <si>
    <t>2.50%GOLDBONDS2029SR-XI</t>
  </si>
  <si>
    <t>IN0020200427</t>
  </si>
  <si>
    <t>SGBMR29XII</t>
  </si>
  <si>
    <t>2.50%GOLDBONDS2029SR-XII</t>
  </si>
  <si>
    <t>IN0020220045</t>
  </si>
  <si>
    <t>SGBJUN30</t>
  </si>
  <si>
    <t>2.50%GOLDBONDS2030SR-I</t>
  </si>
  <si>
    <t>IN0020220078</t>
  </si>
  <si>
    <t>SGBAUG30</t>
  </si>
  <si>
    <t>2.50%GOLDBONDS2030SR-II</t>
  </si>
  <si>
    <t>IN0020220110</t>
  </si>
  <si>
    <t>SGBDE30III</t>
  </si>
  <si>
    <t>2.50%GOLDBONDS2030SR-III</t>
  </si>
  <si>
    <t>IN0020210236</t>
  </si>
  <si>
    <t>SGBJAN30IX</t>
  </si>
  <si>
    <t>2.50%GOLDBONDS2030SR-IX</t>
  </si>
  <si>
    <t>IN0020210319</t>
  </si>
  <si>
    <t>SGBMAR30X</t>
  </si>
  <si>
    <t>2.50%GOLDBONDS2030SR-X</t>
  </si>
  <si>
    <t>IN0020230069</t>
  </si>
  <si>
    <t>SGBJUN31I</t>
  </si>
  <si>
    <t>2.50%GOLDBONDS2031SR-I</t>
  </si>
  <si>
    <t>IN0020230093</t>
  </si>
  <si>
    <t>SGBSEP31II</t>
  </si>
  <si>
    <t>2.50%GOLDBONDS2031SR-II</t>
  </si>
  <si>
    <t>IN0020230168</t>
  </si>
  <si>
    <t>SGBDE31III</t>
  </si>
  <si>
    <t>2.50%GOLDBONDS2031SR-III</t>
  </si>
  <si>
    <t>IN0020220169</t>
  </si>
  <si>
    <t>SGBMAR31IV</t>
  </si>
  <si>
    <t>2.50%GOLDBONDS2031SR-IV</t>
  </si>
  <si>
    <t>IN0020230184</t>
  </si>
  <si>
    <t>SGBFEB32IV</t>
  </si>
  <si>
    <t>2.50%GOLDBONDS2032SR-IV</t>
  </si>
  <si>
    <t>INE144J01027</t>
  </si>
  <si>
    <t>20MICRONS</t>
  </si>
  <si>
    <t>EQ</t>
  </si>
  <si>
    <t>20 MICRONS LTD</t>
  </si>
  <si>
    <t>INE253B01015</t>
  </si>
  <si>
    <t>21STCENMGM</t>
  </si>
  <si>
    <t>21ST CENTURY MGMT SERVICE</t>
  </si>
  <si>
    <t>INE466L01038</t>
  </si>
  <si>
    <t>360ONE</t>
  </si>
  <si>
    <t>360 ONE WAM LIMITED</t>
  </si>
  <si>
    <t>INF579M01BB5</t>
  </si>
  <si>
    <t>GOLD360</t>
  </si>
  <si>
    <t>360ONEAMC - GOLD360</t>
  </si>
  <si>
    <t>INF579M01BP5</t>
  </si>
  <si>
    <t>MSCI360</t>
  </si>
  <si>
    <t>360ONEAMC - MSCI360</t>
  </si>
  <si>
    <t>INF579M01BC3</t>
  </si>
  <si>
    <t>SILVER360</t>
  </si>
  <si>
    <t>360ONEAMC - SILVER360</t>
  </si>
  <si>
    <t>INE994E01018</t>
  </si>
  <si>
    <t>3BBLACKBIO</t>
  </si>
  <si>
    <t>3B BLACKBIO DX LTD.</t>
  </si>
  <si>
    <t>INE748C01038</t>
  </si>
  <si>
    <t>3IINFOLTD</t>
  </si>
  <si>
    <t>BE</t>
  </si>
  <si>
    <t>3I INFOTECH LIMITED</t>
  </si>
  <si>
    <t>INE470A01017</t>
  </si>
  <si>
    <t>3MINDIA</t>
  </si>
  <si>
    <t>3M INDIA LIMITED</t>
  </si>
  <si>
    <t>INE105C01023</t>
  </si>
  <si>
    <t>3PLAND</t>
  </si>
  <si>
    <t>3P LAND HOLDINGS LIMITED</t>
  </si>
  <si>
    <t>INE618L01018</t>
  </si>
  <si>
    <t>5PAISA</t>
  </si>
  <si>
    <t>5PAISA CAPITAL LIMITED</t>
  </si>
  <si>
    <t>INE111B01023</t>
  </si>
  <si>
    <t>63MOONS</t>
  </si>
  <si>
    <t>63 MOONS TECHNOLOGIES LTD</t>
  </si>
  <si>
    <t>INE053F07579</t>
  </si>
  <si>
    <t>734IRFC28</t>
  </si>
  <si>
    <t>N4</t>
  </si>
  <si>
    <t>7.34 NCD 19FEB28 TR1 SR2</t>
  </si>
  <si>
    <t>INE261F07032</t>
  </si>
  <si>
    <t>764NABAR31</t>
  </si>
  <si>
    <t>N2</t>
  </si>
  <si>
    <t>7.64% TAX FREE TRI SRIIB</t>
  </si>
  <si>
    <t>INE031A07AO5</t>
  </si>
  <si>
    <t>764HUDCO31</t>
  </si>
  <si>
    <t>N8</t>
  </si>
  <si>
    <t>7.64% TAX FREETRI SR2B</t>
  </si>
  <si>
    <t>INE031A07AT4</t>
  </si>
  <si>
    <t>769HUDCO31</t>
  </si>
  <si>
    <t>N9</t>
  </si>
  <si>
    <t>7.69% TAX FREETRII SR2B</t>
  </si>
  <si>
    <t>INE202E07229</t>
  </si>
  <si>
    <t>774IREDA31</t>
  </si>
  <si>
    <t>N7</t>
  </si>
  <si>
    <t>7.74% TAX FREE NCD</t>
  </si>
  <si>
    <t>INE134E07208</t>
  </si>
  <si>
    <t>830PFCL27</t>
  </si>
  <si>
    <t>N5</t>
  </si>
  <si>
    <t>8.30% TAX FREE NCD</t>
  </si>
  <si>
    <t>INE134E07455</t>
  </si>
  <si>
    <t>867PFCL33</t>
  </si>
  <si>
    <t>8.67% TAX FREE NCD</t>
  </si>
  <si>
    <t>INE906B07DF8</t>
  </si>
  <si>
    <t>875NHAI29</t>
  </si>
  <si>
    <t>N6</t>
  </si>
  <si>
    <t>8.75% TAX FREE TR I S IIB</t>
  </si>
  <si>
    <t>INE733E07JJ9</t>
  </si>
  <si>
    <t>891NTPC33</t>
  </si>
  <si>
    <t>8.91%S-R-NCD SERIES 3B</t>
  </si>
  <si>
    <t>INE848E07567</t>
  </si>
  <si>
    <t>892NHPC33</t>
  </si>
  <si>
    <t>8.92% SEC RED BOND S3B</t>
  </si>
  <si>
    <t>INE134E07463</t>
  </si>
  <si>
    <t>892PFCL33</t>
  </si>
  <si>
    <t>8.92% TAX FREE NCD</t>
  </si>
  <si>
    <t>INE031A07AB2</t>
  </si>
  <si>
    <t>901HUDCO34</t>
  </si>
  <si>
    <t>NE</t>
  </si>
  <si>
    <t>9.01% TAX FREETRII SR3B</t>
  </si>
  <si>
    <t>INE08PH01015</t>
  </si>
  <si>
    <t>ABCOTS</t>
  </si>
  <si>
    <t>A B COTSPIN INDIA LIMITED</t>
  </si>
  <si>
    <t>INE00YB01025</t>
  </si>
  <si>
    <t>ABINFRA</t>
  </si>
  <si>
    <t>A B INFRABUILD LIMITED</t>
  </si>
  <si>
    <t>INE850B01026</t>
  </si>
  <si>
    <t>ABMKNO</t>
  </si>
  <si>
    <t>A B M KNOWLEDGEWARE LTD.</t>
  </si>
  <si>
    <t>INE366C01021</t>
  </si>
  <si>
    <t>ACSTECH</t>
  </si>
  <si>
    <t>A C S TECHNOLOGIES LTD.</t>
  </si>
  <si>
    <t>INE701G01012</t>
  </si>
  <si>
    <t>AKCAPIT</t>
  </si>
  <si>
    <t>A K CAPITAL SERVICES LTD.</t>
  </si>
  <si>
    <t>INE619I01012</t>
  </si>
  <si>
    <t>A2ZINFRA</t>
  </si>
  <si>
    <t>A2Z INFRA ENGINEERING LTD</t>
  </si>
  <si>
    <t>INE0D0U01013</t>
  </si>
  <si>
    <t>AAATECH</t>
  </si>
  <si>
    <t>AAA TECHNOLOGIES LIMITED</t>
  </si>
  <si>
    <t>INE883F01010</t>
  </si>
  <si>
    <t>AADHARHFC</t>
  </si>
  <si>
    <t>AADHAR HOUSING FINANCE L</t>
  </si>
  <si>
    <t>INE1GYP01013</t>
  </si>
  <si>
    <t>AAKAAR</t>
  </si>
  <si>
    <t>SM</t>
  </si>
  <si>
    <t>AAKAAR MEDICAL TECHNO LTD</t>
  </si>
  <si>
    <t>INE087Z01024</t>
  </si>
  <si>
    <t>AAKASH</t>
  </si>
  <si>
    <t>AAKASH EXPLORATION SER L</t>
  </si>
  <si>
    <t>INE124401014</t>
  </si>
  <si>
    <t>AARADHYA</t>
  </si>
  <si>
    <t>AARADHYA DISPOSAL INDUS L</t>
  </si>
  <si>
    <t>INE198H01019</t>
  </si>
  <si>
    <t>AAREYDRUGS</t>
  </si>
  <si>
    <t>AAREY DRUGS &amp; PHARM LTD</t>
  </si>
  <si>
    <t>INE750R01016</t>
  </si>
  <si>
    <t>AARNAV</t>
  </si>
  <si>
    <t>AARNAV FASHIONS LIMITED</t>
  </si>
  <si>
    <t>INE721Z01010</t>
  </si>
  <si>
    <t>AARON</t>
  </si>
  <si>
    <t>AARON INDUSTRIES LIMITED</t>
  </si>
  <si>
    <t>INE01C001026</t>
  </si>
  <si>
    <t>AARTECH</t>
  </si>
  <si>
    <t>AARTECH SOLONICS LIMITED</t>
  </si>
  <si>
    <t>INE767A01016</t>
  </si>
  <si>
    <t>AARTIDRUGS</t>
  </si>
  <si>
    <t>AARTI DRUGS LTD.</t>
  </si>
  <si>
    <t>INE769A01020</t>
  </si>
  <si>
    <t>AARTIIND</t>
  </si>
  <si>
    <t>AARTI INDUSTRIES LTD</t>
  </si>
  <si>
    <t>INE0LRU01027</t>
  </si>
  <si>
    <t>AARTIPHARM</t>
  </si>
  <si>
    <t>AARTI PHARMALABS LIMITED</t>
  </si>
  <si>
    <t>INE09EO01013</t>
  </si>
  <si>
    <t>AARTISURF</t>
  </si>
  <si>
    <t>AARTI SURFACTANTS LIMITED</t>
  </si>
  <si>
    <t>INE754X01016</t>
  </si>
  <si>
    <t>AARVI</t>
  </si>
  <si>
    <t>AARVI ENCON LIMITED</t>
  </si>
  <si>
    <t>INE2FMX01012</t>
  </si>
  <si>
    <t>AASTHA</t>
  </si>
  <si>
    <t>AASTHA SPINTEX LIMITED</t>
  </si>
  <si>
    <t>INE0OB201016</t>
  </si>
  <si>
    <t>AATMAJ</t>
  </si>
  <si>
    <t>AATMAJ HEALTHCARE LIMITED</t>
  </si>
  <si>
    <t>INE216P01012</t>
  </si>
  <si>
    <t>AAVAS</t>
  </si>
  <si>
    <t>AAVAS FINANCIERS LIMITED</t>
  </si>
  <si>
    <t>INE421A01028</t>
  </si>
  <si>
    <t>ABAN</t>
  </si>
  <si>
    <t>ABAN OFFSHORE LTD.</t>
  </si>
  <si>
    <t>INE365O01028</t>
  </si>
  <si>
    <t>ABANSENT</t>
  </si>
  <si>
    <t>ABANS ENTERPRISES LTD.</t>
  </si>
  <si>
    <t>INE00ZE01026</t>
  </si>
  <si>
    <t>AFSL</t>
  </si>
  <si>
    <t>ABANS FINANCIAL SRVCS LTD</t>
  </si>
  <si>
    <t>INE117A01022</t>
  </si>
  <si>
    <t>ABB</t>
  </si>
  <si>
    <t>ABB INDIA LIMITED</t>
  </si>
  <si>
    <t>INE358A01014</t>
  </si>
  <si>
    <t>ABBOTINDIA</t>
  </si>
  <si>
    <t>ABBOTT INDIA LIMITED</t>
  </si>
  <si>
    <t>INE1R2M01019</t>
  </si>
  <si>
    <t>ABH</t>
  </si>
  <si>
    <t>ST</t>
  </si>
  <si>
    <t>ABH HEALTHCARE LIMITED</t>
  </si>
  <si>
    <t>INE0UYG01015</t>
  </si>
  <si>
    <t>ABHAPOWER</t>
  </si>
  <si>
    <t>ABHA POWER N STEEL LTD</t>
  </si>
  <si>
    <t>INE251C01025</t>
  </si>
  <si>
    <t>ABMINTLLTD</t>
  </si>
  <si>
    <t>ABM INTERNATIONAL LTD</t>
  </si>
  <si>
    <t>INE0QRV01016</t>
  </si>
  <si>
    <t>ABSMARINE</t>
  </si>
  <si>
    <t>ABS MARINE SERVICES LTD</t>
  </si>
  <si>
    <t>INE012A01025</t>
  </si>
  <si>
    <t>ACC</t>
  </si>
  <si>
    <t>ACC LIMITED</t>
  </si>
  <si>
    <t>INE793A01012</t>
  </si>
  <si>
    <t>ACCELYA</t>
  </si>
  <si>
    <t>ACCELYA SOLN INDIA LTD</t>
  </si>
  <si>
    <t>INE0Q5D01013</t>
  </si>
  <si>
    <t>ACCENTMIC</t>
  </si>
  <si>
    <t>ACCENT MICROCELL LIMITED</t>
  </si>
  <si>
    <t>INE0T8T01010</t>
  </si>
  <si>
    <t>ACCPL</t>
  </si>
  <si>
    <t>ACCRETION PHARMA LIMITED</t>
  </si>
  <si>
    <t>INE648Z01023</t>
  </si>
  <si>
    <t>ACCURACY</t>
  </si>
  <si>
    <t>ACCURACY SHIPPING LIMITED</t>
  </si>
  <si>
    <t>INE543V01017</t>
  </si>
  <si>
    <t>ACEINTEG</t>
  </si>
  <si>
    <t>ACE INTEGRATED SOLU. LTD.</t>
  </si>
  <si>
    <t>INE1J6M01010</t>
  </si>
  <si>
    <t>ACETEC</t>
  </si>
  <si>
    <t>ACETECH E-COMMERCE LTD</t>
  </si>
  <si>
    <t>INE622W01025</t>
  </si>
  <si>
    <t>ACMESOLAR</t>
  </si>
  <si>
    <t>ACME SOLAR HOLDINGS LTD</t>
  </si>
  <si>
    <t>INE731H01025</t>
  </si>
  <si>
    <t>ACE</t>
  </si>
  <si>
    <t>ACTION CONST EQUIP LTD</t>
  </si>
  <si>
    <t>INE00FF01025</t>
  </si>
  <si>
    <t>ACUTAAS</t>
  </si>
  <si>
    <t>ACUTAAS CHEMICALS LIMITED</t>
  </si>
  <si>
    <t>INE931S01010</t>
  </si>
  <si>
    <t>ADANIENSOL</t>
  </si>
  <si>
    <t>ADANI ENERGY SOLUTION LTD</t>
  </si>
  <si>
    <t>INE423A01024</t>
  </si>
  <si>
    <t>ADANIENT</t>
  </si>
  <si>
    <t>ADANI ENTERPRISES LIMITED</t>
  </si>
  <si>
    <t>INE364U01010</t>
  </si>
  <si>
    <t>ADANIGREEN</t>
  </si>
  <si>
    <t>ADANI GREEN ENERGY LTD</t>
  </si>
  <si>
    <t>INE742F01042</t>
  </si>
  <si>
    <t>ADANIPORTS</t>
  </si>
  <si>
    <t>ADANI PORT &amp; SEZ LTD</t>
  </si>
  <si>
    <t>INE814H01029</t>
  </si>
  <si>
    <t>ADANIPOWER</t>
  </si>
  <si>
    <t>ADANI POWER LTD</t>
  </si>
  <si>
    <t>INE399L01023</t>
  </si>
  <si>
    <t>ATGL</t>
  </si>
  <si>
    <t>ADANI TOTAL GAS LIMITED</t>
  </si>
  <si>
    <t>INE757C01021</t>
  </si>
  <si>
    <t>ADDIND</t>
  </si>
  <si>
    <t>ADDI INDUSTRIES LTD.</t>
  </si>
  <si>
    <t>INE0RDH01021</t>
  </si>
  <si>
    <t>ADDICTIVE</t>
  </si>
  <si>
    <t>ADDICTIVE LEARNING TECH L</t>
  </si>
  <si>
    <t>INE982B01027</t>
  </si>
  <si>
    <t>ADFFOODS</t>
  </si>
  <si>
    <t>ADF FOODS LIMITED</t>
  </si>
  <si>
    <t>INE20PL01012</t>
  </si>
  <si>
    <t>ADISOFT</t>
  </si>
  <si>
    <t>ADISOFT TECHNOLOGIES LTD</t>
  </si>
  <si>
    <t>INE404A01024</t>
  </si>
  <si>
    <t>ABSLAMC</t>
  </si>
  <si>
    <t>ADIT BIRL SUN LIF AMC LTD</t>
  </si>
  <si>
    <t>INE674K01013</t>
  </si>
  <si>
    <t>ABCAPITAL</t>
  </si>
  <si>
    <t>ADITYA BIRLA CAPITAL LTD.</t>
  </si>
  <si>
    <t>INE647O01011</t>
  </si>
  <si>
    <t>ABFRL</t>
  </si>
  <si>
    <t>ADITYA BIRLA FASHION &amp; RT</t>
  </si>
  <si>
    <t>INE14LE01019</t>
  </si>
  <si>
    <t>ABLBL</t>
  </si>
  <si>
    <t>ADITYA BIRLA LIFES BRAN L</t>
  </si>
  <si>
    <t>INE865C01022</t>
  </si>
  <si>
    <t>BIRLAMONEY</t>
  </si>
  <si>
    <t>ADITYA BIRLA MONEY LTD</t>
  </si>
  <si>
    <t>INE055A01016</t>
  </si>
  <si>
    <t>ABREL</t>
  </si>
  <si>
    <t>ADITYA BIRLA REAL EST LTD</t>
  </si>
  <si>
    <t>INE819V01029</t>
  </si>
  <si>
    <t>CPPLUS</t>
  </si>
  <si>
    <t>ADITYA INFOTECH LIMITED</t>
  </si>
  <si>
    <t>INE679V01027</t>
  </si>
  <si>
    <t>AVL</t>
  </si>
  <si>
    <t>ADITYA VISION LIMITED</t>
  </si>
  <si>
    <t>INF209KB18D3</t>
  </si>
  <si>
    <t>BSLGOLDETF</t>
  </si>
  <si>
    <t>ADITYBIRLA SL GOLD ETF-GR</t>
  </si>
  <si>
    <t>INF209KB19D1</t>
  </si>
  <si>
    <t>BSLNIFTY</t>
  </si>
  <si>
    <t>ADITYBIRLA SL NIF ETF-GR</t>
  </si>
  <si>
    <t>INE045A01017</t>
  </si>
  <si>
    <t>ADOR</t>
  </si>
  <si>
    <t>ADOR WELDING LTD</t>
  </si>
  <si>
    <t>INE737B01033</t>
  </si>
  <si>
    <t>ADROITINFO</t>
  </si>
  <si>
    <t>ADROIT INFOTECH LIMITED</t>
  </si>
  <si>
    <t>INE0ALI01010</t>
  </si>
  <si>
    <t>ADVAIT</t>
  </si>
  <si>
    <t>ADVAIT ENRGY TRANSITION L</t>
  </si>
  <si>
    <t>INE1B0W01010</t>
  </si>
  <si>
    <t>ADVANCE</t>
  </si>
  <si>
    <t>ADVANCE AGROLIFE LIMITED</t>
  </si>
  <si>
    <t>INE837H01020</t>
  </si>
  <si>
    <t>ADVENZYMES</t>
  </si>
  <si>
    <t>ADVANCED ENZYME TECH LTD</t>
  </si>
  <si>
    <t>INE199C01026</t>
  </si>
  <si>
    <t>ADVANIHOTR</t>
  </si>
  <si>
    <t>ADVANI HOT.&amp; RES.(I) LTD</t>
  </si>
  <si>
    <t>INE28GN01010</t>
  </si>
  <si>
    <t>ADVENTHTL</t>
  </si>
  <si>
    <t>ADVENT HOTELS INTERNATI L</t>
  </si>
  <si>
    <t>INE178T01024</t>
  </si>
  <si>
    <t>ADVIKCA</t>
  </si>
  <si>
    <t>ADVIK CAPITAL LTD.</t>
  </si>
  <si>
    <t>INE1SJO01012</t>
  </si>
  <si>
    <t>RAMBHAJO</t>
  </si>
  <si>
    <t>ADVIT JEWELS LIMITED</t>
  </si>
  <si>
    <t>INE208C01025</t>
  </si>
  <si>
    <t>AEGISLOG</t>
  </si>
  <si>
    <t>AEGIS LOGISTICS LIMITED</t>
  </si>
  <si>
    <t>INE0INX01018</t>
  </si>
  <si>
    <t>AEGISVOPAK</t>
  </si>
  <si>
    <t>AEGIS VOPAK TERMINALS LTD</t>
  </si>
  <si>
    <t>INE423A07468</t>
  </si>
  <si>
    <t>AEL170725A</t>
  </si>
  <si>
    <t>NG</t>
  </si>
  <si>
    <t>AEL 0% 2030 SR VIII</t>
  </si>
  <si>
    <t>INE423A07484</t>
  </si>
  <si>
    <t>860AEL28</t>
  </si>
  <si>
    <t>NH</t>
  </si>
  <si>
    <t>AEL 8.60% 2028 SR I</t>
  </si>
  <si>
    <t>INE423A07534</t>
  </si>
  <si>
    <t>875AEL29</t>
  </si>
  <si>
    <t>NK</t>
  </si>
  <si>
    <t>AEL 8.75% 2029 SR IV</t>
  </si>
  <si>
    <t>INE423A07526</t>
  </si>
  <si>
    <t>890AEL31</t>
  </si>
  <si>
    <t>NN</t>
  </si>
  <si>
    <t>AEL 8.90% 2031 SR VII</t>
  </si>
  <si>
    <t>INE423A07393</t>
  </si>
  <si>
    <t>930AEL30</t>
  </si>
  <si>
    <t>NF</t>
  </si>
  <si>
    <t>AEL 9.3% 2030 SR VII</t>
  </si>
  <si>
    <t>INE947N01017</t>
  </si>
  <si>
    <t>AEQUS</t>
  </si>
  <si>
    <t>AEQUS LIMITED</t>
  </si>
  <si>
    <t>INE065D01027</t>
  </si>
  <si>
    <t>AEROENTER</t>
  </si>
  <si>
    <t>AEROFLEX ENTERPRISES LTD</t>
  </si>
  <si>
    <t>INE024001021</t>
  </si>
  <si>
    <t>AEROFLEX</t>
  </si>
  <si>
    <t>AEROFLEX INDUSTRIES LTD</t>
  </si>
  <si>
    <t>INE035801013</t>
  </si>
  <si>
    <t>AERONEU</t>
  </si>
  <si>
    <t>AEROFLEX NEU LIMITED</t>
  </si>
  <si>
    <t>INE0WL801011</t>
  </si>
  <si>
    <t>AERON</t>
  </si>
  <si>
    <t>AERON COMPOSITE LIMITED</t>
  </si>
  <si>
    <t>INE0TSF01011</t>
  </si>
  <si>
    <t>AESTHETIK</t>
  </si>
  <si>
    <t>AESTHETIK ENGINEERS LTD</t>
  </si>
  <si>
    <t>INE0BWX01014</t>
  </si>
  <si>
    <t>AETHER</t>
  </si>
  <si>
    <t>AETHER INDUSTRIES LIMITED</t>
  </si>
  <si>
    <t>INE101I01011</t>
  </si>
  <si>
    <t>AFCONS</t>
  </si>
  <si>
    <t>AFCONS INFRASTRUCTURE LTD</t>
  </si>
  <si>
    <t>INE00WC01027</t>
  </si>
  <si>
    <t>AFFLE</t>
  </si>
  <si>
    <t>AFFLE 3I LIMITED</t>
  </si>
  <si>
    <t>INE692Z01013</t>
  </si>
  <si>
    <t>AFFORDABLE</t>
  </si>
  <si>
    <t>AFFORD ROBO &amp; AUTO LTD</t>
  </si>
  <si>
    <t>INE916Y07081</t>
  </si>
  <si>
    <t>1125AFIL29</t>
  </si>
  <si>
    <t>N0</t>
  </si>
  <si>
    <t>AFIL 11.25% 2029</t>
  </si>
  <si>
    <t>INE916Y07040</t>
  </si>
  <si>
    <t>12AFIL27A</t>
  </si>
  <si>
    <t>AFIL 12% 2027</t>
  </si>
  <si>
    <t>INE916Y07032</t>
  </si>
  <si>
    <t>12AFIL27</t>
  </si>
  <si>
    <t>AFIL 12% 2027 SR 1</t>
  </si>
  <si>
    <t>INE916Y07057</t>
  </si>
  <si>
    <t>12AFIL28</t>
  </si>
  <si>
    <t>AFIL 12% 2028</t>
  </si>
  <si>
    <t>INE0MLA01012</t>
  </si>
  <si>
    <t>AGARWALFT</t>
  </si>
  <si>
    <t>AGARWAL FLOAT GLASS I LTD</t>
  </si>
  <si>
    <t>INE204E01012</t>
  </si>
  <si>
    <t>AGARIND</t>
  </si>
  <si>
    <t>AGARWAL INDS CORP LTD.</t>
  </si>
  <si>
    <t>INE0P8X01016</t>
  </si>
  <si>
    <t>AGARWALTUF</t>
  </si>
  <si>
    <t>AGARWAL TOUGH GLASS IND L</t>
  </si>
  <si>
    <t>INE415A01038</t>
  </si>
  <si>
    <t>AGI</t>
  </si>
  <si>
    <t>AGI GREENPAC LIMITED</t>
  </si>
  <si>
    <t>INE976R01033</t>
  </si>
  <si>
    <t>AGIIL</t>
  </si>
  <si>
    <t>AGI INFRA LIMITED</t>
  </si>
  <si>
    <t>INE0LF301013</t>
  </si>
  <si>
    <t>AGNI</t>
  </si>
  <si>
    <t>AGNI GREEN POWER LTD</t>
  </si>
  <si>
    <t>INE449G01018</t>
  </si>
  <si>
    <t>AGRITECH</t>
  </si>
  <si>
    <t>AGRI-TECH (INDIA) LIMITED</t>
  </si>
  <si>
    <t>INE740V01019</t>
  </si>
  <si>
    <t>AGROPHOS</t>
  </si>
  <si>
    <t>AGRO PHOS INDIA LIMITED</t>
  </si>
  <si>
    <t>INE583L01014</t>
  </si>
  <si>
    <t>AGSTRA</t>
  </si>
  <si>
    <t>BZ</t>
  </si>
  <si>
    <t>AGS TRANSACT TECH LTD</t>
  </si>
  <si>
    <t>INE00PV01013</t>
  </si>
  <si>
    <t>AHLADA</t>
  </si>
  <si>
    <t>AHLADA ENGINEERS LIMITED</t>
  </si>
  <si>
    <t>INE758C01029</t>
  </si>
  <si>
    <t>AHLUCONT</t>
  </si>
  <si>
    <t>AHLUWALIA CONT IND LTD</t>
  </si>
  <si>
    <t>INE212H01026</t>
  </si>
  <si>
    <t>AIAENG</t>
  </si>
  <si>
    <t>AIA ENGINEERING LIMITED</t>
  </si>
  <si>
    <t>INE0RUV01018</t>
  </si>
  <si>
    <t>AIMTRON</t>
  </si>
  <si>
    <t>AIMTRON ELECTRONICS LTD</t>
  </si>
  <si>
    <t>INE805A01014</t>
  </si>
  <si>
    <t>GOLDTECH</t>
  </si>
  <si>
    <t>AION-TECH SOLUTIONS LTD</t>
  </si>
  <si>
    <t>INE645W01026</t>
  </si>
  <si>
    <t>AIRAN</t>
  </si>
  <si>
    <t>AIRAN LIMITED</t>
  </si>
  <si>
    <t>INE801L01010</t>
  </si>
  <si>
    <t>AIROLAM</t>
  </si>
  <si>
    <t>AIRO LAM LIMITED</t>
  </si>
  <si>
    <t>INE031B01049</t>
  </si>
  <si>
    <t>AJANTPHARM</t>
  </si>
  <si>
    <t>AJANTA PHARMA LIMITED</t>
  </si>
  <si>
    <t>INE274Y01021</t>
  </si>
  <si>
    <t>AJAXENGG</t>
  </si>
  <si>
    <t>AJAX ENGINEERING LIMITED</t>
  </si>
  <si>
    <t>INE298G01035</t>
  </si>
  <si>
    <t>AJMERA</t>
  </si>
  <si>
    <t>AJMERA REALTY &amp; INF I LTD</t>
  </si>
  <si>
    <t>INE820Y01021</t>
  </si>
  <si>
    <t>AJOONI</t>
  </si>
  <si>
    <t>AJOONI BIOTECH LIMITED</t>
  </si>
  <si>
    <t>INE0PCY01014</t>
  </si>
  <si>
    <t>AKANKSHA</t>
  </si>
  <si>
    <t>AKANKSHA POWER N INFRA L</t>
  </si>
  <si>
    <t>INE737W01013</t>
  </si>
  <si>
    <t>AKASH</t>
  </si>
  <si>
    <t>AKASH INFRA-PROJECTS LTD</t>
  </si>
  <si>
    <t>INE00Y801016</t>
  </si>
  <si>
    <t>AKG</t>
  </si>
  <si>
    <t>AKG EXIM LIMITED</t>
  </si>
  <si>
    <t>INE642Z01026</t>
  </si>
  <si>
    <t>AKI</t>
  </si>
  <si>
    <t>AKI INDIA LIMITED</t>
  </si>
  <si>
    <t>INE0PMR01017</t>
  </si>
  <si>
    <t>AKIKO</t>
  </si>
  <si>
    <t>AKIKO GLOBAL SERVICES L</t>
  </si>
  <si>
    <t>INE916Y01027</t>
  </si>
  <si>
    <t>AFIL</t>
  </si>
  <si>
    <t>AKME FINTRADE (INDIA) LTD</t>
  </si>
  <si>
    <t>INE523B01011</t>
  </si>
  <si>
    <t>AKSHOPTFBR</t>
  </si>
  <si>
    <t>AKSH OPTIFIBRE  LTD</t>
  </si>
  <si>
    <t>INE256Z01025</t>
  </si>
  <si>
    <t>AKSHAR</t>
  </si>
  <si>
    <t>AKSHAR SPINTEX LIMITED</t>
  </si>
  <si>
    <t>INE542B01011</t>
  </si>
  <si>
    <t>AKSHARCHEM</t>
  </si>
  <si>
    <t>AKSHARCHEM INDIA LIMITED</t>
  </si>
  <si>
    <t>INE09XN01023</t>
  </si>
  <si>
    <t>AKUMS</t>
  </si>
  <si>
    <t>AKUMS DRUGS AND PHARMA L</t>
  </si>
  <si>
    <t>INE914E01040</t>
  </si>
  <si>
    <t>ALANKIT</t>
  </si>
  <si>
    <t>ALANKIT LIMITED</t>
  </si>
  <si>
    <t>INE155C01010</t>
  </si>
  <si>
    <t>ALBERTDAVD</t>
  </si>
  <si>
    <t>ALBERT DAVID LIMITED</t>
  </si>
  <si>
    <t>INE426A01027</t>
  </si>
  <si>
    <t>ALEMBICLTD</t>
  </si>
  <si>
    <t>ALEMBIC LIMITED</t>
  </si>
  <si>
    <t>INE901L01018</t>
  </si>
  <si>
    <t>APLLTD</t>
  </si>
  <si>
    <t>ALEMBIC PHARMA LTD</t>
  </si>
  <si>
    <t>INE598D01035</t>
  </si>
  <si>
    <t>ALGOQUANT</t>
  </si>
  <si>
    <t>ALGOQUANT FINTECH LIMITED</t>
  </si>
  <si>
    <t>INE062D01024</t>
  </si>
  <si>
    <t>ALICON</t>
  </si>
  <si>
    <t>ALICON CASTALLOY LIMITED</t>
  </si>
  <si>
    <t>INE03Q201024</t>
  </si>
  <si>
    <t>ALIVUS</t>
  </si>
  <si>
    <t>ALIVUS LIFE SCIENCES LTD</t>
  </si>
  <si>
    <t>INE773I01017</t>
  </si>
  <si>
    <t>ALKALI</t>
  </si>
  <si>
    <t>ALKALI METALS LTD</t>
  </si>
  <si>
    <t>INE540L01014</t>
  </si>
  <si>
    <t>ALKEM</t>
  </si>
  <si>
    <t>ALKEM LABORATORIES LTD.</t>
  </si>
  <si>
    <t>INE150B01039</t>
  </si>
  <si>
    <t>ALKYLAMINE</t>
  </si>
  <si>
    <t>ALKYL AMINES CHEM. LTD</t>
  </si>
  <si>
    <t>INE0M2X01012</t>
  </si>
  <si>
    <t>ALLETEC</t>
  </si>
  <si>
    <t>ALL E TECHNOLOGIES LTD</t>
  </si>
  <si>
    <t>INE0GV601021</t>
  </si>
  <si>
    <t>ALLTIME</t>
  </si>
  <si>
    <t>ALL TIME PLASTICS LIMITED</t>
  </si>
  <si>
    <t>INE1YPB01014</t>
  </si>
  <si>
    <t>AGL</t>
  </si>
  <si>
    <t>ALLCARGO GLOBAL LIMITED</t>
  </si>
  <si>
    <t>INE418H01029</t>
  </si>
  <si>
    <t>ALLCARGO</t>
  </si>
  <si>
    <t>ALLCARGO LOGISTICS LTD</t>
  </si>
  <si>
    <t>INE0NN701020</t>
  </si>
  <si>
    <t>ATL</t>
  </si>
  <si>
    <t>ALLCARGO TERMINALS LTD</t>
  </si>
  <si>
    <t>INE835G01018</t>
  </si>
  <si>
    <t>ALLDIGI</t>
  </si>
  <si>
    <t>ALLDIGI TECH LIMITED</t>
  </si>
  <si>
    <t>INE552Z01027</t>
  </si>
  <si>
    <t>ABDL</t>
  </si>
  <si>
    <t>ALLIED BLEND N DISTILS L</t>
  </si>
  <si>
    <t>INE102I01027</t>
  </si>
  <si>
    <t>ADSL</t>
  </si>
  <si>
    <t>ALLIED DIGITAL SERV. LTD</t>
  </si>
  <si>
    <t>INE326B01035</t>
  </si>
  <si>
    <t>ALMONDZ</t>
  </si>
  <si>
    <t>ALMONDZ GLOBAL SEC LTD</t>
  </si>
  <si>
    <t>INE270A01029</t>
  </si>
  <si>
    <t>ALOKINDS</t>
  </si>
  <si>
    <t>ALOK INDUSTRIES LIMITED</t>
  </si>
  <si>
    <t>INE385I01010</t>
  </si>
  <si>
    <t>ALPA</t>
  </si>
  <si>
    <t>ALPA LABORATORIES LTD</t>
  </si>
  <si>
    <t>INE0R4701017</t>
  </si>
  <si>
    <t>ALPEXSOLAR</t>
  </si>
  <si>
    <t>ALPEX SOLAR LIMITED</t>
  </si>
  <si>
    <t>INE137C01018</t>
  </si>
  <si>
    <t>ALPHAGEO</t>
  </si>
  <si>
    <t>ALPHAGEO (INDIA) LIMITED</t>
  </si>
  <si>
    <t>INE1JCQ01037</t>
  </si>
  <si>
    <t>ALPINETEX</t>
  </si>
  <si>
    <t>ALPINE TEXWORLD LIMITED</t>
  </si>
  <si>
    <t>INE058F01019</t>
  </si>
  <si>
    <t>ALUFLUOR</t>
  </si>
  <si>
    <t>ALUFLUORIDE LTD.</t>
  </si>
  <si>
    <t>INE0STM01017</t>
  </si>
  <si>
    <t>ALUWIND</t>
  </si>
  <si>
    <t>ALUWIND INFRA-TECH LTD</t>
  </si>
  <si>
    <t>INE121R01077</t>
  </si>
  <si>
    <t>AMAGI</t>
  </si>
  <si>
    <t>AMAGI MEDIA LABS LIMITED</t>
  </si>
  <si>
    <t>INE841D01013</t>
  </si>
  <si>
    <t>AMAL</t>
  </si>
  <si>
    <t>AMAL LTD.</t>
  </si>
  <si>
    <t>INE084K01015</t>
  </si>
  <si>
    <t>AMANTA</t>
  </si>
  <si>
    <t>AMANTA HEALTHCARE LIMITED</t>
  </si>
  <si>
    <t>INE885A01032</t>
  </si>
  <si>
    <t>ARE&amp;M</t>
  </si>
  <si>
    <t>AMARA RAJA ENERGY MOB LTD</t>
  </si>
  <si>
    <t>INE484D01012</t>
  </si>
  <si>
    <t>AMARJOTHI</t>
  </si>
  <si>
    <t>AMARJOTHI SPINNING MILL L</t>
  </si>
  <si>
    <t>INE293601014</t>
  </si>
  <si>
    <t>AMBAAUTO</t>
  </si>
  <si>
    <t>AMBA AUTO SALES AND SER L</t>
  </si>
  <si>
    <t>INE432A01017</t>
  </si>
  <si>
    <t>AMBALALSA</t>
  </si>
  <si>
    <t>AMBALAL SARABHAI ENT L</t>
  </si>
  <si>
    <t>INE00C501018</t>
  </si>
  <si>
    <t>AMBANIORGO</t>
  </si>
  <si>
    <t>AMBANI ORGOCHEM LIMITED</t>
  </si>
  <si>
    <t>INE371P01015</t>
  </si>
  <si>
    <t>AMBER</t>
  </si>
  <si>
    <t>AMBER ENTERPRISES (I) LTD</t>
  </si>
  <si>
    <t>INE792B01012</t>
  </si>
  <si>
    <t>AMBICAAGAR</t>
  </si>
  <si>
    <t>AMBICA AGAR &amp; AROMAINDLTD</t>
  </si>
  <si>
    <t>INE540G01014</t>
  </si>
  <si>
    <t>AMBIKCO</t>
  </si>
  <si>
    <t>AMBIKA COTTON MILL LTD.</t>
  </si>
  <si>
    <t>INE079A01024</t>
  </si>
  <si>
    <t>AMBUJACEM</t>
  </si>
  <si>
    <t>AMBUJA CEMENTS LTD</t>
  </si>
  <si>
    <t>INE005I01014</t>
  </si>
  <si>
    <t>AMDIND</t>
  </si>
  <si>
    <t>AMD INDUSTRIES LIMITED</t>
  </si>
  <si>
    <t>INE0MTP01013</t>
  </si>
  <si>
    <t>AMIABLE</t>
  </si>
  <si>
    <t>AMIABLE LOGISTICS (I) LTD</t>
  </si>
  <si>
    <t>INE275D01022</t>
  </si>
  <si>
    <t>AMNPLST</t>
  </si>
  <si>
    <t>AMINES &amp; PLASTICIZERS LTD</t>
  </si>
  <si>
    <t>INE05TO01019</t>
  </si>
  <si>
    <t>AEROPLANE</t>
  </si>
  <si>
    <t>AMIR CHAND JAG KUM (E) L</t>
  </si>
  <si>
    <t>INE606A01024</t>
  </si>
  <si>
    <t>AMJLAND</t>
  </si>
  <si>
    <t>AMJ LAND HOLDINGS LIMITED</t>
  </si>
  <si>
    <t>INE098F01031</t>
  </si>
  <si>
    <t>AMRUTANJAN</t>
  </si>
  <si>
    <t>AMRUTAJAN HEALTH LTD</t>
  </si>
  <si>
    <t>INE549H01021</t>
  </si>
  <si>
    <t>ARSSBL</t>
  </si>
  <si>
    <t>ANAND RATHI SH N STK BR L</t>
  </si>
  <si>
    <t>INE463V01026</t>
  </si>
  <si>
    <t>ANANDRATHI</t>
  </si>
  <si>
    <t>ANAND RATHI WEALTH LTD</t>
  </si>
  <si>
    <t>INE242C01024</t>
  </si>
  <si>
    <t>ANANTRAJ</t>
  </si>
  <si>
    <t>ANANT RAJ LIMITED</t>
  </si>
  <si>
    <t>INE1UA823019</t>
  </si>
  <si>
    <t>ANANTAM</t>
  </si>
  <si>
    <t>IV</t>
  </si>
  <si>
    <t>ANANTAM HIGHWAYS TRUST</t>
  </si>
  <si>
    <t>INE1J5V01013</t>
  </si>
  <si>
    <t>ANAWIL</t>
  </si>
  <si>
    <t>ANAWIL WIRE AND ENGIN LTD</t>
  </si>
  <si>
    <t>INE0VG001016</t>
  </si>
  <si>
    <t>AMCL</t>
  </si>
  <si>
    <t>ANB METAL CAST LIMITED</t>
  </si>
  <si>
    <t>INE666E01020</t>
  </si>
  <si>
    <t>ACL</t>
  </si>
  <si>
    <t>ANDHRA CEMENTS LIMITED</t>
  </si>
  <si>
    <t>INE435A01051</t>
  </si>
  <si>
    <t>ANDHRAPAP</t>
  </si>
  <si>
    <t>ANDHRA PAPER LIMITED</t>
  </si>
  <si>
    <t>INE715B01021</t>
  </si>
  <si>
    <t>ANDHRSUGAR</t>
  </si>
  <si>
    <t>ANDHRA SUGARS LTD</t>
  </si>
  <si>
    <t>INE449C01025</t>
  </si>
  <si>
    <t>ANDREWYU</t>
  </si>
  <si>
    <t>ANDREW YULE &amp; CO. LTD.</t>
  </si>
  <si>
    <t>INE732I01021</t>
  </si>
  <si>
    <t>ANGELONE</t>
  </si>
  <si>
    <t>ANGEL ONE LIMITED</t>
  </si>
  <si>
    <t>INE635Y01015</t>
  </si>
  <si>
    <t>AISL</t>
  </si>
  <si>
    <t>ANI INTEGRATED SERV LTD.</t>
  </si>
  <si>
    <t>INE087B01017</t>
  </si>
  <si>
    <t>ANIKINDS</t>
  </si>
  <si>
    <t>ANIK INDUSTRIES LTD</t>
  </si>
  <si>
    <t>INE071F01012</t>
  </si>
  <si>
    <t>APCL</t>
  </si>
  <si>
    <t>ANJANI PORTLAND CEM LTD</t>
  </si>
  <si>
    <t>INE106I01010</t>
  </si>
  <si>
    <t>ANKITMETAL</t>
  </si>
  <si>
    <t>ANKIT MET &amp; POW LTD</t>
  </si>
  <si>
    <t>INE0Y8W01025</t>
  </si>
  <si>
    <t>AHCL</t>
  </si>
  <si>
    <t>ANLON HEALTHCARE LIMITED</t>
  </si>
  <si>
    <t>INE0LR101013</t>
  </si>
  <si>
    <t>ANLON</t>
  </si>
  <si>
    <t>ANLON TECHNOLOGY SOL LTD</t>
  </si>
  <si>
    <t>INE02AR01019</t>
  </si>
  <si>
    <t>ANMOL</t>
  </si>
  <si>
    <t>ANMOL INDIA LIMITED</t>
  </si>
  <si>
    <t>INE0MGM01017</t>
  </si>
  <si>
    <t>ANNAPURNA</t>
  </si>
  <si>
    <t>ANNAPURNA SWADISHT LTD</t>
  </si>
  <si>
    <t>INE103001017</t>
  </si>
  <si>
    <t>ANNU</t>
  </si>
  <si>
    <t>ANNU PROJECTS LIMITED</t>
  </si>
  <si>
    <t>INE0VTV01012</t>
  </si>
  <si>
    <t>ANONDITA</t>
  </si>
  <si>
    <t>ANONDITA MEDICARE LIMITED</t>
  </si>
  <si>
    <t>INE030C01015</t>
  </si>
  <si>
    <t>ANSALBU</t>
  </si>
  <si>
    <t>ANSAL BUILDWELL LTD.</t>
  </si>
  <si>
    <t>INE436A01026</t>
  </si>
  <si>
    <t>ANSALAPI</t>
  </si>
  <si>
    <t>ANSAL PROP &amp; INFRA LTD</t>
  </si>
  <si>
    <t>INE414B01021</t>
  </si>
  <si>
    <t>ANTGRAPHIC</t>
  </si>
  <si>
    <t>ANTARCTICA LTD</t>
  </si>
  <si>
    <t>INE818A01017</t>
  </si>
  <si>
    <t>ANTELOPUS</t>
  </si>
  <si>
    <t>ANTELOPUS SELAN ENRGY LTD</t>
  </si>
  <si>
    <t>INE0CZ201020</t>
  </si>
  <si>
    <t>ANTHEM</t>
  </si>
  <si>
    <t>ANTHEM BIOSCIENCES LTD</t>
  </si>
  <si>
    <t>INE01BK01022</t>
  </si>
  <si>
    <t>AWHCL</t>
  </si>
  <si>
    <t>ANTONY WASTE HDG CELL LTD</t>
  </si>
  <si>
    <t>INE489G01022</t>
  </si>
  <si>
    <t>ANUHPHR</t>
  </si>
  <si>
    <t>ANUH PHARMA LIMITED</t>
  </si>
  <si>
    <t>INE930P01018</t>
  </si>
  <si>
    <t>ANURAS</t>
  </si>
  <si>
    <t>ANUPAM RASAYAN INDIA LTD</t>
  </si>
  <si>
    <t>INE0SI601032</t>
  </si>
  <si>
    <t>ANYA</t>
  </si>
  <si>
    <t>ANYA POLYTECH &amp; FERTI LTD</t>
  </si>
  <si>
    <t>INF1J2R01114</t>
  </si>
  <si>
    <t>AONEGOLD</t>
  </si>
  <si>
    <t>AONEAMC - AONEGOLD</t>
  </si>
  <si>
    <t>INF1J2R01056</t>
  </si>
  <si>
    <t>AONELIQUID</t>
  </si>
  <si>
    <t>AONEAMC - AONELIQUID</t>
  </si>
  <si>
    <t>INF1J2R01064</t>
  </si>
  <si>
    <t>AONENIFTY</t>
  </si>
  <si>
    <t>AONEAMC - AONENIFTY</t>
  </si>
  <si>
    <t>INF1J2R01171</t>
  </si>
  <si>
    <t>AONESILVER</t>
  </si>
  <si>
    <t>AONEAMC - AONESILVER</t>
  </si>
  <si>
    <t>INF1J2R01148</t>
  </si>
  <si>
    <t>AONETMMQ50</t>
  </si>
  <si>
    <t>AONEAMC - AONETMMQ50</t>
  </si>
  <si>
    <t>INF1J2R01015</t>
  </si>
  <si>
    <t>AONETOTAL</t>
  </si>
  <si>
    <t>AONEAMC - AONETOTAL</t>
  </si>
  <si>
    <t>INE372A01015</t>
  </si>
  <si>
    <t>APARINDS</t>
  </si>
  <si>
    <t>APAR INDUSTRIES LTD.</t>
  </si>
  <si>
    <t>INE116A01032</t>
  </si>
  <si>
    <t>APCOTEXIND</t>
  </si>
  <si>
    <t>APCOTEX INDUSTRIES LIMITE</t>
  </si>
  <si>
    <t>INE0T4V01015</t>
  </si>
  <si>
    <t>APEXECO</t>
  </si>
  <si>
    <t>APEX ECOTECH LIMITED</t>
  </si>
  <si>
    <t>INE346W01013</t>
  </si>
  <si>
    <t>APEX</t>
  </si>
  <si>
    <t>APEX FROZEN FOODS LIMITED</t>
  </si>
  <si>
    <t>INE702C01027</t>
  </si>
  <si>
    <t>APLAPOLLO</t>
  </si>
  <si>
    <t>APL APOLLO TUBES LTD</t>
  </si>
  <si>
    <t>INE0TLC07051</t>
  </si>
  <si>
    <t>930APMD31</t>
  </si>
  <si>
    <t>APMD 9.30% 2031 STRPP E</t>
  </si>
  <si>
    <t>INE437A01024</t>
  </si>
  <si>
    <t>APOLLOHOSP</t>
  </si>
  <si>
    <t>APOLLO HOSPITALS ENTER. L</t>
  </si>
  <si>
    <t>INE713T01028</t>
  </si>
  <si>
    <t>APOLLO</t>
  </si>
  <si>
    <t>APOLLO MICRO SYSTEMS LTD</t>
  </si>
  <si>
    <t>INE126J01016</t>
  </si>
  <si>
    <t>APOLLOPIPE</t>
  </si>
  <si>
    <t>APOLLO PIPES LIMITED</t>
  </si>
  <si>
    <t>INE451F01024</t>
  </si>
  <si>
    <t>APOLSINHOT</t>
  </si>
  <si>
    <t>APOLLO SINDOORI HOTEL LTD</t>
  </si>
  <si>
    <t>INE438A01022</t>
  </si>
  <si>
    <t>APOLLOTYRE</t>
  </si>
  <si>
    <t>APOLLO TYRES LTD</t>
  </si>
  <si>
    <t>INE217S01014</t>
  </si>
  <si>
    <t>APOORVA</t>
  </si>
  <si>
    <t>APOORVA LEAS F &amp; INV C L</t>
  </si>
  <si>
    <t>INE0LQG01010</t>
  </si>
  <si>
    <t>APRAMEYA</t>
  </si>
  <si>
    <t>APRAMEYA ENGINEERING LTD</t>
  </si>
  <si>
    <t>INE1OOJ01011</t>
  </si>
  <si>
    <t>APSISAERO</t>
  </si>
  <si>
    <t>APSIS AEROCOM LIMITED</t>
  </si>
  <si>
    <t>INE266F01018</t>
  </si>
  <si>
    <t>APTECHT</t>
  </si>
  <si>
    <t>APTECH LIMITED</t>
  </si>
  <si>
    <t>INE852O01025</t>
  </si>
  <si>
    <t>APTUS</t>
  </si>
  <si>
    <t>APTUS VALUE HSG FIN I LTD</t>
  </si>
  <si>
    <t>INE416A01051</t>
  </si>
  <si>
    <t>AQYLON</t>
  </si>
  <si>
    <t>AQYLON NEXUS LIMITED</t>
  </si>
  <si>
    <t>INE0YDV01010</t>
  </si>
  <si>
    <t>ARCIIL</t>
  </si>
  <si>
    <t>ARC INSULATION &amp; INSU LTD</t>
  </si>
  <si>
    <t>INE128X01021</t>
  </si>
  <si>
    <t>ACI</t>
  </si>
  <si>
    <t>ARCHEAN CHEMICAL IND LTD</t>
  </si>
  <si>
    <t>INE0CHO01012</t>
  </si>
  <si>
    <t>ADL</t>
  </si>
  <si>
    <t>ARCHIDPLY DECOR LIMITED</t>
  </si>
  <si>
    <t>INE877I01016</t>
  </si>
  <si>
    <t>ARCHIDPLY</t>
  </si>
  <si>
    <t>ARCHIDPLY IND. LTD</t>
  </si>
  <si>
    <t>INE731A01020</t>
  </si>
  <si>
    <t>ARCHIES</t>
  </si>
  <si>
    <t>ARCHIES LTD</t>
  </si>
  <si>
    <t>INE372M01010</t>
  </si>
  <si>
    <t>ARCL</t>
  </si>
  <si>
    <t>ARCL ORGANICS LTD.</t>
  </si>
  <si>
    <t>INE0XNF01022</t>
  </si>
  <si>
    <t>ARDEE</t>
  </si>
  <si>
    <t>ARDEE INDUSTRIES LIMITED</t>
  </si>
  <si>
    <t>INE784R01023</t>
  </si>
  <si>
    <t>ARFIN</t>
  </si>
  <si>
    <t>ARFIN INDIA LIMITED</t>
  </si>
  <si>
    <t>INE0L2Y01011</t>
  </si>
  <si>
    <t>ARHAM</t>
  </si>
  <si>
    <t>ARHAM TECHNOLOGIES LTD</t>
  </si>
  <si>
    <t>INE298I01015</t>
  </si>
  <si>
    <t>ARIES</t>
  </si>
  <si>
    <t>ARIES AGRO LTD.</t>
  </si>
  <si>
    <t>INE420B01036</t>
  </si>
  <si>
    <t>ARIHANTCAP</t>
  </si>
  <si>
    <t>ARIHANT CAPITAL MKTS LTD</t>
  </si>
  <si>
    <t>INE413D01011</t>
  </si>
  <si>
    <t>ARIHANT</t>
  </si>
  <si>
    <t>ARIHANT FOUN &amp; HOU LTD</t>
  </si>
  <si>
    <t>INE643K01018</t>
  </si>
  <si>
    <t>ARIHANTSUP</t>
  </si>
  <si>
    <t>ARIHANT SUPERSTRUCT LTD</t>
  </si>
  <si>
    <t>INE0H9P01028</t>
  </si>
  <si>
    <t>ARIS</t>
  </si>
  <si>
    <t>ARISINFRA SOLUTIONS LTD</t>
  </si>
  <si>
    <t>INE082101010</t>
  </si>
  <si>
    <t>ARISTO</t>
  </si>
  <si>
    <t>ARISTO BIO T AND LIFESC L</t>
  </si>
  <si>
    <t>INE0QRL01017</t>
  </si>
  <si>
    <t>ARKADE</t>
  </si>
  <si>
    <t>ARKADE DEVELOPERS LIMITED</t>
  </si>
  <si>
    <t>INE109C01017</t>
  </si>
  <si>
    <t>ARMANFIN</t>
  </si>
  <si>
    <t>ARMAN FIN SERV LTD</t>
  </si>
  <si>
    <t>INE210C01013</t>
  </si>
  <si>
    <t>AROGRANITE</t>
  </si>
  <si>
    <t>ARO GRANITE IND. LTD.</t>
  </si>
  <si>
    <t>INE570D01018</t>
  </si>
  <si>
    <t>ARROWGREEN</t>
  </si>
  <si>
    <t>ARROW GREENTECH LIMITED</t>
  </si>
  <si>
    <t>INE968D01022</t>
  </si>
  <si>
    <t>ARSHIYA</t>
  </si>
  <si>
    <t>ARSHIYA LIMITED</t>
  </si>
  <si>
    <t>INE738V01013</t>
  </si>
  <si>
    <t>ARTNIRMAN</t>
  </si>
  <si>
    <t>ART NIRMAN LIMITED</t>
  </si>
  <si>
    <t>INE757T01025</t>
  </si>
  <si>
    <t>AEPL</t>
  </si>
  <si>
    <t>ARTEMIS ELECTRICALS &amp; P L</t>
  </si>
  <si>
    <t>INE025R01021</t>
  </si>
  <si>
    <t>ARTEMISMED</t>
  </si>
  <si>
    <t>ARTEMIS MED SERVICE LTD</t>
  </si>
  <si>
    <t>INE0TTG01017</t>
  </si>
  <si>
    <t>ARUNAYA</t>
  </si>
  <si>
    <t>ARUNAYA ORGANICS LIMITED</t>
  </si>
  <si>
    <t>INE006Z01016</t>
  </si>
  <si>
    <t>ARVEE</t>
  </si>
  <si>
    <t>ARVEE LABORATORIES I LTD</t>
  </si>
  <si>
    <t>INE955V01021</t>
  </si>
  <si>
    <t>ARVINDFASN</t>
  </si>
  <si>
    <t>ARVIND FASHIONS LIMITED</t>
  </si>
  <si>
    <t>INE034A01011</t>
  </si>
  <si>
    <t>ARVIND</t>
  </si>
  <si>
    <t>ARVIND LIMITED</t>
  </si>
  <si>
    <t>INE0P4T01013</t>
  </si>
  <si>
    <t>ARVINDPORT</t>
  </si>
  <si>
    <t>ARVIND PORT AND INFRA LTD</t>
  </si>
  <si>
    <t>INE034S01021</t>
  </si>
  <si>
    <t>ARVSMART</t>
  </si>
  <si>
    <t>ARVIND SMARTSPACES LTD</t>
  </si>
  <si>
    <t>INE032E01017</t>
  </si>
  <si>
    <t>ARYAMAN</t>
  </si>
  <si>
    <t>ARYAMAN FINANCIAL SERV L</t>
  </si>
  <si>
    <t>INE439A01020</t>
  </si>
  <si>
    <t>ASAHIINDIA</t>
  </si>
  <si>
    <t>ASAHI INDIA GLASS LIMITED</t>
  </si>
  <si>
    <t>INE228I01012</t>
  </si>
  <si>
    <t>ASAHISONG</t>
  </si>
  <si>
    <t>ASAHI SONGWON COLOR LTD</t>
  </si>
  <si>
    <t>INE0LAA01017</t>
  </si>
  <si>
    <t>ASHALOG</t>
  </si>
  <si>
    <t>ASHAPURA LOGISTICS LTD</t>
  </si>
  <si>
    <t>INE348A01023</t>
  </si>
  <si>
    <t>ASHAPURMIN</t>
  </si>
  <si>
    <t>ASHAPURA MINECHEM LTD</t>
  </si>
  <si>
    <t>INE365D01021</t>
  </si>
  <si>
    <t>ASHIANA</t>
  </si>
  <si>
    <t>ASHIANA HOUSING LTD</t>
  </si>
  <si>
    <t>INE094B01013</t>
  </si>
  <si>
    <t>ASHIKAG</t>
  </si>
  <si>
    <t>ASHIKA GLOBAL SEC LTD</t>
  </si>
  <si>
    <t>INE440A01010</t>
  </si>
  <si>
    <t>ASHIMASYN</t>
  </si>
  <si>
    <t>ASHIMA LTD</t>
  </si>
  <si>
    <t>INE208A01029</t>
  </si>
  <si>
    <t>ASHOKLEY</t>
  </si>
  <si>
    <t>ASHOK LEYLAND LTD</t>
  </si>
  <si>
    <t>INE442H01029</t>
  </si>
  <si>
    <t>ASHOKA</t>
  </si>
  <si>
    <t>ASHOKA BUILDCON LTD</t>
  </si>
  <si>
    <t>INE760Y01011</t>
  </si>
  <si>
    <t>ASHOKAMET</t>
  </si>
  <si>
    <t>ASHOKA METCAST LIMITED</t>
  </si>
  <si>
    <t>INE19FR01012</t>
  </si>
  <si>
    <t>ASHUTOSH</t>
  </si>
  <si>
    <t>ASHUTOSH FIBRE LIMITED</t>
  </si>
  <si>
    <t>INE1A6Q01010</t>
  </si>
  <si>
    <t>ASHWINI</t>
  </si>
  <si>
    <t>ASHWINI CONTAINER MOVER L</t>
  </si>
  <si>
    <t>INE276G01015</t>
  </si>
  <si>
    <t>ASIANENE</t>
  </si>
  <si>
    <t>ASIAN ENERGY SERVICES LTD</t>
  </si>
  <si>
    <t>INE022I01019</t>
  </si>
  <si>
    <t>ASIANTILES</t>
  </si>
  <si>
    <t>ASIAN GRANITO IND. LTD.</t>
  </si>
  <si>
    <t>INE926K01017</t>
  </si>
  <si>
    <t>AHLEAST</t>
  </si>
  <si>
    <t>ASIAN HOTELS (EAST) LTD</t>
  </si>
  <si>
    <t>INE363A01022</t>
  </si>
  <si>
    <t>ASIANHOTNR</t>
  </si>
  <si>
    <t>ASIAN HOTELS (NORTH) LTD</t>
  </si>
  <si>
    <t>INE915K01010</t>
  </si>
  <si>
    <t>AHLWEST</t>
  </si>
  <si>
    <t>ASIAN HOTELS (WEST) LTD</t>
  </si>
  <si>
    <t>INE021A01026</t>
  </si>
  <si>
    <t>ASIANPAINT</t>
  </si>
  <si>
    <t>ASIAN PAINTS LIMITED</t>
  </si>
  <si>
    <t>INE194D01017</t>
  </si>
  <si>
    <t>ASTAR</t>
  </si>
  <si>
    <t>ASIAN STAR CO. LTD.</t>
  </si>
  <si>
    <t>INE822B01017</t>
  </si>
  <si>
    <t>ASIANTNE</t>
  </si>
  <si>
    <t>ASIAN TEA &amp; EXPORTS LTD.</t>
  </si>
  <si>
    <t>INE491J01022</t>
  </si>
  <si>
    <t>ASKAUTOLTD</t>
  </si>
  <si>
    <t>ASK AUTOMOTIVE LIMITED</t>
  </si>
  <si>
    <t>INE991I01015</t>
  </si>
  <si>
    <t>ASPINWALL</t>
  </si>
  <si>
    <t>ASPINWALL &amp; CO LTD</t>
  </si>
  <si>
    <t>INE0S7801010</t>
  </si>
  <si>
    <t>ASPIRE</t>
  </si>
  <si>
    <t>ASPIRE &amp; INNOVATIVE ADV L</t>
  </si>
  <si>
    <t>INE073G01016</t>
  </si>
  <si>
    <t>ASALCBR</t>
  </si>
  <si>
    <t>ASSO ALCOHOLS &amp; BREW LTD</t>
  </si>
  <si>
    <t>INE563J01010</t>
  </si>
  <si>
    <t>ASTEC</t>
  </si>
  <si>
    <t>ASTEC LIFESCIENCES LTD</t>
  </si>
  <si>
    <t>INE914M01019</t>
  </si>
  <si>
    <t>ASTERDM</t>
  </si>
  <si>
    <t>ASTER DM QUALITY CARE LTD</t>
  </si>
  <si>
    <t>INE386C01029</t>
  </si>
  <si>
    <t>ASTRAMICRO</t>
  </si>
  <si>
    <t>ASTRA MICROWAVE LTD</t>
  </si>
  <si>
    <t>INE006I01046</t>
  </si>
  <si>
    <t>ASTRAL</t>
  </si>
  <si>
    <t>ASTRAL LIMITED</t>
  </si>
  <si>
    <t>INE203A01020</t>
  </si>
  <si>
    <t>ASTRAZEN</t>
  </si>
  <si>
    <t>ASTRAZENECA PHARMA IND LT</t>
  </si>
  <si>
    <t>INE646X01014</t>
  </si>
  <si>
    <t>ASTRON</t>
  </si>
  <si>
    <t>ASTRON PAPER BORD MIL LTD</t>
  </si>
  <si>
    <t>INE0ALR01029</t>
  </si>
  <si>
    <t>ATALREAL</t>
  </si>
  <si>
    <t>ATAL REALTECH LIMITED</t>
  </si>
  <si>
    <t>INE09KD01013</t>
  </si>
  <si>
    <t>ATAM</t>
  </si>
  <si>
    <t>ATAM VALVES LIMITED</t>
  </si>
  <si>
    <t>INE0V0Q01019</t>
  </si>
  <si>
    <t>ATCENERGY</t>
  </si>
  <si>
    <t>ATC ENERGIES SYSTEM LTD</t>
  </si>
  <si>
    <t>INE0LEZ01016</t>
  </si>
  <si>
    <t>ATHERENERG</t>
  </si>
  <si>
    <t>ATHER ENERGY LIMITED</t>
  </si>
  <si>
    <t>IN90NN701011</t>
  </si>
  <si>
    <t>ATLPP</t>
  </si>
  <si>
    <t>E1</t>
  </si>
  <si>
    <t>ATL RE.0.50 PPD UP</t>
  </si>
  <si>
    <t>INE0Z4F01028</t>
  </si>
  <si>
    <t>ATLANTAELE</t>
  </si>
  <si>
    <t>ATLANTA ELECTRICALS LTD</t>
  </si>
  <si>
    <t>INE285H01022</t>
  </si>
  <si>
    <t>ATLANTAA</t>
  </si>
  <si>
    <t>ATLANTAA LIMITED</t>
  </si>
  <si>
    <t>INE446A01025</t>
  </si>
  <si>
    <t>ATLASCYCLE</t>
  </si>
  <si>
    <t>ATLAS CYCLE (HARYANA) LTD</t>
  </si>
  <si>
    <t>INE05DH01017</t>
  </si>
  <si>
    <t>ATMASTCO</t>
  </si>
  <si>
    <t>ATMASTCO LIMITED</t>
  </si>
  <si>
    <t>INE951D01028</t>
  </si>
  <si>
    <t>ATULAUTO</t>
  </si>
  <si>
    <t>ATUL AUTO LIMITED</t>
  </si>
  <si>
    <t>INE100A01010</t>
  </si>
  <si>
    <t>ATUL</t>
  </si>
  <si>
    <t>ATUL LTD</t>
  </si>
  <si>
    <t>INE949L01017</t>
  </si>
  <si>
    <t>AUBANK</t>
  </si>
  <si>
    <t>AU SMALL FINANCE BANK LTD</t>
  </si>
  <si>
    <t>INE16W401027</t>
  </si>
  <si>
    <t>AUGMONT</t>
  </si>
  <si>
    <t>AUGMONT ENTERPRISES LTD</t>
  </si>
  <si>
    <t>INE132H01018</t>
  </si>
  <si>
    <t>AURIONPRO</t>
  </si>
  <si>
    <t>AURIONPRO SOLN LTD</t>
  </si>
  <si>
    <t>INE0NUL01018</t>
  </si>
  <si>
    <t>AUROIMPEX</t>
  </si>
  <si>
    <t>AURO IMPEX &amp; CHEMICALS L</t>
  </si>
  <si>
    <t>INE406A01037</t>
  </si>
  <si>
    <t>AUROPHARMA</t>
  </si>
  <si>
    <t>AUROBINDO PHARMA LTD</t>
  </si>
  <si>
    <t>INE898S01029</t>
  </si>
  <si>
    <t>AURUM</t>
  </si>
  <si>
    <t>AURUM PROPTECH LIMITED</t>
  </si>
  <si>
    <t>INE142K01011</t>
  </si>
  <si>
    <t>AURUS</t>
  </si>
  <si>
    <t>AURUS GEM CORP LIMITED</t>
  </si>
  <si>
    <t>INE218C01016</t>
  </si>
  <si>
    <t>AUSOMENT</t>
  </si>
  <si>
    <t>AUSOM ENTERPRISE LIMITED</t>
  </si>
  <si>
    <t>INE759F01012</t>
  </si>
  <si>
    <t>AUSTENG</t>
  </si>
  <si>
    <t>AUSTIN ENGINEERING CO. L</t>
  </si>
  <si>
    <t>INE0P0001010</t>
  </si>
  <si>
    <t>APS</t>
  </si>
  <si>
    <t>AUSTRALIAN PREM SOLAR I L</t>
  </si>
  <si>
    <t>INE206F01022</t>
  </si>
  <si>
    <t>AIIL</t>
  </si>
  <si>
    <t>AUTHUM INVEST &amp; INFRA LTD</t>
  </si>
  <si>
    <t>INE718H01014</t>
  </si>
  <si>
    <t>AUTOIND</t>
  </si>
  <si>
    <t>AUTOLINE INDUSTRIES LTD</t>
  </si>
  <si>
    <t>INE451C01013</t>
  </si>
  <si>
    <t>ACGL</t>
  </si>
  <si>
    <t>AUTOMOBILE CORPN OF GOA L</t>
  </si>
  <si>
    <t>INE449A01011</t>
  </si>
  <si>
    <t>AUTOAXLES</t>
  </si>
  <si>
    <t>AUTOMOTIVE AXLES LIMITED</t>
  </si>
  <si>
    <t>INE900C01027</t>
  </si>
  <si>
    <t>ASAL</t>
  </si>
  <si>
    <t>AUTOMOTIVE STAMPINGS &amp; AS</t>
  </si>
  <si>
    <t>INE349W01017</t>
  </si>
  <si>
    <t>AVADHSUGAR</t>
  </si>
  <si>
    <t>AVADH SUG &amp; ENERGY LTD</t>
  </si>
  <si>
    <t>INE0LCL01028</t>
  </si>
  <si>
    <t>AVALON</t>
  </si>
  <si>
    <t>AVALON TECHNOLOGIES LTD</t>
  </si>
  <si>
    <t>INE1KU201016</t>
  </si>
  <si>
    <t>AVANA</t>
  </si>
  <si>
    <t>AVANA ELECTROSYSTEMS LTD</t>
  </si>
  <si>
    <t>INE758A01072</t>
  </si>
  <si>
    <t>AVANCE</t>
  </si>
  <si>
    <t>AVANCE TECHNOLOGIES LTD.</t>
  </si>
  <si>
    <t>INE005B01027</t>
  </si>
  <si>
    <t>AVANTEL</t>
  </si>
  <si>
    <t>AVANTEL LIMITED</t>
  </si>
  <si>
    <t>INE871C01038</t>
  </si>
  <si>
    <t>AVANTIFEED</t>
  </si>
  <si>
    <t>AVANTI FEEDS LIMITED</t>
  </si>
  <si>
    <t>INE192R01011</t>
  </si>
  <si>
    <t>DMART</t>
  </si>
  <si>
    <t>AVENUE SUPERMARTS LIMITED</t>
  </si>
  <si>
    <t>INE483S01020</t>
  </si>
  <si>
    <t>CCAVENUE</t>
  </si>
  <si>
    <t>AVENUESAI LIMITED</t>
  </si>
  <si>
    <t>INE680Z01018</t>
  </si>
  <si>
    <t>AVG</t>
  </si>
  <si>
    <t>AVG LOGISTICS LIMITED</t>
  </si>
  <si>
    <t>INE0TFB01017</t>
  </si>
  <si>
    <t>AVIANSH</t>
  </si>
  <si>
    <t>AVI ANSH TEXTILE LIMITED</t>
  </si>
  <si>
    <t>INE0V9I01017</t>
  </si>
  <si>
    <t>AVIENCE</t>
  </si>
  <si>
    <t>AVIENCE BIOMEDICALS LTD</t>
  </si>
  <si>
    <t>INE855F01042</t>
  </si>
  <si>
    <t>ASMS</t>
  </si>
  <si>
    <t>AVIO SMART MRKT STACK LTD</t>
  </si>
  <si>
    <t>INE323B01024</t>
  </si>
  <si>
    <t>AVONMORE</t>
  </si>
  <si>
    <t>AVONMORE CAP&amp;MGT SERV LTD</t>
  </si>
  <si>
    <t>INE0R9401019</t>
  </si>
  <si>
    <t>AVPINFRA</t>
  </si>
  <si>
    <t>AVP INFRACON LIMITED</t>
  </si>
  <si>
    <t>INE652Z01025</t>
  </si>
  <si>
    <t>AVROIND</t>
  </si>
  <si>
    <t>AVRO INDIA LIMITED</t>
  </si>
  <si>
    <t>INE488D01021</t>
  </si>
  <si>
    <t>AVTNPL</t>
  </si>
  <si>
    <t>AVT NATURAL PRODUCTS LTD</t>
  </si>
  <si>
    <t>INE108V01019</t>
  </si>
  <si>
    <t>AWFIS</t>
  </si>
  <si>
    <t>AWFIS SPACE SOLUTIONS LTD</t>
  </si>
  <si>
    <t>INE699H01024</t>
  </si>
  <si>
    <t>AWL</t>
  </si>
  <si>
    <t>AWL AGRI BUSINESS LIMITED</t>
  </si>
  <si>
    <t>INE238A01034</t>
  </si>
  <si>
    <t>AXISBANK</t>
  </si>
  <si>
    <t>AXIS BANK LIMITED</t>
  </si>
  <si>
    <t>INF846KA1598</t>
  </si>
  <si>
    <t>ENERGYAXIS</t>
  </si>
  <si>
    <t>AXISAMC - ENERGYAXIS</t>
  </si>
  <si>
    <t>INF846K01X63</t>
  </si>
  <si>
    <t>BNKETFAXIS</t>
  </si>
  <si>
    <t>AXISAMC-BNKETFAXIS</t>
  </si>
  <si>
    <t>INF846K016C7</t>
  </si>
  <si>
    <t>CONSUMAXIS</t>
  </si>
  <si>
    <t>AXISAMC-CONSUMAXIS</t>
  </si>
  <si>
    <t>INF846K01W80</t>
  </si>
  <si>
    <t>GOLDAXIS</t>
  </si>
  <si>
    <t>AXISAMC-GOLDAXIS</t>
  </si>
  <si>
    <t>INF846K01Z12</t>
  </si>
  <si>
    <t>HEALTHAXIS</t>
  </si>
  <si>
    <t>AXISAMC-HEALTHAXIS</t>
  </si>
  <si>
    <t>INF846K01Y96</t>
  </si>
  <si>
    <t>ITAXIS</t>
  </si>
  <si>
    <t>AXISAMC-ITAXIS</t>
  </si>
  <si>
    <t>INF846K01W98</t>
  </si>
  <si>
    <t>NIFTYAXIS</t>
  </si>
  <si>
    <t>AXISAMC-NIFTYAXIS</t>
  </si>
  <si>
    <t>INF846K010Q0</t>
  </si>
  <si>
    <t>SENSEXAXIS</t>
  </si>
  <si>
    <t>AXISAMC-SENSEXAXIS</t>
  </si>
  <si>
    <t>INF846K011K1</t>
  </si>
  <si>
    <t>SILVERAXIS</t>
  </si>
  <si>
    <t>AXISAMC-SILVERAXIS</t>
  </si>
  <si>
    <t>INF846KA1119</t>
  </si>
  <si>
    <t>VALUEAXIS</t>
  </si>
  <si>
    <t>AXISAMC-VALUEAXIS</t>
  </si>
  <si>
    <t>INE555B01013</t>
  </si>
  <si>
    <t>AXISCADES</t>
  </si>
  <si>
    <t>AXISCADES TECH LTD</t>
  </si>
  <si>
    <t>INE02EZ01022</t>
  </si>
  <si>
    <t>AXITA</t>
  </si>
  <si>
    <t>AXITA COTTON LIMITED</t>
  </si>
  <si>
    <t>INE767C01012</t>
  </si>
  <si>
    <t>AXTEL</t>
  </si>
  <si>
    <t>AXTEL INDUSTRIES LTD.</t>
  </si>
  <si>
    <t>INE501X01029</t>
  </si>
  <si>
    <t>AYE</t>
  </si>
  <si>
    <t>AYE FINANCE LIMITED</t>
  </si>
  <si>
    <t>INE193B01039</t>
  </si>
  <si>
    <t>AYMSYNTEX</t>
  </si>
  <si>
    <t>AYM SYNTEX LIMITED</t>
  </si>
  <si>
    <t>INE02IJ01035</t>
  </si>
  <si>
    <t>AZAD</t>
  </si>
  <si>
    <t>AZAD ENGINEERING LIMITED</t>
  </si>
  <si>
    <t>INE566M01017</t>
  </si>
  <si>
    <t>AZADIND</t>
  </si>
  <si>
    <t>AZAD INDIA MOBILITY LTD.</t>
  </si>
  <si>
    <t>INE489D01011</t>
  </si>
  <si>
    <t>BNALTD</t>
  </si>
  <si>
    <t>B &amp; A LTD.</t>
  </si>
  <si>
    <t>INE01EE01011</t>
  </si>
  <si>
    <t>BBTCL</t>
  </si>
  <si>
    <t>B&amp;B TRIPLEWALL CONT LTD</t>
  </si>
  <si>
    <t>INE116D01028</t>
  </si>
  <si>
    <t>BAGFILMS</t>
  </si>
  <si>
    <t>B.A.G FILMS AND MEDIA LTD</t>
  </si>
  <si>
    <t>INE17CQ01015</t>
  </si>
  <si>
    <t>BAGDIGITAL</t>
  </si>
  <si>
    <t>B.A.G.CONVERGENCE LIMITED</t>
  </si>
  <si>
    <t>INE350H01032</t>
  </si>
  <si>
    <t>BLKASHYAP</t>
  </si>
  <si>
    <t>B.L.KASHYAP &amp; SON LTD</t>
  </si>
  <si>
    <t>INE01FR01028</t>
  </si>
  <si>
    <t>STYLEBAAZA</t>
  </si>
  <si>
    <t>BAAZAR STYLE RETAIL LTD</t>
  </si>
  <si>
    <t>INE0QW501012</t>
  </si>
  <si>
    <t>BABAFP</t>
  </si>
  <si>
    <t>BABA FOOD PROCESSING</t>
  </si>
  <si>
    <t>INE878I01022</t>
  </si>
  <si>
    <t>BAFNAPH</t>
  </si>
  <si>
    <t>BAFNA PHARMACEUTICALS LTD</t>
  </si>
  <si>
    <t>INE2OVN25015</t>
  </si>
  <si>
    <t>BAGMANE</t>
  </si>
  <si>
    <t>RR</t>
  </si>
  <si>
    <t>BAGMANE PRIME OFFICE REIT</t>
  </si>
  <si>
    <t>INE029Q01017</t>
  </si>
  <si>
    <t>BAHETI</t>
  </si>
  <si>
    <t>BAHETI RECYCLING IND LTD</t>
  </si>
  <si>
    <t>INE020D01022</t>
  </si>
  <si>
    <t>BAIDFIN</t>
  </si>
  <si>
    <t>BAID FINSERV LIMITED</t>
  </si>
  <si>
    <t>INE917I01010</t>
  </si>
  <si>
    <t>BAJAJ-AUTO</t>
  </si>
  <si>
    <t>BAJAJ AUTO LIMITED</t>
  </si>
  <si>
    <t>INE933K01021</t>
  </si>
  <si>
    <t>BAJAJCON</t>
  </si>
  <si>
    <t>BAJAJ CONSUMER CARE LTD</t>
  </si>
  <si>
    <t>INE193E01025</t>
  </si>
  <si>
    <t>BAJAJELEC</t>
  </si>
  <si>
    <t>BAJAJ ELECT.LTD</t>
  </si>
  <si>
    <t>INE296A01032</t>
  </si>
  <si>
    <t>BAJFINANCE</t>
  </si>
  <si>
    <t>BAJAJ FINANCE LIMITED</t>
  </si>
  <si>
    <t>INE918I01026</t>
  </si>
  <si>
    <t>BAJAJFINSV</t>
  </si>
  <si>
    <t>BAJAJ FINSERV LTD.</t>
  </si>
  <si>
    <t>INE411U01027</t>
  </si>
  <si>
    <t>BAJAJHCARE</t>
  </si>
  <si>
    <t>BAJAJ HEALTHCARE LIMITED</t>
  </si>
  <si>
    <t>INE306A01021</t>
  </si>
  <si>
    <t>BAJAJHIND</t>
  </si>
  <si>
    <t>BAJAJ HINDUSTHAN SUGAR LT</t>
  </si>
  <si>
    <t>INE118A01012</t>
  </si>
  <si>
    <t>BAJAJHLDNG</t>
  </si>
  <si>
    <t>BAJAJ HOLDINGS &amp; INVS LTD</t>
  </si>
  <si>
    <t>INE377Y01014</t>
  </si>
  <si>
    <t>BAJAJHFL</t>
  </si>
  <si>
    <t>BAJAJ HOUSING FINANCE LTD</t>
  </si>
  <si>
    <t>INE704G01024</t>
  </si>
  <si>
    <t>BAJAJST</t>
  </si>
  <si>
    <t>BAJAJ STEEL INDS. LTD.</t>
  </si>
  <si>
    <t>INE0KQN01018</t>
  </si>
  <si>
    <t>BAJEL</t>
  </si>
  <si>
    <t>BAJEL PROJECTS LIMITED</t>
  </si>
  <si>
    <t>INE083D01012</t>
  </si>
  <si>
    <t>BALPHARMA</t>
  </si>
  <si>
    <t>BAL PHARMA LTD.</t>
  </si>
  <si>
    <t>INE050E01027</t>
  </si>
  <si>
    <t>BALAMINES</t>
  </si>
  <si>
    <t>BALAJI AMINES LIMITED</t>
  </si>
  <si>
    <t>INE0PQ601019</t>
  </si>
  <si>
    <t>BALAJIPHOS</t>
  </si>
  <si>
    <t>BALAJI PHOSPHATES LIMITED</t>
  </si>
  <si>
    <t>INE794B01026</t>
  </si>
  <si>
    <t>BALAJITELE</t>
  </si>
  <si>
    <t>BALAJI TELEFILMS LIMITED.</t>
  </si>
  <si>
    <t>INE618N01022</t>
  </si>
  <si>
    <t>BALAXI</t>
  </si>
  <si>
    <t>BALAXI PHARMA LTD</t>
  </si>
  <si>
    <t>INE787D01026</t>
  </si>
  <si>
    <t>BALKRISIND</t>
  </si>
  <si>
    <t>BALKRISHNA IND. LTD</t>
  </si>
  <si>
    <t>INE875R01011</t>
  </si>
  <si>
    <t>BALKRISHNA</t>
  </si>
  <si>
    <t>BALKRISHNA PAPER MILLS L</t>
  </si>
  <si>
    <t>INE164A01016</t>
  </si>
  <si>
    <t>BALMLAWRIE</t>
  </si>
  <si>
    <t>BALMER LAWRIE &amp; CO LTD</t>
  </si>
  <si>
    <t>INE525F01025</t>
  </si>
  <si>
    <t>BLIL</t>
  </si>
  <si>
    <t>BALMER LAWRIE INVSTS. L</t>
  </si>
  <si>
    <t>INE119A01028</t>
  </si>
  <si>
    <t>BALRAMCHIN</t>
  </si>
  <si>
    <t>BALRAMPUR CHINI MILLS LTD</t>
  </si>
  <si>
    <t>INE011E01029</t>
  </si>
  <si>
    <t>BALUFORGE</t>
  </si>
  <si>
    <t>BALU FORGE INDUSTRIES LTD</t>
  </si>
  <si>
    <t>INE655B01011</t>
  </si>
  <si>
    <t>BANARBEADS</t>
  </si>
  <si>
    <t>BANARAS BEADS LTD</t>
  </si>
  <si>
    <t>INE213C01025</t>
  </si>
  <si>
    <t>BANCOINDIA</t>
  </si>
  <si>
    <t>BANCO PRODUCTS (I) LTD</t>
  </si>
  <si>
    <t>INE545U01014</t>
  </si>
  <si>
    <t>BANDHANBNK</t>
  </si>
  <si>
    <t>BANDHAN BANK LIMITED</t>
  </si>
  <si>
    <t>INF194KB1KJ7</t>
  </si>
  <si>
    <t>GOLDBND</t>
  </si>
  <si>
    <t>BANDHANAMC - GOLDBND</t>
  </si>
  <si>
    <t>INF194KA1U07</t>
  </si>
  <si>
    <t>IDFNIFTYET</t>
  </si>
  <si>
    <t>BANDHANAMC - IDFNIFTYET</t>
  </si>
  <si>
    <t>INF194KB1KI9</t>
  </si>
  <si>
    <t>SILVERBND</t>
  </si>
  <si>
    <t>BANDHANAMC - SILVERBND</t>
  </si>
  <si>
    <t>INE863I01016</t>
  </si>
  <si>
    <t>BANG</t>
  </si>
  <si>
    <t>BANG OVERSEAS LTD.</t>
  </si>
  <si>
    <t>INE028A01039</t>
  </si>
  <si>
    <t>BANKBARODA</t>
  </si>
  <si>
    <t>BANK OF BARODA</t>
  </si>
  <si>
    <t>INE084A01016</t>
  </si>
  <si>
    <t>BANKINDIA</t>
  </si>
  <si>
    <t>BANK OF INDIA</t>
  </si>
  <si>
    <t>INE457A01014</t>
  </si>
  <si>
    <t>MAHABANK</t>
  </si>
  <si>
    <t>BANK OF MAHARASHTRA</t>
  </si>
  <si>
    <t>INE862Y01015</t>
  </si>
  <si>
    <t>BANKA</t>
  </si>
  <si>
    <t>BANKA BIOLOO LIMITED</t>
  </si>
  <si>
    <t>INE186H01022</t>
  </si>
  <si>
    <t>BASML</t>
  </si>
  <si>
    <t>BANNARI AM SPIN MILL LTD.</t>
  </si>
  <si>
    <t>INE459A01010</t>
  </si>
  <si>
    <t>BANARISUG</t>
  </si>
  <si>
    <t>BANNARI AMMAN SUGARS LTD</t>
  </si>
  <si>
    <t>INE0B9K01025</t>
  </si>
  <si>
    <t>BANSALWIRE</t>
  </si>
  <si>
    <t>BANSAL WIRE INDUSTRIES L</t>
  </si>
  <si>
    <t>INE629D01020</t>
  </si>
  <si>
    <t>BANSWRAS</t>
  </si>
  <si>
    <t>BANSWARA SYNTEX LIMITED</t>
  </si>
  <si>
    <t>INE139I01011</t>
  </si>
  <si>
    <t>BVCL</t>
  </si>
  <si>
    <t>BARAK VALLEY CEM. LTD.</t>
  </si>
  <si>
    <t>INE0QX401014</t>
  </si>
  <si>
    <t>BARFLEX</t>
  </si>
  <si>
    <t>BARFLEX POLYFILMS LIMITED</t>
  </si>
  <si>
    <t>INF251K01TL6</t>
  </si>
  <si>
    <t>BBNPNBETF</t>
  </si>
  <si>
    <t>BARODABNP - BBNPNBETF</t>
  </si>
  <si>
    <t>INF251K01SU9</t>
  </si>
  <si>
    <t>BBNPPGOLD</t>
  </si>
  <si>
    <t>BARODABNP - BBNPPGOLD</t>
  </si>
  <si>
    <t>INE373A01013</t>
  </si>
  <si>
    <t>BASF</t>
  </si>
  <si>
    <t>BASF INDIA LTD</t>
  </si>
  <si>
    <t>INE0OCC01013</t>
  </si>
  <si>
    <t>BASILIC</t>
  </si>
  <si>
    <t>BASILIC FLY STUDIO LTD</t>
  </si>
  <si>
    <t>INE176A01028</t>
  </si>
  <si>
    <t>BATAINDIA</t>
  </si>
  <si>
    <t>BATA INDIA LTD</t>
  </si>
  <si>
    <t>INE177C01022</t>
  </si>
  <si>
    <t>BATLIBOI</t>
  </si>
  <si>
    <t>BATLIBOI LTD.</t>
  </si>
  <si>
    <t>INE0JFJ01011</t>
  </si>
  <si>
    <t>BAWEJA</t>
  </si>
  <si>
    <t>BAWEJA STUDIOS LIMITED</t>
  </si>
  <si>
    <t>INE462A01022</t>
  </si>
  <si>
    <t>BAYERCROP</t>
  </si>
  <si>
    <t>BAYER CROPSCIENCE LTD</t>
  </si>
  <si>
    <t>INE412G01024</t>
  </si>
  <si>
    <t>BCLIND</t>
  </si>
  <si>
    <t>BCL INDUSTRIES LIMITED</t>
  </si>
  <si>
    <t>INE00SW01015</t>
  </si>
  <si>
    <t>BCPL</t>
  </si>
  <si>
    <t>BCPL RAILWAY INFRA LTD</t>
  </si>
  <si>
    <t>INE639X01027</t>
  </si>
  <si>
    <t>BEACON</t>
  </si>
  <si>
    <t>BEACON TRUSTEESHIP LTD</t>
  </si>
  <si>
    <t>INE520H01022</t>
  </si>
  <si>
    <t>BEARDSELL</t>
  </si>
  <si>
    <t>BEARDSELL LIMITED</t>
  </si>
  <si>
    <t>INE844K01012</t>
  </si>
  <si>
    <t>BEDMUTHA</t>
  </si>
  <si>
    <t>BEDMUTHA INDUST LTD</t>
  </si>
  <si>
    <t>INE213D01015</t>
  </si>
  <si>
    <t>BEEKAY</t>
  </si>
  <si>
    <t>BEEKAY STEEL INDS. LTD.</t>
  </si>
  <si>
    <t>INE1EEM01017</t>
  </si>
  <si>
    <t>BLEL</t>
  </si>
  <si>
    <t>BEHARI LAL ENGINEERING L</t>
  </si>
  <si>
    <t>INE344T01014</t>
  </si>
  <si>
    <t>BELLACASA</t>
  </si>
  <si>
    <t>BELLA CASA FASH AND RET L</t>
  </si>
  <si>
    <t>INE894V01022</t>
  </si>
  <si>
    <t>BELRISE</t>
  </si>
  <si>
    <t>BELRISE INDUSTRIES LTD</t>
  </si>
  <si>
    <t>INE0N7W01012</t>
  </si>
  <si>
    <t>BLAL</t>
  </si>
  <si>
    <t>BEML LAND ASSETS LIMITED</t>
  </si>
  <si>
    <t>INE258A01024</t>
  </si>
  <si>
    <t>BEML</t>
  </si>
  <si>
    <t>BEML LIMITED</t>
  </si>
  <si>
    <t>INE664D01019</t>
  </si>
  <si>
    <t>BENARAS</t>
  </si>
  <si>
    <t>BENARES HOTELS LTD.</t>
  </si>
  <si>
    <t>INE083K01017</t>
  </si>
  <si>
    <t>BENGALASM</t>
  </si>
  <si>
    <t>BENGAL &amp; ASSAM CO. LTD.</t>
  </si>
  <si>
    <t>INE463A01038</t>
  </si>
  <si>
    <t>BERGEPAINT</t>
  </si>
  <si>
    <t>BERGER PAINTS (I) LTD</t>
  </si>
  <si>
    <t>INE052T01021</t>
  </si>
  <si>
    <t>BESTAGRO</t>
  </si>
  <si>
    <t>BEST AGROLIFE LIMITED</t>
  </si>
  <si>
    <t>INE351Y01019</t>
  </si>
  <si>
    <t>BETA</t>
  </si>
  <si>
    <t>BETA DRUGS LIMITED</t>
  </si>
  <si>
    <t>INE0HQI01014</t>
  </si>
  <si>
    <t>BEWLTD</t>
  </si>
  <si>
    <t>BEW ENGINEERING LIMITED</t>
  </si>
  <si>
    <t>INE878K01010</t>
  </si>
  <si>
    <t>BFINVEST</t>
  </si>
  <si>
    <t>BF INVESTMENT LIMITED</t>
  </si>
  <si>
    <t>INE243D01012</t>
  </si>
  <si>
    <t>BFUTILITIE</t>
  </si>
  <si>
    <t>BF UTILITIES LIMITED</t>
  </si>
  <si>
    <t>INF0QA701CI0</t>
  </si>
  <si>
    <t>BANK10BETF</t>
  </si>
  <si>
    <t>BFAM - BANK10BETF</t>
  </si>
  <si>
    <t>INF0QA701714</t>
  </si>
  <si>
    <t>BANKBETF</t>
  </si>
  <si>
    <t>BFAM - BANKBETF</t>
  </si>
  <si>
    <t>INF0QA701854</t>
  </si>
  <si>
    <t>LIQUIDBETF</t>
  </si>
  <si>
    <t>BFAM - LIQUIDBETF</t>
  </si>
  <si>
    <t>INF0QA701722</t>
  </si>
  <si>
    <t>NIFTYBETF</t>
  </si>
  <si>
    <t>BFAM - NIFTYBETF</t>
  </si>
  <si>
    <t>INE661I01014</t>
  </si>
  <si>
    <t>BGRENERGY</t>
  </si>
  <si>
    <t>BGR ENERGY SYSTEMS LTD</t>
  </si>
  <si>
    <t>INE0ZRC01017</t>
  </si>
  <si>
    <t>BHADORA</t>
  </si>
  <si>
    <t>BHADORA INDUSTRIES LTD</t>
  </si>
  <si>
    <t>INE354C01027</t>
  </si>
  <si>
    <t>BHAGERIA</t>
  </si>
  <si>
    <t>BHAGERIA INDUSTRIES LTD</t>
  </si>
  <si>
    <t>INE414D01027</t>
  </si>
  <si>
    <t>BHAGCHEM</t>
  </si>
  <si>
    <t>BHAGIRADHA CHEM &amp; INDS L</t>
  </si>
  <si>
    <t>INE458B01036</t>
  </si>
  <si>
    <t>BHAGYANGR</t>
  </si>
  <si>
    <t>BHAGYANAGAR INDIA LIMITED</t>
  </si>
  <si>
    <t>INE474E01029</t>
  </si>
  <si>
    <t>BHANDARI</t>
  </si>
  <si>
    <t>BHANDARI HOSIERY EXP LTD</t>
  </si>
  <si>
    <t>INE922A01025</t>
  </si>
  <si>
    <t>BEPL</t>
  </si>
  <si>
    <t>BHANSALI ENG. POLYMERS LT</t>
  </si>
  <si>
    <t>INE464A01036</t>
  </si>
  <si>
    <t>BBL</t>
  </si>
  <si>
    <t>BHARAT BIJLEE LTD</t>
  </si>
  <si>
    <t>INE05XR01022</t>
  </si>
  <si>
    <t>BHARATCOAL</t>
  </si>
  <si>
    <t>BHARAT COKING COAL LTD</t>
  </si>
  <si>
    <t>INE171Z01026</t>
  </si>
  <si>
    <t>BDL</t>
  </si>
  <si>
    <t>BHARAT DYNAMICS LIMITED</t>
  </si>
  <si>
    <t>INE263A01024</t>
  </si>
  <si>
    <t>BEL</t>
  </si>
  <si>
    <t>BHARAT ELECTRONICS LTD</t>
  </si>
  <si>
    <t>INE465A01025</t>
  </si>
  <si>
    <t>BHARATFORG</t>
  </si>
  <si>
    <t>BHARAT FORGE LTD</t>
  </si>
  <si>
    <t>INE561C01019</t>
  </si>
  <si>
    <t>BHARATGEAR</t>
  </si>
  <si>
    <t>BHARAT GEARS LTD</t>
  </si>
  <si>
    <t>INE365Y01019</t>
  </si>
  <si>
    <t>BPLPHARMA</t>
  </si>
  <si>
    <t>BHARAT PARENTERALS LTD.</t>
  </si>
  <si>
    <t>INE029A01011</t>
  </si>
  <si>
    <t>BPCL</t>
  </si>
  <si>
    <t>BHARAT PETROLEUM CORP  LT</t>
  </si>
  <si>
    <t>INE838B01021</t>
  </si>
  <si>
    <t>BHARATRAS</t>
  </si>
  <si>
    <t>BHARAT RASAYAN LTD</t>
  </si>
  <si>
    <t>INE727S01012</t>
  </si>
  <si>
    <t>BRNL</t>
  </si>
  <si>
    <t>BHARAT ROAD NETWORK LTD</t>
  </si>
  <si>
    <t>INE415D01024</t>
  </si>
  <si>
    <t>BHARATSE</t>
  </si>
  <si>
    <t>BHARAT SEATS LIMITED</t>
  </si>
  <si>
    <t>INE316L01019</t>
  </si>
  <si>
    <t>BHARATWIRE</t>
  </si>
  <si>
    <t>BHARAT WIRE ROPES LTD.</t>
  </si>
  <si>
    <t>INE397D01024</t>
  </si>
  <si>
    <t>BHARTIARTL</t>
  </si>
  <si>
    <t>BHARTI AIRTEL LIMITED</t>
  </si>
  <si>
    <t>INE343G01021</t>
  </si>
  <si>
    <t>BHARTIHEXA</t>
  </si>
  <si>
    <t>BHARTI HEXACOM LIMITED</t>
  </si>
  <si>
    <t>INE828A01016</t>
  </si>
  <si>
    <t>BIL</t>
  </si>
  <si>
    <t>BHARTIYA INTERNATIONAL</t>
  </si>
  <si>
    <t>INE257A01026</t>
  </si>
  <si>
    <t>BHEL</t>
  </si>
  <si>
    <t>INE274K01012</t>
  </si>
  <si>
    <t>BTTL</t>
  </si>
  <si>
    <t>BHILWARA TECHNICAL TEXT L</t>
  </si>
  <si>
    <t>INE412U01025</t>
  </si>
  <si>
    <t>BIGBLOC</t>
  </si>
  <si>
    <t>BIGBLOC CONSTRUCTION LTD</t>
  </si>
  <si>
    <t>INE00E101023</t>
  </si>
  <si>
    <t>BIKAJI</t>
  </si>
  <si>
    <t>BIKAJI FOODS INTERN LTD</t>
  </si>
  <si>
    <t>INE0SQH01013</t>
  </si>
  <si>
    <t>BIKEWO</t>
  </si>
  <si>
    <t>BIKEWO GREEN TECH LIMITED</t>
  </si>
  <si>
    <t>INE071A01013</t>
  </si>
  <si>
    <t>BILVYAPAR</t>
  </si>
  <si>
    <t>BIL VYAPAR LIMITED</t>
  </si>
  <si>
    <t>INE986A01012</t>
  </si>
  <si>
    <t>BI</t>
  </si>
  <si>
    <t>BILCARE LTD.</t>
  </si>
  <si>
    <t>INE0HOQ01053</t>
  </si>
  <si>
    <t>GROWW</t>
  </si>
  <si>
    <t>BILLIONBRAINS GARAGE VN L</t>
  </si>
  <si>
    <t>INE469A01019</t>
  </si>
  <si>
    <t>BIMETAL</t>
  </si>
  <si>
    <t>BIMETAL BEARINGS LTD.</t>
  </si>
  <si>
    <t>INE1BKA01015</t>
  </si>
  <si>
    <t>BMLL</t>
  </si>
  <si>
    <t>BIO MEDICA LABORATORIES L</t>
  </si>
  <si>
    <t>INE376G01013</t>
  </si>
  <si>
    <t>BIOCON</t>
  </si>
  <si>
    <t>BIOCON LIMITED.</t>
  </si>
  <si>
    <t>INE829A01014</t>
  </si>
  <si>
    <t>BIOFILCHEM</t>
  </si>
  <si>
    <t>BIOFIL CHEM &amp; PHARMA LTD</t>
  </si>
  <si>
    <t>INE0XW001014</t>
  </si>
  <si>
    <t>BIOPOL</t>
  </si>
  <si>
    <t>BIOPOL CHEMICALS LIMITED</t>
  </si>
  <si>
    <t>INE800A01015</t>
  </si>
  <si>
    <t>BIRLACABLE</t>
  </si>
  <si>
    <t>BIRLA CABLE LIMITED</t>
  </si>
  <si>
    <t>INE340A01012</t>
  </si>
  <si>
    <t>BIRLACORPN</t>
  </si>
  <si>
    <t>BIRLA CORPORATION LTD</t>
  </si>
  <si>
    <t>INE372E01025</t>
  </si>
  <si>
    <t>BIRLAPREC</t>
  </si>
  <si>
    <t>BIRLA PRECISION TECH L</t>
  </si>
  <si>
    <t>INE557A01011</t>
  </si>
  <si>
    <t>BIRLANU</t>
  </si>
  <si>
    <t>BIRLANU LIMITED</t>
  </si>
  <si>
    <t>INF209KC1134</t>
  </si>
  <si>
    <t>ABGSEC</t>
  </si>
  <si>
    <t>BIRLASLAMC - ABGSEC</t>
  </si>
  <si>
    <t>INF209KC1670</t>
  </si>
  <si>
    <t>ABSL10BANK</t>
  </si>
  <si>
    <t>BIRLASLAMC - ABSL10BANK</t>
  </si>
  <si>
    <t>INF209KB17D5</t>
  </si>
  <si>
    <t>ABSLBANETF</t>
  </si>
  <si>
    <t>BIRLASLAMC - ABSLBANETF</t>
  </si>
  <si>
    <t>INF209KB18T9</t>
  </si>
  <si>
    <t>ABSLLIQUID</t>
  </si>
  <si>
    <t>BIRLASLAMC - ABSLLIQUID</t>
  </si>
  <si>
    <t>INF209KC1662</t>
  </si>
  <si>
    <t>ABSLMSCIN</t>
  </si>
  <si>
    <t>BIRLASLAMC - ABSLMSCIN</t>
  </si>
  <si>
    <t>INF209KB16D7</t>
  </si>
  <si>
    <t>ABSLNN50ET</t>
  </si>
  <si>
    <t>BIRLASLAMC - ABSLNN50ET</t>
  </si>
  <si>
    <t>INF209KB10E8</t>
  </si>
  <si>
    <t>BSLSENETFG</t>
  </si>
  <si>
    <t>BIRLASLAMC - BSLSENETFG</t>
  </si>
  <si>
    <t>INF209KC1142</t>
  </si>
  <si>
    <t>GSEC10ABSL</t>
  </si>
  <si>
    <t>BIRLASLAMC - GSEC10ABSL</t>
  </si>
  <si>
    <t>INF209KB10C2</t>
  </si>
  <si>
    <t>HEALTHY</t>
  </si>
  <si>
    <t>BIRLASLAMC - HEALTHY</t>
  </si>
  <si>
    <t>INF209KB14K7</t>
  </si>
  <si>
    <t>MOMENTUM</t>
  </si>
  <si>
    <t>BIRLASLAMC - MOMENTUM</t>
  </si>
  <si>
    <t>INF209KB15K4</t>
  </si>
  <si>
    <t>NIFTYQLITY</t>
  </si>
  <si>
    <t>BIRLASLAMC - NIFTYQLITY</t>
  </si>
  <si>
    <t>INF209KB19F6</t>
  </si>
  <si>
    <t>SILVER</t>
  </si>
  <si>
    <t>BIRLASLAMC - SILVER</t>
  </si>
  <si>
    <t>INF209KB11D8</t>
  </si>
  <si>
    <t>TECH</t>
  </si>
  <si>
    <t>BIRLASLAMC - TECH</t>
  </si>
  <si>
    <t>INF209KB19Z4</t>
  </si>
  <si>
    <t>ABSLPSE</t>
  </si>
  <si>
    <t>BIRLASLAMC-ABSLPSE</t>
  </si>
  <si>
    <t>INE836A01035</t>
  </si>
  <si>
    <t>BSOFT</t>
  </si>
  <si>
    <t>BIRLASOFT LIMITED</t>
  </si>
  <si>
    <t>INE676A01027</t>
  </si>
  <si>
    <t>BBOX</t>
  </si>
  <si>
    <t>BLACK BOX LIMITED</t>
  </si>
  <si>
    <t>INE761G01016</t>
  </si>
  <si>
    <t>BLACKROSE</t>
  </si>
  <si>
    <t>BLACK ROSE INDS. LTD.</t>
  </si>
  <si>
    <t>INE0UIZ01018</t>
  </si>
  <si>
    <t>BLACKBUCK</t>
  </si>
  <si>
    <t>BLACKBUCK LIMITED</t>
  </si>
  <si>
    <t>INE791A01024</t>
  </si>
  <si>
    <t>BLBLIMITED</t>
  </si>
  <si>
    <t>BLB LIMITED</t>
  </si>
  <si>
    <t>INE416D01022</t>
  </si>
  <si>
    <t>BLISSGVS</t>
  </si>
  <si>
    <t>BLISS GVS PHARMA LTD</t>
  </si>
  <si>
    <t>INE0NLT01010</t>
  </si>
  <si>
    <t>BLSE</t>
  </si>
  <si>
    <t>BLS E-SERVICES LIMITED</t>
  </si>
  <si>
    <t>INE153T01027</t>
  </si>
  <si>
    <t>BLS</t>
  </si>
  <si>
    <t>BLS INTL SERVS LTD</t>
  </si>
  <si>
    <t>INE373T01047</t>
  </si>
  <si>
    <t>BLUECLOUDS</t>
  </si>
  <si>
    <t>BLUE CLOUD SOFTECH SOLU L</t>
  </si>
  <si>
    <t>INE472B01011</t>
  </si>
  <si>
    <t>BLUECOAST</t>
  </si>
  <si>
    <t>BLUE COAST HOTELS LIMITED</t>
  </si>
  <si>
    <t>INE233B01017</t>
  </si>
  <si>
    <t>BLUEDART</t>
  </si>
  <si>
    <t>BLUE DART EXPRESS LTD</t>
  </si>
  <si>
    <t>INE0KBH01020</t>
  </si>
  <si>
    <t>BLUEJET</t>
  </si>
  <si>
    <t>BLUE JET HEALTHCARE LTD</t>
  </si>
  <si>
    <t>INE0SAK01011</t>
  </si>
  <si>
    <t>BLUEPEBBLE</t>
  </si>
  <si>
    <t>BLUE PEBBLE LIMITED</t>
  </si>
  <si>
    <t>INE472A01039</t>
  </si>
  <si>
    <t>BLUESTARCO</t>
  </si>
  <si>
    <t>BLUE STAR LIMITED</t>
  </si>
  <si>
    <t>INE0X3M01010</t>
  </si>
  <si>
    <t>BLUEWATER</t>
  </si>
  <si>
    <t>BLUE WATER LOGISTICS LTD</t>
  </si>
  <si>
    <t>INE304W01038</t>
  </si>
  <si>
    <t>BLUESTONE</t>
  </si>
  <si>
    <t>BLUESTONE JEWEL LFSTL LTD</t>
  </si>
  <si>
    <t>INE0U4101014</t>
  </si>
  <si>
    <t>BLUSPRING</t>
  </si>
  <si>
    <t>BLUSPRING ENTERPRISES LTD</t>
  </si>
  <si>
    <t>INE965W01036</t>
  </si>
  <si>
    <t>BMWVENTLTD</t>
  </si>
  <si>
    <t>BMW VENTURES LIMITED</t>
  </si>
  <si>
    <t>INE00HZ01011</t>
  </si>
  <si>
    <t>BNAGROCHEM</t>
  </si>
  <si>
    <t>BN AGROCHEM LTD.</t>
  </si>
  <si>
    <t>INE338D01028</t>
  </si>
  <si>
    <t>BODALCHEM</t>
  </si>
  <si>
    <t>BODAL CHEMICALS LTD</t>
  </si>
  <si>
    <t>INE0EEJ01023</t>
  </si>
  <si>
    <t>BTML</t>
  </si>
  <si>
    <t>BODHI TREE MULTIMEDIA LTD</t>
  </si>
  <si>
    <t>INE802W01023</t>
  </si>
  <si>
    <t>BOHRAIND</t>
  </si>
  <si>
    <t>BOHRA INDUSTRIES LIMITED</t>
  </si>
  <si>
    <t>INE050A01025</t>
  </si>
  <si>
    <t>BBTC</t>
  </si>
  <si>
    <t>BOMBAY BURMAH TRADING COR</t>
  </si>
  <si>
    <t>INE032A01023</t>
  </si>
  <si>
    <t>BOMDYEING</t>
  </si>
  <si>
    <t>BOMBAY DYEING &amp; MFG. CO L</t>
  </si>
  <si>
    <t>INE0I3Y01014</t>
  </si>
  <si>
    <t>BMETRICS</t>
  </si>
  <si>
    <t>BOMBAY METRICS S C LTD</t>
  </si>
  <si>
    <t>INE032Z01020</t>
  </si>
  <si>
    <t>BSHSL</t>
  </si>
  <si>
    <t>BOMBAY SUPER HYBRID SEEDS</t>
  </si>
  <si>
    <t>INE906B07CB9</t>
  </si>
  <si>
    <t>830NHAI27</t>
  </si>
  <si>
    <t>BOND 8.30% PA TAX FREE S2</t>
  </si>
  <si>
    <t>INE053F07728</t>
  </si>
  <si>
    <t>863IRFC29</t>
  </si>
  <si>
    <t>NC</t>
  </si>
  <si>
    <t>BOND 8.63% PA TF TII-SIIA</t>
  </si>
  <si>
    <t>INE053F07686</t>
  </si>
  <si>
    <t>865IRFC29</t>
  </si>
  <si>
    <t>NA</t>
  </si>
  <si>
    <t>BOND 8.65% PA TF TI-SIIB</t>
  </si>
  <si>
    <t>INE020B07HS2</t>
  </si>
  <si>
    <t>871REC28</t>
  </si>
  <si>
    <t>BOND 8.71% TAX FREE S2B</t>
  </si>
  <si>
    <t>INE053F07744</t>
  </si>
  <si>
    <t>888IRFC29</t>
  </si>
  <si>
    <t>BOND 8.88% PA TF TII-SIIB</t>
  </si>
  <si>
    <t>INE557F07132</t>
  </si>
  <si>
    <t>901NHB34</t>
  </si>
  <si>
    <t>BOND 9.01%PA TF TR-I S 3B</t>
  </si>
  <si>
    <t>INE0B9A01018</t>
  </si>
  <si>
    <t>BONLON</t>
  </si>
  <si>
    <t>BONLON INDUSTRIES LIMITED</t>
  </si>
  <si>
    <t>INE16SF01016</t>
  </si>
  <si>
    <t>BORANA</t>
  </si>
  <si>
    <t>BORANA WEAVES LIMITED</t>
  </si>
  <si>
    <t>INE02PY01013</t>
  </si>
  <si>
    <t>BOROLTD</t>
  </si>
  <si>
    <t>BOROSIL LIMITED</t>
  </si>
  <si>
    <t>INE666D01022</t>
  </si>
  <si>
    <t>BORORENEW</t>
  </si>
  <si>
    <t>BOROSIL RENEWABLES LTD</t>
  </si>
  <si>
    <t>INE02L001032</t>
  </si>
  <si>
    <t>BOROSCI</t>
  </si>
  <si>
    <t>BOROSIL SCIENTIFIC LTD</t>
  </si>
  <si>
    <t>INE782A01015</t>
  </si>
  <si>
    <t>BOSCH-HCIL</t>
  </si>
  <si>
    <t>BOSCH HOME COMFRT IND LTD</t>
  </si>
  <si>
    <t>INE323A01026</t>
  </si>
  <si>
    <t>BOSCHLTD</t>
  </si>
  <si>
    <t>BOSCH LIMITED</t>
  </si>
  <si>
    <t>INE0QNI01012</t>
  </si>
  <si>
    <t>BOSS</t>
  </si>
  <si>
    <t>BOSS PACKAGING SOLU LTD</t>
  </si>
  <si>
    <t>INE110A01019</t>
  </si>
  <si>
    <t>BPL</t>
  </si>
  <si>
    <t>BPL LTD</t>
  </si>
  <si>
    <t>INE0R4Z01018</t>
  </si>
  <si>
    <t>BRACEPORT</t>
  </si>
  <si>
    <t>BRACE PORT LOGISTICS LTD</t>
  </si>
  <si>
    <t>INE320I01017</t>
  </si>
  <si>
    <t>BRAHMINFRA</t>
  </si>
  <si>
    <t>BRAHMAPUTRA INFRA L</t>
  </si>
  <si>
    <t>INE02RE01045</t>
  </si>
  <si>
    <t>FIRSTCRY</t>
  </si>
  <si>
    <t>BRAINBEES SOLUTIONS LTD</t>
  </si>
  <si>
    <t>INE977Y01011</t>
  </si>
  <si>
    <t>BCONCEPTS</t>
  </si>
  <si>
    <t>BRAND CONCEPTS LIMITED</t>
  </si>
  <si>
    <t>INE0XUD01014</t>
  </si>
  <si>
    <t>BRANDMAN</t>
  </si>
  <si>
    <t>BRANDMAN RETAIL LIMITED</t>
  </si>
  <si>
    <t>INE791I01019</t>
  </si>
  <si>
    <t>BRIGADE</t>
  </si>
  <si>
    <t>BRIGADE ENTER. LTD</t>
  </si>
  <si>
    <t>INE03NU01014</t>
  </si>
  <si>
    <t>BRIGHOTEL</t>
  </si>
  <si>
    <t>BRIGADE HOTEL VENTURE LTD</t>
  </si>
  <si>
    <t>INE630D01010</t>
  </si>
  <si>
    <t>BRIGHTBR</t>
  </si>
  <si>
    <t>BRIGHT BROTHERS LTD.</t>
  </si>
  <si>
    <t>INE425B01027</t>
  </si>
  <si>
    <t>BCG</t>
  </si>
  <si>
    <t>BRIGHTCOM GROUP LIMITED</t>
  </si>
  <si>
    <t>INE216A01030</t>
  </si>
  <si>
    <t>BRITANNIA</t>
  </si>
  <si>
    <t>BRITANNIA INDUSTRIES LTD</t>
  </si>
  <si>
    <t>INE0FDU25010</t>
  </si>
  <si>
    <t>BIRET</t>
  </si>
  <si>
    <t>BROOKFIELD INDIA RET</t>
  </si>
  <si>
    <t>INE650L01011</t>
  </si>
  <si>
    <t>BROOKS</t>
  </si>
  <si>
    <t>BROOKS LAB LIMITED</t>
  </si>
  <si>
    <t>INE118H01025</t>
  </si>
  <si>
    <t>BSE</t>
  </si>
  <si>
    <t>BSE LIMITED</t>
  </si>
  <si>
    <t>INE594B01012</t>
  </si>
  <si>
    <t>BSL</t>
  </si>
  <si>
    <t>BSL LTD</t>
  </si>
  <si>
    <t>INE295F01017</t>
  </si>
  <si>
    <t>BUTTERFLY</t>
  </si>
  <si>
    <t>BTRFLY GANDHI APPL LTD</t>
  </si>
  <si>
    <t>INE0SZ301012</t>
  </si>
  <si>
    <t>BULKCORP</t>
  </si>
  <si>
    <t>BULKCORP INTERNATIONAL L</t>
  </si>
  <si>
    <t>INE817H01022</t>
  </si>
  <si>
    <t>BURNPUR</t>
  </si>
  <si>
    <t>BURNPUR CEMENT LIMITED</t>
  </si>
  <si>
    <t>INE084D01010</t>
  </si>
  <si>
    <t>CGVAK</t>
  </si>
  <si>
    <t>C G V A K SOFTWARE &amp; EX L</t>
  </si>
  <si>
    <t>INE0SMX01019</t>
  </si>
  <si>
    <t>CKKRETAIL</t>
  </si>
  <si>
    <t>C K K RETAIL MART LIMITED</t>
  </si>
  <si>
    <t>INE0QBU01012</t>
  </si>
  <si>
    <t>CPS</t>
  </si>
  <si>
    <t>C P S SHAPERS LIMITED</t>
  </si>
  <si>
    <t>INE0BV301023</t>
  </si>
  <si>
    <t>MAPMYINDIA</t>
  </si>
  <si>
    <t>C.E. INFO SYSTEMS LIMITED</t>
  </si>
  <si>
    <t>INE0U7V01015</t>
  </si>
  <si>
    <t>C2C</t>
  </si>
  <si>
    <t>C2C ADVANCED SYSTEMS LTD</t>
  </si>
  <si>
    <t>INE11XY01018</t>
  </si>
  <si>
    <t>CMLL</t>
  </si>
  <si>
    <t>CALIBER MINING AND LOG L</t>
  </si>
  <si>
    <t>INE526B01014</t>
  </si>
  <si>
    <t>CALSOFT</t>
  </si>
  <si>
    <t>CALIFORNIA SOFTWARE CO LT</t>
  </si>
  <si>
    <t>INE627H01017</t>
  </si>
  <si>
    <t>CTE</t>
  </si>
  <si>
    <t>CAMBRIDGE TECH ENTER LTD</t>
  </si>
  <si>
    <t>INE052I01032</t>
  </si>
  <si>
    <t>CAMLINFINE</t>
  </si>
  <si>
    <t>CAMLIN FINE SCIENCES LTD</t>
  </si>
  <si>
    <t>INE278Y01022</t>
  </si>
  <si>
    <t>CAMPUS</t>
  </si>
  <si>
    <t>CAMPUS ACTIVEWEAR LIMITED</t>
  </si>
  <si>
    <t>INE477A01020</t>
  </si>
  <si>
    <t>CANFINHOME</t>
  </si>
  <si>
    <t>CAN FIN HOMES LTD</t>
  </si>
  <si>
    <t>INE476A01022</t>
  </si>
  <si>
    <t>CANBK</t>
  </si>
  <si>
    <t>CANARA BANK</t>
  </si>
  <si>
    <t>INE01TY01017</t>
  </si>
  <si>
    <t>CANHLIFE</t>
  </si>
  <si>
    <t>CANARA HSBC LIFE INS CO L</t>
  </si>
  <si>
    <t>INE218I01013</t>
  </si>
  <si>
    <t>CRAMC</t>
  </si>
  <si>
    <t>CANARA ROBECO AMC LIMITED</t>
  </si>
  <si>
    <t>INE0QG301017</t>
  </si>
  <si>
    <t>CANARYS</t>
  </si>
  <si>
    <t>CANARYS AUTOMATIONS LTD</t>
  </si>
  <si>
    <t>INE068L01024</t>
  </si>
  <si>
    <t>CANTABIL</t>
  </si>
  <si>
    <t>CANTABIL RETAIL LTD</t>
  </si>
  <si>
    <t>INE264T01014</t>
  </si>
  <si>
    <t>CAPACITE</t>
  </si>
  <si>
    <t>CAPACITE INFRAPROJECT LTD</t>
  </si>
  <si>
    <t>INE0ILV01024</t>
  </si>
  <si>
    <t>CAPILLARY</t>
  </si>
  <si>
    <t>CAPILLARY TECHNO INDIA L</t>
  </si>
  <si>
    <t>INE345H01024</t>
  </si>
  <si>
    <t>CIFL</t>
  </si>
  <si>
    <t>CAPITAL INDIA FINANCE LTD</t>
  </si>
  <si>
    <t>INE0Z8Z23013</t>
  </si>
  <si>
    <t>CAPINVIT</t>
  </si>
  <si>
    <t>CAPITAL INFRA TRUST</t>
  </si>
  <si>
    <t>INE646H01017</t>
  </si>
  <si>
    <t>CAPITALSFB</t>
  </si>
  <si>
    <t>CAPITAL SMALL FIN BANK L</t>
  </si>
  <si>
    <t>INE707C01018</t>
  </si>
  <si>
    <t>CAPTRUST</t>
  </si>
  <si>
    <t>CAPITAL TRUST LIMITED</t>
  </si>
  <si>
    <t>INE475E01026</t>
  </si>
  <si>
    <t>CAPLIPOINT</t>
  </si>
  <si>
    <t>CAPLIN POINT LAB LTD.</t>
  </si>
  <si>
    <t>INE180C01042</t>
  </si>
  <si>
    <t>CGCL</t>
  </si>
  <si>
    <t>CAPRI GLOBAL CAPITAL LTD</t>
  </si>
  <si>
    <t>INE536P01021</t>
  </si>
  <si>
    <t>CPL</t>
  </si>
  <si>
    <t>CAPTAIN POLYPLAST LIMITED</t>
  </si>
  <si>
    <t>INE120A01034</t>
  </si>
  <si>
    <t>CARBORUNIV</t>
  </si>
  <si>
    <t>CARBORUNDUM UNIVERSAL LTD</t>
  </si>
  <si>
    <t>INE752H01013</t>
  </si>
  <si>
    <t>CARERATING</t>
  </si>
  <si>
    <t>CARE RATINGS LIMITED</t>
  </si>
  <si>
    <t>INE0P6P01016</t>
  </si>
  <si>
    <t>CPEDU</t>
  </si>
  <si>
    <t>CAREER POINT EDUTECH LTD</t>
  </si>
  <si>
    <t>INE0V7W01012</t>
  </si>
  <si>
    <t>CARRARO</t>
  </si>
  <si>
    <t>CARRARO INDIA LIMITED</t>
  </si>
  <si>
    <t>INE290S01011</t>
  </si>
  <si>
    <t>CARTRADE</t>
  </si>
  <si>
    <t>CARTRADE TECH LIMITED</t>
  </si>
  <si>
    <t>INE482D01024</t>
  </si>
  <si>
    <t>CARYSIL</t>
  </si>
  <si>
    <t>CARYSIL LIMITED</t>
  </si>
  <si>
    <t>INE0WL201014</t>
  </si>
  <si>
    <t>CUDML</t>
  </si>
  <si>
    <t>CASH UR DRIVE MARKETING L</t>
  </si>
  <si>
    <t>INE172A01027</t>
  </si>
  <si>
    <t>CASTROLIND</t>
  </si>
  <si>
    <t>CASTROL INDIA LIMITED</t>
  </si>
  <si>
    <t>INE421D01022</t>
  </si>
  <si>
    <t>CCL</t>
  </si>
  <si>
    <t>CCL PRODUCTS (I) LTD</t>
  </si>
  <si>
    <t>INE157D07EM8</t>
  </si>
  <si>
    <t>990CCSP27</t>
  </si>
  <si>
    <t>CCSPL 9.90% 2027 SR 02</t>
  </si>
  <si>
    <t>INE482A01020</t>
  </si>
  <si>
    <t>CEATLTD</t>
  </si>
  <si>
    <t>CEAT LIMITED</t>
  </si>
  <si>
    <t>INE0AG901020</t>
  </si>
  <si>
    <t>CEIGALL</t>
  </si>
  <si>
    <t>CEIGALL INDIA LIMITED</t>
  </si>
  <si>
    <t>INE016Q01014</t>
  </si>
  <si>
    <t>CEINSYS</t>
  </si>
  <si>
    <t>CEINSYS TECH LIMITED</t>
  </si>
  <si>
    <t>INE185H01016</t>
  </si>
  <si>
    <t>CELEBRITY</t>
  </si>
  <si>
    <t>CELEBRITY FASHIONS LTD</t>
  </si>
  <si>
    <t>INE0O0001013</t>
  </si>
  <si>
    <t>CELLPOINT</t>
  </si>
  <si>
    <t>CELL POINT (INDIA) LTD</t>
  </si>
  <si>
    <t>INE0OMO01025</t>
  </si>
  <si>
    <t>CELLECOR</t>
  </si>
  <si>
    <t>CELLECOR GADGETS LIMITED</t>
  </si>
  <si>
    <t>INE0LMW01024</t>
  </si>
  <si>
    <t>CELLO</t>
  </si>
  <si>
    <t>CELLO WORLD LIMITED</t>
  </si>
  <si>
    <t>INE686A01026</t>
  </si>
  <si>
    <t>CEMPRO</t>
  </si>
  <si>
    <t>CEMINDIA PROJECTS LIMITED</t>
  </si>
  <si>
    <t>INE483A01010</t>
  </si>
  <si>
    <t>CENTRALBK</t>
  </si>
  <si>
    <t>CENTRAL BANK OF INDIA</t>
  </si>
  <si>
    <t>INE736A01011</t>
  </si>
  <si>
    <t>CDSL</t>
  </si>
  <si>
    <t>CENTRAL DEPO SER (I) LTD</t>
  </si>
  <si>
    <t>INE05HV01027</t>
  </si>
  <si>
    <t>CMPDI</t>
  </si>
  <si>
    <t>CENTRAL MINE P N D INST L</t>
  </si>
  <si>
    <t>INE660C01027</t>
  </si>
  <si>
    <t>CENTRUM</t>
  </si>
  <si>
    <t>CENTRUM CAPITAL LIMITED</t>
  </si>
  <si>
    <t>INE320B01020</t>
  </si>
  <si>
    <t>CENTUM</t>
  </si>
  <si>
    <t>CENTUM ELECTRONICS LTD</t>
  </si>
  <si>
    <t>INE485A01015</t>
  </si>
  <si>
    <t>CENTENKA</t>
  </si>
  <si>
    <t>CENTURY ENKA LTD</t>
  </si>
  <si>
    <t>INE281A01026</t>
  </si>
  <si>
    <t>CENTEXT</t>
  </si>
  <si>
    <t>CENTURY EXTRUSIONS LTD</t>
  </si>
  <si>
    <t>INE348B01021</t>
  </si>
  <si>
    <t>CENTURYPLY</t>
  </si>
  <si>
    <t>CENTURY PLYBOARDS (I) LTD</t>
  </si>
  <si>
    <t>INE739E01017</t>
  </si>
  <si>
    <t>CERA</t>
  </si>
  <si>
    <t>CERA SANITARYWARE LTD</t>
  </si>
  <si>
    <t>INE345B01019</t>
  </si>
  <si>
    <t>CEREBRAINT</t>
  </si>
  <si>
    <t>CEREBRA INT TECH LTD</t>
  </si>
  <si>
    <t>INE486A01021</t>
  </si>
  <si>
    <t>CESC</t>
  </si>
  <si>
    <t>CESC LTD</t>
  </si>
  <si>
    <t>INE067A01029</t>
  </si>
  <si>
    <t>CGPOWER</t>
  </si>
  <si>
    <t>CG POWER AND IND SOL LTD</t>
  </si>
  <si>
    <t>INE427F01016</t>
  </si>
  <si>
    <t>CHALET</t>
  </si>
  <si>
    <t>CHALET HOTELS LIMITED</t>
  </si>
  <si>
    <t>INE419D01026</t>
  </si>
  <si>
    <t>CLSEL</t>
  </si>
  <si>
    <t>CHAMAN LAL SETIA EXP LTD</t>
  </si>
  <si>
    <t>INE06PV01010</t>
  </si>
  <si>
    <t>CMNL</t>
  </si>
  <si>
    <t>CHAMAN METALLICS LIMITED</t>
  </si>
  <si>
    <t>INE085A01013</t>
  </si>
  <si>
    <t>CHAMBLFERT</t>
  </si>
  <si>
    <t>CHAMBAL FERTILIZERS LTD</t>
  </si>
  <si>
    <t>INE11HG01018</t>
  </si>
  <si>
    <t>CHAMUNDA</t>
  </si>
  <si>
    <t>CHAMUNDA ELECTRICAL LTD</t>
  </si>
  <si>
    <t>INE0B2N01016</t>
  </si>
  <si>
    <t>CHANDAN</t>
  </si>
  <si>
    <t>CHANDAN HEALTHCARE LTD</t>
  </si>
  <si>
    <t>INE0PT101017</t>
  </si>
  <si>
    <t>CHAVDA</t>
  </si>
  <si>
    <t>CHAVDA INFRA LIMITED</t>
  </si>
  <si>
    <t>INE0TGX01019</t>
  </si>
  <si>
    <t>CHEMBONDCH</t>
  </si>
  <si>
    <t>CHEMBOND CHEMICAL LIMITED</t>
  </si>
  <si>
    <t>INE995D01025</t>
  </si>
  <si>
    <t>CHEMBOND</t>
  </si>
  <si>
    <t>CHEMBOND MATERIALTECH LTD</t>
  </si>
  <si>
    <t>INE03YM01018</t>
  </si>
  <si>
    <t>CHEMCON</t>
  </si>
  <si>
    <t>CHEMCON SPECIAL CHEM LTD</t>
  </si>
  <si>
    <t>INE298W01016</t>
  </si>
  <si>
    <t>CHEMCRUX</t>
  </si>
  <si>
    <t>CHEMCRUX ENTERPRISES LTD.</t>
  </si>
  <si>
    <t>INE783X01023</t>
  </si>
  <si>
    <t>CHEMFAB</t>
  </si>
  <si>
    <t>CHEMFAB ALKALIS LIMITED</t>
  </si>
  <si>
    <t>INE488A01050</t>
  </si>
  <si>
    <t>CHEMPLASTS</t>
  </si>
  <si>
    <t>CHEMPLAST SANMAR LIMITED</t>
  </si>
  <si>
    <t>INE178A01016</t>
  </si>
  <si>
    <t>CHENNPETRO</t>
  </si>
  <si>
    <t>CHENNAI PETROLEUM CORP LT</t>
  </si>
  <si>
    <t>INE0U1T01012</t>
  </si>
  <si>
    <t>CHETANA</t>
  </si>
  <si>
    <t>CHETANA EDUCATION LIMITED</t>
  </si>
  <si>
    <t>INE974B01016</t>
  </si>
  <si>
    <t>CHEVIOT</t>
  </si>
  <si>
    <t>CHEVIOT COMPANY LIMITED</t>
  </si>
  <si>
    <t>INE102B01014</t>
  </si>
  <si>
    <t>CHOICEIN</t>
  </si>
  <si>
    <t>CHOICE INTERNATIONAL LTD</t>
  </si>
  <si>
    <t>INF2KCX01012</t>
  </si>
  <si>
    <t>CHOICEGOLD</t>
  </si>
  <si>
    <t>CHOICEAMC - CHOICEGOLD</t>
  </si>
  <si>
    <t>INE149A01033</t>
  </si>
  <si>
    <t>CHOLAHLDNG</t>
  </si>
  <si>
    <t>CHOLAMANDALAM FIN HOL LTD</t>
  </si>
  <si>
    <t>INE121A01024</t>
  </si>
  <si>
    <t>CHOLAFIN</t>
  </si>
  <si>
    <t>CHOLAMANDALAM IN &amp; FIN CO</t>
  </si>
  <si>
    <t>INE536H01010</t>
  </si>
  <si>
    <t>CIEINDIA</t>
  </si>
  <si>
    <t>CIE AUTOMOTIVE INDIA LTD</t>
  </si>
  <si>
    <t>INE704H01022</t>
  </si>
  <si>
    <t>CINELINE</t>
  </si>
  <si>
    <t>CINELINE INDIA LIMITED</t>
  </si>
  <si>
    <t>INE039B01026</t>
  </si>
  <si>
    <t>CINEVISTA</t>
  </si>
  <si>
    <t>CINEVISTA LIMITED</t>
  </si>
  <si>
    <t>INE059A01026</t>
  </si>
  <si>
    <t>CIPLA</t>
  </si>
  <si>
    <t>CIPLA LTD</t>
  </si>
  <si>
    <t>INE2Q7823014</t>
  </si>
  <si>
    <t>CITIUSINVT</t>
  </si>
  <si>
    <t>CITIUS TRANSNET INV TRUST</t>
  </si>
  <si>
    <t>INE491A01021</t>
  </si>
  <si>
    <t>CUB</t>
  </si>
  <si>
    <t>CITY UNION BANK LTD</t>
  </si>
  <si>
    <t>INE201M01029</t>
  </si>
  <si>
    <t>CLEDUCATE</t>
  </si>
  <si>
    <t>CL EDUCATE LIMITED</t>
  </si>
  <si>
    <t>INE0UQ601012</t>
  </si>
  <si>
    <t>CLASSICEIL</t>
  </si>
  <si>
    <t>CLASSIC ELECTRODE (IND) L</t>
  </si>
  <si>
    <t>INE1QGM01024</t>
  </si>
  <si>
    <t>CLAYCRAFT</t>
  </si>
  <si>
    <t>CLAY CRAFT INDIA LIMITED</t>
  </si>
  <si>
    <t>INE647U01026</t>
  </si>
  <si>
    <t>CLEANMAX</t>
  </si>
  <si>
    <t>CLEAN MAX ENVIRO EN SOL L</t>
  </si>
  <si>
    <t>INE227W01023</t>
  </si>
  <si>
    <t>CLEAN</t>
  </si>
  <si>
    <t>CLEAN SCIENCE &amp; TECH LTD</t>
  </si>
  <si>
    <t>INE1EF801010</t>
  </si>
  <si>
    <t>CSSL</t>
  </si>
  <si>
    <t>CLEAR SECURED SERVICES L</t>
  </si>
  <si>
    <t>INE00WV01027</t>
  </si>
  <si>
    <t>CMRGREEN</t>
  </si>
  <si>
    <t>CMR GREEN TECHNOLOGIES L</t>
  </si>
  <si>
    <t>INE925R01014</t>
  </si>
  <si>
    <t>CMSINFO</t>
  </si>
  <si>
    <t>CMS INFO SYSTEMS LIMITED</t>
  </si>
  <si>
    <t>INE522F01014</t>
  </si>
  <si>
    <t>COALINDIA</t>
  </si>
  <si>
    <t>COAL INDIA LTD</t>
  </si>
  <si>
    <t>INE377E01024</t>
  </si>
  <si>
    <t>COASTCORP</t>
  </si>
  <si>
    <t>COASTAL CORPORATION LTD</t>
  </si>
  <si>
    <t>INE704P01025</t>
  </si>
  <si>
    <t>COCHINSHIP</t>
  </si>
  <si>
    <t>COCHIN SHIPYARD LIMITED</t>
  </si>
  <si>
    <t>INE335K01011</t>
  </si>
  <si>
    <t>COFFEEDAY</t>
  </si>
  <si>
    <t>COFFEE DAY ENTERPRISE LTD</t>
  </si>
  <si>
    <t>INE591G01025</t>
  </si>
  <si>
    <t>COFORGE</t>
  </si>
  <si>
    <t>COFORGE LIMITED</t>
  </si>
  <si>
    <t>INE03QK01018</t>
  </si>
  <si>
    <t>COHANCE</t>
  </si>
  <si>
    <t>COHANCE LIFESCIENCES LTD</t>
  </si>
  <si>
    <t>INE259A01022</t>
  </si>
  <si>
    <t>COLPAL</t>
  </si>
  <si>
    <t>COLGATE PALMOLIVE LTD.</t>
  </si>
  <si>
    <t>INE819A01049</t>
  </si>
  <si>
    <t>COMFINTE</t>
  </si>
  <si>
    <t>COMFORT INTECH LTD.</t>
  </si>
  <si>
    <t>INE073V01015</t>
  </si>
  <si>
    <t>COMSYN</t>
  </si>
  <si>
    <t>COMMERCIAL SYN BAGS LTD</t>
  </si>
  <si>
    <t>INE597Z01014</t>
  </si>
  <si>
    <t>COMMITTED</t>
  </si>
  <si>
    <t>COMMITTED CARGO CARE LTD</t>
  </si>
  <si>
    <t>INE823B01015</t>
  </si>
  <si>
    <t>COMPEAU</t>
  </si>
  <si>
    <t>COMPETENT AUTOMOB CO. L</t>
  </si>
  <si>
    <t>INE070C01037</t>
  </si>
  <si>
    <t>COMPINFO</t>
  </si>
  <si>
    <t>COMPUAGE INFOCOM LTD</t>
  </si>
  <si>
    <t>INE453B01029</t>
  </si>
  <si>
    <t>COMPUSOFT</t>
  </si>
  <si>
    <t>COMPUCOM SOFTWARE LTD</t>
  </si>
  <si>
    <t>INE596I01020</t>
  </si>
  <si>
    <t>CAMS</t>
  </si>
  <si>
    <t>COMPUTER AGE MNGT SER LTD</t>
  </si>
  <si>
    <t>INE338H01029</t>
  </si>
  <si>
    <t>CONCORDBIO</t>
  </si>
  <si>
    <t>CONCORD BIOTECH LIMITED</t>
  </si>
  <si>
    <t>INE037Z01029</t>
  </si>
  <si>
    <t>CEWATER</t>
  </si>
  <si>
    <t>CONCORD ENVIRO SYSTEMS L</t>
  </si>
  <si>
    <t>INE700F01024</t>
  </si>
  <si>
    <t>CFEL</t>
  </si>
  <si>
    <t>CONFIDENCE FUTURIST ENE L</t>
  </si>
  <si>
    <t>INE552D01024</t>
  </si>
  <si>
    <t>CONFIPET</t>
  </si>
  <si>
    <t>CONFIDENCE PETRO IND LTD.</t>
  </si>
  <si>
    <t>INE0EAS01014</t>
  </si>
  <si>
    <t>CONNPLEX</t>
  </si>
  <si>
    <t>CONNPLEX CINEMAS LIMITED</t>
  </si>
  <si>
    <t>INE429I01024</t>
  </si>
  <si>
    <t>CCCL</t>
  </si>
  <si>
    <t>CONS. CONST. CONSORT LTD</t>
  </si>
  <si>
    <t>INE025A01027</t>
  </si>
  <si>
    <t>CONSOFINVT</t>
  </si>
  <si>
    <t>CONSO. FIN. &amp; HOLD. LTD.</t>
  </si>
  <si>
    <t>INE111A01025</t>
  </si>
  <si>
    <t>CONCOR</t>
  </si>
  <si>
    <t>CONTAINER CORP OF IND LTD</t>
  </si>
  <si>
    <t>INE663B01015</t>
  </si>
  <si>
    <t>CONTROLPR</t>
  </si>
  <si>
    <t>CONTROL PRINT LIMITED</t>
  </si>
  <si>
    <t>INE0HS001028</t>
  </si>
  <si>
    <t>COOLCAPS</t>
  </si>
  <si>
    <t>COOL CAPS INDUSTRIES LTD</t>
  </si>
  <si>
    <t>INE558D01021</t>
  </si>
  <si>
    <t>CORALFINAC</t>
  </si>
  <si>
    <t>CORAL INDIA FIN &amp; HOUS LT</t>
  </si>
  <si>
    <t>INE792I01017</t>
  </si>
  <si>
    <t>CORDSCABLE</t>
  </si>
  <si>
    <t>CORDS CABLE INDUS LTD.</t>
  </si>
  <si>
    <t>INE169A01031</t>
  </si>
  <si>
    <t>COROMANDEL</t>
  </si>
  <si>
    <t>COROMANDEL INTERNTL. LTD</t>
  </si>
  <si>
    <t>INE02ZQ01018</t>
  </si>
  <si>
    <t>CORONA</t>
  </si>
  <si>
    <t>CORONA REMEDIES LIMITED</t>
  </si>
  <si>
    <t>INE757A01017</t>
  </si>
  <si>
    <t>COSMOFIRST</t>
  </si>
  <si>
    <t>COSMO FIRST LIMITED</t>
  </si>
  <si>
    <t>INE652F01027</t>
  </si>
  <si>
    <t>CCHHL</t>
  </si>
  <si>
    <t>COUNTRY CLUB HOSP HOL LTD</t>
  </si>
  <si>
    <t>INE695B01025</t>
  </si>
  <si>
    <t>COUNCODOS</t>
  </si>
  <si>
    <t>COUNTRY CONDO S LIMITED</t>
  </si>
  <si>
    <t>INE521J01018</t>
  </si>
  <si>
    <t>CPCAP</t>
  </si>
  <si>
    <t>CP CAPITAL LIMITED</t>
  </si>
  <si>
    <t>INF457M01133</t>
  </si>
  <si>
    <t>CPSEETF</t>
  </si>
  <si>
    <t>CPSE ETF</t>
  </si>
  <si>
    <t>INE00LO01017</t>
  </si>
  <si>
    <t>CRAFTSMAN</t>
  </si>
  <si>
    <t>CRAFTSMAN AUTOMATION LTD</t>
  </si>
  <si>
    <t>INE145E01017</t>
  </si>
  <si>
    <t>CRAVATEX</t>
  </si>
  <si>
    <t>CRAVATEX LTD.</t>
  </si>
  <si>
    <t>INE0OFK01019</t>
  </si>
  <si>
    <t>CRAYONS</t>
  </si>
  <si>
    <t>CRAYONS ADVERTISING LTD</t>
  </si>
  <si>
    <t>INE230B01021</t>
  </si>
  <si>
    <t>CREATIVEYE</t>
  </si>
  <si>
    <t>CREATIVE EYE LIMITED</t>
  </si>
  <si>
    <t>INE0R7401011</t>
  </si>
  <si>
    <t>CGRAPHICS</t>
  </si>
  <si>
    <t>CREATIVE GRAPHICS S IND L</t>
  </si>
  <si>
    <t>INE985W01018</t>
  </si>
  <si>
    <t>CNL</t>
  </si>
  <si>
    <t>CREATIVE NEWTECH LIMITED</t>
  </si>
  <si>
    <t>INE1KPX01025</t>
  </si>
  <si>
    <t>CREDENT</t>
  </si>
  <si>
    <t>CREDENT CONNECT N CARE L</t>
  </si>
  <si>
    <t>INE741K01010</t>
  </si>
  <si>
    <t>CREDITACC</t>
  </si>
  <si>
    <t>CREDITACCESS GRAMEEN LTD</t>
  </si>
  <si>
    <t>INE220Q01020</t>
  </si>
  <si>
    <t>MUFTI</t>
  </si>
  <si>
    <t>CREDO BRANDS MARKETING L</t>
  </si>
  <si>
    <t>INE716D01033</t>
  </si>
  <si>
    <t>CRSL</t>
  </si>
  <si>
    <t>CRESSANDA RAILWAY SOLUT L</t>
  </si>
  <si>
    <t>INE559D01011</t>
  </si>
  <si>
    <t>CREST</t>
  </si>
  <si>
    <t>CREST VENTURES LIMITED</t>
  </si>
  <si>
    <t>INE007A01025</t>
  </si>
  <si>
    <t>CRISIL</t>
  </si>
  <si>
    <t>CRISIL LTD</t>
  </si>
  <si>
    <t>INE0S4R01014</t>
  </si>
  <si>
    <t>CRIZAC</t>
  </si>
  <si>
    <t>CRIZAC LIMITED</t>
  </si>
  <si>
    <t>INE299U01018</t>
  </si>
  <si>
    <t>CROMPTON</t>
  </si>
  <si>
    <t>CROMPT GREA CON ELEC LTD</t>
  </si>
  <si>
    <t>INE491V01019</t>
  </si>
  <si>
    <t>CROWN</t>
  </si>
  <si>
    <t>CROWN LIFTERS LIMITED</t>
  </si>
  <si>
    <t>INE679A01013</t>
  </si>
  <si>
    <t>CSBBANK</t>
  </si>
  <si>
    <t>CSB BANK LIMITED</t>
  </si>
  <si>
    <t>INE718F01018</t>
  </si>
  <si>
    <t>CSLFINANCE</t>
  </si>
  <si>
    <t>CSL FINANCE LIMITED</t>
  </si>
  <si>
    <t>INE0ZK601013</t>
  </si>
  <si>
    <t>CSM</t>
  </si>
  <si>
    <t>CSM TECHNOLOGIES LIMITED</t>
  </si>
  <si>
    <t>INE0NR623014</t>
  </si>
  <si>
    <t>CUBEINVIT</t>
  </si>
  <si>
    <t>CUBE HIGHWAYS TRUST</t>
  </si>
  <si>
    <t>INE144D01012</t>
  </si>
  <si>
    <t>CUBEXTUB</t>
  </si>
  <si>
    <t>CUBEX TUBINGS LTD</t>
  </si>
  <si>
    <t>INE298A01020</t>
  </si>
  <si>
    <t>CUMMINSIND</t>
  </si>
  <si>
    <t>CUMMINS INDIA LTD</t>
  </si>
  <si>
    <t>INE509F01029</t>
  </si>
  <si>
    <t>CUPID</t>
  </si>
  <si>
    <t>CUPID LIMITED</t>
  </si>
  <si>
    <t>INE117B01020</t>
  </si>
  <si>
    <t>CURAA</t>
  </si>
  <si>
    <t>CURA TECHNOLOGIES LIMITED</t>
  </si>
  <si>
    <t>INE1BZN01016</t>
  </si>
  <si>
    <t>CURIS</t>
  </si>
  <si>
    <t>CURIS LIFESCIENCES LTD</t>
  </si>
  <si>
    <t>INE1CRQ01014</t>
  </si>
  <si>
    <t>CURRENT</t>
  </si>
  <si>
    <t>CURRENT INFRAPROJECTS LTD</t>
  </si>
  <si>
    <t>INE278G01037</t>
  </si>
  <si>
    <t>CYBERMEDIA</t>
  </si>
  <si>
    <t>CYBER MEDIA (INDIA) LTD.</t>
  </si>
  <si>
    <t>INE075Z01011</t>
  </si>
  <si>
    <t>CMRSL</t>
  </si>
  <si>
    <t>CYBER MEDIA RES &amp; SER LTD</t>
  </si>
  <si>
    <t>INE214A01019</t>
  </si>
  <si>
    <t>CYBERTECH</t>
  </si>
  <si>
    <t>CYBERTECH SYSTEMS &amp; SOFTW</t>
  </si>
  <si>
    <t>INE055S01018</t>
  </si>
  <si>
    <t>CYIENTDLM</t>
  </si>
  <si>
    <t>CYIENT DLM LIMITED</t>
  </si>
  <si>
    <t>INE136B01020</t>
  </si>
  <si>
    <t>CYIENT</t>
  </si>
  <si>
    <t>CYIENT LIMITED</t>
  </si>
  <si>
    <t>INE0GN101014</t>
  </si>
  <si>
    <t>DKEGL</t>
  </si>
  <si>
    <t>D K ENTERPRISES GLOBAL L</t>
  </si>
  <si>
    <t>INE864X01013</t>
  </si>
  <si>
    <t>DPWIRES</t>
  </si>
  <si>
    <t>D P WIRES LIMITED</t>
  </si>
  <si>
    <t>INE250K01012</t>
  </si>
  <si>
    <t>DLINKINDIA</t>
  </si>
  <si>
    <t>D-LINK INDIA LTD</t>
  </si>
  <si>
    <t>INE266Y01019</t>
  </si>
  <si>
    <t>DPABHUSHAN</t>
  </si>
  <si>
    <t>D. P. ABHUSHAN LIMITED</t>
  </si>
  <si>
    <t>INE950I01011</t>
  </si>
  <si>
    <t>DBCORP</t>
  </si>
  <si>
    <t>D.B.CORP LTD</t>
  </si>
  <si>
    <t>INE016A01026</t>
  </si>
  <si>
    <t>DABUR</t>
  </si>
  <si>
    <t>DABUR INDIA LTD</t>
  </si>
  <si>
    <t>INE928C01010</t>
  </si>
  <si>
    <t>DAICHI</t>
  </si>
  <si>
    <t>DAI-ICHI KARKARIA LTD.</t>
  </si>
  <si>
    <t>INE00R701025</t>
  </si>
  <si>
    <t>DALBHARAT</t>
  </si>
  <si>
    <t>DALMIA BHARAT LIMITED</t>
  </si>
  <si>
    <t>INE495A01022</t>
  </si>
  <si>
    <t>DALMIASUG</t>
  </si>
  <si>
    <t>DALMIA BHARAT SUG IN LTD</t>
  </si>
  <si>
    <t>INE284H01025</t>
  </si>
  <si>
    <t>DAMCAPITAL</t>
  </si>
  <si>
    <t>DAM CAPITAL ADVISORS LTD</t>
  </si>
  <si>
    <t>INE497D01022</t>
  </si>
  <si>
    <t>DAMODARIND</t>
  </si>
  <si>
    <t>DAMODAR INDUSTRIES LTD</t>
  </si>
  <si>
    <t>INE688Y01022</t>
  </si>
  <si>
    <t>DANGEE</t>
  </si>
  <si>
    <t>DANGEE DUMS LIMITED</t>
  </si>
  <si>
    <t>INE0YU901016</t>
  </si>
  <si>
    <t>DANISH</t>
  </si>
  <si>
    <t>DANISH POWER LIMITED</t>
  </si>
  <si>
    <t>INE0IX101010</t>
  </si>
  <si>
    <t>DATAPATTNS</t>
  </si>
  <si>
    <t>DATA PATTERNS INDIA LTD</t>
  </si>
  <si>
    <t>INE365B01017</t>
  </si>
  <si>
    <t>DATAMATICS</t>
  </si>
  <si>
    <t>DATAMATICS GLOBAL SER LTD</t>
  </si>
  <si>
    <t>INE179G01029</t>
  </si>
  <si>
    <t>DAVANGERE</t>
  </si>
  <si>
    <t>DAVANGERE SUGAR COMPANY L</t>
  </si>
  <si>
    <t>INE921B01025</t>
  </si>
  <si>
    <t>DBSTOCKBRO</t>
  </si>
  <si>
    <t>DB (INT) STOCK BROKERS</t>
  </si>
  <si>
    <t>INE0A1101019</t>
  </si>
  <si>
    <t>DCI</t>
  </si>
  <si>
    <t>DC INFOTECH AND COMUN LTD</t>
  </si>
  <si>
    <t>INE503A01015</t>
  </si>
  <si>
    <t>DCBBANK</t>
  </si>
  <si>
    <t>DCB BANK LIMITED</t>
  </si>
  <si>
    <t>INE04Q907108</t>
  </si>
  <si>
    <t>1225DCCL27</t>
  </si>
  <si>
    <t>DCCL 12.25% 2027 SR IIA</t>
  </si>
  <si>
    <t>INE04Q907181</t>
  </si>
  <si>
    <t>1275DCCL28</t>
  </si>
  <si>
    <t>DCCL 12.75% 2028</t>
  </si>
  <si>
    <t>INE0S8401018</t>
  </si>
  <si>
    <t>DCG</t>
  </si>
  <si>
    <t>DCG CABLES &amp; WIRES LTD</t>
  </si>
  <si>
    <t>INE891B01012</t>
  </si>
  <si>
    <t>DCMFINSERV</t>
  </si>
  <si>
    <t>DCM FINANCIAL SERVICES LT</t>
  </si>
  <si>
    <t>INE498A01018</t>
  </si>
  <si>
    <t>DCM</t>
  </si>
  <si>
    <t>DCM LIMITED</t>
  </si>
  <si>
    <t>INE08KP01019</t>
  </si>
  <si>
    <t>DCMNVL</t>
  </si>
  <si>
    <t>DCM NOUVELLE LIMITED</t>
  </si>
  <si>
    <t>INE0OFM01015</t>
  </si>
  <si>
    <t>DSFCL</t>
  </si>
  <si>
    <t>DCM SHRIRAM FINE CHEM LTD</t>
  </si>
  <si>
    <t>INE843D01027</t>
  </si>
  <si>
    <t>DCMSRIND</t>
  </si>
  <si>
    <t>DCM SHRIRAM IND LTD</t>
  </si>
  <si>
    <t>INE0OU201013</t>
  </si>
  <si>
    <t>DCMSIL</t>
  </si>
  <si>
    <t>DCM SHRIRAM INTERNATNL L</t>
  </si>
  <si>
    <t>INE499A01024</t>
  </si>
  <si>
    <t>DCMSHRIRAM</t>
  </si>
  <si>
    <t>DCM SHRIRAM LIMITED</t>
  </si>
  <si>
    <t>INE500A01029</t>
  </si>
  <si>
    <t>DCW</t>
  </si>
  <si>
    <t>DCW LTD</t>
  </si>
  <si>
    <t>INE0KL801015</t>
  </si>
  <si>
    <t>DCXINDIA</t>
  </si>
  <si>
    <t>DCX SYSTEMS LIMITED</t>
  </si>
  <si>
    <t>INE0HR601026</t>
  </si>
  <si>
    <t>DDEVPLSTIK</t>
  </si>
  <si>
    <t>DDEV PLASTIKS IND LTD</t>
  </si>
  <si>
    <t>INE0JWV01011</t>
  </si>
  <si>
    <t>DENEERS</t>
  </si>
  <si>
    <t>DE NEERS TOOLS LIMITED</t>
  </si>
  <si>
    <t>INE244A01016</t>
  </si>
  <si>
    <t>DENORA</t>
  </si>
  <si>
    <t>DE NORA INDIA LIMITED</t>
  </si>
  <si>
    <t>INE583C01021</t>
  </si>
  <si>
    <t>DECCANCE</t>
  </si>
  <si>
    <t>DECCAN CEMENTS LIMITED</t>
  </si>
  <si>
    <t>INE945F01025</t>
  </si>
  <si>
    <t>DECNGOLD</t>
  </si>
  <si>
    <t>DECCAN GOLD MINES LTD.</t>
  </si>
  <si>
    <t>INE0S7C01019</t>
  </si>
  <si>
    <t>DECCANTRAN</t>
  </si>
  <si>
    <t>DECCAN TRANSCON LEASING L</t>
  </si>
  <si>
    <t>INE841L01016</t>
  </si>
  <si>
    <t>DEEDEV</t>
  </si>
  <si>
    <t>DEE DEVELOPMENT ENG LTD</t>
  </si>
  <si>
    <t>INE586O01011</t>
  </si>
  <si>
    <t>DEEM</t>
  </si>
  <si>
    <t>DEEM ROLL TECH LIMITED</t>
  </si>
  <si>
    <t>INE0FHS01024</t>
  </si>
  <si>
    <t>DEEPINDS</t>
  </si>
  <si>
    <t>DEEP INDUSTRIES LIMITED</t>
  </si>
  <si>
    <t>INE00IY01012</t>
  </si>
  <si>
    <t>DEEP</t>
  </si>
  <si>
    <t>DEEP POLYMERS LTD.</t>
  </si>
  <si>
    <t>INE1M2N01020</t>
  </si>
  <si>
    <t>DEEPA</t>
  </si>
  <si>
    <t>DEEPA JEWELLERS LIMITED</t>
  </si>
  <si>
    <t>INE0OPA01027</t>
  </si>
  <si>
    <t>DBEIL</t>
  </si>
  <si>
    <t>DEEPAK BUILDERS &amp; ENG I L</t>
  </si>
  <si>
    <t>INE501A01019</t>
  </si>
  <si>
    <t>DEEPAKFERT</t>
  </si>
  <si>
    <t>DEEPAK FERTILIZERS &amp; PETR</t>
  </si>
  <si>
    <t>INE288B01029</t>
  </si>
  <si>
    <t>DEEPAKNTR</t>
  </si>
  <si>
    <t>DEEPAK NITRITE LTD</t>
  </si>
  <si>
    <t>INE0SK801018</t>
  </si>
  <si>
    <t>DELAPLEX</t>
  </si>
  <si>
    <t>DELAPLEX LIMITED</t>
  </si>
  <si>
    <t>INE148O01028</t>
  </si>
  <si>
    <t>DELHIVERY</t>
  </si>
  <si>
    <t>DELHIVERY LIMITED</t>
  </si>
  <si>
    <t>INE726L01027</t>
  </si>
  <si>
    <t>DELPHIFX</t>
  </si>
  <si>
    <t>DELPHI WORLD MONEY LTD</t>
  </si>
  <si>
    <t>INE0XRN01019</t>
  </si>
  <si>
    <t>DELTIC</t>
  </si>
  <si>
    <t>DELTA AUTOCORP LIMITED</t>
  </si>
  <si>
    <t>INE124G01033</t>
  </si>
  <si>
    <t>DELTACORP</t>
  </si>
  <si>
    <t>DELTA CORP LIMITED</t>
  </si>
  <si>
    <t>INE393A01011</t>
  </si>
  <si>
    <t>DELTAMAGNT</t>
  </si>
  <si>
    <t>DELTA MANUFACTURING LTD</t>
  </si>
  <si>
    <t>INE947J01015</t>
  </si>
  <si>
    <t>DEN</t>
  </si>
  <si>
    <t>DEN NETWORKS LTD</t>
  </si>
  <si>
    <t>INE0R4L01018</t>
  </si>
  <si>
    <t>DENTA</t>
  </si>
  <si>
    <t>DENTA WATER N INFRA SOL L</t>
  </si>
  <si>
    <t>INE0VOV01021</t>
  </si>
  <si>
    <t>DEVX</t>
  </si>
  <si>
    <t>DEV ACCELERATOR LIMITED</t>
  </si>
  <si>
    <t>INE060X01034</t>
  </si>
  <si>
    <t>DEVIT</t>
  </si>
  <si>
    <t>DEV INFO TECHNOLOGY LTD</t>
  </si>
  <si>
    <t>INE872J01023</t>
  </si>
  <si>
    <t>DEVYANI</t>
  </si>
  <si>
    <t>DEVYANI INTERNATIONAL LTD</t>
  </si>
  <si>
    <t>INE260R01016</t>
  </si>
  <si>
    <t>DHABRIYA</t>
  </si>
  <si>
    <t>DHABRIYA POLYWOOD LTD.</t>
  </si>
  <si>
    <t>INE0I3401014</t>
  </si>
  <si>
    <t>DBOL</t>
  </si>
  <si>
    <t>DHAMPUR BIO ORGANICS LTD</t>
  </si>
  <si>
    <t>INE041A01016</t>
  </si>
  <si>
    <t>DHAMPURSUG</t>
  </si>
  <si>
    <t>DHAMPUR SUGAR MILLS LTD.</t>
  </si>
  <si>
    <t>INE680A01011</t>
  </si>
  <si>
    <t>DHANBANK</t>
  </si>
  <si>
    <t>DHANLAXMI BANK LIMITED</t>
  </si>
  <si>
    <t>INE0V9V01010</t>
  </si>
  <si>
    <t>DHANLAXMI</t>
  </si>
  <si>
    <t>DHANLAXMI CROP SCIENCE L</t>
  </si>
  <si>
    <t>INE0M3I01029</t>
  </si>
  <si>
    <t>DHANSA</t>
  </si>
  <si>
    <t>DHANSA LABS LIMITED</t>
  </si>
  <si>
    <t>INE435G01025</t>
  </si>
  <si>
    <t>DHANUKA</t>
  </si>
  <si>
    <t>DHANUKA AGRITECH LTD</t>
  </si>
  <si>
    <t>INE2HJL01019</t>
  </si>
  <si>
    <t>DHARARAIL</t>
  </si>
  <si>
    <t>DHARA RAIL PROJECTS LTD</t>
  </si>
  <si>
    <t>INE278R01034</t>
  </si>
  <si>
    <t>DHARAN</t>
  </si>
  <si>
    <t>DHARAN INFRA-EPC LIMITED</t>
  </si>
  <si>
    <t>INE0YRN01025</t>
  </si>
  <si>
    <t>DHARIWAL</t>
  </si>
  <si>
    <t>DHARIWALCORP LIMITED</t>
  </si>
  <si>
    <t>INE00OQ01016</t>
  </si>
  <si>
    <t>DHARMAJ</t>
  </si>
  <si>
    <t>DHARMAJ CROP GUARD LTD</t>
  </si>
  <si>
    <t>INE715T01031</t>
  </si>
  <si>
    <t>DHATRE</t>
  </si>
  <si>
    <t>DHATRE UDYOG LTD.</t>
  </si>
  <si>
    <t>INE01NH01023</t>
  </si>
  <si>
    <t>DHOOTTRANS</t>
  </si>
  <si>
    <t>DHOOT TRANSMISSION LTD</t>
  </si>
  <si>
    <t>INE506Z01015</t>
  </si>
  <si>
    <t>DHRUV</t>
  </si>
  <si>
    <t>DHRUV CONSULTANCY SER LTD</t>
  </si>
  <si>
    <t>INE320L01011</t>
  </si>
  <si>
    <t>DHUNINV</t>
  </si>
  <si>
    <t>DHUNSERI INVESTMENTS LTD</t>
  </si>
  <si>
    <t>INE341R01014</t>
  </si>
  <si>
    <t>DTIL</t>
  </si>
  <si>
    <t>DHUNSERI TEA &amp; IND. LTD.</t>
  </si>
  <si>
    <t>INE477B01010</t>
  </si>
  <si>
    <t>DVL</t>
  </si>
  <si>
    <t>DHUNSERI VENTURES LIMITED</t>
  </si>
  <si>
    <t>INE591D01014</t>
  </si>
  <si>
    <t>DIAMINESQ</t>
  </si>
  <si>
    <t>DIAMINES &amp; CHEMICALS LTD</t>
  </si>
  <si>
    <t>INE989C01038</t>
  </si>
  <si>
    <t>DIACABS</t>
  </si>
  <si>
    <t>DIAMOND POWER INFRA LTD</t>
  </si>
  <si>
    <t>INE303A01010</t>
  </si>
  <si>
    <t>DICIND</t>
  </si>
  <si>
    <t>DIC INDIA LIMITED</t>
  </si>
  <si>
    <t>INE0JRD01019</t>
  </si>
  <si>
    <t>DTL</t>
  </si>
  <si>
    <t>DIENSTEN TECH LIMITED</t>
  </si>
  <si>
    <t>INE184O01015</t>
  </si>
  <si>
    <t>DIFFNKG</t>
  </si>
  <si>
    <t>DIFFUSION ENGINEERS LTD</t>
  </si>
  <si>
    <t>INE03JI01017</t>
  </si>
  <si>
    <t>DGCONTENT</t>
  </si>
  <si>
    <t>DIGICONTENT LIMITED</t>
  </si>
  <si>
    <t>INE0PSC01024</t>
  </si>
  <si>
    <t>DIGIDRIVE</t>
  </si>
  <si>
    <t>DIGIDRIVE DISTRIBUTORS L</t>
  </si>
  <si>
    <t>INE0QJ901011</t>
  </si>
  <si>
    <t>DIGIKORE</t>
  </si>
  <si>
    <t>DIGIKORE STUDIOS LIMITED</t>
  </si>
  <si>
    <t>INE927C01020</t>
  </si>
  <si>
    <t>DIGISPICE</t>
  </si>
  <si>
    <t>DIGISPICE TECHNOLOGIES LT</t>
  </si>
  <si>
    <t>INE0U4701011</t>
  </si>
  <si>
    <t>DIGITIDE</t>
  </si>
  <si>
    <t>DIGITIDE SOLUTIONS LTD</t>
  </si>
  <si>
    <t>INE731U01028</t>
  </si>
  <si>
    <t>DIGJAMLMTD</t>
  </si>
  <si>
    <t>DIGJAM LTD</t>
  </si>
  <si>
    <t>INE016M01021</t>
  </si>
  <si>
    <t>DNAMEDIA</t>
  </si>
  <si>
    <t>DILIGENT MEDIA CORP LTD.</t>
  </si>
  <si>
    <t>INE917M01012</t>
  </si>
  <si>
    <t>DBL</t>
  </si>
  <si>
    <t>DILIP BUILDCON LIMITED</t>
  </si>
  <si>
    <t>INE131C01011</t>
  </si>
  <si>
    <t>DISAQ</t>
  </si>
  <si>
    <t>DISA INDIA LTD.</t>
  </si>
  <si>
    <t>INE836F01026</t>
  </si>
  <si>
    <t>DISHTV</t>
  </si>
  <si>
    <t>DISH TV INDIA LTD.</t>
  </si>
  <si>
    <t>INE385W01011</t>
  </si>
  <si>
    <t>DCAL</t>
  </si>
  <si>
    <t>DISHMAN CARBO AMCIS LTD</t>
  </si>
  <si>
    <t>INE753U01022</t>
  </si>
  <si>
    <t>DIVGIITTS</t>
  </si>
  <si>
    <t>DIVGI TORQTRANSFER SYST L</t>
  </si>
  <si>
    <t>INE361B01024</t>
  </si>
  <si>
    <t>DIVISLAB</t>
  </si>
  <si>
    <t>DIVI S LABORATORIES LTD</t>
  </si>
  <si>
    <t>INE0NA501011</t>
  </si>
  <si>
    <t>DIVINEHIRA</t>
  </si>
  <si>
    <t>DIVINE HIRA JEWELLERS LTD</t>
  </si>
  <si>
    <t>INE0SCO01019</t>
  </si>
  <si>
    <t>DPEL</t>
  </si>
  <si>
    <t>DIVINE POWER ENERGY LTD</t>
  </si>
  <si>
    <t>INE0QYI01019</t>
  </si>
  <si>
    <t>DIVYADHAN</t>
  </si>
  <si>
    <t>DIVYADHAN RECYCLING IND L</t>
  </si>
  <si>
    <t>INE935N01020</t>
  </si>
  <si>
    <t>DIXON</t>
  </si>
  <si>
    <t>DIXON TECHNO (INDIA) LTD</t>
  </si>
  <si>
    <t>INE0B1K01014</t>
  </si>
  <si>
    <t>DJML</t>
  </si>
  <si>
    <t>DJ MEDIAPRINT &amp; LOG LTD</t>
  </si>
  <si>
    <t>INE271C01023</t>
  </si>
  <si>
    <t>DLF</t>
  </si>
  <si>
    <t>DLF LIMITED</t>
  </si>
  <si>
    <t>INE505A01010</t>
  </si>
  <si>
    <t>DMCC</t>
  </si>
  <si>
    <t>DMCC SPECIALITY CHEMICALS</t>
  </si>
  <si>
    <t>INE021O01019</t>
  </si>
  <si>
    <t>DODLA</t>
  </si>
  <si>
    <t>DODLA DAIRY LIMITED</t>
  </si>
  <si>
    <t>INE966A01022</t>
  </si>
  <si>
    <t>DOLATALGO</t>
  </si>
  <si>
    <t>DOLAT ALGOTECH LIMITED</t>
  </si>
  <si>
    <t>INE325C01035</t>
  </si>
  <si>
    <t>DOLLAR</t>
  </si>
  <si>
    <t>DOLLAR INDUSTRIES LIMITED</t>
  </si>
  <si>
    <t>INE0JHH01011</t>
  </si>
  <si>
    <t>DOLLEX</t>
  </si>
  <si>
    <t>DOLLEX AGROTECH LIMITED</t>
  </si>
  <si>
    <t>INE920A01037</t>
  </si>
  <si>
    <t>DOLPHIN</t>
  </si>
  <si>
    <t>DOLPHIN OFF ENT (IND) L</t>
  </si>
  <si>
    <t>INE321T01012</t>
  </si>
  <si>
    <t>DOMS</t>
  </si>
  <si>
    <t>DOMS INDUSTRIES LIMITED</t>
  </si>
  <si>
    <t>INE668D01028</t>
  </si>
  <si>
    <t>DONEAR</t>
  </si>
  <si>
    <t>DONEAR IND. LIMITED</t>
  </si>
  <si>
    <t>INE360C01024</t>
  </si>
  <si>
    <t>DPSCLTD</t>
  </si>
  <si>
    <t>DPSC LIMITED</t>
  </si>
  <si>
    <t>INE943P01029</t>
  </si>
  <si>
    <t>AGARWALEYE</t>
  </si>
  <si>
    <t>DR AGARWALS HEALTH CARE L</t>
  </si>
  <si>
    <t>INE934C01018</t>
  </si>
  <si>
    <t>DRAGARWQ</t>
  </si>
  <si>
    <t>DR. AGARWAL'S EYE HOSP L</t>
  </si>
  <si>
    <t>INE600L01024</t>
  </si>
  <si>
    <t>LALPATHLAB</t>
  </si>
  <si>
    <t>DR. LAL PATH LABS LTD.</t>
  </si>
  <si>
    <t>INE089A01031</t>
  </si>
  <si>
    <t>DRREDDY</t>
  </si>
  <si>
    <t>DR. REDDY S LABORATORIES</t>
  </si>
  <si>
    <t>INE03RS01027</t>
  </si>
  <si>
    <t>DRCSYSTEMS</t>
  </si>
  <si>
    <t>DRC SYSTEMS INDIA LIMITED</t>
  </si>
  <si>
    <t>INE0JS101016</t>
  </si>
  <si>
    <t>DREAMFOLKS</t>
  </si>
  <si>
    <t>DREAMFOLKS SERVICES LTD</t>
  </si>
  <si>
    <t>INE506A01018</t>
  </si>
  <si>
    <t>DREDGECORP</t>
  </si>
  <si>
    <t>DREDGING CORP OF INDIA</t>
  </si>
  <si>
    <t>INE0P7201019</t>
  </si>
  <si>
    <t>DRONE</t>
  </si>
  <si>
    <t>DRONE DESTINATION LIMITED</t>
  </si>
  <si>
    <t>INE891A01022</t>
  </si>
  <si>
    <t>DSKULKARNI</t>
  </si>
  <si>
    <t>DS KULKARNI DEVELOPERS L</t>
  </si>
  <si>
    <t>INE055C01020</t>
  </si>
  <si>
    <t>KEEPLEARN</t>
  </si>
  <si>
    <t>DSJ KEEP LEARNING LTD</t>
  </si>
  <si>
    <t>INF740KA1EU7</t>
  </si>
  <si>
    <t>LIQUIDETF</t>
  </si>
  <si>
    <t>DSP LIQUID ETF</t>
  </si>
  <si>
    <t>INF740KA1YH2</t>
  </si>
  <si>
    <t>BANK10ADD</t>
  </si>
  <si>
    <t>DSPAMC - BANK10ADD</t>
  </si>
  <si>
    <t>INF740KA1RX3</t>
  </si>
  <si>
    <t>BANKADD</t>
  </si>
  <si>
    <t>DSPAMC - DSPBANK</t>
  </si>
  <si>
    <t>INF740KA1ZP2</t>
  </si>
  <si>
    <t>GOLDADD</t>
  </si>
  <si>
    <t>DSPAMC - DSPGOLD</t>
  </si>
  <si>
    <t>INF740KA1SX1</t>
  </si>
  <si>
    <t>ITADD</t>
  </si>
  <si>
    <t>DSPAMC - DSPIT</t>
  </si>
  <si>
    <t>INF740KA1QK2</t>
  </si>
  <si>
    <t>EQUAL50ADD</t>
  </si>
  <si>
    <t>DSPAMC - DSPNEWETF</t>
  </si>
  <si>
    <t>INF740KA1CL0</t>
  </si>
  <si>
    <t>NIFTYADD</t>
  </si>
  <si>
    <t>DSPAMC - DSPNIFTY</t>
  </si>
  <si>
    <t>INF740KA1SY9</t>
  </si>
  <si>
    <t>PSUBANKADD</t>
  </si>
  <si>
    <t>DSPAMC - DSPPSBKETF</t>
  </si>
  <si>
    <t>INF740KA1TA7</t>
  </si>
  <si>
    <t>PVTBANKADD</t>
  </si>
  <si>
    <t>DSPAMC - DSPPVBKETF</t>
  </si>
  <si>
    <t>INF740KA1ZF3</t>
  </si>
  <si>
    <t>MIDQ50ADD</t>
  </si>
  <si>
    <t>DSPAMC - DSPQ50ETF</t>
  </si>
  <si>
    <t>INF740KA1SZ6</t>
  </si>
  <si>
    <t>SENSEXADD</t>
  </si>
  <si>
    <t>DSPAMC - DSPSENXETF</t>
  </si>
  <si>
    <t>INF740KA1ZQ0</t>
  </si>
  <si>
    <t>SILVERADD</t>
  </si>
  <si>
    <t>DSPAMC - DSPSILVETF</t>
  </si>
  <si>
    <t>INF740KA1WU9</t>
  </si>
  <si>
    <t>FLEXIADD</t>
  </si>
  <si>
    <t>DSPAMC - FLEXIADD</t>
  </si>
  <si>
    <t>INF740KA1ZA4</t>
  </si>
  <si>
    <t>FMCGADD</t>
  </si>
  <si>
    <t>DSPAMC - FMCGADD</t>
  </si>
  <si>
    <t>INF740KA1ZI7</t>
  </si>
  <si>
    <t>GSEC10ADD</t>
  </si>
  <si>
    <t>DSPAMC - GSEC10ADD</t>
  </si>
  <si>
    <t>INF740KA1ZG1</t>
  </si>
  <si>
    <t>HEALTHADD</t>
  </si>
  <si>
    <t>DSPAMC - HEALTHADD</t>
  </si>
  <si>
    <t>INF740KA1UM0</t>
  </si>
  <si>
    <t>LIQUIDADD</t>
  </si>
  <si>
    <t>DSPAMC - LIQUIDADD</t>
  </si>
  <si>
    <t>INF740KA1ZH9</t>
  </si>
  <si>
    <t>MIDBANKADD</t>
  </si>
  <si>
    <t>DSPAMC - MIDBANKADD</t>
  </si>
  <si>
    <t>INF740KA1WW5</t>
  </si>
  <si>
    <t>MIDCAPADD</t>
  </si>
  <si>
    <t>DSPAMC - MIDCAPADD</t>
  </si>
  <si>
    <t>INF740KA1WV7</t>
  </si>
  <si>
    <t>MSCIADD</t>
  </si>
  <si>
    <t>DSPAMC - MSCIADD</t>
  </si>
  <si>
    <t>INF740KA1VE5</t>
  </si>
  <si>
    <t>NEXT30ADD</t>
  </si>
  <si>
    <t>DSPAMC - NEXT30ADD</t>
  </si>
  <si>
    <t>INF740KA1XU7</t>
  </si>
  <si>
    <t>NEXT50ADD</t>
  </si>
  <si>
    <t>DSPAMC - NEXT50ADD</t>
  </si>
  <si>
    <t>INF740KA1WX3</t>
  </si>
  <si>
    <t>SMALLADD</t>
  </si>
  <si>
    <t>DSPAMC - SMALLADD</t>
  </si>
  <si>
    <t>INF740KA1UR9</t>
  </si>
  <si>
    <t>TOP10ADD</t>
  </si>
  <si>
    <t>DSPAMC - TOP10ADD</t>
  </si>
  <si>
    <t>INE0LZO01015</t>
  </si>
  <si>
    <t>DUCOL</t>
  </si>
  <si>
    <t>DUCOL ORGS AND COLOURS LT</t>
  </si>
  <si>
    <t>INE741L01018</t>
  </si>
  <si>
    <t>DUCON</t>
  </si>
  <si>
    <t>DUCON INFRATECHNOLOGIES L</t>
  </si>
  <si>
    <t>INE0OUW01013</t>
  </si>
  <si>
    <t>DURLAX</t>
  </si>
  <si>
    <t>DURLAX TOP SURFACE LTD</t>
  </si>
  <si>
    <t>INE366A01041</t>
  </si>
  <si>
    <t>DWARKESH</t>
  </si>
  <si>
    <t>DWARIKESH SUGAR IND LTD</t>
  </si>
  <si>
    <t>INE417B01040</t>
  </si>
  <si>
    <t>DSSL</t>
  </si>
  <si>
    <t>DYNACONS SYS &amp; SOLN LTD</t>
  </si>
  <si>
    <t>INE221B01012</t>
  </si>
  <si>
    <t>DYNAMATECH</t>
  </si>
  <si>
    <t>DYNAMATIC TECHNOLOGIES</t>
  </si>
  <si>
    <t>INE600Y01019</t>
  </si>
  <si>
    <t>DYCL</t>
  </si>
  <si>
    <t>DYNAMIC CABLES LIMITED</t>
  </si>
  <si>
    <t>INE0DZ701010</t>
  </si>
  <si>
    <t>DYNAMIC</t>
  </si>
  <si>
    <t>DYNAMIC SRVCS &amp; SEC LTD</t>
  </si>
  <si>
    <t>INE256H01015</t>
  </si>
  <si>
    <t>DYNPRO</t>
  </si>
  <si>
    <t>DYNEMIC PRODUCTS LIMITED</t>
  </si>
  <si>
    <t>INE0KFF01017</t>
  </si>
  <si>
    <t>EFACTOR</t>
  </si>
  <si>
    <t>E FACTOR EXPERIENCES LTD</t>
  </si>
  <si>
    <t>INE1CEJ01017</t>
  </si>
  <si>
    <t>E2ERAIL</t>
  </si>
  <si>
    <t>E TO E TRANS INFRA LTD</t>
  </si>
  <si>
    <t>INE255Z01027</t>
  </si>
  <si>
    <t>E2E</t>
  </si>
  <si>
    <t>E2E NETWORKS LIMITED</t>
  </si>
  <si>
    <t>INE595R01023</t>
  </si>
  <si>
    <t>EASTWEST</t>
  </si>
  <si>
    <t>EAST WEST FREIGHT CARRI L</t>
  </si>
  <si>
    <t>INE962C01035</t>
  </si>
  <si>
    <t>EASTSILK</t>
  </si>
  <si>
    <t>EASTERN SILK INDUSTRIES L</t>
  </si>
  <si>
    <t>INE07O001026</t>
  </si>
  <si>
    <t>EASEMYTRIP</t>
  </si>
  <si>
    <t>EASY TRIP PLANNERS LTD</t>
  </si>
  <si>
    <t>INE432F01032</t>
  </si>
  <si>
    <t>EBIX</t>
  </si>
  <si>
    <t>EBIX LIMITED</t>
  </si>
  <si>
    <t>INE738I01010</t>
  </si>
  <si>
    <t>ECLERX</t>
  </si>
  <si>
    <t>ECLERX SERVICES LTD</t>
  </si>
  <si>
    <t>INE316A01038</t>
  </si>
  <si>
    <t>ECORECO</t>
  </si>
  <si>
    <t>ECO RECYCLING LTD.</t>
  </si>
  <si>
    <t>INE0VBS01016</t>
  </si>
  <si>
    <t>ECOLINE</t>
  </si>
  <si>
    <t>ECOLINE EXIM LIMITED</t>
  </si>
  <si>
    <t>INE06HJ01020</t>
  </si>
  <si>
    <t>ECOSMOBLTY</t>
  </si>
  <si>
    <t>ECOS (INDIA) MOB &amp; HOSP L</t>
  </si>
  <si>
    <t>INF754K01OB1</t>
  </si>
  <si>
    <t>BBETF0432</t>
  </si>
  <si>
    <t>EDELAMC - BBETF0432</t>
  </si>
  <si>
    <t>INF754K01XH9</t>
  </si>
  <si>
    <t>EBANK10</t>
  </si>
  <si>
    <t>EDELAMC - EBANK10</t>
  </si>
  <si>
    <t>INF754K01TE4</t>
  </si>
  <si>
    <t>EBANKNIFTY</t>
  </si>
  <si>
    <t>EDELAMC - EBANKNIFTY</t>
  </si>
  <si>
    <t>INF754K01KO2</t>
  </si>
  <si>
    <t>EBBETF0430</t>
  </si>
  <si>
    <t>EDELAMC - EBBETF0430</t>
  </si>
  <si>
    <t>INF754K01LE1</t>
  </si>
  <si>
    <t>EBBETF0431</t>
  </si>
  <si>
    <t>EDELAMC - EBBETF0431</t>
  </si>
  <si>
    <t>INF754K01QX0</t>
  </si>
  <si>
    <t>EBBETF0433</t>
  </si>
  <si>
    <t>EDELAMC - EBBETF0433</t>
  </si>
  <si>
    <t>INF754K01TX4</t>
  </si>
  <si>
    <t>ECAPINSURE</t>
  </si>
  <si>
    <t>EDELAMC - ECAPINSURE</t>
  </si>
  <si>
    <t>INF754K01SE6</t>
  </si>
  <si>
    <t>EGOLD</t>
  </si>
  <si>
    <t>EDELAMC - EGOLD</t>
  </si>
  <si>
    <t>INF754K01VW2</t>
  </si>
  <si>
    <t>ELIQUID</t>
  </si>
  <si>
    <t>EDELAMC - ELIQUID</t>
  </si>
  <si>
    <t>INF754K01VV4</t>
  </si>
  <si>
    <t>ELM250</t>
  </si>
  <si>
    <t>EDELAMC - ELM250</t>
  </si>
  <si>
    <t>INF754K01XI7</t>
  </si>
  <si>
    <t>ELMDIV</t>
  </si>
  <si>
    <t>EDELAMC - ELMDIV</t>
  </si>
  <si>
    <t>INF754K01XG1</t>
  </si>
  <si>
    <t>EMETAL</t>
  </si>
  <si>
    <t>EDELAMC - EMETAL</t>
  </si>
  <si>
    <t>INF754K01TF1</t>
  </si>
  <si>
    <t>EMULTIMQ</t>
  </si>
  <si>
    <t>EDELAMC - EMULTIMQ</t>
  </si>
  <si>
    <t>INF754K01XF3</t>
  </si>
  <si>
    <t>ENEXT50</t>
  </si>
  <si>
    <t>EDELAMC - ENEXT50</t>
  </si>
  <si>
    <t>INF754K01VX0</t>
  </si>
  <si>
    <t>ENIFTY</t>
  </si>
  <si>
    <t>EDELAMC - ENIFTY</t>
  </si>
  <si>
    <t>INF754K01VY8</t>
  </si>
  <si>
    <t>ESENSEX</t>
  </si>
  <si>
    <t>EDELAMC - ESENSEX</t>
  </si>
  <si>
    <t>INF754K01SF3</t>
  </si>
  <si>
    <t>ESILVER</t>
  </si>
  <si>
    <t>EDELAMC - ESILVER</t>
  </si>
  <si>
    <t>INE532F01054</t>
  </si>
  <si>
    <t>EDELWEISS</t>
  </si>
  <si>
    <t>EDELWEISS FIN SERV LTD</t>
  </si>
  <si>
    <t>INE886D01026</t>
  </si>
  <si>
    <t>EFCIL</t>
  </si>
  <si>
    <t>EFC (I) LIMITED</t>
  </si>
  <si>
    <t>INE0U9101019</t>
  </si>
  <si>
    <t>EFFWA</t>
  </si>
  <si>
    <t>EFFWA INFRA &amp; RESEARCH L</t>
  </si>
  <si>
    <t>INE066A01021</t>
  </si>
  <si>
    <t>EICHERMOT</t>
  </si>
  <si>
    <t>EICHER MOTORS LTD</t>
  </si>
  <si>
    <t>INE126A01031</t>
  </si>
  <si>
    <t>EIDPARRY</t>
  </si>
  <si>
    <t>EID PARRY INDIA LTD</t>
  </si>
  <si>
    <t>INE276C01014</t>
  </si>
  <si>
    <t>EIHAHOTELS</t>
  </si>
  <si>
    <t>EIH ASSOCIATED HOTELS LTD</t>
  </si>
  <si>
    <t>INE230A01023</t>
  </si>
  <si>
    <t>EIHOTEL</t>
  </si>
  <si>
    <t>EIH LIMITED</t>
  </si>
  <si>
    <t>INE158B01016</t>
  </si>
  <si>
    <t>EIMCOELECO</t>
  </si>
  <si>
    <t>EIMCO ELECON (INDIA) LTD</t>
  </si>
  <si>
    <t>INE0CPR01018</t>
  </si>
  <si>
    <t>EKI</t>
  </si>
  <si>
    <t>EKI ENERGY SERVICES LTD</t>
  </si>
  <si>
    <t>INE280B01018</t>
  </si>
  <si>
    <t>ELANTAS</t>
  </si>
  <si>
    <t>ELANTAS BECK INDIA LTD.</t>
  </si>
  <si>
    <t>INE927X01018</t>
  </si>
  <si>
    <t>ELCIDIN</t>
  </si>
  <si>
    <t>ELCID INVESTMENTS LTD.</t>
  </si>
  <si>
    <t>INE668G01021</t>
  </si>
  <si>
    <t>ELDEHSG</t>
  </si>
  <si>
    <t>ELDECO HSG &amp; IND LTD.</t>
  </si>
  <si>
    <t>INE205B01031</t>
  </si>
  <si>
    <t>ELECON</t>
  </si>
  <si>
    <t>ELECON ENG. CO. LTD</t>
  </si>
  <si>
    <t>INE0Q1W01012</t>
  </si>
  <si>
    <t>EFORCE</t>
  </si>
  <si>
    <t>ELECTRO FORCE (INDIA) LTD</t>
  </si>
  <si>
    <t>INE02YR01019</t>
  </si>
  <si>
    <t>EMIL</t>
  </si>
  <si>
    <t>ELECTRONICS MART IND LTD</t>
  </si>
  <si>
    <t>INE086A01029</t>
  </si>
  <si>
    <t>ELECTCAST</t>
  </si>
  <si>
    <t>ELECTROSTEEL CASTINGS LTD</t>
  </si>
  <si>
    <t>INE822G01016</t>
  </si>
  <si>
    <t>ELECTHERM</t>
  </si>
  <si>
    <t>ELECTROTHERM (I) LTD.</t>
  </si>
  <si>
    <t>INE0R9101015</t>
  </si>
  <si>
    <t>ELGNZ</t>
  </si>
  <si>
    <t>ELEGANZ INTERIORS LIMITED</t>
  </si>
  <si>
    <t>INE285A01027</t>
  </si>
  <si>
    <t>ELGIEQUIP</t>
  </si>
  <si>
    <t>ELGI EQUIPMENTS LTD</t>
  </si>
  <si>
    <t>INE819L01012</t>
  </si>
  <si>
    <t>ELGIRUBCO</t>
  </si>
  <si>
    <t>ELGI RUBBER CO. LTD</t>
  </si>
  <si>
    <t>INE050401020</t>
  </si>
  <si>
    <t>ELIN</t>
  </si>
  <si>
    <t>ELIN ELECTRONICS LIMITED</t>
  </si>
  <si>
    <t>INE669R01026</t>
  </si>
  <si>
    <t>ELITECON</t>
  </si>
  <si>
    <t>ELITECON INTERNATIONAL L</t>
  </si>
  <si>
    <t>INE236E01022</t>
  </si>
  <si>
    <t>ELLEN</t>
  </si>
  <si>
    <t>ELLENBARRIE INDUS GASES L</t>
  </si>
  <si>
    <t>INE579B01039</t>
  </si>
  <si>
    <t>ELPROINTL</t>
  </si>
  <si>
    <t>ELPRO INTERNATIONAL LTD</t>
  </si>
  <si>
    <t>INE0ZOL01023</t>
  </si>
  <si>
    <t>EMAPARTNER</t>
  </si>
  <si>
    <t>EMA PARTNERS INDIA LTD</t>
  </si>
  <si>
    <t>INE548C01032</t>
  </si>
  <si>
    <t>EMAMILTD</t>
  </si>
  <si>
    <t>EMAMI LIMITED</t>
  </si>
  <si>
    <t>INE830C01026</t>
  </si>
  <si>
    <t>EMAMIPAP</t>
  </si>
  <si>
    <t>EMAMI PAPER MILLS LIMITED</t>
  </si>
  <si>
    <t>INE778K01012</t>
  </si>
  <si>
    <t>EMAMIREAL</t>
  </si>
  <si>
    <t>EMAMI REALTY LIMITED</t>
  </si>
  <si>
    <t>INE069I01010</t>
  </si>
  <si>
    <t>EMBDL</t>
  </si>
  <si>
    <t>EMBASSY DEVELOPMENTS LTD</t>
  </si>
  <si>
    <t>INE041025011</t>
  </si>
  <si>
    <t>EMBASSY</t>
  </si>
  <si>
    <t>EMBASSY OFFICE PARKS REIT</t>
  </si>
  <si>
    <t>INE168P01015</t>
  </si>
  <si>
    <t>EMCURE</t>
  </si>
  <si>
    <t>EMCURE PHARMACEUTICALS L</t>
  </si>
  <si>
    <t>INE0RHD01013</t>
  </si>
  <si>
    <t>ETML</t>
  </si>
  <si>
    <t>EMERALD TYRE MANUF LTD</t>
  </si>
  <si>
    <t>INE296H01011</t>
  </si>
  <si>
    <t>EMKAY</t>
  </si>
  <si>
    <t>EMKAY GLOBAL FIN SERV LTD</t>
  </si>
  <si>
    <t>INE332S01011</t>
  </si>
  <si>
    <t>EMKAYTOOLS</t>
  </si>
  <si>
    <t>EMKAY TAP &amp; CUT. TOOL LTD</t>
  </si>
  <si>
    <t>INE0PXC01024</t>
  </si>
  <si>
    <t>ETL</t>
  </si>
  <si>
    <t>EMKAY TOOLS LIMITED</t>
  </si>
  <si>
    <t>INE753K01015</t>
  </si>
  <si>
    <t>EMMBI</t>
  </si>
  <si>
    <t>EMMBI INDUSTRIES LIMITED</t>
  </si>
  <si>
    <t>INE1C6T01020</t>
  </si>
  <si>
    <t>EMMVEE</t>
  </si>
  <si>
    <t>EMMVEE PHOTOVOLTAIC PWR L</t>
  </si>
  <si>
    <t>INE515H01014</t>
  </si>
  <si>
    <t>EMPIND</t>
  </si>
  <si>
    <t>EMPIRE INDUSTRIES LTD.</t>
  </si>
  <si>
    <t>INE507F01023</t>
  </si>
  <si>
    <t>EMPOWER</t>
  </si>
  <si>
    <t>EMPOWER INDIA LTD.</t>
  </si>
  <si>
    <t>INE0OV601013</t>
  </si>
  <si>
    <t>EMSLIMITED</t>
  </si>
  <si>
    <t>EMS LIMITED</t>
  </si>
  <si>
    <t>INE01QM01018</t>
  </si>
  <si>
    <t>EMUDHRA</t>
  </si>
  <si>
    <t>EMUDHRA LIMITED</t>
  </si>
  <si>
    <t>INE433T01015</t>
  </si>
  <si>
    <t>ENCOMPAS</t>
  </si>
  <si>
    <t>ENCOMPASS DESIGN INDIA L</t>
  </si>
  <si>
    <t>INE913H01037</t>
  </si>
  <si>
    <t>ENDURANCE</t>
  </si>
  <si>
    <t>ENDURANCE TECHNO. LTD.</t>
  </si>
  <si>
    <t>INE306C01019</t>
  </si>
  <si>
    <t>ENERGYDEV</t>
  </si>
  <si>
    <t>ENERGY DEVE. CO.LTD</t>
  </si>
  <si>
    <t>INE0S1L01013</t>
  </si>
  <si>
    <t>EMMIL</t>
  </si>
  <si>
    <t>ENERGY MISSION MACH IND L</t>
  </si>
  <si>
    <t>INE0S3X01014</t>
  </si>
  <si>
    <t>ENFUSE</t>
  </si>
  <si>
    <t>ENFUSE SOLUTIONS LIMITED</t>
  </si>
  <si>
    <t>INE510A01028</t>
  </si>
  <si>
    <t>ENGINERSIN</t>
  </si>
  <si>
    <t>ENGINEERS INDIA LTD</t>
  </si>
  <si>
    <t>INE130L01014</t>
  </si>
  <si>
    <t>ENKEIWHEL</t>
  </si>
  <si>
    <t>ENKEI WHEELS (INDIA) LTD.</t>
  </si>
  <si>
    <t>INE0R9I01021</t>
  </si>
  <si>
    <t>ENSER</t>
  </si>
  <si>
    <t>ENSER COMMUNICATIONS LTD</t>
  </si>
  <si>
    <t>INE010601016</t>
  </si>
  <si>
    <t>ENTERO</t>
  </si>
  <si>
    <t>ENTERO HEALTHCARE SOLU L</t>
  </si>
  <si>
    <t>INE265F01028</t>
  </si>
  <si>
    <t>ENIL</t>
  </si>
  <si>
    <t>ENTERTAIN NET. IND. LTD.</t>
  </si>
  <si>
    <t>INE0LLY01014</t>
  </si>
  <si>
    <t>EIEL</t>
  </si>
  <si>
    <t>ENVIRO INFRA ENGINEERS L</t>
  </si>
  <si>
    <t>INE0SUH01015</t>
  </si>
  <si>
    <t>ENVIRO</t>
  </si>
  <si>
    <t>ENVIROTECH SYSTEMS LTD</t>
  </si>
  <si>
    <t>INE0G5901015</t>
  </si>
  <si>
    <t>EPACK</t>
  </si>
  <si>
    <t>EPACK DURABLE LIMITED</t>
  </si>
  <si>
    <t>INE0MLS01022</t>
  </si>
  <si>
    <t>EPACKPEB</t>
  </si>
  <si>
    <t>EPACK PREFAB TECHN LTD</t>
  </si>
  <si>
    <t>INE071N01016</t>
  </si>
  <si>
    <t>EPIGRAL</t>
  </si>
  <si>
    <t>EPIGRAL LIMITED</t>
  </si>
  <si>
    <t>INE255A01020</t>
  </si>
  <si>
    <t>EPL</t>
  </si>
  <si>
    <t>EPL LIMITED</t>
  </si>
  <si>
    <t>INE11HF01010</t>
  </si>
  <si>
    <t>EEPL</t>
  </si>
  <si>
    <t>EPPELTONE ENGINEERS LTD</t>
  </si>
  <si>
    <t>INE217G01035</t>
  </si>
  <si>
    <t>EQUIPPP</t>
  </si>
  <si>
    <t>EQUIPPP SOC IMP TECH LTD</t>
  </si>
  <si>
    <t>INE063P01018</t>
  </si>
  <si>
    <t>EQUITASBNK</t>
  </si>
  <si>
    <t>EQUITAS SMALL FIN BNK LTD</t>
  </si>
  <si>
    <t>INE406M01024</t>
  </si>
  <si>
    <t>ERIS</t>
  </si>
  <si>
    <t>ERIS LIFESCIENCES LIMITED</t>
  </si>
  <si>
    <t>INE284A01012</t>
  </si>
  <si>
    <t>ESABINDIA</t>
  </si>
  <si>
    <t>ESAB INDIA LTD</t>
  </si>
  <si>
    <t>INE818W01011</t>
  </si>
  <si>
    <t>ESAFSFB</t>
  </si>
  <si>
    <t>ESAF SMALL FINANCE BANK L</t>
  </si>
  <si>
    <t>INE0RQZ01017</t>
  </si>
  <si>
    <t>ESCONET</t>
  </si>
  <si>
    <t>ESCONET TECHNOLOGIES LTD</t>
  </si>
  <si>
    <t>INE042A01014</t>
  </si>
  <si>
    <t>ESCORTS</t>
  </si>
  <si>
    <t>ESCORTS KUBOTA LIMITED</t>
  </si>
  <si>
    <t>INE0DRI01029</t>
  </si>
  <si>
    <t>ESDS</t>
  </si>
  <si>
    <t>ESDS SOFTWARE SOLUTION L</t>
  </si>
  <si>
    <t>INE0SBP01018</t>
  </si>
  <si>
    <t>ESPRIT</t>
  </si>
  <si>
    <t>ESPRIT STONES LIMITED</t>
  </si>
  <si>
    <t>INE122M01019</t>
  </si>
  <si>
    <t>ESSARSHPNG</t>
  </si>
  <si>
    <t>ESSAR SHIPPING LTD</t>
  </si>
  <si>
    <t>INE0ITO01014</t>
  </si>
  <si>
    <t>ESFL</t>
  </si>
  <si>
    <t>ESSEN SPECIALITY FILMS L</t>
  </si>
  <si>
    <t>INE778B01029</t>
  </si>
  <si>
    <t>ESTER</t>
  </si>
  <si>
    <t>ESTER INDUSTRIES LTD</t>
  </si>
  <si>
    <t>INE758T01015</t>
  </si>
  <si>
    <t>ETERNAL</t>
  </si>
  <si>
    <t>ETERNAL LIMITED</t>
  </si>
  <si>
    <t>INE04TZ01018</t>
  </si>
  <si>
    <t>ETHOSLTD</t>
  </si>
  <si>
    <t>ETHOS LIMITED</t>
  </si>
  <si>
    <t>INE0KCE01017</t>
  </si>
  <si>
    <t>EUREKAFORB</t>
  </si>
  <si>
    <t>EUREKA FORBES LIMITED</t>
  </si>
  <si>
    <t>INE546V01010</t>
  </si>
  <si>
    <t>EIFFL</t>
  </si>
  <si>
    <t>EURO (I) FRESH FOODS LTD</t>
  </si>
  <si>
    <t>INE505V01016</t>
  </si>
  <si>
    <t>EUROBOND</t>
  </si>
  <si>
    <t>EURO PANEL PRODUCTS LTD</t>
  </si>
  <si>
    <t>INE198501012</t>
  </si>
  <si>
    <t>EUROPRATIK</t>
  </si>
  <si>
    <t>EURO PRATIK SALES LIMITED</t>
  </si>
  <si>
    <t>INE022C01012</t>
  </si>
  <si>
    <t>EUROTEXIND</t>
  </si>
  <si>
    <t>EUROTEX IND &amp; EXPORTS LTD</t>
  </si>
  <si>
    <t>INE128A01029</t>
  </si>
  <si>
    <t>EVEREADY</t>
  </si>
  <si>
    <t>EVEREADY INDS. IND.  LTD.</t>
  </si>
  <si>
    <t>INE295A01018</t>
  </si>
  <si>
    <t>EVERESTIND</t>
  </si>
  <si>
    <t>EVEREST INDUSTRIES LTD</t>
  </si>
  <si>
    <t>INE184H01027</t>
  </si>
  <si>
    <t>EKC</t>
  </si>
  <si>
    <t>EVEREST KANTO CYLINDERLTD</t>
  </si>
  <si>
    <t>INE369A01029</t>
  </si>
  <si>
    <t>EXCELINDUS</t>
  </si>
  <si>
    <t>EXCEL INDUSTRIES LTD</t>
  </si>
  <si>
    <t>INE0Y4801011</t>
  </si>
  <si>
    <t>EXCELLENT</t>
  </si>
  <si>
    <t>EXCELLENT WIRES N PACK L</t>
  </si>
  <si>
    <t>INE606N01019</t>
  </si>
  <si>
    <t>EXCELSOFT</t>
  </si>
  <si>
    <t>EXCELSOFT TECHNOLOGIES L</t>
  </si>
  <si>
    <t>INE777F01014</t>
  </si>
  <si>
    <t>EXICOM</t>
  </si>
  <si>
    <t>EXICOM TELE SYSTEMS LTD</t>
  </si>
  <si>
    <t>INE302A01020</t>
  </si>
  <si>
    <t>EXIDEIND</t>
  </si>
  <si>
    <t>EXIDE INDUSTRIES LTD</t>
  </si>
  <si>
    <t>INE19I001020</t>
  </si>
  <si>
    <t>EXIMROUTES</t>
  </si>
  <si>
    <t>EXIM ROUTES LIMITED</t>
  </si>
  <si>
    <t>INE201K01015</t>
  </si>
  <si>
    <t>EXPLEOSOL</t>
  </si>
  <si>
    <t>EXPLEO SOLUTIONS LIMITED</t>
  </si>
  <si>
    <t>INE0GFE01026</t>
  </si>
  <si>
    <t>EXXARO</t>
  </si>
  <si>
    <t>EXXARO TILES LIMITED</t>
  </si>
  <si>
    <t>INE0HF201011</t>
  </si>
  <si>
    <t>FABTECH</t>
  </si>
  <si>
    <t>FABTECH TECHNOLOGIES LTD</t>
  </si>
  <si>
    <t>INE188A01015</t>
  </si>
  <si>
    <t>FACT</t>
  </si>
  <si>
    <t>FACT LTD</t>
  </si>
  <si>
    <t>INE0DNW01011</t>
  </si>
  <si>
    <t>FAIRCHEMOR</t>
  </si>
  <si>
    <t>FAIRCHEM ORGANICS LIMITED</t>
  </si>
  <si>
    <t>INE0PQK01013</t>
  </si>
  <si>
    <t>FALCONTECH</t>
  </si>
  <si>
    <t>FALCON TECHNOPROJ IND LTD</t>
  </si>
  <si>
    <t>INE1Q2D01019</t>
  </si>
  <si>
    <t>FASCINATE</t>
  </si>
  <si>
    <t>FASCINATE TEXTILES LTD</t>
  </si>
  <si>
    <t>INE963C01033</t>
  </si>
  <si>
    <t>FAZE3Q</t>
  </si>
  <si>
    <t>FAZE THREE LIMITED</t>
  </si>
  <si>
    <t>INE512B01022</t>
  </si>
  <si>
    <t>FCSSOFT</t>
  </si>
  <si>
    <t>FCS SOFTWARE SOLN. LTD.</t>
  </si>
  <si>
    <t>INE258B01022</t>
  </si>
  <si>
    <t>FDC</t>
  </si>
  <si>
    <t>FDC LIMITED</t>
  </si>
  <si>
    <t>INE007N01010</t>
  </si>
  <si>
    <t>FEDFINA</t>
  </si>
  <si>
    <t>FEDBANK FINANCIAL SER L</t>
  </si>
  <si>
    <t>INE417D01020</t>
  </si>
  <si>
    <t>FEDDERSHOL</t>
  </si>
  <si>
    <t>FEDDERS HOLDING LTD.</t>
  </si>
  <si>
    <t>INE171A01029</t>
  </si>
  <si>
    <t>FEDERALBNK</t>
  </si>
  <si>
    <t>FEDERAL BANK LTD</t>
  </si>
  <si>
    <t>INE529A01010</t>
  </si>
  <si>
    <t>FMGOETZE</t>
  </si>
  <si>
    <t>FEDERAL-MOGUL GOETZE (IND</t>
  </si>
  <si>
    <t>INE901X01013</t>
  </si>
  <si>
    <t>FELIX</t>
  </si>
  <si>
    <t>FELIX INDUSTRIES LTD.</t>
  </si>
  <si>
    <t>INE225B01021</t>
  </si>
  <si>
    <t>FERMENTA</t>
  </si>
  <si>
    <t>FERMENTA BIOTECH LTD.</t>
  </si>
  <si>
    <t>INE296C01020</t>
  </si>
  <si>
    <t>FIBERWEB</t>
  </si>
  <si>
    <t>FIBERWEB INDIA LIMITED</t>
  </si>
  <si>
    <t>INE0LQQ01019</t>
  </si>
  <si>
    <t>FIDEL</t>
  </si>
  <si>
    <t>FIDEL SOFTECH LIMITED</t>
  </si>
  <si>
    <t>INE737H01014</t>
  </si>
  <si>
    <t>FIEMIND</t>
  </si>
  <si>
    <t>FIEM INDUSTRIES LIMITED</t>
  </si>
  <si>
    <t>INE185E01021</t>
  </si>
  <si>
    <t>FILATFASH</t>
  </si>
  <si>
    <t>FILATEX FASHIONS LIMITED</t>
  </si>
  <si>
    <t>INE816B01035</t>
  </si>
  <si>
    <t>FILATEX</t>
  </si>
  <si>
    <t>FILATEX INDIA LTD</t>
  </si>
  <si>
    <t>INE0EDU01014</t>
  </si>
  <si>
    <t>FINBUD</t>
  </si>
  <si>
    <t>FINBUD FINANCIAL SERV LTD</t>
  </si>
  <si>
    <t>INE686Y01026</t>
  </si>
  <si>
    <t>FINEORG</t>
  </si>
  <si>
    <t>FINE ORGANIC IND. LTD.</t>
  </si>
  <si>
    <t>INE045J01034</t>
  </si>
  <si>
    <t>FCL</t>
  </si>
  <si>
    <t>FINEOTEX CHEMICAL LIMITED</t>
  </si>
  <si>
    <t>INE734I01027</t>
  </si>
  <si>
    <t>FINKURVE</t>
  </si>
  <si>
    <t>FINKURVE FINANCIAL SERV L</t>
  </si>
  <si>
    <t>INE02NC01014</t>
  </si>
  <si>
    <t>FINOPB</t>
  </si>
  <si>
    <t>FINO PAYMENTS BANK LTD</t>
  </si>
  <si>
    <t>INE235A01022</t>
  </si>
  <si>
    <t>FINCABLES</t>
  </si>
  <si>
    <t>FINOLEX CABLES LTD</t>
  </si>
  <si>
    <t>INE183A01024</t>
  </si>
  <si>
    <t>FINPIPE</t>
  </si>
  <si>
    <t>FINOLEX INDUSTRIES LTD</t>
  </si>
  <si>
    <t>INE684F01012</t>
  </si>
  <si>
    <t>FSL</t>
  </si>
  <si>
    <t>FIRSTSOURCE SOLU. LTD.</t>
  </si>
  <si>
    <t>INE771F01041</t>
  </si>
  <si>
    <t>FISCHER</t>
  </si>
  <si>
    <t>FISCHER MEDICAL VENTURE L</t>
  </si>
  <si>
    <t>INE128S01021</t>
  </si>
  <si>
    <t>FIVESTAR</t>
  </si>
  <si>
    <t>FIVE-STAR BUS FIN LTD</t>
  </si>
  <si>
    <t>INE00Y201027</t>
  </si>
  <si>
    <t>FLAIR</t>
  </si>
  <si>
    <t>FLAIR WRITING INDUST LTD</t>
  </si>
  <si>
    <t>INE060J01017</t>
  </si>
  <si>
    <t>FLEXITUFF</t>
  </si>
  <si>
    <t>FLEXITUFF VENTURES INT L</t>
  </si>
  <si>
    <t>INE0VCK01011</t>
  </si>
  <si>
    <t>FLYSBS</t>
  </si>
  <si>
    <t>FLYSBS AVIATION LIMITED</t>
  </si>
  <si>
    <t>INE593W01028</t>
  </si>
  <si>
    <t>FOCUS</t>
  </si>
  <si>
    <t>FOCUS LIGHTG &amp; FIXTRS LTD</t>
  </si>
  <si>
    <t>INE0Q4701019</t>
  </si>
  <si>
    <t>FONEBOX</t>
  </si>
  <si>
    <t>FONEBOX RETAIL LIMITED</t>
  </si>
  <si>
    <t>INE976E01023</t>
  </si>
  <si>
    <t>FOODSIN</t>
  </si>
  <si>
    <t>FOODS &amp; INNS LIMITED</t>
  </si>
  <si>
    <t>INE0U2501017</t>
  </si>
  <si>
    <t>FORCAS</t>
  </si>
  <si>
    <t>FORCAS STUDIO LIMITED</t>
  </si>
  <si>
    <t>INE451A01017</t>
  </si>
  <si>
    <t>FORCEMOT</t>
  </si>
  <si>
    <t>FORCE MOTORS LIMITED</t>
  </si>
  <si>
    <t>INE0YKW01013</t>
  </si>
  <si>
    <t>FORGEAUTO</t>
  </si>
  <si>
    <t>FORGE AUTO INTERNATION L</t>
  </si>
  <si>
    <t>INE061F01013</t>
  </si>
  <si>
    <t>FORTIS</t>
  </si>
  <si>
    <t>FORTIS HEALTHCARE LTD</t>
  </si>
  <si>
    <t>INE519A01011</t>
  </si>
  <si>
    <t>FOSECOIND</t>
  </si>
  <si>
    <t>FOSECO INDIA LTD</t>
  </si>
  <si>
    <t>INE212S01015</t>
  </si>
  <si>
    <t>FRACTAL</t>
  </si>
  <si>
    <t>FRACTAL ANALYTICS LIMITED</t>
  </si>
  <si>
    <t>INE194R01017</t>
  </si>
  <si>
    <t>FREDUN</t>
  </si>
  <si>
    <t>FREDUN PHARMACEUTICALS L</t>
  </si>
  <si>
    <t>INE0SFW01015</t>
  </si>
  <si>
    <t>FRESHARA</t>
  </si>
  <si>
    <t>FRESHARA AGRO EXPORTS LTD</t>
  </si>
  <si>
    <t>INE385O01018</t>
  </si>
  <si>
    <t>FROG</t>
  </si>
  <si>
    <t>FROG INNOVATIONS LIMITED</t>
  </si>
  <si>
    <t>INE572D01014</t>
  </si>
  <si>
    <t>FRONTSP</t>
  </si>
  <si>
    <t>FRONTIER SPRINGS LTD.</t>
  </si>
  <si>
    <t>INE388Y01029</t>
  </si>
  <si>
    <t>NYKAA</t>
  </si>
  <si>
    <t>FSN E COMMERCE VENTURES</t>
  </si>
  <si>
    <t>INE12UR01024</t>
  </si>
  <si>
    <t>UTLSOLAR</t>
  </si>
  <si>
    <t>FUJIYAMA POWER SYSTEMS L</t>
  </si>
  <si>
    <t>INE139R01012</t>
  </si>
  <si>
    <t>FUSION</t>
  </si>
  <si>
    <t>FUSION FINANCE LIMITED</t>
  </si>
  <si>
    <t>INE452O01016</t>
  </si>
  <si>
    <t>FLFL</t>
  </si>
  <si>
    <t>FUT LIFESTYLE FASH LTD</t>
  </si>
  <si>
    <t>INE623B01027</t>
  </si>
  <si>
    <t>FEL</t>
  </si>
  <si>
    <t>FUTURE ENTERPRISES LTD</t>
  </si>
  <si>
    <t>IN9623B01058</t>
  </si>
  <si>
    <t>FELDVR</t>
  </si>
  <si>
    <t>INE360L01017</t>
  </si>
  <si>
    <t>FMNL</t>
  </si>
  <si>
    <t>FUTURE MKT NETWORKS LTD</t>
  </si>
  <si>
    <t>INE075D01018</t>
  </si>
  <si>
    <t>GMBREW</t>
  </si>
  <si>
    <t>G M BREWERIES LTD</t>
  </si>
  <si>
    <t>INE201P01022</t>
  </si>
  <si>
    <t>GRINFRA</t>
  </si>
  <si>
    <t>G R INFRAPROJECTS LIMITED</t>
  </si>
  <si>
    <t>INE586X01012</t>
  </si>
  <si>
    <t>GTECJAINX</t>
  </si>
  <si>
    <t>G-TEC JAINX EDUCATION LTD</t>
  </si>
  <si>
    <t>INE524A01029</t>
  </si>
  <si>
    <t>GABRIEL</t>
  </si>
  <si>
    <t>GABRIEL INDIA LTD</t>
  </si>
  <si>
    <t>INE224E01028</t>
  </si>
  <si>
    <t>GATECH</t>
  </si>
  <si>
    <t>GACM TECHNOLOGIES LIMITED</t>
  </si>
  <si>
    <t>INE224E01036</t>
  </si>
  <si>
    <t>GATECHDVR</t>
  </si>
  <si>
    <t>INE129A01019</t>
  </si>
  <si>
    <t>GAIL</t>
  </si>
  <si>
    <t>GAIL (INDIA) LTD</t>
  </si>
  <si>
    <t>INE18UN01038</t>
  </si>
  <si>
    <t>GAJA</t>
  </si>
  <si>
    <t>GAJA ALT ASSET MGT LTD</t>
  </si>
  <si>
    <t>INE0QTE01018</t>
  </si>
  <si>
    <t>GAJANAND</t>
  </si>
  <si>
    <t>GAJANAND INTERNATIONAL L</t>
  </si>
  <si>
    <t>INE0RE001014</t>
  </si>
  <si>
    <t>GALAPREC</t>
  </si>
  <si>
    <t>GALA PRECISION ENG LTD</t>
  </si>
  <si>
    <t>INE09A801015</t>
  </si>
  <si>
    <t>GML</t>
  </si>
  <si>
    <t>GALAXY MEDICARE LIMITED</t>
  </si>
  <si>
    <t>INE600K01018</t>
  </si>
  <si>
    <t>GALAXYSURF</t>
  </si>
  <si>
    <t>GALAXY SURFACTANTS LTD</t>
  </si>
  <si>
    <t>INE297H01019</t>
  </si>
  <si>
    <t>GALLANTT</t>
  </si>
  <si>
    <t>GALLANTT ISPAT LIMITED</t>
  </si>
  <si>
    <t>INE717W01049</t>
  </si>
  <si>
    <t>GANDHAR</t>
  </si>
  <si>
    <t>GANDHAR OIL REFINE IND L</t>
  </si>
  <si>
    <t>INE524B01027</t>
  </si>
  <si>
    <t>GANDHITUBE</t>
  </si>
  <si>
    <t>GANDHI SPL. TUBES LTD</t>
  </si>
  <si>
    <t>INE388A01029</t>
  </si>
  <si>
    <t>GANESHBE</t>
  </si>
  <si>
    <t>GANESH BENZOPLAST LIMITED</t>
  </si>
  <si>
    <t>INE652V01016</t>
  </si>
  <si>
    <t>GANESHCP</t>
  </si>
  <si>
    <t>GANESH CONSUMER PRODUCT L</t>
  </si>
  <si>
    <t>INE0R8C01018</t>
  </si>
  <si>
    <t>GGBL</t>
  </si>
  <si>
    <t>GANESH GREEN BHARAT LTD</t>
  </si>
  <si>
    <t>INE460C01014</t>
  </si>
  <si>
    <t>GANESHHOU</t>
  </si>
  <si>
    <t>GANESH HOUSING LIMITED</t>
  </si>
  <si>
    <t>INE0TVT01024</t>
  </si>
  <si>
    <t>GANESHIN</t>
  </si>
  <si>
    <t>GANESH INFRAWORLD LIMITED</t>
  </si>
  <si>
    <t>INE845D01014</t>
  </si>
  <si>
    <t>GANECOS</t>
  </si>
  <si>
    <t>GANESHA ECOSPHERE LIMITED</t>
  </si>
  <si>
    <t>INE0ZI101018</t>
  </si>
  <si>
    <t>GANGABATH</t>
  </si>
  <si>
    <t>GANGA BATH FITTINGS LTD</t>
  </si>
  <si>
    <t>INE691Z01023</t>
  </si>
  <si>
    <t>GANGAFORGE</t>
  </si>
  <si>
    <t>GANGA FORGING LIMITED</t>
  </si>
  <si>
    <t>INE335W01016</t>
  </si>
  <si>
    <t>GANGESSECU</t>
  </si>
  <si>
    <t>GANGES SECURITIES LIMITED</t>
  </si>
  <si>
    <t>INE382Z01011</t>
  </si>
  <si>
    <t>GRSE</t>
  </si>
  <si>
    <t>GARDEN REACH SHIP&amp;ENG LTD</t>
  </si>
  <si>
    <t>INE0JVO01026</t>
  </si>
  <si>
    <t>GARUDA</t>
  </si>
  <si>
    <t>GARUDA CONSTRUCT N ENG L</t>
  </si>
  <si>
    <t>INE291A01017</t>
  </si>
  <si>
    <t>GRWRHITECH</t>
  </si>
  <si>
    <t>GARWARE HI-TECH FILMS LTD</t>
  </si>
  <si>
    <t>INE276A01018</t>
  </si>
  <si>
    <t>GARFIBRES</t>
  </si>
  <si>
    <t>GARWARE TECH FIBRES LTD</t>
  </si>
  <si>
    <t>INE079J01017</t>
  </si>
  <si>
    <t>GATEWAY</t>
  </si>
  <si>
    <t>GATEWAY DISTRIPARKS LTD</t>
  </si>
  <si>
    <t>INE0P8B01020</t>
  </si>
  <si>
    <t>GAUDIUMIVF</t>
  </si>
  <si>
    <t>GAUDIUM IVF N WOMEN H L</t>
  </si>
  <si>
    <t>INE287Z01012</t>
  </si>
  <si>
    <t>GAYAHWS</t>
  </si>
  <si>
    <t>GAYATRI HIGHWAYS LIMITED</t>
  </si>
  <si>
    <t>INE336H01023</t>
  </si>
  <si>
    <t>GAYAPROJ</t>
  </si>
  <si>
    <t>GAYATRI PROJECTS LTD</t>
  </si>
  <si>
    <t>INE0LVM01018</t>
  </si>
  <si>
    <t>GRCL</t>
  </si>
  <si>
    <t>GAYATRI RUBB AND CHEM LTD</t>
  </si>
  <si>
    <t>INE878A01011</t>
  </si>
  <si>
    <t>GVPIL</t>
  </si>
  <si>
    <t>GE POWER INDIA LIMITED</t>
  </si>
  <si>
    <t>INE200A01026</t>
  </si>
  <si>
    <t>GVT&amp;D</t>
  </si>
  <si>
    <t>GE VERNOVA T&amp;D INDIA LTD</t>
  </si>
  <si>
    <t>INE916G01016</t>
  </si>
  <si>
    <t>GEECEE</t>
  </si>
  <si>
    <t>GEECEE VENTURES LIMITED</t>
  </si>
  <si>
    <t>INE669X01032</t>
  </si>
  <si>
    <t>GEEKAYWIRE</t>
  </si>
  <si>
    <t>GEEKAY WIRES LIMITED</t>
  </si>
  <si>
    <t>INE06XZ01023</t>
  </si>
  <si>
    <t>GEMAROMA</t>
  </si>
  <si>
    <t>GEM AROMATICS LIMITED</t>
  </si>
  <si>
    <t>INE481Y01014</t>
  </si>
  <si>
    <t>GICRE</t>
  </si>
  <si>
    <t>GENERAL INS CORP OF INDIA</t>
  </si>
  <si>
    <t>INE854S01022</t>
  </si>
  <si>
    <t>GENCON</t>
  </si>
  <si>
    <t>GENERIC ENG CONS PROJ LTD</t>
  </si>
  <si>
    <t>INE727B01026</t>
  </si>
  <si>
    <t>GENESYS</t>
  </si>
  <si>
    <t>GENESYS INTL CORPN LTD</t>
  </si>
  <si>
    <t>INE06H201014</t>
  </si>
  <si>
    <t>GENSOL</t>
  </si>
  <si>
    <t>GENSOL ENGINEERING LTD</t>
  </si>
  <si>
    <t>INE949P01018</t>
  </si>
  <si>
    <t>GENUSPAPER</t>
  </si>
  <si>
    <t>GENUS P&amp;B LIMITED</t>
  </si>
  <si>
    <t>INE955D01029</t>
  </si>
  <si>
    <t>GENUSPOWER</t>
  </si>
  <si>
    <t>GENUS POWER INFRASTRU LTD</t>
  </si>
  <si>
    <t>INE1W0N01014</t>
  </si>
  <si>
    <t>GENXAI</t>
  </si>
  <si>
    <t>GENXAI ANALYTICS LIMITED</t>
  </si>
  <si>
    <t>INE007B01023</t>
  </si>
  <si>
    <t>GEOJITFSL</t>
  </si>
  <si>
    <t>GEOJIT FINANCIAL SER L</t>
  </si>
  <si>
    <t>INE538A01037</t>
  </si>
  <si>
    <t>GFLLIMITED</t>
  </si>
  <si>
    <t>GFL LIMITED</t>
  </si>
  <si>
    <t>INE539A01019</t>
  </si>
  <si>
    <t>GHCL</t>
  </si>
  <si>
    <t>GHCL LIMITED</t>
  </si>
  <si>
    <t>INE0PA801013</t>
  </si>
  <si>
    <t>GHCLTEXTIL</t>
  </si>
  <si>
    <t>GHCL TEXTILES LIMITED</t>
  </si>
  <si>
    <t>INE289B01019</t>
  </si>
  <si>
    <t>GICHSGFIN</t>
  </si>
  <si>
    <t>GIC HOUSING FINANCE LTD</t>
  </si>
  <si>
    <t>INE047B01011</t>
  </si>
  <si>
    <t>GILLANDERS</t>
  </si>
  <si>
    <t>GILLANDERS ARBUTHNOT LTD</t>
  </si>
  <si>
    <t>INE322A01010</t>
  </si>
  <si>
    <t>GILLETTE</t>
  </si>
  <si>
    <t>GILLETTE INDIA LTD</t>
  </si>
  <si>
    <t>INE424C01010</t>
  </si>
  <si>
    <t>GINNIFILA</t>
  </si>
  <si>
    <t>GINNIFILAMENTS LTD.</t>
  </si>
  <si>
    <t>INE614Z01017</t>
  </si>
  <si>
    <t>GIRIRAJ</t>
  </si>
  <si>
    <t>GIRIRAJ CIVIL DEVP LTD</t>
  </si>
  <si>
    <t>INE1AG301022</t>
  </si>
  <si>
    <t>GKENERGY</t>
  </si>
  <si>
    <t>GK ENERGY LIMITED</t>
  </si>
  <si>
    <t>INE265D01015</t>
  </si>
  <si>
    <t>GKB</t>
  </si>
  <si>
    <t>GKB OPHTHALMICS LTD.</t>
  </si>
  <si>
    <t>INE528A01020</t>
  </si>
  <si>
    <t>GKWLIMITED</t>
  </si>
  <si>
    <t>GKW LIMITED</t>
  </si>
  <si>
    <t>INE068V01023</t>
  </si>
  <si>
    <t>GLAND</t>
  </si>
  <si>
    <t>GLAND PHARMA LIMITED</t>
  </si>
  <si>
    <t>INE159A01016</t>
  </si>
  <si>
    <t>GLAXO</t>
  </si>
  <si>
    <t>GLAXOSMITHKLINE PHARMA LT</t>
  </si>
  <si>
    <t>INE935A01035</t>
  </si>
  <si>
    <t>GLENMARK</t>
  </si>
  <si>
    <t>GLENMARK PHARMACEUTICALS</t>
  </si>
  <si>
    <t>INE291W01037</t>
  </si>
  <si>
    <t>GLOBAL</t>
  </si>
  <si>
    <t>GLOBAL EDUCATION LIMITED</t>
  </si>
  <si>
    <t>INE474Q01031</t>
  </si>
  <si>
    <t>MEDANTA</t>
  </si>
  <si>
    <t>GLOBAL HEALTH LIMITED</t>
  </si>
  <si>
    <t>INE0PS501019</t>
  </si>
  <si>
    <t>GLOBALPET</t>
  </si>
  <si>
    <t>GLOBAL PET INDUSTRIES LTD</t>
  </si>
  <si>
    <t>INE0JSX01015</t>
  </si>
  <si>
    <t>GSLSU</t>
  </si>
  <si>
    <t>GLOBAL SURFACES LIMITED</t>
  </si>
  <si>
    <t>INE792H01019</t>
  </si>
  <si>
    <t>GLOBALVECT</t>
  </si>
  <si>
    <t>GLOBAL VEC HELICORP LTD</t>
  </si>
  <si>
    <t>INE0URU01010</t>
  </si>
  <si>
    <t>GLOBALE</t>
  </si>
  <si>
    <t>GLOBALE TESSILE LIMITED</t>
  </si>
  <si>
    <t>INE0V3U01015</t>
  </si>
  <si>
    <t>GLOBECIVIL</t>
  </si>
  <si>
    <t>GLOBE CIVIL PROJECTS LTD</t>
  </si>
  <si>
    <t>INE581X01021</t>
  </si>
  <si>
    <t>GLOBE</t>
  </si>
  <si>
    <t>GLOBE ENTERPRISE (I) LTD</t>
  </si>
  <si>
    <t>INE947T01022</t>
  </si>
  <si>
    <t>GICL</t>
  </si>
  <si>
    <t>GLOBE INTL CARRIERS LTD</t>
  </si>
  <si>
    <t>INE00WS01056</t>
  </si>
  <si>
    <t>GSTL</t>
  </si>
  <si>
    <t>GLOBESECURE TECHNO LTD</t>
  </si>
  <si>
    <t>INE615I01010</t>
  </si>
  <si>
    <t>GLOBUSSPR</t>
  </si>
  <si>
    <t>GLOBUS SPIRITS LTD</t>
  </si>
  <si>
    <t>INE350Z01018</t>
  </si>
  <si>
    <t>GLOSTERLTD</t>
  </si>
  <si>
    <t>GLOSTER LIMITED</t>
  </si>
  <si>
    <t>INE0TQE01026</t>
  </si>
  <si>
    <t>GLOTTIS</t>
  </si>
  <si>
    <t>GLOTTIS LIMITED</t>
  </si>
  <si>
    <t>INE541A01023</t>
  </si>
  <si>
    <t>GMMPFAUDLR</t>
  </si>
  <si>
    <t>GMM PFAUDLER LIMITED</t>
  </si>
  <si>
    <t>INE776C01039</t>
  </si>
  <si>
    <t>GMRAIRPORT</t>
  </si>
  <si>
    <t>GMR AIRPORTS LIMITED</t>
  </si>
  <si>
    <t>INE0CU601026</t>
  </si>
  <si>
    <t>GMRP&amp;UI</t>
  </si>
  <si>
    <t>GMR POW AND URBAN INFRA L</t>
  </si>
  <si>
    <t>INE934S01014</t>
  </si>
  <si>
    <t>GNA</t>
  </si>
  <si>
    <t>GNA AXLES LIMITED</t>
  </si>
  <si>
    <t>INE18JU01028</t>
  </si>
  <si>
    <t>EBGNG</t>
  </si>
  <si>
    <t>GNG ELECTRONICS LIMITED</t>
  </si>
  <si>
    <t>INE03JT01014</t>
  </si>
  <si>
    <t>GODIGIT</t>
  </si>
  <si>
    <t>GO DIGIT GENERAL INS LTD</t>
  </si>
  <si>
    <t>INE0BJS01011</t>
  </si>
  <si>
    <t>GOCOLORS</t>
  </si>
  <si>
    <t>GO FASHION INDIA LTD</t>
  </si>
  <si>
    <t>INE426D01013</t>
  </si>
  <si>
    <t>GOACARBON</t>
  </si>
  <si>
    <t>GOA CARBON LIMITED</t>
  </si>
  <si>
    <t>INE077F01035</t>
  </si>
  <si>
    <t>GOCLCORP</t>
  </si>
  <si>
    <t>GOCL CORPORATION LIMITED</t>
  </si>
  <si>
    <t>INE497S01012</t>
  </si>
  <si>
    <t>GODAVARIB</t>
  </si>
  <si>
    <t>GODAVARI BIOREFINERIES L</t>
  </si>
  <si>
    <t>INE177H01039</t>
  </si>
  <si>
    <t>GPIL</t>
  </si>
  <si>
    <t>GODAWARI POW &amp; ISP LTD</t>
  </si>
  <si>
    <t>INE260B01028</t>
  </si>
  <si>
    <t>GODFRYPHLP</t>
  </si>
  <si>
    <t>GODFREY PHILLIPS INDIA LT</t>
  </si>
  <si>
    <t>INE850D01014</t>
  </si>
  <si>
    <t>GODREJAGRO</t>
  </si>
  <si>
    <t>GODREJ AGROVET LIMITED</t>
  </si>
  <si>
    <t>INE102D01028</t>
  </si>
  <si>
    <t>GODREJCP</t>
  </si>
  <si>
    <t>GODREJ CONSUMER PRODUCTS</t>
  </si>
  <si>
    <t>INE233A01035</t>
  </si>
  <si>
    <t>GODREJIND</t>
  </si>
  <si>
    <t>GODREJ INDUSTRIES LTD</t>
  </si>
  <si>
    <t>INE484J01027</t>
  </si>
  <si>
    <t>GODREJPROP</t>
  </si>
  <si>
    <t>GODREJ PROPERTIES LTD</t>
  </si>
  <si>
    <t>IN0020260058</t>
  </si>
  <si>
    <t>620GS2029</t>
  </si>
  <si>
    <t>GS</t>
  </si>
  <si>
    <t>GOI LOAN   6.20% 2029</t>
  </si>
  <si>
    <t>IN0020260066</t>
  </si>
  <si>
    <t>657GS2033A</t>
  </si>
  <si>
    <t>GOI LOAN   6.57% 2033</t>
  </si>
  <si>
    <t>IN0020240159</t>
  </si>
  <si>
    <t>679GS2034A</t>
  </si>
  <si>
    <t>GOI LOAN   6.79% 2034</t>
  </si>
  <si>
    <t>IN0020240175</t>
  </si>
  <si>
    <t>698GR2054</t>
  </si>
  <si>
    <t>GOI LOAN   6.98% 2054</t>
  </si>
  <si>
    <t>IN0020240142</t>
  </si>
  <si>
    <t>709GS2074</t>
  </si>
  <si>
    <t>GOI LOAN   7.09% 2074</t>
  </si>
  <si>
    <t>IN0020210186</t>
  </si>
  <si>
    <t>574GS2026</t>
  </si>
  <si>
    <t>GOI LOAN  5.74% 2026</t>
  </si>
  <si>
    <t>IN0020200294</t>
  </si>
  <si>
    <t>585GS2030</t>
  </si>
  <si>
    <t>GOI LOAN  5.85% 2030</t>
  </si>
  <si>
    <t>IN0020250125</t>
  </si>
  <si>
    <t>603GS2029</t>
  </si>
  <si>
    <t>GOI LOAN  6.03% 2029</t>
  </si>
  <si>
    <t>IN0020210095</t>
  </si>
  <si>
    <t>610GS2031</t>
  </si>
  <si>
    <t>GOI LOAN  6.10% 2031</t>
  </si>
  <si>
    <t>IN0020250026</t>
  </si>
  <si>
    <t>633GS2035</t>
  </si>
  <si>
    <t>GOI LOAN  6.33% 2035</t>
  </si>
  <si>
    <t>IN0020250141</t>
  </si>
  <si>
    <t>636GS2031</t>
  </si>
  <si>
    <t>GOI LOAN  6.36% 2031</t>
  </si>
  <si>
    <t>IN0020250091</t>
  </si>
  <si>
    <t>648GS2035</t>
  </si>
  <si>
    <t>GOI LOAN  6.48% 2035</t>
  </si>
  <si>
    <t>IN0020210244</t>
  </si>
  <si>
    <t>654GS2032</t>
  </si>
  <si>
    <t>GOI LOAN  6.54% 2032</t>
  </si>
  <si>
    <t>IN0020210152</t>
  </si>
  <si>
    <t>667GS2035</t>
  </si>
  <si>
    <t>GOI LOAN  6.67% 2035</t>
  </si>
  <si>
    <t>IN0020200252</t>
  </si>
  <si>
    <t>667GS2050</t>
  </si>
  <si>
    <t>GOI LOAN  6.67% 2050</t>
  </si>
  <si>
    <t>IN0020250133</t>
  </si>
  <si>
    <t>668GS2033</t>
  </si>
  <si>
    <t>GOI LOAN  6.68% 2033</t>
  </si>
  <si>
    <t>IN0020250042</t>
  </si>
  <si>
    <t>668GS2040</t>
  </si>
  <si>
    <t>GOI LOAN  6.68% 2040</t>
  </si>
  <si>
    <t>IN0020200401</t>
  </si>
  <si>
    <t>676GS2061</t>
  </si>
  <si>
    <t>GOI LOAN  6.76% 2061</t>
  </si>
  <si>
    <t>IN0020240126</t>
  </si>
  <si>
    <t>679GS2034</t>
  </si>
  <si>
    <t>GOI LOAN  6.79% 2034</t>
  </si>
  <si>
    <t>IN0020200187</t>
  </si>
  <si>
    <t>68GS2060</t>
  </si>
  <si>
    <t>GOI LOAN  6.8% 2060</t>
  </si>
  <si>
    <t>IN0020250018</t>
  </si>
  <si>
    <t>690GS2065</t>
  </si>
  <si>
    <t>GOI LOAN  6.90% 2065</t>
  </si>
  <si>
    <t>IN0020260025</t>
  </si>
  <si>
    <t>694GS2036</t>
  </si>
  <si>
    <t>GOI LOAN  6.94% 2036</t>
  </si>
  <si>
    <t>IN0020210202</t>
  </si>
  <si>
    <t>695GS2061</t>
  </si>
  <si>
    <t>GOI LOAN  6.95% 2061</t>
  </si>
  <si>
    <t>IN0020210194</t>
  </si>
  <si>
    <t>699GS2051</t>
  </si>
  <si>
    <t>GOI LOAN  6.99% 2051</t>
  </si>
  <si>
    <t>IN0020240043</t>
  </si>
  <si>
    <t>702GS2027</t>
  </si>
  <si>
    <t>GOI LOAN  7.02% 2027</t>
  </si>
  <si>
    <t>IN0020240076</t>
  </si>
  <si>
    <t>702GS2031</t>
  </si>
  <si>
    <t>GOI LOAN  7.02% 2031</t>
  </si>
  <si>
    <t>IN0020230010</t>
  </si>
  <si>
    <t>706GS2028</t>
  </si>
  <si>
    <t>GOI LOAN  7.06% 2028</t>
  </si>
  <si>
    <t>IN0020240118</t>
  </si>
  <si>
    <t>709GS2054</t>
  </si>
  <si>
    <t>GOI LOAN  7.09% 2054</t>
  </si>
  <si>
    <t>IN0020240019</t>
  </si>
  <si>
    <t>71GS2034</t>
  </si>
  <si>
    <t>GOI LOAN  7.1% 2034</t>
  </si>
  <si>
    <t>IN0020230036</t>
  </si>
  <si>
    <t>717GS2030</t>
  </si>
  <si>
    <t>GOI LOAN  7.17% 2030</t>
  </si>
  <si>
    <t>IN0020230077</t>
  </si>
  <si>
    <t>718GS2037</t>
  </si>
  <si>
    <t>GOI LOAN  7.18% 2037</t>
  </si>
  <si>
    <t>IN0020240027</t>
  </si>
  <si>
    <t>723GS2039</t>
  </si>
  <si>
    <t>GOI LOAN  7.23% 2039</t>
  </si>
  <si>
    <t>IN0020250075</t>
  </si>
  <si>
    <t>724GS2055</t>
  </si>
  <si>
    <t>GOI LOAN  7.24% 2055</t>
  </si>
  <si>
    <t>IN0020230044</t>
  </si>
  <si>
    <t>725GS2063</t>
  </si>
  <si>
    <t>GOI LOAN  7.25% 2063</t>
  </si>
  <si>
    <t>IN0020220060</t>
  </si>
  <si>
    <t>726GS2032</t>
  </si>
  <si>
    <t>GOI LOAN  7.26% 2032</t>
  </si>
  <si>
    <t>IN0020230051</t>
  </si>
  <si>
    <t>73GS2053</t>
  </si>
  <si>
    <t>GOI LOAN  7.3% 2053</t>
  </si>
  <si>
    <t>IN0020230135</t>
  </si>
  <si>
    <t>732GS2030</t>
  </si>
  <si>
    <t>GOI LOAN  7.32% 2030</t>
  </si>
  <si>
    <t>IN0020240035</t>
  </si>
  <si>
    <t>734GS2064</t>
  </si>
  <si>
    <t>GOI LOAN  7.34% 2064</t>
  </si>
  <si>
    <t>IN0020220086</t>
  </si>
  <si>
    <t>736GS2052</t>
  </si>
  <si>
    <t>GOI LOAN  7.36% 2052</t>
  </si>
  <si>
    <t>IN0020230101</t>
  </si>
  <si>
    <t>737GS2028</t>
  </si>
  <si>
    <t>GOI LOAN  7.37% 2028</t>
  </si>
  <si>
    <t>IN0020220094</t>
  </si>
  <si>
    <t>74GS2062</t>
  </si>
  <si>
    <t>GOI LOAN  7.4% 2062</t>
  </si>
  <si>
    <t>IN0020220102</t>
  </si>
  <si>
    <t>741GS2036</t>
  </si>
  <si>
    <t>GOI LOAN  7.41% 2036</t>
  </si>
  <si>
    <t>IN0020250117</t>
  </si>
  <si>
    <t>743GS2076</t>
  </si>
  <si>
    <t>GOI LOAN  7.43% 2076</t>
  </si>
  <si>
    <t>IN0020230127</t>
  </si>
  <si>
    <t>746GS2073</t>
  </si>
  <si>
    <t>GOI LOAN  7.46% 2073</t>
  </si>
  <si>
    <t>IN0020260017</t>
  </si>
  <si>
    <t>750GS2056</t>
  </si>
  <si>
    <t>GOI LOAN  7.50% 2056</t>
  </si>
  <si>
    <t>IN0020220029</t>
  </si>
  <si>
    <t>754GS2036</t>
  </si>
  <si>
    <t>GOI LOAN  7.54% 2036</t>
  </si>
  <si>
    <t>IN0020260033</t>
  </si>
  <si>
    <t>771GS2066</t>
  </si>
  <si>
    <t>GOI LOAN  7.71% 2066</t>
  </si>
  <si>
    <t>IN0020010081</t>
  </si>
  <si>
    <t>1018GS2026</t>
  </si>
  <si>
    <t>GOI LOAN 10.18% 2026</t>
  </si>
  <si>
    <t>IN0020160068</t>
  </si>
  <si>
    <t>706GS2046</t>
  </si>
  <si>
    <t>GOI LOAN 7.06% 2046</t>
  </si>
  <si>
    <t>IN0020220011</t>
  </si>
  <si>
    <t>710GS2029</t>
  </si>
  <si>
    <t>GOI LOAN 7.10% 2029</t>
  </si>
  <si>
    <t>IN0020170174</t>
  </si>
  <si>
    <t>717GS2028</t>
  </si>
  <si>
    <t>GOI LOAN 7.17% 2028</t>
  </si>
  <si>
    <t>IN0020200039</t>
  </si>
  <si>
    <t>719GS2060</t>
  </si>
  <si>
    <t>GOI LOAN 7.19% 2060</t>
  </si>
  <si>
    <t>IN0020220037</t>
  </si>
  <si>
    <t>738GS2027</t>
  </si>
  <si>
    <t>GOI LOAN 7.38% 2027</t>
  </si>
  <si>
    <t>IN0020050012</t>
  </si>
  <si>
    <t>74GS2035</t>
  </si>
  <si>
    <t>GOI LOAN 7.40% 2035</t>
  </si>
  <si>
    <t>IN0020020106</t>
  </si>
  <si>
    <t>795GS2032</t>
  </si>
  <si>
    <t>GOI LOAN 7.95% 2032</t>
  </si>
  <si>
    <t>IN0020150044</t>
  </si>
  <si>
    <t>813GS2045</t>
  </si>
  <si>
    <t>GOI LOAN 8.13% 2045</t>
  </si>
  <si>
    <t>IN0020060078</t>
  </si>
  <si>
    <t>824GS2027</t>
  </si>
  <si>
    <t>GOI LOAN 8.24%2027</t>
  </si>
  <si>
    <t>IN0020110055</t>
  </si>
  <si>
    <t>897GS2030</t>
  </si>
  <si>
    <t>GOI LOAN 8.97% 2030</t>
  </si>
  <si>
    <t>IN0020130053</t>
  </si>
  <si>
    <t>92GS2030</t>
  </si>
  <si>
    <t>GOI LOAN 9.20% 2030</t>
  </si>
  <si>
    <t>IN002025Y503</t>
  </si>
  <si>
    <t>182D180926</t>
  </si>
  <si>
    <t>TB</t>
  </si>
  <si>
    <t>GOI TBILL 182D-18/09/26</t>
  </si>
  <si>
    <t>IN002026Z177</t>
  </si>
  <si>
    <t>364D290727</t>
  </si>
  <si>
    <t>GOI TBILL 364D-29/07/27</t>
  </si>
  <si>
    <t>IN002026X180</t>
  </si>
  <si>
    <t>91D051126</t>
  </si>
  <si>
    <t>GOI TBILL 91D-05/11/26</t>
  </si>
  <si>
    <t>IN002026X149</t>
  </si>
  <si>
    <t>91D081026</t>
  </si>
  <si>
    <t>GOI TBILL 91D-08/10/26</t>
  </si>
  <si>
    <t>IN002026X156</t>
  </si>
  <si>
    <t>91D151026</t>
  </si>
  <si>
    <t>GOI TBILL 91D-15/10/26</t>
  </si>
  <si>
    <t>IN002026X115</t>
  </si>
  <si>
    <t>91D170926</t>
  </si>
  <si>
    <t>GOI TBILL 91D-17/09/26</t>
  </si>
  <si>
    <t>IN002026X164</t>
  </si>
  <si>
    <t>91D221026</t>
  </si>
  <si>
    <t>GOI TBILL 91D-22/10/26</t>
  </si>
  <si>
    <t>INE887G01027</t>
  </si>
  <si>
    <t>GOKEX</t>
  </si>
  <si>
    <t>GOKALDAS EXPORTS LTD.</t>
  </si>
  <si>
    <t>INE314T01033</t>
  </si>
  <si>
    <t>GOKULAGRO</t>
  </si>
  <si>
    <t>GOKUL AGRO RESOURCES LTD</t>
  </si>
  <si>
    <t>INE020J01029</t>
  </si>
  <si>
    <t>GOKUL</t>
  </si>
  <si>
    <t>GOKUL REFOILS &amp; SOLV LTD</t>
  </si>
  <si>
    <t>INE973A01010</t>
  </si>
  <si>
    <t>GOLDENTOBC</t>
  </si>
  <si>
    <t>GOLDEN TOBACCO LIMITED</t>
  </si>
  <si>
    <t>INE025B01025</t>
  </si>
  <si>
    <t>GOLDIAM</t>
  </si>
  <si>
    <t>GOLDIAM INTERNATIONAL LTD</t>
  </si>
  <si>
    <t>INE405Y01021</t>
  </si>
  <si>
    <t>GOLDSTAR</t>
  </si>
  <si>
    <t>GOLDSTAR POWER LIMITED</t>
  </si>
  <si>
    <t>INE127I01024</t>
  </si>
  <si>
    <t>GOODLUCK</t>
  </si>
  <si>
    <t>GOODLUCK INDIA LIMITED</t>
  </si>
  <si>
    <t>INE533A01012</t>
  </si>
  <si>
    <t>GOODYEAR</t>
  </si>
  <si>
    <t>GOODYEAR INDIA LIMITED</t>
  </si>
  <si>
    <t>INE0L9R01028</t>
  </si>
  <si>
    <t>GOPAL</t>
  </si>
  <si>
    <t>GOPAL SNACKS LIMITED</t>
  </si>
  <si>
    <t>INE705X01026</t>
  </si>
  <si>
    <t>GOYALALUM</t>
  </si>
  <si>
    <t>GOYAL ALUMINIUMS LIMITED</t>
  </si>
  <si>
    <t>INE0QFE01017</t>
  </si>
  <si>
    <t>GOYALSALT</t>
  </si>
  <si>
    <t>GOYAL SALT LIMITED</t>
  </si>
  <si>
    <t>INE0S7E01015</t>
  </si>
  <si>
    <t>GPECO</t>
  </si>
  <si>
    <t>GP ECO SOLUTIONS INDIA L</t>
  </si>
  <si>
    <t>INE586G01017</t>
  </si>
  <si>
    <t>GULFPETRO</t>
  </si>
  <si>
    <t>GP PETROLEUMS LIMITED</t>
  </si>
  <si>
    <t>INE486R01017</t>
  </si>
  <si>
    <t>GPTHEALTH</t>
  </si>
  <si>
    <t>GPT HEALTHCARE LIMITED</t>
  </si>
  <si>
    <t>INE390G01014</t>
  </si>
  <si>
    <t>GPTINFRA</t>
  </si>
  <si>
    <t>GPT INFRAPROJECTS LTD</t>
  </si>
  <si>
    <t>INE361K01017</t>
  </si>
  <si>
    <t>GRADIENTE</t>
  </si>
  <si>
    <t>GRADIENTE INFOTAINMENT L</t>
  </si>
  <si>
    <t>INE12E301017</t>
  </si>
  <si>
    <t>GCHOTELS</t>
  </si>
  <si>
    <t>GRAND CONTINENT HOTELS L</t>
  </si>
  <si>
    <t>INE534A01028</t>
  </si>
  <si>
    <t>GFSTEELS</t>
  </si>
  <si>
    <t>GRAND FOUNDRY LTD</t>
  </si>
  <si>
    <t>INE926B01016</t>
  </si>
  <si>
    <t>GRANDOAK</t>
  </si>
  <si>
    <t>GRAND OAK CANYONS DIST L</t>
  </si>
  <si>
    <t>INE101D01020</t>
  </si>
  <si>
    <t>GRANULES</t>
  </si>
  <si>
    <t>GRANULES INDIA LIMITED</t>
  </si>
  <si>
    <t>INE0POU01017</t>
  </si>
  <si>
    <t>GRAPHISAD</t>
  </si>
  <si>
    <t>GRAPHISADS LIMITED</t>
  </si>
  <si>
    <t>INE371A01025</t>
  </si>
  <si>
    <t>GRAPHITE</t>
  </si>
  <si>
    <t>GRAPHITE INDIA LTD</t>
  </si>
  <si>
    <t>INE047A01021</t>
  </si>
  <si>
    <t>GRASIM</t>
  </si>
  <si>
    <t>GRASIM INDUSTRIES LTD</t>
  </si>
  <si>
    <t>INE266D01021</t>
  </si>
  <si>
    <t>GRAUWEIL</t>
  </si>
  <si>
    <t>GRAUER &amp; WEIL IND LTD</t>
  </si>
  <si>
    <t>INE214F01026</t>
  </si>
  <si>
    <t>GRAVISSHO</t>
  </si>
  <si>
    <t>GRAVISS HOSPITALITY LTD.</t>
  </si>
  <si>
    <t>INE024L01027</t>
  </si>
  <si>
    <t>GRAVITA</t>
  </si>
  <si>
    <t>GRAVITA INDIA LIMITED</t>
  </si>
  <si>
    <t>INE224A01026</t>
  </si>
  <si>
    <t>GREAVESCOT</t>
  </si>
  <si>
    <t>GREAVES COTTON LTD.</t>
  </si>
  <si>
    <t>INE0O7P01015</t>
  </si>
  <si>
    <t>GREENCHEF</t>
  </si>
  <si>
    <t>GREENCHEF APPLIANCES LTD</t>
  </si>
  <si>
    <t>INE544R01021</t>
  </si>
  <si>
    <t>GREENLAM</t>
  </si>
  <si>
    <t>GREENLAM INDUSTRIES LTD.</t>
  </si>
  <si>
    <t>INE0PLX01017</t>
  </si>
  <si>
    <t>GREENLEAF</t>
  </si>
  <si>
    <t>GREENLEAF ENVIROTECH LTD</t>
  </si>
  <si>
    <t>INE08ZM01014</t>
  </si>
  <si>
    <t>GREENPANEL</t>
  </si>
  <si>
    <t>GREENPANEL INDUSTRIES LTD</t>
  </si>
  <si>
    <t>INE461C01038</t>
  </si>
  <si>
    <t>GREENPLY</t>
  </si>
  <si>
    <t>GREENPLY INDUSTRIES LTD</t>
  </si>
  <si>
    <t>INE199P01028</t>
  </si>
  <si>
    <t>GCSL</t>
  </si>
  <si>
    <t>GRETEX CORPORATE SERVICES</t>
  </si>
  <si>
    <t>INE0PC901019</t>
  </si>
  <si>
    <t>BIRDYS</t>
  </si>
  <si>
    <t>GRILL SPLENDOUR SER LTD</t>
  </si>
  <si>
    <t>INE536A01023</t>
  </si>
  <si>
    <t>GRINDWELL</t>
  </si>
  <si>
    <t>GRINDWELL NORTON LIMITED</t>
  </si>
  <si>
    <t>INE192H01020</t>
  </si>
  <si>
    <t>GRMOVER</t>
  </si>
  <si>
    <t>GRM OVERSEAS LIMITED</t>
  </si>
  <si>
    <t>INE1TY801010</t>
  </si>
  <si>
    <t>GJL</t>
  </si>
  <si>
    <t>GROVER JEWELLS LIMITED</t>
  </si>
  <si>
    <t>INF666M01PH7</t>
  </si>
  <si>
    <t>CEMNTGROWW</t>
  </si>
  <si>
    <t>GROWWAMC - CEMNTGROWW</t>
  </si>
  <si>
    <t>INF666M01MM4</t>
  </si>
  <si>
    <t>GROWWCAPM</t>
  </si>
  <si>
    <t>GROWWAMC - GROWWCAPM</t>
  </si>
  <si>
    <t>INF666M01NP5</t>
  </si>
  <si>
    <t>GROWWCHEM</t>
  </si>
  <si>
    <t>GROWWAMC - GROWWCHEM</t>
  </si>
  <si>
    <t>INF666M01IO8</t>
  </si>
  <si>
    <t>GROWWDEFNC</t>
  </si>
  <si>
    <t>GROWWAMC - GROWWDEFNC</t>
  </si>
  <si>
    <t>INF666M01IH2</t>
  </si>
  <si>
    <t>GROWWEV</t>
  </si>
  <si>
    <t>GROWWAMC - GROWWEV</t>
  </si>
  <si>
    <t>INF666M01OE7</t>
  </si>
  <si>
    <t>GROWWGOLD</t>
  </si>
  <si>
    <t>GROWWAMC - GROWWGOLD</t>
  </si>
  <si>
    <t>INF666M01OD9</t>
  </si>
  <si>
    <t>GROWWHOSPI</t>
  </si>
  <si>
    <t>GROWWAMC - GROWWHOSPI</t>
  </si>
  <si>
    <t>INF666M01IP5</t>
  </si>
  <si>
    <t>GROWWLIQID</t>
  </si>
  <si>
    <t>GROWWAMC - GROWWLIQID</t>
  </si>
  <si>
    <t>INF666M01LB9</t>
  </si>
  <si>
    <t>GROWWLOVOL</t>
  </si>
  <si>
    <t>GROWWAMC - GROWWLOVOL</t>
  </si>
  <si>
    <t>INF666M01MV5</t>
  </si>
  <si>
    <t>GROWWMC150</t>
  </si>
  <si>
    <t>GROWWAMC - GROWWMC150</t>
  </si>
  <si>
    <t>INF666M01NI0</t>
  </si>
  <si>
    <t>GROWWMETAL</t>
  </si>
  <si>
    <t>GROWWAMC - GROWWMETAL</t>
  </si>
  <si>
    <t>INF666M01KJ4</t>
  </si>
  <si>
    <t>GROWWMOM50</t>
  </si>
  <si>
    <t>GROWWAMC - GROWWMOM50</t>
  </si>
  <si>
    <t>INF666M01JV1</t>
  </si>
  <si>
    <t>GROWWN200</t>
  </si>
  <si>
    <t>GROWWAMC - GROWWN200</t>
  </si>
  <si>
    <t>INF666M01LI4</t>
  </si>
  <si>
    <t>GROWWNET</t>
  </si>
  <si>
    <t>GROWWAMC - GROWWNET</t>
  </si>
  <si>
    <t>INF666M01LL8</t>
  </si>
  <si>
    <t>GROWWNIFTY</t>
  </si>
  <si>
    <t>GROWWAMC - GROWWNIFTY</t>
  </si>
  <si>
    <t>INF666M01LZ8</t>
  </si>
  <si>
    <t>GROWWNXT50</t>
  </si>
  <si>
    <t>GROWWAMC - GROWWNXT50</t>
  </si>
  <si>
    <t>INF666M01LM6</t>
  </si>
  <si>
    <t>GROWWPOWER</t>
  </si>
  <si>
    <t>GROWWAMC - GROWWPOWER</t>
  </si>
  <si>
    <t>INF666M01NQ3</t>
  </si>
  <si>
    <t>GROWWPSE</t>
  </si>
  <si>
    <t>GROWWAMC - GROWWPSE</t>
  </si>
  <si>
    <t>INF666M01OG2</t>
  </si>
  <si>
    <t>GROWWPSUBK</t>
  </si>
  <si>
    <t>GROWWAMC - GROWWPSUBK</t>
  </si>
  <si>
    <t>INF666M01JJ6</t>
  </si>
  <si>
    <t>GROWWRAIL</t>
  </si>
  <si>
    <t>GROWWAMC - GROWWRAIL</t>
  </si>
  <si>
    <t>INF666M01MN2</t>
  </si>
  <si>
    <t>GROWWRLTY</t>
  </si>
  <si>
    <t>GROWWAMC - GROWWRLTY</t>
  </si>
  <si>
    <t>INF666M01MO0</t>
  </si>
  <si>
    <t>GROWWSC250</t>
  </si>
  <si>
    <t>GROWWAMC - GROWWSC250</t>
  </si>
  <si>
    <t>INF666M01OF4</t>
  </si>
  <si>
    <t>GROWWSLVR</t>
  </si>
  <si>
    <t>GROWWAMC - GROWWSLVR</t>
  </si>
  <si>
    <t>INF666M01OT5</t>
  </si>
  <si>
    <t>PVTBKGROWW</t>
  </si>
  <si>
    <t>GROWWAMC - PVTBKGROWW</t>
  </si>
  <si>
    <t>INF666M01PG9</t>
  </si>
  <si>
    <t>SMALLGROWW</t>
  </si>
  <si>
    <t>GROWWAMC - SMALLGROWW</t>
  </si>
  <si>
    <t>INE137I01015</t>
  </si>
  <si>
    <t>GRPLTD</t>
  </si>
  <si>
    <t>GRP LIMITED</t>
  </si>
  <si>
    <t>INE0SQY01018</t>
  </si>
  <si>
    <t>GSMFOILS</t>
  </si>
  <si>
    <t>GSM FOILS LIMITED</t>
  </si>
  <si>
    <t>INE713R01022</t>
  </si>
  <si>
    <t>GSPCROP</t>
  </si>
  <si>
    <t>GSP CROP SCIENCE LIMITED</t>
  </si>
  <si>
    <t>INE871H01011</t>
  </si>
  <si>
    <t>GSS</t>
  </si>
  <si>
    <t>GSS INFOTECH LIMITED</t>
  </si>
  <si>
    <t>INE221H01019</t>
  </si>
  <si>
    <t>GTLINFRA</t>
  </si>
  <si>
    <t>GTL INFRA.LTD</t>
  </si>
  <si>
    <t>INE043A01012</t>
  </si>
  <si>
    <t>GTL</t>
  </si>
  <si>
    <t>GTL LTD</t>
  </si>
  <si>
    <t>INE869I01013</t>
  </si>
  <si>
    <t>GTPL</t>
  </si>
  <si>
    <t>GTPL HATHWAY LIMITED</t>
  </si>
  <si>
    <t>INE742B01025</t>
  </si>
  <si>
    <t>GUFICBIO</t>
  </si>
  <si>
    <t>GUFIC BIOSCIENCES LTD.</t>
  </si>
  <si>
    <t>INE162A01010</t>
  </si>
  <si>
    <t>GIPCL</t>
  </si>
  <si>
    <t>GUJ IND POW CO. LTD</t>
  </si>
  <si>
    <t>INE113A01013</t>
  </si>
  <si>
    <t>GNFC</t>
  </si>
  <si>
    <t>GUJ NAR VAL FER &amp; CHEM L</t>
  </si>
  <si>
    <t>INE026A01025</t>
  </si>
  <si>
    <t>GSFC</t>
  </si>
  <si>
    <t>GUJ STATE FERT &amp; CHEM LTD</t>
  </si>
  <si>
    <t>INE826C01016</t>
  </si>
  <si>
    <t>GUJAPOLLO</t>
  </si>
  <si>
    <t>GUJ. APOLLO IND. LTD.</t>
  </si>
  <si>
    <t>INE186A01019</t>
  </si>
  <si>
    <t>GUJALKALI</t>
  </si>
  <si>
    <t>GUJARAT ALKALIES &amp; CHEM</t>
  </si>
  <si>
    <t>INE036B01030</t>
  </si>
  <si>
    <t>GAEL</t>
  </si>
  <si>
    <t>GUJARAT AMBUJA EXPORTS LT</t>
  </si>
  <si>
    <t>INE844O01030</t>
  </si>
  <si>
    <t>GUJENERGY</t>
  </si>
  <si>
    <t>GUJARAT ENERGY LIMITED</t>
  </si>
  <si>
    <t>INE09N301011</t>
  </si>
  <si>
    <t>FLUOROCHEM</t>
  </si>
  <si>
    <t>GUJARAT FLUOROCHEM LTD</t>
  </si>
  <si>
    <t>INE0V0W01025</t>
  </si>
  <si>
    <t>GKSL</t>
  </si>
  <si>
    <t>GUJARAT KIDNEY N SUP SP L</t>
  </si>
  <si>
    <t>INE540A01017</t>
  </si>
  <si>
    <t>GLFL</t>
  </si>
  <si>
    <t>GUJARAT LEASE FINANCING L</t>
  </si>
  <si>
    <t>INE131A01031</t>
  </si>
  <si>
    <t>GMDCLTD</t>
  </si>
  <si>
    <t>GUJARAT MINERAL DEV CORP</t>
  </si>
  <si>
    <t>INE207H01018</t>
  </si>
  <si>
    <t>GNRL</t>
  </si>
  <si>
    <t>GUJARAT NATURAL RES L</t>
  </si>
  <si>
    <t>INE517F01014</t>
  </si>
  <si>
    <t>GPPL</t>
  </si>
  <si>
    <t>GUJARAT PIPAVAV PORT LTD</t>
  </si>
  <si>
    <t>INE610B01024</t>
  </si>
  <si>
    <t>GUJRAFFIA</t>
  </si>
  <si>
    <t>GUJARAT RAFFIA INDUST LTD</t>
  </si>
  <si>
    <t>INE942C01045</t>
  </si>
  <si>
    <t>GUJTHEM</t>
  </si>
  <si>
    <t>GUJARAT THEMIS BIOSYN LTD</t>
  </si>
  <si>
    <t>INE635Q01029</t>
  </si>
  <si>
    <t>GULFOILLUB</t>
  </si>
  <si>
    <t>GULF OIL LUB. IND. LTD.</t>
  </si>
  <si>
    <t>INE255D01024</t>
  </si>
  <si>
    <t>GULPOLY</t>
  </si>
  <si>
    <t>GULSHAN POLYOLS LIMITED</t>
  </si>
  <si>
    <t>INE1CCX01012</t>
  </si>
  <si>
    <t>GURUNANAK</t>
  </si>
  <si>
    <t>GURUNANAK AGRICULTUR IN L</t>
  </si>
  <si>
    <t>INE251H01024</t>
  </si>
  <si>
    <t>GVKPIL</t>
  </si>
  <si>
    <t>GVK POW. &amp; INFRA LTD.</t>
  </si>
  <si>
    <t>INE382T01030</t>
  </si>
  <si>
    <t>GVPTECH</t>
  </si>
  <si>
    <t>GVP INFOTECH LIMITED</t>
  </si>
  <si>
    <t>INE724A01017</t>
  </si>
  <si>
    <t>GYFTR</t>
  </si>
  <si>
    <t>GYFTR LIMITED</t>
  </si>
  <si>
    <t>INE640B01021</t>
  </si>
  <si>
    <t>HBESD</t>
  </si>
  <si>
    <t>H B ESTATE DEVELOPERS L</t>
  </si>
  <si>
    <t>INE926X01010</t>
  </si>
  <si>
    <t>HGINFRA</t>
  </si>
  <si>
    <t>H.G.INFRA ENGINEERING LTD</t>
  </si>
  <si>
    <t>INE115S01010</t>
  </si>
  <si>
    <t>HALDER</t>
  </si>
  <si>
    <t>HALDER VENTURE LIMITED</t>
  </si>
  <si>
    <t>INE506D01020</t>
  </si>
  <si>
    <t>HALDYNGL</t>
  </si>
  <si>
    <t>HALDYN GLASS LTD.</t>
  </si>
  <si>
    <t>INE320X01016</t>
  </si>
  <si>
    <t>HALEOSLABS</t>
  </si>
  <si>
    <t>HALEOS LABS LIMITED</t>
  </si>
  <si>
    <t>INE299D01022</t>
  </si>
  <si>
    <t>HAMPTON</t>
  </si>
  <si>
    <t>HAMPTON SKY REALTY LTD.</t>
  </si>
  <si>
    <t>INE596H01014</t>
  </si>
  <si>
    <t>HGM</t>
  </si>
  <si>
    <t>HANDSON GBL MNGMNT LTD</t>
  </si>
  <si>
    <t>INE419U01012</t>
  </si>
  <si>
    <t>HAPPSTMNDS</t>
  </si>
  <si>
    <t>HAPPIEST MINDS TECHNO LTD</t>
  </si>
  <si>
    <t>INE330T01021</t>
  </si>
  <si>
    <t>HAPPYFORGE</t>
  </si>
  <si>
    <t>HAPPY FORGINGS LIMITED</t>
  </si>
  <si>
    <t>INE0TLP01015</t>
  </si>
  <si>
    <t>WHITEFORCE</t>
  </si>
  <si>
    <t>HAPPY SQUARE OUTSOURC S L</t>
  </si>
  <si>
    <t>INE1GFG01011</t>
  </si>
  <si>
    <t>HAPPY</t>
  </si>
  <si>
    <t>HAPPY STEELS LIMITED</t>
  </si>
  <si>
    <t>INE626Z01029</t>
  </si>
  <si>
    <t>HARDWYN</t>
  </si>
  <si>
    <t>HARDWYN INDIA LIMITED</t>
  </si>
  <si>
    <t>INE00EV01017</t>
  </si>
  <si>
    <t>HARIOMPIPE</t>
  </si>
  <si>
    <t>HARIOM PIPE INDUSTRIES L</t>
  </si>
  <si>
    <t>INE400G01011</t>
  </si>
  <si>
    <t>HRYNSHP</t>
  </si>
  <si>
    <t>HARIYANA SHIP BREAKERS L</t>
  </si>
  <si>
    <t>INE544A01019</t>
  </si>
  <si>
    <t>HARRMALAYA</t>
  </si>
  <si>
    <t>HARRISON MALAYALAM LTD</t>
  </si>
  <si>
    <t>INE0JUS01029</t>
  </si>
  <si>
    <t>HARSHA</t>
  </si>
  <si>
    <t>HARSHA ENGINEERS INT LTD</t>
  </si>
  <si>
    <t>INE982F01036</t>
  </si>
  <si>
    <t>HATHWAY</t>
  </si>
  <si>
    <t>HATHWAY CABLE &amp; DATACOM</t>
  </si>
  <si>
    <t>INE473B01035</t>
  </si>
  <si>
    <t>HATSUN</t>
  </si>
  <si>
    <t>HATSUN AGRO PRODUCT LTD.</t>
  </si>
  <si>
    <t>INE176B01034</t>
  </si>
  <si>
    <t>HAVELLS</t>
  </si>
  <si>
    <t>HAVELLS INDIA LIMITED</t>
  </si>
  <si>
    <t>INE979B01015</t>
  </si>
  <si>
    <t>HAWKINCOOK</t>
  </si>
  <si>
    <t>HAWKINS COOKERS LTD</t>
  </si>
  <si>
    <t>INE550F01049</t>
  </si>
  <si>
    <t>HAZOOR</t>
  </si>
  <si>
    <t>HAZOOR MULTI PROJECTS LTD</t>
  </si>
  <si>
    <t>INE638B01025</t>
  </si>
  <si>
    <t>HBPOR</t>
  </si>
  <si>
    <t>HB PORTFOLIO LTD.</t>
  </si>
  <si>
    <t>INE550B01022</t>
  </si>
  <si>
    <t>HBSL</t>
  </si>
  <si>
    <t>HB STOCKHOLDINGS LIMITED</t>
  </si>
  <si>
    <t>INE292B01021</t>
  </si>
  <si>
    <t>HBLENGINE</t>
  </si>
  <si>
    <t>HBL ENGINEERING LTD</t>
  </si>
  <si>
    <t>INE236A01020</t>
  </si>
  <si>
    <t>HCL-INSYS</t>
  </si>
  <si>
    <t>HCL INFOSYSTEMS LTD</t>
  </si>
  <si>
    <t>INE860A01027</t>
  </si>
  <si>
    <t>HCLTECH</t>
  </si>
  <si>
    <t>HCL TECHNOLOGIES LTD</t>
  </si>
  <si>
    <t>INE756I01012</t>
  </si>
  <si>
    <t>HDBFS</t>
  </si>
  <si>
    <t>HDB FINANCIAL SERVICES L</t>
  </si>
  <si>
    <t>INE127D01025</t>
  </si>
  <si>
    <t>HDFCAMC</t>
  </si>
  <si>
    <t>HDFC AMC LIMITED</t>
  </si>
  <si>
    <t>INE040A01034</t>
  </si>
  <si>
    <t>HDFCBANK</t>
  </si>
  <si>
    <t>HDFC BANK LTD</t>
  </si>
  <si>
    <t>INF179KC1981</t>
  </si>
  <si>
    <t>HDFCGOLD</t>
  </si>
  <si>
    <t>HDFC GOLD ETF</t>
  </si>
  <si>
    <t>INE795G01014</t>
  </si>
  <si>
    <t>HDFCLIFE</t>
  </si>
  <si>
    <t>HDFC LIFE INS CO LTD</t>
  </si>
  <si>
    <t>INF179KC1EZ4</t>
  </si>
  <si>
    <t>HDFCBSE500</t>
  </si>
  <si>
    <t>HDFCAMC - HDFCBSE500</t>
  </si>
  <si>
    <t>INF179KC1DJ0</t>
  </si>
  <si>
    <t>HDFCGROWTH</t>
  </si>
  <si>
    <t>HDFCAMC - HDFCGROWTH</t>
  </si>
  <si>
    <t>INF179KC1JG3</t>
  </si>
  <si>
    <t>HDFCLIQUID</t>
  </si>
  <si>
    <t>HDFCAMC - HDFCLIQUID</t>
  </si>
  <si>
    <t>INF179KC1HU8</t>
  </si>
  <si>
    <t>HDFCLOWVOL</t>
  </si>
  <si>
    <t>HDFCAMC - HDFCLOWVOL</t>
  </si>
  <si>
    <t>INF179KC1HT0</t>
  </si>
  <si>
    <t>HDFCMID150</t>
  </si>
  <si>
    <t>HDFCAMC - HDFCMID150</t>
  </si>
  <si>
    <t>INF179KC1HV6</t>
  </si>
  <si>
    <t>HDFCMOMENT</t>
  </si>
  <si>
    <t>HDFCAMC - HDFCMOMENT</t>
  </si>
  <si>
    <t>INF179KC1HS2</t>
  </si>
  <si>
    <t>HDFCNEXT50</t>
  </si>
  <si>
    <t>HDFCAMC - HDFCNEXT50</t>
  </si>
  <si>
    <t>INF179KC1HR4</t>
  </si>
  <si>
    <t>HDFCNIF100</t>
  </si>
  <si>
    <t>HDFCAMC - HDFCNIF100</t>
  </si>
  <si>
    <t>INF179KC1HY0</t>
  </si>
  <si>
    <t>HDFCNIFBAN</t>
  </si>
  <si>
    <t>HDFCAMC - HDFCNIFBAN</t>
  </si>
  <si>
    <t>INF179KC1IA8</t>
  </si>
  <si>
    <t>HDFCNIFIT</t>
  </si>
  <si>
    <t>HDFCAMC - HDFCNIFIT</t>
  </si>
  <si>
    <t>INF179KC1965</t>
  </si>
  <si>
    <t>HDFCNIFTY</t>
  </si>
  <si>
    <t>HDFCAMC - HDFCNIFTY</t>
  </si>
  <si>
    <t>INF179KC1KT4</t>
  </si>
  <si>
    <t>HDFCNIMEG</t>
  </si>
  <si>
    <t>HDFCAMC - HDFCNIMEG</t>
  </si>
  <si>
    <t>INF179KC1HZ7</t>
  </si>
  <si>
    <t>HDFCPVTBAN</t>
  </si>
  <si>
    <t>HDFCAMC - HDFCPVTBAN</t>
  </si>
  <si>
    <t>INF179KC1DL6</t>
  </si>
  <si>
    <t>HDFCQUAL</t>
  </si>
  <si>
    <t>HDFCAMC - HDFCQUAL</t>
  </si>
  <si>
    <t>INF179KC1HX2</t>
  </si>
  <si>
    <t>HDFCSENSEX</t>
  </si>
  <si>
    <t>HDFCAMC - HDFCSENSEX</t>
  </si>
  <si>
    <t>INF179KC1DI2</t>
  </si>
  <si>
    <t>HDFCSILVER</t>
  </si>
  <si>
    <t>HDFCAMC - HDFCSILVER</t>
  </si>
  <si>
    <t>INF179KC1FB2</t>
  </si>
  <si>
    <t>HDFCSML250</t>
  </si>
  <si>
    <t>HDFCAMC - HDFCSML250</t>
  </si>
  <si>
    <t>INF179KC1DK8</t>
  </si>
  <si>
    <t>HDFCVALUE</t>
  </si>
  <si>
    <t>HDFCAMC - HDFCVALUE</t>
  </si>
  <si>
    <t>INF179KC1HW4</t>
  </si>
  <si>
    <t>HDFCPSUBK</t>
  </si>
  <si>
    <t>HDFCAMC HDFCPSUBK</t>
  </si>
  <si>
    <t>INE759V01019</t>
  </si>
  <si>
    <t>HEADSUP</t>
  </si>
  <si>
    <t>HEADS UP VENTURES LIMITED</t>
  </si>
  <si>
    <t>INE019J01013</t>
  </si>
  <si>
    <t>HEALTHX</t>
  </si>
  <si>
    <t>HEALTH X PLATFORM LIMITED</t>
  </si>
  <si>
    <t>INE075I01017</t>
  </si>
  <si>
    <t>HCG</t>
  </si>
  <si>
    <t>HEALTHCARE GLOB. ENT. LTD</t>
  </si>
  <si>
    <t>INE558R01013</t>
  </si>
  <si>
    <t>HECPROJECT</t>
  </si>
  <si>
    <t>HEC INFRA PROJECTS LTD</t>
  </si>
  <si>
    <t>INE545A01024</t>
  </si>
  <si>
    <t>HEG</t>
  </si>
  <si>
    <t>HEG LIMITED</t>
  </si>
  <si>
    <t>INE578A01017</t>
  </si>
  <si>
    <t>HEIDELBERG</t>
  </si>
  <si>
    <t>HEIDELBERGCEMENT (I) LTD</t>
  </si>
  <si>
    <t>INE0AJG01018</t>
  </si>
  <si>
    <t>HEMIPROP</t>
  </si>
  <si>
    <t>HEMISPHERE PROP IND LTD</t>
  </si>
  <si>
    <t>INE694N01015</t>
  </si>
  <si>
    <t>HERANBA</t>
  </si>
  <si>
    <t>HERANBA INDUSTRIES LTD</t>
  </si>
  <si>
    <t>INE978A01027</t>
  </si>
  <si>
    <t>HERITGFOOD</t>
  </si>
  <si>
    <t>HERITAGE FOODS LTD</t>
  </si>
  <si>
    <t>INE158A01026</t>
  </si>
  <si>
    <t>HEROMOTOCO</t>
  </si>
  <si>
    <t>HERO MOTOCORP LIMITED</t>
  </si>
  <si>
    <t>INE782E01017</t>
  </si>
  <si>
    <t>HESTERBIO</t>
  </si>
  <si>
    <t>HESTER BIOSCIENCES LTD</t>
  </si>
  <si>
    <t>INE750M01017</t>
  </si>
  <si>
    <t>HEXATRADEX</t>
  </si>
  <si>
    <t>HEXA TRADEX LIMITED</t>
  </si>
  <si>
    <t>INE0JUI01012</t>
  </si>
  <si>
    <t>HEXAGON</t>
  </si>
  <si>
    <t>HEXAGON NUTRITION LIMITED</t>
  </si>
  <si>
    <t>INE093A01041</t>
  </si>
  <si>
    <t>HEXT</t>
  </si>
  <si>
    <t>HEXAWARE TECHNOLOGIES LTD</t>
  </si>
  <si>
    <t>INE548A01028</t>
  </si>
  <si>
    <t>HFCL</t>
  </si>
  <si>
    <t>HFCL LIMITED</t>
  </si>
  <si>
    <t>INE0PIC01017</t>
  </si>
  <si>
    <t>HIGREEN</t>
  </si>
  <si>
    <t>HI GREEN CARBON LIMITED</t>
  </si>
  <si>
    <t>INE106T01025</t>
  </si>
  <si>
    <t>HITECH</t>
  </si>
  <si>
    <t>HI-TECH PIPES LIMITED</t>
  </si>
  <si>
    <t>INE00RL01028</t>
  </si>
  <si>
    <t>HILINFRA</t>
  </si>
  <si>
    <t>HIGHWAY INFRASTRUCTURE L</t>
  </si>
  <si>
    <t>INE475B01022</t>
  </si>
  <si>
    <t>HIKAL</t>
  </si>
  <si>
    <t>HIKAL LIMITED</t>
  </si>
  <si>
    <t>INE788H01017</t>
  </si>
  <si>
    <t>HILTON</t>
  </si>
  <si>
    <t>HILTON METAL FORGING LTD</t>
  </si>
  <si>
    <t>INE019C01026</t>
  </si>
  <si>
    <t>HSCL</t>
  </si>
  <si>
    <t>HIMADRI SPECIALITY CHEM L</t>
  </si>
  <si>
    <t>INE049A01027</t>
  </si>
  <si>
    <t>HIMATSEIDE</t>
  </si>
  <si>
    <t>HIMATSINGKA SEIDE LTD</t>
  </si>
  <si>
    <t>INE227B01019</t>
  </si>
  <si>
    <t>HINDALUMI</t>
  </si>
  <si>
    <t>HIND ALUMINIUM INDS. LTD.</t>
  </si>
  <si>
    <t>INE038A01020</t>
  </si>
  <si>
    <t>HINDALCO</t>
  </si>
  <si>
    <t>HINDALCO  INDUSTRIES  LTD</t>
  </si>
  <si>
    <t>INE642Y01029</t>
  </si>
  <si>
    <t>HINDCON</t>
  </si>
  <si>
    <t>HINDCON CHEMICALS LIMITED</t>
  </si>
  <si>
    <t>INE05X901010</t>
  </si>
  <si>
    <t>HPIL</t>
  </si>
  <si>
    <t>HINDPRAKASH INDUSTRY LTD</t>
  </si>
  <si>
    <t>INE170I01016</t>
  </si>
  <si>
    <t>HGS</t>
  </si>
  <si>
    <t>HINDUJA GLOBAL SOLS. LTD.</t>
  </si>
  <si>
    <t>INE074C01013</t>
  </si>
  <si>
    <t>HINDADH</t>
  </si>
  <si>
    <t>HINDUSTAN ADHESIVES LTD.</t>
  </si>
  <si>
    <t>INE066F01020</t>
  </si>
  <si>
    <t>HAL</t>
  </si>
  <si>
    <t>HINDUSTAN AERONAUTICS LTD</t>
  </si>
  <si>
    <t>INE310C01029</t>
  </si>
  <si>
    <t>HINDCOMPOS</t>
  </si>
  <si>
    <t>HINDUSTAN COMPOSITES LTD.</t>
  </si>
  <si>
    <t>INE549A01026</t>
  </si>
  <si>
    <t>HCC</t>
  </si>
  <si>
    <t>HINDUSTAN CONSTRUCTION CO</t>
  </si>
  <si>
    <t>INE531E01026</t>
  </si>
  <si>
    <t>HINDCOPPER</t>
  </si>
  <si>
    <t>HINDUSTAN COPPER LTD</t>
  </si>
  <si>
    <t>INE254N01026</t>
  </si>
  <si>
    <t>HNDFDS</t>
  </si>
  <si>
    <t>HINDUSTAN FOODS LIMITED</t>
  </si>
  <si>
    <t>INE871K01015</t>
  </si>
  <si>
    <t>HMVL</t>
  </si>
  <si>
    <t>HINDUSTAN MEDIA VENT LTD</t>
  </si>
  <si>
    <t>INE345A01011</t>
  </si>
  <si>
    <t>HINDOILEXP</t>
  </si>
  <si>
    <t>HINDUSTAN OIL EXPLORATION</t>
  </si>
  <si>
    <t>INE094A01015</t>
  </si>
  <si>
    <t>HINDPETRO</t>
  </si>
  <si>
    <t>HINDUSTAN PETROLEUM CORP</t>
  </si>
  <si>
    <t>INE030A01027</t>
  </si>
  <si>
    <t>HINDUNILVR</t>
  </si>
  <si>
    <t>HINDUSTAN UNILEVER LTD.</t>
  </si>
  <si>
    <t>INE267A01025</t>
  </si>
  <si>
    <t>HINDZINC</t>
  </si>
  <si>
    <t>HINDUSTAN ZINC LIMITED</t>
  </si>
  <si>
    <t>INE05AN01011</t>
  </si>
  <si>
    <t>HINDWAREAP</t>
  </si>
  <si>
    <t>HINDWARE HME INOVATON LTD</t>
  </si>
  <si>
    <t>INE835D01023</t>
  </si>
  <si>
    <t>HIRECT</t>
  </si>
  <si>
    <t>HIRECT LIMITED</t>
  </si>
  <si>
    <t>INE598C01011</t>
  </si>
  <si>
    <t>HISARMETAL</t>
  </si>
  <si>
    <t>HISAR METAL IND. LIMITED</t>
  </si>
  <si>
    <t>INE07Y701011</t>
  </si>
  <si>
    <t>POWERINDIA</t>
  </si>
  <si>
    <t>HITACHI ENERGY INDIA LTD</t>
  </si>
  <si>
    <t>INE120D01012</t>
  </si>
  <si>
    <t>HITECHCORP</t>
  </si>
  <si>
    <t>HITECH CORPORATION LTD</t>
  </si>
  <si>
    <t>INE461D01028</t>
  </si>
  <si>
    <t>HLEGLAS</t>
  </si>
  <si>
    <t>HLE GLASCOAT LIMITED</t>
  </si>
  <si>
    <t>INE102A01024</t>
  </si>
  <si>
    <t>HLVLTD</t>
  </si>
  <si>
    <t>HLV LIMITED</t>
  </si>
  <si>
    <t>INE0ECP01024</t>
  </si>
  <si>
    <t>HMAAGRO</t>
  </si>
  <si>
    <t>HMA AGRO INDUSTRIES LTD</t>
  </si>
  <si>
    <t>INE2T2Q07063</t>
  </si>
  <si>
    <t>87HMDA39</t>
  </si>
  <si>
    <t>HMDA 8.7% 2039 STRPP J</t>
  </si>
  <si>
    <t>INE262A01018</t>
  </si>
  <si>
    <t>HMT</t>
  </si>
  <si>
    <t>HMT LTD -</t>
  </si>
  <si>
    <t>INE0S6S01017</t>
  </si>
  <si>
    <t>HOACFOODS</t>
  </si>
  <si>
    <t>HOAC FOODS INDIA LIMITED</t>
  </si>
  <si>
    <t>INE0LXA01019</t>
  </si>
  <si>
    <t>HOLMARC</t>
  </si>
  <si>
    <t>HOLMARC OPTO MECHATRO L</t>
  </si>
  <si>
    <t>INE481N01025</t>
  </si>
  <si>
    <t>HOMEFIRST</t>
  </si>
  <si>
    <t>HOME FIRST FIN CO IND LTD</t>
  </si>
  <si>
    <t>INE0J5401028</t>
  </si>
  <si>
    <t>HONASA</t>
  </si>
  <si>
    <t>HONASA CONSUMER LIMITED</t>
  </si>
  <si>
    <t>INE634A01018</t>
  </si>
  <si>
    <t>HONDAPOWER</t>
  </si>
  <si>
    <t>HONDA I POWER PRODUCT LTD</t>
  </si>
  <si>
    <t>INE671A01010</t>
  </si>
  <si>
    <t>HONAUT</t>
  </si>
  <si>
    <t>HONEYWELL AUTOMATION IND</t>
  </si>
  <si>
    <t>INE685T01010</t>
  </si>
  <si>
    <t>HORIZONIND</t>
  </si>
  <si>
    <t>HORIZON INDUSTRIAL PRKS L</t>
  </si>
  <si>
    <t>INE191I01012</t>
  </si>
  <si>
    <t>HDIL</t>
  </si>
  <si>
    <t>HOUSING DEV &amp; INFRA LTD</t>
  </si>
  <si>
    <t>INE0GSL01024</t>
  </si>
  <si>
    <t>HPAL</t>
  </si>
  <si>
    <t>HP ADHESIVES LIMITED</t>
  </si>
  <si>
    <t>INE0VA601019</t>
  </si>
  <si>
    <t>HPTL</t>
  </si>
  <si>
    <t>HP TELECOM INDIA LIMITED</t>
  </si>
  <si>
    <t>INE495S01016</t>
  </si>
  <si>
    <t>HPL</t>
  </si>
  <si>
    <t>HPL ELECTRIC &amp; POWER LTD</t>
  </si>
  <si>
    <t>INE0R3501012</t>
  </si>
  <si>
    <t>HRHNEXT</t>
  </si>
  <si>
    <t>HRH NEXT SERVICES LIMITED</t>
  </si>
  <si>
    <t>INF336L01RX2</t>
  </si>
  <si>
    <t>HSBCGOLD</t>
  </si>
  <si>
    <t>HSBCAMC - HSBCGOLD</t>
  </si>
  <si>
    <t>INE031A01017</t>
  </si>
  <si>
    <t>HUDCO</t>
  </si>
  <si>
    <t>HSG &amp; URBAN DEV CORPN LTD</t>
  </si>
  <si>
    <t>INE501G01024</t>
  </si>
  <si>
    <t>HTMEDIA</t>
  </si>
  <si>
    <t>HT MEDIA LIMITED</t>
  </si>
  <si>
    <t>INE703H01016</t>
  </si>
  <si>
    <t>HUBTOWN</t>
  </si>
  <si>
    <t>HUBTOWN LIMITED</t>
  </si>
  <si>
    <t>INE275B01026</t>
  </si>
  <si>
    <t>HUHTAMAKI</t>
  </si>
  <si>
    <t>HUHTAMAKI INDIA LIMITED</t>
  </si>
  <si>
    <t>INE0TO501019</t>
  </si>
  <si>
    <t>HVAX</t>
  </si>
  <si>
    <t>HVAX TECHNOLOGIES LIMITED</t>
  </si>
  <si>
    <t>INE0LEG01024</t>
  </si>
  <si>
    <t>HTEL</t>
  </si>
  <si>
    <t>HY-TECH ENGINEERS LIMITED</t>
  </si>
  <si>
    <t>INE965B01022</t>
  </si>
  <si>
    <t>HYBRIDFIN</t>
  </si>
  <si>
    <t>HYBRID FINANCIAL SERVICE</t>
  </si>
  <si>
    <t>INE0V6F01027</t>
  </si>
  <si>
    <t>HYUNDAI</t>
  </si>
  <si>
    <t>HYUNDAI MOTOR INDIA LTD</t>
  </si>
  <si>
    <t>INE204A01010</t>
  </si>
  <si>
    <t>IGPL</t>
  </si>
  <si>
    <t>I G PETROCHEMICALS LTD</t>
  </si>
  <si>
    <t>INE684B01029</t>
  </si>
  <si>
    <t>ISTLTD</t>
  </si>
  <si>
    <t>I S T LTD.</t>
  </si>
  <si>
    <t>INE0O7401018</t>
  </si>
  <si>
    <t>IBLFL</t>
  </si>
  <si>
    <t>IBL FINANCE LIMITED</t>
  </si>
  <si>
    <t>INE0XE501015</t>
  </si>
  <si>
    <t>ICELCO</t>
  </si>
  <si>
    <t>IC ELECTRICALS COMPANY L</t>
  </si>
  <si>
    <t>INE613B01010</t>
  </si>
  <si>
    <t>ICDSLTD</t>
  </si>
  <si>
    <t>ICDS LTD</t>
  </si>
  <si>
    <t>INE520Y01019</t>
  </si>
  <si>
    <t>ICEMAKE</t>
  </si>
  <si>
    <t>ICE MAKE REFRIGERAT LTD</t>
  </si>
  <si>
    <t>INE090A01021</t>
  </si>
  <si>
    <t>ICICIBANK</t>
  </si>
  <si>
    <t>ICICI BANK LTD.</t>
  </si>
  <si>
    <t>INE765G01017</t>
  </si>
  <si>
    <t>ICICIGI</t>
  </si>
  <si>
    <t>ICICI LOMBARD GIC LIMITED</t>
  </si>
  <si>
    <t>INF109KC19U5</t>
  </si>
  <si>
    <t>LOWVOLIETF</t>
  </si>
  <si>
    <t>ICICI PR NIF LW VL 30 ETF</t>
  </si>
  <si>
    <t>INE726G01019</t>
  </si>
  <si>
    <t>ICICIPRULI</t>
  </si>
  <si>
    <t>ICICI PRU LIFE INS CO LTD</t>
  </si>
  <si>
    <t>INF109KC10W0</t>
  </si>
  <si>
    <t>MIDSELIETF</t>
  </si>
  <si>
    <t>ICICI PRUD MIDCAP SEL ETF</t>
  </si>
  <si>
    <t>INF109KC16V9</t>
  </si>
  <si>
    <t>NIF100IETF</t>
  </si>
  <si>
    <t>ICICI PRUD NIFTY 100 ETF</t>
  </si>
  <si>
    <t>INF109K012R6</t>
  </si>
  <si>
    <t>NIFTYIETF</t>
  </si>
  <si>
    <t>ICICI PRUD NIFTY ETF</t>
  </si>
  <si>
    <t>INF346A01034</t>
  </si>
  <si>
    <t>SENSEXIETF</t>
  </si>
  <si>
    <t>ICICI PRUD SENSEX ETF</t>
  </si>
  <si>
    <t>INE346A01027</t>
  </si>
  <si>
    <t>ICICIAMC</t>
  </si>
  <si>
    <t>ICICI PRUDENTIAL AMC LTD</t>
  </si>
  <si>
    <t>INF109KC1NT3</t>
  </si>
  <si>
    <t>GOLDIETF</t>
  </si>
  <si>
    <t>ICICI PRUDENTIAL GOLD ETF</t>
  </si>
  <si>
    <t>INF109KC11V0</t>
  </si>
  <si>
    <t>NV20IETF</t>
  </si>
  <si>
    <t>ICICI PRUDENTIAL NV20 ETF</t>
  </si>
  <si>
    <t>INF109KB15Y7</t>
  </si>
  <si>
    <t>ICICIB22</t>
  </si>
  <si>
    <t>ICICIPRAMC - BHARATIWIN</t>
  </si>
  <si>
    <t>INF109K1A021</t>
  </si>
  <si>
    <t>CASHIETF</t>
  </si>
  <si>
    <t>ICICIPRAMC - CASHIETF</t>
  </si>
  <si>
    <t>INF109K1A153</t>
  </si>
  <si>
    <t>EVIETF</t>
  </si>
  <si>
    <t>ICICIPRAMC - EVIETF</t>
  </si>
  <si>
    <t>INF109KC18O0</t>
  </si>
  <si>
    <t>GSEC10IETF</t>
  </si>
  <si>
    <t>ICICIPRAMC - ICICI10GS</t>
  </si>
  <si>
    <t>INF109KC1V59</t>
  </si>
  <si>
    <t>BSE500IETF</t>
  </si>
  <si>
    <t>ICICIPRAMC - ICICI500</t>
  </si>
  <si>
    <t>INF109KC14A8</t>
  </si>
  <si>
    <t>GSEC5IETF</t>
  </si>
  <si>
    <t>ICICIPRAMC - ICICI5GSEC</t>
  </si>
  <si>
    <t>INF109KC17V7</t>
  </si>
  <si>
    <t>ALPL30IETF</t>
  </si>
  <si>
    <t>ICICIPRAMC - ICICIALPLV</t>
  </si>
  <si>
    <t>INF109KC10V2</t>
  </si>
  <si>
    <t>AUTOIETF</t>
  </si>
  <si>
    <t>ICICIPRAMC - ICICIAUTO</t>
  </si>
  <si>
    <t>INF109KC18U7</t>
  </si>
  <si>
    <t>PVTBANIETF</t>
  </si>
  <si>
    <t>ICICIPRAMC - ICICIBANKP</t>
  </si>
  <si>
    <t>INF109KC19O8</t>
  </si>
  <si>
    <t>COMMOIETF</t>
  </si>
  <si>
    <t>ICICIPRAMC - ICICICOMMO</t>
  </si>
  <si>
    <t>INF109KC1V42</t>
  </si>
  <si>
    <t>CONSUMIETF</t>
  </si>
  <si>
    <t>ICICIPRAMC - ICICICONSU</t>
  </si>
  <si>
    <t>INF109KC19V3</t>
  </si>
  <si>
    <t>FMCGIETF</t>
  </si>
  <si>
    <t>ICICIPRAMC - ICICIFMCG</t>
  </si>
  <si>
    <t>INF109KC16E5</t>
  </si>
  <si>
    <t>INFRAIETF</t>
  </si>
  <si>
    <t>ICICIPRAMC - ICICIINFRA</t>
  </si>
  <si>
    <t>INF109KC1KT9</t>
  </si>
  <si>
    <t>LIQUIDIETF</t>
  </si>
  <si>
    <t>ICICIPRAMC - ICICILIQ</t>
  </si>
  <si>
    <t>INF109KC11W8</t>
  </si>
  <si>
    <t>MIDCAPIETF</t>
  </si>
  <si>
    <t>ICICIPRAMC - ICICIM150</t>
  </si>
  <si>
    <t>INF109KC17C7</t>
  </si>
  <si>
    <t>MOM30IETF</t>
  </si>
  <si>
    <t>ICICIPRAMC - ICICIMOM30</t>
  </si>
  <si>
    <t>INF109KC1NS5</t>
  </si>
  <si>
    <t>NEXT50IETF</t>
  </si>
  <si>
    <t>ICICIPRAMC - ICICINXT50</t>
  </si>
  <si>
    <t>INF109KC1Q72</t>
  </si>
  <si>
    <t>HEALTHIETF</t>
  </si>
  <si>
    <t>ICICIPRAMC - ICICIPHARM</t>
  </si>
  <si>
    <t>INF109KC18V5</t>
  </si>
  <si>
    <t>QUAL30IETF</t>
  </si>
  <si>
    <t>ICICIPRAMC - ICICIQTY30</t>
  </si>
  <si>
    <t>INF109KC1Y56</t>
  </si>
  <si>
    <t>SILVERIETF</t>
  </si>
  <si>
    <t>ICICIPRAMC - ICICISILVE</t>
  </si>
  <si>
    <t>INF109KC16I6</t>
  </si>
  <si>
    <t>ITIETF</t>
  </si>
  <si>
    <t>ICICIPRAMC - ICICITECH</t>
  </si>
  <si>
    <t>INF109K1A567</t>
  </si>
  <si>
    <t>INSUREIETF</t>
  </si>
  <si>
    <t>ICICIPRAMC - INSUREIETF</t>
  </si>
  <si>
    <t>INF109KC15I8</t>
  </si>
  <si>
    <t>BANKIETF</t>
  </si>
  <si>
    <t>ICICIPRAMC - IPRU5008</t>
  </si>
  <si>
    <t>INF109KC19W1</t>
  </si>
  <si>
    <t>METALIETF</t>
  </si>
  <si>
    <t>ICICIPRAMC - METALIETF</t>
  </si>
  <si>
    <t>INF109KC18W3</t>
  </si>
  <si>
    <t>OILIETF</t>
  </si>
  <si>
    <t>ICICIPRAMC - OILIETF</t>
  </si>
  <si>
    <t>INF109KC10S8</t>
  </si>
  <si>
    <t>PSUBNKIETF</t>
  </si>
  <si>
    <t>ICICIPRAMC - PSUBANKICI</t>
  </si>
  <si>
    <t>INF109K1A476</t>
  </si>
  <si>
    <t>SMALLIETF</t>
  </si>
  <si>
    <t>ICICIPRAMC - SMALLIETF</t>
  </si>
  <si>
    <t>INF109K1A344</t>
  </si>
  <si>
    <t>TOP15IETF</t>
  </si>
  <si>
    <t>ICICIPRAMC - TOP15IETF</t>
  </si>
  <si>
    <t>INF109KC16X5</t>
  </si>
  <si>
    <t>VAL30IETF</t>
  </si>
  <si>
    <t>ICICIPRAMC - VAL30IETF</t>
  </si>
  <si>
    <t>INF109KC17L8</t>
  </si>
  <si>
    <t>FINIETF</t>
  </si>
  <si>
    <t>ICICIPRAMC-ICICIFIN</t>
  </si>
  <si>
    <t>INE725G01011</t>
  </si>
  <si>
    <t>ICRA</t>
  </si>
  <si>
    <t>ICRA LIMITED</t>
  </si>
  <si>
    <t>INE008A01015</t>
  </si>
  <si>
    <t>IDBI</t>
  </si>
  <si>
    <t>IDBI BANK LIMITED</t>
  </si>
  <si>
    <t>INE349Y01013</t>
  </si>
  <si>
    <t>IDEAFORGE</t>
  </si>
  <si>
    <t>IDEAFORGE TECHNO LTD</t>
  </si>
  <si>
    <t>INE0TD101011</t>
  </si>
  <si>
    <t>IDENTICAL</t>
  </si>
  <si>
    <t>IDENTICAL BRAINS STUDIO L</t>
  </si>
  <si>
    <t>INE092T01019</t>
  </si>
  <si>
    <t>IDFCFIRSTB</t>
  </si>
  <si>
    <t>IDFC FIRST BANK LIMITED</t>
  </si>
  <si>
    <t>INE076C01018</t>
  </si>
  <si>
    <t>IFBAGRO</t>
  </si>
  <si>
    <t>IFB AGRO INDUSTRIES LTD</t>
  </si>
  <si>
    <t>INE559A01017</t>
  </si>
  <si>
    <t>IFBIND</t>
  </si>
  <si>
    <t>IFB INDUSTRIES LTD</t>
  </si>
  <si>
    <t>INE039A01010</t>
  </si>
  <si>
    <t>IFCI</t>
  </si>
  <si>
    <t>IFCI LTD</t>
  </si>
  <si>
    <t>INE133Y01011</t>
  </si>
  <si>
    <t>IFGLEXPOR</t>
  </si>
  <si>
    <t>IFGL REFRACTORIES LIMITED</t>
  </si>
  <si>
    <t>INE01XO07017</t>
  </si>
  <si>
    <t>1225IFL27</t>
  </si>
  <si>
    <t>IFL 12.25% 2027</t>
  </si>
  <si>
    <t>INE01XO07025</t>
  </si>
  <si>
    <t>1225IFL28</t>
  </si>
  <si>
    <t>IFL 12.25% 2028</t>
  </si>
  <si>
    <t>INE188B01013</t>
  </si>
  <si>
    <t>IGARASHI</t>
  </si>
  <si>
    <t>IGARASHI MOTORS INDIA LTD</t>
  </si>
  <si>
    <t>INE530B07633</t>
  </si>
  <si>
    <t>865IIFL31</t>
  </si>
  <si>
    <t>Y6</t>
  </si>
  <si>
    <t>IIFL 8.65% TR I SR III</t>
  </si>
  <si>
    <t>INE530B07575</t>
  </si>
  <si>
    <t>885IIFL29</t>
  </si>
  <si>
    <t>Y8</t>
  </si>
  <si>
    <t>IIFL 8.85% TR I SR V</t>
  </si>
  <si>
    <t>INE489L01022</t>
  </si>
  <si>
    <t>IIFLCAPS</t>
  </si>
  <si>
    <t>IIFL CAPITAL SERVICES LTD</t>
  </si>
  <si>
    <t>INE530B01024</t>
  </si>
  <si>
    <t>IIFL</t>
  </si>
  <si>
    <t>IIFL FINANCE LIMITED</t>
  </si>
  <si>
    <t>INE530B07583</t>
  </si>
  <si>
    <t>IIFL060326</t>
  </si>
  <si>
    <t>YA</t>
  </si>
  <si>
    <t>IIFL TR I SR VII</t>
  </si>
  <si>
    <t>INE0LOJ01019</t>
  </si>
  <si>
    <t>IKIO</t>
  </si>
  <si>
    <t>IKIO TECHNOLOGIES LIMITED</t>
  </si>
  <si>
    <t>INE369I01014</t>
  </si>
  <si>
    <t>IL&amp;FSENGG</t>
  </si>
  <si>
    <t>IL&amp;FS ENG AND CONS CO LTD</t>
  </si>
  <si>
    <t>INE050B01023</t>
  </si>
  <si>
    <t>IVC</t>
  </si>
  <si>
    <t>IL&amp;FS INVESTMENT MANAGERS</t>
  </si>
  <si>
    <t>INE975G01012</t>
  </si>
  <si>
    <t>IL&amp;FSTRANS</t>
  </si>
  <si>
    <t>IL&amp;FS TRANS NET LTD</t>
  </si>
  <si>
    <t>INE172N01012</t>
  </si>
  <si>
    <t>IMAGICAA</t>
  </si>
  <si>
    <t>IMAGICAAWORLD ENT LTD</t>
  </si>
  <si>
    <t>INE691G01015</t>
  </si>
  <si>
    <t>IMPEXFERRO</t>
  </si>
  <si>
    <t>IMPEX FERRO TECH LIMITED</t>
  </si>
  <si>
    <t>INE452L01012</t>
  </si>
  <si>
    <t>INCREDIBLE</t>
  </si>
  <si>
    <t>INCREDIBLE INDUSTRIES LTD</t>
  </si>
  <si>
    <t>INE547E01014</t>
  </si>
  <si>
    <t>IMPAL</t>
  </si>
  <si>
    <t>IND MOTOR PART &amp; ACC LTD</t>
  </si>
  <si>
    <t>INE915B01019</t>
  </si>
  <si>
    <t>INDSWFTLAB</t>
  </si>
  <si>
    <t>IND SWIFT LABORATORIES LT</t>
  </si>
  <si>
    <t>INE611L01021</t>
  </si>
  <si>
    <t>INDTERRAIN</t>
  </si>
  <si>
    <t>IND TERRAIN FASHIONS LTD</t>
  </si>
  <si>
    <t>INE841B01017</t>
  </si>
  <si>
    <t>INDBANK</t>
  </si>
  <si>
    <t>INDBANK MERCH BANK</t>
  </si>
  <si>
    <t>INE0O9T01021</t>
  </si>
  <si>
    <t>BAJAJINDEF</t>
  </si>
  <si>
    <t>INDEF MANUFACTURING LTD</t>
  </si>
  <si>
    <t>INE065X01017</t>
  </si>
  <si>
    <t>INDGN</t>
  </si>
  <si>
    <t>INDEGENE LIMITED</t>
  </si>
  <si>
    <t>INE560A01023</t>
  </si>
  <si>
    <t>INDIAGLYCO</t>
  </si>
  <si>
    <t>INDIA GLYCOLS LTD</t>
  </si>
  <si>
    <t>INE092B01025</t>
  </si>
  <si>
    <t>INDNIPPON</t>
  </si>
  <si>
    <t>INDIA NIPPON ELECT  LTD</t>
  </si>
  <si>
    <t>INE0D6701023</t>
  </si>
  <si>
    <t>IPL</t>
  </si>
  <si>
    <t>INDIA PESTICIDES LIMITED</t>
  </si>
  <si>
    <t>INE922K01024</t>
  </si>
  <si>
    <t>INDIASHLTR</t>
  </si>
  <si>
    <t>INDIA SHELTER FIN CORP L</t>
  </si>
  <si>
    <t>INE353K01014</t>
  </si>
  <si>
    <t>ITDC</t>
  </si>
  <si>
    <t>INDIA TOUR. DEV. CO. LTD.</t>
  </si>
  <si>
    <t>INE126M01010</t>
  </si>
  <si>
    <t>IBULLSLTD</t>
  </si>
  <si>
    <t>INDIABULLS LIMITED</t>
  </si>
  <si>
    <t>INE933S01016</t>
  </si>
  <si>
    <t>INDIAMART</t>
  </si>
  <si>
    <t>INDIAMART INTERMESH LTD</t>
  </si>
  <si>
    <t>INE562A01011</t>
  </si>
  <si>
    <t>INDIANB</t>
  </si>
  <si>
    <t>INDIAN BANK</t>
  </si>
  <si>
    <t>INE061A01014</t>
  </si>
  <si>
    <t>INDIANCARD</t>
  </si>
  <si>
    <t>INDIAN CARD CLOTHING CO.</t>
  </si>
  <si>
    <t>INE0RRU01016</t>
  </si>
  <si>
    <t>IEML</t>
  </si>
  <si>
    <t>INDIAN EMULSIFIERS LTD</t>
  </si>
  <si>
    <t>INE022Q01020</t>
  </si>
  <si>
    <t>IEX</t>
  </si>
  <si>
    <t>INDIAN ENERGY EXC LTD</t>
  </si>
  <si>
    <t>INE323C01030</t>
  </si>
  <si>
    <t>INDIANHUME</t>
  </si>
  <si>
    <t>INDIAN HUME PIPE CO. LTD.</t>
  </si>
  <si>
    <t>INE919H01018</t>
  </si>
  <si>
    <t>IMFA</t>
  </si>
  <si>
    <t>INDIAN METALS &amp; FERRO</t>
  </si>
  <si>
    <t>INE242A01010</t>
  </si>
  <si>
    <t>IOC</t>
  </si>
  <si>
    <t>INDIAN OIL CORP LTD</t>
  </si>
  <si>
    <t>INE565A01014</t>
  </si>
  <si>
    <t>IOB</t>
  </si>
  <si>
    <t>INDIAN OVERSEAS BANK</t>
  </si>
  <si>
    <t>INE0DHF01018</t>
  </si>
  <si>
    <t>IPHL</t>
  </si>
  <si>
    <t>INDIAN PHOSPHATE LIMITED</t>
  </si>
  <si>
    <t>INE335Y01020</t>
  </si>
  <si>
    <t>IRCTC</t>
  </si>
  <si>
    <t>INDIAN RAIL TOUR CORP LTD</t>
  </si>
  <si>
    <t>INE053F01010</t>
  </si>
  <si>
    <t>IRFC</t>
  </si>
  <si>
    <t>INDIAN RAILWAY FIN CORP L</t>
  </si>
  <si>
    <t>INE202E01016</t>
  </si>
  <si>
    <t>IREDA</t>
  </si>
  <si>
    <t>INDIAN RENEWABLE ENERGY</t>
  </si>
  <si>
    <t>INE586E01020</t>
  </si>
  <si>
    <t>IWP</t>
  </si>
  <si>
    <t>INDIAN WOOD PRODUCTS CO L</t>
  </si>
  <si>
    <t>INE09VQ01012</t>
  </si>
  <si>
    <t>INDIGOPNTS</t>
  </si>
  <si>
    <t>INDIGO PAINTS LIMITED</t>
  </si>
  <si>
    <t>INE219X23014</t>
  </si>
  <si>
    <t>INDIGRID</t>
  </si>
  <si>
    <t>INDIGRID INFRASTRUCT TRST</t>
  </si>
  <si>
    <t>INE06ST01018</t>
  </si>
  <si>
    <t>INDIQUBE</t>
  </si>
  <si>
    <t>INDIQUBE SPACES LIMITED</t>
  </si>
  <si>
    <t>INE760F01028</t>
  </si>
  <si>
    <t>INDOAMIN</t>
  </si>
  <si>
    <t>INDO AMINES LIMITED</t>
  </si>
  <si>
    <t>INE803D01021</t>
  </si>
  <si>
    <t>INDOBORAX</t>
  </si>
  <si>
    <t>INDO BORAX &amp; CHEMICAL LTD</t>
  </si>
  <si>
    <t>INE483B01026</t>
  </si>
  <si>
    <t>ICIL</t>
  </si>
  <si>
    <t>INDO COUNT INDUSTRIES LTD</t>
  </si>
  <si>
    <t>INE622H01018</t>
  </si>
  <si>
    <t>INDOFARM</t>
  </si>
  <si>
    <t>INDO FARM EQUIPMENT LTD</t>
  </si>
  <si>
    <t>INE156A01020</t>
  </si>
  <si>
    <t>INDORAMA</t>
  </si>
  <si>
    <t>INDO RAMA SYNTHETICS LTD</t>
  </si>
  <si>
    <t>INE332H01014</t>
  </si>
  <si>
    <t>INDOTECH</t>
  </si>
  <si>
    <t>INDO TECH TRANSFORM LTD.</t>
  </si>
  <si>
    <t>INE337M01021</t>
  </si>
  <si>
    <t>INDOTHAI</t>
  </si>
  <si>
    <t>INDO THAI SEC LTD</t>
  </si>
  <si>
    <t>INE250Z01010</t>
  </si>
  <si>
    <t>INDOUS</t>
  </si>
  <si>
    <t>INDO US BIOTECH LTD</t>
  </si>
  <si>
    <t>INE084101034</t>
  </si>
  <si>
    <t>INDOMIM</t>
  </si>
  <si>
    <t>INDO-MIM LIMITED</t>
  </si>
  <si>
    <t>INE567A01028</t>
  </si>
  <si>
    <t>NIPPOBATRY</t>
  </si>
  <si>
    <t>INDO-NATIONAL LIMITED</t>
  </si>
  <si>
    <t>INE873D01024</t>
  </si>
  <si>
    <t>INDOCO</t>
  </si>
  <si>
    <t>INDOCO REMEDIES LTD.</t>
  </si>
  <si>
    <t>INE05J901018</t>
  </si>
  <si>
    <t>IGCL</t>
  </si>
  <si>
    <t>INDOGULF CROPSCIENCES LTD</t>
  </si>
  <si>
    <t>INE716F01012</t>
  </si>
  <si>
    <t>INDOKEM</t>
  </si>
  <si>
    <t>INDOKEM LTD.</t>
  </si>
  <si>
    <t>INE866K01023</t>
  </si>
  <si>
    <t>WAAREEINDO</t>
  </si>
  <si>
    <t>INDOSOLAR LIMITED</t>
  </si>
  <si>
    <t>INE896L01010</t>
  </si>
  <si>
    <t>INDOSTAR</t>
  </si>
  <si>
    <t>INDOSTAR CAPITAL FIN LTD</t>
  </si>
  <si>
    <t>INE227G01018</t>
  </si>
  <si>
    <t>INDOWIND</t>
  </si>
  <si>
    <t>INDOWIND ENERGY LTD</t>
  </si>
  <si>
    <t>INE203G01027</t>
  </si>
  <si>
    <t>IGL</t>
  </si>
  <si>
    <t>INDRAPRASTHA GAS LTD</t>
  </si>
  <si>
    <t>INE681B01017</t>
  </si>
  <si>
    <t>INDRAMEDCO</t>
  </si>
  <si>
    <t>INDRAPRASTHA MEDICAL CORP</t>
  </si>
  <si>
    <t>INE0NHL23019</t>
  </si>
  <si>
    <t>INDUSINVIT</t>
  </si>
  <si>
    <t>INDUS INFRA TRUST</t>
  </si>
  <si>
    <t>INE121J01017</t>
  </si>
  <si>
    <t>INDUSTOWER</t>
  </si>
  <si>
    <t>INDUS TOWERS LIMITED</t>
  </si>
  <si>
    <t>INE095A01012</t>
  </si>
  <si>
    <t>INDUSINDBK</t>
  </si>
  <si>
    <t>INDUSIND BANK LIMITED</t>
  </si>
  <si>
    <t>INE620D01011</t>
  </si>
  <si>
    <t>INDPRUD</t>
  </si>
  <si>
    <t>INDUSTRIAL &amp; PRU INV CO L</t>
  </si>
  <si>
    <t>INE886A01014</t>
  </si>
  <si>
    <t>IITL</t>
  </si>
  <si>
    <t>INDUSTRIAL INV TRUST LTD</t>
  </si>
  <si>
    <t>INE0MRE01011</t>
  </si>
  <si>
    <t>INFINIUM</t>
  </si>
  <si>
    <t>INFINIUM PHARMACHEM LTD</t>
  </si>
  <si>
    <t>INE0MYZ01012</t>
  </si>
  <si>
    <t>INFLUX</t>
  </si>
  <si>
    <t>INFLUX HEALTHTECH LIMITED</t>
  </si>
  <si>
    <t>INE663F01032</t>
  </si>
  <si>
    <t>NAUKRI</t>
  </si>
  <si>
    <t>INFO EDGE (I) LTD</t>
  </si>
  <si>
    <t>INE344S01016</t>
  </si>
  <si>
    <t>INFOBEAN</t>
  </si>
  <si>
    <t>INFOBEANS TECHNO. LTD.</t>
  </si>
  <si>
    <t>INE0NNZ01013</t>
  </si>
  <si>
    <t>INFOLLION</t>
  </si>
  <si>
    <t>INFOLLION RESEARCH SER L</t>
  </si>
  <si>
    <t>INE669A01022</t>
  </si>
  <si>
    <t>INFOMEDIA</t>
  </si>
  <si>
    <t>INFOMEDIA PRESS LIMITED</t>
  </si>
  <si>
    <t>INE009A01021</t>
  </si>
  <si>
    <t>INFY</t>
  </si>
  <si>
    <t>INFOSYS LIMITED</t>
  </si>
  <si>
    <t>INE177A01018</t>
  </si>
  <si>
    <t>INGERRAND</t>
  </si>
  <si>
    <t>INGERSOLL-RAND INDIA LTD</t>
  </si>
  <si>
    <t>INE0S1D01010</t>
  </si>
  <si>
    <t>INNOMET</t>
  </si>
  <si>
    <t>INNOMET ADVANCED MATERI L</t>
  </si>
  <si>
    <t>INE0DUT01020</t>
  </si>
  <si>
    <t>INNOVACAP</t>
  </si>
  <si>
    <t>INNOVA CAPTAB LIMITED</t>
  </si>
  <si>
    <t>INE403Y01018</t>
  </si>
  <si>
    <t>INNOVANA</t>
  </si>
  <si>
    <t>INNOVANA THINKLABS LTD</t>
  </si>
  <si>
    <t>INE070Y01023</t>
  </si>
  <si>
    <t>ITTL</t>
  </si>
  <si>
    <t>INNOVATIVE TYRE &amp; TUBE LT</t>
  </si>
  <si>
    <t>INE0ADB01012</t>
  </si>
  <si>
    <t>INNOVISION</t>
  </si>
  <si>
    <t>INNOVISION LIMITED</t>
  </si>
  <si>
    <t>INE510W01014</t>
  </si>
  <si>
    <t>INOXGREEN</t>
  </si>
  <si>
    <t>INOX GREEN ENERGY SER LTD</t>
  </si>
  <si>
    <t>INE616N01034</t>
  </si>
  <si>
    <t>INOXINDIA</t>
  </si>
  <si>
    <t>INOX INDIA LIMITED</t>
  </si>
  <si>
    <t>INE066P01011</t>
  </si>
  <si>
    <t>INOXWIND</t>
  </si>
  <si>
    <t>INOX WIND LIMITED</t>
  </si>
  <si>
    <t>INE070I01018</t>
  </si>
  <si>
    <t>INSECTICID</t>
  </si>
  <si>
    <t>INSECTICIDES (I) LTD</t>
  </si>
  <si>
    <t>INE0LGX01024</t>
  </si>
  <si>
    <t>INA</t>
  </si>
  <si>
    <t>INSOLATION ENERGY LIMITED</t>
  </si>
  <si>
    <t>INE0NDX01019</t>
  </si>
  <si>
    <t>INSPIRE</t>
  </si>
  <si>
    <t>INSPIRE FILMS LIMITED</t>
  </si>
  <si>
    <t>INE020G01017</t>
  </si>
  <si>
    <t>INSPIRISYS</t>
  </si>
  <si>
    <t>INSPIRISYS SOLUTIONS LTD</t>
  </si>
  <si>
    <t>INE418N01035</t>
  </si>
  <si>
    <t>ESSENTIA</t>
  </si>
  <si>
    <t>INTEGRA ESSENTIA LIMITED</t>
  </si>
  <si>
    <t>INE306R01017</t>
  </si>
  <si>
    <t>INTELLECT</t>
  </si>
  <si>
    <t>INTELLECT DESIGN ARENA</t>
  </si>
  <si>
    <t>INE781A01025</t>
  </si>
  <si>
    <t>INTENTECH</t>
  </si>
  <si>
    <t>INTENSE TECHNOLOGIES LTD</t>
  </si>
  <si>
    <t>INE00M901018</t>
  </si>
  <si>
    <t>INTERARCH</t>
  </si>
  <si>
    <t>INTERARCH BLDNG SOLTN LTD</t>
  </si>
  <si>
    <t>INE646L01027</t>
  </si>
  <si>
    <t>INDIGO</t>
  </si>
  <si>
    <t>INTERGLOBE AVIATION LTD</t>
  </si>
  <si>
    <t>INE575C01027</t>
  </si>
  <si>
    <t>INTLCONV</t>
  </si>
  <si>
    <t>INTL CONVEYORS LIMITED</t>
  </si>
  <si>
    <t>INE0Q9301021</t>
  </si>
  <si>
    <t>IGIL</t>
  </si>
  <si>
    <t>INTL GEMOLOGICAL INST LTD</t>
  </si>
  <si>
    <t>INE566K01011</t>
  </si>
  <si>
    <t>ISFT</t>
  </si>
  <si>
    <t>INTRASOFT TECH. LTD</t>
  </si>
  <si>
    <t>INE878H01024</t>
  </si>
  <si>
    <t>INVENTURE</t>
  </si>
  <si>
    <t>INVENTURE GRO &amp; SEC LTD</t>
  </si>
  <si>
    <t>INE115Q01022</t>
  </si>
  <si>
    <t>IKS</t>
  </si>
  <si>
    <t>INVENTURUS KNOWLEDGE SO L</t>
  </si>
  <si>
    <t>INF205KA1BP1</t>
  </si>
  <si>
    <t>IVZINGOLD</t>
  </si>
  <si>
    <t>INVESCO INDIA GOLD ETF</t>
  </si>
  <si>
    <t>INF205KA1CC7</t>
  </si>
  <si>
    <t>IVZINNIFTY</t>
  </si>
  <si>
    <t>INVESCO INDIA NIFTY ETF</t>
  </si>
  <si>
    <t>INE155E01016</t>
  </si>
  <si>
    <t>INVPRECQ</t>
  </si>
  <si>
    <t>INVESTMENT &amp; PREC CAST L</t>
  </si>
  <si>
    <t>INE0XJ501010</t>
  </si>
  <si>
    <t>INVICTA</t>
  </si>
  <si>
    <t>INVICTA DIAGNOSTIC LTD</t>
  </si>
  <si>
    <t>INE485C01029</t>
  </si>
  <si>
    <t>IOLCP</t>
  </si>
  <si>
    <t>IOL CHEM AND PHARMA LTD</t>
  </si>
  <si>
    <t>INE570A01022</t>
  </si>
  <si>
    <t>IONEXCHANG</t>
  </si>
  <si>
    <t>ION EXCHANGE (INDIA) LTD</t>
  </si>
  <si>
    <t>INE558A01019</t>
  </si>
  <si>
    <t>IPRINGLTD</t>
  </si>
  <si>
    <t>IP RINGS LTD.</t>
  </si>
  <si>
    <t>INE571A01038</t>
  </si>
  <si>
    <t>IPCALAB</t>
  </si>
  <si>
    <t>IPCA LABORATORIES LTD</t>
  </si>
  <si>
    <t>INE821I01022</t>
  </si>
  <si>
    <t>IRB</t>
  </si>
  <si>
    <t>IRB INFRA DEV LTD.</t>
  </si>
  <si>
    <t>INE183W23014</t>
  </si>
  <si>
    <t>IRBINVIT</t>
  </si>
  <si>
    <t>IRB INVIT FUND</t>
  </si>
  <si>
    <t>INE962Y01021</t>
  </si>
  <si>
    <t>IRCON</t>
  </si>
  <si>
    <t>IRCON INTERNATIONAL LTD</t>
  </si>
  <si>
    <t>INE202E07138</t>
  </si>
  <si>
    <t>880IREDA29</t>
  </si>
  <si>
    <t>IREDA 8.80NCDTR I SR II B</t>
  </si>
  <si>
    <t>INE01GN01025</t>
  </si>
  <si>
    <t>IRISDOREME</t>
  </si>
  <si>
    <t>IRIS CLOTHINGS LIMITED</t>
  </si>
  <si>
    <t>INE864K01010</t>
  </si>
  <si>
    <t>IRIS</t>
  </si>
  <si>
    <t>IRIS REGTECH SOLUTION LTD</t>
  </si>
  <si>
    <t>INE07U701015</t>
  </si>
  <si>
    <t>IRMENERGY</t>
  </si>
  <si>
    <t>IRM ENERGY LIMITED</t>
  </si>
  <si>
    <t>INE858B01029</t>
  </si>
  <si>
    <t>ISGEC</t>
  </si>
  <si>
    <t>ISGEC HEAVY ENG LTD</t>
  </si>
  <si>
    <t>INE561M01018</t>
  </si>
  <si>
    <t>ISHANCH</t>
  </si>
  <si>
    <t>ISHAN DYES N CHEMICALS L</t>
  </si>
  <si>
    <t>INE0R7R01018</t>
  </si>
  <si>
    <t>ITALIANE</t>
  </si>
  <si>
    <t>ITALIAN EDIBLES LIMITED</t>
  </si>
  <si>
    <t>INE379A01028</t>
  </si>
  <si>
    <t>ITCHOTELS</t>
  </si>
  <si>
    <t>ITC HOTELS LIMITED</t>
  </si>
  <si>
    <t>INE154A01025</t>
  </si>
  <si>
    <t>ITC</t>
  </si>
  <si>
    <t>ITC LTD</t>
  </si>
  <si>
    <t>INE248A01017</t>
  </si>
  <si>
    <t>ITI</t>
  </si>
  <si>
    <t>ITI LTD</t>
  </si>
  <si>
    <t>INE478D01014</t>
  </si>
  <si>
    <t>ITL</t>
  </si>
  <si>
    <t>ITL INDUSTRIES LTD.</t>
  </si>
  <si>
    <t>INE056801025</t>
  </si>
  <si>
    <t>IVALUE</t>
  </si>
  <si>
    <t>IVALUE INFOSOLUTIONS LTD</t>
  </si>
  <si>
    <t>INE043C01018</t>
  </si>
  <si>
    <t>IVP</t>
  </si>
  <si>
    <t>IVP LIMITED</t>
  </si>
  <si>
    <t>INE1AII01014</t>
  </si>
  <si>
    <t>IWARE</t>
  </si>
  <si>
    <t>IWARE SUPPLYCHAIN SER LTD</t>
  </si>
  <si>
    <t>INE848A01014</t>
  </si>
  <si>
    <t>IZMO</t>
  </si>
  <si>
    <t>IZMO LIMITED</t>
  </si>
  <si>
    <t>INE168A01041</t>
  </si>
  <si>
    <t>J&amp;KBANK</t>
  </si>
  <si>
    <t>J &amp; K BANK LTD.</t>
  </si>
  <si>
    <t>INE0MB501011</t>
  </si>
  <si>
    <t>JGCHEM</t>
  </si>
  <si>
    <t>J.G.CHEMICALS LIMITED</t>
  </si>
  <si>
    <t>INE199G01027</t>
  </si>
  <si>
    <t>JAGRAN</t>
  </si>
  <si>
    <t>JAGRAN PRAKASHAN LIMITED</t>
  </si>
  <si>
    <t>INE048B01035</t>
  </si>
  <si>
    <t>JAGSNPHARM</t>
  </si>
  <si>
    <t>JAGSONPAL PHARMACEUTICALS</t>
  </si>
  <si>
    <t>INE091G01026</t>
  </si>
  <si>
    <t>JAIBALAJI</t>
  </si>
  <si>
    <t>JAI BALAJI INDUSTRIES LTD</t>
  </si>
  <si>
    <t>INE070D01027</t>
  </si>
  <si>
    <t>JAICORPLTD</t>
  </si>
  <si>
    <t>JAI CORP LIMITED</t>
  </si>
  <si>
    <t>IN9175A01010</t>
  </si>
  <si>
    <t>JISLDVREQS</t>
  </si>
  <si>
    <t>JAIN DVR EQUITY SHARES</t>
  </si>
  <si>
    <t>INE175A01038</t>
  </si>
  <si>
    <t>JISLJALEQS</t>
  </si>
  <si>
    <t>JAIN IRRIGATION SYSTEMS</t>
  </si>
  <si>
    <t>INE0YD401026</t>
  </si>
  <si>
    <t>JAINREC</t>
  </si>
  <si>
    <t>JAIN RESOURCE RECYCLING L</t>
  </si>
  <si>
    <t>INE02KC01010</t>
  </si>
  <si>
    <t>JAINAM</t>
  </si>
  <si>
    <t>JAINAM FER ALLOYS (I) LTD</t>
  </si>
  <si>
    <t>INE0XIL01012</t>
  </si>
  <si>
    <t>JAINIK</t>
  </si>
  <si>
    <t>JAINIK POWER CABLES LTD</t>
  </si>
  <si>
    <t>INE351F01018</t>
  </si>
  <si>
    <t>JPPOWER</t>
  </si>
  <si>
    <t>JAIPRAKASH POWER VEN. LTD</t>
  </si>
  <si>
    <t>INE039C01032</t>
  </si>
  <si>
    <t>JAMNAAUTO</t>
  </si>
  <si>
    <t>JAMNA AUTO IND LTD</t>
  </si>
  <si>
    <t>INE953L01027</t>
  </si>
  <si>
    <t>JSFB</t>
  </si>
  <si>
    <t>JANA SMALL FIN BANK LTD</t>
  </si>
  <si>
    <t>INE00YJ01010</t>
  </si>
  <si>
    <t>JARO</t>
  </si>
  <si>
    <t>JARO INS OF TEC MG N RE L</t>
  </si>
  <si>
    <t>INE039O01029</t>
  </si>
  <si>
    <t>JASH</t>
  </si>
  <si>
    <t>JASH ENGINEERING LIMITED</t>
  </si>
  <si>
    <t>INE0SMY01017</t>
  </si>
  <si>
    <t>JAYBEE</t>
  </si>
  <si>
    <t>JAY BEE LAMINATIONS LTD</t>
  </si>
  <si>
    <t>INE571B01036</t>
  </si>
  <si>
    <t>JAYBARMARU</t>
  </si>
  <si>
    <t>JAY BHARAT MARUTI LTD</t>
  </si>
  <si>
    <t>INE0J6801010</t>
  </si>
  <si>
    <t>KORE</t>
  </si>
  <si>
    <t>JAY JALARAM TECHNO LTD</t>
  </si>
  <si>
    <t>INE785A01026</t>
  </si>
  <si>
    <t>JAYAGROGN</t>
  </si>
  <si>
    <t>JAYANT AGRO ORGANICS LTD</t>
  </si>
  <si>
    <t>INE854B01010</t>
  </si>
  <si>
    <t>JAYNECOIND</t>
  </si>
  <si>
    <t>JAYASWAL NECO INDUSTR LTD</t>
  </si>
  <si>
    <t>INE1AE401014</t>
  </si>
  <si>
    <t>JAYESH</t>
  </si>
  <si>
    <t>JAYESH LOGISTICS LIMITED</t>
  </si>
  <si>
    <t>INE903A01025</t>
  </si>
  <si>
    <t>JAYKAY</t>
  </si>
  <si>
    <t>JAYKAY ENTERPRISES LTD</t>
  </si>
  <si>
    <t>INE903A20025</t>
  </si>
  <si>
    <t>JAYKAY-RE1</t>
  </si>
  <si>
    <t>INE364A01020</t>
  </si>
  <si>
    <t>JAYSREETEA</t>
  </si>
  <si>
    <t>JAYSHREE TEA &amp; INDUSTRIES</t>
  </si>
  <si>
    <t>INE927D01051</t>
  </si>
  <si>
    <t>JBMA</t>
  </si>
  <si>
    <t>JBM AUTO LIMITED</t>
  </si>
  <si>
    <t>INE0J5801029</t>
  </si>
  <si>
    <t>JSLL</t>
  </si>
  <si>
    <t>JEENA SIKHO LIFECARE LTD</t>
  </si>
  <si>
    <t>INE354A01013</t>
  </si>
  <si>
    <t>JENBURPH</t>
  </si>
  <si>
    <t>JENBURKT PHARMACEUTICAL L</t>
  </si>
  <si>
    <t>INE982V01025</t>
  </si>
  <si>
    <t>JETFREIGHT</t>
  </si>
  <si>
    <t>JET FREIGHT LOGISTICS LTD</t>
  </si>
  <si>
    <t>INE0RXB01022</t>
  </si>
  <si>
    <t>JEYYAM</t>
  </si>
  <si>
    <t>JEYYAM GLOBAL FOODS LTD</t>
  </si>
  <si>
    <t>INE0LA901015</t>
  </si>
  <si>
    <t>JFLLIFE</t>
  </si>
  <si>
    <t>JFL LIFE SCIENCES LIMITED</t>
  </si>
  <si>
    <t>INE544H01014</t>
  </si>
  <si>
    <t>JHS</t>
  </si>
  <si>
    <t>JHS SVEND. LAB. LTD</t>
  </si>
  <si>
    <t>INE03DD01011</t>
  </si>
  <si>
    <t>RETAIL</t>
  </si>
  <si>
    <t>JHS SVENDGAARD RETAIL V L</t>
  </si>
  <si>
    <t>INE147P01019</t>
  </si>
  <si>
    <t>JPOLYINVST</t>
  </si>
  <si>
    <t>JIND POL INV &amp; FIN CO LTD</t>
  </si>
  <si>
    <t>INE742C01031</t>
  </si>
  <si>
    <t>JINDRILL</t>
  </si>
  <si>
    <t>JINDAL DRILLING IND. LTD</t>
  </si>
  <si>
    <t>INE796G01012</t>
  </si>
  <si>
    <t>JINDALPHOT</t>
  </si>
  <si>
    <t>JINDAL PHOTO LIMITED</t>
  </si>
  <si>
    <t>INE197D01010</t>
  </si>
  <si>
    <t>JINDALPOLY</t>
  </si>
  <si>
    <t>JINDAL POLY FILMS LIMITED</t>
  </si>
  <si>
    <t>INE324A01032</t>
  </si>
  <si>
    <t>JINDALSAW</t>
  </si>
  <si>
    <t>JINDAL SAW LIMITED</t>
  </si>
  <si>
    <t>INE220G01021</t>
  </si>
  <si>
    <t>JSL</t>
  </si>
  <si>
    <t>JINDAL STAINLESS LIMITED</t>
  </si>
  <si>
    <t>INE749A01030</t>
  </si>
  <si>
    <t>JINDALSTEL</t>
  </si>
  <si>
    <t>JINDAL STEEL LIMITED</t>
  </si>
  <si>
    <t>INE247D01039</t>
  </si>
  <si>
    <t>JINDWORLD</t>
  </si>
  <si>
    <t>JINDAL WORLDWIDE LTD</t>
  </si>
  <si>
    <t>INE1FF001016</t>
  </si>
  <si>
    <t>JKIPL</t>
  </si>
  <si>
    <t>JINKUSHAL INDUSTRIES LTD</t>
  </si>
  <si>
    <t>INE758E01017</t>
  </si>
  <si>
    <t>JIOFIN</t>
  </si>
  <si>
    <t>JIO FIN SERVICES LTD</t>
  </si>
  <si>
    <t>INF22M001184</t>
  </si>
  <si>
    <t>NIFTYJBLK</t>
  </si>
  <si>
    <t>JIOBLACKROCKAMC-NIFTYJBLK</t>
  </si>
  <si>
    <t>INE863T01013</t>
  </si>
  <si>
    <t>JITFINFRA</t>
  </si>
  <si>
    <t>JITF INFRALOGISTICS LTD</t>
  </si>
  <si>
    <t>INE0N5H01017</t>
  </si>
  <si>
    <t>JIWANRAM</t>
  </si>
  <si>
    <t>JIWANRAM SHEODUTTRA IND L</t>
  </si>
  <si>
    <t>INE823G01014</t>
  </si>
  <si>
    <t>JKCEMENT</t>
  </si>
  <si>
    <t>JK CEMENT LIMITED</t>
  </si>
  <si>
    <t>INE786A01032</t>
  </si>
  <si>
    <t>JKLAKSHMI</t>
  </si>
  <si>
    <t>JK LAKSHMI CEMENT LTD</t>
  </si>
  <si>
    <t>INE789E01012</t>
  </si>
  <si>
    <t>JKPAPER</t>
  </si>
  <si>
    <t>JK PAPER LIMITED</t>
  </si>
  <si>
    <t>INE573A01042</t>
  </si>
  <si>
    <t>JKTYRE</t>
  </si>
  <si>
    <t>JK TYRE &amp; INDUSTRIES LTD</t>
  </si>
  <si>
    <t>INE576I01022</t>
  </si>
  <si>
    <t>JKIL</t>
  </si>
  <si>
    <t>JKUMAR INFR.LTD.</t>
  </si>
  <si>
    <t>INE780C01023</t>
  </si>
  <si>
    <t>JMFINANCIL</t>
  </si>
  <si>
    <t>JM FINANCIAL LIMITED</t>
  </si>
  <si>
    <t>INE0OAF01028</t>
  </si>
  <si>
    <t>JNKINDIA</t>
  </si>
  <si>
    <t>JNK INDIA LIMITED</t>
  </si>
  <si>
    <t>INE839G01010</t>
  </si>
  <si>
    <t>JOCIL</t>
  </si>
  <si>
    <t>JOCIL LIMITED</t>
  </si>
  <si>
    <t>INE515A01019</t>
  </si>
  <si>
    <t>COCKERILL</t>
  </si>
  <si>
    <t>JOHN COCKERILL INDIA LTD.</t>
  </si>
  <si>
    <t>INE718I01012</t>
  </si>
  <si>
    <t>JSWCEMENT</t>
  </si>
  <si>
    <t>JSW CEMENT LIMITED</t>
  </si>
  <si>
    <t>INE133A01011</t>
  </si>
  <si>
    <t>JSWDULUX</t>
  </si>
  <si>
    <t>JSW DULUX LIMITED</t>
  </si>
  <si>
    <t>INE121E01018</t>
  </si>
  <si>
    <t>JSWENERGY</t>
  </si>
  <si>
    <t>JSW ENERGY LIMITED</t>
  </si>
  <si>
    <t>INE824G01012</t>
  </si>
  <si>
    <t>JSWHL</t>
  </si>
  <si>
    <t>JSW HOLDINGS LIMITED</t>
  </si>
  <si>
    <t>INE880J01026</t>
  </si>
  <si>
    <t>JSWINFRA</t>
  </si>
  <si>
    <t>JSW INFRASTRUCTURE LTD</t>
  </si>
  <si>
    <t>INE019A01038</t>
  </si>
  <si>
    <t>JSWSTEEL</t>
  </si>
  <si>
    <t>JSW STEEL LIMITED</t>
  </si>
  <si>
    <t>INE643A01035</t>
  </si>
  <si>
    <t>JTEKTINDIA</t>
  </si>
  <si>
    <t>JTEKT INDIA LIMITED</t>
  </si>
  <si>
    <t>INE391J01032</t>
  </si>
  <si>
    <t>JTLIND</t>
  </si>
  <si>
    <t>JTL INDUSTRIES LIMITED</t>
  </si>
  <si>
    <t>INE03CC01015</t>
  </si>
  <si>
    <t>JUBLCPL</t>
  </si>
  <si>
    <t>JUBILANT AGRI N CON PRO L</t>
  </si>
  <si>
    <t>INE797F01020</t>
  </si>
  <si>
    <t>JUBLFOOD</t>
  </si>
  <si>
    <t>JUBILANT FOODWORKS LTD</t>
  </si>
  <si>
    <t>INE0BY001018</t>
  </si>
  <si>
    <t>JUBLINGREA</t>
  </si>
  <si>
    <t>JUBILANT INGREVIA LIMITED</t>
  </si>
  <si>
    <t>INE700A01033</t>
  </si>
  <si>
    <t>JUBLPHARMA</t>
  </si>
  <si>
    <t>JUBILANT PHARMOVA LTD</t>
  </si>
  <si>
    <t>INE412C01023</t>
  </si>
  <si>
    <t>JMA</t>
  </si>
  <si>
    <t>JULLUNDUR MOT AGENCY LTD</t>
  </si>
  <si>
    <t>INE05C901015</t>
  </si>
  <si>
    <t>JNPR</t>
  </si>
  <si>
    <t>JUNIPER GREEN ENERGY LTD</t>
  </si>
  <si>
    <t>INE696F01016</t>
  </si>
  <si>
    <t>JUNIPER</t>
  </si>
  <si>
    <t>JUNIPER HOTELS LIMITED</t>
  </si>
  <si>
    <t>INE682M01020</t>
  </si>
  <si>
    <t>JLHL</t>
  </si>
  <si>
    <t>JUPITER LIFE LINE HOSP L</t>
  </si>
  <si>
    <t>INE209L01016</t>
  </si>
  <si>
    <t>JWL</t>
  </si>
  <si>
    <t>JUPITER WAGONS LIMITED</t>
  </si>
  <si>
    <t>INE599M01018</t>
  </si>
  <si>
    <t>JUSTDIAL</t>
  </si>
  <si>
    <t>JUSTDIAL LTD.</t>
  </si>
  <si>
    <t>INE668F01031</t>
  </si>
  <si>
    <t>JYOTHYLAB</t>
  </si>
  <si>
    <t>JYOTHY LABS LIMITED</t>
  </si>
  <si>
    <t>INE980O01024</t>
  </si>
  <si>
    <t>JYOTICNC</t>
  </si>
  <si>
    <t>JYOTI CNC AUTOMATION LTD</t>
  </si>
  <si>
    <t>INE1M3T01017</t>
  </si>
  <si>
    <t>JYOTIGLOBL</t>
  </si>
  <si>
    <t>JYOTI GLOBAL PLAST LTD</t>
  </si>
  <si>
    <t>INE577D01013</t>
  </si>
  <si>
    <t>JYOTIRES</t>
  </si>
  <si>
    <t>JYOTI RESINS &amp; ADHESIVE L</t>
  </si>
  <si>
    <t>INE197A01024</t>
  </si>
  <si>
    <t>JYOTISTRUC</t>
  </si>
  <si>
    <t>JYOTI STRUCTURES LTD</t>
  </si>
  <si>
    <t>INE533C01018</t>
  </si>
  <si>
    <t>KJMCFIN</t>
  </si>
  <si>
    <t>K J M C FINANCIAL SERV L</t>
  </si>
  <si>
    <t>INE879K01018</t>
  </si>
  <si>
    <t>KMCSHIL</t>
  </si>
  <si>
    <t>K M C SPECIALITY HOSP I L</t>
  </si>
  <si>
    <t>INE157H01023</t>
  </si>
  <si>
    <t>KMSUGAR</t>
  </si>
  <si>
    <t>K M SUGAR MILLS LTD</t>
  </si>
  <si>
    <t>INE127T01021</t>
  </si>
  <si>
    <t>KPEL</t>
  </si>
  <si>
    <t>K.P. ENERGY LIMITED</t>
  </si>
  <si>
    <t>INE0DEZ01013</t>
  </si>
  <si>
    <t>K2INFRA</t>
  </si>
  <si>
    <t>K2 INFRAGEN LIMITED</t>
  </si>
  <si>
    <t>INE900B01029</t>
  </si>
  <si>
    <t>KABRAEXTRU</t>
  </si>
  <si>
    <t>KABRA EXTRUSION TECHNIK L</t>
  </si>
  <si>
    <t>INE0XOW01017</t>
  </si>
  <si>
    <t>KKJEWELS</t>
  </si>
  <si>
    <t>KABRA JEWELS LIMITED</t>
  </si>
  <si>
    <t>INE217B01036</t>
  </si>
  <si>
    <t>KAJARIACER</t>
  </si>
  <si>
    <t>KAJARIA CERAMICS LTD</t>
  </si>
  <si>
    <t>INE437B01014</t>
  </si>
  <si>
    <t>KAKATCEM</t>
  </si>
  <si>
    <t>KAKATIYA CEM SUGAR &amp;IND L</t>
  </si>
  <si>
    <t>INE0T0L01014</t>
  </si>
  <si>
    <t>KALANA</t>
  </si>
  <si>
    <t>KALANA ISPAT LIMITED</t>
  </si>
  <si>
    <t>INE227J01012</t>
  </si>
  <si>
    <t>KALPATARU</t>
  </si>
  <si>
    <t>KALPATARU LIMITED</t>
  </si>
  <si>
    <t>INE220B01022</t>
  </si>
  <si>
    <t>KPIL</t>
  </si>
  <si>
    <t>KALPATARU PROJECT INT LTD</t>
  </si>
  <si>
    <t>INE303R01014</t>
  </si>
  <si>
    <t>KALYANKJIL</t>
  </si>
  <si>
    <t>KALYAN JEWELLERS IND LTD</t>
  </si>
  <si>
    <t>INE314G01014</t>
  </si>
  <si>
    <t>KALYANIFRG</t>
  </si>
  <si>
    <t>KALYANI FORGE LIMITED</t>
  </si>
  <si>
    <t>INE029L01018</t>
  </si>
  <si>
    <t>KICL</t>
  </si>
  <si>
    <t>KALYANI INVEST CO LTD</t>
  </si>
  <si>
    <t>INE907A01026</t>
  </si>
  <si>
    <t>KSL</t>
  </si>
  <si>
    <t>KALYANI STEELS LIMITED</t>
  </si>
  <si>
    <t>INE411F01010</t>
  </si>
  <si>
    <t>KAMAHOLD</t>
  </si>
  <si>
    <t>KAMA HOLDINGS LTD.</t>
  </si>
  <si>
    <t>INE344D01018</t>
  </si>
  <si>
    <t>KAMANWALA</t>
  </si>
  <si>
    <t>KAMANWALA HOUSING CONST L</t>
  </si>
  <si>
    <t>INE967C01018</t>
  </si>
  <si>
    <t>KAMATHOTEL</t>
  </si>
  <si>
    <t>KAMAT HOTELS (I) LTD</t>
  </si>
  <si>
    <t>INE390H01020</t>
  </si>
  <si>
    <t>KAMDHENU</t>
  </si>
  <si>
    <t>KAMDHENU LIMITED</t>
  </si>
  <si>
    <t>INE0BTI01037</t>
  </si>
  <si>
    <t>KAMOPAINTS</t>
  </si>
  <si>
    <t>KAMDHENU VENTURES LIMITED</t>
  </si>
  <si>
    <t>INE879E01037</t>
  </si>
  <si>
    <t>KANANIIND</t>
  </si>
  <si>
    <t>KANANI INDUSTRIES LTD</t>
  </si>
  <si>
    <t>INE081G01019</t>
  </si>
  <si>
    <t>KANCHI</t>
  </si>
  <si>
    <t>KANCHI KARPOORAM LTD.</t>
  </si>
  <si>
    <t>INE398L01017</t>
  </si>
  <si>
    <t>KANCOTEA</t>
  </si>
  <si>
    <t>KANCO TEA &amp; INDS. LTD.</t>
  </si>
  <si>
    <t>INE0MOT01016</t>
  </si>
  <si>
    <t>KANDARP</t>
  </si>
  <si>
    <t>KANDARP DG SMART BPO LTD</t>
  </si>
  <si>
    <t>INE138C01024</t>
  </si>
  <si>
    <t>KANORICHEM</t>
  </si>
  <si>
    <t>KANORIACHEMICALS-</t>
  </si>
  <si>
    <t>INE694E01014</t>
  </si>
  <si>
    <t>KANPRPLA</t>
  </si>
  <si>
    <t>KANPUR PLASTIPACK LIMITED</t>
  </si>
  <si>
    <t>INE531A01024</t>
  </si>
  <si>
    <t>KANSAINER</t>
  </si>
  <si>
    <t>KANSAI NEROLAC PAINTS LTD</t>
  </si>
  <si>
    <t>INE542Z01028</t>
  </si>
  <si>
    <t>KAPSTON</t>
  </si>
  <si>
    <t>KAPSTON SERVICES LIMITED</t>
  </si>
  <si>
    <t>INE725L01011</t>
  </si>
  <si>
    <t>KARMAENG</t>
  </si>
  <si>
    <t>KARMA ENERGY LIMITED</t>
  </si>
  <si>
    <t>INE614B01018</t>
  </si>
  <si>
    <t>KTKBANK</t>
  </si>
  <si>
    <t>KARNATAKA BANK LIMITED</t>
  </si>
  <si>
    <t>INE0MGA01012</t>
  </si>
  <si>
    <t>KARNIKA</t>
  </si>
  <si>
    <t>KARNIKA INDUSTRIES LTD</t>
  </si>
  <si>
    <t>INE036D01028</t>
  </si>
  <si>
    <t>KARURVYSYA</t>
  </si>
  <si>
    <t>KARUR VYSYA BANK LTD</t>
  </si>
  <si>
    <t>INE0SVY01018</t>
  </si>
  <si>
    <t>KATARIA</t>
  </si>
  <si>
    <t>KATARIA INDUSTRIES LTD</t>
  </si>
  <si>
    <t>INE234I01028</t>
  </si>
  <si>
    <t>KAUSHALYA</t>
  </si>
  <si>
    <t>KAUSHALYA INFRA DEV LTD.</t>
  </si>
  <si>
    <t>INE0Q2V01012</t>
  </si>
  <si>
    <t>KLL</t>
  </si>
  <si>
    <t>KAUSHALYA LOGISTICS LTD</t>
  </si>
  <si>
    <t>INE455I01029</t>
  </si>
  <si>
    <t>KSCL</t>
  </si>
  <si>
    <t>KAVERI SEED CO. LTD.</t>
  </si>
  <si>
    <t>INE641C01019</t>
  </si>
  <si>
    <t>KAVDEFENCE</t>
  </si>
  <si>
    <t>KAVVERI DFS &amp; WIR TEC LTD</t>
  </si>
  <si>
    <t>INE0RCG01017</t>
  </si>
  <si>
    <t>KCEIL</t>
  </si>
  <si>
    <t>KAY CEE ENERGY &amp; INFRA L</t>
  </si>
  <si>
    <t>INE587G01015</t>
  </si>
  <si>
    <t>KAYA</t>
  </si>
  <si>
    <t>KAYA LIMITED</t>
  </si>
  <si>
    <t>INE918Z01012</t>
  </si>
  <si>
    <t>KAYNES</t>
  </si>
  <si>
    <t>KAYNES TECHNOLOGY IND LTD</t>
  </si>
  <si>
    <t>INE13ZD01013</t>
  </si>
  <si>
    <t>KAYTEX</t>
  </si>
  <si>
    <t>KAYTEX FABRICS LIMITED</t>
  </si>
  <si>
    <t>INE0J1E01027</t>
  </si>
  <si>
    <t>KCK</t>
  </si>
  <si>
    <t>KCK INDUSTRIES LTD</t>
  </si>
  <si>
    <t>INE805C01028</t>
  </si>
  <si>
    <t>KCP</t>
  </si>
  <si>
    <t>KCP LTD</t>
  </si>
  <si>
    <t>INE790B01024</t>
  </si>
  <si>
    <t>KCPSUGIND</t>
  </si>
  <si>
    <t>KCPSUGARINDUS</t>
  </si>
  <si>
    <t>INE348N01042</t>
  </si>
  <si>
    <t>KDGREEN</t>
  </si>
  <si>
    <t>KD GREEN INDUSTRIES LTD</t>
  </si>
  <si>
    <t>INE291D01011</t>
  </si>
  <si>
    <t>KDDL</t>
  </si>
  <si>
    <t>KDDL LIMITED</t>
  </si>
  <si>
    <t>INE389H01022</t>
  </si>
  <si>
    <t>KEC</t>
  </si>
  <si>
    <t>KEC INTL. LIMITED</t>
  </si>
  <si>
    <t>INE878B01027</t>
  </si>
  <si>
    <t>KEI</t>
  </si>
  <si>
    <t>KEI INDUSTRIES LTD.</t>
  </si>
  <si>
    <t>INE164B01030</t>
  </si>
  <si>
    <t>KELLTONTEC</t>
  </si>
  <si>
    <t>KELLTON TECH SOL LTD</t>
  </si>
  <si>
    <t>INE15DO01012</t>
  </si>
  <si>
    <t>KEN</t>
  </si>
  <si>
    <t>KEN ENTERPRISES LIMITED</t>
  </si>
  <si>
    <t>INE717A01029</t>
  </si>
  <si>
    <t>KENNAMET</t>
  </si>
  <si>
    <t>KENNAMETAL INDIA LIMITED</t>
  </si>
  <si>
    <t>INE202H01019</t>
  </si>
  <si>
    <t>KERNEX</t>
  </si>
  <si>
    <t>KERNEX MICROSYS(I) LTD</t>
  </si>
  <si>
    <t>INE087A01019</t>
  </si>
  <si>
    <t>KESORAMIND</t>
  </si>
  <si>
    <t>KESORAM INDUSTRIES LTD</t>
  </si>
  <si>
    <t>INE401H01017</t>
  </si>
  <si>
    <t>KKCL</t>
  </si>
  <si>
    <t>KEWAL KIRAN CLOTHING LTD</t>
  </si>
  <si>
    <t>INE681C01015</t>
  </si>
  <si>
    <t>KEYFINSERV</t>
  </si>
  <si>
    <t>KEYNOTE FIN SERV LTD.</t>
  </si>
  <si>
    <t>INE263M01029</t>
  </si>
  <si>
    <t>RUSTOMJEE</t>
  </si>
  <si>
    <t>KEYSTONE REALTORS LIMITED</t>
  </si>
  <si>
    <t>INE138Y01010</t>
  </si>
  <si>
    <t>KFINTECH</t>
  </si>
  <si>
    <t>KFIN TECHNOLOGIES LIMITED</t>
  </si>
  <si>
    <t>INE834I01025</t>
  </si>
  <si>
    <t>KHADIM</t>
  </si>
  <si>
    <t>KHADIM INDIA LIMITED</t>
  </si>
  <si>
    <t>INE731C01018</t>
  </si>
  <si>
    <t>KHAITANLTD</t>
  </si>
  <si>
    <t>KHAITAN (INDIA)LTD.</t>
  </si>
  <si>
    <t>INE745B01028</t>
  </si>
  <si>
    <t>KHAICHEM</t>
  </si>
  <si>
    <t>KHAITAN CHEM &amp; FERT LTD</t>
  </si>
  <si>
    <t>INE060B01014</t>
  </si>
  <si>
    <t>KHANDSE</t>
  </si>
  <si>
    <t>KHANDWALA SECURITIES LTD</t>
  </si>
  <si>
    <t>INE338F01015</t>
  </si>
  <si>
    <t>KLBRENG-B</t>
  </si>
  <si>
    <t>KILBURN ENGINEERING LTD.</t>
  </si>
  <si>
    <t>INE729D01010</t>
  </si>
  <si>
    <t>KILITCH</t>
  </si>
  <si>
    <t>KILITCH DRUGS INDIA LTD</t>
  </si>
  <si>
    <t>INE473D01015</t>
  </si>
  <si>
    <t>KINGFA</t>
  </si>
  <si>
    <t>KINGFA SCI &amp; TEC IND LTD.</t>
  </si>
  <si>
    <t>INE880L01014</t>
  </si>
  <si>
    <t>KIOCL</t>
  </si>
  <si>
    <t>KIOCL LIMITED</t>
  </si>
  <si>
    <t>INE555P01013</t>
  </si>
  <si>
    <t>KIRANVYPAR</t>
  </si>
  <si>
    <t>KIRAN VYAPAR LTD.</t>
  </si>
  <si>
    <t>INE415I01015</t>
  </si>
  <si>
    <t>KIRIINDUS</t>
  </si>
  <si>
    <t>KIRI INDUSTRIES LIMITED</t>
  </si>
  <si>
    <t>INE732A01036</t>
  </si>
  <si>
    <t>KIRLOSBROS</t>
  </si>
  <si>
    <t>KIRLOSKAR BROTHERS LTD</t>
  </si>
  <si>
    <t>INE134B01017</t>
  </si>
  <si>
    <t>KECL</t>
  </si>
  <si>
    <t>KIRLOSKAR ELECTRIC CO LTD</t>
  </si>
  <si>
    <t>INE884B01025</t>
  </si>
  <si>
    <t>KIRLFER</t>
  </si>
  <si>
    <t>KIRLOSKAR FERROUS IND LTD</t>
  </si>
  <si>
    <t>INE250A01039</t>
  </si>
  <si>
    <t>KIRLOSIND</t>
  </si>
  <si>
    <t>KIRLOSKAR INDUSTRIES LTD</t>
  </si>
  <si>
    <t>INE146L01010</t>
  </si>
  <si>
    <t>KIRLOSENG</t>
  </si>
  <si>
    <t>KIRLOSKAR OIL ENG LTD</t>
  </si>
  <si>
    <t>INE811A01038</t>
  </si>
  <si>
    <t>KIRLPNU</t>
  </si>
  <si>
    <t>KIRLOSKAR PNEUMATIC COM L</t>
  </si>
  <si>
    <t>INE602G01020</t>
  </si>
  <si>
    <t>KITEX</t>
  </si>
  <si>
    <t>KITEX GARMENTS LTD</t>
  </si>
  <si>
    <t>INE0KNW01016</t>
  </si>
  <si>
    <t>KNAGRI</t>
  </si>
  <si>
    <t>KN AGRI RESOURCES LIMITED</t>
  </si>
  <si>
    <t>INE17QZ01016</t>
  </si>
  <si>
    <t>KNACK</t>
  </si>
  <si>
    <t>KNACK PACKAGING LIMITED</t>
  </si>
  <si>
    <t>INE0CJD01029</t>
  </si>
  <si>
    <t>KMEW</t>
  </si>
  <si>
    <t>KNOWLEDGE MARINE &amp; EN W L</t>
  </si>
  <si>
    <t>INE1JAR25012</t>
  </si>
  <si>
    <t>KRT</t>
  </si>
  <si>
    <t>KNOWLEDGE REALTY TRUST</t>
  </si>
  <si>
    <t>INE634I01029</t>
  </si>
  <si>
    <t>KNRCON</t>
  </si>
  <si>
    <t>KNR CONSTRU LTD.</t>
  </si>
  <si>
    <t>INE0Q7P01013</t>
  </si>
  <si>
    <t>KODYTECH</t>
  </si>
  <si>
    <t>KODY TECHNOLAB LIMITED</t>
  </si>
  <si>
    <t>INE080B01012</t>
  </si>
  <si>
    <t>KOHINOOR</t>
  </si>
  <si>
    <t>KOHINOOR FOODS LIMITED</t>
  </si>
  <si>
    <t>INE760A01029</t>
  </si>
  <si>
    <t>KOKUYOCMLN</t>
  </si>
  <si>
    <t>KOKUYO CAMLIN LIMITED</t>
  </si>
  <si>
    <t>INE094I01018</t>
  </si>
  <si>
    <t>KOLTEPATIL</t>
  </si>
  <si>
    <t>KOLTE PATIL DEV. LTD.</t>
  </si>
  <si>
    <t>INE0QEI01011</t>
  </si>
  <si>
    <t>KONSTELEC</t>
  </si>
  <si>
    <t>KONSTELEC ENGINEERS LTD</t>
  </si>
  <si>
    <t>INE0KZ301010</t>
  </si>
  <si>
    <t>KONTOR</t>
  </si>
  <si>
    <t>KONTOR SPACE LIMITED</t>
  </si>
  <si>
    <t>INE082A01010</t>
  </si>
  <si>
    <t>KOPRAN</t>
  </si>
  <si>
    <t>KOPRAN LTD</t>
  </si>
  <si>
    <t>INE0O4R01018</t>
  </si>
  <si>
    <t>KDL</t>
  </si>
  <si>
    <t>KORE DIGITAL LIMITED</t>
  </si>
  <si>
    <t>INF174KA1HJ8</t>
  </si>
  <si>
    <t>GOLD1</t>
  </si>
  <si>
    <t>KOTAK GOLD ETF</t>
  </si>
  <si>
    <t>INE237A01036</t>
  </si>
  <si>
    <t>KOTAKBANK</t>
  </si>
  <si>
    <t>KOTAK MAHINDRA BANK LTD</t>
  </si>
  <si>
    <t>INF174K014P6</t>
  </si>
  <si>
    <t>NIFTY1</t>
  </si>
  <si>
    <t>KOTAK NIFTY ETF</t>
  </si>
  <si>
    <t>INF174KA1A86</t>
  </si>
  <si>
    <t>PSUBANK</t>
  </si>
  <si>
    <t>KOTAK PSU BANK</t>
  </si>
  <si>
    <t>INF174KA1XV0</t>
  </si>
  <si>
    <t>CHEMICAL</t>
  </si>
  <si>
    <t>KOTAKMAMC - CHEMICAL</t>
  </si>
  <si>
    <t>INF174KA1IA5</t>
  </si>
  <si>
    <t>ALPHA</t>
  </si>
  <si>
    <t>KOTAKMAMC - KOTAKALPHA</t>
  </si>
  <si>
    <t>INF174KA1ZF8</t>
  </si>
  <si>
    <t>CONS</t>
  </si>
  <si>
    <t>KOTAKMAMC - KOTAKCONS</t>
  </si>
  <si>
    <t>INF174KA1GC5</t>
  </si>
  <si>
    <t>IT</t>
  </si>
  <si>
    <t>KOTAKMAMC - KOTAKIT</t>
  </si>
  <si>
    <t>INF174KA1LV5</t>
  </si>
  <si>
    <t>LIQUID1</t>
  </si>
  <si>
    <t>KOTAKMAMC - KOTAKLIQ</t>
  </si>
  <si>
    <t>INF174KA1IY5</t>
  </si>
  <si>
    <t>LOWVOL1</t>
  </si>
  <si>
    <t>KOTAKMAMC - KOTAKLOVOL</t>
  </si>
  <si>
    <t>INF174KA1ZC5</t>
  </si>
  <si>
    <t>MIDCAP</t>
  </si>
  <si>
    <t>KOTAKMAMC - KOTAKMID50</t>
  </si>
  <si>
    <t>INF174KA1JF2</t>
  </si>
  <si>
    <t>MNC</t>
  </si>
  <si>
    <t>KOTAKMAMC - KOTAKMNC</t>
  </si>
  <si>
    <t>INF174KA1ZD3</t>
  </si>
  <si>
    <t>SILVER1</t>
  </si>
  <si>
    <t>KOTAKMAMC - KOTAKSILVE</t>
  </si>
  <si>
    <t>INF174KA1ZE1</t>
  </si>
  <si>
    <t>NV20</t>
  </si>
  <si>
    <t>KOTAKMAMC - KTKNV20ETF</t>
  </si>
  <si>
    <t>INF174KA1VW2</t>
  </si>
  <si>
    <t>MID150</t>
  </si>
  <si>
    <t>KOTAKMAMC - MID150</t>
  </si>
  <si>
    <t>INF174KA1XS6</t>
  </si>
  <si>
    <t>MOMENTUM30</t>
  </si>
  <si>
    <t>KOTAKMAMC - MOMENTUM30</t>
  </si>
  <si>
    <t>INF174KA1VD2</t>
  </si>
  <si>
    <t>MSCIINDIA</t>
  </si>
  <si>
    <t>KOTAKMAMC - MSCIINDIA</t>
  </si>
  <si>
    <t>INF174KA1YO3</t>
  </si>
  <si>
    <t>NEXT50ETF</t>
  </si>
  <si>
    <t>KOTAKMAMC - NEXT50ETF</t>
  </si>
  <si>
    <t>INF174KA1UW4</t>
  </si>
  <si>
    <t>NIFTY100EW</t>
  </si>
  <si>
    <t>KOTAKMAMC - NIFTY100EW</t>
  </si>
  <si>
    <t>INF174KA1A94</t>
  </si>
  <si>
    <t>PVTBANK</t>
  </si>
  <si>
    <t>KOTAKMAMC - PVTBANK</t>
  </si>
  <si>
    <t>INF174KA1WT6</t>
  </si>
  <si>
    <t>QUALITY30</t>
  </si>
  <si>
    <t>KOTAKMAMC - QUALITY30</t>
  </si>
  <si>
    <t>INF174KA1ZB7</t>
  </si>
  <si>
    <t>BANKNIFTY1</t>
  </si>
  <si>
    <t>KOTAKMAMC-KOTAKBKETF</t>
  </si>
  <si>
    <t>INE972A01020</t>
  </si>
  <si>
    <t>KOTIC</t>
  </si>
  <si>
    <t>KOTHARI INDUSTRIAL CORP L</t>
  </si>
  <si>
    <t>INE720A01015</t>
  </si>
  <si>
    <t>KOTHARIPET</t>
  </si>
  <si>
    <t>KOTHARI PETROCHEM LTD</t>
  </si>
  <si>
    <t>INE823A01017</t>
  </si>
  <si>
    <t>KOTHARIPRO</t>
  </si>
  <si>
    <t>KOTHARI PRODUCTS LTD</t>
  </si>
  <si>
    <t>INE419A01022</t>
  </si>
  <si>
    <t>KOTARISUG</t>
  </si>
  <si>
    <t>KOTHARI SUG &amp; CHEM LTD.</t>
  </si>
  <si>
    <t>INE0J0B01017</t>
  </si>
  <si>
    <t>KOTYARK</t>
  </si>
  <si>
    <t>KOTYARK INDUSTRIES LTD</t>
  </si>
  <si>
    <t>INE177F01017</t>
  </si>
  <si>
    <t>KOVAI</t>
  </si>
  <si>
    <t>KOVAI MEDICAL CENTER &amp; HO</t>
  </si>
  <si>
    <t>INE542W01025</t>
  </si>
  <si>
    <t>KPIGREEN</t>
  </si>
  <si>
    <t>KPI GREEN ENERGY LIMITED</t>
  </si>
  <si>
    <t>INE04I401011</t>
  </si>
  <si>
    <t>KPITTECH</t>
  </si>
  <si>
    <t>KPIT TECHNOLOGIES LIMITED</t>
  </si>
  <si>
    <t>INE930H01031</t>
  </si>
  <si>
    <t>KPRMILL</t>
  </si>
  <si>
    <t>KPR MILL LTD.</t>
  </si>
  <si>
    <t>INE001B01026</t>
  </si>
  <si>
    <t>KRBL</t>
  </si>
  <si>
    <t>KRBL LIMITED</t>
  </si>
  <si>
    <t>INE268B01013</t>
  </si>
  <si>
    <t>KREBSBIO</t>
  </si>
  <si>
    <t>KREBS BIOCHEMICALS &amp; IND</t>
  </si>
  <si>
    <t>INE524L01026</t>
  </si>
  <si>
    <t>KRIDHANINF</t>
  </si>
  <si>
    <t>KRIDHAN INFRA LIMITED</t>
  </si>
  <si>
    <t>INE506W01020</t>
  </si>
  <si>
    <t>KRISHANA</t>
  </si>
  <si>
    <t>KRISHANA PHOSCHEM LIMITED</t>
  </si>
  <si>
    <t>INE0NR701018</t>
  </si>
  <si>
    <t>KRISHCA</t>
  </si>
  <si>
    <t>KRISHCA STRAPPING SLTN L</t>
  </si>
  <si>
    <t>INE0GGO01015</t>
  </si>
  <si>
    <t>KRISHIVAL</t>
  </si>
  <si>
    <t>KRISHIVAL FOODS LIMITED</t>
  </si>
  <si>
    <t>INE0J5601015</t>
  </si>
  <si>
    <t>KRISHNADEF</t>
  </si>
  <si>
    <t>KRISHNA DEF AND ALD IND L</t>
  </si>
  <si>
    <t>INE967H01025</t>
  </si>
  <si>
    <t>KIMS</t>
  </si>
  <si>
    <t>KRISHNA INST OF MED SCI L</t>
  </si>
  <si>
    <t>INE479D01038</t>
  </si>
  <si>
    <t>KRITI</t>
  </si>
  <si>
    <t>KRITI INDUSTRIES IND LTD</t>
  </si>
  <si>
    <t>INE798K01010</t>
  </si>
  <si>
    <t>KRITINUT</t>
  </si>
  <si>
    <t>KRITI NUTRIENTS LIMITED</t>
  </si>
  <si>
    <t>INE00Z501029</t>
  </si>
  <si>
    <t>KRITIKA</t>
  </si>
  <si>
    <t>KRITIKA WIRES LIMITED</t>
  </si>
  <si>
    <t>INE1MTV01019</t>
  </si>
  <si>
    <t>KRMAYURVED</t>
  </si>
  <si>
    <t>KRM AYURVEDA LIMITED</t>
  </si>
  <si>
    <t>INE0Q3J01015</t>
  </si>
  <si>
    <t>KRN</t>
  </si>
  <si>
    <t>KRN HEAT EXCHANGE N REF L</t>
  </si>
  <si>
    <t>INE0ATZ01017</t>
  </si>
  <si>
    <t>KRONOX</t>
  </si>
  <si>
    <t>KRONOX LAB SCIENCES LTD</t>
  </si>
  <si>
    <t>INE0O6601022</t>
  </si>
  <si>
    <t>KROSS</t>
  </si>
  <si>
    <t>KROSS LIMITED</t>
  </si>
  <si>
    <t>INE08LI01020</t>
  </si>
  <si>
    <t>KRSNAA</t>
  </si>
  <si>
    <t>KRSNAA DIAGNOSTICS LTD</t>
  </si>
  <si>
    <t>INE0QN801017</t>
  </si>
  <si>
    <t>KRYSTAL</t>
  </si>
  <si>
    <t>KRYSTAL INTEGRATED SER L</t>
  </si>
  <si>
    <t>INE999A01023</t>
  </si>
  <si>
    <t>KSB</t>
  </si>
  <si>
    <t>KSB LIMITED</t>
  </si>
  <si>
    <t>INE953E01022</t>
  </si>
  <si>
    <t>KSE</t>
  </si>
  <si>
    <t>KSE LTD.</t>
  </si>
  <si>
    <t>INE987S01020</t>
  </si>
  <si>
    <t>KSHINTL</t>
  </si>
  <si>
    <t>KSH INTERNATIONAL LIMITED</t>
  </si>
  <si>
    <t>INE013801027</t>
  </si>
  <si>
    <t>KSHITIJPOL</t>
  </si>
  <si>
    <t>KSHITIJ POLYLINE LIMITED</t>
  </si>
  <si>
    <t>INE0D6I01023</t>
  </si>
  <si>
    <t>KSOLVES</t>
  </si>
  <si>
    <t>KSOLVES INDIA LIMITED</t>
  </si>
  <si>
    <t>INE1SPP01016</t>
  </si>
  <si>
    <t>KSR</t>
  </si>
  <si>
    <t>KSR FOOTWEAR LIMITED</t>
  </si>
  <si>
    <t>INE529I01021</t>
  </si>
  <si>
    <t>KUANTUM</t>
  </si>
  <si>
    <t>KUANTUM PAPERS LIMITED</t>
  </si>
  <si>
    <t>INE0ISX01025</t>
  </si>
  <si>
    <t>KUSUMGAR</t>
  </si>
  <si>
    <t>KUSUMGAR LIMITED</t>
  </si>
  <si>
    <t>INE552U01010</t>
  </si>
  <si>
    <t>KPL</t>
  </si>
  <si>
    <t>KWALITY PHARMACEUTICALS L</t>
  </si>
  <si>
    <t>INE2KCE01013</t>
  </si>
  <si>
    <t>KWIL</t>
  </si>
  <si>
    <t>KWALITY WALL'S (INDIA) L</t>
  </si>
  <si>
    <t>INE341H01023</t>
  </si>
  <si>
    <t>LKPSEC</t>
  </si>
  <si>
    <t>L K P SECURITIES LTD.</t>
  </si>
  <si>
    <t>INE498L01015</t>
  </si>
  <si>
    <t>LTF</t>
  </si>
  <si>
    <t>L&amp;T FINANCE LIMITED</t>
  </si>
  <si>
    <t>INE010V01017</t>
  </si>
  <si>
    <t>LTTS</t>
  </si>
  <si>
    <t>L&amp;T TECHNOLOGY SER. LTD.</t>
  </si>
  <si>
    <t>INE059D01020</t>
  </si>
  <si>
    <t>LAOPALA</t>
  </si>
  <si>
    <t>LA OPALA RG LIMITED</t>
  </si>
  <si>
    <t>INE519D01015</t>
  </si>
  <si>
    <t>LADDERUP</t>
  </si>
  <si>
    <t>LADDERUP FINANCE LTD.</t>
  </si>
  <si>
    <t>INE548Z01017</t>
  </si>
  <si>
    <t>LAGNAM</t>
  </si>
  <si>
    <t>LAGNAM SPINTEX LIMITED</t>
  </si>
  <si>
    <t>INE515C01023</t>
  </si>
  <si>
    <t>LAHOTIOV</t>
  </si>
  <si>
    <t>LAHOTI OVERSEAS LTD.</t>
  </si>
  <si>
    <t>INE850E01012</t>
  </si>
  <si>
    <t>LFIC</t>
  </si>
  <si>
    <t>LAKSHMI FIN IND CORP LTD</t>
  </si>
  <si>
    <t>INE938C01019</t>
  </si>
  <si>
    <t>LAKSHMIMIL</t>
  </si>
  <si>
    <t>LAKSHMI MILLS CO. LTD.</t>
  </si>
  <si>
    <t>INE651C01018</t>
  </si>
  <si>
    <t>LAKPRE</t>
  </si>
  <si>
    <t>LAKSHMI PRE SCRE LTD</t>
  </si>
  <si>
    <t>INE0VZS01015</t>
  </si>
  <si>
    <t>LAKSHYA</t>
  </si>
  <si>
    <t>LAKSHYA POWERTECH LIMITED</t>
  </si>
  <si>
    <t>INE0K9O01026</t>
  </si>
  <si>
    <t>LALITHAA</t>
  </si>
  <si>
    <t>LALITHAA JEWELLERY MART L</t>
  </si>
  <si>
    <t>INE112F01022</t>
  </si>
  <si>
    <t>LAMBODHARA</t>
  </si>
  <si>
    <t>LAMBODHARA TEXTILES LTD.</t>
  </si>
  <si>
    <t>INE0R0201012</t>
  </si>
  <si>
    <t>LAMOSAIC</t>
  </si>
  <si>
    <t>LAMOSAIC INDIA LIMITED</t>
  </si>
  <si>
    <t>INE359U01028</t>
  </si>
  <si>
    <t>LANCER</t>
  </si>
  <si>
    <t>LANCER CONTAINER LINES L</t>
  </si>
  <si>
    <t>INE572G01025</t>
  </si>
  <si>
    <t>LANCORHOL</t>
  </si>
  <si>
    <t>LANCOR HOLDINGS LIMITED</t>
  </si>
  <si>
    <t>INE559R01029</t>
  </si>
  <si>
    <t>LANDMARK</t>
  </si>
  <si>
    <t>LANDMARK CARS LIMITED</t>
  </si>
  <si>
    <t>INE197J01017</t>
  </si>
  <si>
    <t>LPDC</t>
  </si>
  <si>
    <t>LANDMARK PR.DEV.CO.LTD</t>
  </si>
  <si>
    <t>INE688J01023</t>
  </si>
  <si>
    <t>LANDSMILL</t>
  </si>
  <si>
    <t>LANDSMILL GREEN LIMITED</t>
  </si>
  <si>
    <t>INE018A01030</t>
  </si>
  <si>
    <t>LT</t>
  </si>
  <si>
    <t>LARSEN &amp; TOUBRO LTD.</t>
  </si>
  <si>
    <t>INE670X01014</t>
  </si>
  <si>
    <t>LASA</t>
  </si>
  <si>
    <t>LASA SUPERGENERICS LTD</t>
  </si>
  <si>
    <t>INE17IR01028</t>
  </si>
  <si>
    <t>LASERPOWER</t>
  </si>
  <si>
    <t>LASER POWER &amp; INFRA LTD</t>
  </si>
  <si>
    <t>INE0I7C01011</t>
  </si>
  <si>
    <t>LATENTVIEW</t>
  </si>
  <si>
    <t>LATENT VIEW ANALYTICS LTD</t>
  </si>
  <si>
    <t>INE262Z01023</t>
  </si>
  <si>
    <t>LATTEYS</t>
  </si>
  <si>
    <t>LATTEYS INDUSTRIES LTD</t>
  </si>
  <si>
    <t>INE947Q01028</t>
  </si>
  <si>
    <t>LAURUSLABS</t>
  </si>
  <si>
    <t>LAURUS LABS LIMITED</t>
  </si>
  <si>
    <t>INE801V01019</t>
  </si>
  <si>
    <t>LAXMICOT</t>
  </si>
  <si>
    <t>LAXMI COTSPIN LIMITED</t>
  </si>
  <si>
    <t>INE0WO601020</t>
  </si>
  <si>
    <t>LAXMIDENTL</t>
  </si>
  <si>
    <t>LAXMI DENTAL LIMITED</t>
  </si>
  <si>
    <t>INE258Y01016</t>
  </si>
  <si>
    <t>LGHL</t>
  </si>
  <si>
    <t>LAXMI GOLDORNA HOUSE LTD</t>
  </si>
  <si>
    <t>INE06WU01026</t>
  </si>
  <si>
    <t>LAXMIINDIA</t>
  </si>
  <si>
    <t>LAXMI INDIA FINANCE LTD</t>
  </si>
  <si>
    <t>INE576O01020</t>
  </si>
  <si>
    <t>LXCHEM</t>
  </si>
  <si>
    <t>LAXMI ORGANIC INDUS LTD</t>
  </si>
  <si>
    <t>INE938A01021</t>
  </si>
  <si>
    <t>LCCINFOTEC</t>
  </si>
  <si>
    <t>LCC INFOTECH LTD</t>
  </si>
  <si>
    <t>INE0G1L01025</t>
  </si>
  <si>
    <t>LEMERITE</t>
  </si>
  <si>
    <t>LE MERITE EXPORTS LIMITED</t>
  </si>
  <si>
    <t>INE0HV901016</t>
  </si>
  <si>
    <t>IXIGO</t>
  </si>
  <si>
    <t>LE TRAVENUES TECHNOLOGY L</t>
  </si>
  <si>
    <t>INE0H4B01011</t>
  </si>
  <si>
    <t>LRRPL</t>
  </si>
  <si>
    <t>LEAD REC AND RUB PROD LTD</t>
  </si>
  <si>
    <t>INE00GO01025</t>
  </si>
  <si>
    <t>LEAPIND</t>
  </si>
  <si>
    <t>LEAP INDIA LIMITED</t>
  </si>
  <si>
    <t>INE791B01014</t>
  </si>
  <si>
    <t>LEENEE</t>
  </si>
  <si>
    <t>LEE &amp; NEE SOFTWARES (E) L</t>
  </si>
  <si>
    <t>INE0AQ201015</t>
  </si>
  <si>
    <t>THELEELA</t>
  </si>
  <si>
    <t>LEELA PALACES HOTEL LTD</t>
  </si>
  <si>
    <t>INE970X01018</t>
  </si>
  <si>
    <t>LEMONTREE</t>
  </si>
  <si>
    <t>LEMON TREE HOTELS LTD</t>
  </si>
  <si>
    <t>INE956O01016</t>
  </si>
  <si>
    <t>LENSKART</t>
  </si>
  <si>
    <t>LENSKART SOLUTIONS LTD</t>
  </si>
  <si>
    <t>INE500X01013</t>
  </si>
  <si>
    <t>LEXUS</t>
  </si>
  <si>
    <t>LEXUS GRANITO (INDIA) LTD</t>
  </si>
  <si>
    <t>INE337A01034</t>
  </si>
  <si>
    <t>LGBBROSLTD</t>
  </si>
  <si>
    <t>LG BALAKRISHNAN &amp; BROS</t>
  </si>
  <si>
    <t>INE324D01010</t>
  </si>
  <si>
    <t>LGEINDIA</t>
  </si>
  <si>
    <t>LG ELECTRONICS INDIA LTD</t>
  </si>
  <si>
    <t>INE908V01012</t>
  </si>
  <si>
    <t>LIBAS</t>
  </si>
  <si>
    <t>LIBAS CONSU PRODUCTS LTD</t>
  </si>
  <si>
    <t>INE557B01019</t>
  </si>
  <si>
    <t>LIBERTSHOE</t>
  </si>
  <si>
    <t>LIBERTY SHOES LTD</t>
  </si>
  <si>
    <t>INE115A01026</t>
  </si>
  <si>
    <t>LICHSGFIN</t>
  </si>
  <si>
    <t>LIC HOUSING FINANCE LTD</t>
  </si>
  <si>
    <t>INF767K01SM1</t>
  </si>
  <si>
    <t>LICMFGOLD</t>
  </si>
  <si>
    <t>LIC MF - LIC GOLD ETF</t>
  </si>
  <si>
    <t>INF767K01OS7</t>
  </si>
  <si>
    <t>LICNETFN50</t>
  </si>
  <si>
    <t>LICNAMC - LICNFENGP</t>
  </si>
  <si>
    <t>INF767K01OT5</t>
  </si>
  <si>
    <t>LICNETFSEN</t>
  </si>
  <si>
    <t>LICNAMC - LICNFESGP</t>
  </si>
  <si>
    <t>INF767K01PC8</t>
  </si>
  <si>
    <t>LICNFNHGP</t>
  </si>
  <si>
    <t>LICNAMC - LICNFNHGP</t>
  </si>
  <si>
    <t>INF767K01MV5</t>
  </si>
  <si>
    <t>LICNETFGSC</t>
  </si>
  <si>
    <t>LICNAMC - LICNMFET</t>
  </si>
  <si>
    <t>INF767K01RN1</t>
  </si>
  <si>
    <t>LICNMID100</t>
  </si>
  <si>
    <t>LICNAMC - LICNMID100</t>
  </si>
  <si>
    <t>INE0J1Y01017</t>
  </si>
  <si>
    <t>LICI</t>
  </si>
  <si>
    <t>LIFE INSURA CORP OF INDIA</t>
  </si>
  <si>
    <t>INE060901027</t>
  </si>
  <si>
    <t>LIKHITHA</t>
  </si>
  <si>
    <t>LIKHITHA INFRASTRUC LTD</t>
  </si>
  <si>
    <t>INE802B01027</t>
  </si>
  <si>
    <t>LINC</t>
  </si>
  <si>
    <t>LINC LIMITED</t>
  </si>
  <si>
    <t>INE405C01035</t>
  </si>
  <si>
    <t>LINCOLN</t>
  </si>
  <si>
    <t>LINCOLN PHARMA LTD</t>
  </si>
  <si>
    <t>INE473A01011</t>
  </si>
  <si>
    <t>LINDEINDIA</t>
  </si>
  <si>
    <t>LINDE INDIA LIMITED</t>
  </si>
  <si>
    <t>INE093R01011</t>
  </si>
  <si>
    <t>LLOYDSENGG</t>
  </si>
  <si>
    <t>LLOYDS ENGG WORK LIMITED</t>
  </si>
  <si>
    <t>INE080I01025</t>
  </si>
  <si>
    <t>LLOYDSENT</t>
  </si>
  <si>
    <t>LLOYDS ENTERPRISES LTD</t>
  </si>
  <si>
    <t>INE0DTQ01028</t>
  </si>
  <si>
    <t>LLOYDS</t>
  </si>
  <si>
    <t>LLOYDS LUXURIES LIMITED</t>
  </si>
  <si>
    <t>INE281B01032</t>
  </si>
  <si>
    <t>LLOYDSME</t>
  </si>
  <si>
    <t>LLOYDS METALS N ENERGY L</t>
  </si>
  <si>
    <t>INE269B01029</t>
  </si>
  <si>
    <t>LMW</t>
  </si>
  <si>
    <t>LMW LIMITED</t>
  </si>
  <si>
    <t>INE670K01029</t>
  </si>
  <si>
    <t>LODHA</t>
  </si>
  <si>
    <t>LODHA DEVELOPERS LIMITED</t>
  </si>
  <si>
    <t>INE0QJW01029</t>
  </si>
  <si>
    <t>LCL</t>
  </si>
  <si>
    <t>LOHIA CORP LIMITED</t>
  </si>
  <si>
    <t>INE397H01017</t>
  </si>
  <si>
    <t>LOKESHMACH</t>
  </si>
  <si>
    <t>LOKESH MACHINES LTD</t>
  </si>
  <si>
    <t>INE846D01012</t>
  </si>
  <si>
    <t>LORDSCHLO</t>
  </si>
  <si>
    <t>LORDS CHLORO ALKALI LTD</t>
  </si>
  <si>
    <t>INE740X01023</t>
  </si>
  <si>
    <t>LAL</t>
  </si>
  <si>
    <t>LORENZINI APPARELS LTD</t>
  </si>
  <si>
    <t>INE026D01011</t>
  </si>
  <si>
    <t>LOTUSCHO</t>
  </si>
  <si>
    <t>LOTUS CHOCOLATE CO. LTD.</t>
  </si>
  <si>
    <t>INE947I01017</t>
  </si>
  <si>
    <t>LOTUSEYE</t>
  </si>
  <si>
    <t>LOTUS EYE HOSP &amp; INST L</t>
  </si>
  <si>
    <t>INE597L01014</t>
  </si>
  <si>
    <t>LOVABLE</t>
  </si>
  <si>
    <t>LOVABLE LINGERIE LTD</t>
  </si>
  <si>
    <t>INE970D01010</t>
  </si>
  <si>
    <t>LOYALTEX</t>
  </si>
  <si>
    <t>LOYAL TEXTILE MILLS LTD</t>
  </si>
  <si>
    <t>INE818H01020</t>
  </si>
  <si>
    <t>LTFOODS</t>
  </si>
  <si>
    <t>LT FOODS LIMITED</t>
  </si>
  <si>
    <t>INE214T01019</t>
  </si>
  <si>
    <t>LTM</t>
  </si>
  <si>
    <t>LTM LIMITED</t>
  </si>
  <si>
    <t>INE872H01027</t>
  </si>
  <si>
    <t>LUMAXTECH</t>
  </si>
  <si>
    <t>LUMAX AUTO TECH LTD</t>
  </si>
  <si>
    <t>INE162B01018</t>
  </si>
  <si>
    <t>LUMAXIND</t>
  </si>
  <si>
    <t>LUMAX INDUSTRIES LTD</t>
  </si>
  <si>
    <t>INE185Q01025</t>
  </si>
  <si>
    <t>LUMINO</t>
  </si>
  <si>
    <t>LUMINO INDUSTRIES LIMITED</t>
  </si>
  <si>
    <t>INE326A01037</t>
  </si>
  <si>
    <t>LUPIN</t>
  </si>
  <si>
    <t>LUPIN LIMITED</t>
  </si>
  <si>
    <t>INE150G01020</t>
  </si>
  <si>
    <t>LUXIND</t>
  </si>
  <si>
    <t>LUX INDUSTRIES LIMITED</t>
  </si>
  <si>
    <t>INE933A01014</t>
  </si>
  <si>
    <t>LYKALABS</t>
  </si>
  <si>
    <t>LYKA LABS LTD.</t>
  </si>
  <si>
    <t>INE08N601015</t>
  </si>
  <si>
    <t>MBEL</t>
  </si>
  <si>
    <t>M AND B ENGINEERING LTD</t>
  </si>
  <si>
    <t>INE227F01010</t>
  </si>
  <si>
    <t>MKEXIM</t>
  </si>
  <si>
    <t>M K EXIM (INDIA) LTD.</t>
  </si>
  <si>
    <t>INE964W01021</t>
  </si>
  <si>
    <t>MKPL</t>
  </si>
  <si>
    <t>M K PROTEINS LIMITED</t>
  </si>
  <si>
    <t>INE813V01022</t>
  </si>
  <si>
    <t>MCL</t>
  </si>
  <si>
    <t>M TEK COPPER LIMITED</t>
  </si>
  <si>
    <t>INE774D01024</t>
  </si>
  <si>
    <t>M&amp;MFIN</t>
  </si>
  <si>
    <t>M&amp;M FIN. SERVICES LTD</t>
  </si>
  <si>
    <t>INE0SGC01015</t>
  </si>
  <si>
    <t>MVKAGRO</t>
  </si>
  <si>
    <t>M.V.K. AGRO FOOD PROD LTD</t>
  </si>
  <si>
    <t>INE215I01027</t>
  </si>
  <si>
    <t>MAANALU</t>
  </si>
  <si>
    <t>MAAN ALUMINIUM LIMITED</t>
  </si>
  <si>
    <t>INE435D01014</t>
  </si>
  <si>
    <t>MCCHRLS-B</t>
  </si>
  <si>
    <t>MAC CHARLES (INDIA) LTD.</t>
  </si>
  <si>
    <t>INE0R0J01010</t>
  </si>
  <si>
    <t>MACOBSTECH</t>
  </si>
  <si>
    <t>MACOBS TECHNOLOGIES LTD</t>
  </si>
  <si>
    <t>INE155Z01011</t>
  </si>
  <si>
    <t>MACPOWER</t>
  </si>
  <si>
    <t>MACPOWER CNC MACHINES LTD</t>
  </si>
  <si>
    <t>INE631R01026</t>
  </si>
  <si>
    <t>MADHAVIPL</t>
  </si>
  <si>
    <t>MADHAV INFRA PROJECTS L</t>
  </si>
  <si>
    <t>INE925C01016</t>
  </si>
  <si>
    <t>MADHAV</t>
  </si>
  <si>
    <t>MADHAV MARBLE &amp; GRANITE</t>
  </si>
  <si>
    <t>INE378D01032</t>
  </si>
  <si>
    <t>MADHUCON</t>
  </si>
  <si>
    <t>MADHUCON PROJECTS LTD.</t>
  </si>
  <si>
    <t>INE0P6701019</t>
  </si>
  <si>
    <t>MADHUSUDAN</t>
  </si>
  <si>
    <t>MADHUSUDAN MASALA LIMITED</t>
  </si>
  <si>
    <t>INE900L01028</t>
  </si>
  <si>
    <t>MBAPL</t>
  </si>
  <si>
    <t>MADHYA BHARAT AGRO P. LTD</t>
  </si>
  <si>
    <t>INE414A01015</t>
  </si>
  <si>
    <t>MADRASFERT</t>
  </si>
  <si>
    <t>MADRAS FERTILISERS LTD</t>
  </si>
  <si>
    <t>INE270B01035</t>
  </si>
  <si>
    <t>MAFATIND</t>
  </si>
  <si>
    <t>MAFATLAL INDUSTRIES LTD.</t>
  </si>
  <si>
    <t>INE347W01011</t>
  </si>
  <si>
    <t>MAGADSUGAR</t>
  </si>
  <si>
    <t>MAGADH SUGAR &amp; ENERGY LTD</t>
  </si>
  <si>
    <t>INE613C01026</t>
  </si>
  <si>
    <t>MCLOUD</t>
  </si>
  <si>
    <t>MAGELLANIC CLOUD LIMITED</t>
  </si>
  <si>
    <t>INE387I01016</t>
  </si>
  <si>
    <t>MAGNUM</t>
  </si>
  <si>
    <t>MAGNUM VENTURES LTD.</t>
  </si>
  <si>
    <t>INE0O1S01012</t>
  </si>
  <si>
    <t>MAGSON</t>
  </si>
  <si>
    <t>MAGSON RETAIL AND DIST L</t>
  </si>
  <si>
    <t>INE843B01013</t>
  </si>
  <si>
    <t>MAHAPEXLTD</t>
  </si>
  <si>
    <t>MAHA RASHTRA APEX COPR. L</t>
  </si>
  <si>
    <t>INE0US801024</t>
  </si>
  <si>
    <t>MFML</t>
  </si>
  <si>
    <t>MAHALAXMI FABRIC MILLS LT</t>
  </si>
  <si>
    <t>INE112D01035</t>
  </si>
  <si>
    <t>MHLXMIRU</t>
  </si>
  <si>
    <t>MAHALAXMI RUBTECH LIMITED</t>
  </si>
  <si>
    <t>INE451L01014</t>
  </si>
  <si>
    <t>MAHASTEEL</t>
  </si>
  <si>
    <t>MAHAMAYA STEEL INDS LTD</t>
  </si>
  <si>
    <t>INE002S01010</t>
  </si>
  <si>
    <t>MGL</t>
  </si>
  <si>
    <t>MAHANAGAR GAS LTD.</t>
  </si>
  <si>
    <t>INE153A01019</t>
  </si>
  <si>
    <t>MTNL</t>
  </si>
  <si>
    <t>MAHANAGAR TELEPHONE NIGAM</t>
  </si>
  <si>
    <t>INE288A01013</t>
  </si>
  <si>
    <t>MAHSCOOTER</t>
  </si>
  <si>
    <t>MAHARASHTRA SCOOTERS LTD</t>
  </si>
  <si>
    <t>INE271B01025</t>
  </si>
  <si>
    <t>MAHSEAMLES</t>
  </si>
  <si>
    <t>MAHARASHTRA SEAMLESS LTD</t>
  </si>
  <si>
    <t>INE632Q01018</t>
  </si>
  <si>
    <t>MRIL</t>
  </si>
  <si>
    <t>MAHENDRA REALTO &amp; INFRA L</t>
  </si>
  <si>
    <t>INE263W01010</t>
  </si>
  <si>
    <t>MAHESHWARI</t>
  </si>
  <si>
    <t>MAHESHWARI LOGISTICS LTD.</t>
  </si>
  <si>
    <t>INE961Y01015</t>
  </si>
  <si>
    <t>MAHICKRA</t>
  </si>
  <si>
    <t>MAHICKRA CHEMICAL LIMITED</t>
  </si>
  <si>
    <t>INE101A01026</t>
  </si>
  <si>
    <t>M&amp;M</t>
  </si>
  <si>
    <t>MAHINDRA &amp; MAHINDRA LTD</t>
  </si>
  <si>
    <t>INE215D01010</t>
  </si>
  <si>
    <t>MAHEPC</t>
  </si>
  <si>
    <t>MAHINDRA EPC IRRIG LTD</t>
  </si>
  <si>
    <t>INE998I01010</t>
  </si>
  <si>
    <t>MHRIL</t>
  </si>
  <si>
    <t>MAHINDRA HOLIDAYS LTD</t>
  </si>
  <si>
    <t>INE813A01018</t>
  </si>
  <si>
    <t>MAHLIFE</t>
  </si>
  <si>
    <t>MAHINDRA LIFESPACE DEVLTD</t>
  </si>
  <si>
    <t>INE766P01016</t>
  </si>
  <si>
    <t>MAHLOG</t>
  </si>
  <si>
    <t>MAHINDRA LOGISTIC LIMITED</t>
  </si>
  <si>
    <t>INE683C01011</t>
  </si>
  <si>
    <t>MAITHANALL</t>
  </si>
  <si>
    <t>MAITHAN ALLOYS LTD</t>
  </si>
  <si>
    <t>INE0PLQ01011</t>
  </si>
  <si>
    <t>MAITREYA</t>
  </si>
  <si>
    <t>MAITREYA MEDICARE LIMITED</t>
  </si>
  <si>
    <t>INE201B01022</t>
  </si>
  <si>
    <t>MAJESAUT</t>
  </si>
  <si>
    <t>MAJESTIC AUTO LTD.</t>
  </si>
  <si>
    <t>INE987A01010</t>
  </si>
  <si>
    <t>MAKERSL</t>
  </si>
  <si>
    <t>MAKERS LABORATORIES LTD.</t>
  </si>
  <si>
    <t>INE0CDK01019</t>
  </si>
  <si>
    <t>MAKS</t>
  </si>
  <si>
    <t>MAKS ENERGY SOL INDIA LTD</t>
  </si>
  <si>
    <t>INE389C01015</t>
  </si>
  <si>
    <t>MALLCOM</t>
  </si>
  <si>
    <t>MALLCOM (INDIA) LIMITED</t>
  </si>
  <si>
    <t>INE383H01017</t>
  </si>
  <si>
    <t>MALUPAPER</t>
  </si>
  <si>
    <t>MALU PAPER MILLS LIMITED</t>
  </si>
  <si>
    <t>INE0TO701015</t>
  </si>
  <si>
    <t>MAMATA</t>
  </si>
  <si>
    <t>MAMATA MACHINERY LIMITED</t>
  </si>
  <si>
    <t>INE830Q01018</t>
  </si>
  <si>
    <t>MANAKCOAT</t>
  </si>
  <si>
    <t>MAN COAT METAL &amp; IND LTD</t>
  </si>
  <si>
    <t>INE993A01026</t>
  </si>
  <si>
    <t>MANINDS</t>
  </si>
  <si>
    <t>MAN INDUSTRIES (I) LTD.</t>
  </si>
  <si>
    <t>INE949H01023</t>
  </si>
  <si>
    <t>MANINFRA</t>
  </si>
  <si>
    <t>MAN INFRA LTD</t>
  </si>
  <si>
    <t>INE859Q01017</t>
  </si>
  <si>
    <t>MANAKALUCO</t>
  </si>
  <si>
    <t>MANAK ALUMINIUM CO. LTD.</t>
  </si>
  <si>
    <t>INE015D01022</t>
  </si>
  <si>
    <t>MANAKSIA</t>
  </si>
  <si>
    <t>MANAKSIA LTD.</t>
  </si>
  <si>
    <t>INE824Q01011</t>
  </si>
  <si>
    <t>MANAKSTEEL</t>
  </si>
  <si>
    <t>MANAKSIA STEELS LTD</t>
  </si>
  <si>
    <t>INE201A01024</t>
  </si>
  <si>
    <t>MANALIPETC</t>
  </si>
  <si>
    <t>MANALI PETROCHEMICALS LT</t>
  </si>
  <si>
    <t>INE522D01027</t>
  </si>
  <si>
    <t>MANAPPURAM</t>
  </si>
  <si>
    <t>MANAPPURAM FINANCE LTD</t>
  </si>
  <si>
    <t>INE0U4H20011</t>
  </si>
  <si>
    <t>MPEL-RE</t>
  </si>
  <si>
    <t>MANAS POLY N ENERG LTD</t>
  </si>
  <si>
    <t>INE0U4H01011</t>
  </si>
  <si>
    <t>MPEL</t>
  </si>
  <si>
    <t>MANAS POLYMER N ENERGIE L</t>
  </si>
  <si>
    <t>INE939X01013</t>
  </si>
  <si>
    <t>MANBA</t>
  </si>
  <si>
    <t>MANBA FINANCE LIMITED</t>
  </si>
  <si>
    <t>INE0R3T01013</t>
  </si>
  <si>
    <t>MANDEEP</t>
  </si>
  <si>
    <t>MANDEEP AUTO INDUSTRIES L</t>
  </si>
  <si>
    <t>INE545L01039</t>
  </si>
  <si>
    <t>MANCREDIT</t>
  </si>
  <si>
    <t>MANGAL CREDIT N FINCORP L</t>
  </si>
  <si>
    <t>INE0PKD01011</t>
  </si>
  <si>
    <t>MEIL</t>
  </si>
  <si>
    <t>MANGAL ELECTRICAL IND L</t>
  </si>
  <si>
    <t>INE00C401011</t>
  </si>
  <si>
    <t>MAL</t>
  </si>
  <si>
    <t>MANGALAM ALLOYS LIMITED</t>
  </si>
  <si>
    <t>INE347A01017</t>
  </si>
  <si>
    <t>MANGLMCEM</t>
  </si>
  <si>
    <t>MANGALAM CEMENT LTD</t>
  </si>
  <si>
    <t>INE584F01014</t>
  </si>
  <si>
    <t>MANGALAM</t>
  </si>
  <si>
    <t>MANGALAM DRUG &amp; CHEM LTD</t>
  </si>
  <si>
    <t>INE0APB01032</t>
  </si>
  <si>
    <t>MGEL</t>
  </si>
  <si>
    <t>MANGALAM GLOBAL ENT LTD</t>
  </si>
  <si>
    <t>INE370D01013</t>
  </si>
  <si>
    <t>MANORG</t>
  </si>
  <si>
    <t>MANGALAM ORGANICS LIMITED</t>
  </si>
  <si>
    <t>INE829S01016</t>
  </si>
  <si>
    <t>MSL</t>
  </si>
  <si>
    <t>MANGALAM SEEDS LTD.</t>
  </si>
  <si>
    <t>INE0JYY01029</t>
  </si>
  <si>
    <t>MWL</t>
  </si>
  <si>
    <t>MANGALAM WORLDWIDE LTD</t>
  </si>
  <si>
    <t>INE1ERK01013</t>
  </si>
  <si>
    <t>MANILAM</t>
  </si>
  <si>
    <t>MANILAM INDUSTRIES IND L</t>
  </si>
  <si>
    <t>INE459N01021</t>
  </si>
  <si>
    <t>MANIPALHOS</t>
  </si>
  <si>
    <t>MANIPAL HEALTH ENTERPRI L</t>
  </si>
  <si>
    <t>INE634S01028</t>
  </si>
  <si>
    <t>MANKIND</t>
  </si>
  <si>
    <t>MANKIND PHARMA LIMITED</t>
  </si>
  <si>
    <t>INE0KNT01012</t>
  </si>
  <si>
    <t>MVGJL</t>
  </si>
  <si>
    <t>MANOJ VAIBHAV GEM N JEW L</t>
  </si>
  <si>
    <t>INE784W01015</t>
  </si>
  <si>
    <t>MANOMAY</t>
  </si>
  <si>
    <t>MANOMAY TEX INDIA LTD</t>
  </si>
  <si>
    <t>INE00VM01036</t>
  </si>
  <si>
    <t>MANORAMA</t>
  </si>
  <si>
    <t>MANORAMA INDUSTRIES LTD</t>
  </si>
  <si>
    <t>INE867A01022</t>
  </si>
  <si>
    <t>MANUGRAPH</t>
  </si>
  <si>
    <t>MANUGRAPH INDIA LIMITED</t>
  </si>
  <si>
    <t>INE882A01013</t>
  </si>
  <si>
    <t>MARALOVER</t>
  </si>
  <si>
    <t>MARAL OVERSEAS LTD</t>
  </si>
  <si>
    <t>INE182D01020</t>
  </si>
  <si>
    <t>MARATHON</t>
  </si>
  <si>
    <t>MARATHON NXTGEN REALT LTD</t>
  </si>
  <si>
    <t>INE0TD401015</t>
  </si>
  <si>
    <t>MARC</t>
  </si>
  <si>
    <t>MARC TECHNOCRATS LIMITED</t>
  </si>
  <si>
    <t>INE0QP001012</t>
  </si>
  <si>
    <t>MARCO</t>
  </si>
  <si>
    <t>MARCO CABLE &amp; CONDUCTOR L</t>
  </si>
  <si>
    <t>INE196A01026</t>
  </si>
  <si>
    <t>MARICO</t>
  </si>
  <si>
    <t>MARICO LIMITED</t>
  </si>
  <si>
    <t>INE01JE01028</t>
  </si>
  <si>
    <t>MARINE</t>
  </si>
  <si>
    <t>MARINE ELECTRICAL (I) LTD</t>
  </si>
  <si>
    <t>INE0FW001016</t>
  </si>
  <si>
    <t>MARKOLINES</t>
  </si>
  <si>
    <t>MARKOLINES PAVEMENT TEC L</t>
  </si>
  <si>
    <t>INE750C01026</t>
  </si>
  <si>
    <t>MARKSANS</t>
  </si>
  <si>
    <t>MARKSANS PHARMA LIMITED</t>
  </si>
  <si>
    <t>INE415B01044</t>
  </si>
  <si>
    <t>MARSONS</t>
  </si>
  <si>
    <t>MARSONS LIMITED</t>
  </si>
  <si>
    <t>INE0X7G01013</t>
  </si>
  <si>
    <t>MARUSHIKA</t>
  </si>
  <si>
    <t>MARUSHIKA TECHNOLOGY LTD</t>
  </si>
  <si>
    <t>INE585B01010</t>
  </si>
  <si>
    <t>MARUTI</t>
  </si>
  <si>
    <t>MARUTI SUZUKI INDIA LTD.</t>
  </si>
  <si>
    <t>INE348L01012</t>
  </si>
  <si>
    <t>MASFIN</t>
  </si>
  <si>
    <t>MAS FINANCIAL SERV LTD</t>
  </si>
  <si>
    <t>INE0SH001010</t>
  </si>
  <si>
    <t>MASON</t>
  </si>
  <si>
    <t>MASON INFRATECH LIMITED</t>
  </si>
  <si>
    <t>INE759A01021</t>
  </si>
  <si>
    <t>MASTEK</t>
  </si>
  <si>
    <t>MASTEK LTD</t>
  </si>
  <si>
    <t>INE0OJM01017</t>
  </si>
  <si>
    <t>MASTER</t>
  </si>
  <si>
    <t>MASTER COMPONENTS LIMITED</t>
  </si>
  <si>
    <t>INE677D01037</t>
  </si>
  <si>
    <t>MASTERTR</t>
  </si>
  <si>
    <t>MASTER TRUST LIMITED</t>
  </si>
  <si>
    <t>INE866R01028</t>
  </si>
  <si>
    <t>MATRIMONY</t>
  </si>
  <si>
    <t>MATRIMONY.COM LIMITED</t>
  </si>
  <si>
    <t>INE132901013</t>
  </si>
  <si>
    <t>MGSL</t>
  </si>
  <si>
    <t>MATRIX GEO SOLUTIONS LTD</t>
  </si>
  <si>
    <t>INE636A01039</t>
  </si>
  <si>
    <t>MAWANASUG</t>
  </si>
  <si>
    <t>MAWANA SUGARS LIMITED</t>
  </si>
  <si>
    <t>INE03EI01018</t>
  </si>
  <si>
    <t>MAXESTATES</t>
  </si>
  <si>
    <t>MAX ESTATES LIMITED</t>
  </si>
  <si>
    <t>INE180A01020</t>
  </si>
  <si>
    <t>MFSL</t>
  </si>
  <si>
    <t>MAX FINANCIAL SERV LTD</t>
  </si>
  <si>
    <t>INE027H01010</t>
  </si>
  <si>
    <t>MAXHEALTH</t>
  </si>
  <si>
    <t>MAX HEALTHCARE INS LTD</t>
  </si>
  <si>
    <t>INE0CG601016</t>
  </si>
  <si>
    <t>MAXIND</t>
  </si>
  <si>
    <t>MAX INDIA LIMITED</t>
  </si>
  <si>
    <t>INE0ECC01022</t>
  </si>
  <si>
    <t>MAXPOSURE</t>
  </si>
  <si>
    <t>MAXPOSURE LIMITED</t>
  </si>
  <si>
    <t>INE10A501018</t>
  </si>
  <si>
    <t>MAXVOLT</t>
  </si>
  <si>
    <t>MAXVOLT ENERGY INDUS L</t>
  </si>
  <si>
    <t>INE0ZTO01018</t>
  </si>
  <si>
    <t>MAYASHEEL</t>
  </si>
  <si>
    <t>MAYASHEEL VENTURES LTD</t>
  </si>
  <si>
    <t>INE040D01038</t>
  </si>
  <si>
    <t>MAYURUNIQ</t>
  </si>
  <si>
    <t>MAYUR UNIQUOTERS LTD</t>
  </si>
  <si>
    <t>INE249Z01020</t>
  </si>
  <si>
    <t>MAZDOCK</t>
  </si>
  <si>
    <t>MAZAGON DOCK SHIPBUIL LTD</t>
  </si>
  <si>
    <t>INE885E01042</t>
  </si>
  <si>
    <t>MAZDA</t>
  </si>
  <si>
    <t>MAZDA LIMITED</t>
  </si>
  <si>
    <t>INE912H01013</t>
  </si>
  <si>
    <t>MBLINFRA</t>
  </si>
  <si>
    <t>MBL INFRASTRUCTURE LTD</t>
  </si>
  <si>
    <t>INE942G01012</t>
  </si>
  <si>
    <t>MCLEODRUSS</t>
  </si>
  <si>
    <t>MCLEOD RUSSEL INDIA LTD.</t>
  </si>
  <si>
    <t>INE748A01024</t>
  </si>
  <si>
    <t>MBECL</t>
  </si>
  <si>
    <t>MCNALLY BHARAT ENGIN CO L</t>
  </si>
  <si>
    <t>INE0O4M01019</t>
  </si>
  <si>
    <t>MCON</t>
  </si>
  <si>
    <t>MCON RASAYAN INDIA LTD</t>
  </si>
  <si>
    <t>INE456Z01021</t>
  </si>
  <si>
    <t>MEDIASSIST</t>
  </si>
  <si>
    <t>MEDI ASSIST HEALTH SER L</t>
  </si>
  <si>
    <t>INE442D01010</t>
  </si>
  <si>
    <t>MEDICAPQ</t>
  </si>
  <si>
    <t>MEDI CAPS LTD.</t>
  </si>
  <si>
    <t>INE200D01020</t>
  </si>
  <si>
    <t>MMWL</t>
  </si>
  <si>
    <t>MEDIA MATRIX WORLDWIDE L</t>
  </si>
  <si>
    <t>INE646B01010</t>
  </si>
  <si>
    <t>MEDICAMEQ</t>
  </si>
  <si>
    <t>MEDICAMEN BIOTECH LIMITED</t>
  </si>
  <si>
    <t>INE630Y01024</t>
  </si>
  <si>
    <t>MEDICO</t>
  </si>
  <si>
    <t>MEDICO REMEDIES LIMITED</t>
  </si>
  <si>
    <t>INE804L01022</t>
  </si>
  <si>
    <t>MEDPLUS</t>
  </si>
  <si>
    <t>MEDPLUS HEALTH SERV LTD</t>
  </si>
  <si>
    <t>INE0VDM01015</t>
  </si>
  <si>
    <t>MEESHO</t>
  </si>
  <si>
    <t>MEESHO LIMITED</t>
  </si>
  <si>
    <t>INE00EM01016</t>
  </si>
  <si>
    <t>MEGASTAR</t>
  </si>
  <si>
    <t>MEGASTAR FOODS LIMITED</t>
  </si>
  <si>
    <t>INE531R01010</t>
  </si>
  <si>
    <t>MEGATHERM</t>
  </si>
  <si>
    <t>MEGATHERM INDUCTION LTD</t>
  </si>
  <si>
    <t>INE0CT101020</t>
  </si>
  <si>
    <t>MOL</t>
  </si>
  <si>
    <t>MEGHMANI ORGANICS LIMITED</t>
  </si>
  <si>
    <t>INE898Q01015</t>
  </si>
  <si>
    <t>MIIL</t>
  </si>
  <si>
    <t>MEGHNA INFRACON INFRA L</t>
  </si>
  <si>
    <t>INE071D01033</t>
  </si>
  <si>
    <t>MENONBE</t>
  </si>
  <si>
    <t>MENON BEARINGS LIMITED</t>
  </si>
  <si>
    <t>INE650G01029</t>
  </si>
  <si>
    <t>MENNPIS</t>
  </si>
  <si>
    <t>MENON PISTONS LTD.</t>
  </si>
  <si>
    <t>INE776I01010</t>
  </si>
  <si>
    <t>MEP</t>
  </si>
  <si>
    <t>MEP INFRA. DEVELOPERS LTD</t>
  </si>
  <si>
    <t>INE689O01013</t>
  </si>
  <si>
    <t>MERCANTILE</t>
  </si>
  <si>
    <t>MERCANTILE VENTURES LTD.</t>
  </si>
  <si>
    <t>INE763M01028</t>
  </si>
  <si>
    <t>MERCURYEV</t>
  </si>
  <si>
    <t>MERCURY EV-TECH LIMITED</t>
  </si>
  <si>
    <t>INE1II801013</t>
  </si>
  <si>
    <t>METALIC</t>
  </si>
  <si>
    <t>METALIC TECHNOFORGE LTD</t>
  </si>
  <si>
    <t>INE317I01021</t>
  </si>
  <si>
    <t>METROBRAND</t>
  </si>
  <si>
    <t>METRO BRANDS LIMITED</t>
  </si>
  <si>
    <t>INE085D01033</t>
  </si>
  <si>
    <t>METROGLOBL</t>
  </si>
  <si>
    <t>METROGLOBAL LTD.</t>
  </si>
  <si>
    <t>INE112L01020</t>
  </si>
  <si>
    <t>METROPOLIS</t>
  </si>
  <si>
    <t>METROPOLIS HEALTHCARE LTD</t>
  </si>
  <si>
    <t>INE287C01037</t>
  </si>
  <si>
    <t>MICEL</t>
  </si>
  <si>
    <t>MIC ELECTRONICS LTD</t>
  </si>
  <si>
    <t>INE0PZK01014</t>
  </si>
  <si>
    <t>MICROPRO</t>
  </si>
  <si>
    <t>MICROPRO SOFTWARE SOL L</t>
  </si>
  <si>
    <t>INE0XAD01024</t>
  </si>
  <si>
    <t>MIDWESTLTD</t>
  </si>
  <si>
    <t>MIDWEST LIMITED</t>
  </si>
  <si>
    <t>INE588G01021</t>
  </si>
  <si>
    <t>MLKFOOD</t>
  </si>
  <si>
    <t>MILKFOOD LTD.</t>
  </si>
  <si>
    <t>INE00IT01020</t>
  </si>
  <si>
    <t>MILKYMIST</t>
  </si>
  <si>
    <t>MILKY MIST DAIRY FOOD L</t>
  </si>
  <si>
    <t>INE376Y01016</t>
  </si>
  <si>
    <t>MILTON</t>
  </si>
  <si>
    <t>MILTON INDUSTRIES LIMITED</t>
  </si>
  <si>
    <t>INE097E01028</t>
  </si>
  <si>
    <t>MINALIND</t>
  </si>
  <si>
    <t>MINAL INDUSTRIES LTD.</t>
  </si>
  <si>
    <t>INE842C01021</t>
  </si>
  <si>
    <t>MINDACORP</t>
  </si>
  <si>
    <t>MINDA CORPORATION LTD</t>
  </si>
  <si>
    <t>INE0CCU25019</t>
  </si>
  <si>
    <t>MINDSPACE</t>
  </si>
  <si>
    <t>MINDSPACE BUSINESS P REIT</t>
  </si>
  <si>
    <t>INE110B01017</t>
  </si>
  <si>
    <t>MINDTECK</t>
  </si>
  <si>
    <t>MINDTECK (INDIA) LIMITED</t>
  </si>
  <si>
    <t>INF769K01KU7</t>
  </si>
  <si>
    <t>ALPHAETF</t>
  </si>
  <si>
    <t>MIRAEAMC - ALPHAETF</t>
  </si>
  <si>
    <t>INF769K01KR3</t>
  </si>
  <si>
    <t>BANKETF</t>
  </si>
  <si>
    <t>MIRAEAMC - BANKETF</t>
  </si>
  <si>
    <t>INF769K01LZ4</t>
  </si>
  <si>
    <t>BANKPSU</t>
  </si>
  <si>
    <t>MIRAEAMC - BANKPSU</t>
  </si>
  <si>
    <t>INF769K01NS5</t>
  </si>
  <si>
    <t>CONSUMER</t>
  </si>
  <si>
    <t>MIRAEAMC - CONSUMER</t>
  </si>
  <si>
    <t>INF769K01QC2</t>
  </si>
  <si>
    <t>DEFENCE</t>
  </si>
  <si>
    <t>MIRAEAMC - DEFENCE</t>
  </si>
  <si>
    <t>INF769K01PY8</t>
  </si>
  <si>
    <t>DIVIDEND</t>
  </si>
  <si>
    <t>MIRAEAMC - DIVIDEND</t>
  </si>
  <si>
    <t>INF769K01PR2</t>
  </si>
  <si>
    <t>ENERGY</t>
  </si>
  <si>
    <t>MIRAEAMC - ENERGY</t>
  </si>
  <si>
    <t>INF769K01OA1</t>
  </si>
  <si>
    <t>EQUAL200</t>
  </si>
  <si>
    <t>MIRAEAMC - EQUAL200</t>
  </si>
  <si>
    <t>INF769K01OO2</t>
  </si>
  <si>
    <t>EQUAL50</t>
  </si>
  <si>
    <t>MIRAEAMC - EQUAL50</t>
  </si>
  <si>
    <t>INF769K01LQ3</t>
  </si>
  <si>
    <t>EVINDIA</t>
  </si>
  <si>
    <t>MIRAEAMC - EVINDIA</t>
  </si>
  <si>
    <t>INF769K01QA6</t>
  </si>
  <si>
    <t>HEALTHCARE</t>
  </si>
  <si>
    <t>MIRAEAMC - HEALTHCARE</t>
  </si>
  <si>
    <t>INF769K01RJ5</t>
  </si>
  <si>
    <t>HYBRIDETF</t>
  </si>
  <si>
    <t>MIRAEAMC - HYBRIDETF</t>
  </si>
  <si>
    <t>INF769K01QB4</t>
  </si>
  <si>
    <t>INFRA</t>
  </si>
  <si>
    <t>MIRAEAMC - INFRA</t>
  </si>
  <si>
    <t>INF769K01PB6</t>
  </si>
  <si>
    <t>INTERNET</t>
  </si>
  <si>
    <t>MIRAEAMC - INTERNET</t>
  </si>
  <si>
    <t>INF769K01KV5</t>
  </si>
  <si>
    <t>ITETF</t>
  </si>
  <si>
    <t>MIRAEAMC - ITETF</t>
  </si>
  <si>
    <t>INF769K01RK3</t>
  </si>
  <si>
    <t>LARGEMID50</t>
  </si>
  <si>
    <t>MIRAEAMC - LARGEMID50</t>
  </si>
  <si>
    <t>INF769K01KS1</t>
  </si>
  <si>
    <t>LIQUID</t>
  </si>
  <si>
    <t>MIRAEAMC - LIQUID</t>
  </si>
  <si>
    <t>INF769K01MY5</t>
  </si>
  <si>
    <t>LIQUIDPLUS</t>
  </si>
  <si>
    <t>MIRAEAMC - LIQUIDPLUS</t>
  </si>
  <si>
    <t>INF769K01GS9</t>
  </si>
  <si>
    <t>ESG</t>
  </si>
  <si>
    <t>MIRAEAMC - MAESGETF</t>
  </si>
  <si>
    <t>INF769K01HF4</t>
  </si>
  <si>
    <t>MAFANG</t>
  </si>
  <si>
    <t>MIRAEAMC - MAFANG</t>
  </si>
  <si>
    <t>INF769K01HI8</t>
  </si>
  <si>
    <t>BFSI</t>
  </si>
  <si>
    <t>MIRAEAMC - MAFSETF</t>
  </si>
  <si>
    <t>INF769K01JP9</t>
  </si>
  <si>
    <t>GOLDETF</t>
  </si>
  <si>
    <t>MIRAEAMC - MAGOLDETF</t>
  </si>
  <si>
    <t>INF769K01KF8</t>
  </si>
  <si>
    <t>GSEC10YEAR</t>
  </si>
  <si>
    <t>MIRAEAMC - MAGS813ETF</t>
  </si>
  <si>
    <t>INF769K01HS7</t>
  </si>
  <si>
    <t>MAHKTECH</t>
  </si>
  <si>
    <t>MIRAEAMC - MAHKTECH</t>
  </si>
  <si>
    <t>INF769K01IC9</t>
  </si>
  <si>
    <t>MIDCAPETF</t>
  </si>
  <si>
    <t>MIRAEAMC - MAM150ETF</t>
  </si>
  <si>
    <t>INF769K01IB1</t>
  </si>
  <si>
    <t>MAKEINDIA</t>
  </si>
  <si>
    <t>MIRAEAMC - MAMFGETF</t>
  </si>
  <si>
    <t>INF769K01EG9</t>
  </si>
  <si>
    <t>NIFTYETF</t>
  </si>
  <si>
    <t>MIRAEAMC - MAN50ETF</t>
  </si>
  <si>
    <t>INF769K01JU9</t>
  </si>
  <si>
    <t>LOWVOL</t>
  </si>
  <si>
    <t>MIRAEAMC - MANV30F</t>
  </si>
  <si>
    <t>INF769K01FN2</t>
  </si>
  <si>
    <t>NEXT50</t>
  </si>
  <si>
    <t>MIRAEAMC - MANXT50</t>
  </si>
  <si>
    <t>INF769K01KG6</t>
  </si>
  <si>
    <t>SILVERAG</t>
  </si>
  <si>
    <t>MIRAEAMC - MASILVER</t>
  </si>
  <si>
    <t>INF769K01HP3</t>
  </si>
  <si>
    <t>MASPTOP50</t>
  </si>
  <si>
    <t>MIRAEAMC - MASPTOP50</t>
  </si>
  <si>
    <t>INF769K01LY7</t>
  </si>
  <si>
    <t>METAL</t>
  </si>
  <si>
    <t>MIRAEAMC - METAL</t>
  </si>
  <si>
    <t>INF769K01LJ8</t>
  </si>
  <si>
    <t>MIDSMALL</t>
  </si>
  <si>
    <t>MIRAEAMC - MIDSMALL</t>
  </si>
  <si>
    <t>INF769K01RC0</t>
  </si>
  <si>
    <t>MOMMIDCAP</t>
  </si>
  <si>
    <t>MIRAEAMC - MOMMIDCAP</t>
  </si>
  <si>
    <t>INF769K01LX9</t>
  </si>
  <si>
    <t>MULTICAP</t>
  </si>
  <si>
    <t>MIRAEAMC - MULTICAP</t>
  </si>
  <si>
    <t>INF769K01ON4</t>
  </si>
  <si>
    <t>SELECTIPO</t>
  </si>
  <si>
    <t>MIRAEAMC - SELECTIPO</t>
  </si>
  <si>
    <t>INF769K01KT9</t>
  </si>
  <si>
    <t>SENSEXETF</t>
  </si>
  <si>
    <t>MIRAEAMC - SENSEXETF</t>
  </si>
  <si>
    <t>INF769K01PQ4</t>
  </si>
  <si>
    <t>SMALL250</t>
  </si>
  <si>
    <t>MIRAEAMC - SMALL250</t>
  </si>
  <si>
    <t>INF769K01LC3</t>
  </si>
  <si>
    <t>SMALLCAP</t>
  </si>
  <si>
    <t>MIRAEAMC - SMALLCAP</t>
  </si>
  <si>
    <t>INF769K01PZ5</t>
  </si>
  <si>
    <t>TOP20</t>
  </si>
  <si>
    <t>MIRAEAMC - TOP20</t>
  </si>
  <si>
    <t>INF769K01QV2</t>
  </si>
  <si>
    <t>VALUE</t>
  </si>
  <si>
    <t>MIRAEAMC - VALUE</t>
  </si>
  <si>
    <t>INE771A01026</t>
  </si>
  <si>
    <t>MIRZAINT</t>
  </si>
  <si>
    <t>MIRZA INTERNATIONAL LIMIT</t>
  </si>
  <si>
    <t>INE099Z01011</t>
  </si>
  <si>
    <t>MIDHANI</t>
  </si>
  <si>
    <t>MISHRA DHATU NIGAM LTD</t>
  </si>
  <si>
    <t>INE828O01033</t>
  </si>
  <si>
    <t>MITCON</t>
  </si>
  <si>
    <t>MITCON CON &amp; ENG SER LTD</t>
  </si>
  <si>
    <t>INE997Y01027</t>
  </si>
  <si>
    <t>MITTAL</t>
  </si>
  <si>
    <t>MITTAL LIFE STYLE LIMITED</t>
  </si>
  <si>
    <t>INE227C01017</t>
  </si>
  <si>
    <t>MMFL</t>
  </si>
  <si>
    <t>MM FORGINGS LTD</t>
  </si>
  <si>
    <t>INE511Y01018</t>
  </si>
  <si>
    <t>MMP</t>
  </si>
  <si>
    <t>MMP INDUSTRIES LIMITED</t>
  </si>
  <si>
    <t>INE123F01029</t>
  </si>
  <si>
    <t>MMTC</t>
  </si>
  <si>
    <t>MMTC LIMITED</t>
  </si>
  <si>
    <t>INE794W01014</t>
  </si>
  <si>
    <t>MODTHREAD</t>
  </si>
  <si>
    <t>MODERN THREADS INDIA LTD</t>
  </si>
  <si>
    <t>INE537F01012</t>
  </si>
  <si>
    <t>MODINATUR</t>
  </si>
  <si>
    <t>MODI NATURALS LIMITED</t>
  </si>
  <si>
    <t>INE832A01018</t>
  </si>
  <si>
    <t>MODIRUBBER</t>
  </si>
  <si>
    <t>MODI RUBBER LTD</t>
  </si>
  <si>
    <t>INE0L0L01012</t>
  </si>
  <si>
    <t>MODIS</t>
  </si>
  <si>
    <t>MODIS NAVNIRMAN LTD</t>
  </si>
  <si>
    <t>INE737D01021</t>
  </si>
  <si>
    <t>MODISONLTD</t>
  </si>
  <si>
    <t>MODISON LIMITED</t>
  </si>
  <si>
    <t>INE450S01011</t>
  </si>
  <si>
    <t>MHHL</t>
  </si>
  <si>
    <t>MOHINI HEALTH&amp;HYGIENE LTD</t>
  </si>
  <si>
    <t>INE954E01012</t>
  </si>
  <si>
    <t>MOHITIND</t>
  </si>
  <si>
    <t>MOHIT INDUSTRIES LTD</t>
  </si>
  <si>
    <t>INE154B01023</t>
  </si>
  <si>
    <t>MOHITE</t>
  </si>
  <si>
    <t>MOHITE INDUSTRIES LTD.</t>
  </si>
  <si>
    <t>INE490G01020</t>
  </si>
  <si>
    <t>MOIL</t>
  </si>
  <si>
    <t>MOIL LIMITED</t>
  </si>
  <si>
    <t>INE514Y01020</t>
  </si>
  <si>
    <t>MOKSH</t>
  </si>
  <si>
    <t>MOKSH ORNAMENTS LIMITED</t>
  </si>
  <si>
    <t>INE869T01028</t>
  </si>
  <si>
    <t>MOLBIO</t>
  </si>
  <si>
    <t>MOLBIO DIAGNOSTICS LTD</t>
  </si>
  <si>
    <t>INE893J01029</t>
  </si>
  <si>
    <t>MOLDTKPAC</t>
  </si>
  <si>
    <t>MOLD-TEK PACKAGING LTD</t>
  </si>
  <si>
    <t>INE835B01035</t>
  </si>
  <si>
    <t>MOLDTECH</t>
  </si>
  <si>
    <t>MOLD-TEK TECHNOLOGIES LTD</t>
  </si>
  <si>
    <t>INE903D01011</t>
  </si>
  <si>
    <t>MONARCH</t>
  </si>
  <si>
    <t>MONARCH NETWORTH CAP LTD</t>
  </si>
  <si>
    <t>INE296Q01012</t>
  </si>
  <si>
    <t>MONEYBOXX</t>
  </si>
  <si>
    <t>MONEYBOXX FINANCE LIMITED</t>
  </si>
  <si>
    <t>INE1DV401010</t>
  </si>
  <si>
    <t>MONOLITH</t>
  </si>
  <si>
    <t>MONOLITHISCH INDIA LTD</t>
  </si>
  <si>
    <t>INE950M01013</t>
  </si>
  <si>
    <t>MONTECARLO</t>
  </si>
  <si>
    <t>MONTE CARLO FASHIONS LTD.</t>
  </si>
  <si>
    <t>INE083A01026</t>
  </si>
  <si>
    <t>MOREPENLAB</t>
  </si>
  <si>
    <t>MOREPEN LAB. LTD</t>
  </si>
  <si>
    <t>INE0N7S01028</t>
  </si>
  <si>
    <t>MOS</t>
  </si>
  <si>
    <t>MOS UTILITY LIMITED</t>
  </si>
  <si>
    <t>INE935B01025</t>
  </si>
  <si>
    <t>MOSCHIP</t>
  </si>
  <si>
    <t>MOSCHIP TECHNOLOGIES LTD</t>
  </si>
  <si>
    <t>INE0FS801015</t>
  </si>
  <si>
    <t>MSUMI</t>
  </si>
  <si>
    <t>MOTHERSON SUMI WRNG IND L</t>
  </si>
  <si>
    <t>INF247L01023</t>
  </si>
  <si>
    <t>MOM100</t>
  </si>
  <si>
    <t>MOTILAL OS MIDCAP100 ETF</t>
  </si>
  <si>
    <t>INF247L01AP3</t>
  </si>
  <si>
    <t>MON100</t>
  </si>
  <si>
    <t>MOTILAL OS NASDAQ100 ETF</t>
  </si>
  <si>
    <t>INE338I01027</t>
  </si>
  <si>
    <t>MOTILALOFS</t>
  </si>
  <si>
    <t>MOTILAL OSWAL FIN LTD</t>
  </si>
  <si>
    <t>INF247L01536</t>
  </si>
  <si>
    <t>MOM50</t>
  </si>
  <si>
    <t>MOTILAL OSWAL M50 ETF</t>
  </si>
  <si>
    <t>INF247L01AK4</t>
  </si>
  <si>
    <t>MOGSEC</t>
  </si>
  <si>
    <t>MOTILALAMC - G5</t>
  </si>
  <si>
    <t>INF247L01FR8</t>
  </si>
  <si>
    <t>MOALPHA50</t>
  </si>
  <si>
    <t>MOTILALAMC - MOALPHA50</t>
  </si>
  <si>
    <t>INF247L01GV8</t>
  </si>
  <si>
    <t>MOBANK10</t>
  </si>
  <si>
    <t>MOTILALAMC - MOBANK10</t>
  </si>
  <si>
    <t>INF247L01EV3</t>
  </si>
  <si>
    <t>MOCAPITAL</t>
  </si>
  <si>
    <t>MOTILALAMC - MOCAPITAL</t>
  </si>
  <si>
    <t>INF247L01DJ0</t>
  </si>
  <si>
    <t>MODEFENCE</t>
  </si>
  <si>
    <t>MOTILALAMC - MODEFENCE</t>
  </si>
  <si>
    <t>INF247L01GH7</t>
  </si>
  <si>
    <t>MOENERGY</t>
  </si>
  <si>
    <t>MOTILALAMC - MOENERGY</t>
  </si>
  <si>
    <t>INF247L01FY4</t>
  </si>
  <si>
    <t>MOGOLD</t>
  </si>
  <si>
    <t>MOTILALAMC - MOGOLD</t>
  </si>
  <si>
    <t>INF247L01BB1</t>
  </si>
  <si>
    <t>MOHEALTH</t>
  </si>
  <si>
    <t>MOTILALAMC - MOHEALTH</t>
  </si>
  <si>
    <t>INF247L01FL1</t>
  </si>
  <si>
    <t>MOINFRA</t>
  </si>
  <si>
    <t>MOTILALAMC - MOINFRA</t>
  </si>
  <si>
    <t>INF247L01GI5</t>
  </si>
  <si>
    <t>MOIPO</t>
  </si>
  <si>
    <t>MOTILALAMC - MOIPO</t>
  </si>
  <si>
    <t>INF247L01BL0</t>
  </si>
  <si>
    <t>MOLOWVOL</t>
  </si>
  <si>
    <t>MOTILALAMC - MOLOWVOL</t>
  </si>
  <si>
    <t>INF247L01DK8</t>
  </si>
  <si>
    <t>MOMENTUM50</t>
  </si>
  <si>
    <t>MOTILALAMC - MOMENTUM50</t>
  </si>
  <si>
    <t>INF247L01HG7</t>
  </si>
  <si>
    <t>MOMETAL</t>
  </si>
  <si>
    <t>MOTILALAMC - MOMETAL</t>
  </si>
  <si>
    <t>INF247L01FK3</t>
  </si>
  <si>
    <t>MOMGF</t>
  </si>
  <si>
    <t>MOTILALAMC - MOMGF</t>
  </si>
  <si>
    <t>INF247L01FQ0</t>
  </si>
  <si>
    <t>MOMIDMTM</t>
  </si>
  <si>
    <t>MOTILALAMC - MOMIDMTM</t>
  </si>
  <si>
    <t>INF247L01GK1</t>
  </si>
  <si>
    <t>MOMNC</t>
  </si>
  <si>
    <t>MOTILALAMC - MOMNC</t>
  </si>
  <si>
    <t>INF247L01BK2</t>
  </si>
  <si>
    <t>MOMOMENTUM</t>
  </si>
  <si>
    <t>MOTILALAMC - MOMOMENTUM</t>
  </si>
  <si>
    <t>INF247L01FC0</t>
  </si>
  <si>
    <t>MON50EQUAL</t>
  </si>
  <si>
    <t>MOTILALAMC - MON50EQUAL</t>
  </si>
  <si>
    <t>INF247L01FD8</t>
  </si>
  <si>
    <t>MONEXT50</t>
  </si>
  <si>
    <t>MOTILALAMC - MONEXT50</t>
  </si>
  <si>
    <t>INF247L01GG9</t>
  </si>
  <si>
    <t>MONIFTY100</t>
  </si>
  <si>
    <t>MOTILALAMC - MONIFTY100</t>
  </si>
  <si>
    <t>INF247L01BU1</t>
  </si>
  <si>
    <t>MONIFTY500</t>
  </si>
  <si>
    <t>MOTILALAMC - MONIFTY500</t>
  </si>
  <si>
    <t>INF247L01AU3</t>
  </si>
  <si>
    <t>MONQ50</t>
  </si>
  <si>
    <t>MOTILALAMC - MONQ50</t>
  </si>
  <si>
    <t>INF247L01HH5</t>
  </si>
  <si>
    <t>MOOILGAS</t>
  </si>
  <si>
    <t>MOTILALAMC - MOOILGAS</t>
  </si>
  <si>
    <t>INF247L01FO5</t>
  </si>
  <si>
    <t>MOPSE</t>
  </si>
  <si>
    <t>MOTILALAMC - MOPSE</t>
  </si>
  <si>
    <t>INF247L01BH8</t>
  </si>
  <si>
    <t>MOQUALITY</t>
  </si>
  <si>
    <t>MOTILALAMC - MOQUALITY</t>
  </si>
  <si>
    <t>INF247L01CI4</t>
  </si>
  <si>
    <t>MOREALTY</t>
  </si>
  <si>
    <t>MOTILALAMC - MOREALTY</t>
  </si>
  <si>
    <t>INF247L01GJ3</t>
  </si>
  <si>
    <t>MOSERVICE</t>
  </si>
  <si>
    <t>MOTILALAMC - MOSERVICE</t>
  </si>
  <si>
    <t>INF247L01FZ1</t>
  </si>
  <si>
    <t>MOSILVER</t>
  </si>
  <si>
    <t>MOTILALAMC - MOSILVER</t>
  </si>
  <si>
    <t>INF247L01CH6</t>
  </si>
  <si>
    <t>MOSMALL250</t>
  </si>
  <si>
    <t>MOTILALAMC - MOSMALL250</t>
  </si>
  <si>
    <t>INF247L01FP2</t>
  </si>
  <si>
    <t>MOTOUR</t>
  </si>
  <si>
    <t>MOTILALAMC - MOTOUR</t>
  </si>
  <si>
    <t>INF247L01BE5</t>
  </si>
  <si>
    <t>MOVALUE</t>
  </si>
  <si>
    <t>MOTILALAMC - MOVALUE</t>
  </si>
  <si>
    <t>INE0FRK01020</t>
  </si>
  <si>
    <t>MOTISONS</t>
  </si>
  <si>
    <t>MOTISONS JEWELLERS LTD</t>
  </si>
  <si>
    <t>INE861B01023</t>
  </si>
  <si>
    <t>MOTOGENFIN</t>
  </si>
  <si>
    <t>MOTOR &amp; GENERAL FINANCE L</t>
  </si>
  <si>
    <t>INE0XM301010</t>
  </si>
  <si>
    <t>MMEL</t>
  </si>
  <si>
    <t>MOVING MEDIA ENTER LTD</t>
  </si>
  <si>
    <t>INE0N6D01014</t>
  </si>
  <si>
    <t>MOXSH</t>
  </si>
  <si>
    <t>MOXSH OVERSEAS EDUCON LTD</t>
  </si>
  <si>
    <t>INE493H01014</t>
  </si>
  <si>
    <t>MPDL</t>
  </si>
  <si>
    <t>MPDL LTD.</t>
  </si>
  <si>
    <t>INE356A01018</t>
  </si>
  <si>
    <t>MPHASIS</t>
  </si>
  <si>
    <t>MPHASIS LIMITED</t>
  </si>
  <si>
    <t>INE943D01017</t>
  </si>
  <si>
    <t>MPSLTD</t>
  </si>
  <si>
    <t>MPS LIMITED</t>
  </si>
  <si>
    <t>INE883A01011</t>
  </si>
  <si>
    <t>MRF</t>
  </si>
  <si>
    <t>MRF LTD</t>
  </si>
  <si>
    <t>INE103A01014</t>
  </si>
  <si>
    <t>MRPL</t>
  </si>
  <si>
    <t>INE495P01020</t>
  </si>
  <si>
    <t>BECTORFOOD</t>
  </si>
  <si>
    <t>MRS BECTORS FOOD SPE LTD</t>
  </si>
  <si>
    <t>INE752G01015</t>
  </si>
  <si>
    <t>MSPL</t>
  </si>
  <si>
    <t>MSP STEEL &amp; POWER LTD.</t>
  </si>
  <si>
    <t>INE255X01014</t>
  </si>
  <si>
    <t>MSTCLTD</t>
  </si>
  <si>
    <t>MSTC LIMITED</t>
  </si>
  <si>
    <t>INE472M01018</t>
  </si>
  <si>
    <t>MTEDUCARE</t>
  </si>
  <si>
    <t>MT EDUCARE LTD</t>
  </si>
  <si>
    <t>INE864I01014</t>
  </si>
  <si>
    <t>MTARTECH</t>
  </si>
  <si>
    <t>MTAR TECHNOLOGIES LIMITED</t>
  </si>
  <si>
    <t>INE08KJ01020</t>
  </si>
  <si>
    <t>MUFIN</t>
  </si>
  <si>
    <t>MUFIN GREEN FINANCE LTD</t>
  </si>
  <si>
    <t>INE304A01026</t>
  </si>
  <si>
    <t>MUKANDLTD</t>
  </si>
  <si>
    <t>MUKAND LTD.</t>
  </si>
  <si>
    <t>INE596B01017</t>
  </si>
  <si>
    <t>MUKESHB</t>
  </si>
  <si>
    <t>MUKESH BABU FINANC SER L</t>
  </si>
  <si>
    <t>INE0CG401037</t>
  </si>
  <si>
    <t>MUKKA</t>
  </si>
  <si>
    <t>MUKKA PROTEINS LIMITED</t>
  </si>
  <si>
    <t>INE374B01019</t>
  </si>
  <si>
    <t>MUKTAARTS</t>
  </si>
  <si>
    <t>MUKTA ARTS LIMITED</t>
  </si>
  <si>
    <t>INE745G01043</t>
  </si>
  <si>
    <t>MCX</t>
  </si>
  <si>
    <t>MULTI COMMODITY EXCHANGE</t>
  </si>
  <si>
    <t>INE1K8Y01018</t>
  </si>
  <si>
    <t>MUNISH</t>
  </si>
  <si>
    <t>MUNISH FORGE LIMITED</t>
  </si>
  <si>
    <t>INE672B01032</t>
  </si>
  <si>
    <t>MUNJALAU</t>
  </si>
  <si>
    <t>MUNJAL AUTO IND. LTD.</t>
  </si>
  <si>
    <t>INE577A01027</t>
  </si>
  <si>
    <t>MUNJALSHOW</t>
  </si>
  <si>
    <t>MUNJAL SHOWA LTD</t>
  </si>
  <si>
    <t>INE692B01014</t>
  </si>
  <si>
    <t>MURUDCERA</t>
  </si>
  <si>
    <t>MURUDESHWAR CERAMICS LTD</t>
  </si>
  <si>
    <t>INE919I01024</t>
  </si>
  <si>
    <t>RADIOCITY</t>
  </si>
  <si>
    <t>MUSIC BROADCAST LIMITED</t>
  </si>
  <si>
    <t>INE296G01013</t>
  </si>
  <si>
    <t>MUTHOOTCAP</t>
  </si>
  <si>
    <t>MUTHOOT CAP SERV LTD</t>
  </si>
  <si>
    <t>INE414G01012</t>
  </si>
  <si>
    <t>MUTHOOTFIN</t>
  </si>
  <si>
    <t>MUTHOOT FINANCE LIMITED</t>
  </si>
  <si>
    <t>INE046W01019</t>
  </si>
  <si>
    <t>MUTHOOTMF</t>
  </si>
  <si>
    <t>MUTHOOT MICROFIN LIMITED</t>
  </si>
  <si>
    <t>INE0OWZ01020</t>
  </si>
  <si>
    <t>MVELECTRO</t>
  </si>
  <si>
    <t>MV ELECTROSYSTEMS LIMITED</t>
  </si>
  <si>
    <t>INE0JYY07026</t>
  </si>
  <si>
    <t>10MWL29</t>
  </si>
  <si>
    <t>MWL 10% 2029</t>
  </si>
  <si>
    <t>INE0RVQ01016</t>
  </si>
  <si>
    <t>MYMUDRA</t>
  </si>
  <si>
    <t>MY MUDRA FINCORP LIMITED</t>
  </si>
  <si>
    <t>INE741A01011</t>
  </si>
  <si>
    <t>MYSORPETRO</t>
  </si>
  <si>
    <t>MYSORE PETRO CHEMICALS L</t>
  </si>
  <si>
    <t>INE740D01017</t>
  </si>
  <si>
    <t>NRAIL</t>
  </si>
  <si>
    <t>N R AGARWAL INDS LTD</t>
  </si>
  <si>
    <t>INE104101014</t>
  </si>
  <si>
    <t>NRVANDANA</t>
  </si>
  <si>
    <t>N R VANDANA TEX IND LTD</t>
  </si>
  <si>
    <t>INE920C01017</t>
  </si>
  <si>
    <t>NTCIND</t>
  </si>
  <si>
    <t>N T C INDUSTRIES LTD.</t>
  </si>
  <si>
    <t>INE365I01020</t>
  </si>
  <si>
    <t>NBIFIN</t>
  </si>
  <si>
    <t>N.B.I. IND. FIN. CO. LTD</t>
  </si>
  <si>
    <t>INE295D01020</t>
  </si>
  <si>
    <t>NACLIND</t>
  </si>
  <si>
    <t>NACL INDUSTRIES LIMITED</t>
  </si>
  <si>
    <t>INE756C01015</t>
  </si>
  <si>
    <t>NDGL</t>
  </si>
  <si>
    <t>NAGA DHUNSERI GROUP LTD</t>
  </si>
  <si>
    <t>INE245I01016</t>
  </si>
  <si>
    <t>NAGREEKCAP</t>
  </si>
  <si>
    <t>NAGREEKA CAP &amp; INFR.LTD</t>
  </si>
  <si>
    <t>INE123B01028</t>
  </si>
  <si>
    <t>NAGREEKEXP</t>
  </si>
  <si>
    <t>NAGREEKA EXPORTS LTD.</t>
  </si>
  <si>
    <t>INE049I01012</t>
  </si>
  <si>
    <t>NAHARCAP</t>
  </si>
  <si>
    <t>NAHAR CAP &amp; FIN.</t>
  </si>
  <si>
    <t>INE289A01011</t>
  </si>
  <si>
    <t>NAHARINDUS</t>
  </si>
  <si>
    <t>NAHAR INDS ENT LTD</t>
  </si>
  <si>
    <t>INE308A01027</t>
  </si>
  <si>
    <t>NAHARPOLY</t>
  </si>
  <si>
    <t>NAHAR POLY FILMS LIMITED</t>
  </si>
  <si>
    <t>INE290A01027</t>
  </si>
  <si>
    <t>NAHARSPING</t>
  </si>
  <si>
    <t>NAHAR SPINNING MILLS LTD.</t>
  </si>
  <si>
    <t>INE236Y01012</t>
  </si>
  <si>
    <t>NGIL</t>
  </si>
  <si>
    <t>NAKODA GROUP OF IND. LTD</t>
  </si>
  <si>
    <t>INE023A01030</t>
  </si>
  <si>
    <t>NSIL</t>
  </si>
  <si>
    <t>NALWA SONS INVESTMENT LTD</t>
  </si>
  <si>
    <t>INE08NZ01012</t>
  </si>
  <si>
    <t>NAMOEWASTE</t>
  </si>
  <si>
    <t>NAMO EWASTE MANAGEMENT L</t>
  </si>
  <si>
    <t>INE875G01048</t>
  </si>
  <si>
    <t>NDL</t>
  </si>
  <si>
    <t>NANDAN DENIM LIMITED</t>
  </si>
  <si>
    <t>INE696V01013</t>
  </si>
  <si>
    <t>JAIPURKURT</t>
  </si>
  <si>
    <t>NANDANI CREATION LIMITED</t>
  </si>
  <si>
    <t>INE410P01011</t>
  </si>
  <si>
    <t>NARAYANA HRUDAYALAYA LTD.</t>
  </si>
  <si>
    <t>INE117Z01029</t>
  </si>
  <si>
    <t>NARMADA</t>
  </si>
  <si>
    <t>NARMADA AGROBASE LIMITED</t>
  </si>
  <si>
    <t>INE987B01026</t>
  </si>
  <si>
    <t>NATCOPHARM</t>
  </si>
  <si>
    <t>NATCO PHARMA LTD.</t>
  </si>
  <si>
    <t>INE448G01010</t>
  </si>
  <si>
    <t>NATHBIOGEN</t>
  </si>
  <si>
    <t>NATH BIO-GENES (I) LTD</t>
  </si>
  <si>
    <t>INE139A01034</t>
  </si>
  <si>
    <t>NATIONALUM</t>
  </si>
  <si>
    <t>NATIONAL ALUMINIUM CO LTD</t>
  </si>
  <si>
    <t>INE870D01012</t>
  </si>
  <si>
    <t>NFL</t>
  </si>
  <si>
    <t>NATIONAL FERT. LTD</t>
  </si>
  <si>
    <t>INE0H7R23014</t>
  </si>
  <si>
    <t>NHIT</t>
  </si>
  <si>
    <t>NATIONAL HIGHW INFRA TRUS</t>
  </si>
  <si>
    <t>INE166R01015</t>
  </si>
  <si>
    <t>NATIONSTD</t>
  </si>
  <si>
    <t>NATIONAL STAND (INDIA) L</t>
  </si>
  <si>
    <t>INE936B01015</t>
  </si>
  <si>
    <t>NATCAPSUQ</t>
  </si>
  <si>
    <t>NATURAL CAPSULES LIMITED</t>
  </si>
  <si>
    <t>INE725A01030</t>
  </si>
  <si>
    <t>NAVA</t>
  </si>
  <si>
    <t>NAVA LIMITED</t>
  </si>
  <si>
    <t>INE048G01026</t>
  </si>
  <si>
    <t>NAVINFLUOR</t>
  </si>
  <si>
    <t>NAVIN FLUORINE INT. LTD</t>
  </si>
  <si>
    <t>INE278M01019</t>
  </si>
  <si>
    <t>NAVKARCORP</t>
  </si>
  <si>
    <t>NAVKAR CORPORATION LTD.</t>
  </si>
  <si>
    <t>INE268H01044</t>
  </si>
  <si>
    <t>NAVKARURB</t>
  </si>
  <si>
    <t>NAVKAR URBANSTRUCTURE LTD</t>
  </si>
  <si>
    <t>INE060A01024</t>
  </si>
  <si>
    <t>NAVNETEDUL</t>
  </si>
  <si>
    <t>NAVNEET EDUCATION LTD</t>
  </si>
  <si>
    <t>INE418L01047</t>
  </si>
  <si>
    <t>NAZARA</t>
  </si>
  <si>
    <t>NAZARA TECHNOLOGIES LTD</t>
  </si>
  <si>
    <t>INE095N01031</t>
  </si>
  <si>
    <t>NBCC</t>
  </si>
  <si>
    <t>NBCC (INDIA) LIMITED</t>
  </si>
  <si>
    <t>INE868B01028</t>
  </si>
  <si>
    <t>NCC</t>
  </si>
  <si>
    <t>NCC LIMITED</t>
  </si>
  <si>
    <t>INE732C01016</t>
  </si>
  <si>
    <t>NCLIND</t>
  </si>
  <si>
    <t>NCL INDUSTRIES LIMITED</t>
  </si>
  <si>
    <t>INE353A01023</t>
  </si>
  <si>
    <t>NDLVENTURE</t>
  </si>
  <si>
    <t>NDL VENTURES LIMITED</t>
  </si>
  <si>
    <t>INE07OG01012</t>
  </si>
  <si>
    <t>NDRAUTO</t>
  </si>
  <si>
    <t>NDR AUTO COMPONENTS LTD</t>
  </si>
  <si>
    <t>INE155G01029</t>
  </si>
  <si>
    <t>NDTV</t>
  </si>
  <si>
    <t>NDTV LTD</t>
  </si>
  <si>
    <t>INE023H01027</t>
  </si>
  <si>
    <t>NECLIFE</t>
  </si>
  <si>
    <t>NECTAR LIFESCIENCES LTD.</t>
  </si>
  <si>
    <t>INE605D01012</t>
  </si>
  <si>
    <t>NEAGI</t>
  </si>
  <si>
    <t>NEELAMALAI AGRO INDS. L</t>
  </si>
  <si>
    <t>INE189I01024</t>
  </si>
  <si>
    <t>NELCAST</t>
  </si>
  <si>
    <t>NELCAST LIMITED</t>
  </si>
  <si>
    <t>INE045B01015</t>
  </si>
  <si>
    <t>NELCO</t>
  </si>
  <si>
    <t>NELCO LTD</t>
  </si>
  <si>
    <t>INE21UM01018</t>
  </si>
  <si>
    <t>NEOCHEM</t>
  </si>
  <si>
    <t>NEOCHEM BIO SOLUTIONS LTD</t>
  </si>
  <si>
    <t>INE136S01016</t>
  </si>
  <si>
    <t>NEOGEN</t>
  </si>
  <si>
    <t>NEOGEN CHEMICALS LIMITED</t>
  </si>
  <si>
    <t>INE0SUN01013</t>
  </si>
  <si>
    <t>NEPHROCARE</t>
  </si>
  <si>
    <t>NEPHRO CARE INDIA LIMITED</t>
  </si>
  <si>
    <t>INE428V01029</t>
  </si>
  <si>
    <t>NEPHROPLUS</t>
  </si>
  <si>
    <t>NEPHROCARE HEALTH SERV L</t>
  </si>
  <si>
    <t>INE156901014</t>
  </si>
  <si>
    <t>NEPTUNE</t>
  </si>
  <si>
    <t>NEPTUNE PETROCHEMICALS L</t>
  </si>
  <si>
    <t>INE317F01035</t>
  </si>
  <si>
    <t>NESCO</t>
  </si>
  <si>
    <t>NESCO LTD.</t>
  </si>
  <si>
    <t>INE239A01024</t>
  </si>
  <si>
    <t>NESTLEIND</t>
  </si>
  <si>
    <t>NESTLE INDIA LIMITED</t>
  </si>
  <si>
    <t>INE0NT901020</t>
  </si>
  <si>
    <t>NETWEB</t>
  </si>
  <si>
    <t>NETWEB TECH INDIA LTD</t>
  </si>
  <si>
    <t>INE0FFK01017</t>
  </si>
  <si>
    <t>NPST</t>
  </si>
  <si>
    <t>NETWORK PEOPLE SRV TECH L</t>
  </si>
  <si>
    <t>INE870H01013</t>
  </si>
  <si>
    <t>NETWORK18</t>
  </si>
  <si>
    <t>NETWORK18 MEDIA &amp; INV LTD</t>
  </si>
  <si>
    <t>INE333I01044</t>
  </si>
  <si>
    <t>NEUEON</t>
  </si>
  <si>
    <t>NEUEON CORPORATION LTD</t>
  </si>
  <si>
    <t>INE794A01010</t>
  </si>
  <si>
    <t>NEULANDLAB</t>
  </si>
  <si>
    <t>NEULAND LAB LTD.</t>
  </si>
  <si>
    <t>INE619B01017</t>
  </si>
  <si>
    <t>NEWGEN</t>
  </si>
  <si>
    <t>NEWGEN SOFTWARE TECH LTD</t>
  </si>
  <si>
    <t>INE0PW501021</t>
  </si>
  <si>
    <t>NEWJAISA</t>
  </si>
  <si>
    <t>NEWJAISA TECHNOLOGIES LTD</t>
  </si>
  <si>
    <t>INE0TP801012</t>
  </si>
  <si>
    <t>NMSTEEL</t>
  </si>
  <si>
    <t>NEWMALAYALAM STEEL LTD</t>
  </si>
  <si>
    <t>INE747B01016</t>
  </si>
  <si>
    <t>NEXTMEDIA</t>
  </si>
  <si>
    <t>NEXT MEDIAWORKS LIMITED</t>
  </si>
  <si>
    <t>INE0NDH25011</t>
  </si>
  <si>
    <t>NXST</t>
  </si>
  <si>
    <t>NEXUS SELECT TRUST</t>
  </si>
  <si>
    <t>INE0T1501010</t>
  </si>
  <si>
    <t>NFPSAMPOOR</t>
  </si>
  <si>
    <t>NFP SAMPOORNA FOODS LTD</t>
  </si>
  <si>
    <t>INE887E01022</t>
  </si>
  <si>
    <t>NGLFINE</t>
  </si>
  <si>
    <t>NGL FINE CHEM LIMITED</t>
  </si>
  <si>
    <t>INE848E01016</t>
  </si>
  <si>
    <t>NHPC</t>
  </si>
  <si>
    <t>NHPC LTD</t>
  </si>
  <si>
    <t>INE149O01018</t>
  </si>
  <si>
    <t>NIBE</t>
  </si>
  <si>
    <t>NIBE LIMITED</t>
  </si>
  <si>
    <t>INE653C01022</t>
  </si>
  <si>
    <t>NICCOPAR</t>
  </si>
  <si>
    <t>NICCO PARKS &amp; RESORTS LTD</t>
  </si>
  <si>
    <t>INE0J6L01013</t>
  </si>
  <si>
    <t>NIDAN</t>
  </si>
  <si>
    <t>NIDAN LABS AND HEALTH LTD</t>
  </si>
  <si>
    <t>INE342G01023</t>
  </si>
  <si>
    <t>NIITMTS</t>
  </si>
  <si>
    <t>NIIT LEARNING SYSTEMS LTD</t>
  </si>
  <si>
    <t>INE161A01038</t>
  </si>
  <si>
    <t>NIITLTD</t>
  </si>
  <si>
    <t>NIIT LIMITED</t>
  </si>
  <si>
    <t>INE0FLF01015</t>
  </si>
  <si>
    <t>NIKITA</t>
  </si>
  <si>
    <t>NIKITA GRENTEC RECYCL LTD</t>
  </si>
  <si>
    <t>INE937C01029</t>
  </si>
  <si>
    <t>NILAINFRA</t>
  </si>
  <si>
    <t>NILA INFRASTRUCTURES LTD</t>
  </si>
  <si>
    <t>INE00S901012</t>
  </si>
  <si>
    <t>NILASPACES</t>
  </si>
  <si>
    <t>NILA SPACES LIMITED</t>
  </si>
  <si>
    <t>INE445D01013</t>
  </si>
  <si>
    <t>NILE</t>
  </si>
  <si>
    <t>NILE LTD.</t>
  </si>
  <si>
    <t>INE310A01015</t>
  </si>
  <si>
    <t>NILKAMAL</t>
  </si>
  <si>
    <t>NILKAMAL LIMITED</t>
  </si>
  <si>
    <t>INE875B01015</t>
  </si>
  <si>
    <t>NIMBSPROJ</t>
  </si>
  <si>
    <t>NIMBUS PROJECTS LIMITED</t>
  </si>
  <si>
    <t>INE395U01014</t>
  </si>
  <si>
    <t>NINSYS</t>
  </si>
  <si>
    <t>NINTEC SYSTEMS LIMITED</t>
  </si>
  <si>
    <t>INF204KB15I9</t>
  </si>
  <si>
    <t>BANKBEES</t>
  </si>
  <si>
    <t>NIP IND ETF BANK BEES</t>
  </si>
  <si>
    <t>INF204KA1LD7</t>
  </si>
  <si>
    <t>CONSUMBEES</t>
  </si>
  <si>
    <t>NIP IND ETF CONSUMPTION</t>
  </si>
  <si>
    <t>INF204KA1MS3</t>
  </si>
  <si>
    <t>DIVOPPBEES</t>
  </si>
  <si>
    <t>NIP IND ETF DIV OPP</t>
  </si>
  <si>
    <t>INF204KB18I3</t>
  </si>
  <si>
    <t>NV20BEES</t>
  </si>
  <si>
    <t>NIP IND ETF ETF NV20</t>
  </si>
  <si>
    <t>INF204KB17I5</t>
  </si>
  <si>
    <t>GOLDBEES</t>
  </si>
  <si>
    <t>NIP IND ETF GOLD BEES</t>
  </si>
  <si>
    <t>INF204KB19I1</t>
  </si>
  <si>
    <t>HNGSNGBEES</t>
  </si>
  <si>
    <t>NIP IND ETF HANGSENG BEES</t>
  </si>
  <si>
    <t>INF732E01268</t>
  </si>
  <si>
    <t>INFRABEES</t>
  </si>
  <si>
    <t>NIP IND ETF INFRA BEES</t>
  </si>
  <si>
    <t>INF204KB15V2</t>
  </si>
  <si>
    <t>ITBEES</t>
  </si>
  <si>
    <t>NIP IND ETF IT</t>
  </si>
  <si>
    <t>INF732E01045</t>
  </si>
  <si>
    <t>JUNIORBEES</t>
  </si>
  <si>
    <t>NIP IND ETF JUNIOR BEES</t>
  </si>
  <si>
    <t>INF732E01037</t>
  </si>
  <si>
    <t>LIQUIDBEES</t>
  </si>
  <si>
    <t>NIP IND ETF LIQUID BEES</t>
  </si>
  <si>
    <t>INF204KB1882</t>
  </si>
  <si>
    <t>LTGILTBEES</t>
  </si>
  <si>
    <t>NIP IND ETF LONGTERM GILT</t>
  </si>
  <si>
    <t>INF204KB1V68</t>
  </si>
  <si>
    <t>MID150BEES</t>
  </si>
  <si>
    <t>NIP IND ETF MIDCAP 150</t>
  </si>
  <si>
    <t>INF204K014N5</t>
  </si>
  <si>
    <t>NIF100BEES</t>
  </si>
  <si>
    <t>NIP IND ETF NIFTY 100</t>
  </si>
  <si>
    <t>INF204KB14I2</t>
  </si>
  <si>
    <t>NIFTYBEES</t>
  </si>
  <si>
    <t>NIP IND ETF NIFTY BEES</t>
  </si>
  <si>
    <t>INF204KB16I7</t>
  </si>
  <si>
    <t>PSUBNKBEES</t>
  </si>
  <si>
    <t>NIP IND ETF PSU BANK BEES</t>
  </si>
  <si>
    <t>INF732E01128</t>
  </si>
  <si>
    <t>SHARIABEES</t>
  </si>
  <si>
    <t>NIP IND ETF SHARIAH BEES</t>
  </si>
  <si>
    <t>INE298J01013</t>
  </si>
  <si>
    <t>NAM-INDIA</t>
  </si>
  <si>
    <t>NIPPON L I A M LTD</t>
  </si>
  <si>
    <t>INF204KC1FU1</t>
  </si>
  <si>
    <t>LIQGRWBEES</t>
  </si>
  <si>
    <t>NIPPONAMC - LIQGRWBEES</t>
  </si>
  <si>
    <t>INF204KC1GH6</t>
  </si>
  <si>
    <t>MANUFGBEES</t>
  </si>
  <si>
    <t>NIPPONAMC - MANUFGBEES</t>
  </si>
  <si>
    <t>INF204KC1337</t>
  </si>
  <si>
    <t>AUTOBEES</t>
  </si>
  <si>
    <t>NIPPONAMC - NETFAUTO</t>
  </si>
  <si>
    <t>INF204KC1089</t>
  </si>
  <si>
    <t>PHARMABEES</t>
  </si>
  <si>
    <t>NIPPONAMC - NETFPHARMA</t>
  </si>
  <si>
    <t>INF204KC1402</t>
  </si>
  <si>
    <t>SILVERBEES</t>
  </si>
  <si>
    <t>NIPPONAMC - NETFSILVER</t>
  </si>
  <si>
    <t>INF204KC1EZ3</t>
  </si>
  <si>
    <t>SNXT30BEES</t>
  </si>
  <si>
    <t>NIPPONAMC - SNXT30BEES</t>
  </si>
  <si>
    <t>INE368I01016</t>
  </si>
  <si>
    <t>NIRAJ</t>
  </si>
  <si>
    <t>NIRAJ CEMENT STRUC LTD</t>
  </si>
  <si>
    <t>INE326T01011</t>
  </si>
  <si>
    <t>NIRAJISPAT</t>
  </si>
  <si>
    <t>NIRAJ ISPAT IND LTD</t>
  </si>
  <si>
    <t>INE910A01012</t>
  </si>
  <si>
    <t>NIRLON</t>
  </si>
  <si>
    <t>NIRLON LTD</t>
  </si>
  <si>
    <t>INE0OK701014</t>
  </si>
  <si>
    <t>NIRMAN</t>
  </si>
  <si>
    <t>NIRMAN AGRI GENTICS LTD</t>
  </si>
  <si>
    <t>INE858F01012</t>
  </si>
  <si>
    <t>NITCO</t>
  </si>
  <si>
    <t>NITCO LIMITED</t>
  </si>
  <si>
    <t>INE229H01012</t>
  </si>
  <si>
    <t>NITINSPIN</t>
  </si>
  <si>
    <t>NITIN SPINNERS LIMITED</t>
  </si>
  <si>
    <t>INE439T01012</t>
  </si>
  <si>
    <t>NITIRAJ</t>
  </si>
  <si>
    <t>NITIRAJ ENGINEERS LTD</t>
  </si>
  <si>
    <t>INE265B01019</t>
  </si>
  <si>
    <t>NITTAGELA</t>
  </si>
  <si>
    <t>NITTA GELATIN INDIA LTD.</t>
  </si>
  <si>
    <t>INE995S01015</t>
  </si>
  <si>
    <t>NIVABUPA</t>
  </si>
  <si>
    <t>NIVA BUPA HEALTH INS CO L</t>
  </si>
  <si>
    <t>INE542C01019</t>
  </si>
  <si>
    <t>NKIND</t>
  </si>
  <si>
    <t>NK INDUSTRIES LTD</t>
  </si>
  <si>
    <t>INE589A01014</t>
  </si>
  <si>
    <t>NLCINDIA</t>
  </si>
  <si>
    <t>NLC INDIA LIMITED</t>
  </si>
  <si>
    <t>INE584A01023</t>
  </si>
  <si>
    <t>NMDC</t>
  </si>
  <si>
    <t>NMDC LTD.</t>
  </si>
  <si>
    <t>INE0NNS01018</t>
  </si>
  <si>
    <t>NSLNISP</t>
  </si>
  <si>
    <t>NMDC STEEL LIMITED</t>
  </si>
  <si>
    <t>INE163A01018</t>
  </si>
  <si>
    <t>NOCIL</t>
  </si>
  <si>
    <t>NOCIL LIMITED</t>
  </si>
  <si>
    <t>INE781B01015</t>
  </si>
  <si>
    <t>NOIDATOLL</t>
  </si>
  <si>
    <t>NOIDA TOLL BRIDGE CO LTD</t>
  </si>
  <si>
    <t>INE369C01017</t>
  </si>
  <si>
    <t>NORBTEAEXP</t>
  </si>
  <si>
    <t>NORBEN TEA &amp; EXPORTS LTD</t>
  </si>
  <si>
    <t>INE553C01016</t>
  </si>
  <si>
    <t>NECCLTD</t>
  </si>
  <si>
    <t>NORTH EAST CARRY CORP LTD</t>
  </si>
  <si>
    <t>INE850M01015</t>
  </si>
  <si>
    <t>NORTHARC</t>
  </si>
  <si>
    <t>NORTHERN ARC CAPITAL LTD</t>
  </si>
  <si>
    <t>INE02H701025</t>
  </si>
  <si>
    <t>NOVAAGRI</t>
  </si>
  <si>
    <t>NOVA AGRITECH LIMITED</t>
  </si>
  <si>
    <t>INE234A01025</t>
  </si>
  <si>
    <t>NOVARTIND</t>
  </si>
  <si>
    <t>NOVARTIS INDIA LIMITED</t>
  </si>
  <si>
    <t>INE349A01021</t>
  </si>
  <si>
    <t>NRBBEARING</t>
  </si>
  <si>
    <t>NRB BEARING LIMITED</t>
  </si>
  <si>
    <t>INE047O01014</t>
  </si>
  <si>
    <t>NIBL</t>
  </si>
  <si>
    <t>NRB INDUS. BEARINGS LTD.</t>
  </si>
  <si>
    <t>INE0ONG01011</t>
  </si>
  <si>
    <t>NTPCGREEN</t>
  </si>
  <si>
    <t>NTPC GREEN ENERGY LIMITED</t>
  </si>
  <si>
    <t>INE733E01010</t>
  </si>
  <si>
    <t>NTPC</t>
  </si>
  <si>
    <t>NTPC LTD</t>
  </si>
  <si>
    <t>INE096B01018</t>
  </si>
  <si>
    <t>NUCLEUS</t>
  </si>
  <si>
    <t>NUCLEUS SOFTWARE EXPORTS</t>
  </si>
  <si>
    <t>INE0JM501013</t>
  </si>
  <si>
    <t>NRL</t>
  </si>
  <si>
    <t>NUPUR RECYCLERS LIMITED</t>
  </si>
  <si>
    <t>INE0DSF01015</t>
  </si>
  <si>
    <t>NURECA</t>
  </si>
  <si>
    <t>NURECA LIMITED</t>
  </si>
  <si>
    <t>INE531F01023</t>
  </si>
  <si>
    <t>NUVAMA</t>
  </si>
  <si>
    <t>NUVAMA WEALTH MANAGE LTD</t>
  </si>
  <si>
    <t>INE118D01016</t>
  </si>
  <si>
    <t>NUVOCO</t>
  </si>
  <si>
    <t>NUVOCO VISTAS CORP LTD</t>
  </si>
  <si>
    <t>INE0SF023016</t>
  </si>
  <si>
    <t>NXT-INFRA</t>
  </si>
  <si>
    <t>NXT-INFRA TRUST</t>
  </si>
  <si>
    <t>INE426Z01016</t>
  </si>
  <si>
    <t>OBCL</t>
  </si>
  <si>
    <t>OBCL LIMITED</t>
  </si>
  <si>
    <t>INE093I01010</t>
  </si>
  <si>
    <t>OBEROIRLTY</t>
  </si>
  <si>
    <t>OBEROI REALTY LIMITED</t>
  </si>
  <si>
    <t>INE0YHV01011</t>
  </si>
  <si>
    <t>OBSCP</t>
  </si>
  <si>
    <t>OBSC PERFECTION LIMITED</t>
  </si>
  <si>
    <t>INE0PK601023</t>
  </si>
  <si>
    <t>OCCLLTD</t>
  </si>
  <si>
    <t>OCCL LIMITED</t>
  </si>
  <si>
    <t>INE054301028</t>
  </si>
  <si>
    <t>ODIGMA</t>
  </si>
  <si>
    <t>ODIGMA CONSULTANCY SOL L</t>
  </si>
  <si>
    <t>INE839E01023</t>
  </si>
  <si>
    <t>ODYCORP</t>
  </si>
  <si>
    <t>ODYSSEY CORPORATION LTD.</t>
  </si>
  <si>
    <t>INE213A01029</t>
  </si>
  <si>
    <t>ONGC</t>
  </si>
  <si>
    <t>OIL AND NATURAL GAS CORP.</t>
  </si>
  <si>
    <t>INE591A01010</t>
  </si>
  <si>
    <t>OILCOUNTUB</t>
  </si>
  <si>
    <t>OIL COUNTRY TUBULAR LTD.</t>
  </si>
  <si>
    <t>INE274J01014</t>
  </si>
  <si>
    <t>OIL</t>
  </si>
  <si>
    <t>OIL INDIA LTD</t>
  </si>
  <si>
    <t>INE0LXG01040</t>
  </si>
  <si>
    <t>OLAELEC</t>
  </si>
  <si>
    <t>OLA ELECTRIC MOBILITY LTD</t>
  </si>
  <si>
    <t>INE260D01016</t>
  </si>
  <si>
    <t>OLECTRA</t>
  </si>
  <si>
    <t>OLECTRA GREENTECH LIMITED</t>
  </si>
  <si>
    <t>INE1BZC01019</t>
  </si>
  <si>
    <t>OMFREIGHT</t>
  </si>
  <si>
    <t>OM FREIGHT FORWARDERS LTD</t>
  </si>
  <si>
    <t>INE239D01028</t>
  </si>
  <si>
    <t>OMINFRAL</t>
  </si>
  <si>
    <t>OM INFRA LIMITED</t>
  </si>
  <si>
    <t>INE25E901019</t>
  </si>
  <si>
    <t>OMPOWER</t>
  </si>
  <si>
    <t>OM POWER TRANSMISSION LTD</t>
  </si>
  <si>
    <t>INE090B01011</t>
  </si>
  <si>
    <t>OMAXAUTO</t>
  </si>
  <si>
    <t>OMAX AUTOS LTD</t>
  </si>
  <si>
    <t>INE800H01010</t>
  </si>
  <si>
    <t>OMAXE</t>
  </si>
  <si>
    <t>OMAXE LIMITED</t>
  </si>
  <si>
    <t>INE338Y01016</t>
  </si>
  <si>
    <t>OMFURN</t>
  </si>
  <si>
    <t>OMFURN INDIA LIMITED</t>
  </si>
  <si>
    <t>INE0UH301010</t>
  </si>
  <si>
    <t>OMNI</t>
  </si>
  <si>
    <t>OMNITECH ENGINEERING LTD</t>
  </si>
  <si>
    <t>INE00ER01015</t>
  </si>
  <si>
    <t>ONDOOR</t>
  </si>
  <si>
    <t>ON DOOR CONCEPTS LIMITED</t>
  </si>
  <si>
    <t>INE982J01020</t>
  </si>
  <si>
    <t>PAYTM</t>
  </si>
  <si>
    <t>ONE 97 COMMUNICATIONS LTD</t>
  </si>
  <si>
    <t>INE670O01013</t>
  </si>
  <si>
    <t>ONEGLOBAL</t>
  </si>
  <si>
    <t>ONE GLOBAL SERVICE PROV L</t>
  </si>
  <si>
    <t>INE0HLU01028</t>
  </si>
  <si>
    <t>MOBIKWIK</t>
  </si>
  <si>
    <t>ONE MOBIKWIK SYSTEMS LTD</t>
  </si>
  <si>
    <t>INE840Y01029</t>
  </si>
  <si>
    <t>ONEPOINT</t>
  </si>
  <si>
    <t>ONE POINT ONE SOL LTD</t>
  </si>
  <si>
    <t>INE0OPS01011</t>
  </si>
  <si>
    <t>OLIL</t>
  </si>
  <si>
    <t>ONECLICK LOGISTICS IND L</t>
  </si>
  <si>
    <t>INE912L01015</t>
  </si>
  <si>
    <t>ONELIFECAP</t>
  </si>
  <si>
    <t>ONELIFE CAP ADVISORS LTD</t>
  </si>
  <si>
    <t>INE12F801023</t>
  </si>
  <si>
    <t>KISSHT</t>
  </si>
  <si>
    <t>ONEMI TECHNOLOGY SOL LTD</t>
  </si>
  <si>
    <t>INE013P01021</t>
  </si>
  <si>
    <t>ONESOURCE</t>
  </si>
  <si>
    <t>ONESOURCE SPECL PHARMA L</t>
  </si>
  <si>
    <t>INE831A01028</t>
  </si>
  <si>
    <t>ONIDA</t>
  </si>
  <si>
    <t>ONIDA ELECTRONICS LIMITED</t>
  </si>
  <si>
    <t>INE173M01012</t>
  </si>
  <si>
    <t>ONIXSOLAR</t>
  </si>
  <si>
    <t>ONIX SOLAR ENERGY LTD.</t>
  </si>
  <si>
    <t>INE809I01019</t>
  </si>
  <si>
    <t>ONMOBILE</t>
  </si>
  <si>
    <t>ONMOBILE GLOBAL LTD.</t>
  </si>
  <si>
    <t>INE229A01017</t>
  </si>
  <si>
    <t>ONWARDTEC</t>
  </si>
  <si>
    <t>ONWARD TECHNOLOGIES LTD</t>
  </si>
  <si>
    <t>INE0WVU01018</t>
  </si>
  <si>
    <t>ONYX</t>
  </si>
  <si>
    <t>ONYX BIOTEC LIMITED</t>
  </si>
  <si>
    <t>INE350C01017</t>
  </si>
  <si>
    <t>OPTIEMUS</t>
  </si>
  <si>
    <t>OPTIEMUS INFRACOM LTD</t>
  </si>
  <si>
    <t>INE031G01022</t>
  </si>
  <si>
    <t>OPTIFIN</t>
  </si>
  <si>
    <t>OPTIMUS FINANCE LTD.</t>
  </si>
  <si>
    <t>INE1JZB01022</t>
  </si>
  <si>
    <t>OPTIMYSTIX</t>
  </si>
  <si>
    <t>OPTIMYSTIX ENT INDIA LTD</t>
  </si>
  <si>
    <t>INE15B101011</t>
  </si>
  <si>
    <t>OPTIVALUE</t>
  </si>
  <si>
    <t>OPTIVALUE TEK CONSULT LTD</t>
  </si>
  <si>
    <t>INE881D01027</t>
  </si>
  <si>
    <t>OFSS</t>
  </si>
  <si>
    <t>ORACLE FIN SERV SOFT LTD.</t>
  </si>
  <si>
    <t>INE231G01010</t>
  </si>
  <si>
    <t>ORBTEXP</t>
  </si>
  <si>
    <t>ORBIT EXPORTS LIMITED</t>
  </si>
  <si>
    <t>INE215B01022</t>
  </si>
  <si>
    <t>ORCHASP</t>
  </si>
  <si>
    <t>ORCHASP LIMITED</t>
  </si>
  <si>
    <t>INE191A01027</t>
  </si>
  <si>
    <t>ORCHPHARMA</t>
  </si>
  <si>
    <t>ORCHID PHARMA LIMITED</t>
  </si>
  <si>
    <t>INE0OUT01019</t>
  </si>
  <si>
    <t>ORIANA</t>
  </si>
  <si>
    <t>ORIANA POWER LIMITED</t>
  </si>
  <si>
    <t>INE730A01022</t>
  </si>
  <si>
    <t>ORICONENT</t>
  </si>
  <si>
    <t>ORICON ENTERPRISES LTD</t>
  </si>
  <si>
    <t>INE607D01018</t>
  </si>
  <si>
    <t>ORIENTBELL</t>
  </si>
  <si>
    <t>ORIENT BELL LIMITED</t>
  </si>
  <si>
    <t>INE876N01018</t>
  </si>
  <si>
    <t>ORIENTCEM</t>
  </si>
  <si>
    <t>ORIENT CEMENT LTD.</t>
  </si>
  <si>
    <t>INE569C01020</t>
  </si>
  <si>
    <t>ORIENTCER</t>
  </si>
  <si>
    <t>ORIENT CERATECH LIMITED</t>
  </si>
  <si>
    <t>INE142Z01019</t>
  </si>
  <si>
    <t>ORIENTELEC</t>
  </si>
  <si>
    <t>ORIENT ELECTRIC LIMITED</t>
  </si>
  <si>
    <t>INE999K01014</t>
  </si>
  <si>
    <t>GREENPOWER</t>
  </si>
  <si>
    <t>ORIENT GREEN POWER CO LTD</t>
  </si>
  <si>
    <t>INE750A01020</t>
  </si>
  <si>
    <t>ORIENTHOT</t>
  </si>
  <si>
    <t>ORIENT HOTELS LTD</t>
  </si>
  <si>
    <t>INE592A01026</t>
  </si>
  <si>
    <t>ORIENTPPR</t>
  </si>
  <si>
    <t>ORIENT PAPER AND INDS LTD</t>
  </si>
  <si>
    <t>INE609C01024</t>
  </si>
  <si>
    <t>ORIENTLTD</t>
  </si>
  <si>
    <t>ORIENT PRESS LIMITED</t>
  </si>
  <si>
    <t>INE0PPK01015</t>
  </si>
  <si>
    <t>ORIENTTECH</t>
  </si>
  <si>
    <t>ORIENT TECHNOLOGIES LTD</t>
  </si>
  <si>
    <t>INE959C01023</t>
  </si>
  <si>
    <t>OAL</t>
  </si>
  <si>
    <t>ORIENTAL AROMATICS LTD</t>
  </si>
  <si>
    <t>INE457G01029</t>
  </si>
  <si>
    <t>ORIRAIL</t>
  </si>
  <si>
    <t>ORIENTAL RAIL INFRA L</t>
  </si>
  <si>
    <t>INE998H01012</t>
  </si>
  <si>
    <t>ORIENTALTL</t>
  </si>
  <si>
    <t>ORIENTAL TRIMEX LTD</t>
  </si>
  <si>
    <t>INE725E01024</t>
  </si>
  <si>
    <t>ORISSAMINE</t>
  </si>
  <si>
    <t>ORISSA MIN DEV CO LTD</t>
  </si>
  <si>
    <t>INE16NZ01023</t>
  </si>
  <si>
    <t>ORKLAINDIA</t>
  </si>
  <si>
    <t>ORKLA INDIA LIMITED</t>
  </si>
  <si>
    <t>INE749B01020</t>
  </si>
  <si>
    <t>ORTINGLOBE</t>
  </si>
  <si>
    <t>ORTIN GLOBAL LIMITED</t>
  </si>
  <si>
    <t>INE0RMF01018</t>
  </si>
  <si>
    <t>OSELDEVICE</t>
  </si>
  <si>
    <t>OSEL DEVICES LIMITED</t>
  </si>
  <si>
    <t>INE06IR01021</t>
  </si>
  <si>
    <t>OSIAHYPER</t>
  </si>
  <si>
    <t>OSIA HYPER RETAIL LIMITED</t>
  </si>
  <si>
    <t>INE142A01012</t>
  </si>
  <si>
    <t>OSWALAGRO</t>
  </si>
  <si>
    <t>OSWAL AGRO MILLS LTD</t>
  </si>
  <si>
    <t>INE143A01010</t>
  </si>
  <si>
    <t>OSWALGREEN</t>
  </si>
  <si>
    <t>OSWAL GREENTECH LIMITED</t>
  </si>
  <si>
    <t>INE0BYP01024</t>
  </si>
  <si>
    <t>OSWALPUMPS</t>
  </si>
  <si>
    <t>OSWAL PUMPS LIMITED</t>
  </si>
  <si>
    <t>INE0R8M01017</t>
  </si>
  <si>
    <t>OWAIS</t>
  </si>
  <si>
    <t>OWAIS METAL &amp; MINERAL</t>
  </si>
  <si>
    <t>INE953R01016</t>
  </si>
  <si>
    <t>PNGJL</t>
  </si>
  <si>
    <t>P N GADGIL JEWELLERS LTD</t>
  </si>
  <si>
    <t>INE035S01028</t>
  </si>
  <si>
    <t>POEL</t>
  </si>
  <si>
    <t>P O C L ENTERPRISES LTD.</t>
  </si>
  <si>
    <t>INE0XUS01020</t>
  </si>
  <si>
    <t>PSRAJ</t>
  </si>
  <si>
    <t>P S RAJ STEELS LIMITED</t>
  </si>
  <si>
    <t>INE179A01014</t>
  </si>
  <si>
    <t>PGHH</t>
  </si>
  <si>
    <t>P&amp;G HYGIENE &amp; HEALTH CARE</t>
  </si>
  <si>
    <t>INE0KN801013</t>
  </si>
  <si>
    <t>PROPEQUITY</t>
  </si>
  <si>
    <t>P. E. ANALYTICS LIMITED</t>
  </si>
  <si>
    <t>INE0S3G01027</t>
  </si>
  <si>
    <t>PACEDIGITK</t>
  </si>
  <si>
    <t>PACE DIGITEK LIMITED</t>
  </si>
  <si>
    <t>INE883C01025</t>
  </si>
  <si>
    <t>PACIFICI</t>
  </si>
  <si>
    <t>PACIFIC INDUSTRIES LTD.</t>
  </si>
  <si>
    <t>INE761H01022</t>
  </si>
  <si>
    <t>PAGEIND</t>
  </si>
  <si>
    <t>PAGE INDUSTRIES LTD</t>
  </si>
  <si>
    <t>INE420C01059</t>
  </si>
  <si>
    <t>PAISALO</t>
  </si>
  <si>
    <t>PAISALO DIGITAL LIMITED</t>
  </si>
  <si>
    <t>INE551D01018</t>
  </si>
  <si>
    <t>PAKKA</t>
  </si>
  <si>
    <t>PAKKA LIMITED</t>
  </si>
  <si>
    <t>INE471W01019</t>
  </si>
  <si>
    <t>PALASHSECU</t>
  </si>
  <si>
    <t>PALASH SECURITIES LTD</t>
  </si>
  <si>
    <t>INE218G01033</t>
  </si>
  <si>
    <t>PALREDTEC</t>
  </si>
  <si>
    <t>PALRED TECHNOLOGIES LTD</t>
  </si>
  <si>
    <t>INE922B01023</t>
  </si>
  <si>
    <t>PANACEABIO</t>
  </si>
  <si>
    <t>PANACEA BIOTEC LTD</t>
  </si>
  <si>
    <t>INE895W01019</t>
  </si>
  <si>
    <t>PANACHE</t>
  </si>
  <si>
    <t>PANACHE DIGILIFE LIMITED</t>
  </si>
  <si>
    <t>INE305C01029</t>
  </si>
  <si>
    <t>PANAMAPET</t>
  </si>
  <si>
    <t>PANAMA PETROCHEM LTD</t>
  </si>
  <si>
    <t>INE798F01010</t>
  </si>
  <si>
    <t>PANCHMAHQ</t>
  </si>
  <si>
    <t>PANCHMAHAL STEEL LTD.</t>
  </si>
  <si>
    <t>INE258R01028</t>
  </si>
  <si>
    <t>PANORAMA</t>
  </si>
  <si>
    <t>PANORAMA STUDIOS INTL. L</t>
  </si>
  <si>
    <t>INE697V01011</t>
  </si>
  <si>
    <t>PANSARI</t>
  </si>
  <si>
    <t>PANSARI DEVELOPERS LTD</t>
  </si>
  <si>
    <t>INE04LG01015</t>
  </si>
  <si>
    <t>PAR</t>
  </si>
  <si>
    <t>PAR DRUGS AND CHEM LTD</t>
  </si>
  <si>
    <t>INE088F01024</t>
  </si>
  <si>
    <t>PARADEEP</t>
  </si>
  <si>
    <t>PARADEEP PHOSPHATES LTD</t>
  </si>
  <si>
    <t>INE883N01014</t>
  </si>
  <si>
    <t>PARAGMILK</t>
  </si>
  <si>
    <t>PARAG MILK FOODS LTD.</t>
  </si>
  <si>
    <t>INE0N4G01012</t>
  </si>
  <si>
    <t>PARAGON</t>
  </si>
  <si>
    <t>PARAGON FINE S.C. LTD.</t>
  </si>
  <si>
    <t>INE074B01023</t>
  </si>
  <si>
    <t>PARACABLES</t>
  </si>
  <si>
    <t>PARAMOUNT COMM LTD</t>
  </si>
  <si>
    <t>INE0TG801013</t>
  </si>
  <si>
    <t>PARAMOUNT</t>
  </si>
  <si>
    <t>PARAMOUNT DYE TEC LIMITED</t>
  </si>
  <si>
    <t>INE0Q6001012</t>
  </si>
  <si>
    <t>PSFL</t>
  </si>
  <si>
    <t>PARAMOUNT SPECIALI FORG L</t>
  </si>
  <si>
    <t>INE045601023</t>
  </si>
  <si>
    <t>PARAS</t>
  </si>
  <si>
    <t>PARAS DEF AND SPCE TECH L</t>
  </si>
  <si>
    <t>INE162C01024</t>
  </si>
  <si>
    <t>PARASPETRO</t>
  </si>
  <si>
    <t>PARAS PETROFILS LTD.</t>
  </si>
  <si>
    <t>INE00U801010</t>
  </si>
  <si>
    <t>PARIN</t>
  </si>
  <si>
    <t>PARIN ENTERPRISES LIMITED</t>
  </si>
  <si>
    <t>INE119201023</t>
  </si>
  <si>
    <t>PARKHOSPS</t>
  </si>
  <si>
    <t>PARK MEDI WORLD LIMITED</t>
  </si>
  <si>
    <t>INE988S01028</t>
  </si>
  <si>
    <t>PARKHOTELS</t>
  </si>
  <si>
    <t>INE383L01019</t>
  </si>
  <si>
    <t>PARNAXLAB</t>
  </si>
  <si>
    <t>PARNAX LAB LTD.</t>
  </si>
  <si>
    <t>INE561H01026</t>
  </si>
  <si>
    <t>PARSVNATH</t>
  </si>
  <si>
    <t>PARSVNATH DEVELOPER LTD</t>
  </si>
  <si>
    <t>INE1H7V01011</t>
  </si>
  <si>
    <t>PARTH</t>
  </si>
  <si>
    <t>PARTH ELEC &amp; ENG LTD</t>
  </si>
  <si>
    <t>INE06ZX01015</t>
  </si>
  <si>
    <t>PARTYCRUS</t>
  </si>
  <si>
    <t>PARTY CRUISERS LIMITED</t>
  </si>
  <si>
    <t>INE124Y01028</t>
  </si>
  <si>
    <t>PASHUPATI</t>
  </si>
  <si>
    <t>PASHUPATI COTSPIN LIMITED</t>
  </si>
  <si>
    <t>INE818B01023</t>
  </si>
  <si>
    <t>PASUPTAC</t>
  </si>
  <si>
    <t>PASUPATI ACRYLON LIMITED</t>
  </si>
  <si>
    <t>INE619A01035</t>
  </si>
  <si>
    <t>PATANJALI</t>
  </si>
  <si>
    <t>PATANJALI FOODS LIMITED</t>
  </si>
  <si>
    <t>INE244B01030</t>
  </si>
  <si>
    <t>PATELENG</t>
  </si>
  <si>
    <t>PATEL ENGINEERING LTD.</t>
  </si>
  <si>
    <t>INE529D01014</t>
  </si>
  <si>
    <t>PATINTLOG</t>
  </si>
  <si>
    <t>PATEL INT. LOG. LTD</t>
  </si>
  <si>
    <t>INE0R8B01010</t>
  </si>
  <si>
    <t>PATELRMART</t>
  </si>
  <si>
    <t>PATEL RETAIL LIMITED</t>
  </si>
  <si>
    <t>INE17GV01016</t>
  </si>
  <si>
    <t>PATILAUTOM</t>
  </si>
  <si>
    <t>PATIL AUTOMATION LIMITED</t>
  </si>
  <si>
    <t>INE291E01019</t>
  </si>
  <si>
    <t>PML</t>
  </si>
  <si>
    <t>PAUL MERCHANTS LTD.</t>
  </si>
  <si>
    <t>INE111F01024</t>
  </si>
  <si>
    <t>PAUSHAKLTD</t>
  </si>
  <si>
    <t>PAUSHAK LIMITED</t>
  </si>
  <si>
    <t>INE07S101038</t>
  </si>
  <si>
    <t>PAVNAIND</t>
  </si>
  <si>
    <t>PAVNA INDUSTRIES LIMITED</t>
  </si>
  <si>
    <t>INE417T01026</t>
  </si>
  <si>
    <t>POLICYBZR</t>
  </si>
  <si>
    <t>PB FINTECH LIMITED</t>
  </si>
  <si>
    <t>INE785M01021</t>
  </si>
  <si>
    <t>PCJEWELLER</t>
  </si>
  <si>
    <t>PC JEWELLER LTD</t>
  </si>
  <si>
    <t>INE602A01031</t>
  </si>
  <si>
    <t>PCBL</t>
  </si>
  <si>
    <t>PCBL CHEMICAL LIMITED</t>
  </si>
  <si>
    <t>INE111Q01021</t>
  </si>
  <si>
    <t>PDSL</t>
  </si>
  <si>
    <t>PDS LIMITED</t>
  </si>
  <si>
    <t>INE940H01022</t>
  </si>
  <si>
    <t>PGIL</t>
  </si>
  <si>
    <t>PEARL GLOBAL IND LIMITED</t>
  </si>
  <si>
    <t>INE844A01013</t>
  </si>
  <si>
    <t>PEARLPOLY</t>
  </si>
  <si>
    <t>PEARL POLYMERS LTD</t>
  </si>
  <si>
    <t>INE0VG601013</t>
  </si>
  <si>
    <t>PELATRO</t>
  </si>
  <si>
    <t>PELATRO LIMITED</t>
  </si>
  <si>
    <t>INE138A01028</t>
  </si>
  <si>
    <t>PENINLAND</t>
  </si>
  <si>
    <t>PENINSULA LAND LIMITED</t>
  </si>
  <si>
    <t>INE932A01024</t>
  </si>
  <si>
    <t>PENIND</t>
  </si>
  <si>
    <t>PENNAR INDUSTRIES LTD</t>
  </si>
  <si>
    <t>INE0ORS01017</t>
  </si>
  <si>
    <t>PENTAGON</t>
  </si>
  <si>
    <t>PENTAGON RUBBER LIMITED</t>
  </si>
  <si>
    <t>INE925S01012</t>
  </si>
  <si>
    <t>PERFECT</t>
  </si>
  <si>
    <t>SZ</t>
  </si>
  <si>
    <t>PERFECT INFRAENGINEER LTD</t>
  </si>
  <si>
    <t>INE418E01018</t>
  </si>
  <si>
    <t>PERMAGN</t>
  </si>
  <si>
    <t>PERMANENT MAGNETS LTD.</t>
  </si>
  <si>
    <t>INE262H01021</t>
  </si>
  <si>
    <t>PERSISTENT</t>
  </si>
  <si>
    <t>PERSISTENT SYSTEMS LTD</t>
  </si>
  <si>
    <t>INE998U01015</t>
  </si>
  <si>
    <t>PCCL</t>
  </si>
  <si>
    <t>PETRO CARBON AND CHEMI L</t>
  </si>
  <si>
    <t>INE347G01014</t>
  </si>
  <si>
    <t>PETRONET</t>
  </si>
  <si>
    <t>PETRONET LNG LIMITED</t>
  </si>
  <si>
    <t>INE134E07DJ3</t>
  </si>
  <si>
    <t>PFCL41A</t>
  </si>
  <si>
    <t>PFCL 0% 2041 SR V</t>
  </si>
  <si>
    <t>INE134E07DU0</t>
  </si>
  <si>
    <t>730PFCL41</t>
  </si>
  <si>
    <t>PFCL 7.30% 2041 SR IV</t>
  </si>
  <si>
    <t>INE182A01018</t>
  </si>
  <si>
    <t>PFIZER</t>
  </si>
  <si>
    <t>PFIZER LTD</t>
  </si>
  <si>
    <t>INE140A07773</t>
  </si>
  <si>
    <t>935PFL33</t>
  </si>
  <si>
    <t>N3</t>
  </si>
  <si>
    <t>PFL 9.35% SR IV 20233</t>
  </si>
  <si>
    <t>INE457L01029</t>
  </si>
  <si>
    <t>PGEL</t>
  </si>
  <si>
    <t>PG ELECTROPLAST LTD</t>
  </si>
  <si>
    <t>INE0MLZ01019</t>
  </si>
  <si>
    <t>PHANTOMFX</t>
  </si>
  <si>
    <t>PHANTOM DIGITAL EFF LTD</t>
  </si>
  <si>
    <t>INE245B01011</t>
  </si>
  <si>
    <t>PHOENXINTL</t>
  </si>
  <si>
    <t>PHOENIX INTERNATIONAL LTD</t>
  </si>
  <si>
    <t>INE0FPO01018</t>
  </si>
  <si>
    <t>PHOGLOBAL</t>
  </si>
  <si>
    <t>PHOENIX OVERSEAS LIMITED</t>
  </si>
  <si>
    <t>INE0LP301011</t>
  </si>
  <si>
    <t>PWL</t>
  </si>
  <si>
    <t>PHYSICSWALLAH LIMITED</t>
  </si>
  <si>
    <t>INE603J01030</t>
  </si>
  <si>
    <t>PIIND</t>
  </si>
  <si>
    <t>PI INDUSTRIES LTD</t>
  </si>
  <si>
    <t>INE546C01010</t>
  </si>
  <si>
    <t>PICCADIL</t>
  </si>
  <si>
    <t>PICCADILY AGRO INDUSTRI L</t>
  </si>
  <si>
    <t>INE0YAL01017</t>
  </si>
  <si>
    <t>PPSL</t>
  </si>
  <si>
    <t>PICTUREPOST STUDIOS LTD</t>
  </si>
  <si>
    <t>INE318A01026</t>
  </si>
  <si>
    <t>PIDILITIND</t>
  </si>
  <si>
    <t>PIDILITE INDUSTRIES LTD</t>
  </si>
  <si>
    <t>INE600A01035</t>
  </si>
  <si>
    <t>PILITA</t>
  </si>
  <si>
    <t>PIL ITALICA LIFESTYLE LTD</t>
  </si>
  <si>
    <t>INE417C01014</t>
  </si>
  <si>
    <t>PILANIINVS</t>
  </si>
  <si>
    <t>PILANI INV &amp; IND COR LTD</t>
  </si>
  <si>
    <t>INE15B701018</t>
  </si>
  <si>
    <t>PINELABS</t>
  </si>
  <si>
    <t>PINE LABS LIMITED</t>
  </si>
  <si>
    <t>INE156C01018</t>
  </si>
  <si>
    <t>PIONEEREMB</t>
  </si>
  <si>
    <t>PIONEER EMBROIDERIES LTD</t>
  </si>
  <si>
    <t>INE746D01014</t>
  </si>
  <si>
    <t>PIONRINV</t>
  </si>
  <si>
    <t>PIONEER INVESTCORP LTD.</t>
  </si>
  <si>
    <t>INE202B01038</t>
  </si>
  <si>
    <t>PIRAMALFIN</t>
  </si>
  <si>
    <t>PIRAMAL FINANCE LIMITED</t>
  </si>
  <si>
    <t>INE0DK501011</t>
  </si>
  <si>
    <t>PPLPHARMA</t>
  </si>
  <si>
    <t>PIRAMAL PHARMA LIMITED</t>
  </si>
  <si>
    <t>INE450D01021</t>
  </si>
  <si>
    <t>PITTIENG</t>
  </si>
  <si>
    <t>PITTI ENGINEERING LIMITED</t>
  </si>
  <si>
    <t>INE751B01018</t>
  </si>
  <si>
    <t>PIXTRANS</t>
  </si>
  <si>
    <t>PIX TRANSMISSIONS LIMITED</t>
  </si>
  <si>
    <t>INE083C01022</t>
  </si>
  <si>
    <t>PLASTIBLEN</t>
  </si>
  <si>
    <t>PLASTIBLENDS INDIA LTD</t>
  </si>
  <si>
    <t>INE0PT501018</t>
  </si>
  <si>
    <t>PLATIND</t>
  </si>
  <si>
    <t>PLATINUM INDUSTRIES LTD</t>
  </si>
  <si>
    <t>INE0INJ01017</t>
  </si>
  <si>
    <t>PLAZACABLE</t>
  </si>
  <si>
    <t>PLAZA WIRES LIMITED</t>
  </si>
  <si>
    <t>INE859A01011</t>
  </si>
  <si>
    <t>PNBGILTS</t>
  </si>
  <si>
    <t>PNB GILTS LIMITED</t>
  </si>
  <si>
    <t>INE572E01012</t>
  </si>
  <si>
    <t>PNBHOUSING</t>
  </si>
  <si>
    <t>PNB HOUSING FIN LTD.</t>
  </si>
  <si>
    <t>INE195J01029</t>
  </si>
  <si>
    <t>PNCINFRA</t>
  </si>
  <si>
    <t>PNC INFRATECH LTD.</t>
  </si>
  <si>
    <t>INE1RDG01013</t>
  </si>
  <si>
    <t>PNGSREVA</t>
  </si>
  <si>
    <t>PNGS REVA DIAMOND JEWEL L</t>
  </si>
  <si>
    <t>INE371C01013</t>
  </si>
  <si>
    <t>PODDARMENT</t>
  </si>
  <si>
    <t>PODDAR PIGMENTS LIMITED</t>
  </si>
  <si>
    <t>INE637C01025</t>
  </si>
  <si>
    <t>POKARNA</t>
  </si>
  <si>
    <t>POKARNA LIMITED</t>
  </si>
  <si>
    <t>INE205C01021</t>
  </si>
  <si>
    <t>POLYMED</t>
  </si>
  <si>
    <t>POLY MEDICURE LIMITED</t>
  </si>
  <si>
    <t>INE455K01017</t>
  </si>
  <si>
    <t>POLYCAB</t>
  </si>
  <si>
    <t>POLYCAB INDIA LIMITED</t>
  </si>
  <si>
    <t>INE633B01018</t>
  </si>
  <si>
    <t>POLYPLEX</t>
  </si>
  <si>
    <t>POLYPLEX CORPORATION LTD</t>
  </si>
  <si>
    <t>INE517M01028</t>
  </si>
  <si>
    <t>POLYSIL</t>
  </si>
  <si>
    <t>POLYSIL IRRIGATION SYST L</t>
  </si>
  <si>
    <t>INE914G01029</t>
  </si>
  <si>
    <t>POLYSPIN</t>
  </si>
  <si>
    <t>POLYSPIN EXPORTS LTD.</t>
  </si>
  <si>
    <t>INE063E01061</t>
  </si>
  <si>
    <t>POCL</t>
  </si>
  <si>
    <t>PONDY OXIDES &amp; CHEM LTD</t>
  </si>
  <si>
    <t>INE838E01017</t>
  </si>
  <si>
    <t>PONNIERODE</t>
  </si>
  <si>
    <t>PONNIE SUGARS (ERODE) LTD</t>
  </si>
  <si>
    <t>INE511C01022</t>
  </si>
  <si>
    <t>POONAWALLA</t>
  </si>
  <si>
    <t>POONAWALLA FINCORP LTD</t>
  </si>
  <si>
    <t>INE772T01024</t>
  </si>
  <si>
    <t>PVSL</t>
  </si>
  <si>
    <t>POPULAR VEHICLES N SER L</t>
  </si>
  <si>
    <t>INE0S3H01017</t>
  </si>
  <si>
    <t>POSITRON</t>
  </si>
  <si>
    <t>POSITRON ENERGY LIMITED</t>
  </si>
  <si>
    <t>INE134E01011</t>
  </si>
  <si>
    <t>PFC</t>
  </si>
  <si>
    <t>POWER FIN CORP LTD.</t>
  </si>
  <si>
    <t>INE752E01010</t>
  </si>
  <si>
    <t>POWERGRID</t>
  </si>
  <si>
    <t>POWER GRID CORP. LTD.</t>
  </si>
  <si>
    <t>INE557Z01018</t>
  </si>
  <si>
    <t>PIGL</t>
  </si>
  <si>
    <t>POWER INSTRUMENT (G) LTD</t>
  </si>
  <si>
    <t>INE211R01019</t>
  </si>
  <si>
    <t>POWERMECH</t>
  </si>
  <si>
    <t>POWER MECH PROJECTS LTD.</t>
  </si>
  <si>
    <t>INE0GGX23010</t>
  </si>
  <si>
    <t>PGINVIT</t>
  </si>
  <si>
    <t>POWERGRID INFRA. INVITS</t>
  </si>
  <si>
    <t>INE921L01032</t>
  </si>
  <si>
    <t>POWERICA</t>
  </si>
  <si>
    <t>POWERICA LIMITED</t>
  </si>
  <si>
    <t>INE095I01015</t>
  </si>
  <si>
    <t>PPAP</t>
  </si>
  <si>
    <t>PPAP AUTOMOTIVE LIMITED</t>
  </si>
  <si>
    <t>INE0I0M01023</t>
  </si>
  <si>
    <t>PRABHA</t>
  </si>
  <si>
    <t>PRABHA ENERGY LIMITED</t>
  </si>
  <si>
    <t>INE770A01010</t>
  </si>
  <si>
    <t>PRADPME</t>
  </si>
  <si>
    <t>PRADEEP METALS LTD.</t>
  </si>
  <si>
    <t>INE074A01025</t>
  </si>
  <si>
    <t>PRAJIND</t>
  </si>
  <si>
    <t>PRAJ INDUSTRIES LTD</t>
  </si>
  <si>
    <t>INE505C01016</t>
  </si>
  <si>
    <t>PRAENG</t>
  </si>
  <si>
    <t>PRAJAY ENG. SYN. LTD.</t>
  </si>
  <si>
    <t>INE603A01013</t>
  </si>
  <si>
    <t>PRAKASH</t>
  </si>
  <si>
    <t>PRAKASH INDUSTRIES LTD</t>
  </si>
  <si>
    <t>INE050001010</t>
  </si>
  <si>
    <t>PPL</t>
  </si>
  <si>
    <t>PRAKASH PIPES LIMITED</t>
  </si>
  <si>
    <t>INE696K01024</t>
  </si>
  <si>
    <t>PRAKASHSTL</t>
  </si>
  <si>
    <t>PRAKASH STEELAGE LTD</t>
  </si>
  <si>
    <t>INE0O7A01017</t>
  </si>
  <si>
    <t>PRAMARA</t>
  </si>
  <si>
    <t>PRAMARA PROMOTIONS LTD</t>
  </si>
  <si>
    <t>INE2JG601017</t>
  </si>
  <si>
    <t>PRAMODINI</t>
  </si>
  <si>
    <t>PRAMODINI MEDICARE LTD</t>
  </si>
  <si>
    <t>INE393P01035</t>
  </si>
  <si>
    <t>DIAMONDYD</t>
  </si>
  <si>
    <t>PRATAAP SNACKS LIMITED</t>
  </si>
  <si>
    <t>INE0QA601016</t>
  </si>
  <si>
    <t>PRATHAM</t>
  </si>
  <si>
    <t>PRATHAM EPC PROJECTS LTD</t>
  </si>
  <si>
    <t>INE722B01019</t>
  </si>
  <si>
    <t>PRAVEG</t>
  </si>
  <si>
    <t>PRAVEG LTD.</t>
  </si>
  <si>
    <t>INE546Y01022</t>
  </si>
  <si>
    <t>PRAXIS</t>
  </si>
  <si>
    <t>PRAXIS HOME RETAIL LTD</t>
  </si>
  <si>
    <t>INE484I01029</t>
  </si>
  <si>
    <t>PRECAM</t>
  </si>
  <si>
    <t>PRECISION CAMSHAFTS LTD.</t>
  </si>
  <si>
    <t>INE0HKW01018</t>
  </si>
  <si>
    <t>PRECISION</t>
  </si>
  <si>
    <t>PRECISION METALIKS LTD</t>
  </si>
  <si>
    <t>INE372C01037</t>
  </si>
  <si>
    <t>PRECWIRE</t>
  </si>
  <si>
    <t>PRECISION WIRES INDIA LTD</t>
  </si>
  <si>
    <t>INE283A01014</t>
  </si>
  <si>
    <t>PRECOT</t>
  </si>
  <si>
    <t>PRECOT LIMITED</t>
  </si>
  <si>
    <t>INE001E01012</t>
  </si>
  <si>
    <t>PREMCO</t>
  </si>
  <si>
    <t>PREMCO GLOBAL LTD.</t>
  </si>
  <si>
    <t>INE0BS701011</t>
  </si>
  <si>
    <t>PREMIERENE</t>
  </si>
  <si>
    <t>PREMIER ENERGIES LIMITED</t>
  </si>
  <si>
    <t>INE863B01029</t>
  </si>
  <si>
    <t>PREMEXPLN</t>
  </si>
  <si>
    <t>PREMIER EXPLOSIVES LTD</t>
  </si>
  <si>
    <t>INE342A01018</t>
  </si>
  <si>
    <t>PREMIER</t>
  </si>
  <si>
    <t>PREMIER LIMITED</t>
  </si>
  <si>
    <t>INE309M01020</t>
  </si>
  <si>
    <t>PREMIERPOL</t>
  </si>
  <si>
    <t>PREMIER POLYFILM LTD</t>
  </si>
  <si>
    <t>INE0CFG01012</t>
  </si>
  <si>
    <t>PRLIND</t>
  </si>
  <si>
    <t>PREMIER ROADLINES LIMITED</t>
  </si>
  <si>
    <t>INE0M1F01011</t>
  </si>
  <si>
    <t>PREMIUM</t>
  </si>
  <si>
    <t>PREMIUM PLAST LIMITED</t>
  </si>
  <si>
    <t>INE0R1601012</t>
  </si>
  <si>
    <t>PRESSTONIC</t>
  </si>
  <si>
    <t>PRESSTONIC ENGINEERING L</t>
  </si>
  <si>
    <t>INE811K01011</t>
  </si>
  <si>
    <t>PRESTIGE</t>
  </si>
  <si>
    <t>PRESTIGE ESTATE LTD</t>
  </si>
  <si>
    <t>INE726V01018</t>
  </si>
  <si>
    <t>PRICOLLTD</t>
  </si>
  <si>
    <t>PRICOL LIMITED</t>
  </si>
  <si>
    <t>INE0CQA01020</t>
  </si>
  <si>
    <t>PRIMECAB</t>
  </si>
  <si>
    <t>PRIME CABLE INDUSTRIES L</t>
  </si>
  <si>
    <t>INE367G01038</t>
  </si>
  <si>
    <t>PFOCUS</t>
  </si>
  <si>
    <t>PRIME FOCUS LIMITED</t>
  </si>
  <si>
    <t>INE032B01021</t>
  </si>
  <si>
    <t>PRIMESECU</t>
  </si>
  <si>
    <t>PRIME SECURITIES LIMITED</t>
  </si>
  <si>
    <t>INE607A01022</t>
  </si>
  <si>
    <t>PRIMO</t>
  </si>
  <si>
    <t>PRIMO CHEMICALS LIMITED</t>
  </si>
  <si>
    <t>INE689W01016</t>
  </si>
  <si>
    <t>PRINCEPIPE</t>
  </si>
  <si>
    <t>PRINCE PIPES FITTINGS LTD</t>
  </si>
  <si>
    <t>INE15EH01014</t>
  </si>
  <si>
    <t>PRIORITY</t>
  </si>
  <si>
    <t>PRIORITY JEWELS LIMITED</t>
  </si>
  <si>
    <t>INE010A01011</t>
  </si>
  <si>
    <t>PRSMJOHNSN</t>
  </si>
  <si>
    <t>PRISM JOHNSON LIMITED</t>
  </si>
  <si>
    <t>INE286N01028</t>
  </si>
  <si>
    <t>PRISMX</t>
  </si>
  <si>
    <t>PRISMX GLOBAL VENTURES L</t>
  </si>
  <si>
    <t>INE974Z01015</t>
  </si>
  <si>
    <t>PRITI</t>
  </si>
  <si>
    <t>PRITI INTERNATIONAL LTD</t>
  </si>
  <si>
    <t>INE583R01029</t>
  </si>
  <si>
    <t>PRITIKAUTO</t>
  </si>
  <si>
    <t>PRITIKA AUTO INDUS LTD</t>
  </si>
  <si>
    <t>INE392B01011</t>
  </si>
  <si>
    <t>PNC</t>
  </si>
  <si>
    <t>PRITISH NANDY COMMUNICATI</t>
  </si>
  <si>
    <t>INE959A01019</t>
  </si>
  <si>
    <t>PRIVISCL</t>
  </si>
  <si>
    <t>PRIVI SPECIALITY CHE LTD</t>
  </si>
  <si>
    <t>INE0V9N01017</t>
  </si>
  <si>
    <t>PRIZOR</t>
  </si>
  <si>
    <t>PRIZOR VIZTECH LIMITED</t>
  </si>
  <si>
    <t>INE0VJT01017</t>
  </si>
  <si>
    <t>PROFX</t>
  </si>
  <si>
    <t>PRO FX TECH LIMITED</t>
  </si>
  <si>
    <t>INE199A01012</t>
  </si>
  <si>
    <t>PGHL</t>
  </si>
  <si>
    <t>PROCTER &amp; GAMBLE HEALTH L</t>
  </si>
  <si>
    <t>INE1FFX01018</t>
  </si>
  <si>
    <t>PROPSHOP</t>
  </si>
  <si>
    <t>PROPSHOP EVENTS AND EXH L</t>
  </si>
  <si>
    <t>INE0BX301013</t>
  </si>
  <si>
    <t>PROSTARM</t>
  </si>
  <si>
    <t>PROSTARM INFO SYSTEMS LTD</t>
  </si>
  <si>
    <t>INE004A01022</t>
  </si>
  <si>
    <t>PROTEAN</t>
  </si>
  <si>
    <t>PROTEAN EGOV TECHNO LTD</t>
  </si>
  <si>
    <t>INE0ONE01016</t>
  </si>
  <si>
    <t>PROV</t>
  </si>
  <si>
    <t>PROVENTUS AGROCOM LIMITED</t>
  </si>
  <si>
    <t>INE195N01013</t>
  </si>
  <si>
    <t>PROZONER</t>
  </si>
  <si>
    <t>PROZONE REALTY LIMITED</t>
  </si>
  <si>
    <t>INE00F201020</t>
  </si>
  <si>
    <t>PRUDENT</t>
  </si>
  <si>
    <t>PRUDENT CORP ADV SER LTD</t>
  </si>
  <si>
    <t>INE024D01016</t>
  </si>
  <si>
    <t>PRUDMOULI</t>
  </si>
  <si>
    <t>PRUDENTIAL SUGAR CORPORAT</t>
  </si>
  <si>
    <t>INE488V01015</t>
  </si>
  <si>
    <t>PSPPROJECT</t>
  </si>
  <si>
    <t>PSP PROJECTS LIMITED</t>
  </si>
  <si>
    <t>INE560K01014</t>
  </si>
  <si>
    <t>PFS</t>
  </si>
  <si>
    <t>PTC INDIA FIN SERV LTD</t>
  </si>
  <si>
    <t>INE877F01012</t>
  </si>
  <si>
    <t>PTC</t>
  </si>
  <si>
    <t>PTC INDIA LIMITED</t>
  </si>
  <si>
    <t>INE596F01018</t>
  </si>
  <si>
    <t>PTCIL</t>
  </si>
  <si>
    <t>PTC INDUSTRIES LIMITED</t>
  </si>
  <si>
    <t>INE034D01049</t>
  </si>
  <si>
    <t>PTL</t>
  </si>
  <si>
    <t>PTL ENTERPRISES LTD</t>
  </si>
  <si>
    <t>INE865T01018</t>
  </si>
  <si>
    <t>PDMJEPAPER</t>
  </si>
  <si>
    <t>PUDUMJEE PAPER PRO. LTD</t>
  </si>
  <si>
    <t>INE335X01014</t>
  </si>
  <si>
    <t>PULZ</t>
  </si>
  <si>
    <t>PULZ ELECTRONICS LIMITED</t>
  </si>
  <si>
    <t>INE608A01012</t>
  </si>
  <si>
    <t>PSB</t>
  </si>
  <si>
    <t>PUNJAB &amp; SIND BANK</t>
  </si>
  <si>
    <t>INE277B01014</t>
  </si>
  <si>
    <t>PUNJABCHEM</t>
  </si>
  <si>
    <t>PUNJAB CHEM &amp; CROP PROT L</t>
  </si>
  <si>
    <t>INE160A01022</t>
  </si>
  <si>
    <t>PNB</t>
  </si>
  <si>
    <t>PUNJAB NATIONAL BANK</t>
  </si>
  <si>
    <t>INE323I01011</t>
  </si>
  <si>
    <t>PURVA</t>
  </si>
  <si>
    <t>PURAVANKARA LIMITED</t>
  </si>
  <si>
    <t>INE0I1B01016</t>
  </si>
  <si>
    <t>PERNIASPOP</t>
  </si>
  <si>
    <t>PURPLE STYLE LABS LIMITED</t>
  </si>
  <si>
    <t>INE0P5R01014</t>
  </si>
  <si>
    <t>PURPLEUTED</t>
  </si>
  <si>
    <t>PURPLE UNITED SALES LTD</t>
  </si>
  <si>
    <t>INE154801018</t>
  </si>
  <si>
    <t>PUSHPA</t>
  </si>
  <si>
    <t>PUSHPA JEWELLERS LIMITED</t>
  </si>
  <si>
    <t>INE362A01016</t>
  </si>
  <si>
    <t>PVP</t>
  </si>
  <si>
    <t>PVP VENTURES LIMITED</t>
  </si>
  <si>
    <t>INE191H01014</t>
  </si>
  <si>
    <t>PVRINOX</t>
  </si>
  <si>
    <t>PVR INOX LIMITED</t>
  </si>
  <si>
    <t>INE0MIS01010</t>
  </si>
  <si>
    <t>PYRAMID</t>
  </si>
  <si>
    <t>PYRAMID TECHNOPLAST LTD</t>
  </si>
  <si>
    <t>INE1G2W01011</t>
  </si>
  <si>
    <t>QLINE</t>
  </si>
  <si>
    <t>Q-LINE BIOTECH LIMITED</t>
  </si>
  <si>
    <t>INE0FMW01018</t>
  </si>
  <si>
    <t>QMSMEDI</t>
  </si>
  <si>
    <t>QMS MEDICAL ALLIED S LTD</t>
  </si>
  <si>
    <t>INE0GOJ01027</t>
  </si>
  <si>
    <t>QUADPRO</t>
  </si>
  <si>
    <t>QUADPRO ITES LIMITED</t>
  </si>
  <si>
    <t>INE0LRY01011</t>
  </si>
  <si>
    <t>QUADFUTURE</t>
  </si>
  <si>
    <t>QUADRANT FUTURE TEK LTD</t>
  </si>
  <si>
    <t>INE0SII01026</t>
  </si>
  <si>
    <t>QPOWER</t>
  </si>
  <si>
    <t>QUALITY POWER ELEC EQUP L</t>
  </si>
  <si>
    <t>INF082J01408</t>
  </si>
  <si>
    <t>QGOLDHALF</t>
  </si>
  <si>
    <t>QUANTUM GOLD ETF</t>
  </si>
  <si>
    <t>INF082J01499</t>
  </si>
  <si>
    <t>QNIFTY</t>
  </si>
  <si>
    <t>QUANTUM NIFTY 50 ETF</t>
  </si>
  <si>
    <t>INF966L01EI5</t>
  </si>
  <si>
    <t>SILVER001</t>
  </si>
  <si>
    <t>QUANT_AMC - SILVER001</t>
  </si>
  <si>
    <t>INE615P01015</t>
  </si>
  <si>
    <t>QUESS</t>
  </si>
  <si>
    <t>QUESS CORP LIMITED</t>
  </si>
  <si>
    <t>INE0TNW01017</t>
  </si>
  <si>
    <t>QUESTLAB</t>
  </si>
  <si>
    <t>QUEST LABORATORIES LTD</t>
  </si>
  <si>
    <t>INE306L01010</t>
  </si>
  <si>
    <t>QUICKHEAL</t>
  </si>
  <si>
    <t>QUICK HEAL TECH LTD</t>
  </si>
  <si>
    <t>INE0K4D01020</t>
  </si>
  <si>
    <t>QUICKTOUCH</t>
  </si>
  <si>
    <t>QUICKTOUCH TECHNOLOGIES L</t>
  </si>
  <si>
    <t>INE641R01017</t>
  </si>
  <si>
    <t>QUINT</t>
  </si>
  <si>
    <t>QUINT DIGITAL LTD.</t>
  </si>
  <si>
    <t>INE0KZF01015</t>
  </si>
  <si>
    <t>QVCEL</t>
  </si>
  <si>
    <t>QVC EXPORTS LIMITED</t>
  </si>
  <si>
    <t>INE0NQ801033</t>
  </si>
  <si>
    <t>RKSWAMY</t>
  </si>
  <si>
    <t>R K SWAMY LIMITED</t>
  </si>
  <si>
    <t>INE219Y01026</t>
  </si>
  <si>
    <t>RMDRIP</t>
  </si>
  <si>
    <t>R M DRIP &amp; SPRINK SYS LTD</t>
  </si>
  <si>
    <t>INE951M01037</t>
  </si>
  <si>
    <t>RRIL</t>
  </si>
  <si>
    <t>R R I L LTD.</t>
  </si>
  <si>
    <t>INE777K01022</t>
  </si>
  <si>
    <t>RRKABEL</t>
  </si>
  <si>
    <t>R R KABEL LIMITED</t>
  </si>
  <si>
    <t>INE616F01022</t>
  </si>
  <si>
    <t>RSDFIN</t>
  </si>
  <si>
    <t>R S D FINANCE LTD.</t>
  </si>
  <si>
    <t>INE411H01032</t>
  </si>
  <si>
    <t>RSYSTEMS</t>
  </si>
  <si>
    <t>R SYS INTERNATIONAL LTD</t>
  </si>
  <si>
    <t>INE005C01017</t>
  </si>
  <si>
    <t>RTSPOWR</t>
  </si>
  <si>
    <t>R T S POWER CORPN. LTD.</t>
  </si>
  <si>
    <t>INE012Q01039</t>
  </si>
  <si>
    <t>RNBDENIMS</t>
  </si>
  <si>
    <t>R&amp;B DENIMS LIMITED</t>
  </si>
  <si>
    <t>INE165B01029</t>
  </si>
  <si>
    <t>RSSOFTWARE</t>
  </si>
  <si>
    <t>R. S. SOFTWARE (INDIA) LI</t>
  </si>
  <si>
    <t>INE324L01013</t>
  </si>
  <si>
    <t>RPPINFRA</t>
  </si>
  <si>
    <t>R.P.P INFRA PROJECTS LTD</t>
  </si>
  <si>
    <t>INE2PB023011</t>
  </si>
  <si>
    <t>RIIT</t>
  </si>
  <si>
    <t>RAAJMARG INFRA INVEST T</t>
  </si>
  <si>
    <t>INE084Q01012</t>
  </si>
  <si>
    <t>RACE</t>
  </si>
  <si>
    <t>RACE ECO CHAIN LIMITED</t>
  </si>
  <si>
    <t>INE02OY01016</t>
  </si>
  <si>
    <t>RILINFRA</t>
  </si>
  <si>
    <t>RACHANA INFRA LTD</t>
  </si>
  <si>
    <t>INE704B01017</t>
  </si>
  <si>
    <t>RACLGEAR</t>
  </si>
  <si>
    <t>RACL GEARTECH LIMITED</t>
  </si>
  <si>
    <t>INE874F01027</t>
  </si>
  <si>
    <t>RADAAN</t>
  </si>
  <si>
    <t>RADAAN MEDIAWORKS (I) LTD</t>
  </si>
  <si>
    <t>INE583V01021</t>
  </si>
  <si>
    <t>RADHIKAJWE</t>
  </si>
  <si>
    <t>RADHIKA JEWELTECH LIMITED</t>
  </si>
  <si>
    <t>INE855R01021</t>
  </si>
  <si>
    <t>RADIANTCMS</t>
  </si>
  <si>
    <t>RADIANT CASH MGMT SER LTD</t>
  </si>
  <si>
    <t>INE944F01028</t>
  </si>
  <si>
    <t>RADICO</t>
  </si>
  <si>
    <t>RADICO KHAITAN LTD</t>
  </si>
  <si>
    <t>INE912T01018</t>
  </si>
  <si>
    <t>RPEL</t>
  </si>
  <si>
    <t>RAGHAV PRODUCTIVITY ENH L</t>
  </si>
  <si>
    <t>INE415G01027</t>
  </si>
  <si>
    <t>RVNL</t>
  </si>
  <si>
    <t>RAIL VIKAS NIGAM LIMITED</t>
  </si>
  <si>
    <t>INE0DD101019</t>
  </si>
  <si>
    <t>RAILTEL</t>
  </si>
  <si>
    <t>RAILTEL CORP OF IND LTD</t>
  </si>
  <si>
    <t>INE855B01025</t>
  </si>
  <si>
    <t>RAIN</t>
  </si>
  <si>
    <t>RAIN INDUSTRIES LIMITED</t>
  </si>
  <si>
    <t>INE961O01016</t>
  </si>
  <si>
    <t>RAINBOW</t>
  </si>
  <si>
    <t>RAINBOW CHILDRENS MED LTD</t>
  </si>
  <si>
    <t>INE294G01026</t>
  </si>
  <si>
    <t>ROML</t>
  </si>
  <si>
    <t>RAJ OIL MILLS LIMITED</t>
  </si>
  <si>
    <t>INE533D01032</t>
  </si>
  <si>
    <t>RAJRILTD</t>
  </si>
  <si>
    <t>RAJ RAYON INDUSTRIES LTD</t>
  </si>
  <si>
    <t>INE952H01027</t>
  </si>
  <si>
    <t>RAJTV</t>
  </si>
  <si>
    <t>RAJ TV NETWORK LTD</t>
  </si>
  <si>
    <t>INE296E01026</t>
  </si>
  <si>
    <t>RAJPALAYAM</t>
  </si>
  <si>
    <t>RAJAPALAYAM MILLS LTD.</t>
  </si>
  <si>
    <t>INE610C01014</t>
  </si>
  <si>
    <t>ARENTERP</t>
  </si>
  <si>
    <t>RAJDARSHAN INDUSTRIES LTD</t>
  </si>
  <si>
    <t>INE343B01030</t>
  </si>
  <si>
    <t>RAJESHEXPO</t>
  </si>
  <si>
    <t>RAJESH EXPORTS LTD</t>
  </si>
  <si>
    <t>INE0BZQ20011</t>
  </si>
  <si>
    <t>RCDL-RE</t>
  </si>
  <si>
    <t>RAJGOR CAST DERIVATI LTD</t>
  </si>
  <si>
    <t>INE0BZQ01011</t>
  </si>
  <si>
    <t>RCDL</t>
  </si>
  <si>
    <t>RAJGOR CASTOR DERIVATI L</t>
  </si>
  <si>
    <t>INE00KV01022</t>
  </si>
  <si>
    <t>RAJMET</t>
  </si>
  <si>
    <t>RAJNANDINI METAL LIMITED</t>
  </si>
  <si>
    <t>INE535F01024</t>
  </si>
  <si>
    <t>RAJOOENG</t>
  </si>
  <si>
    <t>RAJOO ENGINEERS LIMITED</t>
  </si>
  <si>
    <t>INE0VHU01019</t>
  </si>
  <si>
    <t>RAJPUTANA</t>
  </si>
  <si>
    <t>RAJPUTANA BIODIESEL LTD</t>
  </si>
  <si>
    <t>INE0PCU01012</t>
  </si>
  <si>
    <t>RAJINDLTD</t>
  </si>
  <si>
    <t>RAJPUTANA INDUSTRIES LTD</t>
  </si>
  <si>
    <t>INE313L01016</t>
  </si>
  <si>
    <t>RSL</t>
  </si>
  <si>
    <t>RAJPUTANA STAINLESS LTD</t>
  </si>
  <si>
    <t>INE451D01029</t>
  </si>
  <si>
    <t>RAJRATAN</t>
  </si>
  <si>
    <t>RAJRATAN GLOBAL WIRE LTD</t>
  </si>
  <si>
    <t>INE760W01023</t>
  </si>
  <si>
    <t>RPPL</t>
  </si>
  <si>
    <t>RAJSHREE POLYPACK LTD</t>
  </si>
  <si>
    <t>INE562B01019</t>
  </si>
  <si>
    <t>RAJSREESUG</t>
  </si>
  <si>
    <t>RAJSHREE SUGAR &amp; CHEMICAL</t>
  </si>
  <si>
    <t>INE613A01020</t>
  </si>
  <si>
    <t>RALLIS</t>
  </si>
  <si>
    <t>RALLIS INDIA LTD</t>
  </si>
  <si>
    <t>INE207E01023</t>
  </si>
  <si>
    <t>RAMRAT</t>
  </si>
  <si>
    <t>RAM RATNA WIRES LIMITED</t>
  </si>
  <si>
    <t>INE809A01032</t>
  </si>
  <si>
    <t>RAMAPHO</t>
  </si>
  <si>
    <t>RAMA PHOSPHATES LIMITED</t>
  </si>
  <si>
    <t>INE230R01035</t>
  </si>
  <si>
    <t>RAMASTEEL</t>
  </si>
  <si>
    <t>RAMA STEEL TUBES LIMITED</t>
  </si>
  <si>
    <t>INE14W901010</t>
  </si>
  <si>
    <t>RTL</t>
  </si>
  <si>
    <t>RAMA TELECOM LIMITED</t>
  </si>
  <si>
    <t>INE614A01028</t>
  </si>
  <si>
    <t>RAMCOIND</t>
  </si>
  <si>
    <t>RAMCO INDUSTRIES LIMITED</t>
  </si>
  <si>
    <t>INE246B01019</t>
  </si>
  <si>
    <t>RAMCOSYS</t>
  </si>
  <si>
    <t>RAMCO SYSTEMS LTD.</t>
  </si>
  <si>
    <t>INE0RJH01010</t>
  </si>
  <si>
    <t>RBS</t>
  </si>
  <si>
    <t>RAMDEVBABA SOLVENT LTD</t>
  </si>
  <si>
    <t>INE399G01023</t>
  </si>
  <si>
    <t>RKFORGE</t>
  </si>
  <si>
    <t>RAMKRISHNA FORGINGS LTD</t>
  </si>
  <si>
    <t>INE874I01013</t>
  </si>
  <si>
    <t>RAMKY</t>
  </si>
  <si>
    <t>RAMKY INFRA LTD</t>
  </si>
  <si>
    <t>INE625B01014</t>
  </si>
  <si>
    <t>RANASUG</t>
  </si>
  <si>
    <t>RANA SUGARS LTD.</t>
  </si>
  <si>
    <t>INE050H01012</t>
  </si>
  <si>
    <t>RML</t>
  </si>
  <si>
    <t>RANE (MADRAS) LIMITED</t>
  </si>
  <si>
    <t>INE384A01010</t>
  </si>
  <si>
    <t>RANEHOLDIN</t>
  </si>
  <si>
    <t>RANE HOLDINGS LIMITED</t>
  </si>
  <si>
    <t>INE0QX901013</t>
  </si>
  <si>
    <t>RAPIDFLEET</t>
  </si>
  <si>
    <t>RAPID FLEET MGT SERVICE L</t>
  </si>
  <si>
    <t>INE0MVO01012</t>
  </si>
  <si>
    <t>RAPPID</t>
  </si>
  <si>
    <t>RAPPID VALVES (INDIA) LTD</t>
  </si>
  <si>
    <t>INE0J1F01024</t>
  </si>
  <si>
    <t>RPTECH</t>
  </si>
  <si>
    <t>RASHI PERIPHERALS LIMITED</t>
  </si>
  <si>
    <t>INE027A01015</t>
  </si>
  <si>
    <t>RCF</t>
  </si>
  <si>
    <t>RASHTRIYA CHEMICALS &amp; FER</t>
  </si>
  <si>
    <t>INE0CLI01024</t>
  </si>
  <si>
    <t>RATEGAIN</t>
  </si>
  <si>
    <t>RATEGAIN TRAVEL TECHN LTD</t>
  </si>
  <si>
    <t>INE703B01027</t>
  </si>
  <si>
    <t>RATNAMANI</t>
  </si>
  <si>
    <t>RATNAMANI MET &amp; TUB LTD.</t>
  </si>
  <si>
    <t>INE05CZ01011</t>
  </si>
  <si>
    <t>RATNAVEER</t>
  </si>
  <si>
    <t>RATNAVEER PRECISION ENG L</t>
  </si>
  <si>
    <t>INE834M01019</t>
  </si>
  <si>
    <t>RTNINDIA</t>
  </si>
  <si>
    <t>RATTANINDIA ENT LIMITED</t>
  </si>
  <si>
    <t>INE399K01017</t>
  </si>
  <si>
    <t>RTNPOWER</t>
  </si>
  <si>
    <t>RATTANINDIA POWER LIMITED</t>
  </si>
  <si>
    <t>INE722J01012</t>
  </si>
  <si>
    <t>RKDL</t>
  </si>
  <si>
    <t>RAVI KUMAR DIST. LTD.</t>
  </si>
  <si>
    <t>INE09E501017</t>
  </si>
  <si>
    <t>RVHL</t>
  </si>
  <si>
    <t>RAVINDER HEIGHTS LIMITED</t>
  </si>
  <si>
    <t>INE206N01018</t>
  </si>
  <si>
    <t>RELTD</t>
  </si>
  <si>
    <t>RAVINDRA ENERGY LIMITED</t>
  </si>
  <si>
    <t>INE02ID01020</t>
  </si>
  <si>
    <t>RAYMONDLSL</t>
  </si>
  <si>
    <t>RAYMOND LIFESTYLE LIMITED</t>
  </si>
  <si>
    <t>INE301A01014</t>
  </si>
  <si>
    <t>RAYMOND</t>
  </si>
  <si>
    <t>RAYMOND LTD</t>
  </si>
  <si>
    <t>INE1SY401010</t>
  </si>
  <si>
    <t>RAYMONDREL</t>
  </si>
  <si>
    <t>RAYMOND REALTY LIMITED</t>
  </si>
  <si>
    <t>INE1FCO01014</t>
  </si>
  <si>
    <t>MOMSBELIEF</t>
  </si>
  <si>
    <t>RAYS OF BELIEF LIMITED</t>
  </si>
  <si>
    <t>INE976G01028</t>
  </si>
  <si>
    <t>RBLBANK</t>
  </si>
  <si>
    <t>RBL BANK LIMITED</t>
  </si>
  <si>
    <t>INE0NA301016</t>
  </si>
  <si>
    <t>RBMINFRA</t>
  </si>
  <si>
    <t>RBM INFRACON LIMITED</t>
  </si>
  <si>
    <t>INE0PEQ01016</t>
  </si>
  <si>
    <t>RBZJEWEL</t>
  </si>
  <si>
    <t>RBZ JEWELLERS LIMITED</t>
  </si>
  <si>
    <t>INE0AK901016</t>
  </si>
  <si>
    <t>RRECL</t>
  </si>
  <si>
    <t>RDB REAL ESTATE CONS L</t>
  </si>
  <si>
    <t>INE10QL01011</t>
  </si>
  <si>
    <t>READYMIX</t>
  </si>
  <si>
    <t>READYMIX CONSTRU MACHI L</t>
  </si>
  <si>
    <t>INE020B01018</t>
  </si>
  <si>
    <t>RECLTD</t>
  </si>
  <si>
    <t>REC LIMITED</t>
  </si>
  <si>
    <t>INE891D01026</t>
  </si>
  <si>
    <t>REDINGTON</t>
  </si>
  <si>
    <t>REDINGTON LIMITED</t>
  </si>
  <si>
    <t>INE0LXT01019</t>
  </si>
  <si>
    <t>REDTAPE</t>
  </si>
  <si>
    <t>REDTAPE LIMITED</t>
  </si>
  <si>
    <t>INE056I01025</t>
  </si>
  <si>
    <t>REFEX</t>
  </si>
  <si>
    <t>REFEX INDUSTRIES LIMITED</t>
  </si>
  <si>
    <t>INE0TNX01015</t>
  </si>
  <si>
    <t>REFRACTORY</t>
  </si>
  <si>
    <t>REFRACTORY SHAPES LIMITED</t>
  </si>
  <si>
    <t>INE0MHO01029</t>
  </si>
  <si>
    <t>REGAAL</t>
  </si>
  <si>
    <t>REGAAL RESOURCES LIMITED</t>
  </si>
  <si>
    <t>INE277C01012</t>
  </si>
  <si>
    <t>REGENCERAM</t>
  </si>
  <si>
    <t>REGENCY CERAMICS LTD.</t>
  </si>
  <si>
    <t>INE131B01039</t>
  </si>
  <si>
    <t>RELAXO</t>
  </si>
  <si>
    <t>RELAXO FOOT LTD.</t>
  </si>
  <si>
    <t>INF204KC1030</t>
  </si>
  <si>
    <t>GILT5YBEES</t>
  </si>
  <si>
    <t>RELCAPAMC - NETFGILT5Y</t>
  </si>
  <si>
    <t>INE375Y01018</t>
  </si>
  <si>
    <t>RELIABLE</t>
  </si>
  <si>
    <t>RELIABLE DATA SERVICE LTD</t>
  </si>
  <si>
    <t>INE750D01016</t>
  </si>
  <si>
    <t>RELCHEMQ</t>
  </si>
  <si>
    <t>RELIANCE CHEMOTEX IND LTD</t>
  </si>
  <si>
    <t>INE330H01018</t>
  </si>
  <si>
    <t>RCOM</t>
  </si>
  <si>
    <t>RELIANCE COMMUNICATIONS L</t>
  </si>
  <si>
    <t>INE217K01011</t>
  </si>
  <si>
    <t>RHFL</t>
  </si>
  <si>
    <t>RELIANCE HOME FINANCE LTD</t>
  </si>
  <si>
    <t>INE046A01015</t>
  </si>
  <si>
    <t>RIIL</t>
  </si>
  <si>
    <t>RELIANCE INDUSTRIAL INFRA</t>
  </si>
  <si>
    <t>INE002A01018</t>
  </si>
  <si>
    <t>RELIANCE</t>
  </si>
  <si>
    <t>RELIANCE INDUSTRIES LTD</t>
  </si>
  <si>
    <t>INE036A01016</t>
  </si>
  <si>
    <t>RELINFRA</t>
  </si>
  <si>
    <t>RELIANCE INFRASTRUCTU LTD</t>
  </si>
  <si>
    <t>INE614G01033</t>
  </si>
  <si>
    <t>RPOWER</t>
  </si>
  <si>
    <t>RELIANCE POWER LTD.</t>
  </si>
  <si>
    <t>INF205KA1CB9</t>
  </si>
  <si>
    <t>IVZBANKNF</t>
  </si>
  <si>
    <t>RELIGARAMC - IVZBANKNF</t>
  </si>
  <si>
    <t>INF205KA1CA1</t>
  </si>
  <si>
    <t>IVZSENSEX</t>
  </si>
  <si>
    <t>RELIGARAMC - IVZSENSEX</t>
  </si>
  <si>
    <t>INE621H01010</t>
  </si>
  <si>
    <t>RELIGARE</t>
  </si>
  <si>
    <t>RELIGARE ENTER. LTD.</t>
  </si>
  <si>
    <t>INE474C01023</t>
  </si>
  <si>
    <t>REMSONSIND</t>
  </si>
  <si>
    <t>REMSONS INDUSTRIES LTD</t>
  </si>
  <si>
    <t>INE0O5T01011</t>
  </si>
  <si>
    <t>REMUS</t>
  </si>
  <si>
    <t>REMUS PHARMACEUTICALS L</t>
  </si>
  <si>
    <t>INE722H01024</t>
  </si>
  <si>
    <t>RGL</t>
  </si>
  <si>
    <t>RENAISSANCE GLOBAL LTD</t>
  </si>
  <si>
    <t>INE0VZX01015</t>
  </si>
  <si>
    <t>RNPL</t>
  </si>
  <si>
    <t>RENOL POLYCHEM LIMITED</t>
  </si>
  <si>
    <t>INE612J01015</t>
  </si>
  <si>
    <t>REPCOHOME</t>
  </si>
  <si>
    <t>REPCO HOME FINANCE LTD</t>
  </si>
  <si>
    <t>INE461B01014</t>
  </si>
  <si>
    <t>REPRO</t>
  </si>
  <si>
    <t>REPRO INDIA LIMITED</t>
  </si>
  <si>
    <t>INE688D01026</t>
  </si>
  <si>
    <t>RESPONIND</t>
  </si>
  <si>
    <t>RESPONSIVE INDUSTRIES LTD</t>
  </si>
  <si>
    <t>INE07T201019</t>
  </si>
  <si>
    <t>RBA</t>
  </si>
  <si>
    <t>RESTAURANT BRAND ASIA LTD</t>
  </si>
  <si>
    <t>INE0DAB01012</t>
  </si>
  <si>
    <t>RVTH</t>
  </si>
  <si>
    <t>REVATHI EQUIPMENT INDIA L</t>
  </si>
  <si>
    <t>INE113601012</t>
  </si>
  <si>
    <t>REXPRO</t>
  </si>
  <si>
    <t>REXPRO ENTERPRISES LTD</t>
  </si>
  <si>
    <t>INE0V2V01015</t>
  </si>
  <si>
    <t>RFBL</t>
  </si>
  <si>
    <t>RFBL FLEXI PACK LIMITED</t>
  </si>
  <si>
    <t>INE0KKN01029</t>
  </si>
  <si>
    <t>RHETAN</t>
  </si>
  <si>
    <t>RHETAN TMT LIMITED</t>
  </si>
  <si>
    <t>INE743M01012</t>
  </si>
  <si>
    <t>RHIM</t>
  </si>
  <si>
    <t>RHI MAGNESITA INDIA LTD</t>
  </si>
  <si>
    <t>INE0J1P01015</t>
  </si>
  <si>
    <t>RICHA</t>
  </si>
  <si>
    <t>RICHA INFO SYSTEMS LTD</t>
  </si>
  <si>
    <t>INE209B01025</t>
  </si>
  <si>
    <t>RICOAUTO</t>
  </si>
  <si>
    <t>RICO AUTO INDUSTRIES LTD</t>
  </si>
  <si>
    <t>INE302D01024</t>
  </si>
  <si>
    <t>RIR</t>
  </si>
  <si>
    <t>RIR POWER ELECTRONICS L</t>
  </si>
  <si>
    <t>INE0N2P01017</t>
  </si>
  <si>
    <t>RISHABH</t>
  </si>
  <si>
    <t>RISHABH INSTRUMENTS LTD</t>
  </si>
  <si>
    <t>INE01EG01016</t>
  </si>
  <si>
    <t>RITCO</t>
  </si>
  <si>
    <t>RITCO LOGISTICS LIMITED</t>
  </si>
  <si>
    <t>INE0MRA01019</t>
  </si>
  <si>
    <t>RITEZONE</t>
  </si>
  <si>
    <t>RITE ZONE CHEMCON IND LTD</t>
  </si>
  <si>
    <t>INE320J01015</t>
  </si>
  <si>
    <t>RITES</t>
  </si>
  <si>
    <t>RITES LIMITED</t>
  </si>
  <si>
    <t>INE786W01010</t>
  </si>
  <si>
    <t>RKEC</t>
  </si>
  <si>
    <t>RKEC PROJECTS LIMITED</t>
  </si>
  <si>
    <t>INE655V01019</t>
  </si>
  <si>
    <t>RMC</t>
  </si>
  <si>
    <t>RMC SWITCHGEARS LIMITED</t>
  </si>
  <si>
    <t>INE0SA001017</t>
  </si>
  <si>
    <t>RNFI</t>
  </si>
  <si>
    <t>RNFI SERVICES LIMITED</t>
  </si>
  <si>
    <t>INE508K01013</t>
  </si>
  <si>
    <t>RHL</t>
  </si>
  <si>
    <t>ROBUST HOTELS LIMITED</t>
  </si>
  <si>
    <t>INE0PTR01012</t>
  </si>
  <si>
    <t>ROCKINGDCE</t>
  </si>
  <si>
    <t>ROCKINGDEALS CIRCU ECO L</t>
  </si>
  <si>
    <t>INE645S01024</t>
  </si>
  <si>
    <t>ROLEXRINGS</t>
  </si>
  <si>
    <t>ROLEX RINGS LIMITED</t>
  </si>
  <si>
    <t>INE927A01040</t>
  </si>
  <si>
    <t>ROLLT</t>
  </si>
  <si>
    <t>ROLLATAINERS LIMITED</t>
  </si>
  <si>
    <t>INE02A801020</t>
  </si>
  <si>
    <t>ROSSARI</t>
  </si>
  <si>
    <t>ROSSARI BIOTECH LIMITED</t>
  </si>
  <si>
    <t>INE847C01020</t>
  </si>
  <si>
    <t>ROSSELLIND</t>
  </si>
  <si>
    <t>ROSSELL INDIA LIMITED</t>
  </si>
  <si>
    <t>INE0OJW01016</t>
  </si>
  <si>
    <t>ROSSTECH</t>
  </si>
  <si>
    <t>ROSSELL TECHSYS LIMITED</t>
  </si>
  <si>
    <t>INE535D01037</t>
  </si>
  <si>
    <t>ROTO</t>
  </si>
  <si>
    <t>ROTO PUMPS LIMITED</t>
  </si>
  <si>
    <t>INE450U01017</t>
  </si>
  <si>
    <t>ROUTE</t>
  </si>
  <si>
    <t>ROUTE MOBILE LIMITED</t>
  </si>
  <si>
    <t>INE0PDJ01013</t>
  </si>
  <si>
    <t>ROXHITECH</t>
  </si>
  <si>
    <t>ROX HI TECH LIMITED</t>
  </si>
  <si>
    <t>INE0EO401019</t>
  </si>
  <si>
    <t>ROYALARC</t>
  </si>
  <si>
    <t>ROYAL ARC ELECTRODES LTD</t>
  </si>
  <si>
    <t>INE283H01019</t>
  </si>
  <si>
    <t>ROHLTD</t>
  </si>
  <si>
    <t>ROYAL ORCHID HOTELS LTD</t>
  </si>
  <si>
    <t>INE105J01010</t>
  </si>
  <si>
    <t>RPGLIFE</t>
  </si>
  <si>
    <t>RPG LIFE SCIENCES LTD</t>
  </si>
  <si>
    <t>INE425Y01011</t>
  </si>
  <si>
    <t>RPSGVENT</t>
  </si>
  <si>
    <t>RPSG VENTURES LIMITED</t>
  </si>
  <si>
    <t>INE611A01016</t>
  </si>
  <si>
    <t>RSWM</t>
  </si>
  <si>
    <t>RSWM LIMITED</t>
  </si>
  <si>
    <t>INE642C01025</t>
  </si>
  <si>
    <t>RUBFILA</t>
  </si>
  <si>
    <t>RUBFILA INTERNATIONAL LTD</t>
  </si>
  <si>
    <t>INE506V01022</t>
  </si>
  <si>
    <t>RUBICON</t>
  </si>
  <si>
    <t>RUBICON RESEARCH LIMITED</t>
  </si>
  <si>
    <t>INE413B01023</t>
  </si>
  <si>
    <t>RUCHINFRA</t>
  </si>
  <si>
    <t>RUCHI INFRASTRUCTURE LTD</t>
  </si>
  <si>
    <t>INE803H01014</t>
  </si>
  <si>
    <t>RUCHIRA</t>
  </si>
  <si>
    <t>RUCHIRA PAPERS LIMITED</t>
  </si>
  <si>
    <t>INE027T01023</t>
  </si>
  <si>
    <t>RUDRA</t>
  </si>
  <si>
    <t>RUDRA GLOBAL INFRA PROD L</t>
  </si>
  <si>
    <t>INE364Z01019</t>
  </si>
  <si>
    <t>REPL</t>
  </si>
  <si>
    <t>RUDRABHISHEK ENTERP LTD</t>
  </si>
  <si>
    <t>INE0R7301013</t>
  </si>
  <si>
    <t>RULKA</t>
  </si>
  <si>
    <t>RULKA ELECTRICALS LIMITED</t>
  </si>
  <si>
    <t>INE895B01021</t>
  </si>
  <si>
    <t>RUPA</t>
  </si>
  <si>
    <t>RUPA &amp; COMPANY LTD</t>
  </si>
  <si>
    <t>INE573K01025</t>
  </si>
  <si>
    <t>RUSHIL</t>
  </si>
  <si>
    <t>RUSHIL DECOR LIMITED</t>
  </si>
  <si>
    <t>INE137M01017</t>
  </si>
  <si>
    <t>SAB</t>
  </si>
  <si>
    <t>S A B INDUSTRIES LTD.</t>
  </si>
  <si>
    <t>INE0BSN01013</t>
  </si>
  <si>
    <t>SATECH</t>
  </si>
  <si>
    <t>S A TECH SOFTWARE INDIA L</t>
  </si>
  <si>
    <t>INE807K01035</t>
  </si>
  <si>
    <t>SCHAND</t>
  </si>
  <si>
    <t>S CHAND AND COMPANY LTD</t>
  </si>
  <si>
    <t>INE0X6F01017</t>
  </si>
  <si>
    <t>SDREAMS</t>
  </si>
  <si>
    <t>S D RETAIL LIMITED</t>
  </si>
  <si>
    <t>INE500L01026</t>
  </si>
  <si>
    <t>SHK</t>
  </si>
  <si>
    <t>S H KELKAR AND CO. LTD.</t>
  </si>
  <si>
    <t>INE0F3301020</t>
  </si>
  <si>
    <t>SJLOGISTIC</t>
  </si>
  <si>
    <t>S J LOGISTICS (INDIA) LTD</t>
  </si>
  <si>
    <t>INE159L01013</t>
  </si>
  <si>
    <t>SVGLOBAL</t>
  </si>
  <si>
    <t>S V GLOBAL MILL LTD.</t>
  </si>
  <si>
    <t>INE902B01017</t>
  </si>
  <si>
    <t>S&amp;SPOWER</t>
  </si>
  <si>
    <t>S&amp;S POWER SWITCHGEARS LTD</t>
  </si>
  <si>
    <t>INE212I01016</t>
  </si>
  <si>
    <t>SPAL</t>
  </si>
  <si>
    <t>S. P. APPARELS LIMITED</t>
  </si>
  <si>
    <t>INE658G01014</t>
  </si>
  <si>
    <t>SALSTEEL</t>
  </si>
  <si>
    <t>S.A.L. STEEL LTD.</t>
  </si>
  <si>
    <t>INE0PSK01027</t>
  </si>
  <si>
    <t>SAAKSHI</t>
  </si>
  <si>
    <t>SAAKSHI MEDTEC N PANELS L</t>
  </si>
  <si>
    <t>INE13B501022</t>
  </si>
  <si>
    <t>SAATVIKGL</t>
  </si>
  <si>
    <t>SAATVIK GREEN ENERGY LTD</t>
  </si>
  <si>
    <t>INE1ARD01016</t>
  </si>
  <si>
    <t>SACHEEROME</t>
  </si>
  <si>
    <t>SACHEEROME LIMITED</t>
  </si>
  <si>
    <t>INE226H01026</t>
  </si>
  <si>
    <t>SADBHAV</t>
  </si>
  <si>
    <t>SADBHAV ENGINEERING LTD</t>
  </si>
  <si>
    <t>INE764L01010</t>
  </si>
  <si>
    <t>SADBHIN</t>
  </si>
  <si>
    <t>SADBHAV INFRA PROJ LTD.</t>
  </si>
  <si>
    <t>INE888C01040</t>
  </si>
  <si>
    <t>SADHNANIQ</t>
  </si>
  <si>
    <t>SADHANA NITROCHEM LIMITED</t>
  </si>
  <si>
    <t>INE0K5H01010</t>
  </si>
  <si>
    <t>SADHAV</t>
  </si>
  <si>
    <t>SADHAV SHIPPING LIMITED</t>
  </si>
  <si>
    <t>INE429E01023</t>
  </si>
  <si>
    <t>SAFARI</t>
  </si>
  <si>
    <t>SAFARI IND (INDIA) LTD</t>
  </si>
  <si>
    <t>INE17D601016</t>
  </si>
  <si>
    <t>SAFEENTP</t>
  </si>
  <si>
    <t>SAFE ENTER RETAIL FIX LTD</t>
  </si>
  <si>
    <t>INE229C01021</t>
  </si>
  <si>
    <t>SAGCEM</t>
  </si>
  <si>
    <t>SAGAR CEMENTS LIMITED</t>
  </si>
  <si>
    <t>INE976T01013</t>
  </si>
  <si>
    <t>SAGARDEEP</t>
  </si>
  <si>
    <t>SAGARDEEP ALLOYS LIMITED</t>
  </si>
  <si>
    <t>INE0W2G01015</t>
  </si>
  <si>
    <t>SAGILITY</t>
  </si>
  <si>
    <t>SAGILITY LIMITED</t>
  </si>
  <si>
    <t>INE0P4701011</t>
  </si>
  <si>
    <t>SAHAJSOLAR</t>
  </si>
  <si>
    <t>SAHAJ SOLAR LIMITED</t>
  </si>
  <si>
    <t>INE0LEX01011</t>
  </si>
  <si>
    <t>SAHANA</t>
  </si>
  <si>
    <t>SAHANA SYSTEM LIMITED</t>
  </si>
  <si>
    <t>INE0RBQ01018</t>
  </si>
  <si>
    <t>SAHASRA</t>
  </si>
  <si>
    <t>SAHASRA ELECTRONIC SOLU L</t>
  </si>
  <si>
    <t>INE280H01015</t>
  </si>
  <si>
    <t>SAHYADRI</t>
  </si>
  <si>
    <t>SAHYADRI INDUSTRIES LTD</t>
  </si>
  <si>
    <t>INE531X01018</t>
  </si>
  <si>
    <t>SAICAPI</t>
  </si>
  <si>
    <t>SAI CAPITAL LTD.</t>
  </si>
  <si>
    <t>INE570L01029</t>
  </si>
  <si>
    <t>SAILIFE</t>
  </si>
  <si>
    <t>SAI LIFE SCIENCES LIMITED</t>
  </si>
  <si>
    <t>INE0H9F01037</t>
  </si>
  <si>
    <t>SAIPARENT</t>
  </si>
  <si>
    <t>SAI PARENTERALS LIMITED</t>
  </si>
  <si>
    <t>INE438K01021</t>
  </si>
  <si>
    <t>KALAMANDIR</t>
  </si>
  <si>
    <t>SAI SILKS (KALAMANDIR) L</t>
  </si>
  <si>
    <t>INE068B01017</t>
  </si>
  <si>
    <t>SEKURITIND</t>
  </si>
  <si>
    <t>SAINT GOBAIN SEKUR IND L</t>
  </si>
  <si>
    <t>INE732S01012</t>
  </si>
  <si>
    <t>SAKAR</t>
  </si>
  <si>
    <t>SAKAR HEALTHCARE LIMITED</t>
  </si>
  <si>
    <t>INE667G01023</t>
  </si>
  <si>
    <t>SAKSOFT</t>
  </si>
  <si>
    <t>SAKSOFT LIMITED</t>
  </si>
  <si>
    <t>INE623A01011</t>
  </si>
  <si>
    <t>SAKHTISUG</t>
  </si>
  <si>
    <t>SAKTHI SUGARS LTD</t>
  </si>
  <si>
    <t>INE190H01024</t>
  </si>
  <si>
    <t>SAKUMA</t>
  </si>
  <si>
    <t>SAKUMA EXPORTS LIMITED</t>
  </si>
  <si>
    <t>INE170V01027</t>
  </si>
  <si>
    <t>SALASAR</t>
  </si>
  <si>
    <t>SALASAR TECHNO ENGG. LTD.</t>
  </si>
  <si>
    <t>INE498E01010</t>
  </si>
  <si>
    <t>SALONA</t>
  </si>
  <si>
    <t>SALONA COTSPIN LTD.</t>
  </si>
  <si>
    <t>INE457F01013</t>
  </si>
  <si>
    <t>SALZERELEC</t>
  </si>
  <si>
    <t>SALZER ELECTRONICS LTD</t>
  </si>
  <si>
    <t>INE124101010</t>
  </si>
  <si>
    <t>SAMAY</t>
  </si>
  <si>
    <t>SAMAY PROJECT SERVICES L</t>
  </si>
  <si>
    <t>INE304D01012</t>
  </si>
  <si>
    <t>SAMBANDAM</t>
  </si>
  <si>
    <t>SAMBANDAM SPINNING MILL L</t>
  </si>
  <si>
    <t>INE699B01027</t>
  </si>
  <si>
    <t>SAMBHAAV</t>
  </si>
  <si>
    <t>SAMBHAAV MEDIA LTD</t>
  </si>
  <si>
    <t>INE12NJ01018</t>
  </si>
  <si>
    <t>SAMBHV</t>
  </si>
  <si>
    <t>SAMBHV STEEL TUBES LTD</t>
  </si>
  <si>
    <t>INE0PZA01015</t>
  </si>
  <si>
    <t>SAIFL</t>
  </si>
  <si>
    <t>SAMEERA AGRO AND INFRA L</t>
  </si>
  <si>
    <t>INE08U801020</t>
  </si>
  <si>
    <t>SAMHI</t>
  </si>
  <si>
    <t>SAMHI HOTELS LIMITED</t>
  </si>
  <si>
    <t>INE148I01020</t>
  </si>
  <si>
    <t>SAMMAANCAP</t>
  </si>
  <si>
    <t>SAMMAAN CAPITAL LIMITED</t>
  </si>
  <si>
    <t>INE735M01018</t>
  </si>
  <si>
    <t>SAMPANN</t>
  </si>
  <si>
    <t>SAMPANN UTPADAN INDIA LTD</t>
  </si>
  <si>
    <t>INE775A01035</t>
  </si>
  <si>
    <t>MOTHERSON</t>
  </si>
  <si>
    <t>SAMVRDHNA MTHRSN INTL LTD</t>
  </si>
  <si>
    <t>INE0JPD01013</t>
  </si>
  <si>
    <t>SANATHAN</t>
  </si>
  <si>
    <t>SANATHAN TEXTILES LIMITED</t>
  </si>
  <si>
    <t>INE583B01015</t>
  </si>
  <si>
    <t>SANDESH</t>
  </si>
  <si>
    <t>SANDESH LTD</t>
  </si>
  <si>
    <t>INE278H01035</t>
  </si>
  <si>
    <t>SANDHAR</t>
  </si>
  <si>
    <t>SANDHAR TECHNOLOGIES LTD</t>
  </si>
  <si>
    <t>INE149K01016</t>
  </si>
  <si>
    <t>SANDUMA</t>
  </si>
  <si>
    <t>SANDUR MANG &amp; IRON ORES L</t>
  </si>
  <si>
    <t>INE495C01010</t>
  </si>
  <si>
    <t>SANGAMIND</t>
  </si>
  <si>
    <t>SANGAM (INDIA) LTD</t>
  </si>
  <si>
    <t>INE0OVI01010</t>
  </si>
  <si>
    <t>SANGANI</t>
  </si>
  <si>
    <t>SANGANI HOSPITALS LIMITED</t>
  </si>
  <si>
    <t>INE989A01032</t>
  </si>
  <si>
    <t>SANGHVIMOV</t>
  </si>
  <si>
    <t>SANGHVI MOVERS LTD</t>
  </si>
  <si>
    <t>INE753W01010</t>
  </si>
  <si>
    <t>SANGINITA</t>
  </si>
  <si>
    <t>SANGINITA CHEMICALS LTD</t>
  </si>
  <si>
    <t>INE0UOS01011</t>
  </si>
  <si>
    <t>SANOFICONR</t>
  </si>
  <si>
    <t>SANOFI CONS HEALTHC IND L</t>
  </si>
  <si>
    <t>INE058A01010</t>
  </si>
  <si>
    <t>SANOFI</t>
  </si>
  <si>
    <t>SANOFI INDIA LIMITED</t>
  </si>
  <si>
    <t>INE953O01021</t>
  </si>
  <si>
    <t>SANSERA</t>
  </si>
  <si>
    <t>SANSERA ENGINEERING LTD</t>
  </si>
  <si>
    <t>INE08NE01025</t>
  </si>
  <si>
    <t>SANSTAR</t>
  </si>
  <si>
    <t>SANSTAR LIMITED</t>
  </si>
  <si>
    <t>INE890C01046</t>
  </si>
  <si>
    <t>SANWARIA</t>
  </si>
  <si>
    <t>SANWARIA CONSUMER LIMITED</t>
  </si>
  <si>
    <t>INE806T01020</t>
  </si>
  <si>
    <t>SAPPHIRE</t>
  </si>
  <si>
    <t>SAPPHIRE FOODS INDIA LTD</t>
  </si>
  <si>
    <t>INE0PUC01020</t>
  </si>
  <si>
    <t>SARTELE</t>
  </si>
  <si>
    <t>SAR TELEVENTURE LIMITED</t>
  </si>
  <si>
    <t>INE967G01019</t>
  </si>
  <si>
    <t>ZSARACOM</t>
  </si>
  <si>
    <t>SARASWATI COMM (INDIA) L</t>
  </si>
  <si>
    <t>INE0PQ101010</t>
  </si>
  <si>
    <t>SSDL</t>
  </si>
  <si>
    <t>SARASWATI SAREE DEPOT LTD</t>
  </si>
  <si>
    <t>INE385C01021</t>
  </si>
  <si>
    <t>SARDAEN</t>
  </si>
  <si>
    <t>SARDA ENERGY &amp; MIN LTD</t>
  </si>
  <si>
    <t>INE979A01025</t>
  </si>
  <si>
    <t>SAREGAMA</t>
  </si>
  <si>
    <t>SAREGAMA INDIA LIMITED</t>
  </si>
  <si>
    <t>INE453D01025</t>
  </si>
  <si>
    <t>SARLAPOLY</t>
  </si>
  <si>
    <t>SARLA PERF. FIBERS LTD</t>
  </si>
  <si>
    <t>INE0PCL01011</t>
  </si>
  <si>
    <t>SAROJA</t>
  </si>
  <si>
    <t>SAROJA PHARMA INDUS IND L</t>
  </si>
  <si>
    <t>INE017W01010</t>
  </si>
  <si>
    <t>SMLT</t>
  </si>
  <si>
    <t>SARTHAK METALS LIMITED</t>
  </si>
  <si>
    <t>INE324X01026</t>
  </si>
  <si>
    <t>SARVESHWAR</t>
  </si>
  <si>
    <t>SARVESHWAR FOODS LIMITED</t>
  </si>
  <si>
    <t>INE231F01020</t>
  </si>
  <si>
    <t>SASKEN</t>
  </si>
  <si>
    <t>SASKEN TECHNOLOGIES LTD</t>
  </si>
  <si>
    <t>INE0NB801022</t>
  </si>
  <si>
    <t>SATKARTAR</t>
  </si>
  <si>
    <t>SAT KARTAR LIFE LIMITED</t>
  </si>
  <si>
    <t>INE0RFP01011</t>
  </si>
  <si>
    <t>SSEGL</t>
  </si>
  <si>
    <t>SATHLOKHAR SYN E&amp;C GLOB L</t>
  </si>
  <si>
    <t>INE0RPM01017</t>
  </si>
  <si>
    <t>SATIPOLY</t>
  </si>
  <si>
    <t>SATI POLY PLAST LIMITED</t>
  </si>
  <si>
    <t>INE170E01023</t>
  </si>
  <si>
    <t>SATIA</t>
  </si>
  <si>
    <t>SATIA INDUSTRIES LIMITED</t>
  </si>
  <si>
    <t>INE836B01017</t>
  </si>
  <si>
    <t>SATIN</t>
  </si>
  <si>
    <t>SATIN CREDIT NET LTD</t>
  </si>
  <si>
    <t>INE14DW01018</t>
  </si>
  <si>
    <t>SATTVAENGG</t>
  </si>
  <si>
    <t>SATTVA ENGINEERING CSTN L</t>
  </si>
  <si>
    <t>INE626A01014</t>
  </si>
  <si>
    <t>SAURASHCEM</t>
  </si>
  <si>
    <t>SAURASHTRA CEMENT LIMITED</t>
  </si>
  <si>
    <t>INE035D01020</t>
  </si>
  <si>
    <t>SOTL</t>
  </si>
  <si>
    <t>SAVITA OIL TECHNOLO. LTD</t>
  </si>
  <si>
    <t>INE0UCN01017</t>
  </si>
  <si>
    <t>SAVY</t>
  </si>
  <si>
    <t>SAVY INFRA AND LOGI LTD</t>
  </si>
  <si>
    <t>INE10VS01016</t>
  </si>
  <si>
    <t>SAWALIYA</t>
  </si>
  <si>
    <t>SAWALIYA FOOD PRODUCTS L</t>
  </si>
  <si>
    <t>INE318C01014</t>
  </si>
  <si>
    <t>SAYAJIHOTL</t>
  </si>
  <si>
    <t>SAYAJI HOTELS LTD.</t>
  </si>
  <si>
    <t>INE327G01032</t>
  </si>
  <si>
    <t>SAYAJIIND</t>
  </si>
  <si>
    <t>SAYAJI INDUSTRIES LTD.</t>
  </si>
  <si>
    <t>INE04AK01028</t>
  </si>
  <si>
    <t>SBC</t>
  </si>
  <si>
    <t>SBC EXPORTS LIMITED</t>
  </si>
  <si>
    <t>INE423Y01016</t>
  </si>
  <si>
    <t>SBFC</t>
  </si>
  <si>
    <t>SBFC FINANCE LIMITED</t>
  </si>
  <si>
    <t>INE018E01016</t>
  </si>
  <si>
    <t>SBICARD</t>
  </si>
  <si>
    <t>SBI CARDS &amp; PAY SER LTD</t>
  </si>
  <si>
    <t>INE640G01020</t>
  </si>
  <si>
    <t>SBIFUNDS</t>
  </si>
  <si>
    <t>SBI FUNDS MANAGEMENT LTD</t>
  </si>
  <si>
    <t>INE123W01016</t>
  </si>
  <si>
    <t>SBILIFE</t>
  </si>
  <si>
    <t>SBI LIFE INSURANCE CO LTD</t>
  </si>
  <si>
    <t>INF200KA16D8</t>
  </si>
  <si>
    <t>SETFGOLD</t>
  </si>
  <si>
    <t>SBI-ETF GOLD</t>
  </si>
  <si>
    <t>INF200KA1FS1</t>
  </si>
  <si>
    <t>SETFNIF50</t>
  </si>
  <si>
    <t>SBI-ETF NIFTY 50</t>
  </si>
  <si>
    <t>INF200KA1580</t>
  </si>
  <si>
    <t>SETFNIFBK</t>
  </si>
  <si>
    <t>SBI-ETF NIFTY BANK</t>
  </si>
  <si>
    <t>INF200KA1598</t>
  </si>
  <si>
    <t>SETFNN50</t>
  </si>
  <si>
    <t>SBI-ETF NIFTY NEXT 50</t>
  </si>
  <si>
    <t>INF200KA13Z8</t>
  </si>
  <si>
    <t>LIQUIDSBI</t>
  </si>
  <si>
    <t>SBIAMC - LIQUIDSBI</t>
  </si>
  <si>
    <t>INF200KB1712</t>
  </si>
  <si>
    <t>SBIBPB</t>
  </si>
  <si>
    <t>SBIAMC - SBIBPB</t>
  </si>
  <si>
    <t>INF200KA1X17</t>
  </si>
  <si>
    <t>SBIETFCON</t>
  </si>
  <si>
    <t>SBIAMC - SBIETFCON</t>
  </si>
  <si>
    <t>INF200KA1S14</t>
  </si>
  <si>
    <t>SBIETFIT</t>
  </si>
  <si>
    <t>SBIAMC - SBIETFIT</t>
  </si>
  <si>
    <t>INF200KA1S22</t>
  </si>
  <si>
    <t>SBIETFPB</t>
  </si>
  <si>
    <t>SBIAMC - SBIETFPB</t>
  </si>
  <si>
    <t>INF200KA1WX6</t>
  </si>
  <si>
    <t>SBIETFQLTY</t>
  </si>
  <si>
    <t>SBIAMC - SBIETFQLTY</t>
  </si>
  <si>
    <t>INF200KB1969</t>
  </si>
  <si>
    <t>SBILIQETF</t>
  </si>
  <si>
    <t>SBIAMC - SBILIQETF</t>
  </si>
  <si>
    <t>INF200KB1AJ0</t>
  </si>
  <si>
    <t>SBIMIDMOM</t>
  </si>
  <si>
    <t>SBIAMC - SBIMIDMOM</t>
  </si>
  <si>
    <t>INF200KB1282</t>
  </si>
  <si>
    <t>SBINEQWETF</t>
  </si>
  <si>
    <t>SBIAMC - SBINEQWETF</t>
  </si>
  <si>
    <t>INF200KB1AK8</t>
  </si>
  <si>
    <t>SBINMID150</t>
  </si>
  <si>
    <t>SBIAMC - SBINMID150</t>
  </si>
  <si>
    <t>INF200KB1217</t>
  </si>
  <si>
    <t>SBISILVER</t>
  </si>
  <si>
    <t>SBIAMC - SBISILVER</t>
  </si>
  <si>
    <t>INF200KB1AY9</t>
  </si>
  <si>
    <t>SBISMLETF</t>
  </si>
  <si>
    <t>SBIAMC - SBISMLETF</t>
  </si>
  <si>
    <t>INF200KB1AX1</t>
  </si>
  <si>
    <t>SBIVALETF</t>
  </si>
  <si>
    <t>SBIAMC - SBIVALETF</t>
  </si>
  <si>
    <t>INF200KA1JT1</t>
  </si>
  <si>
    <t>SETF10GILT</t>
  </si>
  <si>
    <t>SBIAMC - SETF10GILT</t>
  </si>
  <si>
    <t>INE099G01011</t>
  </si>
  <si>
    <t>SCANSTL</t>
  </si>
  <si>
    <t>SCAN STEELS LTD.</t>
  </si>
  <si>
    <t>INE513A01022</t>
  </si>
  <si>
    <t>SCHAEFFLER</t>
  </si>
  <si>
    <t>SCHAEFFLER INDIA LIMITED</t>
  </si>
  <si>
    <t>INE839M01018</t>
  </si>
  <si>
    <t>SCHNEIDER</t>
  </si>
  <si>
    <t>SCHNEIDER ELECTRIC INFRA</t>
  </si>
  <si>
    <t>INE148I07XP9</t>
  </si>
  <si>
    <t>925SCL2028</t>
  </si>
  <si>
    <t>SCL 9.25% 2028 SR IV</t>
  </si>
  <si>
    <t>INE148I07WV9</t>
  </si>
  <si>
    <t>948SCL28</t>
  </si>
  <si>
    <t>N1</t>
  </si>
  <si>
    <t>SCL 9.48% SR V</t>
  </si>
  <si>
    <t>INE148I07WI6</t>
  </si>
  <si>
    <t>990SCL28</t>
  </si>
  <si>
    <t>SCL 9.90% SR IV</t>
  </si>
  <si>
    <t>INE090501011</t>
  </si>
  <si>
    <t>SCODATUBES</t>
  </si>
  <si>
    <t>SCODA TUBES LIMITED</t>
  </si>
  <si>
    <t>IN1020260049</t>
  </si>
  <si>
    <t>779AP42</t>
  </si>
  <si>
    <t>SG</t>
  </si>
  <si>
    <t>SDL AP 7.79% 2042</t>
  </si>
  <si>
    <t>IN1320260012</t>
  </si>
  <si>
    <t>792BR51</t>
  </si>
  <si>
    <t>SDL BR 7.92% 2051</t>
  </si>
  <si>
    <t>IN3520260016</t>
  </si>
  <si>
    <t>737CG31</t>
  </si>
  <si>
    <t>SDL CG 7.37% 2031</t>
  </si>
  <si>
    <t>IN1620250457</t>
  </si>
  <si>
    <t>788HR41</t>
  </si>
  <si>
    <t>SDL HR 7.88% 2041</t>
  </si>
  <si>
    <t>IN1620250465</t>
  </si>
  <si>
    <t>799HR44</t>
  </si>
  <si>
    <t>SDL HR 7.99% 2044</t>
  </si>
  <si>
    <t>IN2220230154</t>
  </si>
  <si>
    <t>77MH33A</t>
  </si>
  <si>
    <t>SDL MH 7.7% 2033</t>
  </si>
  <si>
    <t>IN2920260048</t>
  </si>
  <si>
    <t>781RJ49</t>
  </si>
  <si>
    <t>SDL RJ 7.81% 2049</t>
  </si>
  <si>
    <t>IN3120250797</t>
  </si>
  <si>
    <t>664TN29</t>
  </si>
  <si>
    <t>SDL TN 6.64% 2029</t>
  </si>
  <si>
    <t>IN3120260093</t>
  </si>
  <si>
    <t>749TN36</t>
  </si>
  <si>
    <t>SDL TN 7.49% 2036</t>
  </si>
  <si>
    <t>IN3120260044</t>
  </si>
  <si>
    <t>769TN33</t>
  </si>
  <si>
    <t>SDL TN 7.69% 2033</t>
  </si>
  <si>
    <t>IN3120220030</t>
  </si>
  <si>
    <t>794TN32</t>
  </si>
  <si>
    <t>SDL TN 7.94% 2032</t>
  </si>
  <si>
    <t>IN4520250320</t>
  </si>
  <si>
    <t>754TS53</t>
  </si>
  <si>
    <t>SDL TS 7.54% 2053</t>
  </si>
  <si>
    <t>IN4520220430</t>
  </si>
  <si>
    <t>772TS46</t>
  </si>
  <si>
    <t>SDL TS 7.72% 2046</t>
  </si>
  <si>
    <t>IN3320230276</t>
  </si>
  <si>
    <t>746UP34</t>
  </si>
  <si>
    <t>SDL UP 7.46% 2034</t>
  </si>
  <si>
    <t>INE497B01018</t>
  </si>
  <si>
    <t>SEAMECLTD</t>
  </si>
  <si>
    <t>SEAMEC LIMITED</t>
  </si>
  <si>
    <t>INE530B07187</t>
  </si>
  <si>
    <t>IIFLZC26</t>
  </si>
  <si>
    <t>SEC RE NCD 0% SR.VII</t>
  </si>
  <si>
    <t>INE413U07277</t>
  </si>
  <si>
    <t>10ISFL26</t>
  </si>
  <si>
    <t>SEC RE NCD 10% SR 4</t>
  </si>
  <si>
    <t>INE413U07301</t>
  </si>
  <si>
    <t>1003IIFL29</t>
  </si>
  <si>
    <t>SEC RE NCD 10.03% SR V</t>
  </si>
  <si>
    <t>INE148I07SS3</t>
  </si>
  <si>
    <t>1015SCFL29</t>
  </si>
  <si>
    <t>YY</t>
  </si>
  <si>
    <t>SEC RE NCD 10.15% SR VII</t>
  </si>
  <si>
    <t>INE148I07OW4</t>
  </si>
  <si>
    <t>1015SCL28B</t>
  </si>
  <si>
    <t>AZ</t>
  </si>
  <si>
    <t>INE148I07UK6</t>
  </si>
  <si>
    <t>1015SCL29B</t>
  </si>
  <si>
    <t>INE148I07TN2</t>
  </si>
  <si>
    <t>1025SCL34A</t>
  </si>
  <si>
    <t>ZT</t>
  </si>
  <si>
    <t>SEC RE NCD 10.25% SR XII</t>
  </si>
  <si>
    <t>INE244L07283</t>
  </si>
  <si>
    <t>1030SFIL28</t>
  </si>
  <si>
    <t>NM</t>
  </si>
  <si>
    <t>SEC RE NCD 10.30% SR.VII</t>
  </si>
  <si>
    <t>INE413U07251</t>
  </si>
  <si>
    <t>1050ISFL28</t>
  </si>
  <si>
    <t>SEC RE NCD 10.50% SR 6</t>
  </si>
  <si>
    <t>INE342T07460</t>
  </si>
  <si>
    <t>1065NFL27</t>
  </si>
  <si>
    <t>SEC RE NCD 10.65% SR.IV</t>
  </si>
  <si>
    <t>INE148I07RW7</t>
  </si>
  <si>
    <t>1075SCL33</t>
  </si>
  <si>
    <t>YK</t>
  </si>
  <si>
    <t>SEC RE NCD 10.75% SR XI</t>
  </si>
  <si>
    <t>INE148I07PT7</t>
  </si>
  <si>
    <t>1075SCL33A</t>
  </si>
  <si>
    <t>INE0H7R07017</t>
  </si>
  <si>
    <t>79NHIT35</t>
  </si>
  <si>
    <t>SEC RE NCD 7.90% STRPP A</t>
  </si>
  <si>
    <t>INE0H7R07025</t>
  </si>
  <si>
    <t>79NHIT40</t>
  </si>
  <si>
    <t>SEC RE NCD 7.90% STRPP B</t>
  </si>
  <si>
    <t>INE0H7R07033</t>
  </si>
  <si>
    <t>79NHIT47</t>
  </si>
  <si>
    <t>SEC RE NCD 7.90% STRPP C</t>
  </si>
  <si>
    <t>INE219X07280</t>
  </si>
  <si>
    <t>797IGT31</t>
  </si>
  <si>
    <t>NL</t>
  </si>
  <si>
    <t>SEC RE NCD 7.97% SR.VI</t>
  </si>
  <si>
    <t>INE219X07264</t>
  </si>
  <si>
    <t>82IGT31</t>
  </si>
  <si>
    <t>NJ</t>
  </si>
  <si>
    <t>SEC RE NCD 8.20% SR.V</t>
  </si>
  <si>
    <t>INE530B07161</t>
  </si>
  <si>
    <t>842IIFL26</t>
  </si>
  <si>
    <t>SEC RE NCD 8.42% SR.V</t>
  </si>
  <si>
    <t>INE477L07AQ2</t>
  </si>
  <si>
    <t>843IHFL29</t>
  </si>
  <si>
    <t>SEC RE NCD 8.43% SR.VI</t>
  </si>
  <si>
    <t>INE530B07385</t>
  </si>
  <si>
    <t>865IFL28</t>
  </si>
  <si>
    <t>NZ</t>
  </si>
  <si>
    <t>SEC RE NCD 8.65% SR.V</t>
  </si>
  <si>
    <t>INE530B07310</t>
  </si>
  <si>
    <t>865IIFL28</t>
  </si>
  <si>
    <t>NS</t>
  </si>
  <si>
    <t>INE530B07179</t>
  </si>
  <si>
    <t>875IIFL26</t>
  </si>
  <si>
    <t>SEC RE NCD 8.75% SR.VI</t>
  </si>
  <si>
    <t>INE148I07LE8</t>
  </si>
  <si>
    <t>889SCFL27</t>
  </si>
  <si>
    <t>YC</t>
  </si>
  <si>
    <t>SEC RE NCD 8.89% SR.VIII</t>
  </si>
  <si>
    <t>INE477L07BG1</t>
  </si>
  <si>
    <t>89IHFL29</t>
  </si>
  <si>
    <t>SEC RE NCD 8.90% SR VI</t>
  </si>
  <si>
    <t>INE148I07ML1</t>
  </si>
  <si>
    <t>905SC24B</t>
  </si>
  <si>
    <t>Z9</t>
  </si>
  <si>
    <t>SEC RE NCD 9.15% SR.VIII</t>
  </si>
  <si>
    <t>INE148I07KN1</t>
  </si>
  <si>
    <t>889SCL26</t>
  </si>
  <si>
    <t>SEC RE NCD 9.25% SR.VII</t>
  </si>
  <si>
    <t>INE148I07LC2</t>
  </si>
  <si>
    <t>925SCFL27</t>
  </si>
  <si>
    <t>INE338I07115</t>
  </si>
  <si>
    <t>93MOFSL34</t>
  </si>
  <si>
    <t>SEC RE NCD 9.30% SR VII</t>
  </si>
  <si>
    <t>INE148I07ND6</t>
  </si>
  <si>
    <t>965SCL25C</t>
  </si>
  <si>
    <t>SEC RE NCD 9.39% SR.VIII</t>
  </si>
  <si>
    <t>INE148I07QK4</t>
  </si>
  <si>
    <t>948SCL26A</t>
  </si>
  <si>
    <t>SEC RE NCD 9.48% SR V</t>
  </si>
  <si>
    <t>INE148I07UC3</t>
  </si>
  <si>
    <t>948SCL27D</t>
  </si>
  <si>
    <t>INE423A07336</t>
  </si>
  <si>
    <t>956AEL29</t>
  </si>
  <si>
    <t>SEC RE NCD 9.56% SR VI</t>
  </si>
  <si>
    <t>INE423A07328</t>
  </si>
  <si>
    <t>965AEL27</t>
  </si>
  <si>
    <t>SEC RE NCD 9.65% SR IV</t>
  </si>
  <si>
    <t>INE741K07579</t>
  </si>
  <si>
    <t>970CAGL28</t>
  </si>
  <si>
    <t>ND</t>
  </si>
  <si>
    <t>SEC RE NCD 9.70% SR VII</t>
  </si>
  <si>
    <t>INE148I07NG9</t>
  </si>
  <si>
    <t>894SCL27</t>
  </si>
  <si>
    <t>ZY</t>
  </si>
  <si>
    <t>SEC RE NCD 9.80% SR.VII</t>
  </si>
  <si>
    <t>INE423A07344</t>
  </si>
  <si>
    <t>99AEL29</t>
  </si>
  <si>
    <t>SEC RE NCD 9.90% SR VII</t>
  </si>
  <si>
    <t>INE423A07377</t>
  </si>
  <si>
    <t>AEL120924A</t>
  </si>
  <si>
    <t>SEC RE NCD SR V</t>
  </si>
  <si>
    <t>INE00QS24043</t>
  </si>
  <si>
    <t>IMC1</t>
  </si>
  <si>
    <t>SEC RE NCGB 8.25% STRPP B</t>
  </si>
  <si>
    <t>INE00QS24027</t>
  </si>
  <si>
    <t>SEC RE NCGB 8.25% STRPP C</t>
  </si>
  <si>
    <t>INE00QS24035</t>
  </si>
  <si>
    <t>SEC RE NCGB 8.25% STRPP D</t>
  </si>
  <si>
    <t>INE804IA7014</t>
  </si>
  <si>
    <t>1015ECL29</t>
  </si>
  <si>
    <t>NR</t>
  </si>
  <si>
    <t>SEC RED NCD 10.15% SR. VI</t>
  </si>
  <si>
    <t>INE804IA7022</t>
  </si>
  <si>
    <t>1060ECL29</t>
  </si>
  <si>
    <t>SEC RED NCD 10.6% SR. VII</t>
  </si>
  <si>
    <t>INE033L07GS6</t>
  </si>
  <si>
    <t>81TCHF28</t>
  </si>
  <si>
    <t>SEC RED NCD 8.10% SR.IV</t>
  </si>
  <si>
    <t>INE148I07GJ7</t>
  </si>
  <si>
    <t>865SCL26</t>
  </si>
  <si>
    <t>SEC RED NCD 8.65% SR. V</t>
  </si>
  <si>
    <t>INE148I07GK5</t>
  </si>
  <si>
    <t>885SCL26</t>
  </si>
  <si>
    <t>SEC RED NCD 8.85% SR. VI</t>
  </si>
  <si>
    <t>INE148I07GL3</t>
  </si>
  <si>
    <t>9SCL26BA</t>
  </si>
  <si>
    <t>SEC RED NCD 9.0% SR. VI</t>
  </si>
  <si>
    <t>INE721A07OC7</t>
  </si>
  <si>
    <t>930SFL28</t>
  </si>
  <si>
    <t>YP</t>
  </si>
  <si>
    <t>SEC RED NCD 9.30% SR. II</t>
  </si>
  <si>
    <t>INE721A07ON4</t>
  </si>
  <si>
    <t>957ICCL25</t>
  </si>
  <si>
    <t>YW</t>
  </si>
  <si>
    <t>INE721A07NX5</t>
  </si>
  <si>
    <t>94SFL28</t>
  </si>
  <si>
    <t>YL</t>
  </si>
  <si>
    <t>SEC RED NCD 9.40% SR. V</t>
  </si>
  <si>
    <t>INE804I078Y8</t>
  </si>
  <si>
    <t>943ECL28</t>
  </si>
  <si>
    <t>SEC RED NCD 9.43% SR. VI</t>
  </si>
  <si>
    <t>INE721A07OQ7</t>
  </si>
  <si>
    <t>97SFL29</t>
  </si>
  <si>
    <t>YZ</t>
  </si>
  <si>
    <t>SEC RED NCD 9.70% SR. V</t>
  </si>
  <si>
    <t>INE804I079Y6</t>
  </si>
  <si>
    <t>985ECL28</t>
  </si>
  <si>
    <t>SEC RED NCD 9.85% SR. VII</t>
  </si>
  <si>
    <t>INE0BTM01013</t>
  </si>
  <si>
    <t>SECMARK</t>
  </si>
  <si>
    <t>SECMARK CONSULTANCY LTD</t>
  </si>
  <si>
    <t>INE650K01021</t>
  </si>
  <si>
    <t>SECURKLOUD</t>
  </si>
  <si>
    <t>SECUREKLOUD TECH LIMITED</t>
  </si>
  <si>
    <t>INE00XB01019</t>
  </si>
  <si>
    <t>SEDEMAC</t>
  </si>
  <si>
    <t>SEDEMAC MECHATRONICS LTD</t>
  </si>
  <si>
    <t>INE955I01044</t>
  </si>
  <si>
    <t>SEJALLTD</t>
  </si>
  <si>
    <t>SEJAL GLASS LIMITED</t>
  </si>
  <si>
    <t>INE105I01020</t>
  </si>
  <si>
    <t>SELMC</t>
  </si>
  <si>
    <t>SEL MANUFACTURING CO LTD</t>
  </si>
  <si>
    <t>INE617A01013</t>
  </si>
  <si>
    <t>SEMAC</t>
  </si>
  <si>
    <t>SEMAC CONSTRUCTION LTD</t>
  </si>
  <si>
    <t>INE602W01027</t>
  </si>
  <si>
    <t>SENCO</t>
  </si>
  <si>
    <t>SENCO GOLD LIMITED</t>
  </si>
  <si>
    <t>INE0RB801010</t>
  </si>
  <si>
    <t>SENORES</t>
  </si>
  <si>
    <t>SENORES PHARMACEUTICALS L</t>
  </si>
  <si>
    <t>INE964H01014</t>
  </si>
  <si>
    <t>SEPC</t>
  </si>
  <si>
    <t>SEPC LIMITED</t>
  </si>
  <si>
    <t>INE027E07BC8</t>
  </si>
  <si>
    <t>865LTF26</t>
  </si>
  <si>
    <t>SERENCD 8.65% SR.VI OP12</t>
  </si>
  <si>
    <t>INE027E07998</t>
  </si>
  <si>
    <t>898LTF29</t>
  </si>
  <si>
    <t>SERENCD 8.98% SR.VI OP2</t>
  </si>
  <si>
    <t>INE027E07AL1</t>
  </si>
  <si>
    <t>905LTF27</t>
  </si>
  <si>
    <t>SERENCD 9.05% SR.VI OPII</t>
  </si>
  <si>
    <t>INE306N07LM5</t>
  </si>
  <si>
    <t>865TCAPS27</t>
  </si>
  <si>
    <t>SERENCD8.65%SR.IIICIII&amp;IV</t>
  </si>
  <si>
    <t>INE244L07168</t>
  </si>
  <si>
    <t>96SFIL24A</t>
  </si>
  <si>
    <t>NB</t>
  </si>
  <si>
    <t>SERENCD8.84%SRVICIII&amp;IV</t>
  </si>
  <si>
    <t>INE0P1Q01015</t>
  </si>
  <si>
    <t>SERVICE</t>
  </si>
  <si>
    <t>SERVICE CARE LIMITED</t>
  </si>
  <si>
    <t>INE782X01033</t>
  </si>
  <si>
    <t>SERVOTECH</t>
  </si>
  <si>
    <t>SERVOTECH REN POW SYS LTD</t>
  </si>
  <si>
    <t>INE04VU01023</t>
  </si>
  <si>
    <t>STYL</t>
  </si>
  <si>
    <t>SESHAASAI TECHNOLOGIES L</t>
  </si>
  <si>
    <t>INE630A01024</t>
  </si>
  <si>
    <t>SESHAPAPER</t>
  </si>
  <si>
    <t>SESHASAYEE PAPER &amp; BOARDS</t>
  </si>
  <si>
    <t>INE878E01021</t>
  </si>
  <si>
    <t>SETCO</t>
  </si>
  <si>
    <t>SETCO AUTOMOTIVE LTD</t>
  </si>
  <si>
    <t>INE023M01027</t>
  </si>
  <si>
    <t>SETUINFRA</t>
  </si>
  <si>
    <t>SETUBANDHAN INFRA LTD</t>
  </si>
  <si>
    <t>INE573R01012</t>
  </si>
  <si>
    <t>SEYAIND</t>
  </si>
  <si>
    <t>SEYA INDUSTRIES LIMITED</t>
  </si>
  <si>
    <t>INE618R01015</t>
  </si>
  <si>
    <t>SGFIN</t>
  </si>
  <si>
    <t>SG FINSERVE LIMITED</t>
  </si>
  <si>
    <t>INE385F01024</t>
  </si>
  <si>
    <t>SGMART</t>
  </si>
  <si>
    <t>SG MART LIMITED</t>
  </si>
  <si>
    <t>INE967B01028</t>
  </si>
  <si>
    <t>SGLRES</t>
  </si>
  <si>
    <t>SGL RESOURCES LIMITED</t>
  </si>
  <si>
    <t>INE12UN01015</t>
  </si>
  <si>
    <t>SHADOWFAX</t>
  </si>
  <si>
    <t>SHADOWFAX TECHNOLOGIES L</t>
  </si>
  <si>
    <t>INE640C01011</t>
  </si>
  <si>
    <t>SHAHALLOYS</t>
  </si>
  <si>
    <t>SHAH ALLOYS LIMITED</t>
  </si>
  <si>
    <t>INE482J01021</t>
  </si>
  <si>
    <t>SHAH</t>
  </si>
  <si>
    <t>SHAH METACORP LIMITED</t>
  </si>
  <si>
    <t>INE151G01028</t>
  </si>
  <si>
    <t>SHAILY</t>
  </si>
  <si>
    <t>SHAILY ENG PLASTICS LTD</t>
  </si>
  <si>
    <t>INE908D01010</t>
  </si>
  <si>
    <t>SHAKTIPUMP</t>
  </si>
  <si>
    <t>SHAKTI PUMPS (I) LTD</t>
  </si>
  <si>
    <t>INE597J01018</t>
  </si>
  <si>
    <t>SHALBY</t>
  </si>
  <si>
    <t>SHALBY LIMITED</t>
  </si>
  <si>
    <t>INE861D01011</t>
  </si>
  <si>
    <t>SAHLIBHFI</t>
  </si>
  <si>
    <t>SHALIBHADRA FINANCE LTD</t>
  </si>
  <si>
    <t>INE849C01026</t>
  </si>
  <si>
    <t>SHALPAINTS</t>
  </si>
  <si>
    <t>SHALIM PAINTS LTD</t>
  </si>
  <si>
    <t>INE01NE01012</t>
  </si>
  <si>
    <t>SRD</t>
  </si>
  <si>
    <t>SHANKAR LAL RAMPAL LTD</t>
  </si>
  <si>
    <t>INE274V01019</t>
  </si>
  <si>
    <t>SHANKARA</t>
  </si>
  <si>
    <t>SHANKARA BLDG PRODUCT LTD</t>
  </si>
  <si>
    <t>INE24OJ01011</t>
  </si>
  <si>
    <t>BUILDPRO</t>
  </si>
  <si>
    <t>SHANKARA BUILDPRO LIMITED</t>
  </si>
  <si>
    <t>INE1WFC01025</t>
  </si>
  <si>
    <t>SHANKESH</t>
  </si>
  <si>
    <t>SHANKESH JEWELLERS LTD</t>
  </si>
  <si>
    <t>INE631A01022</t>
  </si>
  <si>
    <t>SHANTIGEAR</t>
  </si>
  <si>
    <t>SHANTHI GEARS LTD</t>
  </si>
  <si>
    <t>INE440T01028</t>
  </si>
  <si>
    <t>SEIL</t>
  </si>
  <si>
    <t>SHANTI EDU INITIATIVES L</t>
  </si>
  <si>
    <t>INE06ZD01017</t>
  </si>
  <si>
    <t>SHANTIGOLD</t>
  </si>
  <si>
    <t>SHANTI GOLD INTERNATION L</t>
  </si>
  <si>
    <t>INE1ZEE01019</t>
  </si>
  <si>
    <t>SHANTIINOR</t>
  </si>
  <si>
    <t>SHANTI INORGANICS LIMITED</t>
  </si>
  <si>
    <t>INE933X01016</t>
  </si>
  <si>
    <t>SHANTI</t>
  </si>
  <si>
    <t>SHANTI OVERSEAS INDIA LTD</t>
  </si>
  <si>
    <t>INE220Z01013</t>
  </si>
  <si>
    <t>SHINDL</t>
  </si>
  <si>
    <t>SHARAT INDUSTRIES LTD.</t>
  </si>
  <si>
    <t>INE221J01015</t>
  </si>
  <si>
    <t>SHARDACROP</t>
  </si>
  <si>
    <t>SHARDA CROPCHEM LTD.</t>
  </si>
  <si>
    <t>INE597I01028</t>
  </si>
  <si>
    <t>SHARDAMOTR</t>
  </si>
  <si>
    <t>SHARDA MOTOR INDS LTD</t>
  </si>
  <si>
    <t>INE037B01020</t>
  </si>
  <si>
    <t>SHARDUL</t>
  </si>
  <si>
    <t>SHARDUL SECURITIES LTD.</t>
  </si>
  <si>
    <t>INE932X01026</t>
  </si>
  <si>
    <t>SHAREINDIA</t>
  </si>
  <si>
    <t>SHARE IND. SECURITIES LTD</t>
  </si>
  <si>
    <t>INE460Q01014</t>
  </si>
  <si>
    <t>SCML</t>
  </si>
  <si>
    <t>SHARP CHUCKS N MACHINES L</t>
  </si>
  <si>
    <t>INE0YJV01017</t>
  </si>
  <si>
    <t>SHEEL</t>
  </si>
  <si>
    <t>SHEEL BIOTECH LIMITED</t>
  </si>
  <si>
    <t>INE916U01025</t>
  </si>
  <si>
    <t>SFL</t>
  </si>
  <si>
    <t>SHEELA FOAM LIMITED</t>
  </si>
  <si>
    <t>INE501Y01019</t>
  </si>
  <si>
    <t>SCPL</t>
  </si>
  <si>
    <t>SHEETAL COOL PRODUCTS LTD</t>
  </si>
  <si>
    <t>INE04VX01019</t>
  </si>
  <si>
    <t>SHEETAL</t>
  </si>
  <si>
    <t>SHEETAL UNIVERSAL LIMITED</t>
  </si>
  <si>
    <t>INE268L01046</t>
  </si>
  <si>
    <t>SHEKHAWATI</t>
  </si>
  <si>
    <t>SHEKHAWATI INDUSTRIES LTD</t>
  </si>
  <si>
    <t>INE363M01019</t>
  </si>
  <si>
    <t>SHEMAROO</t>
  </si>
  <si>
    <t>SHEMAROO ENTER. LTD.</t>
  </si>
  <si>
    <t>INE0MM001019</t>
  </si>
  <si>
    <t>SHERA</t>
  </si>
  <si>
    <t>SHERA ENERGY LIMITED</t>
  </si>
  <si>
    <t>INE011D01013</t>
  </si>
  <si>
    <t>SHERVANI</t>
  </si>
  <si>
    <t>SHERVANI INDUSTRIAL SYN L</t>
  </si>
  <si>
    <t>INE024F01011</t>
  </si>
  <si>
    <t>SHILCTECH</t>
  </si>
  <si>
    <t>SHILCHAR TECHNOLOGIES LTD</t>
  </si>
  <si>
    <t>INE960A01017</t>
  </si>
  <si>
    <t>SHILGRAVQ</t>
  </si>
  <si>
    <t>SHILP GRAVURES LTD.</t>
  </si>
  <si>
    <t>INE790G01031</t>
  </si>
  <si>
    <t>SHILPAMED</t>
  </si>
  <si>
    <t>SHILPA MEDICARE LTD</t>
  </si>
  <si>
    <t>INE0PB301013</t>
  </si>
  <si>
    <t>SCILAL</t>
  </si>
  <si>
    <t>SHIPPING CORP OF ILA LTD</t>
  </si>
  <si>
    <t>INE109A01011</t>
  </si>
  <si>
    <t>SCI</t>
  </si>
  <si>
    <t>SHIPPING CORP OF INDIA LT</t>
  </si>
  <si>
    <t>INE0FOO01011</t>
  </si>
  <si>
    <t>SHIPROCKET</t>
  </si>
  <si>
    <t>SHIPROCKET LIMITED</t>
  </si>
  <si>
    <t>INE719F01016</t>
  </si>
  <si>
    <t>SHIVAUM</t>
  </si>
  <si>
    <t>SHIV AUM STEELS LIMITED</t>
  </si>
  <si>
    <t>INE555C01029</t>
  </si>
  <si>
    <t>SHIVACEM</t>
  </si>
  <si>
    <t>SHIVA CEMENT LTD.</t>
  </si>
  <si>
    <t>INE960E01019</t>
  </si>
  <si>
    <t>SHIVAAGRO</t>
  </si>
  <si>
    <t>SHIVA GLOBAL AGRO INDS. L</t>
  </si>
  <si>
    <t>INE644Y01017</t>
  </si>
  <si>
    <t>SHIVAMILLS</t>
  </si>
  <si>
    <t>SHIVA MILLS LIMITED</t>
  </si>
  <si>
    <t>INE705C01020</t>
  </si>
  <si>
    <t>SHIVATEX</t>
  </si>
  <si>
    <t>SHIVA TEXYARN LIMITED</t>
  </si>
  <si>
    <t>INE0T7B01010</t>
  </si>
  <si>
    <t>SPCL</t>
  </si>
  <si>
    <t>SHIVALIC POWER CONTROL L</t>
  </si>
  <si>
    <t>INE386D01027</t>
  </si>
  <si>
    <t>SBCL</t>
  </si>
  <si>
    <t>SHIVALIK BIMETAL CON. LTD</t>
  </si>
  <si>
    <t>INE788J01021</t>
  </si>
  <si>
    <t>SHIVALIK</t>
  </si>
  <si>
    <t>SHIVALIK RASAYAN LIMITED</t>
  </si>
  <si>
    <t>INE637H01024</t>
  </si>
  <si>
    <t>SHIVAMAUTO</t>
  </si>
  <si>
    <t>SHIVAM AUTO.LTD</t>
  </si>
  <si>
    <t>INE1DLF01018</t>
  </si>
  <si>
    <t>SHIVASHRIT</t>
  </si>
  <si>
    <t>SHIVASHRIT FOODS LIMITED</t>
  </si>
  <si>
    <t>INE498B01024</t>
  </si>
  <si>
    <t>SHOPERSTOP</t>
  </si>
  <si>
    <t>SHOPPERS STOP LIMITED</t>
  </si>
  <si>
    <t>INE311M01018</t>
  </si>
  <si>
    <t>SHRADDHA</t>
  </si>
  <si>
    <t>SHRADDHA PRIME PROJECTS L</t>
  </si>
  <si>
    <t>INE715Y01031</t>
  </si>
  <si>
    <t>SHRADHA</t>
  </si>
  <si>
    <t>SHRADHA REALTY LIMITED</t>
  </si>
  <si>
    <t>INE712K01011</t>
  </si>
  <si>
    <t>SHREEPUSHK</t>
  </si>
  <si>
    <t>SHRE PUSH CHEM &amp; FERT LTD</t>
  </si>
  <si>
    <t>INE185C01017</t>
  </si>
  <si>
    <t>SAPPL</t>
  </si>
  <si>
    <t>SHREE AJIT PULP &amp; PAPER L</t>
  </si>
  <si>
    <t>INE070A01015</t>
  </si>
  <si>
    <t>SHREECEM</t>
  </si>
  <si>
    <t>SHREE CEMENT LIMITED</t>
  </si>
  <si>
    <t>INE232A01011</t>
  </si>
  <si>
    <t>SHREDIGCEM</t>
  </si>
  <si>
    <t>SHREE DIGVIJAY CEM CO LTD</t>
  </si>
  <si>
    <t>INE414Y01015</t>
  </si>
  <si>
    <t>SGRL</t>
  </si>
  <si>
    <t>SHREE GANESH REMEDIES LTD</t>
  </si>
  <si>
    <t>INE0S4Y01010</t>
  </si>
  <si>
    <t>SHREEKARNI</t>
  </si>
  <si>
    <t>SHREE KARNI FABCOM LTD</t>
  </si>
  <si>
    <t>INE02S501018</t>
  </si>
  <si>
    <t>SHREEOSFM</t>
  </si>
  <si>
    <t>SHREE OSFM E-MOBILITY LTD</t>
  </si>
  <si>
    <t>INE19GK01015</t>
  </si>
  <si>
    <t>SRTL</t>
  </si>
  <si>
    <t>SHREE RAM TWISTEX LIMITED</t>
  </si>
  <si>
    <t>INE879A01019</t>
  </si>
  <si>
    <t>SHREERAMA</t>
  </si>
  <si>
    <t>SHREE RAMA MULTI TECH LTD</t>
  </si>
  <si>
    <t>INE278B01020</t>
  </si>
  <si>
    <t>RAMANEWS</t>
  </si>
  <si>
    <t>SHREE RAMA NEWSPRINT LTD</t>
  </si>
  <si>
    <t>INE087H01022</t>
  </si>
  <si>
    <t>RENUKA</t>
  </si>
  <si>
    <t>SHREE RENUKA SUGARS LTD</t>
  </si>
  <si>
    <t>INE238Y01018</t>
  </si>
  <si>
    <t>TIRUPATI</t>
  </si>
  <si>
    <t>SHREE TIRUPATI BALAJEE</t>
  </si>
  <si>
    <t>INE0S2G01011</t>
  </si>
  <si>
    <t>BALAJEE</t>
  </si>
  <si>
    <t>SHREE TIRUPATI BALAJEE L</t>
  </si>
  <si>
    <t>INE00CE01017</t>
  </si>
  <si>
    <t>SVLL</t>
  </si>
  <si>
    <t>SHREE VASU LOGISTICS LTD</t>
  </si>
  <si>
    <t>INE0K3301012</t>
  </si>
  <si>
    <t>SHREEDHAR</t>
  </si>
  <si>
    <t>SHREEDHAR SPINNERS LTD</t>
  </si>
  <si>
    <t>INE1FL101016</t>
  </si>
  <si>
    <t>SHETHJI</t>
  </si>
  <si>
    <t>SHREEJI GLOBAL FMCG LTD</t>
  </si>
  <si>
    <t>INE1B6101010</t>
  </si>
  <si>
    <t>SHREEJISPG</t>
  </si>
  <si>
    <t>SHREEJI SHIPPING GLOBAL L</t>
  </si>
  <si>
    <t>INE00IK01029</t>
  </si>
  <si>
    <t>OSWALSEEDS</t>
  </si>
  <si>
    <t>SHREEOSWAL S AND CHE LTD</t>
  </si>
  <si>
    <t>INE0GTI23014</t>
  </si>
  <si>
    <t>SHREMINVIT</t>
  </si>
  <si>
    <t>SHREM INVIT</t>
  </si>
  <si>
    <t>INE632X01030</t>
  </si>
  <si>
    <t>SHRENIK</t>
  </si>
  <si>
    <t>SHRENIK LIMITED</t>
  </si>
  <si>
    <t>INE231C01019</t>
  </si>
  <si>
    <t>SHREYANIND</t>
  </si>
  <si>
    <t>SHREYANS INDUSTRIES LTD</t>
  </si>
  <si>
    <t>INE0DM401012</t>
  </si>
  <si>
    <t>SHRIAHIMSA</t>
  </si>
  <si>
    <t>SHRI AHIMSA NATURALS LTD</t>
  </si>
  <si>
    <t>INE402H01015</t>
  </si>
  <si>
    <t>SHBAJRG</t>
  </si>
  <si>
    <t>SHRI BAJRANG ALLIANCE L</t>
  </si>
  <si>
    <t>INE0NON01025</t>
  </si>
  <si>
    <t>SHKSIL</t>
  </si>
  <si>
    <t>SHRI HARE-KRI SPO IRON L</t>
  </si>
  <si>
    <t>INE564J01026</t>
  </si>
  <si>
    <t>SHRJAGP</t>
  </si>
  <si>
    <t>SHRI JAGDAMBA POLYMERS L</t>
  </si>
  <si>
    <t>INE1V4601019</t>
  </si>
  <si>
    <t>SHRIKANHA</t>
  </si>
  <si>
    <t>SHRI KANHA STAINLESS LTD</t>
  </si>
  <si>
    <t>INE997I01012</t>
  </si>
  <si>
    <t>SHRIKRISH</t>
  </si>
  <si>
    <t>SHRI KRISHNA DEVCON LTD.</t>
  </si>
  <si>
    <t>INE574G01013</t>
  </si>
  <si>
    <t>VASUPRADA</t>
  </si>
  <si>
    <t>SHRI VASUPRADA PLANTATI L</t>
  </si>
  <si>
    <t>INE1B3L01017</t>
  </si>
  <si>
    <t>SHRINGARMS</t>
  </si>
  <si>
    <t>SHRINGAR HOU OF MANGALS L</t>
  </si>
  <si>
    <t>INF680P01422</t>
  </si>
  <si>
    <t>LIQUIDSHRI</t>
  </si>
  <si>
    <t>SHRIRAM - LIQUIDSHRI</t>
  </si>
  <si>
    <t>INE721A01047</t>
  </si>
  <si>
    <t>SHRIRAMFIN</t>
  </si>
  <si>
    <t>SHRIRAM FINANCE LIMITED</t>
  </si>
  <si>
    <t>INE217L01019</t>
  </si>
  <si>
    <t>SHRIRAMPPS</t>
  </si>
  <si>
    <t>SHRIRAM PROPERTIES LTD</t>
  </si>
  <si>
    <t>INE01Z401013</t>
  </si>
  <si>
    <t>SHUBHLAXMI</t>
  </si>
  <si>
    <t>SHUBHLAXMI JEWEL ART LTD</t>
  </si>
  <si>
    <t>INE0UL701015</t>
  </si>
  <si>
    <t>SHUBHSHREE</t>
  </si>
  <si>
    <t>SHUBHSHREE BIOFUELS ENE L</t>
  </si>
  <si>
    <t>INE551C01044</t>
  </si>
  <si>
    <t>SHUKRAPHAR</t>
  </si>
  <si>
    <t>SHUKRA PHARMACEUTICALS L</t>
  </si>
  <si>
    <t>INE979R01011</t>
  </si>
  <si>
    <t>SHYAMCENT</t>
  </si>
  <si>
    <t>SHYAM CENTURY FERROUS LTD</t>
  </si>
  <si>
    <t>INE1CRP01016</t>
  </si>
  <si>
    <t>SHYAMDHANI</t>
  </si>
  <si>
    <t>SHYAM DHANI INDUSTRIES L</t>
  </si>
  <si>
    <t>INE810G01011</t>
  </si>
  <si>
    <t>SHYAMMETL</t>
  </si>
  <si>
    <t>SHYAM METALICS AND ENGY L</t>
  </si>
  <si>
    <t>INE635A01023</t>
  </si>
  <si>
    <t>SHYAMTEL</t>
  </si>
  <si>
    <t>SHYAM TELECOM LIMITED</t>
  </si>
  <si>
    <t>INE176J01011</t>
  </si>
  <si>
    <t>SICAGEN</t>
  </si>
  <si>
    <t>SICAGEN INDIA LIMITED</t>
  </si>
  <si>
    <t>INE075B01020</t>
  </si>
  <si>
    <t>SICALLOG</t>
  </si>
  <si>
    <t>SICAL LOGISTICS LIMITED</t>
  </si>
  <si>
    <t>INE0SVO01019</t>
  </si>
  <si>
    <t>SIDDHICOTS</t>
  </si>
  <si>
    <t>SIDDHI COTSPIN LIMITED</t>
  </si>
  <si>
    <t>INE0A1E01018</t>
  </si>
  <si>
    <t>SIDDHIKA</t>
  </si>
  <si>
    <t>SIDDHIKA COATINGS LIMITED</t>
  </si>
  <si>
    <t>INE1NPP01017</t>
  </si>
  <si>
    <t>ENRIN</t>
  </si>
  <si>
    <t>SIEMENS ENERGY INDIA LTD</t>
  </si>
  <si>
    <t>INE003A01024</t>
  </si>
  <si>
    <t>SIEMENS</t>
  </si>
  <si>
    <t>SIEMENS LTD</t>
  </si>
  <si>
    <t>INE0D0K01022</t>
  </si>
  <si>
    <t>SIGACHI</t>
  </si>
  <si>
    <t>SIGACHI INDUSTRIES LTD</t>
  </si>
  <si>
    <t>INE933B01012</t>
  </si>
  <si>
    <t>SIGMAADV</t>
  </si>
  <si>
    <t>SIGMA ADVANCED SYSTEM LTD</t>
  </si>
  <si>
    <t>INE0A0S01028</t>
  </si>
  <si>
    <t>SIGMA</t>
  </si>
  <si>
    <t>SIGMA SOLVE LIMITED</t>
  </si>
  <si>
    <t>INE903U01023</t>
  </si>
  <si>
    <t>SIGNATURE</t>
  </si>
  <si>
    <t>SIGNATUREGLOBAL INDIA LTD</t>
  </si>
  <si>
    <t>INE529F01035</t>
  </si>
  <si>
    <t>SIGIND</t>
  </si>
  <si>
    <t>SIGNET INDUSTRIES LIMITED</t>
  </si>
  <si>
    <t>INE0KGZ01021</t>
  </si>
  <si>
    <t>SIGNPOST</t>
  </si>
  <si>
    <t>SIGNPOST INDIA LIMITED</t>
  </si>
  <si>
    <t>INE438E01032</t>
  </si>
  <si>
    <t>SIKA</t>
  </si>
  <si>
    <t>SIKA INTERPLANT SYSTEMS L</t>
  </si>
  <si>
    <t>INE112X01025</t>
  </si>
  <si>
    <t>SIKKO</t>
  </si>
  <si>
    <t>SIKKO INDUSTRIES LIMITED</t>
  </si>
  <si>
    <t>INE923A01015</t>
  </si>
  <si>
    <t>SILINV</t>
  </si>
  <si>
    <t>SIL INVESTMENTS LIMITED</t>
  </si>
  <si>
    <t>INE01II01013</t>
  </si>
  <si>
    <t>SILGO</t>
  </si>
  <si>
    <t>SILGO RETAIL LIMITED</t>
  </si>
  <si>
    <t>INE0STN01015</t>
  </si>
  <si>
    <t>SILKFLEX</t>
  </si>
  <si>
    <t>SILKFLEX POLYMERS INDIA L</t>
  </si>
  <si>
    <t>INE203Y01012</t>
  </si>
  <si>
    <t>SILLYMONKS</t>
  </si>
  <si>
    <t>SILLY MONKS ENTERTAIN LTD</t>
  </si>
  <si>
    <t>INE625X01026</t>
  </si>
  <si>
    <t>SILVERTUC</t>
  </si>
  <si>
    <t>SILVER TOUCH TECHNO LTD</t>
  </si>
  <si>
    <t>INE748T01016</t>
  </si>
  <si>
    <t>SIMBHALS</t>
  </si>
  <si>
    <t>SIMBHAOLI SUGARS LTD.</t>
  </si>
  <si>
    <t>INE1K4J01018</t>
  </si>
  <si>
    <t>SIMCA</t>
  </si>
  <si>
    <t>SIMCA ADVERTISING LIMITED</t>
  </si>
  <si>
    <t>INE059B01024</t>
  </si>
  <si>
    <t>SIMPLEXINF</t>
  </si>
  <si>
    <t>SIMPLEX INFRASTRUCTURES L</t>
  </si>
  <si>
    <t>INE167H01014</t>
  </si>
  <si>
    <t>SIMPLXREA</t>
  </si>
  <si>
    <t>SIMPLEX REALTY LTD.</t>
  </si>
  <si>
    <t>INE985A01022</t>
  </si>
  <si>
    <t>SINCLAIR</t>
  </si>
  <si>
    <t>SINCLAIRS HOTELS LIMITED</t>
  </si>
  <si>
    <t>INE325D01025</t>
  </si>
  <si>
    <t>SINDHUTRAD</t>
  </si>
  <si>
    <t>SINDHU TRADE LINKS LTD</t>
  </si>
  <si>
    <t>INE638A01035</t>
  </si>
  <si>
    <t>SINGERIND</t>
  </si>
  <si>
    <t>SINGER INDIA LIMITED</t>
  </si>
  <si>
    <t>INE129Z01016</t>
  </si>
  <si>
    <t>SINTERCOM</t>
  </si>
  <si>
    <t>SINTERCOM INDIA LIMITED</t>
  </si>
  <si>
    <t>INE792Z01011</t>
  </si>
  <si>
    <t>SIRCA</t>
  </si>
  <si>
    <t>SIRCA PAINT INDIA LIMITED</t>
  </si>
  <si>
    <t>INE285J01028</t>
  </si>
  <si>
    <t>SIS</t>
  </si>
  <si>
    <t>SIS LIMITED</t>
  </si>
  <si>
    <t>INE965H01011</t>
  </si>
  <si>
    <t>SITINET</t>
  </si>
  <si>
    <t>SITI NETWORKS LIMITED</t>
  </si>
  <si>
    <t>INE076B01028</t>
  </si>
  <si>
    <t>SIYSIL</t>
  </si>
  <si>
    <t>SIYARAM SILK MILLS LTD</t>
  </si>
  <si>
    <t>INE284S01014</t>
  </si>
  <si>
    <t>SJS</t>
  </si>
  <si>
    <t>SJS ENTERPRISES LIMITED</t>
  </si>
  <si>
    <t>INE002L01015</t>
  </si>
  <si>
    <t>SJVN</t>
  </si>
  <si>
    <t>SJVN LTD</t>
  </si>
  <si>
    <t>INE2J8701016</t>
  </si>
  <si>
    <t>SKFINDUS</t>
  </si>
  <si>
    <t>SKF IND (INDUSTRIAL) LTD</t>
  </si>
  <si>
    <t>INE640A01023</t>
  </si>
  <si>
    <t>SKFINDIA</t>
  </si>
  <si>
    <t>SKF INDIA LTD</t>
  </si>
  <si>
    <t>INE439E01022</t>
  </si>
  <si>
    <t>SKIPPER</t>
  </si>
  <si>
    <t>SKIPPER LIMITED</t>
  </si>
  <si>
    <t>INE411D01023</t>
  </si>
  <si>
    <t>SKMEGGPROD</t>
  </si>
  <si>
    <t>SKM EGG PROD EXPORT(I) LT</t>
  </si>
  <si>
    <t>INE0KZA01016</t>
  </si>
  <si>
    <t>SKP</t>
  </si>
  <si>
    <t>SKP BEARING INDUSTRI. LTD</t>
  </si>
  <si>
    <t>INE01IU01018</t>
  </si>
  <si>
    <t>SKYGOLD</t>
  </si>
  <si>
    <t>SKY GOLD AND DIAMONDS LTD</t>
  </si>
  <si>
    <t>INE0VFE01017</t>
  </si>
  <si>
    <t>SKYTECH</t>
  </si>
  <si>
    <t>SKYTECH INFINITE PLATFM L</t>
  </si>
  <si>
    <t>INE0PX301025</t>
  </si>
  <si>
    <t>SKYWAYS</t>
  </si>
  <si>
    <t>SKYWAYS AIR SERVICES LTD</t>
  </si>
  <si>
    <t>INE0SMA01017</t>
  </si>
  <si>
    <t>SLONE</t>
  </si>
  <si>
    <t>SLONE INFOSYSTEMS LIMITED</t>
  </si>
  <si>
    <t>INE14GK01016</t>
  </si>
  <si>
    <t>SMARTEN</t>
  </si>
  <si>
    <t>SMARTEN POWER SYSTEMS LTD</t>
  </si>
  <si>
    <t>INE178C01020</t>
  </si>
  <si>
    <t>SMARTLINK</t>
  </si>
  <si>
    <t>SMARTLINK HOLDINGS LTD</t>
  </si>
  <si>
    <t>INE0NAZ01010</t>
  </si>
  <si>
    <t>SMARTWORKS</t>
  </si>
  <si>
    <t>SMARTWORKS COWORKING SP L</t>
  </si>
  <si>
    <t>INE103C01036</t>
  </si>
  <si>
    <t>SMCGLOBAL</t>
  </si>
  <si>
    <t>SMC GLOBAL SECURITIES LTD</t>
  </si>
  <si>
    <t>INE294B01019</t>
  </si>
  <si>
    <t>SMLMAH</t>
  </si>
  <si>
    <t>SML MAHINDRA LIMITED</t>
  </si>
  <si>
    <t>INE812G01025</t>
  </si>
  <si>
    <t>SMSPHARMA</t>
  </si>
  <si>
    <t>SMS PHARMACEUTICALS LTD.</t>
  </si>
  <si>
    <t>INE734N01019</t>
  </si>
  <si>
    <t>SNOWMAN</t>
  </si>
  <si>
    <t>SNOWMAN LOGISTICS LTD.</t>
  </si>
  <si>
    <t>INE671H01015</t>
  </si>
  <si>
    <t>SOBHA</t>
  </si>
  <si>
    <t>SOBHA LIMITED</t>
  </si>
  <si>
    <t>INE728Z01015</t>
  </si>
  <si>
    <t>SOFTTECH</t>
  </si>
  <si>
    <t>SOFTTECH ENGINEERS LTD</t>
  </si>
  <si>
    <t>INE343H01029</t>
  </si>
  <si>
    <t>SOLARINDS</t>
  </si>
  <si>
    <t>SOLAR INDUSTRIES (I) LTD</t>
  </si>
  <si>
    <t>INE624Z01016</t>
  </si>
  <si>
    <t>SOLARA</t>
  </si>
  <si>
    <t>SOLARA ACTIVE PHA SCI LTD</t>
  </si>
  <si>
    <t>INE0TY101024</t>
  </si>
  <si>
    <t>SOLARWORLD</t>
  </si>
  <si>
    <t>SOLARWORLD ENERGY SOL LTD</t>
  </si>
  <si>
    <t>INE880Y01017</t>
  </si>
  <si>
    <t>SOLEX</t>
  </si>
  <si>
    <t>SOLEX ENERGY LIMITED</t>
  </si>
  <si>
    <t>INE480C01038</t>
  </si>
  <si>
    <t>SDBL</t>
  </si>
  <si>
    <t>SOM DIST &amp; BREW LTD</t>
  </si>
  <si>
    <t>INE314C01013</t>
  </si>
  <si>
    <t>SOMATEX</t>
  </si>
  <si>
    <t>SOMA TEXTILES &amp; INDUST LT</t>
  </si>
  <si>
    <t>INE355A01028</t>
  </si>
  <si>
    <t>SOMANYCERA</t>
  </si>
  <si>
    <t>SOMANY CERAMICS LIMITED</t>
  </si>
  <si>
    <t>INE323J01019</t>
  </si>
  <si>
    <t>SOMICONVEY</t>
  </si>
  <si>
    <t>SOMI CONVEYOR BELT. LTD.</t>
  </si>
  <si>
    <t>INE073K01018</t>
  </si>
  <si>
    <t>SONACOMS</t>
  </si>
  <si>
    <t>SONA BLW PRECISION FRGS L</t>
  </si>
  <si>
    <t>INE0Q6H01012</t>
  </si>
  <si>
    <t>SONAMAC</t>
  </si>
  <si>
    <t>SONA MACHINERY LIMITED</t>
  </si>
  <si>
    <t>INE321M01017</t>
  </si>
  <si>
    <t>SONAL</t>
  </si>
  <si>
    <t>SONAL MERCANTILE LTD.</t>
  </si>
  <si>
    <t>INE00LM01029</t>
  </si>
  <si>
    <t>SONAMLTD</t>
  </si>
  <si>
    <t>SONAM LIMITED</t>
  </si>
  <si>
    <t>INE269A01021</t>
  </si>
  <si>
    <t>SONATSOFTW</t>
  </si>
  <si>
    <t>SONATA SOFTWARE LTD</t>
  </si>
  <si>
    <t>INE0JZA01018</t>
  </si>
  <si>
    <t>SONUINFRA</t>
  </si>
  <si>
    <t>SONU INFRATECH LIMITED</t>
  </si>
  <si>
    <t>INE980Y01015</t>
  </si>
  <si>
    <t>SOUTHWEST</t>
  </si>
  <si>
    <t>SOUTH WEST PINNACLE LTD</t>
  </si>
  <si>
    <t>INE970N01027</t>
  </si>
  <si>
    <t>SPCENET</t>
  </si>
  <si>
    <t>SPACENET ENTERS IND LTD</t>
  </si>
  <si>
    <t>INE572J01011</t>
  </si>
  <si>
    <t>SPANDANA</t>
  </si>
  <si>
    <t>SPANDANA SPHOORTY FIN LTD</t>
  </si>
  <si>
    <t>INE1CW901027</t>
  </si>
  <si>
    <t>SPEB</t>
  </si>
  <si>
    <t>SPEB ADHESIVES LIMITED</t>
  </si>
  <si>
    <t>INE247M01014</t>
  </si>
  <si>
    <t>SPECIALITY</t>
  </si>
  <si>
    <t>SPECIALITY REST LTD</t>
  </si>
  <si>
    <t>INE01EO01010</t>
  </si>
  <si>
    <t>SPECTRUM</t>
  </si>
  <si>
    <t>SPECTRUM ELECTRIC IND LTD</t>
  </si>
  <si>
    <t>INE252A01019</t>
  </si>
  <si>
    <t>SPELS</t>
  </si>
  <si>
    <t>SPEL SEMICONDUCTOR LTD</t>
  </si>
  <si>
    <t>INE020801028</t>
  </si>
  <si>
    <t>SPENCERS</t>
  </si>
  <si>
    <t>SPENCER S RETAIL LIMITED</t>
  </si>
  <si>
    <t>INE147A01011</t>
  </si>
  <si>
    <t>SPIC</t>
  </si>
  <si>
    <t>SPIC LTD</t>
  </si>
  <si>
    <t>INE978G01016</t>
  </si>
  <si>
    <t>SPLIL</t>
  </si>
  <si>
    <t>SPL INDUSTRIES LIMITED</t>
  </si>
  <si>
    <t>INE937A01023</t>
  </si>
  <si>
    <t>SPMLINFRA</t>
  </si>
  <si>
    <t>SPML INFRA LIMITED</t>
  </si>
  <si>
    <t>INE885H01029</t>
  </si>
  <si>
    <t>SPORTKING</t>
  </si>
  <si>
    <t>SPORTKING INDIA LIMITED</t>
  </si>
  <si>
    <t>INE0QR801013</t>
  </si>
  <si>
    <t>SPPPOLY</t>
  </si>
  <si>
    <t>SPP POLYMER LIMITED</t>
  </si>
  <si>
    <t>INE526E01018</t>
  </si>
  <si>
    <t>SHRIPISTON</t>
  </si>
  <si>
    <t>SPR AUTO TECHNOLOGIES LTD</t>
  </si>
  <si>
    <t>INE19QH01010</t>
  </si>
  <si>
    <t>SPUNWEB</t>
  </si>
  <si>
    <t>SPUNWEB NONWOVEN LIMITED</t>
  </si>
  <si>
    <t>INE917H01012</t>
  </si>
  <si>
    <t>SRHHYPOLTD</t>
  </si>
  <si>
    <t>SREE RAYALSEEMA HHP LTD.</t>
  </si>
  <si>
    <t>INE099F01013</t>
  </si>
  <si>
    <t>SREEL</t>
  </si>
  <si>
    <t>SREELEATHERS LIMITED</t>
  </si>
  <si>
    <t>INE647A01010</t>
  </si>
  <si>
    <t>SRF</t>
  </si>
  <si>
    <t>SRF LTD</t>
  </si>
  <si>
    <t>INE559N01010</t>
  </si>
  <si>
    <t>SRGHFL</t>
  </si>
  <si>
    <t>SRG HOUSING FINANCE L</t>
  </si>
  <si>
    <t>INE293B01029</t>
  </si>
  <si>
    <t>HAVISHA</t>
  </si>
  <si>
    <t>SRI HAVISHA HOSP &amp; INFR L</t>
  </si>
  <si>
    <t>INE009C01019</t>
  </si>
  <si>
    <t>SRIKPRIND</t>
  </si>
  <si>
    <t>SRI KPR INDUSTRIES LTD.</t>
  </si>
  <si>
    <t>INE0V9Q01010</t>
  </si>
  <si>
    <t>LOTUSDEV</t>
  </si>
  <si>
    <t>SRI LOTUS DEVLPRS N RTY L</t>
  </si>
  <si>
    <t>INE0TPJ01019</t>
  </si>
  <si>
    <t>SPCON</t>
  </si>
  <si>
    <t>SRINIBAS PRADHAN CONST L</t>
  </si>
  <si>
    <t>INE0ON201012</t>
  </si>
  <si>
    <t>SSFL</t>
  </si>
  <si>
    <t>SRIVARI SPICES N FOODS L</t>
  </si>
  <si>
    <t>INE0NPI01014</t>
  </si>
  <si>
    <t>SRIVASAVI</t>
  </si>
  <si>
    <t>SRIVASAVI ADHESIVE TAPE L</t>
  </si>
  <si>
    <t>INE0R6Z01013</t>
  </si>
  <si>
    <t>SRM</t>
  </si>
  <si>
    <t>SRM CONTRACTORS LIMITED</t>
  </si>
  <si>
    <t>INE0RYC01010</t>
  </si>
  <si>
    <t>STALLION</t>
  </si>
  <si>
    <t>STALLION IND FLUOROCHEM L</t>
  </si>
  <si>
    <t>INE0M4D01010</t>
  </si>
  <si>
    <t>SETL</t>
  </si>
  <si>
    <t>STANDARD ENGNG TCNLGY LTD</t>
  </si>
  <si>
    <t>INE173A01025</t>
  </si>
  <si>
    <t>SIL</t>
  </si>
  <si>
    <t>STANDARD INDUSTRIES LTD.</t>
  </si>
  <si>
    <t>INE01A001028</t>
  </si>
  <si>
    <t>STANLEY</t>
  </si>
  <si>
    <t>STANLEY LIFESTYLES LTD</t>
  </si>
  <si>
    <t>INE460H01021</t>
  </si>
  <si>
    <t>STARCEMENT</t>
  </si>
  <si>
    <t>STAR CEMENT LIMITED</t>
  </si>
  <si>
    <t>INE575P01011</t>
  </si>
  <si>
    <t>STARHEALTH</t>
  </si>
  <si>
    <t>STAR HEALTH &amp; AL INS CO L</t>
  </si>
  <si>
    <t>INE733A01018</t>
  </si>
  <si>
    <t>STARPAPER</t>
  </si>
  <si>
    <t>STAR PAPER MILLS LTD</t>
  </si>
  <si>
    <t>INE992I01013</t>
  </si>
  <si>
    <t>STARTECK</t>
  </si>
  <si>
    <t>STARTECK FINANCE LIMITED</t>
  </si>
  <si>
    <t>INE062A01020</t>
  </si>
  <si>
    <t>SBIN</t>
  </si>
  <si>
    <t>STATE BANK OF INDIA</t>
  </si>
  <si>
    <t>INE114A01011</t>
  </si>
  <si>
    <t>SAIL</t>
  </si>
  <si>
    <t>STEEL AUTHORITY OF INDIA</t>
  </si>
  <si>
    <t>INE395H01011</t>
  </si>
  <si>
    <t>STEELCITY</t>
  </si>
  <si>
    <t>STEEL CITY SECURITIES LTD</t>
  </si>
  <si>
    <t>INE503B01021</t>
  </si>
  <si>
    <t>STEELXIND</t>
  </si>
  <si>
    <t>STEEL EXCHANGE INDIA LTD</t>
  </si>
  <si>
    <t>INE205F01016</t>
  </si>
  <si>
    <t>STLSTRINF</t>
  </si>
  <si>
    <t>STEEL STRIPS INFRA L</t>
  </si>
  <si>
    <t>INE802C01033</t>
  </si>
  <si>
    <t>SSWL</t>
  </si>
  <si>
    <t>STEEL STRIPS WHEELS LTD.</t>
  </si>
  <si>
    <t>INE124E01038</t>
  </si>
  <si>
    <t>STEELCAS</t>
  </si>
  <si>
    <t>STEELCAST LIMITED</t>
  </si>
  <si>
    <t>INE577L01016</t>
  </si>
  <si>
    <t>STEL</t>
  </si>
  <si>
    <t>STEL HOLDINGS LIMITED</t>
  </si>
  <si>
    <t>INE334A01023</t>
  </si>
  <si>
    <t>STERTOOLS</t>
  </si>
  <si>
    <t>STERLING TOOLS LIMITED</t>
  </si>
  <si>
    <t>INE089C01029</t>
  </si>
  <si>
    <t>STLTECH</t>
  </si>
  <si>
    <t>STERLITE TECHNOLOGIES LTD</t>
  </si>
  <si>
    <t>INE353H01010</t>
  </si>
  <si>
    <t>SGL</t>
  </si>
  <si>
    <t>STL GLOBAL LIMITED</t>
  </si>
  <si>
    <t>INE1VXE01018</t>
  </si>
  <si>
    <t>STLNETWORK</t>
  </si>
  <si>
    <t>STL NETWORKS LIMITED</t>
  </si>
  <si>
    <t>INE00IN01015</t>
  </si>
  <si>
    <t>STOVEKRAFT</t>
  </si>
  <si>
    <t>STOVE KRAFT LIMITED</t>
  </si>
  <si>
    <t>INE1XWN01017</t>
  </si>
  <si>
    <t>STRIDERS</t>
  </si>
  <si>
    <t>STRIDERS IMPEX LIMITED</t>
  </si>
  <si>
    <t>INE939A01011</t>
  </si>
  <si>
    <t>STAR</t>
  </si>
  <si>
    <t>STRIDES PHARMA SCI LTD</t>
  </si>
  <si>
    <t>INE00M201021</t>
  </si>
  <si>
    <t>SWSOLAR</t>
  </si>
  <si>
    <t>STRLNG &amp; WIL REN ENE LTD</t>
  </si>
  <si>
    <t>INE00Q601028</t>
  </si>
  <si>
    <t>STUDDS</t>
  </si>
  <si>
    <t>STUDDS ACCESSORIES LTD</t>
  </si>
  <si>
    <t>INE17VO01028</t>
  </si>
  <si>
    <t>STUDIOLSD</t>
  </si>
  <si>
    <t>STUDIO LSD LIMITED</t>
  </si>
  <si>
    <t>INE239C01020</t>
  </si>
  <si>
    <t>STYLAMIND</t>
  </si>
  <si>
    <t>STYLAM INDUSTRIES LIMITED</t>
  </si>
  <si>
    <t>INE189B01011</t>
  </si>
  <si>
    <t>STYRENIX</t>
  </si>
  <si>
    <t>STYRENIX PERFORMANCE LTD</t>
  </si>
  <si>
    <t>INE0RYR01018</t>
  </si>
  <si>
    <t>SUBAHOTELS</t>
  </si>
  <si>
    <t>SUBA HOTELS LIMITED</t>
  </si>
  <si>
    <t>INE754A01055</t>
  </si>
  <si>
    <t>SUBEXLTD</t>
  </si>
  <si>
    <t>SUBEX LTD</t>
  </si>
  <si>
    <t>INE287B01021</t>
  </si>
  <si>
    <t>SUBROS</t>
  </si>
  <si>
    <t>SUBROS LIMITED</t>
  </si>
  <si>
    <t>INE659A01023</t>
  </si>
  <si>
    <t>SUDARSCHEM</t>
  </si>
  <si>
    <t>SUDARSHAN CHEMICAL INDS L</t>
  </si>
  <si>
    <t>INE492A01029</t>
  </si>
  <si>
    <t>SUDARCOLOR</t>
  </si>
  <si>
    <t>SUDARSHAN COLORNT IND LTD</t>
  </si>
  <si>
    <t>INE0QPI01025</t>
  </si>
  <si>
    <t>SUDEEPPHRM</t>
  </si>
  <si>
    <t>SUDEEP PHARMA LIMITED</t>
  </si>
  <si>
    <t>INE450E01029</t>
  </si>
  <si>
    <t>SUKHJITS</t>
  </si>
  <si>
    <t>SUKHJIT STARCH &amp; CHEM LTD</t>
  </si>
  <si>
    <t>INE142Q01026</t>
  </si>
  <si>
    <t>SULA</t>
  </si>
  <si>
    <t>SULA VINEYARDS LIMITED</t>
  </si>
  <si>
    <t>INE11Z001019</t>
  </si>
  <si>
    <t>SUMAX</t>
  </si>
  <si>
    <t>SUMAX ENGINEERING LIMITED</t>
  </si>
  <si>
    <t>INE886B01012</t>
  </si>
  <si>
    <t>SUMEDHA</t>
  </si>
  <si>
    <t>SUMEDHA FISCAL SERVICES L</t>
  </si>
  <si>
    <t>INE235C01036</t>
  </si>
  <si>
    <t>SUMEETINDS</t>
  </si>
  <si>
    <t>SUMEET IND LIMITED</t>
  </si>
  <si>
    <t>INE748Z01013</t>
  </si>
  <si>
    <t>SUMIT</t>
  </si>
  <si>
    <t>SUMIT WOODS LIMITED</t>
  </si>
  <si>
    <t>INE258G01013</t>
  </si>
  <si>
    <t>SUMICHEM</t>
  </si>
  <si>
    <t>SUMITOMO CHEM INDIA LTD</t>
  </si>
  <si>
    <t>INE519C01017</t>
  </si>
  <si>
    <t>SUMMITSEC</t>
  </si>
  <si>
    <t>SUMMIT SECURITIES LTD</t>
  </si>
  <si>
    <t>INE232I01014</t>
  </si>
  <si>
    <t>SPARC</t>
  </si>
  <si>
    <t>SUN PHARMA ADV.RES.CO.LTD</t>
  </si>
  <si>
    <t>INE044A01036</t>
  </si>
  <si>
    <t>SUNPHARMA</t>
  </si>
  <si>
    <t>SUN PHARMACEUTICAL IND L</t>
  </si>
  <si>
    <t>INE424H01027</t>
  </si>
  <si>
    <t>SUNTV</t>
  </si>
  <si>
    <t>SUN TV NETWORK LIMITED</t>
  </si>
  <si>
    <t>INE0Q3R01026</t>
  </si>
  <si>
    <t>SUNCLAY</t>
  </si>
  <si>
    <t>SUNDARAM CLAYTON LIMITED</t>
  </si>
  <si>
    <t>INE660A01013</t>
  </si>
  <si>
    <t>SUNDARMFIN</t>
  </si>
  <si>
    <t>SUNDARAM FINANCE LTD</t>
  </si>
  <si>
    <t>INE108E01023</t>
  </si>
  <si>
    <t>SUNDARAM</t>
  </si>
  <si>
    <t>SUNDARAM MULTI PAP LTD</t>
  </si>
  <si>
    <t>INE073D01013</t>
  </si>
  <si>
    <t>SUNDRMBRAK</t>
  </si>
  <si>
    <t>SUNDARAMBRAKE LININGS LTD</t>
  </si>
  <si>
    <t>INE387A01021</t>
  </si>
  <si>
    <t>SUNDRMFAST</t>
  </si>
  <si>
    <t>SUNDRAM FASTENERS LTD</t>
  </si>
  <si>
    <t>INE0CTB01014</t>
  </si>
  <si>
    <t>SOCL</t>
  </si>
  <si>
    <t>SUNDREX OIL COMPANY LTD</t>
  </si>
  <si>
    <t>INE209A01019</t>
  </si>
  <si>
    <t>SUNDROP</t>
  </si>
  <si>
    <t>SUNDROP BRANDS LIMITED</t>
  </si>
  <si>
    <t>INE947A01014</t>
  </si>
  <si>
    <t>SUNFLAG</t>
  </si>
  <si>
    <t>SUNFLAG IRON AND STEEL CO</t>
  </si>
  <si>
    <t>INE0O3O01017</t>
  </si>
  <si>
    <t>SEL</t>
  </si>
  <si>
    <t>SUNGARNER ENERGIES LTD</t>
  </si>
  <si>
    <t>INE671C01016</t>
  </si>
  <si>
    <t>SUNLOC</t>
  </si>
  <si>
    <t>SUNIL HEALTHCARE LTD.</t>
  </si>
  <si>
    <t>INE0U2N01013</t>
  </si>
  <si>
    <t>SUNLITE</t>
  </si>
  <si>
    <t>SUNLITE RECYCLING IND LTD</t>
  </si>
  <si>
    <t>INE671K01027</t>
  </si>
  <si>
    <t>SUNRAKSHAK</t>
  </si>
  <si>
    <t>SUNRAKSHAKK INDUS IND L</t>
  </si>
  <si>
    <t>INE199E01014</t>
  </si>
  <si>
    <t>SUNSHIEL</t>
  </si>
  <si>
    <t>SUNSHIELD CHEMICALS LTD.</t>
  </si>
  <si>
    <t>INE1B3O01011</t>
  </si>
  <si>
    <t>SUNSHINE</t>
  </si>
  <si>
    <t>SUNSHINE PICTURES LIMITED</t>
  </si>
  <si>
    <t>INE0SGZ01016</t>
  </si>
  <si>
    <t>SUNTECH</t>
  </si>
  <si>
    <t>SUNTECH INFRA SOLUTIONS L</t>
  </si>
  <si>
    <t>INE805D01034</t>
  </si>
  <si>
    <t>SUNTECK</t>
  </si>
  <si>
    <t>SUNTECK REALTY LIMITED</t>
  </si>
  <si>
    <t>INE662A01027</t>
  </si>
  <si>
    <t>SUPERSPIN</t>
  </si>
  <si>
    <t>SUPER SPINNING MILLS LTD</t>
  </si>
  <si>
    <t>INE460D01038</t>
  </si>
  <si>
    <t>SUPTANERY</t>
  </si>
  <si>
    <t>SUPER TANNERY LTD.</t>
  </si>
  <si>
    <t>INE712B01010</t>
  </si>
  <si>
    <t>SUPERHOUSE</t>
  </si>
  <si>
    <t>SUPERHOUSE LIMITED</t>
  </si>
  <si>
    <t>INE843L01012</t>
  </si>
  <si>
    <t>SIEL</t>
  </si>
  <si>
    <t>SUPERIOR INDUSTRIAL ENT L</t>
  </si>
  <si>
    <t>INE399C01030</t>
  </si>
  <si>
    <t>SUPRAJIT</t>
  </si>
  <si>
    <t>SUPRAJIT ENGINEERING LTD</t>
  </si>
  <si>
    <t>INE319Z01021</t>
  </si>
  <si>
    <t>SUPREMEENG</t>
  </si>
  <si>
    <t>SUPREME ENGINEERING LTD</t>
  </si>
  <si>
    <t>INE0U6N01014</t>
  </si>
  <si>
    <t>SFML</t>
  </si>
  <si>
    <t>SUPREME FACILITY MGMT LTD</t>
  </si>
  <si>
    <t>INE822E01011</t>
  </si>
  <si>
    <t>SUPREME</t>
  </si>
  <si>
    <t>SUPREME HOLDIN N HOSP I L</t>
  </si>
  <si>
    <t>INE195A01028</t>
  </si>
  <si>
    <t>SUPREMEIND</t>
  </si>
  <si>
    <t>SUPREME INDUSTRIES LTD</t>
  </si>
  <si>
    <t>INE550H01011</t>
  </si>
  <si>
    <t>SUPREMEINF</t>
  </si>
  <si>
    <t>SUPREME INFRA. LTD.</t>
  </si>
  <si>
    <t>INE663A01033</t>
  </si>
  <si>
    <t>SPLPETRO</t>
  </si>
  <si>
    <t>SUPREME PETROCHEM LIMITED</t>
  </si>
  <si>
    <t>INE0QHG01026</t>
  </si>
  <si>
    <t>SUPREMEPWR</t>
  </si>
  <si>
    <t>SUPREME POWER EQUIPMENT L</t>
  </si>
  <si>
    <t>INE07RO01027</t>
  </si>
  <si>
    <t>SUPRIYA</t>
  </si>
  <si>
    <t>SUPRIYA LIFESCIENCE LTD</t>
  </si>
  <si>
    <t>INE843S01025</t>
  </si>
  <si>
    <t>SURAJEST</t>
  </si>
  <si>
    <t>SURAJ ESTATE DEVELOPERS L</t>
  </si>
  <si>
    <t>INE713C01016</t>
  </si>
  <si>
    <t>SURAJLTD</t>
  </si>
  <si>
    <t>SURAJ LIMITED</t>
  </si>
  <si>
    <t>INE877V01027</t>
  </si>
  <si>
    <t>SURAKSHA</t>
  </si>
  <si>
    <t>SURAKSHA DIAGNOSTIC LTD</t>
  </si>
  <si>
    <t>INE272L01022</t>
  </si>
  <si>
    <t>SURANASOL</t>
  </si>
  <si>
    <t>SURANA SOLAR LIMITED</t>
  </si>
  <si>
    <t>INE130B01031</t>
  </si>
  <si>
    <t>SURANAT&amp;P</t>
  </si>
  <si>
    <t>SURANA TELECOM AND POW LT</t>
  </si>
  <si>
    <t>INE05ST01028</t>
  </si>
  <si>
    <t>SBGLP</t>
  </si>
  <si>
    <t>SURATWWALA BUS GROUP LTD</t>
  </si>
  <si>
    <t>INE335A01020</t>
  </si>
  <si>
    <t>SURYAROSNI</t>
  </si>
  <si>
    <t>SURYA ROSHNI LTD</t>
  </si>
  <si>
    <t>INE713B01026</t>
  </si>
  <si>
    <t>SURYALAXMI</t>
  </si>
  <si>
    <t>SURYALAKSHMI COT MIL LTD</t>
  </si>
  <si>
    <t>INE132C01027</t>
  </si>
  <si>
    <t>SURYALA</t>
  </si>
  <si>
    <t>SURYALATA SPINNING MILL L</t>
  </si>
  <si>
    <t>INE428Q01011</t>
  </si>
  <si>
    <t>SURYODAY</t>
  </si>
  <si>
    <t>SURYODAY SMALL FIN BK LTD</t>
  </si>
  <si>
    <t>INE645H01027</t>
  </si>
  <si>
    <t>SUTLEJTEX</t>
  </si>
  <si>
    <t>SUTLEJ TEXT &amp; INDUS LTD</t>
  </si>
  <si>
    <t>INE495B01038</t>
  </si>
  <si>
    <t>SUVEN</t>
  </si>
  <si>
    <t>SUVEN LIFE SCIENCES LTD</t>
  </si>
  <si>
    <t>INE018401013</t>
  </si>
  <si>
    <t>SUVIDHAA</t>
  </si>
  <si>
    <t>SUVIDHAA INFOSERVE LTD</t>
  </si>
  <si>
    <t>INE442P01014</t>
  </si>
  <si>
    <t>SUYOG</t>
  </si>
  <si>
    <t>SUYOG TELEMATICS LIMITED</t>
  </si>
  <si>
    <t>INE040H01021</t>
  </si>
  <si>
    <t>SUZLON</t>
  </si>
  <si>
    <t>SUZLON ENERGY LIMITED</t>
  </si>
  <si>
    <t>INE308E01029</t>
  </si>
  <si>
    <t>SVPGLOB</t>
  </si>
  <si>
    <t>SVP GLOBAL TEXTILES LTD</t>
  </si>
  <si>
    <t>INE665A01038</t>
  </si>
  <si>
    <t>SWANCORP</t>
  </si>
  <si>
    <t>SWAN CORP LIMITED</t>
  </si>
  <si>
    <t>INE542F01020</t>
  </si>
  <si>
    <t>SWANDEF</t>
  </si>
  <si>
    <t>SWAN DEFENCE N HEVY IND L</t>
  </si>
  <si>
    <t>INE277A01016</t>
  </si>
  <si>
    <t>SWARAJENG</t>
  </si>
  <si>
    <t>SWARAJ ENGINES LTD</t>
  </si>
  <si>
    <t>INE0GMR01016</t>
  </si>
  <si>
    <t>SWARAJ</t>
  </si>
  <si>
    <t>SWARAJ SUITING LIMITED</t>
  </si>
  <si>
    <t>INE967A01012</t>
  </si>
  <si>
    <t>SWARNSAR</t>
  </si>
  <si>
    <t>SWARNSARITA JEWELS IND L</t>
  </si>
  <si>
    <t>INE0DGC01025</t>
  </si>
  <si>
    <t>SWASTIK</t>
  </si>
  <si>
    <t>SWASTIK PIPE LIMITED</t>
  </si>
  <si>
    <t>INE409B01013</t>
  </si>
  <si>
    <t>SWELECTES</t>
  </si>
  <si>
    <t>SWELECT ENERGY SYS LTD</t>
  </si>
  <si>
    <t>INE00H001014</t>
  </si>
  <si>
    <t>SWIGGY</t>
  </si>
  <si>
    <t>SWIGGY LIMITED</t>
  </si>
  <si>
    <t>INE010C01025</t>
  </si>
  <si>
    <t>SWISSMLTRY</t>
  </si>
  <si>
    <t>SWISS MILITARY CON GOOD L</t>
  </si>
  <si>
    <t>INE01IH01015</t>
  </si>
  <si>
    <t>SYLVANPLY</t>
  </si>
  <si>
    <t>SYLVAN PLYBOARD (INDIA) L</t>
  </si>
  <si>
    <t>INE899I01028</t>
  </si>
  <si>
    <t>SYMBIOTEC</t>
  </si>
  <si>
    <t>SYMBIOTEC PHARMALAB LTD</t>
  </si>
  <si>
    <t>INE225D01027</t>
  </si>
  <si>
    <t>SYMPHONY</t>
  </si>
  <si>
    <t>SYMPHONY LIMITED</t>
  </si>
  <si>
    <t>INE312C01025</t>
  </si>
  <si>
    <t>SYNCOMF</t>
  </si>
  <si>
    <t>SYNCOM FORMU (I) LTD</t>
  </si>
  <si>
    <t>INE00QT01015</t>
  </si>
  <si>
    <t>SGIL</t>
  </si>
  <si>
    <t>SYNERGY GREEN IND. LTD</t>
  </si>
  <si>
    <t>INE398R01022</t>
  </si>
  <si>
    <t>SYNGENE</t>
  </si>
  <si>
    <t>SYNGENE INTERNATIONAL LTD</t>
  </si>
  <si>
    <t>INE0BTR01012</t>
  </si>
  <si>
    <t>SYNOPTICS</t>
  </si>
  <si>
    <t>SYNOPTICS TECHNOLOGIES L</t>
  </si>
  <si>
    <t>INE0DYJ01015</t>
  </si>
  <si>
    <t>SYRMA</t>
  </si>
  <si>
    <t>SYRMA SGS TECHNOLOGY LTD</t>
  </si>
  <si>
    <t>INE0O7R01011</t>
  </si>
  <si>
    <t>SYSTANGO</t>
  </si>
  <si>
    <t>SYSTANGO TECHNOLOGIES LTD</t>
  </si>
  <si>
    <t>INE356B01024</t>
  </si>
  <si>
    <t>SYSTMTXC</t>
  </si>
  <si>
    <t>SYSTEMATIX CORP SERVICE L</t>
  </si>
  <si>
    <t>INE284B01028</t>
  </si>
  <si>
    <t>TGVSL</t>
  </si>
  <si>
    <t>T G V SRAAC LTD.</t>
  </si>
  <si>
    <t>INE592B01024</t>
  </si>
  <si>
    <t>TTL</t>
  </si>
  <si>
    <t>T T LIMITED</t>
  </si>
  <si>
    <t>INE524T01011</t>
  </si>
  <si>
    <t>TAALTECH</t>
  </si>
  <si>
    <t>TAAL TECH LTD.</t>
  </si>
  <si>
    <t>INE0SOY01013</t>
  </si>
  <si>
    <t>TAC</t>
  </si>
  <si>
    <t>TAC INFOSEC LIMITED</t>
  </si>
  <si>
    <t>INE123C01018</t>
  </si>
  <si>
    <t>TAINWALCHM</t>
  </si>
  <si>
    <t>TAINWALA CHEMICAL AND PLA</t>
  </si>
  <si>
    <t>INE586B01026</t>
  </si>
  <si>
    <t>TAJGVK</t>
  </si>
  <si>
    <t>TAJ GVK HOTELS &amp; RESORTS</t>
  </si>
  <si>
    <t>INE142I01023</t>
  </si>
  <si>
    <t>TAKE</t>
  </si>
  <si>
    <t>TAKE LIMITED</t>
  </si>
  <si>
    <t>INE187D01029</t>
  </si>
  <si>
    <t>TALBROAUTO</t>
  </si>
  <si>
    <t>TALBROS AUTO. COMP. LTD</t>
  </si>
  <si>
    <t>INE864J01012</t>
  </si>
  <si>
    <t>TAMBOLIIN</t>
  </si>
  <si>
    <t>TAMBOLI INDUSTRIES LTD.</t>
  </si>
  <si>
    <t>INE668A01016</t>
  </si>
  <si>
    <t>TMB</t>
  </si>
  <si>
    <t>TAMILNAD MERCA BANK LTD</t>
  </si>
  <si>
    <t>INE107A01015</t>
  </si>
  <si>
    <t>TNPL</t>
  </si>
  <si>
    <t>TAMILNADU NEWSPRT &amp; PAPER</t>
  </si>
  <si>
    <t>INE148A01019</t>
  </si>
  <si>
    <t>TNPETRO</t>
  </si>
  <si>
    <t>TAMILNADU PETROPRODUCTS L</t>
  </si>
  <si>
    <t>INE141D01018</t>
  </si>
  <si>
    <t>TNTELE</t>
  </si>
  <si>
    <t>TAMILNADU TELECOMMUNICATI</t>
  </si>
  <si>
    <t>INE692C01020</t>
  </si>
  <si>
    <t>TANAA</t>
  </si>
  <si>
    <t>TANEJA AEROSPACE &amp; AVIA L</t>
  </si>
  <si>
    <t>INE0Z7N01017</t>
  </si>
  <si>
    <t>TANKUP</t>
  </si>
  <si>
    <t>TANKUP ENGINEERS LIMITED</t>
  </si>
  <si>
    <t>INE483C01032</t>
  </si>
  <si>
    <t>TANLA</t>
  </si>
  <si>
    <t>TANLA PLATFORMS LIMITED</t>
  </si>
  <si>
    <t>INE555Z01020</t>
  </si>
  <si>
    <t>TARACHAND</t>
  </si>
  <si>
    <t>TARA CHAND INFRA SOLN LTD</t>
  </si>
  <si>
    <t>INE747K01017</t>
  </si>
  <si>
    <t>TARAPUR</t>
  </si>
  <si>
    <t>TARAPUR TRANSFORMERS LTD</t>
  </si>
  <si>
    <t>INE0EK901012</t>
  </si>
  <si>
    <t>TARC</t>
  </si>
  <si>
    <t>TARC LIMITED</t>
  </si>
  <si>
    <t>INE924H01018</t>
  </si>
  <si>
    <t>TARMAT</t>
  </si>
  <si>
    <t>TARMAT LIMITED</t>
  </si>
  <si>
    <t>INE144Z01023</t>
  </si>
  <si>
    <t>TARSONS</t>
  </si>
  <si>
    <t>TARSONS PRODUCTS LIMITED</t>
  </si>
  <si>
    <t>INE488B01017</t>
  </si>
  <si>
    <t>TASTYBITE</t>
  </si>
  <si>
    <t>TASTY BITE EATABLES LTD</t>
  </si>
  <si>
    <t>INE976I01016</t>
  </si>
  <si>
    <t>TATACAP</t>
  </si>
  <si>
    <t>TATA CAPITAL LIMITED</t>
  </si>
  <si>
    <t>INE092A01019</t>
  </si>
  <si>
    <t>TATACHEM</t>
  </si>
  <si>
    <t>TATA CHEMICALS LTD</t>
  </si>
  <si>
    <t>INE151A01013</t>
  </si>
  <si>
    <t>TATACOMM</t>
  </si>
  <si>
    <t>TATA COMMUNICATIONS LTD</t>
  </si>
  <si>
    <t>INE467B01029</t>
  </si>
  <si>
    <t>TCS</t>
  </si>
  <si>
    <t>TATA CONSULTANCY SERV LT</t>
  </si>
  <si>
    <t>INE192A01025</t>
  </si>
  <si>
    <t>TATACONSUM</t>
  </si>
  <si>
    <t>TATA CONSUMER PRODUCT LTD</t>
  </si>
  <si>
    <t>INE670A01012</t>
  </si>
  <si>
    <t>TATAELXSI</t>
  </si>
  <si>
    <t>TATA ELXSI LIMITED</t>
  </si>
  <si>
    <t>INE672A01026</t>
  </si>
  <si>
    <t>TATAINVEST</t>
  </si>
  <si>
    <t>TATA INVESTMENT CORP LTD</t>
  </si>
  <si>
    <t>INE1TAE01010</t>
  </si>
  <si>
    <t>TMCV</t>
  </si>
  <si>
    <t>TATA MOTORS LIMITED</t>
  </si>
  <si>
    <t>INE155A01022</t>
  </si>
  <si>
    <t>TMPV</t>
  </si>
  <si>
    <t>TATA MOTORS PASS VEH LTD</t>
  </si>
  <si>
    <t>INE245A01021</t>
  </si>
  <si>
    <t>TATAPOWER</t>
  </si>
  <si>
    <t>TATA POWER CO LTD</t>
  </si>
  <si>
    <t>INE081A01020</t>
  </si>
  <si>
    <t>TATASTEEL</t>
  </si>
  <si>
    <t>TATA STEEL LIMITED</t>
  </si>
  <si>
    <t>INE142M01025</t>
  </si>
  <si>
    <t>TATATECH</t>
  </si>
  <si>
    <t>TATA TECHNOLOGIES LIMITED</t>
  </si>
  <si>
    <t>INE517B01013</t>
  </si>
  <si>
    <t>TTML</t>
  </si>
  <si>
    <t>TATA TELESERV(MAHARASTRA)</t>
  </si>
  <si>
    <t>INF277K015R5</t>
  </si>
  <si>
    <t>NETF</t>
  </si>
  <si>
    <t>TATAAML - NETF</t>
  </si>
  <si>
    <t>INF277K010X4</t>
  </si>
  <si>
    <t>NPBET</t>
  </si>
  <si>
    <t>TATAAML - NPBET</t>
  </si>
  <si>
    <t>INF277KA1364</t>
  </si>
  <si>
    <t>TNIDETF</t>
  </si>
  <si>
    <t>TATAAML - TNIDETF</t>
  </si>
  <si>
    <t>INF277KA1976</t>
  </si>
  <si>
    <t>TATAGOLD</t>
  </si>
  <si>
    <t>TATAAML-TATAGOLD</t>
  </si>
  <si>
    <t>INF277KA1984</t>
  </si>
  <si>
    <t>TATSILV</t>
  </si>
  <si>
    <t>TATAAML-TATSILV</t>
  </si>
  <si>
    <t>INE0GK401011</t>
  </si>
  <si>
    <t>TATVA</t>
  </si>
  <si>
    <t>TATVA CHIN PHARM CHEM LTD</t>
  </si>
  <si>
    <t>INE0XWS01018</t>
  </si>
  <si>
    <t>TAURIAN</t>
  </si>
  <si>
    <t>TAURIAN MPS LIMITED</t>
  </si>
  <si>
    <t>INE053F07835</t>
  </si>
  <si>
    <t>753IRFC30</t>
  </si>
  <si>
    <t>TAX FREE  7.53% SR. 103 A</t>
  </si>
  <si>
    <t>INE053F07900</t>
  </si>
  <si>
    <t>764IRFC31</t>
  </si>
  <si>
    <t>NO</t>
  </si>
  <si>
    <t>TAX FREE  7.64% SR. 108A</t>
  </si>
  <si>
    <t>INE906B07EP5</t>
  </si>
  <si>
    <t>769NHAI31</t>
  </si>
  <si>
    <t>TAX FREE 7.69% SR. IIB</t>
  </si>
  <si>
    <t>INE053F07843</t>
  </si>
  <si>
    <t>750IRFC35</t>
  </si>
  <si>
    <t>TAX FREE7.50% SR.104 A</t>
  </si>
  <si>
    <t>INE906B07EJ8</t>
  </si>
  <si>
    <t>76NHAI31</t>
  </si>
  <si>
    <t>TAX FREE7.60% SR.IIB</t>
  </si>
  <si>
    <t>INE0N2D01013</t>
  </si>
  <si>
    <t>TBI</t>
  </si>
  <si>
    <t>TBI CORN LIMITED</t>
  </si>
  <si>
    <t>INE673O01025</t>
  </si>
  <si>
    <t>TBOTEK</t>
  </si>
  <si>
    <t>TBO TEK LIMITED</t>
  </si>
  <si>
    <t>INE887D01024</t>
  </si>
  <si>
    <t>TCC</t>
  </si>
  <si>
    <t>TCC CONCEPT LIMITED</t>
  </si>
  <si>
    <t>INE586V01016</t>
  </si>
  <si>
    <t>TCIEXP</t>
  </si>
  <si>
    <t>TCI EXPRESS LIMITED</t>
  </si>
  <si>
    <t>INE911B01018</t>
  </si>
  <si>
    <t>TCIFINANCE</t>
  </si>
  <si>
    <t>TCIFINANCELTD-ROLL SETT</t>
  </si>
  <si>
    <t>INE822C01015</t>
  </si>
  <si>
    <t>TCPLPACK</t>
  </si>
  <si>
    <t>TCPL PACKAGING LIMITED</t>
  </si>
  <si>
    <t>INE419M01035</t>
  </si>
  <si>
    <t>TDPOWERSYS</t>
  </si>
  <si>
    <t>TD POWER SYSTEMS LTD.</t>
  </si>
  <si>
    <t>INE289C01025</t>
  </si>
  <si>
    <t>TEAMGTY</t>
  </si>
  <si>
    <t>TEAM INDIA GUARANTY LTD</t>
  </si>
  <si>
    <t>INE985S01024</t>
  </si>
  <si>
    <t>TEAMLEASE</t>
  </si>
  <si>
    <t>TEAMLEASE SERVICES LTD.</t>
  </si>
  <si>
    <t>INE065J01024</t>
  </si>
  <si>
    <t>TPHQ</t>
  </si>
  <si>
    <t>TEAMO PRODUCTIONS HQ LTD</t>
  </si>
  <si>
    <t>INE2OL601013</t>
  </si>
  <si>
    <t>TEAMTECH</t>
  </si>
  <si>
    <t>TEAMTECH FORMWORK SOL LTD</t>
  </si>
  <si>
    <t>INE669C01036</t>
  </si>
  <si>
    <t>TECHM</t>
  </si>
  <si>
    <t>TECH MAHINDRA LIMITED</t>
  </si>
  <si>
    <t>INE0Y5H01014</t>
  </si>
  <si>
    <t>TECHD</t>
  </si>
  <si>
    <t>TECHD CYBERSECURITY LTD</t>
  </si>
  <si>
    <t>INE0JQS01019</t>
  </si>
  <si>
    <t>TECHERA</t>
  </si>
  <si>
    <t>TECHERA ENGINEER (IND) L</t>
  </si>
  <si>
    <t>INE285K01026</t>
  </si>
  <si>
    <t>TECHNOE</t>
  </si>
  <si>
    <t>TECHNO ELEC &amp; ENG CO. LTD</t>
  </si>
  <si>
    <t>INE545H01011</t>
  </si>
  <si>
    <t>TIIL</t>
  </si>
  <si>
    <t>TECHNOCRAFT IND LTD</t>
  </si>
  <si>
    <t>INE1D0W01018</t>
  </si>
  <si>
    <t>TECHNOCRAF</t>
  </si>
  <si>
    <t>TECHNOCRAFT VENTURES LTD</t>
  </si>
  <si>
    <t>INE314H01012</t>
  </si>
  <si>
    <t>TECHNVISN</t>
  </si>
  <si>
    <t>TECHNVISION VENTURES LTD.</t>
  </si>
  <si>
    <t>INE014B01011</t>
  </si>
  <si>
    <t>TECILCHEM</t>
  </si>
  <si>
    <t>TECIL CHEMICALS</t>
  </si>
  <si>
    <t>INE0K6601012</t>
  </si>
  <si>
    <t>TGL</t>
  </si>
  <si>
    <t>TEERTH GOPICON LIMITED</t>
  </si>
  <si>
    <t>INE011K01018</t>
  </si>
  <si>
    <t>TEGA</t>
  </si>
  <si>
    <t>TEGA INDUSTRIES LIMITED</t>
  </si>
  <si>
    <t>INE0R1301019</t>
  </si>
  <si>
    <t>TEJA</t>
  </si>
  <si>
    <t>TEJA ENGINEERING IND L</t>
  </si>
  <si>
    <t>INE17WC01013</t>
  </si>
  <si>
    <t>TEJASCARGO</t>
  </si>
  <si>
    <t>TEJAS CARGO INDIA LIMITED</t>
  </si>
  <si>
    <t>INE010J01012</t>
  </si>
  <si>
    <t>TEJASNET</t>
  </si>
  <si>
    <t>TEJAS NETWORKS LIMITED</t>
  </si>
  <si>
    <t>INE869Y01028</t>
  </si>
  <si>
    <t>TEMBO</t>
  </si>
  <si>
    <t>TEMBO GLOBAL IND LTD</t>
  </si>
  <si>
    <t>INE1KZI01025</t>
  </si>
  <si>
    <t>TEMPSENS</t>
  </si>
  <si>
    <t>TEMPSENS INST (INDIA) LTD</t>
  </si>
  <si>
    <t>INE19RI01016</t>
  </si>
  <si>
    <t>TENNIND</t>
  </si>
  <si>
    <t>TENNECO CLEAN AIR INDIA L</t>
  </si>
  <si>
    <t>INE482B01010</t>
  </si>
  <si>
    <t>TERASOFT</t>
  </si>
  <si>
    <t>TERA SOFTWARE LIMITED</t>
  </si>
  <si>
    <t>INE390D01011</t>
  </si>
  <si>
    <t>TERAI</t>
  </si>
  <si>
    <t>TERAI TEA CO. LTD.</t>
  </si>
  <si>
    <t>INE435C01024</t>
  </si>
  <si>
    <t>TEXINFRA</t>
  </si>
  <si>
    <t>TEXMACO INFRA &amp; HOLDG LTD</t>
  </si>
  <si>
    <t>INE621L01012</t>
  </si>
  <si>
    <t>TEXRAIL</t>
  </si>
  <si>
    <t>TEXMACO RAIL &amp; ENG. LTD.</t>
  </si>
  <si>
    <t>INE141K01013</t>
  </si>
  <si>
    <t>TEXMOPIPES</t>
  </si>
  <si>
    <t>TEXMO PIPE &amp; PRODUCTS LTD</t>
  </si>
  <si>
    <t>INE733E07JT8</t>
  </si>
  <si>
    <t>737NTPC35C</t>
  </si>
  <si>
    <t>TFB 7.37% 2035 SR. 3A</t>
  </si>
  <si>
    <t>INE733E07JW2</t>
  </si>
  <si>
    <t>762NTPC35F</t>
  </si>
  <si>
    <t>TFB 7.62% 2035 SR. 3B</t>
  </si>
  <si>
    <t>INE797H01018</t>
  </si>
  <si>
    <t>TGBHOTELS</t>
  </si>
  <si>
    <t>TGB BANQUETS&amp;HOTELS LTD</t>
  </si>
  <si>
    <t>INE0QJL01014</t>
  </si>
  <si>
    <t>TCL</t>
  </si>
  <si>
    <t>THAAI CASTING LIMITED</t>
  </si>
  <si>
    <t>INE077P01034</t>
  </si>
  <si>
    <t>THACKER</t>
  </si>
  <si>
    <t>THACKER &amp; CO. LTD.</t>
  </si>
  <si>
    <t>INE403F01017</t>
  </si>
  <si>
    <t>THAKDEV</t>
  </si>
  <si>
    <t>THAKKERS DEVELOPERS LTD.</t>
  </si>
  <si>
    <t>INE085J01014</t>
  </si>
  <si>
    <t>THANGAMAYL</t>
  </si>
  <si>
    <t>THANGAMAYIL JEWELLERY LTD</t>
  </si>
  <si>
    <t>INE294Z01018</t>
  </si>
  <si>
    <t>ANUP</t>
  </si>
  <si>
    <t>THE ANUP ENGINEERING LTD</t>
  </si>
  <si>
    <t>INE319B01014</t>
  </si>
  <si>
    <t>BYKE</t>
  </si>
  <si>
    <t>THE BYKE HOSPITALITY LTD</t>
  </si>
  <si>
    <t>INE017A01032</t>
  </si>
  <si>
    <t>GESHIP</t>
  </si>
  <si>
    <t>THE GE SHPG.LTD</t>
  </si>
  <si>
    <t>INE646C01018</t>
  </si>
  <si>
    <t>GROBTEA</t>
  </si>
  <si>
    <t>THE GROB TEA COMPANY LTD</t>
  </si>
  <si>
    <t>INE127B01011</t>
  </si>
  <si>
    <t>HITECHGEAR</t>
  </si>
  <si>
    <t>THE HI-TECH GEARS LIMITED</t>
  </si>
  <si>
    <t>INE383A01012</t>
  </si>
  <si>
    <t>INDIACEM</t>
  </si>
  <si>
    <t>THE INDIA CEMENTS LIMITED</t>
  </si>
  <si>
    <t>INE053A01029</t>
  </si>
  <si>
    <t>INDHOTEL</t>
  </si>
  <si>
    <t>THE INDIAN HOTELS CO. LTD</t>
  </si>
  <si>
    <t>INE924D01017</t>
  </si>
  <si>
    <t>THEINVEST</t>
  </si>
  <si>
    <t>THE INVEST TRUST OF IND L</t>
  </si>
  <si>
    <t>INE470Y01017</t>
  </si>
  <si>
    <t>NIACL</t>
  </si>
  <si>
    <t>THE NEW INDIA ASSU CO LTD</t>
  </si>
  <si>
    <t>INE431F01018</t>
  </si>
  <si>
    <t>PKTEA</t>
  </si>
  <si>
    <t>THE P K TEA PROD CO LTD</t>
  </si>
  <si>
    <t>INE211B01039</t>
  </si>
  <si>
    <t>PHOENIXLTD</t>
  </si>
  <si>
    <t>THE PHOENIX MILLS LTD</t>
  </si>
  <si>
    <t>INE331A01037</t>
  </si>
  <si>
    <t>RAMCOCEM</t>
  </si>
  <si>
    <t>THE RAMCO CEMENTS LIMITED</t>
  </si>
  <si>
    <t>INE301D01026</t>
  </si>
  <si>
    <t>RUBYMILLS</t>
  </si>
  <si>
    <t>THE RUBY MILLS LTD</t>
  </si>
  <si>
    <t>INE683A01023</t>
  </si>
  <si>
    <t>SOUTHBANK</t>
  </si>
  <si>
    <t>THE SOUTH INDIAN BANK LTD</t>
  </si>
  <si>
    <t>INE655A01013</t>
  </si>
  <si>
    <t>STCINDIA</t>
  </si>
  <si>
    <t>THE STATE TRADING CORPN</t>
  </si>
  <si>
    <t>INE071E01023</t>
  </si>
  <si>
    <t>UGARSUGAR</t>
  </si>
  <si>
    <t>THE UGAR SUGAR WORKS LTD</t>
  </si>
  <si>
    <t>INE215F01023</t>
  </si>
  <si>
    <t>WIPL</t>
  </si>
  <si>
    <t>THE WESTERN INDIA PLY LTD</t>
  </si>
  <si>
    <t>INE121N01019</t>
  </si>
  <si>
    <t>THEJO</t>
  </si>
  <si>
    <t>THEJO ENGINEERING LIMITED</t>
  </si>
  <si>
    <t>INE083B01024</t>
  </si>
  <si>
    <t>THEMISMED</t>
  </si>
  <si>
    <t>THEMIS MEDICARE LTD.</t>
  </si>
  <si>
    <t>INE152A01029</t>
  </si>
  <si>
    <t>THERMAX</t>
  </si>
  <si>
    <t>THERMAX LTD</t>
  </si>
  <si>
    <t>INE0SHE01019</t>
  </si>
  <si>
    <t>THESL</t>
  </si>
  <si>
    <t>THINKING HATS ENTER SOL L</t>
  </si>
  <si>
    <t>INE338A01024</t>
  </si>
  <si>
    <t>TIRUMALCHM</t>
  </si>
  <si>
    <t>THIRUMALAI CHEMICALS LTD</t>
  </si>
  <si>
    <t>INE332A01027</t>
  </si>
  <si>
    <t>THOMASCOOK</t>
  </si>
  <si>
    <t>THOMAS COOK (INDIA) LTD</t>
  </si>
  <si>
    <t>INE480M01011</t>
  </si>
  <si>
    <t>THOMASCOTT</t>
  </si>
  <si>
    <t>THOMAS SCOTT (INDIA) LTD</t>
  </si>
  <si>
    <t>INE594H01019</t>
  </si>
  <si>
    <t>THYROCARE</t>
  </si>
  <si>
    <t>THYROCARE TECH LTD</t>
  </si>
  <si>
    <t>INE906O01029</t>
  </si>
  <si>
    <t>TIGERLOGS</t>
  </si>
  <si>
    <t>TIGER LOGISTICS (INDIA) L</t>
  </si>
  <si>
    <t>INE440L01017</t>
  </si>
  <si>
    <t>TIJARIA</t>
  </si>
  <si>
    <t>TIJARIA POLYPIPES LTD</t>
  </si>
  <si>
    <t>INE806C01018</t>
  </si>
  <si>
    <t>TIL</t>
  </si>
  <si>
    <t>TIL LTD</t>
  </si>
  <si>
    <t>INE133E01013</t>
  </si>
  <si>
    <t>TI</t>
  </si>
  <si>
    <t>TILAKNAGAR INDUSTRIES LTD</t>
  </si>
  <si>
    <t>INE508G01029</t>
  </si>
  <si>
    <t>TIMETECHNO</t>
  </si>
  <si>
    <t>TIME TECHNOPLAST LTD.</t>
  </si>
  <si>
    <t>INE064A01026</t>
  </si>
  <si>
    <t>TIMEX</t>
  </si>
  <si>
    <t>TIMEX GROUP INDIA LTD.</t>
  </si>
  <si>
    <t>INE325A01013</t>
  </si>
  <si>
    <t>TIMKEN</t>
  </si>
  <si>
    <t>TIMKEN INDIA LTD.</t>
  </si>
  <si>
    <t>INE015C01016</t>
  </si>
  <si>
    <t>TINNARUBR</t>
  </si>
  <si>
    <t>TINNA RUBBER AND INFR LTD</t>
  </si>
  <si>
    <t>INE0LQS01015</t>
  </si>
  <si>
    <t>TIPSFILMS</t>
  </si>
  <si>
    <t>TIPS FILMS LIMITED</t>
  </si>
  <si>
    <t>INE716B01029</t>
  </si>
  <si>
    <t>TIPSMUSIC</t>
  </si>
  <si>
    <t>TIPS MUSIC LIMITED</t>
  </si>
  <si>
    <t>INE319Y01024</t>
  </si>
  <si>
    <t>TIRUPATIFL</t>
  </si>
  <si>
    <t>TIRUPATI FORGE LIMITED</t>
  </si>
  <si>
    <t>INE615H01020</t>
  </si>
  <si>
    <t>TITAGARH</t>
  </si>
  <si>
    <t>TITAGARH RAIL SYSTEMS LTD</t>
  </si>
  <si>
    <t>INE280A01028</t>
  </si>
  <si>
    <t>TITAN</t>
  </si>
  <si>
    <t>TITAN COMPANY LIMITED</t>
  </si>
  <si>
    <t>INE932C01012</t>
  </si>
  <si>
    <t>TOKYOPLAST</t>
  </si>
  <si>
    <t>TOKYO PLAST INTL LTD</t>
  </si>
  <si>
    <t>INE0RWQ01014</t>
  </si>
  <si>
    <t>TOLINS</t>
  </si>
  <si>
    <t>TOLINS TYRES LIMITED</t>
  </si>
  <si>
    <t>INE685A01028</t>
  </si>
  <si>
    <t>TORNTPHARM</t>
  </si>
  <si>
    <t>TORRENT PHARMACEUTICALS L</t>
  </si>
  <si>
    <t>INE813H01021</t>
  </si>
  <si>
    <t>TORNTPOWER</t>
  </si>
  <si>
    <t>TORRENT POWER LTD</t>
  </si>
  <si>
    <t>INE336X01012</t>
  </si>
  <si>
    <t>TOTAL</t>
  </si>
  <si>
    <t>TOTAL TRANSPORT SYS LTD</t>
  </si>
  <si>
    <t>INE486Y01013</t>
  </si>
  <si>
    <t>TOUCHWOOD</t>
  </si>
  <si>
    <t>TOUCHWOOD ENTERTAIN LTD.</t>
  </si>
  <si>
    <t>INE305A01023</t>
  </si>
  <si>
    <t>TFCILTD</t>
  </si>
  <si>
    <t>TOURISM FINANCE CORP. OF</t>
  </si>
  <si>
    <t>INE457P01020</t>
  </si>
  <si>
    <t>TOYAMSL</t>
  </si>
  <si>
    <t>TOYAM SPORTS LTD.</t>
  </si>
  <si>
    <t>INE413G01022</t>
  </si>
  <si>
    <t>TPLPLASTEH</t>
  </si>
  <si>
    <t>TPL PLASTECH LIMITED</t>
  </si>
  <si>
    <t>INE0HMF01019</t>
  </si>
  <si>
    <t>TRACXN</t>
  </si>
  <si>
    <t>TRACXN TECHNOLOGIES LTD</t>
  </si>
  <si>
    <t>INE763I01026</t>
  </si>
  <si>
    <t>TARIL</t>
  </si>
  <si>
    <t>TRANS &amp; RECTI. LTD</t>
  </si>
  <si>
    <t>INE330E01023</t>
  </si>
  <si>
    <t>TRANSCOR</t>
  </si>
  <si>
    <t>TRANSCORP INTERNATIONAL L</t>
  </si>
  <si>
    <t>INE0O3901029</t>
  </si>
  <si>
    <t>TREL</t>
  </si>
  <si>
    <t>TRANSINDIA REAL ESTATE L</t>
  </si>
  <si>
    <t>INE687A01016</t>
  </si>
  <si>
    <t>TRANSPEK</t>
  </si>
  <si>
    <t>TRANSPEK INDUSTRIES LTD</t>
  </si>
  <si>
    <t>INE688A01022</t>
  </si>
  <si>
    <t>TCI</t>
  </si>
  <si>
    <t>TRANSPORT CORPN OF INDIA</t>
  </si>
  <si>
    <t>INE454P01035</t>
  </si>
  <si>
    <t>TRANSRAILL</t>
  </si>
  <si>
    <t>TRANSRAIL LIGHTING LTD</t>
  </si>
  <si>
    <t>INE0NVI01020</t>
  </si>
  <si>
    <t>TRANSTEEL</t>
  </si>
  <si>
    <t>TRANSTEEL SEATING TECH L</t>
  </si>
  <si>
    <t>INE804H01012</t>
  </si>
  <si>
    <t>TFL</t>
  </si>
  <si>
    <t>TRANSWARRANTY FIN. LTD.</t>
  </si>
  <si>
    <t>INE757B01015</t>
  </si>
  <si>
    <t>TRANSWORLD</t>
  </si>
  <si>
    <t>TRANSWORLD SHIP LINES LTD</t>
  </si>
  <si>
    <t>INE103V01028</t>
  </si>
  <si>
    <t>TRAVELFOOD</t>
  </si>
  <si>
    <t>TRAVEL FOOD SERVICES LTD</t>
  </si>
  <si>
    <t>INE040M01013</t>
  </si>
  <si>
    <t>TREEHOUSE</t>
  </si>
  <si>
    <t>TREE HOUSE EDU LTD</t>
  </si>
  <si>
    <t>INE00CA01015</t>
  </si>
  <si>
    <t>TREJHARA</t>
  </si>
  <si>
    <t>TREJHARA SOLUTIONS LTD</t>
  </si>
  <si>
    <t>INE849A01020</t>
  </si>
  <si>
    <t>TRENT</t>
  </si>
  <si>
    <t>TRENT LTD</t>
  </si>
  <si>
    <t>INE391D01019</t>
  </si>
  <si>
    <t>TRF</t>
  </si>
  <si>
    <t>TRF LIMITED</t>
  </si>
  <si>
    <t>INE760L01018</t>
  </si>
  <si>
    <t>TBZ</t>
  </si>
  <si>
    <t>TRIB BHIMJI ZAVERI LTD</t>
  </si>
  <si>
    <t>INE064C01022</t>
  </si>
  <si>
    <t>TRIDENT</t>
  </si>
  <si>
    <t>TRIDENT LIMITED</t>
  </si>
  <si>
    <t>INE0QD201012</t>
  </si>
  <si>
    <t>TECHLABS</t>
  </si>
  <si>
    <t>TRIDENT TECHLABS LIMITED</t>
  </si>
  <si>
    <t>INE0LWY01029</t>
  </si>
  <si>
    <t>TRIDHYA</t>
  </si>
  <si>
    <t>TRIDHYA TECH LIMITED</t>
  </si>
  <si>
    <t>INE948A01012</t>
  </si>
  <si>
    <t>TRIGYN</t>
  </si>
  <si>
    <t>TRIGYN TECHNOLOGIES LTD</t>
  </si>
  <si>
    <t>INE440G01017</t>
  </si>
  <si>
    <t>TRITONV</t>
  </si>
  <si>
    <t>TRITON VALVES LTD.</t>
  </si>
  <si>
    <t>INE256C01024</t>
  </si>
  <si>
    <t>TRIVENI</t>
  </si>
  <si>
    <t>TRIVENI ENGG. &amp; INDS. LTD</t>
  </si>
  <si>
    <t>INE152M01016</t>
  </si>
  <si>
    <t>TRITURBINE</t>
  </si>
  <si>
    <t>TRIVENI TURBINE LIMITED</t>
  </si>
  <si>
    <t>INE0MWH01014</t>
  </si>
  <si>
    <t>TRUALT</t>
  </si>
  <si>
    <t>TRUALT BIOENERGY LIMITED</t>
  </si>
  <si>
    <t>INE615R01029</t>
  </si>
  <si>
    <t>TRU</t>
  </si>
  <si>
    <t>TRUCAP FINANCE LIMITED</t>
  </si>
  <si>
    <t>INE0SWN01019</t>
  </si>
  <si>
    <t>TRUST</t>
  </si>
  <si>
    <t>TRUST FINTECH LIMITED</t>
  </si>
  <si>
    <t>INE16VK01010</t>
  </si>
  <si>
    <t>TSC</t>
  </si>
  <si>
    <t>TSC INDIA LIMITED</t>
  </si>
  <si>
    <t>INE202Z01029</t>
  </si>
  <si>
    <t>TSFINV</t>
  </si>
  <si>
    <t>TSF INVESTMENTS LIMITED</t>
  </si>
  <si>
    <t>INE1C3207032</t>
  </si>
  <si>
    <t>935TSI32</t>
  </si>
  <si>
    <t>TSI 9.35% 32 SR I-F</t>
  </si>
  <si>
    <t>INE910C01018</t>
  </si>
  <si>
    <t>TTKHLTCARE</t>
  </si>
  <si>
    <t>TTK HEALTHCARE LIMITED</t>
  </si>
  <si>
    <t>INE690A01028</t>
  </si>
  <si>
    <t>TTKPRESTIG</t>
  </si>
  <si>
    <t>TTK PRESTIGE LTD</t>
  </si>
  <si>
    <t>INE974X01010</t>
  </si>
  <si>
    <t>TIINDIA</t>
  </si>
  <si>
    <t>TUBE INVEST OF INDIA LTD</t>
  </si>
  <si>
    <t>INE0OXV01027</t>
  </si>
  <si>
    <t>TUNWAL</t>
  </si>
  <si>
    <t>TUNWAL E-MOTORS LIMITED</t>
  </si>
  <si>
    <t>INE0OC301013</t>
  </si>
  <si>
    <t>TURTLEMINT</t>
  </si>
  <si>
    <t>TURTLEMINT FINTECH SOLS L</t>
  </si>
  <si>
    <t>INE400A01014</t>
  </si>
  <si>
    <t>TUTIALKA</t>
  </si>
  <si>
    <t>TUTICORIN ALKAL CH &amp; FE L</t>
  </si>
  <si>
    <t>INE038F01029</t>
  </si>
  <si>
    <t>TVTODAY</t>
  </si>
  <si>
    <t>TV TODAY NETWORK LTD</t>
  </si>
  <si>
    <t>INE871L01013</t>
  </si>
  <si>
    <t>TVVISION</t>
  </si>
  <si>
    <t>TV VISION LIMITED</t>
  </si>
  <si>
    <t>INE236G01019</t>
  </si>
  <si>
    <t>TVSELECT</t>
  </si>
  <si>
    <t>TVS ELECTRONICS LTD</t>
  </si>
  <si>
    <t>INE105A01035</t>
  </si>
  <si>
    <t>TVSHLTD</t>
  </si>
  <si>
    <t>TVS HOLDINGS LIMITED</t>
  </si>
  <si>
    <t>INE494B01023</t>
  </si>
  <si>
    <t>TVSMOTOR</t>
  </si>
  <si>
    <t>TVS MOTOR COMPANY  LTD</t>
  </si>
  <si>
    <t>INE421C01016</t>
  </si>
  <si>
    <t>TVSSRICHAK</t>
  </si>
  <si>
    <t>TVS SRICHAKRA LIMITED</t>
  </si>
  <si>
    <t>INE395N01027</t>
  </si>
  <si>
    <t>TVSSCS</t>
  </si>
  <si>
    <t>TVS SUPPLY CHAIN SOL L</t>
  </si>
  <si>
    <t>INE388G01026</t>
  </si>
  <si>
    <t>TICL</t>
  </si>
  <si>
    <t>TWAMEV CONS AND INFRA LTD</t>
  </si>
  <si>
    <t>INE726E01014</t>
  </si>
  <si>
    <t>UPHOT</t>
  </si>
  <si>
    <t>U P HOTELS LTD.</t>
  </si>
  <si>
    <t>INE152C01025</t>
  </si>
  <si>
    <t>UYFINCORP</t>
  </si>
  <si>
    <t>U. Y. FINCORP LIMITED</t>
  </si>
  <si>
    <t>INE139B01016</t>
  </si>
  <si>
    <t>UCAL</t>
  </si>
  <si>
    <t>UCAL LIMITED</t>
  </si>
  <si>
    <t>INE583D07562</t>
  </si>
  <si>
    <t>10UCL26</t>
  </si>
  <si>
    <t>UCL 10.00% SR I</t>
  </si>
  <si>
    <t>INE583D07596</t>
  </si>
  <si>
    <t>1050UCL28</t>
  </si>
  <si>
    <t>UCL 10.50% SR V</t>
  </si>
  <si>
    <t>INE691A01018</t>
  </si>
  <si>
    <t>UCOBANK</t>
  </si>
  <si>
    <t>UCO BANK</t>
  </si>
  <si>
    <t>INE551B01012</t>
  </si>
  <si>
    <t>UDAYJEW</t>
  </si>
  <si>
    <t>UDAY JEWELLERY INDS. LTD.</t>
  </si>
  <si>
    <t>INE0N0Y01013</t>
  </si>
  <si>
    <t>USK</t>
  </si>
  <si>
    <t>UDAYSHIVAKUMAR INFRA LTD</t>
  </si>
  <si>
    <t>INE516A01017</t>
  </si>
  <si>
    <t>UFLEX</t>
  </si>
  <si>
    <t>UFLEX LIMITED</t>
  </si>
  <si>
    <t>INE527H01019</t>
  </si>
  <si>
    <t>UFO</t>
  </si>
  <si>
    <t>UFO MOVIEZ INDIA LTD.</t>
  </si>
  <si>
    <t>INE583D01011</t>
  </si>
  <si>
    <t>UGROCAP</t>
  </si>
  <si>
    <t>UGRO CAPITAL LIMITED</t>
  </si>
  <si>
    <t>INE899L01030</t>
  </si>
  <si>
    <t>UEL</t>
  </si>
  <si>
    <t>UJAAS ENERGY LIMITED</t>
  </si>
  <si>
    <t>INE551W01018</t>
  </si>
  <si>
    <t>UJJIVANSFB</t>
  </si>
  <si>
    <t>UJJIVAN SMALL FINANC BANK</t>
  </si>
  <si>
    <t>INE00F301010</t>
  </si>
  <si>
    <t>UWCSL</t>
  </si>
  <si>
    <t>ULTRA WIRING CONN SYS LTD</t>
  </si>
  <si>
    <t>INE405A01021</t>
  </si>
  <si>
    <t>ULTRAMAR</t>
  </si>
  <si>
    <t>ULTRAMARINE &amp; PIGMENTS L</t>
  </si>
  <si>
    <t>INE481G01011</t>
  </si>
  <si>
    <t>ULTRACEMCO</t>
  </si>
  <si>
    <t>ULTRATECH CEMENT LIMITED</t>
  </si>
  <si>
    <t>INE067901012</t>
  </si>
  <si>
    <t>UMA</t>
  </si>
  <si>
    <t>UMA CONVERTER LIMITED</t>
  </si>
  <si>
    <t>INE0GIU01018</t>
  </si>
  <si>
    <t>UMAEXPORTS</t>
  </si>
  <si>
    <t>UMA EXPORTS LIMITED</t>
  </si>
  <si>
    <t>INE398B01018</t>
  </si>
  <si>
    <t>UMIYA-MRO</t>
  </si>
  <si>
    <t>UMIYA BUILDCON LIMITED</t>
  </si>
  <si>
    <t>INE351A01035</t>
  </si>
  <si>
    <t>UNICHEMLAB</t>
  </si>
  <si>
    <t>UNICHEM LABORATORIES LTD</t>
  </si>
  <si>
    <t>INE00U401027</t>
  </si>
  <si>
    <t>UNIECOM</t>
  </si>
  <si>
    <t>UNICOMMERCE ESOLUTIONS L</t>
  </si>
  <si>
    <t>INE0PRF01011</t>
  </si>
  <si>
    <t>UNIHEALTH</t>
  </si>
  <si>
    <t>UNIHEALTH HOSPITALS LTD</t>
  </si>
  <si>
    <t>INE481Z01011</t>
  </si>
  <si>
    <t>UNIINFO</t>
  </si>
  <si>
    <t>UNIINFO TELECOM SERVI LTD</t>
  </si>
  <si>
    <t>INE0B2801011</t>
  </si>
  <si>
    <t>UNILEX</t>
  </si>
  <si>
    <t>UNILEX COLOURS AND CHEM L</t>
  </si>
  <si>
    <t>INE0U3I01011</t>
  </si>
  <si>
    <t>UNIMECH</t>
  </si>
  <si>
    <t>UNIMECH AEROSPACE N MFG L</t>
  </si>
  <si>
    <t>INE692A01016</t>
  </si>
  <si>
    <t>UNIONBANK</t>
  </si>
  <si>
    <t>UNION BANK OF INDIA</t>
  </si>
  <si>
    <t>INF582M01KS4</t>
  </si>
  <si>
    <t>UNIONGOLD</t>
  </si>
  <si>
    <t>UNIONAMC - UNIONGOLD</t>
  </si>
  <si>
    <t>INE244O01017</t>
  </si>
  <si>
    <t>UNIPARTS</t>
  </si>
  <si>
    <t>UNIPARTS INDIA LIMITED</t>
  </si>
  <si>
    <t>INE037A01022</t>
  </si>
  <si>
    <t>UNIENTER</t>
  </si>
  <si>
    <t>UNIPHOS ENTERPRISES LTD</t>
  </si>
  <si>
    <t>INE694A01020</t>
  </si>
  <si>
    <t>UNITECH</t>
  </si>
  <si>
    <t>UNITECH LTD</t>
  </si>
  <si>
    <t>INE686F01025</t>
  </si>
  <si>
    <t>UBL</t>
  </si>
  <si>
    <t>UNITED BREWERIES LTD</t>
  </si>
  <si>
    <t>INE961D01019</t>
  </si>
  <si>
    <t>UNIDT</t>
  </si>
  <si>
    <t>UNITED DRILLING TOOLS LTD</t>
  </si>
  <si>
    <t>INE382M01027</t>
  </si>
  <si>
    <t>UFBL</t>
  </si>
  <si>
    <t>UNITED FOODBRANDS LIMITED</t>
  </si>
  <si>
    <t>INE0SMR01011</t>
  </si>
  <si>
    <t>UHTL</t>
  </si>
  <si>
    <t>UNITED HEAT TRANSFER LTD</t>
  </si>
  <si>
    <t>INE458F01011</t>
  </si>
  <si>
    <t>UNITEDTEA</t>
  </si>
  <si>
    <t>UNITED NILGIRI TEA LTD</t>
  </si>
  <si>
    <t>INE368U01029</t>
  </si>
  <si>
    <t>UNITEDPOLY</t>
  </si>
  <si>
    <t>UNITED POLYFAB GUJ. LTD.</t>
  </si>
  <si>
    <t>INE854D01024</t>
  </si>
  <si>
    <t>UNITDSPR</t>
  </si>
  <si>
    <t>UNITED SPIRITS LIMITED</t>
  </si>
  <si>
    <t>INE562X01013</t>
  </si>
  <si>
    <t>UNIVASTU</t>
  </si>
  <si>
    <t>UNIVASTU INDIA LIMITED</t>
  </si>
  <si>
    <t>INE279A01012</t>
  </si>
  <si>
    <t>UNIVCABLES</t>
  </si>
  <si>
    <t>UNIVERSAL CABLES LTD</t>
  </si>
  <si>
    <t>INE03V001013</t>
  </si>
  <si>
    <t>UNIVPHOTO</t>
  </si>
  <si>
    <t>UNIVERSUS IMAGINGS LTD</t>
  </si>
  <si>
    <t>INE405E01023</t>
  </si>
  <si>
    <t>UNOMINDA</t>
  </si>
  <si>
    <t>UNO MINDA LIMITED</t>
  </si>
  <si>
    <t>INE148I08256</t>
  </si>
  <si>
    <t>915SCL26</t>
  </si>
  <si>
    <t>UNS RED NCD 9.15% SR.IX</t>
  </si>
  <si>
    <t>INE530B08110</t>
  </si>
  <si>
    <t>IIFLZC28</t>
  </si>
  <si>
    <t>UNSE RE NCD 0% SR.III</t>
  </si>
  <si>
    <t>INE530B08094</t>
  </si>
  <si>
    <t>10IIFL28A</t>
  </si>
  <si>
    <t>UNSE RE NCD 10% SR.I</t>
  </si>
  <si>
    <t>INE530B08102</t>
  </si>
  <si>
    <t>96IIFL28A</t>
  </si>
  <si>
    <t>UNSE RE NCD 9.6% SR.II</t>
  </si>
  <si>
    <t>INE477L08162</t>
  </si>
  <si>
    <t>IIFLZC28C</t>
  </si>
  <si>
    <t>UNSEC RE NCD 0% SR.III</t>
  </si>
  <si>
    <t>INE477L08147</t>
  </si>
  <si>
    <t>10IIFL28</t>
  </si>
  <si>
    <t>UNSEC RE NCD 10% SR.I</t>
  </si>
  <si>
    <t>INE477L08154</t>
  </si>
  <si>
    <t>96IIFL28</t>
  </si>
  <si>
    <t>UNSEC RE NCD 9.60% SR.II</t>
  </si>
  <si>
    <t>INE851I01011</t>
  </si>
  <si>
    <t>UDS</t>
  </si>
  <si>
    <t>UPDATER SERVICES LIMITED</t>
  </si>
  <si>
    <t>INE628A01036</t>
  </si>
  <si>
    <t>UPL</t>
  </si>
  <si>
    <t>UPL LIMITED</t>
  </si>
  <si>
    <t>INE0CBM01019</t>
  </si>
  <si>
    <t>USASEEDS</t>
  </si>
  <si>
    <t>UPSURGE SEEDS OF AGRI LTD</t>
  </si>
  <si>
    <t>INE568Z01015</t>
  </si>
  <si>
    <t>URAVIDEF</t>
  </si>
  <si>
    <t>URAVI DEFENCE &amp;TECH LTD</t>
  </si>
  <si>
    <t>INE0CAZ01013</t>
  </si>
  <si>
    <t>URBANCO</t>
  </si>
  <si>
    <t>URBAN COMPANY LIMITED</t>
  </si>
  <si>
    <t>INE0O0201019</t>
  </si>
  <si>
    <t>URBAN</t>
  </si>
  <si>
    <t>URBAN ENVIRO WASTE MGMT L</t>
  </si>
  <si>
    <t>INE550C01020</t>
  </si>
  <si>
    <t>URJA</t>
  </si>
  <si>
    <t>URJA GLOBAL LIMITED</t>
  </si>
  <si>
    <t>INE0LS001014</t>
  </si>
  <si>
    <t>USHAFIN</t>
  </si>
  <si>
    <t>USHA FINANCIAL SERVICES L</t>
  </si>
  <si>
    <t>INE240C01028</t>
  </si>
  <si>
    <t>UMESLTD</t>
  </si>
  <si>
    <t>USHA MARTIN EDU &amp; SOL LTD</t>
  </si>
  <si>
    <t>INE228A01035</t>
  </si>
  <si>
    <t>USHAMART</t>
  </si>
  <si>
    <t>USHA MARTIN LTD.</t>
  </si>
  <si>
    <t>INE094J01016</t>
  </si>
  <si>
    <t>UTIAMC</t>
  </si>
  <si>
    <t>UTI ASSET MNGMT CO LTD</t>
  </si>
  <si>
    <t>INF789F1AG68</t>
  </si>
  <si>
    <t>LIQUIDBETA</t>
  </si>
  <si>
    <t>UTIAMC - LIQUIDBETA</t>
  </si>
  <si>
    <t>INF789F1AG76</t>
  </si>
  <si>
    <t>NIF500BETA</t>
  </si>
  <si>
    <t>UTIAMC - NIF500BETA</t>
  </si>
  <si>
    <t>INF789F1AUV1</t>
  </si>
  <si>
    <t>BANKBETA</t>
  </si>
  <si>
    <t>UTIAMC-BANKBETA</t>
  </si>
  <si>
    <t>INF789F1AZF3</t>
  </si>
  <si>
    <t>GILT10BETA</t>
  </si>
  <si>
    <t>UTIAMC-GILT10BETA</t>
  </si>
  <si>
    <t>INF789F1AZE6</t>
  </si>
  <si>
    <t>GILT5BETA</t>
  </si>
  <si>
    <t>UTIAMC-GILT5BETA</t>
  </si>
  <si>
    <t>INF789F1AZD8</t>
  </si>
  <si>
    <t>ITBETA</t>
  </si>
  <si>
    <t>UTIAMC-ITBETA</t>
  </si>
  <si>
    <t>INF789F1AYX9</t>
  </si>
  <si>
    <t>MIDCAPBETA</t>
  </si>
  <si>
    <t>UTIAMC-MIDCAPBETA</t>
  </si>
  <si>
    <t>INF789F1AUW9</t>
  </si>
  <si>
    <t>NEXT50BETA</t>
  </si>
  <si>
    <t>UTIAMC-NEXT50BETA</t>
  </si>
  <si>
    <t>INF789F1AZC0</t>
  </si>
  <si>
    <t>NIFTYBETA</t>
  </si>
  <si>
    <t>UTIAMC-NIFTYBETA</t>
  </si>
  <si>
    <t>INF789FB1X58</t>
  </si>
  <si>
    <t>SENSEXBETA</t>
  </si>
  <si>
    <t>UTIAMC-SENSEXBETA</t>
  </si>
  <si>
    <t>INF789F1AYK6</t>
  </si>
  <si>
    <t>SILVERBETA</t>
  </si>
  <si>
    <t>UTIAMC-SILVERBETA</t>
  </si>
  <si>
    <t>INF789F1AUU3</t>
  </si>
  <si>
    <t>SNXT50BETA</t>
  </si>
  <si>
    <t>UTIAMC-SNXT50BETA</t>
  </si>
  <si>
    <t>INF789F1AUX7</t>
  </si>
  <si>
    <t>GOLDBETA</t>
  </si>
  <si>
    <t>UTIAMC-UTIGOLDBETA</t>
  </si>
  <si>
    <t>INE1V1R01014</t>
  </si>
  <si>
    <t>UTKAL</t>
  </si>
  <si>
    <t>UTKAL SPEC INDUS INDIA L</t>
  </si>
  <si>
    <t>INE735W01017</t>
  </si>
  <si>
    <t>UTKARSHBNK</t>
  </si>
  <si>
    <t>UTKARSH SMALL FIN BANK L</t>
  </si>
  <si>
    <t>INE06IJ01010</t>
  </si>
  <si>
    <t>UTSSAV</t>
  </si>
  <si>
    <t>UTSSAV CZ GOLD JEWELS LTD</t>
  </si>
  <si>
    <t>INE786F01031</t>
  </si>
  <si>
    <t>UTTAMSUGAR</t>
  </si>
  <si>
    <t>UTTAM SUGAR MILLS LTD.</t>
  </si>
  <si>
    <t>INE0GXK01018</t>
  </si>
  <si>
    <t>VMARCIND</t>
  </si>
  <si>
    <t>V MARC INDIA LIMITED</t>
  </si>
  <si>
    <t>INE0QQM01017</t>
  </si>
  <si>
    <t>VR</t>
  </si>
  <si>
    <t>V R INFRASPACE LIMITED</t>
  </si>
  <si>
    <t>INE222F01029</t>
  </si>
  <si>
    <t>VTMLTD</t>
  </si>
  <si>
    <t>V T M LTD.</t>
  </si>
  <si>
    <t>INE951I01027</t>
  </si>
  <si>
    <t>VGUARD</t>
  </si>
  <si>
    <t>V-GUARD IND LTD.</t>
  </si>
  <si>
    <t>INE0QXL01015</t>
  </si>
  <si>
    <t>VLINFRA</t>
  </si>
  <si>
    <t>V.L.INFRAPROJECTS LIMITED</t>
  </si>
  <si>
    <t>INE945H01021</t>
  </si>
  <si>
    <t>V2RETAIL</t>
  </si>
  <si>
    <t>V2 RETAIL LIMITED</t>
  </si>
  <si>
    <t>INE956G01038</t>
  </si>
  <si>
    <t>WABAG</t>
  </si>
  <si>
    <t>VA TECH WABAG LTD</t>
  </si>
  <si>
    <t>INE693D01018</t>
  </si>
  <si>
    <t>VADILENT</t>
  </si>
  <si>
    <t>VADILAL ENTERPRISES LTD.</t>
  </si>
  <si>
    <t>INE694D01016</t>
  </si>
  <si>
    <t>VADILALIND</t>
  </si>
  <si>
    <t>VADILAL INDUSTRIES LTD</t>
  </si>
  <si>
    <t>INE551Q01028</t>
  </si>
  <si>
    <t>VSCL</t>
  </si>
  <si>
    <t>VADIVARHE SPCLTY CHEM LTD</t>
  </si>
  <si>
    <t>INE884A01027</t>
  </si>
  <si>
    <t>VAIBHAVGBL</t>
  </si>
  <si>
    <t>VAIBHAV GLOBAL LIMITED</t>
  </si>
  <si>
    <t>INE0JR301013</t>
  </si>
  <si>
    <t>MADHAVBAUG</t>
  </si>
  <si>
    <t>VAIDYA SANE AYUR LAB LTD</t>
  </si>
  <si>
    <t>INE972X01022</t>
  </si>
  <si>
    <t>VAISHALI</t>
  </si>
  <si>
    <t>VAISHALI PHARMA LIMITED</t>
  </si>
  <si>
    <t>INE051B01021</t>
  </si>
  <si>
    <t>VAKRANGEE</t>
  </si>
  <si>
    <t>VAKRANGEE LIMITED</t>
  </si>
  <si>
    <t>INE0JWS01017</t>
  </si>
  <si>
    <t>VALIANTLAB</t>
  </si>
  <si>
    <t>VALIANT LABORATORIES LTD</t>
  </si>
  <si>
    <t>INE565V01010</t>
  </si>
  <si>
    <t>VALIANTORG</t>
  </si>
  <si>
    <t>VALIANT ORGANICS LIMITED</t>
  </si>
  <si>
    <t>INE879I01012</t>
  </si>
  <si>
    <t>DBREALTY</t>
  </si>
  <si>
    <t>VALOR ESTATE LIMITED</t>
  </si>
  <si>
    <t>INE1E7Y01018</t>
  </si>
  <si>
    <t>VALUE360</t>
  </si>
  <si>
    <t>VALUE 360 COMMUNICATION L</t>
  </si>
  <si>
    <t>INE116G01013</t>
  </si>
  <si>
    <t>VARDHACRLC</t>
  </si>
  <si>
    <t>VARDHAMAN ACRYLICS LTD</t>
  </si>
  <si>
    <t>INE701A01023</t>
  </si>
  <si>
    <t>VHL</t>
  </si>
  <si>
    <t>VARDHMAN HOLDINGS LIMITED</t>
  </si>
  <si>
    <t>INE835A01029</t>
  </si>
  <si>
    <t>VARDMNPOLY</t>
  </si>
  <si>
    <t>VARDHMAN POLYTEX LTD.</t>
  </si>
  <si>
    <t>INE050M01012</t>
  </si>
  <si>
    <t>VSSL</t>
  </si>
  <si>
    <t>VARDHMAN SPC STEEL LTD</t>
  </si>
  <si>
    <t>INE825A01020</t>
  </si>
  <si>
    <t>VTL</t>
  </si>
  <si>
    <t>VARDHMAN TEXTILES LIMITED</t>
  </si>
  <si>
    <t>INE665L01035</t>
  </si>
  <si>
    <t>VARROC</t>
  </si>
  <si>
    <t>VARROC ENGINEERING LTD.</t>
  </si>
  <si>
    <t>INE200M01039</t>
  </si>
  <si>
    <t>VBL</t>
  </si>
  <si>
    <t>VARUN BEVERAGES LIMITED</t>
  </si>
  <si>
    <t>INE273D01027</t>
  </si>
  <si>
    <t>VGL</t>
  </si>
  <si>
    <t>VARVEE GLOBAL LIMITED</t>
  </si>
  <si>
    <t>INE0N5801013</t>
  </si>
  <si>
    <t>DENTALKART</t>
  </si>
  <si>
    <t>VASA DENTICITY LIMITED</t>
  </si>
  <si>
    <t>INE068Z01016</t>
  </si>
  <si>
    <t>VASA</t>
  </si>
  <si>
    <t>VASA RETAIL &amp; OVERSEA LTD</t>
  </si>
  <si>
    <t>INE893I01013</t>
  </si>
  <si>
    <t>VASCONEQ</t>
  </si>
  <si>
    <t>VASCON ENGINEERS LTD</t>
  </si>
  <si>
    <t>INE590L01019</t>
  </si>
  <si>
    <t>VASWANI</t>
  </si>
  <si>
    <t>VASWANI IND LTD</t>
  </si>
  <si>
    <t>INE098201036</t>
  </si>
  <si>
    <t>VCL</t>
  </si>
  <si>
    <t>VAXTEX COTFAB LIMITED</t>
  </si>
  <si>
    <t>INE04HY07401</t>
  </si>
  <si>
    <t>115VCCL31A</t>
  </si>
  <si>
    <t>VCCL31A 11.5% 2031</t>
  </si>
  <si>
    <t>INE0U2M01015</t>
  </si>
  <si>
    <t>VDEAL</t>
  </si>
  <si>
    <t>VDEAL SYSTEM LIMITED</t>
  </si>
  <si>
    <t>INE825V01034</t>
  </si>
  <si>
    <t>MANYAVAR</t>
  </si>
  <si>
    <t>VEDANT FASHIONS LIMITED</t>
  </si>
  <si>
    <t>INE1CDF01017</t>
  </si>
  <si>
    <t>VAML</t>
  </si>
  <si>
    <t>VEDANTA ALUMINIUM METAL L</t>
  </si>
  <si>
    <t>INE1CLE01013</t>
  </si>
  <si>
    <t>VISL</t>
  </si>
  <si>
    <t>VEDANTA IRON AND STEEL L</t>
  </si>
  <si>
    <t>INE205A01025</t>
  </si>
  <si>
    <t>VEDL</t>
  </si>
  <si>
    <t>VEDANTA LIMITED</t>
  </si>
  <si>
    <t>INE704J01044</t>
  </si>
  <si>
    <t>VOGL</t>
  </si>
  <si>
    <t>VEDANTA OIL AND GAS LTD</t>
  </si>
  <si>
    <t>INE694L01019</t>
  </si>
  <si>
    <t>VEDPOWER</t>
  </si>
  <si>
    <t>VEDANTA POWER LIMITED</t>
  </si>
  <si>
    <t>INE359B01010</t>
  </si>
  <si>
    <t>VEDAVAAG</t>
  </si>
  <si>
    <t>VEDAVAAG SYSTEMS LTD.</t>
  </si>
  <si>
    <t>INE484C01030</t>
  </si>
  <si>
    <t>VEEDOL</t>
  </si>
  <si>
    <t>VEEDOL CORPORATION LTD</t>
  </si>
  <si>
    <t>INE0KTW01013</t>
  </si>
  <si>
    <t>VEEKAYEM</t>
  </si>
  <si>
    <t>VEEKAYEM FASH &amp; APP LTD</t>
  </si>
  <si>
    <t>INE232E01013</t>
  </si>
  <si>
    <t>VELJAN</t>
  </si>
  <si>
    <t>VELJAN DENISON LTD.</t>
  </si>
  <si>
    <t>INE398A01010</t>
  </si>
  <si>
    <t>VENKEYS</t>
  </si>
  <si>
    <t>VENKY S (INDIA) LIMITED</t>
  </si>
  <si>
    <t>INE781S01027</t>
  </si>
  <si>
    <t>VENTIVE</t>
  </si>
  <si>
    <t>VENTIVE HOSPITALITY LTD</t>
  </si>
  <si>
    <t>INE0JA001018</t>
  </si>
  <si>
    <t>VENUSPIPES</t>
  </si>
  <si>
    <t>VENUS PIPES &amp; TUBES LTD</t>
  </si>
  <si>
    <t>INE411B01019</t>
  </si>
  <si>
    <t>VENUSREM</t>
  </si>
  <si>
    <t>VENUS REMEDIES LIMITED</t>
  </si>
  <si>
    <t>INE0IQ001011</t>
  </si>
  <si>
    <t>VERANDA</t>
  </si>
  <si>
    <t>VERANDA LEARNING SOL LTD</t>
  </si>
  <si>
    <t>INE0NLB01018</t>
  </si>
  <si>
    <t>VERTEXPLUS</t>
  </si>
  <si>
    <t>VERTEXPLUS TECHNOLOGIES L</t>
  </si>
  <si>
    <t>INE0KXY23015</t>
  </si>
  <si>
    <t>VERTIS</t>
  </si>
  <si>
    <t>VERTIS INFRASTRUCTURE TST</t>
  </si>
  <si>
    <t>INE188Y01031</t>
  </si>
  <si>
    <t>VERTOZ</t>
  </si>
  <si>
    <t>VERTOZ LIMITED</t>
  </si>
  <si>
    <t>INE386A01023</t>
  </si>
  <si>
    <t>VESUVIUS</t>
  </si>
  <si>
    <t>VESUVIUS INDIA LTD</t>
  </si>
  <si>
    <t>INE918N01018</t>
  </si>
  <si>
    <t>VETO</t>
  </si>
  <si>
    <t>VETO SWITCHGEAR CABLE LTD</t>
  </si>
  <si>
    <t>INE0MO401019</t>
  </si>
  <si>
    <t>VIAZ</t>
  </si>
  <si>
    <t>VIAZ TYRES LIMITED</t>
  </si>
  <si>
    <t>INE0QTF01015</t>
  </si>
  <si>
    <t>VSTL</t>
  </si>
  <si>
    <t>VIBHOR STEEL TUBES LTD</t>
  </si>
  <si>
    <t>INE761Q01015</t>
  </si>
  <si>
    <t>VGCL</t>
  </si>
  <si>
    <t>VIBRANT GLOBAL CAPITAL L</t>
  </si>
  <si>
    <t>INE048C01025</t>
  </si>
  <si>
    <t>VHLTD</t>
  </si>
  <si>
    <t>VICEROY HOTELS LIMITED</t>
  </si>
  <si>
    <t>INE0F8901022</t>
  </si>
  <si>
    <t>VICTORYEV</t>
  </si>
  <si>
    <t>VICTORY ELEC VEHICL INT L</t>
  </si>
  <si>
    <t>INE632C01026</t>
  </si>
  <si>
    <t>VIDHIING</t>
  </si>
  <si>
    <t>VIDHI SPCLTY F INGRDNTS L</t>
  </si>
  <si>
    <t>INE14UN01029</t>
  </si>
  <si>
    <t>VIDYAWIRES</t>
  </si>
  <si>
    <t>VIDYA WIRES LIMITED</t>
  </si>
  <si>
    <t>INE1DM601016</t>
  </si>
  <si>
    <t>VIGOR</t>
  </si>
  <si>
    <t>VIGOR PLAST INDIA LIMITED</t>
  </si>
  <si>
    <t>INE362D01010</t>
  </si>
  <si>
    <t>VIJSOLX</t>
  </si>
  <si>
    <t>VIJAY SOLVEX LTD.</t>
  </si>
  <si>
    <t>INE043W01024</t>
  </si>
  <si>
    <t>VIJAYA</t>
  </si>
  <si>
    <t>VIJAYA DIAGNOSTIC CEN LTD</t>
  </si>
  <si>
    <t>INE0WL901019</t>
  </si>
  <si>
    <t>VIJAYPD</t>
  </si>
  <si>
    <t>VIJAYPD CEUTICAL LIMITED</t>
  </si>
  <si>
    <t>INE159N01027</t>
  </si>
  <si>
    <t>VIJIFIN</t>
  </si>
  <si>
    <t>VIJI FINANCE LIMITED</t>
  </si>
  <si>
    <t>INE806A01020</t>
  </si>
  <si>
    <t>VIKASECO</t>
  </si>
  <si>
    <t>VIKAS ECOTECH LIMITED</t>
  </si>
  <si>
    <t>INE161L01027</t>
  </si>
  <si>
    <t>VIKASLIFE</t>
  </si>
  <si>
    <t>VIKAS LIFECARE LIMITED</t>
  </si>
  <si>
    <t>INE078V01014</t>
  </si>
  <si>
    <t>VIKRAMSOLR</t>
  </si>
  <si>
    <t>VIKRAM SOLAR LIMITED</t>
  </si>
  <si>
    <t>INE01R501028</t>
  </si>
  <si>
    <t>VIKRAN</t>
  </si>
  <si>
    <t>VIKRAN ENGINEERING LTD</t>
  </si>
  <si>
    <t>INE0AZY01017</t>
  </si>
  <si>
    <t>VILAS</t>
  </si>
  <si>
    <t>VILAS TRANSCORE LIMITED</t>
  </si>
  <si>
    <t>INE0L4V01013</t>
  </si>
  <si>
    <t>VILINBIO</t>
  </si>
  <si>
    <t>VILIN BIO MED LIMITED</t>
  </si>
  <si>
    <t>INE579C01029</t>
  </si>
  <si>
    <t>VIMTALABS</t>
  </si>
  <si>
    <t>VIMTA LABS LIMITED</t>
  </si>
  <si>
    <t>INE410B01037</t>
  </si>
  <si>
    <t>VINATIORGA</t>
  </si>
  <si>
    <t>VINATI ORGANICS LTD</t>
  </si>
  <si>
    <t>INE707A01012</t>
  </si>
  <si>
    <t>VINDHYATEL</t>
  </si>
  <si>
    <t>VINDHYA TELELINKS LTD</t>
  </si>
  <si>
    <t>INE505Y01010</t>
  </si>
  <si>
    <t>VINEETLAB</t>
  </si>
  <si>
    <t>VINEET LABORATORIES LTD</t>
  </si>
  <si>
    <t>INE27V201011</t>
  </si>
  <si>
    <t>VMOBILE</t>
  </si>
  <si>
    <t>VINIT MOBILE LIMITED</t>
  </si>
  <si>
    <t>INE01KI01027</t>
  </si>
  <si>
    <t>VINNY</t>
  </si>
  <si>
    <t>VINNY OVERSEAS LIMITED</t>
  </si>
  <si>
    <t>INE0OSJ01014</t>
  </si>
  <si>
    <t>VINSYS</t>
  </si>
  <si>
    <t>VINSYS IT SERVICES IND LT</t>
  </si>
  <si>
    <t>INE498Q01014</t>
  </si>
  <si>
    <t>VINCOFE</t>
  </si>
  <si>
    <t>VINTAGE COFFEE N BVRGS L</t>
  </si>
  <si>
    <t>INE0OLS01010</t>
  </si>
  <si>
    <t>VINYAS</t>
  </si>
  <si>
    <t>VINYAS INNOVATIVE TECH L</t>
  </si>
  <si>
    <t>INE250B01029</t>
  </si>
  <si>
    <t>VINYLINDIA</t>
  </si>
  <si>
    <t>VINYL CHEMICALS (I) LTD.</t>
  </si>
  <si>
    <t>INE450G01024</t>
  </si>
  <si>
    <t>VIPCLOTHNG</t>
  </si>
  <si>
    <t>VIP CLOTHING LIMITED</t>
  </si>
  <si>
    <t>INE054A01027</t>
  </si>
  <si>
    <t>VIPIND</t>
  </si>
  <si>
    <t>VIP INDUSTRIES LTD</t>
  </si>
  <si>
    <t>INE946H01037</t>
  </si>
  <si>
    <t>VIPULLTD</t>
  </si>
  <si>
    <t>VIPUL LIMITED</t>
  </si>
  <si>
    <t>INE467D01017</t>
  </si>
  <si>
    <t>VIRAT</t>
  </si>
  <si>
    <t>VIRAT INDUSTRIES LTD.</t>
  </si>
  <si>
    <t>INE539B01017</t>
  </si>
  <si>
    <t>VIRINCHI</t>
  </si>
  <si>
    <t>VIRINCHI LIMITED</t>
  </si>
  <si>
    <t>INE0VRH01015</t>
  </si>
  <si>
    <t>VGINFOTECH</t>
  </si>
  <si>
    <t>VIRTUAL GALAXY INFOTECH L</t>
  </si>
  <si>
    <t>INE247C01023</t>
  </si>
  <si>
    <t>VIRTUALG</t>
  </si>
  <si>
    <t>VIRTUAL GLOBAL EDU LTD</t>
  </si>
  <si>
    <t>INE0I0T01010</t>
  </si>
  <si>
    <t>VOEPL</t>
  </si>
  <si>
    <t>VIRTUOSO OPTOELECTRONIC L</t>
  </si>
  <si>
    <t>INE286H01012</t>
  </si>
  <si>
    <t>VISACHROME</t>
  </si>
  <si>
    <t>VISA CHROME LIMITED</t>
  </si>
  <si>
    <t>INE370E01029</t>
  </si>
  <si>
    <t>VIVIDHA</t>
  </si>
  <si>
    <t>VISAGAR POLYTEX LTD</t>
  </si>
  <si>
    <t>INE392A01021</t>
  </si>
  <si>
    <t>VISAKAIND</t>
  </si>
  <si>
    <t>VISAKA INDUSTRIES LIMITED</t>
  </si>
  <si>
    <t>INE0BHK01012</t>
  </si>
  <si>
    <t>VISAMAN</t>
  </si>
  <si>
    <t>VISAMAN GLOBAL SALES LTD</t>
  </si>
  <si>
    <t>INE755Q01025</t>
  </si>
  <si>
    <t>VISHAL</t>
  </si>
  <si>
    <t>VISHAL FABRICS LTD.</t>
  </si>
  <si>
    <t>INE01EA01019</t>
  </si>
  <si>
    <t>VMM</t>
  </si>
  <si>
    <t>VISHAL MEGA MART LIMITED</t>
  </si>
  <si>
    <t>INE270I01022</t>
  </si>
  <si>
    <t>VISHNU</t>
  </si>
  <si>
    <t>VISHNU CHEMICALS LIMITED</t>
  </si>
  <si>
    <t>INE0AE001013</t>
  </si>
  <si>
    <t>VPRPL</t>
  </si>
  <si>
    <t>VISHNU PRAKASH R PUNGLI L</t>
  </si>
  <si>
    <t>INE0PQ001012</t>
  </si>
  <si>
    <t>VISHNUINFR</t>
  </si>
  <si>
    <t>VISHNUSURYA PROJ N INFR L</t>
  </si>
  <si>
    <t>INE430N01022</t>
  </si>
  <si>
    <t>VISHWARAJ</t>
  </si>
  <si>
    <t>VISHWARAJ SUGAR IND LTD</t>
  </si>
  <si>
    <t>INE0TR001017</t>
  </si>
  <si>
    <t>VIESL</t>
  </si>
  <si>
    <t>VISION INFRA EQUIP SOL L</t>
  </si>
  <si>
    <t>INE0L4K01016</t>
  </si>
  <si>
    <t>VITAL</t>
  </si>
  <si>
    <t>VITAL CHEMTECH LIMITED</t>
  </si>
  <si>
    <t>INE0MEG01014</t>
  </si>
  <si>
    <t>VIVIANA</t>
  </si>
  <si>
    <t>VIVIANA POWER TECH LTD</t>
  </si>
  <si>
    <t>INE24H301028</t>
  </si>
  <si>
    <t>VIVIDEL</t>
  </si>
  <si>
    <t>VIVID ELECTROMECH LIMITED</t>
  </si>
  <si>
    <t>INE526G01021</t>
  </si>
  <si>
    <t>VIVIMEDLAB</t>
  </si>
  <si>
    <t>VIVIMED LABS LIMITED</t>
  </si>
  <si>
    <t>INE380K01017</t>
  </si>
  <si>
    <t>VIVOBIOT</t>
  </si>
  <si>
    <t>VIVO BIO TECH LTD.</t>
  </si>
  <si>
    <t>INE807F01027</t>
  </si>
  <si>
    <t>VIYASH</t>
  </si>
  <si>
    <t>VIYASH SCIENTIFIC LIMITED</t>
  </si>
  <si>
    <t>INE03HW01020</t>
  </si>
  <si>
    <t>VLEGOV</t>
  </si>
  <si>
    <t>VL E GOV AND IT SOL LTD</t>
  </si>
  <si>
    <t>INE709A01018</t>
  </si>
  <si>
    <t>VLSFINANCE</t>
  </si>
  <si>
    <t>VLS FINANCE LTD</t>
  </si>
  <si>
    <t>INE665J01013</t>
  </si>
  <si>
    <t>VMART</t>
  </si>
  <si>
    <t>VMART RETAIL LTD</t>
  </si>
  <si>
    <t>INE0SJA01013</t>
  </si>
  <si>
    <t>VMSTMT</t>
  </si>
  <si>
    <t>VMS TMT LIMITED</t>
  </si>
  <si>
    <t>INE669E01016</t>
  </si>
  <si>
    <t>IDEA</t>
  </si>
  <si>
    <t>VODAFONE IDEA LIMITED</t>
  </si>
  <si>
    <t>INE285C01015</t>
  </si>
  <si>
    <t>VOITHPAPR</t>
  </si>
  <si>
    <t>VOITH PAPER FABRICS IND L</t>
  </si>
  <si>
    <t>INE241X01014</t>
  </si>
  <si>
    <t>VOLERCAR</t>
  </si>
  <si>
    <t>VOLER CAR LIMITED</t>
  </si>
  <si>
    <t>INE540H01012</t>
  </si>
  <si>
    <t>VOLTAMP</t>
  </si>
  <si>
    <t>VOLTAMP TRANSFORMERS LTD</t>
  </si>
  <si>
    <t>INE226A01021</t>
  </si>
  <si>
    <t>VOLTAS</t>
  </si>
  <si>
    <t>VOLTAS LTD</t>
  </si>
  <si>
    <t>INE0S2V01010</t>
  </si>
  <si>
    <t>VRAJ</t>
  </si>
  <si>
    <t>VRAJ IRON AND STEEL LTD</t>
  </si>
  <si>
    <t>INE366I01010</t>
  </si>
  <si>
    <t>VRLLOG</t>
  </si>
  <si>
    <t>VRL LOGISTICS LIMITED</t>
  </si>
  <si>
    <t>INE710A01016</t>
  </si>
  <si>
    <t>VSTIND</t>
  </si>
  <si>
    <t>VST INDUSTRIES LTD</t>
  </si>
  <si>
    <t>INE764D01017</t>
  </si>
  <si>
    <t>VSTTILLERS</t>
  </si>
  <si>
    <t>VST TILLERS TRACTORS LTD</t>
  </si>
  <si>
    <t>INE855A01019</t>
  </si>
  <si>
    <t>WHBRADY</t>
  </si>
  <si>
    <t>W H BRADY &amp; CO. LTD.</t>
  </si>
  <si>
    <t>INE765D01022</t>
  </si>
  <si>
    <t>WPIL</t>
  </si>
  <si>
    <t>W P I L LTD.</t>
  </si>
  <si>
    <t>INE100D01014</t>
  </si>
  <si>
    <t>WSI</t>
  </si>
  <si>
    <t>W.S.INDUSTRIES (I) LTD.</t>
  </si>
  <si>
    <t>INE377N01017</t>
  </si>
  <si>
    <t>WAAREEENER</t>
  </si>
  <si>
    <t>WAAREE ENERGIES LIMITED</t>
  </si>
  <si>
    <t>INE299N01021</t>
  </si>
  <si>
    <t>WAAREERTL</t>
  </si>
  <si>
    <t>WAAREE RENEWABLE TECH LTD</t>
  </si>
  <si>
    <t>INE0E7301029</t>
  </si>
  <si>
    <t>WAKEFIT</t>
  </si>
  <si>
    <t>WAKEFIT INNOVATIONS LTD</t>
  </si>
  <si>
    <t>INE711A01022</t>
  </si>
  <si>
    <t>WALCHANNAG</t>
  </si>
  <si>
    <t>WALCHANDNAGAR INDUSTRIES</t>
  </si>
  <si>
    <t>INE0G2G01015</t>
  </si>
  <si>
    <t>WALPAR</t>
  </si>
  <si>
    <t>WALPAR NUTRITIONS LIMITED</t>
  </si>
  <si>
    <t>INE107F01022</t>
  </si>
  <si>
    <t>WANBURY</t>
  </si>
  <si>
    <t>WANBURY LIMITED</t>
  </si>
  <si>
    <t>INE945P01024</t>
  </si>
  <si>
    <t>WARDINMOBI</t>
  </si>
  <si>
    <t>WARDWIZARD INNO &amp; MOB L</t>
  </si>
  <si>
    <t>INE054C01015</t>
  </si>
  <si>
    <t>WATERBASE</t>
  </si>
  <si>
    <t>WATERBASE LTD.</t>
  </si>
  <si>
    <t>INE0LZF01039</t>
  </si>
  <si>
    <t>CORDELIA</t>
  </si>
  <si>
    <t>WATERWAYS LEISURE TOUR L</t>
  </si>
  <si>
    <t>INE0A3007065</t>
  </si>
  <si>
    <t>1075WCA28</t>
  </si>
  <si>
    <t>WCAPL 10.75% 2028</t>
  </si>
  <si>
    <t>INE0A3007057</t>
  </si>
  <si>
    <t>1075WCAP28</t>
  </si>
  <si>
    <t>INE082W01014</t>
  </si>
  <si>
    <t>WEWIN</t>
  </si>
  <si>
    <t>WE WIN LIMITED</t>
  </si>
  <si>
    <t>INF2F0001370</t>
  </si>
  <si>
    <t>TWCGOLDETF</t>
  </si>
  <si>
    <t>WEALTH - TWCGOLDETF</t>
  </si>
  <si>
    <t>INE658T01017</t>
  </si>
  <si>
    <t>WEALTH</t>
  </si>
  <si>
    <t>WEALTH FRST PORT. MG. LTD</t>
  </si>
  <si>
    <t>INE855C01023</t>
  </si>
  <si>
    <t>WEBELSOLAR</t>
  </si>
  <si>
    <t>WEBSOL ENERGY SYSTEM LTD</t>
  </si>
  <si>
    <t>INE080A01014</t>
  </si>
  <si>
    <t>WEIZMANIND</t>
  </si>
  <si>
    <t>WEIZMANN LTD</t>
  </si>
  <si>
    <t>INE191B01025</t>
  </si>
  <si>
    <t>WELCORP</t>
  </si>
  <si>
    <t>WELSPUN CORP LIMITED</t>
  </si>
  <si>
    <t>INE625G01013</t>
  </si>
  <si>
    <t>WELENT</t>
  </si>
  <si>
    <t>WELSPUN ENTERPRISES LTD.</t>
  </si>
  <si>
    <t>INE389K01018</t>
  </si>
  <si>
    <t>WELINV</t>
  </si>
  <si>
    <t>WELSPUN INV &amp; COMM LTD</t>
  </si>
  <si>
    <t>INE192B01031</t>
  </si>
  <si>
    <t>WELSPUNLIV</t>
  </si>
  <si>
    <t>WELSPUN LIVING LIMITED</t>
  </si>
  <si>
    <t>INE731F01037</t>
  </si>
  <si>
    <t>WELSPLSOL</t>
  </si>
  <si>
    <t>WELSPUN SPECIALTY SOL L</t>
  </si>
  <si>
    <t>INE274C01019</t>
  </si>
  <si>
    <t>WENDT</t>
  </si>
  <si>
    <t>WENDT (INDIA) LIMITED</t>
  </si>
  <si>
    <t>INE976A01021</t>
  </si>
  <si>
    <t>WSTCSTPAPR</t>
  </si>
  <si>
    <t>WEST COAST PAPER MILLS LT</t>
  </si>
  <si>
    <t>INE0CJF01024</t>
  </si>
  <si>
    <t>WCIL</t>
  </si>
  <si>
    <t>WESTERN CARRIERS (IND) L</t>
  </si>
  <si>
    <t>INE274F01020</t>
  </si>
  <si>
    <t>WESTLIFE</t>
  </si>
  <si>
    <t>WESTLIFE FOODWORLD LTD</t>
  </si>
  <si>
    <t>INE085001019</t>
  </si>
  <si>
    <t>WEWORK</t>
  </si>
  <si>
    <t>WEWORK INDIA MANAGEMENT L</t>
  </si>
  <si>
    <t>INE715A01015</t>
  </si>
  <si>
    <t>WHEELS</t>
  </si>
  <si>
    <t>WHEELS INDIA LTD</t>
  </si>
  <si>
    <t>INE716A01013</t>
  </si>
  <si>
    <t>WHIRLPOOL</t>
  </si>
  <si>
    <t>WHIRLPOOL OF INDIA LTD</t>
  </si>
  <si>
    <t>INE210A01017</t>
  </si>
  <si>
    <t>WILLAMAGOR</t>
  </si>
  <si>
    <t>WILLIAMSON MAGOR</t>
  </si>
  <si>
    <t>INE0H5O01029</t>
  </si>
  <si>
    <t>WINDLAS</t>
  </si>
  <si>
    <t>WINDLAS BIOTECH LIMITED</t>
  </si>
  <si>
    <t>INE052A01021</t>
  </si>
  <si>
    <t>WINDMACHIN</t>
  </si>
  <si>
    <t>WINDSOR MACHINES LIMITED</t>
  </si>
  <si>
    <t>INE0S3D01016</t>
  </si>
  <si>
    <t>WINSOL</t>
  </si>
  <si>
    <t>WINSOL ENGINEERS LIMITED</t>
  </si>
  <si>
    <t>INE075A01022</t>
  </si>
  <si>
    <t>WIPRO</t>
  </si>
  <si>
    <t>WIPRO LTD</t>
  </si>
  <si>
    <t>INE623Y01011</t>
  </si>
  <si>
    <t>WTICAB</t>
  </si>
  <si>
    <t>WISE TRAVEL INDIA LIMITED</t>
  </si>
  <si>
    <t>INE049B01025</t>
  </si>
  <si>
    <t>WOCKPHARMA</t>
  </si>
  <si>
    <t>WOCKHARDT LIMITED</t>
  </si>
  <si>
    <t>INE0OO201011</t>
  </si>
  <si>
    <t>WOL3D</t>
  </si>
  <si>
    <t>WOL 3D INDIA LIMITED</t>
  </si>
  <si>
    <t>INE0Q9601016</t>
  </si>
  <si>
    <t>WOMANCART</t>
  </si>
  <si>
    <t>WOMANCART LIMITED</t>
  </si>
  <si>
    <t>INE02WG01024</t>
  </si>
  <si>
    <t>WEL</t>
  </si>
  <si>
    <t>WONDER ELECTRICALS LTD</t>
  </si>
  <si>
    <t>INE066O01014</t>
  </si>
  <si>
    <t>WONDERLA</t>
  </si>
  <si>
    <t>WONDERLA HOLIDAYS LTD.</t>
  </si>
  <si>
    <t>INE196Y01018</t>
  </si>
  <si>
    <t>WORTHPERI</t>
  </si>
  <si>
    <t>WORTH PERIPHERALS LIMITED</t>
  </si>
  <si>
    <t>INE692G01013</t>
  </si>
  <si>
    <t>XCHANGING</t>
  </si>
  <si>
    <t>XCHANGING SOLUTIONS LTD</t>
  </si>
  <si>
    <t>INE01P501012</t>
  </si>
  <si>
    <t>XELPMOC</t>
  </si>
  <si>
    <t>XELPMOC DESIGN &amp; TECH LTD</t>
  </si>
  <si>
    <t>INE445C01015</t>
  </si>
  <si>
    <t>XPROINDIA</t>
  </si>
  <si>
    <t>XPRO INDIA LIMITED</t>
  </si>
  <si>
    <t>INE547B01028</t>
  </si>
  <si>
    <t>XTGLOBAL</t>
  </si>
  <si>
    <t>XTGLOBAL INFOTECH LIMITED</t>
  </si>
  <si>
    <t>INE0NG701011</t>
  </si>
  <si>
    <t>XTRANET</t>
  </si>
  <si>
    <t>XTRANET TECHNOLOGIES LTD</t>
  </si>
  <si>
    <t>INE0U0J01015</t>
  </si>
  <si>
    <t>YAAP</t>
  </si>
  <si>
    <t>YAAP DIGITAL LIMITED</t>
  </si>
  <si>
    <t>INE0TO601017</t>
  </si>
  <si>
    <t>YASHOPTICS</t>
  </si>
  <si>
    <t>YASH OPTICS &amp; LENS LTD</t>
  </si>
  <si>
    <t>INE616Z01012</t>
  </si>
  <si>
    <t>YASHO</t>
  </si>
  <si>
    <t>YASHO INDUSTRIES LIMITED</t>
  </si>
  <si>
    <t>INE08S201019</t>
  </si>
  <si>
    <t>YCCL</t>
  </si>
  <si>
    <t>YASONS CHEMEX CARE LTD</t>
  </si>
  <si>
    <t>INE0JO301016</t>
  </si>
  <si>
    <t>YATHARTH</t>
  </si>
  <si>
    <t>YATHARTH HOSP &amp; TRA C S L</t>
  </si>
  <si>
    <t>INE0JR601024</t>
  </si>
  <si>
    <t>YATRA</t>
  </si>
  <si>
    <t>YATRA ONLINE LIMITED</t>
  </si>
  <si>
    <t>INE528G01035</t>
  </si>
  <si>
    <t>YESBANK</t>
  </si>
  <si>
    <t>YES BANK LIMITED</t>
  </si>
  <si>
    <t>INE290E01011</t>
  </si>
  <si>
    <t>YOGI</t>
  </si>
  <si>
    <t>YOGI LTD.</t>
  </si>
  <si>
    <t>INE09FA01019</t>
  </si>
  <si>
    <t>YUDIZ</t>
  </si>
  <si>
    <t>YUDIZ SOLUTIONS LIMITED</t>
  </si>
  <si>
    <t>INE384C01016</t>
  </si>
  <si>
    <t>YUKEN</t>
  </si>
  <si>
    <t>YUKEN INDIA LIMITED</t>
  </si>
  <si>
    <t>INE116C01012</t>
  </si>
  <si>
    <t>ZFSTEERING</t>
  </si>
  <si>
    <t>Z F STEERING GEAR (I) LTD</t>
  </si>
  <si>
    <t>INE0ISZ01012</t>
  </si>
  <si>
    <t>ZTECH</t>
  </si>
  <si>
    <t>Z-TECH (INDIA) LIMITED</t>
  </si>
  <si>
    <t>INE07K301024</t>
  </si>
  <si>
    <t>ZAGGLE</t>
  </si>
  <si>
    <t>ZAGGLE PREPA OCEAN SER L</t>
  </si>
  <si>
    <t>INE0PPS01018</t>
  </si>
  <si>
    <t>ZEAL</t>
  </si>
  <si>
    <t>ZEAL GLOBAL SERVICES LTD</t>
  </si>
  <si>
    <t>INE256A01028</t>
  </si>
  <si>
    <t>ZEEL</t>
  </si>
  <si>
    <t>ZEE ENTERTAINMENT ENT LTD</t>
  </si>
  <si>
    <t>INE565L01011</t>
  </si>
  <si>
    <t>ZEELEARN</t>
  </si>
  <si>
    <t>ZEE LEARN LIMITED</t>
  </si>
  <si>
    <t>INE966H01019</t>
  </si>
  <si>
    <t>ZEEMEDIA</t>
  </si>
  <si>
    <t>ZEE MEDIA CORPORATION LTD</t>
  </si>
  <si>
    <t>INE251B01027</t>
  </si>
  <si>
    <t>ZENTEC</t>
  </si>
  <si>
    <t>ZEN TECHNOLOGIES LIMITED</t>
  </si>
  <si>
    <t>INE0QWN01013</t>
  </si>
  <si>
    <t>ZENITHDRUG</t>
  </si>
  <si>
    <t>ZENITH DRUGS LIMITED</t>
  </si>
  <si>
    <t>INE058B01018</t>
  </si>
  <si>
    <t>ZENITHEXPO</t>
  </si>
  <si>
    <t>ZENITH EXPORTS LTD</t>
  </si>
  <si>
    <t>INE318D01020</t>
  </si>
  <si>
    <t>ZENITHSTL</t>
  </si>
  <si>
    <t>ZENITH STEEL PIP IND LTD</t>
  </si>
  <si>
    <t>INE520A01027</t>
  </si>
  <si>
    <t>ZENSARTECH</t>
  </si>
  <si>
    <t>ZENSAR TECHNOLOGIES  LTD</t>
  </si>
  <si>
    <t>INF0R8F01042</t>
  </si>
  <si>
    <t>GOLDCASE</t>
  </si>
  <si>
    <t>ZERODHAAMC - GOLDCASE</t>
  </si>
  <si>
    <t>INF0R8F01034</t>
  </si>
  <si>
    <t>LIQUIDCASE</t>
  </si>
  <si>
    <t>ZERODHAAMC - LIQUIDCASE</t>
  </si>
  <si>
    <t>INF0R8F01133</t>
  </si>
  <si>
    <t>LTGILTCASE</t>
  </si>
  <si>
    <t>ZERODHAAMC - LTGILTCASE</t>
  </si>
  <si>
    <t>INF0R8F01059</t>
  </si>
  <si>
    <t>MID150CASE</t>
  </si>
  <si>
    <t>ZERODHAAMC - MID150CASE</t>
  </si>
  <si>
    <t>INF0R8F01166</t>
  </si>
  <si>
    <t>NIFTYCASE</t>
  </si>
  <si>
    <t>ZERODHAAMC - NIFTYCASE</t>
  </si>
  <si>
    <t>INF0R8F01091</t>
  </si>
  <si>
    <t>SILVERCASE</t>
  </si>
  <si>
    <t>ZERODHAAMC - SILVERCASE</t>
  </si>
  <si>
    <t>INF0R8F01141</t>
  </si>
  <si>
    <t>SML100CASE</t>
  </si>
  <si>
    <t>ZERODHAAMC - SML100CASE</t>
  </si>
  <si>
    <t>INF0R8F01067</t>
  </si>
  <si>
    <t>TOP100CASE</t>
  </si>
  <si>
    <t>ZERODHAAMC - TOP100CASE</t>
  </si>
  <si>
    <t>INE342J01019</t>
  </si>
  <si>
    <t>ZFCVINDIA</t>
  </si>
  <si>
    <t>ZF COM VE CTR SYS IND LTD</t>
  </si>
  <si>
    <t>INE518E01015</t>
  </si>
  <si>
    <t>ZIMLAB</t>
  </si>
  <si>
    <t>ZIM LABORATORIES LIMITED</t>
  </si>
  <si>
    <t>INE206B01013</t>
  </si>
  <si>
    <t>ZODIACLOTH</t>
  </si>
  <si>
    <t>ZODIAC CLOTHING CO. LTD.</t>
  </si>
  <si>
    <t>INE761Y01019</t>
  </si>
  <si>
    <t>ZODIAC</t>
  </si>
  <si>
    <t>ZODIAC ENERGY LIMITED</t>
  </si>
  <si>
    <t>INE358U01012</t>
  </si>
  <si>
    <t>ZOTA</t>
  </si>
  <si>
    <t>ZOTA HEALTH CARE LIMITED</t>
  </si>
  <si>
    <t>INE840M01016</t>
  </si>
  <si>
    <t>ZUARI</t>
  </si>
  <si>
    <t>ZUARI AGRO CHEMICALS LTD</t>
  </si>
  <si>
    <t>INE217A01012</t>
  </si>
  <si>
    <t>ZUARIIND</t>
  </si>
  <si>
    <t>ZUARI INDUSTRIES LIMITED</t>
  </si>
  <si>
    <t>INE010B01027</t>
  </si>
  <si>
    <t>ZYDUSLIFE</t>
  </si>
  <si>
    <t>ZYDUS LIFESCIENCES LTD</t>
  </si>
  <si>
    <t>INE768C01028</t>
  </si>
  <si>
    <t>ZYDUSWELL</t>
  </si>
  <si>
    <t>ZYDUS WELLNESS LIMITED</t>
  </si>
  <si>
    <t>High</t>
  </si>
  <si>
    <t>Low</t>
  </si>
  <si>
    <t>Difference</t>
  </si>
  <si>
    <t>Trg 1- 13</t>
  </si>
  <si>
    <t>Trg 2 -21</t>
  </si>
  <si>
    <t>Trg 3 - 34</t>
  </si>
  <si>
    <t>Trg 4 -55</t>
  </si>
  <si>
    <t>Trg 5 -89</t>
  </si>
  <si>
    <t>Trg-144</t>
  </si>
  <si>
    <t>144% Still Price</t>
  </si>
  <si>
    <t>% Change from Lows</t>
  </si>
  <si>
    <t>Curr mkt price</t>
  </si>
  <si>
    <t>Previous close</t>
  </si>
  <si>
    <t>10% correction</t>
  </si>
  <si>
    <t>20% correction</t>
  </si>
  <si>
    <t>No</t>
  </si>
  <si>
    <t>Weekly Close</t>
  </si>
  <si>
    <t>Support - Resistance</t>
  </si>
  <si>
    <t>Weekly Close Date</t>
  </si>
  <si>
    <t>Check lows support</t>
  </si>
  <si>
    <t>Today's Close</t>
  </si>
  <si>
    <t>07.08.2026</t>
  </si>
  <si>
    <t>09.08.2026</t>
  </si>
  <si>
    <t>Ashapurmin</t>
  </si>
  <si>
    <t>620-670-760-810-925-990</t>
  </si>
  <si>
    <t>Astramicro</t>
  </si>
  <si>
    <t>1560-1680-1870-1960</t>
  </si>
  <si>
    <t>31.07.2026</t>
  </si>
  <si>
    <t>Atherenerg</t>
  </si>
  <si>
    <t>1240-1320-1860</t>
  </si>
  <si>
    <t>28.08.2026</t>
  </si>
  <si>
    <t>Aurionpro</t>
  </si>
  <si>
    <t>725-910-960-1180</t>
  </si>
  <si>
    <t>Avalon</t>
  </si>
  <si>
    <t>1480-1710-1795-2130</t>
  </si>
  <si>
    <t>1340-1655-1715-1890-2040</t>
  </si>
  <si>
    <t>370-470-560-640-950</t>
  </si>
  <si>
    <t>Hcg</t>
  </si>
  <si>
    <t>575-615-640-700-815</t>
  </si>
  <si>
    <t>21.08.2026</t>
  </si>
  <si>
    <t>Heg</t>
  </si>
  <si>
    <t>585-640-690-820-950</t>
  </si>
  <si>
    <t>Heritgfood</t>
  </si>
  <si>
    <t>282-310-330-390-420-523</t>
  </si>
  <si>
    <t>Hindoilexp</t>
  </si>
  <si>
    <t>132-155-190</t>
  </si>
  <si>
    <t>Inoxwind</t>
  </si>
  <si>
    <t>68-75.8-82.25-89-95-103-118-170</t>
  </si>
  <si>
    <t>Jyoticnc</t>
  </si>
  <si>
    <t>Powermech</t>
  </si>
  <si>
    <t>2330-2490-2760-3030-3290</t>
  </si>
  <si>
    <t>Thomascook</t>
  </si>
  <si>
    <t>88-118-133-155</t>
  </si>
  <si>
    <t>Vadilalind</t>
  </si>
  <si>
    <t>5900-6710-7550-9700</t>
  </si>
  <si>
    <t>VrLlog</t>
  </si>
  <si>
    <t>255-299-316-332-400</t>
  </si>
  <si>
    <t>Zentec</t>
  </si>
  <si>
    <t>1300-1580-1850-2035-2400-2740</t>
  </si>
  <si>
    <t>NIFTY FNO STOCKS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</si>
</sst>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color rgb="FFC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2" fontId="0" fillId="0" borderId="0" xfId="0" applyNumberFormat="1"/>
    <xf numFmtId="2" fontId="0" fillId="2" borderId="0" xfId="0" applyNumberFormat="1" applyFill="1"/>
    <xf numFmtId="2" fontId="0" fillId="3" borderId="0" xfId="0" applyNumberFormat="1" applyFill="1"/>
    <xf numFmtId="2" fontId="4" fillId="2" borderId="0" xfId="0" applyNumberFormat="1" applyFont="1" applyFill="1"/>
    <xf numFmtId="2" fontId="2" fillId="0" borderId="0" xfId="0" applyNumberFormat="1" applyFont="1"/>
    <xf numFmtId="0" fontId="0" fillId="0" borderId="0" xfId="0" applyAlignment="1">
      <alignment horizontal="right"/>
    </xf>
    <xf numFmtId="2" fontId="0" fillId="5" borderId="0" xfId="0" applyNumberFormat="1" applyFill="1"/>
    <xf numFmtId="1" fontId="0" fillId="0" borderId="0" xfId="0" applyNumberFormat="1"/>
    <xf numFmtId="0" fontId="6" fillId="0" borderId="0" xfId="0" applyFont="1"/>
    <xf numFmtId="2" fontId="6" fillId="0" borderId="0" xfId="0" applyNumberFormat="1" applyFont="1"/>
    <xf numFmtId="0" fontId="2" fillId="0" borderId="0" xfId="0" applyFont="1" applyAlignment="1">
      <alignment horizontal="right"/>
    </xf>
    <xf numFmtId="0" fontId="7" fillId="0" borderId="0" xfId="0" applyFont="1"/>
    <xf numFmtId="2" fontId="7" fillId="0" borderId="0" xfId="0" applyNumberFormat="1" applyFont="1"/>
    <xf numFmtId="2" fontId="8" fillId="2" borderId="0" xfId="0" applyNumberFormat="1" applyFont="1" applyFill="1" applyAlignment="1">
      <alignment horizontal="right"/>
    </xf>
    <xf numFmtId="0" fontId="7" fillId="6" borderId="0" xfId="0" applyFont="1" applyFill="1"/>
    <xf numFmtId="0" fontId="5" fillId="0" borderId="0" xfId="0" applyFont="1" applyAlignment="1">
      <alignment horizontal="right"/>
    </xf>
    <xf numFmtId="2" fontId="5" fillId="0" borderId="0" xfId="0" applyNumberFormat="1" applyFont="1"/>
    <xf numFmtId="2" fontId="2" fillId="5" borderId="0" xfId="0" applyNumberFormat="1" applyFont="1" applyFill="1"/>
    <xf numFmtId="1" fontId="2" fillId="0" borderId="0" xfId="0" applyNumberFormat="1" applyFont="1"/>
    <xf numFmtId="16" fontId="0" fillId="0" borderId="0" xfId="0" applyNumberFormat="1"/>
    <xf numFmtId="0" fontId="0" fillId="2" borderId="0" xfId="0" applyFill="1"/>
    <xf numFmtId="0" fontId="0" fillId="6" borderId="0" xfId="0" applyFill="1"/>
    <xf numFmtId="0" fontId="2" fillId="0" borderId="0" xfId="0" applyFont="1"/>
    <xf numFmtId="14" fontId="1" fillId="0" borderId="0" xfId="0" applyNumberFormat="1" applyFont="1"/>
    <xf numFmtId="0" fontId="3" fillId="0" borderId="0" xfId="0" applyFont="1"/>
    <xf numFmtId="0" fontId="1" fillId="2" borderId="0" xfId="0" applyFont="1" applyFill="1"/>
    <xf numFmtId="0" fontId="0" fillId="0" borderId="0" xfId="0" applyAlignment="1">
      <alignment vertical="center"/>
    </xf>
    <xf numFmtId="1" fontId="5" fillId="2" borderId="0" xfId="0" applyNumberFormat="1" applyFont="1" applyFill="1"/>
    <xf numFmtId="0" fontId="5" fillId="2" borderId="0" xfId="0" applyFont="1" applyFill="1" applyAlignment="1">
      <alignment horizontal="right"/>
    </xf>
    <xf numFmtId="0" fontId="0" fillId="7" borderId="0" xfId="0" applyFill="1"/>
    <xf numFmtId="0" fontId="0" fillId="7" borderId="0" xfId="0" applyFill="1" applyAlignment="1">
      <alignment horizontal="right"/>
    </xf>
    <xf numFmtId="0" fontId="0" fillId="4" borderId="1" xfId="0" applyFill="1" applyBorder="1"/>
    <xf numFmtId="0" fontId="0" fillId="0" borderId="1" xfId="0" applyBorder="1"/>
    <xf numFmtId="164" fontId="0" fillId="0" borderId="0" xfId="0" applyNumberFormat="1"/>
  </cellXfs>
  <cellStyles count="1">
    <cellStyle name="Normal" xfId="0" builtinId="0"/>
  </cellStyles>
  <dxfs count="2">
    <dxf>
      <fill>
        <patternFill>
          <bgColor rgb="FF00B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3653"/>
  <sheetViews>
    <sheetView workbookViewId="0">
      <pane ySplit="1" topLeftCell="A2" activePane="bottomLeft" state="frozen"/>
      <selection pane="bottomLeft" activeCell="B2" sqref="B2:AI3636"/>
    </sheetView>
  </sheetViews>
  <sheetFormatPr defaultColWidth="8.7109375" defaultRowHeight="14.45"/>
  <cols>
    <col min="1" max="1" width="15.28515625" style="33" customWidth="1"/>
    <col min="2" max="2" width="10.85546875" style="33" customWidth="1"/>
    <col min="3" max="3" width="10.7109375" style="33" bestFit="1" customWidth="1"/>
    <col min="4" max="6" width="8.7109375" style="33" customWidth="1"/>
    <col min="7" max="7" width="9" style="33" bestFit="1" customWidth="1"/>
    <col min="8" max="8" width="14.85546875" style="33" bestFit="1" customWidth="1"/>
    <col min="9" max="9" width="12.42578125" style="33" customWidth="1"/>
    <col min="10" max="15" width="8.7109375" style="33" customWidth="1"/>
    <col min="16" max="21" width="9" style="33" bestFit="1" customWidth="1"/>
    <col min="22" max="22" width="8.7109375" style="33" customWidth="1"/>
    <col min="23" max="23" width="9" style="33" bestFit="1" customWidth="1"/>
    <col min="24" max="25" width="8.7109375" style="33" customWidth="1"/>
    <col min="26" max="26" width="10.85546875" style="33" bestFit="1" customWidth="1"/>
    <col min="27" max="27" width="12" style="33" bestFit="1" customWidth="1"/>
    <col min="28" max="28" width="9" style="33" bestFit="1" customWidth="1"/>
    <col min="29" max="29" width="8.7109375" style="33" customWidth="1"/>
    <col min="30" max="30" width="10" style="33" bestFit="1" customWidth="1"/>
    <col min="31" max="38" width="8.7109375" style="33" customWidth="1"/>
    <col min="39" max="16384" width="8.7109375" style="33"/>
  </cols>
  <sheetData>
    <row r="1" spans="1:35">
      <c r="A1" s="32" t="s">
        <v>0</v>
      </c>
      <c r="B1" s="33" t="s">
        <v>1</v>
      </c>
      <c r="C1" s="33" t="s">
        <v>2</v>
      </c>
      <c r="D1" s="33" t="s">
        <v>3</v>
      </c>
      <c r="E1" s="33" t="s">
        <v>4</v>
      </c>
      <c r="F1" s="33" t="s">
        <v>5</v>
      </c>
      <c r="G1" s="33" t="s">
        <v>6</v>
      </c>
      <c r="H1" s="33" t="s">
        <v>7</v>
      </c>
      <c r="I1" s="33" t="s">
        <v>8</v>
      </c>
      <c r="J1" s="33" t="s">
        <v>9</v>
      </c>
      <c r="K1" s="33" t="s">
        <v>10</v>
      </c>
      <c r="L1" s="33" t="s">
        <v>11</v>
      </c>
      <c r="M1" s="33" t="s">
        <v>12</v>
      </c>
      <c r="N1" s="33" t="s">
        <v>13</v>
      </c>
      <c r="O1" s="33" t="s">
        <v>14</v>
      </c>
      <c r="P1" s="33" t="s">
        <v>15</v>
      </c>
      <c r="Q1" s="33" t="s">
        <v>16</v>
      </c>
      <c r="R1" s="33" t="s">
        <v>17</v>
      </c>
      <c r="S1" s="33" t="s">
        <v>18</v>
      </c>
      <c r="T1" s="33" t="s">
        <v>19</v>
      </c>
      <c r="U1" s="33" t="s">
        <v>20</v>
      </c>
      <c r="V1" s="33" t="s">
        <v>21</v>
      </c>
      <c r="W1" s="33" t="s">
        <v>22</v>
      </c>
      <c r="X1" s="33" t="s">
        <v>23</v>
      </c>
      <c r="Y1" s="33" t="s">
        <v>24</v>
      </c>
      <c r="Z1" s="33" t="s">
        <v>25</v>
      </c>
      <c r="AA1" s="33" t="s">
        <v>26</v>
      </c>
      <c r="AB1" s="33" t="s">
        <v>27</v>
      </c>
      <c r="AC1" s="33" t="s">
        <v>28</v>
      </c>
      <c r="AD1" s="33" t="s">
        <v>29</v>
      </c>
      <c r="AE1" s="33" t="s">
        <v>30</v>
      </c>
      <c r="AF1" s="33" t="s">
        <v>31</v>
      </c>
      <c r="AG1" s="33" t="s">
        <v>32</v>
      </c>
      <c r="AH1" s="33" t="s">
        <v>33</v>
      </c>
      <c r="AI1" s="33" t="s">
        <v>34</v>
      </c>
    </row>
    <row r="2" spans="1:35">
      <c r="A2" t="str">
        <f>CONCATENATE(I2,J2)</f>
        <v>SGBJUN28GB</v>
      </c>
      <c r="B2" s="34">
        <v>46273</v>
      </c>
      <c r="C2" s="34">
        <v>46273</v>
      </c>
      <c r="D2" t="s">
        <v>35</v>
      </c>
      <c r="E2" t="s">
        <v>36</v>
      </c>
      <c r="F2" t="s">
        <v>37</v>
      </c>
      <c r="G2">
        <v>19078</v>
      </c>
      <c r="H2" t="s">
        <v>38</v>
      </c>
      <c r="I2" t="s">
        <v>39</v>
      </c>
      <c r="J2" t="s">
        <v>40</v>
      </c>
      <c r="O2" t="s">
        <v>41</v>
      </c>
      <c r="P2">
        <v>15116.04</v>
      </c>
      <c r="Q2">
        <v>15195.03</v>
      </c>
      <c r="R2">
        <v>15070</v>
      </c>
      <c r="S2">
        <v>15070</v>
      </c>
      <c r="T2">
        <v>15070</v>
      </c>
      <c r="U2">
        <v>15085.7</v>
      </c>
      <c r="W2">
        <v>15070</v>
      </c>
      <c r="Z2">
        <v>149</v>
      </c>
      <c r="AA2">
        <v>2251747.4500000002</v>
      </c>
      <c r="AB2">
        <v>34</v>
      </c>
      <c r="AC2" t="s">
        <v>42</v>
      </c>
      <c r="AD2">
        <v>1</v>
      </c>
    </row>
    <row r="3" spans="1:35">
      <c r="A3" t="str">
        <f>CONCATENATE(I3,J3)</f>
        <v>SGBN28VIIIGB</v>
      </c>
      <c r="B3" s="34">
        <v>46273</v>
      </c>
      <c r="C3" s="34">
        <v>46273</v>
      </c>
      <c r="D3" t="s">
        <v>35</v>
      </c>
      <c r="E3" t="s">
        <v>36</v>
      </c>
      <c r="F3" t="s">
        <v>37</v>
      </c>
      <c r="G3">
        <v>1342</v>
      </c>
      <c r="H3" t="s">
        <v>43</v>
      </c>
      <c r="I3" t="s">
        <v>44</v>
      </c>
      <c r="J3" t="s">
        <v>40</v>
      </c>
      <c r="O3" t="s">
        <v>45</v>
      </c>
      <c r="P3">
        <v>15157</v>
      </c>
      <c r="Q3">
        <v>15246</v>
      </c>
      <c r="R3">
        <v>15052</v>
      </c>
      <c r="S3">
        <v>15124.99</v>
      </c>
      <c r="T3">
        <v>15124.99</v>
      </c>
      <c r="U3">
        <v>15095.19</v>
      </c>
      <c r="W3">
        <v>15124.99</v>
      </c>
      <c r="Z3">
        <v>60</v>
      </c>
      <c r="AA3">
        <v>908678.92</v>
      </c>
      <c r="AB3">
        <v>24</v>
      </c>
      <c r="AC3" t="s">
        <v>42</v>
      </c>
      <c r="AD3">
        <v>1</v>
      </c>
    </row>
    <row r="4" spans="1:35">
      <c r="A4" t="str">
        <f>CONCATENATE(I4,J4)</f>
        <v>SGBMAY29IGB</v>
      </c>
      <c r="B4" s="34">
        <v>46273</v>
      </c>
      <c r="C4" s="34">
        <v>46273</v>
      </c>
      <c r="D4" t="s">
        <v>35</v>
      </c>
      <c r="E4" t="s">
        <v>36</v>
      </c>
      <c r="F4" t="s">
        <v>37</v>
      </c>
      <c r="G4">
        <v>3742</v>
      </c>
      <c r="H4" t="s">
        <v>46</v>
      </c>
      <c r="I4" t="s">
        <v>47</v>
      </c>
      <c r="J4" t="s">
        <v>40</v>
      </c>
      <c r="O4" t="s">
        <v>48</v>
      </c>
      <c r="P4">
        <v>15017.56</v>
      </c>
      <c r="Q4">
        <v>15224.99</v>
      </c>
      <c r="R4">
        <v>15016</v>
      </c>
      <c r="S4">
        <v>15139.28</v>
      </c>
      <c r="T4">
        <v>15180</v>
      </c>
      <c r="U4">
        <v>15093.03</v>
      </c>
      <c r="W4">
        <v>15138.2</v>
      </c>
      <c r="Z4">
        <v>446</v>
      </c>
      <c r="AA4">
        <v>6763741.5700000003</v>
      </c>
      <c r="AB4">
        <v>60</v>
      </c>
      <c r="AC4" t="s">
        <v>42</v>
      </c>
      <c r="AD4">
        <v>1</v>
      </c>
    </row>
    <row r="5" spans="1:35">
      <c r="A5" t="str">
        <f>CONCATENATE(I5,J5)</f>
        <v>SGBJUN29IIGB</v>
      </c>
      <c r="B5" s="34">
        <v>46273</v>
      </c>
      <c r="C5" s="34">
        <v>46273</v>
      </c>
      <c r="D5" t="s">
        <v>35</v>
      </c>
      <c r="E5" t="s">
        <v>36</v>
      </c>
      <c r="F5" t="s">
        <v>37</v>
      </c>
      <c r="G5">
        <v>3743</v>
      </c>
      <c r="H5" t="s">
        <v>49</v>
      </c>
      <c r="I5" t="s">
        <v>50</v>
      </c>
      <c r="J5" t="s">
        <v>40</v>
      </c>
      <c r="O5" t="s">
        <v>51</v>
      </c>
      <c r="P5">
        <v>15025</v>
      </c>
      <c r="Q5">
        <v>15188</v>
      </c>
      <c r="R5">
        <v>15025</v>
      </c>
      <c r="S5">
        <v>15068.84</v>
      </c>
      <c r="T5">
        <v>15063</v>
      </c>
      <c r="U5">
        <v>15090</v>
      </c>
      <c r="W5">
        <v>15074.5</v>
      </c>
      <c r="Z5">
        <v>43</v>
      </c>
      <c r="AA5">
        <v>650755.89</v>
      </c>
      <c r="AB5">
        <v>21</v>
      </c>
      <c r="AC5" t="s">
        <v>42</v>
      </c>
      <c r="AD5">
        <v>1</v>
      </c>
    </row>
    <row r="6" spans="1:35">
      <c r="A6" t="str">
        <f>CONCATENATE(I6,J6)</f>
        <v>SGBJU29IIIGB</v>
      </c>
      <c r="B6" s="34">
        <v>46273</v>
      </c>
      <c r="C6" s="34">
        <v>46273</v>
      </c>
      <c r="D6" t="s">
        <v>35</v>
      </c>
      <c r="E6" t="s">
        <v>36</v>
      </c>
      <c r="F6" t="s">
        <v>37</v>
      </c>
      <c r="G6">
        <v>3800</v>
      </c>
      <c r="H6" t="s">
        <v>52</v>
      </c>
      <c r="I6" t="s">
        <v>53</v>
      </c>
      <c r="J6" t="s">
        <v>40</v>
      </c>
      <c r="O6" t="s">
        <v>54</v>
      </c>
      <c r="P6">
        <v>15015.01</v>
      </c>
      <c r="Q6">
        <v>15349</v>
      </c>
      <c r="R6">
        <v>15015.01</v>
      </c>
      <c r="S6">
        <v>15067.37</v>
      </c>
      <c r="T6">
        <v>15067.37</v>
      </c>
      <c r="U6">
        <v>15079.88</v>
      </c>
      <c r="W6">
        <v>15067.37</v>
      </c>
      <c r="Z6">
        <v>52</v>
      </c>
      <c r="AA6">
        <v>786679.41</v>
      </c>
      <c r="AB6">
        <v>27</v>
      </c>
      <c r="AC6" t="s">
        <v>42</v>
      </c>
      <c r="AD6">
        <v>1</v>
      </c>
    </row>
    <row r="7" spans="1:35">
      <c r="A7" t="str">
        <f>CONCATENATE(I7,J7)</f>
        <v>SGBSEP29VIGB</v>
      </c>
      <c r="B7" s="34">
        <v>46273</v>
      </c>
      <c r="C7" s="34">
        <v>46273</v>
      </c>
      <c r="D7" t="s">
        <v>35</v>
      </c>
      <c r="E7" t="s">
        <v>36</v>
      </c>
      <c r="F7" t="s">
        <v>37</v>
      </c>
      <c r="G7">
        <v>5575</v>
      </c>
      <c r="H7" t="s">
        <v>55</v>
      </c>
      <c r="I7" t="s">
        <v>56</v>
      </c>
      <c r="J7" t="s">
        <v>40</v>
      </c>
      <c r="O7" t="s">
        <v>57</v>
      </c>
      <c r="P7">
        <v>15101</v>
      </c>
      <c r="Q7">
        <v>15389</v>
      </c>
      <c r="R7">
        <v>15012</v>
      </c>
      <c r="S7">
        <v>15052.16</v>
      </c>
      <c r="T7">
        <v>15060</v>
      </c>
      <c r="U7">
        <v>15037.44</v>
      </c>
      <c r="W7">
        <v>15046.34</v>
      </c>
      <c r="Z7">
        <v>126</v>
      </c>
      <c r="AA7">
        <v>1904401.67</v>
      </c>
      <c r="AB7">
        <v>45</v>
      </c>
      <c r="AC7" t="s">
        <v>42</v>
      </c>
      <c r="AD7">
        <v>1</v>
      </c>
    </row>
    <row r="8" spans="1:35">
      <c r="A8" t="str">
        <f>CONCATENATE(I8,J8)</f>
        <v>SGBNV29VIIGB</v>
      </c>
      <c r="B8" s="34">
        <v>46273</v>
      </c>
      <c r="C8" s="34">
        <v>46273</v>
      </c>
      <c r="D8" t="s">
        <v>35</v>
      </c>
      <c r="E8" t="s">
        <v>36</v>
      </c>
      <c r="F8" t="s">
        <v>37</v>
      </c>
      <c r="G8">
        <v>6518</v>
      </c>
      <c r="H8" t="s">
        <v>58</v>
      </c>
      <c r="I8" t="s">
        <v>59</v>
      </c>
      <c r="J8" t="s">
        <v>40</v>
      </c>
      <c r="O8" t="s">
        <v>60</v>
      </c>
      <c r="P8">
        <v>15151</v>
      </c>
      <c r="Q8">
        <v>15289</v>
      </c>
      <c r="R8">
        <v>15100.33</v>
      </c>
      <c r="S8">
        <v>15118.29</v>
      </c>
      <c r="T8">
        <v>15150</v>
      </c>
      <c r="U8">
        <v>15100.33</v>
      </c>
      <c r="W8">
        <v>15098</v>
      </c>
      <c r="Z8">
        <v>50</v>
      </c>
      <c r="AA8">
        <v>757623.33</v>
      </c>
      <c r="AB8">
        <v>16</v>
      </c>
      <c r="AC8" t="s">
        <v>42</v>
      </c>
      <c r="AD8">
        <v>1</v>
      </c>
    </row>
    <row r="9" spans="1:35">
      <c r="A9" t="str">
        <f>CONCATENATE(I9,J9)</f>
        <v>SGBOCT26GB</v>
      </c>
      <c r="B9" s="34">
        <v>46273</v>
      </c>
      <c r="C9" s="34">
        <v>46273</v>
      </c>
      <c r="D9" t="s">
        <v>35</v>
      </c>
      <c r="E9" t="s">
        <v>36</v>
      </c>
      <c r="F9" t="s">
        <v>37</v>
      </c>
      <c r="G9">
        <v>5960</v>
      </c>
      <c r="H9" t="s">
        <v>61</v>
      </c>
      <c r="I9" t="s">
        <v>62</v>
      </c>
      <c r="J9" t="s">
        <v>40</v>
      </c>
      <c r="O9" t="s">
        <v>63</v>
      </c>
      <c r="P9">
        <v>15150</v>
      </c>
      <c r="Q9">
        <v>15150</v>
      </c>
      <c r="R9">
        <v>15150</v>
      </c>
      <c r="S9">
        <v>15150</v>
      </c>
      <c r="T9">
        <v>15150</v>
      </c>
      <c r="U9">
        <v>15000</v>
      </c>
      <c r="W9">
        <v>15150</v>
      </c>
      <c r="Z9">
        <v>1</v>
      </c>
      <c r="AA9">
        <v>15150</v>
      </c>
      <c r="AB9">
        <v>1</v>
      </c>
      <c r="AC9" t="s">
        <v>42</v>
      </c>
      <c r="AD9">
        <v>1</v>
      </c>
    </row>
    <row r="10" spans="1:35">
      <c r="A10" t="str">
        <f>CONCATENATE(I10,J10)</f>
        <v>SGBDEC26GB</v>
      </c>
      <c r="B10" s="34">
        <v>46273</v>
      </c>
      <c r="C10" s="34">
        <v>46273</v>
      </c>
      <c r="D10" t="s">
        <v>35</v>
      </c>
      <c r="E10" t="s">
        <v>36</v>
      </c>
      <c r="F10" t="s">
        <v>37</v>
      </c>
      <c r="G10">
        <v>7654</v>
      </c>
      <c r="H10" t="s">
        <v>64</v>
      </c>
      <c r="I10" t="s">
        <v>65</v>
      </c>
      <c r="J10" t="s">
        <v>40</v>
      </c>
      <c r="O10" t="s">
        <v>66</v>
      </c>
      <c r="P10">
        <v>15100.01</v>
      </c>
      <c r="Q10">
        <v>15100.01</v>
      </c>
      <c r="R10">
        <v>15100.01</v>
      </c>
      <c r="S10">
        <v>15100.01</v>
      </c>
      <c r="T10">
        <v>15100.01</v>
      </c>
      <c r="U10">
        <v>15100.9</v>
      </c>
      <c r="W10">
        <v>15100.01</v>
      </c>
      <c r="Z10">
        <v>1</v>
      </c>
      <c r="AA10">
        <v>15100.01</v>
      </c>
      <c r="AB10">
        <v>1</v>
      </c>
      <c r="AC10" t="s">
        <v>42</v>
      </c>
      <c r="AD10">
        <v>1</v>
      </c>
    </row>
    <row r="11" spans="1:35">
      <c r="A11" t="str">
        <f>CONCATENATE(I11,J11)</f>
        <v>SGBJUN27GB</v>
      </c>
      <c r="B11" s="34">
        <v>46273</v>
      </c>
      <c r="C11" s="34">
        <v>46273</v>
      </c>
      <c r="D11" t="s">
        <v>35</v>
      </c>
      <c r="E11" t="s">
        <v>36</v>
      </c>
      <c r="F11" t="s">
        <v>37</v>
      </c>
      <c r="G11">
        <v>10261</v>
      </c>
      <c r="H11" t="s">
        <v>67</v>
      </c>
      <c r="I11" t="s">
        <v>68</v>
      </c>
      <c r="J11" t="s">
        <v>40</v>
      </c>
      <c r="O11" t="s">
        <v>69</v>
      </c>
      <c r="P11">
        <v>15000</v>
      </c>
      <c r="Q11">
        <v>15100</v>
      </c>
      <c r="R11">
        <v>15000</v>
      </c>
      <c r="S11">
        <v>15056.83</v>
      </c>
      <c r="T11">
        <v>15050</v>
      </c>
      <c r="U11">
        <v>15045.45</v>
      </c>
      <c r="W11">
        <v>15056.83</v>
      </c>
      <c r="Z11">
        <v>70</v>
      </c>
      <c r="AA11">
        <v>1053079.02</v>
      </c>
      <c r="AB11">
        <v>17</v>
      </c>
      <c r="AC11" t="s">
        <v>42</v>
      </c>
      <c r="AD11">
        <v>1</v>
      </c>
    </row>
    <row r="12" spans="1:35">
      <c r="A12" t="str">
        <f>CONCATENATE(I12,J12)</f>
        <v>SGBJUL27GB</v>
      </c>
      <c r="B12" s="34">
        <v>46273</v>
      </c>
      <c r="C12" s="34">
        <v>46273</v>
      </c>
      <c r="D12" t="s">
        <v>35</v>
      </c>
      <c r="E12" t="s">
        <v>36</v>
      </c>
      <c r="F12" t="s">
        <v>37</v>
      </c>
      <c r="G12">
        <v>11154</v>
      </c>
      <c r="H12" t="s">
        <v>70</v>
      </c>
      <c r="I12" t="s">
        <v>71</v>
      </c>
      <c r="J12" t="s">
        <v>40</v>
      </c>
      <c r="O12" t="s">
        <v>72</v>
      </c>
      <c r="P12">
        <v>15025.5</v>
      </c>
      <c r="Q12">
        <v>15025.5</v>
      </c>
      <c r="R12">
        <v>15001</v>
      </c>
      <c r="S12">
        <v>15001</v>
      </c>
      <c r="T12">
        <v>15001</v>
      </c>
      <c r="U12">
        <v>14911.02</v>
      </c>
      <c r="W12">
        <v>15001</v>
      </c>
      <c r="Z12">
        <v>2</v>
      </c>
      <c r="AA12">
        <v>30026.5</v>
      </c>
      <c r="AB12">
        <v>2</v>
      </c>
      <c r="AC12" t="s">
        <v>42</v>
      </c>
      <c r="AD12">
        <v>1</v>
      </c>
    </row>
    <row r="13" spans="1:35">
      <c r="A13" t="str">
        <f>CONCATENATE(I13,J13)</f>
        <v>SGBAUG27GB</v>
      </c>
      <c r="B13" s="34">
        <v>46273</v>
      </c>
      <c r="C13" s="34">
        <v>46273</v>
      </c>
      <c r="D13" t="s">
        <v>35</v>
      </c>
      <c r="E13" t="s">
        <v>36</v>
      </c>
      <c r="F13" t="s">
        <v>37</v>
      </c>
      <c r="G13">
        <v>12904</v>
      </c>
      <c r="H13" t="s">
        <v>73</v>
      </c>
      <c r="I13" t="s">
        <v>74</v>
      </c>
      <c r="J13" t="s">
        <v>40</v>
      </c>
      <c r="O13" t="s">
        <v>75</v>
      </c>
      <c r="P13">
        <v>15101</v>
      </c>
      <c r="Q13">
        <v>15120</v>
      </c>
      <c r="R13">
        <v>15066.54</v>
      </c>
      <c r="S13">
        <v>15070.25</v>
      </c>
      <c r="T13">
        <v>15066.54</v>
      </c>
      <c r="U13">
        <v>15066.54</v>
      </c>
      <c r="W13">
        <v>15074.16</v>
      </c>
      <c r="Z13">
        <v>69</v>
      </c>
      <c r="AA13">
        <v>1041522.52</v>
      </c>
      <c r="AB13">
        <v>16</v>
      </c>
      <c r="AC13" t="s">
        <v>42</v>
      </c>
      <c r="AD13">
        <v>1</v>
      </c>
    </row>
    <row r="14" spans="1:35">
      <c r="A14" t="str">
        <f>CONCATENATE(I14,J14)</f>
        <v>SGBSEP27GB</v>
      </c>
      <c r="B14" s="34">
        <v>46273</v>
      </c>
      <c r="C14" s="34">
        <v>46273</v>
      </c>
      <c r="D14" t="s">
        <v>35</v>
      </c>
      <c r="E14" t="s">
        <v>36</v>
      </c>
      <c r="F14" t="s">
        <v>37</v>
      </c>
      <c r="G14">
        <v>13209</v>
      </c>
      <c r="H14" t="s">
        <v>76</v>
      </c>
      <c r="I14" t="s">
        <v>77</v>
      </c>
      <c r="J14" t="s">
        <v>40</v>
      </c>
      <c r="O14" t="s">
        <v>78</v>
      </c>
      <c r="P14">
        <v>15066.11</v>
      </c>
      <c r="Q14">
        <v>15149.9</v>
      </c>
      <c r="R14">
        <v>15066.11</v>
      </c>
      <c r="S14">
        <v>15076</v>
      </c>
      <c r="T14">
        <v>15076</v>
      </c>
      <c r="U14">
        <v>15064</v>
      </c>
      <c r="W14">
        <v>15076</v>
      </c>
      <c r="Z14">
        <v>97</v>
      </c>
      <c r="AA14">
        <v>1463057.59</v>
      </c>
      <c r="AB14">
        <v>17</v>
      </c>
      <c r="AC14" t="s">
        <v>42</v>
      </c>
      <c r="AD14">
        <v>1</v>
      </c>
    </row>
    <row r="15" spans="1:35">
      <c r="A15" t="str">
        <f>CONCATENATE(I15,J15)</f>
        <v>SGBFEB27GB</v>
      </c>
      <c r="B15" s="34">
        <v>46273</v>
      </c>
      <c r="C15" s="34">
        <v>46273</v>
      </c>
      <c r="D15" t="s">
        <v>35</v>
      </c>
      <c r="E15" t="s">
        <v>36</v>
      </c>
      <c r="F15" t="s">
        <v>37</v>
      </c>
      <c r="G15">
        <v>8766</v>
      </c>
      <c r="H15" t="s">
        <v>79</v>
      </c>
      <c r="I15" t="s">
        <v>80</v>
      </c>
      <c r="J15" t="s">
        <v>40</v>
      </c>
      <c r="O15" t="s">
        <v>81</v>
      </c>
      <c r="P15">
        <v>15199.99</v>
      </c>
      <c r="Q15">
        <v>15199.99</v>
      </c>
      <c r="R15">
        <v>15199.99</v>
      </c>
      <c r="S15">
        <v>15199.99</v>
      </c>
      <c r="T15">
        <v>15199.99</v>
      </c>
      <c r="U15">
        <v>15200</v>
      </c>
      <c r="W15">
        <v>15199.99</v>
      </c>
      <c r="Z15">
        <v>1</v>
      </c>
      <c r="AA15">
        <v>15199.99</v>
      </c>
      <c r="AB15">
        <v>1</v>
      </c>
      <c r="AC15" t="s">
        <v>42</v>
      </c>
      <c r="AD15">
        <v>1</v>
      </c>
    </row>
    <row r="16" spans="1:35">
      <c r="A16" t="str">
        <f>CONCATENATE(I16,J16)</f>
        <v>SGBOCT27VIGB</v>
      </c>
      <c r="B16" s="34">
        <v>46273</v>
      </c>
      <c r="C16" s="34">
        <v>46273</v>
      </c>
      <c r="D16" t="s">
        <v>35</v>
      </c>
      <c r="E16" t="s">
        <v>36</v>
      </c>
      <c r="F16" t="s">
        <v>37</v>
      </c>
      <c r="G16">
        <v>14252</v>
      </c>
      <c r="H16" t="s">
        <v>82</v>
      </c>
      <c r="I16" t="s">
        <v>83</v>
      </c>
      <c r="J16" t="s">
        <v>40</v>
      </c>
      <c r="O16" t="s">
        <v>81</v>
      </c>
      <c r="P16">
        <v>15100</v>
      </c>
      <c r="Q16">
        <v>15178.51</v>
      </c>
      <c r="R16">
        <v>15100</v>
      </c>
      <c r="S16">
        <v>15178.51</v>
      </c>
      <c r="T16">
        <v>15178.51</v>
      </c>
      <c r="U16">
        <v>15050</v>
      </c>
      <c r="W16">
        <v>15178.51</v>
      </c>
      <c r="Z16">
        <v>9</v>
      </c>
      <c r="AA16">
        <v>135984.51</v>
      </c>
      <c r="AB16">
        <v>3</v>
      </c>
      <c r="AC16" t="s">
        <v>42</v>
      </c>
      <c r="AD16">
        <v>1</v>
      </c>
    </row>
    <row r="17" spans="1:30">
      <c r="A17" t="str">
        <f>CONCATENATE(I17,J17)</f>
        <v>SGBDC27VIIGB</v>
      </c>
      <c r="B17" s="34">
        <v>46273</v>
      </c>
      <c r="C17" s="34">
        <v>46273</v>
      </c>
      <c r="D17" t="s">
        <v>35</v>
      </c>
      <c r="E17" t="s">
        <v>36</v>
      </c>
      <c r="F17" t="s">
        <v>37</v>
      </c>
      <c r="G17">
        <v>15432</v>
      </c>
      <c r="H17" t="s">
        <v>84</v>
      </c>
      <c r="I17" t="s">
        <v>85</v>
      </c>
      <c r="J17" t="s">
        <v>40</v>
      </c>
      <c r="O17" t="s">
        <v>86</v>
      </c>
      <c r="P17">
        <v>15075.01</v>
      </c>
      <c r="Q17">
        <v>15102</v>
      </c>
      <c r="R17">
        <v>15075.01</v>
      </c>
      <c r="S17">
        <v>15100.11</v>
      </c>
      <c r="T17">
        <v>15100.11</v>
      </c>
      <c r="U17">
        <v>15225</v>
      </c>
      <c r="W17">
        <v>15100.11</v>
      </c>
      <c r="Z17">
        <v>13</v>
      </c>
      <c r="AA17">
        <v>196227.22</v>
      </c>
      <c r="AB17">
        <v>6</v>
      </c>
      <c r="AC17" t="s">
        <v>42</v>
      </c>
      <c r="AD17">
        <v>1</v>
      </c>
    </row>
    <row r="18" spans="1:30">
      <c r="A18" t="str">
        <f>CONCATENATE(I18,J18)</f>
        <v>SGBAPR28IGB</v>
      </c>
      <c r="B18" s="34">
        <v>46273</v>
      </c>
      <c r="C18" s="34">
        <v>46273</v>
      </c>
      <c r="D18" t="s">
        <v>35</v>
      </c>
      <c r="E18" t="s">
        <v>36</v>
      </c>
      <c r="F18" t="s">
        <v>37</v>
      </c>
      <c r="G18">
        <v>18862</v>
      </c>
      <c r="H18" t="s">
        <v>87</v>
      </c>
      <c r="I18" t="s">
        <v>88</v>
      </c>
      <c r="J18" t="s">
        <v>40</v>
      </c>
      <c r="O18" t="s">
        <v>89</v>
      </c>
      <c r="P18">
        <v>15100</v>
      </c>
      <c r="Q18">
        <v>15289.99</v>
      </c>
      <c r="R18">
        <v>15100</v>
      </c>
      <c r="S18">
        <v>15121.4</v>
      </c>
      <c r="T18">
        <v>15145</v>
      </c>
      <c r="U18">
        <v>15098.85</v>
      </c>
      <c r="W18">
        <v>15103.11</v>
      </c>
      <c r="Z18">
        <v>135</v>
      </c>
      <c r="AA18">
        <v>2048169.61</v>
      </c>
      <c r="AB18">
        <v>45</v>
      </c>
      <c r="AC18" t="s">
        <v>42</v>
      </c>
      <c r="AD18">
        <v>1</v>
      </c>
    </row>
    <row r="19" spans="1:30">
      <c r="A19" t="str">
        <f>CONCATENATE(I19,J19)</f>
        <v>SGBMAY28GB</v>
      </c>
      <c r="B19" s="34">
        <v>46273</v>
      </c>
      <c r="C19" s="34">
        <v>46273</v>
      </c>
      <c r="D19" t="s">
        <v>35</v>
      </c>
      <c r="E19" t="s">
        <v>36</v>
      </c>
      <c r="F19" t="s">
        <v>37</v>
      </c>
      <c r="G19">
        <v>18972</v>
      </c>
      <c r="H19" t="s">
        <v>90</v>
      </c>
      <c r="I19" t="s">
        <v>91</v>
      </c>
      <c r="J19" t="s">
        <v>40</v>
      </c>
      <c r="O19" t="s">
        <v>92</v>
      </c>
      <c r="P19">
        <v>15126.01</v>
      </c>
      <c r="Q19">
        <v>15200.01</v>
      </c>
      <c r="R19">
        <v>15070.04</v>
      </c>
      <c r="S19">
        <v>15106.7</v>
      </c>
      <c r="T19">
        <v>15123</v>
      </c>
      <c r="U19">
        <v>15065</v>
      </c>
      <c r="W19">
        <v>15094.73</v>
      </c>
      <c r="Z19">
        <v>226</v>
      </c>
      <c r="AA19">
        <v>3426249.01</v>
      </c>
      <c r="AB19">
        <v>32</v>
      </c>
      <c r="AC19" t="s">
        <v>42</v>
      </c>
      <c r="AD19">
        <v>1</v>
      </c>
    </row>
    <row r="20" spans="1:30">
      <c r="A20" t="str">
        <f>CONCATENATE(I20,J20)</f>
        <v>SGBJUL28IVGB</v>
      </c>
      <c r="B20" s="34">
        <v>46273</v>
      </c>
      <c r="C20" s="34">
        <v>46273</v>
      </c>
      <c r="D20" t="s">
        <v>35</v>
      </c>
      <c r="E20" t="s">
        <v>36</v>
      </c>
      <c r="F20" t="s">
        <v>37</v>
      </c>
      <c r="G20">
        <v>22242</v>
      </c>
      <c r="H20" t="s">
        <v>93</v>
      </c>
      <c r="I20" t="s">
        <v>94</v>
      </c>
      <c r="J20" t="s">
        <v>40</v>
      </c>
      <c r="O20" t="s">
        <v>95</v>
      </c>
      <c r="P20">
        <v>15462.12</v>
      </c>
      <c r="Q20">
        <v>15462.12</v>
      </c>
      <c r="R20">
        <v>15027.01</v>
      </c>
      <c r="S20">
        <v>15040.99</v>
      </c>
      <c r="T20">
        <v>15070</v>
      </c>
      <c r="U20">
        <v>15085</v>
      </c>
      <c r="W20">
        <v>15040.99</v>
      </c>
      <c r="Z20">
        <v>144</v>
      </c>
      <c r="AA20">
        <v>2172450.0099999998</v>
      </c>
      <c r="AB20">
        <v>33</v>
      </c>
      <c r="AC20" t="s">
        <v>42</v>
      </c>
      <c r="AD20">
        <v>1</v>
      </c>
    </row>
    <row r="21" spans="1:30">
      <c r="A21" t="str">
        <f>CONCATENATE(I21,J21)</f>
        <v>SGBFEB28IXGB</v>
      </c>
      <c r="B21" s="34">
        <v>46273</v>
      </c>
      <c r="C21" s="34">
        <v>46273</v>
      </c>
      <c r="D21" t="s">
        <v>35</v>
      </c>
      <c r="E21" t="s">
        <v>36</v>
      </c>
      <c r="F21" t="s">
        <v>37</v>
      </c>
      <c r="G21">
        <v>17664</v>
      </c>
      <c r="H21" t="s">
        <v>96</v>
      </c>
      <c r="I21" t="s">
        <v>97</v>
      </c>
      <c r="J21" t="s">
        <v>40</v>
      </c>
      <c r="O21" t="s">
        <v>98</v>
      </c>
      <c r="P21">
        <v>15815.01</v>
      </c>
      <c r="Q21">
        <v>15815.01</v>
      </c>
      <c r="R21">
        <v>15050.01</v>
      </c>
      <c r="S21">
        <v>15100</v>
      </c>
      <c r="T21">
        <v>15100</v>
      </c>
      <c r="U21">
        <v>15002</v>
      </c>
      <c r="W21">
        <v>15100</v>
      </c>
      <c r="Z21">
        <v>34</v>
      </c>
      <c r="AA21">
        <v>517475.05</v>
      </c>
      <c r="AB21">
        <v>9</v>
      </c>
      <c r="AC21" t="s">
        <v>42</v>
      </c>
      <c r="AD21">
        <v>1</v>
      </c>
    </row>
    <row r="22" spans="1:30">
      <c r="A22" t="str">
        <f>CONCATENATE(I22,J22)</f>
        <v>SGBAUG28VGB</v>
      </c>
      <c r="B22" s="34">
        <v>46273</v>
      </c>
      <c r="C22" s="34">
        <v>46273</v>
      </c>
      <c r="D22" t="s">
        <v>35</v>
      </c>
      <c r="E22" t="s">
        <v>36</v>
      </c>
      <c r="F22" t="s">
        <v>37</v>
      </c>
      <c r="G22">
        <v>22385</v>
      </c>
      <c r="H22" t="s">
        <v>99</v>
      </c>
      <c r="I22" t="s">
        <v>100</v>
      </c>
      <c r="J22" t="s">
        <v>40</v>
      </c>
      <c r="O22" t="s">
        <v>101</v>
      </c>
      <c r="P22">
        <v>15155</v>
      </c>
      <c r="Q22">
        <v>15160.99</v>
      </c>
      <c r="R22">
        <v>15056.21</v>
      </c>
      <c r="S22">
        <v>15067.57</v>
      </c>
      <c r="T22">
        <v>15090</v>
      </c>
      <c r="U22">
        <v>15078.94</v>
      </c>
      <c r="W22">
        <v>15067.77</v>
      </c>
      <c r="Z22">
        <v>1198</v>
      </c>
      <c r="AA22">
        <v>18113104.77</v>
      </c>
      <c r="AB22">
        <v>185</v>
      </c>
      <c r="AC22" t="s">
        <v>42</v>
      </c>
      <c r="AD22">
        <v>1</v>
      </c>
    </row>
    <row r="23" spans="1:30">
      <c r="A23" t="str">
        <f>CONCATENATE(I23,J23)</f>
        <v>SGBSEP28VIGB</v>
      </c>
      <c r="B23" s="34">
        <v>46273</v>
      </c>
      <c r="C23" s="34">
        <v>46273</v>
      </c>
      <c r="D23" t="s">
        <v>35</v>
      </c>
      <c r="E23" t="s">
        <v>36</v>
      </c>
      <c r="F23" t="s">
        <v>37</v>
      </c>
      <c r="G23">
        <v>149</v>
      </c>
      <c r="H23" t="s">
        <v>102</v>
      </c>
      <c r="I23" t="s">
        <v>103</v>
      </c>
      <c r="J23" t="s">
        <v>40</v>
      </c>
      <c r="O23" t="s">
        <v>104</v>
      </c>
      <c r="P23">
        <v>15120</v>
      </c>
      <c r="Q23">
        <v>15249</v>
      </c>
      <c r="R23">
        <v>15050</v>
      </c>
      <c r="S23">
        <v>15058.65</v>
      </c>
      <c r="T23">
        <v>15050.01</v>
      </c>
      <c r="U23">
        <v>15080.62</v>
      </c>
      <c r="W23">
        <v>15058.65</v>
      </c>
      <c r="Z23">
        <v>527</v>
      </c>
      <c r="AA23">
        <v>7971061</v>
      </c>
      <c r="AB23">
        <v>109</v>
      </c>
      <c r="AC23" t="s">
        <v>42</v>
      </c>
      <c r="AD23">
        <v>1</v>
      </c>
    </row>
    <row r="24" spans="1:30">
      <c r="A24" t="str">
        <f>CONCATENATE(I24,J24)</f>
        <v>SGBOC28VIIGB</v>
      </c>
      <c r="B24" s="34">
        <v>46273</v>
      </c>
      <c r="C24" s="34">
        <v>46273</v>
      </c>
      <c r="D24" t="s">
        <v>35</v>
      </c>
      <c r="E24" t="s">
        <v>36</v>
      </c>
      <c r="F24" t="s">
        <v>37</v>
      </c>
      <c r="G24">
        <v>834</v>
      </c>
      <c r="H24" t="s">
        <v>105</v>
      </c>
      <c r="I24" t="s">
        <v>106</v>
      </c>
      <c r="J24" t="s">
        <v>40</v>
      </c>
      <c r="O24" t="s">
        <v>107</v>
      </c>
      <c r="P24">
        <v>15171</v>
      </c>
      <c r="Q24">
        <v>15299</v>
      </c>
      <c r="R24">
        <v>15110</v>
      </c>
      <c r="S24">
        <v>15120</v>
      </c>
      <c r="T24">
        <v>15120</v>
      </c>
      <c r="U24">
        <v>15102.3</v>
      </c>
      <c r="W24">
        <v>15120</v>
      </c>
      <c r="Z24">
        <v>43</v>
      </c>
      <c r="AA24">
        <v>652115</v>
      </c>
      <c r="AB24">
        <v>17</v>
      </c>
      <c r="AC24" t="s">
        <v>42</v>
      </c>
      <c r="AD24">
        <v>1</v>
      </c>
    </row>
    <row r="25" spans="1:30">
      <c r="A25" t="str">
        <f>CONCATENATE(I25,J25)</f>
        <v>SGBJUL29IVGB</v>
      </c>
      <c r="B25" s="34">
        <v>46273</v>
      </c>
      <c r="C25" s="34">
        <v>46273</v>
      </c>
      <c r="D25" t="s">
        <v>35</v>
      </c>
      <c r="E25" t="s">
        <v>36</v>
      </c>
      <c r="F25" t="s">
        <v>37</v>
      </c>
      <c r="G25">
        <v>5113</v>
      </c>
      <c r="H25" t="s">
        <v>108</v>
      </c>
      <c r="I25" t="s">
        <v>109</v>
      </c>
      <c r="J25" t="s">
        <v>40</v>
      </c>
      <c r="O25" t="s">
        <v>110</v>
      </c>
      <c r="P25">
        <v>15106.01</v>
      </c>
      <c r="Q25">
        <v>15150</v>
      </c>
      <c r="R25">
        <v>15106.01</v>
      </c>
      <c r="S25">
        <v>15111</v>
      </c>
      <c r="T25">
        <v>15111</v>
      </c>
      <c r="U25">
        <v>15080.15</v>
      </c>
      <c r="W25">
        <v>15111</v>
      </c>
      <c r="Z25">
        <v>80</v>
      </c>
      <c r="AA25">
        <v>1209851.06</v>
      </c>
      <c r="AB25">
        <v>23</v>
      </c>
      <c r="AC25" t="s">
        <v>42</v>
      </c>
      <c r="AD25">
        <v>1</v>
      </c>
    </row>
    <row r="26" spans="1:30">
      <c r="A26" t="str">
        <f>CONCATENATE(I26,J26)</f>
        <v>SGBJAN29IXGB</v>
      </c>
      <c r="B26" s="34">
        <v>46273</v>
      </c>
      <c r="C26" s="34">
        <v>46273</v>
      </c>
      <c r="D26" t="s">
        <v>35</v>
      </c>
      <c r="E26" t="s">
        <v>36</v>
      </c>
      <c r="F26" t="s">
        <v>37</v>
      </c>
      <c r="G26">
        <v>1920</v>
      </c>
      <c r="H26" t="s">
        <v>111</v>
      </c>
      <c r="I26" t="s">
        <v>112</v>
      </c>
      <c r="J26" t="s">
        <v>40</v>
      </c>
      <c r="O26" t="s">
        <v>113</v>
      </c>
      <c r="P26">
        <v>15070.32</v>
      </c>
      <c r="Q26">
        <v>15201</v>
      </c>
      <c r="R26">
        <v>15070.32</v>
      </c>
      <c r="S26">
        <v>15076.94</v>
      </c>
      <c r="T26">
        <v>15075</v>
      </c>
      <c r="U26">
        <v>15070.32</v>
      </c>
      <c r="W26">
        <v>15076.94</v>
      </c>
      <c r="Z26">
        <v>535</v>
      </c>
      <c r="AA26">
        <v>8121461.7999999998</v>
      </c>
      <c r="AB26">
        <v>75</v>
      </c>
      <c r="AC26" t="s">
        <v>42</v>
      </c>
      <c r="AD26">
        <v>1</v>
      </c>
    </row>
    <row r="27" spans="1:30">
      <c r="A27" t="str">
        <f>CONCATENATE(I27,J27)</f>
        <v>SGBAUG29VGB</v>
      </c>
      <c r="B27" s="34">
        <v>46273</v>
      </c>
      <c r="C27" s="34">
        <v>46273</v>
      </c>
      <c r="D27" t="s">
        <v>35</v>
      </c>
      <c r="E27" t="s">
        <v>36</v>
      </c>
      <c r="F27" t="s">
        <v>37</v>
      </c>
      <c r="G27">
        <v>5455</v>
      </c>
      <c r="H27" t="s">
        <v>114</v>
      </c>
      <c r="I27" t="s">
        <v>115</v>
      </c>
      <c r="J27" t="s">
        <v>40</v>
      </c>
      <c r="O27" t="s">
        <v>116</v>
      </c>
      <c r="P27">
        <v>15251</v>
      </c>
      <c r="Q27">
        <v>15350</v>
      </c>
      <c r="R27">
        <v>15156</v>
      </c>
      <c r="S27">
        <v>15196</v>
      </c>
      <c r="T27">
        <v>15196</v>
      </c>
      <c r="U27">
        <v>15226.04</v>
      </c>
      <c r="W27">
        <v>15199.33</v>
      </c>
      <c r="Z27">
        <v>66</v>
      </c>
      <c r="AA27">
        <v>1003933.05</v>
      </c>
      <c r="AB27">
        <v>28</v>
      </c>
      <c r="AC27" t="s">
        <v>42</v>
      </c>
      <c r="AD27">
        <v>1</v>
      </c>
    </row>
    <row r="28" spans="1:30">
      <c r="A28" t="str">
        <f>CONCATENATE(I28,J28)</f>
        <v>SGBD29VIIIGB</v>
      </c>
      <c r="B28" s="34">
        <v>46273</v>
      </c>
      <c r="C28" s="34">
        <v>46273</v>
      </c>
      <c r="D28" t="s">
        <v>35</v>
      </c>
      <c r="E28" t="s">
        <v>36</v>
      </c>
      <c r="F28" t="s">
        <v>37</v>
      </c>
      <c r="G28">
        <v>7098</v>
      </c>
      <c r="H28" t="s">
        <v>117</v>
      </c>
      <c r="I28" t="s">
        <v>118</v>
      </c>
      <c r="J28" t="s">
        <v>40</v>
      </c>
      <c r="O28" t="s">
        <v>119</v>
      </c>
      <c r="P28">
        <v>15120.01</v>
      </c>
      <c r="Q28">
        <v>15290</v>
      </c>
      <c r="R28">
        <v>15120.01</v>
      </c>
      <c r="S28">
        <v>15202.5</v>
      </c>
      <c r="T28">
        <v>15180</v>
      </c>
      <c r="U28">
        <v>15154.37</v>
      </c>
      <c r="W28">
        <v>15202.5</v>
      </c>
      <c r="Z28">
        <v>59</v>
      </c>
      <c r="AA28">
        <v>895603.09</v>
      </c>
      <c r="AB28">
        <v>27</v>
      </c>
      <c r="AC28" t="s">
        <v>42</v>
      </c>
      <c r="AD28">
        <v>1</v>
      </c>
    </row>
    <row r="29" spans="1:30">
      <c r="A29" t="str">
        <f>CONCATENATE(I29,J29)</f>
        <v>SGBJAN29XGB</v>
      </c>
      <c r="B29" s="34">
        <v>46273</v>
      </c>
      <c r="C29" s="34">
        <v>46273</v>
      </c>
      <c r="D29" t="s">
        <v>35</v>
      </c>
      <c r="E29" t="s">
        <v>36</v>
      </c>
      <c r="F29" t="s">
        <v>37</v>
      </c>
      <c r="G29">
        <v>2003</v>
      </c>
      <c r="H29" t="s">
        <v>120</v>
      </c>
      <c r="I29" t="s">
        <v>121</v>
      </c>
      <c r="J29" t="s">
        <v>40</v>
      </c>
      <c r="O29" t="s">
        <v>122</v>
      </c>
      <c r="P29">
        <v>15130.18</v>
      </c>
      <c r="Q29">
        <v>15299.97</v>
      </c>
      <c r="R29">
        <v>15070</v>
      </c>
      <c r="S29">
        <v>15103.65</v>
      </c>
      <c r="T29">
        <v>15070</v>
      </c>
      <c r="U29">
        <v>15062</v>
      </c>
      <c r="W29">
        <v>15103.65</v>
      </c>
      <c r="Z29">
        <v>111</v>
      </c>
      <c r="AA29">
        <v>1680339.01</v>
      </c>
      <c r="AB29">
        <v>49</v>
      </c>
      <c r="AC29" t="s">
        <v>42</v>
      </c>
      <c r="AD29">
        <v>1</v>
      </c>
    </row>
    <row r="30" spans="1:30">
      <c r="A30" t="str">
        <f>CONCATENATE(I30,J30)</f>
        <v>SGBFEB29XIGB</v>
      </c>
      <c r="B30" s="34">
        <v>46273</v>
      </c>
      <c r="C30" s="34">
        <v>46273</v>
      </c>
      <c r="D30" t="s">
        <v>35</v>
      </c>
      <c r="E30" t="s">
        <v>36</v>
      </c>
      <c r="F30" t="s">
        <v>37</v>
      </c>
      <c r="G30">
        <v>2200</v>
      </c>
      <c r="H30" t="s">
        <v>123</v>
      </c>
      <c r="I30" t="s">
        <v>124</v>
      </c>
      <c r="J30" t="s">
        <v>40</v>
      </c>
      <c r="O30" t="s">
        <v>125</v>
      </c>
      <c r="P30">
        <v>15122</v>
      </c>
      <c r="Q30">
        <v>15349</v>
      </c>
      <c r="R30">
        <v>15100</v>
      </c>
      <c r="S30">
        <v>15100</v>
      </c>
      <c r="T30">
        <v>15100</v>
      </c>
      <c r="U30">
        <v>15052.2</v>
      </c>
      <c r="W30">
        <v>15107.5</v>
      </c>
      <c r="Z30">
        <v>86</v>
      </c>
      <c r="AA30">
        <v>1301452.1499999999</v>
      </c>
      <c r="AB30">
        <v>20</v>
      </c>
      <c r="AC30" t="s">
        <v>42</v>
      </c>
      <c r="AD30">
        <v>1</v>
      </c>
    </row>
    <row r="31" spans="1:30">
      <c r="A31" t="str">
        <f>CONCATENATE(I31,J31)</f>
        <v>SGBMR29XIIGB</v>
      </c>
      <c r="B31" s="34">
        <v>46273</v>
      </c>
      <c r="C31" s="34">
        <v>46273</v>
      </c>
      <c r="D31" t="s">
        <v>35</v>
      </c>
      <c r="E31" t="s">
        <v>36</v>
      </c>
      <c r="F31" t="s">
        <v>37</v>
      </c>
      <c r="G31">
        <v>2810</v>
      </c>
      <c r="H31" t="s">
        <v>126</v>
      </c>
      <c r="I31" t="s">
        <v>127</v>
      </c>
      <c r="J31" t="s">
        <v>40</v>
      </c>
      <c r="O31" t="s">
        <v>128</v>
      </c>
      <c r="P31">
        <v>15199</v>
      </c>
      <c r="Q31">
        <v>15199</v>
      </c>
      <c r="R31">
        <v>15051</v>
      </c>
      <c r="S31">
        <v>15065.91</v>
      </c>
      <c r="T31">
        <v>15060</v>
      </c>
      <c r="U31">
        <v>15086.38</v>
      </c>
      <c r="W31">
        <v>15066.64</v>
      </c>
      <c r="Z31">
        <v>145</v>
      </c>
      <c r="AA31">
        <v>2189631.29</v>
      </c>
      <c r="AB31">
        <v>43</v>
      </c>
      <c r="AC31" t="s">
        <v>42</v>
      </c>
      <c r="AD31">
        <v>1</v>
      </c>
    </row>
    <row r="32" spans="1:30">
      <c r="A32" t="str">
        <f>CONCATENATE(I32,J32)</f>
        <v>SGBJUN30GB</v>
      </c>
      <c r="B32" s="34">
        <v>46273</v>
      </c>
      <c r="C32" s="34">
        <v>46273</v>
      </c>
      <c r="D32" t="s">
        <v>35</v>
      </c>
      <c r="E32" t="s">
        <v>36</v>
      </c>
      <c r="F32" t="s">
        <v>37</v>
      </c>
      <c r="G32">
        <v>10232</v>
      </c>
      <c r="H32" t="s">
        <v>129</v>
      </c>
      <c r="I32" t="s">
        <v>130</v>
      </c>
      <c r="J32" t="s">
        <v>40</v>
      </c>
      <c r="O32" t="s">
        <v>131</v>
      </c>
      <c r="P32">
        <v>15905</v>
      </c>
      <c r="Q32">
        <v>15905</v>
      </c>
      <c r="R32">
        <v>15101</v>
      </c>
      <c r="S32">
        <v>15221</v>
      </c>
      <c r="T32">
        <v>15110</v>
      </c>
      <c r="U32">
        <v>15210</v>
      </c>
      <c r="W32">
        <v>15232.38</v>
      </c>
      <c r="Z32">
        <v>84</v>
      </c>
      <c r="AA32">
        <v>1286742.3500000001</v>
      </c>
      <c r="AB32">
        <v>34</v>
      </c>
      <c r="AC32" t="s">
        <v>42</v>
      </c>
      <c r="AD32">
        <v>1</v>
      </c>
    </row>
    <row r="33" spans="1:30">
      <c r="A33" t="str">
        <f>CONCATENATE(I33,J33)</f>
        <v>SGBAUG30GB</v>
      </c>
      <c r="B33" s="34">
        <v>46273</v>
      </c>
      <c r="C33" s="34">
        <v>46273</v>
      </c>
      <c r="D33" t="s">
        <v>35</v>
      </c>
      <c r="E33" t="s">
        <v>36</v>
      </c>
      <c r="F33" t="s">
        <v>37</v>
      </c>
      <c r="G33">
        <v>11192</v>
      </c>
      <c r="H33" t="s">
        <v>132</v>
      </c>
      <c r="I33" t="s">
        <v>133</v>
      </c>
      <c r="J33" t="s">
        <v>40</v>
      </c>
      <c r="O33" t="s">
        <v>134</v>
      </c>
      <c r="P33">
        <v>15340.01</v>
      </c>
      <c r="Q33">
        <v>15450</v>
      </c>
      <c r="R33">
        <v>15212.01</v>
      </c>
      <c r="S33">
        <v>15265.93</v>
      </c>
      <c r="T33">
        <v>15231.01</v>
      </c>
      <c r="U33">
        <v>15380.71</v>
      </c>
      <c r="W33">
        <v>15265.93</v>
      </c>
      <c r="Z33">
        <v>129</v>
      </c>
      <c r="AA33">
        <v>1975825.39</v>
      </c>
      <c r="AB33">
        <v>31</v>
      </c>
      <c r="AC33" t="s">
        <v>42</v>
      </c>
      <c r="AD33">
        <v>1</v>
      </c>
    </row>
    <row r="34" spans="1:30">
      <c r="A34" t="str">
        <f>CONCATENATE(I34,J34)</f>
        <v>SGBDE30IIIGB</v>
      </c>
      <c r="B34" s="34">
        <v>46273</v>
      </c>
      <c r="C34" s="34">
        <v>46273</v>
      </c>
      <c r="D34" t="s">
        <v>35</v>
      </c>
      <c r="E34" t="s">
        <v>36</v>
      </c>
      <c r="F34" t="s">
        <v>37</v>
      </c>
      <c r="G34">
        <v>13642</v>
      </c>
      <c r="H34" t="s">
        <v>135</v>
      </c>
      <c r="I34" t="s">
        <v>136</v>
      </c>
      <c r="J34" t="s">
        <v>40</v>
      </c>
      <c r="O34" t="s">
        <v>137</v>
      </c>
      <c r="P34">
        <v>15594.99</v>
      </c>
      <c r="Q34">
        <v>15594.99</v>
      </c>
      <c r="R34">
        <v>15262</v>
      </c>
      <c r="S34">
        <v>15280.71</v>
      </c>
      <c r="T34">
        <v>15275</v>
      </c>
      <c r="U34">
        <v>15317.44</v>
      </c>
      <c r="W34">
        <v>15283.94</v>
      </c>
      <c r="Z34">
        <v>155</v>
      </c>
      <c r="AA34">
        <v>2378922.98</v>
      </c>
      <c r="AB34">
        <v>38</v>
      </c>
      <c r="AC34" t="s">
        <v>42</v>
      </c>
      <c r="AD34">
        <v>1</v>
      </c>
    </row>
    <row r="35" spans="1:30">
      <c r="A35" t="str">
        <f>CONCATENATE(I35,J35)</f>
        <v>SGBJAN30IXGB</v>
      </c>
      <c r="B35" s="34">
        <v>46273</v>
      </c>
      <c r="C35" s="34">
        <v>46273</v>
      </c>
      <c r="D35" t="s">
        <v>35</v>
      </c>
      <c r="E35" t="s">
        <v>36</v>
      </c>
      <c r="F35" t="s">
        <v>37</v>
      </c>
      <c r="G35">
        <v>7879</v>
      </c>
      <c r="H35" t="s">
        <v>138</v>
      </c>
      <c r="I35" t="s">
        <v>139</v>
      </c>
      <c r="J35" t="s">
        <v>40</v>
      </c>
      <c r="O35" t="s">
        <v>140</v>
      </c>
      <c r="P35">
        <v>15170</v>
      </c>
      <c r="Q35">
        <v>15354.94</v>
      </c>
      <c r="R35">
        <v>15126.99</v>
      </c>
      <c r="S35">
        <v>15150</v>
      </c>
      <c r="T35">
        <v>15150</v>
      </c>
      <c r="U35">
        <v>15176.48</v>
      </c>
      <c r="W35">
        <v>15150</v>
      </c>
      <c r="Z35">
        <v>124</v>
      </c>
      <c r="AA35">
        <v>1881576.43</v>
      </c>
      <c r="AB35">
        <v>40</v>
      </c>
      <c r="AC35" t="s">
        <v>42</v>
      </c>
      <c r="AD35">
        <v>1</v>
      </c>
    </row>
    <row r="36" spans="1:30">
      <c r="A36" t="str">
        <f>CONCATENATE(I36,J36)</f>
        <v>SGBMAR30XGB</v>
      </c>
      <c r="B36" s="34">
        <v>46273</v>
      </c>
      <c r="C36" s="34">
        <v>46273</v>
      </c>
      <c r="D36" t="s">
        <v>35</v>
      </c>
      <c r="E36" t="s">
        <v>36</v>
      </c>
      <c r="F36" t="s">
        <v>37</v>
      </c>
      <c r="G36">
        <v>8401</v>
      </c>
      <c r="H36" t="s">
        <v>141</v>
      </c>
      <c r="I36" t="s">
        <v>142</v>
      </c>
      <c r="J36" t="s">
        <v>40</v>
      </c>
      <c r="O36" t="s">
        <v>143</v>
      </c>
      <c r="P36">
        <v>15226</v>
      </c>
      <c r="Q36">
        <v>15257</v>
      </c>
      <c r="R36">
        <v>15125</v>
      </c>
      <c r="S36">
        <v>15195</v>
      </c>
      <c r="T36">
        <v>15195</v>
      </c>
      <c r="U36">
        <v>15278.99</v>
      </c>
      <c r="W36">
        <v>15195</v>
      </c>
      <c r="Z36">
        <v>97</v>
      </c>
      <c r="AA36">
        <v>1471475.5</v>
      </c>
      <c r="AB36">
        <v>25</v>
      </c>
      <c r="AC36" t="s">
        <v>42</v>
      </c>
      <c r="AD36">
        <v>1</v>
      </c>
    </row>
    <row r="37" spans="1:30">
      <c r="A37" t="str">
        <f>CONCATENATE(I37,J37)</f>
        <v>SGBJUN31IGB</v>
      </c>
      <c r="B37" s="34">
        <v>46273</v>
      </c>
      <c r="C37" s="34">
        <v>46273</v>
      </c>
      <c r="D37" t="s">
        <v>35</v>
      </c>
      <c r="E37" t="s">
        <v>36</v>
      </c>
      <c r="F37" t="s">
        <v>37</v>
      </c>
      <c r="G37">
        <v>17202</v>
      </c>
      <c r="H37" t="s">
        <v>144</v>
      </c>
      <c r="I37" t="s">
        <v>145</v>
      </c>
      <c r="J37" t="s">
        <v>40</v>
      </c>
      <c r="O37" t="s">
        <v>146</v>
      </c>
      <c r="P37">
        <v>15440</v>
      </c>
      <c r="Q37">
        <v>15576.51</v>
      </c>
      <c r="R37">
        <v>15325.97</v>
      </c>
      <c r="S37">
        <v>15349.8</v>
      </c>
      <c r="T37">
        <v>15333</v>
      </c>
      <c r="U37">
        <v>15417.77</v>
      </c>
      <c r="W37">
        <v>15351.83</v>
      </c>
      <c r="Z37">
        <v>551</v>
      </c>
      <c r="AA37">
        <v>8531721.0399999991</v>
      </c>
      <c r="AB37">
        <v>98</v>
      </c>
      <c r="AC37" t="s">
        <v>42</v>
      </c>
      <c r="AD37">
        <v>1</v>
      </c>
    </row>
    <row r="38" spans="1:30">
      <c r="A38" t="str">
        <f>CONCATENATE(I38,J38)</f>
        <v>SGBSEP31IIGB</v>
      </c>
      <c r="B38" s="34">
        <v>46273</v>
      </c>
      <c r="C38" s="34">
        <v>46273</v>
      </c>
      <c r="D38" t="s">
        <v>35</v>
      </c>
      <c r="E38" t="s">
        <v>36</v>
      </c>
      <c r="F38" t="s">
        <v>37</v>
      </c>
      <c r="G38">
        <v>19456</v>
      </c>
      <c r="H38" t="s">
        <v>147</v>
      </c>
      <c r="I38" t="s">
        <v>148</v>
      </c>
      <c r="J38" t="s">
        <v>40</v>
      </c>
      <c r="O38" t="s">
        <v>149</v>
      </c>
      <c r="P38">
        <v>15512.01</v>
      </c>
      <c r="Q38">
        <v>15669.99</v>
      </c>
      <c r="R38">
        <v>15457</v>
      </c>
      <c r="S38">
        <v>15471.09</v>
      </c>
      <c r="T38">
        <v>15489.99</v>
      </c>
      <c r="U38">
        <v>15510.73</v>
      </c>
      <c r="W38">
        <v>15471.32</v>
      </c>
      <c r="Z38">
        <v>525</v>
      </c>
      <c r="AA38">
        <v>8148906.0700000003</v>
      </c>
      <c r="AB38">
        <v>136</v>
      </c>
      <c r="AC38" t="s">
        <v>42</v>
      </c>
      <c r="AD38">
        <v>1</v>
      </c>
    </row>
    <row r="39" spans="1:30">
      <c r="A39" t="str">
        <f>CONCATENATE(I39,J39)</f>
        <v>SGBDE31IIIGB</v>
      </c>
      <c r="B39" s="34">
        <v>46273</v>
      </c>
      <c r="C39" s="34">
        <v>46273</v>
      </c>
      <c r="D39" t="s">
        <v>35</v>
      </c>
      <c r="E39" t="s">
        <v>36</v>
      </c>
      <c r="F39" t="s">
        <v>37</v>
      </c>
      <c r="G39">
        <v>22476</v>
      </c>
      <c r="H39" t="s">
        <v>150</v>
      </c>
      <c r="I39" t="s">
        <v>151</v>
      </c>
      <c r="J39" t="s">
        <v>40</v>
      </c>
      <c r="O39" t="s">
        <v>152</v>
      </c>
      <c r="P39">
        <v>15605.01</v>
      </c>
      <c r="Q39">
        <v>15764.99</v>
      </c>
      <c r="R39">
        <v>15511.02</v>
      </c>
      <c r="S39">
        <v>15579.93</v>
      </c>
      <c r="T39">
        <v>15594.99</v>
      </c>
      <c r="U39">
        <v>15597.97</v>
      </c>
      <c r="W39">
        <v>15575.94</v>
      </c>
      <c r="Z39">
        <v>379</v>
      </c>
      <c r="AA39">
        <v>5934955.3300000001</v>
      </c>
      <c r="AB39">
        <v>133</v>
      </c>
      <c r="AC39" t="s">
        <v>42</v>
      </c>
      <c r="AD39">
        <v>1</v>
      </c>
    </row>
    <row r="40" spans="1:30">
      <c r="A40" t="str">
        <f>CONCATENATE(I40,J40)</f>
        <v>SGBMAR31IVGB</v>
      </c>
      <c r="B40" s="34">
        <v>46273</v>
      </c>
      <c r="C40" s="34">
        <v>46273</v>
      </c>
      <c r="D40" t="s">
        <v>35</v>
      </c>
      <c r="E40" t="s">
        <v>36</v>
      </c>
      <c r="F40" t="s">
        <v>37</v>
      </c>
      <c r="G40">
        <v>14598</v>
      </c>
      <c r="H40" t="s">
        <v>153</v>
      </c>
      <c r="I40" t="s">
        <v>154</v>
      </c>
      <c r="J40" t="s">
        <v>40</v>
      </c>
      <c r="O40" t="s">
        <v>155</v>
      </c>
      <c r="P40">
        <v>15316.2</v>
      </c>
      <c r="Q40">
        <v>15519.99</v>
      </c>
      <c r="R40">
        <v>15300</v>
      </c>
      <c r="S40">
        <v>15367.5</v>
      </c>
      <c r="T40">
        <v>15350</v>
      </c>
      <c r="U40">
        <v>15440</v>
      </c>
      <c r="W40">
        <v>15368.6</v>
      </c>
      <c r="Z40">
        <v>226</v>
      </c>
      <c r="AA40">
        <v>3490595.48</v>
      </c>
      <c r="AB40">
        <v>59</v>
      </c>
      <c r="AC40" t="s">
        <v>42</v>
      </c>
      <c r="AD40">
        <v>1</v>
      </c>
    </row>
    <row r="41" spans="1:30">
      <c r="A41" t="str">
        <f>CONCATENATE(I41,J41)</f>
        <v>SGBFEB32IVGB</v>
      </c>
      <c r="B41" s="34">
        <v>46273</v>
      </c>
      <c r="C41" s="34">
        <v>46273</v>
      </c>
      <c r="D41" t="s">
        <v>35</v>
      </c>
      <c r="E41" t="s">
        <v>36</v>
      </c>
      <c r="F41" t="s">
        <v>37</v>
      </c>
      <c r="G41">
        <v>22886</v>
      </c>
      <c r="H41" t="s">
        <v>156</v>
      </c>
      <c r="I41" t="s">
        <v>157</v>
      </c>
      <c r="J41" t="s">
        <v>40</v>
      </c>
      <c r="O41" t="s">
        <v>158</v>
      </c>
      <c r="P41">
        <v>15840</v>
      </c>
      <c r="Q41">
        <v>15899.99</v>
      </c>
      <c r="R41">
        <v>15673.12</v>
      </c>
      <c r="S41">
        <v>15790.11</v>
      </c>
      <c r="T41">
        <v>15731.01</v>
      </c>
      <c r="U41">
        <v>15775.95</v>
      </c>
      <c r="W41">
        <v>15792.93</v>
      </c>
      <c r="Z41">
        <v>704</v>
      </c>
      <c r="AA41">
        <v>11130494.41</v>
      </c>
      <c r="AB41">
        <v>177</v>
      </c>
      <c r="AC41" t="s">
        <v>42</v>
      </c>
      <c r="AD41">
        <v>1</v>
      </c>
    </row>
    <row r="42" spans="1:30">
      <c r="A42" t="str">
        <f>CONCATENATE(I42,J42)</f>
        <v>20MICRONSEQ</v>
      </c>
      <c r="B42" s="34">
        <v>46273</v>
      </c>
      <c r="C42" s="34">
        <v>46273</v>
      </c>
      <c r="D42" t="s">
        <v>35</v>
      </c>
      <c r="E42" t="s">
        <v>36</v>
      </c>
      <c r="F42" t="s">
        <v>37</v>
      </c>
      <c r="G42">
        <v>16921</v>
      </c>
      <c r="H42" t="s">
        <v>159</v>
      </c>
      <c r="I42" t="s">
        <v>160</v>
      </c>
      <c r="J42" t="s">
        <v>161</v>
      </c>
      <c r="O42" t="s">
        <v>162</v>
      </c>
      <c r="P42">
        <v>226</v>
      </c>
      <c r="Q42">
        <v>227.23</v>
      </c>
      <c r="R42">
        <v>218.79</v>
      </c>
      <c r="S42">
        <v>219.28</v>
      </c>
      <c r="T42">
        <v>219.65</v>
      </c>
      <c r="U42">
        <v>224.8</v>
      </c>
      <c r="W42">
        <v>219.27</v>
      </c>
      <c r="Z42">
        <v>108144</v>
      </c>
      <c r="AA42">
        <v>23870626.82</v>
      </c>
      <c r="AB42">
        <v>3432</v>
      </c>
      <c r="AC42" t="s">
        <v>42</v>
      </c>
      <c r="AD42">
        <v>1</v>
      </c>
    </row>
    <row r="43" spans="1:30">
      <c r="A43" t="str">
        <f>CONCATENATE(I43,J43)</f>
        <v>21STCENMGMEQ</v>
      </c>
      <c r="B43" s="34">
        <v>46273</v>
      </c>
      <c r="C43" s="34">
        <v>46273</v>
      </c>
      <c r="D43" t="s">
        <v>35</v>
      </c>
      <c r="E43" t="s">
        <v>36</v>
      </c>
      <c r="F43" t="s">
        <v>37</v>
      </c>
      <c r="G43">
        <v>4</v>
      </c>
      <c r="H43" t="s">
        <v>163</v>
      </c>
      <c r="I43" t="s">
        <v>164</v>
      </c>
      <c r="J43" t="s">
        <v>161</v>
      </c>
      <c r="O43" t="s">
        <v>165</v>
      </c>
      <c r="P43">
        <v>38.700000000000003</v>
      </c>
      <c r="Q43">
        <v>39.04</v>
      </c>
      <c r="R43">
        <v>38.29</v>
      </c>
      <c r="S43">
        <v>38.590000000000003</v>
      </c>
      <c r="T43">
        <v>38.590000000000003</v>
      </c>
      <c r="U43">
        <v>38.28</v>
      </c>
      <c r="W43">
        <v>39.4</v>
      </c>
      <c r="Z43">
        <v>4103</v>
      </c>
      <c r="AA43">
        <v>159674.89000000001</v>
      </c>
      <c r="AB43">
        <v>57</v>
      </c>
      <c r="AC43" t="s">
        <v>42</v>
      </c>
      <c r="AD43">
        <v>1</v>
      </c>
    </row>
    <row r="44" spans="1:30">
      <c r="A44" t="str">
        <f>CONCATENATE(I44,J44)</f>
        <v>360ONEEQ</v>
      </c>
      <c r="B44" s="34">
        <v>46273</v>
      </c>
      <c r="C44" s="34">
        <v>46273</v>
      </c>
      <c r="D44" t="s">
        <v>35</v>
      </c>
      <c r="E44" t="s">
        <v>36</v>
      </c>
      <c r="F44" t="s">
        <v>37</v>
      </c>
      <c r="G44">
        <v>13061</v>
      </c>
      <c r="H44" t="s">
        <v>166</v>
      </c>
      <c r="I44" t="s">
        <v>167</v>
      </c>
      <c r="J44" t="s">
        <v>161</v>
      </c>
      <c r="O44" t="s">
        <v>168</v>
      </c>
      <c r="P44">
        <v>1125</v>
      </c>
      <c r="Q44">
        <v>1128.2</v>
      </c>
      <c r="R44">
        <v>1104.3</v>
      </c>
      <c r="S44">
        <v>1110</v>
      </c>
      <c r="T44">
        <v>1110</v>
      </c>
      <c r="U44">
        <v>1136.9000000000001</v>
      </c>
      <c r="W44">
        <v>1109.94</v>
      </c>
      <c r="Z44">
        <v>1123388</v>
      </c>
      <c r="AA44">
        <v>1248715076</v>
      </c>
      <c r="AB44">
        <v>71122</v>
      </c>
      <c r="AC44" t="s">
        <v>42</v>
      </c>
      <c r="AD44">
        <v>1</v>
      </c>
    </row>
    <row r="45" spans="1:30">
      <c r="A45" t="str">
        <f>CONCATENATE(I45,J45)</f>
        <v>GOLD360EQ</v>
      </c>
      <c r="B45" s="34">
        <v>46273</v>
      </c>
      <c r="C45" s="34">
        <v>46273</v>
      </c>
      <c r="D45" t="s">
        <v>35</v>
      </c>
      <c r="E45" t="s">
        <v>36</v>
      </c>
      <c r="F45" t="s">
        <v>37</v>
      </c>
      <c r="G45">
        <v>30105</v>
      </c>
      <c r="H45" t="s">
        <v>169</v>
      </c>
      <c r="I45" t="s">
        <v>170</v>
      </c>
      <c r="J45" t="s">
        <v>161</v>
      </c>
      <c r="O45" t="s">
        <v>171</v>
      </c>
      <c r="P45">
        <v>148.4</v>
      </c>
      <c r="Q45">
        <v>149.55000000000001</v>
      </c>
      <c r="R45">
        <v>147.55000000000001</v>
      </c>
      <c r="S45">
        <v>148.25</v>
      </c>
      <c r="T45">
        <v>148.80000000000001</v>
      </c>
      <c r="U45">
        <v>147.85</v>
      </c>
      <c r="W45">
        <v>148.12</v>
      </c>
      <c r="Z45">
        <v>11492</v>
      </c>
      <c r="AA45">
        <v>1706551.9</v>
      </c>
      <c r="AB45">
        <v>263</v>
      </c>
      <c r="AC45" t="s">
        <v>42</v>
      </c>
      <c r="AD45">
        <v>1</v>
      </c>
    </row>
    <row r="46" spans="1:30">
      <c r="A46" t="str">
        <f>CONCATENATE(I46,J46)</f>
        <v>MSCI360EQ</v>
      </c>
      <c r="B46" s="34">
        <v>46273</v>
      </c>
      <c r="C46" s="34">
        <v>46273</v>
      </c>
      <c r="D46" t="s">
        <v>35</v>
      </c>
      <c r="E46" t="s">
        <v>36</v>
      </c>
      <c r="F46" t="s">
        <v>37</v>
      </c>
      <c r="G46">
        <v>763602</v>
      </c>
      <c r="H46" t="s">
        <v>172</v>
      </c>
      <c r="I46" t="s">
        <v>173</v>
      </c>
      <c r="J46" t="s">
        <v>161</v>
      </c>
      <c r="O46" t="s">
        <v>174</v>
      </c>
      <c r="P46">
        <v>10.119999999999999</v>
      </c>
      <c r="Q46">
        <v>10.119999999999999</v>
      </c>
      <c r="R46">
        <v>10.02</v>
      </c>
      <c r="S46">
        <v>10.02</v>
      </c>
      <c r="T46">
        <v>10.02</v>
      </c>
      <c r="U46">
        <v>10.07</v>
      </c>
      <c r="W46">
        <v>10.029999999999999</v>
      </c>
      <c r="Z46">
        <v>1670</v>
      </c>
      <c r="AA46">
        <v>16767.05</v>
      </c>
      <c r="AB46">
        <v>29</v>
      </c>
      <c r="AC46" t="s">
        <v>42</v>
      </c>
      <c r="AD46">
        <v>1</v>
      </c>
    </row>
    <row r="47" spans="1:30">
      <c r="A47" t="str">
        <f>CONCATENATE(I47,J47)</f>
        <v>SILVER360EQ</v>
      </c>
      <c r="B47" s="34">
        <v>46273</v>
      </c>
      <c r="C47" s="34">
        <v>46273</v>
      </c>
      <c r="D47" t="s">
        <v>35</v>
      </c>
      <c r="E47" t="s">
        <v>36</v>
      </c>
      <c r="F47" t="s">
        <v>37</v>
      </c>
      <c r="G47">
        <v>756150</v>
      </c>
      <c r="H47" t="s">
        <v>175</v>
      </c>
      <c r="I47" t="s">
        <v>176</v>
      </c>
      <c r="J47" t="s">
        <v>161</v>
      </c>
      <c r="O47" t="s">
        <v>177</v>
      </c>
      <c r="P47">
        <v>227.01</v>
      </c>
      <c r="Q47">
        <v>229.95</v>
      </c>
      <c r="R47">
        <v>226.2</v>
      </c>
      <c r="S47">
        <v>227.28</v>
      </c>
      <c r="T47">
        <v>228.45</v>
      </c>
      <c r="U47">
        <v>226.55</v>
      </c>
      <c r="W47">
        <v>227.34</v>
      </c>
      <c r="Z47">
        <v>8908</v>
      </c>
      <c r="AA47">
        <v>2033161.72</v>
      </c>
      <c r="AB47">
        <v>292</v>
      </c>
      <c r="AC47" t="s">
        <v>42</v>
      </c>
      <c r="AD47">
        <v>1</v>
      </c>
    </row>
    <row r="48" spans="1:30">
      <c r="A48" t="str">
        <f>CONCATENATE(I48,J48)</f>
        <v>3BBLACKBIOEQ</v>
      </c>
      <c r="B48" s="34">
        <v>46273</v>
      </c>
      <c r="C48" s="34">
        <v>46273</v>
      </c>
      <c r="D48" t="s">
        <v>35</v>
      </c>
      <c r="E48" t="s">
        <v>36</v>
      </c>
      <c r="F48" t="s">
        <v>37</v>
      </c>
      <c r="G48">
        <v>762518</v>
      </c>
      <c r="H48" t="s">
        <v>178</v>
      </c>
      <c r="I48" t="s">
        <v>179</v>
      </c>
      <c r="J48" t="s">
        <v>161</v>
      </c>
      <c r="O48" t="s">
        <v>180</v>
      </c>
      <c r="P48">
        <v>1563</v>
      </c>
      <c r="Q48">
        <v>1569.5</v>
      </c>
      <c r="R48">
        <v>1428.1</v>
      </c>
      <c r="S48">
        <v>1455.3</v>
      </c>
      <c r="T48">
        <v>1467.5</v>
      </c>
      <c r="U48">
        <v>1521.3</v>
      </c>
      <c r="W48">
        <v>1455.62</v>
      </c>
      <c r="Z48">
        <v>26241</v>
      </c>
      <c r="AA48">
        <v>38684086.600000001</v>
      </c>
      <c r="AB48">
        <v>3219</v>
      </c>
      <c r="AC48" t="s">
        <v>42</v>
      </c>
      <c r="AD48">
        <v>1</v>
      </c>
    </row>
    <row r="49" spans="1:30">
      <c r="A49" t="str">
        <f>CONCATENATE(I49,J49)</f>
        <v>3IINFOLTDBE</v>
      </c>
      <c r="B49" s="34">
        <v>46273</v>
      </c>
      <c r="C49" s="34">
        <v>46273</v>
      </c>
      <c r="D49" t="s">
        <v>35</v>
      </c>
      <c r="E49" t="s">
        <v>36</v>
      </c>
      <c r="F49" t="s">
        <v>37</v>
      </c>
      <c r="G49">
        <v>6240</v>
      </c>
      <c r="H49" t="s">
        <v>181</v>
      </c>
      <c r="I49" t="s">
        <v>182</v>
      </c>
      <c r="J49" t="s">
        <v>183</v>
      </c>
      <c r="O49" t="s">
        <v>184</v>
      </c>
      <c r="P49">
        <v>22.7</v>
      </c>
      <c r="Q49">
        <v>22.7</v>
      </c>
      <c r="R49">
        <v>22.1</v>
      </c>
      <c r="S49">
        <v>22.32</v>
      </c>
      <c r="T49">
        <v>22.25</v>
      </c>
      <c r="U49">
        <v>22.07</v>
      </c>
      <c r="W49">
        <v>22.32</v>
      </c>
      <c r="Z49">
        <v>189516</v>
      </c>
      <c r="AA49">
        <v>4262027.71</v>
      </c>
      <c r="AB49">
        <v>526</v>
      </c>
      <c r="AC49" t="s">
        <v>42</v>
      </c>
      <c r="AD49">
        <v>1</v>
      </c>
    </row>
    <row r="50" spans="1:30">
      <c r="A50" t="str">
        <f>CONCATENATE(I50,J50)</f>
        <v>3MINDIAEQ</v>
      </c>
      <c r="B50" s="34">
        <v>46273</v>
      </c>
      <c r="C50" s="34">
        <v>46273</v>
      </c>
      <c r="D50" t="s">
        <v>35</v>
      </c>
      <c r="E50" t="s">
        <v>36</v>
      </c>
      <c r="F50" t="s">
        <v>37</v>
      </c>
      <c r="G50">
        <v>474</v>
      </c>
      <c r="H50" t="s">
        <v>185</v>
      </c>
      <c r="I50" t="s">
        <v>186</v>
      </c>
      <c r="J50" t="s">
        <v>161</v>
      </c>
      <c r="O50" t="s">
        <v>187</v>
      </c>
      <c r="P50">
        <v>32840</v>
      </c>
      <c r="Q50">
        <v>33330</v>
      </c>
      <c r="R50">
        <v>32620</v>
      </c>
      <c r="S50">
        <v>33145</v>
      </c>
      <c r="T50">
        <v>33170</v>
      </c>
      <c r="U50">
        <v>32840</v>
      </c>
      <c r="W50">
        <v>33144.94</v>
      </c>
      <c r="Z50">
        <v>2158</v>
      </c>
      <c r="AA50">
        <v>71438390</v>
      </c>
      <c r="AB50">
        <v>1577</v>
      </c>
      <c r="AC50" t="s">
        <v>42</v>
      </c>
      <c r="AD50">
        <v>1</v>
      </c>
    </row>
    <row r="51" spans="1:30">
      <c r="A51" t="str">
        <f>CONCATENATE(I51,J51)</f>
        <v>3PLANDEQ</v>
      </c>
      <c r="B51" s="34">
        <v>46273</v>
      </c>
      <c r="C51" s="34">
        <v>46273</v>
      </c>
      <c r="D51" t="s">
        <v>35</v>
      </c>
      <c r="E51" t="s">
        <v>36</v>
      </c>
      <c r="F51" t="s">
        <v>37</v>
      </c>
      <c r="G51">
        <v>2595</v>
      </c>
      <c r="H51" t="s">
        <v>188</v>
      </c>
      <c r="I51" t="s">
        <v>189</v>
      </c>
      <c r="J51" t="s">
        <v>161</v>
      </c>
      <c r="O51" t="s">
        <v>190</v>
      </c>
      <c r="P51">
        <v>32.15</v>
      </c>
      <c r="Q51">
        <v>32.5</v>
      </c>
      <c r="R51">
        <v>31.8</v>
      </c>
      <c r="S51">
        <v>32.4</v>
      </c>
      <c r="T51">
        <v>32.4</v>
      </c>
      <c r="U51">
        <v>32.15</v>
      </c>
      <c r="W51">
        <v>32.4</v>
      </c>
      <c r="Z51">
        <v>3698</v>
      </c>
      <c r="AA51">
        <v>119481.07</v>
      </c>
      <c r="AB51">
        <v>39</v>
      </c>
      <c r="AC51" t="s">
        <v>42</v>
      </c>
      <c r="AD51">
        <v>1</v>
      </c>
    </row>
    <row r="52" spans="1:30">
      <c r="A52" t="str">
        <f>CONCATENATE(I52,J52)</f>
        <v>5PAISAEQ</v>
      </c>
      <c r="B52" s="34">
        <v>46273</v>
      </c>
      <c r="C52" s="34">
        <v>46273</v>
      </c>
      <c r="D52" t="s">
        <v>35</v>
      </c>
      <c r="E52" t="s">
        <v>36</v>
      </c>
      <c r="F52" t="s">
        <v>37</v>
      </c>
      <c r="G52">
        <v>445</v>
      </c>
      <c r="H52" t="s">
        <v>191</v>
      </c>
      <c r="I52" t="s">
        <v>192</v>
      </c>
      <c r="J52" t="s">
        <v>161</v>
      </c>
      <c r="O52" t="s">
        <v>193</v>
      </c>
      <c r="P52">
        <v>337</v>
      </c>
      <c r="Q52">
        <v>342</v>
      </c>
      <c r="R52">
        <v>335</v>
      </c>
      <c r="S52">
        <v>337.4</v>
      </c>
      <c r="T52">
        <v>337.2</v>
      </c>
      <c r="U52">
        <v>339.85</v>
      </c>
      <c r="W52">
        <v>337.42</v>
      </c>
      <c r="Z52">
        <v>16944</v>
      </c>
      <c r="AA52">
        <v>5719141.9000000004</v>
      </c>
      <c r="AB52">
        <v>1176</v>
      </c>
      <c r="AC52" t="s">
        <v>42</v>
      </c>
      <c r="AD52">
        <v>1</v>
      </c>
    </row>
    <row r="53" spans="1:30">
      <c r="A53" t="str">
        <f>CONCATENATE(I53,J53)</f>
        <v>63MOONSEQ</v>
      </c>
      <c r="B53" s="34">
        <v>46273</v>
      </c>
      <c r="C53" s="34">
        <v>46273</v>
      </c>
      <c r="D53" t="s">
        <v>35</v>
      </c>
      <c r="E53" t="s">
        <v>36</v>
      </c>
      <c r="F53" t="s">
        <v>37</v>
      </c>
      <c r="G53">
        <v>11868</v>
      </c>
      <c r="H53" t="s">
        <v>194</v>
      </c>
      <c r="I53" t="s">
        <v>195</v>
      </c>
      <c r="J53" t="s">
        <v>161</v>
      </c>
      <c r="O53" t="s">
        <v>196</v>
      </c>
      <c r="P53">
        <v>881.4</v>
      </c>
      <c r="Q53">
        <v>899.4</v>
      </c>
      <c r="R53">
        <v>860.2</v>
      </c>
      <c r="S53">
        <v>868.25</v>
      </c>
      <c r="T53">
        <v>867</v>
      </c>
      <c r="U53">
        <v>872.7</v>
      </c>
      <c r="W53">
        <v>868.21</v>
      </c>
      <c r="Z53">
        <v>536543</v>
      </c>
      <c r="AA53">
        <v>470211408.80000001</v>
      </c>
      <c r="AB53">
        <v>22096</v>
      </c>
      <c r="AC53" t="s">
        <v>42</v>
      </c>
      <c r="AD53">
        <v>1</v>
      </c>
    </row>
    <row r="54" spans="1:30">
      <c r="A54" t="str">
        <f>CONCATENATE(I54,J54)</f>
        <v>734IRFC28N4</v>
      </c>
      <c r="B54" s="34">
        <v>46273</v>
      </c>
      <c r="C54" s="34">
        <v>46273</v>
      </c>
      <c r="D54" t="s">
        <v>35</v>
      </c>
      <c r="E54" t="s">
        <v>36</v>
      </c>
      <c r="F54" t="s">
        <v>37</v>
      </c>
      <c r="G54">
        <v>29323</v>
      </c>
      <c r="H54" t="s">
        <v>197</v>
      </c>
      <c r="I54" t="s">
        <v>198</v>
      </c>
      <c r="J54" t="s">
        <v>199</v>
      </c>
      <c r="O54" t="s">
        <v>200</v>
      </c>
      <c r="P54">
        <v>1089.05</v>
      </c>
      <c r="Q54">
        <v>1089.05</v>
      </c>
      <c r="R54">
        <v>1089</v>
      </c>
      <c r="S54">
        <v>1089</v>
      </c>
      <c r="T54">
        <v>1089</v>
      </c>
      <c r="U54">
        <v>1088</v>
      </c>
      <c r="W54">
        <v>1089</v>
      </c>
      <c r="Z54">
        <v>11</v>
      </c>
      <c r="AA54">
        <v>11979.05</v>
      </c>
      <c r="AB54">
        <v>3</v>
      </c>
      <c r="AC54" t="s">
        <v>42</v>
      </c>
      <c r="AD54">
        <v>1</v>
      </c>
    </row>
    <row r="55" spans="1:30">
      <c r="A55" t="str">
        <f>CONCATENATE(I55,J55)</f>
        <v>764NABAR31N2</v>
      </c>
      <c r="B55" s="34">
        <v>46273</v>
      </c>
      <c r="C55" s="34">
        <v>46273</v>
      </c>
      <c r="D55" t="s">
        <v>35</v>
      </c>
      <c r="E55" t="s">
        <v>36</v>
      </c>
      <c r="F55" t="s">
        <v>37</v>
      </c>
      <c r="G55">
        <v>20034</v>
      </c>
      <c r="H55" t="s">
        <v>201</v>
      </c>
      <c r="I55" t="s">
        <v>202</v>
      </c>
      <c r="J55" t="s">
        <v>203</v>
      </c>
      <c r="O55" t="s">
        <v>204</v>
      </c>
      <c r="P55">
        <v>1114</v>
      </c>
      <c r="Q55">
        <v>1115</v>
      </c>
      <c r="R55">
        <v>1113.99</v>
      </c>
      <c r="S55">
        <v>1115</v>
      </c>
      <c r="T55">
        <v>1115</v>
      </c>
      <c r="U55">
        <v>1114</v>
      </c>
      <c r="W55">
        <v>1114.5</v>
      </c>
      <c r="Z55">
        <v>2660</v>
      </c>
      <c r="AA55">
        <v>2963739</v>
      </c>
      <c r="AB55">
        <v>7</v>
      </c>
      <c r="AC55" t="s">
        <v>42</v>
      </c>
      <c r="AD55">
        <v>1</v>
      </c>
    </row>
    <row r="56" spans="1:30">
      <c r="A56" t="str">
        <f>CONCATENATE(I56,J56)</f>
        <v>764HUDCO31N8</v>
      </c>
      <c r="B56" s="34">
        <v>46273</v>
      </c>
      <c r="C56" s="34">
        <v>46273</v>
      </c>
      <c r="D56" t="s">
        <v>35</v>
      </c>
      <c r="E56" t="s">
        <v>36</v>
      </c>
      <c r="F56" t="s">
        <v>37</v>
      </c>
      <c r="G56">
        <v>19928</v>
      </c>
      <c r="H56" t="s">
        <v>205</v>
      </c>
      <c r="I56" t="s">
        <v>206</v>
      </c>
      <c r="J56" t="s">
        <v>207</v>
      </c>
      <c r="O56" t="s">
        <v>208</v>
      </c>
      <c r="P56">
        <v>1124</v>
      </c>
      <c r="Q56">
        <v>1124</v>
      </c>
      <c r="R56">
        <v>1124</v>
      </c>
      <c r="S56">
        <v>1124</v>
      </c>
      <c r="T56">
        <v>1124</v>
      </c>
      <c r="U56">
        <v>1127.97</v>
      </c>
      <c r="W56">
        <v>1119.57</v>
      </c>
      <c r="Z56">
        <v>3</v>
      </c>
      <c r="AA56">
        <v>3372</v>
      </c>
      <c r="AB56">
        <v>1</v>
      </c>
      <c r="AC56" t="s">
        <v>42</v>
      </c>
      <c r="AD56">
        <v>1</v>
      </c>
    </row>
    <row r="57" spans="1:30">
      <c r="A57" t="str">
        <f>CONCATENATE(I57,J57)</f>
        <v>769HUDCO31N9</v>
      </c>
      <c r="B57" s="34">
        <v>46273</v>
      </c>
      <c r="C57" s="34">
        <v>46273</v>
      </c>
      <c r="D57" t="s">
        <v>35</v>
      </c>
      <c r="E57" t="s">
        <v>36</v>
      </c>
      <c r="F57" t="s">
        <v>37</v>
      </c>
      <c r="G57">
        <v>19930</v>
      </c>
      <c r="H57" t="s">
        <v>209</v>
      </c>
      <c r="I57" t="s">
        <v>210</v>
      </c>
      <c r="J57" t="s">
        <v>211</v>
      </c>
      <c r="O57" t="s">
        <v>212</v>
      </c>
      <c r="P57">
        <v>1137.96</v>
      </c>
      <c r="Q57">
        <v>1140</v>
      </c>
      <c r="R57">
        <v>1137.0999999999999</v>
      </c>
      <c r="S57">
        <v>1137.1099999999999</v>
      </c>
      <c r="T57">
        <v>1137.1099999999999</v>
      </c>
      <c r="U57">
        <v>1137.94</v>
      </c>
      <c r="W57">
        <v>1137.56</v>
      </c>
      <c r="Z57">
        <v>426</v>
      </c>
      <c r="AA57">
        <v>485426.84</v>
      </c>
      <c r="AB57">
        <v>19</v>
      </c>
      <c r="AC57" t="s">
        <v>42</v>
      </c>
      <c r="AD57">
        <v>1</v>
      </c>
    </row>
    <row r="58" spans="1:30">
      <c r="A58" t="str">
        <f>CONCATENATE(I58,J58)</f>
        <v>774IREDA31N7</v>
      </c>
      <c r="B58" s="34">
        <v>46273</v>
      </c>
      <c r="C58" s="34">
        <v>46273</v>
      </c>
      <c r="D58" t="s">
        <v>35</v>
      </c>
      <c r="E58" t="s">
        <v>36</v>
      </c>
      <c r="F58" t="s">
        <v>37</v>
      </c>
      <c r="G58">
        <v>20030</v>
      </c>
      <c r="H58" t="s">
        <v>213</v>
      </c>
      <c r="I58" t="s">
        <v>214</v>
      </c>
      <c r="J58" t="s">
        <v>215</v>
      </c>
      <c r="O58" t="s">
        <v>216</v>
      </c>
      <c r="P58">
        <v>1130.05</v>
      </c>
      <c r="Q58">
        <v>1130.05</v>
      </c>
      <c r="R58">
        <v>1130.05</v>
      </c>
      <c r="S58">
        <v>1130.05</v>
      </c>
      <c r="T58">
        <v>1130.05</v>
      </c>
      <c r="U58">
        <v>1130.05</v>
      </c>
      <c r="W58">
        <v>1130.05</v>
      </c>
      <c r="Z58">
        <v>20</v>
      </c>
      <c r="AA58">
        <v>22601</v>
      </c>
      <c r="AB58">
        <v>1</v>
      </c>
      <c r="AC58" t="s">
        <v>42</v>
      </c>
      <c r="AD58">
        <v>1</v>
      </c>
    </row>
    <row r="59" spans="1:30">
      <c r="A59" t="str">
        <f>CONCATENATE(I59,J59)</f>
        <v>830PFCL27N5</v>
      </c>
      <c r="B59" s="34">
        <v>46273</v>
      </c>
      <c r="C59" s="34">
        <v>46273</v>
      </c>
      <c r="D59" t="s">
        <v>35</v>
      </c>
      <c r="E59" t="s">
        <v>36</v>
      </c>
      <c r="F59" t="s">
        <v>37</v>
      </c>
      <c r="G59">
        <v>20022</v>
      </c>
      <c r="H59" t="s">
        <v>217</v>
      </c>
      <c r="I59" t="s">
        <v>218</v>
      </c>
      <c r="J59" t="s">
        <v>219</v>
      </c>
      <c r="O59" t="s">
        <v>220</v>
      </c>
      <c r="P59">
        <v>1084</v>
      </c>
      <c r="Q59">
        <v>1084</v>
      </c>
      <c r="R59">
        <v>1082</v>
      </c>
      <c r="S59">
        <v>1082</v>
      </c>
      <c r="T59">
        <v>1082</v>
      </c>
      <c r="U59">
        <v>1084</v>
      </c>
      <c r="W59">
        <v>1082</v>
      </c>
      <c r="Z59">
        <v>200</v>
      </c>
      <c r="AA59">
        <v>216413.5</v>
      </c>
      <c r="AB59">
        <v>6</v>
      </c>
      <c r="AC59" t="s">
        <v>42</v>
      </c>
      <c r="AD59">
        <v>1</v>
      </c>
    </row>
    <row r="60" spans="1:30">
      <c r="A60" t="str">
        <f>CONCATENATE(I60,J60)</f>
        <v>867PFCL33N7</v>
      </c>
      <c r="B60" s="34">
        <v>46273</v>
      </c>
      <c r="C60" s="34">
        <v>46273</v>
      </c>
      <c r="D60" t="s">
        <v>35</v>
      </c>
      <c r="E60" t="s">
        <v>36</v>
      </c>
      <c r="F60" t="s">
        <v>37</v>
      </c>
      <c r="G60">
        <v>20026</v>
      </c>
      <c r="H60" t="s">
        <v>221</v>
      </c>
      <c r="I60" t="s">
        <v>222</v>
      </c>
      <c r="J60" t="s">
        <v>215</v>
      </c>
      <c r="O60" t="s">
        <v>223</v>
      </c>
      <c r="P60">
        <v>1260.0899999999999</v>
      </c>
      <c r="Q60">
        <v>1260.0899999999999</v>
      </c>
      <c r="R60">
        <v>1260.0899999999999</v>
      </c>
      <c r="S60">
        <v>1260.0899999999999</v>
      </c>
      <c r="T60">
        <v>1260.0899999999999</v>
      </c>
      <c r="U60">
        <v>1283.9100000000001</v>
      </c>
      <c r="W60">
        <v>1260.0899999999999</v>
      </c>
      <c r="Z60">
        <v>20</v>
      </c>
      <c r="AA60">
        <v>25201.8</v>
      </c>
      <c r="AB60">
        <v>1</v>
      </c>
      <c r="AC60" t="s">
        <v>42</v>
      </c>
      <c r="AD60">
        <v>1</v>
      </c>
    </row>
    <row r="61" spans="1:30">
      <c r="A61" t="str">
        <f>CONCATENATE(I61,J61)</f>
        <v>875NHAI29N6</v>
      </c>
      <c r="B61" s="34">
        <v>46273</v>
      </c>
      <c r="C61" s="34">
        <v>46273</v>
      </c>
      <c r="D61" t="s">
        <v>35</v>
      </c>
      <c r="E61" t="s">
        <v>36</v>
      </c>
      <c r="F61" t="s">
        <v>37</v>
      </c>
      <c r="G61">
        <v>192</v>
      </c>
      <c r="H61" t="s">
        <v>224</v>
      </c>
      <c r="I61" t="s">
        <v>225</v>
      </c>
      <c r="J61" t="s">
        <v>226</v>
      </c>
      <c r="O61" t="s">
        <v>227</v>
      </c>
      <c r="P61">
        <v>1118</v>
      </c>
      <c r="Q61">
        <v>1120.49</v>
      </c>
      <c r="R61">
        <v>1116</v>
      </c>
      <c r="S61">
        <v>1120</v>
      </c>
      <c r="T61">
        <v>1120</v>
      </c>
      <c r="U61">
        <v>1118</v>
      </c>
      <c r="W61">
        <v>1120</v>
      </c>
      <c r="Z61">
        <v>694</v>
      </c>
      <c r="AA61">
        <v>776821.05</v>
      </c>
      <c r="AB61">
        <v>17</v>
      </c>
      <c r="AC61" t="s">
        <v>42</v>
      </c>
      <c r="AD61">
        <v>1</v>
      </c>
    </row>
    <row r="62" spans="1:30">
      <c r="A62" t="str">
        <f>CONCATENATE(I62,J62)</f>
        <v>891NTPC33N6</v>
      </c>
      <c r="B62" s="34">
        <v>46273</v>
      </c>
      <c r="C62" s="34">
        <v>46273</v>
      </c>
      <c r="D62" t="s">
        <v>35</v>
      </c>
      <c r="E62" t="s">
        <v>36</v>
      </c>
      <c r="F62" t="s">
        <v>37</v>
      </c>
      <c r="G62">
        <v>31768</v>
      </c>
      <c r="H62" t="s">
        <v>228</v>
      </c>
      <c r="I62" t="s">
        <v>229</v>
      </c>
      <c r="J62" t="s">
        <v>226</v>
      </c>
      <c r="O62" t="s">
        <v>230</v>
      </c>
      <c r="P62">
        <v>1275.05</v>
      </c>
      <c r="Q62">
        <v>1279.9000000000001</v>
      </c>
      <c r="R62">
        <v>1275</v>
      </c>
      <c r="S62">
        <v>1275</v>
      </c>
      <c r="T62">
        <v>1275</v>
      </c>
      <c r="U62">
        <v>1275</v>
      </c>
      <c r="W62">
        <v>1276.5</v>
      </c>
      <c r="Z62">
        <v>387</v>
      </c>
      <c r="AA62">
        <v>493461.6</v>
      </c>
      <c r="AB62">
        <v>10</v>
      </c>
      <c r="AC62" t="s">
        <v>42</v>
      </c>
      <c r="AD62">
        <v>1</v>
      </c>
    </row>
    <row r="63" spans="1:30">
      <c r="A63" t="str">
        <f>CONCATENATE(I63,J63)</f>
        <v>892NHPC33N6</v>
      </c>
      <c r="B63" s="34">
        <v>46273</v>
      </c>
      <c r="C63" s="34">
        <v>46273</v>
      </c>
      <c r="D63" t="s">
        <v>35</v>
      </c>
      <c r="E63" t="s">
        <v>36</v>
      </c>
      <c r="F63" t="s">
        <v>37</v>
      </c>
      <c r="G63">
        <v>31487</v>
      </c>
      <c r="H63" t="s">
        <v>231</v>
      </c>
      <c r="I63" t="s">
        <v>232</v>
      </c>
      <c r="J63" t="s">
        <v>226</v>
      </c>
      <c r="O63" t="s">
        <v>233</v>
      </c>
      <c r="P63">
        <v>1262</v>
      </c>
      <c r="Q63">
        <v>1262</v>
      </c>
      <c r="R63">
        <v>1262</v>
      </c>
      <c r="S63">
        <v>1262</v>
      </c>
      <c r="T63">
        <v>1262</v>
      </c>
      <c r="U63">
        <v>1262</v>
      </c>
      <c r="W63">
        <v>1262</v>
      </c>
      <c r="Z63">
        <v>100</v>
      </c>
      <c r="AA63">
        <v>126200</v>
      </c>
      <c r="AB63">
        <v>1</v>
      </c>
      <c r="AC63" t="s">
        <v>42</v>
      </c>
      <c r="AD63">
        <v>1</v>
      </c>
    </row>
    <row r="64" spans="1:30">
      <c r="A64" t="str">
        <f>CONCATENATE(I64,J64)</f>
        <v>892PFCL33N8</v>
      </c>
      <c r="B64" s="34">
        <v>46273</v>
      </c>
      <c r="C64" s="34">
        <v>46273</v>
      </c>
      <c r="D64" t="s">
        <v>35</v>
      </c>
      <c r="E64" t="s">
        <v>36</v>
      </c>
      <c r="F64" t="s">
        <v>37</v>
      </c>
      <c r="G64">
        <v>20028</v>
      </c>
      <c r="H64" t="s">
        <v>234</v>
      </c>
      <c r="I64" t="s">
        <v>235</v>
      </c>
      <c r="J64" t="s">
        <v>207</v>
      </c>
      <c r="O64" t="s">
        <v>236</v>
      </c>
      <c r="P64">
        <v>1289</v>
      </c>
      <c r="Q64">
        <v>1289</v>
      </c>
      <c r="R64">
        <v>1276</v>
      </c>
      <c r="S64">
        <v>1278</v>
      </c>
      <c r="T64">
        <v>1278</v>
      </c>
      <c r="U64">
        <v>1289</v>
      </c>
      <c r="W64">
        <v>1278</v>
      </c>
      <c r="Z64">
        <v>733</v>
      </c>
      <c r="AA64">
        <v>936504.41</v>
      </c>
      <c r="AB64">
        <v>23</v>
      </c>
      <c r="AC64" t="s">
        <v>42</v>
      </c>
      <c r="AD64">
        <v>1</v>
      </c>
    </row>
    <row r="65" spans="1:30">
      <c r="A65" t="str">
        <f>CONCATENATE(I65,J65)</f>
        <v>901HUDCO34NE</v>
      </c>
      <c r="B65" s="34">
        <v>46273</v>
      </c>
      <c r="C65" s="34">
        <v>46273</v>
      </c>
      <c r="D65" t="s">
        <v>35</v>
      </c>
      <c r="E65" t="s">
        <v>36</v>
      </c>
      <c r="F65" t="s">
        <v>37</v>
      </c>
      <c r="G65">
        <v>19970</v>
      </c>
      <c r="H65" t="s">
        <v>237</v>
      </c>
      <c r="I65" t="s">
        <v>238</v>
      </c>
      <c r="J65" t="s">
        <v>239</v>
      </c>
      <c r="O65" t="s">
        <v>240</v>
      </c>
      <c r="P65">
        <v>1282</v>
      </c>
      <c r="Q65">
        <v>1288.99</v>
      </c>
      <c r="R65">
        <v>1282</v>
      </c>
      <c r="S65">
        <v>1288.99</v>
      </c>
      <c r="T65">
        <v>1288.99</v>
      </c>
      <c r="U65">
        <v>1282</v>
      </c>
      <c r="W65">
        <v>1288.99</v>
      </c>
      <c r="Z65">
        <v>3</v>
      </c>
      <c r="AA65">
        <v>3859.98</v>
      </c>
      <c r="AB65">
        <v>3</v>
      </c>
      <c r="AC65" t="s">
        <v>42</v>
      </c>
      <c r="AD65">
        <v>1</v>
      </c>
    </row>
    <row r="66" spans="1:30">
      <c r="A66" t="str">
        <f>CONCATENATE(I66,J66)</f>
        <v>ABCOTSEQ</v>
      </c>
      <c r="B66" s="34">
        <v>46273</v>
      </c>
      <c r="C66" s="34">
        <v>46273</v>
      </c>
      <c r="D66" t="s">
        <v>35</v>
      </c>
      <c r="E66" t="s">
        <v>36</v>
      </c>
      <c r="F66" t="s">
        <v>37</v>
      </c>
      <c r="G66">
        <v>759130</v>
      </c>
      <c r="H66" t="s">
        <v>241</v>
      </c>
      <c r="I66" t="s">
        <v>242</v>
      </c>
      <c r="J66" t="s">
        <v>161</v>
      </c>
      <c r="O66" t="s">
        <v>243</v>
      </c>
      <c r="P66">
        <v>214.7</v>
      </c>
      <c r="Q66">
        <v>214.7</v>
      </c>
      <c r="R66">
        <v>203.1</v>
      </c>
      <c r="S66">
        <v>207.99</v>
      </c>
      <c r="T66">
        <v>209.75</v>
      </c>
      <c r="U66">
        <v>212.01</v>
      </c>
      <c r="W66">
        <v>208.01</v>
      </c>
      <c r="Z66">
        <v>7227</v>
      </c>
      <c r="AA66">
        <v>1511741.08</v>
      </c>
      <c r="AB66">
        <v>117</v>
      </c>
      <c r="AC66" t="s">
        <v>42</v>
      </c>
      <c r="AD66">
        <v>1</v>
      </c>
    </row>
    <row r="67" spans="1:30">
      <c r="A67" t="str">
        <f>CONCATENATE(I67,J67)</f>
        <v>ABINFRABE</v>
      </c>
      <c r="B67" s="34">
        <v>46273</v>
      </c>
      <c r="C67" s="34">
        <v>46273</v>
      </c>
      <c r="D67" t="s">
        <v>35</v>
      </c>
      <c r="E67" t="s">
        <v>36</v>
      </c>
      <c r="F67" t="s">
        <v>37</v>
      </c>
      <c r="G67">
        <v>27016</v>
      </c>
      <c r="H67" t="s">
        <v>244</v>
      </c>
      <c r="I67" t="s">
        <v>245</v>
      </c>
      <c r="J67" t="s">
        <v>183</v>
      </c>
      <c r="O67" t="s">
        <v>246</v>
      </c>
      <c r="P67">
        <v>11.37</v>
      </c>
      <c r="Q67">
        <v>11.6</v>
      </c>
      <c r="R67">
        <v>11.16</v>
      </c>
      <c r="S67">
        <v>11.51</v>
      </c>
      <c r="T67">
        <v>11.6</v>
      </c>
      <c r="U67">
        <v>11.4</v>
      </c>
      <c r="W67">
        <v>11.51</v>
      </c>
      <c r="Z67">
        <v>1291691</v>
      </c>
      <c r="AA67">
        <v>14830866.76</v>
      </c>
      <c r="AB67">
        <v>281</v>
      </c>
      <c r="AC67" t="s">
        <v>42</v>
      </c>
      <c r="AD67">
        <v>1</v>
      </c>
    </row>
    <row r="68" spans="1:30">
      <c r="A68" t="str">
        <f>CONCATENATE(I68,J68)</f>
        <v>ABMKNOEQ</v>
      </c>
      <c r="B68" s="34">
        <v>46273</v>
      </c>
      <c r="C68" s="34">
        <v>46273</v>
      </c>
      <c r="D68" t="s">
        <v>35</v>
      </c>
      <c r="E68" t="s">
        <v>36</v>
      </c>
      <c r="F68" t="s">
        <v>37</v>
      </c>
      <c r="G68">
        <v>762528</v>
      </c>
      <c r="H68" t="s">
        <v>247</v>
      </c>
      <c r="I68" t="s">
        <v>248</v>
      </c>
      <c r="J68" t="s">
        <v>161</v>
      </c>
      <c r="O68" t="s">
        <v>249</v>
      </c>
      <c r="P68">
        <v>189.98</v>
      </c>
      <c r="Q68">
        <v>189.98</v>
      </c>
      <c r="R68">
        <v>183.6</v>
      </c>
      <c r="S68">
        <v>187.13</v>
      </c>
      <c r="T68">
        <v>183.6</v>
      </c>
      <c r="U68">
        <v>189.64</v>
      </c>
      <c r="W68">
        <v>187.2</v>
      </c>
      <c r="Z68">
        <v>913</v>
      </c>
      <c r="AA68">
        <v>169511.87</v>
      </c>
      <c r="AB68">
        <v>31</v>
      </c>
      <c r="AC68" t="s">
        <v>42</v>
      </c>
      <c r="AD68">
        <v>1</v>
      </c>
    </row>
    <row r="69" spans="1:30">
      <c r="A69" t="str">
        <f>CONCATENATE(I69,J69)</f>
        <v>ACSTECHBE</v>
      </c>
      <c r="B69" s="34">
        <v>46273</v>
      </c>
      <c r="C69" s="34">
        <v>46273</v>
      </c>
      <c r="D69" t="s">
        <v>35</v>
      </c>
      <c r="E69" t="s">
        <v>36</v>
      </c>
      <c r="F69" t="s">
        <v>37</v>
      </c>
      <c r="G69">
        <v>762536</v>
      </c>
      <c r="H69" t="s">
        <v>250</v>
      </c>
      <c r="I69" t="s">
        <v>251</v>
      </c>
      <c r="J69" t="s">
        <v>183</v>
      </c>
      <c r="O69" t="s">
        <v>252</v>
      </c>
      <c r="P69">
        <v>56</v>
      </c>
      <c r="Q69">
        <v>57.14</v>
      </c>
      <c r="R69">
        <v>55</v>
      </c>
      <c r="S69">
        <v>57.14</v>
      </c>
      <c r="T69">
        <v>57.14</v>
      </c>
      <c r="U69">
        <v>54.42</v>
      </c>
      <c r="W69">
        <v>57.14</v>
      </c>
      <c r="Z69">
        <v>653499</v>
      </c>
      <c r="AA69">
        <v>37231720.829999998</v>
      </c>
      <c r="AB69">
        <v>605</v>
      </c>
      <c r="AC69" t="s">
        <v>42</v>
      </c>
      <c r="AD69">
        <v>1</v>
      </c>
    </row>
    <row r="70" spans="1:30">
      <c r="A70" t="str">
        <f>CONCATENATE(I70,J70)</f>
        <v>AKCAPITEQ</v>
      </c>
      <c r="B70" s="34">
        <v>46273</v>
      </c>
      <c r="C70" s="34">
        <v>46273</v>
      </c>
      <c r="D70" t="s">
        <v>35</v>
      </c>
      <c r="E70" t="s">
        <v>36</v>
      </c>
      <c r="F70" t="s">
        <v>37</v>
      </c>
      <c r="G70">
        <v>762538</v>
      </c>
      <c r="H70" t="s">
        <v>253</v>
      </c>
      <c r="I70" t="s">
        <v>254</v>
      </c>
      <c r="J70" t="s">
        <v>161</v>
      </c>
      <c r="O70" t="s">
        <v>255</v>
      </c>
      <c r="P70">
        <v>1751.9</v>
      </c>
      <c r="Q70">
        <v>1775</v>
      </c>
      <c r="R70">
        <v>1738.1</v>
      </c>
      <c r="S70">
        <v>1772.2</v>
      </c>
      <c r="T70">
        <v>1775</v>
      </c>
      <c r="U70">
        <v>1733.5</v>
      </c>
      <c r="W70">
        <v>1771.11</v>
      </c>
      <c r="Z70">
        <v>628</v>
      </c>
      <c r="AA70">
        <v>1097450.8</v>
      </c>
      <c r="AB70">
        <v>57</v>
      </c>
      <c r="AC70" t="s">
        <v>42</v>
      </c>
      <c r="AD70">
        <v>1</v>
      </c>
    </row>
    <row r="71" spans="1:30">
      <c r="A71" t="str">
        <f>CONCATENATE(I71,J71)</f>
        <v>A2ZINFRAEQ</v>
      </c>
      <c r="B71" s="34">
        <v>46273</v>
      </c>
      <c r="C71" s="34">
        <v>46273</v>
      </c>
      <c r="D71" t="s">
        <v>35</v>
      </c>
      <c r="E71" t="s">
        <v>36</v>
      </c>
      <c r="F71" t="s">
        <v>37</v>
      </c>
      <c r="G71">
        <v>20906</v>
      </c>
      <c r="H71" t="s">
        <v>256</v>
      </c>
      <c r="I71" t="s">
        <v>257</v>
      </c>
      <c r="J71" t="s">
        <v>161</v>
      </c>
      <c r="O71" t="s">
        <v>258</v>
      </c>
      <c r="P71">
        <v>15.56</v>
      </c>
      <c r="Q71">
        <v>16</v>
      </c>
      <c r="R71">
        <v>15.5</v>
      </c>
      <c r="S71">
        <v>15.8</v>
      </c>
      <c r="T71">
        <v>15.9</v>
      </c>
      <c r="U71">
        <v>15.76</v>
      </c>
      <c r="W71">
        <v>15.84</v>
      </c>
      <c r="Z71">
        <v>117039</v>
      </c>
      <c r="AA71">
        <v>1833913.93</v>
      </c>
      <c r="AB71">
        <v>299</v>
      </c>
      <c r="AC71" t="s">
        <v>42</v>
      </c>
      <c r="AD71">
        <v>1</v>
      </c>
    </row>
    <row r="72" spans="1:30">
      <c r="A72" t="str">
        <f>CONCATENATE(I72,J72)</f>
        <v>AAATECHEQ</v>
      </c>
      <c r="B72" s="34">
        <v>46273</v>
      </c>
      <c r="C72" s="34">
        <v>46273</v>
      </c>
      <c r="D72" t="s">
        <v>35</v>
      </c>
      <c r="E72" t="s">
        <v>36</v>
      </c>
      <c r="F72" t="s">
        <v>37</v>
      </c>
      <c r="G72">
        <v>12533</v>
      </c>
      <c r="H72" t="s">
        <v>259</v>
      </c>
      <c r="I72" t="s">
        <v>260</v>
      </c>
      <c r="J72" t="s">
        <v>161</v>
      </c>
      <c r="O72" t="s">
        <v>261</v>
      </c>
      <c r="P72">
        <v>92.07</v>
      </c>
      <c r="Q72">
        <v>93.42</v>
      </c>
      <c r="R72">
        <v>91.65</v>
      </c>
      <c r="S72">
        <v>92.64</v>
      </c>
      <c r="T72">
        <v>92.77</v>
      </c>
      <c r="U72">
        <v>92.07</v>
      </c>
      <c r="W72">
        <v>92.64</v>
      </c>
      <c r="Z72">
        <v>6650</v>
      </c>
      <c r="AA72">
        <v>613395.4</v>
      </c>
      <c r="AB72">
        <v>115</v>
      </c>
      <c r="AC72" t="s">
        <v>42</v>
      </c>
      <c r="AD72">
        <v>1</v>
      </c>
    </row>
    <row r="73" spans="1:30">
      <c r="A73" t="str">
        <f>CONCATENATE(I73,J73)</f>
        <v>AADHARHFCEQ</v>
      </c>
      <c r="B73" s="34">
        <v>46273</v>
      </c>
      <c r="C73" s="34">
        <v>46273</v>
      </c>
      <c r="D73" t="s">
        <v>35</v>
      </c>
      <c r="E73" t="s">
        <v>36</v>
      </c>
      <c r="F73" t="s">
        <v>37</v>
      </c>
      <c r="G73">
        <v>23729</v>
      </c>
      <c r="H73" t="s">
        <v>262</v>
      </c>
      <c r="I73" t="s">
        <v>263</v>
      </c>
      <c r="J73" t="s">
        <v>161</v>
      </c>
      <c r="O73" t="s">
        <v>264</v>
      </c>
      <c r="P73">
        <v>477.15</v>
      </c>
      <c r="Q73">
        <v>482.95</v>
      </c>
      <c r="R73">
        <v>468.2</v>
      </c>
      <c r="S73">
        <v>479.65</v>
      </c>
      <c r="T73">
        <v>481</v>
      </c>
      <c r="U73">
        <v>478.95</v>
      </c>
      <c r="W73">
        <v>479.65</v>
      </c>
      <c r="Z73">
        <v>279151</v>
      </c>
      <c r="AA73">
        <v>132724211.65000001</v>
      </c>
      <c r="AB73">
        <v>12976</v>
      </c>
      <c r="AC73" t="s">
        <v>42</v>
      </c>
      <c r="AD73">
        <v>1</v>
      </c>
    </row>
    <row r="74" spans="1:30">
      <c r="A74" t="str">
        <f>CONCATENATE(I74,J74)</f>
        <v>AAKAARSM</v>
      </c>
      <c r="B74" s="34">
        <v>46273</v>
      </c>
      <c r="C74" s="34">
        <v>46273</v>
      </c>
      <c r="D74" t="s">
        <v>35</v>
      </c>
      <c r="E74" t="s">
        <v>36</v>
      </c>
      <c r="F74" t="s">
        <v>37</v>
      </c>
      <c r="G74">
        <v>757579</v>
      </c>
      <c r="H74" t="s">
        <v>265</v>
      </c>
      <c r="I74" t="s">
        <v>266</v>
      </c>
      <c r="J74" t="s">
        <v>267</v>
      </c>
      <c r="O74" t="s">
        <v>268</v>
      </c>
      <c r="P74">
        <v>63.95</v>
      </c>
      <c r="Q74">
        <v>64.8</v>
      </c>
      <c r="R74">
        <v>63.95</v>
      </c>
      <c r="S74">
        <v>64.8</v>
      </c>
      <c r="T74">
        <v>64.8</v>
      </c>
      <c r="U74">
        <v>62</v>
      </c>
      <c r="W74">
        <v>64.8</v>
      </c>
      <c r="Z74">
        <v>3200</v>
      </c>
      <c r="AA74">
        <v>206000</v>
      </c>
      <c r="AB74">
        <v>2</v>
      </c>
      <c r="AC74" t="s">
        <v>42</v>
      </c>
      <c r="AD74">
        <v>1600</v>
      </c>
    </row>
    <row r="75" spans="1:30">
      <c r="A75" t="str">
        <f>CONCATENATE(I75,J75)</f>
        <v>AAKASHEQ</v>
      </c>
      <c r="B75" s="34">
        <v>46273</v>
      </c>
      <c r="C75" s="34">
        <v>46273</v>
      </c>
      <c r="D75" t="s">
        <v>35</v>
      </c>
      <c r="E75" t="s">
        <v>36</v>
      </c>
      <c r="F75" t="s">
        <v>37</v>
      </c>
      <c r="G75">
        <v>235</v>
      </c>
      <c r="H75" t="s">
        <v>269</v>
      </c>
      <c r="I75" t="s">
        <v>270</v>
      </c>
      <c r="J75" t="s">
        <v>161</v>
      </c>
      <c r="O75" t="s">
        <v>271</v>
      </c>
      <c r="P75">
        <v>8.6999999999999993</v>
      </c>
      <c r="Q75">
        <v>8.6999999999999993</v>
      </c>
      <c r="R75">
        <v>8.25</v>
      </c>
      <c r="S75">
        <v>8.49</v>
      </c>
      <c r="T75">
        <v>8.48</v>
      </c>
      <c r="U75">
        <v>8.59</v>
      </c>
      <c r="W75">
        <v>8.49</v>
      </c>
      <c r="Z75">
        <v>73817</v>
      </c>
      <c r="AA75">
        <v>622752.35</v>
      </c>
      <c r="AB75">
        <v>283</v>
      </c>
      <c r="AC75" t="s">
        <v>42</v>
      </c>
      <c r="AD75">
        <v>1</v>
      </c>
    </row>
    <row r="76" spans="1:30">
      <c r="A76" t="str">
        <f>CONCATENATE(I76,J76)</f>
        <v>AARADHYASM</v>
      </c>
      <c r="B76" s="34">
        <v>46273</v>
      </c>
      <c r="C76" s="34">
        <v>46273</v>
      </c>
      <c r="D76" t="s">
        <v>35</v>
      </c>
      <c r="E76" t="s">
        <v>36</v>
      </c>
      <c r="F76" t="s">
        <v>37</v>
      </c>
      <c r="G76">
        <v>758120</v>
      </c>
      <c r="H76" t="s">
        <v>272</v>
      </c>
      <c r="I76" t="s">
        <v>273</v>
      </c>
      <c r="J76" t="s">
        <v>267</v>
      </c>
      <c r="O76" t="s">
        <v>274</v>
      </c>
      <c r="P76">
        <v>127.9</v>
      </c>
      <c r="Q76">
        <v>127.9</v>
      </c>
      <c r="R76">
        <v>127.9</v>
      </c>
      <c r="S76">
        <v>127.9</v>
      </c>
      <c r="T76">
        <v>127.9</v>
      </c>
      <c r="U76">
        <v>121.85</v>
      </c>
      <c r="W76">
        <v>127.9</v>
      </c>
      <c r="Z76">
        <v>14400</v>
      </c>
      <c r="AA76">
        <v>1841760</v>
      </c>
      <c r="AB76">
        <v>4</v>
      </c>
      <c r="AC76" t="s">
        <v>42</v>
      </c>
      <c r="AD76">
        <v>1200</v>
      </c>
    </row>
    <row r="77" spans="1:30">
      <c r="A77" t="str">
        <f>CONCATENATE(I77,J77)</f>
        <v>AAREYDRUGSEQ</v>
      </c>
      <c r="B77" s="34">
        <v>46273</v>
      </c>
      <c r="C77" s="34">
        <v>46273</v>
      </c>
      <c r="D77" t="s">
        <v>35</v>
      </c>
      <c r="E77" t="s">
        <v>36</v>
      </c>
      <c r="F77" t="s">
        <v>37</v>
      </c>
      <c r="G77">
        <v>5245</v>
      </c>
      <c r="H77" t="s">
        <v>275</v>
      </c>
      <c r="I77" t="s">
        <v>276</v>
      </c>
      <c r="J77" t="s">
        <v>161</v>
      </c>
      <c r="O77" t="s">
        <v>277</v>
      </c>
      <c r="P77">
        <v>98.47</v>
      </c>
      <c r="Q77">
        <v>99.2</v>
      </c>
      <c r="R77">
        <v>94.21</v>
      </c>
      <c r="S77">
        <v>98.03</v>
      </c>
      <c r="T77">
        <v>98.99</v>
      </c>
      <c r="U77">
        <v>97.31</v>
      </c>
      <c r="W77">
        <v>97.97</v>
      </c>
      <c r="Z77">
        <v>142520</v>
      </c>
      <c r="AA77">
        <v>13885038.359999999</v>
      </c>
      <c r="AB77">
        <v>1440</v>
      </c>
      <c r="AC77" t="s">
        <v>42</v>
      </c>
      <c r="AD77">
        <v>1</v>
      </c>
    </row>
    <row r="78" spans="1:30">
      <c r="A78" t="str">
        <f>CONCATENATE(I78,J78)</f>
        <v>AARNAVBE</v>
      </c>
      <c r="B78" s="34">
        <v>46273</v>
      </c>
      <c r="C78" s="34">
        <v>46273</v>
      </c>
      <c r="D78" t="s">
        <v>35</v>
      </c>
      <c r="E78" t="s">
        <v>36</v>
      </c>
      <c r="F78" t="s">
        <v>37</v>
      </c>
      <c r="G78">
        <v>761824</v>
      </c>
      <c r="H78" t="s">
        <v>278</v>
      </c>
      <c r="I78" t="s">
        <v>279</v>
      </c>
      <c r="J78" t="s">
        <v>183</v>
      </c>
      <c r="O78" t="s">
        <v>280</v>
      </c>
      <c r="P78">
        <v>31.5</v>
      </c>
      <c r="Q78">
        <v>33.01</v>
      </c>
      <c r="R78">
        <v>31.15</v>
      </c>
      <c r="S78">
        <v>31.59</v>
      </c>
      <c r="T78">
        <v>33</v>
      </c>
      <c r="U78">
        <v>31.45</v>
      </c>
      <c r="W78">
        <v>31.62</v>
      </c>
      <c r="Z78">
        <v>12653</v>
      </c>
      <c r="AA78">
        <v>400982.99</v>
      </c>
      <c r="AB78">
        <v>61</v>
      </c>
      <c r="AC78" t="s">
        <v>42</v>
      </c>
      <c r="AD78">
        <v>1</v>
      </c>
    </row>
    <row r="79" spans="1:30">
      <c r="A79" t="str">
        <f>CONCATENATE(I79,J79)</f>
        <v>AARONEQ</v>
      </c>
      <c r="B79" s="34">
        <v>46273</v>
      </c>
      <c r="C79" s="34">
        <v>46273</v>
      </c>
      <c r="D79" t="s">
        <v>35</v>
      </c>
      <c r="E79" t="s">
        <v>36</v>
      </c>
      <c r="F79" t="s">
        <v>37</v>
      </c>
      <c r="G79">
        <v>1030</v>
      </c>
      <c r="H79" t="s">
        <v>281</v>
      </c>
      <c r="I79" t="s">
        <v>282</v>
      </c>
      <c r="J79" t="s">
        <v>161</v>
      </c>
      <c r="O79" t="s">
        <v>283</v>
      </c>
      <c r="P79">
        <v>123.35</v>
      </c>
      <c r="Q79">
        <v>126.02</v>
      </c>
      <c r="R79">
        <v>123.35</v>
      </c>
      <c r="S79">
        <v>125.01</v>
      </c>
      <c r="T79">
        <v>125.6</v>
      </c>
      <c r="U79">
        <v>125.54</v>
      </c>
      <c r="W79">
        <v>125.01</v>
      </c>
      <c r="Z79">
        <v>6054</v>
      </c>
      <c r="AA79">
        <v>754322.02</v>
      </c>
      <c r="AB79">
        <v>303</v>
      </c>
      <c r="AC79" t="s">
        <v>42</v>
      </c>
      <c r="AD79">
        <v>1</v>
      </c>
    </row>
    <row r="80" spans="1:30">
      <c r="A80" t="str">
        <f>CONCATENATE(I80,J80)</f>
        <v>AARTECHBE</v>
      </c>
      <c r="B80" s="34">
        <v>46273</v>
      </c>
      <c r="C80" s="34">
        <v>46273</v>
      </c>
      <c r="D80" t="s">
        <v>35</v>
      </c>
      <c r="E80" t="s">
        <v>36</v>
      </c>
      <c r="F80" t="s">
        <v>37</v>
      </c>
      <c r="G80">
        <v>17164</v>
      </c>
      <c r="H80" t="s">
        <v>284</v>
      </c>
      <c r="I80" t="s">
        <v>285</v>
      </c>
      <c r="J80" t="s">
        <v>183</v>
      </c>
      <c r="O80" t="s">
        <v>286</v>
      </c>
      <c r="P80">
        <v>49.53</v>
      </c>
      <c r="Q80">
        <v>51.7</v>
      </c>
      <c r="R80">
        <v>48.51</v>
      </c>
      <c r="S80">
        <v>51.38</v>
      </c>
      <c r="T80">
        <v>50.88</v>
      </c>
      <c r="U80">
        <v>49.53</v>
      </c>
      <c r="W80">
        <v>51.38</v>
      </c>
      <c r="Z80">
        <v>111245</v>
      </c>
      <c r="AA80">
        <v>5632372.2400000002</v>
      </c>
      <c r="AB80">
        <v>351</v>
      </c>
      <c r="AC80" t="s">
        <v>42</v>
      </c>
      <c r="AD80">
        <v>1</v>
      </c>
    </row>
    <row r="81" spans="1:30">
      <c r="A81" t="str">
        <f>CONCATENATE(I81,J81)</f>
        <v>AARTIDRUGSEQ</v>
      </c>
      <c r="B81" s="34">
        <v>46273</v>
      </c>
      <c r="C81" s="34">
        <v>46273</v>
      </c>
      <c r="D81" t="s">
        <v>35</v>
      </c>
      <c r="E81" t="s">
        <v>36</v>
      </c>
      <c r="F81" t="s">
        <v>37</v>
      </c>
      <c r="G81">
        <v>4481</v>
      </c>
      <c r="H81" t="s">
        <v>287</v>
      </c>
      <c r="I81" t="s">
        <v>288</v>
      </c>
      <c r="J81" t="s">
        <v>161</v>
      </c>
      <c r="O81" t="s">
        <v>289</v>
      </c>
      <c r="P81">
        <v>421.5</v>
      </c>
      <c r="Q81">
        <v>427.9</v>
      </c>
      <c r="R81">
        <v>419.2</v>
      </c>
      <c r="S81">
        <v>421.5</v>
      </c>
      <c r="T81">
        <v>424.5</v>
      </c>
      <c r="U81">
        <v>423</v>
      </c>
      <c r="W81">
        <v>421.5</v>
      </c>
      <c r="Z81">
        <v>60740</v>
      </c>
      <c r="AA81">
        <v>25723855.949999999</v>
      </c>
      <c r="AB81">
        <v>3061</v>
      </c>
      <c r="AC81" t="s">
        <v>42</v>
      </c>
      <c r="AD81">
        <v>1</v>
      </c>
    </row>
    <row r="82" spans="1:30">
      <c r="A82" t="str">
        <f>CONCATENATE(I82,J82)</f>
        <v>AARTIINDEQ</v>
      </c>
      <c r="B82" s="34">
        <v>46273</v>
      </c>
      <c r="C82" s="34">
        <v>46273</v>
      </c>
      <c r="D82" t="s">
        <v>35</v>
      </c>
      <c r="E82" t="s">
        <v>36</v>
      </c>
      <c r="F82" t="s">
        <v>37</v>
      </c>
      <c r="G82">
        <v>7</v>
      </c>
      <c r="H82" t="s">
        <v>290</v>
      </c>
      <c r="I82" t="s">
        <v>291</v>
      </c>
      <c r="J82" t="s">
        <v>161</v>
      </c>
      <c r="O82" t="s">
        <v>292</v>
      </c>
      <c r="P82">
        <v>490.7</v>
      </c>
      <c r="Q82">
        <v>504.75</v>
      </c>
      <c r="R82">
        <v>486.5</v>
      </c>
      <c r="S82">
        <v>503.7</v>
      </c>
      <c r="T82">
        <v>504</v>
      </c>
      <c r="U82">
        <v>490.7</v>
      </c>
      <c r="W82">
        <v>503.71</v>
      </c>
      <c r="Z82">
        <v>766682</v>
      </c>
      <c r="AA82">
        <v>382135599.80000001</v>
      </c>
      <c r="AB82">
        <v>25462</v>
      </c>
      <c r="AC82" t="s">
        <v>42</v>
      </c>
      <c r="AD82">
        <v>1</v>
      </c>
    </row>
    <row r="83" spans="1:30">
      <c r="A83" t="str">
        <f>CONCATENATE(I83,J83)</f>
        <v>AARTIPHARMEQ</v>
      </c>
      <c r="B83" s="34">
        <v>46273</v>
      </c>
      <c r="C83" s="34">
        <v>46273</v>
      </c>
      <c r="D83" t="s">
        <v>35</v>
      </c>
      <c r="E83" t="s">
        <v>36</v>
      </c>
      <c r="F83" t="s">
        <v>37</v>
      </c>
      <c r="G83">
        <v>13868</v>
      </c>
      <c r="H83" t="s">
        <v>293</v>
      </c>
      <c r="I83" t="s">
        <v>294</v>
      </c>
      <c r="J83" t="s">
        <v>161</v>
      </c>
      <c r="O83" t="s">
        <v>295</v>
      </c>
      <c r="P83">
        <v>866.9</v>
      </c>
      <c r="Q83">
        <v>889.7</v>
      </c>
      <c r="R83">
        <v>861.55</v>
      </c>
      <c r="S83">
        <v>867</v>
      </c>
      <c r="T83">
        <v>869.65</v>
      </c>
      <c r="U83">
        <v>862.65</v>
      </c>
      <c r="W83">
        <v>867.02</v>
      </c>
      <c r="Z83">
        <v>453073</v>
      </c>
      <c r="AA83">
        <v>395800113</v>
      </c>
      <c r="AB83">
        <v>22447</v>
      </c>
      <c r="AC83" t="s">
        <v>42</v>
      </c>
      <c r="AD83">
        <v>1</v>
      </c>
    </row>
    <row r="84" spans="1:30">
      <c r="A84" t="str">
        <f>CONCATENATE(I84,J84)</f>
        <v>AARTISURFBE</v>
      </c>
      <c r="B84" s="34">
        <v>46273</v>
      </c>
      <c r="C84" s="34">
        <v>46273</v>
      </c>
      <c r="D84" t="s">
        <v>35</v>
      </c>
      <c r="E84" t="s">
        <v>36</v>
      </c>
      <c r="F84" t="s">
        <v>37</v>
      </c>
      <c r="G84">
        <v>19263</v>
      </c>
      <c r="H84" t="s">
        <v>296</v>
      </c>
      <c r="I84" t="s">
        <v>297</v>
      </c>
      <c r="J84" t="s">
        <v>183</v>
      </c>
      <c r="O84" t="s">
        <v>298</v>
      </c>
      <c r="P84">
        <v>549.9</v>
      </c>
      <c r="Q84">
        <v>550</v>
      </c>
      <c r="R84">
        <v>525.20000000000005</v>
      </c>
      <c r="S84">
        <v>538.75</v>
      </c>
      <c r="T84">
        <v>537.75</v>
      </c>
      <c r="U84">
        <v>546.79999999999995</v>
      </c>
      <c r="W84">
        <v>538.75</v>
      </c>
      <c r="Z84">
        <v>11047</v>
      </c>
      <c r="AA84">
        <v>5920214.5999999996</v>
      </c>
      <c r="AB84">
        <v>267</v>
      </c>
      <c r="AC84" t="s">
        <v>42</v>
      </c>
      <c r="AD84">
        <v>1</v>
      </c>
    </row>
    <row r="85" spans="1:30">
      <c r="A85" t="str">
        <f>CONCATENATE(I85,J85)</f>
        <v>AARVIEQ</v>
      </c>
      <c r="B85" s="34">
        <v>46273</v>
      </c>
      <c r="C85" s="34">
        <v>46273</v>
      </c>
      <c r="D85" t="s">
        <v>35</v>
      </c>
      <c r="E85" t="s">
        <v>36</v>
      </c>
      <c r="F85" t="s">
        <v>37</v>
      </c>
      <c r="G85">
        <v>19073</v>
      </c>
      <c r="H85" t="s">
        <v>299</v>
      </c>
      <c r="I85" t="s">
        <v>300</v>
      </c>
      <c r="J85" t="s">
        <v>161</v>
      </c>
      <c r="O85" t="s">
        <v>301</v>
      </c>
      <c r="P85">
        <v>143.02000000000001</v>
      </c>
      <c r="Q85">
        <v>143.96</v>
      </c>
      <c r="R85">
        <v>140.66999999999999</v>
      </c>
      <c r="S85">
        <v>142.16</v>
      </c>
      <c r="T85">
        <v>142</v>
      </c>
      <c r="U85">
        <v>143.36000000000001</v>
      </c>
      <c r="W85">
        <v>142.16</v>
      </c>
      <c r="Z85">
        <v>16061</v>
      </c>
      <c r="AA85">
        <v>2274393.5699999998</v>
      </c>
      <c r="AB85">
        <v>361</v>
      </c>
      <c r="AC85" t="s">
        <v>42</v>
      </c>
      <c r="AD85">
        <v>1</v>
      </c>
    </row>
    <row r="86" spans="1:30">
      <c r="A86" t="str">
        <f>CONCATENATE(I86,J86)</f>
        <v>AASTHAEQ</v>
      </c>
      <c r="B86" s="34">
        <v>46273</v>
      </c>
      <c r="C86" s="34">
        <v>46273</v>
      </c>
      <c r="D86" t="s">
        <v>35</v>
      </c>
      <c r="E86" t="s">
        <v>36</v>
      </c>
      <c r="F86" t="s">
        <v>37</v>
      </c>
      <c r="G86">
        <v>763800</v>
      </c>
      <c r="H86" t="s">
        <v>302</v>
      </c>
      <c r="I86" t="s">
        <v>303</v>
      </c>
      <c r="J86" t="s">
        <v>161</v>
      </c>
      <c r="O86" t="s">
        <v>304</v>
      </c>
      <c r="P86">
        <v>76.510000000000005</v>
      </c>
      <c r="Q86">
        <v>78.709999999999994</v>
      </c>
      <c r="R86">
        <v>75.22</v>
      </c>
      <c r="S86">
        <v>76.849999999999994</v>
      </c>
      <c r="T86">
        <v>76.73</v>
      </c>
      <c r="U86">
        <v>77.36</v>
      </c>
      <c r="W86">
        <v>76.83</v>
      </c>
      <c r="Z86">
        <v>387228</v>
      </c>
      <c r="AA86">
        <v>29508808.239999998</v>
      </c>
      <c r="AB86">
        <v>2478</v>
      </c>
      <c r="AC86" t="s">
        <v>42</v>
      </c>
      <c r="AD86">
        <v>1</v>
      </c>
    </row>
    <row r="87" spans="1:30">
      <c r="A87" t="str">
        <f>CONCATENATE(I87,J87)</f>
        <v>AATMAJSM</v>
      </c>
      <c r="B87" s="34">
        <v>46273</v>
      </c>
      <c r="C87" s="34">
        <v>46273</v>
      </c>
      <c r="D87" t="s">
        <v>35</v>
      </c>
      <c r="E87" t="s">
        <v>36</v>
      </c>
      <c r="F87" t="s">
        <v>37</v>
      </c>
      <c r="G87">
        <v>16961</v>
      </c>
      <c r="H87" t="s">
        <v>305</v>
      </c>
      <c r="I87" t="s">
        <v>306</v>
      </c>
      <c r="J87" t="s">
        <v>267</v>
      </c>
      <c r="O87" t="s">
        <v>307</v>
      </c>
      <c r="P87">
        <v>19.7</v>
      </c>
      <c r="Q87">
        <v>19.7</v>
      </c>
      <c r="R87">
        <v>19.7</v>
      </c>
      <c r="S87">
        <v>19.7</v>
      </c>
      <c r="T87">
        <v>19.7</v>
      </c>
      <c r="U87">
        <v>18</v>
      </c>
      <c r="W87">
        <v>19.7</v>
      </c>
      <c r="Z87">
        <v>2000</v>
      </c>
      <c r="AA87">
        <v>39400</v>
      </c>
      <c r="AB87">
        <v>1</v>
      </c>
      <c r="AC87" t="s">
        <v>42</v>
      </c>
      <c r="AD87">
        <v>2000</v>
      </c>
    </row>
    <row r="88" spans="1:30">
      <c r="A88" t="str">
        <f>CONCATENATE(I88,J88)</f>
        <v>AAVASEQ</v>
      </c>
      <c r="B88" s="34">
        <v>46273</v>
      </c>
      <c r="C88" s="34">
        <v>46273</v>
      </c>
      <c r="D88" t="s">
        <v>35</v>
      </c>
      <c r="E88" t="s">
        <v>36</v>
      </c>
      <c r="F88" t="s">
        <v>37</v>
      </c>
      <c r="G88">
        <v>5385</v>
      </c>
      <c r="H88" t="s">
        <v>308</v>
      </c>
      <c r="I88" t="s">
        <v>309</v>
      </c>
      <c r="J88" t="s">
        <v>161</v>
      </c>
      <c r="O88" t="s">
        <v>310</v>
      </c>
      <c r="P88">
        <v>1300</v>
      </c>
      <c r="Q88">
        <v>1314.8</v>
      </c>
      <c r="R88">
        <v>1290</v>
      </c>
      <c r="S88">
        <v>1293.5</v>
      </c>
      <c r="T88">
        <v>1293.8</v>
      </c>
      <c r="U88">
        <v>1306.2</v>
      </c>
      <c r="W88">
        <v>1293.53</v>
      </c>
      <c r="Z88">
        <v>35998</v>
      </c>
      <c r="AA88">
        <v>46900676.200000003</v>
      </c>
      <c r="AB88">
        <v>6935</v>
      </c>
      <c r="AC88" t="s">
        <v>42</v>
      </c>
      <c r="AD88">
        <v>1</v>
      </c>
    </row>
    <row r="89" spans="1:30">
      <c r="A89" t="str">
        <f>CONCATENATE(I89,J89)</f>
        <v>ABANBE</v>
      </c>
      <c r="B89" s="34">
        <v>46273</v>
      </c>
      <c r="C89" s="34">
        <v>46273</v>
      </c>
      <c r="D89" t="s">
        <v>35</v>
      </c>
      <c r="E89" t="s">
        <v>36</v>
      </c>
      <c r="F89" t="s">
        <v>37</v>
      </c>
      <c r="G89">
        <v>7759</v>
      </c>
      <c r="H89" t="s">
        <v>311</v>
      </c>
      <c r="I89" t="s">
        <v>312</v>
      </c>
      <c r="J89" t="s">
        <v>183</v>
      </c>
      <c r="O89" t="s">
        <v>313</v>
      </c>
      <c r="P89">
        <v>14.98</v>
      </c>
      <c r="Q89">
        <v>14.98</v>
      </c>
      <c r="R89">
        <v>14.55</v>
      </c>
      <c r="S89">
        <v>14.55</v>
      </c>
      <c r="T89">
        <v>14.55</v>
      </c>
      <c r="U89">
        <v>14.84</v>
      </c>
      <c r="W89">
        <v>14.55</v>
      </c>
      <c r="Z89">
        <v>13036</v>
      </c>
      <c r="AA89">
        <v>191069.77</v>
      </c>
      <c r="AB89">
        <v>111</v>
      </c>
      <c r="AC89" t="s">
        <v>42</v>
      </c>
      <c r="AD89">
        <v>1</v>
      </c>
    </row>
    <row r="90" spans="1:30">
      <c r="A90" t="str">
        <f>CONCATENATE(I90,J90)</f>
        <v>ABANSENTEQ</v>
      </c>
      <c r="B90" s="34">
        <v>46273</v>
      </c>
      <c r="C90" s="34">
        <v>46273</v>
      </c>
      <c r="D90" t="s">
        <v>35</v>
      </c>
      <c r="E90" t="s">
        <v>36</v>
      </c>
      <c r="F90" t="s">
        <v>37</v>
      </c>
      <c r="G90">
        <v>762523</v>
      </c>
      <c r="H90" t="s">
        <v>314</v>
      </c>
      <c r="I90" t="s">
        <v>315</v>
      </c>
      <c r="J90" t="s">
        <v>161</v>
      </c>
      <c r="O90" t="s">
        <v>316</v>
      </c>
      <c r="P90">
        <v>28.39</v>
      </c>
      <c r="Q90">
        <v>28.39</v>
      </c>
      <c r="R90">
        <v>27.21</v>
      </c>
      <c r="S90">
        <v>27.77</v>
      </c>
      <c r="T90">
        <v>27.83</v>
      </c>
      <c r="U90">
        <v>28.39</v>
      </c>
      <c r="W90">
        <v>27.77</v>
      </c>
      <c r="Z90">
        <v>2970</v>
      </c>
      <c r="AA90">
        <v>82753.89</v>
      </c>
      <c r="AB90">
        <v>102</v>
      </c>
      <c r="AC90" t="s">
        <v>42</v>
      </c>
      <c r="AD90">
        <v>1</v>
      </c>
    </row>
    <row r="91" spans="1:30">
      <c r="A91" t="str">
        <f>CONCATENATE(I91,J91)</f>
        <v>AFSLEQ</v>
      </c>
      <c r="B91" s="34">
        <v>46273</v>
      </c>
      <c r="C91" s="34">
        <v>46273</v>
      </c>
      <c r="D91" t="s">
        <v>35</v>
      </c>
      <c r="E91" t="s">
        <v>36</v>
      </c>
      <c r="F91" t="s">
        <v>37</v>
      </c>
      <c r="G91">
        <v>13288</v>
      </c>
      <c r="H91" t="s">
        <v>317</v>
      </c>
      <c r="I91" t="s">
        <v>318</v>
      </c>
      <c r="J91" t="s">
        <v>161</v>
      </c>
      <c r="O91" t="s">
        <v>319</v>
      </c>
      <c r="P91">
        <v>202.5</v>
      </c>
      <c r="Q91">
        <v>205.7</v>
      </c>
      <c r="R91">
        <v>201</v>
      </c>
      <c r="S91">
        <v>201.16</v>
      </c>
      <c r="T91">
        <v>201</v>
      </c>
      <c r="U91">
        <v>202.78</v>
      </c>
      <c r="W91">
        <v>201.16</v>
      </c>
      <c r="Z91">
        <v>15736</v>
      </c>
      <c r="AA91">
        <v>3169995.24</v>
      </c>
      <c r="AB91">
        <v>125</v>
      </c>
      <c r="AC91" t="s">
        <v>42</v>
      </c>
      <c r="AD91">
        <v>1</v>
      </c>
    </row>
    <row r="92" spans="1:30">
      <c r="A92" t="str">
        <f>CONCATENATE(I92,J92)</f>
        <v>ABBEQ</v>
      </c>
      <c r="B92" s="34">
        <v>46273</v>
      </c>
      <c r="C92" s="34">
        <v>46273</v>
      </c>
      <c r="D92" t="s">
        <v>35</v>
      </c>
      <c r="E92" t="s">
        <v>36</v>
      </c>
      <c r="F92" t="s">
        <v>37</v>
      </c>
      <c r="G92">
        <v>13</v>
      </c>
      <c r="H92" t="s">
        <v>320</v>
      </c>
      <c r="I92" t="s">
        <v>321</v>
      </c>
      <c r="J92" t="s">
        <v>161</v>
      </c>
      <c r="O92" t="s">
        <v>322</v>
      </c>
      <c r="P92">
        <v>7389</v>
      </c>
      <c r="Q92">
        <v>7472</v>
      </c>
      <c r="R92">
        <v>7340</v>
      </c>
      <c r="S92">
        <v>7387</v>
      </c>
      <c r="T92">
        <v>7387</v>
      </c>
      <c r="U92">
        <v>7434</v>
      </c>
      <c r="W92">
        <v>7386.82</v>
      </c>
      <c r="Z92">
        <v>167057</v>
      </c>
      <c r="AA92">
        <v>1236885744.5</v>
      </c>
      <c r="AB92">
        <v>22029</v>
      </c>
      <c r="AC92" t="s">
        <v>42</v>
      </c>
      <c r="AD92">
        <v>1</v>
      </c>
    </row>
    <row r="93" spans="1:30">
      <c r="A93" t="str">
        <f>CONCATENATE(I93,J93)</f>
        <v>ABBOTINDIAEQ</v>
      </c>
      <c r="B93" s="34">
        <v>46273</v>
      </c>
      <c r="C93" s="34">
        <v>46273</v>
      </c>
      <c r="D93" t="s">
        <v>35</v>
      </c>
      <c r="E93" t="s">
        <v>36</v>
      </c>
      <c r="F93" t="s">
        <v>37</v>
      </c>
      <c r="G93">
        <v>17903</v>
      </c>
      <c r="H93" t="s">
        <v>323</v>
      </c>
      <c r="I93" t="s">
        <v>324</v>
      </c>
      <c r="J93" t="s">
        <v>161</v>
      </c>
      <c r="O93" t="s">
        <v>325</v>
      </c>
      <c r="P93">
        <v>25860</v>
      </c>
      <c r="Q93">
        <v>26065</v>
      </c>
      <c r="R93">
        <v>25440</v>
      </c>
      <c r="S93">
        <v>25555</v>
      </c>
      <c r="T93">
        <v>25600</v>
      </c>
      <c r="U93">
        <v>25940</v>
      </c>
      <c r="W93">
        <v>25555.19</v>
      </c>
      <c r="Z93">
        <v>11086</v>
      </c>
      <c r="AA93">
        <v>284573680</v>
      </c>
      <c r="AB93">
        <v>5849</v>
      </c>
      <c r="AC93" t="s">
        <v>42</v>
      </c>
      <c r="AD93">
        <v>1</v>
      </c>
    </row>
    <row r="94" spans="1:30">
      <c r="A94" t="str">
        <f>CONCATENATE(I94,J94)</f>
        <v>ABHST</v>
      </c>
      <c r="B94" s="34">
        <v>46273</v>
      </c>
      <c r="C94" s="34">
        <v>46273</v>
      </c>
      <c r="D94" t="s">
        <v>35</v>
      </c>
      <c r="E94" t="s">
        <v>36</v>
      </c>
      <c r="F94" t="s">
        <v>37</v>
      </c>
      <c r="G94">
        <v>765466</v>
      </c>
      <c r="H94" t="s">
        <v>326</v>
      </c>
      <c r="I94" t="s">
        <v>327</v>
      </c>
      <c r="J94" t="s">
        <v>328</v>
      </c>
      <c r="O94" t="s">
        <v>329</v>
      </c>
      <c r="P94">
        <v>72.900000000000006</v>
      </c>
      <c r="Q94">
        <v>72.900000000000006</v>
      </c>
      <c r="R94">
        <v>72.900000000000006</v>
      </c>
      <c r="S94">
        <v>72.900000000000006</v>
      </c>
      <c r="T94">
        <v>72.900000000000006</v>
      </c>
      <c r="U94">
        <v>76.7</v>
      </c>
      <c r="W94">
        <v>72.900000000000006</v>
      </c>
      <c r="Z94">
        <v>7200</v>
      </c>
      <c r="AA94">
        <v>524880</v>
      </c>
      <c r="AB94">
        <v>6</v>
      </c>
      <c r="AC94" t="s">
        <v>42</v>
      </c>
      <c r="AD94">
        <v>1200</v>
      </c>
    </row>
    <row r="95" spans="1:30">
      <c r="A95" t="str">
        <f>CONCATENATE(I95,J95)</f>
        <v>ABHAPOWERSM</v>
      </c>
      <c r="B95" s="34">
        <v>46273</v>
      </c>
      <c r="C95" s="34">
        <v>46273</v>
      </c>
      <c r="D95" t="s">
        <v>35</v>
      </c>
      <c r="E95" t="s">
        <v>36</v>
      </c>
      <c r="F95" t="s">
        <v>37</v>
      </c>
      <c r="G95">
        <v>27284</v>
      </c>
      <c r="H95" t="s">
        <v>330</v>
      </c>
      <c r="I95" t="s">
        <v>331</v>
      </c>
      <c r="J95" t="s">
        <v>267</v>
      </c>
      <c r="O95" t="s">
        <v>332</v>
      </c>
      <c r="P95">
        <v>24</v>
      </c>
      <c r="Q95">
        <v>24</v>
      </c>
      <c r="R95">
        <v>24</v>
      </c>
      <c r="S95">
        <v>24</v>
      </c>
      <c r="T95">
        <v>24</v>
      </c>
      <c r="U95">
        <v>24</v>
      </c>
      <c r="W95">
        <v>24</v>
      </c>
      <c r="Z95">
        <v>1600</v>
      </c>
      <c r="AA95">
        <v>38400</v>
      </c>
      <c r="AB95">
        <v>1</v>
      </c>
      <c r="AC95" t="s">
        <v>42</v>
      </c>
      <c r="AD95">
        <v>1600</v>
      </c>
    </row>
    <row r="96" spans="1:30">
      <c r="A96" t="str">
        <f>CONCATENATE(I96,J96)</f>
        <v>ABMINTLLTDBE</v>
      </c>
      <c r="B96" s="34">
        <v>46273</v>
      </c>
      <c r="C96" s="34">
        <v>46273</v>
      </c>
      <c r="D96" t="s">
        <v>35</v>
      </c>
      <c r="E96" t="s">
        <v>36</v>
      </c>
      <c r="F96" t="s">
        <v>37</v>
      </c>
      <c r="G96">
        <v>5551</v>
      </c>
      <c r="H96" t="s">
        <v>333</v>
      </c>
      <c r="I96" t="s">
        <v>334</v>
      </c>
      <c r="J96" t="s">
        <v>183</v>
      </c>
      <c r="O96" t="s">
        <v>335</v>
      </c>
      <c r="P96">
        <v>54.75</v>
      </c>
      <c r="Q96">
        <v>54.75</v>
      </c>
      <c r="R96">
        <v>54.75</v>
      </c>
      <c r="S96">
        <v>54.75</v>
      </c>
      <c r="T96">
        <v>54.75</v>
      </c>
      <c r="U96">
        <v>55.86</v>
      </c>
      <c r="W96">
        <v>54.75</v>
      </c>
      <c r="Z96">
        <v>9</v>
      </c>
      <c r="AA96">
        <v>492.75</v>
      </c>
      <c r="AB96">
        <v>5</v>
      </c>
      <c r="AC96" t="s">
        <v>42</v>
      </c>
      <c r="AD96">
        <v>1</v>
      </c>
    </row>
    <row r="97" spans="1:30">
      <c r="A97" t="str">
        <f>CONCATENATE(I97,J97)</f>
        <v>ABSMARINESM</v>
      </c>
      <c r="B97" s="34">
        <v>46273</v>
      </c>
      <c r="C97" s="34">
        <v>46273</v>
      </c>
      <c r="D97" t="s">
        <v>35</v>
      </c>
      <c r="E97" t="s">
        <v>36</v>
      </c>
      <c r="F97" t="s">
        <v>37</v>
      </c>
      <c r="G97">
        <v>23783</v>
      </c>
      <c r="H97" t="s">
        <v>336</v>
      </c>
      <c r="I97" t="s">
        <v>337</v>
      </c>
      <c r="J97" t="s">
        <v>267</v>
      </c>
      <c r="O97" t="s">
        <v>338</v>
      </c>
      <c r="P97">
        <v>340</v>
      </c>
      <c r="Q97">
        <v>340</v>
      </c>
      <c r="R97">
        <v>310.3</v>
      </c>
      <c r="S97">
        <v>330.7</v>
      </c>
      <c r="T97">
        <v>330.05</v>
      </c>
      <c r="U97">
        <v>336.75</v>
      </c>
      <c r="W97">
        <v>330.7</v>
      </c>
      <c r="Z97">
        <v>115000</v>
      </c>
      <c r="AA97">
        <v>37688975</v>
      </c>
      <c r="AB97">
        <v>192</v>
      </c>
      <c r="AC97" t="s">
        <v>42</v>
      </c>
      <c r="AD97">
        <v>500</v>
      </c>
    </row>
    <row r="98" spans="1:30">
      <c r="A98" t="str">
        <f>CONCATENATE(I98,J98)</f>
        <v>ACCEQ</v>
      </c>
      <c r="B98" s="34">
        <v>46273</v>
      </c>
      <c r="C98" s="34">
        <v>46273</v>
      </c>
      <c r="D98" t="s">
        <v>35</v>
      </c>
      <c r="E98" t="s">
        <v>36</v>
      </c>
      <c r="F98" t="s">
        <v>37</v>
      </c>
      <c r="G98">
        <v>22</v>
      </c>
      <c r="H98" t="s">
        <v>339</v>
      </c>
      <c r="I98" t="s">
        <v>340</v>
      </c>
      <c r="J98" t="s">
        <v>161</v>
      </c>
      <c r="O98" t="s">
        <v>341</v>
      </c>
      <c r="P98">
        <v>1267.9000000000001</v>
      </c>
      <c r="Q98">
        <v>1268</v>
      </c>
      <c r="R98">
        <v>1255.7</v>
      </c>
      <c r="S98">
        <v>1262.8</v>
      </c>
      <c r="T98">
        <v>1266.5</v>
      </c>
      <c r="U98">
        <v>1268.7</v>
      </c>
      <c r="W98">
        <v>1262.8</v>
      </c>
      <c r="Z98">
        <v>116620</v>
      </c>
      <c r="AA98">
        <v>147102672.80000001</v>
      </c>
      <c r="AB98">
        <v>10781</v>
      </c>
      <c r="AC98" t="s">
        <v>42</v>
      </c>
      <c r="AD98">
        <v>1</v>
      </c>
    </row>
    <row r="99" spans="1:30">
      <c r="A99" t="str">
        <f>CONCATENATE(I99,J99)</f>
        <v>ACCELYAEQ</v>
      </c>
      <c r="B99" s="34">
        <v>46273</v>
      </c>
      <c r="C99" s="34">
        <v>46273</v>
      </c>
      <c r="D99" t="s">
        <v>35</v>
      </c>
      <c r="E99" t="s">
        <v>36</v>
      </c>
      <c r="F99" t="s">
        <v>37</v>
      </c>
      <c r="G99">
        <v>7053</v>
      </c>
      <c r="H99" t="s">
        <v>342</v>
      </c>
      <c r="I99" t="s">
        <v>343</v>
      </c>
      <c r="J99" t="s">
        <v>161</v>
      </c>
      <c r="O99" t="s">
        <v>344</v>
      </c>
      <c r="P99">
        <v>1122.4000000000001</v>
      </c>
      <c r="Q99">
        <v>1133</v>
      </c>
      <c r="R99">
        <v>1121</v>
      </c>
      <c r="S99">
        <v>1124.4000000000001</v>
      </c>
      <c r="T99">
        <v>1121</v>
      </c>
      <c r="U99">
        <v>1127.0999999999999</v>
      </c>
      <c r="W99">
        <v>1124.23</v>
      </c>
      <c r="Z99">
        <v>4962</v>
      </c>
      <c r="AA99">
        <v>5591760.7999999998</v>
      </c>
      <c r="AB99">
        <v>514</v>
      </c>
      <c r="AC99" t="s">
        <v>42</v>
      </c>
      <c r="AD99">
        <v>1</v>
      </c>
    </row>
    <row r="100" spans="1:30">
      <c r="A100" t="str">
        <f>CONCATENATE(I100,J100)</f>
        <v>ACCENTMICSM</v>
      </c>
      <c r="B100" s="34">
        <v>46273</v>
      </c>
      <c r="C100" s="34">
        <v>46273</v>
      </c>
      <c r="D100" t="s">
        <v>35</v>
      </c>
      <c r="E100" t="s">
        <v>36</v>
      </c>
      <c r="F100" t="s">
        <v>37</v>
      </c>
      <c r="G100">
        <v>20488</v>
      </c>
      <c r="H100" t="s">
        <v>345</v>
      </c>
      <c r="I100" t="s">
        <v>346</v>
      </c>
      <c r="J100" t="s">
        <v>267</v>
      </c>
      <c r="O100" t="s">
        <v>347</v>
      </c>
      <c r="P100">
        <v>627</v>
      </c>
      <c r="Q100">
        <v>653.9</v>
      </c>
      <c r="R100">
        <v>618.45000000000005</v>
      </c>
      <c r="S100">
        <v>642.95000000000005</v>
      </c>
      <c r="T100">
        <v>646</v>
      </c>
      <c r="U100">
        <v>623.6</v>
      </c>
      <c r="W100">
        <v>642.95000000000005</v>
      </c>
      <c r="Z100">
        <v>77500</v>
      </c>
      <c r="AA100">
        <v>49046575</v>
      </c>
      <c r="AB100">
        <v>133</v>
      </c>
      <c r="AC100" t="s">
        <v>42</v>
      </c>
      <c r="AD100">
        <v>500</v>
      </c>
    </row>
    <row r="101" spans="1:30">
      <c r="A101" t="str">
        <f>CONCATENATE(I101,J101)</f>
        <v>ACCPLST</v>
      </c>
      <c r="B101" s="34">
        <v>46273</v>
      </c>
      <c r="C101" s="34">
        <v>46273</v>
      </c>
      <c r="D101" t="s">
        <v>35</v>
      </c>
      <c r="E101" t="s">
        <v>36</v>
      </c>
      <c r="F101" t="s">
        <v>37</v>
      </c>
      <c r="G101">
        <v>757024</v>
      </c>
      <c r="H101" t="s">
        <v>348</v>
      </c>
      <c r="I101" t="s">
        <v>349</v>
      </c>
      <c r="J101" t="s">
        <v>328</v>
      </c>
      <c r="O101" t="s">
        <v>350</v>
      </c>
      <c r="P101">
        <v>210</v>
      </c>
      <c r="Q101">
        <v>210</v>
      </c>
      <c r="R101">
        <v>210</v>
      </c>
      <c r="S101">
        <v>210</v>
      </c>
      <c r="T101">
        <v>210</v>
      </c>
      <c r="U101">
        <v>210</v>
      </c>
      <c r="W101">
        <v>210</v>
      </c>
      <c r="Z101">
        <v>1200</v>
      </c>
      <c r="AA101">
        <v>252000</v>
      </c>
      <c r="AB101">
        <v>1</v>
      </c>
      <c r="AC101" t="s">
        <v>42</v>
      </c>
      <c r="AD101">
        <v>1200</v>
      </c>
    </row>
    <row r="102" spans="1:30">
      <c r="A102" t="str">
        <f>CONCATENATE(I102,J102)</f>
        <v>ACCURACYBE</v>
      </c>
      <c r="B102" s="34">
        <v>46273</v>
      </c>
      <c r="C102" s="34">
        <v>46273</v>
      </c>
      <c r="D102" t="s">
        <v>35</v>
      </c>
      <c r="E102" t="s">
        <v>36</v>
      </c>
      <c r="F102" t="s">
        <v>37</v>
      </c>
      <c r="G102">
        <v>1472</v>
      </c>
      <c r="H102" t="s">
        <v>351</v>
      </c>
      <c r="I102" t="s">
        <v>352</v>
      </c>
      <c r="J102" t="s">
        <v>183</v>
      </c>
      <c r="O102" t="s">
        <v>353</v>
      </c>
      <c r="P102">
        <v>4.38</v>
      </c>
      <c r="Q102">
        <v>4.38</v>
      </c>
      <c r="R102">
        <v>4.16</v>
      </c>
      <c r="S102">
        <v>4.29</v>
      </c>
      <c r="T102">
        <v>4.3099999999999996</v>
      </c>
      <c r="U102">
        <v>4.33</v>
      </c>
      <c r="W102">
        <v>4.29</v>
      </c>
      <c r="Z102">
        <v>28210</v>
      </c>
      <c r="AA102">
        <v>120730.27</v>
      </c>
      <c r="AB102">
        <v>173</v>
      </c>
      <c r="AC102" t="s">
        <v>42</v>
      </c>
      <c r="AD102">
        <v>1</v>
      </c>
    </row>
    <row r="103" spans="1:30">
      <c r="A103" t="str">
        <f>CONCATENATE(I103,J103)</f>
        <v>ACEINTEGEQ</v>
      </c>
      <c r="B103" s="34">
        <v>46273</v>
      </c>
      <c r="C103" s="34">
        <v>46273</v>
      </c>
      <c r="D103" t="s">
        <v>35</v>
      </c>
      <c r="E103" t="s">
        <v>36</v>
      </c>
      <c r="F103" t="s">
        <v>37</v>
      </c>
      <c r="G103">
        <v>11779</v>
      </c>
      <c r="H103" t="s">
        <v>354</v>
      </c>
      <c r="I103" t="s">
        <v>355</v>
      </c>
      <c r="J103" t="s">
        <v>161</v>
      </c>
      <c r="O103" t="s">
        <v>356</v>
      </c>
      <c r="P103">
        <v>17.170000000000002</v>
      </c>
      <c r="Q103">
        <v>18.39</v>
      </c>
      <c r="R103">
        <v>17.170000000000002</v>
      </c>
      <c r="S103">
        <v>17.37</v>
      </c>
      <c r="T103">
        <v>17.5</v>
      </c>
      <c r="U103">
        <v>17.54</v>
      </c>
      <c r="W103">
        <v>17.37</v>
      </c>
      <c r="Z103">
        <v>1771</v>
      </c>
      <c r="AA103">
        <v>31050.09</v>
      </c>
      <c r="AB103">
        <v>70</v>
      </c>
      <c r="AC103" t="s">
        <v>42</v>
      </c>
      <c r="AD103">
        <v>1</v>
      </c>
    </row>
    <row r="104" spans="1:30">
      <c r="A104" t="str">
        <f>CONCATENATE(I104,J104)</f>
        <v>ACETECSM</v>
      </c>
      <c r="B104" s="34">
        <v>46273</v>
      </c>
      <c r="C104" s="34">
        <v>46273</v>
      </c>
      <c r="D104" t="s">
        <v>35</v>
      </c>
      <c r="E104" t="s">
        <v>36</v>
      </c>
      <c r="F104" t="s">
        <v>37</v>
      </c>
      <c r="G104">
        <v>761112</v>
      </c>
      <c r="H104" t="s">
        <v>357</v>
      </c>
      <c r="I104" t="s">
        <v>358</v>
      </c>
      <c r="J104" t="s">
        <v>267</v>
      </c>
      <c r="O104" t="s">
        <v>359</v>
      </c>
      <c r="P104">
        <v>141</v>
      </c>
      <c r="Q104">
        <v>157.80000000000001</v>
      </c>
      <c r="R104">
        <v>140</v>
      </c>
      <c r="S104">
        <v>147.1</v>
      </c>
      <c r="T104">
        <v>141</v>
      </c>
      <c r="U104">
        <v>132</v>
      </c>
      <c r="W104">
        <v>147.1</v>
      </c>
      <c r="Z104">
        <v>9600</v>
      </c>
      <c r="AA104">
        <v>1404960</v>
      </c>
      <c r="AB104">
        <v>8</v>
      </c>
      <c r="AC104" t="s">
        <v>42</v>
      </c>
      <c r="AD104">
        <v>1200</v>
      </c>
    </row>
    <row r="105" spans="1:30">
      <c r="A105" t="str">
        <f>CONCATENATE(I105,J105)</f>
        <v>ACMESOLAREQ</v>
      </c>
      <c r="B105" s="34">
        <v>46273</v>
      </c>
      <c r="C105" s="34">
        <v>46273</v>
      </c>
      <c r="D105" t="s">
        <v>35</v>
      </c>
      <c r="E105" t="s">
        <v>36</v>
      </c>
      <c r="F105" t="s">
        <v>37</v>
      </c>
      <c r="G105">
        <v>27061</v>
      </c>
      <c r="H105" t="s">
        <v>360</v>
      </c>
      <c r="I105" t="s">
        <v>361</v>
      </c>
      <c r="J105" t="s">
        <v>161</v>
      </c>
      <c r="O105" t="s">
        <v>362</v>
      </c>
      <c r="P105">
        <v>413.15</v>
      </c>
      <c r="Q105">
        <v>417.65</v>
      </c>
      <c r="R105">
        <v>404.45</v>
      </c>
      <c r="S105">
        <v>412.6</v>
      </c>
      <c r="T105">
        <v>412</v>
      </c>
      <c r="U105">
        <v>413.15</v>
      </c>
      <c r="W105">
        <v>412.6</v>
      </c>
      <c r="Z105">
        <v>1281765</v>
      </c>
      <c r="AA105">
        <v>528304732.30000001</v>
      </c>
      <c r="AB105">
        <v>30339</v>
      </c>
      <c r="AC105" t="s">
        <v>42</v>
      </c>
      <c r="AD105">
        <v>1</v>
      </c>
    </row>
    <row r="106" spans="1:30">
      <c r="A106" t="str">
        <f>CONCATENATE(I106,J106)</f>
        <v>ACEEQ</v>
      </c>
      <c r="B106" s="34">
        <v>46273</v>
      </c>
      <c r="C106" s="34">
        <v>46273</v>
      </c>
      <c r="D106" t="s">
        <v>35</v>
      </c>
      <c r="E106" t="s">
        <v>36</v>
      </c>
      <c r="F106" t="s">
        <v>37</v>
      </c>
      <c r="G106">
        <v>13587</v>
      </c>
      <c r="H106" t="s">
        <v>363</v>
      </c>
      <c r="I106" t="s">
        <v>364</v>
      </c>
      <c r="J106" t="s">
        <v>161</v>
      </c>
      <c r="O106" t="s">
        <v>365</v>
      </c>
      <c r="P106">
        <v>1122.2</v>
      </c>
      <c r="Q106">
        <v>1148</v>
      </c>
      <c r="R106">
        <v>1105</v>
      </c>
      <c r="S106">
        <v>1121.2</v>
      </c>
      <c r="T106">
        <v>1116.3</v>
      </c>
      <c r="U106">
        <v>1113.2</v>
      </c>
      <c r="W106">
        <v>1121.22</v>
      </c>
      <c r="Z106">
        <v>238203</v>
      </c>
      <c r="AA106">
        <v>267162919.30000001</v>
      </c>
      <c r="AB106">
        <v>16218</v>
      </c>
      <c r="AC106" t="s">
        <v>42</v>
      </c>
      <c r="AD106">
        <v>1</v>
      </c>
    </row>
    <row r="107" spans="1:30">
      <c r="A107" t="str">
        <f>CONCATENATE(I107,J107)</f>
        <v>ACUTAASEQ</v>
      </c>
      <c r="B107" s="34">
        <v>46273</v>
      </c>
      <c r="C107" s="34">
        <v>46273</v>
      </c>
      <c r="D107" t="s">
        <v>35</v>
      </c>
      <c r="E107" t="s">
        <v>36</v>
      </c>
      <c r="F107" t="s">
        <v>37</v>
      </c>
      <c r="G107">
        <v>5578</v>
      </c>
      <c r="H107" t="s">
        <v>366</v>
      </c>
      <c r="I107" t="s">
        <v>367</v>
      </c>
      <c r="J107" t="s">
        <v>161</v>
      </c>
      <c r="O107" t="s">
        <v>368</v>
      </c>
      <c r="P107">
        <v>3181.6</v>
      </c>
      <c r="Q107">
        <v>3235.5</v>
      </c>
      <c r="R107">
        <v>3161.5</v>
      </c>
      <c r="S107">
        <v>3182.1</v>
      </c>
      <c r="T107">
        <v>3178</v>
      </c>
      <c r="U107">
        <v>3181.6</v>
      </c>
      <c r="W107">
        <v>3182.05</v>
      </c>
      <c r="Z107">
        <v>174805</v>
      </c>
      <c r="AA107">
        <v>559818848.89999998</v>
      </c>
      <c r="AB107">
        <v>27338</v>
      </c>
      <c r="AC107" t="s">
        <v>42</v>
      </c>
      <c r="AD107">
        <v>1</v>
      </c>
    </row>
    <row r="108" spans="1:30">
      <c r="A108" t="str">
        <f>CONCATENATE(I108,J108)</f>
        <v>ADANIENSOLEQ</v>
      </c>
      <c r="B108" s="34">
        <v>46273</v>
      </c>
      <c r="C108" s="34">
        <v>46273</v>
      </c>
      <c r="D108" t="s">
        <v>35</v>
      </c>
      <c r="E108" t="s">
        <v>36</v>
      </c>
      <c r="F108" t="s">
        <v>37</v>
      </c>
      <c r="G108">
        <v>10217</v>
      </c>
      <c r="H108" t="s">
        <v>369</v>
      </c>
      <c r="I108" t="s">
        <v>370</v>
      </c>
      <c r="J108" t="s">
        <v>161</v>
      </c>
      <c r="O108" t="s">
        <v>371</v>
      </c>
      <c r="P108">
        <v>1390.4</v>
      </c>
      <c r="Q108">
        <v>1412</v>
      </c>
      <c r="R108">
        <v>1370</v>
      </c>
      <c r="S108">
        <v>1407.7</v>
      </c>
      <c r="T108">
        <v>1407.7</v>
      </c>
      <c r="U108">
        <v>1390.4</v>
      </c>
      <c r="W108">
        <v>1407.7</v>
      </c>
      <c r="Z108">
        <v>1308434</v>
      </c>
      <c r="AA108">
        <v>1821714971.5999999</v>
      </c>
      <c r="AB108">
        <v>36684</v>
      </c>
      <c r="AC108" t="s">
        <v>42</v>
      </c>
      <c r="AD108">
        <v>1</v>
      </c>
    </row>
    <row r="109" spans="1:30">
      <c r="A109" t="str">
        <f>CONCATENATE(I109,J109)</f>
        <v>ADANIENTEQ</v>
      </c>
      <c r="B109" s="34">
        <v>46273</v>
      </c>
      <c r="C109" s="34">
        <v>46273</v>
      </c>
      <c r="D109" t="s">
        <v>35</v>
      </c>
      <c r="E109" t="s">
        <v>36</v>
      </c>
      <c r="F109" t="s">
        <v>37</v>
      </c>
      <c r="G109">
        <v>25</v>
      </c>
      <c r="H109" t="s">
        <v>372</v>
      </c>
      <c r="I109" t="s">
        <v>373</v>
      </c>
      <c r="J109" t="s">
        <v>161</v>
      </c>
      <c r="O109" t="s">
        <v>374</v>
      </c>
      <c r="P109">
        <v>2933</v>
      </c>
      <c r="Q109">
        <v>2968.8</v>
      </c>
      <c r="R109">
        <v>2918</v>
      </c>
      <c r="S109">
        <v>2953.1</v>
      </c>
      <c r="T109">
        <v>2953.1</v>
      </c>
      <c r="U109">
        <v>2950</v>
      </c>
      <c r="W109">
        <v>2953.12</v>
      </c>
      <c r="Z109">
        <v>971374</v>
      </c>
      <c r="AA109">
        <v>2864027099</v>
      </c>
      <c r="AB109">
        <v>47722</v>
      </c>
      <c r="AC109" t="s">
        <v>42</v>
      </c>
      <c r="AD109">
        <v>1</v>
      </c>
    </row>
    <row r="110" spans="1:30">
      <c r="A110" t="str">
        <f>CONCATENATE(I110,J110)</f>
        <v>ADANIGREENEQ</v>
      </c>
      <c r="B110" s="34">
        <v>46273</v>
      </c>
      <c r="C110" s="34">
        <v>46273</v>
      </c>
      <c r="D110" t="s">
        <v>35</v>
      </c>
      <c r="E110" t="s">
        <v>36</v>
      </c>
      <c r="F110" t="s">
        <v>37</v>
      </c>
      <c r="G110">
        <v>3563</v>
      </c>
      <c r="H110" t="s">
        <v>375</v>
      </c>
      <c r="I110" t="s">
        <v>376</v>
      </c>
      <c r="J110" t="s">
        <v>161</v>
      </c>
      <c r="O110" t="s">
        <v>377</v>
      </c>
      <c r="P110">
        <v>1288</v>
      </c>
      <c r="Q110">
        <v>1301.3</v>
      </c>
      <c r="R110">
        <v>1275.5</v>
      </c>
      <c r="S110">
        <v>1292</v>
      </c>
      <c r="T110">
        <v>1292</v>
      </c>
      <c r="U110">
        <v>1288</v>
      </c>
      <c r="W110">
        <v>1291.8499999999999</v>
      </c>
      <c r="Z110">
        <v>678024</v>
      </c>
      <c r="AA110">
        <v>873643922.29999995</v>
      </c>
      <c r="AB110">
        <v>20565</v>
      </c>
      <c r="AC110" t="s">
        <v>42</v>
      </c>
      <c r="AD110">
        <v>1</v>
      </c>
    </row>
    <row r="111" spans="1:30">
      <c r="A111" t="str">
        <f>CONCATENATE(I111,J111)</f>
        <v>ADANIPORTSEQ</v>
      </c>
      <c r="B111" s="34">
        <v>46273</v>
      </c>
      <c r="C111" s="34">
        <v>46273</v>
      </c>
      <c r="D111" t="s">
        <v>35</v>
      </c>
      <c r="E111" t="s">
        <v>36</v>
      </c>
      <c r="F111" t="s">
        <v>37</v>
      </c>
      <c r="G111">
        <v>15083</v>
      </c>
      <c r="H111" t="s">
        <v>378</v>
      </c>
      <c r="I111" t="s">
        <v>379</v>
      </c>
      <c r="J111" t="s">
        <v>161</v>
      </c>
      <c r="O111" t="s">
        <v>380</v>
      </c>
      <c r="P111">
        <v>1694</v>
      </c>
      <c r="Q111">
        <v>1713.1</v>
      </c>
      <c r="R111">
        <v>1685.2</v>
      </c>
      <c r="S111">
        <v>1710</v>
      </c>
      <c r="T111">
        <v>1710</v>
      </c>
      <c r="U111">
        <v>1694.3</v>
      </c>
      <c r="W111">
        <v>1709.99</v>
      </c>
      <c r="Z111">
        <v>1217135</v>
      </c>
      <c r="AA111">
        <v>2077497499.5999999</v>
      </c>
      <c r="AB111">
        <v>46947</v>
      </c>
      <c r="AC111" t="s">
        <v>42</v>
      </c>
      <c r="AD111">
        <v>1</v>
      </c>
    </row>
    <row r="112" spans="1:30">
      <c r="A112" t="str">
        <f>CONCATENATE(I112,J112)</f>
        <v>ADANIPOWEREQ</v>
      </c>
      <c r="B112" s="34">
        <v>46273</v>
      </c>
      <c r="C112" s="34">
        <v>46273</v>
      </c>
      <c r="D112" t="s">
        <v>35</v>
      </c>
      <c r="E112" t="s">
        <v>36</v>
      </c>
      <c r="F112" t="s">
        <v>37</v>
      </c>
      <c r="G112">
        <v>17388</v>
      </c>
      <c r="H112" t="s">
        <v>381</v>
      </c>
      <c r="I112" t="s">
        <v>382</v>
      </c>
      <c r="J112" t="s">
        <v>161</v>
      </c>
      <c r="O112" t="s">
        <v>383</v>
      </c>
      <c r="P112">
        <v>205.2</v>
      </c>
      <c r="Q112">
        <v>209.4</v>
      </c>
      <c r="R112">
        <v>204.12</v>
      </c>
      <c r="S112">
        <v>208.4</v>
      </c>
      <c r="T112">
        <v>208.4</v>
      </c>
      <c r="U112">
        <v>204.49</v>
      </c>
      <c r="W112">
        <v>208.4</v>
      </c>
      <c r="Z112">
        <v>17837173</v>
      </c>
      <c r="AA112">
        <v>3696511270.96</v>
      </c>
      <c r="AB112">
        <v>85789</v>
      </c>
      <c r="AC112" t="s">
        <v>42</v>
      </c>
      <c r="AD112">
        <v>1</v>
      </c>
    </row>
    <row r="113" spans="1:30">
      <c r="A113" t="str">
        <f>CONCATENATE(I113,J113)</f>
        <v>ATGLEQ</v>
      </c>
      <c r="B113" s="34">
        <v>46273</v>
      </c>
      <c r="C113" s="34">
        <v>46273</v>
      </c>
      <c r="D113" t="s">
        <v>35</v>
      </c>
      <c r="E113" t="s">
        <v>36</v>
      </c>
      <c r="F113" t="s">
        <v>37</v>
      </c>
      <c r="G113">
        <v>6066</v>
      </c>
      <c r="H113" t="s">
        <v>384</v>
      </c>
      <c r="I113" t="s">
        <v>385</v>
      </c>
      <c r="J113" t="s">
        <v>161</v>
      </c>
      <c r="O113" t="s">
        <v>386</v>
      </c>
      <c r="P113">
        <v>604.4</v>
      </c>
      <c r="Q113">
        <v>612</v>
      </c>
      <c r="R113">
        <v>602</v>
      </c>
      <c r="S113">
        <v>609.4</v>
      </c>
      <c r="T113">
        <v>611.4</v>
      </c>
      <c r="U113">
        <v>603.70000000000005</v>
      </c>
      <c r="W113">
        <v>608.95000000000005</v>
      </c>
      <c r="Z113">
        <v>458452</v>
      </c>
      <c r="AA113">
        <v>277897489.64999998</v>
      </c>
      <c r="AB113">
        <v>17333</v>
      </c>
      <c r="AC113" t="s">
        <v>42</v>
      </c>
      <c r="AD113">
        <v>1</v>
      </c>
    </row>
    <row r="114" spans="1:30">
      <c r="A114" t="str">
        <f>CONCATENATE(I114,J114)</f>
        <v>ADDINDEQ</v>
      </c>
      <c r="B114" s="34">
        <v>46273</v>
      </c>
      <c r="C114" s="34">
        <v>46273</v>
      </c>
      <c r="D114" t="s">
        <v>35</v>
      </c>
      <c r="E114" t="s">
        <v>36</v>
      </c>
      <c r="F114" t="s">
        <v>37</v>
      </c>
      <c r="G114">
        <v>764563</v>
      </c>
      <c r="H114" t="s">
        <v>387</v>
      </c>
      <c r="I114" t="s">
        <v>388</v>
      </c>
      <c r="J114" t="s">
        <v>161</v>
      </c>
      <c r="O114" t="s">
        <v>389</v>
      </c>
      <c r="P114">
        <v>82.9</v>
      </c>
      <c r="Q114">
        <v>83</v>
      </c>
      <c r="R114">
        <v>75.260000000000005</v>
      </c>
      <c r="S114">
        <v>79.87</v>
      </c>
      <c r="T114">
        <v>82</v>
      </c>
      <c r="U114">
        <v>80.81</v>
      </c>
      <c r="W114">
        <v>79.87</v>
      </c>
      <c r="Z114">
        <v>279</v>
      </c>
      <c r="AA114">
        <v>22109.06</v>
      </c>
      <c r="AB114">
        <v>32</v>
      </c>
      <c r="AC114" t="s">
        <v>42</v>
      </c>
      <c r="AD114">
        <v>1</v>
      </c>
    </row>
    <row r="115" spans="1:30">
      <c r="A115" t="str">
        <f>CONCATENATE(I115,J115)</f>
        <v>ADDICTIVESM</v>
      </c>
      <c r="B115" s="34">
        <v>46273</v>
      </c>
      <c r="C115" s="34">
        <v>46273</v>
      </c>
      <c r="D115" t="s">
        <v>35</v>
      </c>
      <c r="E115" t="s">
        <v>36</v>
      </c>
      <c r="F115" t="s">
        <v>37</v>
      </c>
      <c r="G115">
        <v>22468</v>
      </c>
      <c r="H115" t="s">
        <v>390</v>
      </c>
      <c r="I115" t="s">
        <v>391</v>
      </c>
      <c r="J115" t="s">
        <v>267</v>
      </c>
      <c r="O115" t="s">
        <v>392</v>
      </c>
      <c r="P115">
        <v>42.75</v>
      </c>
      <c r="Q115">
        <v>42.75</v>
      </c>
      <c r="R115">
        <v>42.7</v>
      </c>
      <c r="S115">
        <v>42.7</v>
      </c>
      <c r="T115">
        <v>42.7</v>
      </c>
      <c r="U115">
        <v>44.9</v>
      </c>
      <c r="W115">
        <v>42.7</v>
      </c>
      <c r="Z115">
        <v>2000</v>
      </c>
      <c r="AA115">
        <v>85425</v>
      </c>
      <c r="AB115">
        <v>4</v>
      </c>
      <c r="AC115" t="s">
        <v>42</v>
      </c>
      <c r="AD115">
        <v>500</v>
      </c>
    </row>
    <row r="116" spans="1:30">
      <c r="A116" t="str">
        <f>CONCATENATE(I116,J116)</f>
        <v>ADFFOODSEQ</v>
      </c>
      <c r="B116" s="34">
        <v>46273</v>
      </c>
      <c r="C116" s="34">
        <v>46273</v>
      </c>
      <c r="D116" t="s">
        <v>35</v>
      </c>
      <c r="E116" t="s">
        <v>36</v>
      </c>
      <c r="F116" t="s">
        <v>37</v>
      </c>
      <c r="G116">
        <v>19761</v>
      </c>
      <c r="H116" t="s">
        <v>393</v>
      </c>
      <c r="I116" t="s">
        <v>394</v>
      </c>
      <c r="J116" t="s">
        <v>161</v>
      </c>
      <c r="O116" t="s">
        <v>395</v>
      </c>
      <c r="P116">
        <v>267</v>
      </c>
      <c r="Q116">
        <v>274.35000000000002</v>
      </c>
      <c r="R116">
        <v>261.85000000000002</v>
      </c>
      <c r="S116">
        <v>273.7</v>
      </c>
      <c r="T116">
        <v>273</v>
      </c>
      <c r="U116">
        <v>266.14999999999998</v>
      </c>
      <c r="W116">
        <v>273.70999999999998</v>
      </c>
      <c r="Z116">
        <v>228769</v>
      </c>
      <c r="AA116">
        <v>61811681.850000001</v>
      </c>
      <c r="AB116">
        <v>5176</v>
      </c>
      <c r="AC116" t="s">
        <v>42</v>
      </c>
      <c r="AD116">
        <v>1</v>
      </c>
    </row>
    <row r="117" spans="1:30">
      <c r="A117" t="str">
        <f>CONCATENATE(I117,J117)</f>
        <v>ADISOFTSM</v>
      </c>
      <c r="B117" s="34">
        <v>46273</v>
      </c>
      <c r="C117" s="34">
        <v>46273</v>
      </c>
      <c r="D117" t="s">
        <v>35</v>
      </c>
      <c r="E117" t="s">
        <v>36</v>
      </c>
      <c r="F117" t="s">
        <v>37</v>
      </c>
      <c r="G117">
        <v>763156</v>
      </c>
      <c r="H117" t="s">
        <v>396</v>
      </c>
      <c r="I117" t="s">
        <v>397</v>
      </c>
      <c r="J117" t="s">
        <v>267</v>
      </c>
      <c r="O117" t="s">
        <v>398</v>
      </c>
      <c r="P117">
        <v>214.2</v>
      </c>
      <c r="Q117">
        <v>226.9</v>
      </c>
      <c r="R117">
        <v>210</v>
      </c>
      <c r="S117">
        <v>225.05</v>
      </c>
      <c r="T117">
        <v>225.25</v>
      </c>
      <c r="U117">
        <v>214.65</v>
      </c>
      <c r="W117">
        <v>225.05</v>
      </c>
      <c r="Z117">
        <v>166400</v>
      </c>
      <c r="AA117">
        <v>36551720</v>
      </c>
      <c r="AB117">
        <v>191</v>
      </c>
      <c r="AC117" t="s">
        <v>42</v>
      </c>
      <c r="AD117">
        <v>800</v>
      </c>
    </row>
    <row r="118" spans="1:30">
      <c r="A118" t="str">
        <f>CONCATENATE(I118,J118)</f>
        <v>ABSLAMCEQ</v>
      </c>
      <c r="B118" s="34">
        <v>46273</v>
      </c>
      <c r="C118" s="34">
        <v>46273</v>
      </c>
      <c r="D118" t="s">
        <v>35</v>
      </c>
      <c r="E118" t="s">
        <v>36</v>
      </c>
      <c r="F118" t="s">
        <v>37</v>
      </c>
      <c r="G118">
        <v>6018</v>
      </c>
      <c r="H118" t="s">
        <v>399</v>
      </c>
      <c r="I118" t="s">
        <v>400</v>
      </c>
      <c r="J118" t="s">
        <v>161</v>
      </c>
      <c r="O118" t="s">
        <v>401</v>
      </c>
      <c r="P118">
        <v>1040</v>
      </c>
      <c r="Q118">
        <v>1045.5999999999999</v>
      </c>
      <c r="R118">
        <v>1024.0999999999999</v>
      </c>
      <c r="S118">
        <v>1037.8</v>
      </c>
      <c r="T118">
        <v>1035</v>
      </c>
      <c r="U118">
        <v>1041.9000000000001</v>
      </c>
      <c r="W118">
        <v>1037.75</v>
      </c>
      <c r="Z118">
        <v>65443</v>
      </c>
      <c r="AA118">
        <v>67666027.299999997</v>
      </c>
      <c r="AB118">
        <v>9355</v>
      </c>
      <c r="AC118" t="s">
        <v>42</v>
      </c>
      <c r="AD118">
        <v>1</v>
      </c>
    </row>
    <row r="119" spans="1:30">
      <c r="A119" t="str">
        <f>CONCATENATE(I119,J119)</f>
        <v>ABCAPITALEQ</v>
      </c>
      <c r="B119" s="34">
        <v>46273</v>
      </c>
      <c r="C119" s="34">
        <v>46273</v>
      </c>
      <c r="D119" t="s">
        <v>35</v>
      </c>
      <c r="E119" t="s">
        <v>36</v>
      </c>
      <c r="F119" t="s">
        <v>37</v>
      </c>
      <c r="G119">
        <v>21614</v>
      </c>
      <c r="H119" t="s">
        <v>402</v>
      </c>
      <c r="I119" t="s">
        <v>403</v>
      </c>
      <c r="J119" t="s">
        <v>161</v>
      </c>
      <c r="O119" t="s">
        <v>404</v>
      </c>
      <c r="P119">
        <v>400</v>
      </c>
      <c r="Q119">
        <v>401</v>
      </c>
      <c r="R119">
        <v>394.45</v>
      </c>
      <c r="S119">
        <v>396.95</v>
      </c>
      <c r="T119">
        <v>396.95</v>
      </c>
      <c r="U119">
        <v>403.25</v>
      </c>
      <c r="W119">
        <v>396.93</v>
      </c>
      <c r="Z119">
        <v>3482938</v>
      </c>
      <c r="AA119">
        <v>1384712613.9000001</v>
      </c>
      <c r="AB119">
        <v>47875</v>
      </c>
      <c r="AC119" t="s">
        <v>42</v>
      </c>
      <c r="AD119">
        <v>1</v>
      </c>
    </row>
    <row r="120" spans="1:30">
      <c r="A120" t="str">
        <f>CONCATENATE(I120,J120)</f>
        <v>ABFRLEQ</v>
      </c>
      <c r="B120" s="34">
        <v>46273</v>
      </c>
      <c r="C120" s="34">
        <v>46273</v>
      </c>
      <c r="D120" t="s">
        <v>35</v>
      </c>
      <c r="E120" t="s">
        <v>36</v>
      </c>
      <c r="F120" t="s">
        <v>37</v>
      </c>
      <c r="G120">
        <v>30108</v>
      </c>
      <c r="H120" t="s">
        <v>405</v>
      </c>
      <c r="I120" t="s">
        <v>406</v>
      </c>
      <c r="J120" t="s">
        <v>161</v>
      </c>
      <c r="O120" t="s">
        <v>407</v>
      </c>
      <c r="P120">
        <v>53.07</v>
      </c>
      <c r="Q120">
        <v>53.07</v>
      </c>
      <c r="R120">
        <v>51.63</v>
      </c>
      <c r="S120">
        <v>52.24</v>
      </c>
      <c r="T120">
        <v>52.19</v>
      </c>
      <c r="U120">
        <v>53.21</v>
      </c>
      <c r="W120">
        <v>52.24</v>
      </c>
      <c r="Z120">
        <v>2646472</v>
      </c>
      <c r="AA120">
        <v>138230443.71000001</v>
      </c>
      <c r="AB120">
        <v>14882</v>
      </c>
      <c r="AC120" t="s">
        <v>42</v>
      </c>
      <c r="AD120">
        <v>1</v>
      </c>
    </row>
    <row r="121" spans="1:30">
      <c r="A121" t="str">
        <f>CONCATENATE(I121,J121)</f>
        <v>ABLBLEQ</v>
      </c>
      <c r="B121" s="34">
        <v>46273</v>
      </c>
      <c r="C121" s="34">
        <v>46273</v>
      </c>
      <c r="D121" t="s">
        <v>35</v>
      </c>
      <c r="E121" t="s">
        <v>36</v>
      </c>
      <c r="F121" t="s">
        <v>37</v>
      </c>
      <c r="G121">
        <v>756843</v>
      </c>
      <c r="H121" t="s">
        <v>408</v>
      </c>
      <c r="I121" t="s">
        <v>409</v>
      </c>
      <c r="J121" t="s">
        <v>161</v>
      </c>
      <c r="O121" t="s">
        <v>410</v>
      </c>
      <c r="P121">
        <v>85.29</v>
      </c>
      <c r="Q121">
        <v>85.56</v>
      </c>
      <c r="R121">
        <v>84.05</v>
      </c>
      <c r="S121">
        <v>84.52</v>
      </c>
      <c r="T121">
        <v>84.43</v>
      </c>
      <c r="U121">
        <v>85.55</v>
      </c>
      <c r="W121">
        <v>84.52</v>
      </c>
      <c r="Z121">
        <v>303999</v>
      </c>
      <c r="AA121">
        <v>25683431.91</v>
      </c>
      <c r="AB121">
        <v>4725</v>
      </c>
      <c r="AC121" t="s">
        <v>42</v>
      </c>
      <c r="AD121">
        <v>1</v>
      </c>
    </row>
    <row r="122" spans="1:30">
      <c r="A122" t="str">
        <f>CONCATENATE(I122,J122)</f>
        <v>BIRLAMONEYEQ</v>
      </c>
      <c r="B122" s="34">
        <v>46273</v>
      </c>
      <c r="C122" s="34">
        <v>46273</v>
      </c>
      <c r="D122" t="s">
        <v>35</v>
      </c>
      <c r="E122" t="s">
        <v>36</v>
      </c>
      <c r="F122" t="s">
        <v>37</v>
      </c>
      <c r="G122">
        <v>15239</v>
      </c>
      <c r="H122" t="s">
        <v>411</v>
      </c>
      <c r="I122" t="s">
        <v>412</v>
      </c>
      <c r="J122" t="s">
        <v>161</v>
      </c>
      <c r="O122" t="s">
        <v>413</v>
      </c>
      <c r="P122">
        <v>125.8</v>
      </c>
      <c r="Q122">
        <v>125.93</v>
      </c>
      <c r="R122">
        <v>124.25</v>
      </c>
      <c r="S122">
        <v>124.85</v>
      </c>
      <c r="T122">
        <v>124.64</v>
      </c>
      <c r="U122">
        <v>125.96</v>
      </c>
      <c r="W122">
        <v>124.85</v>
      </c>
      <c r="Z122">
        <v>23168</v>
      </c>
      <c r="AA122">
        <v>2899434.3</v>
      </c>
      <c r="AB122">
        <v>460</v>
      </c>
      <c r="AC122" t="s">
        <v>42</v>
      </c>
      <c r="AD122">
        <v>1</v>
      </c>
    </row>
    <row r="123" spans="1:30">
      <c r="A123" t="str">
        <f>CONCATENATE(I123,J123)</f>
        <v>ABRELEQ</v>
      </c>
      <c r="B123" s="34">
        <v>46273</v>
      </c>
      <c r="C123" s="34">
        <v>46273</v>
      </c>
      <c r="D123" t="s">
        <v>35</v>
      </c>
      <c r="E123" t="s">
        <v>36</v>
      </c>
      <c r="F123" t="s">
        <v>37</v>
      </c>
      <c r="G123">
        <v>625</v>
      </c>
      <c r="H123" t="s">
        <v>414</v>
      </c>
      <c r="I123" t="s">
        <v>415</v>
      </c>
      <c r="J123" t="s">
        <v>161</v>
      </c>
      <c r="O123" t="s">
        <v>416</v>
      </c>
      <c r="P123">
        <v>1379.8</v>
      </c>
      <c r="Q123">
        <v>1380</v>
      </c>
      <c r="R123">
        <v>1358.1</v>
      </c>
      <c r="S123">
        <v>1372.1</v>
      </c>
      <c r="T123">
        <v>1371.6</v>
      </c>
      <c r="U123">
        <v>1377.8</v>
      </c>
      <c r="W123">
        <v>1372.13</v>
      </c>
      <c r="Z123">
        <v>53107</v>
      </c>
      <c r="AA123">
        <v>72648240.099999994</v>
      </c>
      <c r="AB123">
        <v>6431</v>
      </c>
      <c r="AC123" t="s">
        <v>42</v>
      </c>
      <c r="AD123">
        <v>1</v>
      </c>
    </row>
    <row r="124" spans="1:30">
      <c r="A124" t="str">
        <f>CONCATENATE(I124,J124)</f>
        <v>CPPLUSEQ</v>
      </c>
      <c r="B124" s="34">
        <v>46273</v>
      </c>
      <c r="C124" s="34">
        <v>46273</v>
      </c>
      <c r="D124" t="s">
        <v>35</v>
      </c>
      <c r="E124" t="s">
        <v>36</v>
      </c>
      <c r="F124" t="s">
        <v>37</v>
      </c>
      <c r="G124">
        <v>758858</v>
      </c>
      <c r="H124" t="s">
        <v>417</v>
      </c>
      <c r="I124" t="s">
        <v>418</v>
      </c>
      <c r="J124" t="s">
        <v>161</v>
      </c>
      <c r="O124" t="s">
        <v>419</v>
      </c>
      <c r="P124">
        <v>3762.5</v>
      </c>
      <c r="Q124">
        <v>3850</v>
      </c>
      <c r="R124">
        <v>3690</v>
      </c>
      <c r="S124">
        <v>3828.8</v>
      </c>
      <c r="T124">
        <v>3832</v>
      </c>
      <c r="U124">
        <v>3752.9</v>
      </c>
      <c r="W124">
        <v>3828.66</v>
      </c>
      <c r="Z124">
        <v>169118</v>
      </c>
      <c r="AA124">
        <v>643529377.10000002</v>
      </c>
      <c r="AB124">
        <v>22553</v>
      </c>
      <c r="AC124" t="s">
        <v>42</v>
      </c>
      <c r="AD124">
        <v>1</v>
      </c>
    </row>
    <row r="125" spans="1:30">
      <c r="A125" t="str">
        <f>CONCATENATE(I125,J125)</f>
        <v>AVLEQ</v>
      </c>
      <c r="B125" s="34">
        <v>46273</v>
      </c>
      <c r="C125" s="34">
        <v>46273</v>
      </c>
      <c r="D125" t="s">
        <v>35</v>
      </c>
      <c r="E125" t="s">
        <v>36</v>
      </c>
      <c r="F125" t="s">
        <v>37</v>
      </c>
      <c r="G125">
        <v>25984</v>
      </c>
      <c r="H125" t="s">
        <v>420</v>
      </c>
      <c r="I125" t="s">
        <v>421</v>
      </c>
      <c r="J125" t="s">
        <v>161</v>
      </c>
      <c r="O125" t="s">
        <v>422</v>
      </c>
      <c r="P125">
        <v>604</v>
      </c>
      <c r="Q125">
        <v>617</v>
      </c>
      <c r="R125">
        <v>589.95000000000005</v>
      </c>
      <c r="S125">
        <v>614.6</v>
      </c>
      <c r="T125">
        <v>616.45000000000005</v>
      </c>
      <c r="U125">
        <v>599.25</v>
      </c>
      <c r="W125">
        <v>614.6</v>
      </c>
      <c r="Z125">
        <v>157929</v>
      </c>
      <c r="AA125">
        <v>95611515.700000003</v>
      </c>
      <c r="AB125">
        <v>10058</v>
      </c>
      <c r="AC125" t="s">
        <v>42</v>
      </c>
      <c r="AD125">
        <v>1</v>
      </c>
    </row>
    <row r="126" spans="1:30">
      <c r="A126" t="str">
        <f>CONCATENATE(I126,J126)</f>
        <v>BSLGOLDETFEQ</v>
      </c>
      <c r="B126" s="34">
        <v>46273</v>
      </c>
      <c r="C126" s="34">
        <v>46273</v>
      </c>
      <c r="D126" t="s">
        <v>35</v>
      </c>
      <c r="E126" t="s">
        <v>36</v>
      </c>
      <c r="F126" t="s">
        <v>37</v>
      </c>
      <c r="G126">
        <v>23804</v>
      </c>
      <c r="H126" t="s">
        <v>423</v>
      </c>
      <c r="I126" t="s">
        <v>424</v>
      </c>
      <c r="J126" t="s">
        <v>161</v>
      </c>
      <c r="O126" t="s">
        <v>425</v>
      </c>
      <c r="P126">
        <v>134.02000000000001</v>
      </c>
      <c r="Q126">
        <v>135.24</v>
      </c>
      <c r="R126">
        <v>133.34</v>
      </c>
      <c r="S126">
        <v>133.97</v>
      </c>
      <c r="T126">
        <v>133.37</v>
      </c>
      <c r="U126">
        <v>133.82</v>
      </c>
      <c r="W126">
        <v>133.97</v>
      </c>
      <c r="Z126">
        <v>592588</v>
      </c>
      <c r="AA126">
        <v>79383406.310000002</v>
      </c>
      <c r="AB126">
        <v>2778</v>
      </c>
      <c r="AC126" t="s">
        <v>42</v>
      </c>
      <c r="AD126">
        <v>1</v>
      </c>
    </row>
    <row r="127" spans="1:30">
      <c r="A127" t="str">
        <f>CONCATENATE(I127,J127)</f>
        <v>BSLNIFTYEQ</v>
      </c>
      <c r="B127" s="34">
        <v>46273</v>
      </c>
      <c r="C127" s="34">
        <v>46273</v>
      </c>
      <c r="D127" t="s">
        <v>35</v>
      </c>
      <c r="E127" t="s">
        <v>36</v>
      </c>
      <c r="F127" t="s">
        <v>37</v>
      </c>
      <c r="G127">
        <v>24781</v>
      </c>
      <c r="H127" t="s">
        <v>426</v>
      </c>
      <c r="I127" t="s">
        <v>427</v>
      </c>
      <c r="J127" t="s">
        <v>161</v>
      </c>
      <c r="O127" t="s">
        <v>428</v>
      </c>
      <c r="P127">
        <v>28.62</v>
      </c>
      <c r="Q127">
        <v>28.62</v>
      </c>
      <c r="R127">
        <v>27.76</v>
      </c>
      <c r="S127">
        <v>27.88</v>
      </c>
      <c r="T127">
        <v>28.2</v>
      </c>
      <c r="U127">
        <v>27.93</v>
      </c>
      <c r="W127">
        <v>27.89</v>
      </c>
      <c r="Z127">
        <v>630053</v>
      </c>
      <c r="AA127">
        <v>17549968.109999999</v>
      </c>
      <c r="AB127">
        <v>3981</v>
      </c>
      <c r="AC127" t="s">
        <v>42</v>
      </c>
      <c r="AD127">
        <v>1</v>
      </c>
    </row>
    <row r="128" spans="1:30">
      <c r="A128" t="str">
        <f>CONCATENATE(I128,J128)</f>
        <v>ADOREQ</v>
      </c>
      <c r="B128" s="34">
        <v>46273</v>
      </c>
      <c r="C128" s="34">
        <v>46273</v>
      </c>
      <c r="D128" t="s">
        <v>35</v>
      </c>
      <c r="E128" t="s">
        <v>36</v>
      </c>
      <c r="F128" t="s">
        <v>37</v>
      </c>
      <c r="G128">
        <v>34</v>
      </c>
      <c r="H128" t="s">
        <v>429</v>
      </c>
      <c r="I128" t="s">
        <v>430</v>
      </c>
      <c r="J128" t="s">
        <v>161</v>
      </c>
      <c r="O128" t="s">
        <v>431</v>
      </c>
      <c r="P128">
        <v>1645</v>
      </c>
      <c r="Q128">
        <v>1650</v>
      </c>
      <c r="R128">
        <v>1600</v>
      </c>
      <c r="S128">
        <v>1626.2</v>
      </c>
      <c r="T128">
        <v>1644.9</v>
      </c>
      <c r="U128">
        <v>1644.1</v>
      </c>
      <c r="W128">
        <v>1626.34</v>
      </c>
      <c r="Z128">
        <v>44887</v>
      </c>
      <c r="AA128">
        <v>72789227.400000006</v>
      </c>
      <c r="AB128">
        <v>5309</v>
      </c>
      <c r="AC128" t="s">
        <v>42</v>
      </c>
      <c r="AD128">
        <v>1</v>
      </c>
    </row>
    <row r="129" spans="1:30">
      <c r="A129" t="str">
        <f>CONCATENATE(I129,J129)</f>
        <v>ADROITINFOEQ</v>
      </c>
      <c r="B129" s="34">
        <v>46273</v>
      </c>
      <c r="C129" s="34">
        <v>46273</v>
      </c>
      <c r="D129" t="s">
        <v>35</v>
      </c>
      <c r="E129" t="s">
        <v>36</v>
      </c>
      <c r="F129" t="s">
        <v>37</v>
      </c>
      <c r="G129">
        <v>4953</v>
      </c>
      <c r="H129" t="s">
        <v>432</v>
      </c>
      <c r="I129" t="s">
        <v>433</v>
      </c>
      <c r="J129" t="s">
        <v>161</v>
      </c>
      <c r="O129" t="s">
        <v>434</v>
      </c>
      <c r="P129">
        <v>10.25</v>
      </c>
      <c r="Q129">
        <v>11.25</v>
      </c>
      <c r="R129">
        <v>9.76</v>
      </c>
      <c r="S129">
        <v>10.63</v>
      </c>
      <c r="T129">
        <v>10.71</v>
      </c>
      <c r="U129">
        <v>10.31</v>
      </c>
      <c r="W129">
        <v>10.63</v>
      </c>
      <c r="Z129">
        <v>123641</v>
      </c>
      <c r="AA129">
        <v>1301291.98</v>
      </c>
      <c r="AB129">
        <v>304</v>
      </c>
      <c r="AC129" t="s">
        <v>42</v>
      </c>
      <c r="AD129">
        <v>1</v>
      </c>
    </row>
    <row r="130" spans="1:30">
      <c r="A130" t="str">
        <f>CONCATENATE(I130,J130)</f>
        <v>ADVAITEQ</v>
      </c>
      <c r="B130" s="34">
        <v>46273</v>
      </c>
      <c r="C130" s="34">
        <v>46273</v>
      </c>
      <c r="D130" t="s">
        <v>35</v>
      </c>
      <c r="E130" t="s">
        <v>36</v>
      </c>
      <c r="F130" t="s">
        <v>37</v>
      </c>
      <c r="G130">
        <v>760657</v>
      </c>
      <c r="H130" t="s">
        <v>435</v>
      </c>
      <c r="I130" t="s">
        <v>436</v>
      </c>
      <c r="J130" t="s">
        <v>161</v>
      </c>
      <c r="O130" t="s">
        <v>437</v>
      </c>
      <c r="P130">
        <v>2111.9</v>
      </c>
      <c r="Q130">
        <v>2172.9</v>
      </c>
      <c r="R130">
        <v>2084.6999999999998</v>
      </c>
      <c r="S130">
        <v>2153.9</v>
      </c>
      <c r="T130">
        <v>2146.8000000000002</v>
      </c>
      <c r="U130">
        <v>2096.4</v>
      </c>
      <c r="W130">
        <v>2153.92</v>
      </c>
      <c r="Z130">
        <v>66017</v>
      </c>
      <c r="AA130">
        <v>141182750.30000001</v>
      </c>
      <c r="AB130">
        <v>8549</v>
      </c>
      <c r="AC130" t="s">
        <v>42</v>
      </c>
      <c r="AD130">
        <v>1</v>
      </c>
    </row>
    <row r="131" spans="1:30">
      <c r="A131" t="str">
        <f>CONCATENATE(I131,J131)</f>
        <v>ADVANCEEQ</v>
      </c>
      <c r="B131" s="34">
        <v>46273</v>
      </c>
      <c r="C131" s="34">
        <v>46273</v>
      </c>
      <c r="D131" t="s">
        <v>35</v>
      </c>
      <c r="E131" t="s">
        <v>36</v>
      </c>
      <c r="F131" t="s">
        <v>37</v>
      </c>
      <c r="G131">
        <v>759402</v>
      </c>
      <c r="H131" t="s">
        <v>438</v>
      </c>
      <c r="I131" t="s">
        <v>439</v>
      </c>
      <c r="J131" t="s">
        <v>161</v>
      </c>
      <c r="O131" t="s">
        <v>440</v>
      </c>
      <c r="P131">
        <v>118.14</v>
      </c>
      <c r="Q131">
        <v>118.14</v>
      </c>
      <c r="R131">
        <v>114.58</v>
      </c>
      <c r="S131">
        <v>115.53</v>
      </c>
      <c r="T131">
        <v>115.61</v>
      </c>
      <c r="U131">
        <v>116.43</v>
      </c>
      <c r="W131">
        <v>115.52</v>
      </c>
      <c r="Z131">
        <v>79416</v>
      </c>
      <c r="AA131">
        <v>9196357.8499999996</v>
      </c>
      <c r="AB131">
        <v>1340</v>
      </c>
      <c r="AC131" t="s">
        <v>42</v>
      </c>
      <c r="AD131">
        <v>1</v>
      </c>
    </row>
    <row r="132" spans="1:30">
      <c r="A132" t="str">
        <f>CONCATENATE(I132,J132)</f>
        <v>ADVENZYMESEQ</v>
      </c>
      <c r="B132" s="34">
        <v>46273</v>
      </c>
      <c r="C132" s="34">
        <v>46273</v>
      </c>
      <c r="D132" t="s">
        <v>35</v>
      </c>
      <c r="E132" t="s">
        <v>36</v>
      </c>
      <c r="F132" t="s">
        <v>37</v>
      </c>
      <c r="G132">
        <v>18039</v>
      </c>
      <c r="H132" t="s">
        <v>441</v>
      </c>
      <c r="I132" t="s">
        <v>442</v>
      </c>
      <c r="J132" t="s">
        <v>161</v>
      </c>
      <c r="O132" t="s">
        <v>443</v>
      </c>
      <c r="P132">
        <v>297.75</v>
      </c>
      <c r="Q132">
        <v>301.75</v>
      </c>
      <c r="R132">
        <v>296.3</v>
      </c>
      <c r="S132">
        <v>298.85000000000002</v>
      </c>
      <c r="T132">
        <v>297.14999999999998</v>
      </c>
      <c r="U132">
        <v>297.85000000000002</v>
      </c>
      <c r="W132">
        <v>298.86</v>
      </c>
      <c r="Z132">
        <v>180305</v>
      </c>
      <c r="AA132">
        <v>54008038.549999997</v>
      </c>
      <c r="AB132">
        <v>4170</v>
      </c>
      <c r="AC132" t="s">
        <v>42</v>
      </c>
      <c r="AD132">
        <v>1</v>
      </c>
    </row>
    <row r="133" spans="1:30">
      <c r="A133" t="str">
        <f>CONCATENATE(I133,J133)</f>
        <v>ADVANIHOTREQ</v>
      </c>
      <c r="B133" s="34">
        <v>46273</v>
      </c>
      <c r="C133" s="34">
        <v>46273</v>
      </c>
      <c r="D133" t="s">
        <v>35</v>
      </c>
      <c r="E133" t="s">
        <v>36</v>
      </c>
      <c r="F133" t="s">
        <v>37</v>
      </c>
      <c r="G133">
        <v>14745</v>
      </c>
      <c r="H133" t="s">
        <v>444</v>
      </c>
      <c r="I133" t="s">
        <v>445</v>
      </c>
      <c r="J133" t="s">
        <v>161</v>
      </c>
      <c r="O133" t="s">
        <v>446</v>
      </c>
      <c r="P133">
        <v>49.8</v>
      </c>
      <c r="Q133">
        <v>49.8</v>
      </c>
      <c r="R133">
        <v>49</v>
      </c>
      <c r="S133">
        <v>49.14</v>
      </c>
      <c r="T133">
        <v>49.3</v>
      </c>
      <c r="U133">
        <v>49.12</v>
      </c>
      <c r="W133">
        <v>49.14</v>
      </c>
      <c r="Z133">
        <v>27336</v>
      </c>
      <c r="AA133">
        <v>1343160.93</v>
      </c>
      <c r="AB133">
        <v>378</v>
      </c>
      <c r="AC133" t="s">
        <v>42</v>
      </c>
      <c r="AD133">
        <v>1</v>
      </c>
    </row>
    <row r="134" spans="1:30">
      <c r="A134" t="str">
        <f>CONCATENATE(I134,J134)</f>
        <v>ADVENTHTLEQ</v>
      </c>
      <c r="B134" s="34">
        <v>46273</v>
      </c>
      <c r="C134" s="34">
        <v>46273</v>
      </c>
      <c r="D134" t="s">
        <v>35</v>
      </c>
      <c r="E134" t="s">
        <v>36</v>
      </c>
      <c r="F134" t="s">
        <v>37</v>
      </c>
      <c r="G134">
        <v>759769</v>
      </c>
      <c r="H134" t="s">
        <v>447</v>
      </c>
      <c r="I134" t="s">
        <v>448</v>
      </c>
      <c r="J134" t="s">
        <v>161</v>
      </c>
      <c r="O134" t="s">
        <v>449</v>
      </c>
      <c r="P134">
        <v>132.19</v>
      </c>
      <c r="Q134">
        <v>134.24</v>
      </c>
      <c r="R134">
        <v>129</v>
      </c>
      <c r="S134">
        <v>132.78</v>
      </c>
      <c r="T134">
        <v>132.4</v>
      </c>
      <c r="U134">
        <v>133.19</v>
      </c>
      <c r="W134">
        <v>132.76</v>
      </c>
      <c r="Z134">
        <v>300842</v>
      </c>
      <c r="AA134">
        <v>39633792.799999997</v>
      </c>
      <c r="AB134">
        <v>4012</v>
      </c>
      <c r="AC134" t="s">
        <v>42</v>
      </c>
      <c r="AD134">
        <v>1</v>
      </c>
    </row>
    <row r="135" spans="1:30">
      <c r="A135" t="str">
        <f>CONCATENATE(I135,J135)</f>
        <v>ADVIKCAEQ</v>
      </c>
      <c r="B135" s="34">
        <v>46273</v>
      </c>
      <c r="C135" s="34">
        <v>46273</v>
      </c>
      <c r="D135" t="s">
        <v>35</v>
      </c>
      <c r="E135" t="s">
        <v>36</v>
      </c>
      <c r="F135" t="s">
        <v>37</v>
      </c>
      <c r="G135">
        <v>765015</v>
      </c>
      <c r="H135" t="s">
        <v>450</v>
      </c>
      <c r="I135" t="s">
        <v>451</v>
      </c>
      <c r="J135" t="s">
        <v>161</v>
      </c>
      <c r="O135" t="s">
        <v>452</v>
      </c>
      <c r="P135">
        <v>1.1000000000000001</v>
      </c>
      <c r="Q135">
        <v>1.1000000000000001</v>
      </c>
      <c r="R135">
        <v>1.06</v>
      </c>
      <c r="S135">
        <v>1.07</v>
      </c>
      <c r="T135">
        <v>1.0900000000000001</v>
      </c>
      <c r="U135">
        <v>1.1000000000000001</v>
      </c>
      <c r="W135">
        <v>1.07</v>
      </c>
      <c r="Z135">
        <v>819602</v>
      </c>
      <c r="AA135">
        <v>884290.88</v>
      </c>
      <c r="AB135">
        <v>403</v>
      </c>
      <c r="AC135" t="s">
        <v>42</v>
      </c>
      <c r="AD135">
        <v>1</v>
      </c>
    </row>
    <row r="136" spans="1:30">
      <c r="A136" t="str">
        <f>CONCATENATE(I136,J136)</f>
        <v>RAMBHAJOEQ</v>
      </c>
      <c r="B136" s="34">
        <v>46273</v>
      </c>
      <c r="C136" s="34">
        <v>46273</v>
      </c>
      <c r="D136" t="s">
        <v>35</v>
      </c>
      <c r="E136" t="s">
        <v>36</v>
      </c>
      <c r="F136" t="s">
        <v>37</v>
      </c>
      <c r="G136">
        <v>762227</v>
      </c>
      <c r="H136" t="s">
        <v>453</v>
      </c>
      <c r="I136" t="s">
        <v>454</v>
      </c>
      <c r="J136" t="s">
        <v>161</v>
      </c>
      <c r="O136" t="s">
        <v>455</v>
      </c>
      <c r="P136">
        <v>273.01</v>
      </c>
      <c r="Q136">
        <v>283.95</v>
      </c>
      <c r="R136">
        <v>266.94</v>
      </c>
      <c r="S136">
        <v>275.04000000000002</v>
      </c>
      <c r="T136">
        <v>274</v>
      </c>
      <c r="U136">
        <v>276.32</v>
      </c>
      <c r="W136">
        <v>275.08</v>
      </c>
      <c r="Z136">
        <v>848380</v>
      </c>
      <c r="AA136">
        <v>233616299.43000001</v>
      </c>
      <c r="AB136">
        <v>13698</v>
      </c>
      <c r="AC136" t="s">
        <v>42</v>
      </c>
      <c r="AD136">
        <v>1</v>
      </c>
    </row>
    <row r="137" spans="1:30">
      <c r="A137" t="str">
        <f>CONCATENATE(I137,J137)</f>
        <v>AEGISLOGEQ</v>
      </c>
      <c r="B137" s="34">
        <v>46273</v>
      </c>
      <c r="C137" s="34">
        <v>46273</v>
      </c>
      <c r="D137" t="s">
        <v>35</v>
      </c>
      <c r="E137" t="s">
        <v>36</v>
      </c>
      <c r="F137" t="s">
        <v>37</v>
      </c>
      <c r="G137">
        <v>40</v>
      </c>
      <c r="H137" t="s">
        <v>456</v>
      </c>
      <c r="I137" t="s">
        <v>457</v>
      </c>
      <c r="J137" t="s">
        <v>161</v>
      </c>
      <c r="O137" t="s">
        <v>458</v>
      </c>
      <c r="P137">
        <v>1253.8</v>
      </c>
      <c r="Q137">
        <v>1273.9000000000001</v>
      </c>
      <c r="R137">
        <v>1232</v>
      </c>
      <c r="S137">
        <v>1268.0999999999999</v>
      </c>
      <c r="T137">
        <v>1266.2</v>
      </c>
      <c r="U137">
        <v>1253.7</v>
      </c>
      <c r="W137">
        <v>1268.0999999999999</v>
      </c>
      <c r="Z137">
        <v>316136</v>
      </c>
      <c r="AA137">
        <v>396159422.60000002</v>
      </c>
      <c r="AB137">
        <v>21175</v>
      </c>
      <c r="AC137" t="s">
        <v>42</v>
      </c>
      <c r="AD137">
        <v>1</v>
      </c>
    </row>
    <row r="138" spans="1:30">
      <c r="A138" t="str">
        <f>CONCATENATE(I138,J138)</f>
        <v>AEGISVOPAKEQ</v>
      </c>
      <c r="B138" s="34">
        <v>46273</v>
      </c>
      <c r="C138" s="34">
        <v>46273</v>
      </c>
      <c r="D138" t="s">
        <v>35</v>
      </c>
      <c r="E138" t="s">
        <v>36</v>
      </c>
      <c r="F138" t="s">
        <v>37</v>
      </c>
      <c r="G138">
        <v>757336</v>
      </c>
      <c r="H138" t="s">
        <v>459</v>
      </c>
      <c r="I138" t="s">
        <v>460</v>
      </c>
      <c r="J138" t="s">
        <v>161</v>
      </c>
      <c r="O138" t="s">
        <v>461</v>
      </c>
      <c r="P138">
        <v>285</v>
      </c>
      <c r="Q138">
        <v>291.8</v>
      </c>
      <c r="R138">
        <v>284</v>
      </c>
      <c r="S138">
        <v>290.64999999999998</v>
      </c>
      <c r="T138">
        <v>291</v>
      </c>
      <c r="U138">
        <v>285.35000000000002</v>
      </c>
      <c r="W138">
        <v>290.64</v>
      </c>
      <c r="Z138">
        <v>584529</v>
      </c>
      <c r="AA138">
        <v>168480204.44999999</v>
      </c>
      <c r="AB138">
        <v>11491</v>
      </c>
      <c r="AC138" t="s">
        <v>42</v>
      </c>
      <c r="AD138">
        <v>1</v>
      </c>
    </row>
    <row r="139" spans="1:30">
      <c r="A139" t="str">
        <f>CONCATENATE(I139,J139)</f>
        <v>AEL170725ANG</v>
      </c>
      <c r="B139" s="34">
        <v>46273</v>
      </c>
      <c r="C139" s="34">
        <v>46273</v>
      </c>
      <c r="D139" t="s">
        <v>35</v>
      </c>
      <c r="E139" t="s">
        <v>36</v>
      </c>
      <c r="F139" t="s">
        <v>37</v>
      </c>
      <c r="G139">
        <v>757876</v>
      </c>
      <c r="H139" t="s">
        <v>462</v>
      </c>
      <c r="I139" t="s">
        <v>463</v>
      </c>
      <c r="J139" t="s">
        <v>464</v>
      </c>
      <c r="O139" t="s">
        <v>465</v>
      </c>
      <c r="P139">
        <v>1110</v>
      </c>
      <c r="Q139">
        <v>1118.8800000000001</v>
      </c>
      <c r="R139">
        <v>1110</v>
      </c>
      <c r="S139">
        <v>1118.8800000000001</v>
      </c>
      <c r="T139">
        <v>1118.8800000000001</v>
      </c>
      <c r="U139">
        <v>1110</v>
      </c>
      <c r="W139">
        <v>1118.8800000000001</v>
      </c>
      <c r="Z139">
        <v>9</v>
      </c>
      <c r="AA139">
        <v>9998.8799999999992</v>
      </c>
      <c r="AB139">
        <v>2</v>
      </c>
      <c r="AC139" t="s">
        <v>42</v>
      </c>
      <c r="AD139">
        <v>1</v>
      </c>
    </row>
    <row r="140" spans="1:30">
      <c r="A140" t="str">
        <f>CONCATENATE(I140,J140)</f>
        <v>860AEL28NH</v>
      </c>
      <c r="B140" s="34">
        <v>46273</v>
      </c>
      <c r="C140" s="34">
        <v>46273</v>
      </c>
      <c r="D140" t="s">
        <v>35</v>
      </c>
      <c r="E140" t="s">
        <v>36</v>
      </c>
      <c r="F140" t="s">
        <v>37</v>
      </c>
      <c r="G140">
        <v>761340</v>
      </c>
      <c r="H140" t="s">
        <v>466</v>
      </c>
      <c r="I140" t="s">
        <v>467</v>
      </c>
      <c r="J140" t="s">
        <v>468</v>
      </c>
      <c r="O140" t="s">
        <v>469</v>
      </c>
      <c r="P140">
        <v>1060</v>
      </c>
      <c r="Q140">
        <v>1060</v>
      </c>
      <c r="R140">
        <v>1050</v>
      </c>
      <c r="S140">
        <v>1050</v>
      </c>
      <c r="T140">
        <v>1050</v>
      </c>
      <c r="U140">
        <v>1060</v>
      </c>
      <c r="W140">
        <v>1050</v>
      </c>
      <c r="Z140">
        <v>71</v>
      </c>
      <c r="AA140">
        <v>75130</v>
      </c>
      <c r="AB140">
        <v>3</v>
      </c>
      <c r="AC140" t="s">
        <v>42</v>
      </c>
      <c r="AD140">
        <v>1</v>
      </c>
    </row>
    <row r="141" spans="1:30">
      <c r="A141" t="str">
        <f>CONCATENATE(I141,J141)</f>
        <v>875AEL29NK</v>
      </c>
      <c r="B141" s="34">
        <v>46273</v>
      </c>
      <c r="C141" s="34">
        <v>46273</v>
      </c>
      <c r="D141" t="s">
        <v>35</v>
      </c>
      <c r="E141" t="s">
        <v>36</v>
      </c>
      <c r="F141" t="s">
        <v>37</v>
      </c>
      <c r="G141">
        <v>761343</v>
      </c>
      <c r="H141" t="s">
        <v>470</v>
      </c>
      <c r="I141" t="s">
        <v>471</v>
      </c>
      <c r="J141" t="s">
        <v>472</v>
      </c>
      <c r="O141" t="s">
        <v>473</v>
      </c>
      <c r="P141">
        <v>1063</v>
      </c>
      <c r="Q141">
        <v>1063</v>
      </c>
      <c r="R141">
        <v>1049</v>
      </c>
      <c r="S141">
        <v>1051</v>
      </c>
      <c r="T141">
        <v>1051</v>
      </c>
      <c r="U141">
        <v>1053</v>
      </c>
      <c r="W141">
        <v>1057</v>
      </c>
      <c r="Z141">
        <v>65</v>
      </c>
      <c r="AA141">
        <v>68663</v>
      </c>
      <c r="AB141">
        <v>5</v>
      </c>
      <c r="AC141" t="s">
        <v>42</v>
      </c>
      <c r="AD141">
        <v>1</v>
      </c>
    </row>
    <row r="142" spans="1:30">
      <c r="A142" t="str">
        <f>CONCATENATE(I142,J142)</f>
        <v>890AEL31NN</v>
      </c>
      <c r="B142" s="34">
        <v>46273</v>
      </c>
      <c r="C142" s="34">
        <v>46273</v>
      </c>
      <c r="D142" t="s">
        <v>35</v>
      </c>
      <c r="E142" t="s">
        <v>36</v>
      </c>
      <c r="F142" t="s">
        <v>37</v>
      </c>
      <c r="G142">
        <v>761346</v>
      </c>
      <c r="H142" t="s">
        <v>474</v>
      </c>
      <c r="I142" t="s">
        <v>475</v>
      </c>
      <c r="J142" t="s">
        <v>476</v>
      </c>
      <c r="O142" t="s">
        <v>477</v>
      </c>
      <c r="P142">
        <v>1055</v>
      </c>
      <c r="Q142">
        <v>1056</v>
      </c>
      <c r="R142">
        <v>1054</v>
      </c>
      <c r="S142">
        <v>1054</v>
      </c>
      <c r="T142">
        <v>1054</v>
      </c>
      <c r="U142">
        <v>1054.1400000000001</v>
      </c>
      <c r="W142">
        <v>1053.03</v>
      </c>
      <c r="Z142">
        <v>11</v>
      </c>
      <c r="AA142">
        <v>11597</v>
      </c>
      <c r="AB142">
        <v>4</v>
      </c>
      <c r="AC142" t="s">
        <v>42</v>
      </c>
      <c r="AD142">
        <v>1</v>
      </c>
    </row>
    <row r="143" spans="1:30">
      <c r="A143" t="str">
        <f>CONCATENATE(I143,J143)</f>
        <v>930AEL30NF</v>
      </c>
      <c r="B143" s="34">
        <v>46273</v>
      </c>
      <c r="C143" s="34">
        <v>46273</v>
      </c>
      <c r="D143" t="s">
        <v>35</v>
      </c>
      <c r="E143" t="s">
        <v>36</v>
      </c>
      <c r="F143" t="s">
        <v>37</v>
      </c>
      <c r="G143">
        <v>757875</v>
      </c>
      <c r="H143" t="s">
        <v>478</v>
      </c>
      <c r="I143" t="s">
        <v>479</v>
      </c>
      <c r="J143" t="s">
        <v>480</v>
      </c>
      <c r="O143" t="s">
        <v>481</v>
      </c>
      <c r="P143">
        <v>1039.99</v>
      </c>
      <c r="Q143">
        <v>1039.99</v>
      </c>
      <c r="R143">
        <v>1036</v>
      </c>
      <c r="S143">
        <v>1036</v>
      </c>
      <c r="T143">
        <v>1036</v>
      </c>
      <c r="U143">
        <v>1045</v>
      </c>
      <c r="W143">
        <v>1036</v>
      </c>
      <c r="Z143">
        <v>78</v>
      </c>
      <c r="AA143">
        <v>80919.72</v>
      </c>
      <c r="AB143">
        <v>3</v>
      </c>
      <c r="AC143" t="s">
        <v>42</v>
      </c>
      <c r="AD143">
        <v>1</v>
      </c>
    </row>
    <row r="144" spans="1:30">
      <c r="A144" t="str">
        <f>CONCATENATE(I144,J144)</f>
        <v>AEQUSEQ</v>
      </c>
      <c r="B144" s="34">
        <v>46273</v>
      </c>
      <c r="C144" s="34">
        <v>46273</v>
      </c>
      <c r="D144" t="s">
        <v>35</v>
      </c>
      <c r="E144" t="s">
        <v>36</v>
      </c>
      <c r="F144" t="s">
        <v>37</v>
      </c>
      <c r="G144">
        <v>760234</v>
      </c>
      <c r="H144" t="s">
        <v>482</v>
      </c>
      <c r="I144" t="s">
        <v>483</v>
      </c>
      <c r="J144" t="s">
        <v>161</v>
      </c>
      <c r="O144" t="s">
        <v>484</v>
      </c>
      <c r="P144">
        <v>233.86</v>
      </c>
      <c r="Q144">
        <v>239.75</v>
      </c>
      <c r="R144">
        <v>229.7</v>
      </c>
      <c r="S144">
        <v>231.9</v>
      </c>
      <c r="T144">
        <v>232</v>
      </c>
      <c r="U144">
        <v>233.86</v>
      </c>
      <c r="W144">
        <v>231.93</v>
      </c>
      <c r="Z144">
        <v>2864307</v>
      </c>
      <c r="AA144">
        <v>670425450.88999999</v>
      </c>
      <c r="AB144">
        <v>53969</v>
      </c>
      <c r="AC144" t="s">
        <v>42</v>
      </c>
      <c r="AD144">
        <v>1</v>
      </c>
    </row>
    <row r="145" spans="1:30">
      <c r="A145" t="str">
        <f>CONCATENATE(I145,J145)</f>
        <v>AEROENTEREQ</v>
      </c>
      <c r="B145" s="34">
        <v>46273</v>
      </c>
      <c r="C145" s="34">
        <v>46273</v>
      </c>
      <c r="D145" t="s">
        <v>35</v>
      </c>
      <c r="E145" t="s">
        <v>36</v>
      </c>
      <c r="F145" t="s">
        <v>37</v>
      </c>
      <c r="G145">
        <v>12015</v>
      </c>
      <c r="H145" t="s">
        <v>485</v>
      </c>
      <c r="I145" t="s">
        <v>486</v>
      </c>
      <c r="J145" t="s">
        <v>161</v>
      </c>
      <c r="O145" t="s">
        <v>487</v>
      </c>
      <c r="P145">
        <v>157</v>
      </c>
      <c r="Q145">
        <v>159.6</v>
      </c>
      <c r="R145">
        <v>150.25</v>
      </c>
      <c r="S145">
        <v>152.65</v>
      </c>
      <c r="T145">
        <v>151.52000000000001</v>
      </c>
      <c r="U145">
        <v>154.72999999999999</v>
      </c>
      <c r="W145">
        <v>152.66999999999999</v>
      </c>
      <c r="Z145">
        <v>1601272</v>
      </c>
      <c r="AA145">
        <v>247963676.72999999</v>
      </c>
      <c r="AB145">
        <v>18337</v>
      </c>
      <c r="AC145" t="s">
        <v>42</v>
      </c>
      <c r="AD145">
        <v>1</v>
      </c>
    </row>
    <row r="146" spans="1:30">
      <c r="A146" t="str">
        <f>CONCATENATE(I146,J146)</f>
        <v>AEROFLEXEQ</v>
      </c>
      <c r="B146" s="34">
        <v>46273</v>
      </c>
      <c r="C146" s="34">
        <v>46273</v>
      </c>
      <c r="D146" t="s">
        <v>35</v>
      </c>
      <c r="E146" t="s">
        <v>36</v>
      </c>
      <c r="F146" t="s">
        <v>37</v>
      </c>
      <c r="G146">
        <v>18268</v>
      </c>
      <c r="H146" t="s">
        <v>488</v>
      </c>
      <c r="I146" t="s">
        <v>489</v>
      </c>
      <c r="J146" t="s">
        <v>161</v>
      </c>
      <c r="O146" t="s">
        <v>490</v>
      </c>
      <c r="P146">
        <v>561.65</v>
      </c>
      <c r="Q146">
        <v>584.15</v>
      </c>
      <c r="R146">
        <v>545.1</v>
      </c>
      <c r="S146">
        <v>573.5</v>
      </c>
      <c r="T146">
        <v>573</v>
      </c>
      <c r="U146">
        <v>558.15</v>
      </c>
      <c r="W146">
        <v>573.47</v>
      </c>
      <c r="Z146">
        <v>1971688</v>
      </c>
      <c r="AA146">
        <v>1119100768.7</v>
      </c>
      <c r="AB146">
        <v>48384</v>
      </c>
      <c r="AC146" t="s">
        <v>42</v>
      </c>
      <c r="AD146">
        <v>1</v>
      </c>
    </row>
    <row r="147" spans="1:30">
      <c r="A147" t="str">
        <f>CONCATENATE(I147,J147)</f>
        <v>AERONEUEQ</v>
      </c>
      <c r="B147" s="34">
        <v>46273</v>
      </c>
      <c r="C147" s="34">
        <v>46273</v>
      </c>
      <c r="D147" t="s">
        <v>35</v>
      </c>
      <c r="E147" t="s">
        <v>36</v>
      </c>
      <c r="F147" t="s">
        <v>37</v>
      </c>
      <c r="G147">
        <v>13689</v>
      </c>
      <c r="H147" t="s">
        <v>491</v>
      </c>
      <c r="I147" t="s">
        <v>492</v>
      </c>
      <c r="J147" t="s">
        <v>161</v>
      </c>
      <c r="O147" t="s">
        <v>493</v>
      </c>
      <c r="P147">
        <v>76</v>
      </c>
      <c r="Q147">
        <v>78</v>
      </c>
      <c r="R147">
        <v>73.25</v>
      </c>
      <c r="S147">
        <v>74.13</v>
      </c>
      <c r="T147">
        <v>73.989999999999995</v>
      </c>
      <c r="U147">
        <v>77.28</v>
      </c>
      <c r="W147">
        <v>74.12</v>
      </c>
      <c r="Z147">
        <v>46937</v>
      </c>
      <c r="AA147">
        <v>3567772.29</v>
      </c>
      <c r="AB147">
        <v>976</v>
      </c>
      <c r="AC147" t="s">
        <v>42</v>
      </c>
      <c r="AD147">
        <v>1</v>
      </c>
    </row>
    <row r="148" spans="1:30">
      <c r="A148" t="str">
        <f>CONCATENATE(I148,J148)</f>
        <v>AERONSM</v>
      </c>
      <c r="B148" s="34">
        <v>46273</v>
      </c>
      <c r="C148" s="34">
        <v>46273</v>
      </c>
      <c r="D148" t="s">
        <v>35</v>
      </c>
      <c r="E148" t="s">
        <v>36</v>
      </c>
      <c r="F148" t="s">
        <v>37</v>
      </c>
      <c r="G148">
        <v>25065</v>
      </c>
      <c r="H148" t="s">
        <v>494</v>
      </c>
      <c r="I148" t="s">
        <v>495</v>
      </c>
      <c r="J148" t="s">
        <v>267</v>
      </c>
      <c r="O148" t="s">
        <v>496</v>
      </c>
      <c r="P148">
        <v>83</v>
      </c>
      <c r="Q148">
        <v>83</v>
      </c>
      <c r="R148">
        <v>80.2</v>
      </c>
      <c r="S148">
        <v>80.2</v>
      </c>
      <c r="T148">
        <v>80.2</v>
      </c>
      <c r="U148">
        <v>84.95</v>
      </c>
      <c r="W148">
        <v>80.2</v>
      </c>
      <c r="Z148">
        <v>2000</v>
      </c>
      <c r="AA148">
        <v>163200</v>
      </c>
      <c r="AB148">
        <v>2</v>
      </c>
      <c r="AC148" t="s">
        <v>42</v>
      </c>
      <c r="AD148">
        <v>1000</v>
      </c>
    </row>
    <row r="149" spans="1:30">
      <c r="A149" t="str">
        <f>CONCATENATE(I149,J149)</f>
        <v>AESTHETIKSM</v>
      </c>
      <c r="B149" s="34">
        <v>46273</v>
      </c>
      <c r="C149" s="34">
        <v>46273</v>
      </c>
      <c r="D149" t="s">
        <v>35</v>
      </c>
      <c r="E149" t="s">
        <v>36</v>
      </c>
      <c r="F149" t="s">
        <v>37</v>
      </c>
      <c r="G149">
        <v>24830</v>
      </c>
      <c r="H149" t="s">
        <v>497</v>
      </c>
      <c r="I149" t="s">
        <v>498</v>
      </c>
      <c r="J149" t="s">
        <v>267</v>
      </c>
      <c r="O149" t="s">
        <v>499</v>
      </c>
      <c r="P149">
        <v>70</v>
      </c>
      <c r="Q149">
        <v>70.5</v>
      </c>
      <c r="R149">
        <v>69.05</v>
      </c>
      <c r="S149">
        <v>69.05</v>
      </c>
      <c r="T149">
        <v>69.05</v>
      </c>
      <c r="U149">
        <v>70</v>
      </c>
      <c r="W149">
        <v>69.05</v>
      </c>
      <c r="Z149">
        <v>4000</v>
      </c>
      <c r="AA149">
        <v>280050</v>
      </c>
      <c r="AB149">
        <v>4</v>
      </c>
      <c r="AC149" t="s">
        <v>42</v>
      </c>
      <c r="AD149">
        <v>1000</v>
      </c>
    </row>
    <row r="150" spans="1:30">
      <c r="A150" t="str">
        <f>CONCATENATE(I150,J150)</f>
        <v>AETHEREQ</v>
      </c>
      <c r="B150" s="34">
        <v>46273</v>
      </c>
      <c r="C150" s="34">
        <v>46273</v>
      </c>
      <c r="D150" t="s">
        <v>35</v>
      </c>
      <c r="E150" t="s">
        <v>36</v>
      </c>
      <c r="F150" t="s">
        <v>37</v>
      </c>
      <c r="G150">
        <v>9810</v>
      </c>
      <c r="H150" t="s">
        <v>500</v>
      </c>
      <c r="I150" t="s">
        <v>501</v>
      </c>
      <c r="J150" t="s">
        <v>161</v>
      </c>
      <c r="O150" t="s">
        <v>502</v>
      </c>
      <c r="P150">
        <v>1622</v>
      </c>
      <c r="Q150">
        <v>1647.6</v>
      </c>
      <c r="R150">
        <v>1592.6</v>
      </c>
      <c r="S150">
        <v>1642.9</v>
      </c>
      <c r="T150">
        <v>1631.6</v>
      </c>
      <c r="U150">
        <v>1619.5</v>
      </c>
      <c r="W150">
        <v>1642.91</v>
      </c>
      <c r="Z150">
        <v>130630</v>
      </c>
      <c r="AA150">
        <v>211846030.5</v>
      </c>
      <c r="AB150">
        <v>18888</v>
      </c>
      <c r="AC150" t="s">
        <v>42</v>
      </c>
      <c r="AD150">
        <v>1</v>
      </c>
    </row>
    <row r="151" spans="1:30">
      <c r="A151" t="str">
        <f>CONCATENATE(I151,J151)</f>
        <v>AFCONSEQ</v>
      </c>
      <c r="B151" s="34">
        <v>46273</v>
      </c>
      <c r="C151" s="34">
        <v>46273</v>
      </c>
      <c r="D151" t="s">
        <v>35</v>
      </c>
      <c r="E151" t="s">
        <v>36</v>
      </c>
      <c r="F151" t="s">
        <v>37</v>
      </c>
      <c r="G151">
        <v>25977</v>
      </c>
      <c r="H151" t="s">
        <v>503</v>
      </c>
      <c r="I151" t="s">
        <v>504</v>
      </c>
      <c r="J151" t="s">
        <v>161</v>
      </c>
      <c r="O151" t="s">
        <v>505</v>
      </c>
      <c r="P151">
        <v>292.05</v>
      </c>
      <c r="Q151">
        <v>294.75</v>
      </c>
      <c r="R151">
        <v>279.35000000000002</v>
      </c>
      <c r="S151">
        <v>280.25</v>
      </c>
      <c r="T151">
        <v>280.60000000000002</v>
      </c>
      <c r="U151">
        <v>293.2</v>
      </c>
      <c r="W151">
        <v>280.25</v>
      </c>
      <c r="Z151">
        <v>828684</v>
      </c>
      <c r="AA151">
        <v>235587886.5</v>
      </c>
      <c r="AB151">
        <v>18009</v>
      </c>
      <c r="AC151" t="s">
        <v>42</v>
      </c>
      <c r="AD151">
        <v>1</v>
      </c>
    </row>
    <row r="152" spans="1:30">
      <c r="A152" t="str">
        <f>CONCATENATE(I152,J152)</f>
        <v>AFFLEEQ</v>
      </c>
      <c r="B152" s="34">
        <v>46273</v>
      </c>
      <c r="C152" s="34">
        <v>46273</v>
      </c>
      <c r="D152" t="s">
        <v>35</v>
      </c>
      <c r="E152" t="s">
        <v>36</v>
      </c>
      <c r="F152" t="s">
        <v>37</v>
      </c>
      <c r="G152">
        <v>11343</v>
      </c>
      <c r="H152" t="s">
        <v>506</v>
      </c>
      <c r="I152" t="s">
        <v>507</v>
      </c>
      <c r="J152" t="s">
        <v>161</v>
      </c>
      <c r="O152" t="s">
        <v>508</v>
      </c>
      <c r="P152">
        <v>1622.2</v>
      </c>
      <c r="Q152">
        <v>1647.7</v>
      </c>
      <c r="R152">
        <v>1593.1</v>
      </c>
      <c r="S152">
        <v>1609.4</v>
      </c>
      <c r="T152">
        <v>1612</v>
      </c>
      <c r="U152">
        <v>1623.2</v>
      </c>
      <c r="W152">
        <v>1609.43</v>
      </c>
      <c r="Z152">
        <v>146367</v>
      </c>
      <c r="AA152">
        <v>236753759.80000001</v>
      </c>
      <c r="AB152">
        <v>15952</v>
      </c>
      <c r="AC152" t="s">
        <v>42</v>
      </c>
      <c r="AD152">
        <v>1</v>
      </c>
    </row>
    <row r="153" spans="1:30">
      <c r="A153" t="str">
        <f>CONCATENATE(I153,J153)</f>
        <v>AFFORDABLEEQ</v>
      </c>
      <c r="B153" s="34">
        <v>46273</v>
      </c>
      <c r="C153" s="34">
        <v>46273</v>
      </c>
      <c r="D153" t="s">
        <v>35</v>
      </c>
      <c r="E153" t="s">
        <v>36</v>
      </c>
      <c r="F153" t="s">
        <v>37</v>
      </c>
      <c r="G153">
        <v>25855</v>
      </c>
      <c r="H153" t="s">
        <v>509</v>
      </c>
      <c r="I153" t="s">
        <v>510</v>
      </c>
      <c r="J153" t="s">
        <v>161</v>
      </c>
      <c r="O153" t="s">
        <v>511</v>
      </c>
      <c r="P153">
        <v>160.55000000000001</v>
      </c>
      <c r="Q153">
        <v>168.03</v>
      </c>
      <c r="R153">
        <v>159.32</v>
      </c>
      <c r="S153">
        <v>164.23</v>
      </c>
      <c r="T153">
        <v>162</v>
      </c>
      <c r="U153">
        <v>160.03</v>
      </c>
      <c r="W153">
        <v>164.22</v>
      </c>
      <c r="Z153">
        <v>38881</v>
      </c>
      <c r="AA153">
        <v>6389812.8799999999</v>
      </c>
      <c r="AB153">
        <v>864</v>
      </c>
      <c r="AC153" t="s">
        <v>42</v>
      </c>
      <c r="AD153">
        <v>1</v>
      </c>
    </row>
    <row r="154" spans="1:30">
      <c r="A154" t="str">
        <f>CONCATENATE(I154,J154)</f>
        <v>1125AFIL29N0</v>
      </c>
      <c r="B154" s="34">
        <v>46273</v>
      </c>
      <c r="C154" s="34">
        <v>46273</v>
      </c>
      <c r="D154" t="s">
        <v>35</v>
      </c>
      <c r="E154" t="s">
        <v>36</v>
      </c>
      <c r="F154" t="s">
        <v>37</v>
      </c>
      <c r="G154">
        <v>763044</v>
      </c>
      <c r="H154" t="s">
        <v>512</v>
      </c>
      <c r="I154" t="s">
        <v>513</v>
      </c>
      <c r="J154" t="s">
        <v>514</v>
      </c>
      <c r="O154" t="s">
        <v>515</v>
      </c>
      <c r="P154">
        <v>9815.81</v>
      </c>
      <c r="Q154">
        <v>9815.81</v>
      </c>
      <c r="R154">
        <v>9815.81</v>
      </c>
      <c r="S154">
        <v>9815.81</v>
      </c>
      <c r="T154">
        <v>9815.81</v>
      </c>
      <c r="U154">
        <v>9813</v>
      </c>
      <c r="W154">
        <v>9815.81</v>
      </c>
      <c r="Z154">
        <v>2</v>
      </c>
      <c r="AA154">
        <v>19631.62</v>
      </c>
      <c r="AB154">
        <v>1</v>
      </c>
      <c r="AC154" t="s">
        <v>42</v>
      </c>
      <c r="AD154">
        <v>1</v>
      </c>
    </row>
    <row r="155" spans="1:30">
      <c r="A155" t="str">
        <f>CONCATENATE(I155,J155)</f>
        <v>12AFIL27AN0</v>
      </c>
      <c r="B155" s="34">
        <v>46273</v>
      </c>
      <c r="C155" s="34">
        <v>46273</v>
      </c>
      <c r="D155" t="s">
        <v>35</v>
      </c>
      <c r="E155" t="s">
        <v>36</v>
      </c>
      <c r="F155" t="s">
        <v>37</v>
      </c>
      <c r="G155">
        <v>759098</v>
      </c>
      <c r="H155" t="s">
        <v>516</v>
      </c>
      <c r="I155" t="s">
        <v>517</v>
      </c>
      <c r="J155" t="s">
        <v>514</v>
      </c>
      <c r="O155" t="s">
        <v>518</v>
      </c>
      <c r="P155">
        <v>9924.32</v>
      </c>
      <c r="Q155">
        <v>9927.76</v>
      </c>
      <c r="R155">
        <v>9915.02</v>
      </c>
      <c r="S155">
        <v>9927.76</v>
      </c>
      <c r="T155">
        <v>9927.76</v>
      </c>
      <c r="U155">
        <v>9850.74</v>
      </c>
      <c r="W155">
        <v>9927.76</v>
      </c>
      <c r="Z155">
        <v>99</v>
      </c>
      <c r="AA155">
        <v>982785.94</v>
      </c>
      <c r="AB155">
        <v>3</v>
      </c>
      <c r="AC155" t="s">
        <v>42</v>
      </c>
      <c r="AD155">
        <v>1</v>
      </c>
    </row>
    <row r="156" spans="1:30">
      <c r="A156" t="str">
        <f>CONCATENATE(I156,J156)</f>
        <v>12AFIL27N0</v>
      </c>
      <c r="B156" s="34">
        <v>46273</v>
      </c>
      <c r="C156" s="34">
        <v>46273</v>
      </c>
      <c r="D156" t="s">
        <v>35</v>
      </c>
      <c r="E156" t="s">
        <v>36</v>
      </c>
      <c r="F156" t="s">
        <v>37</v>
      </c>
      <c r="G156">
        <v>759446</v>
      </c>
      <c r="H156" t="s">
        <v>519</v>
      </c>
      <c r="I156" t="s">
        <v>520</v>
      </c>
      <c r="J156" t="s">
        <v>514</v>
      </c>
      <c r="O156" t="s">
        <v>521</v>
      </c>
      <c r="P156">
        <v>9961</v>
      </c>
      <c r="Q156">
        <v>9961</v>
      </c>
      <c r="R156">
        <v>9961</v>
      </c>
      <c r="S156">
        <v>9961</v>
      </c>
      <c r="T156">
        <v>9961</v>
      </c>
      <c r="U156">
        <v>10002.200000000001</v>
      </c>
      <c r="W156">
        <v>9961</v>
      </c>
      <c r="Z156">
        <v>5</v>
      </c>
      <c r="AA156">
        <v>49805</v>
      </c>
      <c r="AB156">
        <v>3</v>
      </c>
      <c r="AC156" t="s">
        <v>42</v>
      </c>
      <c r="AD156">
        <v>1</v>
      </c>
    </row>
    <row r="157" spans="1:30">
      <c r="A157" t="str">
        <f>CONCATENATE(I157,J157)</f>
        <v>12AFIL28N0</v>
      </c>
      <c r="B157" s="34">
        <v>46273</v>
      </c>
      <c r="C157" s="34">
        <v>46273</v>
      </c>
      <c r="D157" t="s">
        <v>35</v>
      </c>
      <c r="E157" t="s">
        <v>36</v>
      </c>
      <c r="F157" t="s">
        <v>37</v>
      </c>
      <c r="G157">
        <v>759283</v>
      </c>
      <c r="H157" t="s">
        <v>522</v>
      </c>
      <c r="I157" t="s">
        <v>523</v>
      </c>
      <c r="J157" t="s">
        <v>514</v>
      </c>
      <c r="O157" t="s">
        <v>524</v>
      </c>
      <c r="P157">
        <v>9874.91</v>
      </c>
      <c r="Q157">
        <v>9874.91</v>
      </c>
      <c r="R157">
        <v>9874.9</v>
      </c>
      <c r="S157">
        <v>9874.9</v>
      </c>
      <c r="T157">
        <v>9874.9</v>
      </c>
      <c r="U157">
        <v>9851.51</v>
      </c>
      <c r="W157">
        <v>9874.9</v>
      </c>
      <c r="Z157">
        <v>60</v>
      </c>
      <c r="AA157">
        <v>592494.06000000006</v>
      </c>
      <c r="AB157">
        <v>2</v>
      </c>
      <c r="AC157" t="s">
        <v>42</v>
      </c>
      <c r="AD157">
        <v>1</v>
      </c>
    </row>
    <row r="158" spans="1:30">
      <c r="A158" t="str">
        <f>CONCATENATE(I158,J158)</f>
        <v>AGARWALFTSM</v>
      </c>
      <c r="B158" s="34">
        <v>46273</v>
      </c>
      <c r="C158" s="34">
        <v>46273</v>
      </c>
      <c r="D158" t="s">
        <v>35</v>
      </c>
      <c r="E158" t="s">
        <v>36</v>
      </c>
      <c r="F158" t="s">
        <v>37</v>
      </c>
      <c r="G158">
        <v>14263</v>
      </c>
      <c r="H158" t="s">
        <v>525</v>
      </c>
      <c r="I158" t="s">
        <v>526</v>
      </c>
      <c r="J158" t="s">
        <v>267</v>
      </c>
      <c r="O158" t="s">
        <v>527</v>
      </c>
      <c r="P158">
        <v>29</v>
      </c>
      <c r="Q158">
        <v>29.5</v>
      </c>
      <c r="R158">
        <v>29</v>
      </c>
      <c r="S158">
        <v>29.5</v>
      </c>
      <c r="T158">
        <v>29.5</v>
      </c>
      <c r="U158">
        <v>28.7</v>
      </c>
      <c r="W158">
        <v>29.5</v>
      </c>
      <c r="Z158">
        <v>4500</v>
      </c>
      <c r="AA158">
        <v>132000</v>
      </c>
      <c r="AB158">
        <v>3</v>
      </c>
      <c r="AC158" t="s">
        <v>42</v>
      </c>
      <c r="AD158">
        <v>1500</v>
      </c>
    </row>
    <row r="159" spans="1:30">
      <c r="A159" t="str">
        <f>CONCATENATE(I159,J159)</f>
        <v>AGARINDEQ</v>
      </c>
      <c r="B159" s="34">
        <v>46273</v>
      </c>
      <c r="C159" s="34">
        <v>46273</v>
      </c>
      <c r="D159" t="s">
        <v>35</v>
      </c>
      <c r="E159" t="s">
        <v>36</v>
      </c>
      <c r="F159" t="s">
        <v>37</v>
      </c>
      <c r="G159">
        <v>3389</v>
      </c>
      <c r="H159" t="s">
        <v>528</v>
      </c>
      <c r="I159" t="s">
        <v>529</v>
      </c>
      <c r="J159" t="s">
        <v>161</v>
      </c>
      <c r="O159" t="s">
        <v>530</v>
      </c>
      <c r="P159">
        <v>436.75</v>
      </c>
      <c r="Q159">
        <v>449.65</v>
      </c>
      <c r="R159">
        <v>432.1</v>
      </c>
      <c r="S159">
        <v>440.9</v>
      </c>
      <c r="T159">
        <v>442</v>
      </c>
      <c r="U159">
        <v>440.2</v>
      </c>
      <c r="W159">
        <v>440.89</v>
      </c>
      <c r="Z159">
        <v>47875</v>
      </c>
      <c r="AA159">
        <v>20907069.350000001</v>
      </c>
      <c r="AB159">
        <v>3411</v>
      </c>
      <c r="AC159" t="s">
        <v>42</v>
      </c>
      <c r="AD159">
        <v>1</v>
      </c>
    </row>
    <row r="160" spans="1:30">
      <c r="A160" t="str">
        <f>CONCATENATE(I160,J160)</f>
        <v>AGARWALTUFSM</v>
      </c>
      <c r="B160" s="34">
        <v>46273</v>
      </c>
      <c r="C160" s="34">
        <v>46273</v>
      </c>
      <c r="D160" t="s">
        <v>35</v>
      </c>
      <c r="E160" t="s">
        <v>36</v>
      </c>
      <c r="F160" t="s">
        <v>37</v>
      </c>
      <c r="G160">
        <v>27309</v>
      </c>
      <c r="H160" t="s">
        <v>531</v>
      </c>
      <c r="I160" t="s">
        <v>532</v>
      </c>
      <c r="J160" t="s">
        <v>267</v>
      </c>
      <c r="O160" t="s">
        <v>533</v>
      </c>
      <c r="P160">
        <v>152.94999999999999</v>
      </c>
      <c r="Q160">
        <v>163</v>
      </c>
      <c r="R160">
        <v>152.94999999999999</v>
      </c>
      <c r="S160">
        <v>155</v>
      </c>
      <c r="T160">
        <v>155</v>
      </c>
      <c r="U160">
        <v>150</v>
      </c>
      <c r="W160">
        <v>155</v>
      </c>
      <c r="Z160">
        <v>172800</v>
      </c>
      <c r="AA160">
        <v>27119880</v>
      </c>
      <c r="AB160">
        <v>78</v>
      </c>
      <c r="AC160" t="s">
        <v>42</v>
      </c>
      <c r="AD160">
        <v>1200</v>
      </c>
    </row>
    <row r="161" spans="1:30">
      <c r="A161" t="str">
        <f>CONCATENATE(I161,J161)</f>
        <v>AGIEQ</v>
      </c>
      <c r="B161" s="34">
        <v>46273</v>
      </c>
      <c r="C161" s="34">
        <v>46273</v>
      </c>
      <c r="D161" t="s">
        <v>35</v>
      </c>
      <c r="E161" t="s">
        <v>36</v>
      </c>
      <c r="F161" t="s">
        <v>37</v>
      </c>
      <c r="G161">
        <v>1412</v>
      </c>
      <c r="H161" t="s">
        <v>534</v>
      </c>
      <c r="I161" t="s">
        <v>535</v>
      </c>
      <c r="J161" t="s">
        <v>161</v>
      </c>
      <c r="O161" t="s">
        <v>536</v>
      </c>
      <c r="P161">
        <v>730</v>
      </c>
      <c r="Q161">
        <v>786.85</v>
      </c>
      <c r="R161">
        <v>730</v>
      </c>
      <c r="S161">
        <v>783.8</v>
      </c>
      <c r="T161">
        <v>784</v>
      </c>
      <c r="U161">
        <v>732.65</v>
      </c>
      <c r="W161">
        <v>783.81</v>
      </c>
      <c r="Z161">
        <v>359947</v>
      </c>
      <c r="AA161">
        <v>276334176.30000001</v>
      </c>
      <c r="AB161">
        <v>13981</v>
      </c>
      <c r="AC161" t="s">
        <v>42</v>
      </c>
      <c r="AD161">
        <v>1</v>
      </c>
    </row>
    <row r="162" spans="1:30">
      <c r="A162" t="str">
        <f>CONCATENATE(I162,J162)</f>
        <v>AGIILEQ</v>
      </c>
      <c r="B162" s="34">
        <v>46273</v>
      </c>
      <c r="C162" s="34">
        <v>46273</v>
      </c>
      <c r="D162" t="s">
        <v>35</v>
      </c>
      <c r="E162" t="s">
        <v>36</v>
      </c>
      <c r="F162" t="s">
        <v>37</v>
      </c>
      <c r="G162">
        <v>24445</v>
      </c>
      <c r="H162" t="s">
        <v>537</v>
      </c>
      <c r="I162" t="s">
        <v>538</v>
      </c>
      <c r="J162" t="s">
        <v>161</v>
      </c>
      <c r="O162" t="s">
        <v>539</v>
      </c>
      <c r="P162">
        <v>276.55</v>
      </c>
      <c r="Q162">
        <v>276.55</v>
      </c>
      <c r="R162">
        <v>270.05</v>
      </c>
      <c r="S162">
        <v>271.64999999999998</v>
      </c>
      <c r="T162">
        <v>271.7</v>
      </c>
      <c r="U162">
        <v>277.14999999999998</v>
      </c>
      <c r="W162">
        <v>271.64999999999998</v>
      </c>
      <c r="Z162">
        <v>297151</v>
      </c>
      <c r="AA162">
        <v>81396696.700000003</v>
      </c>
      <c r="AB162">
        <v>4091</v>
      </c>
      <c r="AC162" t="s">
        <v>42</v>
      </c>
      <c r="AD162">
        <v>1</v>
      </c>
    </row>
    <row r="163" spans="1:30">
      <c r="A163" t="str">
        <f>CONCATENATE(I163,J163)</f>
        <v>AGNISM</v>
      </c>
      <c r="B163" s="34">
        <v>46273</v>
      </c>
      <c r="C163" s="34">
        <v>46273</v>
      </c>
      <c r="D163" t="s">
        <v>35</v>
      </c>
      <c r="E163" t="s">
        <v>36</v>
      </c>
      <c r="F163" t="s">
        <v>37</v>
      </c>
      <c r="G163">
        <v>10491</v>
      </c>
      <c r="H163" t="s">
        <v>540</v>
      </c>
      <c r="I163" t="s">
        <v>541</v>
      </c>
      <c r="J163" t="s">
        <v>267</v>
      </c>
      <c r="O163" t="s">
        <v>542</v>
      </c>
      <c r="P163">
        <v>15</v>
      </c>
      <c r="Q163">
        <v>15.75</v>
      </c>
      <c r="R163">
        <v>15</v>
      </c>
      <c r="S163">
        <v>15.75</v>
      </c>
      <c r="T163">
        <v>15.75</v>
      </c>
      <c r="U163">
        <v>15</v>
      </c>
      <c r="W163">
        <v>15.75</v>
      </c>
      <c r="Z163">
        <v>5000</v>
      </c>
      <c r="AA163">
        <v>76875</v>
      </c>
      <c r="AB163">
        <v>2</v>
      </c>
      <c r="AC163" t="s">
        <v>42</v>
      </c>
      <c r="AD163">
        <v>2500</v>
      </c>
    </row>
    <row r="164" spans="1:30">
      <c r="A164" t="str">
        <f>CONCATENATE(I164,J164)</f>
        <v>AGRITECHEQ</v>
      </c>
      <c r="B164" s="34">
        <v>46273</v>
      </c>
      <c r="C164" s="34">
        <v>46273</v>
      </c>
      <c r="D164" t="s">
        <v>35</v>
      </c>
      <c r="E164" t="s">
        <v>36</v>
      </c>
      <c r="F164" t="s">
        <v>37</v>
      </c>
      <c r="G164">
        <v>11072</v>
      </c>
      <c r="H164" t="s">
        <v>543</v>
      </c>
      <c r="I164" t="s">
        <v>544</v>
      </c>
      <c r="J164" t="s">
        <v>161</v>
      </c>
      <c r="O164" t="s">
        <v>545</v>
      </c>
      <c r="P164">
        <v>104.4</v>
      </c>
      <c r="Q164">
        <v>104.4</v>
      </c>
      <c r="R164">
        <v>98.01</v>
      </c>
      <c r="S164">
        <v>99.75</v>
      </c>
      <c r="T164">
        <v>100</v>
      </c>
      <c r="U164">
        <v>100.07</v>
      </c>
      <c r="W164">
        <v>99.75</v>
      </c>
      <c r="Z164">
        <v>4390</v>
      </c>
      <c r="AA164">
        <v>440714.85</v>
      </c>
      <c r="AB164">
        <v>92</v>
      </c>
      <c r="AC164" t="s">
        <v>42</v>
      </c>
      <c r="AD164">
        <v>1</v>
      </c>
    </row>
    <row r="165" spans="1:30">
      <c r="A165" t="str">
        <f>CONCATENATE(I165,J165)</f>
        <v>AGROPHOSEQ</v>
      </c>
      <c r="B165" s="34">
        <v>46273</v>
      </c>
      <c r="C165" s="34">
        <v>46273</v>
      </c>
      <c r="D165" t="s">
        <v>35</v>
      </c>
      <c r="E165" t="s">
        <v>36</v>
      </c>
      <c r="F165" t="s">
        <v>37</v>
      </c>
      <c r="G165">
        <v>9046</v>
      </c>
      <c r="H165" t="s">
        <v>546</v>
      </c>
      <c r="I165" t="s">
        <v>547</v>
      </c>
      <c r="J165" t="s">
        <v>161</v>
      </c>
      <c r="O165" t="s">
        <v>548</v>
      </c>
      <c r="P165">
        <v>25</v>
      </c>
      <c r="Q165">
        <v>25.48</v>
      </c>
      <c r="R165">
        <v>23.03</v>
      </c>
      <c r="S165">
        <v>23.44</v>
      </c>
      <c r="T165">
        <v>23.5</v>
      </c>
      <c r="U165">
        <v>24.82</v>
      </c>
      <c r="W165">
        <v>23.44</v>
      </c>
      <c r="Z165">
        <v>114226</v>
      </c>
      <c r="AA165">
        <v>2703023.7</v>
      </c>
      <c r="AB165">
        <v>767</v>
      </c>
      <c r="AC165" t="s">
        <v>42</v>
      </c>
      <c r="AD165">
        <v>1</v>
      </c>
    </row>
    <row r="166" spans="1:30">
      <c r="A166" t="str">
        <f>CONCATENATE(I166,J166)</f>
        <v>AGSTRABZ</v>
      </c>
      <c r="B166" s="34">
        <v>46273</v>
      </c>
      <c r="C166" s="34">
        <v>46273</v>
      </c>
      <c r="D166" t="s">
        <v>35</v>
      </c>
      <c r="E166" t="s">
        <v>36</v>
      </c>
      <c r="F166" t="s">
        <v>37</v>
      </c>
      <c r="G166">
        <v>759202</v>
      </c>
      <c r="H166" t="s">
        <v>549</v>
      </c>
      <c r="I166" t="s">
        <v>550</v>
      </c>
      <c r="J166" t="s">
        <v>551</v>
      </c>
      <c r="O166" t="s">
        <v>552</v>
      </c>
      <c r="P166">
        <v>1.94</v>
      </c>
      <c r="Q166">
        <v>2.02</v>
      </c>
      <c r="R166">
        <v>1.91</v>
      </c>
      <c r="S166">
        <v>1.96</v>
      </c>
      <c r="T166">
        <v>1.93</v>
      </c>
      <c r="U166">
        <v>1.94</v>
      </c>
      <c r="W166">
        <v>1.96</v>
      </c>
      <c r="Z166">
        <v>155492</v>
      </c>
      <c r="AA166">
        <v>305134.37</v>
      </c>
      <c r="AB166">
        <v>193</v>
      </c>
      <c r="AC166" t="s">
        <v>42</v>
      </c>
      <c r="AD166">
        <v>1</v>
      </c>
    </row>
    <row r="167" spans="1:30">
      <c r="A167" t="str">
        <f>CONCATENATE(I167,J167)</f>
        <v>AHLADAEQ</v>
      </c>
      <c r="B167" s="34">
        <v>46273</v>
      </c>
      <c r="C167" s="34">
        <v>46273</v>
      </c>
      <c r="D167" t="s">
        <v>35</v>
      </c>
      <c r="E167" t="s">
        <v>36</v>
      </c>
      <c r="F167" t="s">
        <v>37</v>
      </c>
      <c r="G167">
        <v>2004</v>
      </c>
      <c r="H167" t="s">
        <v>553</v>
      </c>
      <c r="I167" t="s">
        <v>554</v>
      </c>
      <c r="J167" t="s">
        <v>161</v>
      </c>
      <c r="O167" t="s">
        <v>555</v>
      </c>
      <c r="P167">
        <v>37</v>
      </c>
      <c r="Q167">
        <v>37.74</v>
      </c>
      <c r="R167">
        <v>36</v>
      </c>
      <c r="S167">
        <v>36.299999999999997</v>
      </c>
      <c r="T167">
        <v>36.39</v>
      </c>
      <c r="U167">
        <v>36.799999999999997</v>
      </c>
      <c r="W167">
        <v>36.299999999999997</v>
      </c>
      <c r="Z167">
        <v>14208</v>
      </c>
      <c r="AA167">
        <v>522661.53</v>
      </c>
      <c r="AB167">
        <v>161</v>
      </c>
      <c r="AC167" t="s">
        <v>42</v>
      </c>
      <c r="AD167">
        <v>1</v>
      </c>
    </row>
    <row r="168" spans="1:30">
      <c r="A168" t="str">
        <f>CONCATENATE(I168,J168)</f>
        <v>AHLUCONTEQ</v>
      </c>
      <c r="B168" s="34">
        <v>46273</v>
      </c>
      <c r="C168" s="34">
        <v>46273</v>
      </c>
      <c r="D168" t="s">
        <v>35</v>
      </c>
      <c r="E168" t="s">
        <v>36</v>
      </c>
      <c r="F168" t="s">
        <v>37</v>
      </c>
      <c r="G168">
        <v>17833</v>
      </c>
      <c r="H168" t="s">
        <v>556</v>
      </c>
      <c r="I168" t="s">
        <v>557</v>
      </c>
      <c r="J168" t="s">
        <v>161</v>
      </c>
      <c r="O168" t="s">
        <v>558</v>
      </c>
      <c r="P168">
        <v>595</v>
      </c>
      <c r="Q168">
        <v>609</v>
      </c>
      <c r="R168">
        <v>592.1</v>
      </c>
      <c r="S168">
        <v>607.15</v>
      </c>
      <c r="T168">
        <v>603.25</v>
      </c>
      <c r="U168">
        <v>597.04999999999995</v>
      </c>
      <c r="W168">
        <v>607.13</v>
      </c>
      <c r="Z168">
        <v>45142</v>
      </c>
      <c r="AA168">
        <v>27110562.699999999</v>
      </c>
      <c r="AB168">
        <v>3734</v>
      </c>
      <c r="AC168" t="s">
        <v>42</v>
      </c>
      <c r="AD168">
        <v>1</v>
      </c>
    </row>
    <row r="169" spans="1:30">
      <c r="A169" t="str">
        <f>CONCATENATE(I169,J169)</f>
        <v>AIAENGEQ</v>
      </c>
      <c r="B169" s="34">
        <v>46273</v>
      </c>
      <c r="C169" s="34">
        <v>46273</v>
      </c>
      <c r="D169" t="s">
        <v>35</v>
      </c>
      <c r="E169" t="s">
        <v>36</v>
      </c>
      <c r="F169" t="s">
        <v>37</v>
      </c>
      <c r="G169">
        <v>13086</v>
      </c>
      <c r="H169" t="s">
        <v>559</v>
      </c>
      <c r="I169" t="s">
        <v>560</v>
      </c>
      <c r="J169" t="s">
        <v>161</v>
      </c>
      <c r="O169" t="s">
        <v>561</v>
      </c>
      <c r="P169">
        <v>4246</v>
      </c>
      <c r="Q169">
        <v>4283.3999999999996</v>
      </c>
      <c r="R169">
        <v>4200</v>
      </c>
      <c r="S169">
        <v>4259</v>
      </c>
      <c r="T169">
        <v>4264</v>
      </c>
      <c r="U169">
        <v>4224</v>
      </c>
      <c r="W169">
        <v>4258.79</v>
      </c>
      <c r="Z169">
        <v>25860</v>
      </c>
      <c r="AA169">
        <v>109964020.5</v>
      </c>
      <c r="AB169">
        <v>10437</v>
      </c>
      <c r="AC169" t="s">
        <v>42</v>
      </c>
      <c r="AD169">
        <v>1</v>
      </c>
    </row>
    <row r="170" spans="1:30">
      <c r="A170" t="str">
        <f>CONCATENATE(I170,J170)</f>
        <v>AIMTRONSM</v>
      </c>
      <c r="B170" s="34">
        <v>46273</v>
      </c>
      <c r="C170" s="34">
        <v>46273</v>
      </c>
      <c r="D170" t="s">
        <v>35</v>
      </c>
      <c r="E170" t="s">
        <v>36</v>
      </c>
      <c r="F170" t="s">
        <v>37</v>
      </c>
      <c r="G170">
        <v>23984</v>
      </c>
      <c r="H170" t="s">
        <v>562</v>
      </c>
      <c r="I170" t="s">
        <v>563</v>
      </c>
      <c r="J170" t="s">
        <v>267</v>
      </c>
      <c r="O170" t="s">
        <v>564</v>
      </c>
      <c r="P170">
        <v>1626</v>
      </c>
      <c r="Q170">
        <v>1686.9</v>
      </c>
      <c r="R170">
        <v>1619.7</v>
      </c>
      <c r="S170">
        <v>1681.35</v>
      </c>
      <c r="T170">
        <v>1686.9</v>
      </c>
      <c r="U170">
        <v>1622.5</v>
      </c>
      <c r="W170">
        <v>1681.35</v>
      </c>
      <c r="Z170">
        <v>27000</v>
      </c>
      <c r="AA170">
        <v>44617060</v>
      </c>
      <c r="AB170">
        <v>134</v>
      </c>
      <c r="AC170" t="s">
        <v>42</v>
      </c>
      <c r="AD170">
        <v>200</v>
      </c>
    </row>
    <row r="171" spans="1:30">
      <c r="A171" t="str">
        <f>CONCATENATE(I171,J171)</f>
        <v>GOLDTECHBE</v>
      </c>
      <c r="B171" s="34">
        <v>46273</v>
      </c>
      <c r="C171" s="34">
        <v>46273</v>
      </c>
      <c r="D171" t="s">
        <v>35</v>
      </c>
      <c r="E171" t="s">
        <v>36</v>
      </c>
      <c r="F171" t="s">
        <v>37</v>
      </c>
      <c r="G171">
        <v>9878</v>
      </c>
      <c r="H171" t="s">
        <v>565</v>
      </c>
      <c r="I171" t="s">
        <v>566</v>
      </c>
      <c r="J171" t="s">
        <v>183</v>
      </c>
      <c r="O171" t="s">
        <v>567</v>
      </c>
      <c r="P171">
        <v>48.49</v>
      </c>
      <c r="Q171">
        <v>48.54</v>
      </c>
      <c r="R171">
        <v>47.6</v>
      </c>
      <c r="S171">
        <v>48.01</v>
      </c>
      <c r="T171">
        <v>48.2</v>
      </c>
      <c r="U171">
        <v>47.93</v>
      </c>
      <c r="W171">
        <v>48.01</v>
      </c>
      <c r="Z171">
        <v>8104</v>
      </c>
      <c r="AA171">
        <v>389509.42</v>
      </c>
      <c r="AB171">
        <v>54</v>
      </c>
      <c r="AC171" t="s">
        <v>42</v>
      </c>
      <c r="AD171">
        <v>1</v>
      </c>
    </row>
    <row r="172" spans="1:30">
      <c r="A172" t="str">
        <f>CONCATENATE(I172,J172)</f>
        <v>AIRANEQ</v>
      </c>
      <c r="B172" s="34">
        <v>46273</v>
      </c>
      <c r="C172" s="34">
        <v>46273</v>
      </c>
      <c r="D172" t="s">
        <v>35</v>
      </c>
      <c r="E172" t="s">
        <v>36</v>
      </c>
      <c r="F172" t="s">
        <v>37</v>
      </c>
      <c r="G172">
        <v>9897</v>
      </c>
      <c r="H172" t="s">
        <v>568</v>
      </c>
      <c r="I172" t="s">
        <v>569</v>
      </c>
      <c r="J172" t="s">
        <v>161</v>
      </c>
      <c r="O172" t="s">
        <v>570</v>
      </c>
      <c r="P172">
        <v>16.670000000000002</v>
      </c>
      <c r="Q172">
        <v>17.95</v>
      </c>
      <c r="R172">
        <v>16.25</v>
      </c>
      <c r="S172">
        <v>17.149999999999999</v>
      </c>
      <c r="T172">
        <v>17.2</v>
      </c>
      <c r="U172">
        <v>16.440000000000001</v>
      </c>
      <c r="W172">
        <v>17.149999999999999</v>
      </c>
      <c r="Z172">
        <v>568993</v>
      </c>
      <c r="AA172">
        <v>9755814.9700000007</v>
      </c>
      <c r="AB172">
        <v>1876</v>
      </c>
      <c r="AC172" t="s">
        <v>42</v>
      </c>
      <c r="AD172">
        <v>1</v>
      </c>
    </row>
    <row r="173" spans="1:30">
      <c r="A173" t="str">
        <f>CONCATENATE(I173,J173)</f>
        <v>AIROLAMEQ</v>
      </c>
      <c r="B173" s="34">
        <v>46273</v>
      </c>
      <c r="C173" s="34">
        <v>46273</v>
      </c>
      <c r="D173" t="s">
        <v>35</v>
      </c>
      <c r="E173" t="s">
        <v>36</v>
      </c>
      <c r="F173" t="s">
        <v>37</v>
      </c>
      <c r="G173">
        <v>6068</v>
      </c>
      <c r="H173" t="s">
        <v>571</v>
      </c>
      <c r="I173" t="s">
        <v>572</v>
      </c>
      <c r="J173" t="s">
        <v>161</v>
      </c>
      <c r="O173" t="s">
        <v>573</v>
      </c>
      <c r="P173">
        <v>88.8</v>
      </c>
      <c r="Q173">
        <v>90.5</v>
      </c>
      <c r="R173">
        <v>86</v>
      </c>
      <c r="S173">
        <v>88.67</v>
      </c>
      <c r="T173">
        <v>88.5</v>
      </c>
      <c r="U173">
        <v>86.22</v>
      </c>
      <c r="W173">
        <v>88.67</v>
      </c>
      <c r="Z173">
        <v>11457</v>
      </c>
      <c r="AA173">
        <v>1020018.65</v>
      </c>
      <c r="AB173">
        <v>132</v>
      </c>
      <c r="AC173" t="s">
        <v>42</v>
      </c>
      <c r="AD173">
        <v>1</v>
      </c>
    </row>
    <row r="174" spans="1:30">
      <c r="A174" t="str">
        <f>CONCATENATE(I174,J174)</f>
        <v>AJANTPHARMEQ</v>
      </c>
      <c r="B174" s="34">
        <v>46273</v>
      </c>
      <c r="C174" s="34">
        <v>46273</v>
      </c>
      <c r="D174" t="s">
        <v>35</v>
      </c>
      <c r="E174" t="s">
        <v>36</v>
      </c>
      <c r="F174" t="s">
        <v>37</v>
      </c>
      <c r="G174">
        <v>8124</v>
      </c>
      <c r="H174" t="s">
        <v>574</v>
      </c>
      <c r="I174" t="s">
        <v>575</v>
      </c>
      <c r="J174" t="s">
        <v>161</v>
      </c>
      <c r="O174" t="s">
        <v>576</v>
      </c>
      <c r="P174">
        <v>3513.4</v>
      </c>
      <c r="Q174">
        <v>3597</v>
      </c>
      <c r="R174">
        <v>3483.3</v>
      </c>
      <c r="S174">
        <v>3579.3</v>
      </c>
      <c r="T174">
        <v>3589</v>
      </c>
      <c r="U174">
        <v>3513.6</v>
      </c>
      <c r="W174">
        <v>3579.35</v>
      </c>
      <c r="Z174">
        <v>112843</v>
      </c>
      <c r="AA174">
        <v>400883726</v>
      </c>
      <c r="AB174">
        <v>17207</v>
      </c>
      <c r="AC174" t="s">
        <v>42</v>
      </c>
      <c r="AD174">
        <v>1</v>
      </c>
    </row>
    <row r="175" spans="1:30">
      <c r="A175" t="str">
        <f>CONCATENATE(I175,J175)</f>
        <v>AJAXENGGEQ</v>
      </c>
      <c r="B175" s="34">
        <v>46273</v>
      </c>
      <c r="C175" s="34">
        <v>46273</v>
      </c>
      <c r="D175" t="s">
        <v>35</v>
      </c>
      <c r="E175" t="s">
        <v>36</v>
      </c>
      <c r="F175" t="s">
        <v>37</v>
      </c>
      <c r="G175">
        <v>29624</v>
      </c>
      <c r="H175" t="s">
        <v>577</v>
      </c>
      <c r="I175" t="s">
        <v>578</v>
      </c>
      <c r="J175" t="s">
        <v>161</v>
      </c>
      <c r="O175" t="s">
        <v>579</v>
      </c>
      <c r="P175">
        <v>605</v>
      </c>
      <c r="Q175">
        <v>612.9</v>
      </c>
      <c r="R175">
        <v>583.1</v>
      </c>
      <c r="S175">
        <v>594.1</v>
      </c>
      <c r="T175">
        <v>599</v>
      </c>
      <c r="U175">
        <v>596.20000000000005</v>
      </c>
      <c r="W175">
        <v>594.08000000000004</v>
      </c>
      <c r="Z175">
        <v>126111</v>
      </c>
      <c r="AA175">
        <v>75334183.950000003</v>
      </c>
      <c r="AB175">
        <v>10607</v>
      </c>
      <c r="AC175" t="s">
        <v>42</v>
      </c>
      <c r="AD175">
        <v>1</v>
      </c>
    </row>
    <row r="176" spans="1:30">
      <c r="A176" t="str">
        <f>CONCATENATE(I176,J176)</f>
        <v>AJMERAEQ</v>
      </c>
      <c r="B176" s="34">
        <v>46273</v>
      </c>
      <c r="C176" s="34">
        <v>46273</v>
      </c>
      <c r="D176" t="s">
        <v>35</v>
      </c>
      <c r="E176" t="s">
        <v>36</v>
      </c>
      <c r="F176" t="s">
        <v>37</v>
      </c>
      <c r="G176">
        <v>17307</v>
      </c>
      <c r="H176" t="s">
        <v>580</v>
      </c>
      <c r="I176" t="s">
        <v>581</v>
      </c>
      <c r="J176" t="s">
        <v>161</v>
      </c>
      <c r="O176" t="s">
        <v>582</v>
      </c>
      <c r="P176">
        <v>116.43</v>
      </c>
      <c r="Q176">
        <v>119.9</v>
      </c>
      <c r="R176">
        <v>116.02</v>
      </c>
      <c r="S176">
        <v>118.1</v>
      </c>
      <c r="T176">
        <v>118</v>
      </c>
      <c r="U176">
        <v>117.54</v>
      </c>
      <c r="W176">
        <v>118.1</v>
      </c>
      <c r="Z176">
        <v>329876</v>
      </c>
      <c r="AA176">
        <v>38638154.850000001</v>
      </c>
      <c r="AB176">
        <v>2693</v>
      </c>
      <c r="AC176" t="s">
        <v>42</v>
      </c>
      <c r="AD176">
        <v>1</v>
      </c>
    </row>
    <row r="177" spans="1:30">
      <c r="A177" t="str">
        <f>CONCATENATE(I177,J177)</f>
        <v>AJOONIEQ</v>
      </c>
      <c r="B177" s="34">
        <v>46273</v>
      </c>
      <c r="C177" s="34">
        <v>46273</v>
      </c>
      <c r="D177" t="s">
        <v>35</v>
      </c>
      <c r="E177" t="s">
        <v>36</v>
      </c>
      <c r="F177" t="s">
        <v>37</v>
      </c>
      <c r="G177">
        <v>3403</v>
      </c>
      <c r="H177" t="s">
        <v>583</v>
      </c>
      <c r="I177" t="s">
        <v>584</v>
      </c>
      <c r="J177" t="s">
        <v>161</v>
      </c>
      <c r="O177" t="s">
        <v>585</v>
      </c>
      <c r="P177">
        <v>3.54</v>
      </c>
      <c r="Q177">
        <v>3.55</v>
      </c>
      <c r="R177">
        <v>3.41</v>
      </c>
      <c r="S177">
        <v>3.44</v>
      </c>
      <c r="T177">
        <v>3.49</v>
      </c>
      <c r="U177">
        <v>3.49</v>
      </c>
      <c r="W177">
        <v>3.44</v>
      </c>
      <c r="Z177">
        <v>693541</v>
      </c>
      <c r="AA177">
        <v>2406595.7799999998</v>
      </c>
      <c r="AB177">
        <v>838</v>
      </c>
      <c r="AC177" t="s">
        <v>42</v>
      </c>
      <c r="AD177">
        <v>1</v>
      </c>
    </row>
    <row r="178" spans="1:30">
      <c r="A178" t="str">
        <f>CONCATENATE(I178,J178)</f>
        <v>AKANKSHASM</v>
      </c>
      <c r="B178" s="34">
        <v>46273</v>
      </c>
      <c r="C178" s="34">
        <v>46273</v>
      </c>
      <c r="D178" t="s">
        <v>35</v>
      </c>
      <c r="E178" t="s">
        <v>36</v>
      </c>
      <c r="F178" t="s">
        <v>37</v>
      </c>
      <c r="G178">
        <v>21121</v>
      </c>
      <c r="H178" t="s">
        <v>586</v>
      </c>
      <c r="I178" t="s">
        <v>587</v>
      </c>
      <c r="J178" t="s">
        <v>267</v>
      </c>
      <c r="O178" t="s">
        <v>588</v>
      </c>
      <c r="P178">
        <v>135</v>
      </c>
      <c r="Q178">
        <v>136</v>
      </c>
      <c r="R178">
        <v>132.6</v>
      </c>
      <c r="S178">
        <v>135.5</v>
      </c>
      <c r="T178">
        <v>136</v>
      </c>
      <c r="U178">
        <v>137</v>
      </c>
      <c r="W178">
        <v>135.5</v>
      </c>
      <c r="Z178">
        <v>8000</v>
      </c>
      <c r="AA178">
        <v>1080450</v>
      </c>
      <c r="AB178">
        <v>8</v>
      </c>
      <c r="AC178" t="s">
        <v>42</v>
      </c>
      <c r="AD178">
        <v>1000</v>
      </c>
    </row>
    <row r="179" spans="1:30">
      <c r="A179" t="str">
        <f>CONCATENATE(I179,J179)</f>
        <v>AKASHEQ</v>
      </c>
      <c r="B179" s="34">
        <v>46273</v>
      </c>
      <c r="C179" s="34">
        <v>46273</v>
      </c>
      <c r="D179" t="s">
        <v>35</v>
      </c>
      <c r="E179" t="s">
        <v>36</v>
      </c>
      <c r="F179" t="s">
        <v>37</v>
      </c>
      <c r="G179">
        <v>13510</v>
      </c>
      <c r="H179" t="s">
        <v>589</v>
      </c>
      <c r="I179" t="s">
        <v>590</v>
      </c>
      <c r="J179" t="s">
        <v>161</v>
      </c>
      <c r="O179" t="s">
        <v>591</v>
      </c>
      <c r="P179">
        <v>25.69</v>
      </c>
      <c r="Q179">
        <v>25.69</v>
      </c>
      <c r="R179">
        <v>25</v>
      </c>
      <c r="S179">
        <v>25.09</v>
      </c>
      <c r="T179">
        <v>25.02</v>
      </c>
      <c r="U179">
        <v>25.69</v>
      </c>
      <c r="W179">
        <v>25.09</v>
      </c>
      <c r="Z179">
        <v>6216</v>
      </c>
      <c r="AA179">
        <v>157452.74</v>
      </c>
      <c r="AB179">
        <v>42</v>
      </c>
      <c r="AC179" t="s">
        <v>42</v>
      </c>
      <c r="AD179">
        <v>1</v>
      </c>
    </row>
    <row r="180" spans="1:30">
      <c r="A180" t="str">
        <f>CONCATENATE(I180,J180)</f>
        <v>AKGEQ</v>
      </c>
      <c r="B180" s="34">
        <v>46273</v>
      </c>
      <c r="C180" s="34">
        <v>46273</v>
      </c>
      <c r="D180" t="s">
        <v>35</v>
      </c>
      <c r="E180" t="s">
        <v>36</v>
      </c>
      <c r="F180" t="s">
        <v>37</v>
      </c>
      <c r="G180">
        <v>2176</v>
      </c>
      <c r="H180" t="s">
        <v>592</v>
      </c>
      <c r="I180" t="s">
        <v>593</v>
      </c>
      <c r="J180" t="s">
        <v>161</v>
      </c>
      <c r="O180" t="s">
        <v>594</v>
      </c>
      <c r="P180">
        <v>9.39</v>
      </c>
      <c r="Q180">
        <v>9.9499999999999993</v>
      </c>
      <c r="R180">
        <v>9.3800000000000008</v>
      </c>
      <c r="S180">
        <v>9.83</v>
      </c>
      <c r="T180">
        <v>9.5500000000000007</v>
      </c>
      <c r="U180">
        <v>9.3800000000000008</v>
      </c>
      <c r="W180">
        <v>9.83</v>
      </c>
      <c r="Z180">
        <v>13409</v>
      </c>
      <c r="AA180">
        <v>130264.4</v>
      </c>
      <c r="AB180">
        <v>115</v>
      </c>
      <c r="AC180" t="s">
        <v>42</v>
      </c>
      <c r="AD180">
        <v>1</v>
      </c>
    </row>
    <row r="181" spans="1:30">
      <c r="A181" t="str">
        <f>CONCATENATE(I181,J181)</f>
        <v>AKIEQ</v>
      </c>
      <c r="B181" s="34">
        <v>46273</v>
      </c>
      <c r="C181" s="34">
        <v>46273</v>
      </c>
      <c r="D181" t="s">
        <v>35</v>
      </c>
      <c r="E181" t="s">
        <v>36</v>
      </c>
      <c r="F181" t="s">
        <v>37</v>
      </c>
      <c r="G181">
        <v>14890</v>
      </c>
      <c r="H181" t="s">
        <v>595</v>
      </c>
      <c r="I181" t="s">
        <v>596</v>
      </c>
      <c r="J181" t="s">
        <v>161</v>
      </c>
      <c r="O181" t="s">
        <v>597</v>
      </c>
      <c r="P181">
        <v>8.2100000000000009</v>
      </c>
      <c r="Q181">
        <v>8.34</v>
      </c>
      <c r="R181">
        <v>7.15</v>
      </c>
      <c r="S181">
        <v>7.15</v>
      </c>
      <c r="T181">
        <v>7.16</v>
      </c>
      <c r="U181">
        <v>7.94</v>
      </c>
      <c r="W181">
        <v>7.15</v>
      </c>
      <c r="Z181">
        <v>3982236</v>
      </c>
      <c r="AA181">
        <v>29983512.41</v>
      </c>
      <c r="AB181">
        <v>4835</v>
      </c>
      <c r="AC181" t="s">
        <v>42</v>
      </c>
      <c r="AD181">
        <v>1</v>
      </c>
    </row>
    <row r="182" spans="1:30">
      <c r="A182" t="str">
        <f>CONCATENATE(I182,J182)</f>
        <v>AKIKOSM</v>
      </c>
      <c r="B182" s="34">
        <v>46273</v>
      </c>
      <c r="C182" s="34">
        <v>46273</v>
      </c>
      <c r="D182" t="s">
        <v>35</v>
      </c>
      <c r="E182" t="s">
        <v>36</v>
      </c>
      <c r="F182" t="s">
        <v>37</v>
      </c>
      <c r="G182">
        <v>24304</v>
      </c>
      <c r="H182" t="s">
        <v>598</v>
      </c>
      <c r="I182" t="s">
        <v>599</v>
      </c>
      <c r="J182" t="s">
        <v>267</v>
      </c>
      <c r="O182" t="s">
        <v>600</v>
      </c>
      <c r="P182">
        <v>434.95</v>
      </c>
      <c r="Q182">
        <v>434.95</v>
      </c>
      <c r="R182">
        <v>420</v>
      </c>
      <c r="S182">
        <v>427.75</v>
      </c>
      <c r="T182">
        <v>434</v>
      </c>
      <c r="U182">
        <v>422.1</v>
      </c>
      <c r="W182">
        <v>427.75</v>
      </c>
      <c r="Z182">
        <v>14400</v>
      </c>
      <c r="AA182">
        <v>6139320</v>
      </c>
      <c r="AB182">
        <v>17</v>
      </c>
      <c r="AC182" t="s">
        <v>42</v>
      </c>
      <c r="AD182">
        <v>800</v>
      </c>
    </row>
    <row r="183" spans="1:30">
      <c r="A183" t="str">
        <f>CONCATENATE(I183,J183)</f>
        <v>AFILEQ</v>
      </c>
      <c r="B183" s="34">
        <v>46273</v>
      </c>
      <c r="C183" s="34">
        <v>46273</v>
      </c>
      <c r="D183" t="s">
        <v>35</v>
      </c>
      <c r="E183" t="s">
        <v>36</v>
      </c>
      <c r="F183" t="s">
        <v>37</v>
      </c>
      <c r="G183">
        <v>24159</v>
      </c>
      <c r="H183" t="s">
        <v>601</v>
      </c>
      <c r="I183" t="s">
        <v>602</v>
      </c>
      <c r="J183" t="s">
        <v>161</v>
      </c>
      <c r="O183" t="s">
        <v>603</v>
      </c>
      <c r="P183">
        <v>9.15</v>
      </c>
      <c r="Q183">
        <v>9.2799999999999994</v>
      </c>
      <c r="R183">
        <v>9.02</v>
      </c>
      <c r="S183">
        <v>9.07</v>
      </c>
      <c r="T183">
        <v>9.17</v>
      </c>
      <c r="U183">
        <v>9.14</v>
      </c>
      <c r="W183">
        <v>9.07</v>
      </c>
      <c r="Z183">
        <v>338110</v>
      </c>
      <c r="AA183">
        <v>3082593.96</v>
      </c>
      <c r="AB183">
        <v>445</v>
      </c>
      <c r="AC183" t="s">
        <v>42</v>
      </c>
      <c r="AD183">
        <v>1</v>
      </c>
    </row>
    <row r="184" spans="1:30">
      <c r="A184" t="str">
        <f>CONCATENATE(I184,J184)</f>
        <v>AKSHOPTFBRBE</v>
      </c>
      <c r="B184" s="34">
        <v>46273</v>
      </c>
      <c r="C184" s="34">
        <v>46273</v>
      </c>
      <c r="D184" t="s">
        <v>35</v>
      </c>
      <c r="E184" t="s">
        <v>36</v>
      </c>
      <c r="F184" t="s">
        <v>37</v>
      </c>
      <c r="G184">
        <v>8595</v>
      </c>
      <c r="H184" t="s">
        <v>604</v>
      </c>
      <c r="I184" t="s">
        <v>605</v>
      </c>
      <c r="J184" t="s">
        <v>183</v>
      </c>
      <c r="O184" t="s">
        <v>606</v>
      </c>
      <c r="P184">
        <v>8.19</v>
      </c>
      <c r="Q184">
        <v>8.19</v>
      </c>
      <c r="R184">
        <v>8.19</v>
      </c>
      <c r="S184">
        <v>8.19</v>
      </c>
      <c r="T184">
        <v>8.19</v>
      </c>
      <c r="U184">
        <v>7.8</v>
      </c>
      <c r="W184">
        <v>8.2200000000000006</v>
      </c>
      <c r="Z184">
        <v>769466</v>
      </c>
      <c r="AA184">
        <v>6301926.54</v>
      </c>
      <c r="AB184">
        <v>363</v>
      </c>
      <c r="AC184" t="s">
        <v>42</v>
      </c>
      <c r="AD184">
        <v>1</v>
      </c>
    </row>
    <row r="185" spans="1:30">
      <c r="A185" t="str">
        <f>CONCATENATE(I185,J185)</f>
        <v>AKSHAREQ</v>
      </c>
      <c r="B185" s="34">
        <v>46273</v>
      </c>
      <c r="C185" s="34">
        <v>46273</v>
      </c>
      <c r="D185" t="s">
        <v>35</v>
      </c>
      <c r="E185" t="s">
        <v>36</v>
      </c>
      <c r="F185" t="s">
        <v>37</v>
      </c>
      <c r="G185">
        <v>9558</v>
      </c>
      <c r="H185" t="s">
        <v>607</v>
      </c>
      <c r="I185" t="s">
        <v>608</v>
      </c>
      <c r="J185" t="s">
        <v>161</v>
      </c>
      <c r="O185" t="s">
        <v>609</v>
      </c>
      <c r="P185">
        <v>0.43</v>
      </c>
      <c r="Q185">
        <v>0.44</v>
      </c>
      <c r="R185">
        <v>0.42</v>
      </c>
      <c r="S185">
        <v>0.42</v>
      </c>
      <c r="T185">
        <v>0.42</v>
      </c>
      <c r="U185">
        <v>0.42</v>
      </c>
      <c r="W185">
        <v>0.42</v>
      </c>
      <c r="Z185">
        <v>1977218</v>
      </c>
      <c r="AA185">
        <v>846762.6</v>
      </c>
      <c r="AB185">
        <v>338</v>
      </c>
      <c r="AC185" t="s">
        <v>42</v>
      </c>
      <c r="AD185">
        <v>1</v>
      </c>
    </row>
    <row r="186" spans="1:30">
      <c r="A186" t="str">
        <f>CONCATENATE(I186,J186)</f>
        <v>AKSHARCHEMBE</v>
      </c>
      <c r="B186" s="34">
        <v>46273</v>
      </c>
      <c r="C186" s="34">
        <v>46273</v>
      </c>
      <c r="D186" t="s">
        <v>35</v>
      </c>
      <c r="E186" t="s">
        <v>36</v>
      </c>
      <c r="F186" t="s">
        <v>37</v>
      </c>
      <c r="G186">
        <v>20194</v>
      </c>
      <c r="H186" t="s">
        <v>610</v>
      </c>
      <c r="I186" t="s">
        <v>611</v>
      </c>
      <c r="J186" t="s">
        <v>183</v>
      </c>
      <c r="O186" t="s">
        <v>612</v>
      </c>
      <c r="P186">
        <v>465</v>
      </c>
      <c r="Q186">
        <v>472</v>
      </c>
      <c r="R186">
        <v>444.95</v>
      </c>
      <c r="S186">
        <v>452.5</v>
      </c>
      <c r="T186">
        <v>445.2</v>
      </c>
      <c r="U186">
        <v>463.9</v>
      </c>
      <c r="W186">
        <v>452.89</v>
      </c>
      <c r="Z186">
        <v>23994</v>
      </c>
      <c r="AA186">
        <v>11009383</v>
      </c>
      <c r="AB186">
        <v>473</v>
      </c>
      <c r="AC186" t="s">
        <v>42</v>
      </c>
      <c r="AD186">
        <v>1</v>
      </c>
    </row>
    <row r="187" spans="1:30">
      <c r="A187" t="str">
        <f>CONCATENATE(I187,J187)</f>
        <v>AKUMSEQ</v>
      </c>
      <c r="B187" s="34">
        <v>46273</v>
      </c>
      <c r="C187" s="34">
        <v>46273</v>
      </c>
      <c r="D187" t="s">
        <v>35</v>
      </c>
      <c r="E187" t="s">
        <v>36</v>
      </c>
      <c r="F187" t="s">
        <v>37</v>
      </c>
      <c r="G187">
        <v>24715</v>
      </c>
      <c r="H187" t="s">
        <v>613</v>
      </c>
      <c r="I187" t="s">
        <v>614</v>
      </c>
      <c r="J187" t="s">
        <v>161</v>
      </c>
      <c r="O187" t="s">
        <v>615</v>
      </c>
      <c r="P187">
        <v>754.05</v>
      </c>
      <c r="Q187">
        <v>757.75</v>
      </c>
      <c r="R187">
        <v>733.15</v>
      </c>
      <c r="S187">
        <v>736.6</v>
      </c>
      <c r="T187">
        <v>735.2</v>
      </c>
      <c r="U187">
        <v>754.65</v>
      </c>
      <c r="W187">
        <v>736.66</v>
      </c>
      <c r="Z187">
        <v>199035</v>
      </c>
      <c r="AA187">
        <v>147355529</v>
      </c>
      <c r="AB187">
        <v>11470</v>
      </c>
      <c r="AC187" t="s">
        <v>42</v>
      </c>
      <c r="AD187">
        <v>1</v>
      </c>
    </row>
    <row r="188" spans="1:30">
      <c r="A188" t="str">
        <f>CONCATENATE(I188,J188)</f>
        <v>ALANKITEQ</v>
      </c>
      <c r="B188" s="34">
        <v>46273</v>
      </c>
      <c r="C188" s="34">
        <v>46273</v>
      </c>
      <c r="D188" t="s">
        <v>35</v>
      </c>
      <c r="E188" t="s">
        <v>36</v>
      </c>
      <c r="F188" t="s">
        <v>37</v>
      </c>
      <c r="G188">
        <v>9921</v>
      </c>
      <c r="H188" t="s">
        <v>616</v>
      </c>
      <c r="I188" t="s">
        <v>617</v>
      </c>
      <c r="J188" t="s">
        <v>161</v>
      </c>
      <c r="O188" t="s">
        <v>618</v>
      </c>
      <c r="P188">
        <v>8.0399999999999991</v>
      </c>
      <c r="Q188">
        <v>8.23</v>
      </c>
      <c r="R188">
        <v>7.85</v>
      </c>
      <c r="S188">
        <v>7.99</v>
      </c>
      <c r="T188">
        <v>8.0299999999999994</v>
      </c>
      <c r="U188">
        <v>8.16</v>
      </c>
      <c r="W188">
        <v>7.99</v>
      </c>
      <c r="Z188">
        <v>95801</v>
      </c>
      <c r="AA188">
        <v>767228.37</v>
      </c>
      <c r="AB188">
        <v>646</v>
      </c>
      <c r="AC188" t="s">
        <v>42</v>
      </c>
      <c r="AD188">
        <v>1</v>
      </c>
    </row>
    <row r="189" spans="1:30">
      <c r="A189" t="str">
        <f>CONCATENATE(I189,J189)</f>
        <v>ALBERTDAVDEQ</v>
      </c>
      <c r="B189" s="34">
        <v>46273</v>
      </c>
      <c r="C189" s="34">
        <v>46273</v>
      </c>
      <c r="D189" t="s">
        <v>35</v>
      </c>
      <c r="E189" t="s">
        <v>36</v>
      </c>
      <c r="F189" t="s">
        <v>37</v>
      </c>
      <c r="G189">
        <v>17256</v>
      </c>
      <c r="H189" t="s">
        <v>619</v>
      </c>
      <c r="I189" t="s">
        <v>620</v>
      </c>
      <c r="J189" t="s">
        <v>161</v>
      </c>
      <c r="O189" t="s">
        <v>621</v>
      </c>
      <c r="P189">
        <v>863</v>
      </c>
      <c r="Q189">
        <v>867.8</v>
      </c>
      <c r="R189">
        <v>840</v>
      </c>
      <c r="S189">
        <v>844.05</v>
      </c>
      <c r="T189">
        <v>841.95</v>
      </c>
      <c r="U189">
        <v>863</v>
      </c>
      <c r="W189">
        <v>844.13</v>
      </c>
      <c r="Z189">
        <v>6478</v>
      </c>
      <c r="AA189">
        <v>5508025.0499999998</v>
      </c>
      <c r="AB189">
        <v>811</v>
      </c>
      <c r="AC189" t="s">
        <v>42</v>
      </c>
      <c r="AD189">
        <v>1</v>
      </c>
    </row>
    <row r="190" spans="1:30">
      <c r="A190" t="str">
        <f>CONCATENATE(I190,J190)</f>
        <v>ALEMBICLTDEQ</v>
      </c>
      <c r="B190" s="34">
        <v>46273</v>
      </c>
      <c r="C190" s="34">
        <v>46273</v>
      </c>
      <c r="D190" t="s">
        <v>35</v>
      </c>
      <c r="E190" t="s">
        <v>36</v>
      </c>
      <c r="F190" t="s">
        <v>37</v>
      </c>
      <c r="G190">
        <v>79</v>
      </c>
      <c r="H190" t="s">
        <v>622</v>
      </c>
      <c r="I190" t="s">
        <v>623</v>
      </c>
      <c r="J190" t="s">
        <v>161</v>
      </c>
      <c r="O190" t="s">
        <v>624</v>
      </c>
      <c r="P190">
        <v>109.1</v>
      </c>
      <c r="Q190">
        <v>112.08</v>
      </c>
      <c r="R190">
        <v>107.24</v>
      </c>
      <c r="S190">
        <v>109.73</v>
      </c>
      <c r="T190">
        <v>110</v>
      </c>
      <c r="U190">
        <v>108.05</v>
      </c>
      <c r="W190">
        <v>109.72</v>
      </c>
      <c r="Z190">
        <v>1417837</v>
      </c>
      <c r="AA190">
        <v>156015562.33000001</v>
      </c>
      <c r="AB190">
        <v>13078</v>
      </c>
      <c r="AC190" t="s">
        <v>42</v>
      </c>
      <c r="AD190">
        <v>1</v>
      </c>
    </row>
    <row r="191" spans="1:30">
      <c r="A191" t="str">
        <f>CONCATENATE(I191,J191)</f>
        <v>APLLTDEQ</v>
      </c>
      <c r="B191" s="34">
        <v>46273</v>
      </c>
      <c r="C191" s="34">
        <v>46273</v>
      </c>
      <c r="D191" t="s">
        <v>35</v>
      </c>
      <c r="E191" t="s">
        <v>36</v>
      </c>
      <c r="F191" t="s">
        <v>37</v>
      </c>
      <c r="G191">
        <v>25328</v>
      </c>
      <c r="H191" t="s">
        <v>625</v>
      </c>
      <c r="I191" t="s">
        <v>626</v>
      </c>
      <c r="J191" t="s">
        <v>161</v>
      </c>
      <c r="O191" t="s">
        <v>627</v>
      </c>
      <c r="P191">
        <v>802</v>
      </c>
      <c r="Q191">
        <v>810.95</v>
      </c>
      <c r="R191">
        <v>792.6</v>
      </c>
      <c r="S191">
        <v>808.5</v>
      </c>
      <c r="T191">
        <v>810</v>
      </c>
      <c r="U191">
        <v>799.55</v>
      </c>
      <c r="W191">
        <v>808.52</v>
      </c>
      <c r="Z191">
        <v>200271</v>
      </c>
      <c r="AA191">
        <v>160623207.15000001</v>
      </c>
      <c r="AB191">
        <v>12802</v>
      </c>
      <c r="AC191" t="s">
        <v>42</v>
      </c>
      <c r="AD191">
        <v>1</v>
      </c>
    </row>
    <row r="192" spans="1:30">
      <c r="A192" t="str">
        <f>CONCATENATE(I192,J192)</f>
        <v>ALGOQUANTEQ</v>
      </c>
      <c r="B192" s="34">
        <v>46273</v>
      </c>
      <c r="C192" s="34">
        <v>46273</v>
      </c>
      <c r="D192" t="s">
        <v>35</v>
      </c>
      <c r="E192" t="s">
        <v>36</v>
      </c>
      <c r="F192" t="s">
        <v>37</v>
      </c>
      <c r="G192">
        <v>761270</v>
      </c>
      <c r="H192" t="s">
        <v>628</v>
      </c>
      <c r="I192" t="s">
        <v>629</v>
      </c>
      <c r="J192" t="s">
        <v>161</v>
      </c>
      <c r="O192" t="s">
        <v>630</v>
      </c>
      <c r="P192">
        <v>63.89</v>
      </c>
      <c r="Q192">
        <v>64.400000000000006</v>
      </c>
      <c r="R192">
        <v>63.5</v>
      </c>
      <c r="S192">
        <v>63.7</v>
      </c>
      <c r="T192">
        <v>63.77</v>
      </c>
      <c r="U192">
        <v>63.89</v>
      </c>
      <c r="W192">
        <v>63.7</v>
      </c>
      <c r="Z192">
        <v>926998</v>
      </c>
      <c r="AA192">
        <v>59072918.509999998</v>
      </c>
      <c r="AB192">
        <v>1328</v>
      </c>
      <c r="AC192" t="s">
        <v>42</v>
      </c>
      <c r="AD192">
        <v>1</v>
      </c>
    </row>
    <row r="193" spans="1:30">
      <c r="A193" t="str">
        <f>CONCATENATE(I193,J193)</f>
        <v>ALICONEQ</v>
      </c>
      <c r="B193" s="34">
        <v>46273</v>
      </c>
      <c r="C193" s="34">
        <v>46273</v>
      </c>
      <c r="D193" t="s">
        <v>35</v>
      </c>
      <c r="E193" t="s">
        <v>36</v>
      </c>
      <c r="F193" t="s">
        <v>37</v>
      </c>
      <c r="G193">
        <v>13656</v>
      </c>
      <c r="H193" t="s">
        <v>631</v>
      </c>
      <c r="I193" t="s">
        <v>632</v>
      </c>
      <c r="J193" t="s">
        <v>161</v>
      </c>
      <c r="O193" t="s">
        <v>633</v>
      </c>
      <c r="P193">
        <v>681.75</v>
      </c>
      <c r="Q193">
        <v>700</v>
      </c>
      <c r="R193">
        <v>670</v>
      </c>
      <c r="S193">
        <v>695.45</v>
      </c>
      <c r="T193">
        <v>700</v>
      </c>
      <c r="U193">
        <v>681.75</v>
      </c>
      <c r="W193">
        <v>695.45</v>
      </c>
      <c r="Z193">
        <v>29919</v>
      </c>
      <c r="AA193">
        <v>20590258.199999999</v>
      </c>
      <c r="AB193">
        <v>2159</v>
      </c>
      <c r="AC193" t="s">
        <v>42</v>
      </c>
      <c r="AD193">
        <v>1</v>
      </c>
    </row>
    <row r="194" spans="1:30">
      <c r="A194" t="str">
        <f>CONCATENATE(I194,J194)</f>
        <v>ALIVUSEQ</v>
      </c>
      <c r="B194" s="34">
        <v>46273</v>
      </c>
      <c r="C194" s="34">
        <v>46273</v>
      </c>
      <c r="D194" t="s">
        <v>35</v>
      </c>
      <c r="E194" t="s">
        <v>36</v>
      </c>
      <c r="F194" t="s">
        <v>37</v>
      </c>
      <c r="G194">
        <v>5265</v>
      </c>
      <c r="H194" t="s">
        <v>634</v>
      </c>
      <c r="I194" t="s">
        <v>635</v>
      </c>
      <c r="J194" t="s">
        <v>161</v>
      </c>
      <c r="O194" t="s">
        <v>636</v>
      </c>
      <c r="P194">
        <v>1390.7</v>
      </c>
      <c r="Q194">
        <v>1399.8</v>
      </c>
      <c r="R194">
        <v>1364.6</v>
      </c>
      <c r="S194">
        <v>1372</v>
      </c>
      <c r="T194">
        <v>1374.9</v>
      </c>
      <c r="U194">
        <v>1388.9</v>
      </c>
      <c r="W194">
        <v>1372.04</v>
      </c>
      <c r="Z194">
        <v>105792</v>
      </c>
      <c r="AA194">
        <v>146086281.30000001</v>
      </c>
      <c r="AB194">
        <v>9081</v>
      </c>
      <c r="AC194" t="s">
        <v>42</v>
      </c>
      <c r="AD194">
        <v>1</v>
      </c>
    </row>
    <row r="195" spans="1:30">
      <c r="A195" t="str">
        <f>CONCATENATE(I195,J195)</f>
        <v>ALKALIEQ</v>
      </c>
      <c r="B195" s="34">
        <v>46273</v>
      </c>
      <c r="C195" s="34">
        <v>46273</v>
      </c>
      <c r="D195" t="s">
        <v>35</v>
      </c>
      <c r="E195" t="s">
        <v>36</v>
      </c>
      <c r="F195" t="s">
        <v>37</v>
      </c>
      <c r="G195">
        <v>16959</v>
      </c>
      <c r="H195" t="s">
        <v>637</v>
      </c>
      <c r="I195" t="s">
        <v>638</v>
      </c>
      <c r="J195" t="s">
        <v>161</v>
      </c>
      <c r="O195" t="s">
        <v>639</v>
      </c>
      <c r="P195">
        <v>86.99</v>
      </c>
      <c r="Q195">
        <v>93.95</v>
      </c>
      <c r="R195">
        <v>85</v>
      </c>
      <c r="S195">
        <v>87.34</v>
      </c>
      <c r="T195">
        <v>88</v>
      </c>
      <c r="U195">
        <v>78.66</v>
      </c>
      <c r="W195">
        <v>87.36</v>
      </c>
      <c r="Z195">
        <v>516831</v>
      </c>
      <c r="AA195">
        <v>46672088.100000001</v>
      </c>
      <c r="AB195">
        <v>6428</v>
      </c>
      <c r="AC195" t="s">
        <v>42</v>
      </c>
      <c r="AD195">
        <v>1</v>
      </c>
    </row>
    <row r="196" spans="1:30">
      <c r="A196" t="str">
        <f>CONCATENATE(I196,J196)</f>
        <v>ALKEMEQ</v>
      </c>
      <c r="B196" s="34">
        <v>46273</v>
      </c>
      <c r="C196" s="34">
        <v>46273</v>
      </c>
      <c r="D196" t="s">
        <v>35</v>
      </c>
      <c r="E196" t="s">
        <v>36</v>
      </c>
      <c r="F196" t="s">
        <v>37</v>
      </c>
      <c r="G196">
        <v>11703</v>
      </c>
      <c r="H196" t="s">
        <v>640</v>
      </c>
      <c r="I196" t="s">
        <v>641</v>
      </c>
      <c r="J196" t="s">
        <v>161</v>
      </c>
      <c r="O196" t="s">
        <v>642</v>
      </c>
      <c r="P196">
        <v>5172.5</v>
      </c>
      <c r="Q196">
        <v>5206.5</v>
      </c>
      <c r="R196">
        <v>5129.5</v>
      </c>
      <c r="S196">
        <v>5181</v>
      </c>
      <c r="T196">
        <v>5181</v>
      </c>
      <c r="U196">
        <v>5242.5</v>
      </c>
      <c r="W196">
        <v>5181.13</v>
      </c>
      <c r="Z196">
        <v>75997</v>
      </c>
      <c r="AA196">
        <v>393966144.5</v>
      </c>
      <c r="AB196">
        <v>11261</v>
      </c>
      <c r="AC196" t="s">
        <v>42</v>
      </c>
      <c r="AD196">
        <v>1</v>
      </c>
    </row>
    <row r="197" spans="1:30">
      <c r="A197" t="str">
        <f>CONCATENATE(I197,J197)</f>
        <v>ALKYLAMINEEQ</v>
      </c>
      <c r="B197" s="34">
        <v>46273</v>
      </c>
      <c r="C197" s="34">
        <v>46273</v>
      </c>
      <c r="D197" t="s">
        <v>35</v>
      </c>
      <c r="E197" t="s">
        <v>36</v>
      </c>
      <c r="F197" t="s">
        <v>37</v>
      </c>
      <c r="G197">
        <v>4487</v>
      </c>
      <c r="H197" t="s">
        <v>643</v>
      </c>
      <c r="I197" t="s">
        <v>644</v>
      </c>
      <c r="J197" t="s">
        <v>161</v>
      </c>
      <c r="O197" t="s">
        <v>645</v>
      </c>
      <c r="P197">
        <v>1999.9</v>
      </c>
      <c r="Q197">
        <v>2015</v>
      </c>
      <c r="R197">
        <v>1960.1</v>
      </c>
      <c r="S197">
        <v>1970.7</v>
      </c>
      <c r="T197">
        <v>1975.1</v>
      </c>
      <c r="U197">
        <v>1986.3</v>
      </c>
      <c r="W197">
        <v>1970.73</v>
      </c>
      <c r="Z197">
        <v>55726</v>
      </c>
      <c r="AA197">
        <v>110369857.09999999</v>
      </c>
      <c r="AB197">
        <v>8538</v>
      </c>
      <c r="AC197" t="s">
        <v>42</v>
      </c>
      <c r="AD197">
        <v>1</v>
      </c>
    </row>
    <row r="198" spans="1:30">
      <c r="A198" t="str">
        <f>CONCATENATE(I198,J198)</f>
        <v>ALLETECSM</v>
      </c>
      <c r="B198" s="34">
        <v>46273</v>
      </c>
      <c r="C198" s="34">
        <v>46273</v>
      </c>
      <c r="D198" t="s">
        <v>35</v>
      </c>
      <c r="E198" t="s">
        <v>36</v>
      </c>
      <c r="F198" t="s">
        <v>37</v>
      </c>
      <c r="G198">
        <v>13203</v>
      </c>
      <c r="H198" t="s">
        <v>646</v>
      </c>
      <c r="I198" t="s">
        <v>647</v>
      </c>
      <c r="J198" t="s">
        <v>267</v>
      </c>
      <c r="O198" t="s">
        <v>648</v>
      </c>
      <c r="P198">
        <v>149.9</v>
      </c>
      <c r="Q198">
        <v>149.9</v>
      </c>
      <c r="R198">
        <v>136</v>
      </c>
      <c r="S198">
        <v>138.05000000000001</v>
      </c>
      <c r="T198">
        <v>137.6</v>
      </c>
      <c r="U198">
        <v>143.9</v>
      </c>
      <c r="W198">
        <v>138.05000000000001</v>
      </c>
      <c r="Z198">
        <v>23600</v>
      </c>
      <c r="AA198">
        <v>3294780</v>
      </c>
      <c r="AB198">
        <v>53</v>
      </c>
      <c r="AC198" t="s">
        <v>42</v>
      </c>
      <c r="AD198">
        <v>400</v>
      </c>
    </row>
    <row r="199" spans="1:30">
      <c r="A199" t="str">
        <f>CONCATENATE(I199,J199)</f>
        <v>ALLTIMEEQ</v>
      </c>
      <c r="B199" s="34">
        <v>46273</v>
      </c>
      <c r="C199" s="34">
        <v>46273</v>
      </c>
      <c r="D199" t="s">
        <v>35</v>
      </c>
      <c r="E199" t="s">
        <v>36</v>
      </c>
      <c r="F199" t="s">
        <v>37</v>
      </c>
      <c r="G199">
        <v>758448</v>
      </c>
      <c r="H199" t="s">
        <v>649</v>
      </c>
      <c r="I199" t="s">
        <v>650</v>
      </c>
      <c r="J199" t="s">
        <v>161</v>
      </c>
      <c r="O199" t="s">
        <v>651</v>
      </c>
      <c r="P199">
        <v>215</v>
      </c>
      <c r="Q199">
        <v>216</v>
      </c>
      <c r="R199">
        <v>209.5</v>
      </c>
      <c r="S199">
        <v>211.46</v>
      </c>
      <c r="T199">
        <v>211.8</v>
      </c>
      <c r="U199">
        <v>214.65</v>
      </c>
      <c r="W199">
        <v>211.46</v>
      </c>
      <c r="Z199">
        <v>38728</v>
      </c>
      <c r="AA199">
        <v>8230962.3799999999</v>
      </c>
      <c r="AB199">
        <v>925</v>
      </c>
      <c r="AC199" t="s">
        <v>42</v>
      </c>
      <c r="AD199">
        <v>1</v>
      </c>
    </row>
    <row r="200" spans="1:30">
      <c r="A200" t="str">
        <f>CONCATENATE(I200,J200)</f>
        <v>AGLEQ</v>
      </c>
      <c r="B200" s="34">
        <v>46273</v>
      </c>
      <c r="C200" s="34">
        <v>46273</v>
      </c>
      <c r="D200" t="s">
        <v>35</v>
      </c>
      <c r="E200" t="s">
        <v>36</v>
      </c>
      <c r="F200" t="s">
        <v>37</v>
      </c>
      <c r="G200">
        <v>763784</v>
      </c>
      <c r="H200" t="s">
        <v>652</v>
      </c>
      <c r="I200" t="s">
        <v>653</v>
      </c>
      <c r="J200" t="s">
        <v>161</v>
      </c>
      <c r="O200" t="s">
        <v>654</v>
      </c>
      <c r="P200">
        <v>13.57</v>
      </c>
      <c r="Q200">
        <v>16.23</v>
      </c>
      <c r="R200">
        <v>13.55</v>
      </c>
      <c r="S200">
        <v>16.02</v>
      </c>
      <c r="T200">
        <v>16.04</v>
      </c>
      <c r="U200">
        <v>13.58</v>
      </c>
      <c r="W200">
        <v>16.02</v>
      </c>
      <c r="Z200">
        <v>54467549</v>
      </c>
      <c r="AA200">
        <v>846217870.67999995</v>
      </c>
      <c r="AB200">
        <v>87442</v>
      </c>
      <c r="AC200" t="s">
        <v>42</v>
      </c>
      <c r="AD200">
        <v>1</v>
      </c>
    </row>
    <row r="201" spans="1:30">
      <c r="A201" t="str">
        <f>CONCATENATE(I201,J201)</f>
        <v>ALLCARGOEQ</v>
      </c>
      <c r="B201" s="34">
        <v>46273</v>
      </c>
      <c r="C201" s="34">
        <v>46273</v>
      </c>
      <c r="D201" t="s">
        <v>35</v>
      </c>
      <c r="E201" t="s">
        <v>36</v>
      </c>
      <c r="F201" t="s">
        <v>37</v>
      </c>
      <c r="G201">
        <v>13501</v>
      </c>
      <c r="H201" t="s">
        <v>655</v>
      </c>
      <c r="I201" t="s">
        <v>656</v>
      </c>
      <c r="J201" t="s">
        <v>161</v>
      </c>
      <c r="O201" t="s">
        <v>657</v>
      </c>
      <c r="P201">
        <v>12.67</v>
      </c>
      <c r="Q201">
        <v>13.24</v>
      </c>
      <c r="R201">
        <v>12.6</v>
      </c>
      <c r="S201">
        <v>13.02</v>
      </c>
      <c r="T201">
        <v>13.07</v>
      </c>
      <c r="U201">
        <v>12.67</v>
      </c>
      <c r="W201">
        <v>13.02</v>
      </c>
      <c r="Z201">
        <v>25792094</v>
      </c>
      <c r="AA201">
        <v>335946576.94</v>
      </c>
      <c r="AB201">
        <v>24706</v>
      </c>
      <c r="AC201" t="s">
        <v>42</v>
      </c>
      <c r="AD201">
        <v>1</v>
      </c>
    </row>
    <row r="202" spans="1:30">
      <c r="A202" t="str">
        <f>CONCATENATE(I202,J202)</f>
        <v>ATLEQ</v>
      </c>
      <c r="B202" s="34">
        <v>46273</v>
      </c>
      <c r="C202" s="34">
        <v>46273</v>
      </c>
      <c r="D202" t="s">
        <v>35</v>
      </c>
      <c r="E202" t="s">
        <v>36</v>
      </c>
      <c r="F202" t="s">
        <v>37</v>
      </c>
      <c r="G202">
        <v>17778</v>
      </c>
      <c r="H202" t="s">
        <v>658</v>
      </c>
      <c r="I202" t="s">
        <v>659</v>
      </c>
      <c r="J202" t="s">
        <v>161</v>
      </c>
      <c r="O202" t="s">
        <v>660</v>
      </c>
      <c r="P202">
        <v>25.45</v>
      </c>
      <c r="Q202">
        <v>26.44</v>
      </c>
      <c r="R202">
        <v>24.85</v>
      </c>
      <c r="S202">
        <v>25.82</v>
      </c>
      <c r="T202">
        <v>25.8</v>
      </c>
      <c r="U202">
        <v>25.03</v>
      </c>
      <c r="W202">
        <v>25.82</v>
      </c>
      <c r="Z202">
        <v>362830</v>
      </c>
      <c r="AA202">
        <v>9361277.2799999993</v>
      </c>
      <c r="AB202">
        <v>2054</v>
      </c>
      <c r="AC202" t="s">
        <v>42</v>
      </c>
      <c r="AD202">
        <v>1</v>
      </c>
    </row>
    <row r="203" spans="1:30">
      <c r="A203" t="str">
        <f>CONCATENATE(I203,J203)</f>
        <v>ALLDIGIEQ</v>
      </c>
      <c r="B203" s="34">
        <v>46273</v>
      </c>
      <c r="C203" s="34">
        <v>46273</v>
      </c>
      <c r="D203" t="s">
        <v>35</v>
      </c>
      <c r="E203" t="s">
        <v>36</v>
      </c>
      <c r="F203" t="s">
        <v>37</v>
      </c>
      <c r="G203">
        <v>11798</v>
      </c>
      <c r="H203" t="s">
        <v>661</v>
      </c>
      <c r="I203" t="s">
        <v>662</v>
      </c>
      <c r="J203" t="s">
        <v>161</v>
      </c>
      <c r="O203" t="s">
        <v>663</v>
      </c>
      <c r="P203">
        <v>810.3</v>
      </c>
      <c r="Q203">
        <v>813.6</v>
      </c>
      <c r="R203">
        <v>801.55</v>
      </c>
      <c r="S203">
        <v>804.9</v>
      </c>
      <c r="T203">
        <v>802</v>
      </c>
      <c r="U203">
        <v>810.3</v>
      </c>
      <c r="W203">
        <v>804.69</v>
      </c>
      <c r="Z203">
        <v>4118</v>
      </c>
      <c r="AA203">
        <v>3316511</v>
      </c>
      <c r="AB203">
        <v>269</v>
      </c>
      <c r="AC203" t="s">
        <v>42</v>
      </c>
      <c r="AD203">
        <v>1</v>
      </c>
    </row>
    <row r="204" spans="1:30">
      <c r="A204" t="str">
        <f>CONCATENATE(I204,J204)</f>
        <v>ABDLEQ</v>
      </c>
      <c r="B204" s="34">
        <v>46273</v>
      </c>
      <c r="C204" s="34">
        <v>46273</v>
      </c>
      <c r="D204" t="s">
        <v>35</v>
      </c>
      <c r="E204" t="s">
        <v>36</v>
      </c>
      <c r="F204" t="s">
        <v>37</v>
      </c>
      <c r="G204">
        <v>24308</v>
      </c>
      <c r="H204" t="s">
        <v>664</v>
      </c>
      <c r="I204" t="s">
        <v>665</v>
      </c>
      <c r="J204" t="s">
        <v>161</v>
      </c>
      <c r="O204" t="s">
        <v>666</v>
      </c>
      <c r="P204">
        <v>600.95000000000005</v>
      </c>
      <c r="Q204">
        <v>603</v>
      </c>
      <c r="R204">
        <v>591.35</v>
      </c>
      <c r="S204">
        <v>594.5</v>
      </c>
      <c r="T204">
        <v>595</v>
      </c>
      <c r="U204">
        <v>600</v>
      </c>
      <c r="W204">
        <v>594.5</v>
      </c>
      <c r="Z204">
        <v>204726</v>
      </c>
      <c r="AA204">
        <v>121899588.40000001</v>
      </c>
      <c r="AB204">
        <v>9200</v>
      </c>
      <c r="AC204" t="s">
        <v>42</v>
      </c>
      <c r="AD204">
        <v>1</v>
      </c>
    </row>
    <row r="205" spans="1:30">
      <c r="A205" t="str">
        <f>CONCATENATE(I205,J205)</f>
        <v>ADSLEQ</v>
      </c>
      <c r="B205" s="34">
        <v>46273</v>
      </c>
      <c r="C205" s="34">
        <v>46273</v>
      </c>
      <c r="D205" t="s">
        <v>35</v>
      </c>
      <c r="E205" t="s">
        <v>36</v>
      </c>
      <c r="F205" t="s">
        <v>37</v>
      </c>
      <c r="G205">
        <v>14813</v>
      </c>
      <c r="H205" t="s">
        <v>667</v>
      </c>
      <c r="I205" t="s">
        <v>668</v>
      </c>
      <c r="J205" t="s">
        <v>161</v>
      </c>
      <c r="O205" t="s">
        <v>669</v>
      </c>
      <c r="P205">
        <v>101.55</v>
      </c>
      <c r="Q205">
        <v>102</v>
      </c>
      <c r="R205">
        <v>99.75</v>
      </c>
      <c r="S205">
        <v>101.23</v>
      </c>
      <c r="T205">
        <v>102</v>
      </c>
      <c r="U205">
        <v>101.46</v>
      </c>
      <c r="W205">
        <v>101.22</v>
      </c>
      <c r="Z205">
        <v>91732</v>
      </c>
      <c r="AA205">
        <v>9227997.4199999999</v>
      </c>
      <c r="AB205">
        <v>1742</v>
      </c>
      <c r="AC205" t="s">
        <v>42</v>
      </c>
      <c r="AD205">
        <v>1</v>
      </c>
    </row>
    <row r="206" spans="1:30">
      <c r="A206" t="str">
        <f>CONCATENATE(I206,J206)</f>
        <v>ALMONDZEQ</v>
      </c>
      <c r="B206" s="34">
        <v>46273</v>
      </c>
      <c r="C206" s="34">
        <v>46273</v>
      </c>
      <c r="D206" t="s">
        <v>35</v>
      </c>
      <c r="E206" t="s">
        <v>36</v>
      </c>
      <c r="F206" t="s">
        <v>37</v>
      </c>
      <c r="G206">
        <v>16719</v>
      </c>
      <c r="H206" t="s">
        <v>670</v>
      </c>
      <c r="I206" t="s">
        <v>671</v>
      </c>
      <c r="J206" t="s">
        <v>161</v>
      </c>
      <c r="O206" t="s">
        <v>672</v>
      </c>
      <c r="P206">
        <v>19.95</v>
      </c>
      <c r="Q206">
        <v>20</v>
      </c>
      <c r="R206">
        <v>19.02</v>
      </c>
      <c r="S206">
        <v>19.61</v>
      </c>
      <c r="T206">
        <v>19.600000000000001</v>
      </c>
      <c r="U206">
        <v>19.2</v>
      </c>
      <c r="W206">
        <v>19.61</v>
      </c>
      <c r="Z206">
        <v>368472</v>
      </c>
      <c r="AA206">
        <v>7198247.9699999997</v>
      </c>
      <c r="AB206">
        <v>1329</v>
      </c>
      <c r="AC206" t="s">
        <v>42</v>
      </c>
      <c r="AD206">
        <v>1</v>
      </c>
    </row>
    <row r="207" spans="1:30">
      <c r="A207" t="str">
        <f>CONCATENATE(I207,J207)</f>
        <v>ALOKINDSEQ</v>
      </c>
      <c r="B207" s="34">
        <v>46273</v>
      </c>
      <c r="C207" s="34">
        <v>46273</v>
      </c>
      <c r="D207" t="s">
        <v>35</v>
      </c>
      <c r="E207" t="s">
        <v>36</v>
      </c>
      <c r="F207" t="s">
        <v>37</v>
      </c>
      <c r="G207">
        <v>17675</v>
      </c>
      <c r="H207" t="s">
        <v>673</v>
      </c>
      <c r="I207" t="s">
        <v>674</v>
      </c>
      <c r="J207" t="s">
        <v>161</v>
      </c>
      <c r="O207" t="s">
        <v>675</v>
      </c>
      <c r="P207">
        <v>7.64</v>
      </c>
      <c r="Q207">
        <v>7.89</v>
      </c>
      <c r="R207">
        <v>7.38</v>
      </c>
      <c r="S207">
        <v>7.46</v>
      </c>
      <c r="T207">
        <v>7.55</v>
      </c>
      <c r="U207">
        <v>7.6</v>
      </c>
      <c r="W207">
        <v>7.46</v>
      </c>
      <c r="Z207">
        <v>28757241</v>
      </c>
      <c r="AA207">
        <v>218702786.58000001</v>
      </c>
      <c r="AB207">
        <v>20801</v>
      </c>
      <c r="AC207" t="s">
        <v>42</v>
      </c>
      <c r="AD207">
        <v>1</v>
      </c>
    </row>
    <row r="208" spans="1:30">
      <c r="A208" t="str">
        <f>CONCATENATE(I208,J208)</f>
        <v>ALPAEQ</v>
      </c>
      <c r="B208" s="34">
        <v>46273</v>
      </c>
      <c r="C208" s="34">
        <v>46273</v>
      </c>
      <c r="D208" t="s">
        <v>35</v>
      </c>
      <c r="E208" t="s">
        <v>36</v>
      </c>
      <c r="F208" t="s">
        <v>37</v>
      </c>
      <c r="G208">
        <v>14848</v>
      </c>
      <c r="H208" t="s">
        <v>676</v>
      </c>
      <c r="I208" t="s">
        <v>677</v>
      </c>
      <c r="J208" t="s">
        <v>161</v>
      </c>
      <c r="O208" t="s">
        <v>678</v>
      </c>
      <c r="P208">
        <v>62</v>
      </c>
      <c r="Q208">
        <v>65</v>
      </c>
      <c r="R208">
        <v>61.7</v>
      </c>
      <c r="S208">
        <v>63.17</v>
      </c>
      <c r="T208">
        <v>63</v>
      </c>
      <c r="U208">
        <v>62.17</v>
      </c>
      <c r="W208">
        <v>63.17</v>
      </c>
      <c r="Z208">
        <v>28762</v>
      </c>
      <c r="AA208">
        <v>1821396.61</v>
      </c>
      <c r="AB208">
        <v>386</v>
      </c>
      <c r="AC208" t="s">
        <v>42</v>
      </c>
      <c r="AD208">
        <v>1</v>
      </c>
    </row>
    <row r="209" spans="1:30">
      <c r="A209" t="str">
        <f>CONCATENATE(I209,J209)</f>
        <v>ALPEXSOLARSM</v>
      </c>
      <c r="B209" s="34">
        <v>46273</v>
      </c>
      <c r="C209" s="34">
        <v>46273</v>
      </c>
      <c r="D209" t="s">
        <v>35</v>
      </c>
      <c r="E209" t="s">
        <v>36</v>
      </c>
      <c r="F209" t="s">
        <v>37</v>
      </c>
      <c r="G209">
        <v>22688</v>
      </c>
      <c r="H209" t="s">
        <v>679</v>
      </c>
      <c r="I209" t="s">
        <v>680</v>
      </c>
      <c r="J209" t="s">
        <v>267</v>
      </c>
      <c r="O209" t="s">
        <v>681</v>
      </c>
      <c r="P209">
        <v>945</v>
      </c>
      <c r="Q209">
        <v>950.05</v>
      </c>
      <c r="R209">
        <v>880.15</v>
      </c>
      <c r="S209">
        <v>924.9</v>
      </c>
      <c r="T209">
        <v>927</v>
      </c>
      <c r="U209">
        <v>933.9</v>
      </c>
      <c r="W209">
        <v>924.9</v>
      </c>
      <c r="Z209">
        <v>65000</v>
      </c>
      <c r="AA209">
        <v>60460295</v>
      </c>
      <c r="AB209">
        <v>492</v>
      </c>
      <c r="AC209" t="s">
        <v>42</v>
      </c>
      <c r="AD209">
        <v>100</v>
      </c>
    </row>
    <row r="210" spans="1:30">
      <c r="A210" t="str">
        <f>CONCATENATE(I210,J210)</f>
        <v>ALPHAGEOBE</v>
      </c>
      <c r="B210" s="34">
        <v>46273</v>
      </c>
      <c r="C210" s="34">
        <v>46273</v>
      </c>
      <c r="D210" t="s">
        <v>35</v>
      </c>
      <c r="E210" t="s">
        <v>36</v>
      </c>
      <c r="F210" t="s">
        <v>37</v>
      </c>
      <c r="G210">
        <v>14601</v>
      </c>
      <c r="H210" t="s">
        <v>682</v>
      </c>
      <c r="I210" t="s">
        <v>683</v>
      </c>
      <c r="J210" t="s">
        <v>183</v>
      </c>
      <c r="O210" t="s">
        <v>684</v>
      </c>
      <c r="P210">
        <v>328</v>
      </c>
      <c r="Q210">
        <v>328</v>
      </c>
      <c r="R210">
        <v>318.3</v>
      </c>
      <c r="S210">
        <v>323.10000000000002</v>
      </c>
      <c r="T210">
        <v>324</v>
      </c>
      <c r="U210">
        <v>324.55</v>
      </c>
      <c r="W210">
        <v>323.10000000000002</v>
      </c>
      <c r="Z210">
        <v>4182</v>
      </c>
      <c r="AA210">
        <v>1347121.2</v>
      </c>
      <c r="AB210">
        <v>126</v>
      </c>
      <c r="AC210" t="s">
        <v>42</v>
      </c>
      <c r="AD210">
        <v>1</v>
      </c>
    </row>
    <row r="211" spans="1:30">
      <c r="A211" t="str">
        <f>CONCATENATE(I211,J211)</f>
        <v>ALPINETEXEQ</v>
      </c>
      <c r="B211" s="34">
        <v>46273</v>
      </c>
      <c r="C211" s="34">
        <v>46273</v>
      </c>
      <c r="D211" t="s">
        <v>35</v>
      </c>
      <c r="E211" t="s">
        <v>36</v>
      </c>
      <c r="F211" t="s">
        <v>37</v>
      </c>
      <c r="G211">
        <v>764186</v>
      </c>
      <c r="H211" t="s">
        <v>685</v>
      </c>
      <c r="I211" t="s">
        <v>686</v>
      </c>
      <c r="J211" t="s">
        <v>161</v>
      </c>
      <c r="O211" t="s">
        <v>687</v>
      </c>
      <c r="P211">
        <v>63.17</v>
      </c>
      <c r="Q211">
        <v>64.75</v>
      </c>
      <c r="R211">
        <v>62</v>
      </c>
      <c r="S211">
        <v>62.6</v>
      </c>
      <c r="T211">
        <v>62.7</v>
      </c>
      <c r="U211">
        <v>63.17</v>
      </c>
      <c r="W211">
        <v>62.57</v>
      </c>
      <c r="Z211">
        <v>266877</v>
      </c>
      <c r="AA211">
        <v>16905093.559999999</v>
      </c>
      <c r="AB211">
        <v>2611</v>
      </c>
      <c r="AC211" t="s">
        <v>42</v>
      </c>
      <c r="AD211">
        <v>1</v>
      </c>
    </row>
    <row r="212" spans="1:30">
      <c r="A212" t="str">
        <f>CONCATENATE(I212,J212)</f>
        <v>ALUFLUOREQ</v>
      </c>
      <c r="B212" s="34">
        <v>46273</v>
      </c>
      <c r="C212" s="34">
        <v>46273</v>
      </c>
      <c r="D212" t="s">
        <v>35</v>
      </c>
      <c r="E212" t="s">
        <v>36</v>
      </c>
      <c r="F212" t="s">
        <v>37</v>
      </c>
      <c r="G212">
        <v>764578</v>
      </c>
      <c r="H212" t="s">
        <v>688</v>
      </c>
      <c r="I212" t="s">
        <v>689</v>
      </c>
      <c r="J212" t="s">
        <v>161</v>
      </c>
      <c r="O212" t="s">
        <v>690</v>
      </c>
      <c r="P212">
        <v>502.5</v>
      </c>
      <c r="Q212">
        <v>506</v>
      </c>
      <c r="R212">
        <v>498</v>
      </c>
      <c r="S212">
        <v>503.75</v>
      </c>
      <c r="T212">
        <v>506</v>
      </c>
      <c r="U212">
        <v>499.15</v>
      </c>
      <c r="W212">
        <v>503.86</v>
      </c>
      <c r="Z212">
        <v>5727</v>
      </c>
      <c r="AA212">
        <v>2863605.35</v>
      </c>
      <c r="AB212">
        <v>264</v>
      </c>
      <c r="AC212" t="s">
        <v>42</v>
      </c>
      <c r="AD212">
        <v>1</v>
      </c>
    </row>
    <row r="213" spans="1:30">
      <c r="A213" t="str">
        <f>CONCATENATE(I213,J213)</f>
        <v>ALUWINDSM</v>
      </c>
      <c r="B213" s="34">
        <v>46273</v>
      </c>
      <c r="C213" s="34">
        <v>46273</v>
      </c>
      <c r="D213" t="s">
        <v>35</v>
      </c>
      <c r="E213" t="s">
        <v>36</v>
      </c>
      <c r="F213" t="s">
        <v>37</v>
      </c>
      <c r="G213">
        <v>23474</v>
      </c>
      <c r="H213" t="s">
        <v>691</v>
      </c>
      <c r="I213" t="s">
        <v>692</v>
      </c>
      <c r="J213" t="s">
        <v>267</v>
      </c>
      <c r="O213" t="s">
        <v>693</v>
      </c>
      <c r="P213">
        <v>46.6</v>
      </c>
      <c r="Q213">
        <v>47.8</v>
      </c>
      <c r="R213">
        <v>46.6</v>
      </c>
      <c r="S213">
        <v>46.7</v>
      </c>
      <c r="T213">
        <v>46.6</v>
      </c>
      <c r="U213">
        <v>48</v>
      </c>
      <c r="W213">
        <v>46.7</v>
      </c>
      <c r="Z213">
        <v>13500</v>
      </c>
      <c r="AA213">
        <v>631800</v>
      </c>
      <c r="AB213">
        <v>9</v>
      </c>
      <c r="AC213" t="s">
        <v>42</v>
      </c>
      <c r="AD213">
        <v>1500</v>
      </c>
    </row>
    <row r="214" spans="1:30">
      <c r="A214" t="str">
        <f>CONCATENATE(I214,J214)</f>
        <v>AMAGIEQ</v>
      </c>
      <c r="B214" s="34">
        <v>46273</v>
      </c>
      <c r="C214" s="34">
        <v>46273</v>
      </c>
      <c r="D214" t="s">
        <v>35</v>
      </c>
      <c r="E214" t="s">
        <v>36</v>
      </c>
      <c r="F214" t="s">
        <v>37</v>
      </c>
      <c r="G214">
        <v>760740</v>
      </c>
      <c r="H214" t="s">
        <v>694</v>
      </c>
      <c r="I214" t="s">
        <v>695</v>
      </c>
      <c r="J214" t="s">
        <v>161</v>
      </c>
      <c r="O214" t="s">
        <v>696</v>
      </c>
      <c r="P214">
        <v>568.15</v>
      </c>
      <c r="Q214">
        <v>578.85</v>
      </c>
      <c r="R214">
        <v>564.5</v>
      </c>
      <c r="S214">
        <v>576.15</v>
      </c>
      <c r="T214">
        <v>575</v>
      </c>
      <c r="U214">
        <v>575.15</v>
      </c>
      <c r="W214">
        <v>576.14</v>
      </c>
      <c r="Z214">
        <v>161239</v>
      </c>
      <c r="AA214">
        <v>92059655.650000006</v>
      </c>
      <c r="AB214">
        <v>9567</v>
      </c>
      <c r="AC214" t="s">
        <v>42</v>
      </c>
      <c r="AD214">
        <v>1</v>
      </c>
    </row>
    <row r="215" spans="1:30">
      <c r="A215" t="str">
        <f>CONCATENATE(I215,J215)</f>
        <v>AMALEQ</v>
      </c>
      <c r="B215" s="34">
        <v>46273</v>
      </c>
      <c r="C215" s="34">
        <v>46273</v>
      </c>
      <c r="D215" t="s">
        <v>35</v>
      </c>
      <c r="E215" t="s">
        <v>36</v>
      </c>
      <c r="F215" t="s">
        <v>37</v>
      </c>
      <c r="G215">
        <v>764583</v>
      </c>
      <c r="H215" t="s">
        <v>697</v>
      </c>
      <c r="I215" t="s">
        <v>698</v>
      </c>
      <c r="J215" t="s">
        <v>161</v>
      </c>
      <c r="O215" t="s">
        <v>699</v>
      </c>
      <c r="P215">
        <v>764</v>
      </c>
      <c r="Q215">
        <v>764</v>
      </c>
      <c r="R215">
        <v>745.15</v>
      </c>
      <c r="S215">
        <v>757.85</v>
      </c>
      <c r="T215">
        <v>759</v>
      </c>
      <c r="U215">
        <v>758.85</v>
      </c>
      <c r="W215">
        <v>757.66</v>
      </c>
      <c r="Z215">
        <v>4498</v>
      </c>
      <c r="AA215">
        <v>3398454.5</v>
      </c>
      <c r="AB215">
        <v>391</v>
      </c>
      <c r="AC215" t="s">
        <v>42</v>
      </c>
      <c r="AD215">
        <v>1</v>
      </c>
    </row>
    <row r="216" spans="1:30">
      <c r="A216" t="str">
        <f>CONCATENATE(I216,J216)</f>
        <v>AMANTABE</v>
      </c>
      <c r="B216" s="34">
        <v>46273</v>
      </c>
      <c r="C216" s="34">
        <v>46273</v>
      </c>
      <c r="D216" t="s">
        <v>35</v>
      </c>
      <c r="E216" t="s">
        <v>36</v>
      </c>
      <c r="F216" t="s">
        <v>37</v>
      </c>
      <c r="G216">
        <v>758910</v>
      </c>
      <c r="H216" t="s">
        <v>700</v>
      </c>
      <c r="I216" t="s">
        <v>701</v>
      </c>
      <c r="J216" t="s">
        <v>183</v>
      </c>
      <c r="O216" t="s">
        <v>702</v>
      </c>
      <c r="P216">
        <v>201.86</v>
      </c>
      <c r="Q216">
        <v>201.86</v>
      </c>
      <c r="R216">
        <v>201.86</v>
      </c>
      <c r="S216">
        <v>201.86</v>
      </c>
      <c r="T216">
        <v>201.86</v>
      </c>
      <c r="U216">
        <v>197.91</v>
      </c>
      <c r="W216">
        <v>202.6</v>
      </c>
      <c r="Z216">
        <v>50138</v>
      </c>
      <c r="AA216">
        <v>10120856.68</v>
      </c>
      <c r="AB216">
        <v>101</v>
      </c>
      <c r="AC216" t="s">
        <v>42</v>
      </c>
      <c r="AD216">
        <v>1</v>
      </c>
    </row>
    <row r="217" spans="1:30">
      <c r="A217" t="str">
        <f>CONCATENATE(I217,J217)</f>
        <v>ARE&amp;MEQ</v>
      </c>
      <c r="B217" s="34">
        <v>46273</v>
      </c>
      <c r="C217" s="34">
        <v>46273</v>
      </c>
      <c r="D217" t="s">
        <v>35</v>
      </c>
      <c r="E217" t="s">
        <v>36</v>
      </c>
      <c r="F217" t="s">
        <v>37</v>
      </c>
      <c r="G217">
        <v>100</v>
      </c>
      <c r="H217" t="s">
        <v>703</v>
      </c>
      <c r="I217" t="s">
        <v>704</v>
      </c>
      <c r="J217" t="s">
        <v>161</v>
      </c>
      <c r="O217" t="s">
        <v>705</v>
      </c>
      <c r="P217">
        <v>842.95</v>
      </c>
      <c r="Q217">
        <v>845.1</v>
      </c>
      <c r="R217">
        <v>834.15</v>
      </c>
      <c r="S217">
        <v>837.8</v>
      </c>
      <c r="T217">
        <v>837.95</v>
      </c>
      <c r="U217">
        <v>842.95</v>
      </c>
      <c r="W217">
        <v>837.8</v>
      </c>
      <c r="Z217">
        <v>289450</v>
      </c>
      <c r="AA217">
        <v>242592236.94999999</v>
      </c>
      <c r="AB217">
        <v>20305</v>
      </c>
      <c r="AC217" t="s">
        <v>42</v>
      </c>
      <c r="AD217">
        <v>1</v>
      </c>
    </row>
    <row r="218" spans="1:30">
      <c r="A218" t="str">
        <f>CONCATENATE(I218,J218)</f>
        <v>AMARJOTHIEQ</v>
      </c>
      <c r="B218" s="34">
        <v>46273</v>
      </c>
      <c r="C218" s="34">
        <v>46273</v>
      </c>
      <c r="D218" t="s">
        <v>35</v>
      </c>
      <c r="E218" t="s">
        <v>36</v>
      </c>
      <c r="F218" t="s">
        <v>37</v>
      </c>
      <c r="G218">
        <v>764588</v>
      </c>
      <c r="H218" t="s">
        <v>706</v>
      </c>
      <c r="I218" t="s">
        <v>707</v>
      </c>
      <c r="J218" t="s">
        <v>161</v>
      </c>
      <c r="O218" t="s">
        <v>708</v>
      </c>
      <c r="P218">
        <v>161</v>
      </c>
      <c r="Q218">
        <v>162.9</v>
      </c>
      <c r="R218">
        <v>161</v>
      </c>
      <c r="S218">
        <v>161.05000000000001</v>
      </c>
      <c r="T218">
        <v>161</v>
      </c>
      <c r="U218">
        <v>160</v>
      </c>
      <c r="W218">
        <v>161.05000000000001</v>
      </c>
      <c r="Z218">
        <v>574</v>
      </c>
      <c r="AA218">
        <v>92861.59</v>
      </c>
      <c r="AB218">
        <v>18</v>
      </c>
      <c r="AC218" t="s">
        <v>42</v>
      </c>
      <c r="AD218">
        <v>1</v>
      </c>
    </row>
    <row r="219" spans="1:30">
      <c r="A219" t="str">
        <f>CONCATENATE(I219,J219)</f>
        <v>AMBAAUTOSM</v>
      </c>
      <c r="B219" s="34">
        <v>46273</v>
      </c>
      <c r="C219" s="34">
        <v>46273</v>
      </c>
      <c r="D219" t="s">
        <v>35</v>
      </c>
      <c r="E219" t="s">
        <v>36</v>
      </c>
      <c r="F219" t="s">
        <v>37</v>
      </c>
      <c r="G219">
        <v>763256</v>
      </c>
      <c r="H219" t="s">
        <v>709</v>
      </c>
      <c r="I219" t="s">
        <v>710</v>
      </c>
      <c r="J219" t="s">
        <v>267</v>
      </c>
      <c r="O219" t="s">
        <v>711</v>
      </c>
      <c r="P219">
        <v>105</v>
      </c>
      <c r="Q219">
        <v>110.25</v>
      </c>
      <c r="R219">
        <v>104</v>
      </c>
      <c r="S219">
        <v>105.75</v>
      </c>
      <c r="T219">
        <v>105.75</v>
      </c>
      <c r="U219">
        <v>108.55</v>
      </c>
      <c r="W219">
        <v>105.75</v>
      </c>
      <c r="Z219">
        <v>14000</v>
      </c>
      <c r="AA219">
        <v>1507700</v>
      </c>
      <c r="AB219">
        <v>12</v>
      </c>
      <c r="AC219" t="s">
        <v>42</v>
      </c>
      <c r="AD219">
        <v>1000</v>
      </c>
    </row>
    <row r="220" spans="1:30">
      <c r="A220" t="str">
        <f>CONCATENATE(I220,J220)</f>
        <v>AMBALALSABE</v>
      </c>
      <c r="B220" s="34">
        <v>46273</v>
      </c>
      <c r="C220" s="34">
        <v>46273</v>
      </c>
      <c r="D220" t="s">
        <v>35</v>
      </c>
      <c r="E220" t="s">
        <v>36</v>
      </c>
      <c r="F220" t="s">
        <v>37</v>
      </c>
      <c r="G220">
        <v>762546</v>
      </c>
      <c r="H220" t="s">
        <v>712</v>
      </c>
      <c r="I220" t="s">
        <v>713</v>
      </c>
      <c r="J220" t="s">
        <v>183</v>
      </c>
      <c r="O220" t="s">
        <v>714</v>
      </c>
      <c r="P220">
        <v>42.25</v>
      </c>
      <c r="Q220">
        <v>43.1</v>
      </c>
      <c r="R220">
        <v>41.5</v>
      </c>
      <c r="S220">
        <v>42.05</v>
      </c>
      <c r="T220">
        <v>42.78</v>
      </c>
      <c r="U220">
        <v>42.98</v>
      </c>
      <c r="W220">
        <v>42.05</v>
      </c>
      <c r="Z220">
        <v>38625</v>
      </c>
      <c r="AA220">
        <v>1625405.63</v>
      </c>
      <c r="AB220">
        <v>206</v>
      </c>
      <c r="AC220" t="s">
        <v>42</v>
      </c>
      <c r="AD220">
        <v>1</v>
      </c>
    </row>
    <row r="221" spans="1:30">
      <c r="A221" t="str">
        <f>CONCATENATE(I221,J221)</f>
        <v>AMBANIORGOSM</v>
      </c>
      <c r="B221" s="34">
        <v>46273</v>
      </c>
      <c r="C221" s="34">
        <v>46273</v>
      </c>
      <c r="D221" t="s">
        <v>35</v>
      </c>
      <c r="E221" t="s">
        <v>36</v>
      </c>
      <c r="F221" t="s">
        <v>37</v>
      </c>
      <c r="G221">
        <v>4083</v>
      </c>
      <c r="H221" t="s">
        <v>715</v>
      </c>
      <c r="I221" t="s">
        <v>716</v>
      </c>
      <c r="J221" t="s">
        <v>267</v>
      </c>
      <c r="O221" t="s">
        <v>717</v>
      </c>
      <c r="P221">
        <v>115.5</v>
      </c>
      <c r="Q221">
        <v>115.5</v>
      </c>
      <c r="R221">
        <v>115.5</v>
      </c>
      <c r="S221">
        <v>115.5</v>
      </c>
      <c r="T221">
        <v>115.5</v>
      </c>
      <c r="U221">
        <v>110</v>
      </c>
      <c r="W221">
        <v>115.5</v>
      </c>
      <c r="Z221">
        <v>1000</v>
      </c>
      <c r="AA221">
        <v>115500</v>
      </c>
      <c r="AB221">
        <v>1</v>
      </c>
      <c r="AC221" t="s">
        <v>42</v>
      </c>
      <c r="AD221">
        <v>1000</v>
      </c>
    </row>
    <row r="222" spans="1:30">
      <c r="A222" t="str">
        <f>CONCATENATE(I222,J222)</f>
        <v>AMBEREQ</v>
      </c>
      <c r="B222" s="34">
        <v>46273</v>
      </c>
      <c r="C222" s="34">
        <v>46273</v>
      </c>
      <c r="D222" t="s">
        <v>35</v>
      </c>
      <c r="E222" t="s">
        <v>36</v>
      </c>
      <c r="F222" t="s">
        <v>37</v>
      </c>
      <c r="G222">
        <v>1185</v>
      </c>
      <c r="H222" t="s">
        <v>718</v>
      </c>
      <c r="I222" t="s">
        <v>719</v>
      </c>
      <c r="J222" t="s">
        <v>161</v>
      </c>
      <c r="O222" t="s">
        <v>720</v>
      </c>
      <c r="P222">
        <v>7405.5</v>
      </c>
      <c r="Q222">
        <v>7430.5</v>
      </c>
      <c r="R222">
        <v>7278</v>
      </c>
      <c r="S222">
        <v>7308</v>
      </c>
      <c r="T222">
        <v>7308</v>
      </c>
      <c r="U222">
        <v>7439</v>
      </c>
      <c r="W222">
        <v>7307.97</v>
      </c>
      <c r="Z222">
        <v>137462</v>
      </c>
      <c r="AA222">
        <v>1006638527</v>
      </c>
      <c r="AB222">
        <v>16406</v>
      </c>
      <c r="AC222" t="s">
        <v>42</v>
      </c>
      <c r="AD222">
        <v>1</v>
      </c>
    </row>
    <row r="223" spans="1:30">
      <c r="A223" t="str">
        <f>CONCATENATE(I223,J223)</f>
        <v>AMBICAAGAREQ</v>
      </c>
      <c r="B223" s="34">
        <v>46273</v>
      </c>
      <c r="C223" s="34">
        <v>46273</v>
      </c>
      <c r="D223" t="s">
        <v>35</v>
      </c>
      <c r="E223" t="s">
        <v>36</v>
      </c>
      <c r="F223" t="s">
        <v>37</v>
      </c>
      <c r="G223">
        <v>11496</v>
      </c>
      <c r="H223" t="s">
        <v>721</v>
      </c>
      <c r="I223" t="s">
        <v>722</v>
      </c>
      <c r="J223" t="s">
        <v>161</v>
      </c>
      <c r="O223" t="s">
        <v>723</v>
      </c>
      <c r="P223">
        <v>27</v>
      </c>
      <c r="Q223">
        <v>27.2</v>
      </c>
      <c r="R223">
        <v>25.01</v>
      </c>
      <c r="S223">
        <v>25.44</v>
      </c>
      <c r="T223">
        <v>25.84</v>
      </c>
      <c r="U223">
        <v>26.83</v>
      </c>
      <c r="W223">
        <v>25.44</v>
      </c>
      <c r="Z223">
        <v>42539</v>
      </c>
      <c r="AA223">
        <v>1107131.32</v>
      </c>
      <c r="AB223">
        <v>319</v>
      </c>
      <c r="AC223" t="s">
        <v>42</v>
      </c>
      <c r="AD223">
        <v>1</v>
      </c>
    </row>
    <row r="224" spans="1:30">
      <c r="A224" t="str">
        <f>CONCATENATE(I224,J224)</f>
        <v>AMBIKCOEQ</v>
      </c>
      <c r="B224" s="34">
        <v>46273</v>
      </c>
      <c r="C224" s="34">
        <v>46273</v>
      </c>
      <c r="D224" t="s">
        <v>35</v>
      </c>
      <c r="E224" t="s">
        <v>36</v>
      </c>
      <c r="F224" t="s">
        <v>37</v>
      </c>
      <c r="G224">
        <v>15234</v>
      </c>
      <c r="H224" t="s">
        <v>724</v>
      </c>
      <c r="I224" t="s">
        <v>725</v>
      </c>
      <c r="J224" t="s">
        <v>161</v>
      </c>
      <c r="O224" t="s">
        <v>726</v>
      </c>
      <c r="P224">
        <v>1658.9</v>
      </c>
      <c r="Q224">
        <v>1658.9</v>
      </c>
      <c r="R224">
        <v>1613.5</v>
      </c>
      <c r="S224">
        <v>1631.9</v>
      </c>
      <c r="T224">
        <v>1628</v>
      </c>
      <c r="U224">
        <v>1642.8</v>
      </c>
      <c r="W224">
        <v>1631.93</v>
      </c>
      <c r="Z224">
        <v>19513</v>
      </c>
      <c r="AA224">
        <v>31846496.300000001</v>
      </c>
      <c r="AB224">
        <v>1985</v>
      </c>
      <c r="AC224" t="s">
        <v>42</v>
      </c>
      <c r="AD224">
        <v>1</v>
      </c>
    </row>
    <row r="225" spans="1:30">
      <c r="A225" t="str">
        <f>CONCATENATE(I225,J225)</f>
        <v>AMBUJACEMEQ</v>
      </c>
      <c r="B225" s="34">
        <v>46273</v>
      </c>
      <c r="C225" s="34">
        <v>46273</v>
      </c>
      <c r="D225" t="s">
        <v>35</v>
      </c>
      <c r="E225" t="s">
        <v>36</v>
      </c>
      <c r="F225" t="s">
        <v>37</v>
      </c>
      <c r="G225">
        <v>1270</v>
      </c>
      <c r="H225" t="s">
        <v>727</v>
      </c>
      <c r="I225" t="s">
        <v>728</v>
      </c>
      <c r="J225" t="s">
        <v>161</v>
      </c>
      <c r="O225" t="s">
        <v>729</v>
      </c>
      <c r="P225">
        <v>398</v>
      </c>
      <c r="Q225">
        <v>400.95</v>
      </c>
      <c r="R225">
        <v>395.15</v>
      </c>
      <c r="S225">
        <v>398.3</v>
      </c>
      <c r="T225">
        <v>398.3</v>
      </c>
      <c r="U225">
        <v>398.6</v>
      </c>
      <c r="W225">
        <v>398.31</v>
      </c>
      <c r="Z225">
        <v>986589</v>
      </c>
      <c r="AA225">
        <v>392204442.19999999</v>
      </c>
      <c r="AB225">
        <v>16113</v>
      </c>
      <c r="AC225" t="s">
        <v>42</v>
      </c>
      <c r="AD225">
        <v>1</v>
      </c>
    </row>
    <row r="226" spans="1:30">
      <c r="A226" t="str">
        <f>CONCATENATE(I226,J226)</f>
        <v>AMDINDEQ</v>
      </c>
      <c r="B226" s="34">
        <v>46273</v>
      </c>
      <c r="C226" s="34">
        <v>46273</v>
      </c>
      <c r="D226" t="s">
        <v>35</v>
      </c>
      <c r="E226" t="s">
        <v>36</v>
      </c>
      <c r="F226" t="s">
        <v>37</v>
      </c>
      <c r="G226">
        <v>14398</v>
      </c>
      <c r="H226" t="s">
        <v>730</v>
      </c>
      <c r="I226" t="s">
        <v>731</v>
      </c>
      <c r="J226" t="s">
        <v>161</v>
      </c>
      <c r="O226" t="s">
        <v>732</v>
      </c>
      <c r="P226">
        <v>61.99</v>
      </c>
      <c r="Q226">
        <v>61.99</v>
      </c>
      <c r="R226">
        <v>59.01</v>
      </c>
      <c r="S226">
        <v>60.02</v>
      </c>
      <c r="T226">
        <v>59.51</v>
      </c>
      <c r="U226">
        <v>60.3</v>
      </c>
      <c r="W226">
        <v>60.03</v>
      </c>
      <c r="Z226">
        <v>34539</v>
      </c>
      <c r="AA226">
        <v>2084064.72</v>
      </c>
      <c r="AB226">
        <v>500</v>
      </c>
      <c r="AC226" t="s">
        <v>42</v>
      </c>
      <c r="AD226">
        <v>1</v>
      </c>
    </row>
    <row r="227" spans="1:30">
      <c r="A227" t="str">
        <f>CONCATENATE(I227,J227)</f>
        <v>AMIABLESM</v>
      </c>
      <c r="B227" s="34">
        <v>46273</v>
      </c>
      <c r="C227" s="34">
        <v>46273</v>
      </c>
      <c r="D227" t="s">
        <v>35</v>
      </c>
      <c r="E227" t="s">
        <v>36</v>
      </c>
      <c r="F227" t="s">
        <v>37</v>
      </c>
      <c r="G227">
        <v>11939</v>
      </c>
      <c r="H227" t="s">
        <v>733</v>
      </c>
      <c r="I227" t="s">
        <v>734</v>
      </c>
      <c r="J227" t="s">
        <v>267</v>
      </c>
      <c r="O227" t="s">
        <v>735</v>
      </c>
      <c r="P227">
        <v>66.900000000000006</v>
      </c>
      <c r="Q227">
        <v>78</v>
      </c>
      <c r="R227">
        <v>66.900000000000006</v>
      </c>
      <c r="S227">
        <v>73.95</v>
      </c>
      <c r="T227">
        <v>78</v>
      </c>
      <c r="U227">
        <v>76.95</v>
      </c>
      <c r="W227">
        <v>73.95</v>
      </c>
      <c r="Z227">
        <v>4800</v>
      </c>
      <c r="AA227">
        <v>355040</v>
      </c>
      <c r="AB227">
        <v>3</v>
      </c>
      <c r="AC227" t="s">
        <v>42</v>
      </c>
      <c r="AD227">
        <v>1600</v>
      </c>
    </row>
    <row r="228" spans="1:30">
      <c r="A228" t="str">
        <f>CONCATENATE(I228,J228)</f>
        <v>AMNPLSTEQ</v>
      </c>
      <c r="B228" s="34">
        <v>46273</v>
      </c>
      <c r="C228" s="34">
        <v>46273</v>
      </c>
      <c r="D228" t="s">
        <v>35</v>
      </c>
      <c r="E228" t="s">
        <v>36</v>
      </c>
      <c r="F228" t="s">
        <v>37</v>
      </c>
      <c r="G228">
        <v>19867</v>
      </c>
      <c r="H228" t="s">
        <v>736</v>
      </c>
      <c r="I228" t="s">
        <v>737</v>
      </c>
      <c r="J228" t="s">
        <v>161</v>
      </c>
      <c r="O228" t="s">
        <v>738</v>
      </c>
      <c r="P228">
        <v>173.7</v>
      </c>
      <c r="Q228">
        <v>173.7</v>
      </c>
      <c r="R228">
        <v>165.52</v>
      </c>
      <c r="S228">
        <v>167.82</v>
      </c>
      <c r="T228">
        <v>167</v>
      </c>
      <c r="U228">
        <v>168.22</v>
      </c>
      <c r="W228">
        <v>167.68</v>
      </c>
      <c r="Z228">
        <v>5113</v>
      </c>
      <c r="AA228">
        <v>864311.63</v>
      </c>
      <c r="AB228">
        <v>167</v>
      </c>
      <c r="AC228" t="s">
        <v>42</v>
      </c>
      <c r="AD228">
        <v>1</v>
      </c>
    </row>
    <row r="229" spans="1:30">
      <c r="A229" t="str">
        <f>CONCATENATE(I229,J229)</f>
        <v>AEROPLANEEQ</v>
      </c>
      <c r="B229" s="34">
        <v>46273</v>
      </c>
      <c r="C229" s="34">
        <v>46273</v>
      </c>
      <c r="D229" t="s">
        <v>35</v>
      </c>
      <c r="E229" t="s">
        <v>36</v>
      </c>
      <c r="F229" t="s">
        <v>37</v>
      </c>
      <c r="G229">
        <v>761670</v>
      </c>
      <c r="H229" t="s">
        <v>739</v>
      </c>
      <c r="I229" t="s">
        <v>740</v>
      </c>
      <c r="J229" t="s">
        <v>161</v>
      </c>
      <c r="O229" t="s">
        <v>741</v>
      </c>
      <c r="P229">
        <v>197</v>
      </c>
      <c r="Q229">
        <v>202</v>
      </c>
      <c r="R229">
        <v>193.36</v>
      </c>
      <c r="S229">
        <v>199.31</v>
      </c>
      <c r="T229">
        <v>199.7</v>
      </c>
      <c r="U229">
        <v>198.03</v>
      </c>
      <c r="W229">
        <v>199.31</v>
      </c>
      <c r="Z229">
        <v>592688</v>
      </c>
      <c r="AA229">
        <v>118005506.75</v>
      </c>
      <c r="AB229">
        <v>6191</v>
      </c>
      <c r="AC229" t="s">
        <v>42</v>
      </c>
      <c r="AD229">
        <v>1</v>
      </c>
    </row>
    <row r="230" spans="1:30">
      <c r="A230" t="str">
        <f>CONCATENATE(I230,J230)</f>
        <v>AMJLANDEQ</v>
      </c>
      <c r="B230" s="34">
        <v>46273</v>
      </c>
      <c r="C230" s="34">
        <v>46273</v>
      </c>
      <c r="D230" t="s">
        <v>35</v>
      </c>
      <c r="E230" t="s">
        <v>36</v>
      </c>
      <c r="F230" t="s">
        <v>37</v>
      </c>
      <c r="G230">
        <v>2598</v>
      </c>
      <c r="H230" t="s">
        <v>742</v>
      </c>
      <c r="I230" t="s">
        <v>743</v>
      </c>
      <c r="J230" t="s">
        <v>161</v>
      </c>
      <c r="O230" t="s">
        <v>744</v>
      </c>
      <c r="P230">
        <v>39.700000000000003</v>
      </c>
      <c r="Q230">
        <v>39.71</v>
      </c>
      <c r="R230">
        <v>37.299999999999997</v>
      </c>
      <c r="S230">
        <v>39.049999999999997</v>
      </c>
      <c r="T230">
        <v>38.909999999999997</v>
      </c>
      <c r="U230">
        <v>39.08</v>
      </c>
      <c r="W230">
        <v>39.06</v>
      </c>
      <c r="Z230">
        <v>19625</v>
      </c>
      <c r="AA230">
        <v>755477.46</v>
      </c>
      <c r="AB230">
        <v>175</v>
      </c>
      <c r="AC230" t="s">
        <v>42</v>
      </c>
      <c r="AD230">
        <v>1</v>
      </c>
    </row>
    <row r="231" spans="1:30">
      <c r="A231" t="str">
        <f>CONCATENATE(I231,J231)</f>
        <v>AMRUTANJANEQ</v>
      </c>
      <c r="B231" s="34">
        <v>46273</v>
      </c>
      <c r="C231" s="34">
        <v>46273</v>
      </c>
      <c r="D231" t="s">
        <v>35</v>
      </c>
      <c r="E231" t="s">
        <v>36</v>
      </c>
      <c r="F231" t="s">
        <v>37</v>
      </c>
      <c r="G231">
        <v>17547</v>
      </c>
      <c r="H231" t="s">
        <v>745</v>
      </c>
      <c r="I231" t="s">
        <v>746</v>
      </c>
      <c r="J231" t="s">
        <v>161</v>
      </c>
      <c r="O231" t="s">
        <v>747</v>
      </c>
      <c r="P231">
        <v>503</v>
      </c>
      <c r="Q231">
        <v>503.85</v>
      </c>
      <c r="R231">
        <v>493</v>
      </c>
      <c r="S231">
        <v>500.45</v>
      </c>
      <c r="T231">
        <v>501</v>
      </c>
      <c r="U231">
        <v>500.3</v>
      </c>
      <c r="W231">
        <v>500.38</v>
      </c>
      <c r="Z231">
        <v>42167</v>
      </c>
      <c r="AA231">
        <v>21000053.899999999</v>
      </c>
      <c r="AB231">
        <v>2221</v>
      </c>
      <c r="AC231" t="s">
        <v>42</v>
      </c>
      <c r="AD231">
        <v>1</v>
      </c>
    </row>
    <row r="232" spans="1:30">
      <c r="A232" t="str">
        <f>CONCATENATE(I232,J232)</f>
        <v>ARSSBLEQ</v>
      </c>
      <c r="B232" s="34">
        <v>46273</v>
      </c>
      <c r="C232" s="34">
        <v>46273</v>
      </c>
      <c r="D232" t="s">
        <v>35</v>
      </c>
      <c r="E232" t="s">
        <v>36</v>
      </c>
      <c r="F232" t="s">
        <v>37</v>
      </c>
      <c r="G232">
        <v>759956</v>
      </c>
      <c r="H232" t="s">
        <v>748</v>
      </c>
      <c r="I232" t="s">
        <v>749</v>
      </c>
      <c r="J232" t="s">
        <v>161</v>
      </c>
      <c r="O232" t="s">
        <v>750</v>
      </c>
      <c r="P232">
        <v>513.04999999999995</v>
      </c>
      <c r="Q232">
        <v>515.54999999999995</v>
      </c>
      <c r="R232">
        <v>508.4</v>
      </c>
      <c r="S232">
        <v>513.65</v>
      </c>
      <c r="T232">
        <v>510</v>
      </c>
      <c r="U232">
        <v>516.29999999999995</v>
      </c>
      <c r="W232">
        <v>513.65</v>
      </c>
      <c r="Z232">
        <v>101733</v>
      </c>
      <c r="AA232">
        <v>52066422.600000001</v>
      </c>
      <c r="AB232">
        <v>3634</v>
      </c>
      <c r="AC232" t="s">
        <v>42</v>
      </c>
      <c r="AD232">
        <v>1</v>
      </c>
    </row>
    <row r="233" spans="1:30">
      <c r="A233" t="str">
        <f>CONCATENATE(I233,J233)</f>
        <v>ANANDRATHIEQ</v>
      </c>
      <c r="B233" s="34">
        <v>46273</v>
      </c>
      <c r="C233" s="34">
        <v>46273</v>
      </c>
      <c r="D233" t="s">
        <v>35</v>
      </c>
      <c r="E233" t="s">
        <v>36</v>
      </c>
      <c r="F233" t="s">
        <v>37</v>
      </c>
      <c r="G233">
        <v>7145</v>
      </c>
      <c r="H233" t="s">
        <v>751</v>
      </c>
      <c r="I233" t="s">
        <v>752</v>
      </c>
      <c r="J233" t="s">
        <v>161</v>
      </c>
      <c r="O233" t="s">
        <v>753</v>
      </c>
      <c r="P233">
        <v>2235</v>
      </c>
      <c r="Q233">
        <v>2235</v>
      </c>
      <c r="R233">
        <v>2202.9</v>
      </c>
      <c r="S233">
        <v>2229.5</v>
      </c>
      <c r="T233">
        <v>2231.5</v>
      </c>
      <c r="U233">
        <v>2224</v>
      </c>
      <c r="W233">
        <v>2229.48</v>
      </c>
      <c r="Z233">
        <v>119591</v>
      </c>
      <c r="AA233">
        <v>266042306.40000001</v>
      </c>
      <c r="AB233">
        <v>14340</v>
      </c>
      <c r="AC233" t="s">
        <v>42</v>
      </c>
      <c r="AD233">
        <v>1</v>
      </c>
    </row>
    <row r="234" spans="1:30">
      <c r="A234" t="str">
        <f>CONCATENATE(I234,J234)</f>
        <v>ANANTRAJEQ</v>
      </c>
      <c r="B234" s="34">
        <v>46273</v>
      </c>
      <c r="C234" s="34">
        <v>46273</v>
      </c>
      <c r="D234" t="s">
        <v>35</v>
      </c>
      <c r="E234" t="s">
        <v>36</v>
      </c>
      <c r="F234" t="s">
        <v>37</v>
      </c>
      <c r="G234">
        <v>13620</v>
      </c>
      <c r="H234" t="s">
        <v>754</v>
      </c>
      <c r="I234" t="s">
        <v>755</v>
      </c>
      <c r="J234" t="s">
        <v>161</v>
      </c>
      <c r="O234" t="s">
        <v>756</v>
      </c>
      <c r="P234">
        <v>641</v>
      </c>
      <c r="Q234">
        <v>641</v>
      </c>
      <c r="R234">
        <v>623.04999999999995</v>
      </c>
      <c r="S234">
        <v>625.85</v>
      </c>
      <c r="T234">
        <v>625</v>
      </c>
      <c r="U234">
        <v>638.25</v>
      </c>
      <c r="W234">
        <v>625.76</v>
      </c>
      <c r="Z234">
        <v>1005063</v>
      </c>
      <c r="AA234">
        <v>634148380.04999995</v>
      </c>
      <c r="AB234">
        <v>21795</v>
      </c>
      <c r="AC234" t="s">
        <v>42</v>
      </c>
      <c r="AD234">
        <v>1</v>
      </c>
    </row>
    <row r="235" spans="1:30">
      <c r="A235" t="str">
        <f>CONCATENATE(I235,J235)</f>
        <v>ANANTAMIV</v>
      </c>
      <c r="B235" s="34">
        <v>46273</v>
      </c>
      <c r="C235" s="34">
        <v>46273</v>
      </c>
      <c r="D235" t="s">
        <v>35</v>
      </c>
      <c r="E235" t="s">
        <v>36</v>
      </c>
      <c r="F235" t="s">
        <v>37</v>
      </c>
      <c r="G235">
        <v>759363</v>
      </c>
      <c r="H235" t="s">
        <v>757</v>
      </c>
      <c r="I235" t="s">
        <v>758</v>
      </c>
      <c r="J235" t="s">
        <v>759</v>
      </c>
      <c r="O235" t="s">
        <v>760</v>
      </c>
      <c r="P235">
        <v>107.25</v>
      </c>
      <c r="Q235">
        <v>107.25</v>
      </c>
      <c r="R235">
        <v>105.5</v>
      </c>
      <c r="S235">
        <v>106.69</v>
      </c>
      <c r="T235">
        <v>106.75</v>
      </c>
      <c r="U235">
        <v>106.78</v>
      </c>
      <c r="W235">
        <v>106.66</v>
      </c>
      <c r="Z235">
        <v>7249</v>
      </c>
      <c r="AA235">
        <v>768981.78</v>
      </c>
      <c r="AB235">
        <v>74</v>
      </c>
      <c r="AC235" t="s">
        <v>42</v>
      </c>
      <c r="AD235">
        <v>1</v>
      </c>
    </row>
    <row r="236" spans="1:30">
      <c r="A236" t="str">
        <f>CONCATENATE(I236,J236)</f>
        <v>ANAWILSM</v>
      </c>
      <c r="B236" s="34">
        <v>46273</v>
      </c>
      <c r="C236" s="34">
        <v>46273</v>
      </c>
      <c r="D236" t="s">
        <v>35</v>
      </c>
      <c r="E236" t="s">
        <v>36</v>
      </c>
      <c r="F236" t="s">
        <v>37</v>
      </c>
      <c r="G236">
        <v>764446</v>
      </c>
      <c r="H236" t="s">
        <v>761</v>
      </c>
      <c r="I236" t="s">
        <v>762</v>
      </c>
      <c r="J236" t="s">
        <v>267</v>
      </c>
      <c r="O236" t="s">
        <v>763</v>
      </c>
      <c r="P236">
        <v>400</v>
      </c>
      <c r="Q236">
        <v>408.95</v>
      </c>
      <c r="R236">
        <v>382.9</v>
      </c>
      <c r="S236">
        <v>389.8</v>
      </c>
      <c r="T236">
        <v>388.5</v>
      </c>
      <c r="U236">
        <v>396.35</v>
      </c>
      <c r="W236">
        <v>389.8</v>
      </c>
      <c r="Z236">
        <v>218800</v>
      </c>
      <c r="AA236">
        <v>86768920</v>
      </c>
      <c r="AB236">
        <v>473</v>
      </c>
      <c r="AC236" t="s">
        <v>42</v>
      </c>
      <c r="AD236">
        <v>400</v>
      </c>
    </row>
    <row r="237" spans="1:30">
      <c r="A237" t="str">
        <f>CONCATENATE(I237,J237)</f>
        <v>AMCLSM</v>
      </c>
      <c r="B237" s="34">
        <v>46273</v>
      </c>
      <c r="C237" s="34">
        <v>46273</v>
      </c>
      <c r="D237" t="s">
        <v>35</v>
      </c>
      <c r="E237" t="s">
        <v>36</v>
      </c>
      <c r="F237" t="s">
        <v>37</v>
      </c>
      <c r="G237">
        <v>758427</v>
      </c>
      <c r="H237" t="s">
        <v>764</v>
      </c>
      <c r="I237" t="s">
        <v>765</v>
      </c>
      <c r="J237" t="s">
        <v>267</v>
      </c>
      <c r="O237" t="s">
        <v>766</v>
      </c>
      <c r="P237">
        <v>384</v>
      </c>
      <c r="Q237">
        <v>384</v>
      </c>
      <c r="R237">
        <v>363</v>
      </c>
      <c r="S237">
        <v>383</v>
      </c>
      <c r="T237">
        <v>383</v>
      </c>
      <c r="U237">
        <v>387</v>
      </c>
      <c r="W237">
        <v>383</v>
      </c>
      <c r="Z237">
        <v>28400</v>
      </c>
      <c r="AA237">
        <v>10398400</v>
      </c>
      <c r="AB237">
        <v>4</v>
      </c>
      <c r="AC237" t="s">
        <v>42</v>
      </c>
      <c r="AD237">
        <v>400</v>
      </c>
    </row>
    <row r="238" spans="1:30">
      <c r="A238" t="str">
        <f>CONCATENATE(I238,J238)</f>
        <v>ACLEQ</v>
      </c>
      <c r="B238" s="34">
        <v>46273</v>
      </c>
      <c r="C238" s="34">
        <v>46273</v>
      </c>
      <c r="D238" t="s">
        <v>35</v>
      </c>
      <c r="E238" t="s">
        <v>36</v>
      </c>
      <c r="F238" t="s">
        <v>37</v>
      </c>
      <c r="G238">
        <v>15420</v>
      </c>
      <c r="H238" t="s">
        <v>767</v>
      </c>
      <c r="I238" t="s">
        <v>768</v>
      </c>
      <c r="J238" t="s">
        <v>161</v>
      </c>
      <c r="O238" t="s">
        <v>769</v>
      </c>
      <c r="P238">
        <v>43.96</v>
      </c>
      <c r="Q238">
        <v>43.97</v>
      </c>
      <c r="R238">
        <v>42</v>
      </c>
      <c r="S238">
        <v>42.29</v>
      </c>
      <c r="T238">
        <v>42.28</v>
      </c>
      <c r="U238">
        <v>43.49</v>
      </c>
      <c r="W238">
        <v>42.32</v>
      </c>
      <c r="Z238">
        <v>29632</v>
      </c>
      <c r="AA238">
        <v>1261680.5900000001</v>
      </c>
      <c r="AB238">
        <v>599</v>
      </c>
      <c r="AC238" t="s">
        <v>42</v>
      </c>
      <c r="AD238">
        <v>1</v>
      </c>
    </row>
    <row r="239" spans="1:30">
      <c r="A239" t="str">
        <f>CONCATENATE(I239,J239)</f>
        <v>ANDHRAPAPEQ</v>
      </c>
      <c r="B239" s="34">
        <v>46273</v>
      </c>
      <c r="C239" s="34">
        <v>46273</v>
      </c>
      <c r="D239" t="s">
        <v>35</v>
      </c>
      <c r="E239" t="s">
        <v>36</v>
      </c>
      <c r="F239" t="s">
        <v>37</v>
      </c>
      <c r="G239">
        <v>166</v>
      </c>
      <c r="H239" t="s">
        <v>770</v>
      </c>
      <c r="I239" t="s">
        <v>771</v>
      </c>
      <c r="J239" t="s">
        <v>161</v>
      </c>
      <c r="O239" t="s">
        <v>772</v>
      </c>
      <c r="P239">
        <v>73.91</v>
      </c>
      <c r="Q239">
        <v>79.790000000000006</v>
      </c>
      <c r="R239">
        <v>67</v>
      </c>
      <c r="S239">
        <v>72.09</v>
      </c>
      <c r="T239">
        <v>71.25</v>
      </c>
      <c r="U239">
        <v>72.2</v>
      </c>
      <c r="W239">
        <v>72.09</v>
      </c>
      <c r="Z239">
        <v>29596575</v>
      </c>
      <c r="AA239">
        <v>2201595211.0599999</v>
      </c>
      <c r="AB239">
        <v>139171</v>
      </c>
      <c r="AC239" t="s">
        <v>42</v>
      </c>
      <c r="AD239">
        <v>1</v>
      </c>
    </row>
    <row r="240" spans="1:30">
      <c r="A240" t="str">
        <f>CONCATENATE(I240,J240)</f>
        <v>ANDHRSUGAREQ</v>
      </c>
      <c r="B240" s="34">
        <v>46273</v>
      </c>
      <c r="C240" s="34">
        <v>46273</v>
      </c>
      <c r="D240" t="s">
        <v>35</v>
      </c>
      <c r="E240" t="s">
        <v>36</v>
      </c>
      <c r="F240" t="s">
        <v>37</v>
      </c>
      <c r="G240">
        <v>136</v>
      </c>
      <c r="H240" t="s">
        <v>773</v>
      </c>
      <c r="I240" t="s">
        <v>774</v>
      </c>
      <c r="J240" t="s">
        <v>161</v>
      </c>
      <c r="O240" t="s">
        <v>775</v>
      </c>
      <c r="P240">
        <v>99.99</v>
      </c>
      <c r="Q240">
        <v>100.99</v>
      </c>
      <c r="R240">
        <v>97.01</v>
      </c>
      <c r="S240">
        <v>98.79</v>
      </c>
      <c r="T240">
        <v>99.48</v>
      </c>
      <c r="U240">
        <v>99.4</v>
      </c>
      <c r="W240">
        <v>98.76</v>
      </c>
      <c r="Z240">
        <v>505786</v>
      </c>
      <c r="AA240">
        <v>49731352.859999999</v>
      </c>
      <c r="AB240">
        <v>5620</v>
      </c>
      <c r="AC240" t="s">
        <v>42</v>
      </c>
      <c r="AD240">
        <v>1</v>
      </c>
    </row>
    <row r="241" spans="1:30">
      <c r="A241" t="str">
        <f>CONCATENATE(I241,J241)</f>
        <v>ANDREWYUEQ</v>
      </c>
      <c r="B241" s="34">
        <v>46273</v>
      </c>
      <c r="C241" s="34">
        <v>46273</v>
      </c>
      <c r="D241" t="s">
        <v>35</v>
      </c>
      <c r="E241" t="s">
        <v>36</v>
      </c>
      <c r="F241" t="s">
        <v>37</v>
      </c>
      <c r="G241">
        <v>5206</v>
      </c>
      <c r="H241" t="s">
        <v>776</v>
      </c>
      <c r="I241" t="s">
        <v>777</v>
      </c>
      <c r="J241" t="s">
        <v>161</v>
      </c>
      <c r="O241" t="s">
        <v>778</v>
      </c>
      <c r="P241">
        <v>27.35</v>
      </c>
      <c r="Q241">
        <v>27.79</v>
      </c>
      <c r="R241">
        <v>26.8</v>
      </c>
      <c r="S241">
        <v>27.18</v>
      </c>
      <c r="T241">
        <v>27.05</v>
      </c>
      <c r="U241">
        <v>27.35</v>
      </c>
      <c r="W241">
        <v>27.24</v>
      </c>
      <c r="Z241">
        <v>60113</v>
      </c>
      <c r="AA241">
        <v>1635074.57</v>
      </c>
      <c r="AB241">
        <v>311</v>
      </c>
      <c r="AC241" t="s">
        <v>42</v>
      </c>
      <c r="AD241">
        <v>1</v>
      </c>
    </row>
    <row r="242" spans="1:30">
      <c r="A242" t="str">
        <f>CONCATENATE(I242,J242)</f>
        <v>ANGELONEEQ</v>
      </c>
      <c r="B242" s="34">
        <v>46273</v>
      </c>
      <c r="C242" s="34">
        <v>46273</v>
      </c>
      <c r="D242" t="s">
        <v>35</v>
      </c>
      <c r="E242" t="s">
        <v>36</v>
      </c>
      <c r="F242" t="s">
        <v>37</v>
      </c>
      <c r="G242">
        <v>324</v>
      </c>
      <c r="H242" t="s">
        <v>779</v>
      </c>
      <c r="I242" t="s">
        <v>780</v>
      </c>
      <c r="J242" t="s">
        <v>161</v>
      </c>
      <c r="O242" t="s">
        <v>781</v>
      </c>
      <c r="P242">
        <v>303.8</v>
      </c>
      <c r="Q242">
        <v>304.14999999999998</v>
      </c>
      <c r="R242">
        <v>296.5</v>
      </c>
      <c r="S242">
        <v>298</v>
      </c>
      <c r="T242">
        <v>298</v>
      </c>
      <c r="U242">
        <v>303.8</v>
      </c>
      <c r="W242">
        <v>298.04000000000002</v>
      </c>
      <c r="Z242">
        <v>2591770</v>
      </c>
      <c r="AA242">
        <v>775407310.95000005</v>
      </c>
      <c r="AB242">
        <v>24610</v>
      </c>
      <c r="AC242" t="s">
        <v>42</v>
      </c>
      <c r="AD242">
        <v>1</v>
      </c>
    </row>
    <row r="243" spans="1:30">
      <c r="A243" t="str">
        <f>CONCATENATE(I243,J243)</f>
        <v>AISLSM</v>
      </c>
      <c r="B243" s="34">
        <v>46273</v>
      </c>
      <c r="C243" s="34">
        <v>46273</v>
      </c>
      <c r="D243" t="s">
        <v>35</v>
      </c>
      <c r="E243" t="s">
        <v>36</v>
      </c>
      <c r="F243" t="s">
        <v>37</v>
      </c>
      <c r="G243">
        <v>482</v>
      </c>
      <c r="H243" t="s">
        <v>782</v>
      </c>
      <c r="I243" t="s">
        <v>783</v>
      </c>
      <c r="J243" t="s">
        <v>267</v>
      </c>
      <c r="O243" t="s">
        <v>784</v>
      </c>
      <c r="P243">
        <v>54.6</v>
      </c>
      <c r="Q243">
        <v>58</v>
      </c>
      <c r="R243">
        <v>54.15</v>
      </c>
      <c r="S243">
        <v>58</v>
      </c>
      <c r="T243">
        <v>58</v>
      </c>
      <c r="U243">
        <v>57</v>
      </c>
      <c r="W243">
        <v>58</v>
      </c>
      <c r="Z243">
        <v>5400</v>
      </c>
      <c r="AA243">
        <v>295350</v>
      </c>
      <c r="AB243">
        <v>7</v>
      </c>
      <c r="AC243" t="s">
        <v>42</v>
      </c>
      <c r="AD243">
        <v>600</v>
      </c>
    </row>
    <row r="244" spans="1:30">
      <c r="A244" t="str">
        <f>CONCATENATE(I244,J244)</f>
        <v>ANIKINDSEQ</v>
      </c>
      <c r="B244" s="34">
        <v>46273</v>
      </c>
      <c r="C244" s="34">
        <v>46273</v>
      </c>
      <c r="D244" t="s">
        <v>35</v>
      </c>
      <c r="E244" t="s">
        <v>36</v>
      </c>
      <c r="F244" t="s">
        <v>37</v>
      </c>
      <c r="G244">
        <v>16657</v>
      </c>
      <c r="H244" t="s">
        <v>785</v>
      </c>
      <c r="I244" t="s">
        <v>786</v>
      </c>
      <c r="J244" t="s">
        <v>161</v>
      </c>
      <c r="O244" t="s">
        <v>787</v>
      </c>
      <c r="P244">
        <v>44.77</v>
      </c>
      <c r="Q244">
        <v>45.9</v>
      </c>
      <c r="R244">
        <v>44.51</v>
      </c>
      <c r="S244">
        <v>45.21</v>
      </c>
      <c r="T244">
        <v>45</v>
      </c>
      <c r="U244">
        <v>44.77</v>
      </c>
      <c r="W244">
        <v>45.21</v>
      </c>
      <c r="Z244">
        <v>7198</v>
      </c>
      <c r="AA244">
        <v>325828.38</v>
      </c>
      <c r="AB244">
        <v>85</v>
      </c>
      <c r="AC244" t="s">
        <v>42</v>
      </c>
      <c r="AD244">
        <v>1</v>
      </c>
    </row>
    <row r="245" spans="1:30">
      <c r="A245" t="str">
        <f>CONCATENATE(I245,J245)</f>
        <v>APCLEQ</v>
      </c>
      <c r="B245" s="34">
        <v>46273</v>
      </c>
      <c r="C245" s="34">
        <v>46273</v>
      </c>
      <c r="D245" t="s">
        <v>35</v>
      </c>
      <c r="E245" t="s">
        <v>36</v>
      </c>
      <c r="F245" t="s">
        <v>37</v>
      </c>
      <c r="G245">
        <v>20453</v>
      </c>
      <c r="H245" t="s">
        <v>788</v>
      </c>
      <c r="I245" t="s">
        <v>789</v>
      </c>
      <c r="J245" t="s">
        <v>161</v>
      </c>
      <c r="O245" t="s">
        <v>790</v>
      </c>
      <c r="P245">
        <v>100</v>
      </c>
      <c r="Q245">
        <v>101.96</v>
      </c>
      <c r="R245">
        <v>100</v>
      </c>
      <c r="S245">
        <v>100.32</v>
      </c>
      <c r="T245">
        <v>100.1</v>
      </c>
      <c r="U245">
        <v>99.93</v>
      </c>
      <c r="W245">
        <v>100.32</v>
      </c>
      <c r="Z245">
        <v>5545</v>
      </c>
      <c r="AA245">
        <v>557710.29</v>
      </c>
      <c r="AB245">
        <v>91</v>
      </c>
      <c r="AC245" t="s">
        <v>42</v>
      </c>
      <c r="AD245">
        <v>1</v>
      </c>
    </row>
    <row r="246" spans="1:30">
      <c r="A246" t="str">
        <f>CONCATENATE(I246,J246)</f>
        <v>ANKITMETALBZ</v>
      </c>
      <c r="B246" s="34">
        <v>46273</v>
      </c>
      <c r="C246" s="34">
        <v>46273</v>
      </c>
      <c r="D246" t="s">
        <v>35</v>
      </c>
      <c r="E246" t="s">
        <v>36</v>
      </c>
      <c r="F246" t="s">
        <v>37</v>
      </c>
      <c r="G246">
        <v>25878</v>
      </c>
      <c r="H246" t="s">
        <v>791</v>
      </c>
      <c r="I246" t="s">
        <v>792</v>
      </c>
      <c r="J246" t="s">
        <v>551</v>
      </c>
      <c r="O246" t="s">
        <v>793</v>
      </c>
      <c r="P246">
        <v>1.7</v>
      </c>
      <c r="Q246">
        <v>1.7</v>
      </c>
      <c r="R246">
        <v>1.64</v>
      </c>
      <c r="S246">
        <v>1.64</v>
      </c>
      <c r="T246">
        <v>1.64</v>
      </c>
      <c r="U246">
        <v>1.67</v>
      </c>
      <c r="W246">
        <v>1.68</v>
      </c>
      <c r="Z246">
        <v>4722</v>
      </c>
      <c r="AA246">
        <v>7797.77</v>
      </c>
      <c r="AB246">
        <v>17</v>
      </c>
      <c r="AC246" t="s">
        <v>42</v>
      </c>
      <c r="AD246">
        <v>1</v>
      </c>
    </row>
    <row r="247" spans="1:30">
      <c r="A247" t="str">
        <f>CONCATENATE(I247,J247)</f>
        <v>AHCLEQ</v>
      </c>
      <c r="B247" s="34">
        <v>46273</v>
      </c>
      <c r="C247" s="34">
        <v>46273</v>
      </c>
      <c r="D247" t="s">
        <v>35</v>
      </c>
      <c r="E247" t="s">
        <v>36</v>
      </c>
      <c r="F247" t="s">
        <v>37</v>
      </c>
      <c r="G247">
        <v>758968</v>
      </c>
      <c r="H247" t="s">
        <v>794</v>
      </c>
      <c r="I247" t="s">
        <v>795</v>
      </c>
      <c r="J247" t="s">
        <v>161</v>
      </c>
      <c r="O247" t="s">
        <v>796</v>
      </c>
      <c r="P247">
        <v>15.54</v>
      </c>
      <c r="Q247">
        <v>15.69</v>
      </c>
      <c r="R247">
        <v>15.41</v>
      </c>
      <c r="S247">
        <v>15.61</v>
      </c>
      <c r="T247">
        <v>15.69</v>
      </c>
      <c r="U247">
        <v>15.48</v>
      </c>
      <c r="W247">
        <v>15.6</v>
      </c>
      <c r="Z247">
        <v>1454613</v>
      </c>
      <c r="AA247">
        <v>22624416.829999998</v>
      </c>
      <c r="AB247">
        <v>2135</v>
      </c>
      <c r="AC247" t="s">
        <v>42</v>
      </c>
      <c r="AD247">
        <v>1</v>
      </c>
    </row>
    <row r="248" spans="1:30">
      <c r="A248" t="str">
        <f>CONCATENATE(I248,J248)</f>
        <v>ANLONSM</v>
      </c>
      <c r="B248" s="34">
        <v>46273</v>
      </c>
      <c r="C248" s="34">
        <v>46273</v>
      </c>
      <c r="D248" t="s">
        <v>35</v>
      </c>
      <c r="E248" t="s">
        <v>36</v>
      </c>
      <c r="F248" t="s">
        <v>37</v>
      </c>
      <c r="G248">
        <v>13657</v>
      </c>
      <c r="H248" t="s">
        <v>797</v>
      </c>
      <c r="I248" t="s">
        <v>798</v>
      </c>
      <c r="J248" t="s">
        <v>267</v>
      </c>
      <c r="O248" t="s">
        <v>799</v>
      </c>
      <c r="P248">
        <v>690</v>
      </c>
      <c r="Q248">
        <v>690</v>
      </c>
      <c r="R248">
        <v>661</v>
      </c>
      <c r="S248">
        <v>680</v>
      </c>
      <c r="T248">
        <v>680</v>
      </c>
      <c r="U248">
        <v>687</v>
      </c>
      <c r="W248">
        <v>680</v>
      </c>
      <c r="Z248">
        <v>4000</v>
      </c>
      <c r="AA248">
        <v>2707200</v>
      </c>
      <c r="AB248">
        <v>10</v>
      </c>
      <c r="AC248" t="s">
        <v>42</v>
      </c>
      <c r="AD248">
        <v>400</v>
      </c>
    </row>
    <row r="249" spans="1:30">
      <c r="A249" t="str">
        <f>CONCATENATE(I249,J249)</f>
        <v>ANMOLEQ</v>
      </c>
      <c r="B249" s="34">
        <v>46273</v>
      </c>
      <c r="C249" s="34">
        <v>46273</v>
      </c>
      <c r="D249" t="s">
        <v>35</v>
      </c>
      <c r="E249" t="s">
        <v>36</v>
      </c>
      <c r="F249" t="s">
        <v>37</v>
      </c>
      <c r="G249">
        <v>3727</v>
      </c>
      <c r="H249" t="s">
        <v>800</v>
      </c>
      <c r="I249" t="s">
        <v>801</v>
      </c>
      <c r="J249" t="s">
        <v>161</v>
      </c>
      <c r="O249" t="s">
        <v>802</v>
      </c>
      <c r="P249">
        <v>10.49</v>
      </c>
      <c r="Q249">
        <v>11.48</v>
      </c>
      <c r="R249">
        <v>10</v>
      </c>
      <c r="S249">
        <v>11.38</v>
      </c>
      <c r="T249">
        <v>11.18</v>
      </c>
      <c r="U249">
        <v>10.09</v>
      </c>
      <c r="W249">
        <v>11.37</v>
      </c>
      <c r="Z249">
        <v>221539</v>
      </c>
      <c r="AA249">
        <v>2371548.44</v>
      </c>
      <c r="AB249">
        <v>684</v>
      </c>
      <c r="AC249" t="s">
        <v>42</v>
      </c>
      <c r="AD249">
        <v>1</v>
      </c>
    </row>
    <row r="250" spans="1:30">
      <c r="A250" t="str">
        <f>CONCATENATE(I250,J250)</f>
        <v>ANNAPURNAEQ</v>
      </c>
      <c r="B250" s="34">
        <v>46273</v>
      </c>
      <c r="C250" s="34">
        <v>46273</v>
      </c>
      <c r="D250" t="s">
        <v>35</v>
      </c>
      <c r="E250" t="s">
        <v>36</v>
      </c>
      <c r="F250" t="s">
        <v>37</v>
      </c>
      <c r="G250">
        <v>764471</v>
      </c>
      <c r="H250" t="s">
        <v>803</v>
      </c>
      <c r="I250" t="s">
        <v>804</v>
      </c>
      <c r="J250" t="s">
        <v>161</v>
      </c>
      <c r="O250" t="s">
        <v>805</v>
      </c>
      <c r="P250">
        <v>143.80000000000001</v>
      </c>
      <c r="Q250">
        <v>143.86000000000001</v>
      </c>
      <c r="R250">
        <v>138.59</v>
      </c>
      <c r="S250">
        <v>139.9</v>
      </c>
      <c r="T250">
        <v>140</v>
      </c>
      <c r="U250">
        <v>143.80000000000001</v>
      </c>
      <c r="W250">
        <v>139.9</v>
      </c>
      <c r="Z250">
        <v>41641</v>
      </c>
      <c r="AA250">
        <v>5897055.5300000003</v>
      </c>
      <c r="AB250">
        <v>346</v>
      </c>
      <c r="AC250" t="s">
        <v>42</v>
      </c>
      <c r="AD250">
        <v>1</v>
      </c>
    </row>
    <row r="251" spans="1:30">
      <c r="A251" t="str">
        <f>CONCATENATE(I251,J251)</f>
        <v>ANNUBE</v>
      </c>
      <c r="B251" s="34">
        <v>46273</v>
      </c>
      <c r="C251" s="34">
        <v>46273</v>
      </c>
      <c r="D251" t="s">
        <v>35</v>
      </c>
      <c r="E251" t="s">
        <v>36</v>
      </c>
      <c r="F251" t="s">
        <v>37</v>
      </c>
      <c r="G251">
        <v>765503</v>
      </c>
      <c r="H251" t="s">
        <v>806</v>
      </c>
      <c r="I251" t="s">
        <v>807</v>
      </c>
      <c r="J251" t="s">
        <v>183</v>
      </c>
      <c r="O251" t="s">
        <v>808</v>
      </c>
      <c r="P251">
        <v>61.58</v>
      </c>
      <c r="Q251">
        <v>61.58</v>
      </c>
      <c r="R251">
        <v>61.58</v>
      </c>
      <c r="S251">
        <v>61.58</v>
      </c>
      <c r="T251">
        <v>61.58</v>
      </c>
      <c r="U251">
        <v>64.819999999999993</v>
      </c>
      <c r="W251">
        <v>61.76</v>
      </c>
      <c r="Z251">
        <v>166981</v>
      </c>
      <c r="AA251">
        <v>10282689.98</v>
      </c>
      <c r="AB251">
        <v>1576</v>
      </c>
      <c r="AC251" t="s">
        <v>42</v>
      </c>
      <c r="AD251">
        <v>1</v>
      </c>
    </row>
    <row r="252" spans="1:30">
      <c r="A252" t="str">
        <f>CONCATENATE(I252,J252)</f>
        <v>ANONDITASM</v>
      </c>
      <c r="B252" s="34">
        <v>46273</v>
      </c>
      <c r="C252" s="34">
        <v>46273</v>
      </c>
      <c r="D252" t="s">
        <v>35</v>
      </c>
      <c r="E252" t="s">
        <v>36</v>
      </c>
      <c r="F252" t="s">
        <v>37</v>
      </c>
      <c r="G252">
        <v>758740</v>
      </c>
      <c r="H252" t="s">
        <v>809</v>
      </c>
      <c r="I252" t="s">
        <v>810</v>
      </c>
      <c r="J252" t="s">
        <v>267</v>
      </c>
      <c r="O252" t="s">
        <v>811</v>
      </c>
      <c r="P252">
        <v>1179</v>
      </c>
      <c r="Q252">
        <v>1190</v>
      </c>
      <c r="R252">
        <v>1130.05</v>
      </c>
      <c r="S252">
        <v>1178.5999999999999</v>
      </c>
      <c r="T252">
        <v>1173</v>
      </c>
      <c r="U252">
        <v>1147.9000000000001</v>
      </c>
      <c r="W252">
        <v>1178.5999999999999</v>
      </c>
      <c r="Z252">
        <v>89400</v>
      </c>
      <c r="AA252">
        <v>103761010</v>
      </c>
      <c r="AB252">
        <v>258</v>
      </c>
      <c r="AC252" t="s">
        <v>42</v>
      </c>
      <c r="AD252">
        <v>200</v>
      </c>
    </row>
    <row r="253" spans="1:30">
      <c r="A253" t="str">
        <f>CONCATENATE(I253,J253)</f>
        <v>ANSALBUEQ</v>
      </c>
      <c r="B253" s="34">
        <v>46273</v>
      </c>
      <c r="C253" s="34">
        <v>46273</v>
      </c>
      <c r="D253" t="s">
        <v>35</v>
      </c>
      <c r="E253" t="s">
        <v>36</v>
      </c>
      <c r="F253" t="s">
        <v>37</v>
      </c>
      <c r="G253">
        <v>765020</v>
      </c>
      <c r="H253" t="s">
        <v>812</v>
      </c>
      <c r="I253" t="s">
        <v>813</v>
      </c>
      <c r="J253" t="s">
        <v>161</v>
      </c>
      <c r="O253" t="s">
        <v>814</v>
      </c>
      <c r="P253">
        <v>89.99</v>
      </c>
      <c r="Q253">
        <v>89.99</v>
      </c>
      <c r="R253">
        <v>80</v>
      </c>
      <c r="S253">
        <v>82.5</v>
      </c>
      <c r="T253">
        <v>82.5</v>
      </c>
      <c r="U253">
        <v>79.239999999999995</v>
      </c>
      <c r="W253">
        <v>82.75</v>
      </c>
      <c r="Z253">
        <v>1815</v>
      </c>
      <c r="AA253">
        <v>150663.01999999999</v>
      </c>
      <c r="AB253">
        <v>57</v>
      </c>
      <c r="AC253" t="s">
        <v>42</v>
      </c>
      <c r="AD253">
        <v>1</v>
      </c>
    </row>
    <row r="254" spans="1:30">
      <c r="A254" t="str">
        <f>CONCATENATE(I254,J254)</f>
        <v>ANSALAPIBZ</v>
      </c>
      <c r="B254" s="34">
        <v>46273</v>
      </c>
      <c r="C254" s="34">
        <v>46273</v>
      </c>
      <c r="D254" t="s">
        <v>35</v>
      </c>
      <c r="E254" t="s">
        <v>36</v>
      </c>
      <c r="F254" t="s">
        <v>37</v>
      </c>
      <c r="G254">
        <v>19677</v>
      </c>
      <c r="H254" t="s">
        <v>815</v>
      </c>
      <c r="I254" t="s">
        <v>816</v>
      </c>
      <c r="J254" t="s">
        <v>551</v>
      </c>
      <c r="O254" t="s">
        <v>817</v>
      </c>
      <c r="P254">
        <v>3.4</v>
      </c>
      <c r="Q254">
        <v>3.41</v>
      </c>
      <c r="R254">
        <v>3.4</v>
      </c>
      <c r="S254">
        <v>3.41</v>
      </c>
      <c r="T254">
        <v>3.41</v>
      </c>
      <c r="U254">
        <v>3.35</v>
      </c>
      <c r="W254">
        <v>3.44</v>
      </c>
      <c r="Z254">
        <v>11676</v>
      </c>
      <c r="AA254">
        <v>39743.370000000003</v>
      </c>
      <c r="AB254">
        <v>31</v>
      </c>
      <c r="AC254" t="s">
        <v>42</v>
      </c>
      <c r="AD254">
        <v>1</v>
      </c>
    </row>
    <row r="255" spans="1:30">
      <c r="A255" t="str">
        <f>CONCATENATE(I255,J255)</f>
        <v>ANTGRAPHICEQ</v>
      </c>
      <c r="B255" s="34">
        <v>46273</v>
      </c>
      <c r="C255" s="34">
        <v>46273</v>
      </c>
      <c r="D255" t="s">
        <v>35</v>
      </c>
      <c r="E255" t="s">
        <v>36</v>
      </c>
      <c r="F255" t="s">
        <v>37</v>
      </c>
      <c r="G255">
        <v>5194</v>
      </c>
      <c r="H255" t="s">
        <v>818</v>
      </c>
      <c r="I255" t="s">
        <v>819</v>
      </c>
      <c r="J255" t="s">
        <v>161</v>
      </c>
      <c r="O255" t="s">
        <v>820</v>
      </c>
      <c r="P255">
        <v>0.75</v>
      </c>
      <c r="Q255">
        <v>0.75</v>
      </c>
      <c r="R255">
        <v>0.71</v>
      </c>
      <c r="S255">
        <v>0.72</v>
      </c>
      <c r="T255">
        <v>0.73</v>
      </c>
      <c r="U255">
        <v>0.73</v>
      </c>
      <c r="W255">
        <v>0.72</v>
      </c>
      <c r="Z255">
        <v>360294</v>
      </c>
      <c r="AA255">
        <v>258596.12</v>
      </c>
      <c r="AB255">
        <v>187</v>
      </c>
      <c r="AC255" t="s">
        <v>42</v>
      </c>
      <c r="AD255">
        <v>1</v>
      </c>
    </row>
    <row r="256" spans="1:30">
      <c r="A256" t="str">
        <f>CONCATENATE(I256,J256)</f>
        <v>ANTELOPUSEQ</v>
      </c>
      <c r="B256" s="34">
        <v>46273</v>
      </c>
      <c r="C256" s="34">
        <v>46273</v>
      </c>
      <c r="D256" t="s">
        <v>35</v>
      </c>
      <c r="E256" t="s">
        <v>36</v>
      </c>
      <c r="F256" t="s">
        <v>37</v>
      </c>
      <c r="G256">
        <v>13598</v>
      </c>
      <c r="H256" t="s">
        <v>821</v>
      </c>
      <c r="I256" t="s">
        <v>822</v>
      </c>
      <c r="J256" t="s">
        <v>161</v>
      </c>
      <c r="O256" t="s">
        <v>823</v>
      </c>
      <c r="P256">
        <v>987.5</v>
      </c>
      <c r="Q256">
        <v>1127.5</v>
      </c>
      <c r="R256">
        <v>971.4</v>
      </c>
      <c r="S256">
        <v>1099.1500000000001</v>
      </c>
      <c r="T256">
        <v>1109.8</v>
      </c>
      <c r="U256">
        <v>985.3</v>
      </c>
      <c r="W256">
        <v>1099.02</v>
      </c>
      <c r="Z256">
        <v>9401224</v>
      </c>
      <c r="AA256">
        <v>10226344294.65</v>
      </c>
      <c r="AB256">
        <v>311190</v>
      </c>
      <c r="AC256" t="s">
        <v>42</v>
      </c>
      <c r="AD256">
        <v>1</v>
      </c>
    </row>
    <row r="257" spans="1:30">
      <c r="A257" t="str">
        <f>CONCATENATE(I257,J257)</f>
        <v>ANTHEMEQ</v>
      </c>
      <c r="B257" s="34">
        <v>46273</v>
      </c>
      <c r="C257" s="34">
        <v>46273</v>
      </c>
      <c r="D257" t="s">
        <v>35</v>
      </c>
      <c r="E257" t="s">
        <v>36</v>
      </c>
      <c r="F257" t="s">
        <v>37</v>
      </c>
      <c r="G257">
        <v>757885</v>
      </c>
      <c r="H257" t="s">
        <v>824</v>
      </c>
      <c r="I257" t="s">
        <v>825</v>
      </c>
      <c r="J257" t="s">
        <v>161</v>
      </c>
      <c r="O257" t="s">
        <v>826</v>
      </c>
      <c r="P257">
        <v>939.2</v>
      </c>
      <c r="Q257">
        <v>959.9</v>
      </c>
      <c r="R257">
        <v>920</v>
      </c>
      <c r="S257">
        <v>957.8</v>
      </c>
      <c r="T257">
        <v>957.5</v>
      </c>
      <c r="U257">
        <v>933.5</v>
      </c>
      <c r="W257">
        <v>957.8</v>
      </c>
      <c r="Z257">
        <v>898858</v>
      </c>
      <c r="AA257">
        <v>849946597.95000005</v>
      </c>
      <c r="AB257">
        <v>77770</v>
      </c>
      <c r="AC257" t="s">
        <v>42</v>
      </c>
      <c r="AD257">
        <v>1</v>
      </c>
    </row>
    <row r="258" spans="1:30">
      <c r="A258" t="str">
        <f>CONCATENATE(I258,J258)</f>
        <v>AWHCLEQ</v>
      </c>
      <c r="B258" s="34">
        <v>46273</v>
      </c>
      <c r="C258" s="34">
        <v>46273</v>
      </c>
      <c r="D258" t="s">
        <v>35</v>
      </c>
      <c r="E258" t="s">
        <v>36</v>
      </c>
      <c r="F258" t="s">
        <v>37</v>
      </c>
      <c r="G258">
        <v>1797</v>
      </c>
      <c r="H258" t="s">
        <v>827</v>
      </c>
      <c r="I258" t="s">
        <v>828</v>
      </c>
      <c r="J258" t="s">
        <v>161</v>
      </c>
      <c r="O258" t="s">
        <v>829</v>
      </c>
      <c r="P258">
        <v>370.5</v>
      </c>
      <c r="Q258">
        <v>372.45</v>
      </c>
      <c r="R258">
        <v>361</v>
      </c>
      <c r="S258">
        <v>365.75</v>
      </c>
      <c r="T258">
        <v>366.65</v>
      </c>
      <c r="U258">
        <v>370.5</v>
      </c>
      <c r="W258">
        <v>365.76</v>
      </c>
      <c r="Z258">
        <v>73249</v>
      </c>
      <c r="AA258">
        <v>26898126.649999999</v>
      </c>
      <c r="AB258">
        <v>3556</v>
      </c>
      <c r="AC258" t="s">
        <v>42</v>
      </c>
      <c r="AD258">
        <v>1</v>
      </c>
    </row>
    <row r="259" spans="1:30">
      <c r="A259" t="str">
        <f>CONCATENATE(I259,J259)</f>
        <v>ANUHPHREQ</v>
      </c>
      <c r="B259" s="34">
        <v>46273</v>
      </c>
      <c r="C259" s="34">
        <v>46273</v>
      </c>
      <c r="D259" t="s">
        <v>35</v>
      </c>
      <c r="E259" t="s">
        <v>36</v>
      </c>
      <c r="F259" t="s">
        <v>37</v>
      </c>
      <c r="G259">
        <v>28314</v>
      </c>
      <c r="H259" t="s">
        <v>830</v>
      </c>
      <c r="I259" t="s">
        <v>831</v>
      </c>
      <c r="J259" t="s">
        <v>161</v>
      </c>
      <c r="O259" t="s">
        <v>832</v>
      </c>
      <c r="P259">
        <v>92</v>
      </c>
      <c r="Q259">
        <v>99.5</v>
      </c>
      <c r="R259">
        <v>91.79</v>
      </c>
      <c r="S259">
        <v>95.53</v>
      </c>
      <c r="T259">
        <v>94.9</v>
      </c>
      <c r="U259">
        <v>90.29</v>
      </c>
      <c r="W259">
        <v>95.52</v>
      </c>
      <c r="Z259">
        <v>1749719</v>
      </c>
      <c r="AA259">
        <v>167951020.74000001</v>
      </c>
      <c r="AB259">
        <v>15255</v>
      </c>
      <c r="AC259" t="s">
        <v>42</v>
      </c>
      <c r="AD259">
        <v>1</v>
      </c>
    </row>
    <row r="260" spans="1:30">
      <c r="A260" t="str">
        <f>CONCATENATE(I260,J260)</f>
        <v>ANURASEQ</v>
      </c>
      <c r="B260" s="34">
        <v>46273</v>
      </c>
      <c r="C260" s="34">
        <v>46273</v>
      </c>
      <c r="D260" t="s">
        <v>35</v>
      </c>
      <c r="E260" t="s">
        <v>36</v>
      </c>
      <c r="F260" t="s">
        <v>37</v>
      </c>
      <c r="G260">
        <v>2829</v>
      </c>
      <c r="H260" t="s">
        <v>833</v>
      </c>
      <c r="I260" t="s">
        <v>834</v>
      </c>
      <c r="J260" t="s">
        <v>161</v>
      </c>
      <c r="O260" t="s">
        <v>835</v>
      </c>
      <c r="P260">
        <v>1243.9000000000001</v>
      </c>
      <c r="Q260">
        <v>1245.5</v>
      </c>
      <c r="R260">
        <v>1222.5</v>
      </c>
      <c r="S260">
        <v>1233.4000000000001</v>
      </c>
      <c r="T260">
        <v>1233.5</v>
      </c>
      <c r="U260">
        <v>1233.5999999999999</v>
      </c>
      <c r="W260">
        <v>1233.4100000000001</v>
      </c>
      <c r="Z260">
        <v>137762</v>
      </c>
      <c r="AA260">
        <v>169764013.69999999</v>
      </c>
      <c r="AB260">
        <v>7156</v>
      </c>
      <c r="AC260" t="s">
        <v>42</v>
      </c>
      <c r="AD260">
        <v>1</v>
      </c>
    </row>
    <row r="261" spans="1:30">
      <c r="A261" t="str">
        <f>CONCATENATE(I261,J261)</f>
        <v>ANYASM</v>
      </c>
      <c r="B261" s="34">
        <v>46273</v>
      </c>
      <c r="C261" s="34">
        <v>46273</v>
      </c>
      <c r="D261" t="s">
        <v>35</v>
      </c>
      <c r="E261" t="s">
        <v>36</v>
      </c>
      <c r="F261" t="s">
        <v>37</v>
      </c>
      <c r="G261">
        <v>28983</v>
      </c>
      <c r="H261" t="s">
        <v>836</v>
      </c>
      <c r="I261" t="s">
        <v>837</v>
      </c>
      <c r="J261" t="s">
        <v>267</v>
      </c>
      <c r="O261" t="s">
        <v>838</v>
      </c>
      <c r="P261">
        <v>15.2</v>
      </c>
      <c r="Q261">
        <v>15.25</v>
      </c>
      <c r="R261">
        <v>15.2</v>
      </c>
      <c r="S261">
        <v>15.25</v>
      </c>
      <c r="T261">
        <v>15.25</v>
      </c>
      <c r="U261">
        <v>15.3</v>
      </c>
      <c r="W261">
        <v>15.25</v>
      </c>
      <c r="Z261">
        <v>15000</v>
      </c>
      <c r="AA261">
        <v>228500</v>
      </c>
      <c r="AB261">
        <v>3</v>
      </c>
      <c r="AC261" t="s">
        <v>42</v>
      </c>
      <c r="AD261">
        <v>5000</v>
      </c>
    </row>
    <row r="262" spans="1:30">
      <c r="A262" t="str">
        <f>CONCATENATE(I262,J262)</f>
        <v>AONEGOLDEQ</v>
      </c>
      <c r="B262" s="34">
        <v>46273</v>
      </c>
      <c r="C262" s="34">
        <v>46273</v>
      </c>
      <c r="D262" t="s">
        <v>35</v>
      </c>
      <c r="E262" t="s">
        <v>36</v>
      </c>
      <c r="F262" t="s">
        <v>37</v>
      </c>
      <c r="G262">
        <v>758904</v>
      </c>
      <c r="H262" t="s">
        <v>839</v>
      </c>
      <c r="I262" t="s">
        <v>840</v>
      </c>
      <c r="J262" t="s">
        <v>161</v>
      </c>
      <c r="O262" t="s">
        <v>841</v>
      </c>
      <c r="P262">
        <v>14.45</v>
      </c>
      <c r="Q262">
        <v>14.45</v>
      </c>
      <c r="R262">
        <v>14.15</v>
      </c>
      <c r="S262">
        <v>14.2</v>
      </c>
      <c r="T262">
        <v>14.24</v>
      </c>
      <c r="U262">
        <v>14.19</v>
      </c>
      <c r="W262">
        <v>14.2</v>
      </c>
      <c r="Z262">
        <v>152998</v>
      </c>
      <c r="AA262">
        <v>2180716.3199999998</v>
      </c>
      <c r="AB262">
        <v>1266</v>
      </c>
      <c r="AC262" t="s">
        <v>42</v>
      </c>
      <c r="AD262">
        <v>1</v>
      </c>
    </row>
    <row r="263" spans="1:30">
      <c r="A263" t="str">
        <f>CONCATENATE(I263,J263)</f>
        <v>AONELIQUIDEQ</v>
      </c>
      <c r="B263" s="34">
        <v>46273</v>
      </c>
      <c r="C263" s="34">
        <v>46273</v>
      </c>
      <c r="D263" t="s">
        <v>35</v>
      </c>
      <c r="E263" t="s">
        <v>36</v>
      </c>
      <c r="F263" t="s">
        <v>37</v>
      </c>
      <c r="G263">
        <v>30472</v>
      </c>
      <c r="H263" t="s">
        <v>842</v>
      </c>
      <c r="I263" t="s">
        <v>843</v>
      </c>
      <c r="J263" t="s">
        <v>161</v>
      </c>
      <c r="O263" t="s">
        <v>844</v>
      </c>
      <c r="P263">
        <v>1075.94</v>
      </c>
      <c r="Q263">
        <v>1075.95</v>
      </c>
      <c r="R263">
        <v>1075.92</v>
      </c>
      <c r="S263">
        <v>1075.94</v>
      </c>
      <c r="T263">
        <v>1075.95</v>
      </c>
      <c r="U263">
        <v>1075.79</v>
      </c>
      <c r="W263">
        <v>1075.94</v>
      </c>
      <c r="Z263">
        <v>29072</v>
      </c>
      <c r="AA263">
        <v>31279872.84</v>
      </c>
      <c r="AB263">
        <v>101</v>
      </c>
      <c r="AC263" t="s">
        <v>42</v>
      </c>
      <c r="AD263">
        <v>1</v>
      </c>
    </row>
    <row r="264" spans="1:30">
      <c r="A264" t="str">
        <f>CONCATENATE(I264,J264)</f>
        <v>AONENIFTYEQ</v>
      </c>
      <c r="B264" s="34">
        <v>46273</v>
      </c>
      <c r="C264" s="34">
        <v>46273</v>
      </c>
      <c r="D264" t="s">
        <v>35</v>
      </c>
      <c r="E264" t="s">
        <v>36</v>
      </c>
      <c r="F264" t="s">
        <v>37</v>
      </c>
      <c r="G264">
        <v>757096</v>
      </c>
      <c r="H264" t="s">
        <v>845</v>
      </c>
      <c r="I264" t="s">
        <v>846</v>
      </c>
      <c r="J264" t="s">
        <v>161</v>
      </c>
      <c r="O264" t="s">
        <v>847</v>
      </c>
      <c r="P264">
        <v>9.58</v>
      </c>
      <c r="Q264">
        <v>9.9600000000000009</v>
      </c>
      <c r="R264">
        <v>9.58</v>
      </c>
      <c r="S264">
        <v>9.7899999999999991</v>
      </c>
      <c r="T264">
        <v>9.8000000000000007</v>
      </c>
      <c r="U264">
        <v>9.83</v>
      </c>
      <c r="W264">
        <v>9.7899999999999991</v>
      </c>
      <c r="Z264">
        <v>396075</v>
      </c>
      <c r="AA264">
        <v>3877230.86</v>
      </c>
      <c r="AB264">
        <v>1261</v>
      </c>
      <c r="AC264" t="s">
        <v>42</v>
      </c>
      <c r="AD264">
        <v>1</v>
      </c>
    </row>
    <row r="265" spans="1:30">
      <c r="A265" t="str">
        <f>CONCATENATE(I265,J265)</f>
        <v>AONESILVEREQ</v>
      </c>
      <c r="B265" s="34">
        <v>46273</v>
      </c>
      <c r="C265" s="34">
        <v>46273</v>
      </c>
      <c r="D265" t="s">
        <v>35</v>
      </c>
      <c r="E265" t="s">
        <v>36</v>
      </c>
      <c r="F265" t="s">
        <v>37</v>
      </c>
      <c r="G265">
        <v>760193</v>
      </c>
      <c r="H265" t="s">
        <v>848</v>
      </c>
      <c r="I265" t="s">
        <v>849</v>
      </c>
      <c r="J265" t="s">
        <v>161</v>
      </c>
      <c r="O265" t="s">
        <v>850</v>
      </c>
      <c r="P265">
        <v>8.85</v>
      </c>
      <c r="Q265">
        <v>8.98</v>
      </c>
      <c r="R265">
        <v>8.81</v>
      </c>
      <c r="S265">
        <v>8.82</v>
      </c>
      <c r="T265">
        <v>8.86</v>
      </c>
      <c r="U265">
        <v>8.7899999999999991</v>
      </c>
      <c r="W265">
        <v>8.82</v>
      </c>
      <c r="Z265">
        <v>236317</v>
      </c>
      <c r="AA265">
        <v>2097436.7999999998</v>
      </c>
      <c r="AB265">
        <v>1020</v>
      </c>
      <c r="AC265" t="s">
        <v>42</v>
      </c>
      <c r="AD265">
        <v>1</v>
      </c>
    </row>
    <row r="266" spans="1:30">
      <c r="A266" t="str">
        <f>CONCATENATE(I266,J266)</f>
        <v>AONETMMQ50EQ</v>
      </c>
      <c r="B266" s="34">
        <v>46273</v>
      </c>
      <c r="C266" s="34">
        <v>46273</v>
      </c>
      <c r="D266" t="s">
        <v>35</v>
      </c>
      <c r="E266" t="s">
        <v>36</v>
      </c>
      <c r="F266" t="s">
        <v>37</v>
      </c>
      <c r="G266">
        <v>759992</v>
      </c>
      <c r="H266" t="s">
        <v>851</v>
      </c>
      <c r="I266" t="s">
        <v>852</v>
      </c>
      <c r="J266" t="s">
        <v>161</v>
      </c>
      <c r="O266" t="s">
        <v>853</v>
      </c>
      <c r="P266">
        <v>10.36</v>
      </c>
      <c r="Q266">
        <v>10.4</v>
      </c>
      <c r="R266">
        <v>10.3</v>
      </c>
      <c r="S266">
        <v>10.35</v>
      </c>
      <c r="T266">
        <v>10.4</v>
      </c>
      <c r="U266">
        <v>10.31</v>
      </c>
      <c r="W266">
        <v>10.35</v>
      </c>
      <c r="Z266">
        <v>70002</v>
      </c>
      <c r="AA266">
        <v>725303.42</v>
      </c>
      <c r="AB266">
        <v>298</v>
      </c>
      <c r="AC266" t="s">
        <v>42</v>
      </c>
      <c r="AD266">
        <v>1</v>
      </c>
    </row>
    <row r="267" spans="1:30">
      <c r="A267" t="str">
        <f>CONCATENATE(I267,J267)</f>
        <v>AONETOTALEQ</v>
      </c>
      <c r="B267" s="34">
        <v>46273</v>
      </c>
      <c r="C267" s="34">
        <v>46273</v>
      </c>
      <c r="D267" t="s">
        <v>35</v>
      </c>
      <c r="E267" t="s">
        <v>36</v>
      </c>
      <c r="F267" t="s">
        <v>37</v>
      </c>
      <c r="G267">
        <v>29975</v>
      </c>
      <c r="H267" t="s">
        <v>854</v>
      </c>
      <c r="I267" t="s">
        <v>855</v>
      </c>
      <c r="J267" t="s">
        <v>161</v>
      </c>
      <c r="O267" t="s">
        <v>856</v>
      </c>
      <c r="P267">
        <v>11.99</v>
      </c>
      <c r="Q267">
        <v>11.99</v>
      </c>
      <c r="R267">
        <v>11.8</v>
      </c>
      <c r="S267">
        <v>11.81</v>
      </c>
      <c r="T267">
        <v>11.84</v>
      </c>
      <c r="U267">
        <v>11.84</v>
      </c>
      <c r="W267">
        <v>11.81</v>
      </c>
      <c r="Z267">
        <v>195028</v>
      </c>
      <c r="AA267">
        <v>2305101.86</v>
      </c>
      <c r="AB267">
        <v>1060</v>
      </c>
      <c r="AC267" t="s">
        <v>42</v>
      </c>
      <c r="AD267">
        <v>1</v>
      </c>
    </row>
    <row r="268" spans="1:30">
      <c r="A268" t="str">
        <f>CONCATENATE(I268,J268)</f>
        <v>APARINDSEQ</v>
      </c>
      <c r="B268" s="34">
        <v>46273</v>
      </c>
      <c r="C268" s="34">
        <v>46273</v>
      </c>
      <c r="D268" t="s">
        <v>35</v>
      </c>
      <c r="E268" t="s">
        <v>36</v>
      </c>
      <c r="F268" t="s">
        <v>37</v>
      </c>
      <c r="G268">
        <v>11491</v>
      </c>
      <c r="H268" t="s">
        <v>857</v>
      </c>
      <c r="I268" t="s">
        <v>858</v>
      </c>
      <c r="J268" t="s">
        <v>161</v>
      </c>
      <c r="O268" t="s">
        <v>859</v>
      </c>
      <c r="P268">
        <v>17789</v>
      </c>
      <c r="Q268">
        <v>17812</v>
      </c>
      <c r="R268">
        <v>17372</v>
      </c>
      <c r="S268">
        <v>17635</v>
      </c>
      <c r="T268">
        <v>17657</v>
      </c>
      <c r="U268">
        <v>17728</v>
      </c>
      <c r="W268">
        <v>17634.919999999998</v>
      </c>
      <c r="Z268">
        <v>114178</v>
      </c>
      <c r="AA268">
        <v>1999348481</v>
      </c>
      <c r="AB268">
        <v>27753</v>
      </c>
      <c r="AC268" t="s">
        <v>42</v>
      </c>
      <c r="AD268">
        <v>1</v>
      </c>
    </row>
    <row r="269" spans="1:30">
      <c r="A269" t="str">
        <f>CONCATENATE(I269,J269)</f>
        <v>APCOTEXINDEQ</v>
      </c>
      <c r="B269" s="34">
        <v>46273</v>
      </c>
      <c r="C269" s="34">
        <v>46273</v>
      </c>
      <c r="D269" t="s">
        <v>35</v>
      </c>
      <c r="E269" t="s">
        <v>36</v>
      </c>
      <c r="F269" t="s">
        <v>37</v>
      </c>
      <c r="G269">
        <v>154</v>
      </c>
      <c r="H269" t="s">
        <v>860</v>
      </c>
      <c r="I269" t="s">
        <v>861</v>
      </c>
      <c r="J269" t="s">
        <v>161</v>
      </c>
      <c r="O269" t="s">
        <v>862</v>
      </c>
      <c r="P269">
        <v>630.04999999999995</v>
      </c>
      <c r="Q269">
        <v>633.04999999999995</v>
      </c>
      <c r="R269">
        <v>601</v>
      </c>
      <c r="S269">
        <v>612.15</v>
      </c>
      <c r="T269">
        <v>612</v>
      </c>
      <c r="U269">
        <v>631.6</v>
      </c>
      <c r="W269">
        <v>612.12</v>
      </c>
      <c r="Z269">
        <v>262125</v>
      </c>
      <c r="AA269">
        <v>160663201.55000001</v>
      </c>
      <c r="AB269">
        <v>11929</v>
      </c>
      <c r="AC269" t="s">
        <v>42</v>
      </c>
      <c r="AD269">
        <v>1</v>
      </c>
    </row>
    <row r="270" spans="1:30">
      <c r="A270" t="str">
        <f>CONCATENATE(I270,J270)</f>
        <v>APEXECOST</v>
      </c>
      <c r="B270" s="34">
        <v>46273</v>
      </c>
      <c r="C270" s="34">
        <v>46273</v>
      </c>
      <c r="D270" t="s">
        <v>35</v>
      </c>
      <c r="E270" t="s">
        <v>36</v>
      </c>
      <c r="F270" t="s">
        <v>37</v>
      </c>
      <c r="G270">
        <v>27291</v>
      </c>
      <c r="H270" t="s">
        <v>863</v>
      </c>
      <c r="I270" t="s">
        <v>864</v>
      </c>
      <c r="J270" t="s">
        <v>328</v>
      </c>
      <c r="O270" t="s">
        <v>865</v>
      </c>
      <c r="P270">
        <v>264.95</v>
      </c>
      <c r="Q270">
        <v>280</v>
      </c>
      <c r="R270">
        <v>264.95</v>
      </c>
      <c r="S270">
        <v>279.55</v>
      </c>
      <c r="T270">
        <v>279.95</v>
      </c>
      <c r="U270">
        <v>274.89999999999998</v>
      </c>
      <c r="W270">
        <v>279.55</v>
      </c>
      <c r="Z270">
        <v>9600</v>
      </c>
      <c r="AA270">
        <v>2637760</v>
      </c>
      <c r="AB270">
        <v>12</v>
      </c>
      <c r="AC270" t="s">
        <v>42</v>
      </c>
      <c r="AD270">
        <v>800</v>
      </c>
    </row>
    <row r="271" spans="1:30">
      <c r="A271" t="str">
        <f>CONCATENATE(I271,J271)</f>
        <v>APEXEQ</v>
      </c>
      <c r="B271" s="34">
        <v>46273</v>
      </c>
      <c r="C271" s="34">
        <v>46273</v>
      </c>
      <c r="D271" t="s">
        <v>35</v>
      </c>
      <c r="E271" t="s">
        <v>36</v>
      </c>
      <c r="F271" t="s">
        <v>37</v>
      </c>
      <c r="G271">
        <v>21623</v>
      </c>
      <c r="H271" t="s">
        <v>866</v>
      </c>
      <c r="I271" t="s">
        <v>867</v>
      </c>
      <c r="J271" t="s">
        <v>161</v>
      </c>
      <c r="O271" t="s">
        <v>868</v>
      </c>
      <c r="P271">
        <v>366.5</v>
      </c>
      <c r="Q271">
        <v>387.95</v>
      </c>
      <c r="R271">
        <v>366.05</v>
      </c>
      <c r="S271">
        <v>384.2</v>
      </c>
      <c r="T271">
        <v>384.5</v>
      </c>
      <c r="U271">
        <v>368.2</v>
      </c>
      <c r="W271">
        <v>384.21</v>
      </c>
      <c r="Z271">
        <v>296621</v>
      </c>
      <c r="AA271">
        <v>112806422.25</v>
      </c>
      <c r="AB271">
        <v>11625</v>
      </c>
      <c r="AC271" t="s">
        <v>42</v>
      </c>
      <c r="AD271">
        <v>1</v>
      </c>
    </row>
    <row r="272" spans="1:30">
      <c r="A272" t="str">
        <f>CONCATENATE(I272,J272)</f>
        <v>APLAPOLLOEQ</v>
      </c>
      <c r="B272" s="34">
        <v>46273</v>
      </c>
      <c r="C272" s="34">
        <v>46273</v>
      </c>
      <c r="D272" t="s">
        <v>35</v>
      </c>
      <c r="E272" t="s">
        <v>36</v>
      </c>
      <c r="F272" t="s">
        <v>37</v>
      </c>
      <c r="G272">
        <v>25780</v>
      </c>
      <c r="H272" t="s">
        <v>869</v>
      </c>
      <c r="I272" t="s">
        <v>870</v>
      </c>
      <c r="J272" t="s">
        <v>161</v>
      </c>
      <c r="O272" t="s">
        <v>871</v>
      </c>
      <c r="P272">
        <v>2204.6</v>
      </c>
      <c r="Q272">
        <v>2204.8000000000002</v>
      </c>
      <c r="R272">
        <v>2165</v>
      </c>
      <c r="S272">
        <v>2185</v>
      </c>
      <c r="T272">
        <v>2185</v>
      </c>
      <c r="U272">
        <v>2215</v>
      </c>
      <c r="W272">
        <v>2185</v>
      </c>
      <c r="Z272">
        <v>922548</v>
      </c>
      <c r="AA272">
        <v>2011586010.8</v>
      </c>
      <c r="AB272">
        <v>38840</v>
      </c>
      <c r="AC272" t="s">
        <v>42</v>
      </c>
      <c r="AD272">
        <v>1</v>
      </c>
    </row>
    <row r="273" spans="1:30">
      <c r="A273" t="str">
        <f>CONCATENATE(I273,J273)</f>
        <v>930APMD31N0</v>
      </c>
      <c r="B273" s="34">
        <v>46273</v>
      </c>
      <c r="C273" s="34">
        <v>46273</v>
      </c>
      <c r="D273" t="s">
        <v>35</v>
      </c>
      <c r="E273" t="s">
        <v>36</v>
      </c>
      <c r="F273" t="s">
        <v>37</v>
      </c>
      <c r="G273">
        <v>757186</v>
      </c>
      <c r="H273" t="s">
        <v>872</v>
      </c>
      <c r="I273" t="s">
        <v>873</v>
      </c>
      <c r="J273" t="s">
        <v>514</v>
      </c>
      <c r="O273" t="s">
        <v>874</v>
      </c>
      <c r="P273">
        <v>104000</v>
      </c>
      <c r="Q273">
        <v>104000</v>
      </c>
      <c r="R273">
        <v>104000</v>
      </c>
      <c r="S273">
        <v>104000</v>
      </c>
      <c r="T273">
        <v>104000</v>
      </c>
      <c r="U273">
        <v>104904.11</v>
      </c>
      <c r="W273">
        <v>104000</v>
      </c>
      <c r="Z273">
        <v>2</v>
      </c>
      <c r="AA273">
        <v>208000</v>
      </c>
      <c r="AB273">
        <v>2</v>
      </c>
      <c r="AC273" t="s">
        <v>42</v>
      </c>
      <c r="AD273">
        <v>1</v>
      </c>
    </row>
    <row r="274" spans="1:30">
      <c r="A274" t="str">
        <f>CONCATENATE(I274,J274)</f>
        <v>APOLLOHOSPEQ</v>
      </c>
      <c r="B274" s="34">
        <v>46273</v>
      </c>
      <c r="C274" s="34">
        <v>46273</v>
      </c>
      <c r="D274" t="s">
        <v>35</v>
      </c>
      <c r="E274" t="s">
        <v>36</v>
      </c>
      <c r="F274" t="s">
        <v>37</v>
      </c>
      <c r="G274">
        <v>157</v>
      </c>
      <c r="H274" t="s">
        <v>875</v>
      </c>
      <c r="I274" t="s">
        <v>876</v>
      </c>
      <c r="J274" t="s">
        <v>161</v>
      </c>
      <c r="O274" t="s">
        <v>877</v>
      </c>
      <c r="P274">
        <v>8761.5</v>
      </c>
      <c r="Q274">
        <v>8850</v>
      </c>
      <c r="R274">
        <v>8745</v>
      </c>
      <c r="S274">
        <v>8837.5</v>
      </c>
      <c r="T274">
        <v>8837.5</v>
      </c>
      <c r="U274">
        <v>8760</v>
      </c>
      <c r="W274">
        <v>8837.42</v>
      </c>
      <c r="Z274">
        <v>324848</v>
      </c>
      <c r="AA274">
        <v>2862000875.5</v>
      </c>
      <c r="AB274">
        <v>47434</v>
      </c>
      <c r="AC274" t="s">
        <v>42</v>
      </c>
      <c r="AD274">
        <v>1</v>
      </c>
    </row>
    <row r="275" spans="1:30">
      <c r="A275" t="str">
        <f>CONCATENATE(I275,J275)</f>
        <v>APOLLOEQ</v>
      </c>
      <c r="B275" s="34">
        <v>46273</v>
      </c>
      <c r="C275" s="34">
        <v>46273</v>
      </c>
      <c r="D275" t="s">
        <v>35</v>
      </c>
      <c r="E275" t="s">
        <v>36</v>
      </c>
      <c r="F275" t="s">
        <v>37</v>
      </c>
      <c r="G275">
        <v>1134</v>
      </c>
      <c r="H275" t="s">
        <v>878</v>
      </c>
      <c r="I275" t="s">
        <v>879</v>
      </c>
      <c r="J275" t="s">
        <v>161</v>
      </c>
      <c r="O275" t="s">
        <v>880</v>
      </c>
      <c r="P275">
        <v>408</v>
      </c>
      <c r="Q275">
        <v>424</v>
      </c>
      <c r="R275">
        <v>405.8</v>
      </c>
      <c r="S275">
        <v>417.9</v>
      </c>
      <c r="T275">
        <v>418.5</v>
      </c>
      <c r="U275">
        <v>403.95</v>
      </c>
      <c r="W275">
        <v>417.9</v>
      </c>
      <c r="Z275">
        <v>15479622</v>
      </c>
      <c r="AA275">
        <v>6459155748.3500004</v>
      </c>
      <c r="AB275">
        <v>156693</v>
      </c>
      <c r="AC275" t="s">
        <v>42</v>
      </c>
      <c r="AD275">
        <v>1</v>
      </c>
    </row>
    <row r="276" spans="1:30">
      <c r="A276" t="str">
        <f>CONCATENATE(I276,J276)</f>
        <v>APOLLOPIPEEQ</v>
      </c>
      <c r="B276" s="34">
        <v>46273</v>
      </c>
      <c r="C276" s="34">
        <v>46273</v>
      </c>
      <c r="D276" t="s">
        <v>35</v>
      </c>
      <c r="E276" t="s">
        <v>36</v>
      </c>
      <c r="F276" t="s">
        <v>37</v>
      </c>
      <c r="G276">
        <v>14361</v>
      </c>
      <c r="H276" t="s">
        <v>881</v>
      </c>
      <c r="I276" t="s">
        <v>882</v>
      </c>
      <c r="J276" t="s">
        <v>161</v>
      </c>
      <c r="O276" t="s">
        <v>883</v>
      </c>
      <c r="P276">
        <v>600.6</v>
      </c>
      <c r="Q276">
        <v>603.95000000000005</v>
      </c>
      <c r="R276">
        <v>586.20000000000005</v>
      </c>
      <c r="S276">
        <v>591.20000000000005</v>
      </c>
      <c r="T276">
        <v>591.04999999999995</v>
      </c>
      <c r="U276">
        <v>601</v>
      </c>
      <c r="W276">
        <v>591.19000000000005</v>
      </c>
      <c r="Z276">
        <v>87773</v>
      </c>
      <c r="AA276">
        <v>52173389.899999999</v>
      </c>
      <c r="AB276">
        <v>3525</v>
      </c>
      <c r="AC276" t="s">
        <v>42</v>
      </c>
      <c r="AD276">
        <v>1</v>
      </c>
    </row>
    <row r="277" spans="1:30">
      <c r="A277" t="str">
        <f>CONCATENATE(I277,J277)</f>
        <v>APOLSINHOTEQ</v>
      </c>
      <c r="B277" s="34">
        <v>46273</v>
      </c>
      <c r="C277" s="34">
        <v>46273</v>
      </c>
      <c r="D277" t="s">
        <v>35</v>
      </c>
      <c r="E277" t="s">
        <v>36</v>
      </c>
      <c r="F277" t="s">
        <v>37</v>
      </c>
      <c r="G277">
        <v>6302</v>
      </c>
      <c r="H277" t="s">
        <v>884</v>
      </c>
      <c r="I277" t="s">
        <v>885</v>
      </c>
      <c r="J277" t="s">
        <v>161</v>
      </c>
      <c r="O277" t="s">
        <v>886</v>
      </c>
      <c r="P277">
        <v>1204.9000000000001</v>
      </c>
      <c r="Q277">
        <v>1218.9000000000001</v>
      </c>
      <c r="R277">
        <v>1201.4000000000001</v>
      </c>
      <c r="S277">
        <v>1209.0999999999999</v>
      </c>
      <c r="T277">
        <v>1213</v>
      </c>
      <c r="U277">
        <v>1204.9000000000001</v>
      </c>
      <c r="W277">
        <v>1209.0999999999999</v>
      </c>
      <c r="Z277">
        <v>372</v>
      </c>
      <c r="AA277">
        <v>450173.7</v>
      </c>
      <c r="AB277">
        <v>72</v>
      </c>
      <c r="AC277" t="s">
        <v>42</v>
      </c>
      <c r="AD277">
        <v>1</v>
      </c>
    </row>
    <row r="278" spans="1:30">
      <c r="A278" t="str">
        <f>CONCATENATE(I278,J278)</f>
        <v>APOLLOTYREEQ</v>
      </c>
      <c r="B278" s="34">
        <v>46273</v>
      </c>
      <c r="C278" s="34">
        <v>46273</v>
      </c>
      <c r="D278" t="s">
        <v>35</v>
      </c>
      <c r="E278" t="s">
        <v>36</v>
      </c>
      <c r="F278" t="s">
        <v>37</v>
      </c>
      <c r="G278">
        <v>163</v>
      </c>
      <c r="H278" t="s">
        <v>887</v>
      </c>
      <c r="I278" t="s">
        <v>888</v>
      </c>
      <c r="J278" t="s">
        <v>161</v>
      </c>
      <c r="O278" t="s">
        <v>889</v>
      </c>
      <c r="P278">
        <v>420.8</v>
      </c>
      <c r="Q278">
        <v>421.2</v>
      </c>
      <c r="R278">
        <v>410.05</v>
      </c>
      <c r="S278">
        <v>411.5</v>
      </c>
      <c r="T278">
        <v>412.1</v>
      </c>
      <c r="U278">
        <v>420.8</v>
      </c>
      <c r="W278">
        <v>411.5</v>
      </c>
      <c r="Z278">
        <v>568041</v>
      </c>
      <c r="AA278">
        <v>234944836.84999999</v>
      </c>
      <c r="AB278">
        <v>28313</v>
      </c>
      <c r="AC278" t="s">
        <v>42</v>
      </c>
      <c r="AD278">
        <v>1</v>
      </c>
    </row>
    <row r="279" spans="1:30">
      <c r="A279" t="str">
        <f>CONCATENATE(I279,J279)</f>
        <v>APOORVAEQ</v>
      </c>
      <c r="B279" s="34">
        <v>46273</v>
      </c>
      <c r="C279" s="34">
        <v>46273</v>
      </c>
      <c r="D279" t="s">
        <v>35</v>
      </c>
      <c r="E279" t="s">
        <v>36</v>
      </c>
      <c r="F279" t="s">
        <v>37</v>
      </c>
      <c r="G279">
        <v>764593</v>
      </c>
      <c r="H279" t="s">
        <v>890</v>
      </c>
      <c r="I279" t="s">
        <v>891</v>
      </c>
      <c r="J279" t="s">
        <v>161</v>
      </c>
      <c r="O279" t="s">
        <v>892</v>
      </c>
      <c r="P279">
        <v>25.25</v>
      </c>
      <c r="Q279">
        <v>26.51</v>
      </c>
      <c r="R279">
        <v>25</v>
      </c>
      <c r="S279">
        <v>25.3</v>
      </c>
      <c r="T279">
        <v>26.51</v>
      </c>
      <c r="U279">
        <v>25.25</v>
      </c>
      <c r="W279">
        <v>25.38</v>
      </c>
      <c r="Z279">
        <v>1205</v>
      </c>
      <c r="AA279">
        <v>30486.54</v>
      </c>
      <c r="AB279">
        <v>13</v>
      </c>
      <c r="AC279" t="s">
        <v>42</v>
      </c>
      <c r="AD279">
        <v>1</v>
      </c>
    </row>
    <row r="280" spans="1:30">
      <c r="A280" t="str">
        <f>CONCATENATE(I280,J280)</f>
        <v>APRAMEYASM</v>
      </c>
      <c r="B280" s="34">
        <v>46273</v>
      </c>
      <c r="C280" s="34">
        <v>46273</v>
      </c>
      <c r="D280" t="s">
        <v>35</v>
      </c>
      <c r="E280" t="s">
        <v>36</v>
      </c>
      <c r="F280" t="s">
        <v>37</v>
      </c>
      <c r="G280">
        <v>24638</v>
      </c>
      <c r="H280" t="s">
        <v>893</v>
      </c>
      <c r="I280" t="s">
        <v>894</v>
      </c>
      <c r="J280" t="s">
        <v>267</v>
      </c>
      <c r="O280" t="s">
        <v>895</v>
      </c>
      <c r="P280">
        <v>113</v>
      </c>
      <c r="Q280">
        <v>113</v>
      </c>
      <c r="R280">
        <v>102.1</v>
      </c>
      <c r="S280">
        <v>103.25</v>
      </c>
      <c r="T280">
        <v>105</v>
      </c>
      <c r="U280">
        <v>112.65</v>
      </c>
      <c r="W280">
        <v>103.25</v>
      </c>
      <c r="Z280">
        <v>40000</v>
      </c>
      <c r="AA280">
        <v>4224325</v>
      </c>
      <c r="AB280">
        <v>42</v>
      </c>
      <c r="AC280" t="s">
        <v>42</v>
      </c>
      <c r="AD280">
        <v>500</v>
      </c>
    </row>
    <row r="281" spans="1:30">
      <c r="A281" t="str">
        <f>CONCATENATE(I281,J281)</f>
        <v>APSISAEROST</v>
      </c>
      <c r="B281" s="34">
        <v>46273</v>
      </c>
      <c r="C281" s="34">
        <v>46273</v>
      </c>
      <c r="D281" t="s">
        <v>35</v>
      </c>
      <c r="E281" t="s">
        <v>36</v>
      </c>
      <c r="F281" t="s">
        <v>37</v>
      </c>
      <c r="G281">
        <v>761435</v>
      </c>
      <c r="H281" t="s">
        <v>896</v>
      </c>
      <c r="I281" t="s">
        <v>897</v>
      </c>
      <c r="J281" t="s">
        <v>328</v>
      </c>
      <c r="O281" t="s">
        <v>898</v>
      </c>
      <c r="P281">
        <v>611.04999999999995</v>
      </c>
      <c r="Q281">
        <v>625</v>
      </c>
      <c r="R281">
        <v>611.04999999999995</v>
      </c>
      <c r="S281">
        <v>625</v>
      </c>
      <c r="T281">
        <v>625</v>
      </c>
      <c r="U281">
        <v>623.5</v>
      </c>
      <c r="W281">
        <v>625</v>
      </c>
      <c r="Z281">
        <v>33600</v>
      </c>
      <c r="AA281">
        <v>20646000</v>
      </c>
      <c r="AB281">
        <v>25</v>
      </c>
      <c r="AC281" t="s">
        <v>42</v>
      </c>
      <c r="AD281">
        <v>1200</v>
      </c>
    </row>
    <row r="282" spans="1:30">
      <c r="A282" t="str">
        <f>CONCATENATE(I282,J282)</f>
        <v>APTECHTBE</v>
      </c>
      <c r="B282" s="34">
        <v>46273</v>
      </c>
      <c r="C282" s="34">
        <v>46273</v>
      </c>
      <c r="D282" t="s">
        <v>35</v>
      </c>
      <c r="E282" t="s">
        <v>36</v>
      </c>
      <c r="F282" t="s">
        <v>37</v>
      </c>
      <c r="G282">
        <v>14074</v>
      </c>
      <c r="H282" t="s">
        <v>899</v>
      </c>
      <c r="I282" t="s">
        <v>900</v>
      </c>
      <c r="J282" t="s">
        <v>183</v>
      </c>
      <c r="O282" t="s">
        <v>901</v>
      </c>
      <c r="P282">
        <v>90.49</v>
      </c>
      <c r="Q282">
        <v>90.49</v>
      </c>
      <c r="R282">
        <v>88.05</v>
      </c>
      <c r="S282">
        <v>89.69</v>
      </c>
      <c r="T282">
        <v>89.95</v>
      </c>
      <c r="U282">
        <v>89.47</v>
      </c>
      <c r="W282">
        <v>89.67</v>
      </c>
      <c r="Z282">
        <v>60790</v>
      </c>
      <c r="AA282">
        <v>5406776.4299999997</v>
      </c>
      <c r="AB282">
        <v>489</v>
      </c>
      <c r="AC282" t="s">
        <v>42</v>
      </c>
      <c r="AD282">
        <v>1</v>
      </c>
    </row>
    <row r="283" spans="1:30">
      <c r="A283" t="str">
        <f>CONCATENATE(I283,J283)</f>
        <v>APTUSEQ</v>
      </c>
      <c r="B283" s="34">
        <v>46273</v>
      </c>
      <c r="C283" s="34">
        <v>46273</v>
      </c>
      <c r="D283" t="s">
        <v>35</v>
      </c>
      <c r="E283" t="s">
        <v>36</v>
      </c>
      <c r="F283" t="s">
        <v>37</v>
      </c>
      <c r="G283">
        <v>5435</v>
      </c>
      <c r="H283" t="s">
        <v>902</v>
      </c>
      <c r="I283" t="s">
        <v>903</v>
      </c>
      <c r="J283" t="s">
        <v>161</v>
      </c>
      <c r="O283" t="s">
        <v>904</v>
      </c>
      <c r="P283">
        <v>256</v>
      </c>
      <c r="Q283">
        <v>257.86</v>
      </c>
      <c r="R283">
        <v>252.1</v>
      </c>
      <c r="S283">
        <v>256.95999999999998</v>
      </c>
      <c r="T283">
        <v>257.64999999999998</v>
      </c>
      <c r="U283">
        <v>256.89</v>
      </c>
      <c r="W283">
        <v>256.92</v>
      </c>
      <c r="Z283">
        <v>511661</v>
      </c>
      <c r="AA283">
        <v>130934682.12</v>
      </c>
      <c r="AB283">
        <v>11363</v>
      </c>
      <c r="AC283" t="s">
        <v>42</v>
      </c>
      <c r="AD283">
        <v>1</v>
      </c>
    </row>
    <row r="284" spans="1:30">
      <c r="A284" t="str">
        <f>CONCATENATE(I284,J284)</f>
        <v>AQYLONEQ</v>
      </c>
      <c r="B284" s="34">
        <v>46273</v>
      </c>
      <c r="C284" s="34">
        <v>46273</v>
      </c>
      <c r="D284" t="s">
        <v>35</v>
      </c>
      <c r="E284" t="s">
        <v>36</v>
      </c>
      <c r="F284" t="s">
        <v>37</v>
      </c>
      <c r="G284">
        <v>23365</v>
      </c>
      <c r="H284" t="s">
        <v>905</v>
      </c>
      <c r="I284" t="s">
        <v>906</v>
      </c>
      <c r="J284" t="s">
        <v>161</v>
      </c>
      <c r="O284" t="s">
        <v>907</v>
      </c>
      <c r="P284">
        <v>23.53</v>
      </c>
      <c r="Q284">
        <v>24.65</v>
      </c>
      <c r="R284">
        <v>22.37</v>
      </c>
      <c r="S284">
        <v>23.1</v>
      </c>
      <c r="T284">
        <v>23.22</v>
      </c>
      <c r="U284">
        <v>23.54</v>
      </c>
      <c r="W284">
        <v>23.1</v>
      </c>
      <c r="Z284">
        <v>2178820</v>
      </c>
      <c r="AA284">
        <v>51722559.829999998</v>
      </c>
      <c r="AB284">
        <v>4182</v>
      </c>
      <c r="AC284" t="s">
        <v>42</v>
      </c>
      <c r="AD284">
        <v>1</v>
      </c>
    </row>
    <row r="285" spans="1:30">
      <c r="A285" t="str">
        <f>CONCATENATE(I285,J285)</f>
        <v>ARCIILSM</v>
      </c>
      <c r="B285" s="34">
        <v>46273</v>
      </c>
      <c r="C285" s="34">
        <v>46273</v>
      </c>
      <c r="D285" t="s">
        <v>35</v>
      </c>
      <c r="E285" t="s">
        <v>36</v>
      </c>
      <c r="F285" t="s">
        <v>37</v>
      </c>
      <c r="G285">
        <v>758670</v>
      </c>
      <c r="H285" t="s">
        <v>908</v>
      </c>
      <c r="I285" t="s">
        <v>909</v>
      </c>
      <c r="J285" t="s">
        <v>267</v>
      </c>
      <c r="O285" t="s">
        <v>910</v>
      </c>
      <c r="P285">
        <v>34.25</v>
      </c>
      <c r="Q285">
        <v>35.75</v>
      </c>
      <c r="R285">
        <v>34.25</v>
      </c>
      <c r="S285">
        <v>35.75</v>
      </c>
      <c r="T285">
        <v>35.75</v>
      </c>
      <c r="U285">
        <v>34.1</v>
      </c>
      <c r="W285">
        <v>35.75</v>
      </c>
      <c r="Z285">
        <v>17000</v>
      </c>
      <c r="AA285">
        <v>602050</v>
      </c>
      <c r="AB285">
        <v>15</v>
      </c>
      <c r="AC285" t="s">
        <v>42</v>
      </c>
      <c r="AD285">
        <v>1000</v>
      </c>
    </row>
    <row r="286" spans="1:30">
      <c r="A286" t="str">
        <f>CONCATENATE(I286,J286)</f>
        <v>ACIEQ</v>
      </c>
      <c r="B286" s="34">
        <v>46273</v>
      </c>
      <c r="C286" s="34">
        <v>46273</v>
      </c>
      <c r="D286" t="s">
        <v>35</v>
      </c>
      <c r="E286" t="s">
        <v>36</v>
      </c>
      <c r="F286" t="s">
        <v>37</v>
      </c>
      <c r="G286">
        <v>12024</v>
      </c>
      <c r="H286" t="s">
        <v>911</v>
      </c>
      <c r="I286" t="s">
        <v>912</v>
      </c>
      <c r="J286" t="s">
        <v>161</v>
      </c>
      <c r="O286" t="s">
        <v>913</v>
      </c>
      <c r="P286">
        <v>512</v>
      </c>
      <c r="Q286">
        <v>512</v>
      </c>
      <c r="R286">
        <v>483.65</v>
      </c>
      <c r="S286">
        <v>484.7</v>
      </c>
      <c r="T286">
        <v>484.75</v>
      </c>
      <c r="U286">
        <v>509.35</v>
      </c>
      <c r="W286">
        <v>484.7</v>
      </c>
      <c r="Z286">
        <v>688998</v>
      </c>
      <c r="AA286">
        <v>338772936.80000001</v>
      </c>
      <c r="AB286">
        <v>26067</v>
      </c>
      <c r="AC286" t="s">
        <v>42</v>
      </c>
      <c r="AD286">
        <v>1</v>
      </c>
    </row>
    <row r="287" spans="1:30">
      <c r="A287" t="str">
        <f>CONCATENATE(I287,J287)</f>
        <v>ADLEQ</v>
      </c>
      <c r="B287" s="34">
        <v>46273</v>
      </c>
      <c r="C287" s="34">
        <v>46273</v>
      </c>
      <c r="D287" t="s">
        <v>35</v>
      </c>
      <c r="E287" t="s">
        <v>36</v>
      </c>
      <c r="F287" t="s">
        <v>37</v>
      </c>
      <c r="G287">
        <v>245</v>
      </c>
      <c r="H287" t="s">
        <v>914</v>
      </c>
      <c r="I287" t="s">
        <v>915</v>
      </c>
      <c r="J287" t="s">
        <v>161</v>
      </c>
      <c r="O287" t="s">
        <v>916</v>
      </c>
      <c r="P287">
        <v>74.849999999999994</v>
      </c>
      <c r="Q287">
        <v>75</v>
      </c>
      <c r="R287">
        <v>72.55</v>
      </c>
      <c r="S287">
        <v>74.69</v>
      </c>
      <c r="T287">
        <v>74.69</v>
      </c>
      <c r="U287">
        <v>72.569999999999993</v>
      </c>
      <c r="W287">
        <v>74.709999999999994</v>
      </c>
      <c r="Z287">
        <v>176</v>
      </c>
      <c r="AA287">
        <v>13148.27</v>
      </c>
      <c r="AB287">
        <v>11</v>
      </c>
      <c r="AC287" t="s">
        <v>42</v>
      </c>
      <c r="AD287">
        <v>1</v>
      </c>
    </row>
    <row r="288" spans="1:30">
      <c r="A288" t="str">
        <f>CONCATENATE(I288,J288)</f>
        <v>ARCHIDPLYEQ</v>
      </c>
      <c r="B288" s="34">
        <v>46273</v>
      </c>
      <c r="C288" s="34">
        <v>46273</v>
      </c>
      <c r="D288" t="s">
        <v>35</v>
      </c>
      <c r="E288" t="s">
        <v>36</v>
      </c>
      <c r="F288" t="s">
        <v>37</v>
      </c>
      <c r="G288">
        <v>16795</v>
      </c>
      <c r="H288" t="s">
        <v>917</v>
      </c>
      <c r="I288" t="s">
        <v>918</v>
      </c>
      <c r="J288" t="s">
        <v>161</v>
      </c>
      <c r="O288" t="s">
        <v>919</v>
      </c>
      <c r="P288">
        <v>104.66</v>
      </c>
      <c r="Q288">
        <v>105.25</v>
      </c>
      <c r="R288">
        <v>102</v>
      </c>
      <c r="S288">
        <v>103.77</v>
      </c>
      <c r="T288">
        <v>103.89</v>
      </c>
      <c r="U288">
        <v>103.62</v>
      </c>
      <c r="W288">
        <v>103.87</v>
      </c>
      <c r="Z288">
        <v>24405</v>
      </c>
      <c r="AA288">
        <v>2527996.33</v>
      </c>
      <c r="AB288">
        <v>251</v>
      </c>
      <c r="AC288" t="s">
        <v>42</v>
      </c>
      <c r="AD288">
        <v>1</v>
      </c>
    </row>
    <row r="289" spans="1:30">
      <c r="A289" t="str">
        <f>CONCATENATE(I289,J289)</f>
        <v>ARCHIESEQ</v>
      </c>
      <c r="B289" s="34">
        <v>46273</v>
      </c>
      <c r="C289" s="34">
        <v>46273</v>
      </c>
      <c r="D289" t="s">
        <v>35</v>
      </c>
      <c r="E289" t="s">
        <v>36</v>
      </c>
      <c r="F289" t="s">
        <v>37</v>
      </c>
      <c r="G289">
        <v>5688</v>
      </c>
      <c r="H289" t="s">
        <v>920</v>
      </c>
      <c r="I289" t="s">
        <v>921</v>
      </c>
      <c r="J289" t="s">
        <v>161</v>
      </c>
      <c r="O289" t="s">
        <v>922</v>
      </c>
      <c r="P289">
        <v>12.95</v>
      </c>
      <c r="Q289">
        <v>13.22</v>
      </c>
      <c r="R289">
        <v>12.89</v>
      </c>
      <c r="S289">
        <v>13.14</v>
      </c>
      <c r="T289">
        <v>13.17</v>
      </c>
      <c r="U289">
        <v>12.88</v>
      </c>
      <c r="W289">
        <v>13.14</v>
      </c>
      <c r="Z289">
        <v>11407</v>
      </c>
      <c r="AA289">
        <v>149980.17000000001</v>
      </c>
      <c r="AB289">
        <v>101</v>
      </c>
      <c r="AC289" t="s">
        <v>42</v>
      </c>
      <c r="AD289">
        <v>1</v>
      </c>
    </row>
    <row r="290" spans="1:30">
      <c r="A290" t="str">
        <f>CONCATENATE(I290,J290)</f>
        <v>ARCLEQ</v>
      </c>
      <c r="B290" s="34">
        <v>46273</v>
      </c>
      <c r="C290" s="34">
        <v>46273</v>
      </c>
      <c r="D290" t="s">
        <v>35</v>
      </c>
      <c r="E290" t="s">
        <v>36</v>
      </c>
      <c r="F290" t="s">
        <v>37</v>
      </c>
      <c r="G290">
        <v>764598</v>
      </c>
      <c r="H290" t="s">
        <v>923</v>
      </c>
      <c r="I290" t="s">
        <v>924</v>
      </c>
      <c r="J290" t="s">
        <v>161</v>
      </c>
      <c r="O290" t="s">
        <v>925</v>
      </c>
      <c r="P290">
        <v>222.2</v>
      </c>
      <c r="Q290">
        <v>239.8</v>
      </c>
      <c r="R290">
        <v>222.2</v>
      </c>
      <c r="S290">
        <v>224.92</v>
      </c>
      <c r="T290">
        <v>229.96</v>
      </c>
      <c r="U290">
        <v>233.87</v>
      </c>
      <c r="W290">
        <v>224.92</v>
      </c>
      <c r="Z290">
        <v>905</v>
      </c>
      <c r="AA290">
        <v>203268.45</v>
      </c>
      <c r="AB290">
        <v>55</v>
      </c>
      <c r="AC290" t="s">
        <v>42</v>
      </c>
      <c r="AD290">
        <v>1</v>
      </c>
    </row>
    <row r="291" spans="1:30">
      <c r="A291" t="str">
        <f>CONCATENATE(I291,J291)</f>
        <v>ARDEEEQ</v>
      </c>
      <c r="B291" s="34">
        <v>46273</v>
      </c>
      <c r="C291" s="34">
        <v>46273</v>
      </c>
      <c r="D291" t="s">
        <v>35</v>
      </c>
      <c r="E291" t="s">
        <v>36</v>
      </c>
      <c r="F291" t="s">
        <v>37</v>
      </c>
      <c r="G291">
        <v>764480</v>
      </c>
      <c r="H291" t="s">
        <v>926</v>
      </c>
      <c r="I291" t="s">
        <v>927</v>
      </c>
      <c r="J291" t="s">
        <v>161</v>
      </c>
      <c r="O291" t="s">
        <v>928</v>
      </c>
      <c r="P291">
        <v>56.2</v>
      </c>
      <c r="Q291">
        <v>56.2</v>
      </c>
      <c r="R291">
        <v>54.51</v>
      </c>
      <c r="S291">
        <v>54.74</v>
      </c>
      <c r="T291">
        <v>54.65</v>
      </c>
      <c r="U291">
        <v>56.09</v>
      </c>
      <c r="W291">
        <v>54.75</v>
      </c>
      <c r="Z291">
        <v>3009161</v>
      </c>
      <c r="AA291">
        <v>165488843.59999999</v>
      </c>
      <c r="AB291">
        <v>13013</v>
      </c>
      <c r="AC291" t="s">
        <v>42</v>
      </c>
      <c r="AD291">
        <v>1</v>
      </c>
    </row>
    <row r="292" spans="1:30">
      <c r="A292" t="str">
        <f>CONCATENATE(I292,J292)</f>
        <v>ARFINEQ</v>
      </c>
      <c r="B292" s="34">
        <v>46273</v>
      </c>
      <c r="C292" s="34">
        <v>46273</v>
      </c>
      <c r="D292" t="s">
        <v>35</v>
      </c>
      <c r="E292" t="s">
        <v>36</v>
      </c>
      <c r="F292" t="s">
        <v>37</v>
      </c>
      <c r="G292">
        <v>758700</v>
      </c>
      <c r="H292" t="s">
        <v>929</v>
      </c>
      <c r="I292" t="s">
        <v>930</v>
      </c>
      <c r="J292" t="s">
        <v>161</v>
      </c>
      <c r="O292" t="s">
        <v>931</v>
      </c>
      <c r="P292">
        <v>97</v>
      </c>
      <c r="Q292">
        <v>97.16</v>
      </c>
      <c r="R292">
        <v>91.03</v>
      </c>
      <c r="S292">
        <v>91.36</v>
      </c>
      <c r="T292">
        <v>91.1</v>
      </c>
      <c r="U292">
        <v>95.27</v>
      </c>
      <c r="W292">
        <v>91.36</v>
      </c>
      <c r="Z292">
        <v>1199300</v>
      </c>
      <c r="AA292">
        <v>111414829.75</v>
      </c>
      <c r="AB292">
        <v>11829</v>
      </c>
      <c r="AC292" t="s">
        <v>42</v>
      </c>
      <c r="AD292">
        <v>1</v>
      </c>
    </row>
    <row r="293" spans="1:30">
      <c r="A293" t="str">
        <f>CONCATENATE(I293,J293)</f>
        <v>ARHAMSM</v>
      </c>
      <c r="B293" s="34">
        <v>46273</v>
      </c>
      <c r="C293" s="34">
        <v>46273</v>
      </c>
      <c r="D293" t="s">
        <v>35</v>
      </c>
      <c r="E293" t="s">
        <v>36</v>
      </c>
      <c r="F293" t="s">
        <v>37</v>
      </c>
      <c r="G293">
        <v>13092</v>
      </c>
      <c r="H293" t="s">
        <v>932</v>
      </c>
      <c r="I293" t="s">
        <v>933</v>
      </c>
      <c r="J293" t="s">
        <v>267</v>
      </c>
      <c r="O293" t="s">
        <v>934</v>
      </c>
      <c r="P293">
        <v>209</v>
      </c>
      <c r="Q293">
        <v>213.95</v>
      </c>
      <c r="R293">
        <v>206</v>
      </c>
      <c r="S293">
        <v>213.4</v>
      </c>
      <c r="T293">
        <v>210.05</v>
      </c>
      <c r="U293">
        <v>212.9</v>
      </c>
      <c r="W293">
        <v>213.4</v>
      </c>
      <c r="Z293">
        <v>44000</v>
      </c>
      <c r="AA293">
        <v>9272350</v>
      </c>
      <c r="AB293">
        <v>33</v>
      </c>
      <c r="AC293" t="s">
        <v>42</v>
      </c>
      <c r="AD293">
        <v>1000</v>
      </c>
    </row>
    <row r="294" spans="1:30">
      <c r="A294" t="str">
        <f>CONCATENATE(I294,J294)</f>
        <v>ARIESBE</v>
      </c>
      <c r="B294" s="34">
        <v>46273</v>
      </c>
      <c r="C294" s="34">
        <v>46273</v>
      </c>
      <c r="D294" t="s">
        <v>35</v>
      </c>
      <c r="E294" t="s">
        <v>36</v>
      </c>
      <c r="F294" t="s">
        <v>37</v>
      </c>
      <c r="G294">
        <v>15208</v>
      </c>
      <c r="H294" t="s">
        <v>935</v>
      </c>
      <c r="I294" t="s">
        <v>936</v>
      </c>
      <c r="J294" t="s">
        <v>183</v>
      </c>
      <c r="O294" t="s">
        <v>937</v>
      </c>
      <c r="P294">
        <v>481.95</v>
      </c>
      <c r="Q294">
        <v>498</v>
      </c>
      <c r="R294">
        <v>461.7</v>
      </c>
      <c r="S294">
        <v>483.15</v>
      </c>
      <c r="T294">
        <v>482</v>
      </c>
      <c r="U294">
        <v>485.95</v>
      </c>
      <c r="W294">
        <v>483.52</v>
      </c>
      <c r="Z294">
        <v>16363</v>
      </c>
      <c r="AA294">
        <v>8008019.75</v>
      </c>
      <c r="AB294">
        <v>343</v>
      </c>
      <c r="AC294" t="s">
        <v>42</v>
      </c>
      <c r="AD294">
        <v>1</v>
      </c>
    </row>
    <row r="295" spans="1:30">
      <c r="A295" t="str">
        <f>CONCATENATE(I295,J295)</f>
        <v>ARIHANTCAPEQ</v>
      </c>
      <c r="B295" s="34">
        <v>46273</v>
      </c>
      <c r="C295" s="34">
        <v>46273</v>
      </c>
      <c r="D295" t="s">
        <v>35</v>
      </c>
      <c r="E295" t="s">
        <v>36</v>
      </c>
      <c r="F295" t="s">
        <v>37</v>
      </c>
      <c r="G295">
        <v>3813</v>
      </c>
      <c r="H295" t="s">
        <v>938</v>
      </c>
      <c r="I295" t="s">
        <v>939</v>
      </c>
      <c r="J295" t="s">
        <v>161</v>
      </c>
      <c r="O295" t="s">
        <v>940</v>
      </c>
      <c r="P295">
        <v>78.7</v>
      </c>
      <c r="Q295">
        <v>78.88</v>
      </c>
      <c r="R295">
        <v>77.180000000000007</v>
      </c>
      <c r="S295">
        <v>78.540000000000006</v>
      </c>
      <c r="T295">
        <v>78.55</v>
      </c>
      <c r="U295">
        <v>78.36</v>
      </c>
      <c r="W295">
        <v>78.540000000000006</v>
      </c>
      <c r="Z295">
        <v>80820</v>
      </c>
      <c r="AA295">
        <v>6305771.0899999999</v>
      </c>
      <c r="AB295">
        <v>875</v>
      </c>
      <c r="AC295" t="s">
        <v>42</v>
      </c>
      <c r="AD295">
        <v>1</v>
      </c>
    </row>
    <row r="296" spans="1:30">
      <c r="A296" t="str">
        <f>CONCATENATE(I296,J296)</f>
        <v>ARIHANTEQ</v>
      </c>
      <c r="B296" s="34">
        <v>46273</v>
      </c>
      <c r="C296" s="34">
        <v>46273</v>
      </c>
      <c r="D296" t="s">
        <v>35</v>
      </c>
      <c r="E296" t="s">
        <v>36</v>
      </c>
      <c r="F296" t="s">
        <v>37</v>
      </c>
      <c r="G296">
        <v>13885</v>
      </c>
      <c r="H296" t="s">
        <v>941</v>
      </c>
      <c r="I296" t="s">
        <v>942</v>
      </c>
      <c r="J296" t="s">
        <v>161</v>
      </c>
      <c r="O296" t="s">
        <v>943</v>
      </c>
      <c r="P296">
        <v>932.55</v>
      </c>
      <c r="Q296">
        <v>959.3</v>
      </c>
      <c r="R296">
        <v>910.4</v>
      </c>
      <c r="S296">
        <v>919.55</v>
      </c>
      <c r="T296">
        <v>915</v>
      </c>
      <c r="U296">
        <v>961.25</v>
      </c>
      <c r="W296">
        <v>919.37</v>
      </c>
      <c r="Z296">
        <v>922</v>
      </c>
      <c r="AA296">
        <v>850795.4</v>
      </c>
      <c r="AB296">
        <v>223</v>
      </c>
      <c r="AC296" t="s">
        <v>42</v>
      </c>
      <c r="AD296">
        <v>1</v>
      </c>
    </row>
    <row r="297" spans="1:30">
      <c r="A297" t="str">
        <f>CONCATENATE(I297,J297)</f>
        <v>ARIHANTSUPEQ</v>
      </c>
      <c r="B297" s="34">
        <v>46273</v>
      </c>
      <c r="C297" s="34">
        <v>46273</v>
      </c>
      <c r="D297" t="s">
        <v>35</v>
      </c>
      <c r="E297" t="s">
        <v>36</v>
      </c>
      <c r="F297" t="s">
        <v>37</v>
      </c>
      <c r="G297">
        <v>20159</v>
      </c>
      <c r="H297" t="s">
        <v>944</v>
      </c>
      <c r="I297" t="s">
        <v>945</v>
      </c>
      <c r="J297" t="s">
        <v>161</v>
      </c>
      <c r="O297" t="s">
        <v>946</v>
      </c>
      <c r="P297">
        <v>234.1</v>
      </c>
      <c r="Q297">
        <v>239.1</v>
      </c>
      <c r="R297">
        <v>231.65</v>
      </c>
      <c r="S297">
        <v>232.6</v>
      </c>
      <c r="T297">
        <v>231.65</v>
      </c>
      <c r="U297">
        <v>233.75</v>
      </c>
      <c r="W297">
        <v>232.6</v>
      </c>
      <c r="Z297">
        <v>1802</v>
      </c>
      <c r="AA297">
        <v>422225.1</v>
      </c>
      <c r="AB297">
        <v>124</v>
      </c>
      <c r="AC297" t="s">
        <v>42</v>
      </c>
      <c r="AD297">
        <v>1</v>
      </c>
    </row>
    <row r="298" spans="1:30">
      <c r="A298" t="str">
        <f>CONCATENATE(I298,J298)</f>
        <v>ARISEQ</v>
      </c>
      <c r="B298" s="34">
        <v>46273</v>
      </c>
      <c r="C298" s="34">
        <v>46273</v>
      </c>
      <c r="D298" t="s">
        <v>35</v>
      </c>
      <c r="E298" t="s">
        <v>36</v>
      </c>
      <c r="F298" t="s">
        <v>37</v>
      </c>
      <c r="G298">
        <v>757614</v>
      </c>
      <c r="H298" t="s">
        <v>947</v>
      </c>
      <c r="I298" t="s">
        <v>948</v>
      </c>
      <c r="J298" t="s">
        <v>161</v>
      </c>
      <c r="O298" t="s">
        <v>949</v>
      </c>
      <c r="P298">
        <v>134.52000000000001</v>
      </c>
      <c r="Q298">
        <v>134.52000000000001</v>
      </c>
      <c r="R298">
        <v>126</v>
      </c>
      <c r="S298">
        <v>127.22</v>
      </c>
      <c r="T298">
        <v>127.26</v>
      </c>
      <c r="U298">
        <v>126.32</v>
      </c>
      <c r="W298">
        <v>127.22</v>
      </c>
      <c r="Z298">
        <v>3067027</v>
      </c>
      <c r="AA298">
        <v>396318827.92000002</v>
      </c>
      <c r="AB298">
        <v>22741</v>
      </c>
      <c r="AC298" t="s">
        <v>42</v>
      </c>
      <c r="AD298">
        <v>1</v>
      </c>
    </row>
    <row r="299" spans="1:30">
      <c r="A299" t="str">
        <f>CONCATENATE(I299,J299)</f>
        <v>ARISTOSM</v>
      </c>
      <c r="B299" s="34">
        <v>46273</v>
      </c>
      <c r="C299" s="34">
        <v>46273</v>
      </c>
      <c r="D299" t="s">
        <v>35</v>
      </c>
      <c r="E299" t="s">
        <v>36</v>
      </c>
      <c r="F299" t="s">
        <v>37</v>
      </c>
      <c r="G299">
        <v>13926</v>
      </c>
      <c r="H299" t="s">
        <v>950</v>
      </c>
      <c r="I299" t="s">
        <v>951</v>
      </c>
      <c r="J299" t="s">
        <v>267</v>
      </c>
      <c r="O299" t="s">
        <v>952</v>
      </c>
      <c r="P299">
        <v>108</v>
      </c>
      <c r="Q299">
        <v>108</v>
      </c>
      <c r="R299">
        <v>108</v>
      </c>
      <c r="S299">
        <v>108</v>
      </c>
      <c r="T299">
        <v>108</v>
      </c>
      <c r="U299">
        <v>103</v>
      </c>
      <c r="W299">
        <v>108</v>
      </c>
      <c r="Z299">
        <v>800</v>
      </c>
      <c r="AA299">
        <v>86400</v>
      </c>
      <c r="AB299">
        <v>1</v>
      </c>
      <c r="AC299" t="s">
        <v>42</v>
      </c>
      <c r="AD299">
        <v>800</v>
      </c>
    </row>
    <row r="300" spans="1:30">
      <c r="A300" t="str">
        <f>CONCATENATE(I300,J300)</f>
        <v>ARKADEEQ</v>
      </c>
      <c r="B300" s="34">
        <v>46273</v>
      </c>
      <c r="C300" s="34">
        <v>46273</v>
      </c>
      <c r="D300" t="s">
        <v>35</v>
      </c>
      <c r="E300" t="s">
        <v>36</v>
      </c>
      <c r="F300" t="s">
        <v>37</v>
      </c>
      <c r="G300">
        <v>25398</v>
      </c>
      <c r="H300" t="s">
        <v>953</v>
      </c>
      <c r="I300" t="s">
        <v>954</v>
      </c>
      <c r="J300" t="s">
        <v>161</v>
      </c>
      <c r="O300" t="s">
        <v>955</v>
      </c>
      <c r="P300">
        <v>124</v>
      </c>
      <c r="Q300">
        <v>125.99</v>
      </c>
      <c r="R300">
        <v>122.5</v>
      </c>
      <c r="S300">
        <v>123.09</v>
      </c>
      <c r="T300">
        <v>122.76</v>
      </c>
      <c r="U300">
        <v>124.82</v>
      </c>
      <c r="W300">
        <v>123.12</v>
      </c>
      <c r="Z300">
        <v>94801</v>
      </c>
      <c r="AA300">
        <v>11787321.68</v>
      </c>
      <c r="AB300">
        <v>1273</v>
      </c>
      <c r="AC300" t="s">
        <v>42</v>
      </c>
      <c r="AD300">
        <v>1</v>
      </c>
    </row>
    <row r="301" spans="1:30">
      <c r="A301" t="str">
        <f>CONCATENATE(I301,J301)</f>
        <v>ARMANFINEQ</v>
      </c>
      <c r="B301" s="34">
        <v>46273</v>
      </c>
      <c r="C301" s="34">
        <v>46273</v>
      </c>
      <c r="D301" t="s">
        <v>35</v>
      </c>
      <c r="E301" t="s">
        <v>36</v>
      </c>
      <c r="F301" t="s">
        <v>37</v>
      </c>
      <c r="G301">
        <v>17263</v>
      </c>
      <c r="H301" t="s">
        <v>956</v>
      </c>
      <c r="I301" t="s">
        <v>957</v>
      </c>
      <c r="J301" t="s">
        <v>161</v>
      </c>
      <c r="O301" t="s">
        <v>958</v>
      </c>
      <c r="P301">
        <v>2025</v>
      </c>
      <c r="Q301">
        <v>2050.1</v>
      </c>
      <c r="R301">
        <v>2001</v>
      </c>
      <c r="S301">
        <v>2037.5</v>
      </c>
      <c r="T301">
        <v>2040</v>
      </c>
      <c r="U301">
        <v>2033.8</v>
      </c>
      <c r="W301">
        <v>2036.81</v>
      </c>
      <c r="Z301">
        <v>14516</v>
      </c>
      <c r="AA301">
        <v>29335161.800000001</v>
      </c>
      <c r="AB301">
        <v>2073</v>
      </c>
      <c r="AC301" t="s">
        <v>42</v>
      </c>
      <c r="AD301">
        <v>1</v>
      </c>
    </row>
    <row r="302" spans="1:30">
      <c r="A302" t="str">
        <f>CONCATENATE(I302,J302)</f>
        <v>AROGRANITEEQ</v>
      </c>
      <c r="B302" s="34">
        <v>46273</v>
      </c>
      <c r="C302" s="34">
        <v>46273</v>
      </c>
      <c r="D302" t="s">
        <v>35</v>
      </c>
      <c r="E302" t="s">
        <v>36</v>
      </c>
      <c r="F302" t="s">
        <v>37</v>
      </c>
      <c r="G302">
        <v>14557</v>
      </c>
      <c r="H302" t="s">
        <v>959</v>
      </c>
      <c r="I302" t="s">
        <v>960</v>
      </c>
      <c r="J302" t="s">
        <v>161</v>
      </c>
      <c r="O302" t="s">
        <v>961</v>
      </c>
      <c r="P302">
        <v>24.5</v>
      </c>
      <c r="Q302">
        <v>24.95</v>
      </c>
      <c r="R302">
        <v>23.86</v>
      </c>
      <c r="S302">
        <v>24.1</v>
      </c>
      <c r="T302">
        <v>24.1</v>
      </c>
      <c r="U302">
        <v>24.29</v>
      </c>
      <c r="W302">
        <v>24.1</v>
      </c>
      <c r="Z302">
        <v>10845</v>
      </c>
      <c r="AA302">
        <v>262516.96000000002</v>
      </c>
      <c r="AB302">
        <v>58</v>
      </c>
      <c r="AC302" t="s">
        <v>42</v>
      </c>
      <c r="AD302">
        <v>1</v>
      </c>
    </row>
    <row r="303" spans="1:30">
      <c r="A303" t="str">
        <f>CONCATENATE(I303,J303)</f>
        <v>ARROWGREENBE</v>
      </c>
      <c r="B303" s="34">
        <v>46273</v>
      </c>
      <c r="C303" s="34">
        <v>46273</v>
      </c>
      <c r="D303" t="s">
        <v>35</v>
      </c>
      <c r="E303" t="s">
        <v>36</v>
      </c>
      <c r="F303" t="s">
        <v>37</v>
      </c>
      <c r="G303">
        <v>9264</v>
      </c>
      <c r="H303" t="s">
        <v>962</v>
      </c>
      <c r="I303" t="s">
        <v>963</v>
      </c>
      <c r="J303" t="s">
        <v>183</v>
      </c>
      <c r="O303" t="s">
        <v>964</v>
      </c>
      <c r="P303">
        <v>824</v>
      </c>
      <c r="Q303">
        <v>824</v>
      </c>
      <c r="R303">
        <v>791</v>
      </c>
      <c r="S303">
        <v>800.7</v>
      </c>
      <c r="T303">
        <v>803</v>
      </c>
      <c r="U303">
        <v>805.1</v>
      </c>
      <c r="W303">
        <v>800.79</v>
      </c>
      <c r="Z303">
        <v>14571</v>
      </c>
      <c r="AA303">
        <v>11674786.35</v>
      </c>
      <c r="AB303">
        <v>514</v>
      </c>
      <c r="AC303" t="s">
        <v>42</v>
      </c>
      <c r="AD303">
        <v>1</v>
      </c>
    </row>
    <row r="304" spans="1:30">
      <c r="A304" t="str">
        <f>CONCATENATE(I304,J304)</f>
        <v>ARSHIYABZ</v>
      </c>
      <c r="B304" s="34">
        <v>46273</v>
      </c>
      <c r="C304" s="34">
        <v>46273</v>
      </c>
      <c r="D304" t="s">
        <v>35</v>
      </c>
      <c r="E304" t="s">
        <v>36</v>
      </c>
      <c r="F304" t="s">
        <v>37</v>
      </c>
      <c r="G304">
        <v>29015</v>
      </c>
      <c r="H304" t="s">
        <v>965</v>
      </c>
      <c r="I304" t="s">
        <v>966</v>
      </c>
      <c r="J304" t="s">
        <v>551</v>
      </c>
      <c r="O304" t="s">
        <v>967</v>
      </c>
      <c r="P304">
        <v>0.68</v>
      </c>
      <c r="Q304">
        <v>0.74</v>
      </c>
      <c r="R304">
        <v>0.68</v>
      </c>
      <c r="S304">
        <v>0.73</v>
      </c>
      <c r="T304">
        <v>0.74</v>
      </c>
      <c r="U304">
        <v>0.71</v>
      </c>
      <c r="W304">
        <v>0.74</v>
      </c>
      <c r="Z304">
        <v>541000</v>
      </c>
      <c r="AA304">
        <v>385028.6</v>
      </c>
      <c r="AB304">
        <v>163</v>
      </c>
      <c r="AC304" t="s">
        <v>42</v>
      </c>
      <c r="AD304">
        <v>1</v>
      </c>
    </row>
    <row r="305" spans="1:30">
      <c r="A305" t="str">
        <f>CONCATENATE(I305,J305)</f>
        <v>ARTNIRMANEQ</v>
      </c>
      <c r="B305" s="34">
        <v>46273</v>
      </c>
      <c r="C305" s="34">
        <v>46273</v>
      </c>
      <c r="D305" t="s">
        <v>35</v>
      </c>
      <c r="E305" t="s">
        <v>36</v>
      </c>
      <c r="F305" t="s">
        <v>37</v>
      </c>
      <c r="G305">
        <v>6156</v>
      </c>
      <c r="H305" t="s">
        <v>968</v>
      </c>
      <c r="I305" t="s">
        <v>969</v>
      </c>
      <c r="J305" t="s">
        <v>161</v>
      </c>
      <c r="O305" t="s">
        <v>970</v>
      </c>
      <c r="P305">
        <v>40.409999999999997</v>
      </c>
      <c r="Q305">
        <v>41.1</v>
      </c>
      <c r="R305">
        <v>40.409999999999997</v>
      </c>
      <c r="S305">
        <v>40.409999999999997</v>
      </c>
      <c r="T305">
        <v>40.409999999999997</v>
      </c>
      <c r="U305">
        <v>40.21</v>
      </c>
      <c r="W305">
        <v>40.409999999999997</v>
      </c>
      <c r="Z305">
        <v>6</v>
      </c>
      <c r="AA305">
        <v>243.15</v>
      </c>
      <c r="AB305">
        <v>4</v>
      </c>
      <c r="AC305" t="s">
        <v>42</v>
      </c>
      <c r="AD305">
        <v>1</v>
      </c>
    </row>
    <row r="306" spans="1:30">
      <c r="A306" t="str">
        <f>CONCATENATE(I306,J306)</f>
        <v>AEPLEQ</v>
      </c>
      <c r="B306" s="34">
        <v>46273</v>
      </c>
      <c r="C306" s="34">
        <v>46273</v>
      </c>
      <c r="D306" t="s">
        <v>35</v>
      </c>
      <c r="E306" t="s">
        <v>36</v>
      </c>
      <c r="F306" t="s">
        <v>37</v>
      </c>
      <c r="G306">
        <v>761330</v>
      </c>
      <c r="H306" t="s">
        <v>971</v>
      </c>
      <c r="I306" t="s">
        <v>972</v>
      </c>
      <c r="J306" t="s">
        <v>161</v>
      </c>
      <c r="O306" t="s">
        <v>973</v>
      </c>
      <c r="P306">
        <v>18.100000000000001</v>
      </c>
      <c r="Q306">
        <v>18.5</v>
      </c>
      <c r="R306">
        <v>17.079999999999998</v>
      </c>
      <c r="S306">
        <v>18.11</v>
      </c>
      <c r="T306">
        <v>18.3</v>
      </c>
      <c r="U306">
        <v>18.02</v>
      </c>
      <c r="W306">
        <v>18.11</v>
      </c>
      <c r="Z306">
        <v>46457</v>
      </c>
      <c r="AA306">
        <v>832268.35</v>
      </c>
      <c r="AB306">
        <v>428</v>
      </c>
      <c r="AC306" t="s">
        <v>42</v>
      </c>
      <c r="AD306">
        <v>1</v>
      </c>
    </row>
    <row r="307" spans="1:30">
      <c r="A307" t="str">
        <f>CONCATENATE(I307,J307)</f>
        <v>ARTEMISMEDEQ</v>
      </c>
      <c r="B307" s="34">
        <v>46273</v>
      </c>
      <c r="C307" s="34">
        <v>46273</v>
      </c>
      <c r="D307" t="s">
        <v>35</v>
      </c>
      <c r="E307" t="s">
        <v>36</v>
      </c>
      <c r="F307" t="s">
        <v>37</v>
      </c>
      <c r="G307">
        <v>16913</v>
      </c>
      <c r="H307" t="s">
        <v>974</v>
      </c>
      <c r="I307" t="s">
        <v>975</v>
      </c>
      <c r="J307" t="s">
        <v>161</v>
      </c>
      <c r="O307" t="s">
        <v>976</v>
      </c>
      <c r="P307">
        <v>347.5</v>
      </c>
      <c r="Q307">
        <v>350</v>
      </c>
      <c r="R307">
        <v>338.6</v>
      </c>
      <c r="S307">
        <v>342.05</v>
      </c>
      <c r="T307">
        <v>343</v>
      </c>
      <c r="U307">
        <v>343.5</v>
      </c>
      <c r="W307">
        <v>342.03</v>
      </c>
      <c r="Z307">
        <v>474334</v>
      </c>
      <c r="AA307">
        <v>163332707.55000001</v>
      </c>
      <c r="AB307">
        <v>18277</v>
      </c>
      <c r="AC307" t="s">
        <v>42</v>
      </c>
      <c r="AD307">
        <v>1</v>
      </c>
    </row>
    <row r="308" spans="1:30">
      <c r="A308" t="str">
        <f>CONCATENATE(I308,J308)</f>
        <v>ARUNAYASM</v>
      </c>
      <c r="B308" s="34">
        <v>46273</v>
      </c>
      <c r="C308" s="34">
        <v>46273</v>
      </c>
      <c r="D308" t="s">
        <v>35</v>
      </c>
      <c r="E308" t="s">
        <v>36</v>
      </c>
      <c r="F308" t="s">
        <v>37</v>
      </c>
      <c r="G308">
        <v>756896</v>
      </c>
      <c r="H308" t="s">
        <v>977</v>
      </c>
      <c r="I308" t="s">
        <v>978</v>
      </c>
      <c r="J308" t="s">
        <v>267</v>
      </c>
      <c r="O308" t="s">
        <v>979</v>
      </c>
      <c r="P308">
        <v>14.8</v>
      </c>
      <c r="Q308">
        <v>14.8</v>
      </c>
      <c r="R308">
        <v>14.8</v>
      </c>
      <c r="S308">
        <v>14.8</v>
      </c>
      <c r="T308">
        <v>14.8</v>
      </c>
      <c r="U308">
        <v>14.4</v>
      </c>
      <c r="W308">
        <v>14.8</v>
      </c>
      <c r="Z308">
        <v>4000</v>
      </c>
      <c r="AA308">
        <v>59200</v>
      </c>
      <c r="AB308">
        <v>1</v>
      </c>
      <c r="AC308" t="s">
        <v>42</v>
      </c>
      <c r="AD308">
        <v>2000</v>
      </c>
    </row>
    <row r="309" spans="1:30">
      <c r="A309" t="str">
        <f>CONCATENATE(I309,J309)</f>
        <v>ARVEEEQ</v>
      </c>
      <c r="B309" s="34">
        <v>46273</v>
      </c>
      <c r="C309" s="34">
        <v>46273</v>
      </c>
      <c r="D309" t="s">
        <v>35</v>
      </c>
      <c r="E309" t="s">
        <v>36</v>
      </c>
      <c r="F309" t="s">
        <v>37</v>
      </c>
      <c r="G309">
        <v>2814</v>
      </c>
      <c r="H309" t="s">
        <v>980</v>
      </c>
      <c r="I309" t="s">
        <v>981</v>
      </c>
      <c r="J309" t="s">
        <v>161</v>
      </c>
      <c r="O309" t="s">
        <v>982</v>
      </c>
      <c r="P309">
        <v>164.74</v>
      </c>
      <c r="Q309">
        <v>196.71</v>
      </c>
      <c r="R309">
        <v>163.61000000000001</v>
      </c>
      <c r="S309">
        <v>193.74</v>
      </c>
      <c r="T309">
        <v>196.71</v>
      </c>
      <c r="U309">
        <v>163.93</v>
      </c>
      <c r="W309">
        <v>193.74</v>
      </c>
      <c r="Z309">
        <v>59140</v>
      </c>
      <c r="AA309">
        <v>11102884.640000001</v>
      </c>
      <c r="AB309">
        <v>810</v>
      </c>
      <c r="AC309" t="s">
        <v>42</v>
      </c>
      <c r="AD309">
        <v>1</v>
      </c>
    </row>
    <row r="310" spans="1:30">
      <c r="A310" t="str">
        <f>CONCATENATE(I310,J310)</f>
        <v>ARVINDFASNEQ</v>
      </c>
      <c r="B310" s="34">
        <v>46273</v>
      </c>
      <c r="C310" s="34">
        <v>46273</v>
      </c>
      <c r="D310" t="s">
        <v>35</v>
      </c>
      <c r="E310" t="s">
        <v>36</v>
      </c>
      <c r="F310" t="s">
        <v>37</v>
      </c>
      <c r="G310">
        <v>9111</v>
      </c>
      <c r="H310" t="s">
        <v>983</v>
      </c>
      <c r="I310" t="s">
        <v>984</v>
      </c>
      <c r="J310" t="s">
        <v>161</v>
      </c>
      <c r="O310" t="s">
        <v>985</v>
      </c>
      <c r="P310">
        <v>441.3</v>
      </c>
      <c r="Q310">
        <v>443.05</v>
      </c>
      <c r="R310">
        <v>430</v>
      </c>
      <c r="S310">
        <v>440.35</v>
      </c>
      <c r="T310">
        <v>440</v>
      </c>
      <c r="U310">
        <v>439.2</v>
      </c>
      <c r="W310">
        <v>440.35</v>
      </c>
      <c r="Z310">
        <v>107507</v>
      </c>
      <c r="AA310">
        <v>47131834.799999997</v>
      </c>
      <c r="AB310">
        <v>10996</v>
      </c>
      <c r="AC310" t="s">
        <v>42</v>
      </c>
      <c r="AD310">
        <v>1</v>
      </c>
    </row>
    <row r="311" spans="1:30">
      <c r="A311" t="str">
        <f>CONCATENATE(I311,J311)</f>
        <v>ARVINDEQ</v>
      </c>
      <c r="B311" s="34">
        <v>46273</v>
      </c>
      <c r="C311" s="34">
        <v>46273</v>
      </c>
      <c r="D311" t="s">
        <v>35</v>
      </c>
      <c r="E311" t="s">
        <v>36</v>
      </c>
      <c r="F311" t="s">
        <v>37</v>
      </c>
      <c r="G311">
        <v>193</v>
      </c>
      <c r="H311" t="s">
        <v>986</v>
      </c>
      <c r="I311" t="s">
        <v>987</v>
      </c>
      <c r="J311" t="s">
        <v>161</v>
      </c>
      <c r="O311" t="s">
        <v>988</v>
      </c>
      <c r="P311">
        <v>560.65</v>
      </c>
      <c r="Q311">
        <v>584.29999999999995</v>
      </c>
      <c r="R311">
        <v>555.79999999999995</v>
      </c>
      <c r="S311">
        <v>581.35</v>
      </c>
      <c r="T311">
        <v>584.25</v>
      </c>
      <c r="U311">
        <v>564.5</v>
      </c>
      <c r="W311">
        <v>581.35</v>
      </c>
      <c r="Z311">
        <v>1015936</v>
      </c>
      <c r="AA311">
        <v>583617485.29999995</v>
      </c>
      <c r="AB311">
        <v>40110</v>
      </c>
      <c r="AC311" t="s">
        <v>42</v>
      </c>
      <c r="AD311">
        <v>1</v>
      </c>
    </row>
    <row r="312" spans="1:30">
      <c r="A312" t="str">
        <f>CONCATENATE(I312,J312)</f>
        <v>ARVINDPORTSM</v>
      </c>
      <c r="B312" s="34">
        <v>46273</v>
      </c>
      <c r="C312" s="34">
        <v>46273</v>
      </c>
      <c r="D312" t="s">
        <v>35</v>
      </c>
      <c r="E312" t="s">
        <v>36</v>
      </c>
      <c r="F312" t="s">
        <v>37</v>
      </c>
      <c r="G312">
        <v>19579</v>
      </c>
      <c r="H312" t="s">
        <v>989</v>
      </c>
      <c r="I312" t="s">
        <v>990</v>
      </c>
      <c r="J312" t="s">
        <v>267</v>
      </c>
      <c r="O312" t="s">
        <v>991</v>
      </c>
      <c r="P312">
        <v>32.5</v>
      </c>
      <c r="Q312">
        <v>32.5</v>
      </c>
      <c r="R312">
        <v>32.5</v>
      </c>
      <c r="S312">
        <v>32.5</v>
      </c>
      <c r="T312">
        <v>32.5</v>
      </c>
      <c r="U312">
        <v>32.85</v>
      </c>
      <c r="W312">
        <v>32.5</v>
      </c>
      <c r="Z312">
        <v>1500</v>
      </c>
      <c r="AA312">
        <v>48750</v>
      </c>
      <c r="AB312">
        <v>1</v>
      </c>
      <c r="AC312" t="s">
        <v>42</v>
      </c>
      <c r="AD312">
        <v>1500</v>
      </c>
    </row>
    <row r="313" spans="1:30">
      <c r="A313" t="str">
        <f>CONCATENATE(I313,J313)</f>
        <v>ARVSMARTEQ</v>
      </c>
      <c r="B313" s="34">
        <v>46273</v>
      </c>
      <c r="C313" s="34">
        <v>46273</v>
      </c>
      <c r="D313" t="s">
        <v>35</v>
      </c>
      <c r="E313" t="s">
        <v>36</v>
      </c>
      <c r="F313" t="s">
        <v>37</v>
      </c>
      <c r="G313">
        <v>10457</v>
      </c>
      <c r="H313" t="s">
        <v>992</v>
      </c>
      <c r="I313" t="s">
        <v>993</v>
      </c>
      <c r="J313" t="s">
        <v>161</v>
      </c>
      <c r="O313" t="s">
        <v>994</v>
      </c>
      <c r="P313">
        <v>648.20000000000005</v>
      </c>
      <c r="Q313">
        <v>653.54999999999995</v>
      </c>
      <c r="R313">
        <v>626</v>
      </c>
      <c r="S313">
        <v>629.65</v>
      </c>
      <c r="T313">
        <v>627.70000000000005</v>
      </c>
      <c r="U313">
        <v>646.79999999999995</v>
      </c>
      <c r="W313">
        <v>629.66999999999996</v>
      </c>
      <c r="Z313">
        <v>40077</v>
      </c>
      <c r="AA313">
        <v>25455492.850000001</v>
      </c>
      <c r="AB313">
        <v>2377</v>
      </c>
      <c r="AC313" t="s">
        <v>42</v>
      </c>
      <c r="AD313">
        <v>1</v>
      </c>
    </row>
    <row r="314" spans="1:30">
      <c r="A314" t="str">
        <f>CONCATENATE(I314,J314)</f>
        <v>ARYAMANEQ</v>
      </c>
      <c r="B314" s="34">
        <v>46273</v>
      </c>
      <c r="C314" s="34">
        <v>46273</v>
      </c>
      <c r="D314" t="s">
        <v>35</v>
      </c>
      <c r="E314" t="s">
        <v>36</v>
      </c>
      <c r="F314" t="s">
        <v>37</v>
      </c>
      <c r="G314">
        <v>764603</v>
      </c>
      <c r="H314" t="s">
        <v>995</v>
      </c>
      <c r="I314" t="s">
        <v>996</v>
      </c>
      <c r="J314" t="s">
        <v>161</v>
      </c>
      <c r="O314" t="s">
        <v>997</v>
      </c>
      <c r="P314">
        <v>639</v>
      </c>
      <c r="Q314">
        <v>639</v>
      </c>
      <c r="R314">
        <v>639</v>
      </c>
      <c r="S314">
        <v>639</v>
      </c>
      <c r="T314">
        <v>639</v>
      </c>
      <c r="U314">
        <v>630</v>
      </c>
      <c r="W314">
        <v>639.9</v>
      </c>
      <c r="Z314">
        <v>1</v>
      </c>
      <c r="AA314">
        <v>639</v>
      </c>
      <c r="AB314">
        <v>1</v>
      </c>
      <c r="AC314" t="s">
        <v>42</v>
      </c>
      <c r="AD314">
        <v>1</v>
      </c>
    </row>
    <row r="315" spans="1:30">
      <c r="A315" t="str">
        <f>CONCATENATE(I315,J315)</f>
        <v>ASAHIINDIAEQ</v>
      </c>
      <c r="B315" s="34">
        <v>46273</v>
      </c>
      <c r="C315" s="34">
        <v>46273</v>
      </c>
      <c r="D315" t="s">
        <v>35</v>
      </c>
      <c r="E315" t="s">
        <v>36</v>
      </c>
      <c r="F315" t="s">
        <v>37</v>
      </c>
      <c r="G315">
        <v>5378</v>
      </c>
      <c r="H315" t="s">
        <v>998</v>
      </c>
      <c r="I315" t="s">
        <v>999</v>
      </c>
      <c r="J315" t="s">
        <v>161</v>
      </c>
      <c r="O315" t="s">
        <v>1000</v>
      </c>
      <c r="P315">
        <v>954.95</v>
      </c>
      <c r="Q315">
        <v>963.9</v>
      </c>
      <c r="R315">
        <v>950</v>
      </c>
      <c r="S315">
        <v>955.6</v>
      </c>
      <c r="T315">
        <v>955.55</v>
      </c>
      <c r="U315">
        <v>954.65</v>
      </c>
      <c r="W315">
        <v>955.57</v>
      </c>
      <c r="Z315">
        <v>89970</v>
      </c>
      <c r="AA315">
        <v>85905054.25</v>
      </c>
      <c r="AB315">
        <v>5556</v>
      </c>
      <c r="AC315" t="s">
        <v>42</v>
      </c>
      <c r="AD315">
        <v>1</v>
      </c>
    </row>
    <row r="316" spans="1:30">
      <c r="A316" t="str">
        <f>CONCATENATE(I316,J316)</f>
        <v>ASAHISONGBE</v>
      </c>
      <c r="B316" s="34">
        <v>46273</v>
      </c>
      <c r="C316" s="34">
        <v>46273</v>
      </c>
      <c r="D316" t="s">
        <v>35</v>
      </c>
      <c r="E316" t="s">
        <v>36</v>
      </c>
      <c r="F316" t="s">
        <v>37</v>
      </c>
      <c r="G316">
        <v>25092</v>
      </c>
      <c r="H316" t="s">
        <v>1001</v>
      </c>
      <c r="I316" t="s">
        <v>1002</v>
      </c>
      <c r="J316" t="s">
        <v>183</v>
      </c>
      <c r="O316" t="s">
        <v>1003</v>
      </c>
      <c r="P316">
        <v>388</v>
      </c>
      <c r="Q316">
        <v>389</v>
      </c>
      <c r="R316">
        <v>381.2</v>
      </c>
      <c r="S316">
        <v>385.35</v>
      </c>
      <c r="T316">
        <v>387.8</v>
      </c>
      <c r="U316">
        <v>391.15</v>
      </c>
      <c r="W316">
        <v>385.83</v>
      </c>
      <c r="Z316">
        <v>16905</v>
      </c>
      <c r="AA316">
        <v>6540250.1500000004</v>
      </c>
      <c r="AB316">
        <v>306</v>
      </c>
      <c r="AC316" t="s">
        <v>42</v>
      </c>
      <c r="AD316">
        <v>1</v>
      </c>
    </row>
    <row r="317" spans="1:30">
      <c r="A317" t="str">
        <f>CONCATENATE(I317,J317)</f>
        <v>ASHALOGSM</v>
      </c>
      <c r="B317" s="34">
        <v>46273</v>
      </c>
      <c r="C317" s="34">
        <v>46273</v>
      </c>
      <c r="D317" t="s">
        <v>35</v>
      </c>
      <c r="E317" t="s">
        <v>36</v>
      </c>
      <c r="F317" t="s">
        <v>37</v>
      </c>
      <c r="G317">
        <v>24711</v>
      </c>
      <c r="H317" t="s">
        <v>1004</v>
      </c>
      <c r="I317" t="s">
        <v>1005</v>
      </c>
      <c r="J317" t="s">
        <v>267</v>
      </c>
      <c r="O317" t="s">
        <v>1006</v>
      </c>
      <c r="P317">
        <v>62</v>
      </c>
      <c r="Q317">
        <v>62</v>
      </c>
      <c r="R317">
        <v>60.25</v>
      </c>
      <c r="S317">
        <v>60.5</v>
      </c>
      <c r="T317">
        <v>60.5</v>
      </c>
      <c r="U317">
        <v>62</v>
      </c>
      <c r="W317">
        <v>60.5</v>
      </c>
      <c r="Z317">
        <v>3000</v>
      </c>
      <c r="AA317">
        <v>182750</v>
      </c>
      <c r="AB317">
        <v>3</v>
      </c>
      <c r="AC317" t="s">
        <v>42</v>
      </c>
      <c r="AD317">
        <v>1000</v>
      </c>
    </row>
    <row r="318" spans="1:30">
      <c r="A318" t="str">
        <f>CONCATENATE(I318,J318)</f>
        <v>ASHAPURMINEQ</v>
      </c>
      <c r="B318" s="34">
        <v>46273</v>
      </c>
      <c r="C318" s="34">
        <v>46273</v>
      </c>
      <c r="D318" t="s">
        <v>35</v>
      </c>
      <c r="E318" t="s">
        <v>36</v>
      </c>
      <c r="F318" t="s">
        <v>37</v>
      </c>
      <c r="G318">
        <v>203</v>
      </c>
      <c r="H318" t="s">
        <v>1007</v>
      </c>
      <c r="I318" t="s">
        <v>1008</v>
      </c>
      <c r="J318" t="s">
        <v>161</v>
      </c>
      <c r="O318" t="s">
        <v>1009</v>
      </c>
      <c r="P318">
        <v>535.9</v>
      </c>
      <c r="Q318">
        <v>559.95000000000005</v>
      </c>
      <c r="R318">
        <v>535.9</v>
      </c>
      <c r="S318">
        <v>549.35</v>
      </c>
      <c r="T318">
        <v>550.5</v>
      </c>
      <c r="U318">
        <v>538.15</v>
      </c>
      <c r="W318">
        <v>549.32000000000005</v>
      </c>
      <c r="Z318">
        <v>373033</v>
      </c>
      <c r="AA318">
        <v>205337414</v>
      </c>
      <c r="AB318">
        <v>13608</v>
      </c>
      <c r="AC318" t="s">
        <v>42</v>
      </c>
      <c r="AD318">
        <v>1</v>
      </c>
    </row>
    <row r="319" spans="1:30">
      <c r="A319" t="str">
        <f>CONCATENATE(I319,J319)</f>
        <v>ASHIANAEQ</v>
      </c>
      <c r="B319" s="34">
        <v>46273</v>
      </c>
      <c r="C319" s="34">
        <v>46273</v>
      </c>
      <c r="D319" t="s">
        <v>35</v>
      </c>
      <c r="E319" t="s">
        <v>36</v>
      </c>
      <c r="F319" t="s">
        <v>37</v>
      </c>
      <c r="G319">
        <v>24403</v>
      </c>
      <c r="H319" t="s">
        <v>1010</v>
      </c>
      <c r="I319" t="s">
        <v>1011</v>
      </c>
      <c r="J319" t="s">
        <v>161</v>
      </c>
      <c r="O319" t="s">
        <v>1012</v>
      </c>
      <c r="P319">
        <v>350.4</v>
      </c>
      <c r="Q319">
        <v>350.85</v>
      </c>
      <c r="R319">
        <v>345</v>
      </c>
      <c r="S319">
        <v>346.3</v>
      </c>
      <c r="T319">
        <v>345.8</v>
      </c>
      <c r="U319">
        <v>349.75</v>
      </c>
      <c r="W319">
        <v>346.29</v>
      </c>
      <c r="Z319">
        <v>18213</v>
      </c>
      <c r="AA319">
        <v>6328280.7999999998</v>
      </c>
      <c r="AB319">
        <v>828</v>
      </c>
      <c r="AC319" t="s">
        <v>42</v>
      </c>
      <c r="AD319">
        <v>1</v>
      </c>
    </row>
    <row r="320" spans="1:30">
      <c r="A320" t="str">
        <f>CONCATENATE(I320,J320)</f>
        <v>ASHIKAGBE</v>
      </c>
      <c r="B320" s="34">
        <v>46273</v>
      </c>
      <c r="C320" s="34">
        <v>46273</v>
      </c>
      <c r="D320" t="s">
        <v>35</v>
      </c>
      <c r="E320" t="s">
        <v>36</v>
      </c>
      <c r="F320" t="s">
        <v>37</v>
      </c>
      <c r="G320">
        <v>762551</v>
      </c>
      <c r="H320" t="s">
        <v>1013</v>
      </c>
      <c r="I320" t="s">
        <v>1014</v>
      </c>
      <c r="J320" t="s">
        <v>183</v>
      </c>
      <c r="O320" t="s">
        <v>1015</v>
      </c>
      <c r="P320">
        <v>420</v>
      </c>
      <c r="Q320">
        <v>429.4</v>
      </c>
      <c r="R320">
        <v>415</v>
      </c>
      <c r="S320">
        <v>419.5</v>
      </c>
      <c r="T320">
        <v>425</v>
      </c>
      <c r="U320">
        <v>420.1</v>
      </c>
      <c r="W320">
        <v>419.51</v>
      </c>
      <c r="Z320">
        <v>62251</v>
      </c>
      <c r="AA320">
        <v>26182166.949999999</v>
      </c>
      <c r="AB320">
        <v>195</v>
      </c>
      <c r="AC320" t="s">
        <v>42</v>
      </c>
      <c r="AD320">
        <v>1</v>
      </c>
    </row>
    <row r="321" spans="1:30">
      <c r="A321" t="str">
        <f>CONCATENATE(I321,J321)</f>
        <v>ASHIMASYNEQ</v>
      </c>
      <c r="B321" s="34">
        <v>46273</v>
      </c>
      <c r="C321" s="34">
        <v>46273</v>
      </c>
      <c r="D321" t="s">
        <v>35</v>
      </c>
      <c r="E321" t="s">
        <v>36</v>
      </c>
      <c r="F321" t="s">
        <v>37</v>
      </c>
      <c r="G321">
        <v>206</v>
      </c>
      <c r="H321" t="s">
        <v>1016</v>
      </c>
      <c r="I321" t="s">
        <v>1017</v>
      </c>
      <c r="J321" t="s">
        <v>161</v>
      </c>
      <c r="O321" t="s">
        <v>1018</v>
      </c>
      <c r="P321">
        <v>17.600000000000001</v>
      </c>
      <c r="Q321">
        <v>17.61</v>
      </c>
      <c r="R321">
        <v>17.3</v>
      </c>
      <c r="S321">
        <v>17.36</v>
      </c>
      <c r="T321">
        <v>17.309999999999999</v>
      </c>
      <c r="U321">
        <v>17.75</v>
      </c>
      <c r="W321">
        <v>17.36</v>
      </c>
      <c r="Z321">
        <v>100643</v>
      </c>
      <c r="AA321">
        <v>1759060.62</v>
      </c>
      <c r="AB321">
        <v>213</v>
      </c>
      <c r="AC321" t="s">
        <v>42</v>
      </c>
      <c r="AD321">
        <v>1</v>
      </c>
    </row>
    <row r="322" spans="1:30">
      <c r="A322" t="str">
        <f>CONCATENATE(I322,J322)</f>
        <v>ASHOKLEYEQ</v>
      </c>
      <c r="B322" s="34">
        <v>46273</v>
      </c>
      <c r="C322" s="34">
        <v>46273</v>
      </c>
      <c r="D322" t="s">
        <v>35</v>
      </c>
      <c r="E322" t="s">
        <v>36</v>
      </c>
      <c r="F322" t="s">
        <v>37</v>
      </c>
      <c r="G322">
        <v>212</v>
      </c>
      <c r="H322" t="s">
        <v>1019</v>
      </c>
      <c r="I322" t="s">
        <v>1020</v>
      </c>
      <c r="J322" t="s">
        <v>161</v>
      </c>
      <c r="O322" t="s">
        <v>1021</v>
      </c>
      <c r="P322">
        <v>170</v>
      </c>
      <c r="Q322">
        <v>170.17</v>
      </c>
      <c r="R322">
        <v>167.75</v>
      </c>
      <c r="S322">
        <v>169</v>
      </c>
      <c r="T322">
        <v>169</v>
      </c>
      <c r="U322">
        <v>170</v>
      </c>
      <c r="W322">
        <v>169</v>
      </c>
      <c r="Z322">
        <v>7997004</v>
      </c>
      <c r="AA322">
        <v>1352712391.1199999</v>
      </c>
      <c r="AB322">
        <v>76705</v>
      </c>
      <c r="AC322" t="s">
        <v>42</v>
      </c>
      <c r="AD322">
        <v>1</v>
      </c>
    </row>
    <row r="323" spans="1:30">
      <c r="A323" t="str">
        <f>CONCATENATE(I323,J323)</f>
        <v>ASHOKAEQ</v>
      </c>
      <c r="B323" s="34">
        <v>46273</v>
      </c>
      <c r="C323" s="34">
        <v>46273</v>
      </c>
      <c r="D323" t="s">
        <v>35</v>
      </c>
      <c r="E323" t="s">
        <v>36</v>
      </c>
      <c r="F323" t="s">
        <v>37</v>
      </c>
      <c r="G323">
        <v>20182</v>
      </c>
      <c r="H323" t="s">
        <v>1022</v>
      </c>
      <c r="I323" t="s">
        <v>1023</v>
      </c>
      <c r="J323" t="s">
        <v>161</v>
      </c>
      <c r="O323" t="s">
        <v>1024</v>
      </c>
      <c r="P323">
        <v>115.46</v>
      </c>
      <c r="Q323">
        <v>115.6</v>
      </c>
      <c r="R323">
        <v>113.56</v>
      </c>
      <c r="S323">
        <v>114.27</v>
      </c>
      <c r="T323">
        <v>114.6</v>
      </c>
      <c r="U323">
        <v>115.5</v>
      </c>
      <c r="W323">
        <v>114.27</v>
      </c>
      <c r="Z323">
        <v>633887</v>
      </c>
      <c r="AA323">
        <v>72537489.900000006</v>
      </c>
      <c r="AB323">
        <v>6511</v>
      </c>
      <c r="AC323" t="s">
        <v>42</v>
      </c>
      <c r="AD323">
        <v>1</v>
      </c>
    </row>
    <row r="324" spans="1:30">
      <c r="A324" t="str">
        <f>CONCATENATE(I324,J324)</f>
        <v>ASHOKAMETEQ</v>
      </c>
      <c r="B324" s="34">
        <v>46273</v>
      </c>
      <c r="C324" s="34">
        <v>46273</v>
      </c>
      <c r="D324" t="s">
        <v>35</v>
      </c>
      <c r="E324" t="s">
        <v>36</v>
      </c>
      <c r="F324" t="s">
        <v>37</v>
      </c>
      <c r="G324">
        <v>16943</v>
      </c>
      <c r="H324" t="s">
        <v>1025</v>
      </c>
      <c r="I324" t="s">
        <v>1026</v>
      </c>
      <c r="J324" t="s">
        <v>161</v>
      </c>
      <c r="O324" t="s">
        <v>1027</v>
      </c>
      <c r="P324">
        <v>14.5</v>
      </c>
      <c r="Q324">
        <v>15.25</v>
      </c>
      <c r="R324">
        <v>14.04</v>
      </c>
      <c r="S324">
        <v>14.44</v>
      </c>
      <c r="T324">
        <v>14.69</v>
      </c>
      <c r="U324">
        <v>14.3</v>
      </c>
      <c r="W324">
        <v>14.45</v>
      </c>
      <c r="Z324">
        <v>61968</v>
      </c>
      <c r="AA324">
        <v>892308.54</v>
      </c>
      <c r="AB324">
        <v>192</v>
      </c>
      <c r="AC324" t="s">
        <v>42</v>
      </c>
      <c r="AD324">
        <v>1</v>
      </c>
    </row>
    <row r="325" spans="1:30">
      <c r="A325" t="str">
        <f>CONCATENATE(I325,J325)</f>
        <v>ASHUTOSHST</v>
      </c>
      <c r="B325" s="34">
        <v>46273</v>
      </c>
      <c r="C325" s="34">
        <v>46273</v>
      </c>
      <c r="D325" t="s">
        <v>35</v>
      </c>
      <c r="E325" t="s">
        <v>36</v>
      </c>
      <c r="F325" t="s">
        <v>37</v>
      </c>
      <c r="G325">
        <v>765576</v>
      </c>
      <c r="H325" t="s">
        <v>1028</v>
      </c>
      <c r="I325" t="s">
        <v>1029</v>
      </c>
      <c r="J325" t="s">
        <v>328</v>
      </c>
      <c r="O325" t="s">
        <v>1030</v>
      </c>
      <c r="P325">
        <v>147</v>
      </c>
      <c r="Q325">
        <v>154.35</v>
      </c>
      <c r="R325">
        <v>143</v>
      </c>
      <c r="S325">
        <v>154.05000000000001</v>
      </c>
      <c r="T325">
        <v>153</v>
      </c>
      <c r="U325">
        <v>147</v>
      </c>
      <c r="W325">
        <v>154.05000000000001</v>
      </c>
      <c r="Z325">
        <v>1275600</v>
      </c>
      <c r="AA325">
        <v>194166300</v>
      </c>
      <c r="AB325">
        <v>786</v>
      </c>
      <c r="AC325" t="s">
        <v>42</v>
      </c>
      <c r="AD325">
        <v>1200</v>
      </c>
    </row>
    <row r="326" spans="1:30">
      <c r="A326" t="str">
        <f>CONCATENATE(I326,J326)</f>
        <v>ASHWINISM</v>
      </c>
      <c r="B326" s="34">
        <v>46273</v>
      </c>
      <c r="C326" s="34">
        <v>46273</v>
      </c>
      <c r="D326" t="s">
        <v>35</v>
      </c>
      <c r="E326" t="s">
        <v>36</v>
      </c>
      <c r="F326" t="s">
        <v>37</v>
      </c>
      <c r="G326">
        <v>760418</v>
      </c>
      <c r="H326" t="s">
        <v>1031</v>
      </c>
      <c r="I326" t="s">
        <v>1032</v>
      </c>
      <c r="J326" t="s">
        <v>267</v>
      </c>
      <c r="O326" t="s">
        <v>1033</v>
      </c>
      <c r="P326">
        <v>175</v>
      </c>
      <c r="Q326">
        <v>176</v>
      </c>
      <c r="R326">
        <v>172</v>
      </c>
      <c r="S326">
        <v>174</v>
      </c>
      <c r="T326">
        <v>174</v>
      </c>
      <c r="U326">
        <v>178</v>
      </c>
      <c r="W326">
        <v>174</v>
      </c>
      <c r="Z326">
        <v>9000</v>
      </c>
      <c r="AA326">
        <v>1568500</v>
      </c>
      <c r="AB326">
        <v>9</v>
      </c>
      <c r="AC326" t="s">
        <v>42</v>
      </c>
      <c r="AD326">
        <v>1000</v>
      </c>
    </row>
    <row r="327" spans="1:30">
      <c r="A327" t="str">
        <f>CONCATENATE(I327,J327)</f>
        <v>ASIANENEEQ</v>
      </c>
      <c r="B327" s="34">
        <v>46273</v>
      </c>
      <c r="C327" s="34">
        <v>46273</v>
      </c>
      <c r="D327" t="s">
        <v>35</v>
      </c>
      <c r="E327" t="s">
        <v>36</v>
      </c>
      <c r="F327" t="s">
        <v>37</v>
      </c>
      <c r="G327">
        <v>7030</v>
      </c>
      <c r="H327" t="s">
        <v>1034</v>
      </c>
      <c r="I327" t="s">
        <v>1035</v>
      </c>
      <c r="J327" t="s">
        <v>161</v>
      </c>
      <c r="O327" t="s">
        <v>1036</v>
      </c>
      <c r="P327">
        <v>519</v>
      </c>
      <c r="Q327">
        <v>565.70000000000005</v>
      </c>
      <c r="R327">
        <v>507.6</v>
      </c>
      <c r="S327">
        <v>553.54999999999995</v>
      </c>
      <c r="T327">
        <v>555.29999999999995</v>
      </c>
      <c r="U327">
        <v>511.8</v>
      </c>
      <c r="W327">
        <v>553.62</v>
      </c>
      <c r="Z327">
        <v>1715686</v>
      </c>
      <c r="AA327">
        <v>941050657.95000005</v>
      </c>
      <c r="AB327">
        <v>50606</v>
      </c>
      <c r="AC327" t="s">
        <v>42</v>
      </c>
      <c r="AD327">
        <v>1</v>
      </c>
    </row>
    <row r="328" spans="1:30">
      <c r="A328" t="str">
        <f>CONCATENATE(I328,J328)</f>
        <v>ASIANTILESEQ</v>
      </c>
      <c r="B328" s="34">
        <v>46273</v>
      </c>
      <c r="C328" s="34">
        <v>46273</v>
      </c>
      <c r="D328" t="s">
        <v>35</v>
      </c>
      <c r="E328" t="s">
        <v>36</v>
      </c>
      <c r="F328" t="s">
        <v>37</v>
      </c>
      <c r="G328">
        <v>14889</v>
      </c>
      <c r="H328" t="s">
        <v>1037</v>
      </c>
      <c r="I328" t="s">
        <v>1038</v>
      </c>
      <c r="J328" t="s">
        <v>161</v>
      </c>
      <c r="O328" t="s">
        <v>1039</v>
      </c>
      <c r="P328">
        <v>49.45</v>
      </c>
      <c r="Q328">
        <v>50.5</v>
      </c>
      <c r="R328">
        <v>49.41</v>
      </c>
      <c r="S328">
        <v>50.04</v>
      </c>
      <c r="T328">
        <v>49.88</v>
      </c>
      <c r="U328">
        <v>49.85</v>
      </c>
      <c r="W328">
        <v>50.04</v>
      </c>
      <c r="Z328">
        <v>2076110</v>
      </c>
      <c r="AA328">
        <v>103792153.95</v>
      </c>
      <c r="AB328">
        <v>5108</v>
      </c>
      <c r="AC328" t="s">
        <v>42</v>
      </c>
      <c r="AD328">
        <v>1</v>
      </c>
    </row>
    <row r="329" spans="1:30">
      <c r="A329" t="str">
        <f>CONCATENATE(I329,J329)</f>
        <v>AHLEASTEQ</v>
      </c>
      <c r="B329" s="34">
        <v>46273</v>
      </c>
      <c r="C329" s="34">
        <v>46273</v>
      </c>
      <c r="D329" t="s">
        <v>35</v>
      </c>
      <c r="E329" t="s">
        <v>36</v>
      </c>
      <c r="F329" t="s">
        <v>37</v>
      </c>
      <c r="G329">
        <v>19438</v>
      </c>
      <c r="H329" t="s">
        <v>1040</v>
      </c>
      <c r="I329" t="s">
        <v>1041</v>
      </c>
      <c r="J329" t="s">
        <v>161</v>
      </c>
      <c r="O329" t="s">
        <v>1042</v>
      </c>
      <c r="P329">
        <v>137.01</v>
      </c>
      <c r="Q329">
        <v>138.51</v>
      </c>
      <c r="R329">
        <v>134.25</v>
      </c>
      <c r="S329">
        <v>135.38</v>
      </c>
      <c r="T329">
        <v>137.9</v>
      </c>
      <c r="U329">
        <v>135.82</v>
      </c>
      <c r="W329">
        <v>135.41</v>
      </c>
      <c r="Z329">
        <v>10422</v>
      </c>
      <c r="AA329">
        <v>1416331.16</v>
      </c>
      <c r="AB329">
        <v>101</v>
      </c>
      <c r="AC329" t="s">
        <v>42</v>
      </c>
      <c r="AD329">
        <v>1</v>
      </c>
    </row>
    <row r="330" spans="1:30">
      <c r="A330" t="str">
        <f>CONCATENATE(I330,J330)</f>
        <v>ASIANHOTNREQ</v>
      </c>
      <c r="B330" s="34">
        <v>46273</v>
      </c>
      <c r="C330" s="34">
        <v>46273</v>
      </c>
      <c r="D330" t="s">
        <v>35</v>
      </c>
      <c r="E330" t="s">
        <v>36</v>
      </c>
      <c r="F330" t="s">
        <v>37</v>
      </c>
      <c r="G330">
        <v>18422</v>
      </c>
      <c r="H330" t="s">
        <v>1043</v>
      </c>
      <c r="I330" t="s">
        <v>1044</v>
      </c>
      <c r="J330" t="s">
        <v>161</v>
      </c>
      <c r="O330" t="s">
        <v>1045</v>
      </c>
      <c r="P330">
        <v>388.8</v>
      </c>
      <c r="Q330">
        <v>423.8</v>
      </c>
      <c r="R330">
        <v>384.8</v>
      </c>
      <c r="S330">
        <v>405.75</v>
      </c>
      <c r="T330">
        <v>405</v>
      </c>
      <c r="U330">
        <v>382.65</v>
      </c>
      <c r="W330">
        <v>405.76</v>
      </c>
      <c r="Z330">
        <v>142759</v>
      </c>
      <c r="AA330">
        <v>57719561.5</v>
      </c>
      <c r="AB330">
        <v>4879</v>
      </c>
      <c r="AC330" t="s">
        <v>42</v>
      </c>
      <c r="AD330">
        <v>1</v>
      </c>
    </row>
    <row r="331" spans="1:30">
      <c r="A331" t="str">
        <f>CONCATENATE(I331,J331)</f>
        <v>AHLWESTBE</v>
      </c>
      <c r="B331" s="34">
        <v>46273</v>
      </c>
      <c r="C331" s="34">
        <v>46273</v>
      </c>
      <c r="D331" t="s">
        <v>35</v>
      </c>
      <c r="E331" t="s">
        <v>36</v>
      </c>
      <c r="F331" t="s">
        <v>37</v>
      </c>
      <c r="G331">
        <v>19370</v>
      </c>
      <c r="H331" t="s">
        <v>1046</v>
      </c>
      <c r="I331" t="s">
        <v>1047</v>
      </c>
      <c r="J331" t="s">
        <v>183</v>
      </c>
      <c r="O331" t="s">
        <v>1048</v>
      </c>
      <c r="P331">
        <v>515</v>
      </c>
      <c r="Q331">
        <v>522</v>
      </c>
      <c r="R331">
        <v>505.05</v>
      </c>
      <c r="S331">
        <v>515.5</v>
      </c>
      <c r="T331">
        <v>520</v>
      </c>
      <c r="U331">
        <v>530</v>
      </c>
      <c r="W331">
        <v>515.5</v>
      </c>
      <c r="Z331">
        <v>1174</v>
      </c>
      <c r="AA331">
        <v>598275.55000000005</v>
      </c>
      <c r="AB331">
        <v>31</v>
      </c>
      <c r="AC331" t="s">
        <v>42</v>
      </c>
      <c r="AD331">
        <v>1</v>
      </c>
    </row>
    <row r="332" spans="1:30">
      <c r="A332" t="str">
        <f>CONCATENATE(I332,J332)</f>
        <v>ASIANPAINTEQ</v>
      </c>
      <c r="B332" s="34">
        <v>46273</v>
      </c>
      <c r="C332" s="34">
        <v>46273</v>
      </c>
      <c r="D332" t="s">
        <v>35</v>
      </c>
      <c r="E332" t="s">
        <v>36</v>
      </c>
      <c r="F332" t="s">
        <v>37</v>
      </c>
      <c r="G332">
        <v>236</v>
      </c>
      <c r="H332" t="s">
        <v>1049</v>
      </c>
      <c r="I332" t="s">
        <v>1050</v>
      </c>
      <c r="J332" t="s">
        <v>161</v>
      </c>
      <c r="O332" t="s">
        <v>1051</v>
      </c>
      <c r="P332">
        <v>2499</v>
      </c>
      <c r="Q332">
        <v>2499</v>
      </c>
      <c r="R332">
        <v>2474.1</v>
      </c>
      <c r="S332">
        <v>2481.6</v>
      </c>
      <c r="T332">
        <v>2481.6</v>
      </c>
      <c r="U332">
        <v>2500.9</v>
      </c>
      <c r="W332">
        <v>2481.59</v>
      </c>
      <c r="Z332">
        <v>373248</v>
      </c>
      <c r="AA332">
        <v>928837138.70000005</v>
      </c>
      <c r="AB332">
        <v>42924</v>
      </c>
      <c r="AC332" t="s">
        <v>42</v>
      </c>
      <c r="AD332">
        <v>1</v>
      </c>
    </row>
    <row r="333" spans="1:30">
      <c r="A333" t="str">
        <f>CONCATENATE(I333,J333)</f>
        <v>ASTAREQ</v>
      </c>
      <c r="B333" s="34">
        <v>46273</v>
      </c>
      <c r="C333" s="34">
        <v>46273</v>
      </c>
      <c r="D333" t="s">
        <v>35</v>
      </c>
      <c r="E333" t="s">
        <v>36</v>
      </c>
      <c r="F333" t="s">
        <v>37</v>
      </c>
      <c r="G333">
        <v>762553</v>
      </c>
      <c r="H333" t="s">
        <v>1052</v>
      </c>
      <c r="I333" t="s">
        <v>1053</v>
      </c>
      <c r="J333" t="s">
        <v>161</v>
      </c>
      <c r="O333" t="s">
        <v>1054</v>
      </c>
      <c r="P333">
        <v>590</v>
      </c>
      <c r="Q333">
        <v>597</v>
      </c>
      <c r="R333">
        <v>590</v>
      </c>
      <c r="S333">
        <v>596.95000000000005</v>
      </c>
      <c r="T333">
        <v>596.95000000000005</v>
      </c>
      <c r="U333">
        <v>597.9</v>
      </c>
      <c r="W333">
        <v>597.37</v>
      </c>
      <c r="Z333">
        <v>18</v>
      </c>
      <c r="AA333">
        <v>10710.85</v>
      </c>
      <c r="AB333">
        <v>6</v>
      </c>
      <c r="AC333" t="s">
        <v>42</v>
      </c>
      <c r="AD333">
        <v>1</v>
      </c>
    </row>
    <row r="334" spans="1:30">
      <c r="A334" t="str">
        <f>CONCATENATE(I334,J334)</f>
        <v>ASIANTNEEQ</v>
      </c>
      <c r="B334" s="34">
        <v>46273</v>
      </c>
      <c r="C334" s="34">
        <v>46273</v>
      </c>
      <c r="D334" t="s">
        <v>35</v>
      </c>
      <c r="E334" t="s">
        <v>36</v>
      </c>
      <c r="F334" t="s">
        <v>37</v>
      </c>
      <c r="G334">
        <v>765025</v>
      </c>
      <c r="H334" t="s">
        <v>1055</v>
      </c>
      <c r="I334" t="s">
        <v>1056</v>
      </c>
      <c r="J334" t="s">
        <v>161</v>
      </c>
      <c r="O334" t="s">
        <v>1057</v>
      </c>
      <c r="P334">
        <v>9.89</v>
      </c>
      <c r="Q334">
        <v>9.89</v>
      </c>
      <c r="R334">
        <v>9.3699999999999992</v>
      </c>
      <c r="S334">
        <v>9.69</v>
      </c>
      <c r="T334">
        <v>9.3800000000000008</v>
      </c>
      <c r="U334">
        <v>9.5</v>
      </c>
      <c r="W334">
        <v>9.85</v>
      </c>
      <c r="Z334">
        <v>1503</v>
      </c>
      <c r="AA334">
        <v>14553.43</v>
      </c>
      <c r="AB334">
        <v>36</v>
      </c>
      <c r="AC334" t="s">
        <v>42</v>
      </c>
      <c r="AD334">
        <v>1</v>
      </c>
    </row>
    <row r="335" spans="1:30">
      <c r="A335" t="str">
        <f>CONCATENATE(I335,J335)</f>
        <v>ASKAUTOLTDEQ</v>
      </c>
      <c r="B335" s="34">
        <v>46273</v>
      </c>
      <c r="C335" s="34">
        <v>46273</v>
      </c>
      <c r="D335" t="s">
        <v>35</v>
      </c>
      <c r="E335" t="s">
        <v>36</v>
      </c>
      <c r="F335" t="s">
        <v>37</v>
      </c>
      <c r="G335">
        <v>20152</v>
      </c>
      <c r="H335" t="s">
        <v>1058</v>
      </c>
      <c r="I335" t="s">
        <v>1059</v>
      </c>
      <c r="J335" t="s">
        <v>161</v>
      </c>
      <c r="O335" t="s">
        <v>1060</v>
      </c>
      <c r="P335">
        <v>609</v>
      </c>
      <c r="Q335">
        <v>621</v>
      </c>
      <c r="R335">
        <v>601.20000000000005</v>
      </c>
      <c r="S335">
        <v>610.15</v>
      </c>
      <c r="T335">
        <v>608</v>
      </c>
      <c r="U335">
        <v>611.5</v>
      </c>
      <c r="W335">
        <v>610.16999999999996</v>
      </c>
      <c r="Z335">
        <v>464451</v>
      </c>
      <c r="AA335">
        <v>281848318.55000001</v>
      </c>
      <c r="AB335">
        <v>13828</v>
      </c>
      <c r="AC335" t="s">
        <v>42</v>
      </c>
      <c r="AD335">
        <v>1</v>
      </c>
    </row>
    <row r="336" spans="1:30">
      <c r="A336" t="str">
        <f>CONCATENATE(I336,J336)</f>
        <v>ASPINWALLEQ</v>
      </c>
      <c r="B336" s="34">
        <v>46273</v>
      </c>
      <c r="C336" s="34">
        <v>46273</v>
      </c>
      <c r="D336" t="s">
        <v>35</v>
      </c>
      <c r="E336" t="s">
        <v>36</v>
      </c>
      <c r="F336" t="s">
        <v>37</v>
      </c>
      <c r="G336">
        <v>17270</v>
      </c>
      <c r="H336" t="s">
        <v>1061</v>
      </c>
      <c r="I336" t="s">
        <v>1062</v>
      </c>
      <c r="J336" t="s">
        <v>161</v>
      </c>
      <c r="O336" t="s">
        <v>1063</v>
      </c>
      <c r="P336">
        <v>255.05</v>
      </c>
      <c r="Q336">
        <v>256.95</v>
      </c>
      <c r="R336">
        <v>253.8</v>
      </c>
      <c r="S336">
        <v>254.15</v>
      </c>
      <c r="T336">
        <v>253.8</v>
      </c>
      <c r="U336">
        <v>260.64999999999998</v>
      </c>
      <c r="W336">
        <v>254.15</v>
      </c>
      <c r="Z336">
        <v>416</v>
      </c>
      <c r="AA336">
        <v>105862.85</v>
      </c>
      <c r="AB336">
        <v>20</v>
      </c>
      <c r="AC336" t="s">
        <v>42</v>
      </c>
      <c r="AD336">
        <v>1</v>
      </c>
    </row>
    <row r="337" spans="1:30">
      <c r="A337" t="str">
        <f>CONCATENATE(I337,J337)</f>
        <v>ASPIRESM</v>
      </c>
      <c r="B337" s="34">
        <v>46273</v>
      </c>
      <c r="C337" s="34">
        <v>46273</v>
      </c>
      <c r="D337" t="s">
        <v>35</v>
      </c>
      <c r="E337" t="s">
        <v>36</v>
      </c>
      <c r="F337" t="s">
        <v>37</v>
      </c>
      <c r="G337">
        <v>23396</v>
      </c>
      <c r="H337" t="s">
        <v>1064</v>
      </c>
      <c r="I337" t="s">
        <v>1065</v>
      </c>
      <c r="J337" t="s">
        <v>267</v>
      </c>
      <c r="O337" t="s">
        <v>1066</v>
      </c>
      <c r="P337">
        <v>13.85</v>
      </c>
      <c r="Q337">
        <v>13.85</v>
      </c>
      <c r="R337">
        <v>12.95</v>
      </c>
      <c r="S337">
        <v>13.15</v>
      </c>
      <c r="T337">
        <v>13.45</v>
      </c>
      <c r="U337">
        <v>13.6</v>
      </c>
      <c r="W337">
        <v>13.15</v>
      </c>
      <c r="Z337">
        <v>12000</v>
      </c>
      <c r="AA337">
        <v>159200</v>
      </c>
      <c r="AB337">
        <v>6</v>
      </c>
      <c r="AC337" t="s">
        <v>42</v>
      </c>
      <c r="AD337">
        <v>2000</v>
      </c>
    </row>
    <row r="338" spans="1:30">
      <c r="A338" t="str">
        <f>CONCATENATE(I338,J338)</f>
        <v>ASALCBREQ</v>
      </c>
      <c r="B338" s="34">
        <v>46273</v>
      </c>
      <c r="C338" s="34">
        <v>46273</v>
      </c>
      <c r="D338" t="s">
        <v>35</v>
      </c>
      <c r="E338" t="s">
        <v>36</v>
      </c>
      <c r="F338" t="s">
        <v>37</v>
      </c>
      <c r="G338">
        <v>17598</v>
      </c>
      <c r="H338" t="s">
        <v>1067</v>
      </c>
      <c r="I338" t="s">
        <v>1068</v>
      </c>
      <c r="J338" t="s">
        <v>161</v>
      </c>
      <c r="O338" t="s">
        <v>1069</v>
      </c>
      <c r="P338">
        <v>708</v>
      </c>
      <c r="Q338">
        <v>710.2</v>
      </c>
      <c r="R338">
        <v>689.95</v>
      </c>
      <c r="S338">
        <v>696.15</v>
      </c>
      <c r="T338">
        <v>695</v>
      </c>
      <c r="U338">
        <v>707.8</v>
      </c>
      <c r="W338">
        <v>696.24</v>
      </c>
      <c r="Z338">
        <v>38235</v>
      </c>
      <c r="AA338">
        <v>26652975.149999999</v>
      </c>
      <c r="AB338">
        <v>2514</v>
      </c>
      <c r="AC338" t="s">
        <v>42</v>
      </c>
      <c r="AD338">
        <v>1</v>
      </c>
    </row>
    <row r="339" spans="1:30">
      <c r="A339" t="str">
        <f>CONCATENATE(I339,J339)</f>
        <v>ASTECEQ</v>
      </c>
      <c r="B339" s="34">
        <v>46273</v>
      </c>
      <c r="C339" s="34">
        <v>46273</v>
      </c>
      <c r="D339" t="s">
        <v>35</v>
      </c>
      <c r="E339" t="s">
        <v>36</v>
      </c>
      <c r="F339" t="s">
        <v>37</v>
      </c>
      <c r="G339">
        <v>17728</v>
      </c>
      <c r="H339" t="s">
        <v>1070</v>
      </c>
      <c r="I339" t="s">
        <v>1071</v>
      </c>
      <c r="J339" t="s">
        <v>161</v>
      </c>
      <c r="O339" t="s">
        <v>1072</v>
      </c>
      <c r="P339">
        <v>551.20000000000005</v>
      </c>
      <c r="Q339">
        <v>662.8</v>
      </c>
      <c r="R339">
        <v>551.20000000000005</v>
      </c>
      <c r="S339">
        <v>662.8</v>
      </c>
      <c r="T339">
        <v>662.8</v>
      </c>
      <c r="U339">
        <v>552.35</v>
      </c>
      <c r="W339">
        <v>662.8</v>
      </c>
      <c r="Z339">
        <v>1270916</v>
      </c>
      <c r="AA339">
        <v>800076280.79999995</v>
      </c>
      <c r="AB339">
        <v>39839</v>
      </c>
      <c r="AC339" t="s">
        <v>42</v>
      </c>
      <c r="AD339">
        <v>1</v>
      </c>
    </row>
    <row r="340" spans="1:30">
      <c r="A340" t="str">
        <f>CONCATENATE(I340,J340)</f>
        <v>ASTERDMEQ</v>
      </c>
      <c r="B340" s="34">
        <v>46273</v>
      </c>
      <c r="C340" s="34">
        <v>46273</v>
      </c>
      <c r="D340" t="s">
        <v>35</v>
      </c>
      <c r="E340" t="s">
        <v>36</v>
      </c>
      <c r="F340" t="s">
        <v>37</v>
      </c>
      <c r="G340">
        <v>1508</v>
      </c>
      <c r="H340" t="s">
        <v>1073</v>
      </c>
      <c r="I340" t="s">
        <v>1074</v>
      </c>
      <c r="J340" t="s">
        <v>161</v>
      </c>
      <c r="O340" t="s">
        <v>1075</v>
      </c>
      <c r="P340">
        <v>795.65</v>
      </c>
      <c r="Q340">
        <v>795.65</v>
      </c>
      <c r="R340">
        <v>782.6</v>
      </c>
      <c r="S340">
        <v>790.35</v>
      </c>
      <c r="T340">
        <v>790.4</v>
      </c>
      <c r="U340">
        <v>795.65</v>
      </c>
      <c r="W340">
        <v>790.34</v>
      </c>
      <c r="Z340">
        <v>537709</v>
      </c>
      <c r="AA340">
        <v>424301035.55000001</v>
      </c>
      <c r="AB340">
        <v>28193</v>
      </c>
      <c r="AC340" t="s">
        <v>42</v>
      </c>
      <c r="AD340">
        <v>1</v>
      </c>
    </row>
    <row r="341" spans="1:30">
      <c r="A341" t="str">
        <f>CONCATENATE(I341,J341)</f>
        <v>ASTRAMICROEQ</v>
      </c>
      <c r="B341" s="34">
        <v>46273</v>
      </c>
      <c r="C341" s="34">
        <v>46273</v>
      </c>
      <c r="D341" t="s">
        <v>35</v>
      </c>
      <c r="E341" t="s">
        <v>36</v>
      </c>
      <c r="F341" t="s">
        <v>37</v>
      </c>
      <c r="G341">
        <v>11618</v>
      </c>
      <c r="H341" t="s">
        <v>1076</v>
      </c>
      <c r="I341" t="s">
        <v>1077</v>
      </c>
      <c r="J341" t="s">
        <v>161</v>
      </c>
      <c r="O341" t="s">
        <v>1078</v>
      </c>
      <c r="P341">
        <v>1748</v>
      </c>
      <c r="Q341">
        <v>1783.3</v>
      </c>
      <c r="R341">
        <v>1708.3</v>
      </c>
      <c r="S341">
        <v>1757.3</v>
      </c>
      <c r="T341">
        <v>1762</v>
      </c>
      <c r="U341">
        <v>1711.6</v>
      </c>
      <c r="W341">
        <v>1757.23</v>
      </c>
      <c r="Z341">
        <v>793737</v>
      </c>
      <c r="AA341">
        <v>1385270185.9000001</v>
      </c>
      <c r="AB341">
        <v>48904</v>
      </c>
      <c r="AC341" t="s">
        <v>42</v>
      </c>
      <c r="AD341">
        <v>1</v>
      </c>
    </row>
    <row r="342" spans="1:30">
      <c r="A342" t="str">
        <f>CONCATENATE(I342,J342)</f>
        <v>ASTRALEQ</v>
      </c>
      <c r="B342" s="34">
        <v>46273</v>
      </c>
      <c r="C342" s="34">
        <v>46273</v>
      </c>
      <c r="D342" t="s">
        <v>35</v>
      </c>
      <c r="E342" t="s">
        <v>36</v>
      </c>
      <c r="F342" t="s">
        <v>37</v>
      </c>
      <c r="G342">
        <v>14418</v>
      </c>
      <c r="H342" t="s">
        <v>1079</v>
      </c>
      <c r="I342" t="s">
        <v>1080</v>
      </c>
      <c r="J342" t="s">
        <v>161</v>
      </c>
      <c r="O342" t="s">
        <v>1081</v>
      </c>
      <c r="P342">
        <v>1498.2</v>
      </c>
      <c r="Q342">
        <v>1507.4</v>
      </c>
      <c r="R342">
        <v>1485</v>
      </c>
      <c r="S342">
        <v>1500.8</v>
      </c>
      <c r="T342">
        <v>1500.8</v>
      </c>
      <c r="U342">
        <v>1498.2</v>
      </c>
      <c r="W342">
        <v>1500.79</v>
      </c>
      <c r="Z342">
        <v>613597</v>
      </c>
      <c r="AA342">
        <v>917780703.10000002</v>
      </c>
      <c r="AB342">
        <v>31356</v>
      </c>
      <c r="AC342" t="s">
        <v>42</v>
      </c>
      <c r="AD342">
        <v>1</v>
      </c>
    </row>
    <row r="343" spans="1:30">
      <c r="A343" t="str">
        <f>CONCATENATE(I343,J343)</f>
        <v>ASTRAZENEQ</v>
      </c>
      <c r="B343" s="34">
        <v>46273</v>
      </c>
      <c r="C343" s="34">
        <v>46273</v>
      </c>
      <c r="D343" t="s">
        <v>35</v>
      </c>
      <c r="E343" t="s">
        <v>36</v>
      </c>
      <c r="F343" t="s">
        <v>37</v>
      </c>
      <c r="G343">
        <v>5610</v>
      </c>
      <c r="H343" t="s">
        <v>1082</v>
      </c>
      <c r="I343" t="s">
        <v>1083</v>
      </c>
      <c r="J343" t="s">
        <v>161</v>
      </c>
      <c r="O343" t="s">
        <v>1084</v>
      </c>
      <c r="P343">
        <v>6860</v>
      </c>
      <c r="Q343">
        <v>6924</v>
      </c>
      <c r="R343">
        <v>6830</v>
      </c>
      <c r="S343">
        <v>6875.5</v>
      </c>
      <c r="T343">
        <v>6874.5</v>
      </c>
      <c r="U343">
        <v>6851</v>
      </c>
      <c r="W343">
        <v>6875.18</v>
      </c>
      <c r="Z343">
        <v>2698</v>
      </c>
      <c r="AA343">
        <v>18540713</v>
      </c>
      <c r="AB343">
        <v>1053</v>
      </c>
      <c r="AC343" t="s">
        <v>42</v>
      </c>
      <c r="AD343">
        <v>1</v>
      </c>
    </row>
    <row r="344" spans="1:30">
      <c r="A344" t="str">
        <f>CONCATENATE(I344,J344)</f>
        <v>ASTRONBZ</v>
      </c>
      <c r="B344" s="34">
        <v>46273</v>
      </c>
      <c r="C344" s="34">
        <v>46273</v>
      </c>
      <c r="D344" t="s">
        <v>35</v>
      </c>
      <c r="E344" t="s">
        <v>36</v>
      </c>
      <c r="F344" t="s">
        <v>37</v>
      </c>
      <c r="G344">
        <v>764445</v>
      </c>
      <c r="H344" t="s">
        <v>1085</v>
      </c>
      <c r="I344" t="s">
        <v>1086</v>
      </c>
      <c r="J344" t="s">
        <v>551</v>
      </c>
      <c r="O344" t="s">
        <v>1087</v>
      </c>
      <c r="P344">
        <v>3</v>
      </c>
      <c r="Q344">
        <v>3.12</v>
      </c>
      <c r="R344">
        <v>2.87</v>
      </c>
      <c r="S344">
        <v>2.96</v>
      </c>
      <c r="T344">
        <v>2.97</v>
      </c>
      <c r="U344">
        <v>3</v>
      </c>
      <c r="W344">
        <v>2.98</v>
      </c>
      <c r="Z344">
        <v>12423</v>
      </c>
      <c r="AA344">
        <v>36846.800000000003</v>
      </c>
      <c r="AB344">
        <v>55</v>
      </c>
      <c r="AC344" t="s">
        <v>42</v>
      </c>
      <c r="AD344">
        <v>1</v>
      </c>
    </row>
    <row r="345" spans="1:30">
      <c r="A345" t="str">
        <f>CONCATENATE(I345,J345)</f>
        <v>ATALREALEQ</v>
      </c>
      <c r="B345" s="34">
        <v>46273</v>
      </c>
      <c r="C345" s="34">
        <v>46273</v>
      </c>
      <c r="D345" t="s">
        <v>35</v>
      </c>
      <c r="E345" t="s">
        <v>36</v>
      </c>
      <c r="F345" t="s">
        <v>37</v>
      </c>
      <c r="G345">
        <v>15649</v>
      </c>
      <c r="H345" t="s">
        <v>1088</v>
      </c>
      <c r="I345" t="s">
        <v>1089</v>
      </c>
      <c r="J345" t="s">
        <v>161</v>
      </c>
      <c r="O345" t="s">
        <v>1090</v>
      </c>
      <c r="P345">
        <v>26.01</v>
      </c>
      <c r="Q345">
        <v>26.07</v>
      </c>
      <c r="R345">
        <v>21.2</v>
      </c>
      <c r="S345">
        <v>21.2</v>
      </c>
      <c r="T345">
        <v>21.2</v>
      </c>
      <c r="U345">
        <v>26.5</v>
      </c>
      <c r="W345">
        <v>21.2</v>
      </c>
      <c r="Z345">
        <v>10577296</v>
      </c>
      <c r="AA345">
        <v>245279432.36000001</v>
      </c>
      <c r="AB345">
        <v>1406</v>
      </c>
      <c r="AC345" t="s">
        <v>42</v>
      </c>
      <c r="AD345">
        <v>1</v>
      </c>
    </row>
    <row r="346" spans="1:30">
      <c r="A346" t="str">
        <f>CONCATENATE(I346,J346)</f>
        <v>ATAMEQ</v>
      </c>
      <c r="B346" s="34">
        <v>46273</v>
      </c>
      <c r="C346" s="34">
        <v>46273</v>
      </c>
      <c r="D346" t="s">
        <v>35</v>
      </c>
      <c r="E346" t="s">
        <v>36</v>
      </c>
      <c r="F346" t="s">
        <v>37</v>
      </c>
      <c r="G346">
        <v>15404</v>
      </c>
      <c r="H346" t="s">
        <v>1091</v>
      </c>
      <c r="I346" t="s">
        <v>1092</v>
      </c>
      <c r="J346" t="s">
        <v>161</v>
      </c>
      <c r="O346" t="s">
        <v>1093</v>
      </c>
      <c r="P346">
        <v>54.55</v>
      </c>
      <c r="Q346">
        <v>55.98</v>
      </c>
      <c r="R346">
        <v>54.54</v>
      </c>
      <c r="S346">
        <v>55.34</v>
      </c>
      <c r="T346">
        <v>55.44</v>
      </c>
      <c r="U346">
        <v>54.27</v>
      </c>
      <c r="W346">
        <v>55.34</v>
      </c>
      <c r="Z346">
        <v>7609</v>
      </c>
      <c r="AA346">
        <v>420944.61</v>
      </c>
      <c r="AB346">
        <v>182</v>
      </c>
      <c r="AC346" t="s">
        <v>42</v>
      </c>
      <c r="AD346">
        <v>1</v>
      </c>
    </row>
    <row r="347" spans="1:30">
      <c r="A347" t="str">
        <f>CONCATENATE(I347,J347)</f>
        <v>ATCENERGYST</v>
      </c>
      <c r="B347" s="34">
        <v>46273</v>
      </c>
      <c r="C347" s="34">
        <v>46273</v>
      </c>
      <c r="D347" t="s">
        <v>35</v>
      </c>
      <c r="E347" t="s">
        <v>36</v>
      </c>
      <c r="F347" t="s">
        <v>37</v>
      </c>
      <c r="G347">
        <v>756405</v>
      </c>
      <c r="H347" t="s">
        <v>1094</v>
      </c>
      <c r="I347" t="s">
        <v>1095</v>
      </c>
      <c r="J347" t="s">
        <v>328</v>
      </c>
      <c r="O347" t="s">
        <v>1096</v>
      </c>
      <c r="P347">
        <v>22.2</v>
      </c>
      <c r="Q347">
        <v>22.2</v>
      </c>
      <c r="R347">
        <v>22.2</v>
      </c>
      <c r="S347">
        <v>22.2</v>
      </c>
      <c r="T347">
        <v>22.2</v>
      </c>
      <c r="U347">
        <v>22.2</v>
      </c>
      <c r="W347">
        <v>22.2</v>
      </c>
      <c r="Z347">
        <v>1200</v>
      </c>
      <c r="AA347">
        <v>26640</v>
      </c>
      <c r="AB347">
        <v>1</v>
      </c>
      <c r="AC347" t="s">
        <v>42</v>
      </c>
      <c r="AD347">
        <v>1200</v>
      </c>
    </row>
    <row r="348" spans="1:30">
      <c r="A348" t="str">
        <f>CONCATENATE(I348,J348)</f>
        <v>ATHERENERGEQ</v>
      </c>
      <c r="B348" s="34">
        <v>46273</v>
      </c>
      <c r="C348" s="34">
        <v>46273</v>
      </c>
      <c r="D348" t="s">
        <v>35</v>
      </c>
      <c r="E348" t="s">
        <v>36</v>
      </c>
      <c r="F348" t="s">
        <v>37</v>
      </c>
      <c r="G348">
        <v>757645</v>
      </c>
      <c r="H348" t="s">
        <v>1097</v>
      </c>
      <c r="I348" t="s">
        <v>1098</v>
      </c>
      <c r="J348" t="s">
        <v>161</v>
      </c>
      <c r="O348" t="s">
        <v>1099</v>
      </c>
      <c r="P348">
        <v>1607.3</v>
      </c>
      <c r="Q348">
        <v>1613.4</v>
      </c>
      <c r="R348">
        <v>1568</v>
      </c>
      <c r="S348">
        <v>1578</v>
      </c>
      <c r="T348">
        <v>1578</v>
      </c>
      <c r="U348">
        <v>1599.3</v>
      </c>
      <c r="W348">
        <v>1578.06</v>
      </c>
      <c r="Z348">
        <v>2413864</v>
      </c>
      <c r="AA348">
        <v>3825827971.9000001</v>
      </c>
      <c r="AB348">
        <v>66840</v>
      </c>
      <c r="AC348" t="s">
        <v>42</v>
      </c>
      <c r="AD348">
        <v>1</v>
      </c>
    </row>
    <row r="349" spans="1:30">
      <c r="A349" t="str">
        <f>CONCATENATE(I349,J349)</f>
        <v>ATLPPE1</v>
      </c>
      <c r="B349" s="34">
        <v>46273</v>
      </c>
      <c r="C349" s="34">
        <v>46273</v>
      </c>
      <c r="D349" t="s">
        <v>35</v>
      </c>
      <c r="E349" t="s">
        <v>36</v>
      </c>
      <c r="F349" t="s">
        <v>37</v>
      </c>
      <c r="G349">
        <v>760953</v>
      </c>
      <c r="H349" t="s">
        <v>1100</v>
      </c>
      <c r="I349" t="s">
        <v>1101</v>
      </c>
      <c r="J349" t="s">
        <v>1102</v>
      </c>
      <c r="O349" t="s">
        <v>1103</v>
      </c>
      <c r="P349">
        <v>9.98</v>
      </c>
      <c r="Q349">
        <v>9.99</v>
      </c>
      <c r="R349">
        <v>8.8000000000000007</v>
      </c>
      <c r="S349">
        <v>9.26</v>
      </c>
      <c r="T349">
        <v>9.26</v>
      </c>
      <c r="U349">
        <v>9.82</v>
      </c>
      <c r="W349">
        <v>9.26</v>
      </c>
      <c r="Z349">
        <v>273</v>
      </c>
      <c r="AA349">
        <v>2607.8000000000002</v>
      </c>
      <c r="AB349">
        <v>8</v>
      </c>
      <c r="AC349" t="s">
        <v>42</v>
      </c>
      <c r="AD349">
        <v>1</v>
      </c>
    </row>
    <row r="350" spans="1:30">
      <c r="A350" t="str">
        <f>CONCATENATE(I350,J350)</f>
        <v>ATLANTAELEEQ</v>
      </c>
      <c r="B350" s="34">
        <v>46273</v>
      </c>
      <c r="C350" s="34">
        <v>46273</v>
      </c>
      <c r="D350" t="s">
        <v>35</v>
      </c>
      <c r="E350" t="s">
        <v>36</v>
      </c>
      <c r="F350" t="s">
        <v>37</v>
      </c>
      <c r="G350">
        <v>759007</v>
      </c>
      <c r="H350" t="s">
        <v>1104</v>
      </c>
      <c r="I350" t="s">
        <v>1105</v>
      </c>
      <c r="J350" t="s">
        <v>161</v>
      </c>
      <c r="O350" t="s">
        <v>1106</v>
      </c>
      <c r="P350">
        <v>1940.1</v>
      </c>
      <c r="Q350">
        <v>1948</v>
      </c>
      <c r="R350">
        <v>1882.3</v>
      </c>
      <c r="S350">
        <v>1922.3</v>
      </c>
      <c r="T350">
        <v>1911</v>
      </c>
      <c r="U350">
        <v>1938.1</v>
      </c>
      <c r="W350">
        <v>1922.37</v>
      </c>
      <c r="Z350">
        <v>151171</v>
      </c>
      <c r="AA350">
        <v>288621257.19999999</v>
      </c>
      <c r="AB350">
        <v>10591</v>
      </c>
      <c r="AC350" t="s">
        <v>42</v>
      </c>
      <c r="AD350">
        <v>1</v>
      </c>
    </row>
    <row r="351" spans="1:30">
      <c r="A351" t="str">
        <f>CONCATENATE(I351,J351)</f>
        <v>ATLANTAAEQ</v>
      </c>
      <c r="B351" s="34">
        <v>46273</v>
      </c>
      <c r="C351" s="34">
        <v>46273</v>
      </c>
      <c r="D351" t="s">
        <v>35</v>
      </c>
      <c r="E351" t="s">
        <v>36</v>
      </c>
      <c r="F351" t="s">
        <v>37</v>
      </c>
      <c r="G351">
        <v>13585</v>
      </c>
      <c r="H351" t="s">
        <v>1107</v>
      </c>
      <c r="I351" t="s">
        <v>1108</v>
      </c>
      <c r="J351" t="s">
        <v>161</v>
      </c>
      <c r="O351" t="s">
        <v>1109</v>
      </c>
      <c r="P351">
        <v>37.799999999999997</v>
      </c>
      <c r="Q351">
        <v>39.020000000000003</v>
      </c>
      <c r="R351">
        <v>36.92</v>
      </c>
      <c r="S351">
        <v>38.299999999999997</v>
      </c>
      <c r="T351">
        <v>38.15</v>
      </c>
      <c r="U351">
        <v>37.659999999999997</v>
      </c>
      <c r="W351">
        <v>38.409999999999997</v>
      </c>
      <c r="Z351">
        <v>71064</v>
      </c>
      <c r="AA351">
        <v>2713841.35</v>
      </c>
      <c r="AB351">
        <v>1624</v>
      </c>
      <c r="AC351" t="s">
        <v>42</v>
      </c>
      <c r="AD351">
        <v>1</v>
      </c>
    </row>
    <row r="352" spans="1:30">
      <c r="A352" t="str">
        <f>CONCATENATE(I352,J352)</f>
        <v>ATLASCYCLEEQ</v>
      </c>
      <c r="B352" s="34">
        <v>46273</v>
      </c>
      <c r="C352" s="34">
        <v>46273</v>
      </c>
      <c r="D352" t="s">
        <v>35</v>
      </c>
      <c r="E352" t="s">
        <v>36</v>
      </c>
      <c r="F352" t="s">
        <v>37</v>
      </c>
      <c r="G352">
        <v>4568</v>
      </c>
      <c r="H352" t="s">
        <v>1110</v>
      </c>
      <c r="I352" t="s">
        <v>1111</v>
      </c>
      <c r="J352" t="s">
        <v>161</v>
      </c>
      <c r="O352" t="s">
        <v>1112</v>
      </c>
      <c r="P352">
        <v>95.6</v>
      </c>
      <c r="Q352">
        <v>113.38</v>
      </c>
      <c r="R352">
        <v>95</v>
      </c>
      <c r="S352">
        <v>113.03</v>
      </c>
      <c r="T352">
        <v>112.49</v>
      </c>
      <c r="U352">
        <v>94.49</v>
      </c>
      <c r="W352">
        <v>113.09</v>
      </c>
      <c r="Z352">
        <v>1077562</v>
      </c>
      <c r="AA352">
        <v>118347738.52</v>
      </c>
      <c r="AB352">
        <v>9927</v>
      </c>
      <c r="AC352" t="s">
        <v>42</v>
      </c>
      <c r="AD352">
        <v>1</v>
      </c>
    </row>
    <row r="353" spans="1:30">
      <c r="A353" t="str">
        <f>CONCATENATE(I353,J353)</f>
        <v>ATMASTCOSM</v>
      </c>
      <c r="B353" s="34">
        <v>46273</v>
      </c>
      <c r="C353" s="34">
        <v>46273</v>
      </c>
      <c r="D353" t="s">
        <v>35</v>
      </c>
      <c r="E353" t="s">
        <v>36</v>
      </c>
      <c r="F353" t="s">
        <v>37</v>
      </c>
      <c r="G353">
        <v>22785</v>
      </c>
      <c r="H353" t="s">
        <v>1113</v>
      </c>
      <c r="I353" t="s">
        <v>1114</v>
      </c>
      <c r="J353" t="s">
        <v>267</v>
      </c>
      <c r="O353" t="s">
        <v>1115</v>
      </c>
      <c r="P353">
        <v>137.5</v>
      </c>
      <c r="Q353">
        <v>142</v>
      </c>
      <c r="R353">
        <v>131.15</v>
      </c>
      <c r="S353">
        <v>132.69999999999999</v>
      </c>
      <c r="T353">
        <v>132.05000000000001</v>
      </c>
      <c r="U353">
        <v>137.5</v>
      </c>
      <c r="W353">
        <v>132.69999999999999</v>
      </c>
      <c r="Z353">
        <v>21200</v>
      </c>
      <c r="AA353">
        <v>2852040</v>
      </c>
      <c r="AB353">
        <v>46</v>
      </c>
      <c r="AC353" t="s">
        <v>42</v>
      </c>
      <c r="AD353">
        <v>400</v>
      </c>
    </row>
    <row r="354" spans="1:30">
      <c r="A354" t="str">
        <f>CONCATENATE(I354,J354)</f>
        <v>ATULAUTOEQ</v>
      </c>
      <c r="B354" s="34">
        <v>46273</v>
      </c>
      <c r="C354" s="34">
        <v>46273</v>
      </c>
      <c r="D354" t="s">
        <v>35</v>
      </c>
      <c r="E354" t="s">
        <v>36</v>
      </c>
      <c r="F354" t="s">
        <v>37</v>
      </c>
      <c r="G354">
        <v>30023</v>
      </c>
      <c r="H354" t="s">
        <v>1116</v>
      </c>
      <c r="I354" t="s">
        <v>1117</v>
      </c>
      <c r="J354" t="s">
        <v>161</v>
      </c>
      <c r="O354" t="s">
        <v>1118</v>
      </c>
      <c r="P354">
        <v>460.05</v>
      </c>
      <c r="Q354">
        <v>463.9</v>
      </c>
      <c r="R354">
        <v>457.3</v>
      </c>
      <c r="S354">
        <v>458.9</v>
      </c>
      <c r="T354">
        <v>458.6</v>
      </c>
      <c r="U354">
        <v>459.1</v>
      </c>
      <c r="W354">
        <v>458.88</v>
      </c>
      <c r="Z354">
        <v>80477</v>
      </c>
      <c r="AA354">
        <v>37031955.200000003</v>
      </c>
      <c r="AB354">
        <v>3111</v>
      </c>
      <c r="AC354" t="s">
        <v>42</v>
      </c>
      <c r="AD354">
        <v>1</v>
      </c>
    </row>
    <row r="355" spans="1:30">
      <c r="A355" t="str">
        <f>CONCATENATE(I355,J355)</f>
        <v>ATULEQ</v>
      </c>
      <c r="B355" s="34">
        <v>46273</v>
      </c>
      <c r="C355" s="34">
        <v>46273</v>
      </c>
      <c r="D355" t="s">
        <v>35</v>
      </c>
      <c r="E355" t="s">
        <v>36</v>
      </c>
      <c r="F355" t="s">
        <v>37</v>
      </c>
      <c r="G355">
        <v>263</v>
      </c>
      <c r="H355" t="s">
        <v>1119</v>
      </c>
      <c r="I355" t="s">
        <v>1120</v>
      </c>
      <c r="J355" t="s">
        <v>161</v>
      </c>
      <c r="O355" t="s">
        <v>1121</v>
      </c>
      <c r="P355">
        <v>6335</v>
      </c>
      <c r="Q355">
        <v>6356.5</v>
      </c>
      <c r="R355">
        <v>6305</v>
      </c>
      <c r="S355">
        <v>6314.5</v>
      </c>
      <c r="T355">
        <v>6317</v>
      </c>
      <c r="U355">
        <v>6312.5</v>
      </c>
      <c r="W355">
        <v>6314.41</v>
      </c>
      <c r="Z355">
        <v>12993</v>
      </c>
      <c r="AA355">
        <v>82163464.5</v>
      </c>
      <c r="AB355">
        <v>3144</v>
      </c>
      <c r="AC355" t="s">
        <v>42</v>
      </c>
      <c r="AD355">
        <v>1</v>
      </c>
    </row>
    <row r="356" spans="1:30">
      <c r="A356" t="str">
        <f>CONCATENATE(I356,J356)</f>
        <v>AUBANKEQ</v>
      </c>
      <c r="B356" s="34">
        <v>46273</v>
      </c>
      <c r="C356" s="34">
        <v>46273</v>
      </c>
      <c r="D356" t="s">
        <v>35</v>
      </c>
      <c r="E356" t="s">
        <v>36</v>
      </c>
      <c r="F356" t="s">
        <v>37</v>
      </c>
      <c r="G356">
        <v>21238</v>
      </c>
      <c r="H356" t="s">
        <v>1122</v>
      </c>
      <c r="I356" t="s">
        <v>1123</v>
      </c>
      <c r="J356" t="s">
        <v>161</v>
      </c>
      <c r="O356" t="s">
        <v>1124</v>
      </c>
      <c r="P356">
        <v>1055.7</v>
      </c>
      <c r="Q356">
        <v>1074.8</v>
      </c>
      <c r="R356">
        <v>1051.4000000000001</v>
      </c>
      <c r="S356">
        <v>1073.7</v>
      </c>
      <c r="T356">
        <v>1073.7</v>
      </c>
      <c r="U356">
        <v>1053</v>
      </c>
      <c r="W356">
        <v>1073.7</v>
      </c>
      <c r="Z356">
        <v>1353347</v>
      </c>
      <c r="AA356">
        <v>1443371199.3</v>
      </c>
      <c r="AB356">
        <v>55607</v>
      </c>
      <c r="AC356" t="s">
        <v>42</v>
      </c>
      <c r="AD356">
        <v>1</v>
      </c>
    </row>
    <row r="357" spans="1:30">
      <c r="A357" t="str">
        <f>CONCATENATE(I357,J357)</f>
        <v>AUGMONTEQ</v>
      </c>
      <c r="B357" s="34">
        <v>46273</v>
      </c>
      <c r="C357" s="34">
        <v>46273</v>
      </c>
      <c r="D357" t="s">
        <v>35</v>
      </c>
      <c r="E357" t="s">
        <v>36</v>
      </c>
      <c r="F357" t="s">
        <v>37</v>
      </c>
      <c r="G357">
        <v>765451</v>
      </c>
      <c r="H357" t="s">
        <v>1125</v>
      </c>
      <c r="I357" t="s">
        <v>1126</v>
      </c>
      <c r="J357" t="s">
        <v>161</v>
      </c>
      <c r="O357" t="s">
        <v>1127</v>
      </c>
      <c r="P357">
        <v>899</v>
      </c>
      <c r="Q357">
        <v>909.95</v>
      </c>
      <c r="R357">
        <v>882.8</v>
      </c>
      <c r="S357">
        <v>893.4</v>
      </c>
      <c r="T357">
        <v>891</v>
      </c>
      <c r="U357">
        <v>891.6</v>
      </c>
      <c r="W357">
        <v>893.42</v>
      </c>
      <c r="Z357">
        <v>693093</v>
      </c>
      <c r="AA357">
        <v>618818747.29999995</v>
      </c>
      <c r="AB357">
        <v>27059</v>
      </c>
      <c r="AC357" t="s">
        <v>42</v>
      </c>
      <c r="AD357">
        <v>1</v>
      </c>
    </row>
    <row r="358" spans="1:30">
      <c r="A358" t="str">
        <f>CONCATENATE(I358,J358)</f>
        <v>AURIONPROEQ</v>
      </c>
      <c r="B358" s="34">
        <v>46273</v>
      </c>
      <c r="C358" s="34">
        <v>46273</v>
      </c>
      <c r="D358" t="s">
        <v>35</v>
      </c>
      <c r="E358" t="s">
        <v>36</v>
      </c>
      <c r="F358" t="s">
        <v>37</v>
      </c>
      <c r="G358">
        <v>12022</v>
      </c>
      <c r="H358" t="s">
        <v>1128</v>
      </c>
      <c r="I358" t="s">
        <v>1129</v>
      </c>
      <c r="J358" t="s">
        <v>161</v>
      </c>
      <c r="O358" t="s">
        <v>1130</v>
      </c>
      <c r="P358">
        <v>673</v>
      </c>
      <c r="Q358">
        <v>684.3</v>
      </c>
      <c r="R358">
        <v>667.75</v>
      </c>
      <c r="S358">
        <v>672.1</v>
      </c>
      <c r="T358">
        <v>676.5</v>
      </c>
      <c r="U358">
        <v>668.7</v>
      </c>
      <c r="W358">
        <v>672.11</v>
      </c>
      <c r="Z358">
        <v>115133</v>
      </c>
      <c r="AA358">
        <v>77762643.900000006</v>
      </c>
      <c r="AB358">
        <v>8859</v>
      </c>
      <c r="AC358" t="s">
        <v>42</v>
      </c>
      <c r="AD358">
        <v>1</v>
      </c>
    </row>
    <row r="359" spans="1:30">
      <c r="A359" t="str">
        <f>CONCATENATE(I359,J359)</f>
        <v>AUROIMPEXSM</v>
      </c>
      <c r="B359" s="34">
        <v>46273</v>
      </c>
      <c r="C359" s="34">
        <v>46273</v>
      </c>
      <c r="D359" t="s">
        <v>35</v>
      </c>
      <c r="E359" t="s">
        <v>36</v>
      </c>
      <c r="F359" t="s">
        <v>37</v>
      </c>
      <c r="G359">
        <v>15869</v>
      </c>
      <c r="H359" t="s">
        <v>1131</v>
      </c>
      <c r="I359" t="s">
        <v>1132</v>
      </c>
      <c r="J359" t="s">
        <v>267</v>
      </c>
      <c r="O359" t="s">
        <v>1133</v>
      </c>
      <c r="P359">
        <v>26.75</v>
      </c>
      <c r="Q359">
        <v>27.2</v>
      </c>
      <c r="R359">
        <v>26.6</v>
      </c>
      <c r="S359">
        <v>26.6</v>
      </c>
      <c r="T359">
        <v>26.6</v>
      </c>
      <c r="U359">
        <v>28</v>
      </c>
      <c r="W359">
        <v>26.6</v>
      </c>
      <c r="Z359">
        <v>8000</v>
      </c>
      <c r="AA359">
        <v>214240</v>
      </c>
      <c r="AB359">
        <v>5</v>
      </c>
      <c r="AC359" t="s">
        <v>42</v>
      </c>
      <c r="AD359">
        <v>1600</v>
      </c>
    </row>
    <row r="360" spans="1:30">
      <c r="A360" t="str">
        <f>CONCATENATE(I360,J360)</f>
        <v>AUROPHARMAEQ</v>
      </c>
      <c r="B360" s="34">
        <v>46273</v>
      </c>
      <c r="C360" s="34">
        <v>46273</v>
      </c>
      <c r="D360" t="s">
        <v>35</v>
      </c>
      <c r="E360" t="s">
        <v>36</v>
      </c>
      <c r="F360" t="s">
        <v>37</v>
      </c>
      <c r="G360">
        <v>275</v>
      </c>
      <c r="H360" t="s">
        <v>1134</v>
      </c>
      <c r="I360" t="s">
        <v>1135</v>
      </c>
      <c r="J360" t="s">
        <v>161</v>
      </c>
      <c r="O360" t="s">
        <v>1136</v>
      </c>
      <c r="P360">
        <v>1660.5</v>
      </c>
      <c r="Q360">
        <v>1698.8</v>
      </c>
      <c r="R360">
        <v>1655</v>
      </c>
      <c r="S360">
        <v>1692</v>
      </c>
      <c r="T360">
        <v>1692</v>
      </c>
      <c r="U360">
        <v>1660</v>
      </c>
      <c r="W360">
        <v>1691.97</v>
      </c>
      <c r="Z360">
        <v>1055813</v>
      </c>
      <c r="AA360">
        <v>1775797069.5</v>
      </c>
      <c r="AB360">
        <v>43774</v>
      </c>
      <c r="AC360" t="s">
        <v>42</v>
      </c>
      <c r="AD360">
        <v>1</v>
      </c>
    </row>
    <row r="361" spans="1:30">
      <c r="A361" t="str">
        <f>CONCATENATE(I361,J361)</f>
        <v>AURUMEQ</v>
      </c>
      <c r="B361" s="34">
        <v>46273</v>
      </c>
      <c r="C361" s="34">
        <v>46273</v>
      </c>
      <c r="D361" t="s">
        <v>35</v>
      </c>
      <c r="E361" t="s">
        <v>36</v>
      </c>
      <c r="F361" t="s">
        <v>37</v>
      </c>
      <c r="G361">
        <v>10310</v>
      </c>
      <c r="H361" t="s">
        <v>1137</v>
      </c>
      <c r="I361" t="s">
        <v>1138</v>
      </c>
      <c r="J361" t="s">
        <v>161</v>
      </c>
      <c r="O361" t="s">
        <v>1139</v>
      </c>
      <c r="P361">
        <v>225.85</v>
      </c>
      <c r="Q361">
        <v>228</v>
      </c>
      <c r="R361">
        <v>223.78</v>
      </c>
      <c r="S361">
        <v>227.26</v>
      </c>
      <c r="T361">
        <v>227.1</v>
      </c>
      <c r="U361">
        <v>225.14</v>
      </c>
      <c r="W361">
        <v>227.26</v>
      </c>
      <c r="Z361">
        <v>56616</v>
      </c>
      <c r="AA361">
        <v>12811640.380000001</v>
      </c>
      <c r="AB361">
        <v>1560</v>
      </c>
      <c r="AC361" t="s">
        <v>42</v>
      </c>
      <c r="AD361">
        <v>1</v>
      </c>
    </row>
    <row r="362" spans="1:30">
      <c r="A362" t="str">
        <f>CONCATENATE(I362,J362)</f>
        <v>AURUSEQ</v>
      </c>
      <c r="B362" s="34">
        <v>46273</v>
      </c>
      <c r="C362" s="34">
        <v>46273</v>
      </c>
      <c r="D362" t="s">
        <v>35</v>
      </c>
      <c r="E362" t="s">
        <v>36</v>
      </c>
      <c r="F362" t="s">
        <v>37</v>
      </c>
      <c r="G362">
        <v>31468</v>
      </c>
      <c r="H362" t="s">
        <v>1140</v>
      </c>
      <c r="I362" t="s">
        <v>1141</v>
      </c>
      <c r="J362" t="s">
        <v>161</v>
      </c>
      <c r="O362" t="s">
        <v>1142</v>
      </c>
      <c r="P362">
        <v>4.9400000000000004</v>
      </c>
      <c r="Q362">
        <v>4.9400000000000004</v>
      </c>
      <c r="R362">
        <v>4.7300000000000004</v>
      </c>
      <c r="S362">
        <v>4.78</v>
      </c>
      <c r="T362">
        <v>4.7699999999999996</v>
      </c>
      <c r="U362">
        <v>4.9400000000000004</v>
      </c>
      <c r="W362">
        <v>4.78</v>
      </c>
      <c r="Z362">
        <v>24602</v>
      </c>
      <c r="AA362">
        <v>117517.16</v>
      </c>
      <c r="AB362">
        <v>318</v>
      </c>
      <c r="AC362" t="s">
        <v>42</v>
      </c>
      <c r="AD362">
        <v>1</v>
      </c>
    </row>
    <row r="363" spans="1:30">
      <c r="A363" t="str">
        <f>CONCATENATE(I363,J363)</f>
        <v>AUSOMENTEQ</v>
      </c>
      <c r="B363" s="34">
        <v>46273</v>
      </c>
      <c r="C363" s="34">
        <v>46273</v>
      </c>
      <c r="D363" t="s">
        <v>35</v>
      </c>
      <c r="E363" t="s">
        <v>36</v>
      </c>
      <c r="F363" t="s">
        <v>37</v>
      </c>
      <c r="G363">
        <v>4037</v>
      </c>
      <c r="H363" t="s">
        <v>1143</v>
      </c>
      <c r="I363" t="s">
        <v>1144</v>
      </c>
      <c r="J363" t="s">
        <v>161</v>
      </c>
      <c r="O363" t="s">
        <v>1145</v>
      </c>
      <c r="P363">
        <v>161</v>
      </c>
      <c r="Q363">
        <v>161</v>
      </c>
      <c r="R363">
        <v>152.56</v>
      </c>
      <c r="S363">
        <v>155.86000000000001</v>
      </c>
      <c r="T363">
        <v>156.1</v>
      </c>
      <c r="U363">
        <v>156.21</v>
      </c>
      <c r="W363">
        <v>155.85</v>
      </c>
      <c r="Z363">
        <v>6145</v>
      </c>
      <c r="AA363">
        <v>957275.09</v>
      </c>
      <c r="AB363">
        <v>126</v>
      </c>
      <c r="AC363" t="s">
        <v>42</v>
      </c>
      <c r="AD363">
        <v>1</v>
      </c>
    </row>
    <row r="364" spans="1:30">
      <c r="A364" t="str">
        <f>CONCATENATE(I364,J364)</f>
        <v>AUSTENGEQ</v>
      </c>
      <c r="B364" s="34">
        <v>46273</v>
      </c>
      <c r="C364" s="34">
        <v>46273</v>
      </c>
      <c r="D364" t="s">
        <v>35</v>
      </c>
      <c r="E364" t="s">
        <v>36</v>
      </c>
      <c r="F364" t="s">
        <v>37</v>
      </c>
      <c r="G364">
        <v>764608</v>
      </c>
      <c r="H364" t="s">
        <v>1146</v>
      </c>
      <c r="I364" t="s">
        <v>1147</v>
      </c>
      <c r="J364" t="s">
        <v>161</v>
      </c>
      <c r="O364" t="s">
        <v>1148</v>
      </c>
      <c r="P364">
        <v>125.95</v>
      </c>
      <c r="Q364">
        <v>129.5</v>
      </c>
      <c r="R364">
        <v>121</v>
      </c>
      <c r="S364">
        <v>121.41</v>
      </c>
      <c r="T364">
        <v>121</v>
      </c>
      <c r="U364">
        <v>125</v>
      </c>
      <c r="W364">
        <v>121.43</v>
      </c>
      <c r="Z364">
        <v>11816</v>
      </c>
      <c r="AA364">
        <v>1446540.63</v>
      </c>
      <c r="AB364">
        <v>71</v>
      </c>
      <c r="AC364" t="s">
        <v>42</v>
      </c>
      <c r="AD364">
        <v>1</v>
      </c>
    </row>
    <row r="365" spans="1:30">
      <c r="A365" t="str">
        <f>CONCATENATE(I365,J365)</f>
        <v>APSSM</v>
      </c>
      <c r="B365" s="34">
        <v>46273</v>
      </c>
      <c r="C365" s="34">
        <v>46273</v>
      </c>
      <c r="D365" t="s">
        <v>35</v>
      </c>
      <c r="E365" t="s">
        <v>36</v>
      </c>
      <c r="F365" t="s">
        <v>37</v>
      </c>
      <c r="G365">
        <v>21451</v>
      </c>
      <c r="H365" t="s">
        <v>1149</v>
      </c>
      <c r="I365" t="s">
        <v>1150</v>
      </c>
      <c r="J365" t="s">
        <v>267</v>
      </c>
      <c r="O365" t="s">
        <v>1151</v>
      </c>
      <c r="P365">
        <v>242.5</v>
      </c>
      <c r="Q365">
        <v>254</v>
      </c>
      <c r="R365">
        <v>242.5</v>
      </c>
      <c r="S365">
        <v>250.6</v>
      </c>
      <c r="T365">
        <v>252.9</v>
      </c>
      <c r="U365">
        <v>242.5</v>
      </c>
      <c r="W365">
        <v>250.6</v>
      </c>
      <c r="Z365">
        <v>14750</v>
      </c>
      <c r="AA365">
        <v>3676762.5</v>
      </c>
      <c r="AB365">
        <v>58</v>
      </c>
      <c r="AC365" t="s">
        <v>42</v>
      </c>
      <c r="AD365">
        <v>250</v>
      </c>
    </row>
    <row r="366" spans="1:30">
      <c r="A366" t="str">
        <f>CONCATENATE(I366,J366)</f>
        <v>AIILEQ</v>
      </c>
      <c r="B366" s="34">
        <v>46273</v>
      </c>
      <c r="C366" s="34">
        <v>46273</v>
      </c>
      <c r="D366" t="s">
        <v>35</v>
      </c>
      <c r="E366" t="s">
        <v>36</v>
      </c>
      <c r="F366" t="s">
        <v>37</v>
      </c>
      <c r="G366">
        <v>23553</v>
      </c>
      <c r="H366" t="s">
        <v>1152</v>
      </c>
      <c r="I366" t="s">
        <v>1153</v>
      </c>
      <c r="J366" t="s">
        <v>161</v>
      </c>
      <c r="O366" t="s">
        <v>1154</v>
      </c>
      <c r="P366">
        <v>517</v>
      </c>
      <c r="Q366">
        <v>529.6</v>
      </c>
      <c r="R366">
        <v>510.55</v>
      </c>
      <c r="S366">
        <v>526.20000000000005</v>
      </c>
      <c r="T366">
        <v>520</v>
      </c>
      <c r="U366">
        <v>514.95000000000005</v>
      </c>
      <c r="W366">
        <v>526.19000000000005</v>
      </c>
      <c r="Z366">
        <v>142504</v>
      </c>
      <c r="AA366">
        <v>74270346.299999997</v>
      </c>
      <c r="AB366">
        <v>9706</v>
      </c>
      <c r="AC366" t="s">
        <v>42</v>
      </c>
      <c r="AD366">
        <v>1</v>
      </c>
    </row>
    <row r="367" spans="1:30">
      <c r="A367" t="str">
        <f>CONCATENATE(I367,J367)</f>
        <v>AUTOINDEQ</v>
      </c>
      <c r="B367" s="34">
        <v>46273</v>
      </c>
      <c r="C367" s="34">
        <v>46273</v>
      </c>
      <c r="D367" t="s">
        <v>35</v>
      </c>
      <c r="E367" t="s">
        <v>36</v>
      </c>
      <c r="F367" t="s">
        <v>37</v>
      </c>
      <c r="G367">
        <v>14106</v>
      </c>
      <c r="H367" t="s">
        <v>1155</v>
      </c>
      <c r="I367" t="s">
        <v>1156</v>
      </c>
      <c r="J367" t="s">
        <v>161</v>
      </c>
      <c r="O367" t="s">
        <v>1157</v>
      </c>
      <c r="P367">
        <v>85</v>
      </c>
      <c r="Q367">
        <v>87.78</v>
      </c>
      <c r="R367">
        <v>84.21</v>
      </c>
      <c r="S367">
        <v>87.03</v>
      </c>
      <c r="T367">
        <v>86.91</v>
      </c>
      <c r="U367">
        <v>84.73</v>
      </c>
      <c r="W367">
        <v>87.03</v>
      </c>
      <c r="Z367">
        <v>227265</v>
      </c>
      <c r="AA367">
        <v>19672966.489999998</v>
      </c>
      <c r="AB367">
        <v>2835</v>
      </c>
      <c r="AC367" t="s">
        <v>42</v>
      </c>
      <c r="AD367">
        <v>1</v>
      </c>
    </row>
    <row r="368" spans="1:30">
      <c r="A368" t="str">
        <f>CONCATENATE(I368,J368)</f>
        <v>ACGLEQ</v>
      </c>
      <c r="B368" s="34">
        <v>46273</v>
      </c>
      <c r="C368" s="34">
        <v>46273</v>
      </c>
      <c r="D368" t="s">
        <v>35</v>
      </c>
      <c r="E368" t="s">
        <v>36</v>
      </c>
      <c r="F368" t="s">
        <v>37</v>
      </c>
      <c r="G368">
        <v>764558</v>
      </c>
      <c r="H368" t="s">
        <v>1158</v>
      </c>
      <c r="I368" t="s">
        <v>1159</v>
      </c>
      <c r="J368" t="s">
        <v>161</v>
      </c>
      <c r="O368" t="s">
        <v>1160</v>
      </c>
      <c r="P368">
        <v>1822</v>
      </c>
      <c r="Q368">
        <v>1822</v>
      </c>
      <c r="R368">
        <v>1762.7</v>
      </c>
      <c r="S368">
        <v>1780.5</v>
      </c>
      <c r="T368">
        <v>1775</v>
      </c>
      <c r="U368">
        <v>1799.4</v>
      </c>
      <c r="W368">
        <v>1777.98</v>
      </c>
      <c r="Z368">
        <v>246</v>
      </c>
      <c r="AA368">
        <v>438266</v>
      </c>
      <c r="AB368">
        <v>51</v>
      </c>
      <c r="AC368" t="s">
        <v>42</v>
      </c>
      <c r="AD368">
        <v>1</v>
      </c>
    </row>
    <row r="369" spans="1:30">
      <c r="A369" t="str">
        <f>CONCATENATE(I369,J369)</f>
        <v>AUTOAXLESEQ</v>
      </c>
      <c r="B369" s="34">
        <v>46273</v>
      </c>
      <c r="C369" s="34">
        <v>46273</v>
      </c>
      <c r="D369" t="s">
        <v>35</v>
      </c>
      <c r="E369" t="s">
        <v>36</v>
      </c>
      <c r="F369" t="s">
        <v>37</v>
      </c>
      <c r="G369">
        <v>278</v>
      </c>
      <c r="H369" t="s">
        <v>1161</v>
      </c>
      <c r="I369" t="s">
        <v>1162</v>
      </c>
      <c r="J369" t="s">
        <v>161</v>
      </c>
      <c r="O369" t="s">
        <v>1163</v>
      </c>
      <c r="P369">
        <v>1666.6</v>
      </c>
      <c r="Q369">
        <v>1685</v>
      </c>
      <c r="R369">
        <v>1658.1</v>
      </c>
      <c r="S369">
        <v>1664.4</v>
      </c>
      <c r="T369">
        <v>1658.3</v>
      </c>
      <c r="U369">
        <v>1666.6</v>
      </c>
      <c r="W369">
        <v>1664.41</v>
      </c>
      <c r="Z369">
        <v>4754</v>
      </c>
      <c r="AA369">
        <v>7932099.4000000004</v>
      </c>
      <c r="AB369">
        <v>579</v>
      </c>
      <c r="AC369" t="s">
        <v>42</v>
      </c>
      <c r="AD369">
        <v>1</v>
      </c>
    </row>
    <row r="370" spans="1:30">
      <c r="A370" t="str">
        <f>CONCATENATE(I370,J370)</f>
        <v>ASALEQ</v>
      </c>
      <c r="B370" s="34">
        <v>46273</v>
      </c>
      <c r="C370" s="34">
        <v>46273</v>
      </c>
      <c r="D370" t="s">
        <v>35</v>
      </c>
      <c r="E370" t="s">
        <v>36</v>
      </c>
      <c r="F370" t="s">
        <v>37</v>
      </c>
      <c r="G370">
        <v>10634</v>
      </c>
      <c r="H370" t="s">
        <v>1164</v>
      </c>
      <c r="I370" t="s">
        <v>1165</v>
      </c>
      <c r="J370" t="s">
        <v>161</v>
      </c>
      <c r="O370" t="s">
        <v>1166</v>
      </c>
      <c r="P370">
        <v>470</v>
      </c>
      <c r="Q370">
        <v>472</v>
      </c>
      <c r="R370">
        <v>466</v>
      </c>
      <c r="S370">
        <v>468.45</v>
      </c>
      <c r="T370">
        <v>469.95</v>
      </c>
      <c r="U370">
        <v>470.1</v>
      </c>
      <c r="W370">
        <v>468.15</v>
      </c>
      <c r="Z370">
        <v>10901</v>
      </c>
      <c r="AA370">
        <v>5117592.75</v>
      </c>
      <c r="AB370">
        <v>812</v>
      </c>
      <c r="AC370" t="s">
        <v>42</v>
      </c>
      <c r="AD370">
        <v>1</v>
      </c>
    </row>
    <row r="371" spans="1:30">
      <c r="A371" t="str">
        <f>CONCATENATE(I371,J371)</f>
        <v>AVADHSUGAREQ</v>
      </c>
      <c r="B371" s="34">
        <v>46273</v>
      </c>
      <c r="C371" s="34">
        <v>46273</v>
      </c>
      <c r="D371" t="s">
        <v>35</v>
      </c>
      <c r="E371" t="s">
        <v>36</v>
      </c>
      <c r="F371" t="s">
        <v>37</v>
      </c>
      <c r="G371">
        <v>21406</v>
      </c>
      <c r="H371" t="s">
        <v>1167</v>
      </c>
      <c r="I371" t="s">
        <v>1168</v>
      </c>
      <c r="J371" t="s">
        <v>161</v>
      </c>
      <c r="O371" t="s">
        <v>1169</v>
      </c>
      <c r="P371">
        <v>839.7</v>
      </c>
      <c r="Q371">
        <v>844.5</v>
      </c>
      <c r="R371">
        <v>825</v>
      </c>
      <c r="S371">
        <v>836.25</v>
      </c>
      <c r="T371">
        <v>840</v>
      </c>
      <c r="U371">
        <v>839.7</v>
      </c>
      <c r="W371">
        <v>836.27</v>
      </c>
      <c r="Z371">
        <v>59362</v>
      </c>
      <c r="AA371">
        <v>49415581.600000001</v>
      </c>
      <c r="AB371">
        <v>2493</v>
      </c>
      <c r="AC371" t="s">
        <v>42</v>
      </c>
      <c r="AD371">
        <v>1</v>
      </c>
    </row>
    <row r="372" spans="1:30">
      <c r="A372" t="str">
        <f>CONCATENATE(I372,J372)</f>
        <v>AVALONEQ</v>
      </c>
      <c r="B372" s="34">
        <v>46273</v>
      </c>
      <c r="C372" s="34">
        <v>46273</v>
      </c>
      <c r="D372" t="s">
        <v>35</v>
      </c>
      <c r="E372" t="s">
        <v>36</v>
      </c>
      <c r="F372" t="s">
        <v>37</v>
      </c>
      <c r="G372">
        <v>15058</v>
      </c>
      <c r="H372" t="s">
        <v>1170</v>
      </c>
      <c r="I372" t="s">
        <v>1171</v>
      </c>
      <c r="J372" t="s">
        <v>161</v>
      </c>
      <c r="O372" t="s">
        <v>1172</v>
      </c>
      <c r="P372">
        <v>2350</v>
      </c>
      <c r="Q372">
        <v>2360</v>
      </c>
      <c r="R372">
        <v>2280.8000000000002</v>
      </c>
      <c r="S372">
        <v>2290.3000000000002</v>
      </c>
      <c r="T372">
        <v>2285</v>
      </c>
      <c r="U372">
        <v>2352.5</v>
      </c>
      <c r="W372">
        <v>2290.4299999999998</v>
      </c>
      <c r="Z372">
        <v>355629</v>
      </c>
      <c r="AA372">
        <v>824699610.79999995</v>
      </c>
      <c r="AB372">
        <v>29965</v>
      </c>
      <c r="AC372" t="s">
        <v>42</v>
      </c>
      <c r="AD372">
        <v>1</v>
      </c>
    </row>
    <row r="373" spans="1:30">
      <c r="A373" t="str">
        <f>CONCATENATE(I373,J373)</f>
        <v>AVANAST</v>
      </c>
      <c r="B373" s="34">
        <v>46273</v>
      </c>
      <c r="C373" s="34">
        <v>46273</v>
      </c>
      <c r="D373" t="s">
        <v>35</v>
      </c>
      <c r="E373" t="s">
        <v>36</v>
      </c>
      <c r="F373" t="s">
        <v>37</v>
      </c>
      <c r="G373">
        <v>760736</v>
      </c>
      <c r="H373" t="s">
        <v>1173</v>
      </c>
      <c r="I373" t="s">
        <v>1174</v>
      </c>
      <c r="J373" t="s">
        <v>328</v>
      </c>
      <c r="O373" t="s">
        <v>1175</v>
      </c>
      <c r="P373">
        <v>148.6</v>
      </c>
      <c r="Q373">
        <v>151</v>
      </c>
      <c r="R373">
        <v>148.6</v>
      </c>
      <c r="S373">
        <v>148.6</v>
      </c>
      <c r="T373">
        <v>148.6</v>
      </c>
      <c r="U373">
        <v>156.1</v>
      </c>
      <c r="W373">
        <v>148.6</v>
      </c>
      <c r="Z373">
        <v>22000</v>
      </c>
      <c r="AA373">
        <v>3288800</v>
      </c>
      <c r="AB373">
        <v>11</v>
      </c>
      <c r="AC373" t="s">
        <v>42</v>
      </c>
      <c r="AD373">
        <v>2000</v>
      </c>
    </row>
    <row r="374" spans="1:30">
      <c r="A374" t="str">
        <f>CONCATENATE(I374,J374)</f>
        <v>AVANCEEQ</v>
      </c>
      <c r="B374" s="34">
        <v>46273</v>
      </c>
      <c r="C374" s="34">
        <v>46273</v>
      </c>
      <c r="D374" t="s">
        <v>35</v>
      </c>
      <c r="E374" t="s">
        <v>36</v>
      </c>
      <c r="F374" t="s">
        <v>37</v>
      </c>
      <c r="G374">
        <v>765030</v>
      </c>
      <c r="H374" t="s">
        <v>1176</v>
      </c>
      <c r="I374" t="s">
        <v>1177</v>
      </c>
      <c r="J374" t="s">
        <v>161</v>
      </c>
      <c r="O374" t="s">
        <v>1178</v>
      </c>
      <c r="P374">
        <v>0.84</v>
      </c>
      <c r="Q374">
        <v>0.85</v>
      </c>
      <c r="R374">
        <v>0.83</v>
      </c>
      <c r="S374">
        <v>0.84</v>
      </c>
      <c r="T374">
        <v>0.85</v>
      </c>
      <c r="U374">
        <v>0.83</v>
      </c>
      <c r="W374">
        <v>0.84</v>
      </c>
      <c r="Z374">
        <v>3518500</v>
      </c>
      <c r="AA374">
        <v>2954402.65</v>
      </c>
      <c r="AB374">
        <v>1162</v>
      </c>
      <c r="AC374" t="s">
        <v>42</v>
      </c>
      <c r="AD374">
        <v>1</v>
      </c>
    </row>
    <row r="375" spans="1:30">
      <c r="A375" t="str">
        <f>CONCATENATE(I375,J375)</f>
        <v>AVANTELEQ</v>
      </c>
      <c r="B375" s="34">
        <v>46273</v>
      </c>
      <c r="C375" s="34">
        <v>46273</v>
      </c>
      <c r="D375" t="s">
        <v>35</v>
      </c>
      <c r="E375" t="s">
        <v>36</v>
      </c>
      <c r="F375" t="s">
        <v>37</v>
      </c>
      <c r="G375">
        <v>24610</v>
      </c>
      <c r="H375" t="s">
        <v>1179</v>
      </c>
      <c r="I375" t="s">
        <v>1180</v>
      </c>
      <c r="J375" t="s">
        <v>161</v>
      </c>
      <c r="O375" t="s">
        <v>1181</v>
      </c>
      <c r="P375">
        <v>156.97</v>
      </c>
      <c r="Q375">
        <v>160.6</v>
      </c>
      <c r="R375">
        <v>156</v>
      </c>
      <c r="S375">
        <v>156.44</v>
      </c>
      <c r="T375">
        <v>156.69999999999999</v>
      </c>
      <c r="U375">
        <v>156.74</v>
      </c>
      <c r="W375">
        <v>156.43</v>
      </c>
      <c r="Z375">
        <v>942769</v>
      </c>
      <c r="AA375">
        <v>148992612.72999999</v>
      </c>
      <c r="AB375">
        <v>11572</v>
      </c>
      <c r="AC375" t="s">
        <v>42</v>
      </c>
      <c r="AD375">
        <v>1</v>
      </c>
    </row>
    <row r="376" spans="1:30">
      <c r="A376" t="str">
        <f>CONCATENATE(I376,J376)</f>
        <v>AVANTIFEEDEQ</v>
      </c>
      <c r="B376" s="34">
        <v>46273</v>
      </c>
      <c r="C376" s="34">
        <v>46273</v>
      </c>
      <c r="D376" t="s">
        <v>35</v>
      </c>
      <c r="E376" t="s">
        <v>36</v>
      </c>
      <c r="F376" t="s">
        <v>37</v>
      </c>
      <c r="G376">
        <v>7936</v>
      </c>
      <c r="H376" t="s">
        <v>1182</v>
      </c>
      <c r="I376" t="s">
        <v>1183</v>
      </c>
      <c r="J376" t="s">
        <v>161</v>
      </c>
      <c r="O376" t="s">
        <v>1184</v>
      </c>
      <c r="P376">
        <v>786.95</v>
      </c>
      <c r="Q376">
        <v>847.9</v>
      </c>
      <c r="R376">
        <v>784.75</v>
      </c>
      <c r="S376">
        <v>837.15</v>
      </c>
      <c r="T376">
        <v>842</v>
      </c>
      <c r="U376">
        <v>786.55</v>
      </c>
      <c r="W376">
        <v>837.16</v>
      </c>
      <c r="Z376">
        <v>1080144</v>
      </c>
      <c r="AA376">
        <v>895561103.5</v>
      </c>
      <c r="AB376">
        <v>44278</v>
      </c>
      <c r="AC376" t="s">
        <v>42</v>
      </c>
      <c r="AD376">
        <v>1</v>
      </c>
    </row>
    <row r="377" spans="1:30">
      <c r="A377" t="str">
        <f>CONCATENATE(I377,J377)</f>
        <v>DMARTEQ</v>
      </c>
      <c r="B377" s="34">
        <v>46273</v>
      </c>
      <c r="C377" s="34">
        <v>46273</v>
      </c>
      <c r="D377" t="s">
        <v>35</v>
      </c>
      <c r="E377" t="s">
        <v>36</v>
      </c>
      <c r="F377" t="s">
        <v>37</v>
      </c>
      <c r="G377">
        <v>19913</v>
      </c>
      <c r="H377" t="s">
        <v>1185</v>
      </c>
      <c r="I377" t="s">
        <v>1186</v>
      </c>
      <c r="J377" t="s">
        <v>161</v>
      </c>
      <c r="O377" t="s">
        <v>1187</v>
      </c>
      <c r="P377">
        <v>3697.1</v>
      </c>
      <c r="Q377">
        <v>3743</v>
      </c>
      <c r="R377">
        <v>3680.5</v>
      </c>
      <c r="S377">
        <v>3720.2</v>
      </c>
      <c r="T377">
        <v>3720.2</v>
      </c>
      <c r="U377">
        <v>3710</v>
      </c>
      <c r="W377">
        <v>3719.99</v>
      </c>
      <c r="Z377">
        <v>500898</v>
      </c>
      <c r="AA377">
        <v>1854954352.2</v>
      </c>
      <c r="AB377">
        <v>15233</v>
      </c>
      <c r="AC377" t="s">
        <v>42</v>
      </c>
      <c r="AD377">
        <v>1</v>
      </c>
    </row>
    <row r="378" spans="1:30">
      <c r="A378" t="str">
        <f>CONCATENATE(I378,J378)</f>
        <v>CCAVENUEEQ</v>
      </c>
      <c r="B378" s="34">
        <v>46273</v>
      </c>
      <c r="C378" s="34">
        <v>46273</v>
      </c>
      <c r="D378" t="s">
        <v>35</v>
      </c>
      <c r="E378" t="s">
        <v>36</v>
      </c>
      <c r="F378" t="s">
        <v>37</v>
      </c>
      <c r="G378">
        <v>16249</v>
      </c>
      <c r="H378" t="s">
        <v>1188</v>
      </c>
      <c r="I378" t="s">
        <v>1189</v>
      </c>
      <c r="J378" t="s">
        <v>161</v>
      </c>
      <c r="O378" t="s">
        <v>1190</v>
      </c>
      <c r="P378">
        <v>16</v>
      </c>
      <c r="Q378">
        <v>16.100000000000001</v>
      </c>
      <c r="R378">
        <v>15.29</v>
      </c>
      <c r="S378">
        <v>15.36</v>
      </c>
      <c r="T378">
        <v>15.41</v>
      </c>
      <c r="U378">
        <v>15.94</v>
      </c>
      <c r="W378">
        <v>15.36</v>
      </c>
      <c r="Z378">
        <v>10150351</v>
      </c>
      <c r="AA378">
        <v>158452246.19</v>
      </c>
      <c r="AB378">
        <v>13162</v>
      </c>
      <c r="AC378" t="s">
        <v>42</v>
      </c>
      <c r="AD378">
        <v>1</v>
      </c>
    </row>
    <row r="379" spans="1:30">
      <c r="A379" t="str">
        <f>CONCATENATE(I379,J379)</f>
        <v>AVGBE</v>
      </c>
      <c r="B379" s="34">
        <v>46273</v>
      </c>
      <c r="C379" s="34">
        <v>46273</v>
      </c>
      <c r="D379" t="s">
        <v>35</v>
      </c>
      <c r="E379" t="s">
        <v>36</v>
      </c>
      <c r="F379" t="s">
        <v>37</v>
      </c>
      <c r="G379">
        <v>15638</v>
      </c>
      <c r="H379" t="s">
        <v>1191</v>
      </c>
      <c r="I379" t="s">
        <v>1192</v>
      </c>
      <c r="J379" t="s">
        <v>183</v>
      </c>
      <c r="O379" t="s">
        <v>1193</v>
      </c>
      <c r="P379">
        <v>165.04</v>
      </c>
      <c r="Q379">
        <v>165.9</v>
      </c>
      <c r="R379">
        <v>164</v>
      </c>
      <c r="S379">
        <v>165.57</v>
      </c>
      <c r="T379">
        <v>165.9</v>
      </c>
      <c r="U379">
        <v>165.04</v>
      </c>
      <c r="W379">
        <v>165.57</v>
      </c>
      <c r="Z379">
        <v>4128</v>
      </c>
      <c r="AA379">
        <v>681865.92</v>
      </c>
      <c r="AB379">
        <v>69</v>
      </c>
      <c r="AC379" t="s">
        <v>42</v>
      </c>
      <c r="AD379">
        <v>1</v>
      </c>
    </row>
    <row r="380" spans="1:30">
      <c r="A380" t="str">
        <f>CONCATENATE(I380,J380)</f>
        <v>AVIANSHSM</v>
      </c>
      <c r="B380" s="34">
        <v>46273</v>
      </c>
      <c r="C380" s="34">
        <v>46273</v>
      </c>
      <c r="D380" t="s">
        <v>35</v>
      </c>
      <c r="E380" t="s">
        <v>36</v>
      </c>
      <c r="F380" t="s">
        <v>37</v>
      </c>
      <c r="G380">
        <v>25520</v>
      </c>
      <c r="H380" t="s">
        <v>1194</v>
      </c>
      <c r="I380" t="s">
        <v>1195</v>
      </c>
      <c r="J380" t="s">
        <v>267</v>
      </c>
      <c r="O380" t="s">
        <v>1196</v>
      </c>
      <c r="P380">
        <v>103</v>
      </c>
      <c r="Q380">
        <v>103.5</v>
      </c>
      <c r="R380">
        <v>103</v>
      </c>
      <c r="S380">
        <v>103.5</v>
      </c>
      <c r="T380">
        <v>103.5</v>
      </c>
      <c r="U380">
        <v>103.5</v>
      </c>
      <c r="W380">
        <v>103.5</v>
      </c>
      <c r="Z380">
        <v>2000</v>
      </c>
      <c r="AA380">
        <v>206500</v>
      </c>
      <c r="AB380">
        <v>2</v>
      </c>
      <c r="AC380" t="s">
        <v>42</v>
      </c>
      <c r="AD380">
        <v>1000</v>
      </c>
    </row>
    <row r="381" spans="1:30">
      <c r="A381" t="str">
        <f>CONCATENATE(I381,J381)</f>
        <v>AVIENCESM</v>
      </c>
      <c r="B381" s="34">
        <v>46273</v>
      </c>
      <c r="C381" s="34">
        <v>46273</v>
      </c>
      <c r="D381" t="s">
        <v>35</v>
      </c>
      <c r="E381" t="s">
        <v>36</v>
      </c>
      <c r="F381" t="s">
        <v>37</v>
      </c>
      <c r="G381">
        <v>755092</v>
      </c>
      <c r="H381" t="s">
        <v>1197</v>
      </c>
      <c r="I381" t="s">
        <v>1198</v>
      </c>
      <c r="J381" t="s">
        <v>267</v>
      </c>
      <c r="O381" t="s">
        <v>1199</v>
      </c>
      <c r="P381">
        <v>275</v>
      </c>
      <c r="Q381">
        <v>294.89999999999998</v>
      </c>
      <c r="R381">
        <v>274.95</v>
      </c>
      <c r="S381">
        <v>292.5</v>
      </c>
      <c r="T381">
        <v>290.5</v>
      </c>
      <c r="U381">
        <v>274</v>
      </c>
      <c r="W381">
        <v>292.5</v>
      </c>
      <c r="Z381">
        <v>29400</v>
      </c>
      <c r="AA381">
        <v>8458860</v>
      </c>
      <c r="AB381">
        <v>47</v>
      </c>
      <c r="AC381" t="s">
        <v>42</v>
      </c>
      <c r="AD381">
        <v>600</v>
      </c>
    </row>
    <row r="382" spans="1:30">
      <c r="A382" t="str">
        <f>CONCATENATE(I382,J382)</f>
        <v>ASMSBE</v>
      </c>
      <c r="B382" s="34">
        <v>46273</v>
      </c>
      <c r="C382" s="34">
        <v>46273</v>
      </c>
      <c r="D382" t="s">
        <v>35</v>
      </c>
      <c r="E382" t="s">
        <v>36</v>
      </c>
      <c r="F382" t="s">
        <v>37</v>
      </c>
      <c r="G382">
        <v>14069</v>
      </c>
      <c r="H382" t="s">
        <v>1200</v>
      </c>
      <c r="I382" t="s">
        <v>1201</v>
      </c>
      <c r="J382" t="s">
        <v>183</v>
      </c>
      <c r="O382" t="s">
        <v>1202</v>
      </c>
      <c r="P382">
        <v>6.92</v>
      </c>
      <c r="Q382">
        <v>7.05</v>
      </c>
      <c r="R382">
        <v>6.9</v>
      </c>
      <c r="S382">
        <v>6.92</v>
      </c>
      <c r="T382">
        <v>6.98</v>
      </c>
      <c r="U382">
        <v>7.01</v>
      </c>
      <c r="W382">
        <v>6.92</v>
      </c>
      <c r="Z382">
        <v>196931</v>
      </c>
      <c r="AA382">
        <v>1362890.89</v>
      </c>
      <c r="AB382">
        <v>316</v>
      </c>
      <c r="AC382" t="s">
        <v>42</v>
      </c>
      <c r="AD382">
        <v>1</v>
      </c>
    </row>
    <row r="383" spans="1:30">
      <c r="A383" t="str">
        <f>CONCATENATE(I383,J383)</f>
        <v>AVONMOREEQ</v>
      </c>
      <c r="B383" s="34">
        <v>46273</v>
      </c>
      <c r="C383" s="34">
        <v>46273</v>
      </c>
      <c r="D383" t="s">
        <v>35</v>
      </c>
      <c r="E383" t="s">
        <v>36</v>
      </c>
      <c r="F383" t="s">
        <v>37</v>
      </c>
      <c r="G383">
        <v>13557</v>
      </c>
      <c r="H383" t="s">
        <v>1203</v>
      </c>
      <c r="I383" t="s">
        <v>1204</v>
      </c>
      <c r="J383" t="s">
        <v>161</v>
      </c>
      <c r="O383" t="s">
        <v>1205</v>
      </c>
      <c r="P383">
        <v>14.35</v>
      </c>
      <c r="Q383">
        <v>14.35</v>
      </c>
      <c r="R383">
        <v>14</v>
      </c>
      <c r="S383">
        <v>14.06</v>
      </c>
      <c r="T383">
        <v>14.07</v>
      </c>
      <c r="U383">
        <v>14.1</v>
      </c>
      <c r="W383">
        <v>14.06</v>
      </c>
      <c r="Z383">
        <v>152135</v>
      </c>
      <c r="AA383">
        <v>2146109.17</v>
      </c>
      <c r="AB383">
        <v>503</v>
      </c>
      <c r="AC383" t="s">
        <v>42</v>
      </c>
      <c r="AD383">
        <v>1</v>
      </c>
    </row>
    <row r="384" spans="1:30">
      <c r="A384" t="str">
        <f>CONCATENATE(I384,J384)</f>
        <v>AVPINFRASM</v>
      </c>
      <c r="B384" s="34">
        <v>46273</v>
      </c>
      <c r="C384" s="34">
        <v>46273</v>
      </c>
      <c r="D384" t="s">
        <v>35</v>
      </c>
      <c r="E384" t="s">
        <v>36</v>
      </c>
      <c r="F384" t="s">
        <v>37</v>
      </c>
      <c r="G384">
        <v>23159</v>
      </c>
      <c r="H384" t="s">
        <v>1206</v>
      </c>
      <c r="I384" t="s">
        <v>1207</v>
      </c>
      <c r="J384" t="s">
        <v>267</v>
      </c>
      <c r="O384" t="s">
        <v>1208</v>
      </c>
      <c r="P384">
        <v>58.5</v>
      </c>
      <c r="Q384">
        <v>60.2</v>
      </c>
      <c r="R384">
        <v>57.25</v>
      </c>
      <c r="S384">
        <v>60.2</v>
      </c>
      <c r="T384">
        <v>60.2</v>
      </c>
      <c r="U384">
        <v>58.75</v>
      </c>
      <c r="W384">
        <v>60.2</v>
      </c>
      <c r="Z384">
        <v>36800</v>
      </c>
      <c r="AA384">
        <v>2171280</v>
      </c>
      <c r="AB384">
        <v>38</v>
      </c>
      <c r="AC384" t="s">
        <v>42</v>
      </c>
      <c r="AD384">
        <v>800</v>
      </c>
    </row>
    <row r="385" spans="1:30">
      <c r="A385" t="str">
        <f>CONCATENATE(I385,J385)</f>
        <v>AVROINDEQ</v>
      </c>
      <c r="B385" s="34">
        <v>46273</v>
      </c>
      <c r="C385" s="34">
        <v>46273</v>
      </c>
      <c r="D385" t="s">
        <v>35</v>
      </c>
      <c r="E385" t="s">
        <v>36</v>
      </c>
      <c r="F385" t="s">
        <v>37</v>
      </c>
      <c r="G385">
        <v>8827</v>
      </c>
      <c r="H385" t="s">
        <v>1209</v>
      </c>
      <c r="I385" t="s">
        <v>1210</v>
      </c>
      <c r="J385" t="s">
        <v>161</v>
      </c>
      <c r="O385" t="s">
        <v>1211</v>
      </c>
      <c r="P385">
        <v>8.4</v>
      </c>
      <c r="Q385">
        <v>8.8800000000000008</v>
      </c>
      <c r="R385">
        <v>8.19</v>
      </c>
      <c r="S385">
        <v>8.58</v>
      </c>
      <c r="T385">
        <v>8.35</v>
      </c>
      <c r="U385">
        <v>8.5</v>
      </c>
      <c r="W385">
        <v>8.64</v>
      </c>
      <c r="Z385">
        <v>820338</v>
      </c>
      <c r="AA385">
        <v>6968998.7199999997</v>
      </c>
      <c r="AB385">
        <v>1343</v>
      </c>
      <c r="AC385" t="s">
        <v>42</v>
      </c>
      <c r="AD385">
        <v>1</v>
      </c>
    </row>
    <row r="386" spans="1:30">
      <c r="A386" t="str">
        <f>CONCATENATE(I386,J386)</f>
        <v>AVTNPLEQ</v>
      </c>
      <c r="B386" s="34">
        <v>46273</v>
      </c>
      <c r="C386" s="34">
        <v>46273</v>
      </c>
      <c r="D386" t="s">
        <v>35</v>
      </c>
      <c r="E386" t="s">
        <v>36</v>
      </c>
      <c r="F386" t="s">
        <v>37</v>
      </c>
      <c r="G386">
        <v>14008</v>
      </c>
      <c r="H386" t="s">
        <v>1212</v>
      </c>
      <c r="I386" t="s">
        <v>1213</v>
      </c>
      <c r="J386" t="s">
        <v>161</v>
      </c>
      <c r="O386" t="s">
        <v>1214</v>
      </c>
      <c r="P386">
        <v>90.96</v>
      </c>
      <c r="Q386">
        <v>91.58</v>
      </c>
      <c r="R386">
        <v>88.9</v>
      </c>
      <c r="S386">
        <v>90.35</v>
      </c>
      <c r="T386">
        <v>91</v>
      </c>
      <c r="U386">
        <v>90.1</v>
      </c>
      <c r="W386">
        <v>90.33</v>
      </c>
      <c r="Z386">
        <v>162418</v>
      </c>
      <c r="AA386">
        <v>14624665.43</v>
      </c>
      <c r="AB386">
        <v>1949</v>
      </c>
      <c r="AC386" t="s">
        <v>42</v>
      </c>
      <c r="AD386">
        <v>1</v>
      </c>
    </row>
    <row r="387" spans="1:30">
      <c r="A387" t="str">
        <f>CONCATENATE(I387,J387)</f>
        <v>AWFISEQ</v>
      </c>
      <c r="B387" s="34">
        <v>46273</v>
      </c>
      <c r="C387" s="34">
        <v>46273</v>
      </c>
      <c r="D387" t="s">
        <v>35</v>
      </c>
      <c r="E387" t="s">
        <v>36</v>
      </c>
      <c r="F387" t="s">
        <v>37</v>
      </c>
      <c r="G387">
        <v>23864</v>
      </c>
      <c r="H387" t="s">
        <v>1215</v>
      </c>
      <c r="I387" t="s">
        <v>1216</v>
      </c>
      <c r="J387" t="s">
        <v>161</v>
      </c>
      <c r="O387" t="s">
        <v>1217</v>
      </c>
      <c r="P387">
        <v>254</v>
      </c>
      <c r="Q387">
        <v>255.85</v>
      </c>
      <c r="R387">
        <v>250.1</v>
      </c>
      <c r="S387">
        <v>253</v>
      </c>
      <c r="T387">
        <v>252.7</v>
      </c>
      <c r="U387">
        <v>255.2</v>
      </c>
      <c r="W387">
        <v>253</v>
      </c>
      <c r="Z387">
        <v>167070</v>
      </c>
      <c r="AA387">
        <v>42313474.899999999</v>
      </c>
      <c r="AB387">
        <v>4113</v>
      </c>
      <c r="AC387" t="s">
        <v>42</v>
      </c>
      <c r="AD387">
        <v>1</v>
      </c>
    </row>
    <row r="388" spans="1:30">
      <c r="A388" t="str">
        <f>CONCATENATE(I388,J388)</f>
        <v>AWLEQ</v>
      </c>
      <c r="B388" s="34">
        <v>46273</v>
      </c>
      <c r="C388" s="34">
        <v>46273</v>
      </c>
      <c r="D388" t="s">
        <v>35</v>
      </c>
      <c r="E388" t="s">
        <v>36</v>
      </c>
      <c r="F388" t="s">
        <v>37</v>
      </c>
      <c r="G388">
        <v>8110</v>
      </c>
      <c r="H388" t="s">
        <v>1218</v>
      </c>
      <c r="I388" t="s">
        <v>1219</v>
      </c>
      <c r="J388" t="s">
        <v>161</v>
      </c>
      <c r="O388" t="s">
        <v>1220</v>
      </c>
      <c r="P388">
        <v>187.95</v>
      </c>
      <c r="Q388">
        <v>188.31</v>
      </c>
      <c r="R388">
        <v>186</v>
      </c>
      <c r="S388">
        <v>187.52</v>
      </c>
      <c r="T388">
        <v>187.6</v>
      </c>
      <c r="U388">
        <v>188.27</v>
      </c>
      <c r="W388">
        <v>187.51</v>
      </c>
      <c r="Z388">
        <v>819467</v>
      </c>
      <c r="AA388">
        <v>153310742.16999999</v>
      </c>
      <c r="AB388">
        <v>14266</v>
      </c>
      <c r="AC388" t="s">
        <v>42</v>
      </c>
      <c r="AD388">
        <v>1</v>
      </c>
    </row>
    <row r="389" spans="1:30">
      <c r="A389" t="str">
        <f>CONCATENATE(I389,J389)</f>
        <v>AXISBANKEQ</v>
      </c>
      <c r="B389" s="34">
        <v>46273</v>
      </c>
      <c r="C389" s="34">
        <v>46273</v>
      </c>
      <c r="D389" t="s">
        <v>35</v>
      </c>
      <c r="E389" t="s">
        <v>36</v>
      </c>
      <c r="F389" t="s">
        <v>37</v>
      </c>
      <c r="G389">
        <v>5900</v>
      </c>
      <c r="H389" t="s">
        <v>1221</v>
      </c>
      <c r="I389" t="s">
        <v>1222</v>
      </c>
      <c r="J389" t="s">
        <v>161</v>
      </c>
      <c r="O389" t="s">
        <v>1223</v>
      </c>
      <c r="P389">
        <v>1262.8</v>
      </c>
      <c r="Q389">
        <v>1264.9000000000001</v>
      </c>
      <c r="R389">
        <v>1239.5</v>
      </c>
      <c r="S389">
        <v>1244.9000000000001</v>
      </c>
      <c r="T389">
        <v>1244.9000000000001</v>
      </c>
      <c r="U389">
        <v>1266</v>
      </c>
      <c r="W389">
        <v>1244.9000000000001</v>
      </c>
      <c r="Z389">
        <v>3623260</v>
      </c>
      <c r="AA389">
        <v>4515589923.3999996</v>
      </c>
      <c r="AB389">
        <v>122762</v>
      </c>
      <c r="AC389" t="s">
        <v>42</v>
      </c>
      <c r="AD389">
        <v>1</v>
      </c>
    </row>
    <row r="390" spans="1:30">
      <c r="A390" t="str">
        <f>CONCATENATE(I390,J390)</f>
        <v>ENERGYAXISEQ</v>
      </c>
      <c r="B390" s="34">
        <v>46273</v>
      </c>
      <c r="C390" s="34">
        <v>46273</v>
      </c>
      <c r="D390" t="s">
        <v>35</v>
      </c>
      <c r="E390" t="s">
        <v>36</v>
      </c>
      <c r="F390" t="s">
        <v>37</v>
      </c>
      <c r="G390">
        <v>765499</v>
      </c>
      <c r="H390" t="s">
        <v>1224</v>
      </c>
      <c r="I390" t="s">
        <v>1225</v>
      </c>
      <c r="J390" t="s">
        <v>161</v>
      </c>
      <c r="O390" t="s">
        <v>1226</v>
      </c>
      <c r="P390">
        <v>19.03</v>
      </c>
      <c r="Q390">
        <v>19.8</v>
      </c>
      <c r="R390">
        <v>19.03</v>
      </c>
      <c r="S390">
        <v>19.18</v>
      </c>
      <c r="T390">
        <v>19.5</v>
      </c>
      <c r="U390">
        <v>19.03</v>
      </c>
      <c r="W390">
        <v>19.21</v>
      </c>
      <c r="Z390">
        <v>20874</v>
      </c>
      <c r="AA390">
        <v>398264.62</v>
      </c>
      <c r="AB390">
        <v>61</v>
      </c>
      <c r="AC390" t="s">
        <v>42</v>
      </c>
      <c r="AD390">
        <v>1</v>
      </c>
    </row>
    <row r="391" spans="1:30">
      <c r="A391" t="str">
        <f>CONCATENATE(I391,J391)</f>
        <v>BNKETFAXISEQ</v>
      </c>
      <c r="B391" s="34">
        <v>46273</v>
      </c>
      <c r="C391" s="34">
        <v>46273</v>
      </c>
      <c r="D391" t="s">
        <v>35</v>
      </c>
      <c r="E391" t="s">
        <v>36</v>
      </c>
      <c r="F391" t="s">
        <v>37</v>
      </c>
      <c r="G391">
        <v>1044</v>
      </c>
      <c r="H391" t="s">
        <v>1227</v>
      </c>
      <c r="I391" t="s">
        <v>1228</v>
      </c>
      <c r="J391" t="s">
        <v>161</v>
      </c>
      <c r="O391" t="s">
        <v>1229</v>
      </c>
      <c r="P391">
        <v>588.11</v>
      </c>
      <c r="Q391">
        <v>589.35</v>
      </c>
      <c r="R391">
        <v>585.07000000000005</v>
      </c>
      <c r="S391">
        <v>585.23</v>
      </c>
      <c r="T391">
        <v>585.07000000000005</v>
      </c>
      <c r="U391">
        <v>588.11</v>
      </c>
      <c r="W391">
        <v>585.23</v>
      </c>
      <c r="Z391">
        <v>883</v>
      </c>
      <c r="AA391">
        <v>517473.93</v>
      </c>
      <c r="AB391">
        <v>30</v>
      </c>
      <c r="AC391" t="s">
        <v>42</v>
      </c>
      <c r="AD391">
        <v>1</v>
      </c>
    </row>
    <row r="392" spans="1:30">
      <c r="A392" t="str">
        <f>CONCATENATE(I392,J392)</f>
        <v>CONSUMAXISEQ</v>
      </c>
      <c r="B392" s="34">
        <v>46273</v>
      </c>
      <c r="C392" s="34">
        <v>46273</v>
      </c>
      <c r="D392" t="s">
        <v>35</v>
      </c>
      <c r="E392" t="s">
        <v>36</v>
      </c>
      <c r="F392" t="s">
        <v>37</v>
      </c>
      <c r="G392">
        <v>5732</v>
      </c>
      <c r="H392" t="s">
        <v>1230</v>
      </c>
      <c r="I392" t="s">
        <v>1231</v>
      </c>
      <c r="J392" t="s">
        <v>161</v>
      </c>
      <c r="O392" t="s">
        <v>1232</v>
      </c>
      <c r="P392">
        <v>119.07</v>
      </c>
      <c r="Q392">
        <v>119.67</v>
      </c>
      <c r="R392">
        <v>116</v>
      </c>
      <c r="S392">
        <v>119.07</v>
      </c>
      <c r="T392">
        <v>119.07</v>
      </c>
      <c r="U392">
        <v>119.07</v>
      </c>
      <c r="W392">
        <v>119.04</v>
      </c>
      <c r="Z392">
        <v>2055</v>
      </c>
      <c r="AA392">
        <v>244447.9</v>
      </c>
      <c r="AB392">
        <v>22</v>
      </c>
      <c r="AC392" t="s">
        <v>42</v>
      </c>
      <c r="AD392">
        <v>1</v>
      </c>
    </row>
    <row r="393" spans="1:30">
      <c r="A393" t="str">
        <f>CONCATENATE(I393,J393)</f>
        <v>GOLDAXISEQ</v>
      </c>
      <c r="B393" s="34">
        <v>46273</v>
      </c>
      <c r="C393" s="34">
        <v>46273</v>
      </c>
      <c r="D393" t="s">
        <v>35</v>
      </c>
      <c r="E393" t="s">
        <v>36</v>
      </c>
      <c r="F393" t="s">
        <v>37</v>
      </c>
      <c r="G393">
        <v>20532</v>
      </c>
      <c r="H393" t="s">
        <v>1233</v>
      </c>
      <c r="I393" t="s">
        <v>1234</v>
      </c>
      <c r="J393" t="s">
        <v>161</v>
      </c>
      <c r="O393" t="s">
        <v>1235</v>
      </c>
      <c r="P393">
        <v>127</v>
      </c>
      <c r="Q393">
        <v>127.67</v>
      </c>
      <c r="R393">
        <v>126.3</v>
      </c>
      <c r="S393">
        <v>126.86</v>
      </c>
      <c r="T393">
        <v>126.94</v>
      </c>
      <c r="U393">
        <v>126.22</v>
      </c>
      <c r="W393">
        <v>126.86</v>
      </c>
      <c r="Z393">
        <v>2600077</v>
      </c>
      <c r="AA393">
        <v>330566331.91000003</v>
      </c>
      <c r="AB393">
        <v>3675</v>
      </c>
      <c r="AC393" t="s">
        <v>42</v>
      </c>
      <c r="AD393">
        <v>1</v>
      </c>
    </row>
    <row r="394" spans="1:30">
      <c r="A394" t="str">
        <f>CONCATENATE(I394,J394)</f>
        <v>HEALTHAXISEQ</v>
      </c>
      <c r="B394" s="34">
        <v>46273</v>
      </c>
      <c r="C394" s="34">
        <v>46273</v>
      </c>
      <c r="D394" t="s">
        <v>35</v>
      </c>
      <c r="E394" t="s">
        <v>36</v>
      </c>
      <c r="F394" t="s">
        <v>37</v>
      </c>
      <c r="G394">
        <v>3608</v>
      </c>
      <c r="H394" t="s">
        <v>1236</v>
      </c>
      <c r="I394" t="s">
        <v>1237</v>
      </c>
      <c r="J394" t="s">
        <v>161</v>
      </c>
      <c r="O394" t="s">
        <v>1238</v>
      </c>
      <c r="P394">
        <v>168</v>
      </c>
      <c r="Q394">
        <v>169.68</v>
      </c>
      <c r="R394">
        <v>168</v>
      </c>
      <c r="S394">
        <v>169.31</v>
      </c>
      <c r="T394">
        <v>169.31</v>
      </c>
      <c r="U394">
        <v>168.11</v>
      </c>
      <c r="W394">
        <v>169.31</v>
      </c>
      <c r="Z394">
        <v>989</v>
      </c>
      <c r="AA394">
        <v>167169.73000000001</v>
      </c>
      <c r="AB394">
        <v>55</v>
      </c>
      <c r="AC394" t="s">
        <v>42</v>
      </c>
      <c r="AD394">
        <v>1</v>
      </c>
    </row>
    <row r="395" spans="1:30">
      <c r="A395" t="str">
        <f>CONCATENATE(I395,J395)</f>
        <v>ITAXISEQ</v>
      </c>
      <c r="B395" s="34">
        <v>46273</v>
      </c>
      <c r="C395" s="34">
        <v>46273</v>
      </c>
      <c r="D395" t="s">
        <v>35</v>
      </c>
      <c r="E395" t="s">
        <v>36</v>
      </c>
      <c r="F395" t="s">
        <v>37</v>
      </c>
      <c r="G395">
        <v>3010</v>
      </c>
      <c r="H395" t="s">
        <v>1239</v>
      </c>
      <c r="I395" t="s">
        <v>1240</v>
      </c>
      <c r="J395" t="s">
        <v>161</v>
      </c>
      <c r="O395" t="s">
        <v>1241</v>
      </c>
      <c r="P395">
        <v>329</v>
      </c>
      <c r="Q395">
        <v>331.5</v>
      </c>
      <c r="R395">
        <v>328.05</v>
      </c>
      <c r="S395">
        <v>329.35</v>
      </c>
      <c r="T395">
        <v>328.5</v>
      </c>
      <c r="U395">
        <v>330.42</v>
      </c>
      <c r="W395">
        <v>329.48</v>
      </c>
      <c r="Z395">
        <v>1294</v>
      </c>
      <c r="AA395">
        <v>426466.66</v>
      </c>
      <c r="AB395">
        <v>45</v>
      </c>
      <c r="AC395" t="s">
        <v>42</v>
      </c>
      <c r="AD395">
        <v>1</v>
      </c>
    </row>
    <row r="396" spans="1:30">
      <c r="A396" t="str">
        <f>CONCATENATE(I396,J396)</f>
        <v>NIFTYAXISEQ</v>
      </c>
      <c r="B396" s="34">
        <v>46273</v>
      </c>
      <c r="C396" s="34">
        <v>46273</v>
      </c>
      <c r="D396" t="s">
        <v>35</v>
      </c>
      <c r="E396" t="s">
        <v>36</v>
      </c>
      <c r="F396" t="s">
        <v>37</v>
      </c>
      <c r="G396">
        <v>21252</v>
      </c>
      <c r="H396" t="s">
        <v>1242</v>
      </c>
      <c r="I396" t="s">
        <v>1243</v>
      </c>
      <c r="J396" t="s">
        <v>161</v>
      </c>
      <c r="O396" t="s">
        <v>1244</v>
      </c>
      <c r="P396">
        <v>267.60000000000002</v>
      </c>
      <c r="Q396">
        <v>267.60000000000002</v>
      </c>
      <c r="R396">
        <v>262.14999999999998</v>
      </c>
      <c r="S396">
        <v>262.77</v>
      </c>
      <c r="T396">
        <v>264.25</v>
      </c>
      <c r="U396">
        <v>263.61</v>
      </c>
      <c r="W396">
        <v>262.77</v>
      </c>
      <c r="Z396">
        <v>413555</v>
      </c>
      <c r="AA396">
        <v>108579643.7</v>
      </c>
      <c r="AB396">
        <v>243</v>
      </c>
      <c r="AC396" t="s">
        <v>42</v>
      </c>
      <c r="AD396">
        <v>1</v>
      </c>
    </row>
    <row r="397" spans="1:30">
      <c r="A397" t="str">
        <f>CONCATENATE(I397,J397)</f>
        <v>SENSEXAXISEQ</v>
      </c>
      <c r="B397" s="34">
        <v>46273</v>
      </c>
      <c r="C397" s="34">
        <v>46273</v>
      </c>
      <c r="D397" t="s">
        <v>35</v>
      </c>
      <c r="E397" t="s">
        <v>36</v>
      </c>
      <c r="F397" t="s">
        <v>37</v>
      </c>
      <c r="G397">
        <v>14742</v>
      </c>
      <c r="H397" t="s">
        <v>1245</v>
      </c>
      <c r="I397" t="s">
        <v>1246</v>
      </c>
      <c r="J397" t="s">
        <v>161</v>
      </c>
      <c r="O397" t="s">
        <v>1247</v>
      </c>
      <c r="P397">
        <v>79.77</v>
      </c>
      <c r="Q397">
        <v>79.77</v>
      </c>
      <c r="R397">
        <v>78.5</v>
      </c>
      <c r="S397">
        <v>78.739999999999995</v>
      </c>
      <c r="T397">
        <v>78.75</v>
      </c>
      <c r="U397">
        <v>78.989999999999995</v>
      </c>
      <c r="W397">
        <v>78.77</v>
      </c>
      <c r="Z397">
        <v>1850</v>
      </c>
      <c r="AA397">
        <v>145847.04000000001</v>
      </c>
      <c r="AB397">
        <v>61</v>
      </c>
      <c r="AC397" t="s">
        <v>42</v>
      </c>
      <c r="AD397">
        <v>1</v>
      </c>
    </row>
    <row r="398" spans="1:30">
      <c r="A398" t="str">
        <f>CONCATENATE(I398,J398)</f>
        <v>SILVERAXISEQ</v>
      </c>
      <c r="B398" s="34">
        <v>46273</v>
      </c>
      <c r="C398" s="34">
        <v>46273</v>
      </c>
      <c r="D398" t="s">
        <v>35</v>
      </c>
      <c r="E398" t="s">
        <v>36</v>
      </c>
      <c r="F398" t="s">
        <v>37</v>
      </c>
      <c r="G398">
        <v>11193</v>
      </c>
      <c r="H398" t="s">
        <v>1248</v>
      </c>
      <c r="I398" t="s">
        <v>1249</v>
      </c>
      <c r="J398" t="s">
        <v>161</v>
      </c>
      <c r="O398" t="s">
        <v>1250</v>
      </c>
      <c r="P398">
        <v>233.44</v>
      </c>
      <c r="Q398">
        <v>233.44</v>
      </c>
      <c r="R398">
        <v>228.71</v>
      </c>
      <c r="S398">
        <v>229.96</v>
      </c>
      <c r="T398">
        <v>229.9</v>
      </c>
      <c r="U398">
        <v>228.63</v>
      </c>
      <c r="W398">
        <v>229.96</v>
      </c>
      <c r="Z398">
        <v>517480</v>
      </c>
      <c r="AA398">
        <v>119506204.61</v>
      </c>
      <c r="AB398">
        <v>1536</v>
      </c>
      <c r="AC398" t="s">
        <v>42</v>
      </c>
      <c r="AD398">
        <v>1</v>
      </c>
    </row>
    <row r="399" spans="1:30">
      <c r="A399" t="str">
        <f>CONCATENATE(I399,J399)</f>
        <v>VALUEAXISEQ</v>
      </c>
      <c r="B399" s="34">
        <v>46273</v>
      </c>
      <c r="C399" s="34">
        <v>46273</v>
      </c>
      <c r="D399" t="s">
        <v>35</v>
      </c>
      <c r="E399" t="s">
        <v>36</v>
      </c>
      <c r="F399" t="s">
        <v>37</v>
      </c>
      <c r="G399">
        <v>30155</v>
      </c>
      <c r="H399" t="s">
        <v>1251</v>
      </c>
      <c r="I399" t="s">
        <v>1252</v>
      </c>
      <c r="J399" t="s">
        <v>161</v>
      </c>
      <c r="O399" t="s">
        <v>1253</v>
      </c>
      <c r="P399">
        <v>32.200000000000003</v>
      </c>
      <c r="Q399">
        <v>33.03</v>
      </c>
      <c r="R399">
        <v>32.200000000000003</v>
      </c>
      <c r="S399">
        <v>32.619999999999997</v>
      </c>
      <c r="T399">
        <v>32.68</v>
      </c>
      <c r="U399">
        <v>32.799999999999997</v>
      </c>
      <c r="W399">
        <v>32.619999999999997</v>
      </c>
      <c r="Z399">
        <v>19912</v>
      </c>
      <c r="AA399">
        <v>649753.76</v>
      </c>
      <c r="AB399">
        <v>286</v>
      </c>
      <c r="AC399" t="s">
        <v>42</v>
      </c>
      <c r="AD399">
        <v>1</v>
      </c>
    </row>
    <row r="400" spans="1:30">
      <c r="A400" t="str">
        <f>CONCATENATE(I400,J400)</f>
        <v>AXISCADESEQ</v>
      </c>
      <c r="B400" s="34">
        <v>46273</v>
      </c>
      <c r="C400" s="34">
        <v>46273</v>
      </c>
      <c r="D400" t="s">
        <v>35</v>
      </c>
      <c r="E400" t="s">
        <v>36</v>
      </c>
      <c r="F400" t="s">
        <v>37</v>
      </c>
      <c r="G400">
        <v>9436</v>
      </c>
      <c r="H400" t="s">
        <v>1254</v>
      </c>
      <c r="I400" t="s">
        <v>1255</v>
      </c>
      <c r="J400" t="s">
        <v>161</v>
      </c>
      <c r="O400" t="s">
        <v>1256</v>
      </c>
      <c r="P400">
        <v>1778</v>
      </c>
      <c r="Q400">
        <v>1861</v>
      </c>
      <c r="R400">
        <v>1778</v>
      </c>
      <c r="S400">
        <v>1848.6</v>
      </c>
      <c r="T400">
        <v>1859</v>
      </c>
      <c r="U400">
        <v>1778</v>
      </c>
      <c r="W400">
        <v>1848.76</v>
      </c>
      <c r="Z400">
        <v>309618</v>
      </c>
      <c r="AA400">
        <v>566833086.79999995</v>
      </c>
      <c r="AB400">
        <v>20717</v>
      </c>
      <c r="AC400" t="s">
        <v>42</v>
      </c>
      <c r="AD400">
        <v>1</v>
      </c>
    </row>
    <row r="401" spans="1:30">
      <c r="A401" t="str">
        <f>CONCATENATE(I401,J401)</f>
        <v>AXITAEQ</v>
      </c>
      <c r="B401" s="34">
        <v>46273</v>
      </c>
      <c r="C401" s="34">
        <v>46273</v>
      </c>
      <c r="D401" t="s">
        <v>35</v>
      </c>
      <c r="E401" t="s">
        <v>36</v>
      </c>
      <c r="F401" t="s">
        <v>37</v>
      </c>
      <c r="G401">
        <v>9902</v>
      </c>
      <c r="H401" t="s">
        <v>1257</v>
      </c>
      <c r="I401" t="s">
        <v>1258</v>
      </c>
      <c r="J401" t="s">
        <v>161</v>
      </c>
      <c r="O401" t="s">
        <v>1259</v>
      </c>
      <c r="P401">
        <v>8.0299999999999994</v>
      </c>
      <c r="Q401">
        <v>8.0399999999999991</v>
      </c>
      <c r="R401">
        <v>7.97</v>
      </c>
      <c r="S401">
        <v>7.99</v>
      </c>
      <c r="T401">
        <v>8</v>
      </c>
      <c r="U401">
        <v>8</v>
      </c>
      <c r="W401">
        <v>7.99</v>
      </c>
      <c r="Z401">
        <v>573251</v>
      </c>
      <c r="AA401">
        <v>4585528.53</v>
      </c>
      <c r="AB401">
        <v>581</v>
      </c>
      <c r="AC401" t="s">
        <v>42</v>
      </c>
      <c r="AD401">
        <v>1</v>
      </c>
    </row>
    <row r="402" spans="1:30">
      <c r="A402" t="str">
        <f>CONCATENATE(I402,J402)</f>
        <v>AXTELEQ</v>
      </c>
      <c r="B402" s="34">
        <v>46273</v>
      </c>
      <c r="C402" s="34">
        <v>46273</v>
      </c>
      <c r="D402" t="s">
        <v>35</v>
      </c>
      <c r="E402" t="s">
        <v>36</v>
      </c>
      <c r="F402" t="s">
        <v>37</v>
      </c>
      <c r="G402">
        <v>764613</v>
      </c>
      <c r="H402" t="s">
        <v>1260</v>
      </c>
      <c r="I402" t="s">
        <v>1261</v>
      </c>
      <c r="J402" t="s">
        <v>161</v>
      </c>
      <c r="O402" t="s">
        <v>1262</v>
      </c>
      <c r="P402">
        <v>390</v>
      </c>
      <c r="Q402">
        <v>411.85</v>
      </c>
      <c r="R402">
        <v>388</v>
      </c>
      <c r="S402">
        <v>408.85</v>
      </c>
      <c r="T402">
        <v>409</v>
      </c>
      <c r="U402">
        <v>391.65</v>
      </c>
      <c r="W402">
        <v>409.01</v>
      </c>
      <c r="Z402">
        <v>2822</v>
      </c>
      <c r="AA402">
        <v>1139146.3</v>
      </c>
      <c r="AB402">
        <v>186</v>
      </c>
      <c r="AC402" t="s">
        <v>42</v>
      </c>
      <c r="AD402">
        <v>1</v>
      </c>
    </row>
    <row r="403" spans="1:30">
      <c r="A403" t="str">
        <f>CONCATENATE(I403,J403)</f>
        <v>AYEEQ</v>
      </c>
      <c r="B403" s="34">
        <v>46273</v>
      </c>
      <c r="C403" s="34">
        <v>46273</v>
      </c>
      <c r="D403" t="s">
        <v>35</v>
      </c>
      <c r="E403" t="s">
        <v>36</v>
      </c>
      <c r="F403" t="s">
        <v>37</v>
      </c>
      <c r="G403">
        <v>760981</v>
      </c>
      <c r="H403" t="s">
        <v>1263</v>
      </c>
      <c r="I403" t="s">
        <v>1264</v>
      </c>
      <c r="J403" t="s">
        <v>161</v>
      </c>
      <c r="O403" t="s">
        <v>1265</v>
      </c>
      <c r="P403">
        <v>185.37</v>
      </c>
      <c r="Q403">
        <v>188.83</v>
      </c>
      <c r="R403">
        <v>183.51</v>
      </c>
      <c r="S403">
        <v>184.78</v>
      </c>
      <c r="T403">
        <v>184.05</v>
      </c>
      <c r="U403">
        <v>184.06</v>
      </c>
      <c r="W403">
        <v>184.76</v>
      </c>
      <c r="Z403">
        <v>556286</v>
      </c>
      <c r="AA403">
        <v>103411490.15000001</v>
      </c>
      <c r="AB403">
        <v>10162</v>
      </c>
      <c r="AC403" t="s">
        <v>42</v>
      </c>
      <c r="AD403">
        <v>1</v>
      </c>
    </row>
    <row r="404" spans="1:30">
      <c r="A404" t="str">
        <f>CONCATENATE(I404,J404)</f>
        <v>AYMSYNTEXEQ</v>
      </c>
      <c r="B404" s="34">
        <v>46273</v>
      </c>
      <c r="C404" s="34">
        <v>46273</v>
      </c>
      <c r="D404" t="s">
        <v>35</v>
      </c>
      <c r="E404" t="s">
        <v>36</v>
      </c>
      <c r="F404" t="s">
        <v>37</v>
      </c>
      <c r="G404">
        <v>10285</v>
      </c>
      <c r="H404" t="s">
        <v>1266</v>
      </c>
      <c r="I404" t="s">
        <v>1267</v>
      </c>
      <c r="J404" t="s">
        <v>161</v>
      </c>
      <c r="O404" t="s">
        <v>1268</v>
      </c>
      <c r="P404">
        <v>316.85000000000002</v>
      </c>
      <c r="Q404">
        <v>330</v>
      </c>
      <c r="R404">
        <v>311.39999999999998</v>
      </c>
      <c r="S404">
        <v>320.10000000000002</v>
      </c>
      <c r="T404">
        <v>322.8</v>
      </c>
      <c r="U404">
        <v>315.2</v>
      </c>
      <c r="W404">
        <v>320.10000000000002</v>
      </c>
      <c r="Z404">
        <v>137382</v>
      </c>
      <c r="AA404">
        <v>44500044.25</v>
      </c>
      <c r="AB404">
        <v>3356</v>
      </c>
      <c r="AC404" t="s">
        <v>42</v>
      </c>
      <c r="AD404">
        <v>1</v>
      </c>
    </row>
    <row r="405" spans="1:30">
      <c r="A405" t="str">
        <f>CONCATENATE(I405,J405)</f>
        <v>AZADEQ</v>
      </c>
      <c r="B405" s="34">
        <v>46273</v>
      </c>
      <c r="C405" s="34">
        <v>46273</v>
      </c>
      <c r="D405" t="s">
        <v>35</v>
      </c>
      <c r="E405" t="s">
        <v>36</v>
      </c>
      <c r="F405" t="s">
        <v>37</v>
      </c>
      <c r="G405">
        <v>20905</v>
      </c>
      <c r="H405" t="s">
        <v>1269</v>
      </c>
      <c r="I405" t="s">
        <v>1270</v>
      </c>
      <c r="J405" t="s">
        <v>161</v>
      </c>
      <c r="O405" t="s">
        <v>1271</v>
      </c>
      <c r="P405">
        <v>2885</v>
      </c>
      <c r="Q405">
        <v>2885.8</v>
      </c>
      <c r="R405">
        <v>2800</v>
      </c>
      <c r="S405">
        <v>2822.1</v>
      </c>
      <c r="T405">
        <v>2835</v>
      </c>
      <c r="U405">
        <v>2868</v>
      </c>
      <c r="W405">
        <v>2822.23</v>
      </c>
      <c r="Z405">
        <v>256205</v>
      </c>
      <c r="AA405">
        <v>724902434.29999995</v>
      </c>
      <c r="AB405">
        <v>22368</v>
      </c>
      <c r="AC405" t="s">
        <v>42</v>
      </c>
      <c r="AD405">
        <v>1</v>
      </c>
    </row>
    <row r="406" spans="1:30">
      <c r="A406" t="str">
        <f>CONCATENATE(I406,J406)</f>
        <v>AZADINDEQ</v>
      </c>
      <c r="B406" s="34">
        <v>46273</v>
      </c>
      <c r="C406" s="34">
        <v>46273</v>
      </c>
      <c r="D406" t="s">
        <v>35</v>
      </c>
      <c r="E406" t="s">
        <v>36</v>
      </c>
      <c r="F406" t="s">
        <v>37</v>
      </c>
      <c r="G406">
        <v>765035</v>
      </c>
      <c r="H406" t="s">
        <v>1272</v>
      </c>
      <c r="I406" t="s">
        <v>1273</v>
      </c>
      <c r="J406" t="s">
        <v>161</v>
      </c>
      <c r="O406" t="s">
        <v>1274</v>
      </c>
      <c r="P406">
        <v>90.25</v>
      </c>
      <c r="Q406">
        <v>91</v>
      </c>
      <c r="R406">
        <v>89</v>
      </c>
      <c r="S406">
        <v>89.86</v>
      </c>
      <c r="T406">
        <v>89.66</v>
      </c>
      <c r="U406">
        <v>89.88</v>
      </c>
      <c r="W406">
        <v>89.89</v>
      </c>
      <c r="Z406">
        <v>43050</v>
      </c>
      <c r="AA406">
        <v>3868395.9</v>
      </c>
      <c r="AB406">
        <v>603</v>
      </c>
      <c r="AC406" t="s">
        <v>42</v>
      </c>
      <c r="AD406">
        <v>1</v>
      </c>
    </row>
    <row r="407" spans="1:30">
      <c r="A407" t="str">
        <f>CONCATENATE(I407,J407)</f>
        <v>BNALTDBE</v>
      </c>
      <c r="B407" s="34">
        <v>46273</v>
      </c>
      <c r="C407" s="34">
        <v>46273</v>
      </c>
      <c r="D407" t="s">
        <v>35</v>
      </c>
      <c r="E407" t="s">
        <v>36</v>
      </c>
      <c r="F407" t="s">
        <v>37</v>
      </c>
      <c r="G407">
        <v>762616</v>
      </c>
      <c r="H407" t="s">
        <v>1275</v>
      </c>
      <c r="I407" t="s">
        <v>1276</v>
      </c>
      <c r="J407" t="s">
        <v>183</v>
      </c>
      <c r="O407" t="s">
        <v>1277</v>
      </c>
      <c r="P407">
        <v>361.2</v>
      </c>
      <c r="Q407">
        <v>382</v>
      </c>
      <c r="R407">
        <v>361.2</v>
      </c>
      <c r="S407">
        <v>375</v>
      </c>
      <c r="T407">
        <v>380</v>
      </c>
      <c r="U407">
        <v>376</v>
      </c>
      <c r="W407">
        <v>375</v>
      </c>
      <c r="Z407">
        <v>155</v>
      </c>
      <c r="AA407">
        <v>57360.6</v>
      </c>
      <c r="AB407">
        <v>9</v>
      </c>
      <c r="AC407" t="s">
        <v>42</v>
      </c>
      <c r="AD407">
        <v>1</v>
      </c>
    </row>
    <row r="408" spans="1:30">
      <c r="A408" t="str">
        <f>CONCATENATE(I408,J408)</f>
        <v>BBTCLEQ</v>
      </c>
      <c r="B408" s="34">
        <v>46273</v>
      </c>
      <c r="C408" s="34">
        <v>46273</v>
      </c>
      <c r="D408" t="s">
        <v>35</v>
      </c>
      <c r="E408" t="s">
        <v>36</v>
      </c>
      <c r="F408" t="s">
        <v>37</v>
      </c>
      <c r="G408">
        <v>12153</v>
      </c>
      <c r="H408" t="s">
        <v>1278</v>
      </c>
      <c r="I408" t="s">
        <v>1279</v>
      </c>
      <c r="J408" t="s">
        <v>161</v>
      </c>
      <c r="O408" t="s">
        <v>1280</v>
      </c>
      <c r="P408">
        <v>229.55</v>
      </c>
      <c r="Q408">
        <v>235</v>
      </c>
      <c r="R408">
        <v>225.55</v>
      </c>
      <c r="S408">
        <v>229.89</v>
      </c>
      <c r="T408">
        <v>230</v>
      </c>
      <c r="U408">
        <v>231.6</v>
      </c>
      <c r="W408">
        <v>229.9</v>
      </c>
      <c r="Z408">
        <v>4569</v>
      </c>
      <c r="AA408">
        <v>1046313.6</v>
      </c>
      <c r="AB408">
        <v>244</v>
      </c>
      <c r="AC408" t="s">
        <v>42</v>
      </c>
      <c r="AD408">
        <v>1</v>
      </c>
    </row>
    <row r="409" spans="1:30">
      <c r="A409" t="str">
        <f>CONCATENATE(I409,J409)</f>
        <v>BAGFILMSEQ</v>
      </c>
      <c r="B409" s="34">
        <v>46273</v>
      </c>
      <c r="C409" s="34">
        <v>46273</v>
      </c>
      <c r="D409" t="s">
        <v>35</v>
      </c>
      <c r="E409" t="s">
        <v>36</v>
      </c>
      <c r="F409" t="s">
        <v>37</v>
      </c>
      <c r="G409">
        <v>11226</v>
      </c>
      <c r="H409" t="s">
        <v>1281</v>
      </c>
      <c r="I409" t="s">
        <v>1282</v>
      </c>
      <c r="J409" t="s">
        <v>161</v>
      </c>
      <c r="O409" t="s">
        <v>1283</v>
      </c>
      <c r="P409">
        <v>4.8099999999999996</v>
      </c>
      <c r="Q409">
        <v>4.88</v>
      </c>
      <c r="R409">
        <v>4.6399999999999997</v>
      </c>
      <c r="S409">
        <v>4.7</v>
      </c>
      <c r="T409">
        <v>4.74</v>
      </c>
      <c r="U409">
        <v>4.8099999999999996</v>
      </c>
      <c r="W409">
        <v>4.7</v>
      </c>
      <c r="Z409">
        <v>121873</v>
      </c>
      <c r="AA409">
        <v>579115.05000000005</v>
      </c>
      <c r="AB409">
        <v>299</v>
      </c>
      <c r="AC409" t="s">
        <v>42</v>
      </c>
      <c r="AD409">
        <v>1</v>
      </c>
    </row>
    <row r="410" spans="1:30">
      <c r="A410" t="str">
        <f>CONCATENATE(I410,J410)</f>
        <v>BAGDIGITALSM</v>
      </c>
      <c r="B410" s="34">
        <v>46273</v>
      </c>
      <c r="C410" s="34">
        <v>46273</v>
      </c>
      <c r="D410" t="s">
        <v>35</v>
      </c>
      <c r="E410" t="s">
        <v>36</v>
      </c>
      <c r="F410" t="s">
        <v>37</v>
      </c>
      <c r="G410">
        <v>759420</v>
      </c>
      <c r="H410" t="s">
        <v>1284</v>
      </c>
      <c r="I410" t="s">
        <v>1285</v>
      </c>
      <c r="J410" t="s">
        <v>267</v>
      </c>
      <c r="O410" t="s">
        <v>1286</v>
      </c>
      <c r="P410">
        <v>104.05</v>
      </c>
      <c r="Q410">
        <v>104.5</v>
      </c>
      <c r="R410">
        <v>103</v>
      </c>
      <c r="S410">
        <v>103</v>
      </c>
      <c r="T410">
        <v>103</v>
      </c>
      <c r="U410">
        <v>105</v>
      </c>
      <c r="W410">
        <v>103</v>
      </c>
      <c r="Z410">
        <v>17600</v>
      </c>
      <c r="AA410">
        <v>1824160</v>
      </c>
      <c r="AB410">
        <v>11</v>
      </c>
      <c r="AC410" t="s">
        <v>42</v>
      </c>
      <c r="AD410">
        <v>1600</v>
      </c>
    </row>
    <row r="411" spans="1:30">
      <c r="A411" t="str">
        <f>CONCATENATE(I411,J411)</f>
        <v>BLKASHYAPEQ</v>
      </c>
      <c r="B411" s="34">
        <v>46273</v>
      </c>
      <c r="C411" s="34">
        <v>46273</v>
      </c>
      <c r="D411" t="s">
        <v>35</v>
      </c>
      <c r="E411" t="s">
        <v>36</v>
      </c>
      <c r="F411" t="s">
        <v>37</v>
      </c>
      <c r="G411">
        <v>13290</v>
      </c>
      <c r="H411" t="s">
        <v>1287</v>
      </c>
      <c r="I411" t="s">
        <v>1288</v>
      </c>
      <c r="J411" t="s">
        <v>161</v>
      </c>
      <c r="O411" t="s">
        <v>1289</v>
      </c>
      <c r="P411">
        <v>57.05</v>
      </c>
      <c r="Q411">
        <v>57.29</v>
      </c>
      <c r="R411">
        <v>55.92</v>
      </c>
      <c r="S411">
        <v>56.8</v>
      </c>
      <c r="T411">
        <v>56.7</v>
      </c>
      <c r="U411">
        <v>56.85</v>
      </c>
      <c r="W411">
        <v>56.8</v>
      </c>
      <c r="Z411">
        <v>295619</v>
      </c>
      <c r="AA411">
        <v>16739240.27</v>
      </c>
      <c r="AB411">
        <v>2460</v>
      </c>
      <c r="AC411" t="s">
        <v>42</v>
      </c>
      <c r="AD411">
        <v>1</v>
      </c>
    </row>
    <row r="412" spans="1:30">
      <c r="A412" t="str">
        <f>CONCATENATE(I412,J412)</f>
        <v>STYLEBAAZAEQ</v>
      </c>
      <c r="B412" s="34">
        <v>46273</v>
      </c>
      <c r="C412" s="34">
        <v>46273</v>
      </c>
      <c r="D412" t="s">
        <v>35</v>
      </c>
      <c r="E412" t="s">
        <v>36</v>
      </c>
      <c r="F412" t="s">
        <v>37</v>
      </c>
      <c r="G412">
        <v>25114</v>
      </c>
      <c r="H412" t="s">
        <v>1290</v>
      </c>
      <c r="I412" t="s">
        <v>1291</v>
      </c>
      <c r="J412" t="s">
        <v>161</v>
      </c>
      <c r="O412" t="s">
        <v>1292</v>
      </c>
      <c r="P412">
        <v>401.3</v>
      </c>
      <c r="Q412">
        <v>401.45</v>
      </c>
      <c r="R412">
        <v>386.05</v>
      </c>
      <c r="S412">
        <v>387.3</v>
      </c>
      <c r="T412">
        <v>386.2</v>
      </c>
      <c r="U412">
        <v>399.5</v>
      </c>
      <c r="W412">
        <v>387.25</v>
      </c>
      <c r="Z412">
        <v>404411</v>
      </c>
      <c r="AA412">
        <v>158854528.34999999</v>
      </c>
      <c r="AB412">
        <v>5120</v>
      </c>
      <c r="AC412" t="s">
        <v>42</v>
      </c>
      <c r="AD412">
        <v>1</v>
      </c>
    </row>
    <row r="413" spans="1:30">
      <c r="A413" t="str">
        <f>CONCATENATE(I413,J413)</f>
        <v>BABAFPSM</v>
      </c>
      <c r="B413" s="34">
        <v>46273</v>
      </c>
      <c r="C413" s="34">
        <v>46273</v>
      </c>
      <c r="D413" t="s">
        <v>35</v>
      </c>
      <c r="E413" t="s">
        <v>36</v>
      </c>
      <c r="F413" t="s">
        <v>37</v>
      </c>
      <c r="G413">
        <v>20141</v>
      </c>
      <c r="H413" t="s">
        <v>1293</v>
      </c>
      <c r="I413" t="s">
        <v>1294</v>
      </c>
      <c r="J413" t="s">
        <v>267</v>
      </c>
      <c r="O413" t="s">
        <v>1295</v>
      </c>
      <c r="P413">
        <v>22.65</v>
      </c>
      <c r="Q413">
        <v>22.95</v>
      </c>
      <c r="R413">
        <v>21</v>
      </c>
      <c r="S413">
        <v>22.95</v>
      </c>
      <c r="T413">
        <v>22.95</v>
      </c>
      <c r="U413">
        <v>23.75</v>
      </c>
      <c r="W413">
        <v>22.95</v>
      </c>
      <c r="Z413">
        <v>12800</v>
      </c>
      <c r="AA413">
        <v>283040</v>
      </c>
      <c r="AB413">
        <v>8</v>
      </c>
      <c r="AC413" t="s">
        <v>42</v>
      </c>
      <c r="AD413">
        <v>1600</v>
      </c>
    </row>
    <row r="414" spans="1:30">
      <c r="A414" t="str">
        <f>CONCATENATE(I414,J414)</f>
        <v>BAFNAPHBE</v>
      </c>
      <c r="B414" s="34">
        <v>46273</v>
      </c>
      <c r="C414" s="34">
        <v>46273</v>
      </c>
      <c r="D414" t="s">
        <v>35</v>
      </c>
      <c r="E414" t="s">
        <v>36</v>
      </c>
      <c r="F414" t="s">
        <v>37</v>
      </c>
      <c r="G414">
        <v>17735</v>
      </c>
      <c r="H414" t="s">
        <v>1296</v>
      </c>
      <c r="I414" t="s">
        <v>1297</v>
      </c>
      <c r="J414" t="s">
        <v>183</v>
      </c>
      <c r="O414" t="s">
        <v>1298</v>
      </c>
      <c r="P414">
        <v>307.75</v>
      </c>
      <c r="Q414">
        <v>307.75</v>
      </c>
      <c r="R414">
        <v>307.75</v>
      </c>
      <c r="S414">
        <v>307.75</v>
      </c>
      <c r="T414">
        <v>307.75</v>
      </c>
      <c r="U414">
        <v>301.75</v>
      </c>
      <c r="W414">
        <v>308.55</v>
      </c>
      <c r="Z414">
        <v>6169</v>
      </c>
      <c r="AA414">
        <v>1898509.75</v>
      </c>
      <c r="AB414">
        <v>39</v>
      </c>
      <c r="AC414" t="s">
        <v>42</v>
      </c>
      <c r="AD414">
        <v>1</v>
      </c>
    </row>
    <row r="415" spans="1:30">
      <c r="A415" t="str">
        <f>CONCATENATE(I415,J415)</f>
        <v>BAGMANERR</v>
      </c>
      <c r="B415" s="34">
        <v>46273</v>
      </c>
      <c r="C415" s="34">
        <v>46273</v>
      </c>
      <c r="D415" t="s">
        <v>35</v>
      </c>
      <c r="E415" t="s">
        <v>36</v>
      </c>
      <c r="F415" t="s">
        <v>37</v>
      </c>
      <c r="G415">
        <v>763363</v>
      </c>
      <c r="H415" t="s">
        <v>1299</v>
      </c>
      <c r="I415" t="s">
        <v>1300</v>
      </c>
      <c r="J415" t="s">
        <v>1301</v>
      </c>
      <c r="O415" t="s">
        <v>1302</v>
      </c>
      <c r="P415">
        <v>107.84</v>
      </c>
      <c r="Q415">
        <v>107.84</v>
      </c>
      <c r="R415">
        <v>106.9</v>
      </c>
      <c r="S415">
        <v>107.29</v>
      </c>
      <c r="T415">
        <v>107.25</v>
      </c>
      <c r="U415">
        <v>107.48</v>
      </c>
      <c r="W415">
        <v>107.29</v>
      </c>
      <c r="Z415">
        <v>428039</v>
      </c>
      <c r="AA415">
        <v>45923448.630000003</v>
      </c>
      <c r="AB415">
        <v>8225</v>
      </c>
      <c r="AC415" t="s">
        <v>42</v>
      </c>
      <c r="AD415">
        <v>1</v>
      </c>
    </row>
    <row r="416" spans="1:30">
      <c r="A416" t="str">
        <f>CONCATENATE(I416,J416)</f>
        <v>BAHETISM</v>
      </c>
      <c r="B416" s="34">
        <v>46273</v>
      </c>
      <c r="C416" s="34">
        <v>46273</v>
      </c>
      <c r="D416" t="s">
        <v>35</v>
      </c>
      <c r="E416" t="s">
        <v>36</v>
      </c>
      <c r="F416" t="s">
        <v>37</v>
      </c>
      <c r="G416">
        <v>12989</v>
      </c>
      <c r="H416" t="s">
        <v>1303</v>
      </c>
      <c r="I416" t="s">
        <v>1304</v>
      </c>
      <c r="J416" t="s">
        <v>267</v>
      </c>
      <c r="O416" t="s">
        <v>1305</v>
      </c>
      <c r="P416">
        <v>835</v>
      </c>
      <c r="Q416">
        <v>835</v>
      </c>
      <c r="R416">
        <v>810</v>
      </c>
      <c r="S416">
        <v>829.5</v>
      </c>
      <c r="T416">
        <v>829.5</v>
      </c>
      <c r="U416">
        <v>826</v>
      </c>
      <c r="W416">
        <v>829.5</v>
      </c>
      <c r="Z416">
        <v>17250</v>
      </c>
      <c r="AA416">
        <v>14238675</v>
      </c>
      <c r="AB416">
        <v>29</v>
      </c>
      <c r="AC416" t="s">
        <v>42</v>
      </c>
      <c r="AD416">
        <v>375</v>
      </c>
    </row>
    <row r="417" spans="1:30">
      <c r="A417" t="str">
        <f>CONCATENATE(I417,J417)</f>
        <v>BAIDFINEQ</v>
      </c>
      <c r="B417" s="34">
        <v>46273</v>
      </c>
      <c r="C417" s="34">
        <v>46273</v>
      </c>
      <c r="D417" t="s">
        <v>35</v>
      </c>
      <c r="E417" t="s">
        <v>36</v>
      </c>
      <c r="F417" t="s">
        <v>37</v>
      </c>
      <c r="G417">
        <v>13794</v>
      </c>
      <c r="H417" t="s">
        <v>1306</v>
      </c>
      <c r="I417" t="s">
        <v>1307</v>
      </c>
      <c r="J417" t="s">
        <v>161</v>
      </c>
      <c r="O417" t="s">
        <v>1308</v>
      </c>
      <c r="P417">
        <v>11.05</v>
      </c>
      <c r="Q417">
        <v>12.95</v>
      </c>
      <c r="R417">
        <v>11.02</v>
      </c>
      <c r="S417">
        <v>12.05</v>
      </c>
      <c r="T417">
        <v>12.14</v>
      </c>
      <c r="U417">
        <v>10.89</v>
      </c>
      <c r="W417">
        <v>12.05</v>
      </c>
      <c r="Z417">
        <v>1092523</v>
      </c>
      <c r="AA417">
        <v>13239716.289999999</v>
      </c>
      <c r="AB417">
        <v>3253</v>
      </c>
      <c r="AC417" t="s">
        <v>42</v>
      </c>
      <c r="AD417">
        <v>1</v>
      </c>
    </row>
    <row r="418" spans="1:30">
      <c r="A418" t="str">
        <f>CONCATENATE(I418,J418)</f>
        <v>BAJAJ-AUTOEQ</v>
      </c>
      <c r="B418" s="34">
        <v>46273</v>
      </c>
      <c r="C418" s="34">
        <v>46273</v>
      </c>
      <c r="D418" t="s">
        <v>35</v>
      </c>
      <c r="E418" t="s">
        <v>36</v>
      </c>
      <c r="F418" t="s">
        <v>37</v>
      </c>
      <c r="G418">
        <v>16669</v>
      </c>
      <c r="H418" t="s">
        <v>1309</v>
      </c>
      <c r="I418" t="s">
        <v>1310</v>
      </c>
      <c r="J418" t="s">
        <v>161</v>
      </c>
      <c r="O418" t="s">
        <v>1311</v>
      </c>
      <c r="P418">
        <v>11727</v>
      </c>
      <c r="Q418">
        <v>11883</v>
      </c>
      <c r="R418">
        <v>11716</v>
      </c>
      <c r="S418">
        <v>11880</v>
      </c>
      <c r="T418">
        <v>11880</v>
      </c>
      <c r="U418">
        <v>11800</v>
      </c>
      <c r="W418">
        <v>11879.95</v>
      </c>
      <c r="Z418">
        <v>192942</v>
      </c>
      <c r="AA418">
        <v>2278796475</v>
      </c>
      <c r="AB418">
        <v>36364</v>
      </c>
      <c r="AC418" t="s">
        <v>42</v>
      </c>
      <c r="AD418">
        <v>1</v>
      </c>
    </row>
    <row r="419" spans="1:30">
      <c r="A419" t="str">
        <f>CONCATENATE(I419,J419)</f>
        <v>BAJAJCONEQ</v>
      </c>
      <c r="B419" s="34">
        <v>46273</v>
      </c>
      <c r="C419" s="34">
        <v>46273</v>
      </c>
      <c r="D419" t="s">
        <v>35</v>
      </c>
      <c r="E419" t="s">
        <v>36</v>
      </c>
      <c r="F419" t="s">
        <v>37</v>
      </c>
      <c r="G419">
        <v>19531</v>
      </c>
      <c r="H419" t="s">
        <v>1312</v>
      </c>
      <c r="I419" t="s">
        <v>1313</v>
      </c>
      <c r="J419" t="s">
        <v>161</v>
      </c>
      <c r="O419" t="s">
        <v>1314</v>
      </c>
      <c r="P419">
        <v>526</v>
      </c>
      <c r="Q419">
        <v>527.6</v>
      </c>
      <c r="R419">
        <v>512</v>
      </c>
      <c r="S419">
        <v>514.1</v>
      </c>
      <c r="T419">
        <v>515</v>
      </c>
      <c r="U419">
        <v>526</v>
      </c>
      <c r="W419">
        <v>514.08000000000004</v>
      </c>
      <c r="Z419">
        <v>589132</v>
      </c>
      <c r="AA419">
        <v>304233162</v>
      </c>
      <c r="AB419">
        <v>17881</v>
      </c>
      <c r="AC419" t="s">
        <v>42</v>
      </c>
      <c r="AD419">
        <v>1</v>
      </c>
    </row>
    <row r="420" spans="1:30">
      <c r="A420" t="str">
        <f>CONCATENATE(I420,J420)</f>
        <v>BAJAJELECEQ</v>
      </c>
      <c r="B420" s="34">
        <v>46273</v>
      </c>
      <c r="C420" s="34">
        <v>46273</v>
      </c>
      <c r="D420" t="s">
        <v>35</v>
      </c>
      <c r="E420" t="s">
        <v>36</v>
      </c>
      <c r="F420" t="s">
        <v>37</v>
      </c>
      <c r="G420">
        <v>15034</v>
      </c>
      <c r="H420" t="s">
        <v>1315</v>
      </c>
      <c r="I420" t="s">
        <v>1316</v>
      </c>
      <c r="J420" t="s">
        <v>161</v>
      </c>
      <c r="O420" t="s">
        <v>1317</v>
      </c>
      <c r="P420">
        <v>341.05</v>
      </c>
      <c r="Q420">
        <v>341.85</v>
      </c>
      <c r="R420">
        <v>335</v>
      </c>
      <c r="S420">
        <v>339.95</v>
      </c>
      <c r="T420">
        <v>338.5</v>
      </c>
      <c r="U420">
        <v>342.1</v>
      </c>
      <c r="W420">
        <v>339.94</v>
      </c>
      <c r="Z420">
        <v>97393</v>
      </c>
      <c r="AA420">
        <v>32981597.949999999</v>
      </c>
      <c r="AB420">
        <v>3765</v>
      </c>
      <c r="AC420" t="s">
        <v>42</v>
      </c>
      <c r="AD420">
        <v>1</v>
      </c>
    </row>
    <row r="421" spans="1:30">
      <c r="A421" t="str">
        <f>CONCATENATE(I421,J421)</f>
        <v>BAJFINANCEEQ</v>
      </c>
      <c r="B421" s="34">
        <v>46273</v>
      </c>
      <c r="C421" s="34">
        <v>46273</v>
      </c>
      <c r="D421" t="s">
        <v>35</v>
      </c>
      <c r="E421" t="s">
        <v>36</v>
      </c>
      <c r="F421" t="s">
        <v>37</v>
      </c>
      <c r="G421">
        <v>317</v>
      </c>
      <c r="H421" t="s">
        <v>1318</v>
      </c>
      <c r="I421" t="s">
        <v>1319</v>
      </c>
      <c r="J421" t="s">
        <v>161</v>
      </c>
      <c r="O421" t="s">
        <v>1320</v>
      </c>
      <c r="P421">
        <v>1058.8</v>
      </c>
      <c r="Q421">
        <v>1059.5999999999999</v>
      </c>
      <c r="R421">
        <v>1050</v>
      </c>
      <c r="S421">
        <v>1054.0999999999999</v>
      </c>
      <c r="T421">
        <v>1054.0999999999999</v>
      </c>
      <c r="U421">
        <v>1060</v>
      </c>
      <c r="W421">
        <v>1054.0999999999999</v>
      </c>
      <c r="Z421">
        <v>3608327</v>
      </c>
      <c r="AA421">
        <v>3805105423.5999999</v>
      </c>
      <c r="AB421">
        <v>124780</v>
      </c>
      <c r="AC421" t="s">
        <v>42</v>
      </c>
      <c r="AD421">
        <v>1</v>
      </c>
    </row>
    <row r="422" spans="1:30">
      <c r="A422" t="str">
        <f>CONCATENATE(I422,J422)</f>
        <v>BAJAJFINSVEQ</v>
      </c>
      <c r="B422" s="34">
        <v>46273</v>
      </c>
      <c r="C422" s="34">
        <v>46273</v>
      </c>
      <c r="D422" t="s">
        <v>35</v>
      </c>
      <c r="E422" t="s">
        <v>36</v>
      </c>
      <c r="F422" t="s">
        <v>37</v>
      </c>
      <c r="G422">
        <v>16675</v>
      </c>
      <c r="H422" t="s">
        <v>1321</v>
      </c>
      <c r="I422" t="s">
        <v>1322</v>
      </c>
      <c r="J422" t="s">
        <v>161</v>
      </c>
      <c r="O422" t="s">
        <v>1323</v>
      </c>
      <c r="P422">
        <v>1938.6</v>
      </c>
      <c r="Q422">
        <v>1951.9</v>
      </c>
      <c r="R422">
        <v>1933</v>
      </c>
      <c r="S422">
        <v>1938.1</v>
      </c>
      <c r="T422">
        <v>1938.1</v>
      </c>
      <c r="U422">
        <v>1938.6</v>
      </c>
      <c r="W422">
        <v>1938.1</v>
      </c>
      <c r="Z422">
        <v>707710</v>
      </c>
      <c r="AA422">
        <v>1373058867.8</v>
      </c>
      <c r="AB422">
        <v>38289</v>
      </c>
      <c r="AC422" t="s">
        <v>42</v>
      </c>
      <c r="AD422">
        <v>1</v>
      </c>
    </row>
    <row r="423" spans="1:30">
      <c r="A423" t="str">
        <f>CONCATENATE(I423,J423)</f>
        <v>BAJAJHCAREEQ</v>
      </c>
      <c r="B423" s="34">
        <v>46273</v>
      </c>
      <c r="C423" s="34">
        <v>46273</v>
      </c>
      <c r="D423" t="s">
        <v>35</v>
      </c>
      <c r="E423" t="s">
        <v>36</v>
      </c>
      <c r="F423" t="s">
        <v>37</v>
      </c>
      <c r="G423">
        <v>6863</v>
      </c>
      <c r="H423" t="s">
        <v>1324</v>
      </c>
      <c r="I423" t="s">
        <v>1325</v>
      </c>
      <c r="J423" t="s">
        <v>161</v>
      </c>
      <c r="O423" t="s">
        <v>1326</v>
      </c>
      <c r="P423">
        <v>328.85</v>
      </c>
      <c r="Q423">
        <v>338.7</v>
      </c>
      <c r="R423">
        <v>328.85</v>
      </c>
      <c r="S423">
        <v>336.7</v>
      </c>
      <c r="T423">
        <v>337.5</v>
      </c>
      <c r="U423">
        <v>328.8</v>
      </c>
      <c r="W423">
        <v>336.72</v>
      </c>
      <c r="Z423">
        <v>196328</v>
      </c>
      <c r="AA423">
        <v>65667150.850000001</v>
      </c>
      <c r="AB423">
        <v>4210</v>
      </c>
      <c r="AC423" t="s">
        <v>42</v>
      </c>
      <c r="AD423">
        <v>1</v>
      </c>
    </row>
    <row r="424" spans="1:30">
      <c r="A424" t="str">
        <f>CONCATENATE(I424,J424)</f>
        <v>BAJAJHINDEQ</v>
      </c>
      <c r="B424" s="34">
        <v>46273</v>
      </c>
      <c r="C424" s="34">
        <v>46273</v>
      </c>
      <c r="D424" t="s">
        <v>35</v>
      </c>
      <c r="E424" t="s">
        <v>36</v>
      </c>
      <c r="F424" t="s">
        <v>37</v>
      </c>
      <c r="G424">
        <v>308</v>
      </c>
      <c r="H424" t="s">
        <v>1327</v>
      </c>
      <c r="I424" t="s">
        <v>1328</v>
      </c>
      <c r="J424" t="s">
        <v>161</v>
      </c>
      <c r="O424" t="s">
        <v>1329</v>
      </c>
      <c r="P424">
        <v>22.8</v>
      </c>
      <c r="Q424">
        <v>23.17</v>
      </c>
      <c r="R424">
        <v>22.4</v>
      </c>
      <c r="S424">
        <v>22.66</v>
      </c>
      <c r="T424">
        <v>22.61</v>
      </c>
      <c r="U424">
        <v>22.77</v>
      </c>
      <c r="W424">
        <v>22.66</v>
      </c>
      <c r="Z424">
        <v>22885945</v>
      </c>
      <c r="AA424">
        <v>519832919.16000003</v>
      </c>
      <c r="AB424">
        <v>24659</v>
      </c>
      <c r="AC424" t="s">
        <v>42</v>
      </c>
      <c r="AD424">
        <v>1</v>
      </c>
    </row>
    <row r="425" spans="1:30">
      <c r="A425" t="str">
        <f>CONCATENATE(I425,J425)</f>
        <v>BAJAJHLDNGEQ</v>
      </c>
      <c r="B425" s="34">
        <v>46273</v>
      </c>
      <c r="C425" s="34">
        <v>46273</v>
      </c>
      <c r="D425" t="s">
        <v>35</v>
      </c>
      <c r="E425" t="s">
        <v>36</v>
      </c>
      <c r="F425" t="s">
        <v>37</v>
      </c>
      <c r="G425">
        <v>305</v>
      </c>
      <c r="H425" t="s">
        <v>1330</v>
      </c>
      <c r="I425" t="s">
        <v>1331</v>
      </c>
      <c r="J425" t="s">
        <v>161</v>
      </c>
      <c r="O425" t="s">
        <v>1332</v>
      </c>
      <c r="P425">
        <v>11094</v>
      </c>
      <c r="Q425">
        <v>11124</v>
      </c>
      <c r="R425">
        <v>10970</v>
      </c>
      <c r="S425">
        <v>11046</v>
      </c>
      <c r="T425">
        <v>11046</v>
      </c>
      <c r="U425">
        <v>10956</v>
      </c>
      <c r="W425">
        <v>11046.03</v>
      </c>
      <c r="Z425">
        <v>28503</v>
      </c>
      <c r="AA425">
        <v>315119155</v>
      </c>
      <c r="AB425">
        <v>8528</v>
      </c>
      <c r="AC425" t="s">
        <v>42</v>
      </c>
      <c r="AD425">
        <v>1</v>
      </c>
    </row>
    <row r="426" spans="1:30">
      <c r="A426" t="str">
        <f>CONCATENATE(I426,J426)</f>
        <v>BAJAJHFLEQ</v>
      </c>
      <c r="B426" s="34">
        <v>46273</v>
      </c>
      <c r="C426" s="34">
        <v>46273</v>
      </c>
      <c r="D426" t="s">
        <v>35</v>
      </c>
      <c r="E426" t="s">
        <v>36</v>
      </c>
      <c r="F426" t="s">
        <v>37</v>
      </c>
      <c r="G426">
        <v>25270</v>
      </c>
      <c r="H426" t="s">
        <v>1333</v>
      </c>
      <c r="I426" t="s">
        <v>1334</v>
      </c>
      <c r="J426" t="s">
        <v>161</v>
      </c>
      <c r="O426" t="s">
        <v>1335</v>
      </c>
      <c r="P426">
        <v>83.51</v>
      </c>
      <c r="Q426">
        <v>84.2</v>
      </c>
      <c r="R426">
        <v>82.58</v>
      </c>
      <c r="S426">
        <v>84.01</v>
      </c>
      <c r="T426">
        <v>84.1</v>
      </c>
      <c r="U426">
        <v>84.04</v>
      </c>
      <c r="W426">
        <v>84.01</v>
      </c>
      <c r="Z426">
        <v>3509185</v>
      </c>
      <c r="AA426">
        <v>292865837.39999998</v>
      </c>
      <c r="AB426">
        <v>28236</v>
      </c>
      <c r="AC426" t="s">
        <v>42</v>
      </c>
      <c r="AD426">
        <v>1</v>
      </c>
    </row>
    <row r="427" spans="1:30">
      <c r="A427" t="str">
        <f>CONCATENATE(I427,J427)</f>
        <v>BAJAJSTEQ</v>
      </c>
      <c r="B427" s="34">
        <v>46273</v>
      </c>
      <c r="C427" s="34">
        <v>46273</v>
      </c>
      <c r="D427" t="s">
        <v>35</v>
      </c>
      <c r="E427" t="s">
        <v>36</v>
      </c>
      <c r="F427" t="s">
        <v>37</v>
      </c>
      <c r="G427">
        <v>762563</v>
      </c>
      <c r="H427" t="s">
        <v>1336</v>
      </c>
      <c r="I427" t="s">
        <v>1337</v>
      </c>
      <c r="J427" t="s">
        <v>161</v>
      </c>
      <c r="O427" t="s">
        <v>1338</v>
      </c>
      <c r="P427">
        <v>365.6</v>
      </c>
      <c r="Q427">
        <v>369.7</v>
      </c>
      <c r="R427">
        <v>361.75</v>
      </c>
      <c r="S427">
        <v>365</v>
      </c>
      <c r="T427">
        <v>366.3</v>
      </c>
      <c r="U427">
        <v>366.4</v>
      </c>
      <c r="W427">
        <v>365.11</v>
      </c>
      <c r="Z427">
        <v>3242</v>
      </c>
      <c r="AA427">
        <v>1182653.25</v>
      </c>
      <c r="AB427">
        <v>282</v>
      </c>
      <c r="AC427" t="s">
        <v>42</v>
      </c>
      <c r="AD427">
        <v>1</v>
      </c>
    </row>
    <row r="428" spans="1:30">
      <c r="A428" t="str">
        <f>CONCATENATE(I428,J428)</f>
        <v>BAJELEQ</v>
      </c>
      <c r="B428" s="34">
        <v>46273</v>
      </c>
      <c r="C428" s="34">
        <v>46273</v>
      </c>
      <c r="D428" t="s">
        <v>35</v>
      </c>
      <c r="E428" t="s">
        <v>36</v>
      </c>
      <c r="F428" t="s">
        <v>37</v>
      </c>
      <c r="G428">
        <v>20531</v>
      </c>
      <c r="H428" t="s">
        <v>1339</v>
      </c>
      <c r="I428" t="s">
        <v>1340</v>
      </c>
      <c r="J428" t="s">
        <v>161</v>
      </c>
      <c r="O428" t="s">
        <v>1341</v>
      </c>
      <c r="P428">
        <v>187.3</v>
      </c>
      <c r="Q428">
        <v>187.3</v>
      </c>
      <c r="R428">
        <v>182.12</v>
      </c>
      <c r="S428">
        <v>183.62</v>
      </c>
      <c r="T428">
        <v>183.46</v>
      </c>
      <c r="U428">
        <v>187.45</v>
      </c>
      <c r="W428">
        <v>183.55</v>
      </c>
      <c r="Z428">
        <v>105390</v>
      </c>
      <c r="AA428">
        <v>19347310.34</v>
      </c>
      <c r="AB428">
        <v>2194</v>
      </c>
      <c r="AC428" t="s">
        <v>42</v>
      </c>
      <c r="AD428">
        <v>1</v>
      </c>
    </row>
    <row r="429" spans="1:30">
      <c r="A429" t="str">
        <f>CONCATENATE(I429,J429)</f>
        <v>BALPHARMAEQ</v>
      </c>
      <c r="B429" s="34">
        <v>46273</v>
      </c>
      <c r="C429" s="34">
        <v>46273</v>
      </c>
      <c r="D429" t="s">
        <v>35</v>
      </c>
      <c r="E429" t="s">
        <v>36</v>
      </c>
      <c r="F429" t="s">
        <v>37</v>
      </c>
      <c r="G429">
        <v>13441</v>
      </c>
      <c r="H429" t="s">
        <v>1342</v>
      </c>
      <c r="I429" t="s">
        <v>1343</v>
      </c>
      <c r="J429" t="s">
        <v>161</v>
      </c>
      <c r="O429" t="s">
        <v>1344</v>
      </c>
      <c r="P429">
        <v>93.78</v>
      </c>
      <c r="Q429">
        <v>97.6</v>
      </c>
      <c r="R429">
        <v>93</v>
      </c>
      <c r="S429">
        <v>95.38</v>
      </c>
      <c r="T429">
        <v>95</v>
      </c>
      <c r="U429">
        <v>92.69</v>
      </c>
      <c r="W429">
        <v>95.37</v>
      </c>
      <c r="Z429">
        <v>126694</v>
      </c>
      <c r="AA429">
        <v>12169539.640000001</v>
      </c>
      <c r="AB429">
        <v>1175</v>
      </c>
      <c r="AC429" t="s">
        <v>42</v>
      </c>
      <c r="AD429">
        <v>1</v>
      </c>
    </row>
    <row r="430" spans="1:30">
      <c r="A430" t="str">
        <f>CONCATENATE(I430,J430)</f>
        <v>BALAMINESEQ</v>
      </c>
      <c r="B430" s="34">
        <v>46273</v>
      </c>
      <c r="C430" s="34">
        <v>46273</v>
      </c>
      <c r="D430" t="s">
        <v>35</v>
      </c>
      <c r="E430" t="s">
        <v>36</v>
      </c>
      <c r="F430" t="s">
        <v>37</v>
      </c>
      <c r="G430">
        <v>14501</v>
      </c>
      <c r="H430" t="s">
        <v>1345</v>
      </c>
      <c r="I430" t="s">
        <v>1346</v>
      </c>
      <c r="J430" t="s">
        <v>161</v>
      </c>
      <c r="O430" t="s">
        <v>1347</v>
      </c>
      <c r="P430">
        <v>2575</v>
      </c>
      <c r="Q430">
        <v>2581.1999999999998</v>
      </c>
      <c r="R430">
        <v>2452</v>
      </c>
      <c r="S430">
        <v>2475.4</v>
      </c>
      <c r="T430">
        <v>2475</v>
      </c>
      <c r="U430">
        <v>2566.8000000000002</v>
      </c>
      <c r="W430">
        <v>2475.04</v>
      </c>
      <c r="Z430">
        <v>202112</v>
      </c>
      <c r="AA430">
        <v>504153853.60000002</v>
      </c>
      <c r="AB430">
        <v>19975</v>
      </c>
      <c r="AC430" t="s">
        <v>42</v>
      </c>
      <c r="AD430">
        <v>1</v>
      </c>
    </row>
    <row r="431" spans="1:30">
      <c r="A431" t="str">
        <f>CONCATENATE(I431,J431)</f>
        <v>BALAJIPHOSSM</v>
      </c>
      <c r="B431" s="34">
        <v>46273</v>
      </c>
      <c r="C431" s="34">
        <v>46273</v>
      </c>
      <c r="D431" t="s">
        <v>35</v>
      </c>
      <c r="E431" t="s">
        <v>36</v>
      </c>
      <c r="F431" t="s">
        <v>37</v>
      </c>
      <c r="G431">
        <v>30030</v>
      </c>
      <c r="H431" t="s">
        <v>1348</v>
      </c>
      <c r="I431" t="s">
        <v>1349</v>
      </c>
      <c r="J431" t="s">
        <v>267</v>
      </c>
      <c r="O431" t="s">
        <v>1350</v>
      </c>
      <c r="P431">
        <v>107</v>
      </c>
      <c r="Q431">
        <v>107</v>
      </c>
      <c r="R431">
        <v>102.55</v>
      </c>
      <c r="S431">
        <v>102.55</v>
      </c>
      <c r="T431">
        <v>102.55</v>
      </c>
      <c r="U431">
        <v>106.25</v>
      </c>
      <c r="W431">
        <v>102.55</v>
      </c>
      <c r="Z431">
        <v>2000</v>
      </c>
      <c r="AA431">
        <v>209550</v>
      </c>
      <c r="AB431">
        <v>2</v>
      </c>
      <c r="AC431" t="s">
        <v>42</v>
      </c>
      <c r="AD431">
        <v>1000</v>
      </c>
    </row>
    <row r="432" spans="1:30">
      <c r="A432" t="str">
        <f>CONCATENATE(I432,J432)</f>
        <v>BALAJITELEEQ</v>
      </c>
      <c r="B432" s="34">
        <v>46273</v>
      </c>
      <c r="C432" s="34">
        <v>46273</v>
      </c>
      <c r="D432" t="s">
        <v>35</v>
      </c>
      <c r="E432" t="s">
        <v>36</v>
      </c>
      <c r="F432" t="s">
        <v>37</v>
      </c>
      <c r="G432">
        <v>9158</v>
      </c>
      <c r="H432" t="s">
        <v>1351</v>
      </c>
      <c r="I432" t="s">
        <v>1352</v>
      </c>
      <c r="J432" t="s">
        <v>161</v>
      </c>
      <c r="O432" t="s">
        <v>1353</v>
      </c>
      <c r="P432">
        <v>92.82</v>
      </c>
      <c r="Q432">
        <v>95</v>
      </c>
      <c r="R432">
        <v>91.9</v>
      </c>
      <c r="S432">
        <v>93.42</v>
      </c>
      <c r="T432">
        <v>93.6</v>
      </c>
      <c r="U432">
        <v>91.81</v>
      </c>
      <c r="W432">
        <v>93.4</v>
      </c>
      <c r="Z432">
        <v>310562</v>
      </c>
      <c r="AA432">
        <v>29109211.199999999</v>
      </c>
      <c r="AB432">
        <v>4497</v>
      </c>
      <c r="AC432" t="s">
        <v>42</v>
      </c>
      <c r="AD432">
        <v>1</v>
      </c>
    </row>
    <row r="433" spans="1:30">
      <c r="A433" t="str">
        <f>CONCATENATE(I433,J433)</f>
        <v>BALAXIEQ</v>
      </c>
      <c r="B433" s="34">
        <v>46273</v>
      </c>
      <c r="C433" s="34">
        <v>46273</v>
      </c>
      <c r="D433" t="s">
        <v>35</v>
      </c>
      <c r="E433" t="s">
        <v>36</v>
      </c>
      <c r="F433" t="s">
        <v>37</v>
      </c>
      <c r="G433">
        <v>11309</v>
      </c>
      <c r="H433" t="s">
        <v>1354</v>
      </c>
      <c r="I433" t="s">
        <v>1355</v>
      </c>
      <c r="J433" t="s">
        <v>161</v>
      </c>
      <c r="O433" t="s">
        <v>1356</v>
      </c>
      <c r="P433">
        <v>24.24</v>
      </c>
      <c r="Q433">
        <v>24.75</v>
      </c>
      <c r="R433">
        <v>23.2</v>
      </c>
      <c r="S433">
        <v>23.34</v>
      </c>
      <c r="T433">
        <v>23.65</v>
      </c>
      <c r="U433">
        <v>24.24</v>
      </c>
      <c r="W433">
        <v>23.34</v>
      </c>
      <c r="Z433">
        <v>67891</v>
      </c>
      <c r="AA433">
        <v>1623620.8</v>
      </c>
      <c r="AB433">
        <v>292</v>
      </c>
      <c r="AC433" t="s">
        <v>42</v>
      </c>
      <c r="AD433">
        <v>1</v>
      </c>
    </row>
    <row r="434" spans="1:30">
      <c r="A434" t="str">
        <f>CONCATENATE(I434,J434)</f>
        <v>BALKRISINDEQ</v>
      </c>
      <c r="B434" s="34">
        <v>46273</v>
      </c>
      <c r="C434" s="34">
        <v>46273</v>
      </c>
      <c r="D434" t="s">
        <v>35</v>
      </c>
      <c r="E434" t="s">
        <v>36</v>
      </c>
      <c r="F434" t="s">
        <v>37</v>
      </c>
      <c r="G434">
        <v>335</v>
      </c>
      <c r="H434" t="s">
        <v>1357</v>
      </c>
      <c r="I434" t="s">
        <v>1358</v>
      </c>
      <c r="J434" t="s">
        <v>161</v>
      </c>
      <c r="O434" t="s">
        <v>1359</v>
      </c>
      <c r="P434">
        <v>2279.4</v>
      </c>
      <c r="Q434">
        <v>2305.5</v>
      </c>
      <c r="R434">
        <v>2237.1999999999998</v>
      </c>
      <c r="S434">
        <v>2258</v>
      </c>
      <c r="T434">
        <v>2255</v>
      </c>
      <c r="U434">
        <v>2287.1</v>
      </c>
      <c r="W434">
        <v>2257.92</v>
      </c>
      <c r="Z434">
        <v>360643</v>
      </c>
      <c r="AA434">
        <v>815799419.70000005</v>
      </c>
      <c r="AB434">
        <v>43215</v>
      </c>
      <c r="AC434" t="s">
        <v>42</v>
      </c>
      <c r="AD434">
        <v>1</v>
      </c>
    </row>
    <row r="435" spans="1:30">
      <c r="A435" t="str">
        <f>CONCATENATE(I435,J435)</f>
        <v>BALKRISHNAEQ</v>
      </c>
      <c r="B435" s="34">
        <v>46273</v>
      </c>
      <c r="C435" s="34">
        <v>46273</v>
      </c>
      <c r="D435" t="s">
        <v>35</v>
      </c>
      <c r="E435" t="s">
        <v>36</v>
      </c>
      <c r="F435" t="s">
        <v>37</v>
      </c>
      <c r="G435">
        <v>10181</v>
      </c>
      <c r="H435" t="s">
        <v>1360</v>
      </c>
      <c r="I435" t="s">
        <v>1361</v>
      </c>
      <c r="J435" t="s">
        <v>161</v>
      </c>
      <c r="O435" t="s">
        <v>1362</v>
      </c>
      <c r="P435">
        <v>17.399999999999999</v>
      </c>
      <c r="Q435">
        <v>17.399999999999999</v>
      </c>
      <c r="R435">
        <v>16.8</v>
      </c>
      <c r="S435">
        <v>17.03</v>
      </c>
      <c r="T435">
        <v>17.18</v>
      </c>
      <c r="U435">
        <v>16.899999999999999</v>
      </c>
      <c r="W435">
        <v>16.89</v>
      </c>
      <c r="Z435">
        <v>27420</v>
      </c>
      <c r="AA435">
        <v>465525.85</v>
      </c>
      <c r="AB435">
        <v>79</v>
      </c>
      <c r="AC435" t="s">
        <v>42</v>
      </c>
      <c r="AD435">
        <v>1</v>
      </c>
    </row>
    <row r="436" spans="1:30">
      <c r="A436" t="str">
        <f>CONCATENATE(I436,J436)</f>
        <v>BALMLAWRIEEQ</v>
      </c>
      <c r="B436" s="34">
        <v>46273</v>
      </c>
      <c r="C436" s="34">
        <v>46273</v>
      </c>
      <c r="D436" t="s">
        <v>35</v>
      </c>
      <c r="E436" t="s">
        <v>36</v>
      </c>
      <c r="F436" t="s">
        <v>37</v>
      </c>
      <c r="G436">
        <v>338</v>
      </c>
      <c r="H436" t="s">
        <v>1363</v>
      </c>
      <c r="I436" t="s">
        <v>1364</v>
      </c>
      <c r="J436" t="s">
        <v>161</v>
      </c>
      <c r="O436" t="s">
        <v>1365</v>
      </c>
      <c r="P436">
        <v>177.98</v>
      </c>
      <c r="Q436">
        <v>177.98</v>
      </c>
      <c r="R436">
        <v>175.71</v>
      </c>
      <c r="S436">
        <v>176.38</v>
      </c>
      <c r="T436">
        <v>176.6</v>
      </c>
      <c r="U436">
        <v>177.98</v>
      </c>
      <c r="W436">
        <v>176.39</v>
      </c>
      <c r="Z436">
        <v>143306</v>
      </c>
      <c r="AA436">
        <v>25306081.469999999</v>
      </c>
      <c r="AB436">
        <v>2758</v>
      </c>
      <c r="AC436" t="s">
        <v>42</v>
      </c>
      <c r="AD436">
        <v>1</v>
      </c>
    </row>
    <row r="437" spans="1:30">
      <c r="A437" t="str">
        <f>CONCATENATE(I437,J437)</f>
        <v>BLILEQ</v>
      </c>
      <c r="B437" s="34">
        <v>46273</v>
      </c>
      <c r="C437" s="34">
        <v>46273</v>
      </c>
      <c r="D437" t="s">
        <v>35</v>
      </c>
      <c r="E437" t="s">
        <v>36</v>
      </c>
      <c r="F437" t="s">
        <v>37</v>
      </c>
      <c r="G437">
        <v>762603</v>
      </c>
      <c r="H437" t="s">
        <v>1366</v>
      </c>
      <c r="I437" t="s">
        <v>1367</v>
      </c>
      <c r="J437" t="s">
        <v>161</v>
      </c>
      <c r="O437" t="s">
        <v>1368</v>
      </c>
      <c r="P437">
        <v>73.069999999999993</v>
      </c>
      <c r="Q437">
        <v>73.17</v>
      </c>
      <c r="R437">
        <v>72.3</v>
      </c>
      <c r="S437">
        <v>72.430000000000007</v>
      </c>
      <c r="T437">
        <v>72.3</v>
      </c>
      <c r="U437">
        <v>72.790000000000006</v>
      </c>
      <c r="W437">
        <v>72.42</v>
      </c>
      <c r="Z437">
        <v>74366</v>
      </c>
      <c r="AA437">
        <v>5397535.3200000003</v>
      </c>
      <c r="AB437">
        <v>1063</v>
      </c>
      <c r="AC437" t="s">
        <v>42</v>
      </c>
      <c r="AD437">
        <v>1</v>
      </c>
    </row>
    <row r="438" spans="1:30">
      <c r="A438" t="str">
        <f>CONCATENATE(I438,J438)</f>
        <v>BALRAMCHINEQ</v>
      </c>
      <c r="B438" s="34">
        <v>46273</v>
      </c>
      <c r="C438" s="34">
        <v>46273</v>
      </c>
      <c r="D438" t="s">
        <v>35</v>
      </c>
      <c r="E438" t="s">
        <v>36</v>
      </c>
      <c r="F438" t="s">
        <v>37</v>
      </c>
      <c r="G438">
        <v>341</v>
      </c>
      <c r="H438" t="s">
        <v>1369</v>
      </c>
      <c r="I438" t="s">
        <v>1370</v>
      </c>
      <c r="J438" t="s">
        <v>161</v>
      </c>
      <c r="O438" t="s">
        <v>1371</v>
      </c>
      <c r="P438">
        <v>712.05</v>
      </c>
      <c r="Q438">
        <v>742</v>
      </c>
      <c r="R438">
        <v>702.8</v>
      </c>
      <c r="S438">
        <v>711.45</v>
      </c>
      <c r="T438">
        <v>709</v>
      </c>
      <c r="U438">
        <v>711.55</v>
      </c>
      <c r="W438">
        <v>711.49</v>
      </c>
      <c r="Z438">
        <v>3169872</v>
      </c>
      <c r="AA438">
        <v>2271930641.4499998</v>
      </c>
      <c r="AB438">
        <v>57328</v>
      </c>
      <c r="AC438" t="s">
        <v>42</v>
      </c>
      <c r="AD438">
        <v>1</v>
      </c>
    </row>
    <row r="439" spans="1:30">
      <c r="A439" t="str">
        <f>CONCATENATE(I439,J439)</f>
        <v>BALUFORGEEQ</v>
      </c>
      <c r="B439" s="34">
        <v>46273</v>
      </c>
      <c r="C439" s="34">
        <v>46273</v>
      </c>
      <c r="D439" t="s">
        <v>35</v>
      </c>
      <c r="E439" t="s">
        <v>36</v>
      </c>
      <c r="F439" t="s">
        <v>37</v>
      </c>
      <c r="G439">
        <v>23607</v>
      </c>
      <c r="H439" t="s">
        <v>1372</v>
      </c>
      <c r="I439" t="s">
        <v>1373</v>
      </c>
      <c r="J439" t="s">
        <v>161</v>
      </c>
      <c r="O439" t="s">
        <v>1374</v>
      </c>
      <c r="P439">
        <v>552.29999999999995</v>
      </c>
      <c r="Q439">
        <v>557.70000000000005</v>
      </c>
      <c r="R439">
        <v>540.1</v>
      </c>
      <c r="S439">
        <v>541.65</v>
      </c>
      <c r="T439">
        <v>542.79999999999995</v>
      </c>
      <c r="U439">
        <v>557.6</v>
      </c>
      <c r="W439">
        <v>541.64</v>
      </c>
      <c r="Z439">
        <v>787147</v>
      </c>
      <c r="AA439">
        <v>429975004.10000002</v>
      </c>
      <c r="AB439">
        <v>15813</v>
      </c>
      <c r="AC439" t="s">
        <v>42</v>
      </c>
      <c r="AD439">
        <v>1</v>
      </c>
    </row>
    <row r="440" spans="1:30">
      <c r="A440" t="str">
        <f>CONCATENATE(I440,J440)</f>
        <v>BANARBEADSEQ</v>
      </c>
      <c r="B440" s="34">
        <v>46273</v>
      </c>
      <c r="C440" s="34">
        <v>46273</v>
      </c>
      <c r="D440" t="s">
        <v>35</v>
      </c>
      <c r="E440" t="s">
        <v>36</v>
      </c>
      <c r="F440" t="s">
        <v>37</v>
      </c>
      <c r="G440">
        <v>347</v>
      </c>
      <c r="H440" t="s">
        <v>1375</v>
      </c>
      <c r="I440" t="s">
        <v>1376</v>
      </c>
      <c r="J440" t="s">
        <v>161</v>
      </c>
      <c r="O440" t="s">
        <v>1377</v>
      </c>
      <c r="P440">
        <v>112</v>
      </c>
      <c r="Q440">
        <v>113.95</v>
      </c>
      <c r="R440">
        <v>109.05</v>
      </c>
      <c r="S440">
        <v>109.99</v>
      </c>
      <c r="T440">
        <v>111.99</v>
      </c>
      <c r="U440">
        <v>111.13</v>
      </c>
      <c r="W440">
        <v>109.99</v>
      </c>
      <c r="Z440">
        <v>539</v>
      </c>
      <c r="AA440">
        <v>59460.79</v>
      </c>
      <c r="AB440">
        <v>38</v>
      </c>
      <c r="AC440" t="s">
        <v>42</v>
      </c>
      <c r="AD440">
        <v>1</v>
      </c>
    </row>
    <row r="441" spans="1:30">
      <c r="A441" t="str">
        <f>CONCATENATE(I441,J441)</f>
        <v>BANCOINDIAEQ</v>
      </c>
      <c r="B441" s="34">
        <v>46273</v>
      </c>
      <c r="C441" s="34">
        <v>46273</v>
      </c>
      <c r="D441" t="s">
        <v>35</v>
      </c>
      <c r="E441" t="s">
        <v>36</v>
      </c>
      <c r="F441" t="s">
        <v>37</v>
      </c>
      <c r="G441">
        <v>13880</v>
      </c>
      <c r="H441" t="s">
        <v>1378</v>
      </c>
      <c r="I441" t="s">
        <v>1379</v>
      </c>
      <c r="J441" t="s">
        <v>161</v>
      </c>
      <c r="O441" t="s">
        <v>1380</v>
      </c>
      <c r="P441">
        <v>625</v>
      </c>
      <c r="Q441">
        <v>631.70000000000005</v>
      </c>
      <c r="R441">
        <v>622.65</v>
      </c>
      <c r="S441">
        <v>628.29999999999995</v>
      </c>
      <c r="T441">
        <v>628</v>
      </c>
      <c r="U441">
        <v>626.95000000000005</v>
      </c>
      <c r="W441">
        <v>628.54999999999995</v>
      </c>
      <c r="Z441">
        <v>76891</v>
      </c>
      <c r="AA441">
        <v>48232142.350000001</v>
      </c>
      <c r="AB441">
        <v>6341</v>
      </c>
      <c r="AC441" t="s">
        <v>42</v>
      </c>
      <c r="AD441">
        <v>1</v>
      </c>
    </row>
    <row r="442" spans="1:30">
      <c r="A442" t="str">
        <f>CONCATENATE(I442,J442)</f>
        <v>BANDHANBNKEQ</v>
      </c>
      <c r="B442" s="34">
        <v>46273</v>
      </c>
      <c r="C442" s="34">
        <v>46273</v>
      </c>
      <c r="D442" t="s">
        <v>35</v>
      </c>
      <c r="E442" t="s">
        <v>36</v>
      </c>
      <c r="F442" t="s">
        <v>37</v>
      </c>
      <c r="G442">
        <v>2263</v>
      </c>
      <c r="H442" t="s">
        <v>1381</v>
      </c>
      <c r="I442" t="s">
        <v>1382</v>
      </c>
      <c r="J442" t="s">
        <v>161</v>
      </c>
      <c r="O442" t="s">
        <v>1383</v>
      </c>
      <c r="P442">
        <v>165.95</v>
      </c>
      <c r="Q442">
        <v>172.4</v>
      </c>
      <c r="R442">
        <v>163.30000000000001</v>
      </c>
      <c r="S442">
        <v>171.58</v>
      </c>
      <c r="T442">
        <v>171.58</v>
      </c>
      <c r="U442">
        <v>164.7</v>
      </c>
      <c r="W442">
        <v>171.58</v>
      </c>
      <c r="Z442">
        <v>20828794</v>
      </c>
      <c r="AA442">
        <v>3540898835.6500001</v>
      </c>
      <c r="AB442">
        <v>85548</v>
      </c>
      <c r="AC442" t="s">
        <v>42</v>
      </c>
      <c r="AD442">
        <v>1</v>
      </c>
    </row>
    <row r="443" spans="1:30">
      <c r="A443" t="str">
        <f>CONCATENATE(I443,J443)</f>
        <v>GOLDBNDEQ</v>
      </c>
      <c r="B443" s="34">
        <v>46273</v>
      </c>
      <c r="C443" s="34">
        <v>46273</v>
      </c>
      <c r="D443" t="s">
        <v>35</v>
      </c>
      <c r="E443" t="s">
        <v>36</v>
      </c>
      <c r="F443" t="s">
        <v>37</v>
      </c>
      <c r="G443">
        <v>760325</v>
      </c>
      <c r="H443" t="s">
        <v>1384</v>
      </c>
      <c r="I443" t="s">
        <v>1385</v>
      </c>
      <c r="J443" t="s">
        <v>161</v>
      </c>
      <c r="O443" t="s">
        <v>1386</v>
      </c>
      <c r="P443">
        <v>152.69</v>
      </c>
      <c r="Q443">
        <v>153.16999999999999</v>
      </c>
      <c r="R443">
        <v>151.26</v>
      </c>
      <c r="S443">
        <v>152.36000000000001</v>
      </c>
      <c r="T443">
        <v>152.41999999999999</v>
      </c>
      <c r="U443">
        <v>151.80000000000001</v>
      </c>
      <c r="W443">
        <v>152.41</v>
      </c>
      <c r="Z443">
        <v>24203</v>
      </c>
      <c r="AA443">
        <v>3679953.01</v>
      </c>
      <c r="AB443">
        <v>84</v>
      </c>
      <c r="AC443" t="s">
        <v>42</v>
      </c>
      <c r="AD443">
        <v>1</v>
      </c>
    </row>
    <row r="444" spans="1:30">
      <c r="A444" t="str">
        <f>CONCATENATE(I444,J444)</f>
        <v>IDFNIFTYETEQ</v>
      </c>
      <c r="B444" s="34">
        <v>46273</v>
      </c>
      <c r="C444" s="34">
        <v>46273</v>
      </c>
      <c r="D444" t="s">
        <v>35</v>
      </c>
      <c r="E444" t="s">
        <v>36</v>
      </c>
      <c r="F444" t="s">
        <v>37</v>
      </c>
      <c r="G444">
        <v>18783</v>
      </c>
      <c r="H444" t="s">
        <v>1387</v>
      </c>
      <c r="I444" t="s">
        <v>1388</v>
      </c>
      <c r="J444" t="s">
        <v>161</v>
      </c>
      <c r="O444" t="s">
        <v>1389</v>
      </c>
      <c r="P444">
        <v>262.3</v>
      </c>
      <c r="Q444">
        <v>262.54000000000002</v>
      </c>
      <c r="R444">
        <v>261.02</v>
      </c>
      <c r="S444">
        <v>261.92</v>
      </c>
      <c r="T444">
        <v>262.10000000000002</v>
      </c>
      <c r="U444">
        <v>262.43</v>
      </c>
      <c r="W444">
        <v>261.92</v>
      </c>
      <c r="Z444">
        <v>1235</v>
      </c>
      <c r="AA444">
        <v>323622.92</v>
      </c>
      <c r="AB444">
        <v>42</v>
      </c>
      <c r="AC444" t="s">
        <v>42</v>
      </c>
      <c r="AD444">
        <v>1</v>
      </c>
    </row>
    <row r="445" spans="1:30">
      <c r="A445" t="str">
        <f>CONCATENATE(I445,J445)</f>
        <v>SILVERBNDEQ</v>
      </c>
      <c r="B445" s="34">
        <v>46273</v>
      </c>
      <c r="C445" s="34">
        <v>46273</v>
      </c>
      <c r="D445" t="s">
        <v>35</v>
      </c>
      <c r="E445" t="s">
        <v>36</v>
      </c>
      <c r="F445" t="s">
        <v>37</v>
      </c>
      <c r="G445">
        <v>760328</v>
      </c>
      <c r="H445" t="s">
        <v>1390</v>
      </c>
      <c r="I445" t="s">
        <v>1391</v>
      </c>
      <c r="J445" t="s">
        <v>161</v>
      </c>
      <c r="O445" t="s">
        <v>1392</v>
      </c>
      <c r="P445">
        <v>233.89</v>
      </c>
      <c r="Q445">
        <v>234.36</v>
      </c>
      <c r="R445">
        <v>230.8</v>
      </c>
      <c r="S445">
        <v>231.9</v>
      </c>
      <c r="T445">
        <v>232.14</v>
      </c>
      <c r="U445">
        <v>230.34</v>
      </c>
      <c r="W445">
        <v>231.9</v>
      </c>
      <c r="Z445">
        <v>8152</v>
      </c>
      <c r="AA445">
        <v>1896355.65</v>
      </c>
      <c r="AB445">
        <v>266</v>
      </c>
      <c r="AC445" t="s">
        <v>42</v>
      </c>
      <c r="AD445">
        <v>1</v>
      </c>
    </row>
    <row r="446" spans="1:30">
      <c r="A446" t="str">
        <f>CONCATENATE(I446,J446)</f>
        <v>BANGEQ</v>
      </c>
      <c r="B446" s="34">
        <v>46273</v>
      </c>
      <c r="C446" s="34">
        <v>46273</v>
      </c>
      <c r="D446" t="s">
        <v>35</v>
      </c>
      <c r="E446" t="s">
        <v>36</v>
      </c>
      <c r="F446" t="s">
        <v>37</v>
      </c>
      <c r="G446">
        <v>15303</v>
      </c>
      <c r="H446" t="s">
        <v>1393</v>
      </c>
      <c r="I446" t="s">
        <v>1394</v>
      </c>
      <c r="J446" t="s">
        <v>161</v>
      </c>
      <c r="O446" t="s">
        <v>1395</v>
      </c>
      <c r="P446">
        <v>34.11</v>
      </c>
      <c r="Q446">
        <v>34.65</v>
      </c>
      <c r="R446">
        <v>33.450000000000003</v>
      </c>
      <c r="S446">
        <v>33.520000000000003</v>
      </c>
      <c r="T446">
        <v>33.450000000000003</v>
      </c>
      <c r="U446">
        <v>34.61</v>
      </c>
      <c r="W446">
        <v>33.520000000000003</v>
      </c>
      <c r="Z446">
        <v>11655</v>
      </c>
      <c r="AA446">
        <v>392447.78</v>
      </c>
      <c r="AB446">
        <v>192</v>
      </c>
      <c r="AC446" t="s">
        <v>42</v>
      </c>
      <c r="AD446">
        <v>1</v>
      </c>
    </row>
    <row r="447" spans="1:30">
      <c r="A447" t="str">
        <f>CONCATENATE(I447,J447)</f>
        <v>BANKBARODAEQ</v>
      </c>
      <c r="B447" s="34">
        <v>46273</v>
      </c>
      <c r="C447" s="34">
        <v>46273</v>
      </c>
      <c r="D447" t="s">
        <v>35</v>
      </c>
      <c r="E447" t="s">
        <v>36</v>
      </c>
      <c r="F447" t="s">
        <v>37</v>
      </c>
      <c r="G447">
        <v>4668</v>
      </c>
      <c r="H447" t="s">
        <v>1396</v>
      </c>
      <c r="I447" t="s">
        <v>1397</v>
      </c>
      <c r="J447" t="s">
        <v>161</v>
      </c>
      <c r="O447" t="s">
        <v>1398</v>
      </c>
      <c r="P447">
        <v>236.8</v>
      </c>
      <c r="Q447">
        <v>237.7</v>
      </c>
      <c r="R447">
        <v>234.54</v>
      </c>
      <c r="S447">
        <v>236.6</v>
      </c>
      <c r="T447">
        <v>236.6</v>
      </c>
      <c r="U447">
        <v>237</v>
      </c>
      <c r="W447">
        <v>236.58</v>
      </c>
      <c r="Z447">
        <v>7992697</v>
      </c>
      <c r="AA447">
        <v>1882067026.5699999</v>
      </c>
      <c r="AB447">
        <v>44341</v>
      </c>
      <c r="AC447" t="s">
        <v>42</v>
      </c>
      <c r="AD447">
        <v>1</v>
      </c>
    </row>
    <row r="448" spans="1:30">
      <c r="A448" t="str">
        <f>CONCATENATE(I448,J448)</f>
        <v>BANKINDIAEQ</v>
      </c>
      <c r="B448" s="34">
        <v>46273</v>
      </c>
      <c r="C448" s="34">
        <v>46273</v>
      </c>
      <c r="D448" t="s">
        <v>35</v>
      </c>
      <c r="E448" t="s">
        <v>36</v>
      </c>
      <c r="F448" t="s">
        <v>37</v>
      </c>
      <c r="G448">
        <v>4745</v>
      </c>
      <c r="H448" t="s">
        <v>1399</v>
      </c>
      <c r="I448" t="s">
        <v>1400</v>
      </c>
      <c r="J448" t="s">
        <v>161</v>
      </c>
      <c r="O448" t="s">
        <v>1401</v>
      </c>
      <c r="P448">
        <v>142.04</v>
      </c>
      <c r="Q448">
        <v>142.38999999999999</v>
      </c>
      <c r="R448">
        <v>139.72999999999999</v>
      </c>
      <c r="S448">
        <v>140.86000000000001</v>
      </c>
      <c r="T448">
        <v>140.86000000000001</v>
      </c>
      <c r="U448">
        <v>142.02000000000001</v>
      </c>
      <c r="W448">
        <v>140.86000000000001</v>
      </c>
      <c r="Z448">
        <v>4588957</v>
      </c>
      <c r="AA448">
        <v>646329162.63999999</v>
      </c>
      <c r="AB448">
        <v>25394</v>
      </c>
      <c r="AC448" t="s">
        <v>42</v>
      </c>
      <c r="AD448">
        <v>1</v>
      </c>
    </row>
    <row r="449" spans="1:30">
      <c r="A449" t="str">
        <f>CONCATENATE(I449,J449)</f>
        <v>MAHABANKEQ</v>
      </c>
      <c r="B449" s="34">
        <v>46273</v>
      </c>
      <c r="C449" s="34">
        <v>46273</v>
      </c>
      <c r="D449" t="s">
        <v>35</v>
      </c>
      <c r="E449" t="s">
        <v>36</v>
      </c>
      <c r="F449" t="s">
        <v>37</v>
      </c>
      <c r="G449">
        <v>11377</v>
      </c>
      <c r="H449" t="s">
        <v>1402</v>
      </c>
      <c r="I449" t="s">
        <v>1403</v>
      </c>
      <c r="J449" t="s">
        <v>161</v>
      </c>
      <c r="O449" t="s">
        <v>1404</v>
      </c>
      <c r="P449">
        <v>84.55</v>
      </c>
      <c r="Q449">
        <v>85.9</v>
      </c>
      <c r="R449">
        <v>84</v>
      </c>
      <c r="S449">
        <v>84.79</v>
      </c>
      <c r="T449">
        <v>84.79</v>
      </c>
      <c r="U449">
        <v>85</v>
      </c>
      <c r="W449">
        <v>84.79</v>
      </c>
      <c r="Z449">
        <v>10148334</v>
      </c>
      <c r="AA449">
        <v>861904775.59000003</v>
      </c>
      <c r="AB449">
        <v>33292</v>
      </c>
      <c r="AC449" t="s">
        <v>42</v>
      </c>
      <c r="AD449">
        <v>1</v>
      </c>
    </row>
    <row r="450" spans="1:30">
      <c r="A450" t="str">
        <f>CONCATENATE(I450,J450)</f>
        <v>BANKAEQ</v>
      </c>
      <c r="B450" s="34">
        <v>46273</v>
      </c>
      <c r="C450" s="34">
        <v>46273</v>
      </c>
      <c r="D450" t="s">
        <v>35</v>
      </c>
      <c r="E450" t="s">
        <v>36</v>
      </c>
      <c r="F450" t="s">
        <v>37</v>
      </c>
      <c r="G450">
        <v>822</v>
      </c>
      <c r="H450" t="s">
        <v>1405</v>
      </c>
      <c r="I450" t="s">
        <v>1406</v>
      </c>
      <c r="J450" t="s">
        <v>161</v>
      </c>
      <c r="O450" t="s">
        <v>1407</v>
      </c>
      <c r="P450">
        <v>82</v>
      </c>
      <c r="Q450">
        <v>83.5</v>
      </c>
      <c r="R450">
        <v>78.52</v>
      </c>
      <c r="S450">
        <v>79.099999999999994</v>
      </c>
      <c r="T450">
        <v>78.52</v>
      </c>
      <c r="U450">
        <v>82</v>
      </c>
      <c r="W450">
        <v>79.099999999999994</v>
      </c>
      <c r="Z450">
        <v>2035</v>
      </c>
      <c r="AA450">
        <v>166061.21</v>
      </c>
      <c r="AB450">
        <v>39</v>
      </c>
      <c r="AC450" t="s">
        <v>42</v>
      </c>
      <c r="AD450">
        <v>1</v>
      </c>
    </row>
    <row r="451" spans="1:30">
      <c r="A451" t="str">
        <f>CONCATENATE(I451,J451)</f>
        <v>BASMLBE</v>
      </c>
      <c r="B451" s="34">
        <v>46273</v>
      </c>
      <c r="C451" s="34">
        <v>46273</v>
      </c>
      <c r="D451" t="s">
        <v>35</v>
      </c>
      <c r="E451" t="s">
        <v>36</v>
      </c>
      <c r="F451" t="s">
        <v>37</v>
      </c>
      <c r="G451">
        <v>12037</v>
      </c>
      <c r="H451" t="s">
        <v>1408</v>
      </c>
      <c r="I451" t="s">
        <v>1409</v>
      </c>
      <c r="J451" t="s">
        <v>183</v>
      </c>
      <c r="O451" t="s">
        <v>1410</v>
      </c>
      <c r="P451">
        <v>24.75</v>
      </c>
      <c r="Q451">
        <v>25</v>
      </c>
      <c r="R451">
        <v>24.01</v>
      </c>
      <c r="S451">
        <v>24.46</v>
      </c>
      <c r="T451">
        <v>24.16</v>
      </c>
      <c r="U451">
        <v>24.83</v>
      </c>
      <c r="W451">
        <v>24.46</v>
      </c>
      <c r="Z451">
        <v>80278</v>
      </c>
      <c r="AA451">
        <v>1968852.02</v>
      </c>
      <c r="AB451">
        <v>172</v>
      </c>
      <c r="AC451" t="s">
        <v>42</v>
      </c>
      <c r="AD451">
        <v>1</v>
      </c>
    </row>
    <row r="452" spans="1:30">
      <c r="A452" t="str">
        <f>CONCATENATE(I452,J452)</f>
        <v>BANARISUGEQ</v>
      </c>
      <c r="B452" s="34">
        <v>46273</v>
      </c>
      <c r="C452" s="34">
        <v>46273</v>
      </c>
      <c r="D452" t="s">
        <v>35</v>
      </c>
      <c r="E452" t="s">
        <v>36</v>
      </c>
      <c r="F452" t="s">
        <v>37</v>
      </c>
      <c r="G452">
        <v>350</v>
      </c>
      <c r="H452" t="s">
        <v>1411</v>
      </c>
      <c r="I452" t="s">
        <v>1412</v>
      </c>
      <c r="J452" t="s">
        <v>161</v>
      </c>
      <c r="O452" t="s">
        <v>1413</v>
      </c>
      <c r="P452">
        <v>3824.6</v>
      </c>
      <c r="Q452">
        <v>3824.6</v>
      </c>
      <c r="R452">
        <v>3720.1</v>
      </c>
      <c r="S452">
        <v>3743.6</v>
      </c>
      <c r="T452">
        <v>3725.4</v>
      </c>
      <c r="U452">
        <v>3832.3</v>
      </c>
      <c r="W452">
        <v>3743.47</v>
      </c>
      <c r="Z452">
        <v>1142</v>
      </c>
      <c r="AA452">
        <v>4306645.4000000004</v>
      </c>
      <c r="AB452">
        <v>303</v>
      </c>
      <c r="AC452" t="s">
        <v>42</v>
      </c>
      <c r="AD452">
        <v>1</v>
      </c>
    </row>
    <row r="453" spans="1:30">
      <c r="A453" t="str">
        <f>CONCATENATE(I453,J453)</f>
        <v>BANSALWIREEQ</v>
      </c>
      <c r="B453" s="34">
        <v>46273</v>
      </c>
      <c r="C453" s="34">
        <v>46273</v>
      </c>
      <c r="D453" t="s">
        <v>35</v>
      </c>
      <c r="E453" t="s">
        <v>36</v>
      </c>
      <c r="F453" t="s">
        <v>37</v>
      </c>
      <c r="G453">
        <v>24386</v>
      </c>
      <c r="H453" t="s">
        <v>1414</v>
      </c>
      <c r="I453" t="s">
        <v>1415</v>
      </c>
      <c r="J453" t="s">
        <v>161</v>
      </c>
      <c r="O453" t="s">
        <v>1416</v>
      </c>
      <c r="P453">
        <v>320</v>
      </c>
      <c r="Q453">
        <v>321</v>
      </c>
      <c r="R453">
        <v>312.45</v>
      </c>
      <c r="S453">
        <v>314.89999999999998</v>
      </c>
      <c r="T453">
        <v>314.05</v>
      </c>
      <c r="U453">
        <v>317.39999999999998</v>
      </c>
      <c r="W453">
        <v>314.88</v>
      </c>
      <c r="Z453">
        <v>77638</v>
      </c>
      <c r="AA453">
        <v>24474363.050000001</v>
      </c>
      <c r="AB453">
        <v>3889</v>
      </c>
      <c r="AC453" t="s">
        <v>42</v>
      </c>
      <c r="AD453">
        <v>1</v>
      </c>
    </row>
    <row r="454" spans="1:30">
      <c r="A454" t="str">
        <f>CONCATENATE(I454,J454)</f>
        <v>BANSWRASEQ</v>
      </c>
      <c r="B454" s="34">
        <v>46273</v>
      </c>
      <c r="C454" s="34">
        <v>46273</v>
      </c>
      <c r="D454" t="s">
        <v>35</v>
      </c>
      <c r="E454" t="s">
        <v>36</v>
      </c>
      <c r="F454" t="s">
        <v>37</v>
      </c>
      <c r="G454">
        <v>14511</v>
      </c>
      <c r="H454" t="s">
        <v>1417</v>
      </c>
      <c r="I454" t="s">
        <v>1418</v>
      </c>
      <c r="J454" t="s">
        <v>161</v>
      </c>
      <c r="O454" t="s">
        <v>1419</v>
      </c>
      <c r="P454">
        <v>115.95</v>
      </c>
      <c r="Q454">
        <v>116</v>
      </c>
      <c r="R454">
        <v>113.1</v>
      </c>
      <c r="S454">
        <v>115</v>
      </c>
      <c r="T454">
        <v>114</v>
      </c>
      <c r="U454">
        <v>115.32</v>
      </c>
      <c r="W454">
        <v>115</v>
      </c>
      <c r="Z454">
        <v>23714</v>
      </c>
      <c r="AA454">
        <v>2719119.89</v>
      </c>
      <c r="AB454">
        <v>296</v>
      </c>
      <c r="AC454" t="s">
        <v>42</v>
      </c>
      <c r="AD454">
        <v>1</v>
      </c>
    </row>
    <row r="455" spans="1:30">
      <c r="A455" t="str">
        <f>CONCATENATE(I455,J455)</f>
        <v>BVCLEQ</v>
      </c>
      <c r="B455" s="34">
        <v>46273</v>
      </c>
      <c r="C455" s="34">
        <v>46273</v>
      </c>
      <c r="D455" t="s">
        <v>35</v>
      </c>
      <c r="E455" t="s">
        <v>36</v>
      </c>
      <c r="F455" t="s">
        <v>37</v>
      </c>
      <c r="G455">
        <v>15073</v>
      </c>
      <c r="H455" t="s">
        <v>1420</v>
      </c>
      <c r="I455" t="s">
        <v>1421</v>
      </c>
      <c r="J455" t="s">
        <v>161</v>
      </c>
      <c r="O455" t="s">
        <v>1422</v>
      </c>
      <c r="P455">
        <v>42.2</v>
      </c>
      <c r="Q455">
        <v>43.79</v>
      </c>
      <c r="R455">
        <v>41.9</v>
      </c>
      <c r="S455">
        <v>42.68</v>
      </c>
      <c r="T455">
        <v>42.41</v>
      </c>
      <c r="U455">
        <v>42.3</v>
      </c>
      <c r="W455">
        <v>42.68</v>
      </c>
      <c r="Z455">
        <v>55539</v>
      </c>
      <c r="AA455">
        <v>2381752.34</v>
      </c>
      <c r="AB455">
        <v>404</v>
      </c>
      <c r="AC455" t="s">
        <v>42</v>
      </c>
      <c r="AD455">
        <v>1</v>
      </c>
    </row>
    <row r="456" spans="1:30">
      <c r="A456" t="str">
        <f>CONCATENATE(I456,J456)</f>
        <v>BARFLEXSM</v>
      </c>
      <c r="B456" s="34">
        <v>46273</v>
      </c>
      <c r="C456" s="34">
        <v>46273</v>
      </c>
      <c r="D456" t="s">
        <v>35</v>
      </c>
      <c r="E456" t="s">
        <v>36</v>
      </c>
      <c r="F456" t="s">
        <v>37</v>
      </c>
      <c r="G456">
        <v>29176</v>
      </c>
      <c r="H456" t="s">
        <v>1423</v>
      </c>
      <c r="I456" t="s">
        <v>1424</v>
      </c>
      <c r="J456" t="s">
        <v>267</v>
      </c>
      <c r="O456" t="s">
        <v>1425</v>
      </c>
      <c r="P456">
        <v>60.9</v>
      </c>
      <c r="Q456">
        <v>60.9</v>
      </c>
      <c r="R456">
        <v>57.05</v>
      </c>
      <c r="S456">
        <v>58.4</v>
      </c>
      <c r="T456">
        <v>58.4</v>
      </c>
      <c r="U456">
        <v>60.5</v>
      </c>
      <c r="W456">
        <v>58.4</v>
      </c>
      <c r="Z456">
        <v>8000</v>
      </c>
      <c r="AA456">
        <v>466800</v>
      </c>
      <c r="AB456">
        <v>3</v>
      </c>
      <c r="AC456" t="s">
        <v>42</v>
      </c>
      <c r="AD456">
        <v>2000</v>
      </c>
    </row>
    <row r="457" spans="1:30">
      <c r="A457" t="str">
        <f>CONCATENATE(I457,J457)</f>
        <v>BBNPNBETFEQ</v>
      </c>
      <c r="B457" s="34">
        <v>46273</v>
      </c>
      <c r="C457" s="34">
        <v>46273</v>
      </c>
      <c r="D457" t="s">
        <v>35</v>
      </c>
      <c r="E457" t="s">
        <v>36</v>
      </c>
      <c r="F457" t="s">
        <v>37</v>
      </c>
      <c r="G457">
        <v>24117</v>
      </c>
      <c r="H457" t="s">
        <v>1426</v>
      </c>
      <c r="I457" t="s">
        <v>1427</v>
      </c>
      <c r="J457" t="s">
        <v>161</v>
      </c>
      <c r="O457" t="s">
        <v>1428</v>
      </c>
      <c r="P457">
        <v>57.72</v>
      </c>
      <c r="Q457">
        <v>58.29</v>
      </c>
      <c r="R457">
        <v>57.1</v>
      </c>
      <c r="S457">
        <v>57.13</v>
      </c>
      <c r="T457">
        <v>57.1</v>
      </c>
      <c r="U457">
        <v>57.78</v>
      </c>
      <c r="W457">
        <v>57.13</v>
      </c>
      <c r="Z457">
        <v>3715</v>
      </c>
      <c r="AA457">
        <v>212636.62</v>
      </c>
      <c r="AB457">
        <v>25</v>
      </c>
      <c r="AC457" t="s">
        <v>42</v>
      </c>
      <c r="AD457">
        <v>1</v>
      </c>
    </row>
    <row r="458" spans="1:30">
      <c r="A458" t="str">
        <f>CONCATENATE(I458,J458)</f>
        <v>BBNPPGOLDEQ</v>
      </c>
      <c r="B458" s="34">
        <v>46273</v>
      </c>
      <c r="C458" s="34">
        <v>46273</v>
      </c>
      <c r="D458" t="s">
        <v>35</v>
      </c>
      <c r="E458" t="s">
        <v>36</v>
      </c>
      <c r="F458" t="s">
        <v>37</v>
      </c>
      <c r="G458">
        <v>20547</v>
      </c>
      <c r="H458" t="s">
        <v>1429</v>
      </c>
      <c r="I458" t="s">
        <v>1430</v>
      </c>
      <c r="J458" t="s">
        <v>161</v>
      </c>
      <c r="O458" t="s">
        <v>1431</v>
      </c>
      <c r="P458">
        <v>147.4</v>
      </c>
      <c r="Q458">
        <v>147.80000000000001</v>
      </c>
      <c r="R458">
        <v>146.65</v>
      </c>
      <c r="S458">
        <v>147.6</v>
      </c>
      <c r="T458">
        <v>147.69999999999999</v>
      </c>
      <c r="U458">
        <v>146.6</v>
      </c>
      <c r="W458">
        <v>147.6</v>
      </c>
      <c r="Z458">
        <v>659</v>
      </c>
      <c r="AA458">
        <v>97176.1</v>
      </c>
      <c r="AB458">
        <v>33</v>
      </c>
      <c r="AC458" t="s">
        <v>42</v>
      </c>
      <c r="AD458">
        <v>1</v>
      </c>
    </row>
    <row r="459" spans="1:30">
      <c r="A459" t="str">
        <f>CONCATENATE(I459,J459)</f>
        <v>BASFEQ</v>
      </c>
      <c r="B459" s="34">
        <v>46273</v>
      </c>
      <c r="C459" s="34">
        <v>46273</v>
      </c>
      <c r="D459" t="s">
        <v>35</v>
      </c>
      <c r="E459" t="s">
        <v>36</v>
      </c>
      <c r="F459" t="s">
        <v>37</v>
      </c>
      <c r="G459">
        <v>368</v>
      </c>
      <c r="H459" t="s">
        <v>1432</v>
      </c>
      <c r="I459" t="s">
        <v>1433</v>
      </c>
      <c r="J459" t="s">
        <v>161</v>
      </c>
      <c r="O459" t="s">
        <v>1434</v>
      </c>
      <c r="P459">
        <v>3785.2</v>
      </c>
      <c r="Q459">
        <v>3811.4</v>
      </c>
      <c r="R459">
        <v>3744.2</v>
      </c>
      <c r="S459">
        <v>3788.8</v>
      </c>
      <c r="T459">
        <v>3759</v>
      </c>
      <c r="U459">
        <v>3788</v>
      </c>
      <c r="W459">
        <v>3788.79</v>
      </c>
      <c r="Z459">
        <v>25345</v>
      </c>
      <c r="AA459">
        <v>95749013.400000006</v>
      </c>
      <c r="AB459">
        <v>4107</v>
      </c>
      <c r="AC459" t="s">
        <v>42</v>
      </c>
      <c r="AD459">
        <v>1</v>
      </c>
    </row>
    <row r="460" spans="1:30">
      <c r="A460" t="str">
        <f>CONCATENATE(I460,J460)</f>
        <v>BASILICSM</v>
      </c>
      <c r="B460" s="34">
        <v>46273</v>
      </c>
      <c r="C460" s="34">
        <v>46273</v>
      </c>
      <c r="D460" t="s">
        <v>35</v>
      </c>
      <c r="E460" t="s">
        <v>36</v>
      </c>
      <c r="F460" t="s">
        <v>37</v>
      </c>
      <c r="G460">
        <v>18442</v>
      </c>
      <c r="H460" t="s">
        <v>1435</v>
      </c>
      <c r="I460" t="s">
        <v>1436</v>
      </c>
      <c r="J460" t="s">
        <v>267</v>
      </c>
      <c r="O460" t="s">
        <v>1437</v>
      </c>
      <c r="P460">
        <v>186</v>
      </c>
      <c r="Q460">
        <v>187.5</v>
      </c>
      <c r="R460">
        <v>185.3</v>
      </c>
      <c r="S460">
        <v>185.55</v>
      </c>
      <c r="T460">
        <v>185.95</v>
      </c>
      <c r="U460">
        <v>187.45</v>
      </c>
      <c r="W460">
        <v>185.55</v>
      </c>
      <c r="Z460">
        <v>5700</v>
      </c>
      <c r="AA460">
        <v>1063440</v>
      </c>
      <c r="AB460">
        <v>12</v>
      </c>
      <c r="AC460" t="s">
        <v>42</v>
      </c>
      <c r="AD460">
        <v>300</v>
      </c>
    </row>
    <row r="461" spans="1:30">
      <c r="A461" t="str">
        <f>CONCATENATE(I461,J461)</f>
        <v>BATAINDIAEQ</v>
      </c>
      <c r="B461" s="34">
        <v>46273</v>
      </c>
      <c r="C461" s="34">
        <v>46273</v>
      </c>
      <c r="D461" t="s">
        <v>35</v>
      </c>
      <c r="E461" t="s">
        <v>36</v>
      </c>
      <c r="F461" t="s">
        <v>37</v>
      </c>
      <c r="G461">
        <v>371</v>
      </c>
      <c r="H461" t="s">
        <v>1438</v>
      </c>
      <c r="I461" t="s">
        <v>1439</v>
      </c>
      <c r="J461" t="s">
        <v>161</v>
      </c>
      <c r="O461" t="s">
        <v>1440</v>
      </c>
      <c r="P461">
        <v>669</v>
      </c>
      <c r="Q461">
        <v>670.4</v>
      </c>
      <c r="R461">
        <v>659.9</v>
      </c>
      <c r="S461">
        <v>663.85</v>
      </c>
      <c r="T461">
        <v>664</v>
      </c>
      <c r="U461">
        <v>669.45</v>
      </c>
      <c r="W461">
        <v>663.87</v>
      </c>
      <c r="Z461">
        <v>107016</v>
      </c>
      <c r="AA461">
        <v>71017456.099999994</v>
      </c>
      <c r="AB461">
        <v>10804</v>
      </c>
      <c r="AC461" t="s">
        <v>42</v>
      </c>
      <c r="AD461">
        <v>1</v>
      </c>
    </row>
    <row r="462" spans="1:30">
      <c r="A462" t="str">
        <f>CONCATENATE(I462,J462)</f>
        <v>BATLIBOIEQ</v>
      </c>
      <c r="B462" s="34">
        <v>46273</v>
      </c>
      <c r="C462" s="34">
        <v>46273</v>
      </c>
      <c r="D462" t="s">
        <v>35</v>
      </c>
      <c r="E462" t="s">
        <v>36</v>
      </c>
      <c r="F462" t="s">
        <v>37</v>
      </c>
      <c r="G462">
        <v>762568</v>
      </c>
      <c r="H462" t="s">
        <v>1441</v>
      </c>
      <c r="I462" t="s">
        <v>1442</v>
      </c>
      <c r="J462" t="s">
        <v>161</v>
      </c>
      <c r="O462" t="s">
        <v>1443</v>
      </c>
      <c r="P462">
        <v>89.59</v>
      </c>
      <c r="Q462">
        <v>89.6</v>
      </c>
      <c r="R462">
        <v>86.42</v>
      </c>
      <c r="S462">
        <v>87.63</v>
      </c>
      <c r="T462">
        <v>87.85</v>
      </c>
      <c r="U462">
        <v>88.83</v>
      </c>
      <c r="W462">
        <v>87.63</v>
      </c>
      <c r="Z462">
        <v>41932</v>
      </c>
      <c r="AA462">
        <v>3696205.59</v>
      </c>
      <c r="AB462">
        <v>1963</v>
      </c>
      <c r="AC462" t="s">
        <v>42</v>
      </c>
      <c r="AD462">
        <v>1</v>
      </c>
    </row>
    <row r="463" spans="1:30">
      <c r="A463" t="str">
        <f>CONCATENATE(I463,J463)</f>
        <v>BAWEJASM</v>
      </c>
      <c r="B463" s="34">
        <v>46273</v>
      </c>
      <c r="C463" s="34">
        <v>46273</v>
      </c>
      <c r="D463" t="s">
        <v>35</v>
      </c>
      <c r="E463" t="s">
        <v>36</v>
      </c>
      <c r="F463" t="s">
        <v>37</v>
      </c>
      <c r="G463">
        <v>22571</v>
      </c>
      <c r="H463" t="s">
        <v>1444</v>
      </c>
      <c r="I463" t="s">
        <v>1445</v>
      </c>
      <c r="J463" t="s">
        <v>267</v>
      </c>
      <c r="O463" t="s">
        <v>1446</v>
      </c>
      <c r="P463">
        <v>25.6</v>
      </c>
      <c r="Q463">
        <v>25.6</v>
      </c>
      <c r="R463">
        <v>25.6</v>
      </c>
      <c r="S463">
        <v>25.6</v>
      </c>
      <c r="T463">
        <v>25.6</v>
      </c>
      <c r="U463">
        <v>26.1</v>
      </c>
      <c r="W463">
        <v>25.6</v>
      </c>
      <c r="Z463">
        <v>800</v>
      </c>
      <c r="AA463">
        <v>20480</v>
      </c>
      <c r="AB463">
        <v>1</v>
      </c>
      <c r="AC463" t="s">
        <v>42</v>
      </c>
      <c r="AD463">
        <v>800</v>
      </c>
    </row>
    <row r="464" spans="1:30">
      <c r="A464" t="str">
        <f>CONCATENATE(I464,J464)</f>
        <v>BAYERCROPEQ</v>
      </c>
      <c r="B464" s="34">
        <v>46273</v>
      </c>
      <c r="C464" s="34">
        <v>46273</v>
      </c>
      <c r="D464" t="s">
        <v>35</v>
      </c>
      <c r="E464" t="s">
        <v>36</v>
      </c>
      <c r="F464" t="s">
        <v>37</v>
      </c>
      <c r="G464">
        <v>17927</v>
      </c>
      <c r="H464" t="s">
        <v>1447</v>
      </c>
      <c r="I464" t="s">
        <v>1448</v>
      </c>
      <c r="J464" t="s">
        <v>161</v>
      </c>
      <c r="O464" t="s">
        <v>1449</v>
      </c>
      <c r="P464">
        <v>3980</v>
      </c>
      <c r="Q464">
        <v>3997.8</v>
      </c>
      <c r="R464">
        <v>3972.5</v>
      </c>
      <c r="S464">
        <v>3984.9</v>
      </c>
      <c r="T464">
        <v>3981</v>
      </c>
      <c r="U464">
        <v>3987.4</v>
      </c>
      <c r="W464">
        <v>3984.91</v>
      </c>
      <c r="Z464">
        <v>8994</v>
      </c>
      <c r="AA464">
        <v>35850575.899999999</v>
      </c>
      <c r="AB464">
        <v>2790</v>
      </c>
      <c r="AC464" t="s">
        <v>42</v>
      </c>
      <c r="AD464">
        <v>1</v>
      </c>
    </row>
    <row r="465" spans="1:30">
      <c r="A465" t="str">
        <f>CONCATENATE(I465,J465)</f>
        <v>BCLINDEQ</v>
      </c>
      <c r="B465" s="34">
        <v>46273</v>
      </c>
      <c r="C465" s="34">
        <v>46273</v>
      </c>
      <c r="D465" t="s">
        <v>35</v>
      </c>
      <c r="E465" t="s">
        <v>36</v>
      </c>
      <c r="F465" t="s">
        <v>37</v>
      </c>
      <c r="G465">
        <v>2513</v>
      </c>
      <c r="H465" t="s">
        <v>1450</v>
      </c>
      <c r="I465" t="s">
        <v>1451</v>
      </c>
      <c r="J465" t="s">
        <v>161</v>
      </c>
      <c r="O465" t="s">
        <v>1452</v>
      </c>
      <c r="P465">
        <v>36.479999999999997</v>
      </c>
      <c r="Q465">
        <v>36.880000000000003</v>
      </c>
      <c r="R465">
        <v>35.770000000000003</v>
      </c>
      <c r="S465">
        <v>36</v>
      </c>
      <c r="T465">
        <v>36.1</v>
      </c>
      <c r="U465">
        <v>36.479999999999997</v>
      </c>
      <c r="W465">
        <v>36</v>
      </c>
      <c r="Z465">
        <v>353778</v>
      </c>
      <c r="AA465">
        <v>12752849.59</v>
      </c>
      <c r="AB465">
        <v>2181</v>
      </c>
      <c r="AC465" t="s">
        <v>42</v>
      </c>
      <c r="AD465">
        <v>1</v>
      </c>
    </row>
    <row r="466" spans="1:30">
      <c r="A466" t="str">
        <f>CONCATENATE(I466,J466)</f>
        <v>BCPLEQ</v>
      </c>
      <c r="B466" s="34">
        <v>46273</v>
      </c>
      <c r="C466" s="34">
        <v>46273</v>
      </c>
      <c r="D466" t="s">
        <v>35</v>
      </c>
      <c r="E466" t="s">
        <v>36</v>
      </c>
      <c r="F466" t="s">
        <v>37</v>
      </c>
      <c r="G466">
        <v>761494</v>
      </c>
      <c r="H466" t="s">
        <v>1453</v>
      </c>
      <c r="I466" t="s">
        <v>1454</v>
      </c>
      <c r="J466" t="s">
        <v>161</v>
      </c>
      <c r="O466" t="s">
        <v>1455</v>
      </c>
      <c r="P466">
        <v>70.56</v>
      </c>
      <c r="Q466">
        <v>74</v>
      </c>
      <c r="R466">
        <v>68.06</v>
      </c>
      <c r="S466">
        <v>71.040000000000006</v>
      </c>
      <c r="T466">
        <v>72</v>
      </c>
      <c r="U466">
        <v>68.39</v>
      </c>
      <c r="W466">
        <v>71.05</v>
      </c>
      <c r="Z466">
        <v>72707</v>
      </c>
      <c r="AA466">
        <v>5238909.37</v>
      </c>
      <c r="AB466">
        <v>1401</v>
      </c>
      <c r="AC466" t="s">
        <v>42</v>
      </c>
      <c r="AD466">
        <v>1</v>
      </c>
    </row>
    <row r="467" spans="1:30">
      <c r="A467" t="str">
        <f>CONCATENATE(I467,J467)</f>
        <v>BEACONSM</v>
      </c>
      <c r="B467" s="34">
        <v>46273</v>
      </c>
      <c r="C467" s="34">
        <v>46273</v>
      </c>
      <c r="D467" t="s">
        <v>35</v>
      </c>
      <c r="E467" t="s">
        <v>36</v>
      </c>
      <c r="F467" t="s">
        <v>37</v>
      </c>
      <c r="G467">
        <v>23922</v>
      </c>
      <c r="H467" t="s">
        <v>1456</v>
      </c>
      <c r="I467" t="s">
        <v>1457</v>
      </c>
      <c r="J467" t="s">
        <v>267</v>
      </c>
      <c r="O467" t="s">
        <v>1458</v>
      </c>
      <c r="P467">
        <v>83.6</v>
      </c>
      <c r="Q467">
        <v>84.6</v>
      </c>
      <c r="R467">
        <v>82.6</v>
      </c>
      <c r="S467">
        <v>82.6</v>
      </c>
      <c r="T467">
        <v>82.6</v>
      </c>
      <c r="U467">
        <v>83.6</v>
      </c>
      <c r="W467">
        <v>82.6</v>
      </c>
      <c r="Z467">
        <v>4000</v>
      </c>
      <c r="AA467">
        <v>334400</v>
      </c>
      <c r="AB467">
        <v>4</v>
      </c>
      <c r="AC467" t="s">
        <v>42</v>
      </c>
      <c r="AD467">
        <v>1000</v>
      </c>
    </row>
    <row r="468" spans="1:30">
      <c r="A468" t="str">
        <f>CONCATENATE(I468,J468)</f>
        <v>BEARDSELLEQ</v>
      </c>
      <c r="B468" s="34">
        <v>46273</v>
      </c>
      <c r="C468" s="34">
        <v>46273</v>
      </c>
      <c r="D468" t="s">
        <v>35</v>
      </c>
      <c r="E468" t="s">
        <v>36</v>
      </c>
      <c r="F468" t="s">
        <v>37</v>
      </c>
      <c r="G468">
        <v>17933</v>
      </c>
      <c r="H468" t="s">
        <v>1459</v>
      </c>
      <c r="I468" t="s">
        <v>1460</v>
      </c>
      <c r="J468" t="s">
        <v>161</v>
      </c>
      <c r="O468" t="s">
        <v>1461</v>
      </c>
      <c r="P468">
        <v>25.2</v>
      </c>
      <c r="Q468">
        <v>25.25</v>
      </c>
      <c r="R468">
        <v>24.06</v>
      </c>
      <c r="S468">
        <v>24.77</v>
      </c>
      <c r="T468">
        <v>24.7</v>
      </c>
      <c r="U468">
        <v>24.99</v>
      </c>
      <c r="W468">
        <v>24.77</v>
      </c>
      <c r="Z468">
        <v>44012</v>
      </c>
      <c r="AA468">
        <v>1080332.49</v>
      </c>
      <c r="AB468">
        <v>467</v>
      </c>
      <c r="AC468" t="s">
        <v>42</v>
      </c>
      <c r="AD468">
        <v>1</v>
      </c>
    </row>
    <row r="469" spans="1:30">
      <c r="A469" t="str">
        <f>CONCATENATE(I469,J469)</f>
        <v>BEDMUTHAEQ</v>
      </c>
      <c r="B469" s="34">
        <v>46273</v>
      </c>
      <c r="C469" s="34">
        <v>46273</v>
      </c>
      <c r="D469" t="s">
        <v>35</v>
      </c>
      <c r="E469" t="s">
        <v>36</v>
      </c>
      <c r="F469" t="s">
        <v>37</v>
      </c>
      <c r="G469">
        <v>20196</v>
      </c>
      <c r="H469" t="s">
        <v>1462</v>
      </c>
      <c r="I469" t="s">
        <v>1463</v>
      </c>
      <c r="J469" t="s">
        <v>161</v>
      </c>
      <c r="O469" t="s">
        <v>1464</v>
      </c>
      <c r="P469">
        <v>108</v>
      </c>
      <c r="Q469">
        <v>111.99</v>
      </c>
      <c r="R469">
        <v>107.79</v>
      </c>
      <c r="S469">
        <v>108</v>
      </c>
      <c r="T469">
        <v>108</v>
      </c>
      <c r="U469">
        <v>107.76</v>
      </c>
      <c r="W469">
        <v>108</v>
      </c>
      <c r="Z469">
        <v>2251</v>
      </c>
      <c r="AA469">
        <v>244331.4</v>
      </c>
      <c r="AB469">
        <v>35</v>
      </c>
      <c r="AC469" t="s">
        <v>42</v>
      </c>
      <c r="AD469">
        <v>1</v>
      </c>
    </row>
    <row r="470" spans="1:30">
      <c r="A470" t="str">
        <f>CONCATENATE(I470,J470)</f>
        <v>BEEKAYEQ</v>
      </c>
      <c r="B470" s="34">
        <v>46273</v>
      </c>
      <c r="C470" s="34">
        <v>46273</v>
      </c>
      <c r="D470" t="s">
        <v>35</v>
      </c>
      <c r="E470" t="s">
        <v>36</v>
      </c>
      <c r="F470" t="s">
        <v>37</v>
      </c>
      <c r="G470">
        <v>762573</v>
      </c>
      <c r="H470" t="s">
        <v>1465</v>
      </c>
      <c r="I470" t="s">
        <v>1466</v>
      </c>
      <c r="J470" t="s">
        <v>161</v>
      </c>
      <c r="O470" t="s">
        <v>1467</v>
      </c>
      <c r="P470">
        <v>429.95</v>
      </c>
      <c r="Q470">
        <v>435.65</v>
      </c>
      <c r="R470">
        <v>420.25</v>
      </c>
      <c r="S470">
        <v>427.6</v>
      </c>
      <c r="T470">
        <v>429.5</v>
      </c>
      <c r="U470">
        <v>428.3</v>
      </c>
      <c r="W470">
        <v>427.77</v>
      </c>
      <c r="Z470">
        <v>3407</v>
      </c>
      <c r="AA470">
        <v>1451513.85</v>
      </c>
      <c r="AB470">
        <v>223</v>
      </c>
      <c r="AC470" t="s">
        <v>42</v>
      </c>
      <c r="AD470">
        <v>1</v>
      </c>
    </row>
    <row r="471" spans="1:30">
      <c r="A471" t="str">
        <f>CONCATENATE(I471,J471)</f>
        <v>BLELEQ</v>
      </c>
      <c r="B471" s="34">
        <v>46273</v>
      </c>
      <c r="C471" s="34">
        <v>46273</v>
      </c>
      <c r="D471" t="s">
        <v>35</v>
      </c>
      <c r="E471" t="s">
        <v>36</v>
      </c>
      <c r="F471" t="s">
        <v>37</v>
      </c>
      <c r="G471">
        <v>765291</v>
      </c>
      <c r="H471" t="s">
        <v>1468</v>
      </c>
      <c r="I471" t="s">
        <v>1469</v>
      </c>
      <c r="J471" t="s">
        <v>161</v>
      </c>
      <c r="O471" t="s">
        <v>1470</v>
      </c>
      <c r="P471">
        <v>477.75</v>
      </c>
      <c r="Q471">
        <v>485</v>
      </c>
      <c r="R471">
        <v>448</v>
      </c>
      <c r="S471">
        <v>451.05</v>
      </c>
      <c r="T471">
        <v>451</v>
      </c>
      <c r="U471">
        <v>478.3</v>
      </c>
      <c r="W471">
        <v>451.07</v>
      </c>
      <c r="Z471">
        <v>2671760</v>
      </c>
      <c r="AA471">
        <v>1241996104.6500001</v>
      </c>
      <c r="AB471">
        <v>50899</v>
      </c>
      <c r="AC471" t="s">
        <v>42</v>
      </c>
      <c r="AD471">
        <v>1</v>
      </c>
    </row>
    <row r="472" spans="1:30">
      <c r="A472" t="str">
        <f>CONCATENATE(I472,J472)</f>
        <v>BELLACASAEQ</v>
      </c>
      <c r="B472" s="34">
        <v>46273</v>
      </c>
      <c r="C472" s="34">
        <v>46273</v>
      </c>
      <c r="D472" t="s">
        <v>35</v>
      </c>
      <c r="E472" t="s">
        <v>36</v>
      </c>
      <c r="F472" t="s">
        <v>37</v>
      </c>
      <c r="G472">
        <v>757938</v>
      </c>
      <c r="H472" t="s">
        <v>1471</v>
      </c>
      <c r="I472" t="s">
        <v>1472</v>
      </c>
      <c r="J472" t="s">
        <v>161</v>
      </c>
      <c r="O472" t="s">
        <v>1473</v>
      </c>
      <c r="P472">
        <v>243</v>
      </c>
      <c r="Q472">
        <v>243</v>
      </c>
      <c r="R472">
        <v>239.4</v>
      </c>
      <c r="S472">
        <v>241.18</v>
      </c>
      <c r="T472">
        <v>241</v>
      </c>
      <c r="U472">
        <v>240.87</v>
      </c>
      <c r="W472">
        <v>241.18</v>
      </c>
      <c r="Z472">
        <v>4006</v>
      </c>
      <c r="AA472">
        <v>965062.62</v>
      </c>
      <c r="AB472">
        <v>254</v>
      </c>
      <c r="AC472" t="s">
        <v>42</v>
      </c>
      <c r="AD472">
        <v>1</v>
      </c>
    </row>
    <row r="473" spans="1:30">
      <c r="A473" t="str">
        <f>CONCATENATE(I473,J473)</f>
        <v>BELRISEEQ</v>
      </c>
      <c r="B473" s="34">
        <v>46273</v>
      </c>
      <c r="C473" s="34">
        <v>46273</v>
      </c>
      <c r="D473" t="s">
        <v>35</v>
      </c>
      <c r="E473" t="s">
        <v>36</v>
      </c>
      <c r="F473" t="s">
        <v>37</v>
      </c>
      <c r="G473">
        <v>757102</v>
      </c>
      <c r="H473" t="s">
        <v>1474</v>
      </c>
      <c r="I473" t="s">
        <v>1475</v>
      </c>
      <c r="J473" t="s">
        <v>161</v>
      </c>
      <c r="O473" t="s">
        <v>1476</v>
      </c>
      <c r="P473">
        <v>230.41</v>
      </c>
      <c r="Q473">
        <v>230.95</v>
      </c>
      <c r="R473">
        <v>225</v>
      </c>
      <c r="S473">
        <v>227.17</v>
      </c>
      <c r="T473">
        <v>227.79</v>
      </c>
      <c r="U473">
        <v>230.29</v>
      </c>
      <c r="W473">
        <v>227.17</v>
      </c>
      <c r="Z473">
        <v>5392903</v>
      </c>
      <c r="AA473">
        <v>1222492705.7</v>
      </c>
      <c r="AB473">
        <v>78832</v>
      </c>
      <c r="AC473" t="s">
        <v>42</v>
      </c>
      <c r="AD473">
        <v>1</v>
      </c>
    </row>
    <row r="474" spans="1:30">
      <c r="A474" t="str">
        <f>CONCATENATE(I474,J474)</f>
        <v>BLALEQ</v>
      </c>
      <c r="B474" s="34">
        <v>46273</v>
      </c>
      <c r="C474" s="34">
        <v>46273</v>
      </c>
      <c r="D474" t="s">
        <v>35</v>
      </c>
      <c r="E474" t="s">
        <v>36</v>
      </c>
      <c r="F474" t="s">
        <v>37</v>
      </c>
      <c r="G474">
        <v>15067</v>
      </c>
      <c r="H474" t="s">
        <v>1477</v>
      </c>
      <c r="I474" t="s">
        <v>1478</v>
      </c>
      <c r="J474" t="s">
        <v>161</v>
      </c>
      <c r="O474" t="s">
        <v>1479</v>
      </c>
      <c r="P474">
        <v>160.79</v>
      </c>
      <c r="Q474">
        <v>163.07</v>
      </c>
      <c r="R474">
        <v>159.49</v>
      </c>
      <c r="S474">
        <v>161.91999999999999</v>
      </c>
      <c r="T474">
        <v>162.9</v>
      </c>
      <c r="U474">
        <v>158.97999999999999</v>
      </c>
      <c r="W474">
        <v>161.81</v>
      </c>
      <c r="Z474">
        <v>33224</v>
      </c>
      <c r="AA474">
        <v>5354394.5999999996</v>
      </c>
      <c r="AB474">
        <v>880</v>
      </c>
      <c r="AC474" t="s">
        <v>42</v>
      </c>
      <c r="AD474">
        <v>1</v>
      </c>
    </row>
    <row r="475" spans="1:30">
      <c r="A475" t="str">
        <f>CONCATENATE(I475,J475)</f>
        <v>BEMLEQ</v>
      </c>
      <c r="B475" s="34">
        <v>46273</v>
      </c>
      <c r="C475" s="34">
        <v>46273</v>
      </c>
      <c r="D475" t="s">
        <v>35</v>
      </c>
      <c r="E475" t="s">
        <v>36</v>
      </c>
      <c r="F475" t="s">
        <v>37</v>
      </c>
      <c r="G475">
        <v>395</v>
      </c>
      <c r="H475" t="s">
        <v>1480</v>
      </c>
      <c r="I475" t="s">
        <v>1481</v>
      </c>
      <c r="J475" t="s">
        <v>161</v>
      </c>
      <c r="O475" t="s">
        <v>1482</v>
      </c>
      <c r="P475">
        <v>2120</v>
      </c>
      <c r="Q475">
        <v>2205</v>
      </c>
      <c r="R475">
        <v>2095.1</v>
      </c>
      <c r="S475">
        <v>2105.6</v>
      </c>
      <c r="T475">
        <v>2099</v>
      </c>
      <c r="U475">
        <v>2097.1999999999998</v>
      </c>
      <c r="W475">
        <v>2105.61</v>
      </c>
      <c r="Z475">
        <v>1462432</v>
      </c>
      <c r="AA475">
        <v>3155493129.0999999</v>
      </c>
      <c r="AB475">
        <v>87453</v>
      </c>
      <c r="AC475" t="s">
        <v>42</v>
      </c>
      <c r="AD475">
        <v>1</v>
      </c>
    </row>
    <row r="476" spans="1:30">
      <c r="A476" t="str">
        <f>CONCATENATE(I476,J476)</f>
        <v>BENARASEQ</v>
      </c>
      <c r="B476" s="34">
        <v>46273</v>
      </c>
      <c r="C476" s="34">
        <v>46273</v>
      </c>
      <c r="D476" t="s">
        <v>35</v>
      </c>
      <c r="E476" t="s">
        <v>36</v>
      </c>
      <c r="F476" t="s">
        <v>37</v>
      </c>
      <c r="G476">
        <v>764618</v>
      </c>
      <c r="H476" t="s">
        <v>1483</v>
      </c>
      <c r="I476" t="s">
        <v>1484</v>
      </c>
      <c r="J476" t="s">
        <v>161</v>
      </c>
      <c r="O476" t="s">
        <v>1485</v>
      </c>
      <c r="P476">
        <v>10120</v>
      </c>
      <c r="Q476">
        <v>10250</v>
      </c>
      <c r="R476">
        <v>10120</v>
      </c>
      <c r="S476">
        <v>10250</v>
      </c>
      <c r="T476">
        <v>10250</v>
      </c>
      <c r="U476">
        <v>10134</v>
      </c>
      <c r="W476">
        <v>10225</v>
      </c>
      <c r="Z476">
        <v>57</v>
      </c>
      <c r="AA476">
        <v>581497</v>
      </c>
      <c r="AB476">
        <v>8</v>
      </c>
      <c r="AC476" t="s">
        <v>42</v>
      </c>
      <c r="AD476">
        <v>1</v>
      </c>
    </row>
    <row r="477" spans="1:30">
      <c r="A477" t="str">
        <f>CONCATENATE(I477,J477)</f>
        <v>BENGALASMEQ</v>
      </c>
      <c r="B477" s="34">
        <v>46273</v>
      </c>
      <c r="C477" s="34">
        <v>46273</v>
      </c>
      <c r="D477" t="s">
        <v>35</v>
      </c>
      <c r="E477" t="s">
        <v>36</v>
      </c>
      <c r="F477" t="s">
        <v>37</v>
      </c>
      <c r="G477">
        <v>762578</v>
      </c>
      <c r="H477" t="s">
        <v>1486</v>
      </c>
      <c r="I477" t="s">
        <v>1487</v>
      </c>
      <c r="J477" t="s">
        <v>161</v>
      </c>
      <c r="O477" t="s">
        <v>1488</v>
      </c>
      <c r="P477">
        <v>6349.5</v>
      </c>
      <c r="Q477">
        <v>6350</v>
      </c>
      <c r="R477">
        <v>6206</v>
      </c>
      <c r="S477">
        <v>6222</v>
      </c>
      <c r="T477">
        <v>6226</v>
      </c>
      <c r="U477">
        <v>6302</v>
      </c>
      <c r="W477">
        <v>6219.57</v>
      </c>
      <c r="Z477">
        <v>252</v>
      </c>
      <c r="AA477">
        <v>1576866</v>
      </c>
      <c r="AB477">
        <v>61</v>
      </c>
      <c r="AC477" t="s">
        <v>42</v>
      </c>
      <c r="AD477">
        <v>1</v>
      </c>
    </row>
    <row r="478" spans="1:30">
      <c r="A478" t="str">
        <f>CONCATENATE(I478,J478)</f>
        <v>BERGEPAINTEQ</v>
      </c>
      <c r="B478" s="34">
        <v>46273</v>
      </c>
      <c r="C478" s="34">
        <v>46273</v>
      </c>
      <c r="D478" t="s">
        <v>35</v>
      </c>
      <c r="E478" t="s">
        <v>36</v>
      </c>
      <c r="F478" t="s">
        <v>37</v>
      </c>
      <c r="G478">
        <v>404</v>
      </c>
      <c r="H478" t="s">
        <v>1489</v>
      </c>
      <c r="I478" t="s">
        <v>1490</v>
      </c>
      <c r="J478" t="s">
        <v>161</v>
      </c>
      <c r="O478" t="s">
        <v>1491</v>
      </c>
      <c r="P478">
        <v>484.5</v>
      </c>
      <c r="Q478">
        <v>485.65</v>
      </c>
      <c r="R478">
        <v>476.15</v>
      </c>
      <c r="S478">
        <v>479.45</v>
      </c>
      <c r="T478">
        <v>478.75</v>
      </c>
      <c r="U478">
        <v>484.5</v>
      </c>
      <c r="W478">
        <v>479.45</v>
      </c>
      <c r="Z478">
        <v>224801</v>
      </c>
      <c r="AA478">
        <v>107876379.65000001</v>
      </c>
      <c r="AB478">
        <v>14430</v>
      </c>
      <c r="AC478" t="s">
        <v>42</v>
      </c>
      <c r="AD478">
        <v>1</v>
      </c>
    </row>
    <row r="479" spans="1:30">
      <c r="A479" t="str">
        <f>CONCATENATE(I479,J479)</f>
        <v>BESTAGROEQ</v>
      </c>
      <c r="B479" s="34">
        <v>46273</v>
      </c>
      <c r="C479" s="34">
        <v>46273</v>
      </c>
      <c r="D479" t="s">
        <v>35</v>
      </c>
      <c r="E479" t="s">
        <v>36</v>
      </c>
      <c r="F479" t="s">
        <v>37</v>
      </c>
      <c r="G479">
        <v>2306</v>
      </c>
      <c r="H479" t="s">
        <v>1492</v>
      </c>
      <c r="I479" t="s">
        <v>1493</v>
      </c>
      <c r="J479" t="s">
        <v>161</v>
      </c>
      <c r="O479" t="s">
        <v>1494</v>
      </c>
      <c r="P479">
        <v>20.399999999999999</v>
      </c>
      <c r="Q479">
        <v>20.399999999999999</v>
      </c>
      <c r="R479">
        <v>19.41</v>
      </c>
      <c r="S479">
        <v>19.600000000000001</v>
      </c>
      <c r="T479">
        <v>19.61</v>
      </c>
      <c r="U479">
        <v>20.07</v>
      </c>
      <c r="W479">
        <v>19.600000000000001</v>
      </c>
      <c r="Z479">
        <v>802902</v>
      </c>
      <c r="AA479">
        <v>15823970.77</v>
      </c>
      <c r="AB479">
        <v>2718</v>
      </c>
      <c r="AC479" t="s">
        <v>42</v>
      </c>
      <c r="AD479">
        <v>1</v>
      </c>
    </row>
    <row r="480" spans="1:30">
      <c r="A480" t="str">
        <f>CONCATENATE(I480,J480)</f>
        <v>BETAEQ</v>
      </c>
      <c r="B480" s="34">
        <v>46273</v>
      </c>
      <c r="C480" s="34">
        <v>46273</v>
      </c>
      <c r="D480" t="s">
        <v>35</v>
      </c>
      <c r="E480" t="s">
        <v>36</v>
      </c>
      <c r="F480" t="s">
        <v>37</v>
      </c>
      <c r="G480">
        <v>759842</v>
      </c>
      <c r="H480" t="s">
        <v>1495</v>
      </c>
      <c r="I480" t="s">
        <v>1496</v>
      </c>
      <c r="J480" t="s">
        <v>161</v>
      </c>
      <c r="O480" t="s">
        <v>1497</v>
      </c>
      <c r="P480">
        <v>2115</v>
      </c>
      <c r="Q480">
        <v>2173.9</v>
      </c>
      <c r="R480">
        <v>2115</v>
      </c>
      <c r="S480">
        <v>2139.8000000000002</v>
      </c>
      <c r="T480">
        <v>2135</v>
      </c>
      <c r="U480">
        <v>2123.9</v>
      </c>
      <c r="W480">
        <v>2139.8000000000002</v>
      </c>
      <c r="Z480">
        <v>13277</v>
      </c>
      <c r="AA480">
        <v>28491934.800000001</v>
      </c>
      <c r="AB480">
        <v>2208</v>
      </c>
      <c r="AC480" t="s">
        <v>42</v>
      </c>
      <c r="AD480">
        <v>1</v>
      </c>
    </row>
    <row r="481" spans="1:30">
      <c r="A481" t="str">
        <f>CONCATENATE(I481,J481)</f>
        <v>BEWLTDSM</v>
      </c>
      <c r="B481" s="34">
        <v>46273</v>
      </c>
      <c r="C481" s="34">
        <v>46273</v>
      </c>
      <c r="D481" t="s">
        <v>35</v>
      </c>
      <c r="E481" t="s">
        <v>36</v>
      </c>
      <c r="F481" t="s">
        <v>37</v>
      </c>
      <c r="G481">
        <v>5662</v>
      </c>
      <c r="H481" t="s">
        <v>1498</v>
      </c>
      <c r="I481" t="s">
        <v>1499</v>
      </c>
      <c r="J481" t="s">
        <v>267</v>
      </c>
      <c r="O481" t="s">
        <v>1500</v>
      </c>
      <c r="P481">
        <v>49</v>
      </c>
      <c r="Q481">
        <v>50.95</v>
      </c>
      <c r="R481">
        <v>49</v>
      </c>
      <c r="S481">
        <v>49.35</v>
      </c>
      <c r="T481">
        <v>49.1</v>
      </c>
      <c r="U481">
        <v>50</v>
      </c>
      <c r="W481">
        <v>49.35</v>
      </c>
      <c r="Z481">
        <v>11000</v>
      </c>
      <c r="AA481">
        <v>545200</v>
      </c>
      <c r="AB481">
        <v>21</v>
      </c>
      <c r="AC481" t="s">
        <v>42</v>
      </c>
      <c r="AD481">
        <v>500</v>
      </c>
    </row>
    <row r="482" spans="1:30">
      <c r="A482" t="str">
        <f>CONCATENATE(I482,J482)</f>
        <v>BFINVESTEQ</v>
      </c>
      <c r="B482" s="34">
        <v>46273</v>
      </c>
      <c r="C482" s="34">
        <v>46273</v>
      </c>
      <c r="D482" t="s">
        <v>35</v>
      </c>
      <c r="E482" t="s">
        <v>36</v>
      </c>
      <c r="F482" t="s">
        <v>37</v>
      </c>
      <c r="G482">
        <v>21113</v>
      </c>
      <c r="H482" t="s">
        <v>1501</v>
      </c>
      <c r="I482" t="s">
        <v>1502</v>
      </c>
      <c r="J482" t="s">
        <v>161</v>
      </c>
      <c r="O482" t="s">
        <v>1503</v>
      </c>
      <c r="P482">
        <v>458</v>
      </c>
      <c r="Q482">
        <v>460.95</v>
      </c>
      <c r="R482">
        <v>445.25</v>
      </c>
      <c r="S482">
        <v>451.15</v>
      </c>
      <c r="T482">
        <v>452.95</v>
      </c>
      <c r="U482">
        <v>458.95</v>
      </c>
      <c r="W482">
        <v>451.16</v>
      </c>
      <c r="Z482">
        <v>25262</v>
      </c>
      <c r="AA482">
        <v>11451526.35</v>
      </c>
      <c r="AB482">
        <v>1313</v>
      </c>
      <c r="AC482" t="s">
        <v>42</v>
      </c>
      <c r="AD482">
        <v>1</v>
      </c>
    </row>
    <row r="483" spans="1:30">
      <c r="A483" t="str">
        <f>CONCATENATE(I483,J483)</f>
        <v>BFUTILITIEEQ</v>
      </c>
      <c r="B483" s="34">
        <v>46273</v>
      </c>
      <c r="C483" s="34">
        <v>46273</v>
      </c>
      <c r="D483" t="s">
        <v>35</v>
      </c>
      <c r="E483" t="s">
        <v>36</v>
      </c>
      <c r="F483" t="s">
        <v>37</v>
      </c>
      <c r="G483">
        <v>14567</v>
      </c>
      <c r="H483" t="s">
        <v>1504</v>
      </c>
      <c r="I483" t="s">
        <v>1505</v>
      </c>
      <c r="J483" t="s">
        <v>161</v>
      </c>
      <c r="O483" t="s">
        <v>1506</v>
      </c>
      <c r="P483">
        <v>526</v>
      </c>
      <c r="Q483">
        <v>537.20000000000005</v>
      </c>
      <c r="R483">
        <v>523</v>
      </c>
      <c r="S483">
        <v>526.54999999999995</v>
      </c>
      <c r="T483">
        <v>526</v>
      </c>
      <c r="U483">
        <v>529.4</v>
      </c>
      <c r="W483">
        <v>526.52</v>
      </c>
      <c r="Z483">
        <v>40778</v>
      </c>
      <c r="AA483">
        <v>21574443.050000001</v>
      </c>
      <c r="AB483">
        <v>1923</v>
      </c>
      <c r="AC483" t="s">
        <v>42</v>
      </c>
      <c r="AD483">
        <v>1</v>
      </c>
    </row>
    <row r="484" spans="1:30">
      <c r="A484" t="str">
        <f>CONCATENATE(I484,J484)</f>
        <v>BANK10BETFEQ</v>
      </c>
      <c r="B484" s="34">
        <v>46273</v>
      </c>
      <c r="C484" s="34">
        <v>46273</v>
      </c>
      <c r="D484" t="s">
        <v>35</v>
      </c>
      <c r="E484" t="s">
        <v>36</v>
      </c>
      <c r="F484" t="s">
        <v>37</v>
      </c>
      <c r="G484">
        <v>764183</v>
      </c>
      <c r="H484" t="s">
        <v>1507</v>
      </c>
      <c r="I484" t="s">
        <v>1508</v>
      </c>
      <c r="J484" t="s">
        <v>161</v>
      </c>
      <c r="O484" t="s">
        <v>1509</v>
      </c>
      <c r="P484">
        <v>20.69</v>
      </c>
      <c r="Q484">
        <v>20.69</v>
      </c>
      <c r="R484">
        <v>20.49</v>
      </c>
      <c r="S484">
        <v>20.52</v>
      </c>
      <c r="T484">
        <v>20.52</v>
      </c>
      <c r="U484">
        <v>20.76</v>
      </c>
      <c r="W484">
        <v>20.52</v>
      </c>
      <c r="Z484">
        <v>715</v>
      </c>
      <c r="AA484">
        <v>14694.44</v>
      </c>
      <c r="AB484">
        <v>15</v>
      </c>
      <c r="AC484" t="s">
        <v>42</v>
      </c>
      <c r="AD484">
        <v>1</v>
      </c>
    </row>
    <row r="485" spans="1:30">
      <c r="A485" t="str">
        <f>CONCATENATE(I485,J485)</f>
        <v>BANKBETFEQ</v>
      </c>
      <c r="B485" s="34">
        <v>46273</v>
      </c>
      <c r="C485" s="34">
        <v>46273</v>
      </c>
      <c r="D485" t="s">
        <v>35</v>
      </c>
      <c r="E485" t="s">
        <v>36</v>
      </c>
      <c r="F485" t="s">
        <v>37</v>
      </c>
      <c r="G485">
        <v>21986</v>
      </c>
      <c r="H485" t="s">
        <v>1510</v>
      </c>
      <c r="I485" t="s">
        <v>1511</v>
      </c>
      <c r="J485" t="s">
        <v>161</v>
      </c>
      <c r="O485" t="s">
        <v>1512</v>
      </c>
      <c r="P485">
        <v>58.1</v>
      </c>
      <c r="Q485">
        <v>58.13</v>
      </c>
      <c r="R485">
        <v>57.68</v>
      </c>
      <c r="S485">
        <v>57.87</v>
      </c>
      <c r="T485">
        <v>57.7</v>
      </c>
      <c r="U485">
        <v>58.19</v>
      </c>
      <c r="W485">
        <v>57.93</v>
      </c>
      <c r="Z485">
        <v>9059</v>
      </c>
      <c r="AA485">
        <v>524380.18000000005</v>
      </c>
      <c r="AB485">
        <v>210</v>
      </c>
      <c r="AC485" t="s">
        <v>42</v>
      </c>
      <c r="AD485">
        <v>1</v>
      </c>
    </row>
    <row r="486" spans="1:30">
      <c r="A486" t="str">
        <f>CONCATENATE(I486,J486)</f>
        <v>LIQUIDBETFEQ</v>
      </c>
      <c r="B486" s="34">
        <v>46273</v>
      </c>
      <c r="C486" s="34">
        <v>46273</v>
      </c>
      <c r="D486" t="s">
        <v>35</v>
      </c>
      <c r="E486" t="s">
        <v>36</v>
      </c>
      <c r="F486" t="s">
        <v>37</v>
      </c>
      <c r="G486">
        <v>23915</v>
      </c>
      <c r="H486" t="s">
        <v>1513</v>
      </c>
      <c r="I486" t="s">
        <v>1514</v>
      </c>
      <c r="J486" t="s">
        <v>161</v>
      </c>
      <c r="O486" t="s">
        <v>1515</v>
      </c>
      <c r="P486">
        <v>1097.8800000000001</v>
      </c>
      <c r="Q486">
        <v>1097.9000000000001</v>
      </c>
      <c r="R486">
        <v>1097.8800000000001</v>
      </c>
      <c r="S486">
        <v>1097.8900000000001</v>
      </c>
      <c r="T486">
        <v>1097.8900000000001</v>
      </c>
      <c r="U486">
        <v>1097.78</v>
      </c>
      <c r="W486">
        <v>1097.8900000000001</v>
      </c>
      <c r="Z486">
        <v>162025</v>
      </c>
      <c r="AA486">
        <v>177885953.22999999</v>
      </c>
      <c r="AB486">
        <v>112</v>
      </c>
      <c r="AC486" t="s">
        <v>42</v>
      </c>
      <c r="AD486">
        <v>1</v>
      </c>
    </row>
    <row r="487" spans="1:30">
      <c r="A487" t="str">
        <f>CONCATENATE(I487,J487)</f>
        <v>NIFTYBETFEQ</v>
      </c>
      <c r="B487" s="34">
        <v>46273</v>
      </c>
      <c r="C487" s="34">
        <v>46273</v>
      </c>
      <c r="D487" t="s">
        <v>35</v>
      </c>
      <c r="E487" t="s">
        <v>36</v>
      </c>
      <c r="F487" t="s">
        <v>37</v>
      </c>
      <c r="G487">
        <v>21959</v>
      </c>
      <c r="H487" t="s">
        <v>1516</v>
      </c>
      <c r="I487" t="s">
        <v>1517</v>
      </c>
      <c r="J487" t="s">
        <v>161</v>
      </c>
      <c r="O487" t="s">
        <v>1518</v>
      </c>
      <c r="P487">
        <v>245.57</v>
      </c>
      <c r="Q487">
        <v>245.57</v>
      </c>
      <c r="R487">
        <v>243</v>
      </c>
      <c r="S487">
        <v>243.84</v>
      </c>
      <c r="T487">
        <v>243.03</v>
      </c>
      <c r="U487">
        <v>245.2</v>
      </c>
      <c r="W487">
        <v>243.84</v>
      </c>
      <c r="Z487">
        <v>1024082</v>
      </c>
      <c r="AA487">
        <v>249223135.55000001</v>
      </c>
      <c r="AB487">
        <v>1929</v>
      </c>
      <c r="AC487" t="s">
        <v>42</v>
      </c>
      <c r="AD487">
        <v>1</v>
      </c>
    </row>
    <row r="488" spans="1:30">
      <c r="A488" t="str">
        <f>CONCATENATE(I488,J488)</f>
        <v>BGRENERGYBE</v>
      </c>
      <c r="B488" s="34">
        <v>46273</v>
      </c>
      <c r="C488" s="34">
        <v>46273</v>
      </c>
      <c r="D488" t="s">
        <v>35</v>
      </c>
      <c r="E488" t="s">
        <v>36</v>
      </c>
      <c r="F488" t="s">
        <v>37</v>
      </c>
      <c r="G488">
        <v>15193</v>
      </c>
      <c r="H488" t="s">
        <v>1519</v>
      </c>
      <c r="I488" t="s">
        <v>1520</v>
      </c>
      <c r="J488" t="s">
        <v>183</v>
      </c>
      <c r="O488" t="s">
        <v>1521</v>
      </c>
      <c r="P488">
        <v>257</v>
      </c>
      <c r="Q488">
        <v>265</v>
      </c>
      <c r="R488">
        <v>248.3</v>
      </c>
      <c r="S488">
        <v>257.06</v>
      </c>
      <c r="T488">
        <v>257.87</v>
      </c>
      <c r="U488">
        <v>258.49</v>
      </c>
      <c r="W488">
        <v>256.72000000000003</v>
      </c>
      <c r="Z488">
        <v>21204</v>
      </c>
      <c r="AA488">
        <v>5485236.5800000001</v>
      </c>
      <c r="AB488">
        <v>393</v>
      </c>
      <c r="AC488" t="s">
        <v>42</v>
      </c>
      <c r="AD488">
        <v>1</v>
      </c>
    </row>
    <row r="489" spans="1:30">
      <c r="A489" t="str">
        <f>CONCATENATE(I489,J489)</f>
        <v>BHADORAST</v>
      </c>
      <c r="B489" s="34">
        <v>46273</v>
      </c>
      <c r="C489" s="34">
        <v>46273</v>
      </c>
      <c r="D489" t="s">
        <v>35</v>
      </c>
      <c r="E489" t="s">
        <v>36</v>
      </c>
      <c r="F489" t="s">
        <v>37</v>
      </c>
      <c r="G489">
        <v>758228</v>
      </c>
      <c r="H489" t="s">
        <v>1522</v>
      </c>
      <c r="I489" t="s">
        <v>1523</v>
      </c>
      <c r="J489" t="s">
        <v>328</v>
      </c>
      <c r="O489" t="s">
        <v>1524</v>
      </c>
      <c r="P489">
        <v>104.1</v>
      </c>
      <c r="Q489">
        <v>114.6</v>
      </c>
      <c r="R489">
        <v>103.7</v>
      </c>
      <c r="S489">
        <v>114.6</v>
      </c>
      <c r="T489">
        <v>114.6</v>
      </c>
      <c r="U489">
        <v>109.15</v>
      </c>
      <c r="W489">
        <v>114.6</v>
      </c>
      <c r="Z489">
        <v>103200</v>
      </c>
      <c r="AA489">
        <v>11705100</v>
      </c>
      <c r="AB489">
        <v>47</v>
      </c>
      <c r="AC489" t="s">
        <v>42</v>
      </c>
      <c r="AD489">
        <v>1200</v>
      </c>
    </row>
    <row r="490" spans="1:30">
      <c r="A490" t="str">
        <f>CONCATENATE(I490,J490)</f>
        <v>BHAGERIABE</v>
      </c>
      <c r="B490" s="34">
        <v>46273</v>
      </c>
      <c r="C490" s="34">
        <v>46273</v>
      </c>
      <c r="D490" t="s">
        <v>35</v>
      </c>
      <c r="E490" t="s">
        <v>36</v>
      </c>
      <c r="F490" t="s">
        <v>37</v>
      </c>
      <c r="G490">
        <v>13427</v>
      </c>
      <c r="H490" t="s">
        <v>1525</v>
      </c>
      <c r="I490" t="s">
        <v>1526</v>
      </c>
      <c r="J490" t="s">
        <v>183</v>
      </c>
      <c r="O490" t="s">
        <v>1527</v>
      </c>
      <c r="P490">
        <v>335.8</v>
      </c>
      <c r="Q490">
        <v>335.8</v>
      </c>
      <c r="R490">
        <v>321</v>
      </c>
      <c r="S490">
        <v>335.8</v>
      </c>
      <c r="T490">
        <v>335.8</v>
      </c>
      <c r="U490">
        <v>319.85000000000002</v>
      </c>
      <c r="W490">
        <v>335.8</v>
      </c>
      <c r="Z490">
        <v>263098</v>
      </c>
      <c r="AA490">
        <v>88197303</v>
      </c>
      <c r="AB490">
        <v>1146</v>
      </c>
      <c r="AC490" t="s">
        <v>42</v>
      </c>
      <c r="AD490">
        <v>1</v>
      </c>
    </row>
    <row r="491" spans="1:30">
      <c r="A491" t="str">
        <f>CONCATENATE(I491,J491)</f>
        <v>BHAGCHEMEQ</v>
      </c>
      <c r="B491" s="34">
        <v>46273</v>
      </c>
      <c r="C491" s="34">
        <v>46273</v>
      </c>
      <c r="D491" t="s">
        <v>35</v>
      </c>
      <c r="E491" t="s">
        <v>36</v>
      </c>
      <c r="F491" t="s">
        <v>37</v>
      </c>
      <c r="G491">
        <v>6164</v>
      </c>
      <c r="H491" t="s">
        <v>1528</v>
      </c>
      <c r="I491" t="s">
        <v>1529</v>
      </c>
      <c r="J491" t="s">
        <v>161</v>
      </c>
      <c r="O491" t="s">
        <v>1530</v>
      </c>
      <c r="P491">
        <v>259.39999999999998</v>
      </c>
      <c r="Q491">
        <v>261.60000000000002</v>
      </c>
      <c r="R491">
        <v>258.35000000000002</v>
      </c>
      <c r="S491">
        <v>259.05</v>
      </c>
      <c r="T491">
        <v>258.60000000000002</v>
      </c>
      <c r="U491">
        <v>260.75</v>
      </c>
      <c r="W491">
        <v>259.05</v>
      </c>
      <c r="Z491">
        <v>67906</v>
      </c>
      <c r="AA491">
        <v>17624645.649999999</v>
      </c>
      <c r="AB491">
        <v>1116</v>
      </c>
      <c r="AC491" t="s">
        <v>42</v>
      </c>
      <c r="AD491">
        <v>1</v>
      </c>
    </row>
    <row r="492" spans="1:30">
      <c r="A492" t="str">
        <f>CONCATENATE(I492,J492)</f>
        <v>BHAGYANGREQ</v>
      </c>
      <c r="B492" s="34">
        <v>46273</v>
      </c>
      <c r="C492" s="34">
        <v>46273</v>
      </c>
      <c r="D492" t="s">
        <v>35</v>
      </c>
      <c r="E492" t="s">
        <v>36</v>
      </c>
      <c r="F492" t="s">
        <v>37</v>
      </c>
      <c r="G492">
        <v>20776</v>
      </c>
      <c r="H492" t="s">
        <v>1531</v>
      </c>
      <c r="I492" t="s">
        <v>1532</v>
      </c>
      <c r="J492" t="s">
        <v>161</v>
      </c>
      <c r="O492" t="s">
        <v>1533</v>
      </c>
      <c r="P492">
        <v>385.9</v>
      </c>
      <c r="Q492">
        <v>392.05</v>
      </c>
      <c r="R492">
        <v>380</v>
      </c>
      <c r="S492">
        <v>392.05</v>
      </c>
      <c r="T492">
        <v>392.05</v>
      </c>
      <c r="U492">
        <v>373.4</v>
      </c>
      <c r="W492">
        <v>392.05</v>
      </c>
      <c r="Z492">
        <v>194589</v>
      </c>
      <c r="AA492">
        <v>76037499.049999997</v>
      </c>
      <c r="AB492">
        <v>1147</v>
      </c>
      <c r="AC492" t="s">
        <v>42</v>
      </c>
      <c r="AD492">
        <v>1</v>
      </c>
    </row>
    <row r="493" spans="1:30">
      <c r="A493" t="str">
        <f>CONCATENATE(I493,J493)</f>
        <v>BHANDARIEQ</v>
      </c>
      <c r="B493" s="34">
        <v>46273</v>
      </c>
      <c r="C493" s="34">
        <v>46273</v>
      </c>
      <c r="D493" t="s">
        <v>35</v>
      </c>
      <c r="E493" t="s">
        <v>36</v>
      </c>
      <c r="F493" t="s">
        <v>37</v>
      </c>
      <c r="G493">
        <v>19556</v>
      </c>
      <c r="H493" t="s">
        <v>1534</v>
      </c>
      <c r="I493" t="s">
        <v>1535</v>
      </c>
      <c r="J493" t="s">
        <v>161</v>
      </c>
      <c r="O493" t="s">
        <v>1536</v>
      </c>
      <c r="P493">
        <v>3</v>
      </c>
      <c r="Q493">
        <v>3.04</v>
      </c>
      <c r="R493">
        <v>2.97</v>
      </c>
      <c r="S493">
        <v>3.01</v>
      </c>
      <c r="T493">
        <v>3.03</v>
      </c>
      <c r="U493">
        <v>2.98</v>
      </c>
      <c r="W493">
        <v>3.01</v>
      </c>
      <c r="Z493">
        <v>113309</v>
      </c>
      <c r="AA493">
        <v>339772.6</v>
      </c>
      <c r="AB493">
        <v>307</v>
      </c>
      <c r="AC493" t="s">
        <v>42</v>
      </c>
      <c r="AD493">
        <v>1</v>
      </c>
    </row>
    <row r="494" spans="1:30">
      <c r="A494" t="str">
        <f>CONCATENATE(I494,J494)</f>
        <v>BEPLEQ</v>
      </c>
      <c r="B494" s="34">
        <v>46273</v>
      </c>
      <c r="C494" s="34">
        <v>46273</v>
      </c>
      <c r="D494" t="s">
        <v>35</v>
      </c>
      <c r="E494" t="s">
        <v>36</v>
      </c>
      <c r="F494" t="s">
        <v>37</v>
      </c>
      <c r="G494">
        <v>419</v>
      </c>
      <c r="H494" t="s">
        <v>1537</v>
      </c>
      <c r="I494" t="s">
        <v>1538</v>
      </c>
      <c r="J494" t="s">
        <v>161</v>
      </c>
      <c r="O494" t="s">
        <v>1539</v>
      </c>
      <c r="P494">
        <v>125.8</v>
      </c>
      <c r="Q494">
        <v>134.5</v>
      </c>
      <c r="R494">
        <v>125.75</v>
      </c>
      <c r="S494">
        <v>133.84</v>
      </c>
      <c r="T494">
        <v>134.07</v>
      </c>
      <c r="U494">
        <v>126.84</v>
      </c>
      <c r="W494">
        <v>133.84</v>
      </c>
      <c r="Z494">
        <v>5773995</v>
      </c>
      <c r="AA494">
        <v>763140111.17999995</v>
      </c>
      <c r="AB494">
        <v>39570</v>
      </c>
      <c r="AC494" t="s">
        <v>42</v>
      </c>
      <c r="AD494">
        <v>1</v>
      </c>
    </row>
    <row r="495" spans="1:30">
      <c r="A495" t="str">
        <f>CONCATENATE(I495,J495)</f>
        <v>BBLEQ</v>
      </c>
      <c r="B495" s="34">
        <v>46273</v>
      </c>
      <c r="C495" s="34">
        <v>46273</v>
      </c>
      <c r="D495" t="s">
        <v>35</v>
      </c>
      <c r="E495" t="s">
        <v>36</v>
      </c>
      <c r="F495" t="s">
        <v>37</v>
      </c>
      <c r="G495">
        <v>13761</v>
      </c>
      <c r="H495" t="s">
        <v>1540</v>
      </c>
      <c r="I495" t="s">
        <v>1541</v>
      </c>
      <c r="J495" t="s">
        <v>161</v>
      </c>
      <c r="O495" t="s">
        <v>1542</v>
      </c>
      <c r="P495">
        <v>2250.1999999999998</v>
      </c>
      <c r="Q495">
        <v>2291.6999999999998</v>
      </c>
      <c r="R495">
        <v>2219.9</v>
      </c>
      <c r="S495">
        <v>2240.1</v>
      </c>
      <c r="T495">
        <v>2238</v>
      </c>
      <c r="U495">
        <v>2239.1</v>
      </c>
      <c r="W495">
        <v>2240.0500000000002</v>
      </c>
      <c r="Z495">
        <v>33928</v>
      </c>
      <c r="AA495">
        <v>76541422.799999997</v>
      </c>
      <c r="AB495">
        <v>5154</v>
      </c>
      <c r="AC495" t="s">
        <v>42</v>
      </c>
      <c r="AD495">
        <v>1</v>
      </c>
    </row>
    <row r="496" spans="1:30">
      <c r="A496" t="str">
        <f>CONCATENATE(I496,J496)</f>
        <v>BHARATCOALEQ</v>
      </c>
      <c r="B496" s="34">
        <v>46273</v>
      </c>
      <c r="C496" s="34">
        <v>46273</v>
      </c>
      <c r="D496" t="s">
        <v>35</v>
      </c>
      <c r="E496" t="s">
        <v>36</v>
      </c>
      <c r="F496" t="s">
        <v>37</v>
      </c>
      <c r="G496">
        <v>760726</v>
      </c>
      <c r="H496" t="s">
        <v>1543</v>
      </c>
      <c r="I496" t="s">
        <v>1544</v>
      </c>
      <c r="J496" t="s">
        <v>161</v>
      </c>
      <c r="O496" t="s">
        <v>1545</v>
      </c>
      <c r="P496">
        <v>33.700000000000003</v>
      </c>
      <c r="Q496">
        <v>33.89</v>
      </c>
      <c r="R496">
        <v>33.5</v>
      </c>
      <c r="S496">
        <v>33.51</v>
      </c>
      <c r="T496">
        <v>33.53</v>
      </c>
      <c r="U496">
        <v>33.75</v>
      </c>
      <c r="W496">
        <v>33.51</v>
      </c>
      <c r="Z496">
        <v>2353977</v>
      </c>
      <c r="AA496">
        <v>79160207.620000005</v>
      </c>
      <c r="AB496">
        <v>10009</v>
      </c>
      <c r="AC496" t="s">
        <v>42</v>
      </c>
      <c r="AD496">
        <v>1</v>
      </c>
    </row>
    <row r="497" spans="1:30">
      <c r="A497" t="str">
        <f>CONCATENATE(I497,J497)</f>
        <v>BDLEQ</v>
      </c>
      <c r="B497" s="34">
        <v>46273</v>
      </c>
      <c r="C497" s="34">
        <v>46273</v>
      </c>
      <c r="D497" t="s">
        <v>35</v>
      </c>
      <c r="E497" t="s">
        <v>36</v>
      </c>
      <c r="F497" t="s">
        <v>37</v>
      </c>
      <c r="G497">
        <v>2144</v>
      </c>
      <c r="H497" t="s">
        <v>1546</v>
      </c>
      <c r="I497" t="s">
        <v>1547</v>
      </c>
      <c r="J497" t="s">
        <v>161</v>
      </c>
      <c r="O497" t="s">
        <v>1548</v>
      </c>
      <c r="P497">
        <v>1250.0999999999999</v>
      </c>
      <c r="Q497">
        <v>1262</v>
      </c>
      <c r="R497">
        <v>1234.3</v>
      </c>
      <c r="S497">
        <v>1242.5</v>
      </c>
      <c r="T497">
        <v>1242.5</v>
      </c>
      <c r="U497">
        <v>1241.7</v>
      </c>
      <c r="W497">
        <v>1242.52</v>
      </c>
      <c r="Z497">
        <v>1571035</v>
      </c>
      <c r="AA497">
        <v>1959474679.7</v>
      </c>
      <c r="AB497">
        <v>38693</v>
      </c>
      <c r="AC497" t="s">
        <v>42</v>
      </c>
      <c r="AD497">
        <v>1</v>
      </c>
    </row>
    <row r="498" spans="1:30">
      <c r="A498" t="str">
        <f>CONCATENATE(I498,J498)</f>
        <v>BELEQ</v>
      </c>
      <c r="B498" s="34">
        <v>46273</v>
      </c>
      <c r="C498" s="34">
        <v>46273</v>
      </c>
      <c r="D498" t="s">
        <v>35</v>
      </c>
      <c r="E498" t="s">
        <v>36</v>
      </c>
      <c r="F498" t="s">
        <v>37</v>
      </c>
      <c r="G498">
        <v>383</v>
      </c>
      <c r="H498" t="s">
        <v>1549</v>
      </c>
      <c r="I498" t="s">
        <v>1550</v>
      </c>
      <c r="J498" t="s">
        <v>161</v>
      </c>
      <c r="O498" t="s">
        <v>1551</v>
      </c>
      <c r="P498">
        <v>408</v>
      </c>
      <c r="Q498">
        <v>416</v>
      </c>
      <c r="R498">
        <v>406.5</v>
      </c>
      <c r="S498">
        <v>410.55</v>
      </c>
      <c r="T498">
        <v>410.55</v>
      </c>
      <c r="U498">
        <v>404</v>
      </c>
      <c r="W498">
        <v>410.55</v>
      </c>
      <c r="Z498">
        <v>23225496</v>
      </c>
      <c r="AA498">
        <v>9583022889</v>
      </c>
      <c r="AB498">
        <v>187670</v>
      </c>
      <c r="AC498" t="s">
        <v>42</v>
      </c>
      <c r="AD498">
        <v>1</v>
      </c>
    </row>
    <row r="499" spans="1:30">
      <c r="A499" t="str">
        <f>CONCATENATE(I499,J499)</f>
        <v>BHARATFORGEQ</v>
      </c>
      <c r="B499" s="34">
        <v>46273</v>
      </c>
      <c r="C499" s="34">
        <v>46273</v>
      </c>
      <c r="D499" t="s">
        <v>35</v>
      </c>
      <c r="E499" t="s">
        <v>36</v>
      </c>
      <c r="F499" t="s">
        <v>37</v>
      </c>
      <c r="G499">
        <v>422</v>
      </c>
      <c r="H499" t="s">
        <v>1552</v>
      </c>
      <c r="I499" t="s">
        <v>1553</v>
      </c>
      <c r="J499" t="s">
        <v>161</v>
      </c>
      <c r="O499" t="s">
        <v>1554</v>
      </c>
      <c r="P499">
        <v>1954.5</v>
      </c>
      <c r="Q499">
        <v>2027.5</v>
      </c>
      <c r="R499">
        <v>1930.5</v>
      </c>
      <c r="S499">
        <v>2003.7</v>
      </c>
      <c r="T499">
        <v>2003.7</v>
      </c>
      <c r="U499">
        <v>1955</v>
      </c>
      <c r="W499">
        <v>2003.71</v>
      </c>
      <c r="Z499">
        <v>1947343</v>
      </c>
      <c r="AA499">
        <v>3883422539.5</v>
      </c>
      <c r="AB499">
        <v>47143</v>
      </c>
      <c r="AC499" t="s">
        <v>42</v>
      </c>
      <c r="AD499">
        <v>1</v>
      </c>
    </row>
    <row r="500" spans="1:30">
      <c r="A500" t="str">
        <f>CONCATENATE(I500,J500)</f>
        <v>BHARATGEARBE</v>
      </c>
      <c r="B500" s="34">
        <v>46273</v>
      </c>
      <c r="C500" s="34">
        <v>46273</v>
      </c>
      <c r="D500" t="s">
        <v>35</v>
      </c>
      <c r="E500" t="s">
        <v>36</v>
      </c>
      <c r="F500" t="s">
        <v>37</v>
      </c>
      <c r="G500">
        <v>9397</v>
      </c>
      <c r="H500" t="s">
        <v>1555</v>
      </c>
      <c r="I500" t="s">
        <v>1556</v>
      </c>
      <c r="J500" t="s">
        <v>183</v>
      </c>
      <c r="O500" t="s">
        <v>1557</v>
      </c>
      <c r="P500">
        <v>103.05</v>
      </c>
      <c r="Q500">
        <v>104.25</v>
      </c>
      <c r="R500">
        <v>102.5</v>
      </c>
      <c r="S500">
        <v>102.78</v>
      </c>
      <c r="T500">
        <v>102.7</v>
      </c>
      <c r="U500">
        <v>102.79</v>
      </c>
      <c r="W500">
        <v>102.78</v>
      </c>
      <c r="Z500">
        <v>10450</v>
      </c>
      <c r="AA500">
        <v>1076093.03</v>
      </c>
      <c r="AB500">
        <v>124</v>
      </c>
      <c r="AC500" t="s">
        <v>42</v>
      </c>
      <c r="AD500">
        <v>1</v>
      </c>
    </row>
    <row r="501" spans="1:30">
      <c r="A501" t="str">
        <f>CONCATENATE(I501,J501)</f>
        <v>BPLPHARMAEQ</v>
      </c>
      <c r="B501" s="34">
        <v>46273</v>
      </c>
      <c r="C501" s="34">
        <v>46273</v>
      </c>
      <c r="D501" t="s">
        <v>35</v>
      </c>
      <c r="E501" t="s">
        <v>36</v>
      </c>
      <c r="F501" t="s">
        <v>37</v>
      </c>
      <c r="G501">
        <v>764623</v>
      </c>
      <c r="H501" t="s">
        <v>1558</v>
      </c>
      <c r="I501" t="s">
        <v>1559</v>
      </c>
      <c r="J501" t="s">
        <v>161</v>
      </c>
      <c r="O501" t="s">
        <v>1560</v>
      </c>
      <c r="P501">
        <v>1575</v>
      </c>
      <c r="Q501">
        <v>1575</v>
      </c>
      <c r="R501">
        <v>1548</v>
      </c>
      <c r="S501">
        <v>1568.8</v>
      </c>
      <c r="T501">
        <v>1572</v>
      </c>
      <c r="U501">
        <v>1548.7</v>
      </c>
      <c r="W501">
        <v>1568.86</v>
      </c>
      <c r="Z501">
        <v>939</v>
      </c>
      <c r="AA501">
        <v>1473230.5</v>
      </c>
      <c r="AB501">
        <v>90</v>
      </c>
      <c r="AC501" t="s">
        <v>42</v>
      </c>
      <c r="AD501">
        <v>1</v>
      </c>
    </row>
    <row r="502" spans="1:30">
      <c r="A502" t="str">
        <f>CONCATENATE(I502,J502)</f>
        <v>BPCLEQ</v>
      </c>
      <c r="B502" s="34">
        <v>46273</v>
      </c>
      <c r="C502" s="34">
        <v>46273</v>
      </c>
      <c r="D502" t="s">
        <v>35</v>
      </c>
      <c r="E502" t="s">
        <v>36</v>
      </c>
      <c r="F502" t="s">
        <v>37</v>
      </c>
      <c r="G502">
        <v>526</v>
      </c>
      <c r="H502" t="s">
        <v>1561</v>
      </c>
      <c r="I502" t="s">
        <v>1562</v>
      </c>
      <c r="J502" t="s">
        <v>161</v>
      </c>
      <c r="O502" t="s">
        <v>1563</v>
      </c>
      <c r="P502">
        <v>311.10000000000002</v>
      </c>
      <c r="Q502">
        <v>314.25</v>
      </c>
      <c r="R502">
        <v>301.39999999999998</v>
      </c>
      <c r="S502">
        <v>303.85000000000002</v>
      </c>
      <c r="T502">
        <v>303.85000000000002</v>
      </c>
      <c r="U502">
        <v>312.89999999999998</v>
      </c>
      <c r="W502">
        <v>303.85000000000002</v>
      </c>
      <c r="Z502">
        <v>4641011</v>
      </c>
      <c r="AA502">
        <v>1419666005</v>
      </c>
      <c r="AB502">
        <v>53222</v>
      </c>
      <c r="AC502" t="s">
        <v>42</v>
      </c>
      <c r="AD502">
        <v>1</v>
      </c>
    </row>
    <row r="503" spans="1:30">
      <c r="A503" t="str">
        <f>CONCATENATE(I503,J503)</f>
        <v>BHARATRASEQ</v>
      </c>
      <c r="B503" s="34">
        <v>46273</v>
      </c>
      <c r="C503" s="34">
        <v>46273</v>
      </c>
      <c r="D503" t="s">
        <v>35</v>
      </c>
      <c r="E503" t="s">
        <v>36</v>
      </c>
      <c r="F503" t="s">
        <v>37</v>
      </c>
      <c r="G503">
        <v>3834</v>
      </c>
      <c r="H503" t="s">
        <v>1564</v>
      </c>
      <c r="I503" t="s">
        <v>1565</v>
      </c>
      <c r="J503" t="s">
        <v>161</v>
      </c>
      <c r="O503" t="s">
        <v>1566</v>
      </c>
      <c r="P503">
        <v>1166.0999999999999</v>
      </c>
      <c r="Q503">
        <v>1176.9000000000001</v>
      </c>
      <c r="R503">
        <v>1152</v>
      </c>
      <c r="S503">
        <v>1159.5</v>
      </c>
      <c r="T503">
        <v>1169.8</v>
      </c>
      <c r="U503">
        <v>1161</v>
      </c>
      <c r="W503">
        <v>1159.52</v>
      </c>
      <c r="Z503">
        <v>8773</v>
      </c>
      <c r="AA503">
        <v>10234210.9</v>
      </c>
      <c r="AB503">
        <v>1571</v>
      </c>
      <c r="AC503" t="s">
        <v>42</v>
      </c>
      <c r="AD503">
        <v>1</v>
      </c>
    </row>
    <row r="504" spans="1:30">
      <c r="A504" t="str">
        <f>CONCATENATE(I504,J504)</f>
        <v>BRNLEQ</v>
      </c>
      <c r="B504" s="34">
        <v>46273</v>
      </c>
      <c r="C504" s="34">
        <v>46273</v>
      </c>
      <c r="D504" t="s">
        <v>35</v>
      </c>
      <c r="E504" t="s">
        <v>36</v>
      </c>
      <c r="F504" t="s">
        <v>37</v>
      </c>
      <c r="G504">
        <v>21683</v>
      </c>
      <c r="H504" t="s">
        <v>1567</v>
      </c>
      <c r="I504" t="s">
        <v>1568</v>
      </c>
      <c r="J504" t="s">
        <v>161</v>
      </c>
      <c r="O504" t="s">
        <v>1569</v>
      </c>
      <c r="P504">
        <v>17.38</v>
      </c>
      <c r="Q504">
        <v>17.38</v>
      </c>
      <c r="R504">
        <v>17</v>
      </c>
      <c r="S504">
        <v>17.12</v>
      </c>
      <c r="T504">
        <v>17.05</v>
      </c>
      <c r="U504">
        <v>17.09</v>
      </c>
      <c r="W504">
        <v>17.09</v>
      </c>
      <c r="Z504">
        <v>17393</v>
      </c>
      <c r="AA504">
        <v>297235.48</v>
      </c>
      <c r="AB504">
        <v>149</v>
      </c>
      <c r="AC504" t="s">
        <v>42</v>
      </c>
      <c r="AD504">
        <v>1</v>
      </c>
    </row>
    <row r="505" spans="1:30">
      <c r="A505" t="str">
        <f>CONCATENATE(I505,J505)</f>
        <v>BHARATSEEQ</v>
      </c>
      <c r="B505" s="34">
        <v>46273</v>
      </c>
      <c r="C505" s="34">
        <v>46273</v>
      </c>
      <c r="D505" t="s">
        <v>35</v>
      </c>
      <c r="E505" t="s">
        <v>36</v>
      </c>
      <c r="F505" t="s">
        <v>37</v>
      </c>
      <c r="G505">
        <v>30244</v>
      </c>
      <c r="H505" t="s">
        <v>1570</v>
      </c>
      <c r="I505" t="s">
        <v>1571</v>
      </c>
      <c r="J505" t="s">
        <v>161</v>
      </c>
      <c r="O505" t="s">
        <v>1572</v>
      </c>
      <c r="P505">
        <v>227.65</v>
      </c>
      <c r="Q505">
        <v>228.79</v>
      </c>
      <c r="R505">
        <v>221.75</v>
      </c>
      <c r="S505">
        <v>226.85</v>
      </c>
      <c r="T505">
        <v>227.3</v>
      </c>
      <c r="U505">
        <v>227.65</v>
      </c>
      <c r="W505">
        <v>226.76</v>
      </c>
      <c r="Z505">
        <v>230364</v>
      </c>
      <c r="AA505">
        <v>51991202.990000002</v>
      </c>
      <c r="AB505">
        <v>5890</v>
      </c>
      <c r="AC505" t="s">
        <v>42</v>
      </c>
      <c r="AD505">
        <v>1</v>
      </c>
    </row>
    <row r="506" spans="1:30">
      <c r="A506" t="str">
        <f>CONCATENATE(I506,J506)</f>
        <v>BHARATWIREEQ</v>
      </c>
      <c r="B506" s="34">
        <v>46273</v>
      </c>
      <c r="C506" s="34">
        <v>46273</v>
      </c>
      <c r="D506" t="s">
        <v>35</v>
      </c>
      <c r="E506" t="s">
        <v>36</v>
      </c>
      <c r="F506" t="s">
        <v>37</v>
      </c>
      <c r="G506">
        <v>16123</v>
      </c>
      <c r="H506" t="s">
        <v>1573</v>
      </c>
      <c r="I506" t="s">
        <v>1574</v>
      </c>
      <c r="J506" t="s">
        <v>161</v>
      </c>
      <c r="O506" t="s">
        <v>1575</v>
      </c>
      <c r="P506">
        <v>179.2</v>
      </c>
      <c r="Q506">
        <v>179.59</v>
      </c>
      <c r="R506">
        <v>175</v>
      </c>
      <c r="S506">
        <v>176.19</v>
      </c>
      <c r="T506">
        <v>176</v>
      </c>
      <c r="U506">
        <v>180</v>
      </c>
      <c r="W506">
        <v>176.18</v>
      </c>
      <c r="Z506">
        <v>68008</v>
      </c>
      <c r="AA506">
        <v>12004431.869999999</v>
      </c>
      <c r="AB506">
        <v>2262</v>
      </c>
      <c r="AC506" t="s">
        <v>42</v>
      </c>
      <c r="AD506">
        <v>1</v>
      </c>
    </row>
    <row r="507" spans="1:30">
      <c r="A507" t="str">
        <f>CONCATENATE(I507,J507)</f>
        <v>BHARTIARTLEQ</v>
      </c>
      <c r="B507" s="34">
        <v>46273</v>
      </c>
      <c r="C507" s="34">
        <v>46273</v>
      </c>
      <c r="D507" t="s">
        <v>35</v>
      </c>
      <c r="E507" t="s">
        <v>36</v>
      </c>
      <c r="F507" t="s">
        <v>37</v>
      </c>
      <c r="G507">
        <v>10604</v>
      </c>
      <c r="H507" t="s">
        <v>1576</v>
      </c>
      <c r="I507" t="s">
        <v>1577</v>
      </c>
      <c r="J507" t="s">
        <v>161</v>
      </c>
      <c r="O507" t="s">
        <v>1578</v>
      </c>
      <c r="P507">
        <v>1846.2</v>
      </c>
      <c r="Q507">
        <v>1848.8</v>
      </c>
      <c r="R507">
        <v>1829</v>
      </c>
      <c r="S507">
        <v>1844</v>
      </c>
      <c r="T507">
        <v>1844</v>
      </c>
      <c r="U507">
        <v>1854</v>
      </c>
      <c r="W507">
        <v>1844</v>
      </c>
      <c r="Z507">
        <v>4169706</v>
      </c>
      <c r="AA507">
        <v>7662581575.5</v>
      </c>
      <c r="AB507">
        <v>95450</v>
      </c>
      <c r="AC507" t="s">
        <v>42</v>
      </c>
      <c r="AD507">
        <v>1</v>
      </c>
    </row>
    <row r="508" spans="1:30">
      <c r="A508" t="str">
        <f>CONCATENATE(I508,J508)</f>
        <v>BHARTIHEXAEQ</v>
      </c>
      <c r="B508" s="34">
        <v>46273</v>
      </c>
      <c r="C508" s="34">
        <v>46273</v>
      </c>
      <c r="D508" t="s">
        <v>35</v>
      </c>
      <c r="E508" t="s">
        <v>36</v>
      </c>
      <c r="F508" t="s">
        <v>37</v>
      </c>
      <c r="G508">
        <v>23489</v>
      </c>
      <c r="H508" t="s">
        <v>1579</v>
      </c>
      <c r="I508" t="s">
        <v>1580</v>
      </c>
      <c r="J508" t="s">
        <v>161</v>
      </c>
      <c r="O508" t="s">
        <v>1581</v>
      </c>
      <c r="P508">
        <v>1519</v>
      </c>
      <c r="Q508">
        <v>1558</v>
      </c>
      <c r="R508">
        <v>1519</v>
      </c>
      <c r="S508">
        <v>1549.3</v>
      </c>
      <c r="T508">
        <v>1550</v>
      </c>
      <c r="U508">
        <v>1528.7</v>
      </c>
      <c r="W508">
        <v>1549.31</v>
      </c>
      <c r="Z508">
        <v>66216</v>
      </c>
      <c r="AA508">
        <v>102256109</v>
      </c>
      <c r="AB508">
        <v>14039</v>
      </c>
      <c r="AC508" t="s">
        <v>42</v>
      </c>
      <c r="AD508">
        <v>1</v>
      </c>
    </row>
    <row r="509" spans="1:30">
      <c r="A509" t="str">
        <f>CONCATENATE(I509,J509)</f>
        <v>BILEQ</v>
      </c>
      <c r="B509" s="34">
        <v>46273</v>
      </c>
      <c r="C509" s="34">
        <v>46273</v>
      </c>
      <c r="D509" t="s">
        <v>35</v>
      </c>
      <c r="E509" t="s">
        <v>36</v>
      </c>
      <c r="F509" t="s">
        <v>37</v>
      </c>
      <c r="G509">
        <v>7848</v>
      </c>
      <c r="H509" t="s">
        <v>1582</v>
      </c>
      <c r="I509" t="s">
        <v>1583</v>
      </c>
      <c r="J509" t="s">
        <v>161</v>
      </c>
      <c r="O509" t="s">
        <v>1584</v>
      </c>
      <c r="P509">
        <v>947</v>
      </c>
      <c r="Q509">
        <v>947</v>
      </c>
      <c r="R509">
        <v>907</v>
      </c>
      <c r="S509">
        <v>936.85</v>
      </c>
      <c r="T509">
        <v>932.05</v>
      </c>
      <c r="U509">
        <v>931.15</v>
      </c>
      <c r="W509">
        <v>936.86</v>
      </c>
      <c r="Z509">
        <v>14559</v>
      </c>
      <c r="AA509">
        <v>13472387.25</v>
      </c>
      <c r="AB509">
        <v>630</v>
      </c>
      <c r="AC509" t="s">
        <v>42</v>
      </c>
      <c r="AD509">
        <v>1</v>
      </c>
    </row>
    <row r="510" spans="1:30">
      <c r="A510" t="str">
        <f>CONCATENATE(I510,J510)</f>
        <v>BHELEQ</v>
      </c>
      <c r="B510" s="34">
        <v>46273</v>
      </c>
      <c r="C510" s="34">
        <v>46273</v>
      </c>
      <c r="D510" t="s">
        <v>35</v>
      </c>
      <c r="E510" t="s">
        <v>36</v>
      </c>
      <c r="F510" t="s">
        <v>37</v>
      </c>
      <c r="G510">
        <v>438</v>
      </c>
      <c r="H510" t="s">
        <v>1585</v>
      </c>
      <c r="I510" t="s">
        <v>1586</v>
      </c>
      <c r="J510" t="s">
        <v>161</v>
      </c>
      <c r="O510" t="s">
        <v>1586</v>
      </c>
      <c r="P510">
        <v>422.5</v>
      </c>
      <c r="Q510">
        <v>426.7</v>
      </c>
      <c r="R510">
        <v>419.85</v>
      </c>
      <c r="S510">
        <v>422.15</v>
      </c>
      <c r="T510">
        <v>422.15</v>
      </c>
      <c r="U510">
        <v>421.45</v>
      </c>
      <c r="W510">
        <v>422.15</v>
      </c>
      <c r="Z510">
        <v>4160694</v>
      </c>
      <c r="AA510">
        <v>1761567469.7</v>
      </c>
      <c r="AB510">
        <v>41493</v>
      </c>
      <c r="AC510" t="s">
        <v>42</v>
      </c>
      <c r="AD510">
        <v>1</v>
      </c>
    </row>
    <row r="511" spans="1:30">
      <c r="A511" t="str">
        <f>CONCATENATE(I511,J511)</f>
        <v>BTTLBE</v>
      </c>
      <c r="B511" s="34">
        <v>46273</v>
      </c>
      <c r="C511" s="34">
        <v>46273</v>
      </c>
      <c r="D511" t="s">
        <v>35</v>
      </c>
      <c r="E511" t="s">
        <v>36</v>
      </c>
      <c r="F511" t="s">
        <v>37</v>
      </c>
      <c r="G511">
        <v>762621</v>
      </c>
      <c r="H511" t="s">
        <v>1587</v>
      </c>
      <c r="I511" t="s">
        <v>1588</v>
      </c>
      <c r="J511" t="s">
        <v>183</v>
      </c>
      <c r="O511" t="s">
        <v>1589</v>
      </c>
      <c r="P511">
        <v>41.5</v>
      </c>
      <c r="Q511">
        <v>42.45</v>
      </c>
      <c r="R511">
        <v>41</v>
      </c>
      <c r="S511">
        <v>42.36</v>
      </c>
      <c r="T511">
        <v>42.45</v>
      </c>
      <c r="U511">
        <v>41.36</v>
      </c>
      <c r="W511">
        <v>42.36</v>
      </c>
      <c r="Z511">
        <v>5023</v>
      </c>
      <c r="AA511">
        <v>209655.55</v>
      </c>
      <c r="AB511">
        <v>26</v>
      </c>
      <c r="AC511" t="s">
        <v>42</v>
      </c>
      <c r="AD511">
        <v>1</v>
      </c>
    </row>
    <row r="512" spans="1:30">
      <c r="A512" t="str">
        <f>CONCATENATE(I512,J512)</f>
        <v>BIGBLOCEQ</v>
      </c>
      <c r="B512" s="34">
        <v>46273</v>
      </c>
      <c r="C512" s="34">
        <v>46273</v>
      </c>
      <c r="D512" t="s">
        <v>35</v>
      </c>
      <c r="E512" t="s">
        <v>36</v>
      </c>
      <c r="F512" t="s">
        <v>37</v>
      </c>
      <c r="G512">
        <v>18431</v>
      </c>
      <c r="H512" t="s">
        <v>1590</v>
      </c>
      <c r="I512" t="s">
        <v>1591</v>
      </c>
      <c r="J512" t="s">
        <v>161</v>
      </c>
      <c r="O512" t="s">
        <v>1592</v>
      </c>
      <c r="P512">
        <v>41</v>
      </c>
      <c r="Q512">
        <v>42.1</v>
      </c>
      <c r="R512">
        <v>41</v>
      </c>
      <c r="S512">
        <v>41.19</v>
      </c>
      <c r="T512">
        <v>41.5</v>
      </c>
      <c r="U512">
        <v>41.43</v>
      </c>
      <c r="W512">
        <v>41.19</v>
      </c>
      <c r="Z512">
        <v>19372</v>
      </c>
      <c r="AA512">
        <v>800481.24</v>
      </c>
      <c r="AB512">
        <v>273</v>
      </c>
      <c r="AC512" t="s">
        <v>42</v>
      </c>
      <c r="AD512">
        <v>1</v>
      </c>
    </row>
    <row r="513" spans="1:30">
      <c r="A513" t="str">
        <f>CONCATENATE(I513,J513)</f>
        <v>BIKAJIEQ</v>
      </c>
      <c r="B513" s="34">
        <v>46273</v>
      </c>
      <c r="C513" s="34">
        <v>46273</v>
      </c>
      <c r="D513" t="s">
        <v>35</v>
      </c>
      <c r="E513" t="s">
        <v>36</v>
      </c>
      <c r="F513" t="s">
        <v>37</v>
      </c>
      <c r="G513">
        <v>11966</v>
      </c>
      <c r="H513" t="s">
        <v>1593</v>
      </c>
      <c r="I513" t="s">
        <v>1594</v>
      </c>
      <c r="J513" t="s">
        <v>161</v>
      </c>
      <c r="O513" t="s">
        <v>1595</v>
      </c>
      <c r="P513">
        <v>579</v>
      </c>
      <c r="Q513">
        <v>590.20000000000005</v>
      </c>
      <c r="R513">
        <v>577.4</v>
      </c>
      <c r="S513">
        <v>583.70000000000005</v>
      </c>
      <c r="T513">
        <v>580</v>
      </c>
      <c r="U513">
        <v>580.25</v>
      </c>
      <c r="W513">
        <v>583.79999999999995</v>
      </c>
      <c r="Z513">
        <v>95487</v>
      </c>
      <c r="AA513">
        <v>55718194.899999999</v>
      </c>
      <c r="AB513">
        <v>6650</v>
      </c>
      <c r="AC513" t="s">
        <v>42</v>
      </c>
      <c r="AD513">
        <v>1</v>
      </c>
    </row>
    <row r="514" spans="1:30">
      <c r="A514" t="str">
        <f>CONCATENATE(I514,J514)</f>
        <v>BIKEWOST</v>
      </c>
      <c r="B514" s="34">
        <v>46273</v>
      </c>
      <c r="C514" s="34">
        <v>46273</v>
      </c>
      <c r="D514" t="s">
        <v>35</v>
      </c>
      <c r="E514" t="s">
        <v>36</v>
      </c>
      <c r="F514" t="s">
        <v>37</v>
      </c>
      <c r="G514">
        <v>25527</v>
      </c>
      <c r="H514" t="s">
        <v>1596</v>
      </c>
      <c r="I514" t="s">
        <v>1597</v>
      </c>
      <c r="J514" t="s">
        <v>328</v>
      </c>
      <c r="O514" t="s">
        <v>1598</v>
      </c>
      <c r="P514">
        <v>102.6</v>
      </c>
      <c r="Q514">
        <v>104.65</v>
      </c>
      <c r="R514">
        <v>101.25</v>
      </c>
      <c r="S514">
        <v>104.6</v>
      </c>
      <c r="T514">
        <v>104.65</v>
      </c>
      <c r="U514">
        <v>99.7</v>
      </c>
      <c r="W514">
        <v>104.6</v>
      </c>
      <c r="Z514">
        <v>90000</v>
      </c>
      <c r="AA514">
        <v>9244000</v>
      </c>
      <c r="AB514">
        <v>43</v>
      </c>
      <c r="AC514" t="s">
        <v>42</v>
      </c>
      <c r="AD514">
        <v>2000</v>
      </c>
    </row>
    <row r="515" spans="1:30">
      <c r="A515" t="str">
        <f>CONCATENATE(I515,J515)</f>
        <v>BILVYAPARBE</v>
      </c>
      <c r="B515" s="34">
        <v>46273</v>
      </c>
      <c r="C515" s="34">
        <v>46273</v>
      </c>
      <c r="D515" t="s">
        <v>35</v>
      </c>
      <c r="E515" t="s">
        <v>36</v>
      </c>
      <c r="F515" t="s">
        <v>37</v>
      </c>
      <c r="G515">
        <v>13622</v>
      </c>
      <c r="H515" t="s">
        <v>1599</v>
      </c>
      <c r="I515" t="s">
        <v>1600</v>
      </c>
      <c r="J515" t="s">
        <v>183</v>
      </c>
      <c r="O515" t="s">
        <v>1601</v>
      </c>
      <c r="P515">
        <v>4.1500000000000004</v>
      </c>
      <c r="Q515">
        <v>4.24</v>
      </c>
      <c r="R515">
        <v>4.0199999999999996</v>
      </c>
      <c r="S515">
        <v>4.0999999999999996</v>
      </c>
      <c r="T515">
        <v>4.0999999999999996</v>
      </c>
      <c r="U515">
        <v>4.07</v>
      </c>
      <c r="W515">
        <v>4.17</v>
      </c>
      <c r="Z515">
        <v>9760</v>
      </c>
      <c r="AA515">
        <v>40443.83</v>
      </c>
      <c r="AB515">
        <v>40</v>
      </c>
      <c r="AC515" t="s">
        <v>42</v>
      </c>
      <c r="AD515">
        <v>1</v>
      </c>
    </row>
    <row r="516" spans="1:30">
      <c r="A516" t="str">
        <f>CONCATENATE(I516,J516)</f>
        <v>BIBE</v>
      </c>
      <c r="B516" s="34">
        <v>46273</v>
      </c>
      <c r="C516" s="34">
        <v>46273</v>
      </c>
      <c r="D516" t="s">
        <v>35</v>
      </c>
      <c r="E516" t="s">
        <v>36</v>
      </c>
      <c r="F516" t="s">
        <v>37</v>
      </c>
      <c r="G516">
        <v>762586</v>
      </c>
      <c r="H516" t="s">
        <v>1602</v>
      </c>
      <c r="I516" t="s">
        <v>1603</v>
      </c>
      <c r="J516" t="s">
        <v>183</v>
      </c>
      <c r="O516" t="s">
        <v>1604</v>
      </c>
      <c r="P516">
        <v>104.9</v>
      </c>
      <c r="Q516">
        <v>104.9</v>
      </c>
      <c r="R516">
        <v>95.61</v>
      </c>
      <c r="S516">
        <v>96.11</v>
      </c>
      <c r="T516">
        <v>96</v>
      </c>
      <c r="U516">
        <v>100.64</v>
      </c>
      <c r="W516">
        <v>96.05</v>
      </c>
      <c r="Z516">
        <v>191760</v>
      </c>
      <c r="AA516">
        <v>19708325.050000001</v>
      </c>
      <c r="AB516">
        <v>403</v>
      </c>
      <c r="AC516" t="s">
        <v>42</v>
      </c>
      <c r="AD516">
        <v>1</v>
      </c>
    </row>
    <row r="517" spans="1:30">
      <c r="A517" t="str">
        <f>CONCATENATE(I517,J517)</f>
        <v>GROWWEQ</v>
      </c>
      <c r="B517" s="34">
        <v>46273</v>
      </c>
      <c r="C517" s="34">
        <v>46273</v>
      </c>
      <c r="D517" t="s">
        <v>35</v>
      </c>
      <c r="E517" t="s">
        <v>36</v>
      </c>
      <c r="F517" t="s">
        <v>37</v>
      </c>
      <c r="G517">
        <v>759806</v>
      </c>
      <c r="H517" t="s">
        <v>1605</v>
      </c>
      <c r="I517" t="s">
        <v>1606</v>
      </c>
      <c r="J517" t="s">
        <v>161</v>
      </c>
      <c r="O517" t="s">
        <v>1607</v>
      </c>
      <c r="P517">
        <v>194.78</v>
      </c>
      <c r="Q517">
        <v>195.58</v>
      </c>
      <c r="R517">
        <v>193</v>
      </c>
      <c r="S517">
        <v>195.24</v>
      </c>
      <c r="T517">
        <v>195.3</v>
      </c>
      <c r="U517">
        <v>194.73</v>
      </c>
      <c r="W517">
        <v>195.24</v>
      </c>
      <c r="Z517">
        <v>18712196</v>
      </c>
      <c r="AA517">
        <v>3636504005.0900002</v>
      </c>
      <c r="AB517">
        <v>148238</v>
      </c>
      <c r="AC517" t="s">
        <v>42</v>
      </c>
      <c r="AD517">
        <v>1</v>
      </c>
    </row>
    <row r="518" spans="1:30">
      <c r="A518" t="str">
        <f>CONCATENATE(I518,J518)</f>
        <v>BIMETALEQ</v>
      </c>
      <c r="B518" s="34">
        <v>46273</v>
      </c>
      <c r="C518" s="34">
        <v>46273</v>
      </c>
      <c r="D518" t="s">
        <v>35</v>
      </c>
      <c r="E518" t="s">
        <v>36</v>
      </c>
      <c r="F518" t="s">
        <v>37</v>
      </c>
      <c r="G518">
        <v>762588</v>
      </c>
      <c r="H518" t="s">
        <v>1608</v>
      </c>
      <c r="I518" t="s">
        <v>1609</v>
      </c>
      <c r="J518" t="s">
        <v>161</v>
      </c>
      <c r="O518" t="s">
        <v>1610</v>
      </c>
      <c r="P518">
        <v>606</v>
      </c>
      <c r="Q518">
        <v>628.5</v>
      </c>
      <c r="R518">
        <v>606</v>
      </c>
      <c r="S518">
        <v>612.5</v>
      </c>
      <c r="T518">
        <v>612.5</v>
      </c>
      <c r="U518">
        <v>620.1</v>
      </c>
      <c r="W518">
        <v>615.25</v>
      </c>
      <c r="Z518">
        <v>91</v>
      </c>
      <c r="AA518">
        <v>56664.9</v>
      </c>
      <c r="AB518">
        <v>7</v>
      </c>
      <c r="AC518" t="s">
        <v>42</v>
      </c>
      <c r="AD518">
        <v>1</v>
      </c>
    </row>
    <row r="519" spans="1:30">
      <c r="A519" t="str">
        <f>CONCATENATE(I519,J519)</f>
        <v>BMLLSM</v>
      </c>
      <c r="B519" s="34">
        <v>46273</v>
      </c>
      <c r="C519" s="34">
        <v>46273</v>
      </c>
      <c r="D519" t="s">
        <v>35</v>
      </c>
      <c r="E519" t="s">
        <v>36</v>
      </c>
      <c r="F519" t="s">
        <v>37</v>
      </c>
      <c r="G519">
        <v>763598</v>
      </c>
      <c r="H519" t="s">
        <v>1611</v>
      </c>
      <c r="I519" t="s">
        <v>1612</v>
      </c>
      <c r="J519" t="s">
        <v>267</v>
      </c>
      <c r="O519" t="s">
        <v>1613</v>
      </c>
      <c r="P519">
        <v>165.25</v>
      </c>
      <c r="Q519">
        <v>165.25</v>
      </c>
      <c r="R519">
        <v>157.1</v>
      </c>
      <c r="S519">
        <v>159.65</v>
      </c>
      <c r="T519">
        <v>157.30000000000001</v>
      </c>
      <c r="U519">
        <v>165.55</v>
      </c>
      <c r="W519">
        <v>159.65</v>
      </c>
      <c r="Z519">
        <v>65000</v>
      </c>
      <c r="AA519">
        <v>10365750</v>
      </c>
      <c r="AB519">
        <v>31</v>
      </c>
      <c r="AC519" t="s">
        <v>42</v>
      </c>
      <c r="AD519">
        <v>1000</v>
      </c>
    </row>
    <row r="520" spans="1:30">
      <c r="A520" t="str">
        <f>CONCATENATE(I520,J520)</f>
        <v>BIOCONEQ</v>
      </c>
      <c r="B520" s="34">
        <v>46273</v>
      </c>
      <c r="C520" s="34">
        <v>46273</v>
      </c>
      <c r="D520" t="s">
        <v>35</v>
      </c>
      <c r="E520" t="s">
        <v>36</v>
      </c>
      <c r="F520" t="s">
        <v>37</v>
      </c>
      <c r="G520">
        <v>11373</v>
      </c>
      <c r="H520" t="s">
        <v>1614</v>
      </c>
      <c r="I520" t="s">
        <v>1615</v>
      </c>
      <c r="J520" t="s">
        <v>161</v>
      </c>
      <c r="O520" t="s">
        <v>1616</v>
      </c>
      <c r="P520">
        <v>392.15</v>
      </c>
      <c r="Q520">
        <v>399.9</v>
      </c>
      <c r="R520">
        <v>390.9</v>
      </c>
      <c r="S520">
        <v>392.3</v>
      </c>
      <c r="T520">
        <v>392.3</v>
      </c>
      <c r="U520">
        <v>391.4</v>
      </c>
      <c r="W520">
        <v>392.31</v>
      </c>
      <c r="Z520">
        <v>2791301</v>
      </c>
      <c r="AA520">
        <v>1103749848.7</v>
      </c>
      <c r="AB520">
        <v>43817</v>
      </c>
      <c r="AC520" t="s">
        <v>42</v>
      </c>
      <c r="AD520">
        <v>1</v>
      </c>
    </row>
    <row r="521" spans="1:30">
      <c r="A521" t="str">
        <f>CONCATENATE(I521,J521)</f>
        <v>BIOFILCHEMEQ</v>
      </c>
      <c r="B521" s="34">
        <v>46273</v>
      </c>
      <c r="C521" s="34">
        <v>46273</v>
      </c>
      <c r="D521" t="s">
        <v>35</v>
      </c>
      <c r="E521" t="s">
        <v>36</v>
      </c>
      <c r="F521" t="s">
        <v>37</v>
      </c>
      <c r="G521">
        <v>4136</v>
      </c>
      <c r="H521" t="s">
        <v>1617</v>
      </c>
      <c r="I521" t="s">
        <v>1618</v>
      </c>
      <c r="J521" t="s">
        <v>161</v>
      </c>
      <c r="O521" t="s">
        <v>1619</v>
      </c>
      <c r="P521">
        <v>32.700000000000003</v>
      </c>
      <c r="Q521">
        <v>32.700000000000003</v>
      </c>
      <c r="R521">
        <v>31.5</v>
      </c>
      <c r="S521">
        <v>31.52</v>
      </c>
      <c r="T521">
        <v>31.52</v>
      </c>
      <c r="U521">
        <v>32.04</v>
      </c>
      <c r="W521">
        <v>31.88</v>
      </c>
      <c r="Z521">
        <v>12623</v>
      </c>
      <c r="AA521">
        <v>403582.97</v>
      </c>
      <c r="AB521">
        <v>145</v>
      </c>
      <c r="AC521" t="s">
        <v>42</v>
      </c>
      <c r="AD521">
        <v>1</v>
      </c>
    </row>
    <row r="522" spans="1:30">
      <c r="A522" t="str">
        <f>CONCATENATE(I522,J522)</f>
        <v>BIOPOLSM</v>
      </c>
      <c r="B522" s="34">
        <v>46273</v>
      </c>
      <c r="C522" s="34">
        <v>46273</v>
      </c>
      <c r="D522" t="s">
        <v>35</v>
      </c>
      <c r="E522" t="s">
        <v>36</v>
      </c>
      <c r="F522" t="s">
        <v>37</v>
      </c>
      <c r="G522">
        <v>760942</v>
      </c>
      <c r="H522" t="s">
        <v>1620</v>
      </c>
      <c r="I522" t="s">
        <v>1621</v>
      </c>
      <c r="J522" t="s">
        <v>267</v>
      </c>
      <c r="O522" t="s">
        <v>1622</v>
      </c>
      <c r="P522">
        <v>47.5</v>
      </c>
      <c r="Q522">
        <v>49.3</v>
      </c>
      <c r="R522">
        <v>45.6</v>
      </c>
      <c r="S522">
        <v>47.3</v>
      </c>
      <c r="T522">
        <v>47.35</v>
      </c>
      <c r="U522">
        <v>48</v>
      </c>
      <c r="W522">
        <v>47.3</v>
      </c>
      <c r="Z522">
        <v>211200</v>
      </c>
      <c r="AA522">
        <v>9996960</v>
      </c>
      <c r="AB522">
        <v>146</v>
      </c>
      <c r="AC522" t="s">
        <v>42</v>
      </c>
      <c r="AD522">
        <v>1200</v>
      </c>
    </row>
    <row r="523" spans="1:30">
      <c r="A523" t="str">
        <f>CONCATENATE(I523,J523)</f>
        <v>BIRLACABLEEQ</v>
      </c>
      <c r="B523" s="34">
        <v>46273</v>
      </c>
      <c r="C523" s="34">
        <v>46273</v>
      </c>
      <c r="D523" t="s">
        <v>35</v>
      </c>
      <c r="E523" t="s">
        <v>36</v>
      </c>
      <c r="F523" t="s">
        <v>37</v>
      </c>
      <c r="G523">
        <v>477</v>
      </c>
      <c r="H523" t="s">
        <v>1623</v>
      </c>
      <c r="I523" t="s">
        <v>1624</v>
      </c>
      <c r="J523" t="s">
        <v>161</v>
      </c>
      <c r="O523" t="s">
        <v>1625</v>
      </c>
      <c r="P523">
        <v>339.9</v>
      </c>
      <c r="Q523">
        <v>339.9</v>
      </c>
      <c r="R523">
        <v>339.9</v>
      </c>
      <c r="S523">
        <v>339.9</v>
      </c>
      <c r="T523">
        <v>339.9</v>
      </c>
      <c r="U523">
        <v>357.75</v>
      </c>
      <c r="W523">
        <v>339.13</v>
      </c>
      <c r="Z523">
        <v>50176</v>
      </c>
      <c r="AA523">
        <v>17054822.399999999</v>
      </c>
      <c r="AB523">
        <v>822</v>
      </c>
      <c r="AC523" t="s">
        <v>42</v>
      </c>
      <c r="AD523">
        <v>1</v>
      </c>
    </row>
    <row r="524" spans="1:30">
      <c r="A524" t="str">
        <f>CONCATENATE(I524,J524)</f>
        <v>BIRLACORPNEQ</v>
      </c>
      <c r="B524" s="34">
        <v>46273</v>
      </c>
      <c r="C524" s="34">
        <v>46273</v>
      </c>
      <c r="D524" t="s">
        <v>35</v>
      </c>
      <c r="E524" t="s">
        <v>36</v>
      </c>
      <c r="F524" t="s">
        <v>37</v>
      </c>
      <c r="G524">
        <v>480</v>
      </c>
      <c r="H524" t="s">
        <v>1626</v>
      </c>
      <c r="I524" t="s">
        <v>1627</v>
      </c>
      <c r="J524" t="s">
        <v>161</v>
      </c>
      <c r="O524" t="s">
        <v>1628</v>
      </c>
      <c r="P524">
        <v>868.15</v>
      </c>
      <c r="Q524">
        <v>882</v>
      </c>
      <c r="R524">
        <v>853</v>
      </c>
      <c r="S524">
        <v>854.3</v>
      </c>
      <c r="T524">
        <v>854.95</v>
      </c>
      <c r="U524">
        <v>868.15</v>
      </c>
      <c r="W524">
        <v>854.3</v>
      </c>
      <c r="Z524">
        <v>58996</v>
      </c>
      <c r="AA524">
        <v>50876342.600000001</v>
      </c>
      <c r="AB524">
        <v>4574</v>
      </c>
      <c r="AC524" t="s">
        <v>42</v>
      </c>
      <c r="AD524">
        <v>1</v>
      </c>
    </row>
    <row r="525" spans="1:30">
      <c r="A525" t="str">
        <f>CONCATENATE(I525,J525)</f>
        <v>BIRLAPRECEQ</v>
      </c>
      <c r="B525" s="34">
        <v>46273</v>
      </c>
      <c r="C525" s="34">
        <v>46273</v>
      </c>
      <c r="D525" t="s">
        <v>35</v>
      </c>
      <c r="E525" t="s">
        <v>36</v>
      </c>
      <c r="F525" t="s">
        <v>37</v>
      </c>
      <c r="G525">
        <v>762593</v>
      </c>
      <c r="H525" t="s">
        <v>1629</v>
      </c>
      <c r="I525" t="s">
        <v>1630</v>
      </c>
      <c r="J525" t="s">
        <v>161</v>
      </c>
      <c r="O525" t="s">
        <v>1631</v>
      </c>
      <c r="P525">
        <v>58.3</v>
      </c>
      <c r="Q525">
        <v>58.39</v>
      </c>
      <c r="R525">
        <v>53.1</v>
      </c>
      <c r="S525">
        <v>54.5</v>
      </c>
      <c r="T525">
        <v>53.9</v>
      </c>
      <c r="U525">
        <v>58.12</v>
      </c>
      <c r="W525">
        <v>54.6</v>
      </c>
      <c r="Z525">
        <v>463466</v>
      </c>
      <c r="AA525">
        <v>25434668.190000001</v>
      </c>
      <c r="AB525">
        <v>4168</v>
      </c>
      <c r="AC525" t="s">
        <v>42</v>
      </c>
      <c r="AD525">
        <v>1</v>
      </c>
    </row>
    <row r="526" spans="1:30">
      <c r="A526" t="str">
        <f>CONCATENATE(I526,J526)</f>
        <v>BIRLANUEQ</v>
      </c>
      <c r="B526" s="34">
        <v>46273</v>
      </c>
      <c r="C526" s="34">
        <v>46273</v>
      </c>
      <c r="D526" t="s">
        <v>35</v>
      </c>
      <c r="E526" t="s">
        <v>36</v>
      </c>
      <c r="F526" t="s">
        <v>37</v>
      </c>
      <c r="G526">
        <v>1455</v>
      </c>
      <c r="H526" t="s">
        <v>1632</v>
      </c>
      <c r="I526" t="s">
        <v>1633</v>
      </c>
      <c r="J526" t="s">
        <v>161</v>
      </c>
      <c r="O526" t="s">
        <v>1634</v>
      </c>
      <c r="P526">
        <v>1444</v>
      </c>
      <c r="Q526">
        <v>1457.3</v>
      </c>
      <c r="R526">
        <v>1425</v>
      </c>
      <c r="S526">
        <v>1433.2</v>
      </c>
      <c r="T526">
        <v>1427.2</v>
      </c>
      <c r="U526">
        <v>1448.9</v>
      </c>
      <c r="W526">
        <v>1432.56</v>
      </c>
      <c r="Z526">
        <v>6962</v>
      </c>
      <c r="AA526">
        <v>10026555.699999999</v>
      </c>
      <c r="AB526">
        <v>749</v>
      </c>
      <c r="AC526" t="s">
        <v>42</v>
      </c>
      <c r="AD526">
        <v>1</v>
      </c>
    </row>
    <row r="527" spans="1:30">
      <c r="A527" t="str">
        <f>CONCATENATE(I527,J527)</f>
        <v>ABGSECEQ</v>
      </c>
      <c r="B527" s="34">
        <v>46273</v>
      </c>
      <c r="C527" s="34">
        <v>46273</v>
      </c>
      <c r="D527" t="s">
        <v>35</v>
      </c>
      <c r="E527" t="s">
        <v>36</v>
      </c>
      <c r="F527" t="s">
        <v>37</v>
      </c>
      <c r="G527">
        <v>24404</v>
      </c>
      <c r="H527" t="s">
        <v>1635</v>
      </c>
      <c r="I527" t="s">
        <v>1636</v>
      </c>
      <c r="J527" t="s">
        <v>161</v>
      </c>
      <c r="O527" t="s">
        <v>1637</v>
      </c>
      <c r="P527">
        <v>114.61</v>
      </c>
      <c r="Q527">
        <v>114.61</v>
      </c>
      <c r="R527">
        <v>113.73</v>
      </c>
      <c r="S527">
        <v>114.17</v>
      </c>
      <c r="T527">
        <v>113.73</v>
      </c>
      <c r="U527">
        <v>114.51</v>
      </c>
      <c r="W527">
        <v>114.17</v>
      </c>
      <c r="Z527">
        <v>255</v>
      </c>
      <c r="AA527">
        <v>29004.67</v>
      </c>
      <c r="AB527">
        <v>5</v>
      </c>
      <c r="AC527" t="s">
        <v>42</v>
      </c>
      <c r="AD527">
        <v>1</v>
      </c>
    </row>
    <row r="528" spans="1:30">
      <c r="A528" t="str">
        <f>CONCATENATE(I528,J528)</f>
        <v>ABSL10BANKEQ</v>
      </c>
      <c r="B528" s="34">
        <v>46273</v>
      </c>
      <c r="C528" s="34">
        <v>46273</v>
      </c>
      <c r="D528" t="s">
        <v>35</v>
      </c>
      <c r="E528" t="s">
        <v>36</v>
      </c>
      <c r="F528" t="s">
        <v>37</v>
      </c>
      <c r="G528">
        <v>760247</v>
      </c>
      <c r="H528" t="s">
        <v>1638</v>
      </c>
      <c r="I528" t="s">
        <v>1639</v>
      </c>
      <c r="J528" t="s">
        <v>161</v>
      </c>
      <c r="O528" t="s">
        <v>1640</v>
      </c>
      <c r="P528">
        <v>166.75</v>
      </c>
      <c r="Q528">
        <v>167.72</v>
      </c>
      <c r="R528">
        <v>166.75</v>
      </c>
      <c r="S528">
        <v>167.31</v>
      </c>
      <c r="T528">
        <v>167.31</v>
      </c>
      <c r="U528">
        <v>165.62</v>
      </c>
      <c r="W528">
        <v>167.31</v>
      </c>
      <c r="Z528">
        <v>1397</v>
      </c>
      <c r="AA528">
        <v>233632.55</v>
      </c>
      <c r="AB528">
        <v>23</v>
      </c>
      <c r="AC528" t="s">
        <v>42</v>
      </c>
      <c r="AD528">
        <v>1</v>
      </c>
    </row>
    <row r="529" spans="1:30">
      <c r="A529" t="str">
        <f>CONCATENATE(I529,J529)</f>
        <v>ABSLBANETFEQ</v>
      </c>
      <c r="B529" s="34">
        <v>46273</v>
      </c>
      <c r="C529" s="34">
        <v>46273</v>
      </c>
      <c r="D529" t="s">
        <v>35</v>
      </c>
      <c r="E529" t="s">
        <v>36</v>
      </c>
      <c r="F529" t="s">
        <v>37</v>
      </c>
      <c r="G529">
        <v>13987</v>
      </c>
      <c r="H529" t="s">
        <v>1641</v>
      </c>
      <c r="I529" t="s">
        <v>1642</v>
      </c>
      <c r="J529" t="s">
        <v>161</v>
      </c>
      <c r="O529" t="s">
        <v>1643</v>
      </c>
      <c r="P529">
        <v>58.5</v>
      </c>
      <c r="Q529">
        <v>58.62</v>
      </c>
      <c r="R529">
        <v>58.3</v>
      </c>
      <c r="S529">
        <v>58.31</v>
      </c>
      <c r="T529">
        <v>58.42</v>
      </c>
      <c r="U529">
        <v>58.66</v>
      </c>
      <c r="W529">
        <v>58.31</v>
      </c>
      <c r="Z529">
        <v>16937</v>
      </c>
      <c r="AA529">
        <v>988951.98</v>
      </c>
      <c r="AB529">
        <v>290</v>
      </c>
      <c r="AC529" t="s">
        <v>42</v>
      </c>
      <c r="AD529">
        <v>1</v>
      </c>
    </row>
    <row r="530" spans="1:30">
      <c r="A530" t="str">
        <f>CONCATENATE(I530,J530)</f>
        <v>ABSLLIQUIDEQ</v>
      </c>
      <c r="B530" s="34">
        <v>46273</v>
      </c>
      <c r="C530" s="34">
        <v>46273</v>
      </c>
      <c r="D530" t="s">
        <v>35</v>
      </c>
      <c r="E530" t="s">
        <v>36</v>
      </c>
      <c r="F530" t="s">
        <v>37</v>
      </c>
      <c r="G530">
        <v>14518</v>
      </c>
      <c r="H530" t="s">
        <v>1644</v>
      </c>
      <c r="I530" t="s">
        <v>1645</v>
      </c>
      <c r="J530" t="s">
        <v>161</v>
      </c>
      <c r="O530" t="s">
        <v>1646</v>
      </c>
      <c r="P530">
        <v>1000</v>
      </c>
      <c r="Q530">
        <v>1000.01</v>
      </c>
      <c r="R530">
        <v>999.99</v>
      </c>
      <c r="S530">
        <v>1000</v>
      </c>
      <c r="T530">
        <v>1000</v>
      </c>
      <c r="U530">
        <v>1000</v>
      </c>
      <c r="W530">
        <v>1000</v>
      </c>
      <c r="Z530">
        <v>728</v>
      </c>
      <c r="AA530">
        <v>728000.79</v>
      </c>
      <c r="AB530">
        <v>18</v>
      </c>
      <c r="AC530" t="s">
        <v>42</v>
      </c>
      <c r="AD530">
        <v>1</v>
      </c>
    </row>
    <row r="531" spans="1:30">
      <c r="A531" t="str">
        <f>CONCATENATE(I531,J531)</f>
        <v>ABSLMSCINEQ</v>
      </c>
      <c r="B531" s="34">
        <v>46273</v>
      </c>
      <c r="C531" s="34">
        <v>46273</v>
      </c>
      <c r="D531" t="s">
        <v>35</v>
      </c>
      <c r="E531" t="s">
        <v>36</v>
      </c>
      <c r="F531" t="s">
        <v>37</v>
      </c>
      <c r="G531">
        <v>761066</v>
      </c>
      <c r="H531" t="s">
        <v>1647</v>
      </c>
      <c r="I531" t="s">
        <v>1648</v>
      </c>
      <c r="J531" t="s">
        <v>161</v>
      </c>
      <c r="O531" t="s">
        <v>1649</v>
      </c>
      <c r="P531">
        <v>29.37</v>
      </c>
      <c r="Q531">
        <v>29.55</v>
      </c>
      <c r="R531">
        <v>29.03</v>
      </c>
      <c r="S531">
        <v>29.34</v>
      </c>
      <c r="T531">
        <v>29.34</v>
      </c>
      <c r="U531">
        <v>29.23</v>
      </c>
      <c r="W531">
        <v>29.34</v>
      </c>
      <c r="Z531">
        <v>370</v>
      </c>
      <c r="AA531">
        <v>10772.95</v>
      </c>
      <c r="AB531">
        <v>11</v>
      </c>
      <c r="AC531" t="s">
        <v>42</v>
      </c>
      <c r="AD531">
        <v>1</v>
      </c>
    </row>
    <row r="532" spans="1:30">
      <c r="A532" t="str">
        <f>CONCATENATE(I532,J532)</f>
        <v>ABSLNN50ETEQ</v>
      </c>
      <c r="B532" s="34">
        <v>46273</v>
      </c>
      <c r="C532" s="34">
        <v>46273</v>
      </c>
      <c r="D532" t="s">
        <v>35</v>
      </c>
      <c r="E532" t="s">
        <v>36</v>
      </c>
      <c r="F532" t="s">
        <v>37</v>
      </c>
      <c r="G532">
        <v>7339</v>
      </c>
      <c r="H532" t="s">
        <v>1650</v>
      </c>
      <c r="I532" t="s">
        <v>1651</v>
      </c>
      <c r="J532" t="s">
        <v>161</v>
      </c>
      <c r="O532" t="s">
        <v>1652</v>
      </c>
      <c r="P532">
        <v>76.83</v>
      </c>
      <c r="Q532">
        <v>77.150000000000006</v>
      </c>
      <c r="R532">
        <v>76.11</v>
      </c>
      <c r="S532">
        <v>76.849999999999994</v>
      </c>
      <c r="T532">
        <v>77.150000000000006</v>
      </c>
      <c r="U532">
        <v>77.150000000000006</v>
      </c>
      <c r="W532">
        <v>76.849999999999994</v>
      </c>
      <c r="Z532">
        <v>9982</v>
      </c>
      <c r="AA532">
        <v>767015.66</v>
      </c>
      <c r="AB532">
        <v>176</v>
      </c>
      <c r="AC532" t="s">
        <v>42</v>
      </c>
      <c r="AD532">
        <v>1</v>
      </c>
    </row>
    <row r="533" spans="1:30">
      <c r="A533" t="str">
        <f>CONCATENATE(I533,J533)</f>
        <v>BSLSENETFGEQ</v>
      </c>
      <c r="B533" s="34">
        <v>46273</v>
      </c>
      <c r="C533" s="34">
        <v>46273</v>
      </c>
      <c r="D533" t="s">
        <v>35</v>
      </c>
      <c r="E533" t="s">
        <v>36</v>
      </c>
      <c r="F533" t="s">
        <v>37</v>
      </c>
      <c r="G533">
        <v>5957</v>
      </c>
      <c r="H533" t="s">
        <v>1653</v>
      </c>
      <c r="I533" t="s">
        <v>1654</v>
      </c>
      <c r="J533" t="s">
        <v>161</v>
      </c>
      <c r="O533" t="s">
        <v>1655</v>
      </c>
      <c r="P533">
        <v>77.92</v>
      </c>
      <c r="Q533">
        <v>78.5</v>
      </c>
      <c r="R533">
        <v>76.13</v>
      </c>
      <c r="S533">
        <v>76.540000000000006</v>
      </c>
      <c r="T533">
        <v>77.45</v>
      </c>
      <c r="U533">
        <v>78.72</v>
      </c>
      <c r="W533">
        <v>76.540000000000006</v>
      </c>
      <c r="Z533">
        <v>22029</v>
      </c>
      <c r="AA533">
        <v>1685867.66</v>
      </c>
      <c r="AB533">
        <v>366</v>
      </c>
      <c r="AC533" t="s">
        <v>42</v>
      </c>
      <c r="AD533">
        <v>1</v>
      </c>
    </row>
    <row r="534" spans="1:30">
      <c r="A534" t="str">
        <f>CONCATENATE(I534,J534)</f>
        <v>GSEC10ABSLEQ</v>
      </c>
      <c r="B534" s="34">
        <v>46273</v>
      </c>
      <c r="C534" s="34">
        <v>46273</v>
      </c>
      <c r="D534" t="s">
        <v>35</v>
      </c>
      <c r="E534" t="s">
        <v>36</v>
      </c>
      <c r="F534" t="s">
        <v>37</v>
      </c>
      <c r="G534">
        <v>24847</v>
      </c>
      <c r="H534" t="s">
        <v>1656</v>
      </c>
      <c r="I534" t="s">
        <v>1657</v>
      </c>
      <c r="J534" t="s">
        <v>161</v>
      </c>
      <c r="O534" t="s">
        <v>1658</v>
      </c>
      <c r="P534">
        <v>112.93</v>
      </c>
      <c r="Q534">
        <v>112.93</v>
      </c>
      <c r="R534">
        <v>111.72</v>
      </c>
      <c r="S534">
        <v>112.93</v>
      </c>
      <c r="T534">
        <v>112.93</v>
      </c>
      <c r="U534">
        <v>111.61</v>
      </c>
      <c r="W534">
        <v>112.93</v>
      </c>
      <c r="Z534">
        <v>10</v>
      </c>
      <c r="AA534">
        <v>1122.04</v>
      </c>
      <c r="AB534">
        <v>3</v>
      </c>
      <c r="AC534" t="s">
        <v>42</v>
      </c>
      <c r="AD534">
        <v>1</v>
      </c>
    </row>
    <row r="535" spans="1:30">
      <c r="A535" t="str">
        <f>CONCATENATE(I535,J535)</f>
        <v>HEALTHYEQ</v>
      </c>
      <c r="B535" s="34">
        <v>46273</v>
      </c>
      <c r="C535" s="34">
        <v>46273</v>
      </c>
      <c r="D535" t="s">
        <v>35</v>
      </c>
      <c r="E535" t="s">
        <v>36</v>
      </c>
      <c r="F535" t="s">
        <v>37</v>
      </c>
      <c r="G535">
        <v>6297</v>
      </c>
      <c r="H535" t="s">
        <v>1659</v>
      </c>
      <c r="I535" t="s">
        <v>1660</v>
      </c>
      <c r="J535" t="s">
        <v>161</v>
      </c>
      <c r="O535" t="s">
        <v>1661</v>
      </c>
      <c r="P535">
        <v>17.45</v>
      </c>
      <c r="Q535">
        <v>17.45</v>
      </c>
      <c r="R535">
        <v>16.93</v>
      </c>
      <c r="S535">
        <v>17.09</v>
      </c>
      <c r="T535">
        <v>17.09</v>
      </c>
      <c r="U535">
        <v>17.03</v>
      </c>
      <c r="W535">
        <v>17.09</v>
      </c>
      <c r="Z535">
        <v>209540</v>
      </c>
      <c r="AA535">
        <v>3574625.19</v>
      </c>
      <c r="AB535">
        <v>861</v>
      </c>
      <c r="AC535" t="s">
        <v>42</v>
      </c>
      <c r="AD535">
        <v>1</v>
      </c>
    </row>
    <row r="536" spans="1:30">
      <c r="A536" t="str">
        <f>CONCATENATE(I536,J536)</f>
        <v>MOMENTUMEQ</v>
      </c>
      <c r="B536" s="34">
        <v>46273</v>
      </c>
      <c r="C536" s="34">
        <v>46273</v>
      </c>
      <c r="D536" t="s">
        <v>35</v>
      </c>
      <c r="E536" t="s">
        <v>36</v>
      </c>
      <c r="F536" t="s">
        <v>37</v>
      </c>
      <c r="G536">
        <v>10693</v>
      </c>
      <c r="H536" t="s">
        <v>1662</v>
      </c>
      <c r="I536" t="s">
        <v>1663</v>
      </c>
      <c r="J536" t="s">
        <v>161</v>
      </c>
      <c r="O536" t="s">
        <v>1664</v>
      </c>
      <c r="P536">
        <v>31.22</v>
      </c>
      <c r="Q536">
        <v>31.8</v>
      </c>
      <c r="R536">
        <v>31.15</v>
      </c>
      <c r="S536">
        <v>31.46</v>
      </c>
      <c r="T536">
        <v>31.4</v>
      </c>
      <c r="U536">
        <v>31.18</v>
      </c>
      <c r="W536">
        <v>31.45</v>
      </c>
      <c r="Z536">
        <v>166053</v>
      </c>
      <c r="AA536">
        <v>5207608.5</v>
      </c>
      <c r="AB536">
        <v>185</v>
      </c>
      <c r="AC536" t="s">
        <v>42</v>
      </c>
      <c r="AD536">
        <v>1</v>
      </c>
    </row>
    <row r="537" spans="1:30">
      <c r="A537" t="str">
        <f>CONCATENATE(I537,J537)</f>
        <v>NIFTYQLITYEQ</v>
      </c>
      <c r="B537" s="34">
        <v>46273</v>
      </c>
      <c r="C537" s="34">
        <v>46273</v>
      </c>
      <c r="D537" t="s">
        <v>35</v>
      </c>
      <c r="E537" t="s">
        <v>36</v>
      </c>
      <c r="F537" t="s">
        <v>37</v>
      </c>
      <c r="G537">
        <v>10690</v>
      </c>
      <c r="H537" t="s">
        <v>1665</v>
      </c>
      <c r="I537" t="s">
        <v>1666</v>
      </c>
      <c r="J537" t="s">
        <v>161</v>
      </c>
      <c r="O537" t="s">
        <v>1667</v>
      </c>
      <c r="P537">
        <v>21.19</v>
      </c>
      <c r="Q537">
        <v>21.19</v>
      </c>
      <c r="R537">
        <v>21</v>
      </c>
      <c r="S537">
        <v>21.04</v>
      </c>
      <c r="T537">
        <v>21.05</v>
      </c>
      <c r="U537">
        <v>21.09</v>
      </c>
      <c r="W537">
        <v>21.04</v>
      </c>
      <c r="Z537">
        <v>28811</v>
      </c>
      <c r="AA537">
        <v>607761.38</v>
      </c>
      <c r="AB537">
        <v>169</v>
      </c>
      <c r="AC537" t="s">
        <v>42</v>
      </c>
      <c r="AD537">
        <v>1</v>
      </c>
    </row>
    <row r="538" spans="1:30">
      <c r="A538" t="str">
        <f>CONCATENATE(I538,J538)</f>
        <v>SILVEREQ</v>
      </c>
      <c r="B538" s="34">
        <v>46273</v>
      </c>
      <c r="C538" s="34">
        <v>46273</v>
      </c>
      <c r="D538" t="s">
        <v>35</v>
      </c>
      <c r="E538" t="s">
        <v>36</v>
      </c>
      <c r="F538" t="s">
        <v>37</v>
      </c>
      <c r="G538">
        <v>8003</v>
      </c>
      <c r="H538" t="s">
        <v>1668</v>
      </c>
      <c r="I538" t="s">
        <v>1669</v>
      </c>
      <c r="J538" t="s">
        <v>161</v>
      </c>
      <c r="O538" t="s">
        <v>1670</v>
      </c>
      <c r="P538">
        <v>231.76</v>
      </c>
      <c r="Q538">
        <v>233.6</v>
      </c>
      <c r="R538">
        <v>229.8</v>
      </c>
      <c r="S538">
        <v>231.1</v>
      </c>
      <c r="T538">
        <v>231.6</v>
      </c>
      <c r="U538">
        <v>229.65</v>
      </c>
      <c r="W538">
        <v>231.1</v>
      </c>
      <c r="Z538">
        <v>776377</v>
      </c>
      <c r="AA538">
        <v>179948424.44</v>
      </c>
      <c r="AB538">
        <v>6629</v>
      </c>
      <c r="AC538" t="s">
        <v>42</v>
      </c>
      <c r="AD538">
        <v>1</v>
      </c>
    </row>
    <row r="539" spans="1:30">
      <c r="A539" t="str">
        <f>CONCATENATE(I539,J539)</f>
        <v>TECHEQ</v>
      </c>
      <c r="B539" s="34">
        <v>46273</v>
      </c>
      <c r="C539" s="34">
        <v>46273</v>
      </c>
      <c r="D539" t="s">
        <v>35</v>
      </c>
      <c r="E539" t="s">
        <v>36</v>
      </c>
      <c r="F539" t="s">
        <v>37</v>
      </c>
      <c r="G539">
        <v>6462</v>
      </c>
      <c r="H539" t="s">
        <v>1671</v>
      </c>
      <c r="I539" t="s">
        <v>1672</v>
      </c>
      <c r="J539" t="s">
        <v>161</v>
      </c>
      <c r="O539" t="s">
        <v>1673</v>
      </c>
      <c r="P539">
        <v>32.85</v>
      </c>
      <c r="Q539">
        <v>33.01</v>
      </c>
      <c r="R539">
        <v>32.6</v>
      </c>
      <c r="S539">
        <v>32.79</v>
      </c>
      <c r="T539">
        <v>32.89</v>
      </c>
      <c r="U539">
        <v>32.78</v>
      </c>
      <c r="W539">
        <v>32.799999999999997</v>
      </c>
      <c r="Z539">
        <v>18853</v>
      </c>
      <c r="AA539">
        <v>618145.17000000004</v>
      </c>
      <c r="AB539">
        <v>201</v>
      </c>
      <c r="AC539" t="s">
        <v>42</v>
      </c>
      <c r="AD539">
        <v>1</v>
      </c>
    </row>
    <row r="540" spans="1:30">
      <c r="A540" t="str">
        <f>CONCATENATE(I540,J540)</f>
        <v>ABSLPSEEQ</v>
      </c>
      <c r="B540" s="34">
        <v>46273</v>
      </c>
      <c r="C540" s="34">
        <v>46273</v>
      </c>
      <c r="D540" t="s">
        <v>35</v>
      </c>
      <c r="E540" t="s">
        <v>36</v>
      </c>
      <c r="F540" t="s">
        <v>37</v>
      </c>
      <c r="G540">
        <v>23806</v>
      </c>
      <c r="H540" t="s">
        <v>1674</v>
      </c>
      <c r="I540" t="s">
        <v>1675</v>
      </c>
      <c r="J540" t="s">
        <v>161</v>
      </c>
      <c r="O540" t="s">
        <v>1676</v>
      </c>
      <c r="P540">
        <v>10.09</v>
      </c>
      <c r="Q540">
        <v>10.18</v>
      </c>
      <c r="R540">
        <v>9.99</v>
      </c>
      <c r="S540">
        <v>10.130000000000001</v>
      </c>
      <c r="T540">
        <v>10.130000000000001</v>
      </c>
      <c r="U540">
        <v>10.11</v>
      </c>
      <c r="W540">
        <v>10.130000000000001</v>
      </c>
      <c r="Z540">
        <v>37126</v>
      </c>
      <c r="AA540">
        <v>375921.28</v>
      </c>
      <c r="AB540">
        <v>276</v>
      </c>
      <c r="AC540" t="s">
        <v>42</v>
      </c>
      <c r="AD540">
        <v>1</v>
      </c>
    </row>
    <row r="541" spans="1:30">
      <c r="A541" t="str">
        <f>CONCATENATE(I541,J541)</f>
        <v>BSOFTEQ</v>
      </c>
      <c r="B541" s="34">
        <v>46273</v>
      </c>
      <c r="C541" s="34">
        <v>46273</v>
      </c>
      <c r="D541" t="s">
        <v>35</v>
      </c>
      <c r="E541" t="s">
        <v>36</v>
      </c>
      <c r="F541" t="s">
        <v>37</v>
      </c>
      <c r="G541">
        <v>6994</v>
      </c>
      <c r="H541" t="s">
        <v>1677</v>
      </c>
      <c r="I541" t="s">
        <v>1678</v>
      </c>
      <c r="J541" t="s">
        <v>161</v>
      </c>
      <c r="O541" t="s">
        <v>1679</v>
      </c>
      <c r="P541">
        <v>282.8</v>
      </c>
      <c r="Q541">
        <v>283.7</v>
      </c>
      <c r="R541">
        <v>280.3</v>
      </c>
      <c r="S541">
        <v>281.64999999999998</v>
      </c>
      <c r="T541">
        <v>282</v>
      </c>
      <c r="U541">
        <v>282.45</v>
      </c>
      <c r="W541">
        <v>281.64999999999998</v>
      </c>
      <c r="Z541">
        <v>463798</v>
      </c>
      <c r="AA541">
        <v>130643663.55</v>
      </c>
      <c r="AB541">
        <v>11268</v>
      </c>
      <c r="AC541" t="s">
        <v>42</v>
      </c>
      <c r="AD541">
        <v>1</v>
      </c>
    </row>
    <row r="542" spans="1:30">
      <c r="A542" t="str">
        <f>CONCATENATE(I542,J542)</f>
        <v>BBOXEQ</v>
      </c>
      <c r="B542" s="34">
        <v>46273</v>
      </c>
      <c r="C542" s="34">
        <v>46273</v>
      </c>
      <c r="D542" t="s">
        <v>35</v>
      </c>
      <c r="E542" t="s">
        <v>36</v>
      </c>
      <c r="F542" t="s">
        <v>37</v>
      </c>
      <c r="G542">
        <v>3435</v>
      </c>
      <c r="H542" t="s">
        <v>1680</v>
      </c>
      <c r="I542" t="s">
        <v>1681</v>
      </c>
      <c r="J542" t="s">
        <v>161</v>
      </c>
      <c r="O542" t="s">
        <v>1682</v>
      </c>
      <c r="P542">
        <v>780</v>
      </c>
      <c r="Q542">
        <v>781.15</v>
      </c>
      <c r="R542">
        <v>756.25</v>
      </c>
      <c r="S542">
        <v>770.9</v>
      </c>
      <c r="T542">
        <v>771</v>
      </c>
      <c r="U542">
        <v>774.25</v>
      </c>
      <c r="W542">
        <v>770.95</v>
      </c>
      <c r="Z542">
        <v>344888</v>
      </c>
      <c r="AA542">
        <v>264626795.65000001</v>
      </c>
      <c r="AB542">
        <v>19398</v>
      </c>
      <c r="AC542" t="s">
        <v>42</v>
      </c>
      <c r="AD542">
        <v>1</v>
      </c>
    </row>
    <row r="543" spans="1:30">
      <c r="A543" t="str">
        <f>CONCATENATE(I543,J543)</f>
        <v>BLACKROSEBE</v>
      </c>
      <c r="B543" s="34">
        <v>46273</v>
      </c>
      <c r="C543" s="34">
        <v>46273</v>
      </c>
      <c r="D543" t="s">
        <v>35</v>
      </c>
      <c r="E543" t="s">
        <v>36</v>
      </c>
      <c r="F543" t="s">
        <v>37</v>
      </c>
      <c r="G543">
        <v>762601</v>
      </c>
      <c r="H543" t="s">
        <v>1683</v>
      </c>
      <c r="I543" t="s">
        <v>1684</v>
      </c>
      <c r="J543" t="s">
        <v>183</v>
      </c>
      <c r="O543" t="s">
        <v>1685</v>
      </c>
      <c r="P543">
        <v>112.97</v>
      </c>
      <c r="Q543">
        <v>112.97</v>
      </c>
      <c r="R543">
        <v>110.1</v>
      </c>
      <c r="S543">
        <v>112.27</v>
      </c>
      <c r="T543">
        <v>112.5</v>
      </c>
      <c r="U543">
        <v>111.86</v>
      </c>
      <c r="W543">
        <v>112.27</v>
      </c>
      <c r="Z543">
        <v>19396</v>
      </c>
      <c r="AA543">
        <v>2166441.83</v>
      </c>
      <c r="AB543">
        <v>196</v>
      </c>
      <c r="AC543" t="s">
        <v>42</v>
      </c>
      <c r="AD543">
        <v>1</v>
      </c>
    </row>
    <row r="544" spans="1:30">
      <c r="A544" t="str">
        <f>CONCATENATE(I544,J544)</f>
        <v>BLACKBUCKEQ</v>
      </c>
      <c r="B544" s="34">
        <v>46273</v>
      </c>
      <c r="C544" s="34">
        <v>46273</v>
      </c>
      <c r="D544" t="s">
        <v>35</v>
      </c>
      <c r="E544" t="s">
        <v>36</v>
      </c>
      <c r="F544" t="s">
        <v>37</v>
      </c>
      <c r="G544">
        <v>27144</v>
      </c>
      <c r="H544" t="s">
        <v>1686</v>
      </c>
      <c r="I544" t="s">
        <v>1687</v>
      </c>
      <c r="J544" t="s">
        <v>161</v>
      </c>
      <c r="O544" t="s">
        <v>1688</v>
      </c>
      <c r="P544">
        <v>583.6</v>
      </c>
      <c r="Q544">
        <v>583.6</v>
      </c>
      <c r="R544">
        <v>572</v>
      </c>
      <c r="S544">
        <v>573.4</v>
      </c>
      <c r="T544">
        <v>573.9</v>
      </c>
      <c r="U544">
        <v>583.6</v>
      </c>
      <c r="W544">
        <v>573.4</v>
      </c>
      <c r="Z544">
        <v>216364</v>
      </c>
      <c r="AA544">
        <v>124543297.45</v>
      </c>
      <c r="AB544">
        <v>18930</v>
      </c>
      <c r="AC544" t="s">
        <v>42</v>
      </c>
      <c r="AD544">
        <v>1</v>
      </c>
    </row>
    <row r="545" spans="1:30">
      <c r="A545" t="str">
        <f>CONCATENATE(I545,J545)</f>
        <v>BLBLIMITEDEQ</v>
      </c>
      <c r="B545" s="34">
        <v>46273</v>
      </c>
      <c r="C545" s="34">
        <v>46273</v>
      </c>
      <c r="D545" t="s">
        <v>35</v>
      </c>
      <c r="E545" t="s">
        <v>36</v>
      </c>
      <c r="F545" t="s">
        <v>37</v>
      </c>
      <c r="G545">
        <v>8132</v>
      </c>
      <c r="H545" t="s">
        <v>1689</v>
      </c>
      <c r="I545" t="s">
        <v>1690</v>
      </c>
      <c r="J545" t="s">
        <v>161</v>
      </c>
      <c r="O545" t="s">
        <v>1691</v>
      </c>
      <c r="P545">
        <v>16.899999999999999</v>
      </c>
      <c r="Q545">
        <v>16.940000000000001</v>
      </c>
      <c r="R545">
        <v>16.420000000000002</v>
      </c>
      <c r="S545">
        <v>16.88</v>
      </c>
      <c r="T545">
        <v>16.940000000000001</v>
      </c>
      <c r="U545">
        <v>16.87</v>
      </c>
      <c r="W545">
        <v>16.87</v>
      </c>
      <c r="Z545">
        <v>119368</v>
      </c>
      <c r="AA545">
        <v>1979036.53</v>
      </c>
      <c r="AB545">
        <v>293</v>
      </c>
      <c r="AC545" t="s">
        <v>42</v>
      </c>
      <c r="AD545">
        <v>1</v>
      </c>
    </row>
    <row r="546" spans="1:30">
      <c r="A546" t="str">
        <f>CONCATENATE(I546,J546)</f>
        <v>BLISSGVSBE</v>
      </c>
      <c r="B546" s="34">
        <v>46273</v>
      </c>
      <c r="C546" s="34">
        <v>46273</v>
      </c>
      <c r="D546" t="s">
        <v>35</v>
      </c>
      <c r="E546" t="s">
        <v>36</v>
      </c>
      <c r="F546" t="s">
        <v>37</v>
      </c>
      <c r="G546">
        <v>19269</v>
      </c>
      <c r="H546" t="s">
        <v>1692</v>
      </c>
      <c r="I546" t="s">
        <v>1693</v>
      </c>
      <c r="J546" t="s">
        <v>183</v>
      </c>
      <c r="O546" t="s">
        <v>1694</v>
      </c>
      <c r="P546">
        <v>720</v>
      </c>
      <c r="Q546">
        <v>725.9</v>
      </c>
      <c r="R546">
        <v>686</v>
      </c>
      <c r="S546">
        <v>722.3</v>
      </c>
      <c r="T546">
        <v>718</v>
      </c>
      <c r="U546">
        <v>691.35</v>
      </c>
      <c r="W546">
        <v>722.6</v>
      </c>
      <c r="Z546">
        <v>433367</v>
      </c>
      <c r="AA546">
        <v>309764403.30000001</v>
      </c>
      <c r="AB546">
        <v>4844</v>
      </c>
      <c r="AC546" t="s">
        <v>42</v>
      </c>
      <c r="AD546">
        <v>1</v>
      </c>
    </row>
    <row r="547" spans="1:30">
      <c r="A547" t="str">
        <f>CONCATENATE(I547,J547)</f>
        <v>BLSEEQ</v>
      </c>
      <c r="B547" s="34">
        <v>46273</v>
      </c>
      <c r="C547" s="34">
        <v>46273</v>
      </c>
      <c r="D547" t="s">
        <v>35</v>
      </c>
      <c r="E547" t="s">
        <v>36</v>
      </c>
      <c r="F547" t="s">
        <v>37</v>
      </c>
      <c r="G547">
        <v>22566</v>
      </c>
      <c r="H547" t="s">
        <v>1695</v>
      </c>
      <c r="I547" t="s">
        <v>1696</v>
      </c>
      <c r="J547" t="s">
        <v>161</v>
      </c>
      <c r="O547" t="s">
        <v>1697</v>
      </c>
      <c r="P547">
        <v>321.95</v>
      </c>
      <c r="Q547">
        <v>324.7</v>
      </c>
      <c r="R547">
        <v>315.10000000000002</v>
      </c>
      <c r="S547">
        <v>322.05</v>
      </c>
      <c r="T547">
        <v>322</v>
      </c>
      <c r="U547">
        <v>319.45</v>
      </c>
      <c r="W547">
        <v>322.05</v>
      </c>
      <c r="Z547">
        <v>434327</v>
      </c>
      <c r="AA547">
        <v>138914179.05000001</v>
      </c>
      <c r="AB547">
        <v>8126</v>
      </c>
      <c r="AC547" t="s">
        <v>42</v>
      </c>
      <c r="AD547">
        <v>1</v>
      </c>
    </row>
    <row r="548" spans="1:30">
      <c r="A548" t="str">
        <f>CONCATENATE(I548,J548)</f>
        <v>BLSEQ</v>
      </c>
      <c r="B548" s="34">
        <v>46273</v>
      </c>
      <c r="C548" s="34">
        <v>46273</v>
      </c>
      <c r="D548" t="s">
        <v>35</v>
      </c>
      <c r="E548" t="s">
        <v>36</v>
      </c>
      <c r="F548" t="s">
        <v>37</v>
      </c>
      <c r="G548">
        <v>17279</v>
      </c>
      <c r="H548" t="s">
        <v>1698</v>
      </c>
      <c r="I548" t="s">
        <v>1699</v>
      </c>
      <c r="J548" t="s">
        <v>161</v>
      </c>
      <c r="O548" t="s">
        <v>1700</v>
      </c>
      <c r="P548">
        <v>238.5</v>
      </c>
      <c r="Q548">
        <v>240.13</v>
      </c>
      <c r="R548">
        <v>236.05</v>
      </c>
      <c r="S548">
        <v>237.7</v>
      </c>
      <c r="T548">
        <v>237.8</v>
      </c>
      <c r="U548">
        <v>239.17</v>
      </c>
      <c r="W548">
        <v>237.69</v>
      </c>
      <c r="Z548">
        <v>495662</v>
      </c>
      <c r="AA548">
        <v>117931389.83</v>
      </c>
      <c r="AB548">
        <v>9719</v>
      </c>
      <c r="AC548" t="s">
        <v>42</v>
      </c>
      <c r="AD548">
        <v>1</v>
      </c>
    </row>
    <row r="549" spans="1:30">
      <c r="A549" t="str">
        <f>CONCATENATE(I549,J549)</f>
        <v>BLUECLOUDSEQ</v>
      </c>
      <c r="B549" s="34">
        <v>46273</v>
      </c>
      <c r="C549" s="34">
        <v>46273</v>
      </c>
      <c r="D549" t="s">
        <v>35</v>
      </c>
      <c r="E549" t="s">
        <v>36</v>
      </c>
      <c r="F549" t="s">
        <v>37</v>
      </c>
      <c r="G549">
        <v>765040</v>
      </c>
      <c r="H549" t="s">
        <v>1701</v>
      </c>
      <c r="I549" t="s">
        <v>1702</v>
      </c>
      <c r="J549" t="s">
        <v>161</v>
      </c>
      <c r="O549" t="s">
        <v>1703</v>
      </c>
      <c r="P549">
        <v>19.850000000000001</v>
      </c>
      <c r="Q549">
        <v>20.100000000000001</v>
      </c>
      <c r="R549">
        <v>19.559999999999999</v>
      </c>
      <c r="S549">
        <v>19.75</v>
      </c>
      <c r="T549">
        <v>19.7</v>
      </c>
      <c r="U549">
        <v>19.690000000000001</v>
      </c>
      <c r="W549">
        <v>19.75</v>
      </c>
      <c r="Z549">
        <v>1221023</v>
      </c>
      <c r="AA549">
        <v>24238230.989999998</v>
      </c>
      <c r="AB549">
        <v>2601</v>
      </c>
      <c r="AC549" t="s">
        <v>42</v>
      </c>
      <c r="AD549">
        <v>1</v>
      </c>
    </row>
    <row r="550" spans="1:30">
      <c r="A550" t="str">
        <f>CONCATENATE(I550,J550)</f>
        <v>BLUECOASTEQ</v>
      </c>
      <c r="B550" s="34">
        <v>46273</v>
      </c>
      <c r="C550" s="34">
        <v>46273</v>
      </c>
      <c r="D550" t="s">
        <v>35</v>
      </c>
      <c r="E550" t="s">
        <v>36</v>
      </c>
      <c r="F550" t="s">
        <v>37</v>
      </c>
      <c r="G550">
        <v>7480</v>
      </c>
      <c r="H550" t="s">
        <v>1704</v>
      </c>
      <c r="I550" t="s">
        <v>1705</v>
      </c>
      <c r="J550" t="s">
        <v>161</v>
      </c>
      <c r="O550" t="s">
        <v>1706</v>
      </c>
      <c r="P550">
        <v>22.66</v>
      </c>
      <c r="Q550">
        <v>22.66</v>
      </c>
      <c r="R550">
        <v>21.5</v>
      </c>
      <c r="S550">
        <v>22.1</v>
      </c>
      <c r="T550">
        <v>22.1</v>
      </c>
      <c r="U550">
        <v>22.44</v>
      </c>
      <c r="W550">
        <v>21.8</v>
      </c>
      <c r="Z550">
        <v>2241</v>
      </c>
      <c r="AA550">
        <v>50253</v>
      </c>
      <c r="AB550">
        <v>22</v>
      </c>
      <c r="AC550" t="s">
        <v>42</v>
      </c>
      <c r="AD550">
        <v>1</v>
      </c>
    </row>
    <row r="551" spans="1:30">
      <c r="A551" t="str">
        <f>CONCATENATE(I551,J551)</f>
        <v>BLUEDARTEQ</v>
      </c>
      <c r="B551" s="34">
        <v>46273</v>
      </c>
      <c r="C551" s="34">
        <v>46273</v>
      </c>
      <c r="D551" t="s">
        <v>35</v>
      </c>
      <c r="E551" t="s">
        <v>36</v>
      </c>
      <c r="F551" t="s">
        <v>37</v>
      </c>
      <c r="G551">
        <v>495</v>
      </c>
      <c r="H551" t="s">
        <v>1707</v>
      </c>
      <c r="I551" t="s">
        <v>1708</v>
      </c>
      <c r="J551" t="s">
        <v>161</v>
      </c>
      <c r="O551" t="s">
        <v>1709</v>
      </c>
      <c r="P551">
        <v>4988.8</v>
      </c>
      <c r="Q551">
        <v>4996</v>
      </c>
      <c r="R551">
        <v>4921</v>
      </c>
      <c r="S551">
        <v>4987.2</v>
      </c>
      <c r="T551">
        <v>4996</v>
      </c>
      <c r="U551">
        <v>4988.8</v>
      </c>
      <c r="W551">
        <v>4987.08</v>
      </c>
      <c r="Z551">
        <v>6858</v>
      </c>
      <c r="AA551">
        <v>34018716.700000003</v>
      </c>
      <c r="AB551">
        <v>1840</v>
      </c>
      <c r="AC551" t="s">
        <v>42</v>
      </c>
      <c r="AD551">
        <v>1</v>
      </c>
    </row>
    <row r="552" spans="1:30">
      <c r="A552" t="str">
        <f>CONCATENATE(I552,J552)</f>
        <v>BLUEJETEQ</v>
      </c>
      <c r="B552" s="34">
        <v>46273</v>
      </c>
      <c r="C552" s="34">
        <v>46273</v>
      </c>
      <c r="D552" t="s">
        <v>35</v>
      </c>
      <c r="E552" t="s">
        <v>36</v>
      </c>
      <c r="F552" t="s">
        <v>37</v>
      </c>
      <c r="G552">
        <v>19686</v>
      </c>
      <c r="H552" t="s">
        <v>1710</v>
      </c>
      <c r="I552" t="s">
        <v>1711</v>
      </c>
      <c r="J552" t="s">
        <v>161</v>
      </c>
      <c r="O552" t="s">
        <v>1712</v>
      </c>
      <c r="P552">
        <v>570.70000000000005</v>
      </c>
      <c r="Q552">
        <v>584.79999999999995</v>
      </c>
      <c r="R552">
        <v>565.04999999999995</v>
      </c>
      <c r="S552">
        <v>581.5</v>
      </c>
      <c r="T552">
        <v>583</v>
      </c>
      <c r="U552">
        <v>569.04999999999995</v>
      </c>
      <c r="W552">
        <v>581.49</v>
      </c>
      <c r="Z552">
        <v>529236</v>
      </c>
      <c r="AA552">
        <v>305022192.39999998</v>
      </c>
      <c r="AB552">
        <v>19178</v>
      </c>
      <c r="AC552" t="s">
        <v>42</v>
      </c>
      <c r="AD552">
        <v>1</v>
      </c>
    </row>
    <row r="553" spans="1:30">
      <c r="A553" t="str">
        <f>CONCATENATE(I553,J553)</f>
        <v>BLUEPEBBLESM</v>
      </c>
      <c r="B553" s="34">
        <v>46273</v>
      </c>
      <c r="C553" s="34">
        <v>46273</v>
      </c>
      <c r="D553" t="s">
        <v>35</v>
      </c>
      <c r="E553" t="s">
        <v>36</v>
      </c>
      <c r="F553" t="s">
        <v>37</v>
      </c>
      <c r="G553">
        <v>23410</v>
      </c>
      <c r="H553" t="s">
        <v>1713</v>
      </c>
      <c r="I553" t="s">
        <v>1714</v>
      </c>
      <c r="J553" t="s">
        <v>267</v>
      </c>
      <c r="O553" t="s">
        <v>1715</v>
      </c>
      <c r="P553">
        <v>76.099999999999994</v>
      </c>
      <c r="Q553">
        <v>77.900000000000006</v>
      </c>
      <c r="R553">
        <v>72.7</v>
      </c>
      <c r="S553">
        <v>76.599999999999994</v>
      </c>
      <c r="T553">
        <v>74</v>
      </c>
      <c r="U553">
        <v>76.5</v>
      </c>
      <c r="W553">
        <v>76.599999999999994</v>
      </c>
      <c r="Z553">
        <v>10000</v>
      </c>
      <c r="AA553">
        <v>753480</v>
      </c>
      <c r="AB553">
        <v>25</v>
      </c>
      <c r="AC553" t="s">
        <v>42</v>
      </c>
      <c r="AD553">
        <v>400</v>
      </c>
    </row>
    <row r="554" spans="1:30">
      <c r="A554" t="str">
        <f>CONCATENATE(I554,J554)</f>
        <v>BLUESTARCOEQ</v>
      </c>
      <c r="B554" s="34">
        <v>46273</v>
      </c>
      <c r="C554" s="34">
        <v>46273</v>
      </c>
      <c r="D554" t="s">
        <v>35</v>
      </c>
      <c r="E554" t="s">
        <v>36</v>
      </c>
      <c r="F554" t="s">
        <v>37</v>
      </c>
      <c r="G554">
        <v>8311</v>
      </c>
      <c r="H554" t="s">
        <v>1716</v>
      </c>
      <c r="I554" t="s">
        <v>1717</v>
      </c>
      <c r="J554" t="s">
        <v>161</v>
      </c>
      <c r="O554" t="s">
        <v>1718</v>
      </c>
      <c r="P554">
        <v>1490</v>
      </c>
      <c r="Q554">
        <v>1492.7</v>
      </c>
      <c r="R554">
        <v>1442.1</v>
      </c>
      <c r="S554">
        <v>1460.9</v>
      </c>
      <c r="T554">
        <v>1460.9</v>
      </c>
      <c r="U554">
        <v>1496</v>
      </c>
      <c r="W554">
        <v>1460.83</v>
      </c>
      <c r="Z554">
        <v>1169742</v>
      </c>
      <c r="AA554">
        <v>1714539442.9000001</v>
      </c>
      <c r="AB554">
        <v>47094</v>
      </c>
      <c r="AC554" t="s">
        <v>42</v>
      </c>
      <c r="AD554">
        <v>1</v>
      </c>
    </row>
    <row r="555" spans="1:30">
      <c r="A555" t="str">
        <f>CONCATENATE(I555,J555)</f>
        <v>BLUEWATERST</v>
      </c>
      <c r="B555" s="34">
        <v>46273</v>
      </c>
      <c r="C555" s="34">
        <v>46273</v>
      </c>
      <c r="D555" t="s">
        <v>35</v>
      </c>
      <c r="E555" t="s">
        <v>36</v>
      </c>
      <c r="F555" t="s">
        <v>37</v>
      </c>
      <c r="G555">
        <v>758185</v>
      </c>
      <c r="H555" t="s">
        <v>1719</v>
      </c>
      <c r="I555" t="s">
        <v>1720</v>
      </c>
      <c r="J555" t="s">
        <v>328</v>
      </c>
      <c r="O555" t="s">
        <v>1721</v>
      </c>
      <c r="P555">
        <v>485</v>
      </c>
      <c r="Q555">
        <v>485</v>
      </c>
      <c r="R555">
        <v>467.3</v>
      </c>
      <c r="S555">
        <v>471.15</v>
      </c>
      <c r="T555">
        <v>475</v>
      </c>
      <c r="U555">
        <v>491.85</v>
      </c>
      <c r="W555">
        <v>471.15</v>
      </c>
      <c r="Z555">
        <v>9000</v>
      </c>
      <c r="AA555">
        <v>4234150</v>
      </c>
      <c r="AB555">
        <v>9</v>
      </c>
      <c r="AC555" t="s">
        <v>42</v>
      </c>
      <c r="AD555">
        <v>1000</v>
      </c>
    </row>
    <row r="556" spans="1:30">
      <c r="A556" t="str">
        <f>CONCATENATE(I556,J556)</f>
        <v>BLUESTONEEQ</v>
      </c>
      <c r="B556" s="34">
        <v>46273</v>
      </c>
      <c r="C556" s="34">
        <v>46273</v>
      </c>
      <c r="D556" t="s">
        <v>35</v>
      </c>
      <c r="E556" t="s">
        <v>36</v>
      </c>
      <c r="F556" t="s">
        <v>37</v>
      </c>
      <c r="G556">
        <v>759291</v>
      </c>
      <c r="H556" t="s">
        <v>1722</v>
      </c>
      <c r="I556" t="s">
        <v>1723</v>
      </c>
      <c r="J556" t="s">
        <v>161</v>
      </c>
      <c r="O556" t="s">
        <v>1724</v>
      </c>
      <c r="P556">
        <v>872</v>
      </c>
      <c r="Q556">
        <v>884.8</v>
      </c>
      <c r="R556">
        <v>850.1</v>
      </c>
      <c r="S556">
        <v>868.7</v>
      </c>
      <c r="T556">
        <v>868</v>
      </c>
      <c r="U556">
        <v>870</v>
      </c>
      <c r="W556">
        <v>868.71</v>
      </c>
      <c r="Z556">
        <v>627130</v>
      </c>
      <c r="AA556">
        <v>543424095.79999995</v>
      </c>
      <c r="AB556">
        <v>26284</v>
      </c>
      <c r="AC556" t="s">
        <v>42</v>
      </c>
      <c r="AD556">
        <v>1</v>
      </c>
    </row>
    <row r="557" spans="1:30">
      <c r="A557" t="str">
        <f>CONCATENATE(I557,J557)</f>
        <v>BLUSPRINGEQ</v>
      </c>
      <c r="B557" s="34">
        <v>46273</v>
      </c>
      <c r="C557" s="34">
        <v>46273</v>
      </c>
      <c r="D557" t="s">
        <v>35</v>
      </c>
      <c r="E557" t="s">
        <v>36</v>
      </c>
      <c r="F557" t="s">
        <v>37</v>
      </c>
      <c r="G557">
        <v>757520</v>
      </c>
      <c r="H557" t="s">
        <v>1725</v>
      </c>
      <c r="I557" t="s">
        <v>1726</v>
      </c>
      <c r="J557" t="s">
        <v>161</v>
      </c>
      <c r="O557" t="s">
        <v>1727</v>
      </c>
      <c r="P557">
        <v>138.28</v>
      </c>
      <c r="Q557">
        <v>138.32</v>
      </c>
      <c r="R557">
        <v>123.48</v>
      </c>
      <c r="S557">
        <v>123.61</v>
      </c>
      <c r="T557">
        <v>123.48</v>
      </c>
      <c r="U557">
        <v>137.19</v>
      </c>
      <c r="W557">
        <v>123.61</v>
      </c>
      <c r="Z557">
        <v>705528</v>
      </c>
      <c r="AA557">
        <v>89762867.819999993</v>
      </c>
      <c r="AB557">
        <v>7122</v>
      </c>
      <c r="AC557" t="s">
        <v>42</v>
      </c>
      <c r="AD557">
        <v>1</v>
      </c>
    </row>
    <row r="558" spans="1:30">
      <c r="A558" t="str">
        <f>CONCATENATE(I558,J558)</f>
        <v>BMWVENTLTDEQ</v>
      </c>
      <c r="B558" s="34">
        <v>46273</v>
      </c>
      <c r="C558" s="34">
        <v>46273</v>
      </c>
      <c r="D558" t="s">
        <v>35</v>
      </c>
      <c r="E558" t="s">
        <v>36</v>
      </c>
      <c r="F558" t="s">
        <v>37</v>
      </c>
      <c r="G558">
        <v>759256</v>
      </c>
      <c r="H558" t="s">
        <v>1728</v>
      </c>
      <c r="I558" t="s">
        <v>1729</v>
      </c>
      <c r="J558" t="s">
        <v>161</v>
      </c>
      <c r="O558" t="s">
        <v>1730</v>
      </c>
      <c r="P558">
        <v>55.98</v>
      </c>
      <c r="Q558">
        <v>55.98</v>
      </c>
      <c r="R558">
        <v>54.5</v>
      </c>
      <c r="S558">
        <v>54.8</v>
      </c>
      <c r="T558">
        <v>54.86</v>
      </c>
      <c r="U558">
        <v>55.21</v>
      </c>
      <c r="W558">
        <v>54.79</v>
      </c>
      <c r="Z558">
        <v>51941</v>
      </c>
      <c r="AA558">
        <v>2851017.28</v>
      </c>
      <c r="AB558">
        <v>610</v>
      </c>
      <c r="AC558" t="s">
        <v>42</v>
      </c>
      <c r="AD558">
        <v>1</v>
      </c>
    </row>
    <row r="559" spans="1:30">
      <c r="A559" t="str">
        <f>CONCATENATE(I559,J559)</f>
        <v>BNAGROCHEMEQ</v>
      </c>
      <c r="B559" s="34">
        <v>46273</v>
      </c>
      <c r="C559" s="34">
        <v>46273</v>
      </c>
      <c r="D559" t="s">
        <v>35</v>
      </c>
      <c r="E559" t="s">
        <v>36</v>
      </c>
      <c r="F559" t="s">
        <v>37</v>
      </c>
      <c r="G559">
        <v>762608</v>
      </c>
      <c r="H559" t="s">
        <v>1731</v>
      </c>
      <c r="I559" t="s">
        <v>1732</v>
      </c>
      <c r="J559" t="s">
        <v>161</v>
      </c>
      <c r="O559" t="s">
        <v>1733</v>
      </c>
      <c r="P559">
        <v>203.01</v>
      </c>
      <c r="Q559">
        <v>215</v>
      </c>
      <c r="R559">
        <v>203.01</v>
      </c>
      <c r="S559">
        <v>214</v>
      </c>
      <c r="T559">
        <v>214</v>
      </c>
      <c r="U559">
        <v>213.46</v>
      </c>
      <c r="W559">
        <v>212</v>
      </c>
      <c r="Z559">
        <v>1621</v>
      </c>
      <c r="AA559">
        <v>344424.12</v>
      </c>
      <c r="AB559">
        <v>58</v>
      </c>
      <c r="AC559" t="s">
        <v>42</v>
      </c>
      <c r="AD559">
        <v>1</v>
      </c>
    </row>
    <row r="560" spans="1:30">
      <c r="A560" t="str">
        <f>CONCATENATE(I560,J560)</f>
        <v>BODALCHEMEQ</v>
      </c>
      <c r="B560" s="34">
        <v>46273</v>
      </c>
      <c r="C560" s="34">
        <v>46273</v>
      </c>
      <c r="D560" t="s">
        <v>35</v>
      </c>
      <c r="E560" t="s">
        <v>36</v>
      </c>
      <c r="F560" t="s">
        <v>37</v>
      </c>
      <c r="G560">
        <v>25017</v>
      </c>
      <c r="H560" t="s">
        <v>1734</v>
      </c>
      <c r="I560" t="s">
        <v>1735</v>
      </c>
      <c r="J560" t="s">
        <v>161</v>
      </c>
      <c r="O560" t="s">
        <v>1736</v>
      </c>
      <c r="P560">
        <v>185</v>
      </c>
      <c r="Q560">
        <v>186</v>
      </c>
      <c r="R560">
        <v>174.34</v>
      </c>
      <c r="S560">
        <v>184.05</v>
      </c>
      <c r="T560">
        <v>185.51</v>
      </c>
      <c r="U560">
        <v>171.18</v>
      </c>
      <c r="W560">
        <v>184.06</v>
      </c>
      <c r="Z560">
        <v>5497858</v>
      </c>
      <c r="AA560">
        <v>992332200.37</v>
      </c>
      <c r="AB560">
        <v>51264</v>
      </c>
      <c r="AC560" t="s">
        <v>42</v>
      </c>
      <c r="AD560">
        <v>1</v>
      </c>
    </row>
    <row r="561" spans="1:30">
      <c r="A561" t="str">
        <f>CONCATENATE(I561,J561)</f>
        <v>BTMLEQ</v>
      </c>
      <c r="B561" s="34">
        <v>46273</v>
      </c>
      <c r="C561" s="34">
        <v>46273</v>
      </c>
      <c r="D561" t="s">
        <v>35</v>
      </c>
      <c r="E561" t="s">
        <v>36</v>
      </c>
      <c r="F561" t="s">
        <v>37</v>
      </c>
      <c r="G561">
        <v>14150</v>
      </c>
      <c r="H561" t="s">
        <v>1737</v>
      </c>
      <c r="I561" t="s">
        <v>1738</v>
      </c>
      <c r="J561" t="s">
        <v>161</v>
      </c>
      <c r="O561" t="s">
        <v>1739</v>
      </c>
      <c r="P561">
        <v>8.3699999999999992</v>
      </c>
      <c r="Q561">
        <v>8.49</v>
      </c>
      <c r="R561">
        <v>7.48</v>
      </c>
      <c r="S561">
        <v>8.02</v>
      </c>
      <c r="T561">
        <v>8.02</v>
      </c>
      <c r="U561">
        <v>8.49</v>
      </c>
      <c r="W561">
        <v>8.02</v>
      </c>
      <c r="Z561">
        <v>2823219</v>
      </c>
      <c r="AA561">
        <v>22315656.77</v>
      </c>
      <c r="AB561">
        <v>2037</v>
      </c>
      <c r="AC561" t="s">
        <v>42</v>
      </c>
      <c r="AD561">
        <v>1</v>
      </c>
    </row>
    <row r="562" spans="1:30">
      <c r="A562" t="str">
        <f>CONCATENATE(I562,J562)</f>
        <v>BOHRAINDEQ</v>
      </c>
      <c r="B562" s="34">
        <v>46273</v>
      </c>
      <c r="C562" s="34">
        <v>46273</v>
      </c>
      <c r="D562" t="s">
        <v>35</v>
      </c>
      <c r="E562" t="s">
        <v>36</v>
      </c>
      <c r="F562" t="s">
        <v>37</v>
      </c>
      <c r="G562">
        <v>11640</v>
      </c>
      <c r="H562" t="s">
        <v>1740</v>
      </c>
      <c r="I562" t="s">
        <v>1741</v>
      </c>
      <c r="J562" t="s">
        <v>161</v>
      </c>
      <c r="O562" t="s">
        <v>1742</v>
      </c>
      <c r="P562">
        <v>12.76</v>
      </c>
      <c r="Q562">
        <v>13.01</v>
      </c>
      <c r="R562">
        <v>12.76</v>
      </c>
      <c r="S562">
        <v>13</v>
      </c>
      <c r="T562">
        <v>13</v>
      </c>
      <c r="U562">
        <v>12.51</v>
      </c>
      <c r="W562">
        <v>13</v>
      </c>
      <c r="Z562">
        <v>17513</v>
      </c>
      <c r="AA562">
        <v>225593.82</v>
      </c>
      <c r="AB562">
        <v>30</v>
      </c>
      <c r="AC562" t="s">
        <v>42</v>
      </c>
      <c r="AD562">
        <v>1</v>
      </c>
    </row>
    <row r="563" spans="1:30">
      <c r="A563" t="str">
        <f>CONCATENATE(I563,J563)</f>
        <v>BBTCEQ</v>
      </c>
      <c r="B563" s="34">
        <v>46273</v>
      </c>
      <c r="C563" s="34">
        <v>46273</v>
      </c>
      <c r="D563" t="s">
        <v>35</v>
      </c>
      <c r="E563" t="s">
        <v>36</v>
      </c>
      <c r="F563" t="s">
        <v>37</v>
      </c>
      <c r="G563">
        <v>380</v>
      </c>
      <c r="H563" t="s">
        <v>1743</v>
      </c>
      <c r="I563" t="s">
        <v>1744</v>
      </c>
      <c r="J563" t="s">
        <v>161</v>
      </c>
      <c r="O563" t="s">
        <v>1745</v>
      </c>
      <c r="P563">
        <v>1476.2</v>
      </c>
      <c r="Q563">
        <v>1490</v>
      </c>
      <c r="R563">
        <v>1469</v>
      </c>
      <c r="S563">
        <v>1477.5</v>
      </c>
      <c r="T563">
        <v>1488.9</v>
      </c>
      <c r="U563">
        <v>1471.9</v>
      </c>
      <c r="W563">
        <v>1476.77</v>
      </c>
      <c r="Z563">
        <v>36957</v>
      </c>
      <c r="AA563">
        <v>54584331.200000003</v>
      </c>
      <c r="AB563">
        <v>3497</v>
      </c>
      <c r="AC563" t="s">
        <v>42</v>
      </c>
      <c r="AD563">
        <v>1</v>
      </c>
    </row>
    <row r="564" spans="1:30">
      <c r="A564" t="str">
        <f>CONCATENATE(I564,J564)</f>
        <v>BOMDYEINGEQ</v>
      </c>
      <c r="B564" s="34">
        <v>46273</v>
      </c>
      <c r="C564" s="34">
        <v>46273</v>
      </c>
      <c r="D564" t="s">
        <v>35</v>
      </c>
      <c r="E564" t="s">
        <v>36</v>
      </c>
      <c r="F564" t="s">
        <v>37</v>
      </c>
      <c r="G564">
        <v>513</v>
      </c>
      <c r="H564" t="s">
        <v>1746</v>
      </c>
      <c r="I564" t="s">
        <v>1747</v>
      </c>
      <c r="J564" t="s">
        <v>161</v>
      </c>
      <c r="O564" t="s">
        <v>1748</v>
      </c>
      <c r="P564">
        <v>112</v>
      </c>
      <c r="Q564">
        <v>116.89</v>
      </c>
      <c r="R564">
        <v>111.05</v>
      </c>
      <c r="S564">
        <v>114.27</v>
      </c>
      <c r="T564">
        <v>114</v>
      </c>
      <c r="U564">
        <v>112.21</v>
      </c>
      <c r="W564">
        <v>114.26</v>
      </c>
      <c r="Z564">
        <v>1292100</v>
      </c>
      <c r="AA564">
        <v>148176480.06</v>
      </c>
      <c r="AB564">
        <v>11485</v>
      </c>
      <c r="AC564" t="s">
        <v>42</v>
      </c>
      <c r="AD564">
        <v>1</v>
      </c>
    </row>
    <row r="565" spans="1:30">
      <c r="A565" t="str">
        <f>CONCATENATE(I565,J565)</f>
        <v>BMETRICSSM</v>
      </c>
      <c r="B565" s="34">
        <v>46273</v>
      </c>
      <c r="C565" s="34">
        <v>46273</v>
      </c>
      <c r="D565" t="s">
        <v>35</v>
      </c>
      <c r="E565" t="s">
        <v>36</v>
      </c>
      <c r="F565" t="s">
        <v>37</v>
      </c>
      <c r="G565">
        <v>6052</v>
      </c>
      <c r="H565" t="s">
        <v>1749</v>
      </c>
      <c r="I565" t="s">
        <v>1750</v>
      </c>
      <c r="J565" t="s">
        <v>267</v>
      </c>
      <c r="O565" t="s">
        <v>1751</v>
      </c>
      <c r="P565">
        <v>33.1</v>
      </c>
      <c r="Q565">
        <v>36</v>
      </c>
      <c r="R565">
        <v>33.1</v>
      </c>
      <c r="S565">
        <v>33.65</v>
      </c>
      <c r="T565">
        <v>33.65</v>
      </c>
      <c r="U565">
        <v>33.799999999999997</v>
      </c>
      <c r="W565">
        <v>33.65</v>
      </c>
      <c r="Z565">
        <v>12000</v>
      </c>
      <c r="AA565">
        <v>411560</v>
      </c>
      <c r="AB565">
        <v>15</v>
      </c>
      <c r="AC565" t="s">
        <v>42</v>
      </c>
      <c r="AD565">
        <v>800</v>
      </c>
    </row>
    <row r="566" spans="1:30">
      <c r="A566" t="str">
        <f>CONCATENATE(I566,J566)</f>
        <v>BSHSLEQ</v>
      </c>
      <c r="B566" s="34">
        <v>46273</v>
      </c>
      <c r="C566" s="34">
        <v>46273</v>
      </c>
      <c r="D566" t="s">
        <v>35</v>
      </c>
      <c r="E566" t="s">
        <v>36</v>
      </c>
      <c r="F566" t="s">
        <v>37</v>
      </c>
      <c r="G566">
        <v>809</v>
      </c>
      <c r="H566" t="s">
        <v>1752</v>
      </c>
      <c r="I566" t="s">
        <v>1753</v>
      </c>
      <c r="J566" t="s">
        <v>161</v>
      </c>
      <c r="O566" t="s">
        <v>1754</v>
      </c>
      <c r="P566">
        <v>93</v>
      </c>
      <c r="Q566">
        <v>93</v>
      </c>
      <c r="R566">
        <v>89</v>
      </c>
      <c r="S566">
        <v>91.17</v>
      </c>
      <c r="T566">
        <v>90.7</v>
      </c>
      <c r="U566">
        <v>92.51</v>
      </c>
      <c r="W566">
        <v>91.15</v>
      </c>
      <c r="Z566">
        <v>8027</v>
      </c>
      <c r="AA566">
        <v>737149.96</v>
      </c>
      <c r="AB566">
        <v>162</v>
      </c>
      <c r="AC566" t="s">
        <v>42</v>
      </c>
      <c r="AD566">
        <v>1</v>
      </c>
    </row>
    <row r="567" spans="1:30">
      <c r="A567" t="str">
        <f>CONCATENATE(I567,J567)</f>
        <v>830NHAI27N2</v>
      </c>
      <c r="B567" s="34">
        <v>46273</v>
      </c>
      <c r="C567" s="34">
        <v>46273</v>
      </c>
      <c r="D567" t="s">
        <v>35</v>
      </c>
      <c r="E567" t="s">
        <v>36</v>
      </c>
      <c r="F567" t="s">
        <v>37</v>
      </c>
      <c r="G567">
        <v>31040</v>
      </c>
      <c r="H567" t="s">
        <v>1755</v>
      </c>
      <c r="I567" t="s">
        <v>1756</v>
      </c>
      <c r="J567" t="s">
        <v>203</v>
      </c>
      <c r="O567" t="s">
        <v>1757</v>
      </c>
      <c r="P567">
        <v>1086</v>
      </c>
      <c r="Q567">
        <v>1087</v>
      </c>
      <c r="R567">
        <v>1086</v>
      </c>
      <c r="S567">
        <v>1086.1199999999999</v>
      </c>
      <c r="T567">
        <v>1086.1199999999999</v>
      </c>
      <c r="U567">
        <v>1086</v>
      </c>
      <c r="W567">
        <v>1086.56</v>
      </c>
      <c r="Z567">
        <v>240</v>
      </c>
      <c r="AA567">
        <v>260694.88</v>
      </c>
      <c r="AB567">
        <v>4</v>
      </c>
      <c r="AC567" t="s">
        <v>42</v>
      </c>
      <c r="AD567">
        <v>1</v>
      </c>
    </row>
    <row r="568" spans="1:30">
      <c r="A568" t="str">
        <f>CONCATENATE(I568,J568)</f>
        <v>863IRFC29NC</v>
      </c>
      <c r="B568" s="34">
        <v>46273</v>
      </c>
      <c r="C568" s="34">
        <v>46273</v>
      </c>
      <c r="D568" t="s">
        <v>35</v>
      </c>
      <c r="E568" t="s">
        <v>36</v>
      </c>
      <c r="F568" t="s">
        <v>37</v>
      </c>
      <c r="G568">
        <v>1991</v>
      </c>
      <c r="H568" t="s">
        <v>1758</v>
      </c>
      <c r="I568" t="s">
        <v>1759</v>
      </c>
      <c r="J568" t="s">
        <v>1760</v>
      </c>
      <c r="O568" t="s">
        <v>1761</v>
      </c>
      <c r="P568">
        <v>1153.9000000000001</v>
      </c>
      <c r="Q568">
        <v>1153.9000000000001</v>
      </c>
      <c r="R568">
        <v>1153</v>
      </c>
      <c r="S568">
        <v>1153</v>
      </c>
      <c r="T568">
        <v>1153</v>
      </c>
      <c r="U568">
        <v>1154</v>
      </c>
      <c r="W568">
        <v>1153</v>
      </c>
      <c r="Z568">
        <v>270</v>
      </c>
      <c r="AA568">
        <v>311328</v>
      </c>
      <c r="AB568">
        <v>2</v>
      </c>
      <c r="AC568" t="s">
        <v>42</v>
      </c>
      <c r="AD568">
        <v>1</v>
      </c>
    </row>
    <row r="569" spans="1:30">
      <c r="A569" t="str">
        <f>CONCATENATE(I569,J569)</f>
        <v>865IRFC29NA</v>
      </c>
      <c r="B569" s="34">
        <v>46273</v>
      </c>
      <c r="C569" s="34">
        <v>46273</v>
      </c>
      <c r="D569" t="s">
        <v>35</v>
      </c>
      <c r="E569" t="s">
        <v>36</v>
      </c>
      <c r="F569" t="s">
        <v>37</v>
      </c>
      <c r="G569">
        <v>603</v>
      </c>
      <c r="H569" t="s">
        <v>1762</v>
      </c>
      <c r="I569" t="s">
        <v>1763</v>
      </c>
      <c r="J569" t="s">
        <v>1764</v>
      </c>
      <c r="O569" t="s">
        <v>1765</v>
      </c>
      <c r="P569">
        <v>1106</v>
      </c>
      <c r="Q569">
        <v>1107</v>
      </c>
      <c r="R569">
        <v>1106</v>
      </c>
      <c r="S569">
        <v>1107</v>
      </c>
      <c r="T569">
        <v>1107</v>
      </c>
      <c r="U569">
        <v>1105</v>
      </c>
      <c r="W569">
        <v>1107</v>
      </c>
      <c r="Z569">
        <v>160</v>
      </c>
      <c r="AA569">
        <v>177060</v>
      </c>
      <c r="AB569">
        <v>3</v>
      </c>
      <c r="AC569" t="s">
        <v>42</v>
      </c>
      <c r="AD569">
        <v>1</v>
      </c>
    </row>
    <row r="570" spans="1:30">
      <c r="A570" t="str">
        <f>CONCATENATE(I570,J570)</f>
        <v>871REC28N9</v>
      </c>
      <c r="B570" s="34">
        <v>46273</v>
      </c>
      <c r="C570" s="34">
        <v>46273</v>
      </c>
      <c r="D570" t="s">
        <v>35</v>
      </c>
      <c r="E570" t="s">
        <v>36</v>
      </c>
      <c r="F570" t="s">
        <v>37</v>
      </c>
      <c r="G570">
        <v>30990</v>
      </c>
      <c r="H570" t="s">
        <v>1766</v>
      </c>
      <c r="I570" t="s">
        <v>1767</v>
      </c>
      <c r="J570" t="s">
        <v>211</v>
      </c>
      <c r="O570" t="s">
        <v>1768</v>
      </c>
      <c r="P570">
        <v>1129.5</v>
      </c>
      <c r="Q570">
        <v>1129.5</v>
      </c>
      <c r="R570">
        <v>1129.5</v>
      </c>
      <c r="S570">
        <v>1129.5</v>
      </c>
      <c r="T570">
        <v>1129.5</v>
      </c>
      <c r="U570">
        <v>1125.81</v>
      </c>
      <c r="W570">
        <v>1129.5</v>
      </c>
      <c r="Z570">
        <v>200</v>
      </c>
      <c r="AA570">
        <v>225900</v>
      </c>
      <c r="AB570">
        <v>1</v>
      </c>
      <c r="AC570" t="s">
        <v>42</v>
      </c>
      <c r="AD570">
        <v>1</v>
      </c>
    </row>
    <row r="571" spans="1:30">
      <c r="A571" t="str">
        <f>CONCATENATE(I571,J571)</f>
        <v>888IRFC29NE</v>
      </c>
      <c r="B571" s="34">
        <v>46273</v>
      </c>
      <c r="C571" s="34">
        <v>46273</v>
      </c>
      <c r="D571" t="s">
        <v>35</v>
      </c>
      <c r="E571" t="s">
        <v>36</v>
      </c>
      <c r="F571" t="s">
        <v>37</v>
      </c>
      <c r="G571">
        <v>1999</v>
      </c>
      <c r="H571" t="s">
        <v>1769</v>
      </c>
      <c r="I571" t="s">
        <v>1770</v>
      </c>
      <c r="J571" t="s">
        <v>239</v>
      </c>
      <c r="O571" t="s">
        <v>1771</v>
      </c>
      <c r="P571">
        <v>1131</v>
      </c>
      <c r="Q571">
        <v>1131</v>
      </c>
      <c r="R571">
        <v>1131</v>
      </c>
      <c r="S571">
        <v>1131</v>
      </c>
      <c r="T571">
        <v>1131</v>
      </c>
      <c r="U571">
        <v>1128</v>
      </c>
      <c r="W571">
        <v>1130</v>
      </c>
      <c r="Z571">
        <v>1</v>
      </c>
      <c r="AA571">
        <v>1131</v>
      </c>
      <c r="AB571">
        <v>1</v>
      </c>
      <c r="AC571" t="s">
        <v>42</v>
      </c>
      <c r="AD571">
        <v>1</v>
      </c>
    </row>
    <row r="572" spans="1:30">
      <c r="A572" t="str">
        <f>CONCATENATE(I572,J572)</f>
        <v>901NHB34N6</v>
      </c>
      <c r="B572" s="34">
        <v>46273</v>
      </c>
      <c r="C572" s="34">
        <v>46273</v>
      </c>
      <c r="D572" t="s">
        <v>35</v>
      </c>
      <c r="E572" t="s">
        <v>36</v>
      </c>
      <c r="F572" t="s">
        <v>37</v>
      </c>
      <c r="G572">
        <v>31970</v>
      </c>
      <c r="H572" t="s">
        <v>1772</v>
      </c>
      <c r="I572" t="s">
        <v>1773</v>
      </c>
      <c r="J572" t="s">
        <v>226</v>
      </c>
      <c r="O572" t="s">
        <v>1774</v>
      </c>
      <c r="P572">
        <v>6365.05</v>
      </c>
      <c r="Q572">
        <v>6390</v>
      </c>
      <c r="R572">
        <v>6365.05</v>
      </c>
      <c r="S572">
        <v>6390</v>
      </c>
      <c r="T572">
        <v>6390</v>
      </c>
      <c r="U572">
        <v>6364.01</v>
      </c>
      <c r="W572">
        <v>6390</v>
      </c>
      <c r="Z572">
        <v>232</v>
      </c>
      <c r="AA572">
        <v>1481088.4</v>
      </c>
      <c r="AB572">
        <v>16</v>
      </c>
      <c r="AC572" t="s">
        <v>42</v>
      </c>
      <c r="AD572">
        <v>1</v>
      </c>
    </row>
    <row r="573" spans="1:30">
      <c r="A573" t="str">
        <f>CONCATENATE(I573,J573)</f>
        <v>BONLONEQ</v>
      </c>
      <c r="B573" s="34">
        <v>46273</v>
      </c>
      <c r="C573" s="34">
        <v>46273</v>
      </c>
      <c r="D573" t="s">
        <v>35</v>
      </c>
      <c r="E573" t="s">
        <v>36</v>
      </c>
      <c r="F573" t="s">
        <v>37</v>
      </c>
      <c r="G573">
        <v>761056</v>
      </c>
      <c r="H573" t="s">
        <v>1775</v>
      </c>
      <c r="I573" t="s">
        <v>1776</v>
      </c>
      <c r="J573" t="s">
        <v>161</v>
      </c>
      <c r="O573" t="s">
        <v>1777</v>
      </c>
      <c r="P573">
        <v>41.5</v>
      </c>
      <c r="Q573">
        <v>41.93</v>
      </c>
      <c r="R573">
        <v>40.1</v>
      </c>
      <c r="S573">
        <v>40.880000000000003</v>
      </c>
      <c r="T573">
        <v>40.85</v>
      </c>
      <c r="U573">
        <v>40.08</v>
      </c>
      <c r="W573">
        <v>40.92</v>
      </c>
      <c r="Z573">
        <v>1232</v>
      </c>
      <c r="AA573">
        <v>50066.98</v>
      </c>
      <c r="AB573">
        <v>115</v>
      </c>
      <c r="AC573" t="s">
        <v>42</v>
      </c>
      <c r="AD573">
        <v>1</v>
      </c>
    </row>
    <row r="574" spans="1:30">
      <c r="A574" t="str">
        <f>CONCATENATE(I574,J574)</f>
        <v>BORANAEQ</v>
      </c>
      <c r="B574" s="34">
        <v>46273</v>
      </c>
      <c r="C574" s="34">
        <v>46273</v>
      </c>
      <c r="D574" t="s">
        <v>35</v>
      </c>
      <c r="E574" t="s">
        <v>36</v>
      </c>
      <c r="F574" t="s">
        <v>37</v>
      </c>
      <c r="G574">
        <v>757919</v>
      </c>
      <c r="H574" t="s">
        <v>1778</v>
      </c>
      <c r="I574" t="s">
        <v>1779</v>
      </c>
      <c r="J574" t="s">
        <v>161</v>
      </c>
      <c r="O574" t="s">
        <v>1780</v>
      </c>
      <c r="P574">
        <v>335</v>
      </c>
      <c r="Q574">
        <v>335</v>
      </c>
      <c r="R574">
        <v>315</v>
      </c>
      <c r="S574">
        <v>319.95</v>
      </c>
      <c r="T574">
        <v>317.60000000000002</v>
      </c>
      <c r="U574">
        <v>325.25</v>
      </c>
      <c r="W574">
        <v>319.97000000000003</v>
      </c>
      <c r="Z574">
        <v>22287</v>
      </c>
      <c r="AA574">
        <v>7185775.5499999998</v>
      </c>
      <c r="AB574">
        <v>531</v>
      </c>
      <c r="AC574" t="s">
        <v>42</v>
      </c>
      <c r="AD574">
        <v>1</v>
      </c>
    </row>
    <row r="575" spans="1:30">
      <c r="A575" t="str">
        <f>CONCATENATE(I575,J575)</f>
        <v>BOROLTDEQ</v>
      </c>
      <c r="B575" s="34">
        <v>46273</v>
      </c>
      <c r="C575" s="34">
        <v>46273</v>
      </c>
      <c r="D575" t="s">
        <v>35</v>
      </c>
      <c r="E575" t="s">
        <v>36</v>
      </c>
      <c r="F575" t="s">
        <v>37</v>
      </c>
      <c r="G575">
        <v>19401</v>
      </c>
      <c r="H575" t="s">
        <v>1781</v>
      </c>
      <c r="I575" t="s">
        <v>1782</v>
      </c>
      <c r="J575" t="s">
        <v>161</v>
      </c>
      <c r="O575" t="s">
        <v>1783</v>
      </c>
      <c r="P575">
        <v>252.17</v>
      </c>
      <c r="Q575">
        <v>257.39999999999998</v>
      </c>
      <c r="R575">
        <v>252.17</v>
      </c>
      <c r="S575">
        <v>255.54</v>
      </c>
      <c r="T575">
        <v>255.22</v>
      </c>
      <c r="U575">
        <v>254.24</v>
      </c>
      <c r="W575">
        <v>255.54</v>
      </c>
      <c r="Z575">
        <v>95659</v>
      </c>
      <c r="AA575">
        <v>24372382</v>
      </c>
      <c r="AB575">
        <v>2080</v>
      </c>
      <c r="AC575" t="s">
        <v>42</v>
      </c>
      <c r="AD575">
        <v>1</v>
      </c>
    </row>
    <row r="576" spans="1:30">
      <c r="A576" t="str">
        <f>CONCATENATE(I576,J576)</f>
        <v>BORORENEWEQ</v>
      </c>
      <c r="B576" s="34">
        <v>46273</v>
      </c>
      <c r="C576" s="34">
        <v>46273</v>
      </c>
      <c r="D576" t="s">
        <v>35</v>
      </c>
      <c r="E576" t="s">
        <v>36</v>
      </c>
      <c r="F576" t="s">
        <v>37</v>
      </c>
      <c r="G576">
        <v>3149</v>
      </c>
      <c r="H576" t="s">
        <v>1784</v>
      </c>
      <c r="I576" t="s">
        <v>1785</v>
      </c>
      <c r="J576" t="s">
        <v>161</v>
      </c>
      <c r="O576" t="s">
        <v>1786</v>
      </c>
      <c r="P576">
        <v>510</v>
      </c>
      <c r="Q576">
        <v>513.9</v>
      </c>
      <c r="R576">
        <v>501.2</v>
      </c>
      <c r="S576">
        <v>503.35</v>
      </c>
      <c r="T576">
        <v>503.6</v>
      </c>
      <c r="U576">
        <v>513.65</v>
      </c>
      <c r="W576">
        <v>503.35</v>
      </c>
      <c r="Z576">
        <v>342669</v>
      </c>
      <c r="AA576">
        <v>173344352.75</v>
      </c>
      <c r="AB576">
        <v>12909</v>
      </c>
      <c r="AC576" t="s">
        <v>42</v>
      </c>
      <c r="AD576">
        <v>1</v>
      </c>
    </row>
    <row r="577" spans="1:30">
      <c r="A577" t="str">
        <f>CONCATENATE(I577,J577)</f>
        <v>BOROSCIEQ</v>
      </c>
      <c r="B577" s="34">
        <v>46273</v>
      </c>
      <c r="C577" s="34">
        <v>46273</v>
      </c>
      <c r="D577" t="s">
        <v>35</v>
      </c>
      <c r="E577" t="s">
        <v>36</v>
      </c>
      <c r="F577" t="s">
        <v>37</v>
      </c>
      <c r="G577">
        <v>24014</v>
      </c>
      <c r="H577" t="s">
        <v>1787</v>
      </c>
      <c r="I577" t="s">
        <v>1788</v>
      </c>
      <c r="J577" t="s">
        <v>161</v>
      </c>
      <c r="O577" t="s">
        <v>1789</v>
      </c>
      <c r="P577">
        <v>130.65</v>
      </c>
      <c r="Q577">
        <v>132.5</v>
      </c>
      <c r="R577">
        <v>127</v>
      </c>
      <c r="S577">
        <v>129.63</v>
      </c>
      <c r="T577">
        <v>130.01</v>
      </c>
      <c r="U577">
        <v>130.65</v>
      </c>
      <c r="W577">
        <v>129.63</v>
      </c>
      <c r="Z577">
        <v>41466</v>
      </c>
      <c r="AA577">
        <v>5363237.3899999997</v>
      </c>
      <c r="AB577">
        <v>904</v>
      </c>
      <c r="AC577" t="s">
        <v>42</v>
      </c>
      <c r="AD577">
        <v>1</v>
      </c>
    </row>
    <row r="578" spans="1:30">
      <c r="A578" t="str">
        <f>CONCATENATE(I578,J578)</f>
        <v>BOSCH-HCILEQ</v>
      </c>
      <c r="B578" s="34">
        <v>46273</v>
      </c>
      <c r="C578" s="34">
        <v>46273</v>
      </c>
      <c r="D578" t="s">
        <v>35</v>
      </c>
      <c r="E578" t="s">
        <v>36</v>
      </c>
      <c r="F578" t="s">
        <v>37</v>
      </c>
      <c r="G578">
        <v>4491</v>
      </c>
      <c r="H578" t="s">
        <v>1790</v>
      </c>
      <c r="I578" t="s">
        <v>1791</v>
      </c>
      <c r="J578" t="s">
        <v>161</v>
      </c>
      <c r="O578" t="s">
        <v>1792</v>
      </c>
      <c r="P578">
        <v>1854</v>
      </c>
      <c r="Q578">
        <v>1854</v>
      </c>
      <c r="R578">
        <v>1786.5</v>
      </c>
      <c r="S578">
        <v>1794</v>
      </c>
      <c r="T578">
        <v>1790</v>
      </c>
      <c r="U578">
        <v>1849.1</v>
      </c>
      <c r="W578">
        <v>1794.03</v>
      </c>
      <c r="Z578">
        <v>52669</v>
      </c>
      <c r="AA578">
        <v>95739438.5</v>
      </c>
      <c r="AB578">
        <v>7781</v>
      </c>
      <c r="AC578" t="s">
        <v>42</v>
      </c>
      <c r="AD578">
        <v>1</v>
      </c>
    </row>
    <row r="579" spans="1:30">
      <c r="A579" t="str">
        <f>CONCATENATE(I579,J579)</f>
        <v>BOSCHLTDEQ</v>
      </c>
      <c r="B579" s="34">
        <v>46273</v>
      </c>
      <c r="C579" s="34">
        <v>46273</v>
      </c>
      <c r="D579" t="s">
        <v>35</v>
      </c>
      <c r="E579" t="s">
        <v>36</v>
      </c>
      <c r="F579" t="s">
        <v>37</v>
      </c>
      <c r="G579">
        <v>2181</v>
      </c>
      <c r="H579" t="s">
        <v>1793</v>
      </c>
      <c r="I579" t="s">
        <v>1794</v>
      </c>
      <c r="J579" t="s">
        <v>161</v>
      </c>
      <c r="O579" t="s">
        <v>1795</v>
      </c>
      <c r="P579">
        <v>48200</v>
      </c>
      <c r="Q579">
        <v>48955</v>
      </c>
      <c r="R579">
        <v>48100</v>
      </c>
      <c r="S579">
        <v>48785</v>
      </c>
      <c r="T579">
        <v>48785</v>
      </c>
      <c r="U579">
        <v>48025</v>
      </c>
      <c r="W579">
        <v>48785.49</v>
      </c>
      <c r="Z579">
        <v>33665</v>
      </c>
      <c r="AA579">
        <v>1638346570</v>
      </c>
      <c r="AB579">
        <v>12885</v>
      </c>
      <c r="AC579" t="s">
        <v>42</v>
      </c>
      <c r="AD579">
        <v>1</v>
      </c>
    </row>
    <row r="580" spans="1:30">
      <c r="A580" t="str">
        <f>CONCATENATE(I580,J580)</f>
        <v>BOSSSM</v>
      </c>
      <c r="B580" s="34">
        <v>46273</v>
      </c>
      <c r="C580" s="34">
        <v>46273</v>
      </c>
      <c r="D580" t="s">
        <v>35</v>
      </c>
      <c r="E580" t="s">
        <v>36</v>
      </c>
      <c r="F580" t="s">
        <v>37</v>
      </c>
      <c r="G580">
        <v>25119</v>
      </c>
      <c r="H580" t="s">
        <v>1796</v>
      </c>
      <c r="I580" t="s">
        <v>1797</v>
      </c>
      <c r="J580" t="s">
        <v>267</v>
      </c>
      <c r="O580" t="s">
        <v>1798</v>
      </c>
      <c r="P580">
        <v>55.15</v>
      </c>
      <c r="Q580">
        <v>59.1</v>
      </c>
      <c r="R580">
        <v>55.05</v>
      </c>
      <c r="S580">
        <v>58.95</v>
      </c>
      <c r="T580">
        <v>58.8</v>
      </c>
      <c r="U580">
        <v>57.2</v>
      </c>
      <c r="W580">
        <v>58.95</v>
      </c>
      <c r="Z580">
        <v>8000</v>
      </c>
      <c r="AA580">
        <v>456200</v>
      </c>
      <c r="AB580">
        <v>4</v>
      </c>
      <c r="AC580" t="s">
        <v>42</v>
      </c>
      <c r="AD580">
        <v>2000</v>
      </c>
    </row>
    <row r="581" spans="1:30">
      <c r="A581" t="str">
        <f>CONCATENATE(I581,J581)</f>
        <v>BPLEQ</v>
      </c>
      <c r="B581" s="34">
        <v>46273</v>
      </c>
      <c r="C581" s="34">
        <v>46273</v>
      </c>
      <c r="D581" t="s">
        <v>35</v>
      </c>
      <c r="E581" t="s">
        <v>36</v>
      </c>
      <c r="F581" t="s">
        <v>37</v>
      </c>
      <c r="G581">
        <v>530</v>
      </c>
      <c r="H581" t="s">
        <v>1799</v>
      </c>
      <c r="I581" t="s">
        <v>1800</v>
      </c>
      <c r="J581" t="s">
        <v>161</v>
      </c>
      <c r="O581" t="s">
        <v>1801</v>
      </c>
      <c r="P581">
        <v>49.6</v>
      </c>
      <c r="Q581">
        <v>50</v>
      </c>
      <c r="R581">
        <v>48.62</v>
      </c>
      <c r="S581">
        <v>48.65</v>
      </c>
      <c r="T581">
        <v>48.62</v>
      </c>
      <c r="U581">
        <v>48.77</v>
      </c>
      <c r="W581">
        <v>48.69</v>
      </c>
      <c r="Z581">
        <v>25319</v>
      </c>
      <c r="AA581">
        <v>1238852.83</v>
      </c>
      <c r="AB581">
        <v>401</v>
      </c>
      <c r="AC581" t="s">
        <v>42</v>
      </c>
      <c r="AD581">
        <v>1</v>
      </c>
    </row>
    <row r="582" spans="1:30">
      <c r="A582" t="str">
        <f>CONCATENATE(I582,J582)</f>
        <v>BRACEPORTSM</v>
      </c>
      <c r="B582" s="34">
        <v>46273</v>
      </c>
      <c r="C582" s="34">
        <v>46273</v>
      </c>
      <c r="D582" t="s">
        <v>35</v>
      </c>
      <c r="E582" t="s">
        <v>36</v>
      </c>
      <c r="F582" t="s">
        <v>37</v>
      </c>
      <c r="G582">
        <v>24905</v>
      </c>
      <c r="H582" t="s">
        <v>1802</v>
      </c>
      <c r="I582" t="s">
        <v>1803</v>
      </c>
      <c r="J582" t="s">
        <v>267</v>
      </c>
      <c r="O582" t="s">
        <v>1804</v>
      </c>
      <c r="P582">
        <v>53</v>
      </c>
      <c r="Q582">
        <v>56.65</v>
      </c>
      <c r="R582">
        <v>53</v>
      </c>
      <c r="S582">
        <v>55.95</v>
      </c>
      <c r="T582">
        <v>55.95</v>
      </c>
      <c r="U582">
        <v>51.4</v>
      </c>
      <c r="W582">
        <v>55.95</v>
      </c>
      <c r="Z582">
        <v>6400</v>
      </c>
      <c r="AA582">
        <v>355040</v>
      </c>
      <c r="AB582">
        <v>4</v>
      </c>
      <c r="AC582" t="s">
        <v>42</v>
      </c>
      <c r="AD582">
        <v>1600</v>
      </c>
    </row>
    <row r="583" spans="1:30">
      <c r="A583" t="str">
        <f>CONCATENATE(I583,J583)</f>
        <v>BRAHMINFRAEQ</v>
      </c>
      <c r="B583" s="34">
        <v>46273</v>
      </c>
      <c r="C583" s="34">
        <v>46273</v>
      </c>
      <c r="D583" t="s">
        <v>35</v>
      </c>
      <c r="E583" t="s">
        <v>36</v>
      </c>
      <c r="F583" t="s">
        <v>37</v>
      </c>
      <c r="G583">
        <v>764628</v>
      </c>
      <c r="H583" t="s">
        <v>1805</v>
      </c>
      <c r="I583" t="s">
        <v>1806</v>
      </c>
      <c r="J583" t="s">
        <v>161</v>
      </c>
      <c r="O583" t="s">
        <v>1807</v>
      </c>
      <c r="P583">
        <v>162.99</v>
      </c>
      <c r="Q583">
        <v>162.99</v>
      </c>
      <c r="R583">
        <v>156.75</v>
      </c>
      <c r="S583">
        <v>159.13</v>
      </c>
      <c r="T583">
        <v>158.80000000000001</v>
      </c>
      <c r="U583">
        <v>158.66</v>
      </c>
      <c r="W583">
        <v>158.93</v>
      </c>
      <c r="Z583">
        <v>8497</v>
      </c>
      <c r="AA583">
        <v>1354112.08</v>
      </c>
      <c r="AB583">
        <v>245</v>
      </c>
      <c r="AC583" t="s">
        <v>42</v>
      </c>
      <c r="AD583">
        <v>1</v>
      </c>
    </row>
    <row r="584" spans="1:30">
      <c r="A584" t="str">
        <f>CONCATENATE(I584,J584)</f>
        <v>FIRSTCRYEQ</v>
      </c>
      <c r="B584" s="34">
        <v>46273</v>
      </c>
      <c r="C584" s="34">
        <v>46273</v>
      </c>
      <c r="D584" t="s">
        <v>35</v>
      </c>
      <c r="E584" t="s">
        <v>36</v>
      </c>
      <c r="F584" t="s">
        <v>37</v>
      </c>
      <c r="G584">
        <v>24814</v>
      </c>
      <c r="H584" t="s">
        <v>1808</v>
      </c>
      <c r="I584" t="s">
        <v>1809</v>
      </c>
      <c r="J584" t="s">
        <v>161</v>
      </c>
      <c r="O584" t="s">
        <v>1810</v>
      </c>
      <c r="P584">
        <v>178</v>
      </c>
      <c r="Q584">
        <v>178.03</v>
      </c>
      <c r="R584">
        <v>174.6</v>
      </c>
      <c r="S584">
        <v>176.24</v>
      </c>
      <c r="T584">
        <v>176.6</v>
      </c>
      <c r="U584">
        <v>177.03</v>
      </c>
      <c r="W584">
        <v>176.24</v>
      </c>
      <c r="Z584">
        <v>570947</v>
      </c>
      <c r="AA584">
        <v>100301963.73999999</v>
      </c>
      <c r="AB584">
        <v>8316</v>
      </c>
      <c r="AC584" t="s">
        <v>42</v>
      </c>
      <c r="AD584">
        <v>1</v>
      </c>
    </row>
    <row r="585" spans="1:30">
      <c r="A585" t="str">
        <f>CONCATENATE(I585,J585)</f>
        <v>BCONCEPTSEQ</v>
      </c>
      <c r="B585" s="34">
        <v>46273</v>
      </c>
      <c r="C585" s="34">
        <v>46273</v>
      </c>
      <c r="D585" t="s">
        <v>35</v>
      </c>
      <c r="E585" t="s">
        <v>36</v>
      </c>
      <c r="F585" t="s">
        <v>37</v>
      </c>
      <c r="G585">
        <v>7780</v>
      </c>
      <c r="H585" t="s">
        <v>1811</v>
      </c>
      <c r="I585" t="s">
        <v>1812</v>
      </c>
      <c r="J585" t="s">
        <v>161</v>
      </c>
      <c r="O585" t="s">
        <v>1813</v>
      </c>
      <c r="P585">
        <v>173.55</v>
      </c>
      <c r="Q585">
        <v>173.76</v>
      </c>
      <c r="R585">
        <v>164.83</v>
      </c>
      <c r="S585">
        <v>166.33</v>
      </c>
      <c r="T585">
        <v>166.95</v>
      </c>
      <c r="U585">
        <v>173.98</v>
      </c>
      <c r="W585">
        <v>166.37</v>
      </c>
      <c r="Z585">
        <v>10620</v>
      </c>
      <c r="AA585">
        <v>1789819.09</v>
      </c>
      <c r="AB585">
        <v>683</v>
      </c>
      <c r="AC585" t="s">
        <v>42</v>
      </c>
      <c r="AD585">
        <v>1</v>
      </c>
    </row>
    <row r="586" spans="1:30">
      <c r="A586" t="str">
        <f>CONCATENATE(I586,J586)</f>
        <v>BRANDMANSM</v>
      </c>
      <c r="B586" s="34">
        <v>46273</v>
      </c>
      <c r="C586" s="34">
        <v>46273</v>
      </c>
      <c r="D586" t="s">
        <v>35</v>
      </c>
      <c r="E586" t="s">
        <v>36</v>
      </c>
      <c r="F586" t="s">
        <v>37</v>
      </c>
      <c r="G586">
        <v>760972</v>
      </c>
      <c r="H586" t="s">
        <v>1814</v>
      </c>
      <c r="I586" t="s">
        <v>1815</v>
      </c>
      <c r="J586" t="s">
        <v>267</v>
      </c>
      <c r="O586" t="s">
        <v>1816</v>
      </c>
      <c r="P586">
        <v>173.35</v>
      </c>
      <c r="Q586">
        <v>175.9</v>
      </c>
      <c r="R586">
        <v>172</v>
      </c>
      <c r="S586">
        <v>172.35</v>
      </c>
      <c r="T586">
        <v>172</v>
      </c>
      <c r="U586">
        <v>170.25</v>
      </c>
      <c r="W586">
        <v>172.35</v>
      </c>
      <c r="Z586">
        <v>19200</v>
      </c>
      <c r="AA586">
        <v>3340920</v>
      </c>
      <c r="AB586">
        <v>21</v>
      </c>
      <c r="AC586" t="s">
        <v>42</v>
      </c>
      <c r="AD586">
        <v>800</v>
      </c>
    </row>
    <row r="587" spans="1:30">
      <c r="A587" t="str">
        <f>CONCATENATE(I587,J587)</f>
        <v>BRIGADEEQ</v>
      </c>
      <c r="B587" s="34">
        <v>46273</v>
      </c>
      <c r="C587" s="34">
        <v>46273</v>
      </c>
      <c r="D587" t="s">
        <v>35</v>
      </c>
      <c r="E587" t="s">
        <v>36</v>
      </c>
      <c r="F587" t="s">
        <v>37</v>
      </c>
      <c r="G587">
        <v>15184</v>
      </c>
      <c r="H587" t="s">
        <v>1817</v>
      </c>
      <c r="I587" t="s">
        <v>1818</v>
      </c>
      <c r="J587" t="s">
        <v>161</v>
      </c>
      <c r="O587" t="s">
        <v>1819</v>
      </c>
      <c r="P587">
        <v>675.8</v>
      </c>
      <c r="Q587">
        <v>689.95</v>
      </c>
      <c r="R587">
        <v>669</v>
      </c>
      <c r="S587">
        <v>687</v>
      </c>
      <c r="T587">
        <v>687</v>
      </c>
      <c r="U587">
        <v>679.05</v>
      </c>
      <c r="W587">
        <v>686.94</v>
      </c>
      <c r="Z587">
        <v>319215</v>
      </c>
      <c r="AA587">
        <v>217278248.65000001</v>
      </c>
      <c r="AB587">
        <v>20695</v>
      </c>
      <c r="AC587" t="s">
        <v>42</v>
      </c>
      <c r="AD587">
        <v>1</v>
      </c>
    </row>
    <row r="588" spans="1:30">
      <c r="A588" t="str">
        <f>CONCATENATE(I588,J588)</f>
        <v>BRIGHOTELEQ</v>
      </c>
      <c r="B588" s="34">
        <v>46273</v>
      </c>
      <c r="C588" s="34">
        <v>46273</v>
      </c>
      <c r="D588" t="s">
        <v>35</v>
      </c>
      <c r="E588" t="s">
        <v>36</v>
      </c>
      <c r="F588" t="s">
        <v>37</v>
      </c>
      <c r="G588">
        <v>757794</v>
      </c>
      <c r="H588" t="s">
        <v>1820</v>
      </c>
      <c r="I588" t="s">
        <v>1821</v>
      </c>
      <c r="J588" t="s">
        <v>161</v>
      </c>
      <c r="O588" t="s">
        <v>1822</v>
      </c>
      <c r="P588">
        <v>57.79</v>
      </c>
      <c r="Q588">
        <v>57.99</v>
      </c>
      <c r="R588">
        <v>57</v>
      </c>
      <c r="S588">
        <v>57.14</v>
      </c>
      <c r="T588">
        <v>57.06</v>
      </c>
      <c r="U588">
        <v>57.34</v>
      </c>
      <c r="W588">
        <v>57.14</v>
      </c>
      <c r="Z588">
        <v>109899</v>
      </c>
      <c r="AA588">
        <v>6288577.7800000003</v>
      </c>
      <c r="AB588">
        <v>1834</v>
      </c>
      <c r="AC588" t="s">
        <v>42</v>
      </c>
      <c r="AD588">
        <v>1</v>
      </c>
    </row>
    <row r="589" spans="1:30">
      <c r="A589" t="str">
        <f>CONCATENATE(I589,J589)</f>
        <v>BRIGHTBREQ</v>
      </c>
      <c r="B589" s="34">
        <v>46273</v>
      </c>
      <c r="C589" s="34">
        <v>46273</v>
      </c>
      <c r="D589" t="s">
        <v>35</v>
      </c>
      <c r="E589" t="s">
        <v>36</v>
      </c>
      <c r="F589" t="s">
        <v>37</v>
      </c>
      <c r="G589">
        <v>764633</v>
      </c>
      <c r="H589" t="s">
        <v>1823</v>
      </c>
      <c r="I589" t="s">
        <v>1824</v>
      </c>
      <c r="J589" t="s">
        <v>161</v>
      </c>
      <c r="O589" t="s">
        <v>1825</v>
      </c>
      <c r="P589">
        <v>255.9</v>
      </c>
      <c r="Q589">
        <v>265</v>
      </c>
      <c r="R589">
        <v>250.05</v>
      </c>
      <c r="S589">
        <v>259.25</v>
      </c>
      <c r="T589">
        <v>250.05</v>
      </c>
      <c r="U589">
        <v>259.10000000000002</v>
      </c>
      <c r="W589">
        <v>251.95</v>
      </c>
      <c r="Z589">
        <v>357</v>
      </c>
      <c r="AA589">
        <v>92741.35</v>
      </c>
      <c r="AB589">
        <v>19</v>
      </c>
      <c r="AC589" t="s">
        <v>42</v>
      </c>
      <c r="AD589">
        <v>1</v>
      </c>
    </row>
    <row r="590" spans="1:30">
      <c r="A590" t="str">
        <f>CONCATENATE(I590,J590)</f>
        <v>BCGEQ</v>
      </c>
      <c r="B590" s="34">
        <v>46273</v>
      </c>
      <c r="C590" s="34">
        <v>46273</v>
      </c>
      <c r="D590" t="s">
        <v>35</v>
      </c>
      <c r="E590" t="s">
        <v>36</v>
      </c>
      <c r="F590" t="s">
        <v>37</v>
      </c>
      <c r="G590">
        <v>8833</v>
      </c>
      <c r="H590" t="s">
        <v>1826</v>
      </c>
      <c r="I590" t="s">
        <v>1827</v>
      </c>
      <c r="J590" t="s">
        <v>161</v>
      </c>
      <c r="O590" t="s">
        <v>1828</v>
      </c>
      <c r="P590">
        <v>9.6999999999999993</v>
      </c>
      <c r="Q590">
        <v>11.18</v>
      </c>
      <c r="R590">
        <v>9.67</v>
      </c>
      <c r="S590">
        <v>10.57</v>
      </c>
      <c r="T590">
        <v>10.62</v>
      </c>
      <c r="U590">
        <v>9.6199999999999992</v>
      </c>
      <c r="W590">
        <v>10.57</v>
      </c>
      <c r="Z590">
        <v>67429127</v>
      </c>
      <c r="AA590">
        <v>712388122.66999996</v>
      </c>
      <c r="AB590">
        <v>141669</v>
      </c>
      <c r="AC590" t="s">
        <v>42</v>
      </c>
      <c r="AD590">
        <v>1</v>
      </c>
    </row>
    <row r="591" spans="1:30">
      <c r="A591" t="str">
        <f>CONCATENATE(I591,J591)</f>
        <v>BRITANNIAEQ</v>
      </c>
      <c r="B591" s="34">
        <v>46273</v>
      </c>
      <c r="C591" s="34">
        <v>46273</v>
      </c>
      <c r="D591" t="s">
        <v>35</v>
      </c>
      <c r="E591" t="s">
        <v>36</v>
      </c>
      <c r="F591" t="s">
        <v>37</v>
      </c>
      <c r="G591">
        <v>547</v>
      </c>
      <c r="H591" t="s">
        <v>1829</v>
      </c>
      <c r="I591" t="s">
        <v>1830</v>
      </c>
      <c r="J591" t="s">
        <v>161</v>
      </c>
      <c r="O591" t="s">
        <v>1831</v>
      </c>
      <c r="P591">
        <v>5036</v>
      </c>
      <c r="Q591">
        <v>5091.5</v>
      </c>
      <c r="R591">
        <v>5012</v>
      </c>
      <c r="S591">
        <v>5064</v>
      </c>
      <c r="T591">
        <v>5064</v>
      </c>
      <c r="U591">
        <v>5042.5</v>
      </c>
      <c r="W591">
        <v>5063.88</v>
      </c>
      <c r="Z591">
        <v>280231</v>
      </c>
      <c r="AA591">
        <v>1417698839.5</v>
      </c>
      <c r="AB591">
        <v>26118</v>
      </c>
      <c r="AC591" t="s">
        <v>42</v>
      </c>
      <c r="AD591">
        <v>1</v>
      </c>
    </row>
    <row r="592" spans="1:30">
      <c r="A592" t="str">
        <f>CONCATENATE(I592,J592)</f>
        <v>BIRETRR</v>
      </c>
      <c r="B592" s="34">
        <v>46273</v>
      </c>
      <c r="C592" s="34">
        <v>46273</v>
      </c>
      <c r="D592" t="s">
        <v>35</v>
      </c>
      <c r="E592" t="s">
        <v>36</v>
      </c>
      <c r="F592" t="s">
        <v>37</v>
      </c>
      <c r="G592">
        <v>2203</v>
      </c>
      <c r="H592" t="s">
        <v>1832</v>
      </c>
      <c r="I592" t="s">
        <v>1833</v>
      </c>
      <c r="J592" t="s">
        <v>1301</v>
      </c>
      <c r="O592" t="s">
        <v>1834</v>
      </c>
      <c r="P592">
        <v>342.4</v>
      </c>
      <c r="Q592">
        <v>342.94</v>
      </c>
      <c r="R592">
        <v>341.27</v>
      </c>
      <c r="S592">
        <v>341.89</v>
      </c>
      <c r="T592">
        <v>341.3</v>
      </c>
      <c r="U592">
        <v>341.27</v>
      </c>
      <c r="W592">
        <v>341.87</v>
      </c>
      <c r="Z592">
        <v>872606</v>
      </c>
      <c r="AA592">
        <v>298520004.47000003</v>
      </c>
      <c r="AB592">
        <v>10883</v>
      </c>
      <c r="AC592" t="s">
        <v>42</v>
      </c>
      <c r="AD592">
        <v>1</v>
      </c>
    </row>
    <row r="593" spans="1:30">
      <c r="A593" t="str">
        <f>CONCATENATE(I593,J593)</f>
        <v>BROOKSEQ</v>
      </c>
      <c r="B593" s="34">
        <v>46273</v>
      </c>
      <c r="C593" s="34">
        <v>46273</v>
      </c>
      <c r="D593" t="s">
        <v>35</v>
      </c>
      <c r="E593" t="s">
        <v>36</v>
      </c>
      <c r="F593" t="s">
        <v>37</v>
      </c>
      <c r="G593">
        <v>25136</v>
      </c>
      <c r="H593" t="s">
        <v>1835</v>
      </c>
      <c r="I593" t="s">
        <v>1836</v>
      </c>
      <c r="J593" t="s">
        <v>161</v>
      </c>
      <c r="O593" t="s">
        <v>1837</v>
      </c>
      <c r="P593">
        <v>69.7</v>
      </c>
      <c r="Q593">
        <v>69.75</v>
      </c>
      <c r="R593">
        <v>61.52</v>
      </c>
      <c r="S593">
        <v>63.3</v>
      </c>
      <c r="T593">
        <v>64.239999999999995</v>
      </c>
      <c r="U593">
        <v>67.7</v>
      </c>
      <c r="W593">
        <v>63.33</v>
      </c>
      <c r="Z593">
        <v>64342</v>
      </c>
      <c r="AA593">
        <v>4224549.09</v>
      </c>
      <c r="AB593">
        <v>1064</v>
      </c>
      <c r="AC593" t="s">
        <v>42</v>
      </c>
      <c r="AD593">
        <v>1</v>
      </c>
    </row>
    <row r="594" spans="1:30">
      <c r="A594" t="str">
        <f>CONCATENATE(I594,J594)</f>
        <v>BSEEQ</v>
      </c>
      <c r="B594" s="34">
        <v>46273</v>
      </c>
      <c r="C594" s="34">
        <v>46273</v>
      </c>
      <c r="D594" t="s">
        <v>35</v>
      </c>
      <c r="E594" t="s">
        <v>36</v>
      </c>
      <c r="F594" t="s">
        <v>37</v>
      </c>
      <c r="G594">
        <v>19585</v>
      </c>
      <c r="H594" t="s">
        <v>1838</v>
      </c>
      <c r="I594" t="s">
        <v>1839</v>
      </c>
      <c r="J594" t="s">
        <v>161</v>
      </c>
      <c r="O594" t="s">
        <v>1840</v>
      </c>
      <c r="P594">
        <v>3440</v>
      </c>
      <c r="Q594">
        <v>3442.2</v>
      </c>
      <c r="R594">
        <v>3362</v>
      </c>
      <c r="S594">
        <v>3394</v>
      </c>
      <c r="T594">
        <v>3394</v>
      </c>
      <c r="U594">
        <v>3446.2</v>
      </c>
      <c r="W594">
        <v>3394</v>
      </c>
      <c r="Z594">
        <v>2850676</v>
      </c>
      <c r="AA594">
        <v>9681742832.2000008</v>
      </c>
      <c r="AB594">
        <v>131756</v>
      </c>
      <c r="AC594" t="s">
        <v>42</v>
      </c>
      <c r="AD594">
        <v>1</v>
      </c>
    </row>
    <row r="595" spans="1:30">
      <c r="A595" t="str">
        <f>CONCATENATE(I595,J595)</f>
        <v>BSLEQ</v>
      </c>
      <c r="B595" s="34">
        <v>46273</v>
      </c>
      <c r="C595" s="34">
        <v>46273</v>
      </c>
      <c r="D595" t="s">
        <v>35</v>
      </c>
      <c r="E595" t="s">
        <v>36</v>
      </c>
      <c r="F595" t="s">
        <v>37</v>
      </c>
      <c r="G595">
        <v>559</v>
      </c>
      <c r="H595" t="s">
        <v>1841</v>
      </c>
      <c r="I595" t="s">
        <v>1842</v>
      </c>
      <c r="J595" t="s">
        <v>161</v>
      </c>
      <c r="O595" t="s">
        <v>1843</v>
      </c>
      <c r="P595">
        <v>122.02</v>
      </c>
      <c r="Q595">
        <v>124.99</v>
      </c>
      <c r="R595">
        <v>120.3</v>
      </c>
      <c r="S595">
        <v>123.33</v>
      </c>
      <c r="T595">
        <v>124.99</v>
      </c>
      <c r="U595">
        <v>122.63</v>
      </c>
      <c r="W595">
        <v>123.47</v>
      </c>
      <c r="Z595">
        <v>3612</v>
      </c>
      <c r="AA595">
        <v>441477.3</v>
      </c>
      <c r="AB595">
        <v>110</v>
      </c>
      <c r="AC595" t="s">
        <v>42</v>
      </c>
      <c r="AD595">
        <v>1</v>
      </c>
    </row>
    <row r="596" spans="1:30">
      <c r="A596" t="str">
        <f>CONCATENATE(I596,J596)</f>
        <v>BUTTERFLYEQ</v>
      </c>
      <c r="B596" s="34">
        <v>46273</v>
      </c>
      <c r="C596" s="34">
        <v>46273</v>
      </c>
      <c r="D596" t="s">
        <v>35</v>
      </c>
      <c r="E596" t="s">
        <v>36</v>
      </c>
      <c r="F596" t="s">
        <v>37</v>
      </c>
      <c r="G596">
        <v>2716</v>
      </c>
      <c r="H596" t="s">
        <v>1844</v>
      </c>
      <c r="I596" t="s">
        <v>1845</v>
      </c>
      <c r="J596" t="s">
        <v>161</v>
      </c>
      <c r="O596" t="s">
        <v>1846</v>
      </c>
      <c r="P596">
        <v>614.9</v>
      </c>
      <c r="Q596">
        <v>630</v>
      </c>
      <c r="R596">
        <v>609.70000000000005</v>
      </c>
      <c r="S596">
        <v>614.54999999999995</v>
      </c>
      <c r="T596">
        <v>614.15</v>
      </c>
      <c r="U596">
        <v>614.9</v>
      </c>
      <c r="W596">
        <v>614.55999999999995</v>
      </c>
      <c r="Z596">
        <v>20105</v>
      </c>
      <c r="AA596">
        <v>12421486.5</v>
      </c>
      <c r="AB596">
        <v>1086</v>
      </c>
      <c r="AC596" t="s">
        <v>42</v>
      </c>
      <c r="AD596">
        <v>1</v>
      </c>
    </row>
    <row r="597" spans="1:30">
      <c r="A597" t="str">
        <f>CONCATENATE(I597,J597)</f>
        <v>BULKCORPST</v>
      </c>
      <c r="B597" s="34">
        <v>46273</v>
      </c>
      <c r="C597" s="34">
        <v>46273</v>
      </c>
      <c r="D597" t="s">
        <v>35</v>
      </c>
      <c r="E597" t="s">
        <v>36</v>
      </c>
      <c r="F597" t="s">
        <v>37</v>
      </c>
      <c r="G597">
        <v>24704</v>
      </c>
      <c r="H597" t="s">
        <v>1847</v>
      </c>
      <c r="I597" t="s">
        <v>1848</v>
      </c>
      <c r="J597" t="s">
        <v>328</v>
      </c>
      <c r="O597" t="s">
        <v>1849</v>
      </c>
      <c r="P597">
        <v>83.9</v>
      </c>
      <c r="Q597">
        <v>83.9</v>
      </c>
      <c r="R597">
        <v>83.9</v>
      </c>
      <c r="S597">
        <v>83.9</v>
      </c>
      <c r="T597">
        <v>83.9</v>
      </c>
      <c r="U597">
        <v>81</v>
      </c>
      <c r="W597">
        <v>83.9</v>
      </c>
      <c r="Z597">
        <v>1200</v>
      </c>
      <c r="AA597">
        <v>100680</v>
      </c>
      <c r="AB597">
        <v>1</v>
      </c>
      <c r="AC597" t="s">
        <v>42</v>
      </c>
      <c r="AD597">
        <v>1200</v>
      </c>
    </row>
    <row r="598" spans="1:30">
      <c r="A598" t="str">
        <f>CONCATENATE(I598,J598)</f>
        <v>BURNPUREQ</v>
      </c>
      <c r="B598" s="34">
        <v>46273</v>
      </c>
      <c r="C598" s="34">
        <v>46273</v>
      </c>
      <c r="D598" t="s">
        <v>35</v>
      </c>
      <c r="E598" t="s">
        <v>36</v>
      </c>
      <c r="F598" t="s">
        <v>37</v>
      </c>
      <c r="G598">
        <v>15194</v>
      </c>
      <c r="H598" t="s">
        <v>1850</v>
      </c>
      <c r="I598" t="s">
        <v>1851</v>
      </c>
      <c r="J598" t="s">
        <v>161</v>
      </c>
      <c r="O598" t="s">
        <v>1852</v>
      </c>
      <c r="P598">
        <v>19.47</v>
      </c>
      <c r="Q598">
        <v>19.47</v>
      </c>
      <c r="R598">
        <v>19.47</v>
      </c>
      <c r="S598">
        <v>19.47</v>
      </c>
      <c r="T598">
        <v>19.47</v>
      </c>
      <c r="U598">
        <v>20.49</v>
      </c>
      <c r="W598">
        <v>19.47</v>
      </c>
      <c r="Z598">
        <v>58100</v>
      </c>
      <c r="AA598">
        <v>1131207</v>
      </c>
      <c r="AB598">
        <v>128</v>
      </c>
      <c r="AC598" t="s">
        <v>42</v>
      </c>
      <c r="AD598">
        <v>1</v>
      </c>
    </row>
    <row r="599" spans="1:30">
      <c r="A599" t="str">
        <f>CONCATENATE(I599,J599)</f>
        <v>CGVAKEQ</v>
      </c>
      <c r="B599" s="34">
        <v>46273</v>
      </c>
      <c r="C599" s="34">
        <v>46273</v>
      </c>
      <c r="D599" t="s">
        <v>35</v>
      </c>
      <c r="E599" t="s">
        <v>36</v>
      </c>
      <c r="F599" t="s">
        <v>37</v>
      </c>
      <c r="G599">
        <v>764643</v>
      </c>
      <c r="H599" t="s">
        <v>1853</v>
      </c>
      <c r="I599" t="s">
        <v>1854</v>
      </c>
      <c r="J599" t="s">
        <v>161</v>
      </c>
      <c r="O599" t="s">
        <v>1855</v>
      </c>
      <c r="P599">
        <v>147.27000000000001</v>
      </c>
      <c r="Q599">
        <v>152.99</v>
      </c>
      <c r="R599">
        <v>144</v>
      </c>
      <c r="S599">
        <v>146.54</v>
      </c>
      <c r="T599">
        <v>147</v>
      </c>
      <c r="U599">
        <v>147.27000000000001</v>
      </c>
      <c r="W599">
        <v>146.01</v>
      </c>
      <c r="Z599">
        <v>3883</v>
      </c>
      <c r="AA599">
        <v>571087.91</v>
      </c>
      <c r="AB599">
        <v>126</v>
      </c>
      <c r="AC599" t="s">
        <v>42</v>
      </c>
      <c r="AD599">
        <v>1</v>
      </c>
    </row>
    <row r="600" spans="1:30">
      <c r="A600" t="str">
        <f>CONCATENATE(I600,J600)</f>
        <v>CKKRETAILSM</v>
      </c>
      <c r="B600" s="34">
        <v>46273</v>
      </c>
      <c r="C600" s="34">
        <v>46273</v>
      </c>
      <c r="D600" t="s">
        <v>35</v>
      </c>
      <c r="E600" t="s">
        <v>36</v>
      </c>
      <c r="F600" t="s">
        <v>37</v>
      </c>
      <c r="G600">
        <v>760854</v>
      </c>
      <c r="H600" t="s">
        <v>1856</v>
      </c>
      <c r="I600" t="s">
        <v>1857</v>
      </c>
      <c r="J600" t="s">
        <v>267</v>
      </c>
      <c r="O600" t="s">
        <v>1858</v>
      </c>
      <c r="P600">
        <v>140.1</v>
      </c>
      <c r="Q600">
        <v>150.05000000000001</v>
      </c>
      <c r="R600">
        <v>139.9</v>
      </c>
      <c r="S600">
        <v>150.05000000000001</v>
      </c>
      <c r="T600">
        <v>150.05000000000001</v>
      </c>
      <c r="U600">
        <v>149.65</v>
      </c>
      <c r="W600">
        <v>150.05000000000001</v>
      </c>
      <c r="Z600">
        <v>187200</v>
      </c>
      <c r="AA600">
        <v>27315080</v>
      </c>
      <c r="AB600">
        <v>38</v>
      </c>
      <c r="AC600" t="s">
        <v>42</v>
      </c>
      <c r="AD600">
        <v>800</v>
      </c>
    </row>
    <row r="601" spans="1:30">
      <c r="A601" t="str">
        <f>CONCATENATE(I601,J601)</f>
        <v>CPSSM</v>
      </c>
      <c r="B601" s="34">
        <v>46273</v>
      </c>
      <c r="C601" s="34">
        <v>46273</v>
      </c>
      <c r="D601" t="s">
        <v>35</v>
      </c>
      <c r="E601" t="s">
        <v>36</v>
      </c>
      <c r="F601" t="s">
        <v>37</v>
      </c>
      <c r="G601">
        <v>18372</v>
      </c>
      <c r="H601" t="s">
        <v>1859</v>
      </c>
      <c r="I601" t="s">
        <v>1860</v>
      </c>
      <c r="J601" t="s">
        <v>267</v>
      </c>
      <c r="O601" t="s">
        <v>1861</v>
      </c>
      <c r="P601">
        <v>1186.5</v>
      </c>
      <c r="Q601">
        <v>1198.95</v>
      </c>
      <c r="R601">
        <v>1186.5</v>
      </c>
      <c r="S601">
        <v>1195</v>
      </c>
      <c r="T601">
        <v>1195</v>
      </c>
      <c r="U601">
        <v>1186.5</v>
      </c>
      <c r="W601">
        <v>1195</v>
      </c>
      <c r="Z601">
        <v>900</v>
      </c>
      <c r="AA601">
        <v>1072485</v>
      </c>
      <c r="AB601">
        <v>6</v>
      </c>
      <c r="AC601" t="s">
        <v>42</v>
      </c>
      <c r="AD601">
        <v>150</v>
      </c>
    </row>
    <row r="602" spans="1:30">
      <c r="A602" t="str">
        <f>CONCATENATE(I602,J602)</f>
        <v>MAPMYINDIAEQ</v>
      </c>
      <c r="B602" s="34">
        <v>46273</v>
      </c>
      <c r="C602" s="34">
        <v>46273</v>
      </c>
      <c r="D602" t="s">
        <v>35</v>
      </c>
      <c r="E602" t="s">
        <v>36</v>
      </c>
      <c r="F602" t="s">
        <v>37</v>
      </c>
      <c r="G602">
        <v>7227</v>
      </c>
      <c r="H602" t="s">
        <v>1862</v>
      </c>
      <c r="I602" t="s">
        <v>1863</v>
      </c>
      <c r="J602" t="s">
        <v>161</v>
      </c>
      <c r="O602" t="s">
        <v>1864</v>
      </c>
      <c r="P602">
        <v>976</v>
      </c>
      <c r="Q602">
        <v>980.8</v>
      </c>
      <c r="R602">
        <v>963.5</v>
      </c>
      <c r="S602">
        <v>968.8</v>
      </c>
      <c r="T602">
        <v>970</v>
      </c>
      <c r="U602">
        <v>976</v>
      </c>
      <c r="W602">
        <v>968.79</v>
      </c>
      <c r="Z602">
        <v>118765</v>
      </c>
      <c r="AA602">
        <v>115212649.8</v>
      </c>
      <c r="AB602">
        <v>9093</v>
      </c>
      <c r="AC602" t="s">
        <v>42</v>
      </c>
      <c r="AD602">
        <v>1</v>
      </c>
    </row>
    <row r="603" spans="1:30">
      <c r="A603" t="str">
        <f>CONCATENATE(I603,J603)</f>
        <v>C2CSM</v>
      </c>
      <c r="B603" s="34">
        <v>46273</v>
      </c>
      <c r="C603" s="34">
        <v>46273</v>
      </c>
      <c r="D603" t="s">
        <v>35</v>
      </c>
      <c r="E603" t="s">
        <v>36</v>
      </c>
      <c r="F603" t="s">
        <v>37</v>
      </c>
      <c r="G603">
        <v>27274</v>
      </c>
      <c r="H603" t="s">
        <v>1865</v>
      </c>
      <c r="I603" t="s">
        <v>1866</v>
      </c>
      <c r="J603" t="s">
        <v>267</v>
      </c>
      <c r="O603" t="s">
        <v>1867</v>
      </c>
      <c r="P603">
        <v>218</v>
      </c>
      <c r="Q603">
        <v>220.8</v>
      </c>
      <c r="R603">
        <v>212</v>
      </c>
      <c r="S603">
        <v>212.9</v>
      </c>
      <c r="T603">
        <v>212</v>
      </c>
      <c r="U603">
        <v>215.75</v>
      </c>
      <c r="W603">
        <v>212.9</v>
      </c>
      <c r="Z603">
        <v>84300</v>
      </c>
      <c r="AA603">
        <v>18080467.5</v>
      </c>
      <c r="AB603">
        <v>384</v>
      </c>
      <c r="AC603" t="s">
        <v>42</v>
      </c>
      <c r="AD603">
        <v>150</v>
      </c>
    </row>
    <row r="604" spans="1:30">
      <c r="A604" t="str">
        <f>CONCATENATE(I604,J604)</f>
        <v>CMLLEQ</v>
      </c>
      <c r="B604" s="34">
        <v>46273</v>
      </c>
      <c r="C604" s="34">
        <v>46273</v>
      </c>
      <c r="D604" t="s">
        <v>35</v>
      </c>
      <c r="E604" t="s">
        <v>36</v>
      </c>
      <c r="F604" t="s">
        <v>37</v>
      </c>
      <c r="G604">
        <v>764255</v>
      </c>
      <c r="H604" t="s">
        <v>1868</v>
      </c>
      <c r="I604" t="s">
        <v>1869</v>
      </c>
      <c r="J604" t="s">
        <v>161</v>
      </c>
      <c r="O604" t="s">
        <v>1870</v>
      </c>
      <c r="P604">
        <v>490.25</v>
      </c>
      <c r="Q604">
        <v>496</v>
      </c>
      <c r="R604">
        <v>481</v>
      </c>
      <c r="S604">
        <v>484.35</v>
      </c>
      <c r="T604">
        <v>483.8</v>
      </c>
      <c r="U604">
        <v>490.25</v>
      </c>
      <c r="W604">
        <v>484.32</v>
      </c>
      <c r="Z604">
        <v>273491</v>
      </c>
      <c r="AA604">
        <v>133007000.3</v>
      </c>
      <c r="AB604">
        <v>7681</v>
      </c>
      <c r="AC604" t="s">
        <v>42</v>
      </c>
      <c r="AD604">
        <v>1</v>
      </c>
    </row>
    <row r="605" spans="1:30">
      <c r="A605" t="str">
        <f>CONCATENATE(I605,J605)</f>
        <v>CALSOFTBE</v>
      </c>
      <c r="B605" s="34">
        <v>46273</v>
      </c>
      <c r="C605" s="34">
        <v>46273</v>
      </c>
      <c r="D605" t="s">
        <v>35</v>
      </c>
      <c r="E605" t="s">
        <v>36</v>
      </c>
      <c r="F605" t="s">
        <v>37</v>
      </c>
      <c r="G605">
        <v>8400</v>
      </c>
      <c r="H605" t="s">
        <v>1871</v>
      </c>
      <c r="I605" t="s">
        <v>1872</v>
      </c>
      <c r="J605" t="s">
        <v>183</v>
      </c>
      <c r="O605" t="s">
        <v>1873</v>
      </c>
      <c r="P605">
        <v>37</v>
      </c>
      <c r="Q605">
        <v>37</v>
      </c>
      <c r="R605">
        <v>37</v>
      </c>
      <c r="S605">
        <v>37</v>
      </c>
      <c r="T605">
        <v>37</v>
      </c>
      <c r="U605">
        <v>38.94</v>
      </c>
      <c r="W605">
        <v>36.950000000000003</v>
      </c>
      <c r="Z605">
        <v>43781</v>
      </c>
      <c r="AA605">
        <v>1619897</v>
      </c>
      <c r="AB605">
        <v>207</v>
      </c>
      <c r="AC605" t="s">
        <v>42</v>
      </c>
      <c r="AD605">
        <v>1</v>
      </c>
    </row>
    <row r="606" spans="1:30">
      <c r="A606" t="str">
        <f>CONCATENATE(I606,J606)</f>
        <v>CTEBE</v>
      </c>
      <c r="B606" s="34">
        <v>46273</v>
      </c>
      <c r="C606" s="34">
        <v>46273</v>
      </c>
      <c r="D606" t="s">
        <v>35</v>
      </c>
      <c r="E606" t="s">
        <v>36</v>
      </c>
      <c r="F606" t="s">
        <v>37</v>
      </c>
      <c r="G606">
        <v>14222</v>
      </c>
      <c r="H606" t="s">
        <v>1874</v>
      </c>
      <c r="I606" t="s">
        <v>1875</v>
      </c>
      <c r="J606" t="s">
        <v>183</v>
      </c>
      <c r="O606" t="s">
        <v>1876</v>
      </c>
      <c r="P606">
        <v>42.26</v>
      </c>
      <c r="Q606">
        <v>42.26</v>
      </c>
      <c r="R606">
        <v>41.1</v>
      </c>
      <c r="S606">
        <v>41.77</v>
      </c>
      <c r="T606">
        <v>41.31</v>
      </c>
      <c r="U606">
        <v>41.85</v>
      </c>
      <c r="W606">
        <v>41.81</v>
      </c>
      <c r="Z606">
        <v>4642</v>
      </c>
      <c r="AA606">
        <v>193405.37</v>
      </c>
      <c r="AB606">
        <v>24</v>
      </c>
      <c r="AC606" t="s">
        <v>42</v>
      </c>
      <c r="AD606">
        <v>1</v>
      </c>
    </row>
    <row r="607" spans="1:30">
      <c r="A607" t="str">
        <f>CONCATENATE(I607,J607)</f>
        <v>CAMLINFINEEQ</v>
      </c>
      <c r="B607" s="34">
        <v>46273</v>
      </c>
      <c r="C607" s="34">
        <v>46273</v>
      </c>
      <c r="D607" t="s">
        <v>35</v>
      </c>
      <c r="E607" t="s">
        <v>36</v>
      </c>
      <c r="F607" t="s">
        <v>37</v>
      </c>
      <c r="G607">
        <v>6216</v>
      </c>
      <c r="H607" t="s">
        <v>1877</v>
      </c>
      <c r="I607" t="s">
        <v>1878</v>
      </c>
      <c r="J607" t="s">
        <v>161</v>
      </c>
      <c r="O607" t="s">
        <v>1879</v>
      </c>
      <c r="P607">
        <v>102.7</v>
      </c>
      <c r="Q607">
        <v>106.62</v>
      </c>
      <c r="R607">
        <v>101.62</v>
      </c>
      <c r="S607">
        <v>104.15</v>
      </c>
      <c r="T607">
        <v>104.2</v>
      </c>
      <c r="U607">
        <v>101.68</v>
      </c>
      <c r="W607">
        <v>104.15</v>
      </c>
      <c r="Z607">
        <v>1119448</v>
      </c>
      <c r="AA607">
        <v>117054381.29000001</v>
      </c>
      <c r="AB607">
        <v>9817</v>
      </c>
      <c r="AC607" t="s">
        <v>42</v>
      </c>
      <c r="AD607">
        <v>1</v>
      </c>
    </row>
    <row r="608" spans="1:30">
      <c r="A608" t="str">
        <f>CONCATENATE(I608,J608)</f>
        <v>CAMPUSEQ</v>
      </c>
      <c r="B608" s="34">
        <v>46273</v>
      </c>
      <c r="C608" s="34">
        <v>46273</v>
      </c>
      <c r="D608" t="s">
        <v>35</v>
      </c>
      <c r="E608" t="s">
        <v>36</v>
      </c>
      <c r="F608" t="s">
        <v>37</v>
      </c>
      <c r="G608">
        <v>9362</v>
      </c>
      <c r="H608" t="s">
        <v>1880</v>
      </c>
      <c r="I608" t="s">
        <v>1881</v>
      </c>
      <c r="J608" t="s">
        <v>161</v>
      </c>
      <c r="O608" t="s">
        <v>1882</v>
      </c>
      <c r="P608">
        <v>217.5</v>
      </c>
      <c r="Q608">
        <v>219.02</v>
      </c>
      <c r="R608">
        <v>216.2</v>
      </c>
      <c r="S608">
        <v>216.81</v>
      </c>
      <c r="T608">
        <v>217</v>
      </c>
      <c r="U608">
        <v>218.77</v>
      </c>
      <c r="W608">
        <v>216.81</v>
      </c>
      <c r="Z608">
        <v>248017</v>
      </c>
      <c r="AA608">
        <v>53933039</v>
      </c>
      <c r="AB608">
        <v>4485</v>
      </c>
      <c r="AC608" t="s">
        <v>42</v>
      </c>
      <c r="AD608">
        <v>1</v>
      </c>
    </row>
    <row r="609" spans="1:30">
      <c r="A609" t="str">
        <f>CONCATENATE(I609,J609)</f>
        <v>CANFINHOMEEQ</v>
      </c>
      <c r="B609" s="34">
        <v>46273</v>
      </c>
      <c r="C609" s="34">
        <v>46273</v>
      </c>
      <c r="D609" t="s">
        <v>35</v>
      </c>
      <c r="E609" t="s">
        <v>36</v>
      </c>
      <c r="F609" t="s">
        <v>37</v>
      </c>
      <c r="G609">
        <v>583</v>
      </c>
      <c r="H609" t="s">
        <v>1883</v>
      </c>
      <c r="I609" t="s">
        <v>1884</v>
      </c>
      <c r="J609" t="s">
        <v>161</v>
      </c>
      <c r="O609" t="s">
        <v>1885</v>
      </c>
      <c r="P609">
        <v>805.45</v>
      </c>
      <c r="Q609">
        <v>811.85</v>
      </c>
      <c r="R609">
        <v>795</v>
      </c>
      <c r="S609">
        <v>797.6</v>
      </c>
      <c r="T609">
        <v>801.2</v>
      </c>
      <c r="U609">
        <v>805.45</v>
      </c>
      <c r="W609">
        <v>797.59</v>
      </c>
      <c r="Z609">
        <v>328192</v>
      </c>
      <c r="AA609">
        <v>264807441.15000001</v>
      </c>
      <c r="AB609">
        <v>13059</v>
      </c>
      <c r="AC609" t="s">
        <v>42</v>
      </c>
      <c r="AD609">
        <v>1</v>
      </c>
    </row>
    <row r="610" spans="1:30">
      <c r="A610" t="str">
        <f>CONCATENATE(I610,J610)</f>
        <v>CANBKEQ</v>
      </c>
      <c r="B610" s="34">
        <v>46273</v>
      </c>
      <c r="C610" s="34">
        <v>46273</v>
      </c>
      <c r="D610" t="s">
        <v>35</v>
      </c>
      <c r="E610" t="s">
        <v>36</v>
      </c>
      <c r="F610" t="s">
        <v>37</v>
      </c>
      <c r="G610">
        <v>10794</v>
      </c>
      <c r="H610" t="s">
        <v>1886</v>
      </c>
      <c r="I610" t="s">
        <v>1887</v>
      </c>
      <c r="J610" t="s">
        <v>161</v>
      </c>
      <c r="O610" t="s">
        <v>1888</v>
      </c>
      <c r="P610">
        <v>124.02</v>
      </c>
      <c r="Q610">
        <v>124.84</v>
      </c>
      <c r="R610">
        <v>123.85</v>
      </c>
      <c r="S610">
        <v>124.68</v>
      </c>
      <c r="T610">
        <v>124.68</v>
      </c>
      <c r="U610">
        <v>124</v>
      </c>
      <c r="W610">
        <v>124.68</v>
      </c>
      <c r="Z610">
        <v>8644820</v>
      </c>
      <c r="AA610">
        <v>1074942600.29</v>
      </c>
      <c r="AB610">
        <v>45902</v>
      </c>
      <c r="AC610" t="s">
        <v>42</v>
      </c>
      <c r="AD610">
        <v>1</v>
      </c>
    </row>
    <row r="611" spans="1:30">
      <c r="A611" t="str">
        <f>CONCATENATE(I611,J611)</f>
        <v>CANHLIFEEQ</v>
      </c>
      <c r="B611" s="34">
        <v>46273</v>
      </c>
      <c r="C611" s="34">
        <v>46273</v>
      </c>
      <c r="D611" t="s">
        <v>35</v>
      </c>
      <c r="E611" t="s">
        <v>36</v>
      </c>
      <c r="F611" t="s">
        <v>37</v>
      </c>
      <c r="G611">
        <v>759477</v>
      </c>
      <c r="H611" t="s">
        <v>1889</v>
      </c>
      <c r="I611" t="s">
        <v>1890</v>
      </c>
      <c r="J611" t="s">
        <v>161</v>
      </c>
      <c r="O611" t="s">
        <v>1891</v>
      </c>
      <c r="P611">
        <v>152</v>
      </c>
      <c r="Q611">
        <v>154.71</v>
      </c>
      <c r="R611">
        <v>148.61000000000001</v>
      </c>
      <c r="S611">
        <v>154.16</v>
      </c>
      <c r="T611">
        <v>154.12</v>
      </c>
      <c r="U611">
        <v>153.97</v>
      </c>
      <c r="W611">
        <v>154.16</v>
      </c>
      <c r="Z611">
        <v>988311</v>
      </c>
      <c r="AA611">
        <v>150310912.72999999</v>
      </c>
      <c r="AB611">
        <v>13818</v>
      </c>
      <c r="AC611" t="s">
        <v>42</v>
      </c>
      <c r="AD611">
        <v>1</v>
      </c>
    </row>
    <row r="612" spans="1:30">
      <c r="A612" t="str">
        <f>CONCATENATE(I612,J612)</f>
        <v>CRAMCEQ</v>
      </c>
      <c r="B612" s="34">
        <v>46273</v>
      </c>
      <c r="C612" s="34">
        <v>46273</v>
      </c>
      <c r="D612" t="s">
        <v>35</v>
      </c>
      <c r="E612" t="s">
        <v>36</v>
      </c>
      <c r="F612" t="s">
        <v>37</v>
      </c>
      <c r="G612">
        <v>759311</v>
      </c>
      <c r="H612" t="s">
        <v>1892</v>
      </c>
      <c r="I612" t="s">
        <v>1893</v>
      </c>
      <c r="J612" t="s">
        <v>161</v>
      </c>
      <c r="O612" t="s">
        <v>1894</v>
      </c>
      <c r="P612">
        <v>246.85</v>
      </c>
      <c r="Q612">
        <v>247.2</v>
      </c>
      <c r="R612">
        <v>238</v>
      </c>
      <c r="S612">
        <v>242.25</v>
      </c>
      <c r="T612">
        <v>242.1</v>
      </c>
      <c r="U612">
        <v>249.25</v>
      </c>
      <c r="W612">
        <v>242.25</v>
      </c>
      <c r="Z612">
        <v>1912939</v>
      </c>
      <c r="AA612">
        <v>459773443.05000001</v>
      </c>
      <c r="AB612">
        <v>44380</v>
      </c>
      <c r="AC612" t="s">
        <v>42</v>
      </c>
      <c r="AD612">
        <v>1</v>
      </c>
    </row>
    <row r="613" spans="1:30">
      <c r="A613" t="str">
        <f>CONCATENATE(I613,J613)</f>
        <v>CANARYSSM</v>
      </c>
      <c r="B613" s="34">
        <v>46273</v>
      </c>
      <c r="C613" s="34">
        <v>46273</v>
      </c>
      <c r="D613" t="s">
        <v>35</v>
      </c>
      <c r="E613" t="s">
        <v>36</v>
      </c>
      <c r="F613" t="s">
        <v>37</v>
      </c>
      <c r="G613">
        <v>19368</v>
      </c>
      <c r="H613" t="s">
        <v>1895</v>
      </c>
      <c r="I613" t="s">
        <v>1896</v>
      </c>
      <c r="J613" t="s">
        <v>267</v>
      </c>
      <c r="O613" t="s">
        <v>1897</v>
      </c>
      <c r="P613">
        <v>24.75</v>
      </c>
      <c r="Q613">
        <v>25.15</v>
      </c>
      <c r="R613">
        <v>23.85</v>
      </c>
      <c r="S613">
        <v>24.9</v>
      </c>
      <c r="T613">
        <v>24.9</v>
      </c>
      <c r="U613">
        <v>24.9</v>
      </c>
      <c r="W613">
        <v>24.9</v>
      </c>
      <c r="Z613">
        <v>36000</v>
      </c>
      <c r="AA613">
        <v>880000</v>
      </c>
      <c r="AB613">
        <v>9</v>
      </c>
      <c r="AC613" t="s">
        <v>42</v>
      </c>
      <c r="AD613">
        <v>4000</v>
      </c>
    </row>
    <row r="614" spans="1:30">
      <c r="A614" t="str">
        <f>CONCATENATE(I614,J614)</f>
        <v>CANTABILEQ</v>
      </c>
      <c r="B614" s="34">
        <v>46273</v>
      </c>
      <c r="C614" s="34">
        <v>46273</v>
      </c>
      <c r="D614" t="s">
        <v>35</v>
      </c>
      <c r="E614" t="s">
        <v>36</v>
      </c>
      <c r="F614" t="s">
        <v>37</v>
      </c>
      <c r="G614">
        <v>20160</v>
      </c>
      <c r="H614" t="s">
        <v>1898</v>
      </c>
      <c r="I614" t="s">
        <v>1899</v>
      </c>
      <c r="J614" t="s">
        <v>161</v>
      </c>
      <c r="O614" t="s">
        <v>1900</v>
      </c>
      <c r="P614">
        <v>238.6</v>
      </c>
      <c r="Q614">
        <v>239.28</v>
      </c>
      <c r="R614">
        <v>235.35</v>
      </c>
      <c r="S614">
        <v>236.87</v>
      </c>
      <c r="T614">
        <v>236</v>
      </c>
      <c r="U614">
        <v>238.83</v>
      </c>
      <c r="W614">
        <v>236.87</v>
      </c>
      <c r="Z614">
        <v>59495</v>
      </c>
      <c r="AA614">
        <v>14075100.720000001</v>
      </c>
      <c r="AB614">
        <v>1121</v>
      </c>
      <c r="AC614" t="s">
        <v>42</v>
      </c>
      <c r="AD614">
        <v>1</v>
      </c>
    </row>
    <row r="615" spans="1:30">
      <c r="A615" t="str">
        <f>CONCATENATE(I615,J615)</f>
        <v>CAPACITEEQ</v>
      </c>
      <c r="B615" s="34">
        <v>46273</v>
      </c>
      <c r="C615" s="34">
        <v>46273</v>
      </c>
      <c r="D615" t="s">
        <v>35</v>
      </c>
      <c r="E615" t="s">
        <v>36</v>
      </c>
      <c r="F615" t="s">
        <v>37</v>
      </c>
      <c r="G615">
        <v>21749</v>
      </c>
      <c r="H615" t="s">
        <v>1901</v>
      </c>
      <c r="I615" t="s">
        <v>1902</v>
      </c>
      <c r="J615" t="s">
        <v>161</v>
      </c>
      <c r="O615" t="s">
        <v>1903</v>
      </c>
      <c r="P615">
        <v>205.05</v>
      </c>
      <c r="Q615">
        <v>206.82</v>
      </c>
      <c r="R615">
        <v>198.65</v>
      </c>
      <c r="S615">
        <v>199.72</v>
      </c>
      <c r="T615">
        <v>199.8</v>
      </c>
      <c r="U615">
        <v>205.8</v>
      </c>
      <c r="W615">
        <v>199.73</v>
      </c>
      <c r="Z615">
        <v>572086</v>
      </c>
      <c r="AA615">
        <v>115370664.12</v>
      </c>
      <c r="AB615">
        <v>8646</v>
      </c>
      <c r="AC615" t="s">
        <v>42</v>
      </c>
      <c r="AD615">
        <v>1</v>
      </c>
    </row>
    <row r="616" spans="1:30">
      <c r="A616" t="str">
        <f>CONCATENATE(I616,J616)</f>
        <v>CAPILLARYEQ</v>
      </c>
      <c r="B616" s="34">
        <v>46273</v>
      </c>
      <c r="C616" s="34">
        <v>46273</v>
      </c>
      <c r="D616" t="s">
        <v>35</v>
      </c>
      <c r="E616" t="s">
        <v>36</v>
      </c>
      <c r="F616" t="s">
        <v>37</v>
      </c>
      <c r="G616">
        <v>759867</v>
      </c>
      <c r="H616" t="s">
        <v>1904</v>
      </c>
      <c r="I616" t="s">
        <v>1905</v>
      </c>
      <c r="J616" t="s">
        <v>161</v>
      </c>
      <c r="O616" t="s">
        <v>1906</v>
      </c>
      <c r="P616">
        <v>475.7</v>
      </c>
      <c r="Q616">
        <v>485.1</v>
      </c>
      <c r="R616">
        <v>457.1</v>
      </c>
      <c r="S616">
        <v>460.55</v>
      </c>
      <c r="T616">
        <v>460.2</v>
      </c>
      <c r="U616">
        <v>473.8</v>
      </c>
      <c r="W616">
        <v>460.56</v>
      </c>
      <c r="Z616">
        <v>547944</v>
      </c>
      <c r="AA616">
        <v>257306531.15000001</v>
      </c>
      <c r="AB616">
        <v>13454</v>
      </c>
      <c r="AC616" t="s">
        <v>42</v>
      </c>
      <c r="AD616">
        <v>1</v>
      </c>
    </row>
    <row r="617" spans="1:30">
      <c r="A617" t="str">
        <f>CONCATENATE(I617,J617)</f>
        <v>CIFLEQ</v>
      </c>
      <c r="B617" s="34">
        <v>46273</v>
      </c>
      <c r="C617" s="34">
        <v>46273</v>
      </c>
      <c r="D617" t="s">
        <v>35</v>
      </c>
      <c r="E617" t="s">
        <v>36</v>
      </c>
      <c r="F617" t="s">
        <v>37</v>
      </c>
      <c r="G617">
        <v>756015</v>
      </c>
      <c r="H617" t="s">
        <v>1907</v>
      </c>
      <c r="I617" t="s">
        <v>1908</v>
      </c>
      <c r="J617" t="s">
        <v>161</v>
      </c>
      <c r="O617" t="s">
        <v>1909</v>
      </c>
      <c r="P617">
        <v>20.399999999999999</v>
      </c>
      <c r="Q617">
        <v>20.69</v>
      </c>
      <c r="R617">
        <v>19.86</v>
      </c>
      <c r="S617">
        <v>20.16</v>
      </c>
      <c r="T617">
        <v>20.170000000000002</v>
      </c>
      <c r="U617">
        <v>19.89</v>
      </c>
      <c r="W617">
        <v>20.16</v>
      </c>
      <c r="Z617">
        <v>309086</v>
      </c>
      <c r="AA617">
        <v>6272582.9000000004</v>
      </c>
      <c r="AB617">
        <v>391</v>
      </c>
      <c r="AC617" t="s">
        <v>42</v>
      </c>
      <c r="AD617">
        <v>1</v>
      </c>
    </row>
    <row r="618" spans="1:30">
      <c r="A618" t="str">
        <f>CONCATENATE(I618,J618)</f>
        <v>CAPINVITIV</v>
      </c>
      <c r="B618" s="34">
        <v>46273</v>
      </c>
      <c r="C618" s="34">
        <v>46273</v>
      </c>
      <c r="D618" t="s">
        <v>35</v>
      </c>
      <c r="E618" t="s">
        <v>36</v>
      </c>
      <c r="F618" t="s">
        <v>37</v>
      </c>
      <c r="G618">
        <v>29157</v>
      </c>
      <c r="H618" t="s">
        <v>1910</v>
      </c>
      <c r="I618" t="s">
        <v>1911</v>
      </c>
      <c r="J618" t="s">
        <v>759</v>
      </c>
      <c r="O618" t="s">
        <v>1912</v>
      </c>
      <c r="P618">
        <v>77.2</v>
      </c>
      <c r="Q618">
        <v>77.2</v>
      </c>
      <c r="R618">
        <v>75.75</v>
      </c>
      <c r="S618">
        <v>75.88</v>
      </c>
      <c r="T618">
        <v>75.8</v>
      </c>
      <c r="U618">
        <v>76.849999999999994</v>
      </c>
      <c r="W618">
        <v>75.900000000000006</v>
      </c>
      <c r="Z618">
        <v>732521</v>
      </c>
      <c r="AA618">
        <v>56054763.25</v>
      </c>
      <c r="AB618">
        <v>3937</v>
      </c>
      <c r="AC618" t="s">
        <v>42</v>
      </c>
      <c r="AD618">
        <v>1</v>
      </c>
    </row>
    <row r="619" spans="1:30">
      <c r="A619" t="str">
        <f>CONCATENATE(I619,J619)</f>
        <v>CAPITALSFBEQ</v>
      </c>
      <c r="B619" s="34">
        <v>46273</v>
      </c>
      <c r="C619" s="34">
        <v>46273</v>
      </c>
      <c r="D619" t="s">
        <v>35</v>
      </c>
      <c r="E619" t="s">
        <v>36</v>
      </c>
      <c r="F619" t="s">
        <v>37</v>
      </c>
      <c r="G619">
        <v>22675</v>
      </c>
      <c r="H619" t="s">
        <v>1913</v>
      </c>
      <c r="I619" t="s">
        <v>1914</v>
      </c>
      <c r="J619" t="s">
        <v>161</v>
      </c>
      <c r="O619" t="s">
        <v>1915</v>
      </c>
      <c r="P619">
        <v>281.95</v>
      </c>
      <c r="Q619">
        <v>281.95</v>
      </c>
      <c r="R619">
        <v>275</v>
      </c>
      <c r="S619">
        <v>277</v>
      </c>
      <c r="T619">
        <v>279</v>
      </c>
      <c r="U619">
        <v>277.89999999999998</v>
      </c>
      <c r="W619">
        <v>276.97000000000003</v>
      </c>
      <c r="Z619">
        <v>23273</v>
      </c>
      <c r="AA619">
        <v>6461412.4500000002</v>
      </c>
      <c r="AB619">
        <v>627</v>
      </c>
      <c r="AC619" t="s">
        <v>42</v>
      </c>
      <c r="AD619">
        <v>1</v>
      </c>
    </row>
    <row r="620" spans="1:30">
      <c r="A620" t="str">
        <f>CONCATENATE(I620,J620)</f>
        <v>CAPTRUSTBE</v>
      </c>
      <c r="B620" s="34">
        <v>46273</v>
      </c>
      <c r="C620" s="34">
        <v>46273</v>
      </c>
      <c r="D620" t="s">
        <v>35</v>
      </c>
      <c r="E620" t="s">
        <v>36</v>
      </c>
      <c r="F620" t="s">
        <v>37</v>
      </c>
      <c r="G620">
        <v>19451</v>
      </c>
      <c r="H620" t="s">
        <v>1916</v>
      </c>
      <c r="I620" t="s">
        <v>1917</v>
      </c>
      <c r="J620" t="s">
        <v>183</v>
      </c>
      <c r="O620" t="s">
        <v>1918</v>
      </c>
      <c r="P620">
        <v>19.899999999999999</v>
      </c>
      <c r="Q620">
        <v>19.899999999999999</v>
      </c>
      <c r="R620">
        <v>18.899999999999999</v>
      </c>
      <c r="S620">
        <v>19.47</v>
      </c>
      <c r="T620">
        <v>19.399999999999999</v>
      </c>
      <c r="U620">
        <v>19.89</v>
      </c>
      <c r="W620">
        <v>19.47</v>
      </c>
      <c r="Z620">
        <v>11840</v>
      </c>
      <c r="AA620">
        <v>229380.74</v>
      </c>
      <c r="AB620">
        <v>82</v>
      </c>
      <c r="AC620" t="s">
        <v>42</v>
      </c>
      <c r="AD620">
        <v>1</v>
      </c>
    </row>
    <row r="621" spans="1:30">
      <c r="A621" t="str">
        <f>CONCATENATE(I621,J621)</f>
        <v>CAPLIPOINTEQ</v>
      </c>
      <c r="B621" s="34">
        <v>46273</v>
      </c>
      <c r="C621" s="34">
        <v>46273</v>
      </c>
      <c r="D621" t="s">
        <v>35</v>
      </c>
      <c r="E621" t="s">
        <v>36</v>
      </c>
      <c r="F621" t="s">
        <v>37</v>
      </c>
      <c r="G621">
        <v>3906</v>
      </c>
      <c r="H621" t="s">
        <v>1919</v>
      </c>
      <c r="I621" t="s">
        <v>1920</v>
      </c>
      <c r="J621" t="s">
        <v>161</v>
      </c>
      <c r="O621" t="s">
        <v>1921</v>
      </c>
      <c r="P621">
        <v>2830</v>
      </c>
      <c r="Q621">
        <v>2850.4</v>
      </c>
      <c r="R621">
        <v>2747.1</v>
      </c>
      <c r="S621">
        <v>2770.1</v>
      </c>
      <c r="T621">
        <v>2775</v>
      </c>
      <c r="U621">
        <v>2814</v>
      </c>
      <c r="W621">
        <v>2770.29</v>
      </c>
      <c r="Z621">
        <v>127691</v>
      </c>
      <c r="AA621">
        <v>356852688.80000001</v>
      </c>
      <c r="AB621">
        <v>16826</v>
      </c>
      <c r="AC621" t="s">
        <v>42</v>
      </c>
      <c r="AD621">
        <v>1</v>
      </c>
    </row>
    <row r="622" spans="1:30">
      <c r="A622" t="str">
        <f>CONCATENATE(I622,J622)</f>
        <v>CGCLEQ</v>
      </c>
      <c r="B622" s="34">
        <v>46273</v>
      </c>
      <c r="C622" s="34">
        <v>46273</v>
      </c>
      <c r="D622" t="s">
        <v>35</v>
      </c>
      <c r="E622" t="s">
        <v>36</v>
      </c>
      <c r="F622" t="s">
        <v>37</v>
      </c>
      <c r="G622">
        <v>20329</v>
      </c>
      <c r="H622" t="s">
        <v>1922</v>
      </c>
      <c r="I622" t="s">
        <v>1923</v>
      </c>
      <c r="J622" t="s">
        <v>161</v>
      </c>
      <c r="O622" t="s">
        <v>1924</v>
      </c>
      <c r="P622">
        <v>276.8</v>
      </c>
      <c r="Q622">
        <v>278.8</v>
      </c>
      <c r="R622">
        <v>268.14999999999998</v>
      </c>
      <c r="S622">
        <v>270.75</v>
      </c>
      <c r="T622">
        <v>271.5</v>
      </c>
      <c r="U622">
        <v>275.7</v>
      </c>
      <c r="W622">
        <v>270.75</v>
      </c>
      <c r="Z622">
        <v>4044474</v>
      </c>
      <c r="AA622">
        <v>1097598097.5999999</v>
      </c>
      <c r="AB622">
        <v>35647</v>
      </c>
      <c r="AC622" t="s">
        <v>42</v>
      </c>
      <c r="AD622">
        <v>1</v>
      </c>
    </row>
    <row r="623" spans="1:30">
      <c r="A623" t="str">
        <f>CONCATENATE(I623,J623)</f>
        <v>CPLEQ</v>
      </c>
      <c r="B623" s="34">
        <v>46273</v>
      </c>
      <c r="C623" s="34">
        <v>46273</v>
      </c>
      <c r="D623" t="s">
        <v>35</v>
      </c>
      <c r="E623" t="s">
        <v>36</v>
      </c>
      <c r="F623" t="s">
        <v>37</v>
      </c>
      <c r="G623">
        <v>764203</v>
      </c>
      <c r="H623" t="s">
        <v>1925</v>
      </c>
      <c r="I623" t="s">
        <v>1926</v>
      </c>
      <c r="J623" t="s">
        <v>161</v>
      </c>
      <c r="O623" t="s">
        <v>1927</v>
      </c>
      <c r="P623">
        <v>62.35</v>
      </c>
      <c r="Q623">
        <v>67.8</v>
      </c>
      <c r="R623">
        <v>62.35</v>
      </c>
      <c r="S623">
        <v>66.78</v>
      </c>
      <c r="T623">
        <v>67</v>
      </c>
      <c r="U623">
        <v>62.28</v>
      </c>
      <c r="W623">
        <v>66.790000000000006</v>
      </c>
      <c r="Z623">
        <v>201784</v>
      </c>
      <c r="AA623">
        <v>13441751.59</v>
      </c>
      <c r="AB623">
        <v>2152</v>
      </c>
      <c r="AC623" t="s">
        <v>42</v>
      </c>
      <c r="AD623">
        <v>1</v>
      </c>
    </row>
    <row r="624" spans="1:30">
      <c r="A624" t="str">
        <f>CONCATENATE(I624,J624)</f>
        <v>CARBORUNIVEQ</v>
      </c>
      <c r="B624" s="34">
        <v>46273</v>
      </c>
      <c r="C624" s="34">
        <v>46273</v>
      </c>
      <c r="D624" t="s">
        <v>35</v>
      </c>
      <c r="E624" t="s">
        <v>36</v>
      </c>
      <c r="F624" t="s">
        <v>37</v>
      </c>
      <c r="G624">
        <v>595</v>
      </c>
      <c r="H624" t="s">
        <v>1928</v>
      </c>
      <c r="I624" t="s">
        <v>1929</v>
      </c>
      <c r="J624" t="s">
        <v>161</v>
      </c>
      <c r="O624" t="s">
        <v>1930</v>
      </c>
      <c r="P624">
        <v>1095.0999999999999</v>
      </c>
      <c r="Q624">
        <v>1126.8</v>
      </c>
      <c r="R624">
        <v>1087.4000000000001</v>
      </c>
      <c r="S624">
        <v>1095.9000000000001</v>
      </c>
      <c r="T624">
        <v>1100</v>
      </c>
      <c r="U624">
        <v>1104</v>
      </c>
      <c r="W624">
        <v>1095.81</v>
      </c>
      <c r="Z624">
        <v>94132</v>
      </c>
      <c r="AA624">
        <v>104095190</v>
      </c>
      <c r="AB624">
        <v>10768</v>
      </c>
      <c r="AC624" t="s">
        <v>42</v>
      </c>
      <c r="AD624">
        <v>1</v>
      </c>
    </row>
    <row r="625" spans="1:30">
      <c r="A625" t="str">
        <f>CONCATENATE(I625,J625)</f>
        <v>CARERATINGEQ</v>
      </c>
      <c r="B625" s="34">
        <v>46273</v>
      </c>
      <c r="C625" s="34">
        <v>46273</v>
      </c>
      <c r="D625" t="s">
        <v>35</v>
      </c>
      <c r="E625" t="s">
        <v>36</v>
      </c>
      <c r="F625" t="s">
        <v>37</v>
      </c>
      <c r="G625">
        <v>29113</v>
      </c>
      <c r="H625" t="s">
        <v>1931</v>
      </c>
      <c r="I625" t="s">
        <v>1932</v>
      </c>
      <c r="J625" t="s">
        <v>161</v>
      </c>
      <c r="O625" t="s">
        <v>1933</v>
      </c>
      <c r="P625">
        <v>1740</v>
      </c>
      <c r="Q625">
        <v>1742.8</v>
      </c>
      <c r="R625">
        <v>1705</v>
      </c>
      <c r="S625">
        <v>1721.1</v>
      </c>
      <c r="T625">
        <v>1725</v>
      </c>
      <c r="U625">
        <v>1729.3</v>
      </c>
      <c r="W625">
        <v>1721.13</v>
      </c>
      <c r="Z625">
        <v>27991</v>
      </c>
      <c r="AA625">
        <v>48239491.5</v>
      </c>
      <c r="AB625">
        <v>6686</v>
      </c>
      <c r="AC625" t="s">
        <v>42</v>
      </c>
      <c r="AD625">
        <v>1</v>
      </c>
    </row>
    <row r="626" spans="1:30">
      <c r="A626" t="str">
        <f>CONCATENATE(I626,J626)</f>
        <v>CPEDUEQ</v>
      </c>
      <c r="B626" s="34">
        <v>46273</v>
      </c>
      <c r="C626" s="34">
        <v>46273</v>
      </c>
      <c r="D626" t="s">
        <v>35</v>
      </c>
      <c r="E626" t="s">
        <v>36</v>
      </c>
      <c r="F626" t="s">
        <v>37</v>
      </c>
      <c r="G626">
        <v>758941</v>
      </c>
      <c r="H626" t="s">
        <v>1934</v>
      </c>
      <c r="I626" t="s">
        <v>1935</v>
      </c>
      <c r="J626" t="s">
        <v>161</v>
      </c>
      <c r="O626" t="s">
        <v>1936</v>
      </c>
      <c r="P626">
        <v>198.5</v>
      </c>
      <c r="Q626">
        <v>198.5</v>
      </c>
      <c r="R626">
        <v>189.2</v>
      </c>
      <c r="S626">
        <v>191.35</v>
      </c>
      <c r="T626">
        <v>191.8</v>
      </c>
      <c r="U626">
        <v>195.31</v>
      </c>
      <c r="W626">
        <v>191.35</v>
      </c>
      <c r="Z626">
        <v>1581</v>
      </c>
      <c r="AA626">
        <v>301273.58</v>
      </c>
      <c r="AB626">
        <v>102</v>
      </c>
      <c r="AC626" t="s">
        <v>42</v>
      </c>
      <c r="AD626">
        <v>1</v>
      </c>
    </row>
    <row r="627" spans="1:30">
      <c r="A627" t="str">
        <f>CONCATENATE(I627,J627)</f>
        <v>CARRAROEQ</v>
      </c>
      <c r="B627" s="34">
        <v>46273</v>
      </c>
      <c r="C627" s="34">
        <v>46273</v>
      </c>
      <c r="D627" t="s">
        <v>35</v>
      </c>
      <c r="E627" t="s">
        <v>36</v>
      </c>
      <c r="F627" t="s">
        <v>37</v>
      </c>
      <c r="G627">
        <v>28879</v>
      </c>
      <c r="H627" t="s">
        <v>1937</v>
      </c>
      <c r="I627" t="s">
        <v>1938</v>
      </c>
      <c r="J627" t="s">
        <v>161</v>
      </c>
      <c r="O627" t="s">
        <v>1939</v>
      </c>
      <c r="P627">
        <v>540.4</v>
      </c>
      <c r="Q627">
        <v>548</v>
      </c>
      <c r="R627">
        <v>535.54999999999995</v>
      </c>
      <c r="S627">
        <v>538.85</v>
      </c>
      <c r="T627">
        <v>542.75</v>
      </c>
      <c r="U627">
        <v>540.45000000000005</v>
      </c>
      <c r="W627">
        <v>538.85</v>
      </c>
      <c r="Z627">
        <v>56002</v>
      </c>
      <c r="AA627">
        <v>30318494.699999999</v>
      </c>
      <c r="AB627">
        <v>4588</v>
      </c>
      <c r="AC627" t="s">
        <v>42</v>
      </c>
      <c r="AD627">
        <v>1</v>
      </c>
    </row>
    <row r="628" spans="1:30">
      <c r="A628" t="str">
        <f>CONCATENATE(I628,J628)</f>
        <v>CARTRADEEQ</v>
      </c>
      <c r="B628" s="34">
        <v>46273</v>
      </c>
      <c r="C628" s="34">
        <v>46273</v>
      </c>
      <c r="D628" t="s">
        <v>35</v>
      </c>
      <c r="E628" t="s">
        <v>36</v>
      </c>
      <c r="F628" t="s">
        <v>37</v>
      </c>
      <c r="G628">
        <v>5407</v>
      </c>
      <c r="H628" t="s">
        <v>1940</v>
      </c>
      <c r="I628" t="s">
        <v>1941</v>
      </c>
      <c r="J628" t="s">
        <v>161</v>
      </c>
      <c r="O628" t="s">
        <v>1942</v>
      </c>
      <c r="P628">
        <v>3186</v>
      </c>
      <c r="Q628">
        <v>3225.7</v>
      </c>
      <c r="R628">
        <v>3110</v>
      </c>
      <c r="S628">
        <v>3176.7</v>
      </c>
      <c r="T628">
        <v>3183</v>
      </c>
      <c r="U628">
        <v>3179.9</v>
      </c>
      <c r="W628">
        <v>3176.69</v>
      </c>
      <c r="Z628">
        <v>308717</v>
      </c>
      <c r="AA628">
        <v>979024102.10000002</v>
      </c>
      <c r="AB628">
        <v>42595</v>
      </c>
      <c r="AC628" t="s">
        <v>42</v>
      </c>
      <c r="AD628">
        <v>1</v>
      </c>
    </row>
    <row r="629" spans="1:30">
      <c r="A629" t="str">
        <f>CONCATENATE(I629,J629)</f>
        <v>CARYSILEQ</v>
      </c>
      <c r="B629" s="34">
        <v>46273</v>
      </c>
      <c r="C629" s="34">
        <v>46273</v>
      </c>
      <c r="D629" t="s">
        <v>35</v>
      </c>
      <c r="E629" t="s">
        <v>36</v>
      </c>
      <c r="F629" t="s">
        <v>37</v>
      </c>
      <c r="G629">
        <v>1879</v>
      </c>
      <c r="H629" t="s">
        <v>1943</v>
      </c>
      <c r="I629" t="s">
        <v>1944</v>
      </c>
      <c r="J629" t="s">
        <v>161</v>
      </c>
      <c r="O629" t="s">
        <v>1945</v>
      </c>
      <c r="P629">
        <v>1151</v>
      </c>
      <c r="Q629">
        <v>1194</v>
      </c>
      <c r="R629">
        <v>1140</v>
      </c>
      <c r="S629">
        <v>1155</v>
      </c>
      <c r="T629">
        <v>1159</v>
      </c>
      <c r="U629">
        <v>1152.5999999999999</v>
      </c>
      <c r="W629">
        <v>1154.8699999999999</v>
      </c>
      <c r="Z629">
        <v>147684</v>
      </c>
      <c r="AA629">
        <v>172228552.90000001</v>
      </c>
      <c r="AB629">
        <v>10054</v>
      </c>
      <c r="AC629" t="s">
        <v>42</v>
      </c>
      <c r="AD629">
        <v>1</v>
      </c>
    </row>
    <row r="630" spans="1:30">
      <c r="A630" t="str">
        <f>CONCATENATE(I630,J630)</f>
        <v>CUDMLSM</v>
      </c>
      <c r="B630" s="34">
        <v>46273</v>
      </c>
      <c r="C630" s="34">
        <v>46273</v>
      </c>
      <c r="D630" t="s">
        <v>35</v>
      </c>
      <c r="E630" t="s">
        <v>36</v>
      </c>
      <c r="F630" t="s">
        <v>37</v>
      </c>
      <c r="G630">
        <v>758129</v>
      </c>
      <c r="H630" t="s">
        <v>1946</v>
      </c>
      <c r="I630" t="s">
        <v>1947</v>
      </c>
      <c r="J630" t="s">
        <v>267</v>
      </c>
      <c r="O630" t="s">
        <v>1948</v>
      </c>
      <c r="P630">
        <v>103.95</v>
      </c>
      <c r="Q630">
        <v>104</v>
      </c>
      <c r="R630">
        <v>100.1</v>
      </c>
      <c r="S630">
        <v>103.45</v>
      </c>
      <c r="T630">
        <v>104</v>
      </c>
      <c r="U630">
        <v>102.1</v>
      </c>
      <c r="W630">
        <v>103.45</v>
      </c>
      <c r="Z630">
        <v>38000</v>
      </c>
      <c r="AA630">
        <v>3920300</v>
      </c>
      <c r="AB630">
        <v>24</v>
      </c>
      <c r="AC630" t="s">
        <v>42</v>
      </c>
      <c r="AD630">
        <v>1000</v>
      </c>
    </row>
    <row r="631" spans="1:30">
      <c r="A631" t="str">
        <f>CONCATENATE(I631,J631)</f>
        <v>CASTROLINDEQ</v>
      </c>
      <c r="B631" s="34">
        <v>46273</v>
      </c>
      <c r="C631" s="34">
        <v>46273</v>
      </c>
      <c r="D631" t="s">
        <v>35</v>
      </c>
      <c r="E631" t="s">
        <v>36</v>
      </c>
      <c r="F631" t="s">
        <v>37</v>
      </c>
      <c r="G631">
        <v>1250</v>
      </c>
      <c r="H631" t="s">
        <v>1949</v>
      </c>
      <c r="I631" t="s">
        <v>1950</v>
      </c>
      <c r="J631" t="s">
        <v>161</v>
      </c>
      <c r="O631" t="s">
        <v>1951</v>
      </c>
      <c r="P631">
        <v>189.01</v>
      </c>
      <c r="Q631">
        <v>190.45</v>
      </c>
      <c r="R631">
        <v>188.3</v>
      </c>
      <c r="S631">
        <v>189.46</v>
      </c>
      <c r="T631">
        <v>189.49</v>
      </c>
      <c r="U631">
        <v>189.01</v>
      </c>
      <c r="W631">
        <v>189.46</v>
      </c>
      <c r="Z631">
        <v>1388206</v>
      </c>
      <c r="AA631">
        <v>262843874.59</v>
      </c>
      <c r="AB631">
        <v>25970</v>
      </c>
      <c r="AC631" t="s">
        <v>42</v>
      </c>
      <c r="AD631">
        <v>1</v>
      </c>
    </row>
    <row r="632" spans="1:30">
      <c r="A632" t="str">
        <f>CONCATENATE(I632,J632)</f>
        <v>CCLEQ</v>
      </c>
      <c r="B632" s="34">
        <v>46273</v>
      </c>
      <c r="C632" s="34">
        <v>46273</v>
      </c>
      <c r="D632" t="s">
        <v>35</v>
      </c>
      <c r="E632" t="s">
        <v>36</v>
      </c>
      <c r="F632" t="s">
        <v>37</v>
      </c>
      <c r="G632">
        <v>11452</v>
      </c>
      <c r="H632" t="s">
        <v>1952</v>
      </c>
      <c r="I632" t="s">
        <v>1953</v>
      </c>
      <c r="J632" t="s">
        <v>161</v>
      </c>
      <c r="O632" t="s">
        <v>1954</v>
      </c>
      <c r="P632">
        <v>1097</v>
      </c>
      <c r="Q632">
        <v>1137</v>
      </c>
      <c r="R632">
        <v>1086.5</v>
      </c>
      <c r="S632">
        <v>1130.5999999999999</v>
      </c>
      <c r="T632">
        <v>1125.5999999999999</v>
      </c>
      <c r="U632">
        <v>1097.4000000000001</v>
      </c>
      <c r="W632">
        <v>1130.5999999999999</v>
      </c>
      <c r="Z632">
        <v>160147</v>
      </c>
      <c r="AA632">
        <v>179324992.59999999</v>
      </c>
      <c r="AB632">
        <v>16364</v>
      </c>
      <c r="AC632" t="s">
        <v>42</v>
      </c>
      <c r="AD632">
        <v>1</v>
      </c>
    </row>
    <row r="633" spans="1:30">
      <c r="A633" t="str">
        <f>CONCATENATE(I633,J633)</f>
        <v>990CCSP27N0</v>
      </c>
      <c r="B633" s="34">
        <v>46273</v>
      </c>
      <c r="C633" s="34">
        <v>46273</v>
      </c>
      <c r="D633" t="s">
        <v>35</v>
      </c>
      <c r="E633" t="s">
        <v>36</v>
      </c>
      <c r="F633" t="s">
        <v>37</v>
      </c>
      <c r="G633">
        <v>757129</v>
      </c>
      <c r="H633" t="s">
        <v>1955</v>
      </c>
      <c r="I633" t="s">
        <v>1956</v>
      </c>
      <c r="J633" t="s">
        <v>514</v>
      </c>
      <c r="O633" t="s">
        <v>1957</v>
      </c>
      <c r="P633">
        <v>100390.93</v>
      </c>
      <c r="Q633">
        <v>100390.93</v>
      </c>
      <c r="R633">
        <v>100390.93</v>
      </c>
      <c r="S633">
        <v>100390.93</v>
      </c>
      <c r="T633">
        <v>100390.93</v>
      </c>
      <c r="U633">
        <v>99828.84</v>
      </c>
      <c r="W633">
        <v>100390.93</v>
      </c>
      <c r="Z633">
        <v>1</v>
      </c>
      <c r="AA633">
        <v>100390.93</v>
      </c>
      <c r="AB633">
        <v>1</v>
      </c>
      <c r="AC633" t="s">
        <v>42</v>
      </c>
      <c r="AD633">
        <v>1</v>
      </c>
    </row>
    <row r="634" spans="1:30">
      <c r="A634" t="str">
        <f>CONCATENATE(I634,J634)</f>
        <v>CEATLTDEQ</v>
      </c>
      <c r="B634" s="34">
        <v>46273</v>
      </c>
      <c r="C634" s="34">
        <v>46273</v>
      </c>
      <c r="D634" t="s">
        <v>35</v>
      </c>
      <c r="E634" t="s">
        <v>36</v>
      </c>
      <c r="F634" t="s">
        <v>37</v>
      </c>
      <c r="G634">
        <v>15254</v>
      </c>
      <c r="H634" t="s">
        <v>1958</v>
      </c>
      <c r="I634" t="s">
        <v>1959</v>
      </c>
      <c r="J634" t="s">
        <v>161</v>
      </c>
      <c r="O634" t="s">
        <v>1960</v>
      </c>
      <c r="P634">
        <v>3321</v>
      </c>
      <c r="Q634">
        <v>3346.3</v>
      </c>
      <c r="R634">
        <v>3304</v>
      </c>
      <c r="S634">
        <v>3313.2</v>
      </c>
      <c r="T634">
        <v>3311</v>
      </c>
      <c r="U634">
        <v>3336.1</v>
      </c>
      <c r="W634">
        <v>3313.08</v>
      </c>
      <c r="Z634">
        <v>33715</v>
      </c>
      <c r="AA634">
        <v>111908691.3</v>
      </c>
      <c r="AB634">
        <v>6890</v>
      </c>
      <c r="AC634" t="s">
        <v>42</v>
      </c>
      <c r="AD634">
        <v>1</v>
      </c>
    </row>
    <row r="635" spans="1:30">
      <c r="A635" t="str">
        <f>CONCATENATE(I635,J635)</f>
        <v>CEIGALLEQ</v>
      </c>
      <c r="B635" s="34">
        <v>46273</v>
      </c>
      <c r="C635" s="34">
        <v>46273</v>
      </c>
      <c r="D635" t="s">
        <v>35</v>
      </c>
      <c r="E635" t="s">
        <v>36</v>
      </c>
      <c r="F635" t="s">
        <v>37</v>
      </c>
      <c r="G635">
        <v>24742</v>
      </c>
      <c r="H635" t="s">
        <v>1961</v>
      </c>
      <c r="I635" t="s">
        <v>1962</v>
      </c>
      <c r="J635" t="s">
        <v>161</v>
      </c>
      <c r="O635" t="s">
        <v>1963</v>
      </c>
      <c r="P635">
        <v>371.35</v>
      </c>
      <c r="Q635">
        <v>381.7</v>
      </c>
      <c r="R635">
        <v>371.35</v>
      </c>
      <c r="S635">
        <v>374.85</v>
      </c>
      <c r="T635">
        <v>374</v>
      </c>
      <c r="U635">
        <v>370.3</v>
      </c>
      <c r="W635">
        <v>374.84</v>
      </c>
      <c r="Z635">
        <v>891724</v>
      </c>
      <c r="AA635">
        <v>336389336.25</v>
      </c>
      <c r="AB635">
        <v>13165</v>
      </c>
      <c r="AC635" t="s">
        <v>42</v>
      </c>
      <c r="AD635">
        <v>1</v>
      </c>
    </row>
    <row r="636" spans="1:30">
      <c r="A636" t="str">
        <f>CONCATENATE(I636,J636)</f>
        <v>CEINSYSEQ</v>
      </c>
      <c r="B636" s="34">
        <v>46273</v>
      </c>
      <c r="C636" s="34">
        <v>46273</v>
      </c>
      <c r="D636" t="s">
        <v>35</v>
      </c>
      <c r="E636" t="s">
        <v>36</v>
      </c>
      <c r="F636" t="s">
        <v>37</v>
      </c>
      <c r="G636">
        <v>761037</v>
      </c>
      <c r="H636" t="s">
        <v>1964</v>
      </c>
      <c r="I636" t="s">
        <v>1965</v>
      </c>
      <c r="J636" t="s">
        <v>161</v>
      </c>
      <c r="O636" t="s">
        <v>1966</v>
      </c>
      <c r="P636">
        <v>710</v>
      </c>
      <c r="Q636">
        <v>716.45</v>
      </c>
      <c r="R636">
        <v>696.1</v>
      </c>
      <c r="S636">
        <v>702.2</v>
      </c>
      <c r="T636">
        <v>705</v>
      </c>
      <c r="U636">
        <v>708.75</v>
      </c>
      <c r="W636">
        <v>702.21</v>
      </c>
      <c r="Z636">
        <v>48187</v>
      </c>
      <c r="AA636">
        <v>34031219.950000003</v>
      </c>
      <c r="AB636">
        <v>3196</v>
      </c>
      <c r="AC636" t="s">
        <v>42</v>
      </c>
      <c r="AD636">
        <v>1</v>
      </c>
    </row>
    <row r="637" spans="1:30">
      <c r="A637" t="str">
        <f>CONCATENATE(I637,J637)</f>
        <v>CELEBRITYEQ</v>
      </c>
      <c r="B637" s="34">
        <v>46273</v>
      </c>
      <c r="C637" s="34">
        <v>46273</v>
      </c>
      <c r="D637" t="s">
        <v>35</v>
      </c>
      <c r="E637" t="s">
        <v>36</v>
      </c>
      <c r="F637" t="s">
        <v>37</v>
      </c>
      <c r="G637">
        <v>13162</v>
      </c>
      <c r="H637" t="s">
        <v>1967</v>
      </c>
      <c r="I637" t="s">
        <v>1968</v>
      </c>
      <c r="J637" t="s">
        <v>161</v>
      </c>
      <c r="O637" t="s">
        <v>1969</v>
      </c>
      <c r="P637">
        <v>6.6</v>
      </c>
      <c r="Q637">
        <v>6.84</v>
      </c>
      <c r="R637">
        <v>6.6</v>
      </c>
      <c r="S637">
        <v>6.74</v>
      </c>
      <c r="T637">
        <v>6.72</v>
      </c>
      <c r="U637">
        <v>6.72</v>
      </c>
      <c r="W637">
        <v>6.74</v>
      </c>
      <c r="Z637">
        <v>36318</v>
      </c>
      <c r="AA637">
        <v>244866.51</v>
      </c>
      <c r="AB637">
        <v>48</v>
      </c>
      <c r="AC637" t="s">
        <v>42</v>
      </c>
      <c r="AD637">
        <v>1</v>
      </c>
    </row>
    <row r="638" spans="1:30">
      <c r="A638" t="str">
        <f>CONCATENATE(I638,J638)</f>
        <v>CELLPOINTSM</v>
      </c>
      <c r="B638" s="34">
        <v>46273</v>
      </c>
      <c r="C638" s="34">
        <v>46273</v>
      </c>
      <c r="D638" t="s">
        <v>35</v>
      </c>
      <c r="E638" t="s">
        <v>36</v>
      </c>
      <c r="F638" t="s">
        <v>37</v>
      </c>
      <c r="G638">
        <v>16950</v>
      </c>
      <c r="H638" t="s">
        <v>1970</v>
      </c>
      <c r="I638" t="s">
        <v>1971</v>
      </c>
      <c r="J638" t="s">
        <v>267</v>
      </c>
      <c r="O638" t="s">
        <v>1972</v>
      </c>
      <c r="P638">
        <v>15</v>
      </c>
      <c r="Q638">
        <v>15</v>
      </c>
      <c r="R638">
        <v>15</v>
      </c>
      <c r="S638">
        <v>15</v>
      </c>
      <c r="T638">
        <v>15</v>
      </c>
      <c r="U638">
        <v>15.3</v>
      </c>
      <c r="W638">
        <v>15</v>
      </c>
      <c r="Z638">
        <v>1200</v>
      </c>
      <c r="AA638">
        <v>18000</v>
      </c>
      <c r="AB638">
        <v>1</v>
      </c>
      <c r="AC638" t="s">
        <v>42</v>
      </c>
      <c r="AD638">
        <v>1200</v>
      </c>
    </row>
    <row r="639" spans="1:30">
      <c r="A639" t="str">
        <f>CONCATENATE(I639,J639)</f>
        <v>CELLECORSM</v>
      </c>
      <c r="B639" s="34">
        <v>46273</v>
      </c>
      <c r="C639" s="34">
        <v>46273</v>
      </c>
      <c r="D639" t="s">
        <v>35</v>
      </c>
      <c r="E639" t="s">
        <v>36</v>
      </c>
      <c r="F639" t="s">
        <v>37</v>
      </c>
      <c r="G639">
        <v>18806</v>
      </c>
      <c r="H639" t="s">
        <v>1973</v>
      </c>
      <c r="I639" t="s">
        <v>1974</v>
      </c>
      <c r="J639" t="s">
        <v>267</v>
      </c>
      <c r="O639" t="s">
        <v>1975</v>
      </c>
      <c r="P639">
        <v>31.65</v>
      </c>
      <c r="Q639">
        <v>31.95</v>
      </c>
      <c r="R639">
        <v>30</v>
      </c>
      <c r="S639">
        <v>31.75</v>
      </c>
      <c r="T639">
        <v>31.8</v>
      </c>
      <c r="U639">
        <v>32.25</v>
      </c>
      <c r="W639">
        <v>31.75</v>
      </c>
      <c r="Z639">
        <v>1671000</v>
      </c>
      <c r="AA639">
        <v>52041900</v>
      </c>
      <c r="AB639">
        <v>117</v>
      </c>
      <c r="AC639" t="s">
        <v>42</v>
      </c>
      <c r="AD639">
        <v>3000</v>
      </c>
    </row>
    <row r="640" spans="1:30">
      <c r="A640" t="str">
        <f>CONCATENATE(I640,J640)</f>
        <v>CELLOEQ</v>
      </c>
      <c r="B640" s="34">
        <v>46273</v>
      </c>
      <c r="C640" s="34">
        <v>46273</v>
      </c>
      <c r="D640" t="s">
        <v>35</v>
      </c>
      <c r="E640" t="s">
        <v>36</v>
      </c>
      <c r="F640" t="s">
        <v>37</v>
      </c>
      <c r="G640">
        <v>19795</v>
      </c>
      <c r="H640" t="s">
        <v>1976</v>
      </c>
      <c r="I640" t="s">
        <v>1977</v>
      </c>
      <c r="J640" t="s">
        <v>161</v>
      </c>
      <c r="O640" t="s">
        <v>1978</v>
      </c>
      <c r="P640">
        <v>340.25</v>
      </c>
      <c r="Q640">
        <v>348.95</v>
      </c>
      <c r="R640">
        <v>336</v>
      </c>
      <c r="S640">
        <v>343.95</v>
      </c>
      <c r="T640">
        <v>345.95</v>
      </c>
      <c r="U640">
        <v>338.95</v>
      </c>
      <c r="W640">
        <v>343.96</v>
      </c>
      <c r="Z640">
        <v>285798</v>
      </c>
      <c r="AA640">
        <v>97655728.700000003</v>
      </c>
      <c r="AB640">
        <v>11382</v>
      </c>
      <c r="AC640" t="s">
        <v>42</v>
      </c>
      <c r="AD640">
        <v>1</v>
      </c>
    </row>
    <row r="641" spans="1:30">
      <c r="A641" t="str">
        <f>CONCATENATE(I641,J641)</f>
        <v>CEMPROEQ</v>
      </c>
      <c r="B641" s="34">
        <v>46273</v>
      </c>
      <c r="C641" s="34">
        <v>46273</v>
      </c>
      <c r="D641" t="s">
        <v>35</v>
      </c>
      <c r="E641" t="s">
        <v>36</v>
      </c>
      <c r="F641" t="s">
        <v>37</v>
      </c>
      <c r="G641">
        <v>5622</v>
      </c>
      <c r="H641" t="s">
        <v>1979</v>
      </c>
      <c r="I641" t="s">
        <v>1980</v>
      </c>
      <c r="J641" t="s">
        <v>161</v>
      </c>
      <c r="O641" t="s">
        <v>1981</v>
      </c>
      <c r="P641">
        <v>1319</v>
      </c>
      <c r="Q641">
        <v>1323.8</v>
      </c>
      <c r="R641">
        <v>1265.5</v>
      </c>
      <c r="S641">
        <v>1285.0999999999999</v>
      </c>
      <c r="T641">
        <v>1285</v>
      </c>
      <c r="U641">
        <v>1316.9</v>
      </c>
      <c r="W641">
        <v>1285.1300000000001</v>
      </c>
      <c r="Z641">
        <v>280343</v>
      </c>
      <c r="AA641">
        <v>360605514.89999998</v>
      </c>
      <c r="AB641">
        <v>18795</v>
      </c>
      <c r="AC641" t="s">
        <v>42</v>
      </c>
      <c r="AD641">
        <v>1</v>
      </c>
    </row>
    <row r="642" spans="1:30">
      <c r="A642" t="str">
        <f>CONCATENATE(I642,J642)</f>
        <v>CENTRALBKEQ</v>
      </c>
      <c r="B642" s="34">
        <v>46273</v>
      </c>
      <c r="C642" s="34">
        <v>46273</v>
      </c>
      <c r="D642" t="s">
        <v>35</v>
      </c>
      <c r="E642" t="s">
        <v>36</v>
      </c>
      <c r="F642" t="s">
        <v>37</v>
      </c>
      <c r="G642">
        <v>14894</v>
      </c>
      <c r="H642" t="s">
        <v>1982</v>
      </c>
      <c r="I642" t="s">
        <v>1983</v>
      </c>
      <c r="J642" t="s">
        <v>161</v>
      </c>
      <c r="O642" t="s">
        <v>1984</v>
      </c>
      <c r="P642">
        <v>30.96</v>
      </c>
      <c r="Q642">
        <v>31.04</v>
      </c>
      <c r="R642">
        <v>30.78</v>
      </c>
      <c r="S642">
        <v>30.96</v>
      </c>
      <c r="T642">
        <v>30.91</v>
      </c>
      <c r="U642">
        <v>30.96</v>
      </c>
      <c r="W642">
        <v>30.96</v>
      </c>
      <c r="Z642">
        <v>3623098</v>
      </c>
      <c r="AA642">
        <v>112000732.59</v>
      </c>
      <c r="AB642">
        <v>14755</v>
      </c>
      <c r="AC642" t="s">
        <v>42</v>
      </c>
      <c r="AD642">
        <v>1</v>
      </c>
    </row>
    <row r="643" spans="1:30">
      <c r="A643" t="str">
        <f>CONCATENATE(I643,J643)</f>
        <v>CDSLEQ</v>
      </c>
      <c r="B643" s="34">
        <v>46273</v>
      </c>
      <c r="C643" s="34">
        <v>46273</v>
      </c>
      <c r="D643" t="s">
        <v>35</v>
      </c>
      <c r="E643" t="s">
        <v>36</v>
      </c>
      <c r="F643" t="s">
        <v>37</v>
      </c>
      <c r="G643">
        <v>21174</v>
      </c>
      <c r="H643" t="s">
        <v>1985</v>
      </c>
      <c r="I643" t="s">
        <v>1986</v>
      </c>
      <c r="J643" t="s">
        <v>161</v>
      </c>
      <c r="O643" t="s">
        <v>1987</v>
      </c>
      <c r="P643">
        <v>1415</v>
      </c>
      <c r="Q643">
        <v>1417</v>
      </c>
      <c r="R643">
        <v>1395</v>
      </c>
      <c r="S643">
        <v>1400</v>
      </c>
      <c r="T643">
        <v>1400</v>
      </c>
      <c r="U643">
        <v>1414.9</v>
      </c>
      <c r="W643">
        <v>1400</v>
      </c>
      <c r="Z643">
        <v>975781</v>
      </c>
      <c r="AA643">
        <v>1367984805</v>
      </c>
      <c r="AB643">
        <v>34108</v>
      </c>
      <c r="AC643" t="s">
        <v>42</v>
      </c>
      <c r="AD643">
        <v>1</v>
      </c>
    </row>
    <row r="644" spans="1:30">
      <c r="A644" t="str">
        <f>CONCATENATE(I644,J644)</f>
        <v>CMPDIEQ</v>
      </c>
      <c r="B644" s="34">
        <v>46273</v>
      </c>
      <c r="C644" s="34">
        <v>46273</v>
      </c>
      <c r="D644" t="s">
        <v>35</v>
      </c>
      <c r="E644" t="s">
        <v>36</v>
      </c>
      <c r="F644" t="s">
        <v>37</v>
      </c>
      <c r="G644">
        <v>761581</v>
      </c>
      <c r="H644" t="s">
        <v>1988</v>
      </c>
      <c r="I644" t="s">
        <v>1989</v>
      </c>
      <c r="J644" t="s">
        <v>161</v>
      </c>
      <c r="O644" t="s">
        <v>1990</v>
      </c>
      <c r="P644">
        <v>239.5</v>
      </c>
      <c r="Q644">
        <v>243.99</v>
      </c>
      <c r="R644">
        <v>236.12</v>
      </c>
      <c r="S644">
        <v>236.85</v>
      </c>
      <c r="T644">
        <v>237</v>
      </c>
      <c r="U644">
        <v>240.12</v>
      </c>
      <c r="W644">
        <v>236.85</v>
      </c>
      <c r="Z644">
        <v>1033476</v>
      </c>
      <c r="AA644">
        <v>247373704.15000001</v>
      </c>
      <c r="AB644">
        <v>17995</v>
      </c>
      <c r="AC644" t="s">
        <v>42</v>
      </c>
      <c r="AD644">
        <v>1</v>
      </c>
    </row>
    <row r="645" spans="1:30">
      <c r="A645" t="str">
        <f>CONCATENATE(I645,J645)</f>
        <v>CENTRUMEQ</v>
      </c>
      <c r="B645" s="34">
        <v>46273</v>
      </c>
      <c r="C645" s="34">
        <v>46273</v>
      </c>
      <c r="D645" t="s">
        <v>35</v>
      </c>
      <c r="E645" t="s">
        <v>36</v>
      </c>
      <c r="F645" t="s">
        <v>37</v>
      </c>
      <c r="G645">
        <v>2454</v>
      </c>
      <c r="H645" t="s">
        <v>1991</v>
      </c>
      <c r="I645" t="s">
        <v>1992</v>
      </c>
      <c r="J645" t="s">
        <v>161</v>
      </c>
      <c r="O645" t="s">
        <v>1993</v>
      </c>
      <c r="P645">
        <v>22.47</v>
      </c>
      <c r="Q645">
        <v>22.85</v>
      </c>
      <c r="R645">
        <v>22.25</v>
      </c>
      <c r="S645">
        <v>22.57</v>
      </c>
      <c r="T645">
        <v>22.63</v>
      </c>
      <c r="U645">
        <v>22.47</v>
      </c>
      <c r="W645">
        <v>22.56</v>
      </c>
      <c r="Z645">
        <v>122608</v>
      </c>
      <c r="AA645">
        <v>2758365.63</v>
      </c>
      <c r="AB645">
        <v>417</v>
      </c>
      <c r="AC645" t="s">
        <v>42</v>
      </c>
      <c r="AD645">
        <v>1</v>
      </c>
    </row>
    <row r="646" spans="1:30">
      <c r="A646" t="str">
        <f>CONCATENATE(I646,J646)</f>
        <v>CENTUMEQ</v>
      </c>
      <c r="B646" s="34">
        <v>46273</v>
      </c>
      <c r="C646" s="34">
        <v>46273</v>
      </c>
      <c r="D646" t="s">
        <v>35</v>
      </c>
      <c r="E646" t="s">
        <v>36</v>
      </c>
      <c r="F646" t="s">
        <v>37</v>
      </c>
      <c r="G646">
        <v>14982</v>
      </c>
      <c r="H646" t="s">
        <v>1994</v>
      </c>
      <c r="I646" t="s">
        <v>1995</v>
      </c>
      <c r="J646" t="s">
        <v>161</v>
      </c>
      <c r="O646" t="s">
        <v>1996</v>
      </c>
      <c r="P646">
        <v>4375</v>
      </c>
      <c r="Q646">
        <v>4400</v>
      </c>
      <c r="R646">
        <v>4250</v>
      </c>
      <c r="S646">
        <v>4287.3999999999996</v>
      </c>
      <c r="T646">
        <v>4301.7</v>
      </c>
      <c r="U646">
        <v>4376.8999999999996</v>
      </c>
      <c r="W646">
        <v>4287.82</v>
      </c>
      <c r="Z646">
        <v>92553</v>
      </c>
      <c r="AA646">
        <v>400879101.39999998</v>
      </c>
      <c r="AB646">
        <v>18855</v>
      </c>
      <c r="AC646" t="s">
        <v>42</v>
      </c>
      <c r="AD646">
        <v>1</v>
      </c>
    </row>
    <row r="647" spans="1:30">
      <c r="A647" t="str">
        <f>CONCATENATE(I647,J647)</f>
        <v>CENTENKAEQ</v>
      </c>
      <c r="B647" s="34">
        <v>46273</v>
      </c>
      <c r="C647" s="34">
        <v>46273</v>
      </c>
      <c r="D647" t="s">
        <v>35</v>
      </c>
      <c r="E647" t="s">
        <v>36</v>
      </c>
      <c r="F647" t="s">
        <v>37</v>
      </c>
      <c r="G647">
        <v>619</v>
      </c>
      <c r="H647" t="s">
        <v>1997</v>
      </c>
      <c r="I647" t="s">
        <v>1998</v>
      </c>
      <c r="J647" t="s">
        <v>161</v>
      </c>
      <c r="O647" t="s">
        <v>1999</v>
      </c>
      <c r="P647">
        <v>609.95000000000005</v>
      </c>
      <c r="Q647">
        <v>611.65</v>
      </c>
      <c r="R647">
        <v>586.54999999999995</v>
      </c>
      <c r="S647">
        <v>589.20000000000005</v>
      </c>
      <c r="T647">
        <v>591.95000000000005</v>
      </c>
      <c r="U647">
        <v>607.04999999999995</v>
      </c>
      <c r="W647">
        <v>589.19000000000005</v>
      </c>
      <c r="Z647">
        <v>78032</v>
      </c>
      <c r="AA647">
        <v>46399424.649999999</v>
      </c>
      <c r="AB647">
        <v>4281</v>
      </c>
      <c r="AC647" t="s">
        <v>42</v>
      </c>
      <c r="AD647">
        <v>1</v>
      </c>
    </row>
    <row r="648" spans="1:30">
      <c r="A648" t="str">
        <f>CONCATENATE(I648,J648)</f>
        <v>CENTEXTEQ</v>
      </c>
      <c r="B648" s="34">
        <v>46273</v>
      </c>
      <c r="C648" s="34">
        <v>46273</v>
      </c>
      <c r="D648" t="s">
        <v>35</v>
      </c>
      <c r="E648" t="s">
        <v>36</v>
      </c>
      <c r="F648" t="s">
        <v>37</v>
      </c>
      <c r="G648">
        <v>11511</v>
      </c>
      <c r="H648" t="s">
        <v>2000</v>
      </c>
      <c r="I648" t="s">
        <v>2001</v>
      </c>
      <c r="J648" t="s">
        <v>161</v>
      </c>
      <c r="O648" t="s">
        <v>2002</v>
      </c>
      <c r="P648">
        <v>20.94</v>
      </c>
      <c r="Q648">
        <v>21.56</v>
      </c>
      <c r="R648">
        <v>20.6</v>
      </c>
      <c r="S648">
        <v>21.39</v>
      </c>
      <c r="T648">
        <v>21.32</v>
      </c>
      <c r="U648">
        <v>20.92</v>
      </c>
      <c r="W648">
        <v>21.37</v>
      </c>
      <c r="Z648">
        <v>124246</v>
      </c>
      <c r="AA648">
        <v>2638061.41</v>
      </c>
      <c r="AB648">
        <v>913</v>
      </c>
      <c r="AC648" t="s">
        <v>42</v>
      </c>
      <c r="AD648">
        <v>1</v>
      </c>
    </row>
    <row r="649" spans="1:30">
      <c r="A649" t="str">
        <f>CONCATENATE(I649,J649)</f>
        <v>CENTURYPLYEQ</v>
      </c>
      <c r="B649" s="34">
        <v>46273</v>
      </c>
      <c r="C649" s="34">
        <v>46273</v>
      </c>
      <c r="D649" t="s">
        <v>35</v>
      </c>
      <c r="E649" t="s">
        <v>36</v>
      </c>
      <c r="F649" t="s">
        <v>37</v>
      </c>
      <c r="G649">
        <v>13305</v>
      </c>
      <c r="H649" t="s">
        <v>2003</v>
      </c>
      <c r="I649" t="s">
        <v>2004</v>
      </c>
      <c r="J649" t="s">
        <v>161</v>
      </c>
      <c r="O649" t="s">
        <v>2005</v>
      </c>
      <c r="P649">
        <v>745</v>
      </c>
      <c r="Q649">
        <v>749.5</v>
      </c>
      <c r="R649">
        <v>738</v>
      </c>
      <c r="S649">
        <v>744.1</v>
      </c>
      <c r="T649">
        <v>740</v>
      </c>
      <c r="U649">
        <v>739.3</v>
      </c>
      <c r="W649">
        <v>744.08</v>
      </c>
      <c r="Z649">
        <v>22632</v>
      </c>
      <c r="AA649">
        <v>16830086.5</v>
      </c>
      <c r="AB649">
        <v>3117</v>
      </c>
      <c r="AC649" t="s">
        <v>42</v>
      </c>
      <c r="AD649">
        <v>1</v>
      </c>
    </row>
    <row r="650" spans="1:30">
      <c r="A650" t="str">
        <f>CONCATENATE(I650,J650)</f>
        <v>CERAEQ</v>
      </c>
      <c r="B650" s="34">
        <v>46273</v>
      </c>
      <c r="C650" s="34">
        <v>46273</v>
      </c>
      <c r="D650" t="s">
        <v>35</v>
      </c>
      <c r="E650" t="s">
        <v>36</v>
      </c>
      <c r="F650" t="s">
        <v>37</v>
      </c>
      <c r="G650">
        <v>15039</v>
      </c>
      <c r="H650" t="s">
        <v>2006</v>
      </c>
      <c r="I650" t="s">
        <v>2007</v>
      </c>
      <c r="J650" t="s">
        <v>161</v>
      </c>
      <c r="O650" t="s">
        <v>2008</v>
      </c>
      <c r="P650">
        <v>5744</v>
      </c>
      <c r="Q650">
        <v>5788</v>
      </c>
      <c r="R650">
        <v>5710</v>
      </c>
      <c r="S650">
        <v>5761.5</v>
      </c>
      <c r="T650">
        <v>5750</v>
      </c>
      <c r="U650">
        <v>5743.5</v>
      </c>
      <c r="W650">
        <v>5760.28</v>
      </c>
      <c r="Z650">
        <v>3298</v>
      </c>
      <c r="AA650">
        <v>18984266.5</v>
      </c>
      <c r="AB650">
        <v>1241</v>
      </c>
      <c r="AC650" t="s">
        <v>42</v>
      </c>
      <c r="AD650">
        <v>1</v>
      </c>
    </row>
    <row r="651" spans="1:30">
      <c r="A651" t="str">
        <f>CONCATENATE(I651,J651)</f>
        <v>CEREBRAINTBZ</v>
      </c>
      <c r="B651" s="34">
        <v>46273</v>
      </c>
      <c r="C651" s="34">
        <v>46273</v>
      </c>
      <c r="D651" t="s">
        <v>35</v>
      </c>
      <c r="E651" t="s">
        <v>36</v>
      </c>
      <c r="F651" t="s">
        <v>37</v>
      </c>
      <c r="G651">
        <v>29016</v>
      </c>
      <c r="H651" t="s">
        <v>2009</v>
      </c>
      <c r="I651" t="s">
        <v>2010</v>
      </c>
      <c r="J651" t="s">
        <v>551</v>
      </c>
      <c r="O651" t="s">
        <v>2011</v>
      </c>
      <c r="P651">
        <v>2.92</v>
      </c>
      <c r="Q651">
        <v>2.92</v>
      </c>
      <c r="R651">
        <v>2.75</v>
      </c>
      <c r="S651">
        <v>2.9</v>
      </c>
      <c r="T651">
        <v>2.92</v>
      </c>
      <c r="U651">
        <v>2.79</v>
      </c>
      <c r="W651">
        <v>2.9</v>
      </c>
      <c r="Z651">
        <v>92104</v>
      </c>
      <c r="AA651">
        <v>265547.94</v>
      </c>
      <c r="AB651">
        <v>147</v>
      </c>
      <c r="AC651" t="s">
        <v>42</v>
      </c>
      <c r="AD651">
        <v>1</v>
      </c>
    </row>
    <row r="652" spans="1:30">
      <c r="A652" t="str">
        <f>CONCATENATE(I652,J652)</f>
        <v>CESCEQ</v>
      </c>
      <c r="B652" s="34">
        <v>46273</v>
      </c>
      <c r="C652" s="34">
        <v>46273</v>
      </c>
      <c r="D652" t="s">
        <v>35</v>
      </c>
      <c r="E652" t="s">
        <v>36</v>
      </c>
      <c r="F652" t="s">
        <v>37</v>
      </c>
      <c r="G652">
        <v>628</v>
      </c>
      <c r="H652" t="s">
        <v>2012</v>
      </c>
      <c r="I652" t="s">
        <v>2013</v>
      </c>
      <c r="J652" t="s">
        <v>161</v>
      </c>
      <c r="O652" t="s">
        <v>2014</v>
      </c>
      <c r="P652">
        <v>145.47</v>
      </c>
      <c r="Q652">
        <v>146.66</v>
      </c>
      <c r="R652">
        <v>143.9</v>
      </c>
      <c r="S652">
        <v>146.05000000000001</v>
      </c>
      <c r="T652">
        <v>145.9</v>
      </c>
      <c r="U652">
        <v>145.44</v>
      </c>
      <c r="W652">
        <v>146.01</v>
      </c>
      <c r="Z652">
        <v>1580615</v>
      </c>
      <c r="AA652">
        <v>229703392.44999999</v>
      </c>
      <c r="AB652">
        <v>18425</v>
      </c>
      <c r="AC652" t="s">
        <v>42</v>
      </c>
      <c r="AD652">
        <v>1</v>
      </c>
    </row>
    <row r="653" spans="1:30">
      <c r="A653" t="str">
        <f>CONCATENATE(I653,J653)</f>
        <v>CGPOWEREQ</v>
      </c>
      <c r="B653" s="34">
        <v>46273</v>
      </c>
      <c r="C653" s="34">
        <v>46273</v>
      </c>
      <c r="D653" t="s">
        <v>35</v>
      </c>
      <c r="E653" t="s">
        <v>36</v>
      </c>
      <c r="F653" t="s">
        <v>37</v>
      </c>
      <c r="G653">
        <v>760</v>
      </c>
      <c r="H653" t="s">
        <v>2015</v>
      </c>
      <c r="I653" t="s">
        <v>2016</v>
      </c>
      <c r="J653" t="s">
        <v>161</v>
      </c>
      <c r="O653" t="s">
        <v>2017</v>
      </c>
      <c r="P653">
        <v>894.9</v>
      </c>
      <c r="Q653">
        <v>915</v>
      </c>
      <c r="R653">
        <v>892</v>
      </c>
      <c r="S653">
        <v>910.7</v>
      </c>
      <c r="T653">
        <v>910.7</v>
      </c>
      <c r="U653">
        <v>895</v>
      </c>
      <c r="W653">
        <v>910.66</v>
      </c>
      <c r="Z653">
        <v>2618950</v>
      </c>
      <c r="AA653">
        <v>2378813642.3499999</v>
      </c>
      <c r="AB653">
        <v>55190</v>
      </c>
      <c r="AC653" t="s">
        <v>42</v>
      </c>
      <c r="AD653">
        <v>1</v>
      </c>
    </row>
    <row r="654" spans="1:30">
      <c r="A654" t="str">
        <f>CONCATENATE(I654,J654)</f>
        <v>CHALETEQ</v>
      </c>
      <c r="B654" s="34">
        <v>46273</v>
      </c>
      <c r="C654" s="34">
        <v>46273</v>
      </c>
      <c r="D654" t="s">
        <v>35</v>
      </c>
      <c r="E654" t="s">
        <v>36</v>
      </c>
      <c r="F654" t="s">
        <v>37</v>
      </c>
      <c r="G654">
        <v>8546</v>
      </c>
      <c r="H654" t="s">
        <v>2018</v>
      </c>
      <c r="I654" t="s">
        <v>2019</v>
      </c>
      <c r="J654" t="s">
        <v>161</v>
      </c>
      <c r="O654" t="s">
        <v>2020</v>
      </c>
      <c r="P654">
        <v>907.35</v>
      </c>
      <c r="Q654">
        <v>907.35</v>
      </c>
      <c r="R654">
        <v>885.65</v>
      </c>
      <c r="S654">
        <v>897.75</v>
      </c>
      <c r="T654">
        <v>888.5</v>
      </c>
      <c r="U654">
        <v>908.75</v>
      </c>
      <c r="W654">
        <v>897.73</v>
      </c>
      <c r="Z654">
        <v>180696</v>
      </c>
      <c r="AA654">
        <v>161829008.09999999</v>
      </c>
      <c r="AB654">
        <v>15293</v>
      </c>
      <c r="AC654" t="s">
        <v>42</v>
      </c>
      <c r="AD654">
        <v>1</v>
      </c>
    </row>
    <row r="655" spans="1:30">
      <c r="A655" t="str">
        <f>CONCATENATE(I655,J655)</f>
        <v>CLSELEQ</v>
      </c>
      <c r="B655" s="34">
        <v>46273</v>
      </c>
      <c r="C655" s="34">
        <v>46273</v>
      </c>
      <c r="D655" t="s">
        <v>35</v>
      </c>
      <c r="E655" t="s">
        <v>36</v>
      </c>
      <c r="F655" t="s">
        <v>37</v>
      </c>
      <c r="G655">
        <v>3482</v>
      </c>
      <c r="H655" t="s">
        <v>2021</v>
      </c>
      <c r="I655" t="s">
        <v>2022</v>
      </c>
      <c r="J655" t="s">
        <v>161</v>
      </c>
      <c r="O655" t="s">
        <v>2023</v>
      </c>
      <c r="P655">
        <v>299.05</v>
      </c>
      <c r="Q655">
        <v>308</v>
      </c>
      <c r="R655">
        <v>296</v>
      </c>
      <c r="S655">
        <v>305.64999999999998</v>
      </c>
      <c r="T655">
        <v>306.3</v>
      </c>
      <c r="U655">
        <v>299.64999999999998</v>
      </c>
      <c r="W655">
        <v>305.64999999999998</v>
      </c>
      <c r="Z655">
        <v>125406</v>
      </c>
      <c r="AA655">
        <v>38107920.5</v>
      </c>
      <c r="AB655">
        <v>2926</v>
      </c>
      <c r="AC655" t="s">
        <v>42</v>
      </c>
      <c r="AD655">
        <v>1</v>
      </c>
    </row>
    <row r="656" spans="1:30">
      <c r="A656" t="str">
        <f>CONCATENATE(I656,J656)</f>
        <v>CMNLSM</v>
      </c>
      <c r="B656" s="34">
        <v>46273</v>
      </c>
      <c r="C656" s="34">
        <v>46273</v>
      </c>
      <c r="D656" t="s">
        <v>35</v>
      </c>
      <c r="E656" t="s">
        <v>36</v>
      </c>
      <c r="F656" t="s">
        <v>37</v>
      </c>
      <c r="G656">
        <v>13731</v>
      </c>
      <c r="H656" t="s">
        <v>2024</v>
      </c>
      <c r="I656" t="s">
        <v>2025</v>
      </c>
      <c r="J656" t="s">
        <v>267</v>
      </c>
      <c r="O656" t="s">
        <v>2026</v>
      </c>
      <c r="P656">
        <v>116.5</v>
      </c>
      <c r="Q656">
        <v>118</v>
      </c>
      <c r="R656">
        <v>115</v>
      </c>
      <c r="S656">
        <v>118</v>
      </c>
      <c r="T656">
        <v>118</v>
      </c>
      <c r="U656">
        <v>116.35</v>
      </c>
      <c r="W656">
        <v>118</v>
      </c>
      <c r="Z656">
        <v>13500</v>
      </c>
      <c r="AA656">
        <v>1563675</v>
      </c>
      <c r="AB656">
        <v>11</v>
      </c>
      <c r="AC656" t="s">
        <v>42</v>
      </c>
      <c r="AD656">
        <v>750</v>
      </c>
    </row>
    <row r="657" spans="1:30">
      <c r="A657" t="str">
        <f>CONCATENATE(I657,J657)</f>
        <v>CHAMBLFERTEQ</v>
      </c>
      <c r="B657" s="34">
        <v>46273</v>
      </c>
      <c r="C657" s="34">
        <v>46273</v>
      </c>
      <c r="D657" t="s">
        <v>35</v>
      </c>
      <c r="E657" t="s">
        <v>36</v>
      </c>
      <c r="F657" t="s">
        <v>37</v>
      </c>
      <c r="G657">
        <v>637</v>
      </c>
      <c r="H657" t="s">
        <v>2027</v>
      </c>
      <c r="I657" t="s">
        <v>2028</v>
      </c>
      <c r="J657" t="s">
        <v>161</v>
      </c>
      <c r="O657" t="s">
        <v>2029</v>
      </c>
      <c r="P657">
        <v>416.85</v>
      </c>
      <c r="Q657">
        <v>420.3</v>
      </c>
      <c r="R657">
        <v>415</v>
      </c>
      <c r="S657">
        <v>418.65</v>
      </c>
      <c r="T657">
        <v>416.4</v>
      </c>
      <c r="U657">
        <v>418.05</v>
      </c>
      <c r="W657">
        <v>418.64</v>
      </c>
      <c r="Z657">
        <v>398881</v>
      </c>
      <c r="AA657">
        <v>166768109</v>
      </c>
      <c r="AB657">
        <v>16855</v>
      </c>
      <c r="AC657" t="s">
        <v>42</v>
      </c>
      <c r="AD657">
        <v>1</v>
      </c>
    </row>
    <row r="658" spans="1:30">
      <c r="A658" t="str">
        <f>CONCATENATE(I658,J658)</f>
        <v>CHAMUNDASM</v>
      </c>
      <c r="B658" s="34">
        <v>46273</v>
      </c>
      <c r="C658" s="34">
        <v>46273</v>
      </c>
      <c r="D658" t="s">
        <v>35</v>
      </c>
      <c r="E658" t="s">
        <v>36</v>
      </c>
      <c r="F658" t="s">
        <v>37</v>
      </c>
      <c r="G658">
        <v>29541</v>
      </c>
      <c r="H658" t="s">
        <v>2030</v>
      </c>
      <c r="I658" t="s">
        <v>2031</v>
      </c>
      <c r="J658" t="s">
        <v>267</v>
      </c>
      <c r="O658" t="s">
        <v>2032</v>
      </c>
      <c r="P658">
        <v>44.5</v>
      </c>
      <c r="Q658">
        <v>44.5</v>
      </c>
      <c r="R658">
        <v>42.5</v>
      </c>
      <c r="S658">
        <v>42.5</v>
      </c>
      <c r="T658">
        <v>42.5</v>
      </c>
      <c r="U658">
        <v>43.4</v>
      </c>
      <c r="W658">
        <v>42.5</v>
      </c>
      <c r="Z658">
        <v>15000</v>
      </c>
      <c r="AA658">
        <v>645750</v>
      </c>
      <c r="AB658">
        <v>4</v>
      </c>
      <c r="AC658" t="s">
        <v>42</v>
      </c>
      <c r="AD658">
        <v>3000</v>
      </c>
    </row>
    <row r="659" spans="1:30">
      <c r="A659" t="str">
        <f>CONCATENATE(I659,J659)</f>
        <v>CHANDANSM</v>
      </c>
      <c r="B659" s="34">
        <v>46273</v>
      </c>
      <c r="C659" s="34">
        <v>46273</v>
      </c>
      <c r="D659" t="s">
        <v>35</v>
      </c>
      <c r="E659" t="s">
        <v>36</v>
      </c>
      <c r="F659" t="s">
        <v>37</v>
      </c>
      <c r="G659">
        <v>29633</v>
      </c>
      <c r="H659" t="s">
        <v>2033</v>
      </c>
      <c r="I659" t="s">
        <v>2034</v>
      </c>
      <c r="J659" t="s">
        <v>267</v>
      </c>
      <c r="O659" t="s">
        <v>2035</v>
      </c>
      <c r="P659">
        <v>215</v>
      </c>
      <c r="Q659">
        <v>218.4</v>
      </c>
      <c r="R659">
        <v>211</v>
      </c>
      <c r="S659">
        <v>218.4</v>
      </c>
      <c r="T659">
        <v>218.4</v>
      </c>
      <c r="U659">
        <v>213.95</v>
      </c>
      <c r="W659">
        <v>218.4</v>
      </c>
      <c r="Z659">
        <v>24800</v>
      </c>
      <c r="AA659">
        <v>5363680</v>
      </c>
      <c r="AB659">
        <v>30</v>
      </c>
      <c r="AC659" t="s">
        <v>42</v>
      </c>
      <c r="AD659">
        <v>800</v>
      </c>
    </row>
    <row r="660" spans="1:30">
      <c r="A660" t="str">
        <f>CONCATENATE(I660,J660)</f>
        <v>CHAVDASM</v>
      </c>
      <c r="B660" s="34">
        <v>46273</v>
      </c>
      <c r="C660" s="34">
        <v>46273</v>
      </c>
      <c r="D660" t="s">
        <v>35</v>
      </c>
      <c r="E660" t="s">
        <v>36</v>
      </c>
      <c r="F660" t="s">
        <v>37</v>
      </c>
      <c r="G660">
        <v>18654</v>
      </c>
      <c r="H660" t="s">
        <v>2036</v>
      </c>
      <c r="I660" t="s">
        <v>2037</v>
      </c>
      <c r="J660" t="s">
        <v>267</v>
      </c>
      <c r="O660" t="s">
        <v>2038</v>
      </c>
      <c r="P660">
        <v>125</v>
      </c>
      <c r="Q660">
        <v>125.55</v>
      </c>
      <c r="R660">
        <v>122.5</v>
      </c>
      <c r="S660">
        <v>124.25</v>
      </c>
      <c r="T660">
        <v>125.55</v>
      </c>
      <c r="U660">
        <v>125.55</v>
      </c>
      <c r="W660">
        <v>124.25</v>
      </c>
      <c r="Z660">
        <v>191000</v>
      </c>
      <c r="AA660">
        <v>23656000</v>
      </c>
      <c r="AB660">
        <v>55</v>
      </c>
      <c r="AC660" t="s">
        <v>42</v>
      </c>
      <c r="AD660">
        <v>1000</v>
      </c>
    </row>
    <row r="661" spans="1:30">
      <c r="A661" t="str">
        <f>CONCATENATE(I661,J661)</f>
        <v>CHEMBONDCHBE</v>
      </c>
      <c r="B661" s="34">
        <v>46273</v>
      </c>
      <c r="C661" s="34">
        <v>46273</v>
      </c>
      <c r="D661" t="s">
        <v>35</v>
      </c>
      <c r="E661" t="s">
        <v>36</v>
      </c>
      <c r="F661" t="s">
        <v>37</v>
      </c>
      <c r="G661">
        <v>757991</v>
      </c>
      <c r="H661" t="s">
        <v>2039</v>
      </c>
      <c r="I661" t="s">
        <v>2040</v>
      </c>
      <c r="J661" t="s">
        <v>183</v>
      </c>
      <c r="O661" t="s">
        <v>2041</v>
      </c>
      <c r="P661">
        <v>272</v>
      </c>
      <c r="Q661">
        <v>274</v>
      </c>
      <c r="R661">
        <v>256.2</v>
      </c>
      <c r="S661">
        <v>259.95</v>
      </c>
      <c r="T661">
        <v>259.95</v>
      </c>
      <c r="U661">
        <v>267.14999999999998</v>
      </c>
      <c r="W661">
        <v>260.08</v>
      </c>
      <c r="Z661">
        <v>6271</v>
      </c>
      <c r="AA661">
        <v>1649682.05</v>
      </c>
      <c r="AB661">
        <v>142</v>
      </c>
      <c r="AC661" t="s">
        <v>42</v>
      </c>
      <c r="AD661">
        <v>1</v>
      </c>
    </row>
    <row r="662" spans="1:30">
      <c r="A662" t="str">
        <f>CONCATENATE(I662,J662)</f>
        <v>CHEMBONDEQ</v>
      </c>
      <c r="B662" s="34">
        <v>46273</v>
      </c>
      <c r="C662" s="34">
        <v>46273</v>
      </c>
      <c r="D662" t="s">
        <v>35</v>
      </c>
      <c r="E662" t="s">
        <v>36</v>
      </c>
      <c r="F662" t="s">
        <v>37</v>
      </c>
      <c r="G662">
        <v>14618</v>
      </c>
      <c r="H662" t="s">
        <v>2042</v>
      </c>
      <c r="I662" t="s">
        <v>2043</v>
      </c>
      <c r="J662" t="s">
        <v>161</v>
      </c>
      <c r="O662" t="s">
        <v>2044</v>
      </c>
      <c r="P662">
        <v>190</v>
      </c>
      <c r="Q662">
        <v>199</v>
      </c>
      <c r="R662">
        <v>187.2</v>
      </c>
      <c r="S662">
        <v>197.72</v>
      </c>
      <c r="T662">
        <v>198.9</v>
      </c>
      <c r="U662">
        <v>184.4</v>
      </c>
      <c r="W662">
        <v>197.61</v>
      </c>
      <c r="Z662">
        <v>63405</v>
      </c>
      <c r="AA662">
        <v>12288112.24</v>
      </c>
      <c r="AB662">
        <v>1485</v>
      </c>
      <c r="AC662" t="s">
        <v>42</v>
      </c>
      <c r="AD662">
        <v>1</v>
      </c>
    </row>
    <row r="663" spans="1:30">
      <c r="A663" t="str">
        <f>CONCATENATE(I663,J663)</f>
        <v>CHEMCONBE</v>
      </c>
      <c r="B663" s="34">
        <v>46273</v>
      </c>
      <c r="C663" s="34">
        <v>46273</v>
      </c>
      <c r="D663" t="s">
        <v>35</v>
      </c>
      <c r="E663" t="s">
        <v>36</v>
      </c>
      <c r="F663" t="s">
        <v>37</v>
      </c>
      <c r="G663">
        <v>276</v>
      </c>
      <c r="H663" t="s">
        <v>2045</v>
      </c>
      <c r="I663" t="s">
        <v>2046</v>
      </c>
      <c r="J663" t="s">
        <v>183</v>
      </c>
      <c r="O663" t="s">
        <v>2047</v>
      </c>
      <c r="P663">
        <v>200</v>
      </c>
      <c r="Q663">
        <v>209.53</v>
      </c>
      <c r="R663">
        <v>198.03</v>
      </c>
      <c r="S663">
        <v>209.53</v>
      </c>
      <c r="T663">
        <v>209.53</v>
      </c>
      <c r="U663">
        <v>199.56</v>
      </c>
      <c r="W663">
        <v>209.53</v>
      </c>
      <c r="Z663">
        <v>88574</v>
      </c>
      <c r="AA663">
        <v>18314636.609999999</v>
      </c>
      <c r="AB663">
        <v>1034</v>
      </c>
      <c r="AC663" t="s">
        <v>42</v>
      </c>
      <c r="AD663">
        <v>1</v>
      </c>
    </row>
    <row r="664" spans="1:30">
      <c r="A664" t="str">
        <f>CONCATENATE(I664,J664)</f>
        <v>CHEMCRUXEQ</v>
      </c>
      <c r="B664" s="34">
        <v>46273</v>
      </c>
      <c r="C664" s="34">
        <v>46273</v>
      </c>
      <c r="D664" t="s">
        <v>35</v>
      </c>
      <c r="E664" t="s">
        <v>36</v>
      </c>
      <c r="F664" t="s">
        <v>37</v>
      </c>
      <c r="G664">
        <v>765045</v>
      </c>
      <c r="H664" t="s">
        <v>2048</v>
      </c>
      <c r="I664" t="s">
        <v>2049</v>
      </c>
      <c r="J664" t="s">
        <v>161</v>
      </c>
      <c r="O664" t="s">
        <v>2050</v>
      </c>
      <c r="P664">
        <v>81.349999999999994</v>
      </c>
      <c r="Q664">
        <v>85.2</v>
      </c>
      <c r="R664">
        <v>81.349999999999994</v>
      </c>
      <c r="S664">
        <v>83.52</v>
      </c>
      <c r="T664">
        <v>84.78</v>
      </c>
      <c r="U664">
        <v>82.25</v>
      </c>
      <c r="W664">
        <v>83.41</v>
      </c>
      <c r="Z664">
        <v>3060</v>
      </c>
      <c r="AA664">
        <v>255238.16</v>
      </c>
      <c r="AB664">
        <v>97</v>
      </c>
      <c r="AC664" t="s">
        <v>42</v>
      </c>
      <c r="AD664">
        <v>1</v>
      </c>
    </row>
    <row r="665" spans="1:30">
      <c r="A665" t="str">
        <f>CONCATENATE(I665,J665)</f>
        <v>CHEMFABEQ</v>
      </c>
      <c r="B665" s="34">
        <v>46273</v>
      </c>
      <c r="C665" s="34">
        <v>46273</v>
      </c>
      <c r="D665" t="s">
        <v>35</v>
      </c>
      <c r="E665" t="s">
        <v>36</v>
      </c>
      <c r="F665" t="s">
        <v>37</v>
      </c>
      <c r="G665">
        <v>2799</v>
      </c>
      <c r="H665" t="s">
        <v>2051</v>
      </c>
      <c r="I665" t="s">
        <v>2052</v>
      </c>
      <c r="J665" t="s">
        <v>161</v>
      </c>
      <c r="O665" t="s">
        <v>2053</v>
      </c>
      <c r="P665">
        <v>364.45</v>
      </c>
      <c r="Q665">
        <v>364.45</v>
      </c>
      <c r="R665">
        <v>350.15</v>
      </c>
      <c r="S665">
        <v>354.9</v>
      </c>
      <c r="T665">
        <v>355.55</v>
      </c>
      <c r="U665">
        <v>356.05</v>
      </c>
      <c r="W665">
        <v>355.16</v>
      </c>
      <c r="Z665">
        <v>2418</v>
      </c>
      <c r="AA665">
        <v>859983.5</v>
      </c>
      <c r="AB665">
        <v>151</v>
      </c>
      <c r="AC665" t="s">
        <v>42</v>
      </c>
      <c r="AD665">
        <v>1</v>
      </c>
    </row>
    <row r="666" spans="1:30">
      <c r="A666" t="str">
        <f>CONCATENATE(I666,J666)</f>
        <v>CHEMPLASTSEQ</v>
      </c>
      <c r="B666" s="34">
        <v>46273</v>
      </c>
      <c r="C666" s="34">
        <v>46273</v>
      </c>
      <c r="D666" t="s">
        <v>35</v>
      </c>
      <c r="E666" t="s">
        <v>36</v>
      </c>
      <c r="F666" t="s">
        <v>37</v>
      </c>
      <c r="G666">
        <v>5449</v>
      </c>
      <c r="H666" t="s">
        <v>2054</v>
      </c>
      <c r="I666" t="s">
        <v>2055</v>
      </c>
      <c r="J666" t="s">
        <v>161</v>
      </c>
      <c r="O666" t="s">
        <v>2056</v>
      </c>
      <c r="P666">
        <v>184</v>
      </c>
      <c r="Q666">
        <v>187.32</v>
      </c>
      <c r="R666">
        <v>178.25</v>
      </c>
      <c r="S666">
        <v>180.76</v>
      </c>
      <c r="T666">
        <v>180</v>
      </c>
      <c r="U666">
        <v>185.53</v>
      </c>
      <c r="W666">
        <v>180.74</v>
      </c>
      <c r="Z666">
        <v>811176</v>
      </c>
      <c r="AA666">
        <v>148129754.58000001</v>
      </c>
      <c r="AB666">
        <v>15957</v>
      </c>
      <c r="AC666" t="s">
        <v>42</v>
      </c>
      <c r="AD666">
        <v>1</v>
      </c>
    </row>
    <row r="667" spans="1:30">
      <c r="A667" t="str">
        <f>CONCATENATE(I667,J667)</f>
        <v>CHENNPETROEQ</v>
      </c>
      <c r="B667" s="34">
        <v>46273</v>
      </c>
      <c r="C667" s="34">
        <v>46273</v>
      </c>
      <c r="D667" t="s">
        <v>35</v>
      </c>
      <c r="E667" t="s">
        <v>36</v>
      </c>
      <c r="F667" t="s">
        <v>37</v>
      </c>
      <c r="G667">
        <v>2049</v>
      </c>
      <c r="H667" t="s">
        <v>2057</v>
      </c>
      <c r="I667" t="s">
        <v>2058</v>
      </c>
      <c r="J667" t="s">
        <v>161</v>
      </c>
      <c r="O667" t="s">
        <v>2059</v>
      </c>
      <c r="P667">
        <v>1429.2</v>
      </c>
      <c r="Q667">
        <v>1475</v>
      </c>
      <c r="R667">
        <v>1415.1</v>
      </c>
      <c r="S667">
        <v>1457.8</v>
      </c>
      <c r="T667">
        <v>1461</v>
      </c>
      <c r="U667">
        <v>1430.2</v>
      </c>
      <c r="W667">
        <v>1457.78</v>
      </c>
      <c r="Z667">
        <v>1138754</v>
      </c>
      <c r="AA667">
        <v>1659019528.5999999</v>
      </c>
      <c r="AB667">
        <v>41810</v>
      </c>
      <c r="AC667" t="s">
        <v>42</v>
      </c>
      <c r="AD667">
        <v>1</v>
      </c>
    </row>
    <row r="668" spans="1:30">
      <c r="A668" t="str">
        <f>CONCATENATE(I668,J668)</f>
        <v>CHETANASM</v>
      </c>
      <c r="B668" s="34">
        <v>46273</v>
      </c>
      <c r="C668" s="34">
        <v>46273</v>
      </c>
      <c r="D668" t="s">
        <v>35</v>
      </c>
      <c r="E668" t="s">
        <v>36</v>
      </c>
      <c r="F668" t="s">
        <v>37</v>
      </c>
      <c r="G668">
        <v>24625</v>
      </c>
      <c r="H668" t="s">
        <v>2060</v>
      </c>
      <c r="I668" t="s">
        <v>2061</v>
      </c>
      <c r="J668" t="s">
        <v>267</v>
      </c>
      <c r="O668" t="s">
        <v>2062</v>
      </c>
      <c r="P668">
        <v>41.65</v>
      </c>
      <c r="Q668">
        <v>44.5</v>
      </c>
      <c r="R668">
        <v>41.65</v>
      </c>
      <c r="S668">
        <v>42.05</v>
      </c>
      <c r="T668">
        <v>42.05</v>
      </c>
      <c r="U668">
        <v>43.8</v>
      </c>
      <c r="W668">
        <v>42.05</v>
      </c>
      <c r="Z668">
        <v>4800</v>
      </c>
      <c r="AA668">
        <v>205120</v>
      </c>
      <c r="AB668">
        <v>3</v>
      </c>
      <c r="AC668" t="s">
        <v>42</v>
      </c>
      <c r="AD668">
        <v>1600</v>
      </c>
    </row>
    <row r="669" spans="1:30">
      <c r="A669" t="str">
        <f>CONCATENATE(I669,J669)</f>
        <v>CHEVIOTEQ</v>
      </c>
      <c r="B669" s="34">
        <v>46273</v>
      </c>
      <c r="C669" s="34">
        <v>46273</v>
      </c>
      <c r="D669" t="s">
        <v>35</v>
      </c>
      <c r="E669" t="s">
        <v>36</v>
      </c>
      <c r="F669" t="s">
        <v>37</v>
      </c>
      <c r="G669">
        <v>9879</v>
      </c>
      <c r="H669" t="s">
        <v>2063</v>
      </c>
      <c r="I669" t="s">
        <v>2064</v>
      </c>
      <c r="J669" t="s">
        <v>161</v>
      </c>
      <c r="O669" t="s">
        <v>2065</v>
      </c>
      <c r="P669">
        <v>1225</v>
      </c>
      <c r="Q669">
        <v>1234.9000000000001</v>
      </c>
      <c r="R669">
        <v>1208</v>
      </c>
      <c r="S669">
        <v>1214.5999999999999</v>
      </c>
      <c r="T669">
        <v>1210.5</v>
      </c>
      <c r="U669">
        <v>1217.0999999999999</v>
      </c>
      <c r="W669">
        <v>1214.94</v>
      </c>
      <c r="Z669">
        <v>2630</v>
      </c>
      <c r="AA669">
        <v>3225257.6</v>
      </c>
      <c r="AB669">
        <v>304</v>
      </c>
      <c r="AC669" t="s">
        <v>42</v>
      </c>
      <c r="AD669">
        <v>1</v>
      </c>
    </row>
    <row r="670" spans="1:30">
      <c r="A670" t="str">
        <f>CONCATENATE(I670,J670)</f>
        <v>CHOICEINEQ</v>
      </c>
      <c r="B670" s="34">
        <v>46273</v>
      </c>
      <c r="C670" s="34">
        <v>46273</v>
      </c>
      <c r="D670" t="s">
        <v>35</v>
      </c>
      <c r="E670" t="s">
        <v>36</v>
      </c>
      <c r="F670" t="s">
        <v>37</v>
      </c>
      <c r="G670">
        <v>8866</v>
      </c>
      <c r="H670" t="s">
        <v>2066</v>
      </c>
      <c r="I670" t="s">
        <v>2067</v>
      </c>
      <c r="J670" t="s">
        <v>161</v>
      </c>
      <c r="O670" t="s">
        <v>2068</v>
      </c>
      <c r="P670">
        <v>755.9</v>
      </c>
      <c r="Q670">
        <v>757.95</v>
      </c>
      <c r="R670">
        <v>750.1</v>
      </c>
      <c r="S670">
        <v>753.45</v>
      </c>
      <c r="T670">
        <v>752</v>
      </c>
      <c r="U670">
        <v>755.65</v>
      </c>
      <c r="W670">
        <v>753.45</v>
      </c>
      <c r="Z670">
        <v>306449</v>
      </c>
      <c r="AA670">
        <v>231186554.80000001</v>
      </c>
      <c r="AB670">
        <v>5756</v>
      </c>
      <c r="AC670" t="s">
        <v>42</v>
      </c>
      <c r="AD670">
        <v>1</v>
      </c>
    </row>
    <row r="671" spans="1:30">
      <c r="A671" t="str">
        <f>CONCATENATE(I671,J671)</f>
        <v>CHOICEGOLDEQ</v>
      </c>
      <c r="B671" s="34">
        <v>46273</v>
      </c>
      <c r="C671" s="34">
        <v>46273</v>
      </c>
      <c r="D671" t="s">
        <v>35</v>
      </c>
      <c r="E671" t="s">
        <v>36</v>
      </c>
      <c r="F671" t="s">
        <v>37</v>
      </c>
      <c r="G671">
        <v>759610</v>
      </c>
      <c r="H671" t="s">
        <v>2069</v>
      </c>
      <c r="I671" t="s">
        <v>2070</v>
      </c>
      <c r="J671" t="s">
        <v>161</v>
      </c>
      <c r="O671" t="s">
        <v>2071</v>
      </c>
      <c r="P671">
        <v>153.32</v>
      </c>
      <c r="Q671">
        <v>153.32</v>
      </c>
      <c r="R671">
        <v>150</v>
      </c>
      <c r="S671">
        <v>151.01</v>
      </c>
      <c r="T671">
        <v>150.79</v>
      </c>
      <c r="U671">
        <v>150.13999999999999</v>
      </c>
      <c r="W671">
        <v>151.01</v>
      </c>
      <c r="Z671">
        <v>2464</v>
      </c>
      <c r="AA671">
        <v>372173.02</v>
      </c>
      <c r="AB671">
        <v>82</v>
      </c>
      <c r="AC671" t="s">
        <v>42</v>
      </c>
      <c r="AD671">
        <v>1</v>
      </c>
    </row>
    <row r="672" spans="1:30">
      <c r="A672" t="str">
        <f>CONCATENATE(I672,J672)</f>
        <v>CHOLAHLDNGEQ</v>
      </c>
      <c r="B672" s="34">
        <v>46273</v>
      </c>
      <c r="C672" s="34">
        <v>46273</v>
      </c>
      <c r="D672" t="s">
        <v>35</v>
      </c>
      <c r="E672" t="s">
        <v>36</v>
      </c>
      <c r="F672" t="s">
        <v>37</v>
      </c>
      <c r="G672">
        <v>21740</v>
      </c>
      <c r="H672" t="s">
        <v>2072</v>
      </c>
      <c r="I672" t="s">
        <v>2073</v>
      </c>
      <c r="J672" t="s">
        <v>161</v>
      </c>
      <c r="O672" t="s">
        <v>2074</v>
      </c>
      <c r="P672">
        <v>1510.8</v>
      </c>
      <c r="Q672">
        <v>1533.3</v>
      </c>
      <c r="R672">
        <v>1500</v>
      </c>
      <c r="S672">
        <v>1526.2</v>
      </c>
      <c r="T672">
        <v>1522.1</v>
      </c>
      <c r="U672">
        <v>1520.7</v>
      </c>
      <c r="W672">
        <v>1526.2</v>
      </c>
      <c r="Z672">
        <v>134033</v>
      </c>
      <c r="AA672">
        <v>204079222.69999999</v>
      </c>
      <c r="AB672">
        <v>8811</v>
      </c>
      <c r="AC672" t="s">
        <v>42</v>
      </c>
      <c r="AD672">
        <v>1</v>
      </c>
    </row>
    <row r="673" spans="1:30">
      <c r="A673" t="str">
        <f>CONCATENATE(I673,J673)</f>
        <v>CHOLAFINEQ</v>
      </c>
      <c r="B673" s="34">
        <v>46273</v>
      </c>
      <c r="C673" s="34">
        <v>46273</v>
      </c>
      <c r="D673" t="s">
        <v>35</v>
      </c>
      <c r="E673" t="s">
        <v>36</v>
      </c>
      <c r="F673" t="s">
        <v>37</v>
      </c>
      <c r="G673">
        <v>685</v>
      </c>
      <c r="H673" t="s">
        <v>2075</v>
      </c>
      <c r="I673" t="s">
        <v>2076</v>
      </c>
      <c r="J673" t="s">
        <v>161</v>
      </c>
      <c r="O673" t="s">
        <v>2077</v>
      </c>
      <c r="P673">
        <v>1834</v>
      </c>
      <c r="Q673">
        <v>1834</v>
      </c>
      <c r="R673">
        <v>1810</v>
      </c>
      <c r="S673">
        <v>1823.4</v>
      </c>
      <c r="T673">
        <v>1823.4</v>
      </c>
      <c r="U673">
        <v>1848.2</v>
      </c>
      <c r="W673">
        <v>1823.42</v>
      </c>
      <c r="Z673">
        <v>1040914</v>
      </c>
      <c r="AA673">
        <v>1896712490</v>
      </c>
      <c r="AB673">
        <v>54408</v>
      </c>
      <c r="AC673" t="s">
        <v>42</v>
      </c>
      <c r="AD673">
        <v>1</v>
      </c>
    </row>
    <row r="674" spans="1:30">
      <c r="A674" t="str">
        <f>CONCATENATE(I674,J674)</f>
        <v>CIEINDIAEQ</v>
      </c>
      <c r="B674" s="34">
        <v>46273</v>
      </c>
      <c r="C674" s="34">
        <v>46273</v>
      </c>
      <c r="D674" t="s">
        <v>35</v>
      </c>
      <c r="E674" t="s">
        <v>36</v>
      </c>
      <c r="F674" t="s">
        <v>37</v>
      </c>
      <c r="G674">
        <v>14937</v>
      </c>
      <c r="H674" t="s">
        <v>2078</v>
      </c>
      <c r="I674" t="s">
        <v>2079</v>
      </c>
      <c r="J674" t="s">
        <v>161</v>
      </c>
      <c r="O674" t="s">
        <v>2080</v>
      </c>
      <c r="P674">
        <v>386</v>
      </c>
      <c r="Q674">
        <v>386.35</v>
      </c>
      <c r="R674">
        <v>382.5</v>
      </c>
      <c r="S674">
        <v>383.4</v>
      </c>
      <c r="T674">
        <v>384.35</v>
      </c>
      <c r="U674">
        <v>383.55</v>
      </c>
      <c r="W674">
        <v>383.4</v>
      </c>
      <c r="Z674">
        <v>126785</v>
      </c>
      <c r="AA674">
        <v>48707710.399999999</v>
      </c>
      <c r="AB674">
        <v>8712</v>
      </c>
      <c r="AC674" t="s">
        <v>42</v>
      </c>
      <c r="AD674">
        <v>1</v>
      </c>
    </row>
    <row r="675" spans="1:30">
      <c r="A675" t="str">
        <f>CONCATENATE(I675,J675)</f>
        <v>CINELINEEQ</v>
      </c>
      <c r="B675" s="34">
        <v>46273</v>
      </c>
      <c r="C675" s="34">
        <v>46273</v>
      </c>
      <c r="D675" t="s">
        <v>35</v>
      </c>
      <c r="E675" t="s">
        <v>36</v>
      </c>
      <c r="F675" t="s">
        <v>37</v>
      </c>
      <c r="G675">
        <v>27161</v>
      </c>
      <c r="H675" t="s">
        <v>2081</v>
      </c>
      <c r="I675" t="s">
        <v>2082</v>
      </c>
      <c r="J675" t="s">
        <v>161</v>
      </c>
      <c r="O675" t="s">
        <v>2083</v>
      </c>
      <c r="P675">
        <v>99.4</v>
      </c>
      <c r="Q675">
        <v>99.4</v>
      </c>
      <c r="R675">
        <v>94.04</v>
      </c>
      <c r="S675">
        <v>95.39</v>
      </c>
      <c r="T675">
        <v>95.53</v>
      </c>
      <c r="U675">
        <v>98.71</v>
      </c>
      <c r="W675">
        <v>95.34</v>
      </c>
      <c r="Z675">
        <v>72166</v>
      </c>
      <c r="AA675">
        <v>6925140.3399999999</v>
      </c>
      <c r="AB675">
        <v>891</v>
      </c>
      <c r="AC675" t="s">
        <v>42</v>
      </c>
      <c r="AD675">
        <v>1</v>
      </c>
    </row>
    <row r="676" spans="1:30">
      <c r="A676" t="str">
        <f>CONCATENATE(I676,J676)</f>
        <v>CINEVISTAEQ</v>
      </c>
      <c r="B676" s="34">
        <v>46273</v>
      </c>
      <c r="C676" s="34">
        <v>46273</v>
      </c>
      <c r="D676" t="s">
        <v>35</v>
      </c>
      <c r="E676" t="s">
        <v>36</v>
      </c>
      <c r="F676" t="s">
        <v>37</v>
      </c>
      <c r="G676">
        <v>8024</v>
      </c>
      <c r="H676" t="s">
        <v>2084</v>
      </c>
      <c r="I676" t="s">
        <v>2085</v>
      </c>
      <c r="J676" t="s">
        <v>161</v>
      </c>
      <c r="O676" t="s">
        <v>2086</v>
      </c>
      <c r="P676">
        <v>14.35</v>
      </c>
      <c r="Q676">
        <v>14.82</v>
      </c>
      <c r="R676">
        <v>14.1</v>
      </c>
      <c r="S676">
        <v>14.21</v>
      </c>
      <c r="T676">
        <v>14.29</v>
      </c>
      <c r="U676">
        <v>14.25</v>
      </c>
      <c r="W676">
        <v>14.21</v>
      </c>
      <c r="Z676">
        <v>16065</v>
      </c>
      <c r="AA676">
        <v>228881.8</v>
      </c>
      <c r="AB676">
        <v>174</v>
      </c>
      <c r="AC676" t="s">
        <v>42</v>
      </c>
      <c r="AD676">
        <v>1</v>
      </c>
    </row>
    <row r="677" spans="1:30">
      <c r="A677" t="str">
        <f>CONCATENATE(I677,J677)</f>
        <v>CIPLAEQ</v>
      </c>
      <c r="B677" s="34">
        <v>46273</v>
      </c>
      <c r="C677" s="34">
        <v>46273</v>
      </c>
      <c r="D677" t="s">
        <v>35</v>
      </c>
      <c r="E677" t="s">
        <v>36</v>
      </c>
      <c r="F677" t="s">
        <v>37</v>
      </c>
      <c r="G677">
        <v>694</v>
      </c>
      <c r="H677" t="s">
        <v>2087</v>
      </c>
      <c r="I677" t="s">
        <v>2088</v>
      </c>
      <c r="J677" t="s">
        <v>161</v>
      </c>
      <c r="O677" t="s">
        <v>2089</v>
      </c>
      <c r="P677">
        <v>1393.4</v>
      </c>
      <c r="Q677">
        <v>1398.4</v>
      </c>
      <c r="R677">
        <v>1377.2</v>
      </c>
      <c r="S677">
        <v>1384</v>
      </c>
      <c r="T677">
        <v>1384</v>
      </c>
      <c r="U677">
        <v>1395</v>
      </c>
      <c r="W677">
        <v>1384</v>
      </c>
      <c r="Z677">
        <v>728795</v>
      </c>
      <c r="AA677">
        <v>1007320302.8</v>
      </c>
      <c r="AB677">
        <v>48275</v>
      </c>
      <c r="AC677" t="s">
        <v>42</v>
      </c>
      <c r="AD677">
        <v>1</v>
      </c>
    </row>
    <row r="678" spans="1:30">
      <c r="A678" t="str">
        <f>CONCATENATE(I678,J678)</f>
        <v>CITIUSINVTIV</v>
      </c>
      <c r="B678" s="34">
        <v>46273</v>
      </c>
      <c r="C678" s="34">
        <v>46273</v>
      </c>
      <c r="D678" t="s">
        <v>35</v>
      </c>
      <c r="E678" t="s">
        <v>36</v>
      </c>
      <c r="F678" t="s">
        <v>37</v>
      </c>
      <c r="G678">
        <v>763149</v>
      </c>
      <c r="H678" t="s">
        <v>2090</v>
      </c>
      <c r="I678" t="s">
        <v>2091</v>
      </c>
      <c r="J678" t="s">
        <v>759</v>
      </c>
      <c r="O678" t="s">
        <v>2092</v>
      </c>
      <c r="P678">
        <v>116.3</v>
      </c>
      <c r="Q678">
        <v>117</v>
      </c>
      <c r="R678">
        <v>115.17</v>
      </c>
      <c r="S678">
        <v>116.08</v>
      </c>
      <c r="T678">
        <v>116.2</v>
      </c>
      <c r="U678">
        <v>116.22</v>
      </c>
      <c r="W678">
        <v>116.08</v>
      </c>
      <c r="Z678">
        <v>135368</v>
      </c>
      <c r="AA678">
        <v>15692736.26</v>
      </c>
      <c r="AB678">
        <v>195</v>
      </c>
      <c r="AC678" t="s">
        <v>42</v>
      </c>
      <c r="AD678">
        <v>1</v>
      </c>
    </row>
    <row r="679" spans="1:30">
      <c r="A679" t="str">
        <f>CONCATENATE(I679,J679)</f>
        <v>CUBEQ</v>
      </c>
      <c r="B679" s="34">
        <v>46273</v>
      </c>
      <c r="C679" s="34">
        <v>46273</v>
      </c>
      <c r="D679" t="s">
        <v>35</v>
      </c>
      <c r="E679" t="s">
        <v>36</v>
      </c>
      <c r="F679" t="s">
        <v>37</v>
      </c>
      <c r="G679">
        <v>5701</v>
      </c>
      <c r="H679" t="s">
        <v>2093</v>
      </c>
      <c r="I679" t="s">
        <v>2094</v>
      </c>
      <c r="J679" t="s">
        <v>161</v>
      </c>
      <c r="O679" t="s">
        <v>2095</v>
      </c>
      <c r="P679">
        <v>238.6</v>
      </c>
      <c r="Q679">
        <v>239.17</v>
      </c>
      <c r="R679">
        <v>232.16</v>
      </c>
      <c r="S679">
        <v>232.97</v>
      </c>
      <c r="T679">
        <v>234.18</v>
      </c>
      <c r="U679">
        <v>238.48</v>
      </c>
      <c r="W679">
        <v>232.97</v>
      </c>
      <c r="Z679">
        <v>1107925</v>
      </c>
      <c r="AA679">
        <v>260484185.36000001</v>
      </c>
      <c r="AB679">
        <v>22524</v>
      </c>
      <c r="AC679" t="s">
        <v>42</v>
      </c>
      <c r="AD679">
        <v>1</v>
      </c>
    </row>
    <row r="680" spans="1:30">
      <c r="A680" t="str">
        <f>CONCATENATE(I680,J680)</f>
        <v>CLEDUCATEEQ</v>
      </c>
      <c r="B680" s="34">
        <v>46273</v>
      </c>
      <c r="C680" s="34">
        <v>46273</v>
      </c>
      <c r="D680" t="s">
        <v>35</v>
      </c>
      <c r="E680" t="s">
        <v>36</v>
      </c>
      <c r="F680" t="s">
        <v>37</v>
      </c>
      <c r="G680">
        <v>20223</v>
      </c>
      <c r="H680" t="s">
        <v>2096</v>
      </c>
      <c r="I680" t="s">
        <v>2097</v>
      </c>
      <c r="J680" t="s">
        <v>161</v>
      </c>
      <c r="O680" t="s">
        <v>2098</v>
      </c>
      <c r="P680">
        <v>62.47</v>
      </c>
      <c r="Q680">
        <v>62.47</v>
      </c>
      <c r="R680">
        <v>58.1</v>
      </c>
      <c r="S680">
        <v>59.11</v>
      </c>
      <c r="T680">
        <v>58.5</v>
      </c>
      <c r="U680">
        <v>60.97</v>
      </c>
      <c r="W680">
        <v>58.74</v>
      </c>
      <c r="Z680">
        <v>12338</v>
      </c>
      <c r="AA680">
        <v>735197.32</v>
      </c>
      <c r="AB680">
        <v>186</v>
      </c>
      <c r="AC680" t="s">
        <v>42</v>
      </c>
      <c r="AD680">
        <v>1</v>
      </c>
    </row>
    <row r="681" spans="1:30">
      <c r="A681" t="str">
        <f>CONCATENATE(I681,J681)</f>
        <v>CLASSICEILSM</v>
      </c>
      <c r="B681" s="34">
        <v>46273</v>
      </c>
      <c r="C681" s="34">
        <v>46273</v>
      </c>
      <c r="D681" t="s">
        <v>35</v>
      </c>
      <c r="E681" t="s">
        <v>36</v>
      </c>
      <c r="F681" t="s">
        <v>37</v>
      </c>
      <c r="G681">
        <v>758736</v>
      </c>
      <c r="H681" t="s">
        <v>2099</v>
      </c>
      <c r="I681" t="s">
        <v>2100</v>
      </c>
      <c r="J681" t="s">
        <v>267</v>
      </c>
      <c r="O681" t="s">
        <v>2101</v>
      </c>
      <c r="P681">
        <v>59.85</v>
      </c>
      <c r="Q681">
        <v>60.5</v>
      </c>
      <c r="R681">
        <v>56</v>
      </c>
      <c r="S681">
        <v>56</v>
      </c>
      <c r="T681">
        <v>56</v>
      </c>
      <c r="U681">
        <v>57.65</v>
      </c>
      <c r="W681">
        <v>56</v>
      </c>
      <c r="Z681">
        <v>33600</v>
      </c>
      <c r="AA681">
        <v>1985440</v>
      </c>
      <c r="AB681">
        <v>21</v>
      </c>
      <c r="AC681" t="s">
        <v>42</v>
      </c>
      <c r="AD681">
        <v>1600</v>
      </c>
    </row>
    <row r="682" spans="1:30">
      <c r="A682" t="str">
        <f>CONCATENATE(I682,J682)</f>
        <v>CLAYCRAFTSM</v>
      </c>
      <c r="B682" s="34">
        <v>46273</v>
      </c>
      <c r="C682" s="34">
        <v>46273</v>
      </c>
      <c r="D682" t="s">
        <v>35</v>
      </c>
      <c r="E682" t="s">
        <v>36</v>
      </c>
      <c r="F682" t="s">
        <v>37</v>
      </c>
      <c r="G682">
        <v>754695</v>
      </c>
      <c r="H682" t="s">
        <v>2102</v>
      </c>
      <c r="I682" t="s">
        <v>2103</v>
      </c>
      <c r="J682" t="s">
        <v>267</v>
      </c>
      <c r="O682" t="s">
        <v>2104</v>
      </c>
      <c r="P682">
        <v>151.1</v>
      </c>
      <c r="Q682">
        <v>155</v>
      </c>
      <c r="R682">
        <v>150.05000000000001</v>
      </c>
      <c r="S682">
        <v>150.9</v>
      </c>
      <c r="T682">
        <v>150.5</v>
      </c>
      <c r="U682">
        <v>152</v>
      </c>
      <c r="W682">
        <v>150.9</v>
      </c>
      <c r="Z682">
        <v>33600</v>
      </c>
      <c r="AA682">
        <v>5109870</v>
      </c>
      <c r="AB682">
        <v>51</v>
      </c>
      <c r="AC682" t="s">
        <v>42</v>
      </c>
      <c r="AD682">
        <v>600</v>
      </c>
    </row>
    <row r="683" spans="1:30">
      <c r="A683" t="str">
        <f>CONCATENATE(I683,J683)</f>
        <v>CLEANMAXEQ</v>
      </c>
      <c r="B683" s="34">
        <v>46273</v>
      </c>
      <c r="C683" s="34">
        <v>46273</v>
      </c>
      <c r="D683" t="s">
        <v>35</v>
      </c>
      <c r="E683" t="s">
        <v>36</v>
      </c>
      <c r="F683" t="s">
        <v>37</v>
      </c>
      <c r="G683">
        <v>760183</v>
      </c>
      <c r="H683" t="s">
        <v>2105</v>
      </c>
      <c r="I683" t="s">
        <v>2106</v>
      </c>
      <c r="J683" t="s">
        <v>161</v>
      </c>
      <c r="O683" t="s">
        <v>2107</v>
      </c>
      <c r="P683">
        <v>1390</v>
      </c>
      <c r="Q683">
        <v>1403.7</v>
      </c>
      <c r="R683">
        <v>1352.2</v>
      </c>
      <c r="S683">
        <v>1399.2</v>
      </c>
      <c r="T683">
        <v>1398.1</v>
      </c>
      <c r="U683">
        <v>1380.4</v>
      </c>
      <c r="W683">
        <v>1399.09</v>
      </c>
      <c r="Z683">
        <v>90317</v>
      </c>
      <c r="AA683">
        <v>124598041.7</v>
      </c>
      <c r="AB683">
        <v>8482</v>
      </c>
      <c r="AC683" t="s">
        <v>42</v>
      </c>
      <c r="AD683">
        <v>1</v>
      </c>
    </row>
    <row r="684" spans="1:30">
      <c r="A684" t="str">
        <f>CONCATENATE(I684,J684)</f>
        <v>CLEANEQ</v>
      </c>
      <c r="B684" s="34">
        <v>46273</v>
      </c>
      <c r="C684" s="34">
        <v>46273</v>
      </c>
      <c r="D684" t="s">
        <v>35</v>
      </c>
      <c r="E684" t="s">
        <v>36</v>
      </c>
      <c r="F684" t="s">
        <v>37</v>
      </c>
      <c r="G684">
        <v>5049</v>
      </c>
      <c r="H684" t="s">
        <v>2108</v>
      </c>
      <c r="I684" t="s">
        <v>2109</v>
      </c>
      <c r="J684" t="s">
        <v>161</v>
      </c>
      <c r="O684" t="s">
        <v>2110</v>
      </c>
      <c r="P684">
        <v>846</v>
      </c>
      <c r="Q684">
        <v>849.7</v>
      </c>
      <c r="R684">
        <v>827.9</v>
      </c>
      <c r="S684">
        <v>830.25</v>
      </c>
      <c r="T684">
        <v>838.7</v>
      </c>
      <c r="U684">
        <v>844.4</v>
      </c>
      <c r="W684">
        <v>830.23</v>
      </c>
      <c r="Z684">
        <v>165910</v>
      </c>
      <c r="AA684">
        <v>138423806.09999999</v>
      </c>
      <c r="AB684">
        <v>10409</v>
      </c>
      <c r="AC684" t="s">
        <v>42</v>
      </c>
      <c r="AD684">
        <v>1</v>
      </c>
    </row>
    <row r="685" spans="1:30">
      <c r="A685" t="str">
        <f>CONCATENATE(I685,J685)</f>
        <v>CSSLSM</v>
      </c>
      <c r="B685" s="34">
        <v>46273</v>
      </c>
      <c r="C685" s="34">
        <v>46273</v>
      </c>
      <c r="D685" t="s">
        <v>35</v>
      </c>
      <c r="E685" t="s">
        <v>36</v>
      </c>
      <c r="F685" t="s">
        <v>37</v>
      </c>
      <c r="G685">
        <v>760143</v>
      </c>
      <c r="H685" t="s">
        <v>2111</v>
      </c>
      <c r="I685" t="s">
        <v>2112</v>
      </c>
      <c r="J685" t="s">
        <v>267</v>
      </c>
      <c r="O685" t="s">
        <v>2113</v>
      </c>
      <c r="P685">
        <v>94</v>
      </c>
      <c r="Q685">
        <v>94.5</v>
      </c>
      <c r="R685">
        <v>94</v>
      </c>
      <c r="S685">
        <v>94.5</v>
      </c>
      <c r="T685">
        <v>94.5</v>
      </c>
      <c r="U685">
        <v>93</v>
      </c>
      <c r="W685">
        <v>94.5</v>
      </c>
      <c r="Z685">
        <v>2000</v>
      </c>
      <c r="AA685">
        <v>188500</v>
      </c>
      <c r="AB685">
        <v>2</v>
      </c>
      <c r="AC685" t="s">
        <v>42</v>
      </c>
      <c r="AD685">
        <v>1000</v>
      </c>
    </row>
    <row r="686" spans="1:30">
      <c r="A686" t="str">
        <f>CONCATENATE(I686,J686)</f>
        <v>CMRGREENEQ</v>
      </c>
      <c r="B686" s="34">
        <v>46273</v>
      </c>
      <c r="C686" s="34">
        <v>46273</v>
      </c>
      <c r="D686" t="s">
        <v>35</v>
      </c>
      <c r="E686" t="s">
        <v>36</v>
      </c>
      <c r="F686" t="s">
        <v>37</v>
      </c>
      <c r="G686">
        <v>30893</v>
      </c>
      <c r="H686" t="s">
        <v>2114</v>
      </c>
      <c r="I686" t="s">
        <v>2115</v>
      </c>
      <c r="J686" t="s">
        <v>161</v>
      </c>
      <c r="O686" t="s">
        <v>2116</v>
      </c>
      <c r="P686">
        <v>224.4</v>
      </c>
      <c r="Q686">
        <v>226.5</v>
      </c>
      <c r="R686">
        <v>221</v>
      </c>
      <c r="S686">
        <v>222.16</v>
      </c>
      <c r="T686">
        <v>223</v>
      </c>
      <c r="U686">
        <v>221.03</v>
      </c>
      <c r="W686">
        <v>222.16</v>
      </c>
      <c r="Z686">
        <v>274736</v>
      </c>
      <c r="AA686">
        <v>61509001.520000003</v>
      </c>
      <c r="AB686">
        <v>5815</v>
      </c>
      <c r="AC686" t="s">
        <v>42</v>
      </c>
      <c r="AD686">
        <v>1</v>
      </c>
    </row>
    <row r="687" spans="1:30">
      <c r="A687" t="str">
        <f>CONCATENATE(I687,J687)</f>
        <v>CMSINFOEQ</v>
      </c>
      <c r="B687" s="34">
        <v>46273</v>
      </c>
      <c r="C687" s="34">
        <v>46273</v>
      </c>
      <c r="D687" t="s">
        <v>35</v>
      </c>
      <c r="E687" t="s">
        <v>36</v>
      </c>
      <c r="F687" t="s">
        <v>37</v>
      </c>
      <c r="G687">
        <v>7603</v>
      </c>
      <c r="H687" t="s">
        <v>2117</v>
      </c>
      <c r="I687" t="s">
        <v>2118</v>
      </c>
      <c r="J687" t="s">
        <v>161</v>
      </c>
      <c r="O687" t="s">
        <v>2119</v>
      </c>
      <c r="P687">
        <v>239.9</v>
      </c>
      <c r="Q687">
        <v>241</v>
      </c>
      <c r="R687">
        <v>236</v>
      </c>
      <c r="S687">
        <v>236.58</v>
      </c>
      <c r="T687">
        <v>236.5</v>
      </c>
      <c r="U687">
        <v>239.02</v>
      </c>
      <c r="W687">
        <v>236.58</v>
      </c>
      <c r="Z687">
        <v>427822</v>
      </c>
      <c r="AA687">
        <v>101437773.38</v>
      </c>
      <c r="AB687">
        <v>12645</v>
      </c>
      <c r="AC687" t="s">
        <v>42</v>
      </c>
      <c r="AD687">
        <v>1</v>
      </c>
    </row>
    <row r="688" spans="1:30">
      <c r="A688" t="str">
        <f>CONCATENATE(I688,J688)</f>
        <v>COALINDIAEQ</v>
      </c>
      <c r="B688" s="34">
        <v>46273</v>
      </c>
      <c r="C688" s="34">
        <v>46273</v>
      </c>
      <c r="D688" t="s">
        <v>35</v>
      </c>
      <c r="E688" t="s">
        <v>36</v>
      </c>
      <c r="F688" t="s">
        <v>37</v>
      </c>
      <c r="G688">
        <v>20374</v>
      </c>
      <c r="H688" t="s">
        <v>2120</v>
      </c>
      <c r="I688" t="s">
        <v>2121</v>
      </c>
      <c r="J688" t="s">
        <v>161</v>
      </c>
      <c r="O688" t="s">
        <v>2122</v>
      </c>
      <c r="P688">
        <v>418.1</v>
      </c>
      <c r="Q688">
        <v>423.6</v>
      </c>
      <c r="R688">
        <v>416.05</v>
      </c>
      <c r="S688">
        <v>420.25</v>
      </c>
      <c r="T688">
        <v>420.25</v>
      </c>
      <c r="U688">
        <v>418.85</v>
      </c>
      <c r="W688">
        <v>420.24</v>
      </c>
      <c r="Z688">
        <v>5273145</v>
      </c>
      <c r="AA688">
        <v>2214412959.4000001</v>
      </c>
      <c r="AB688">
        <v>72594</v>
      </c>
      <c r="AC688" t="s">
        <v>42</v>
      </c>
      <c r="AD688">
        <v>1</v>
      </c>
    </row>
    <row r="689" spans="1:30">
      <c r="A689" t="str">
        <f>CONCATENATE(I689,J689)</f>
        <v>COASTCORPEQ</v>
      </c>
      <c r="B689" s="34">
        <v>46273</v>
      </c>
      <c r="C689" s="34">
        <v>46273</v>
      </c>
      <c r="D689" t="s">
        <v>35</v>
      </c>
      <c r="E689" t="s">
        <v>36</v>
      </c>
      <c r="F689" t="s">
        <v>37</v>
      </c>
      <c r="G689">
        <v>6006</v>
      </c>
      <c r="H689" t="s">
        <v>2123</v>
      </c>
      <c r="I689" t="s">
        <v>2124</v>
      </c>
      <c r="J689" t="s">
        <v>161</v>
      </c>
      <c r="O689" t="s">
        <v>2125</v>
      </c>
      <c r="P689">
        <v>40.99</v>
      </c>
      <c r="Q689">
        <v>41.37</v>
      </c>
      <c r="R689">
        <v>40</v>
      </c>
      <c r="S689">
        <v>40.69</v>
      </c>
      <c r="T689">
        <v>40.56</v>
      </c>
      <c r="U689">
        <v>40.44</v>
      </c>
      <c r="W689">
        <v>40.69</v>
      </c>
      <c r="Z689">
        <v>64164</v>
      </c>
      <c r="AA689">
        <v>2599156.59</v>
      </c>
      <c r="AB689">
        <v>379</v>
      </c>
      <c r="AC689" t="s">
        <v>42</v>
      </c>
      <c r="AD689">
        <v>1</v>
      </c>
    </row>
    <row r="690" spans="1:30">
      <c r="A690" t="str">
        <f>CONCATENATE(I690,J690)</f>
        <v>COCHINSHIPEQ</v>
      </c>
      <c r="B690" s="34">
        <v>46273</v>
      </c>
      <c r="C690" s="34">
        <v>46273</v>
      </c>
      <c r="D690" t="s">
        <v>35</v>
      </c>
      <c r="E690" t="s">
        <v>36</v>
      </c>
      <c r="F690" t="s">
        <v>37</v>
      </c>
      <c r="G690">
        <v>21508</v>
      </c>
      <c r="H690" t="s">
        <v>2126</v>
      </c>
      <c r="I690" t="s">
        <v>2127</v>
      </c>
      <c r="J690" t="s">
        <v>161</v>
      </c>
      <c r="O690" t="s">
        <v>2128</v>
      </c>
      <c r="P690">
        <v>1506</v>
      </c>
      <c r="Q690">
        <v>1531.5</v>
      </c>
      <c r="R690">
        <v>1505</v>
      </c>
      <c r="S690">
        <v>1528.2</v>
      </c>
      <c r="T690">
        <v>1528.2</v>
      </c>
      <c r="U690">
        <v>1506.4</v>
      </c>
      <c r="W690">
        <v>1528.29</v>
      </c>
      <c r="Z690">
        <v>875111</v>
      </c>
      <c r="AA690">
        <v>1332073547.7</v>
      </c>
      <c r="AB690">
        <v>26557</v>
      </c>
      <c r="AC690" t="s">
        <v>42</v>
      </c>
      <c r="AD690">
        <v>1</v>
      </c>
    </row>
    <row r="691" spans="1:30">
      <c r="A691" t="str">
        <f>CONCATENATE(I691,J691)</f>
        <v>COFFEEDAYEQ</v>
      </c>
      <c r="B691" s="34">
        <v>46273</v>
      </c>
      <c r="C691" s="34">
        <v>46273</v>
      </c>
      <c r="D691" t="s">
        <v>35</v>
      </c>
      <c r="E691" t="s">
        <v>36</v>
      </c>
      <c r="F691" t="s">
        <v>37</v>
      </c>
      <c r="G691">
        <v>11165</v>
      </c>
      <c r="H691" t="s">
        <v>2129</v>
      </c>
      <c r="I691" t="s">
        <v>2130</v>
      </c>
      <c r="J691" t="s">
        <v>161</v>
      </c>
      <c r="O691" t="s">
        <v>2131</v>
      </c>
      <c r="P691">
        <v>31</v>
      </c>
      <c r="Q691">
        <v>34.24</v>
      </c>
      <c r="R691">
        <v>30.7</v>
      </c>
      <c r="S691">
        <v>34.24</v>
      </c>
      <c r="T691">
        <v>34.24</v>
      </c>
      <c r="U691">
        <v>31.13</v>
      </c>
      <c r="W691">
        <v>34.25</v>
      </c>
      <c r="Z691">
        <v>2194138</v>
      </c>
      <c r="AA691">
        <v>73075392.319999993</v>
      </c>
      <c r="AB691">
        <v>5695</v>
      </c>
      <c r="AC691" t="s">
        <v>42</v>
      </c>
      <c r="AD691">
        <v>1</v>
      </c>
    </row>
    <row r="692" spans="1:30">
      <c r="A692" t="str">
        <f>CONCATENATE(I692,J692)</f>
        <v>COFORGEEQ</v>
      </c>
      <c r="B692" s="34">
        <v>46273</v>
      </c>
      <c r="C692" s="34">
        <v>46273</v>
      </c>
      <c r="D692" t="s">
        <v>35</v>
      </c>
      <c r="E692" t="s">
        <v>36</v>
      </c>
      <c r="F692" t="s">
        <v>37</v>
      </c>
      <c r="G692">
        <v>11543</v>
      </c>
      <c r="H692" t="s">
        <v>2132</v>
      </c>
      <c r="I692" t="s">
        <v>2133</v>
      </c>
      <c r="J692" t="s">
        <v>161</v>
      </c>
      <c r="O692" t="s">
        <v>2134</v>
      </c>
      <c r="P692">
        <v>1935</v>
      </c>
      <c r="Q692">
        <v>1954.4</v>
      </c>
      <c r="R692">
        <v>1914.1</v>
      </c>
      <c r="S692">
        <v>1950</v>
      </c>
      <c r="T692">
        <v>1950</v>
      </c>
      <c r="U692">
        <v>1935</v>
      </c>
      <c r="W692">
        <v>1949.99</v>
      </c>
      <c r="Z692">
        <v>1594561</v>
      </c>
      <c r="AA692">
        <v>3084628037.9000001</v>
      </c>
      <c r="AB692">
        <v>69988</v>
      </c>
      <c r="AC692" t="s">
        <v>42</v>
      </c>
      <c r="AD692">
        <v>1</v>
      </c>
    </row>
    <row r="693" spans="1:30">
      <c r="A693" t="str">
        <f>CONCATENATE(I693,J693)</f>
        <v>COHANCEEQ</v>
      </c>
      <c r="B693" s="34">
        <v>46273</v>
      </c>
      <c r="C693" s="34">
        <v>46273</v>
      </c>
      <c r="D693" t="s">
        <v>35</v>
      </c>
      <c r="E693" t="s">
        <v>36</v>
      </c>
      <c r="F693" t="s">
        <v>37</v>
      </c>
      <c r="G693">
        <v>17945</v>
      </c>
      <c r="H693" t="s">
        <v>2135</v>
      </c>
      <c r="I693" t="s">
        <v>2136</v>
      </c>
      <c r="J693" t="s">
        <v>161</v>
      </c>
      <c r="O693" t="s">
        <v>2137</v>
      </c>
      <c r="P693">
        <v>451.8</v>
      </c>
      <c r="Q693">
        <v>460.5</v>
      </c>
      <c r="R693">
        <v>448.1</v>
      </c>
      <c r="S693">
        <v>451.6</v>
      </c>
      <c r="T693">
        <v>454.25</v>
      </c>
      <c r="U693">
        <v>449.55</v>
      </c>
      <c r="W693">
        <v>451.59</v>
      </c>
      <c r="Z693">
        <v>1832601</v>
      </c>
      <c r="AA693">
        <v>828932794.60000002</v>
      </c>
      <c r="AB693">
        <v>33708</v>
      </c>
      <c r="AC693" t="s">
        <v>42</v>
      </c>
      <c r="AD693">
        <v>1</v>
      </c>
    </row>
    <row r="694" spans="1:30">
      <c r="A694" t="str">
        <f>CONCATENATE(I694,J694)</f>
        <v>COLPALEQ</v>
      </c>
      <c r="B694" s="34">
        <v>46273</v>
      </c>
      <c r="C694" s="34">
        <v>46273</v>
      </c>
      <c r="D694" t="s">
        <v>35</v>
      </c>
      <c r="E694" t="s">
        <v>36</v>
      </c>
      <c r="F694" t="s">
        <v>37</v>
      </c>
      <c r="G694">
        <v>15141</v>
      </c>
      <c r="H694" t="s">
        <v>2138</v>
      </c>
      <c r="I694" t="s">
        <v>2139</v>
      </c>
      <c r="J694" t="s">
        <v>161</v>
      </c>
      <c r="O694" t="s">
        <v>2140</v>
      </c>
      <c r="P694">
        <v>1814</v>
      </c>
      <c r="Q694">
        <v>1841.3</v>
      </c>
      <c r="R694">
        <v>1799.1</v>
      </c>
      <c r="S694">
        <v>1819.9</v>
      </c>
      <c r="T694">
        <v>1819.9</v>
      </c>
      <c r="U694">
        <v>1813.5</v>
      </c>
      <c r="W694">
        <v>1819.89</v>
      </c>
      <c r="Z694">
        <v>214109</v>
      </c>
      <c r="AA694">
        <v>390079396.69999999</v>
      </c>
      <c r="AB694">
        <v>15929</v>
      </c>
      <c r="AC694" t="s">
        <v>42</v>
      </c>
      <c r="AD694">
        <v>1</v>
      </c>
    </row>
    <row r="695" spans="1:30">
      <c r="A695" t="str">
        <f>CONCATENATE(I695,J695)</f>
        <v>COMFINTEEQ</v>
      </c>
      <c r="B695" s="34">
        <v>46273</v>
      </c>
      <c r="C695" s="34">
        <v>46273</v>
      </c>
      <c r="D695" t="s">
        <v>35</v>
      </c>
      <c r="E695" t="s">
        <v>36</v>
      </c>
      <c r="F695" t="s">
        <v>37</v>
      </c>
      <c r="G695">
        <v>762628</v>
      </c>
      <c r="H695" t="s">
        <v>2141</v>
      </c>
      <c r="I695" t="s">
        <v>2142</v>
      </c>
      <c r="J695" t="s">
        <v>161</v>
      </c>
      <c r="O695" t="s">
        <v>2143</v>
      </c>
      <c r="P695">
        <v>6.13</v>
      </c>
      <c r="Q695">
        <v>6.28</v>
      </c>
      <c r="R695">
        <v>6.01</v>
      </c>
      <c r="S695">
        <v>6.11</v>
      </c>
      <c r="T695">
        <v>6.15</v>
      </c>
      <c r="U695">
        <v>6.11</v>
      </c>
      <c r="W695">
        <v>6.12</v>
      </c>
      <c r="Z695">
        <v>47608</v>
      </c>
      <c r="AA695">
        <v>292538.15999999997</v>
      </c>
      <c r="AB695">
        <v>207</v>
      </c>
      <c r="AC695" t="s">
        <v>42</v>
      </c>
      <c r="AD695">
        <v>1</v>
      </c>
    </row>
    <row r="696" spans="1:30">
      <c r="A696" t="str">
        <f>CONCATENATE(I696,J696)</f>
        <v>COMSYNEQ</v>
      </c>
      <c r="B696" s="34">
        <v>46273</v>
      </c>
      <c r="C696" s="34">
        <v>46273</v>
      </c>
      <c r="D696" t="s">
        <v>35</v>
      </c>
      <c r="E696" t="s">
        <v>36</v>
      </c>
      <c r="F696" t="s">
        <v>37</v>
      </c>
      <c r="G696">
        <v>21578</v>
      </c>
      <c r="H696" t="s">
        <v>2144</v>
      </c>
      <c r="I696" t="s">
        <v>2145</v>
      </c>
      <c r="J696" t="s">
        <v>161</v>
      </c>
      <c r="O696" t="s">
        <v>2146</v>
      </c>
      <c r="P696">
        <v>295.5</v>
      </c>
      <c r="Q696">
        <v>307.2</v>
      </c>
      <c r="R696">
        <v>286.10000000000002</v>
      </c>
      <c r="S696">
        <v>301.85000000000002</v>
      </c>
      <c r="T696">
        <v>302</v>
      </c>
      <c r="U696">
        <v>294.2</v>
      </c>
      <c r="W696">
        <v>301.85000000000002</v>
      </c>
      <c r="Z696">
        <v>1546418</v>
      </c>
      <c r="AA696">
        <v>458245776.5</v>
      </c>
      <c r="AB696">
        <v>9326</v>
      </c>
      <c r="AC696" t="s">
        <v>42</v>
      </c>
      <c r="AD696">
        <v>1</v>
      </c>
    </row>
    <row r="697" spans="1:30">
      <c r="A697" t="str">
        <f>CONCATENATE(I697,J697)</f>
        <v>COMMITTEDSM</v>
      </c>
      <c r="B697" s="34">
        <v>46273</v>
      </c>
      <c r="C697" s="34">
        <v>46273</v>
      </c>
      <c r="D697" t="s">
        <v>35</v>
      </c>
      <c r="E697" t="s">
        <v>36</v>
      </c>
      <c r="F697" t="s">
        <v>37</v>
      </c>
      <c r="G697">
        <v>19513</v>
      </c>
      <c r="H697" t="s">
        <v>2147</v>
      </c>
      <c r="I697" t="s">
        <v>2148</v>
      </c>
      <c r="J697" t="s">
        <v>267</v>
      </c>
      <c r="O697" t="s">
        <v>2149</v>
      </c>
      <c r="P697">
        <v>349</v>
      </c>
      <c r="Q697">
        <v>349</v>
      </c>
      <c r="R697">
        <v>337.25</v>
      </c>
      <c r="S697">
        <v>346.9</v>
      </c>
      <c r="T697">
        <v>346.9</v>
      </c>
      <c r="U697">
        <v>345</v>
      </c>
      <c r="W697">
        <v>346.9</v>
      </c>
      <c r="Z697">
        <v>23200</v>
      </c>
      <c r="AA697">
        <v>8056400</v>
      </c>
      <c r="AB697">
        <v>18</v>
      </c>
      <c r="AC697" t="s">
        <v>42</v>
      </c>
      <c r="AD697">
        <v>800</v>
      </c>
    </row>
    <row r="698" spans="1:30">
      <c r="A698" t="str">
        <f>CONCATENATE(I698,J698)</f>
        <v>COMPEAUEQ</v>
      </c>
      <c r="B698" s="34">
        <v>46273</v>
      </c>
      <c r="C698" s="34">
        <v>46273</v>
      </c>
      <c r="D698" t="s">
        <v>35</v>
      </c>
      <c r="E698" t="s">
        <v>36</v>
      </c>
      <c r="F698" t="s">
        <v>37</v>
      </c>
      <c r="G698">
        <v>764648</v>
      </c>
      <c r="H698" t="s">
        <v>2150</v>
      </c>
      <c r="I698" t="s">
        <v>2151</v>
      </c>
      <c r="J698" t="s">
        <v>161</v>
      </c>
      <c r="O698" t="s">
        <v>2152</v>
      </c>
      <c r="P698">
        <v>353</v>
      </c>
      <c r="Q698">
        <v>370</v>
      </c>
      <c r="R698">
        <v>345</v>
      </c>
      <c r="S698">
        <v>369</v>
      </c>
      <c r="T698">
        <v>369.3</v>
      </c>
      <c r="U698">
        <v>353</v>
      </c>
      <c r="W698">
        <v>369.47</v>
      </c>
      <c r="Z698">
        <v>1017</v>
      </c>
      <c r="AA698">
        <v>374048.25</v>
      </c>
      <c r="AB698">
        <v>38</v>
      </c>
      <c r="AC698" t="s">
        <v>42</v>
      </c>
      <c r="AD698">
        <v>1</v>
      </c>
    </row>
    <row r="699" spans="1:30">
      <c r="A699" t="str">
        <f>CONCATENATE(I699,J699)</f>
        <v>COMPINFOBZ</v>
      </c>
      <c r="B699" s="34">
        <v>46273</v>
      </c>
      <c r="C699" s="34">
        <v>46273</v>
      </c>
      <c r="D699" t="s">
        <v>35</v>
      </c>
      <c r="E699" t="s">
        <v>36</v>
      </c>
      <c r="F699" t="s">
        <v>37</v>
      </c>
      <c r="G699">
        <v>19670</v>
      </c>
      <c r="H699" t="s">
        <v>2153</v>
      </c>
      <c r="I699" t="s">
        <v>2154</v>
      </c>
      <c r="J699" t="s">
        <v>551</v>
      </c>
      <c r="O699" t="s">
        <v>2155</v>
      </c>
      <c r="P699">
        <v>1.06</v>
      </c>
      <c r="Q699">
        <v>1.1000000000000001</v>
      </c>
      <c r="R699">
        <v>1.01</v>
      </c>
      <c r="S699">
        <v>1.01</v>
      </c>
      <c r="T699">
        <v>1.01</v>
      </c>
      <c r="U699">
        <v>1.06</v>
      </c>
      <c r="W699">
        <v>1.02</v>
      </c>
      <c r="Z699">
        <v>74562</v>
      </c>
      <c r="AA699">
        <v>77777.33</v>
      </c>
      <c r="AB699">
        <v>45</v>
      </c>
      <c r="AC699" t="s">
        <v>42</v>
      </c>
      <c r="AD699">
        <v>1</v>
      </c>
    </row>
    <row r="700" spans="1:30">
      <c r="A700" t="str">
        <f>CONCATENATE(I700,J700)</f>
        <v>COMPUSOFTEQ</v>
      </c>
      <c r="B700" s="34">
        <v>46273</v>
      </c>
      <c r="C700" s="34">
        <v>46273</v>
      </c>
      <c r="D700" t="s">
        <v>35</v>
      </c>
      <c r="E700" t="s">
        <v>36</v>
      </c>
      <c r="F700" t="s">
        <v>37</v>
      </c>
      <c r="G700">
        <v>31138</v>
      </c>
      <c r="H700" t="s">
        <v>2156</v>
      </c>
      <c r="I700" t="s">
        <v>2157</v>
      </c>
      <c r="J700" t="s">
        <v>161</v>
      </c>
      <c r="O700" t="s">
        <v>2158</v>
      </c>
      <c r="P700">
        <v>13.14</v>
      </c>
      <c r="Q700">
        <v>13.28</v>
      </c>
      <c r="R700">
        <v>13</v>
      </c>
      <c r="S700">
        <v>13.15</v>
      </c>
      <c r="T700">
        <v>13.1</v>
      </c>
      <c r="U700">
        <v>13.16</v>
      </c>
      <c r="W700">
        <v>13.14</v>
      </c>
      <c r="Z700">
        <v>23897</v>
      </c>
      <c r="AA700">
        <v>314454.67</v>
      </c>
      <c r="AB700">
        <v>192</v>
      </c>
      <c r="AC700" t="s">
        <v>42</v>
      </c>
      <c r="AD700">
        <v>1</v>
      </c>
    </row>
    <row r="701" spans="1:30">
      <c r="A701" t="str">
        <f>CONCATENATE(I701,J701)</f>
        <v>CAMSEQ</v>
      </c>
      <c r="B701" s="34">
        <v>46273</v>
      </c>
      <c r="C701" s="34">
        <v>46273</v>
      </c>
      <c r="D701" t="s">
        <v>35</v>
      </c>
      <c r="E701" t="s">
        <v>36</v>
      </c>
      <c r="F701" t="s">
        <v>37</v>
      </c>
      <c r="G701">
        <v>342</v>
      </c>
      <c r="H701" t="s">
        <v>2159</v>
      </c>
      <c r="I701" t="s">
        <v>2160</v>
      </c>
      <c r="J701" t="s">
        <v>161</v>
      </c>
      <c r="O701" t="s">
        <v>2161</v>
      </c>
      <c r="P701">
        <v>737.2</v>
      </c>
      <c r="Q701">
        <v>739</v>
      </c>
      <c r="R701">
        <v>728.7</v>
      </c>
      <c r="S701">
        <v>729.5</v>
      </c>
      <c r="T701">
        <v>729.5</v>
      </c>
      <c r="U701">
        <v>736.5</v>
      </c>
      <c r="W701">
        <v>729.64</v>
      </c>
      <c r="Z701">
        <v>608207</v>
      </c>
      <c r="AA701">
        <v>444816927.5</v>
      </c>
      <c r="AB701">
        <v>30888</v>
      </c>
      <c r="AC701" t="s">
        <v>42</v>
      </c>
      <c r="AD701">
        <v>1</v>
      </c>
    </row>
    <row r="702" spans="1:30">
      <c r="A702" t="str">
        <f>CONCATENATE(I702,J702)</f>
        <v>CONCORDBIOEQ</v>
      </c>
      <c r="B702" s="34">
        <v>46273</v>
      </c>
      <c r="C702" s="34">
        <v>46273</v>
      </c>
      <c r="D702" t="s">
        <v>35</v>
      </c>
      <c r="E702" t="s">
        <v>36</v>
      </c>
      <c r="F702" t="s">
        <v>37</v>
      </c>
      <c r="G702">
        <v>18060</v>
      </c>
      <c r="H702" t="s">
        <v>2162</v>
      </c>
      <c r="I702" t="s">
        <v>2163</v>
      </c>
      <c r="J702" t="s">
        <v>161</v>
      </c>
      <c r="O702" t="s">
        <v>2164</v>
      </c>
      <c r="P702">
        <v>1443.2</v>
      </c>
      <c r="Q702">
        <v>1492</v>
      </c>
      <c r="R702">
        <v>1437.8</v>
      </c>
      <c r="S702">
        <v>1470.5</v>
      </c>
      <c r="T702">
        <v>1475</v>
      </c>
      <c r="U702">
        <v>1443.2</v>
      </c>
      <c r="W702">
        <v>1470.5</v>
      </c>
      <c r="Z702">
        <v>201961</v>
      </c>
      <c r="AA702">
        <v>295727878.19999999</v>
      </c>
      <c r="AB702">
        <v>16140</v>
      </c>
      <c r="AC702" t="s">
        <v>42</v>
      </c>
      <c r="AD702">
        <v>1</v>
      </c>
    </row>
    <row r="703" spans="1:30">
      <c r="A703" t="str">
        <f>CONCATENATE(I703,J703)</f>
        <v>CEWATEREQ</v>
      </c>
      <c r="B703" s="34">
        <v>46273</v>
      </c>
      <c r="C703" s="34">
        <v>46273</v>
      </c>
      <c r="D703" t="s">
        <v>35</v>
      </c>
      <c r="E703" t="s">
        <v>36</v>
      </c>
      <c r="F703" t="s">
        <v>37</v>
      </c>
      <c r="G703">
        <v>28764</v>
      </c>
      <c r="H703" t="s">
        <v>2165</v>
      </c>
      <c r="I703" t="s">
        <v>2166</v>
      </c>
      <c r="J703" t="s">
        <v>161</v>
      </c>
      <c r="O703" t="s">
        <v>2167</v>
      </c>
      <c r="P703">
        <v>267.5</v>
      </c>
      <c r="Q703">
        <v>269.89999999999998</v>
      </c>
      <c r="R703">
        <v>262.14999999999998</v>
      </c>
      <c r="S703">
        <v>267</v>
      </c>
      <c r="T703">
        <v>268</v>
      </c>
      <c r="U703">
        <v>265.25</v>
      </c>
      <c r="W703">
        <v>267</v>
      </c>
      <c r="Z703">
        <v>37639</v>
      </c>
      <c r="AA703">
        <v>10031487.65</v>
      </c>
      <c r="AB703">
        <v>1658</v>
      </c>
      <c r="AC703" t="s">
        <v>42</v>
      </c>
      <c r="AD703">
        <v>1</v>
      </c>
    </row>
    <row r="704" spans="1:30">
      <c r="A704" t="str">
        <f>CONCATENATE(I704,J704)</f>
        <v>CFELEQ</v>
      </c>
      <c r="B704" s="34">
        <v>46273</v>
      </c>
      <c r="C704" s="34">
        <v>46273</v>
      </c>
      <c r="D704" t="s">
        <v>35</v>
      </c>
      <c r="E704" t="s">
        <v>36</v>
      </c>
      <c r="F704" t="s">
        <v>37</v>
      </c>
      <c r="G704">
        <v>764638</v>
      </c>
      <c r="H704" t="s">
        <v>2168</v>
      </c>
      <c r="I704" t="s">
        <v>2169</v>
      </c>
      <c r="J704" t="s">
        <v>161</v>
      </c>
      <c r="O704" t="s">
        <v>2170</v>
      </c>
      <c r="P704">
        <v>31.56</v>
      </c>
      <c r="Q704">
        <v>32.75</v>
      </c>
      <c r="R704">
        <v>31.5</v>
      </c>
      <c r="S704">
        <v>32.21</v>
      </c>
      <c r="T704">
        <v>32.75</v>
      </c>
      <c r="U704">
        <v>32.479999999999997</v>
      </c>
      <c r="W704">
        <v>32.29</v>
      </c>
      <c r="Z704">
        <v>6645</v>
      </c>
      <c r="AA704">
        <v>214888.25</v>
      </c>
      <c r="AB704">
        <v>62</v>
      </c>
      <c r="AC704" t="s">
        <v>42</v>
      </c>
      <c r="AD704">
        <v>1</v>
      </c>
    </row>
    <row r="705" spans="1:30">
      <c r="A705" t="str">
        <f>CONCATENATE(I705,J705)</f>
        <v>CONFIPETEQ</v>
      </c>
      <c r="B705" s="34">
        <v>46273</v>
      </c>
      <c r="C705" s="34">
        <v>46273</v>
      </c>
      <c r="D705" t="s">
        <v>35</v>
      </c>
      <c r="E705" t="s">
        <v>36</v>
      </c>
      <c r="F705" t="s">
        <v>37</v>
      </c>
      <c r="G705">
        <v>10238</v>
      </c>
      <c r="H705" t="s">
        <v>2171</v>
      </c>
      <c r="I705" t="s">
        <v>2172</v>
      </c>
      <c r="J705" t="s">
        <v>161</v>
      </c>
      <c r="O705" t="s">
        <v>2173</v>
      </c>
      <c r="P705">
        <v>82.88</v>
      </c>
      <c r="Q705">
        <v>85</v>
      </c>
      <c r="R705">
        <v>82</v>
      </c>
      <c r="S705">
        <v>82.49</v>
      </c>
      <c r="T705">
        <v>82.45</v>
      </c>
      <c r="U705">
        <v>82.18</v>
      </c>
      <c r="W705">
        <v>82.49</v>
      </c>
      <c r="Z705">
        <v>3653848</v>
      </c>
      <c r="AA705">
        <v>304082214.08999997</v>
      </c>
      <c r="AB705">
        <v>13675</v>
      </c>
      <c r="AC705" t="s">
        <v>42</v>
      </c>
      <c r="AD705">
        <v>1</v>
      </c>
    </row>
    <row r="706" spans="1:30">
      <c r="A706" t="str">
        <f>CONCATENATE(I706,J706)</f>
        <v>CONNPLEXSM</v>
      </c>
      <c r="B706" s="34">
        <v>46273</v>
      </c>
      <c r="C706" s="34">
        <v>46273</v>
      </c>
      <c r="D706" t="s">
        <v>35</v>
      </c>
      <c r="E706" t="s">
        <v>36</v>
      </c>
      <c r="F706" t="s">
        <v>37</v>
      </c>
      <c r="G706">
        <v>758453</v>
      </c>
      <c r="H706" t="s">
        <v>2174</v>
      </c>
      <c r="I706" t="s">
        <v>2175</v>
      </c>
      <c r="J706" t="s">
        <v>267</v>
      </c>
      <c r="O706" t="s">
        <v>2176</v>
      </c>
      <c r="P706">
        <v>251.9</v>
      </c>
      <c r="Q706">
        <v>253.8</v>
      </c>
      <c r="R706">
        <v>243</v>
      </c>
      <c r="S706">
        <v>250</v>
      </c>
      <c r="T706">
        <v>250</v>
      </c>
      <c r="U706">
        <v>247.45</v>
      </c>
      <c r="W706">
        <v>250</v>
      </c>
      <c r="Z706">
        <v>38400</v>
      </c>
      <c r="AA706">
        <v>9555760</v>
      </c>
      <c r="AB706">
        <v>48</v>
      </c>
      <c r="AC706" t="s">
        <v>42</v>
      </c>
      <c r="AD706">
        <v>800</v>
      </c>
    </row>
    <row r="707" spans="1:30">
      <c r="A707" t="str">
        <f>CONCATENATE(I707,J707)</f>
        <v>CCCLEQ</v>
      </c>
      <c r="B707" s="34">
        <v>46273</v>
      </c>
      <c r="C707" s="34">
        <v>46273</v>
      </c>
      <c r="D707" t="s">
        <v>35</v>
      </c>
      <c r="E707" t="s">
        <v>36</v>
      </c>
      <c r="F707" t="s">
        <v>37</v>
      </c>
      <c r="G707">
        <v>14992</v>
      </c>
      <c r="H707" t="s">
        <v>2177</v>
      </c>
      <c r="I707" t="s">
        <v>2178</v>
      </c>
      <c r="J707" t="s">
        <v>161</v>
      </c>
      <c r="O707" t="s">
        <v>2179</v>
      </c>
      <c r="P707">
        <v>14.37</v>
      </c>
      <c r="Q707">
        <v>14.4</v>
      </c>
      <c r="R707">
        <v>14</v>
      </c>
      <c r="S707">
        <v>14.09</v>
      </c>
      <c r="T707">
        <v>14.25</v>
      </c>
      <c r="U707">
        <v>14.14</v>
      </c>
      <c r="W707">
        <v>14.09</v>
      </c>
      <c r="Z707">
        <v>123596</v>
      </c>
      <c r="AA707">
        <v>1751212.84</v>
      </c>
      <c r="AB707">
        <v>429</v>
      </c>
      <c r="AC707" t="s">
        <v>42</v>
      </c>
      <c r="AD707">
        <v>1</v>
      </c>
    </row>
    <row r="708" spans="1:30">
      <c r="A708" t="str">
        <f>CONCATENATE(I708,J708)</f>
        <v>CONSOFINVTBE</v>
      </c>
      <c r="B708" s="34">
        <v>46273</v>
      </c>
      <c r="C708" s="34">
        <v>46273</v>
      </c>
      <c r="D708" t="s">
        <v>35</v>
      </c>
      <c r="E708" t="s">
        <v>36</v>
      </c>
      <c r="F708" t="s">
        <v>37</v>
      </c>
      <c r="G708">
        <v>11732</v>
      </c>
      <c r="H708" t="s">
        <v>2180</v>
      </c>
      <c r="I708" t="s">
        <v>2181</v>
      </c>
      <c r="J708" t="s">
        <v>183</v>
      </c>
      <c r="O708" t="s">
        <v>2182</v>
      </c>
      <c r="P708">
        <v>317.8</v>
      </c>
      <c r="Q708">
        <v>317.8</v>
      </c>
      <c r="R708">
        <v>292</v>
      </c>
      <c r="S708">
        <v>317.45</v>
      </c>
      <c r="T708">
        <v>317.35000000000002</v>
      </c>
      <c r="U708">
        <v>302.7</v>
      </c>
      <c r="W708">
        <v>317.45</v>
      </c>
      <c r="Z708">
        <v>88010</v>
      </c>
      <c r="AA708">
        <v>27756662.949999999</v>
      </c>
      <c r="AB708">
        <v>317</v>
      </c>
      <c r="AC708" t="s">
        <v>42</v>
      </c>
      <c r="AD708">
        <v>1</v>
      </c>
    </row>
    <row r="709" spans="1:30">
      <c r="A709" t="str">
        <f>CONCATENATE(I709,J709)</f>
        <v>CONCOREQ</v>
      </c>
      <c r="B709" s="34">
        <v>46273</v>
      </c>
      <c r="C709" s="34">
        <v>46273</v>
      </c>
      <c r="D709" t="s">
        <v>35</v>
      </c>
      <c r="E709" t="s">
        <v>36</v>
      </c>
      <c r="F709" t="s">
        <v>37</v>
      </c>
      <c r="G709">
        <v>4749</v>
      </c>
      <c r="H709" t="s">
        <v>2183</v>
      </c>
      <c r="I709" t="s">
        <v>2184</v>
      </c>
      <c r="J709" t="s">
        <v>161</v>
      </c>
      <c r="O709" t="s">
        <v>2185</v>
      </c>
      <c r="P709">
        <v>503</v>
      </c>
      <c r="Q709">
        <v>512.79999999999995</v>
      </c>
      <c r="R709">
        <v>499.05</v>
      </c>
      <c r="S709">
        <v>502</v>
      </c>
      <c r="T709">
        <v>502</v>
      </c>
      <c r="U709">
        <v>503.9</v>
      </c>
      <c r="W709">
        <v>502.03</v>
      </c>
      <c r="Z709">
        <v>924971</v>
      </c>
      <c r="AA709">
        <v>467071775.35000002</v>
      </c>
      <c r="AB709">
        <v>18247</v>
      </c>
      <c r="AC709" t="s">
        <v>42</v>
      </c>
      <c r="AD709">
        <v>1</v>
      </c>
    </row>
    <row r="710" spans="1:30">
      <c r="A710" t="str">
        <f>CONCATENATE(I710,J710)</f>
        <v>CONTROLPREQ</v>
      </c>
      <c r="B710" s="34">
        <v>46273</v>
      </c>
      <c r="C710" s="34">
        <v>46273</v>
      </c>
      <c r="D710" t="s">
        <v>35</v>
      </c>
      <c r="E710" t="s">
        <v>36</v>
      </c>
      <c r="F710" t="s">
        <v>37</v>
      </c>
      <c r="G710">
        <v>17477</v>
      </c>
      <c r="H710" t="s">
        <v>2186</v>
      </c>
      <c r="I710" t="s">
        <v>2187</v>
      </c>
      <c r="J710" t="s">
        <v>161</v>
      </c>
      <c r="O710" t="s">
        <v>2188</v>
      </c>
      <c r="P710">
        <v>600.95000000000005</v>
      </c>
      <c r="Q710">
        <v>602</v>
      </c>
      <c r="R710">
        <v>592.5</v>
      </c>
      <c r="S710">
        <v>593.29999999999995</v>
      </c>
      <c r="T710">
        <v>595</v>
      </c>
      <c r="U710">
        <v>600.20000000000005</v>
      </c>
      <c r="W710">
        <v>593.29999999999995</v>
      </c>
      <c r="Z710">
        <v>12773</v>
      </c>
      <c r="AA710">
        <v>7626701.4000000004</v>
      </c>
      <c r="AB710">
        <v>1144</v>
      </c>
      <c r="AC710" t="s">
        <v>42</v>
      </c>
      <c r="AD710">
        <v>1</v>
      </c>
    </row>
    <row r="711" spans="1:30">
      <c r="A711" t="str">
        <f>CONCATENATE(I711,J711)</f>
        <v>COOLCAPSST</v>
      </c>
      <c r="B711" s="34">
        <v>46273</v>
      </c>
      <c r="C711" s="34">
        <v>46273</v>
      </c>
      <c r="D711" t="s">
        <v>35</v>
      </c>
      <c r="E711" t="s">
        <v>36</v>
      </c>
      <c r="F711" t="s">
        <v>37</v>
      </c>
      <c r="G711">
        <v>8567</v>
      </c>
      <c r="H711" t="s">
        <v>2189</v>
      </c>
      <c r="I711" t="s">
        <v>2190</v>
      </c>
      <c r="J711" t="s">
        <v>328</v>
      </c>
      <c r="O711" t="s">
        <v>2191</v>
      </c>
      <c r="P711">
        <v>25</v>
      </c>
      <c r="Q711">
        <v>26.05</v>
      </c>
      <c r="R711">
        <v>24</v>
      </c>
      <c r="S711">
        <v>25.2</v>
      </c>
      <c r="T711">
        <v>25.2</v>
      </c>
      <c r="U711">
        <v>24.85</v>
      </c>
      <c r="W711">
        <v>25.2</v>
      </c>
      <c r="Z711">
        <v>155000</v>
      </c>
      <c r="AA711">
        <v>3897750</v>
      </c>
      <c r="AB711">
        <v>107</v>
      </c>
      <c r="AC711" t="s">
        <v>42</v>
      </c>
      <c r="AD711">
        <v>1250</v>
      </c>
    </row>
    <row r="712" spans="1:30">
      <c r="A712" t="str">
        <f>CONCATENATE(I712,J712)</f>
        <v>CORALFINACEQ</v>
      </c>
      <c r="B712" s="34">
        <v>46273</v>
      </c>
      <c r="C712" s="34">
        <v>46273</v>
      </c>
      <c r="D712" t="s">
        <v>35</v>
      </c>
      <c r="E712" t="s">
        <v>36</v>
      </c>
      <c r="F712" t="s">
        <v>37</v>
      </c>
      <c r="G712">
        <v>4007</v>
      </c>
      <c r="H712" t="s">
        <v>2192</v>
      </c>
      <c r="I712" t="s">
        <v>2193</v>
      </c>
      <c r="J712" t="s">
        <v>161</v>
      </c>
      <c r="O712" t="s">
        <v>2194</v>
      </c>
      <c r="P712">
        <v>32.840000000000003</v>
      </c>
      <c r="Q712">
        <v>33.869999999999997</v>
      </c>
      <c r="R712">
        <v>32</v>
      </c>
      <c r="S712">
        <v>32.58</v>
      </c>
      <c r="T712">
        <v>32.25</v>
      </c>
      <c r="U712">
        <v>32.68</v>
      </c>
      <c r="W712">
        <v>32.58</v>
      </c>
      <c r="Z712">
        <v>19540</v>
      </c>
      <c r="AA712">
        <v>637361.81999999995</v>
      </c>
      <c r="AB712">
        <v>306</v>
      </c>
      <c r="AC712" t="s">
        <v>42</v>
      </c>
      <c r="AD712">
        <v>1</v>
      </c>
    </row>
    <row r="713" spans="1:30">
      <c r="A713" t="str">
        <f>CONCATENATE(I713,J713)</f>
        <v>CORDSCABLEEQ</v>
      </c>
      <c r="B713" s="34">
        <v>46273</v>
      </c>
      <c r="C713" s="34">
        <v>46273</v>
      </c>
      <c r="D713" t="s">
        <v>35</v>
      </c>
      <c r="E713" t="s">
        <v>36</v>
      </c>
      <c r="F713" t="s">
        <v>37</v>
      </c>
      <c r="G713">
        <v>15271</v>
      </c>
      <c r="H713" t="s">
        <v>2195</v>
      </c>
      <c r="I713" t="s">
        <v>2196</v>
      </c>
      <c r="J713" t="s">
        <v>161</v>
      </c>
      <c r="O713" t="s">
        <v>2197</v>
      </c>
      <c r="P713">
        <v>314.85000000000002</v>
      </c>
      <c r="Q713">
        <v>376</v>
      </c>
      <c r="R713">
        <v>303</v>
      </c>
      <c r="S713">
        <v>372.75</v>
      </c>
      <c r="T713">
        <v>376</v>
      </c>
      <c r="U713">
        <v>313.35000000000002</v>
      </c>
      <c r="W713">
        <v>372.69</v>
      </c>
      <c r="Z713">
        <v>1937988</v>
      </c>
      <c r="AA713">
        <v>691116005.60000002</v>
      </c>
      <c r="AB713">
        <v>34539</v>
      </c>
      <c r="AC713" t="s">
        <v>42</v>
      </c>
      <c r="AD713">
        <v>1</v>
      </c>
    </row>
    <row r="714" spans="1:30">
      <c r="A714" t="str">
        <f>CONCATENATE(I714,J714)</f>
        <v>COROMANDELEQ</v>
      </c>
      <c r="B714" s="34">
        <v>46273</v>
      </c>
      <c r="C714" s="34">
        <v>46273</v>
      </c>
      <c r="D714" t="s">
        <v>35</v>
      </c>
      <c r="E714" t="s">
        <v>36</v>
      </c>
      <c r="F714" t="s">
        <v>37</v>
      </c>
      <c r="G714">
        <v>739</v>
      </c>
      <c r="H714" t="s">
        <v>2198</v>
      </c>
      <c r="I714" t="s">
        <v>2199</v>
      </c>
      <c r="J714" t="s">
        <v>161</v>
      </c>
      <c r="O714" t="s">
        <v>2200</v>
      </c>
      <c r="P714">
        <v>1979</v>
      </c>
      <c r="Q714">
        <v>1979.1</v>
      </c>
      <c r="R714">
        <v>1940.5</v>
      </c>
      <c r="S714">
        <v>1951.1</v>
      </c>
      <c r="T714">
        <v>1950.9</v>
      </c>
      <c r="U714">
        <v>1974.6</v>
      </c>
      <c r="W714">
        <v>1951.1</v>
      </c>
      <c r="Z714">
        <v>61408</v>
      </c>
      <c r="AA714">
        <v>119807244.2</v>
      </c>
      <c r="AB714">
        <v>12712</v>
      </c>
      <c r="AC714" t="s">
        <v>42</v>
      </c>
      <c r="AD714">
        <v>1</v>
      </c>
    </row>
    <row r="715" spans="1:30">
      <c r="A715" t="str">
        <f>CONCATENATE(I715,J715)</f>
        <v>CORONAEQ</v>
      </c>
      <c r="B715" s="34">
        <v>46273</v>
      </c>
      <c r="C715" s="34">
        <v>46273</v>
      </c>
      <c r="D715" t="s">
        <v>35</v>
      </c>
      <c r="E715" t="s">
        <v>36</v>
      </c>
      <c r="F715" t="s">
        <v>37</v>
      </c>
      <c r="G715">
        <v>760254</v>
      </c>
      <c r="H715" t="s">
        <v>2201</v>
      </c>
      <c r="I715" t="s">
        <v>2202</v>
      </c>
      <c r="J715" t="s">
        <v>161</v>
      </c>
      <c r="O715" t="s">
        <v>2203</v>
      </c>
      <c r="P715">
        <v>2093.4</v>
      </c>
      <c r="Q715">
        <v>2107.5</v>
      </c>
      <c r="R715">
        <v>2054.8000000000002</v>
      </c>
      <c r="S715">
        <v>2093.1999999999998</v>
      </c>
      <c r="T715">
        <v>2100</v>
      </c>
      <c r="U715">
        <v>2071.4</v>
      </c>
      <c r="W715">
        <v>2092.87</v>
      </c>
      <c r="Z715">
        <v>9813</v>
      </c>
      <c r="AA715">
        <v>20433110.699999999</v>
      </c>
      <c r="AB715">
        <v>2207</v>
      </c>
      <c r="AC715" t="s">
        <v>42</v>
      </c>
      <c r="AD715">
        <v>1</v>
      </c>
    </row>
    <row r="716" spans="1:30">
      <c r="A716" t="str">
        <f>CONCATENATE(I716,J716)</f>
        <v>COSMOFIRSTEQ</v>
      </c>
      <c r="B716" s="34">
        <v>46273</v>
      </c>
      <c r="C716" s="34">
        <v>46273</v>
      </c>
      <c r="D716" t="s">
        <v>35</v>
      </c>
      <c r="E716" t="s">
        <v>36</v>
      </c>
      <c r="F716" t="s">
        <v>37</v>
      </c>
      <c r="G716">
        <v>742</v>
      </c>
      <c r="H716" t="s">
        <v>2204</v>
      </c>
      <c r="I716" t="s">
        <v>2205</v>
      </c>
      <c r="J716" t="s">
        <v>161</v>
      </c>
      <c r="O716" t="s">
        <v>2206</v>
      </c>
      <c r="P716">
        <v>935.4</v>
      </c>
      <c r="Q716">
        <v>935.4</v>
      </c>
      <c r="R716">
        <v>905</v>
      </c>
      <c r="S716">
        <v>909.15</v>
      </c>
      <c r="T716">
        <v>911.95</v>
      </c>
      <c r="U716">
        <v>926.3</v>
      </c>
      <c r="W716">
        <v>909.13</v>
      </c>
      <c r="Z716">
        <v>40826</v>
      </c>
      <c r="AA716">
        <v>37227350.75</v>
      </c>
      <c r="AB716">
        <v>3021</v>
      </c>
      <c r="AC716" t="s">
        <v>42</v>
      </c>
      <c r="AD716">
        <v>1</v>
      </c>
    </row>
    <row r="717" spans="1:30">
      <c r="A717" t="str">
        <f>CONCATENATE(I717,J717)</f>
        <v>CCHHLEQ</v>
      </c>
      <c r="B717" s="34">
        <v>46273</v>
      </c>
      <c r="C717" s="34">
        <v>46273</v>
      </c>
      <c r="D717" t="s">
        <v>35</v>
      </c>
      <c r="E717" t="s">
        <v>36</v>
      </c>
      <c r="F717" t="s">
        <v>37</v>
      </c>
      <c r="G717">
        <v>6385</v>
      </c>
      <c r="H717" t="s">
        <v>2207</v>
      </c>
      <c r="I717" t="s">
        <v>2208</v>
      </c>
      <c r="J717" t="s">
        <v>161</v>
      </c>
      <c r="O717" t="s">
        <v>2209</v>
      </c>
      <c r="P717">
        <v>12.65</v>
      </c>
      <c r="Q717">
        <v>12.99</v>
      </c>
      <c r="R717">
        <v>12.42</v>
      </c>
      <c r="S717">
        <v>12.69</v>
      </c>
      <c r="T717">
        <v>12.73</v>
      </c>
      <c r="U717">
        <v>12.65</v>
      </c>
      <c r="W717">
        <v>12.69</v>
      </c>
      <c r="Z717">
        <v>29869</v>
      </c>
      <c r="AA717">
        <v>380981.13</v>
      </c>
      <c r="AB717">
        <v>98</v>
      </c>
      <c r="AC717" t="s">
        <v>42</v>
      </c>
      <c r="AD717">
        <v>1</v>
      </c>
    </row>
    <row r="718" spans="1:30">
      <c r="A718" t="str">
        <f>CONCATENATE(I718,J718)</f>
        <v>COUNCODOSBE</v>
      </c>
      <c r="B718" s="34">
        <v>46273</v>
      </c>
      <c r="C718" s="34">
        <v>46273</v>
      </c>
      <c r="D718" t="s">
        <v>35</v>
      </c>
      <c r="E718" t="s">
        <v>36</v>
      </c>
      <c r="F718" t="s">
        <v>37</v>
      </c>
      <c r="G718">
        <v>16989</v>
      </c>
      <c r="H718" t="s">
        <v>2210</v>
      </c>
      <c r="I718" t="s">
        <v>2211</v>
      </c>
      <c r="J718" t="s">
        <v>183</v>
      </c>
      <c r="O718" t="s">
        <v>2212</v>
      </c>
      <c r="P718">
        <v>6.58</v>
      </c>
      <c r="Q718">
        <v>6.58</v>
      </c>
      <c r="R718">
        <v>6.31</v>
      </c>
      <c r="S718">
        <v>6.51</v>
      </c>
      <c r="T718">
        <v>6.54</v>
      </c>
      <c r="U718">
        <v>6.51</v>
      </c>
      <c r="W718">
        <v>6.51</v>
      </c>
      <c r="Z718">
        <v>14203</v>
      </c>
      <c r="AA718">
        <v>91339.47</v>
      </c>
      <c r="AB718">
        <v>116</v>
      </c>
      <c r="AC718" t="s">
        <v>42</v>
      </c>
      <c r="AD718">
        <v>1</v>
      </c>
    </row>
    <row r="719" spans="1:30">
      <c r="A719" t="str">
        <f>CONCATENATE(I719,J719)</f>
        <v>CPCAPEQ</v>
      </c>
      <c r="B719" s="34">
        <v>46273</v>
      </c>
      <c r="C719" s="34">
        <v>46273</v>
      </c>
      <c r="D719" t="s">
        <v>35</v>
      </c>
      <c r="E719" t="s">
        <v>36</v>
      </c>
      <c r="F719" t="s">
        <v>37</v>
      </c>
      <c r="G719">
        <v>20086</v>
      </c>
      <c r="H719" t="s">
        <v>2213</v>
      </c>
      <c r="I719" t="s">
        <v>2214</v>
      </c>
      <c r="J719" t="s">
        <v>161</v>
      </c>
      <c r="O719" t="s">
        <v>2215</v>
      </c>
      <c r="P719">
        <v>140</v>
      </c>
      <c r="Q719">
        <v>142</v>
      </c>
      <c r="R719">
        <v>136.1</v>
      </c>
      <c r="S719">
        <v>137.36000000000001</v>
      </c>
      <c r="T719">
        <v>136.94999999999999</v>
      </c>
      <c r="U719">
        <v>135.88999999999999</v>
      </c>
      <c r="W719">
        <v>137.37</v>
      </c>
      <c r="Z719">
        <v>88590</v>
      </c>
      <c r="AA719">
        <v>12347839.550000001</v>
      </c>
      <c r="AB719">
        <v>901</v>
      </c>
      <c r="AC719" t="s">
        <v>42</v>
      </c>
      <c r="AD719">
        <v>1</v>
      </c>
    </row>
    <row r="720" spans="1:30">
      <c r="A720" t="str">
        <f>CONCATENATE(I720,J720)</f>
        <v>CPSEETFEQ</v>
      </c>
      <c r="B720" s="34">
        <v>46273</v>
      </c>
      <c r="C720" s="34">
        <v>46273</v>
      </c>
      <c r="D720" t="s">
        <v>35</v>
      </c>
      <c r="E720" t="s">
        <v>36</v>
      </c>
      <c r="F720" t="s">
        <v>37</v>
      </c>
      <c r="G720">
        <v>2328</v>
      </c>
      <c r="H720" t="s">
        <v>2216</v>
      </c>
      <c r="I720" t="s">
        <v>2217</v>
      </c>
      <c r="J720" t="s">
        <v>161</v>
      </c>
      <c r="O720" t="s">
        <v>2218</v>
      </c>
      <c r="P720">
        <v>94.24</v>
      </c>
      <c r="Q720">
        <v>94.4</v>
      </c>
      <c r="R720">
        <v>93.34</v>
      </c>
      <c r="S720">
        <v>94.23</v>
      </c>
      <c r="T720">
        <v>94.3</v>
      </c>
      <c r="U720">
        <v>93.47</v>
      </c>
      <c r="W720">
        <v>94.23</v>
      </c>
      <c r="Z720">
        <v>1324882</v>
      </c>
      <c r="AA720">
        <v>124589806.70999999</v>
      </c>
      <c r="AB720">
        <v>5429</v>
      </c>
      <c r="AC720" t="s">
        <v>42</v>
      </c>
      <c r="AD720">
        <v>1</v>
      </c>
    </row>
    <row r="721" spans="1:30">
      <c r="A721" t="str">
        <f>CONCATENATE(I721,J721)</f>
        <v>CRAFTSMANEQ</v>
      </c>
      <c r="B721" s="34">
        <v>46273</v>
      </c>
      <c r="C721" s="34">
        <v>46273</v>
      </c>
      <c r="D721" t="s">
        <v>35</v>
      </c>
      <c r="E721" t="s">
        <v>36</v>
      </c>
      <c r="F721" t="s">
        <v>37</v>
      </c>
      <c r="G721">
        <v>2854</v>
      </c>
      <c r="H721" t="s">
        <v>2219</v>
      </c>
      <c r="I721" t="s">
        <v>2220</v>
      </c>
      <c r="J721" t="s">
        <v>161</v>
      </c>
      <c r="O721" t="s">
        <v>2221</v>
      </c>
      <c r="P721">
        <v>11343</v>
      </c>
      <c r="Q721">
        <v>11542</v>
      </c>
      <c r="R721">
        <v>11297</v>
      </c>
      <c r="S721">
        <v>11406</v>
      </c>
      <c r="T721">
        <v>11390</v>
      </c>
      <c r="U721">
        <v>11297</v>
      </c>
      <c r="W721">
        <v>11406.17</v>
      </c>
      <c r="Z721">
        <v>22659</v>
      </c>
      <c r="AA721">
        <v>258970494</v>
      </c>
      <c r="AB721">
        <v>8195</v>
      </c>
      <c r="AC721" t="s">
        <v>42</v>
      </c>
      <c r="AD721">
        <v>1</v>
      </c>
    </row>
    <row r="722" spans="1:30">
      <c r="A722" t="str">
        <f>CONCATENATE(I722,J722)</f>
        <v>CRAVATEXEQ</v>
      </c>
      <c r="B722" s="34">
        <v>46273</v>
      </c>
      <c r="C722" s="34">
        <v>46273</v>
      </c>
      <c r="D722" t="s">
        <v>35</v>
      </c>
      <c r="E722" t="s">
        <v>36</v>
      </c>
      <c r="F722" t="s">
        <v>37</v>
      </c>
      <c r="G722">
        <v>764653</v>
      </c>
      <c r="H722" t="s">
        <v>2222</v>
      </c>
      <c r="I722" t="s">
        <v>2223</v>
      </c>
      <c r="J722" t="s">
        <v>161</v>
      </c>
      <c r="O722" t="s">
        <v>2224</v>
      </c>
      <c r="P722">
        <v>337.95</v>
      </c>
      <c r="Q722">
        <v>339.9</v>
      </c>
      <c r="R722">
        <v>315</v>
      </c>
      <c r="S722">
        <v>317.35000000000002</v>
      </c>
      <c r="T722">
        <v>316</v>
      </c>
      <c r="U722">
        <v>322.05</v>
      </c>
      <c r="W722">
        <v>318.66000000000003</v>
      </c>
      <c r="Z722">
        <v>1220</v>
      </c>
      <c r="AA722">
        <v>399094.5</v>
      </c>
      <c r="AB722">
        <v>40</v>
      </c>
      <c r="AC722" t="s">
        <v>42</v>
      </c>
      <c r="AD722">
        <v>1</v>
      </c>
    </row>
    <row r="723" spans="1:30">
      <c r="A723" t="str">
        <f>CONCATENATE(I723,J723)</f>
        <v>CRAYONSSM</v>
      </c>
      <c r="B723" s="34">
        <v>46273</v>
      </c>
      <c r="C723" s="34">
        <v>46273</v>
      </c>
      <c r="D723" t="s">
        <v>35</v>
      </c>
      <c r="E723" t="s">
        <v>36</v>
      </c>
      <c r="F723" t="s">
        <v>37</v>
      </c>
      <c r="G723">
        <v>16419</v>
      </c>
      <c r="H723" t="s">
        <v>2225</v>
      </c>
      <c r="I723" t="s">
        <v>2226</v>
      </c>
      <c r="J723" t="s">
        <v>267</v>
      </c>
      <c r="O723" t="s">
        <v>2227</v>
      </c>
      <c r="P723">
        <v>24.1</v>
      </c>
      <c r="Q723">
        <v>24.1</v>
      </c>
      <c r="R723">
        <v>24</v>
      </c>
      <c r="S723">
        <v>24</v>
      </c>
      <c r="T723">
        <v>24</v>
      </c>
      <c r="U723">
        <v>24</v>
      </c>
      <c r="W723">
        <v>24</v>
      </c>
      <c r="Z723">
        <v>3000</v>
      </c>
      <c r="AA723">
        <v>72100</v>
      </c>
      <c r="AB723">
        <v>3</v>
      </c>
      <c r="AC723" t="s">
        <v>42</v>
      </c>
      <c r="AD723">
        <v>1000</v>
      </c>
    </row>
    <row r="724" spans="1:30">
      <c r="A724" t="str">
        <f>CONCATENATE(I724,J724)</f>
        <v>CREATIVEYEEQ</v>
      </c>
      <c r="B724" s="34">
        <v>46273</v>
      </c>
      <c r="C724" s="34">
        <v>46273</v>
      </c>
      <c r="D724" t="s">
        <v>35</v>
      </c>
      <c r="E724" t="s">
        <v>36</v>
      </c>
      <c r="F724" t="s">
        <v>37</v>
      </c>
      <c r="G724">
        <v>9384</v>
      </c>
      <c r="H724" t="s">
        <v>2228</v>
      </c>
      <c r="I724" t="s">
        <v>2229</v>
      </c>
      <c r="J724" t="s">
        <v>161</v>
      </c>
      <c r="O724" t="s">
        <v>2230</v>
      </c>
      <c r="P724">
        <v>6.01</v>
      </c>
      <c r="Q724">
        <v>6.23</v>
      </c>
      <c r="R724">
        <v>5.95</v>
      </c>
      <c r="S724">
        <v>6.09</v>
      </c>
      <c r="T724">
        <v>6.19</v>
      </c>
      <c r="U724">
        <v>6.18</v>
      </c>
      <c r="W724">
        <v>6.09</v>
      </c>
      <c r="Z724">
        <v>7155</v>
      </c>
      <c r="AA724">
        <v>43177.37</v>
      </c>
      <c r="AB724">
        <v>59</v>
      </c>
      <c r="AC724" t="s">
        <v>42</v>
      </c>
      <c r="AD724">
        <v>1</v>
      </c>
    </row>
    <row r="725" spans="1:30">
      <c r="A725" t="str">
        <f>CONCATENATE(I725,J725)</f>
        <v>CGRAPHICSSM</v>
      </c>
      <c r="B725" s="34">
        <v>46273</v>
      </c>
      <c r="C725" s="34">
        <v>46273</v>
      </c>
      <c r="D725" t="s">
        <v>35</v>
      </c>
      <c r="E725" t="s">
        <v>36</v>
      </c>
      <c r="F725" t="s">
        <v>37</v>
      </c>
      <c r="G725">
        <v>23468</v>
      </c>
      <c r="H725" t="s">
        <v>2231</v>
      </c>
      <c r="I725" t="s">
        <v>2232</v>
      </c>
      <c r="J725" t="s">
        <v>267</v>
      </c>
      <c r="O725" t="s">
        <v>2233</v>
      </c>
      <c r="P725">
        <v>143</v>
      </c>
      <c r="Q725">
        <v>148</v>
      </c>
      <c r="R725">
        <v>141.05000000000001</v>
      </c>
      <c r="S725">
        <v>148</v>
      </c>
      <c r="T725">
        <v>148</v>
      </c>
      <c r="U725">
        <v>142.85</v>
      </c>
      <c r="W725">
        <v>148</v>
      </c>
      <c r="Z725">
        <v>18400</v>
      </c>
      <c r="AA725">
        <v>2659240</v>
      </c>
      <c r="AB725">
        <v>23</v>
      </c>
      <c r="AC725" t="s">
        <v>42</v>
      </c>
      <c r="AD725">
        <v>800</v>
      </c>
    </row>
    <row r="726" spans="1:30">
      <c r="A726" t="str">
        <f>CONCATENATE(I726,J726)</f>
        <v>CNLEQ</v>
      </c>
      <c r="B726" s="34">
        <v>46273</v>
      </c>
      <c r="C726" s="34">
        <v>46273</v>
      </c>
      <c r="D726" t="s">
        <v>35</v>
      </c>
      <c r="E726" t="s">
        <v>36</v>
      </c>
      <c r="F726" t="s">
        <v>37</v>
      </c>
      <c r="G726">
        <v>11155</v>
      </c>
      <c r="H726" t="s">
        <v>2234</v>
      </c>
      <c r="I726" t="s">
        <v>2235</v>
      </c>
      <c r="J726" t="s">
        <v>161</v>
      </c>
      <c r="O726" t="s">
        <v>2236</v>
      </c>
      <c r="P726">
        <v>1209.5</v>
      </c>
      <c r="Q726">
        <v>1215</v>
      </c>
      <c r="R726">
        <v>1131</v>
      </c>
      <c r="S726">
        <v>1149.2</v>
      </c>
      <c r="T726">
        <v>1145</v>
      </c>
      <c r="U726">
        <v>1209.5</v>
      </c>
      <c r="W726">
        <v>1149.23</v>
      </c>
      <c r="Z726">
        <v>64047</v>
      </c>
      <c r="AA726">
        <v>74060613.099999994</v>
      </c>
      <c r="AB726">
        <v>4277</v>
      </c>
      <c r="AC726" t="s">
        <v>42</v>
      </c>
      <c r="AD726">
        <v>1</v>
      </c>
    </row>
    <row r="727" spans="1:30">
      <c r="A727" t="str">
        <f>CONCATENATE(I727,J727)</f>
        <v>CREDENTSM</v>
      </c>
      <c r="B727" s="34">
        <v>46273</v>
      </c>
      <c r="C727" s="34">
        <v>46273</v>
      </c>
      <c r="D727" t="s">
        <v>35</v>
      </c>
      <c r="E727" t="s">
        <v>36</v>
      </c>
      <c r="F727" t="s">
        <v>37</v>
      </c>
      <c r="G727">
        <v>765303</v>
      </c>
      <c r="H727" t="s">
        <v>2237</v>
      </c>
      <c r="I727" t="s">
        <v>2238</v>
      </c>
      <c r="J727" t="s">
        <v>267</v>
      </c>
      <c r="O727" t="s">
        <v>2239</v>
      </c>
      <c r="P727">
        <v>324.5</v>
      </c>
      <c r="Q727">
        <v>330</v>
      </c>
      <c r="R727">
        <v>314.14999999999998</v>
      </c>
      <c r="S727">
        <v>315.39999999999998</v>
      </c>
      <c r="T727">
        <v>314.14999999999998</v>
      </c>
      <c r="U727">
        <v>324.5</v>
      </c>
      <c r="W727">
        <v>315.39999999999998</v>
      </c>
      <c r="Z727">
        <v>57000</v>
      </c>
      <c r="AA727">
        <v>18238170</v>
      </c>
      <c r="AB727">
        <v>77</v>
      </c>
      <c r="AC727" t="s">
        <v>42</v>
      </c>
      <c r="AD727">
        <v>600</v>
      </c>
    </row>
    <row r="728" spans="1:30">
      <c r="A728" t="str">
        <f>CONCATENATE(I728,J728)</f>
        <v>CREDITACCEQ</v>
      </c>
      <c r="B728" s="34">
        <v>46273</v>
      </c>
      <c r="C728" s="34">
        <v>46273</v>
      </c>
      <c r="D728" t="s">
        <v>35</v>
      </c>
      <c r="E728" t="s">
        <v>36</v>
      </c>
      <c r="F728" t="s">
        <v>37</v>
      </c>
      <c r="G728">
        <v>4421</v>
      </c>
      <c r="H728" t="s">
        <v>2240</v>
      </c>
      <c r="I728" t="s">
        <v>2241</v>
      </c>
      <c r="J728" t="s">
        <v>161</v>
      </c>
      <c r="O728" t="s">
        <v>2242</v>
      </c>
      <c r="P728">
        <v>1425</v>
      </c>
      <c r="Q728">
        <v>1429.9</v>
      </c>
      <c r="R728">
        <v>1392.5</v>
      </c>
      <c r="S728">
        <v>1417.1</v>
      </c>
      <c r="T728">
        <v>1416.9</v>
      </c>
      <c r="U728">
        <v>1427.2</v>
      </c>
      <c r="W728">
        <v>1417.11</v>
      </c>
      <c r="Z728">
        <v>105678</v>
      </c>
      <c r="AA728">
        <v>148854856</v>
      </c>
      <c r="AB728">
        <v>14812</v>
      </c>
      <c r="AC728" t="s">
        <v>42</v>
      </c>
      <c r="AD728">
        <v>1</v>
      </c>
    </row>
    <row r="729" spans="1:30">
      <c r="A729" t="str">
        <f>CONCATENATE(I729,J729)</f>
        <v>MUFTIEQ</v>
      </c>
      <c r="B729" s="34">
        <v>46273</v>
      </c>
      <c r="C729" s="34">
        <v>46273</v>
      </c>
      <c r="D729" t="s">
        <v>35</v>
      </c>
      <c r="E729" t="s">
        <v>36</v>
      </c>
      <c r="F729" t="s">
        <v>37</v>
      </c>
      <c r="G729">
        <v>20878</v>
      </c>
      <c r="H729" t="s">
        <v>2243</v>
      </c>
      <c r="I729" t="s">
        <v>2244</v>
      </c>
      <c r="J729" t="s">
        <v>161</v>
      </c>
      <c r="O729" t="s">
        <v>2245</v>
      </c>
      <c r="P729">
        <v>74</v>
      </c>
      <c r="Q729">
        <v>74.8</v>
      </c>
      <c r="R729">
        <v>73.3</v>
      </c>
      <c r="S729">
        <v>73.91</v>
      </c>
      <c r="T729">
        <v>74.150000000000006</v>
      </c>
      <c r="U729">
        <v>74</v>
      </c>
      <c r="W729">
        <v>73.91</v>
      </c>
      <c r="Z729">
        <v>41870</v>
      </c>
      <c r="AA729">
        <v>3087868.37</v>
      </c>
      <c r="AB729">
        <v>808</v>
      </c>
      <c r="AC729" t="s">
        <v>42</v>
      </c>
      <c r="AD729">
        <v>1</v>
      </c>
    </row>
    <row r="730" spans="1:30">
      <c r="A730" t="str">
        <f>CONCATENATE(I730,J730)</f>
        <v>CRSLBE</v>
      </c>
      <c r="B730" s="34">
        <v>46273</v>
      </c>
      <c r="C730" s="34">
        <v>46273</v>
      </c>
      <c r="D730" t="s">
        <v>35</v>
      </c>
      <c r="E730" t="s">
        <v>36</v>
      </c>
      <c r="F730" t="s">
        <v>37</v>
      </c>
      <c r="G730">
        <v>765053</v>
      </c>
      <c r="H730" t="s">
        <v>2246</v>
      </c>
      <c r="I730" t="s">
        <v>2247</v>
      </c>
      <c r="J730" t="s">
        <v>183</v>
      </c>
      <c r="O730" t="s">
        <v>2248</v>
      </c>
      <c r="P730">
        <v>2.61</v>
      </c>
      <c r="Q730">
        <v>2.67</v>
      </c>
      <c r="R730">
        <v>2.5</v>
      </c>
      <c r="S730">
        <v>2.54</v>
      </c>
      <c r="T730">
        <v>2.5499999999999998</v>
      </c>
      <c r="U730">
        <v>2.63</v>
      </c>
      <c r="W730">
        <v>2.54</v>
      </c>
      <c r="Z730">
        <v>557743</v>
      </c>
      <c r="AA730">
        <v>1424066.45</v>
      </c>
      <c r="AB730">
        <v>683</v>
      </c>
      <c r="AC730" t="s">
        <v>42</v>
      </c>
      <c r="AD730">
        <v>1</v>
      </c>
    </row>
    <row r="731" spans="1:30">
      <c r="A731" t="str">
        <f>CONCATENATE(I731,J731)</f>
        <v>CRESTEQ</v>
      </c>
      <c r="B731" s="34">
        <v>46273</v>
      </c>
      <c r="C731" s="34">
        <v>46273</v>
      </c>
      <c r="D731" t="s">
        <v>35</v>
      </c>
      <c r="E731" t="s">
        <v>36</v>
      </c>
      <c r="F731" t="s">
        <v>37</v>
      </c>
      <c r="G731">
        <v>13900</v>
      </c>
      <c r="H731" t="s">
        <v>2249</v>
      </c>
      <c r="I731" t="s">
        <v>2250</v>
      </c>
      <c r="J731" t="s">
        <v>161</v>
      </c>
      <c r="O731" t="s">
        <v>2251</v>
      </c>
      <c r="P731">
        <v>366</v>
      </c>
      <c r="Q731">
        <v>368</v>
      </c>
      <c r="R731">
        <v>356.5</v>
      </c>
      <c r="S731">
        <v>362.35</v>
      </c>
      <c r="T731">
        <v>366.75</v>
      </c>
      <c r="U731">
        <v>370.65</v>
      </c>
      <c r="W731">
        <v>362.37</v>
      </c>
      <c r="Z731">
        <v>7147</v>
      </c>
      <c r="AA731">
        <v>2585831.7999999998</v>
      </c>
      <c r="AB731">
        <v>162</v>
      </c>
      <c r="AC731" t="s">
        <v>42</v>
      </c>
      <c r="AD731">
        <v>1</v>
      </c>
    </row>
    <row r="732" spans="1:30">
      <c r="A732" t="str">
        <f>CONCATENATE(I732,J732)</f>
        <v>CRISILEQ</v>
      </c>
      <c r="B732" s="34">
        <v>46273</v>
      </c>
      <c r="C732" s="34">
        <v>46273</v>
      </c>
      <c r="D732" t="s">
        <v>35</v>
      </c>
      <c r="E732" t="s">
        <v>36</v>
      </c>
      <c r="F732" t="s">
        <v>37</v>
      </c>
      <c r="G732">
        <v>757</v>
      </c>
      <c r="H732" t="s">
        <v>2252</v>
      </c>
      <c r="I732" t="s">
        <v>2253</v>
      </c>
      <c r="J732" t="s">
        <v>161</v>
      </c>
      <c r="O732" t="s">
        <v>2254</v>
      </c>
      <c r="P732">
        <v>4786.6000000000004</v>
      </c>
      <c r="Q732">
        <v>4819.8999999999996</v>
      </c>
      <c r="R732">
        <v>4603.1000000000004</v>
      </c>
      <c r="S732">
        <v>4754.5</v>
      </c>
      <c r="T732">
        <v>4786</v>
      </c>
      <c r="U732">
        <v>4786.6000000000004</v>
      </c>
      <c r="W732">
        <v>4754.5</v>
      </c>
      <c r="Z732">
        <v>26735</v>
      </c>
      <c r="AA732">
        <v>127511497.40000001</v>
      </c>
      <c r="AB732">
        <v>6915</v>
      </c>
      <c r="AC732" t="s">
        <v>42</v>
      </c>
      <c r="AD732">
        <v>1</v>
      </c>
    </row>
    <row r="733" spans="1:30">
      <c r="A733" t="str">
        <f>CONCATENATE(I733,J733)</f>
        <v>CRIZACEQ</v>
      </c>
      <c r="B733" s="34">
        <v>46273</v>
      </c>
      <c r="C733" s="34">
        <v>46273</v>
      </c>
      <c r="D733" t="s">
        <v>35</v>
      </c>
      <c r="E733" t="s">
        <v>36</v>
      </c>
      <c r="F733" t="s">
        <v>37</v>
      </c>
      <c r="G733">
        <v>757850</v>
      </c>
      <c r="H733" t="s">
        <v>2255</v>
      </c>
      <c r="I733" t="s">
        <v>2256</v>
      </c>
      <c r="J733" t="s">
        <v>161</v>
      </c>
      <c r="O733" t="s">
        <v>2257</v>
      </c>
      <c r="P733">
        <v>173.8</v>
      </c>
      <c r="Q733">
        <v>178.36</v>
      </c>
      <c r="R733">
        <v>170.97</v>
      </c>
      <c r="S733">
        <v>171.94</v>
      </c>
      <c r="T733">
        <v>171.5</v>
      </c>
      <c r="U733">
        <v>162.15</v>
      </c>
      <c r="W733">
        <v>171.95</v>
      </c>
      <c r="Z733">
        <v>1555453</v>
      </c>
      <c r="AA733">
        <v>273203189.56999999</v>
      </c>
      <c r="AB733">
        <v>13913</v>
      </c>
      <c r="AC733" t="s">
        <v>42</v>
      </c>
      <c r="AD733">
        <v>1</v>
      </c>
    </row>
    <row r="734" spans="1:30">
      <c r="A734" t="str">
        <f>CONCATENATE(I734,J734)</f>
        <v>CROMPTONEQ</v>
      </c>
      <c r="B734" s="34">
        <v>46273</v>
      </c>
      <c r="C734" s="34">
        <v>46273</v>
      </c>
      <c r="D734" t="s">
        <v>35</v>
      </c>
      <c r="E734" t="s">
        <v>36</v>
      </c>
      <c r="F734" t="s">
        <v>37</v>
      </c>
      <c r="G734">
        <v>17094</v>
      </c>
      <c r="H734" t="s">
        <v>2258</v>
      </c>
      <c r="I734" t="s">
        <v>2259</v>
      </c>
      <c r="J734" t="s">
        <v>161</v>
      </c>
      <c r="O734" t="s">
        <v>2260</v>
      </c>
      <c r="P734">
        <v>230.8</v>
      </c>
      <c r="Q734">
        <v>234.4</v>
      </c>
      <c r="R734">
        <v>227.56</v>
      </c>
      <c r="S734">
        <v>231.9</v>
      </c>
      <c r="T734">
        <v>231.9</v>
      </c>
      <c r="U734">
        <v>231.02</v>
      </c>
      <c r="W734">
        <v>231.93</v>
      </c>
      <c r="Z734">
        <v>3241817</v>
      </c>
      <c r="AA734">
        <v>750358830.17999995</v>
      </c>
      <c r="AB734">
        <v>32997</v>
      </c>
      <c r="AC734" t="s">
        <v>42</v>
      </c>
      <c r="AD734">
        <v>1</v>
      </c>
    </row>
    <row r="735" spans="1:30">
      <c r="A735" t="str">
        <f>CONCATENATE(I735,J735)</f>
        <v>CROWNEQ</v>
      </c>
      <c r="B735" s="34">
        <v>46273</v>
      </c>
      <c r="C735" s="34">
        <v>46273</v>
      </c>
      <c r="D735" t="s">
        <v>35</v>
      </c>
      <c r="E735" t="s">
        <v>36</v>
      </c>
      <c r="F735" t="s">
        <v>37</v>
      </c>
      <c r="G735">
        <v>8083</v>
      </c>
      <c r="H735" t="s">
        <v>2261</v>
      </c>
      <c r="I735" t="s">
        <v>2262</v>
      </c>
      <c r="J735" t="s">
        <v>161</v>
      </c>
      <c r="O735" t="s">
        <v>2263</v>
      </c>
      <c r="P735">
        <v>117.35</v>
      </c>
      <c r="Q735">
        <v>117.35</v>
      </c>
      <c r="R735">
        <v>114.01</v>
      </c>
      <c r="S735">
        <v>115.58</v>
      </c>
      <c r="T735">
        <v>115.8</v>
      </c>
      <c r="U735">
        <v>115.39</v>
      </c>
      <c r="W735">
        <v>115.58</v>
      </c>
      <c r="Z735">
        <v>11590</v>
      </c>
      <c r="AA735">
        <v>1342991.08</v>
      </c>
      <c r="AB735">
        <v>144</v>
      </c>
      <c r="AC735" t="s">
        <v>42</v>
      </c>
      <c r="AD735">
        <v>1</v>
      </c>
    </row>
    <row r="736" spans="1:30">
      <c r="A736" t="str">
        <f>CONCATENATE(I736,J736)</f>
        <v>CSBBANKEQ</v>
      </c>
      <c r="B736" s="34">
        <v>46273</v>
      </c>
      <c r="C736" s="34">
        <v>46273</v>
      </c>
      <c r="D736" t="s">
        <v>35</v>
      </c>
      <c r="E736" t="s">
        <v>36</v>
      </c>
      <c r="F736" t="s">
        <v>37</v>
      </c>
      <c r="G736">
        <v>14966</v>
      </c>
      <c r="H736" t="s">
        <v>2264</v>
      </c>
      <c r="I736" t="s">
        <v>2265</v>
      </c>
      <c r="J736" t="s">
        <v>161</v>
      </c>
      <c r="O736" t="s">
        <v>2266</v>
      </c>
      <c r="P736">
        <v>323</v>
      </c>
      <c r="Q736">
        <v>323</v>
      </c>
      <c r="R736">
        <v>311.14999999999998</v>
      </c>
      <c r="S736">
        <v>312.85000000000002</v>
      </c>
      <c r="T736">
        <v>313</v>
      </c>
      <c r="U736">
        <v>321.14999999999998</v>
      </c>
      <c r="W736">
        <v>312.85000000000002</v>
      </c>
      <c r="Z736">
        <v>635441</v>
      </c>
      <c r="AA736">
        <v>200234897.25</v>
      </c>
      <c r="AB736">
        <v>15909</v>
      </c>
      <c r="AC736" t="s">
        <v>42</v>
      </c>
      <c r="AD736">
        <v>1</v>
      </c>
    </row>
    <row r="737" spans="1:30">
      <c r="A737" t="str">
        <f>CONCATENATE(I737,J737)</f>
        <v>CSLFINANCEEQ</v>
      </c>
      <c r="B737" s="34">
        <v>46273</v>
      </c>
      <c r="C737" s="34">
        <v>46273</v>
      </c>
      <c r="D737" t="s">
        <v>35</v>
      </c>
      <c r="E737" t="s">
        <v>36</v>
      </c>
      <c r="F737" t="s">
        <v>37</v>
      </c>
      <c r="G737">
        <v>10350</v>
      </c>
      <c r="H737" t="s">
        <v>2267</v>
      </c>
      <c r="I737" t="s">
        <v>2268</v>
      </c>
      <c r="J737" t="s">
        <v>161</v>
      </c>
      <c r="O737" t="s">
        <v>2269</v>
      </c>
      <c r="P737">
        <v>245.64</v>
      </c>
      <c r="Q737">
        <v>248.46</v>
      </c>
      <c r="R737">
        <v>240.5</v>
      </c>
      <c r="S737">
        <v>241.85</v>
      </c>
      <c r="T737">
        <v>241.5</v>
      </c>
      <c r="U737">
        <v>243.61</v>
      </c>
      <c r="W737">
        <v>241.86</v>
      </c>
      <c r="Z737">
        <v>37446</v>
      </c>
      <c r="AA737">
        <v>9079530.7799999993</v>
      </c>
      <c r="AB737">
        <v>1373</v>
      </c>
      <c r="AC737" t="s">
        <v>42</v>
      </c>
      <c r="AD737">
        <v>1</v>
      </c>
    </row>
    <row r="738" spans="1:30">
      <c r="A738" t="str">
        <f>CONCATENATE(I738,J738)</f>
        <v>CSMEQ</v>
      </c>
      <c r="B738" s="34">
        <v>46273</v>
      </c>
      <c r="C738" s="34">
        <v>46273</v>
      </c>
      <c r="D738" t="s">
        <v>35</v>
      </c>
      <c r="E738" t="s">
        <v>36</v>
      </c>
      <c r="F738" t="s">
        <v>37</v>
      </c>
      <c r="G738">
        <v>763753</v>
      </c>
      <c r="H738" t="s">
        <v>2270</v>
      </c>
      <c r="I738" t="s">
        <v>2271</v>
      </c>
      <c r="J738" t="s">
        <v>161</v>
      </c>
      <c r="O738" t="s">
        <v>2272</v>
      </c>
      <c r="P738">
        <v>95</v>
      </c>
      <c r="Q738">
        <v>95.24</v>
      </c>
      <c r="R738">
        <v>93</v>
      </c>
      <c r="S738">
        <v>94.13</v>
      </c>
      <c r="T738">
        <v>94.47</v>
      </c>
      <c r="U738">
        <v>93.57</v>
      </c>
      <c r="W738">
        <v>94.11</v>
      </c>
      <c r="Z738">
        <v>51809</v>
      </c>
      <c r="AA738">
        <v>4870987.33</v>
      </c>
      <c r="AB738">
        <v>878</v>
      </c>
      <c r="AC738" t="s">
        <v>42</v>
      </c>
      <c r="AD738">
        <v>1</v>
      </c>
    </row>
    <row r="739" spans="1:30">
      <c r="A739" t="str">
        <f>CONCATENATE(I739,J739)</f>
        <v>CUBEINVITIV</v>
      </c>
      <c r="B739" s="34">
        <v>46273</v>
      </c>
      <c r="C739" s="34">
        <v>46273</v>
      </c>
      <c r="D739" t="s">
        <v>35</v>
      </c>
      <c r="E739" t="s">
        <v>36</v>
      </c>
      <c r="F739" t="s">
        <v>37</v>
      </c>
      <c r="G739">
        <v>15078</v>
      </c>
      <c r="H739" t="s">
        <v>2273</v>
      </c>
      <c r="I739" t="s">
        <v>2274</v>
      </c>
      <c r="J739" t="s">
        <v>759</v>
      </c>
      <c r="O739" t="s">
        <v>2275</v>
      </c>
      <c r="P739">
        <v>157.37</v>
      </c>
      <c r="Q739">
        <v>157.75</v>
      </c>
      <c r="R739">
        <v>156.6</v>
      </c>
      <c r="S739">
        <v>156.99</v>
      </c>
      <c r="T739">
        <v>157</v>
      </c>
      <c r="U739">
        <v>157.38</v>
      </c>
      <c r="W739">
        <v>156.99</v>
      </c>
      <c r="Z739">
        <v>213672</v>
      </c>
      <c r="AA739">
        <v>33568564.030000001</v>
      </c>
      <c r="AB739">
        <v>7710</v>
      </c>
      <c r="AC739" t="s">
        <v>42</v>
      </c>
      <c r="AD739">
        <v>1</v>
      </c>
    </row>
    <row r="740" spans="1:30">
      <c r="A740" t="str">
        <f>CONCATENATE(I740,J740)</f>
        <v>CUBEXTUBEQ</v>
      </c>
      <c r="B740" s="34">
        <v>46273</v>
      </c>
      <c r="C740" s="34">
        <v>46273</v>
      </c>
      <c r="D740" t="s">
        <v>35</v>
      </c>
      <c r="E740" t="s">
        <v>36</v>
      </c>
      <c r="F740" t="s">
        <v>37</v>
      </c>
      <c r="G740">
        <v>4064</v>
      </c>
      <c r="H740" t="s">
        <v>2276</v>
      </c>
      <c r="I740" t="s">
        <v>2277</v>
      </c>
      <c r="J740" t="s">
        <v>161</v>
      </c>
      <c r="O740" t="s">
        <v>2278</v>
      </c>
      <c r="P740">
        <v>76.819999999999993</v>
      </c>
      <c r="Q740">
        <v>80</v>
      </c>
      <c r="R740">
        <v>76.819999999999993</v>
      </c>
      <c r="S740">
        <v>78.88</v>
      </c>
      <c r="T740">
        <v>79</v>
      </c>
      <c r="U740">
        <v>76.25</v>
      </c>
      <c r="W740">
        <v>78.94</v>
      </c>
      <c r="Z740">
        <v>63102</v>
      </c>
      <c r="AA740">
        <v>4970322.87</v>
      </c>
      <c r="AB740">
        <v>1307</v>
      </c>
      <c r="AC740" t="s">
        <v>42</v>
      </c>
      <c r="AD740">
        <v>1</v>
      </c>
    </row>
    <row r="741" spans="1:30">
      <c r="A741" t="str">
        <f>CONCATENATE(I741,J741)</f>
        <v>CUMMINSINDEQ</v>
      </c>
      <c r="B741" s="34">
        <v>46273</v>
      </c>
      <c r="C741" s="34">
        <v>46273</v>
      </c>
      <c r="D741" t="s">
        <v>35</v>
      </c>
      <c r="E741" t="s">
        <v>36</v>
      </c>
      <c r="F741" t="s">
        <v>37</v>
      </c>
      <c r="G741">
        <v>1901</v>
      </c>
      <c r="H741" t="s">
        <v>2279</v>
      </c>
      <c r="I741" t="s">
        <v>2280</v>
      </c>
      <c r="J741" t="s">
        <v>161</v>
      </c>
      <c r="O741" t="s">
        <v>2281</v>
      </c>
      <c r="P741">
        <v>5007</v>
      </c>
      <c r="Q741">
        <v>5040</v>
      </c>
      <c r="R741">
        <v>4965</v>
      </c>
      <c r="S741">
        <v>5040</v>
      </c>
      <c r="T741">
        <v>5040</v>
      </c>
      <c r="U741">
        <v>5030</v>
      </c>
      <c r="W741">
        <v>5040.04</v>
      </c>
      <c r="Z741">
        <v>457631</v>
      </c>
      <c r="AA741">
        <v>2287780398.5</v>
      </c>
      <c r="AB741">
        <v>37925</v>
      </c>
      <c r="AC741" t="s">
        <v>42</v>
      </c>
      <c r="AD741">
        <v>1</v>
      </c>
    </row>
    <row r="742" spans="1:30">
      <c r="A742" t="str">
        <f>CONCATENATE(I742,J742)</f>
        <v>CUPIDEQ</v>
      </c>
      <c r="B742" s="34">
        <v>46273</v>
      </c>
      <c r="C742" s="34">
        <v>46273</v>
      </c>
      <c r="D742" t="s">
        <v>35</v>
      </c>
      <c r="E742" t="s">
        <v>36</v>
      </c>
      <c r="F742" t="s">
        <v>37</v>
      </c>
      <c r="G742">
        <v>18520</v>
      </c>
      <c r="H742" t="s">
        <v>2282</v>
      </c>
      <c r="I742" t="s">
        <v>2283</v>
      </c>
      <c r="J742" t="s">
        <v>161</v>
      </c>
      <c r="O742" t="s">
        <v>2284</v>
      </c>
      <c r="P742">
        <v>281</v>
      </c>
      <c r="Q742">
        <v>282.35000000000002</v>
      </c>
      <c r="R742">
        <v>272.2</v>
      </c>
      <c r="S742">
        <v>274.8</v>
      </c>
      <c r="T742">
        <v>275.7</v>
      </c>
      <c r="U742">
        <v>280.95</v>
      </c>
      <c r="W742">
        <v>274.83999999999997</v>
      </c>
      <c r="Z742">
        <v>7752087</v>
      </c>
      <c r="AA742">
        <v>2144423763.2</v>
      </c>
      <c r="AB742">
        <v>76618</v>
      </c>
      <c r="AC742" t="s">
        <v>42</v>
      </c>
      <c r="AD742">
        <v>1</v>
      </c>
    </row>
    <row r="743" spans="1:30">
      <c r="A743" t="str">
        <f>CONCATENATE(I743,J743)</f>
        <v>CURAAEQ</v>
      </c>
      <c r="B743" s="34">
        <v>46273</v>
      </c>
      <c r="C743" s="34">
        <v>46273</v>
      </c>
      <c r="D743" t="s">
        <v>35</v>
      </c>
      <c r="E743" t="s">
        <v>36</v>
      </c>
      <c r="F743" t="s">
        <v>37</v>
      </c>
      <c r="G743">
        <v>30189</v>
      </c>
      <c r="H743" t="s">
        <v>2285</v>
      </c>
      <c r="I743" t="s">
        <v>2286</v>
      </c>
      <c r="J743" t="s">
        <v>161</v>
      </c>
      <c r="O743" t="s">
        <v>2287</v>
      </c>
      <c r="P743">
        <v>84</v>
      </c>
      <c r="Q743">
        <v>84</v>
      </c>
      <c r="R743">
        <v>76</v>
      </c>
      <c r="S743">
        <v>78</v>
      </c>
      <c r="T743">
        <v>78</v>
      </c>
      <c r="U743">
        <v>77.959999999999994</v>
      </c>
      <c r="W743">
        <v>77</v>
      </c>
      <c r="Z743">
        <v>671</v>
      </c>
      <c r="AA743">
        <v>52055.4</v>
      </c>
      <c r="AB743">
        <v>28</v>
      </c>
      <c r="AC743" t="s">
        <v>42</v>
      </c>
      <c r="AD743">
        <v>1</v>
      </c>
    </row>
    <row r="744" spans="1:30">
      <c r="A744" t="str">
        <f>CONCATENATE(I744,J744)</f>
        <v>CURISSM</v>
      </c>
      <c r="B744" s="34">
        <v>46273</v>
      </c>
      <c r="C744" s="34">
        <v>46273</v>
      </c>
      <c r="D744" t="s">
        <v>35</v>
      </c>
      <c r="E744" t="s">
        <v>36</v>
      </c>
      <c r="F744" t="s">
        <v>37</v>
      </c>
      <c r="G744">
        <v>759825</v>
      </c>
      <c r="H744" t="s">
        <v>2288</v>
      </c>
      <c r="I744" t="s">
        <v>2289</v>
      </c>
      <c r="J744" t="s">
        <v>267</v>
      </c>
      <c r="O744" t="s">
        <v>2290</v>
      </c>
      <c r="P744">
        <v>175</v>
      </c>
      <c r="Q744">
        <v>198.8</v>
      </c>
      <c r="R744">
        <v>175</v>
      </c>
      <c r="S744">
        <v>198.8</v>
      </c>
      <c r="T744">
        <v>198.8</v>
      </c>
      <c r="U744">
        <v>165.7</v>
      </c>
      <c r="W744">
        <v>198.8</v>
      </c>
      <c r="Z744">
        <v>76000</v>
      </c>
      <c r="AA744">
        <v>14470700</v>
      </c>
      <c r="AB744">
        <v>67</v>
      </c>
      <c r="AC744" t="s">
        <v>42</v>
      </c>
      <c r="AD744">
        <v>1000</v>
      </c>
    </row>
    <row r="745" spans="1:30">
      <c r="A745" t="str">
        <f>CONCATENATE(I745,J745)</f>
        <v>CURRENTSM</v>
      </c>
      <c r="B745" s="34">
        <v>46273</v>
      </c>
      <c r="C745" s="34">
        <v>46273</v>
      </c>
      <c r="D745" t="s">
        <v>35</v>
      </c>
      <c r="E745" t="s">
        <v>36</v>
      </c>
      <c r="F745" t="s">
        <v>37</v>
      </c>
      <c r="G745">
        <v>758964</v>
      </c>
      <c r="H745" t="s">
        <v>2291</v>
      </c>
      <c r="I745" t="s">
        <v>2292</v>
      </c>
      <c r="J745" t="s">
        <v>267</v>
      </c>
      <c r="O745" t="s">
        <v>2293</v>
      </c>
      <c r="P745">
        <v>85</v>
      </c>
      <c r="Q745">
        <v>85</v>
      </c>
      <c r="R745">
        <v>85</v>
      </c>
      <c r="S745">
        <v>85</v>
      </c>
      <c r="T745">
        <v>85</v>
      </c>
      <c r="U745">
        <v>85</v>
      </c>
      <c r="W745">
        <v>85</v>
      </c>
      <c r="Z745">
        <v>1600</v>
      </c>
      <c r="AA745">
        <v>136000</v>
      </c>
      <c r="AB745">
        <v>1</v>
      </c>
      <c r="AC745" t="s">
        <v>42</v>
      </c>
      <c r="AD745">
        <v>1600</v>
      </c>
    </row>
    <row r="746" spans="1:30">
      <c r="A746" t="str">
        <f>CONCATENATE(I746,J746)</f>
        <v>CYBERMEDIAEQ</v>
      </c>
      <c r="B746" s="34">
        <v>46273</v>
      </c>
      <c r="C746" s="34">
        <v>46273</v>
      </c>
      <c r="D746" t="s">
        <v>35</v>
      </c>
      <c r="E746" t="s">
        <v>36</v>
      </c>
      <c r="F746" t="s">
        <v>37</v>
      </c>
      <c r="G746">
        <v>11842</v>
      </c>
      <c r="H746" t="s">
        <v>2294</v>
      </c>
      <c r="I746" t="s">
        <v>2295</v>
      </c>
      <c r="J746" t="s">
        <v>161</v>
      </c>
      <c r="O746" t="s">
        <v>2296</v>
      </c>
      <c r="P746">
        <v>26.41</v>
      </c>
      <c r="Q746">
        <v>26.82</v>
      </c>
      <c r="R746">
        <v>23.92</v>
      </c>
      <c r="S746">
        <v>23.92</v>
      </c>
      <c r="T746">
        <v>23.92</v>
      </c>
      <c r="U746">
        <v>26.57</v>
      </c>
      <c r="W746">
        <v>23.92</v>
      </c>
      <c r="Z746">
        <v>116773</v>
      </c>
      <c r="AA746">
        <v>2855950.58</v>
      </c>
      <c r="AB746">
        <v>612</v>
      </c>
      <c r="AC746" t="s">
        <v>42</v>
      </c>
      <c r="AD746">
        <v>1</v>
      </c>
    </row>
    <row r="747" spans="1:30">
      <c r="A747" t="str">
        <f>CONCATENATE(I747,J747)</f>
        <v>CMRSLSM</v>
      </c>
      <c r="B747" s="34">
        <v>46273</v>
      </c>
      <c r="C747" s="34">
        <v>46273</v>
      </c>
      <c r="D747" t="s">
        <v>35</v>
      </c>
      <c r="E747" t="s">
        <v>36</v>
      </c>
      <c r="F747" t="s">
        <v>37</v>
      </c>
      <c r="G747">
        <v>11447</v>
      </c>
      <c r="H747" t="s">
        <v>2297</v>
      </c>
      <c r="I747" t="s">
        <v>2298</v>
      </c>
      <c r="J747" t="s">
        <v>267</v>
      </c>
      <c r="O747" t="s">
        <v>2299</v>
      </c>
      <c r="P747">
        <v>79.400000000000006</v>
      </c>
      <c r="Q747">
        <v>79.400000000000006</v>
      </c>
      <c r="R747">
        <v>78</v>
      </c>
      <c r="S747">
        <v>78</v>
      </c>
      <c r="T747">
        <v>78</v>
      </c>
      <c r="U747">
        <v>76.8</v>
      </c>
      <c r="W747">
        <v>78</v>
      </c>
      <c r="Z747">
        <v>3200</v>
      </c>
      <c r="AA747">
        <v>252640</v>
      </c>
      <c r="AB747">
        <v>4</v>
      </c>
      <c r="AC747" t="s">
        <v>42</v>
      </c>
      <c r="AD747">
        <v>800</v>
      </c>
    </row>
    <row r="748" spans="1:30">
      <c r="A748" t="str">
        <f>CONCATENATE(I748,J748)</f>
        <v>CYBERTECHBE</v>
      </c>
      <c r="B748" s="34">
        <v>46273</v>
      </c>
      <c r="C748" s="34">
        <v>46273</v>
      </c>
      <c r="D748" t="s">
        <v>35</v>
      </c>
      <c r="E748" t="s">
        <v>36</v>
      </c>
      <c r="F748" t="s">
        <v>37</v>
      </c>
      <c r="G748">
        <v>6054</v>
      </c>
      <c r="H748" t="s">
        <v>2300</v>
      </c>
      <c r="I748" t="s">
        <v>2301</v>
      </c>
      <c r="J748" t="s">
        <v>183</v>
      </c>
      <c r="O748" t="s">
        <v>2302</v>
      </c>
      <c r="P748">
        <v>134</v>
      </c>
      <c r="Q748">
        <v>140.69999999999999</v>
      </c>
      <c r="R748">
        <v>133</v>
      </c>
      <c r="S748">
        <v>139.26</v>
      </c>
      <c r="T748">
        <v>140</v>
      </c>
      <c r="U748">
        <v>134</v>
      </c>
      <c r="W748">
        <v>139.15</v>
      </c>
      <c r="Z748">
        <v>29551</v>
      </c>
      <c r="AA748">
        <v>4057088.41</v>
      </c>
      <c r="AB748">
        <v>309</v>
      </c>
      <c r="AC748" t="s">
        <v>42</v>
      </c>
      <c r="AD748">
        <v>1</v>
      </c>
    </row>
    <row r="749" spans="1:30">
      <c r="A749" t="str">
        <f>CONCATENATE(I749,J749)</f>
        <v>CYIENTDLMEQ</v>
      </c>
      <c r="B749" s="34">
        <v>46273</v>
      </c>
      <c r="C749" s="34">
        <v>46273</v>
      </c>
      <c r="D749" t="s">
        <v>35</v>
      </c>
      <c r="E749" t="s">
        <v>36</v>
      </c>
      <c r="F749" t="s">
        <v>37</v>
      </c>
      <c r="G749">
        <v>17187</v>
      </c>
      <c r="H749" t="s">
        <v>2303</v>
      </c>
      <c r="I749" t="s">
        <v>2304</v>
      </c>
      <c r="J749" t="s">
        <v>161</v>
      </c>
      <c r="O749" t="s">
        <v>2305</v>
      </c>
      <c r="P749">
        <v>867.3</v>
      </c>
      <c r="Q749">
        <v>1009</v>
      </c>
      <c r="R749">
        <v>867.3</v>
      </c>
      <c r="S749">
        <v>976.25</v>
      </c>
      <c r="T749">
        <v>1009</v>
      </c>
      <c r="U749">
        <v>865.35</v>
      </c>
      <c r="W749">
        <v>976.33</v>
      </c>
      <c r="Z749">
        <v>3128714</v>
      </c>
      <c r="AA749">
        <v>2943282667.75</v>
      </c>
      <c r="AB749">
        <v>129071</v>
      </c>
      <c r="AC749" t="s">
        <v>42</v>
      </c>
      <c r="AD749">
        <v>1</v>
      </c>
    </row>
    <row r="750" spans="1:30">
      <c r="A750" t="str">
        <f>CONCATENATE(I750,J750)</f>
        <v>CYIENTEQ</v>
      </c>
      <c r="B750" s="34">
        <v>46273</v>
      </c>
      <c r="C750" s="34">
        <v>46273</v>
      </c>
      <c r="D750" t="s">
        <v>35</v>
      </c>
      <c r="E750" t="s">
        <v>36</v>
      </c>
      <c r="F750" t="s">
        <v>37</v>
      </c>
      <c r="G750">
        <v>5748</v>
      </c>
      <c r="H750" t="s">
        <v>2306</v>
      </c>
      <c r="I750" t="s">
        <v>2307</v>
      </c>
      <c r="J750" t="s">
        <v>161</v>
      </c>
      <c r="O750" t="s">
        <v>2308</v>
      </c>
      <c r="P750">
        <v>1100</v>
      </c>
      <c r="Q750">
        <v>1100</v>
      </c>
      <c r="R750">
        <v>1078</v>
      </c>
      <c r="S750">
        <v>1086.3</v>
      </c>
      <c r="T750">
        <v>1086.9000000000001</v>
      </c>
      <c r="U750">
        <v>1105.4000000000001</v>
      </c>
      <c r="W750">
        <v>1086.27</v>
      </c>
      <c r="Z750">
        <v>261931</v>
      </c>
      <c r="AA750">
        <v>285235714.5</v>
      </c>
      <c r="AB750">
        <v>18325</v>
      </c>
      <c r="AC750" t="s">
        <v>42</v>
      </c>
      <c r="AD750">
        <v>1</v>
      </c>
    </row>
    <row r="751" spans="1:30">
      <c r="A751" t="str">
        <f>CONCATENATE(I751,J751)</f>
        <v>DKEGLSM</v>
      </c>
      <c r="B751" s="34">
        <v>46273</v>
      </c>
      <c r="C751" s="34">
        <v>46273</v>
      </c>
      <c r="D751" t="s">
        <v>35</v>
      </c>
      <c r="E751" t="s">
        <v>36</v>
      </c>
      <c r="F751" t="s">
        <v>37</v>
      </c>
      <c r="G751">
        <v>6249</v>
      </c>
      <c r="H751" t="s">
        <v>2309</v>
      </c>
      <c r="I751" t="s">
        <v>2310</v>
      </c>
      <c r="J751" t="s">
        <v>267</v>
      </c>
      <c r="O751" t="s">
        <v>2311</v>
      </c>
      <c r="P751">
        <v>66</v>
      </c>
      <c r="Q751">
        <v>66</v>
      </c>
      <c r="R751">
        <v>66</v>
      </c>
      <c r="S751">
        <v>66</v>
      </c>
      <c r="T751">
        <v>66</v>
      </c>
      <c r="U751">
        <v>65.25</v>
      </c>
      <c r="W751">
        <v>66</v>
      </c>
      <c r="Z751">
        <v>1500</v>
      </c>
      <c r="AA751">
        <v>99000</v>
      </c>
      <c r="AB751">
        <v>1</v>
      </c>
      <c r="AC751" t="s">
        <v>42</v>
      </c>
      <c r="AD751">
        <v>1500</v>
      </c>
    </row>
    <row r="752" spans="1:30">
      <c r="A752" t="str">
        <f>CONCATENATE(I752,J752)</f>
        <v>DPWIRESBE</v>
      </c>
      <c r="B752" s="34">
        <v>46273</v>
      </c>
      <c r="C752" s="34">
        <v>46273</v>
      </c>
      <c r="D752" t="s">
        <v>35</v>
      </c>
      <c r="E752" t="s">
        <v>36</v>
      </c>
      <c r="F752" t="s">
        <v>37</v>
      </c>
      <c r="G752">
        <v>16902</v>
      </c>
      <c r="H752" t="s">
        <v>2312</v>
      </c>
      <c r="I752" t="s">
        <v>2313</v>
      </c>
      <c r="J752" t="s">
        <v>183</v>
      </c>
      <c r="O752" t="s">
        <v>2314</v>
      </c>
      <c r="P752">
        <v>156.46</v>
      </c>
      <c r="Q752">
        <v>156.46</v>
      </c>
      <c r="R752">
        <v>151</v>
      </c>
      <c r="S752">
        <v>152.77000000000001</v>
      </c>
      <c r="T752">
        <v>154.79</v>
      </c>
      <c r="U752">
        <v>155.97999999999999</v>
      </c>
      <c r="W752">
        <v>152.85</v>
      </c>
      <c r="Z752">
        <v>5275</v>
      </c>
      <c r="AA752">
        <v>807114.03</v>
      </c>
      <c r="AB752">
        <v>127</v>
      </c>
      <c r="AC752" t="s">
        <v>42</v>
      </c>
      <c r="AD752">
        <v>1</v>
      </c>
    </row>
    <row r="753" spans="1:30">
      <c r="A753" t="str">
        <f>CONCATENATE(I753,J753)</f>
        <v>DLINKINDIAEQ</v>
      </c>
      <c r="B753" s="34">
        <v>46273</v>
      </c>
      <c r="C753" s="34">
        <v>46273</v>
      </c>
      <c r="D753" t="s">
        <v>35</v>
      </c>
      <c r="E753" t="s">
        <v>36</v>
      </c>
      <c r="F753" t="s">
        <v>37</v>
      </c>
      <c r="G753">
        <v>17851</v>
      </c>
      <c r="H753" t="s">
        <v>2315</v>
      </c>
      <c r="I753" t="s">
        <v>2316</v>
      </c>
      <c r="J753" t="s">
        <v>161</v>
      </c>
      <c r="O753" t="s">
        <v>2317</v>
      </c>
      <c r="P753">
        <v>449.95</v>
      </c>
      <c r="Q753">
        <v>449.95</v>
      </c>
      <c r="R753">
        <v>440.05</v>
      </c>
      <c r="S753">
        <v>443</v>
      </c>
      <c r="T753">
        <v>444</v>
      </c>
      <c r="U753">
        <v>445.7</v>
      </c>
      <c r="W753">
        <v>442.93</v>
      </c>
      <c r="Z753">
        <v>31082</v>
      </c>
      <c r="AA753">
        <v>13769884.6</v>
      </c>
      <c r="AB753">
        <v>1611</v>
      </c>
      <c r="AC753" t="s">
        <v>42</v>
      </c>
      <c r="AD753">
        <v>1</v>
      </c>
    </row>
    <row r="754" spans="1:30">
      <c r="A754" t="str">
        <f>CONCATENATE(I754,J754)</f>
        <v>DPABHUSHANEQ</v>
      </c>
      <c r="B754" s="34">
        <v>46273</v>
      </c>
      <c r="C754" s="34">
        <v>46273</v>
      </c>
      <c r="D754" t="s">
        <v>35</v>
      </c>
      <c r="E754" t="s">
        <v>36</v>
      </c>
      <c r="F754" t="s">
        <v>37</v>
      </c>
      <c r="G754">
        <v>936</v>
      </c>
      <c r="H754" t="s">
        <v>2318</v>
      </c>
      <c r="I754" t="s">
        <v>2319</v>
      </c>
      <c r="J754" t="s">
        <v>161</v>
      </c>
      <c r="O754" t="s">
        <v>2320</v>
      </c>
      <c r="P754">
        <v>1424.8</v>
      </c>
      <c r="Q754">
        <v>1437.9</v>
      </c>
      <c r="R754">
        <v>1400.2</v>
      </c>
      <c r="S754">
        <v>1411.6</v>
      </c>
      <c r="T754">
        <v>1413.1</v>
      </c>
      <c r="U754">
        <v>1424.7</v>
      </c>
      <c r="W754">
        <v>1411.6</v>
      </c>
      <c r="Z754">
        <v>10491</v>
      </c>
      <c r="AA754">
        <v>14839056.699999999</v>
      </c>
      <c r="AB754">
        <v>1190</v>
      </c>
      <c r="AC754" t="s">
        <v>42</v>
      </c>
      <c r="AD754">
        <v>1</v>
      </c>
    </row>
    <row r="755" spans="1:30">
      <c r="A755" t="str">
        <f>CONCATENATE(I755,J755)</f>
        <v>DBCORPEQ</v>
      </c>
      <c r="B755" s="34">
        <v>46273</v>
      </c>
      <c r="C755" s="34">
        <v>46273</v>
      </c>
      <c r="D755" t="s">
        <v>35</v>
      </c>
      <c r="E755" t="s">
        <v>36</v>
      </c>
      <c r="F755" t="s">
        <v>37</v>
      </c>
      <c r="G755">
        <v>17881</v>
      </c>
      <c r="H755" t="s">
        <v>2321</v>
      </c>
      <c r="I755" t="s">
        <v>2322</v>
      </c>
      <c r="J755" t="s">
        <v>161</v>
      </c>
      <c r="O755" t="s">
        <v>2323</v>
      </c>
      <c r="P755">
        <v>194.65</v>
      </c>
      <c r="Q755">
        <v>195.51</v>
      </c>
      <c r="R755">
        <v>193.4</v>
      </c>
      <c r="S755">
        <v>195.3</v>
      </c>
      <c r="T755">
        <v>194.67</v>
      </c>
      <c r="U755">
        <v>195.24</v>
      </c>
      <c r="W755">
        <v>195.3</v>
      </c>
      <c r="Z755">
        <v>29713</v>
      </c>
      <c r="AA755">
        <v>5788928.7699999996</v>
      </c>
      <c r="AB755">
        <v>887</v>
      </c>
      <c r="AC755" t="s">
        <v>42</v>
      </c>
      <c r="AD755">
        <v>1</v>
      </c>
    </row>
    <row r="756" spans="1:30">
      <c r="A756" t="str">
        <f>CONCATENATE(I756,J756)</f>
        <v>DABUREQ</v>
      </c>
      <c r="B756" s="34">
        <v>46273</v>
      </c>
      <c r="C756" s="34">
        <v>46273</v>
      </c>
      <c r="D756" t="s">
        <v>35</v>
      </c>
      <c r="E756" t="s">
        <v>36</v>
      </c>
      <c r="F756" t="s">
        <v>37</v>
      </c>
      <c r="G756">
        <v>772</v>
      </c>
      <c r="H756" t="s">
        <v>2324</v>
      </c>
      <c r="I756" t="s">
        <v>2325</v>
      </c>
      <c r="J756" t="s">
        <v>161</v>
      </c>
      <c r="O756" t="s">
        <v>2326</v>
      </c>
      <c r="P756">
        <v>375.25</v>
      </c>
      <c r="Q756">
        <v>377.95</v>
      </c>
      <c r="R756">
        <v>373.75</v>
      </c>
      <c r="S756">
        <v>375</v>
      </c>
      <c r="T756">
        <v>375</v>
      </c>
      <c r="U756">
        <v>375.5</v>
      </c>
      <c r="W756">
        <v>375.01</v>
      </c>
      <c r="Z756">
        <v>2107745</v>
      </c>
      <c r="AA756">
        <v>791247023</v>
      </c>
      <c r="AB756">
        <v>36594</v>
      </c>
      <c r="AC756" t="s">
        <v>42</v>
      </c>
      <c r="AD756">
        <v>1</v>
      </c>
    </row>
    <row r="757" spans="1:30">
      <c r="A757" t="str">
        <f>CONCATENATE(I757,J757)</f>
        <v>DAICHIBE</v>
      </c>
      <c r="B757" s="34">
        <v>46273</v>
      </c>
      <c r="C757" s="34">
        <v>46273</v>
      </c>
      <c r="D757" t="s">
        <v>35</v>
      </c>
      <c r="E757" t="s">
        <v>36</v>
      </c>
      <c r="F757" t="s">
        <v>37</v>
      </c>
      <c r="G757">
        <v>762636</v>
      </c>
      <c r="H757" t="s">
        <v>2327</v>
      </c>
      <c r="I757" t="s">
        <v>2328</v>
      </c>
      <c r="J757" t="s">
        <v>183</v>
      </c>
      <c r="O757" t="s">
        <v>2329</v>
      </c>
      <c r="P757">
        <v>370</v>
      </c>
      <c r="Q757">
        <v>370</v>
      </c>
      <c r="R757">
        <v>355.15</v>
      </c>
      <c r="S757">
        <v>367</v>
      </c>
      <c r="T757">
        <v>367</v>
      </c>
      <c r="U757">
        <v>370.6</v>
      </c>
      <c r="W757">
        <v>359.74</v>
      </c>
      <c r="Z757">
        <v>1996</v>
      </c>
      <c r="AA757">
        <v>722264.9</v>
      </c>
      <c r="AB757">
        <v>40</v>
      </c>
      <c r="AC757" t="s">
        <v>42</v>
      </c>
      <c r="AD757">
        <v>1</v>
      </c>
    </row>
    <row r="758" spans="1:30">
      <c r="A758" t="str">
        <f>CONCATENATE(I758,J758)</f>
        <v>DALBHARATEQ</v>
      </c>
      <c r="B758" s="34">
        <v>46273</v>
      </c>
      <c r="C758" s="34">
        <v>46273</v>
      </c>
      <c r="D758" t="s">
        <v>35</v>
      </c>
      <c r="E758" t="s">
        <v>36</v>
      </c>
      <c r="F758" t="s">
        <v>37</v>
      </c>
      <c r="G758">
        <v>8075</v>
      </c>
      <c r="H758" t="s">
        <v>2330</v>
      </c>
      <c r="I758" t="s">
        <v>2331</v>
      </c>
      <c r="J758" t="s">
        <v>161</v>
      </c>
      <c r="O758" t="s">
        <v>2332</v>
      </c>
      <c r="P758">
        <v>1713.9</v>
      </c>
      <c r="Q758">
        <v>1739.2</v>
      </c>
      <c r="R758">
        <v>1671.8</v>
      </c>
      <c r="S758">
        <v>1700.5</v>
      </c>
      <c r="T758">
        <v>1711.2</v>
      </c>
      <c r="U758">
        <v>1713.9</v>
      </c>
      <c r="W758">
        <v>1700.48</v>
      </c>
      <c r="Z758">
        <v>143709</v>
      </c>
      <c r="AA758">
        <v>243855669.09999999</v>
      </c>
      <c r="AB758">
        <v>24855</v>
      </c>
      <c r="AC758" t="s">
        <v>42</v>
      </c>
      <c r="AD758">
        <v>1</v>
      </c>
    </row>
    <row r="759" spans="1:30">
      <c r="A759" t="str">
        <f>CONCATENATE(I759,J759)</f>
        <v>DALMIASUGEQ</v>
      </c>
      <c r="B759" s="34">
        <v>46273</v>
      </c>
      <c r="C759" s="34">
        <v>46273</v>
      </c>
      <c r="D759" t="s">
        <v>35</v>
      </c>
      <c r="E759" t="s">
        <v>36</v>
      </c>
      <c r="F759" t="s">
        <v>37</v>
      </c>
      <c r="G759">
        <v>781</v>
      </c>
      <c r="H759" t="s">
        <v>2333</v>
      </c>
      <c r="I759" t="s">
        <v>2334</v>
      </c>
      <c r="J759" t="s">
        <v>161</v>
      </c>
      <c r="O759" t="s">
        <v>2335</v>
      </c>
      <c r="P759">
        <v>448.05</v>
      </c>
      <c r="Q759">
        <v>457.2</v>
      </c>
      <c r="R759">
        <v>439</v>
      </c>
      <c r="S759">
        <v>450.35</v>
      </c>
      <c r="T759">
        <v>450.45</v>
      </c>
      <c r="U759">
        <v>447.8</v>
      </c>
      <c r="W759">
        <v>450.43</v>
      </c>
      <c r="Z759">
        <v>113835</v>
      </c>
      <c r="AA759">
        <v>51026020.25</v>
      </c>
      <c r="AB759">
        <v>3817</v>
      </c>
      <c r="AC759" t="s">
        <v>42</v>
      </c>
      <c r="AD759">
        <v>1</v>
      </c>
    </row>
    <row r="760" spans="1:30">
      <c r="A760" t="str">
        <f>CONCATENATE(I760,J760)</f>
        <v>DAMCAPITALEQ</v>
      </c>
      <c r="B760" s="34">
        <v>46273</v>
      </c>
      <c r="C760" s="34">
        <v>46273</v>
      </c>
      <c r="D760" t="s">
        <v>35</v>
      </c>
      <c r="E760" t="s">
        <v>36</v>
      </c>
      <c r="F760" t="s">
        <v>37</v>
      </c>
      <c r="G760">
        <v>28662</v>
      </c>
      <c r="H760" t="s">
        <v>2336</v>
      </c>
      <c r="I760" t="s">
        <v>2337</v>
      </c>
      <c r="J760" t="s">
        <v>161</v>
      </c>
      <c r="O760" t="s">
        <v>2338</v>
      </c>
      <c r="P760">
        <v>142.66999999999999</v>
      </c>
      <c r="Q760">
        <v>147.19999999999999</v>
      </c>
      <c r="R760">
        <v>142.66999999999999</v>
      </c>
      <c r="S760">
        <v>145.29</v>
      </c>
      <c r="T760">
        <v>146</v>
      </c>
      <c r="U760">
        <v>143.38</v>
      </c>
      <c r="W760">
        <v>145.29</v>
      </c>
      <c r="Z760">
        <v>353726</v>
      </c>
      <c r="AA760">
        <v>51419556.420000002</v>
      </c>
      <c r="AB760">
        <v>5313</v>
      </c>
      <c r="AC760" t="s">
        <v>42</v>
      </c>
      <c r="AD760">
        <v>1</v>
      </c>
    </row>
    <row r="761" spans="1:30">
      <c r="A761" t="str">
        <f>CONCATENATE(I761,J761)</f>
        <v>DAMODARINDBE</v>
      </c>
      <c r="B761" s="34">
        <v>46273</v>
      </c>
      <c r="C761" s="34">
        <v>46273</v>
      </c>
      <c r="D761" t="s">
        <v>35</v>
      </c>
      <c r="E761" t="s">
        <v>36</v>
      </c>
      <c r="F761" t="s">
        <v>37</v>
      </c>
      <c r="G761">
        <v>17569</v>
      </c>
      <c r="H761" t="s">
        <v>2339</v>
      </c>
      <c r="I761" t="s">
        <v>2340</v>
      </c>
      <c r="J761" t="s">
        <v>183</v>
      </c>
      <c r="O761" t="s">
        <v>2341</v>
      </c>
      <c r="P761">
        <v>29.3</v>
      </c>
      <c r="Q761">
        <v>29.3</v>
      </c>
      <c r="R761">
        <v>28.35</v>
      </c>
      <c r="S761">
        <v>29.11</v>
      </c>
      <c r="T761">
        <v>29.3</v>
      </c>
      <c r="U761">
        <v>29.3</v>
      </c>
      <c r="W761">
        <v>29.11</v>
      </c>
      <c r="Z761">
        <v>1628</v>
      </c>
      <c r="AA761">
        <v>47207.45</v>
      </c>
      <c r="AB761">
        <v>28</v>
      </c>
      <c r="AC761" t="s">
        <v>42</v>
      </c>
      <c r="AD761">
        <v>1</v>
      </c>
    </row>
    <row r="762" spans="1:30">
      <c r="A762" t="str">
        <f>CONCATENATE(I762,J762)</f>
        <v>DANGEEEQ</v>
      </c>
      <c r="B762" s="34">
        <v>46273</v>
      </c>
      <c r="C762" s="34">
        <v>46273</v>
      </c>
      <c r="D762" t="s">
        <v>35</v>
      </c>
      <c r="E762" t="s">
        <v>36</v>
      </c>
      <c r="F762" t="s">
        <v>37</v>
      </c>
      <c r="G762">
        <v>1110</v>
      </c>
      <c r="H762" t="s">
        <v>2342</v>
      </c>
      <c r="I762" t="s">
        <v>2343</v>
      </c>
      <c r="J762" t="s">
        <v>161</v>
      </c>
      <c r="O762" t="s">
        <v>2344</v>
      </c>
      <c r="P762">
        <v>2.9</v>
      </c>
      <c r="Q762">
        <v>2.96</v>
      </c>
      <c r="R762">
        <v>2.77</v>
      </c>
      <c r="S762">
        <v>2.88</v>
      </c>
      <c r="T762">
        <v>2.92</v>
      </c>
      <c r="U762">
        <v>2.89</v>
      </c>
      <c r="W762">
        <v>2.88</v>
      </c>
      <c r="Z762">
        <v>27055</v>
      </c>
      <c r="AA762">
        <v>77390.210000000006</v>
      </c>
      <c r="AB762">
        <v>121</v>
      </c>
      <c r="AC762" t="s">
        <v>42</v>
      </c>
      <c r="AD762">
        <v>1</v>
      </c>
    </row>
    <row r="763" spans="1:30">
      <c r="A763" t="str">
        <f>CONCATENATE(I763,J763)</f>
        <v>DANISHSM</v>
      </c>
      <c r="B763" s="34">
        <v>46273</v>
      </c>
      <c r="C763" s="34">
        <v>46273</v>
      </c>
      <c r="D763" t="s">
        <v>35</v>
      </c>
      <c r="E763" t="s">
        <v>36</v>
      </c>
      <c r="F763" t="s">
        <v>37</v>
      </c>
      <c r="G763">
        <v>25927</v>
      </c>
      <c r="H763" t="s">
        <v>2345</v>
      </c>
      <c r="I763" t="s">
        <v>2346</v>
      </c>
      <c r="J763" t="s">
        <v>267</v>
      </c>
      <c r="O763" t="s">
        <v>2347</v>
      </c>
      <c r="P763">
        <v>870.1</v>
      </c>
      <c r="Q763">
        <v>870.1</v>
      </c>
      <c r="R763">
        <v>840</v>
      </c>
      <c r="S763">
        <v>851</v>
      </c>
      <c r="T763">
        <v>850</v>
      </c>
      <c r="U763">
        <v>870.1</v>
      </c>
      <c r="W763">
        <v>851</v>
      </c>
      <c r="Z763">
        <v>14550</v>
      </c>
      <c r="AA763">
        <v>12481372.5</v>
      </c>
      <c r="AB763">
        <v>92</v>
      </c>
      <c r="AC763" t="s">
        <v>42</v>
      </c>
      <c r="AD763">
        <v>150</v>
      </c>
    </row>
    <row r="764" spans="1:30">
      <c r="A764" t="str">
        <f>CONCATENATE(I764,J764)</f>
        <v>DATAPATTNSEQ</v>
      </c>
      <c r="B764" s="34">
        <v>46273</v>
      </c>
      <c r="C764" s="34">
        <v>46273</v>
      </c>
      <c r="D764" t="s">
        <v>35</v>
      </c>
      <c r="E764" t="s">
        <v>36</v>
      </c>
      <c r="F764" t="s">
        <v>37</v>
      </c>
      <c r="G764">
        <v>7358</v>
      </c>
      <c r="H764" t="s">
        <v>2348</v>
      </c>
      <c r="I764" t="s">
        <v>2349</v>
      </c>
      <c r="J764" t="s">
        <v>161</v>
      </c>
      <c r="O764" t="s">
        <v>2350</v>
      </c>
      <c r="P764">
        <v>4617.1000000000004</v>
      </c>
      <c r="Q764">
        <v>4950</v>
      </c>
      <c r="R764">
        <v>4617.1000000000004</v>
      </c>
      <c r="S764">
        <v>4932.3</v>
      </c>
      <c r="T764">
        <v>4940</v>
      </c>
      <c r="U764">
        <v>4590.8</v>
      </c>
      <c r="W764">
        <v>4932.24</v>
      </c>
      <c r="Z764">
        <v>2894206</v>
      </c>
      <c r="AA764">
        <v>14061424737.6</v>
      </c>
      <c r="AB764">
        <v>230579</v>
      </c>
      <c r="AC764" t="s">
        <v>42</v>
      </c>
      <c r="AD764">
        <v>1</v>
      </c>
    </row>
    <row r="765" spans="1:30">
      <c r="A765" t="str">
        <f>CONCATENATE(I765,J765)</f>
        <v>DATAMATICSEQ</v>
      </c>
      <c r="B765" s="34">
        <v>46273</v>
      </c>
      <c r="C765" s="34">
        <v>46273</v>
      </c>
      <c r="D765" t="s">
        <v>35</v>
      </c>
      <c r="E765" t="s">
        <v>36</v>
      </c>
      <c r="F765" t="s">
        <v>37</v>
      </c>
      <c r="G765">
        <v>11423</v>
      </c>
      <c r="H765" t="s">
        <v>2351</v>
      </c>
      <c r="I765" t="s">
        <v>2352</v>
      </c>
      <c r="J765" t="s">
        <v>161</v>
      </c>
      <c r="O765" t="s">
        <v>2353</v>
      </c>
      <c r="P765">
        <v>752</v>
      </c>
      <c r="Q765">
        <v>760.85</v>
      </c>
      <c r="R765">
        <v>733.85</v>
      </c>
      <c r="S765">
        <v>739</v>
      </c>
      <c r="T765">
        <v>735</v>
      </c>
      <c r="U765">
        <v>756.3</v>
      </c>
      <c r="W765">
        <v>739.02</v>
      </c>
      <c r="Z765">
        <v>113101</v>
      </c>
      <c r="AA765">
        <v>84608444.700000003</v>
      </c>
      <c r="AB765">
        <v>5993</v>
      </c>
      <c r="AC765" t="s">
        <v>42</v>
      </c>
      <c r="AD765">
        <v>1</v>
      </c>
    </row>
    <row r="766" spans="1:30">
      <c r="A766" t="str">
        <f>CONCATENATE(I766,J766)</f>
        <v>DAVANGEREEQ</v>
      </c>
      <c r="B766" s="34">
        <v>46273</v>
      </c>
      <c r="C766" s="34">
        <v>46273</v>
      </c>
      <c r="D766" t="s">
        <v>35</v>
      </c>
      <c r="E766" t="s">
        <v>36</v>
      </c>
      <c r="F766" t="s">
        <v>37</v>
      </c>
      <c r="G766">
        <v>21794</v>
      </c>
      <c r="H766" t="s">
        <v>2354</v>
      </c>
      <c r="I766" t="s">
        <v>2355</v>
      </c>
      <c r="J766" t="s">
        <v>161</v>
      </c>
      <c r="O766" t="s">
        <v>2356</v>
      </c>
      <c r="P766">
        <v>2.0299999999999998</v>
      </c>
      <c r="Q766">
        <v>2.0299999999999998</v>
      </c>
      <c r="R766">
        <v>1.92</v>
      </c>
      <c r="S766">
        <v>1.93</v>
      </c>
      <c r="T766">
        <v>1.92</v>
      </c>
      <c r="U766">
        <v>1.96</v>
      </c>
      <c r="W766">
        <v>1.93</v>
      </c>
      <c r="Z766">
        <v>31289677</v>
      </c>
      <c r="AA766">
        <v>61191076.899999999</v>
      </c>
      <c r="AB766">
        <v>5010</v>
      </c>
      <c r="AC766" t="s">
        <v>42</v>
      </c>
      <c r="AD766">
        <v>1</v>
      </c>
    </row>
    <row r="767" spans="1:30">
      <c r="A767" t="str">
        <f>CONCATENATE(I767,J767)</f>
        <v>DBSTOCKBROBE</v>
      </c>
      <c r="B767" s="34">
        <v>46273</v>
      </c>
      <c r="C767" s="34">
        <v>46273</v>
      </c>
      <c r="D767" t="s">
        <v>35</v>
      </c>
      <c r="E767" t="s">
        <v>36</v>
      </c>
      <c r="F767" t="s">
        <v>37</v>
      </c>
      <c r="G767">
        <v>31111</v>
      </c>
      <c r="H767" t="s">
        <v>2357</v>
      </c>
      <c r="I767" t="s">
        <v>2358</v>
      </c>
      <c r="J767" t="s">
        <v>183</v>
      </c>
      <c r="O767" t="s">
        <v>2359</v>
      </c>
      <c r="P767">
        <v>28.4</v>
      </c>
      <c r="Q767">
        <v>28.92</v>
      </c>
      <c r="R767">
        <v>28.4</v>
      </c>
      <c r="S767">
        <v>28.41</v>
      </c>
      <c r="T767">
        <v>28.41</v>
      </c>
      <c r="U767">
        <v>28.61</v>
      </c>
      <c r="W767">
        <v>28.37</v>
      </c>
      <c r="Z767">
        <v>2598</v>
      </c>
      <c r="AA767">
        <v>73944.179999999993</v>
      </c>
      <c r="AB767">
        <v>21</v>
      </c>
      <c r="AC767" t="s">
        <v>42</v>
      </c>
      <c r="AD767">
        <v>1</v>
      </c>
    </row>
    <row r="768" spans="1:30">
      <c r="A768" t="str">
        <f>CONCATENATE(I768,J768)</f>
        <v>DCIEQ</v>
      </c>
      <c r="B768" s="34">
        <v>46273</v>
      </c>
      <c r="C768" s="34">
        <v>46273</v>
      </c>
      <c r="D768" t="s">
        <v>35</v>
      </c>
      <c r="E768" t="s">
        <v>36</v>
      </c>
      <c r="F768" t="s">
        <v>37</v>
      </c>
      <c r="G768">
        <v>11566</v>
      </c>
      <c r="H768" t="s">
        <v>2360</v>
      </c>
      <c r="I768" t="s">
        <v>2361</v>
      </c>
      <c r="J768" t="s">
        <v>161</v>
      </c>
      <c r="O768" t="s">
        <v>2362</v>
      </c>
      <c r="P768">
        <v>353</v>
      </c>
      <c r="Q768">
        <v>353</v>
      </c>
      <c r="R768">
        <v>300.25</v>
      </c>
      <c r="S768">
        <v>300.75</v>
      </c>
      <c r="T768">
        <v>300.5</v>
      </c>
      <c r="U768">
        <v>351.25</v>
      </c>
      <c r="W768">
        <v>300.75</v>
      </c>
      <c r="Z768">
        <v>1111658</v>
      </c>
      <c r="AA768">
        <v>342826537.10000002</v>
      </c>
      <c r="AB768">
        <v>25551</v>
      </c>
      <c r="AC768" t="s">
        <v>42</v>
      </c>
      <c r="AD768">
        <v>1</v>
      </c>
    </row>
    <row r="769" spans="1:30">
      <c r="A769" t="str">
        <f>CONCATENATE(I769,J769)</f>
        <v>DCBBANKEQ</v>
      </c>
      <c r="B769" s="34">
        <v>46273</v>
      </c>
      <c r="C769" s="34">
        <v>46273</v>
      </c>
      <c r="D769" t="s">
        <v>35</v>
      </c>
      <c r="E769" t="s">
        <v>36</v>
      </c>
      <c r="F769" t="s">
        <v>37</v>
      </c>
      <c r="G769">
        <v>13725</v>
      </c>
      <c r="H769" t="s">
        <v>2363</v>
      </c>
      <c r="I769" t="s">
        <v>2364</v>
      </c>
      <c r="J769" t="s">
        <v>161</v>
      </c>
      <c r="O769" t="s">
        <v>2365</v>
      </c>
      <c r="P769">
        <v>221</v>
      </c>
      <c r="Q769">
        <v>234.8</v>
      </c>
      <c r="R769">
        <v>219.91</v>
      </c>
      <c r="S769">
        <v>229.55</v>
      </c>
      <c r="T769">
        <v>229.6</v>
      </c>
      <c r="U769">
        <v>221.31</v>
      </c>
      <c r="W769">
        <v>229.56</v>
      </c>
      <c r="Z769">
        <v>6352270</v>
      </c>
      <c r="AA769">
        <v>1465885632.5599999</v>
      </c>
      <c r="AB769">
        <v>70351</v>
      </c>
      <c r="AC769" t="s">
        <v>42</v>
      </c>
      <c r="AD769">
        <v>1</v>
      </c>
    </row>
    <row r="770" spans="1:30">
      <c r="A770" t="str">
        <f>CONCATENATE(I770,J770)</f>
        <v>1225DCCL27N0</v>
      </c>
      <c r="B770" s="34">
        <v>46273</v>
      </c>
      <c r="C770" s="34">
        <v>46273</v>
      </c>
      <c r="D770" t="s">
        <v>35</v>
      </c>
      <c r="E770" t="s">
        <v>36</v>
      </c>
      <c r="F770" t="s">
        <v>37</v>
      </c>
      <c r="G770">
        <v>760956</v>
      </c>
      <c r="H770" t="s">
        <v>2366</v>
      </c>
      <c r="I770" t="s">
        <v>2367</v>
      </c>
      <c r="J770" t="s">
        <v>514</v>
      </c>
      <c r="O770" t="s">
        <v>2368</v>
      </c>
      <c r="P770">
        <v>99526.46</v>
      </c>
      <c r="Q770">
        <v>99526.46</v>
      </c>
      <c r="R770">
        <v>99526.46</v>
      </c>
      <c r="S770">
        <v>99526.46</v>
      </c>
      <c r="T770">
        <v>99526.46</v>
      </c>
      <c r="U770">
        <v>99526.46</v>
      </c>
      <c r="W770">
        <v>99526.46</v>
      </c>
      <c r="Z770">
        <v>2</v>
      </c>
      <c r="AA770">
        <v>199052.92</v>
      </c>
      <c r="AB770">
        <v>2</v>
      </c>
      <c r="AC770" t="s">
        <v>42</v>
      </c>
      <c r="AD770">
        <v>1</v>
      </c>
    </row>
    <row r="771" spans="1:30">
      <c r="A771" t="str">
        <f>CONCATENATE(I771,J771)</f>
        <v>1275DCCL28N0</v>
      </c>
      <c r="B771" s="34">
        <v>46273</v>
      </c>
      <c r="C771" s="34">
        <v>46273</v>
      </c>
      <c r="D771" t="s">
        <v>35</v>
      </c>
      <c r="E771" t="s">
        <v>36</v>
      </c>
      <c r="F771" t="s">
        <v>37</v>
      </c>
      <c r="G771">
        <v>761737</v>
      </c>
      <c r="H771" t="s">
        <v>2369</v>
      </c>
      <c r="I771" t="s">
        <v>2370</v>
      </c>
      <c r="J771" t="s">
        <v>514</v>
      </c>
      <c r="O771" t="s">
        <v>2371</v>
      </c>
      <c r="P771">
        <v>9982.42</v>
      </c>
      <c r="Q771">
        <v>9982.42</v>
      </c>
      <c r="R771">
        <v>9982.42</v>
      </c>
      <c r="S771">
        <v>9982.42</v>
      </c>
      <c r="T771">
        <v>9982.42</v>
      </c>
      <c r="U771">
        <v>9976.14</v>
      </c>
      <c r="W771">
        <v>9982.42</v>
      </c>
      <c r="Z771">
        <v>10</v>
      </c>
      <c r="AA771">
        <v>99824.2</v>
      </c>
      <c r="AB771">
        <v>1</v>
      </c>
      <c r="AC771" t="s">
        <v>42</v>
      </c>
      <c r="AD771">
        <v>1</v>
      </c>
    </row>
    <row r="772" spans="1:30">
      <c r="A772" t="str">
        <f>CONCATENATE(I772,J772)</f>
        <v>DCGSM</v>
      </c>
      <c r="B772" s="34">
        <v>46273</v>
      </c>
      <c r="C772" s="34">
        <v>46273</v>
      </c>
      <c r="D772" t="s">
        <v>35</v>
      </c>
      <c r="E772" t="s">
        <v>36</v>
      </c>
      <c r="F772" t="s">
        <v>37</v>
      </c>
      <c r="G772">
        <v>23520</v>
      </c>
      <c r="H772" t="s">
        <v>2372</v>
      </c>
      <c r="I772" t="s">
        <v>2373</v>
      </c>
      <c r="J772" t="s">
        <v>267</v>
      </c>
      <c r="O772" t="s">
        <v>2374</v>
      </c>
      <c r="P772">
        <v>65.05</v>
      </c>
      <c r="Q772">
        <v>75.400000000000006</v>
      </c>
      <c r="R772">
        <v>64.75</v>
      </c>
      <c r="S772">
        <v>74</v>
      </c>
      <c r="T772">
        <v>74</v>
      </c>
      <c r="U772">
        <v>66.650000000000006</v>
      </c>
      <c r="W772">
        <v>74</v>
      </c>
      <c r="Z772">
        <v>154800</v>
      </c>
      <c r="AA772">
        <v>11197260</v>
      </c>
      <c r="AB772">
        <v>118</v>
      </c>
      <c r="AC772" t="s">
        <v>42</v>
      </c>
      <c r="AD772">
        <v>1200</v>
      </c>
    </row>
    <row r="773" spans="1:30">
      <c r="A773" t="str">
        <f>CONCATENATE(I773,J773)</f>
        <v>DCMFINSERVEQ</v>
      </c>
      <c r="B773" s="34">
        <v>46273</v>
      </c>
      <c r="C773" s="34">
        <v>46273</v>
      </c>
      <c r="D773" t="s">
        <v>35</v>
      </c>
      <c r="E773" t="s">
        <v>36</v>
      </c>
      <c r="F773" t="s">
        <v>37</v>
      </c>
      <c r="G773">
        <v>4775</v>
      </c>
      <c r="H773" t="s">
        <v>2375</v>
      </c>
      <c r="I773" t="s">
        <v>2376</v>
      </c>
      <c r="J773" t="s">
        <v>161</v>
      </c>
      <c r="O773" t="s">
        <v>2377</v>
      </c>
      <c r="P773">
        <v>5.31</v>
      </c>
      <c r="Q773">
        <v>5.32</v>
      </c>
      <c r="R773">
        <v>5.0599999999999996</v>
      </c>
      <c r="S773">
        <v>5.1100000000000003</v>
      </c>
      <c r="T773">
        <v>5.1100000000000003</v>
      </c>
      <c r="U773">
        <v>5.33</v>
      </c>
      <c r="W773">
        <v>5.1100000000000003</v>
      </c>
      <c r="Z773">
        <v>11363</v>
      </c>
      <c r="AA773">
        <v>58418.26</v>
      </c>
      <c r="AB773">
        <v>82</v>
      </c>
      <c r="AC773" t="s">
        <v>42</v>
      </c>
      <c r="AD773">
        <v>1</v>
      </c>
    </row>
    <row r="774" spans="1:30">
      <c r="A774" t="str">
        <f>CONCATENATE(I774,J774)</f>
        <v>DCMBE</v>
      </c>
      <c r="B774" s="34">
        <v>46273</v>
      </c>
      <c r="C774" s="34">
        <v>46273</v>
      </c>
      <c r="D774" t="s">
        <v>35</v>
      </c>
      <c r="E774" t="s">
        <v>36</v>
      </c>
      <c r="F774" t="s">
        <v>37</v>
      </c>
      <c r="G774">
        <v>7323</v>
      </c>
      <c r="H774" t="s">
        <v>2378</v>
      </c>
      <c r="I774" t="s">
        <v>2379</v>
      </c>
      <c r="J774" t="s">
        <v>183</v>
      </c>
      <c r="O774" t="s">
        <v>2380</v>
      </c>
      <c r="P774">
        <v>76.2</v>
      </c>
      <c r="Q774">
        <v>77.900000000000006</v>
      </c>
      <c r="R774">
        <v>75</v>
      </c>
      <c r="S774">
        <v>75.06</v>
      </c>
      <c r="T774">
        <v>75</v>
      </c>
      <c r="U774">
        <v>76.150000000000006</v>
      </c>
      <c r="W774">
        <v>75.06</v>
      </c>
      <c r="Z774">
        <v>29183</v>
      </c>
      <c r="AA774">
        <v>2200630.2999999998</v>
      </c>
      <c r="AB774">
        <v>69</v>
      </c>
      <c r="AC774" t="s">
        <v>42</v>
      </c>
      <c r="AD774">
        <v>1</v>
      </c>
    </row>
    <row r="775" spans="1:30">
      <c r="A775" t="str">
        <f>CONCATENATE(I775,J775)</f>
        <v>DCMNVLEQ</v>
      </c>
      <c r="B775" s="34">
        <v>46273</v>
      </c>
      <c r="C775" s="34">
        <v>46273</v>
      </c>
      <c r="D775" t="s">
        <v>35</v>
      </c>
      <c r="E775" t="s">
        <v>36</v>
      </c>
      <c r="F775" t="s">
        <v>37</v>
      </c>
      <c r="G775">
        <v>11039</v>
      </c>
      <c r="H775" t="s">
        <v>2381</v>
      </c>
      <c r="I775" t="s">
        <v>2382</v>
      </c>
      <c r="J775" t="s">
        <v>161</v>
      </c>
      <c r="O775" t="s">
        <v>2383</v>
      </c>
      <c r="P775">
        <v>186.3</v>
      </c>
      <c r="Q775">
        <v>187.98</v>
      </c>
      <c r="R775">
        <v>177.35</v>
      </c>
      <c r="S775">
        <v>180.44</v>
      </c>
      <c r="T775">
        <v>181</v>
      </c>
      <c r="U775">
        <v>183.01</v>
      </c>
      <c r="W775">
        <v>180.43</v>
      </c>
      <c r="Z775">
        <v>40184</v>
      </c>
      <c r="AA775">
        <v>7405339.9800000004</v>
      </c>
      <c r="AB775">
        <v>1349</v>
      </c>
      <c r="AC775" t="s">
        <v>42</v>
      </c>
      <c r="AD775">
        <v>1</v>
      </c>
    </row>
    <row r="776" spans="1:30">
      <c r="A776" t="str">
        <f>CONCATENATE(I776,J776)</f>
        <v>DSFCLBE</v>
      </c>
      <c r="B776" s="34">
        <v>46273</v>
      </c>
      <c r="C776" s="34">
        <v>46273</v>
      </c>
      <c r="D776" t="s">
        <v>35</v>
      </c>
      <c r="E776" t="s">
        <v>36</v>
      </c>
      <c r="F776" t="s">
        <v>37</v>
      </c>
      <c r="G776">
        <v>760893</v>
      </c>
      <c r="H776" t="s">
        <v>2384</v>
      </c>
      <c r="I776" t="s">
        <v>2385</v>
      </c>
      <c r="J776" t="s">
        <v>183</v>
      </c>
      <c r="O776" t="s">
        <v>2386</v>
      </c>
      <c r="P776">
        <v>26</v>
      </c>
      <c r="Q776">
        <v>26.9</v>
      </c>
      <c r="R776">
        <v>26</v>
      </c>
      <c r="S776">
        <v>26.74</v>
      </c>
      <c r="T776">
        <v>26.83</v>
      </c>
      <c r="U776">
        <v>25.99</v>
      </c>
      <c r="W776">
        <v>26.74</v>
      </c>
      <c r="Z776">
        <v>72207</v>
      </c>
      <c r="AA776">
        <v>1911725.32</v>
      </c>
      <c r="AB776">
        <v>149</v>
      </c>
      <c r="AC776" t="s">
        <v>42</v>
      </c>
      <c r="AD776">
        <v>1</v>
      </c>
    </row>
    <row r="777" spans="1:30">
      <c r="A777" t="str">
        <f>CONCATENATE(I777,J777)</f>
        <v>DCMSRINDEQ</v>
      </c>
      <c r="B777" s="34">
        <v>46273</v>
      </c>
      <c r="C777" s="34">
        <v>46273</v>
      </c>
      <c r="D777" t="s">
        <v>35</v>
      </c>
      <c r="E777" t="s">
        <v>36</v>
      </c>
      <c r="F777" t="s">
        <v>37</v>
      </c>
      <c r="G777">
        <v>7325</v>
      </c>
      <c r="H777" t="s">
        <v>2387</v>
      </c>
      <c r="I777" t="s">
        <v>2388</v>
      </c>
      <c r="J777" t="s">
        <v>161</v>
      </c>
      <c r="O777" t="s">
        <v>2389</v>
      </c>
      <c r="P777">
        <v>44.99</v>
      </c>
      <c r="Q777">
        <v>45.09</v>
      </c>
      <c r="R777">
        <v>43.11</v>
      </c>
      <c r="S777">
        <v>43.78</v>
      </c>
      <c r="T777">
        <v>44.34</v>
      </c>
      <c r="U777">
        <v>44.53</v>
      </c>
      <c r="W777">
        <v>43.78</v>
      </c>
      <c r="Z777">
        <v>167918</v>
      </c>
      <c r="AA777">
        <v>7417832.96</v>
      </c>
      <c r="AB777">
        <v>1700</v>
      </c>
      <c r="AC777" t="s">
        <v>42</v>
      </c>
      <c r="AD777">
        <v>1</v>
      </c>
    </row>
    <row r="778" spans="1:30">
      <c r="A778" t="str">
        <f>CONCATENATE(I778,J778)</f>
        <v>DCMSILEQ</v>
      </c>
      <c r="B778" s="34">
        <v>46273</v>
      </c>
      <c r="C778" s="34">
        <v>46273</v>
      </c>
      <c r="D778" t="s">
        <v>35</v>
      </c>
      <c r="E778" t="s">
        <v>36</v>
      </c>
      <c r="F778" t="s">
        <v>37</v>
      </c>
      <c r="G778">
        <v>760896</v>
      </c>
      <c r="H778" t="s">
        <v>2390</v>
      </c>
      <c r="I778" t="s">
        <v>2391</v>
      </c>
      <c r="J778" t="s">
        <v>161</v>
      </c>
      <c r="O778" t="s">
        <v>2392</v>
      </c>
      <c r="P778">
        <v>68</v>
      </c>
      <c r="Q778">
        <v>71.98</v>
      </c>
      <c r="R778">
        <v>67.89</v>
      </c>
      <c r="S778">
        <v>69.09</v>
      </c>
      <c r="T778">
        <v>68.5</v>
      </c>
      <c r="U778">
        <v>67.42</v>
      </c>
      <c r="W778">
        <v>69.19</v>
      </c>
      <c r="Z778">
        <v>61329</v>
      </c>
      <c r="AA778">
        <v>4253582.74</v>
      </c>
      <c r="AB778">
        <v>1168</v>
      </c>
      <c r="AC778" t="s">
        <v>42</v>
      </c>
      <c r="AD778">
        <v>1</v>
      </c>
    </row>
    <row r="779" spans="1:30">
      <c r="A779" t="str">
        <f>CONCATENATE(I779,J779)</f>
        <v>DCMSHRIRAMEQ</v>
      </c>
      <c r="B779" s="34">
        <v>46273</v>
      </c>
      <c r="C779" s="34">
        <v>46273</v>
      </c>
      <c r="D779" t="s">
        <v>35</v>
      </c>
      <c r="E779" t="s">
        <v>36</v>
      </c>
      <c r="F779" t="s">
        <v>37</v>
      </c>
      <c r="G779">
        <v>811</v>
      </c>
      <c r="H779" t="s">
        <v>2393</v>
      </c>
      <c r="I779" t="s">
        <v>2394</v>
      </c>
      <c r="J779" t="s">
        <v>161</v>
      </c>
      <c r="O779" t="s">
        <v>2395</v>
      </c>
      <c r="P779">
        <v>1008</v>
      </c>
      <c r="Q779">
        <v>1015.9</v>
      </c>
      <c r="R779">
        <v>1005.8</v>
      </c>
      <c r="S779">
        <v>1008.2</v>
      </c>
      <c r="T779">
        <v>1009</v>
      </c>
      <c r="U779">
        <v>1011.2</v>
      </c>
      <c r="W779">
        <v>1008.22</v>
      </c>
      <c r="Z779">
        <v>45553</v>
      </c>
      <c r="AA779">
        <v>45980645.5</v>
      </c>
      <c r="AB779">
        <v>4466</v>
      </c>
      <c r="AC779" t="s">
        <v>42</v>
      </c>
      <c r="AD779">
        <v>1</v>
      </c>
    </row>
    <row r="780" spans="1:30">
      <c r="A780" t="str">
        <f>CONCATENATE(I780,J780)</f>
        <v>DCWEQ</v>
      </c>
      <c r="B780" s="34">
        <v>46273</v>
      </c>
      <c r="C780" s="34">
        <v>46273</v>
      </c>
      <c r="D780" t="s">
        <v>35</v>
      </c>
      <c r="E780" t="s">
        <v>36</v>
      </c>
      <c r="F780" t="s">
        <v>37</v>
      </c>
      <c r="G780">
        <v>817</v>
      </c>
      <c r="H780" t="s">
        <v>2396</v>
      </c>
      <c r="I780" t="s">
        <v>2397</v>
      </c>
      <c r="J780" t="s">
        <v>161</v>
      </c>
      <c r="O780" t="s">
        <v>2398</v>
      </c>
      <c r="P780">
        <v>47.99</v>
      </c>
      <c r="Q780">
        <v>49.25</v>
      </c>
      <c r="R780">
        <v>46.85</v>
      </c>
      <c r="S780">
        <v>47.65</v>
      </c>
      <c r="T780">
        <v>47.46</v>
      </c>
      <c r="U780">
        <v>47.99</v>
      </c>
      <c r="W780">
        <v>47.65</v>
      </c>
      <c r="Z780">
        <v>2432635</v>
      </c>
      <c r="AA780">
        <v>117103260.83</v>
      </c>
      <c r="AB780">
        <v>11423</v>
      </c>
      <c r="AC780" t="s">
        <v>42</v>
      </c>
      <c r="AD780">
        <v>1</v>
      </c>
    </row>
    <row r="781" spans="1:30">
      <c r="A781" t="str">
        <f>CONCATENATE(I781,J781)</f>
        <v>DCXINDIAEQ</v>
      </c>
      <c r="B781" s="34">
        <v>46273</v>
      </c>
      <c r="C781" s="34">
        <v>46273</v>
      </c>
      <c r="D781" t="s">
        <v>35</v>
      </c>
      <c r="E781" t="s">
        <v>36</v>
      </c>
      <c r="F781" t="s">
        <v>37</v>
      </c>
      <c r="G781">
        <v>11895</v>
      </c>
      <c r="H781" t="s">
        <v>2399</v>
      </c>
      <c r="I781" t="s">
        <v>2400</v>
      </c>
      <c r="J781" t="s">
        <v>161</v>
      </c>
      <c r="O781" t="s">
        <v>2401</v>
      </c>
      <c r="P781">
        <v>173.95</v>
      </c>
      <c r="Q781">
        <v>178.15</v>
      </c>
      <c r="R781">
        <v>173.17</v>
      </c>
      <c r="S781">
        <v>174.09</v>
      </c>
      <c r="T781">
        <v>173.82</v>
      </c>
      <c r="U781">
        <v>173.67</v>
      </c>
      <c r="W781">
        <v>174.08</v>
      </c>
      <c r="Z781">
        <v>482554</v>
      </c>
      <c r="AA781">
        <v>84862768.879999995</v>
      </c>
      <c r="AB781">
        <v>8657</v>
      </c>
      <c r="AC781" t="s">
        <v>42</v>
      </c>
      <c r="AD781">
        <v>1</v>
      </c>
    </row>
    <row r="782" spans="1:30">
      <c r="A782" t="str">
        <f>CONCATENATE(I782,J782)</f>
        <v>DDEVPLSTIKEQ</v>
      </c>
      <c r="B782" s="34">
        <v>46273</v>
      </c>
      <c r="C782" s="34">
        <v>46273</v>
      </c>
      <c r="D782" t="s">
        <v>35</v>
      </c>
      <c r="E782" t="s">
        <v>36</v>
      </c>
      <c r="F782" t="s">
        <v>37</v>
      </c>
      <c r="G782">
        <v>29098</v>
      </c>
      <c r="H782" t="s">
        <v>2402</v>
      </c>
      <c r="I782" t="s">
        <v>2403</v>
      </c>
      <c r="J782" t="s">
        <v>161</v>
      </c>
      <c r="O782" t="s">
        <v>2404</v>
      </c>
      <c r="P782">
        <v>274.95</v>
      </c>
      <c r="Q782">
        <v>274.95</v>
      </c>
      <c r="R782">
        <v>268.89999999999998</v>
      </c>
      <c r="S782">
        <v>269.45</v>
      </c>
      <c r="T782">
        <v>269</v>
      </c>
      <c r="U782">
        <v>274.75</v>
      </c>
      <c r="W782">
        <v>269.41000000000003</v>
      </c>
      <c r="Z782">
        <v>76809</v>
      </c>
      <c r="AA782">
        <v>20797737.75</v>
      </c>
      <c r="AB782">
        <v>1649</v>
      </c>
      <c r="AC782" t="s">
        <v>42</v>
      </c>
      <c r="AD782">
        <v>1</v>
      </c>
    </row>
    <row r="783" spans="1:30">
      <c r="A783" t="str">
        <f>CONCATENATE(I783,J783)</f>
        <v>DENEERSSM</v>
      </c>
      <c r="B783" s="34">
        <v>46273</v>
      </c>
      <c r="C783" s="34">
        <v>46273</v>
      </c>
      <c r="D783" t="s">
        <v>35</v>
      </c>
      <c r="E783" t="s">
        <v>36</v>
      </c>
      <c r="F783" t="s">
        <v>37</v>
      </c>
      <c r="G783">
        <v>15449</v>
      </c>
      <c r="H783" t="s">
        <v>2405</v>
      </c>
      <c r="I783" t="s">
        <v>2406</v>
      </c>
      <c r="J783" t="s">
        <v>267</v>
      </c>
      <c r="O783" t="s">
        <v>2407</v>
      </c>
      <c r="P783">
        <v>168.5</v>
      </c>
      <c r="Q783">
        <v>175</v>
      </c>
      <c r="R783">
        <v>168</v>
      </c>
      <c r="S783">
        <v>174.5</v>
      </c>
      <c r="T783">
        <v>175</v>
      </c>
      <c r="U783">
        <v>168.9</v>
      </c>
      <c r="W783">
        <v>174.5</v>
      </c>
      <c r="Z783">
        <v>10200</v>
      </c>
      <c r="AA783">
        <v>1745970</v>
      </c>
      <c r="AB783">
        <v>15</v>
      </c>
      <c r="AC783" t="s">
        <v>42</v>
      </c>
      <c r="AD783">
        <v>600</v>
      </c>
    </row>
    <row r="784" spans="1:30">
      <c r="A784" t="str">
        <f>CONCATENATE(I784,J784)</f>
        <v>DENORAEQ</v>
      </c>
      <c r="B784" s="34">
        <v>46273</v>
      </c>
      <c r="C784" s="34">
        <v>46273</v>
      </c>
      <c r="D784" t="s">
        <v>35</v>
      </c>
      <c r="E784" t="s">
        <v>36</v>
      </c>
      <c r="F784" t="s">
        <v>37</v>
      </c>
      <c r="G784">
        <v>4279</v>
      </c>
      <c r="H784" t="s">
        <v>2408</v>
      </c>
      <c r="I784" t="s">
        <v>2409</v>
      </c>
      <c r="J784" t="s">
        <v>161</v>
      </c>
      <c r="O784" t="s">
        <v>2410</v>
      </c>
      <c r="P784">
        <v>825.15</v>
      </c>
      <c r="Q784">
        <v>833.95</v>
      </c>
      <c r="R784">
        <v>800.15</v>
      </c>
      <c r="S784">
        <v>805.95</v>
      </c>
      <c r="T784">
        <v>803.5</v>
      </c>
      <c r="U784">
        <v>814.35</v>
      </c>
      <c r="W784">
        <v>805.93</v>
      </c>
      <c r="Z784">
        <v>5325</v>
      </c>
      <c r="AA784">
        <v>4341571.6500000004</v>
      </c>
      <c r="AB784">
        <v>479</v>
      </c>
      <c r="AC784" t="s">
        <v>42</v>
      </c>
      <c r="AD784">
        <v>1</v>
      </c>
    </row>
    <row r="785" spans="1:30">
      <c r="A785" t="str">
        <f>CONCATENATE(I785,J785)</f>
        <v>DECCANCEEQ</v>
      </c>
      <c r="B785" s="34">
        <v>46273</v>
      </c>
      <c r="C785" s="34">
        <v>46273</v>
      </c>
      <c r="D785" t="s">
        <v>35</v>
      </c>
      <c r="E785" t="s">
        <v>36</v>
      </c>
      <c r="F785" t="s">
        <v>37</v>
      </c>
      <c r="G785">
        <v>14838</v>
      </c>
      <c r="H785" t="s">
        <v>2411</v>
      </c>
      <c r="I785" t="s">
        <v>2412</v>
      </c>
      <c r="J785" t="s">
        <v>161</v>
      </c>
      <c r="O785" t="s">
        <v>2413</v>
      </c>
      <c r="P785">
        <v>570.85</v>
      </c>
      <c r="Q785">
        <v>578.15</v>
      </c>
      <c r="R785">
        <v>564</v>
      </c>
      <c r="S785">
        <v>567.75</v>
      </c>
      <c r="T785">
        <v>567</v>
      </c>
      <c r="U785">
        <v>573.15</v>
      </c>
      <c r="W785">
        <v>567.73</v>
      </c>
      <c r="Z785">
        <v>11865</v>
      </c>
      <c r="AA785">
        <v>6735338.5999999996</v>
      </c>
      <c r="AB785">
        <v>470</v>
      </c>
      <c r="AC785" t="s">
        <v>42</v>
      </c>
      <c r="AD785">
        <v>1</v>
      </c>
    </row>
    <row r="786" spans="1:30">
      <c r="A786" t="str">
        <f>CONCATENATE(I786,J786)</f>
        <v>DECNGOLDEQ</v>
      </c>
      <c r="B786" s="34">
        <v>46273</v>
      </c>
      <c r="C786" s="34">
        <v>46273</v>
      </c>
      <c r="D786" t="s">
        <v>35</v>
      </c>
      <c r="E786" t="s">
        <v>36</v>
      </c>
      <c r="F786" t="s">
        <v>37</v>
      </c>
      <c r="G786">
        <v>762638</v>
      </c>
      <c r="H786" t="s">
        <v>2414</v>
      </c>
      <c r="I786" t="s">
        <v>2415</v>
      </c>
      <c r="J786" t="s">
        <v>161</v>
      </c>
      <c r="O786" t="s">
        <v>2416</v>
      </c>
      <c r="P786">
        <v>215.77</v>
      </c>
      <c r="Q786">
        <v>224.5</v>
      </c>
      <c r="R786">
        <v>214</v>
      </c>
      <c r="S786">
        <v>223.22</v>
      </c>
      <c r="T786">
        <v>223.6</v>
      </c>
      <c r="U786">
        <v>215.77</v>
      </c>
      <c r="W786">
        <v>223.26</v>
      </c>
      <c r="Z786">
        <v>1302537</v>
      </c>
      <c r="AA786">
        <v>287349290.50999999</v>
      </c>
      <c r="AB786">
        <v>15990</v>
      </c>
      <c r="AC786" t="s">
        <v>42</v>
      </c>
      <c r="AD786">
        <v>1</v>
      </c>
    </row>
    <row r="787" spans="1:30">
      <c r="A787" t="str">
        <f>CONCATENATE(I787,J787)</f>
        <v>DECCANTRANSM</v>
      </c>
      <c r="B787" s="34">
        <v>46273</v>
      </c>
      <c r="C787" s="34">
        <v>46273</v>
      </c>
      <c r="D787" t="s">
        <v>35</v>
      </c>
      <c r="E787" t="s">
        <v>36</v>
      </c>
      <c r="F787" t="s">
        <v>37</v>
      </c>
      <c r="G787">
        <v>25421</v>
      </c>
      <c r="H787" t="s">
        <v>2417</v>
      </c>
      <c r="I787" t="s">
        <v>2418</v>
      </c>
      <c r="J787" t="s">
        <v>267</v>
      </c>
      <c r="O787" t="s">
        <v>2419</v>
      </c>
      <c r="P787">
        <v>20.5</v>
      </c>
      <c r="Q787">
        <v>20.5</v>
      </c>
      <c r="R787">
        <v>20.5</v>
      </c>
      <c r="S787">
        <v>20.5</v>
      </c>
      <c r="T787">
        <v>20.5</v>
      </c>
      <c r="U787">
        <v>20.5</v>
      </c>
      <c r="W787">
        <v>20.5</v>
      </c>
      <c r="Z787">
        <v>4800</v>
      </c>
      <c r="AA787">
        <v>98400</v>
      </c>
      <c r="AB787">
        <v>4</v>
      </c>
      <c r="AC787" t="s">
        <v>42</v>
      </c>
      <c r="AD787">
        <v>1200</v>
      </c>
    </row>
    <row r="788" spans="1:30">
      <c r="A788" t="str">
        <f>CONCATENATE(I788,J788)</f>
        <v>DEEDEVEQ</v>
      </c>
      <c r="B788" s="34">
        <v>46273</v>
      </c>
      <c r="C788" s="34">
        <v>46273</v>
      </c>
      <c r="D788" t="s">
        <v>35</v>
      </c>
      <c r="E788" t="s">
        <v>36</v>
      </c>
      <c r="F788" t="s">
        <v>37</v>
      </c>
      <c r="G788">
        <v>24154</v>
      </c>
      <c r="H788" t="s">
        <v>2420</v>
      </c>
      <c r="I788" t="s">
        <v>2421</v>
      </c>
      <c r="J788" t="s">
        <v>161</v>
      </c>
      <c r="O788" t="s">
        <v>2422</v>
      </c>
      <c r="P788">
        <v>682.6</v>
      </c>
      <c r="Q788">
        <v>710</v>
      </c>
      <c r="R788">
        <v>663.65</v>
      </c>
      <c r="S788">
        <v>701.6</v>
      </c>
      <c r="T788">
        <v>695</v>
      </c>
      <c r="U788">
        <v>677.05</v>
      </c>
      <c r="W788">
        <v>701.61</v>
      </c>
      <c r="Z788">
        <v>328658</v>
      </c>
      <c r="AA788">
        <v>226751600.05000001</v>
      </c>
      <c r="AB788">
        <v>14536</v>
      </c>
      <c r="AC788" t="s">
        <v>42</v>
      </c>
      <c r="AD788">
        <v>1</v>
      </c>
    </row>
    <row r="789" spans="1:30">
      <c r="A789" t="str">
        <f>CONCATENATE(I789,J789)</f>
        <v>DEEMST</v>
      </c>
      <c r="B789" s="34">
        <v>46273</v>
      </c>
      <c r="C789" s="34">
        <v>46273</v>
      </c>
      <c r="D789" t="s">
        <v>35</v>
      </c>
      <c r="E789" t="s">
        <v>36</v>
      </c>
      <c r="F789" t="s">
        <v>37</v>
      </c>
      <c r="G789">
        <v>22802</v>
      </c>
      <c r="H789" t="s">
        <v>2423</v>
      </c>
      <c r="I789" t="s">
        <v>2424</v>
      </c>
      <c r="J789" t="s">
        <v>328</v>
      </c>
      <c r="O789" t="s">
        <v>2425</v>
      </c>
      <c r="P789">
        <v>44.6</v>
      </c>
      <c r="Q789">
        <v>44.6</v>
      </c>
      <c r="R789">
        <v>44.4</v>
      </c>
      <c r="S789">
        <v>44.4</v>
      </c>
      <c r="T789">
        <v>44.4</v>
      </c>
      <c r="U789">
        <v>44.4</v>
      </c>
      <c r="W789">
        <v>44.4</v>
      </c>
      <c r="Z789">
        <v>3000</v>
      </c>
      <c r="AA789">
        <v>133600</v>
      </c>
      <c r="AB789">
        <v>3</v>
      </c>
      <c r="AC789" t="s">
        <v>42</v>
      </c>
      <c r="AD789">
        <v>1000</v>
      </c>
    </row>
    <row r="790" spans="1:30">
      <c r="A790" t="str">
        <f>CONCATENATE(I790,J790)</f>
        <v>DEEPINDSEQ</v>
      </c>
      <c r="B790" s="34">
        <v>46273</v>
      </c>
      <c r="C790" s="34">
        <v>46273</v>
      </c>
      <c r="D790" t="s">
        <v>35</v>
      </c>
      <c r="E790" t="s">
        <v>36</v>
      </c>
      <c r="F790" t="s">
        <v>37</v>
      </c>
      <c r="G790">
        <v>3292</v>
      </c>
      <c r="H790" t="s">
        <v>2426</v>
      </c>
      <c r="I790" t="s">
        <v>2427</v>
      </c>
      <c r="J790" t="s">
        <v>161</v>
      </c>
      <c r="O790" t="s">
        <v>2428</v>
      </c>
      <c r="P790">
        <v>789.55</v>
      </c>
      <c r="Q790">
        <v>823</v>
      </c>
      <c r="R790">
        <v>771.4</v>
      </c>
      <c r="S790">
        <v>818.7</v>
      </c>
      <c r="T790">
        <v>821</v>
      </c>
      <c r="U790">
        <v>785.2</v>
      </c>
      <c r="W790">
        <v>818.69</v>
      </c>
      <c r="Z790">
        <v>946974</v>
      </c>
      <c r="AA790">
        <v>763099792.5</v>
      </c>
      <c r="AB790">
        <v>34317</v>
      </c>
      <c r="AC790" t="s">
        <v>42</v>
      </c>
      <c r="AD790">
        <v>1</v>
      </c>
    </row>
    <row r="791" spans="1:30">
      <c r="A791" t="str">
        <f>CONCATENATE(I791,J791)</f>
        <v>DEEPEQ</v>
      </c>
      <c r="B791" s="34">
        <v>46273</v>
      </c>
      <c r="C791" s="34">
        <v>46273</v>
      </c>
      <c r="D791" t="s">
        <v>35</v>
      </c>
      <c r="E791" t="s">
        <v>36</v>
      </c>
      <c r="F791" t="s">
        <v>37</v>
      </c>
      <c r="G791">
        <v>765055</v>
      </c>
      <c r="H791" t="s">
        <v>2429</v>
      </c>
      <c r="I791" t="s">
        <v>2430</v>
      </c>
      <c r="J791" t="s">
        <v>161</v>
      </c>
      <c r="O791" t="s">
        <v>2431</v>
      </c>
      <c r="P791">
        <v>35.57</v>
      </c>
      <c r="Q791">
        <v>36.35</v>
      </c>
      <c r="R791">
        <v>34.76</v>
      </c>
      <c r="S791">
        <v>35.56</v>
      </c>
      <c r="T791">
        <v>36</v>
      </c>
      <c r="U791">
        <v>35.57</v>
      </c>
      <c r="W791">
        <v>35.6</v>
      </c>
      <c r="Z791">
        <v>9972</v>
      </c>
      <c r="AA791">
        <v>354704.77</v>
      </c>
      <c r="AB791">
        <v>147</v>
      </c>
      <c r="AC791" t="s">
        <v>42</v>
      </c>
      <c r="AD791">
        <v>1</v>
      </c>
    </row>
    <row r="792" spans="1:30">
      <c r="A792" t="str">
        <f>CONCATENATE(I792,J792)</f>
        <v>DEEPAEQ</v>
      </c>
      <c r="B792" s="34">
        <v>46273</v>
      </c>
      <c r="C792" s="34">
        <v>46273</v>
      </c>
      <c r="D792" t="s">
        <v>35</v>
      </c>
      <c r="E792" t="s">
        <v>36</v>
      </c>
      <c r="F792" t="s">
        <v>37</v>
      </c>
      <c r="G792">
        <v>765931</v>
      </c>
      <c r="H792" t="s">
        <v>2432</v>
      </c>
      <c r="I792" t="s">
        <v>2433</v>
      </c>
      <c r="J792" t="s">
        <v>161</v>
      </c>
      <c r="O792" t="s">
        <v>2434</v>
      </c>
      <c r="P792">
        <v>221</v>
      </c>
      <c r="Q792">
        <v>222</v>
      </c>
      <c r="R792">
        <v>193</v>
      </c>
      <c r="S792">
        <v>194.37</v>
      </c>
      <c r="T792">
        <v>194.7</v>
      </c>
      <c r="U792">
        <v>177</v>
      </c>
      <c r="W792">
        <v>194.37</v>
      </c>
      <c r="Z792">
        <v>50931963</v>
      </c>
      <c r="AA792">
        <v>10369191037.15</v>
      </c>
      <c r="AB792">
        <v>436713</v>
      </c>
      <c r="AC792" t="s">
        <v>42</v>
      </c>
      <c r="AD792">
        <v>1</v>
      </c>
    </row>
    <row r="793" spans="1:30">
      <c r="A793" t="str">
        <f>CONCATENATE(I793,J793)</f>
        <v>DBEILEQ</v>
      </c>
      <c r="B793" s="34">
        <v>46273</v>
      </c>
      <c r="C793" s="34">
        <v>46273</v>
      </c>
      <c r="D793" t="s">
        <v>35</v>
      </c>
      <c r="E793" t="s">
        <v>36</v>
      </c>
      <c r="F793" t="s">
        <v>37</v>
      </c>
      <c r="G793">
        <v>25892</v>
      </c>
      <c r="H793" t="s">
        <v>2435</v>
      </c>
      <c r="I793" t="s">
        <v>2436</v>
      </c>
      <c r="J793" t="s">
        <v>161</v>
      </c>
      <c r="O793" t="s">
        <v>2437</v>
      </c>
      <c r="P793">
        <v>7.56</v>
      </c>
      <c r="Q793">
        <v>7.69</v>
      </c>
      <c r="R793">
        <v>6.77</v>
      </c>
      <c r="S793">
        <v>7.26</v>
      </c>
      <c r="T793">
        <v>7.3</v>
      </c>
      <c r="U793">
        <v>7.5</v>
      </c>
      <c r="W793">
        <v>7.26</v>
      </c>
      <c r="Z793">
        <v>719710</v>
      </c>
      <c r="AA793">
        <v>5239216.5999999996</v>
      </c>
      <c r="AB793">
        <v>1803</v>
      </c>
      <c r="AC793" t="s">
        <v>42</v>
      </c>
      <c r="AD793">
        <v>1</v>
      </c>
    </row>
    <row r="794" spans="1:30">
      <c r="A794" t="str">
        <f>CONCATENATE(I794,J794)</f>
        <v>DEEPAKFERTEQ</v>
      </c>
      <c r="B794" s="34">
        <v>46273</v>
      </c>
      <c r="C794" s="34">
        <v>46273</v>
      </c>
      <c r="D794" t="s">
        <v>35</v>
      </c>
      <c r="E794" t="s">
        <v>36</v>
      </c>
      <c r="F794" t="s">
        <v>37</v>
      </c>
      <c r="G794">
        <v>827</v>
      </c>
      <c r="H794" t="s">
        <v>2438</v>
      </c>
      <c r="I794" t="s">
        <v>2439</v>
      </c>
      <c r="J794" t="s">
        <v>161</v>
      </c>
      <c r="O794" t="s">
        <v>2440</v>
      </c>
      <c r="P794">
        <v>1349.9</v>
      </c>
      <c r="Q794">
        <v>1366.7</v>
      </c>
      <c r="R794">
        <v>1341</v>
      </c>
      <c r="S794">
        <v>1345.9</v>
      </c>
      <c r="T794">
        <v>1345.5</v>
      </c>
      <c r="U794">
        <v>1344.2</v>
      </c>
      <c r="W794">
        <v>1345.89</v>
      </c>
      <c r="Z794">
        <v>238040</v>
      </c>
      <c r="AA794">
        <v>321201037.89999998</v>
      </c>
      <c r="AB794">
        <v>18507</v>
      </c>
      <c r="AC794" t="s">
        <v>42</v>
      </c>
      <c r="AD794">
        <v>1</v>
      </c>
    </row>
    <row r="795" spans="1:30">
      <c r="A795" t="str">
        <f>CONCATENATE(I795,J795)</f>
        <v>DEEPAKNTREQ</v>
      </c>
      <c r="B795" s="34">
        <v>46273</v>
      </c>
      <c r="C795" s="34">
        <v>46273</v>
      </c>
      <c r="D795" t="s">
        <v>35</v>
      </c>
      <c r="E795" t="s">
        <v>36</v>
      </c>
      <c r="F795" t="s">
        <v>37</v>
      </c>
      <c r="G795">
        <v>19943</v>
      </c>
      <c r="H795" t="s">
        <v>2441</v>
      </c>
      <c r="I795" t="s">
        <v>2442</v>
      </c>
      <c r="J795" t="s">
        <v>161</v>
      </c>
      <c r="O795" t="s">
        <v>2443</v>
      </c>
      <c r="P795">
        <v>1642</v>
      </c>
      <c r="Q795">
        <v>1659.9</v>
      </c>
      <c r="R795">
        <v>1620.1</v>
      </c>
      <c r="S795">
        <v>1647.8</v>
      </c>
      <c r="T795">
        <v>1649</v>
      </c>
      <c r="U795">
        <v>1642.1</v>
      </c>
      <c r="W795">
        <v>1647.82</v>
      </c>
      <c r="Z795">
        <v>310426</v>
      </c>
      <c r="AA795">
        <v>510779089.60000002</v>
      </c>
      <c r="AB795">
        <v>16907</v>
      </c>
      <c r="AC795" t="s">
        <v>42</v>
      </c>
      <c r="AD795">
        <v>1</v>
      </c>
    </row>
    <row r="796" spans="1:30">
      <c r="A796" t="str">
        <f>CONCATENATE(I796,J796)</f>
        <v>DELAPLEXSM</v>
      </c>
      <c r="B796" s="34">
        <v>46273</v>
      </c>
      <c r="C796" s="34">
        <v>46273</v>
      </c>
      <c r="D796" t="s">
        <v>35</v>
      </c>
      <c r="E796" t="s">
        <v>36</v>
      </c>
      <c r="F796" t="s">
        <v>37</v>
      </c>
      <c r="G796">
        <v>22527</v>
      </c>
      <c r="H796" t="s">
        <v>2444</v>
      </c>
      <c r="I796" t="s">
        <v>2445</v>
      </c>
      <c r="J796" t="s">
        <v>267</v>
      </c>
      <c r="O796" t="s">
        <v>2446</v>
      </c>
      <c r="P796">
        <v>97.05</v>
      </c>
      <c r="Q796">
        <v>108</v>
      </c>
      <c r="R796">
        <v>97.05</v>
      </c>
      <c r="S796">
        <v>107.6</v>
      </c>
      <c r="T796">
        <v>108</v>
      </c>
      <c r="U796">
        <v>103.8</v>
      </c>
      <c r="W796">
        <v>107.6</v>
      </c>
      <c r="Z796">
        <v>12600</v>
      </c>
      <c r="AA796">
        <v>1342740</v>
      </c>
      <c r="AB796">
        <v>19</v>
      </c>
      <c r="AC796" t="s">
        <v>42</v>
      </c>
      <c r="AD796">
        <v>600</v>
      </c>
    </row>
    <row r="797" spans="1:30">
      <c r="A797" t="str">
        <f>CONCATENATE(I797,J797)</f>
        <v>DELHIVERYEQ</v>
      </c>
      <c r="B797" s="34">
        <v>46273</v>
      </c>
      <c r="C797" s="34">
        <v>46273</v>
      </c>
      <c r="D797" t="s">
        <v>35</v>
      </c>
      <c r="E797" t="s">
        <v>36</v>
      </c>
      <c r="F797" t="s">
        <v>37</v>
      </c>
      <c r="G797">
        <v>9599</v>
      </c>
      <c r="H797" t="s">
        <v>2447</v>
      </c>
      <c r="I797" t="s">
        <v>2448</v>
      </c>
      <c r="J797" t="s">
        <v>161</v>
      </c>
      <c r="O797" t="s">
        <v>2449</v>
      </c>
      <c r="P797">
        <v>452.8</v>
      </c>
      <c r="Q797">
        <v>458.2</v>
      </c>
      <c r="R797">
        <v>450.25</v>
      </c>
      <c r="S797">
        <v>454.9</v>
      </c>
      <c r="T797">
        <v>454.9</v>
      </c>
      <c r="U797">
        <v>453.8</v>
      </c>
      <c r="W797">
        <v>454.9</v>
      </c>
      <c r="Z797">
        <v>2214615</v>
      </c>
      <c r="AA797">
        <v>1007505751.25</v>
      </c>
      <c r="AB797">
        <v>23642</v>
      </c>
      <c r="AC797" t="s">
        <v>42</v>
      </c>
      <c r="AD797">
        <v>1</v>
      </c>
    </row>
    <row r="798" spans="1:30">
      <c r="A798" t="str">
        <f>CONCATENATE(I798,J798)</f>
        <v>DELPHIFXBE</v>
      </c>
      <c r="B798" s="34">
        <v>46273</v>
      </c>
      <c r="C798" s="34">
        <v>46273</v>
      </c>
      <c r="D798" t="s">
        <v>35</v>
      </c>
      <c r="E798" t="s">
        <v>36</v>
      </c>
      <c r="F798" t="s">
        <v>37</v>
      </c>
      <c r="G798">
        <v>24395</v>
      </c>
      <c r="H798" t="s">
        <v>2450</v>
      </c>
      <c r="I798" t="s">
        <v>2451</v>
      </c>
      <c r="J798" t="s">
        <v>183</v>
      </c>
      <c r="O798" t="s">
        <v>2452</v>
      </c>
      <c r="P798">
        <v>6.07</v>
      </c>
      <c r="Q798">
        <v>6.07</v>
      </c>
      <c r="R798">
        <v>5.89</v>
      </c>
      <c r="S798">
        <v>5.95</v>
      </c>
      <c r="T798">
        <v>6</v>
      </c>
      <c r="U798">
        <v>6.01</v>
      </c>
      <c r="W798">
        <v>5.95</v>
      </c>
      <c r="Z798">
        <v>84790</v>
      </c>
      <c r="AA798">
        <v>505023.16</v>
      </c>
      <c r="AB798">
        <v>171</v>
      </c>
      <c r="AC798" t="s">
        <v>42</v>
      </c>
      <c r="AD798">
        <v>1</v>
      </c>
    </row>
    <row r="799" spans="1:30">
      <c r="A799" t="str">
        <f>CONCATENATE(I799,J799)</f>
        <v>DELTICSM</v>
      </c>
      <c r="B799" s="34">
        <v>46273</v>
      </c>
      <c r="C799" s="34">
        <v>46273</v>
      </c>
      <c r="D799" t="s">
        <v>35</v>
      </c>
      <c r="E799" t="s">
        <v>36</v>
      </c>
      <c r="F799" t="s">
        <v>37</v>
      </c>
      <c r="G799">
        <v>29092</v>
      </c>
      <c r="H799" t="s">
        <v>2453</v>
      </c>
      <c r="I799" t="s">
        <v>2454</v>
      </c>
      <c r="J799" t="s">
        <v>267</v>
      </c>
      <c r="O799" t="s">
        <v>2455</v>
      </c>
      <c r="P799">
        <v>34</v>
      </c>
      <c r="Q799">
        <v>36</v>
      </c>
      <c r="R799">
        <v>34</v>
      </c>
      <c r="S799">
        <v>35.85</v>
      </c>
      <c r="T799">
        <v>36</v>
      </c>
      <c r="U799">
        <v>35.15</v>
      </c>
      <c r="W799">
        <v>35.85</v>
      </c>
      <c r="Z799">
        <v>18000</v>
      </c>
      <c r="AA799">
        <v>625050</v>
      </c>
      <c r="AB799">
        <v>15</v>
      </c>
      <c r="AC799" t="s">
        <v>42</v>
      </c>
      <c r="AD799">
        <v>1000</v>
      </c>
    </row>
    <row r="800" spans="1:30">
      <c r="A800" t="str">
        <f>CONCATENATE(I800,J800)</f>
        <v>DELTACORPEQ</v>
      </c>
      <c r="B800" s="34">
        <v>46273</v>
      </c>
      <c r="C800" s="34">
        <v>46273</v>
      </c>
      <c r="D800" t="s">
        <v>35</v>
      </c>
      <c r="E800" t="s">
        <v>36</v>
      </c>
      <c r="F800" t="s">
        <v>37</v>
      </c>
      <c r="G800">
        <v>15044</v>
      </c>
      <c r="H800" t="s">
        <v>2456</v>
      </c>
      <c r="I800" t="s">
        <v>2457</v>
      </c>
      <c r="J800" t="s">
        <v>161</v>
      </c>
      <c r="O800" t="s">
        <v>2458</v>
      </c>
      <c r="P800">
        <v>56.2</v>
      </c>
      <c r="Q800">
        <v>56.36</v>
      </c>
      <c r="R800">
        <v>55.2</v>
      </c>
      <c r="S800">
        <v>55.44</v>
      </c>
      <c r="T800">
        <v>55.49</v>
      </c>
      <c r="U800">
        <v>56.2</v>
      </c>
      <c r="W800">
        <v>55.44</v>
      </c>
      <c r="Z800">
        <v>536646</v>
      </c>
      <c r="AA800">
        <v>29836485.109999999</v>
      </c>
      <c r="AB800">
        <v>3949</v>
      </c>
      <c r="AC800" t="s">
        <v>42</v>
      </c>
      <c r="AD800">
        <v>1</v>
      </c>
    </row>
    <row r="801" spans="1:30">
      <c r="A801" t="str">
        <f>CONCATENATE(I801,J801)</f>
        <v>DELTAMAGNTEQ</v>
      </c>
      <c r="B801" s="34">
        <v>46273</v>
      </c>
      <c r="C801" s="34">
        <v>46273</v>
      </c>
      <c r="D801" t="s">
        <v>35</v>
      </c>
      <c r="E801" t="s">
        <v>36</v>
      </c>
      <c r="F801" t="s">
        <v>37</v>
      </c>
      <c r="G801">
        <v>1214</v>
      </c>
      <c r="H801" t="s">
        <v>2459</v>
      </c>
      <c r="I801" t="s">
        <v>2460</v>
      </c>
      <c r="J801" t="s">
        <v>161</v>
      </c>
      <c r="O801" t="s">
        <v>2461</v>
      </c>
      <c r="P801">
        <v>56.72</v>
      </c>
      <c r="Q801">
        <v>58.98</v>
      </c>
      <c r="R801">
        <v>56.72</v>
      </c>
      <c r="S801">
        <v>58.44</v>
      </c>
      <c r="T801">
        <v>58.44</v>
      </c>
      <c r="U801">
        <v>58.38</v>
      </c>
      <c r="W801">
        <v>57.85</v>
      </c>
      <c r="Z801">
        <v>2793</v>
      </c>
      <c r="AA801">
        <v>159805.29999999999</v>
      </c>
      <c r="AB801">
        <v>33</v>
      </c>
      <c r="AC801" t="s">
        <v>42</v>
      </c>
      <c r="AD801">
        <v>1</v>
      </c>
    </row>
    <row r="802" spans="1:30">
      <c r="A802" t="str">
        <f>CONCATENATE(I802,J802)</f>
        <v>DENEQ</v>
      </c>
      <c r="B802" s="34">
        <v>46273</v>
      </c>
      <c r="C802" s="34">
        <v>46273</v>
      </c>
      <c r="D802" t="s">
        <v>35</v>
      </c>
      <c r="E802" t="s">
        <v>36</v>
      </c>
      <c r="F802" t="s">
        <v>37</v>
      </c>
      <c r="G802">
        <v>17722</v>
      </c>
      <c r="H802" t="s">
        <v>2462</v>
      </c>
      <c r="I802" t="s">
        <v>2463</v>
      </c>
      <c r="J802" t="s">
        <v>161</v>
      </c>
      <c r="O802" t="s">
        <v>2464</v>
      </c>
      <c r="P802">
        <v>27.9</v>
      </c>
      <c r="Q802">
        <v>27.99</v>
      </c>
      <c r="R802">
        <v>26.55</v>
      </c>
      <c r="S802">
        <v>27.18</v>
      </c>
      <c r="T802">
        <v>27.2</v>
      </c>
      <c r="U802">
        <v>27.9</v>
      </c>
      <c r="W802">
        <v>27.19</v>
      </c>
      <c r="Z802">
        <v>336140</v>
      </c>
      <c r="AA802">
        <v>9201483.0199999996</v>
      </c>
      <c r="AB802">
        <v>1347</v>
      </c>
      <c r="AC802" t="s">
        <v>42</v>
      </c>
      <c r="AD802">
        <v>1</v>
      </c>
    </row>
    <row r="803" spans="1:30">
      <c r="A803" t="str">
        <f>CONCATENATE(I803,J803)</f>
        <v>DENTAEQ</v>
      </c>
      <c r="B803" s="34">
        <v>46273</v>
      </c>
      <c r="C803" s="34">
        <v>46273</v>
      </c>
      <c r="D803" t="s">
        <v>35</v>
      </c>
      <c r="E803" t="s">
        <v>36</v>
      </c>
      <c r="F803" t="s">
        <v>37</v>
      </c>
      <c r="G803">
        <v>29256</v>
      </c>
      <c r="H803" t="s">
        <v>2465</v>
      </c>
      <c r="I803" t="s">
        <v>2466</v>
      </c>
      <c r="J803" t="s">
        <v>161</v>
      </c>
      <c r="O803" t="s">
        <v>2467</v>
      </c>
      <c r="P803">
        <v>282.60000000000002</v>
      </c>
      <c r="Q803">
        <v>282.75</v>
      </c>
      <c r="R803">
        <v>276.14999999999998</v>
      </c>
      <c r="S803">
        <v>279.64999999999998</v>
      </c>
      <c r="T803">
        <v>280.5</v>
      </c>
      <c r="U803">
        <v>280.64999999999998</v>
      </c>
      <c r="W803">
        <v>279.64999999999998</v>
      </c>
      <c r="Z803">
        <v>79481</v>
      </c>
      <c r="AA803">
        <v>22228216.550000001</v>
      </c>
      <c r="AB803">
        <v>2936</v>
      </c>
      <c r="AC803" t="s">
        <v>42</v>
      </c>
      <c r="AD803">
        <v>1</v>
      </c>
    </row>
    <row r="804" spans="1:30">
      <c r="A804" t="str">
        <f>CONCATENATE(I804,J804)</f>
        <v>DEVXEQ</v>
      </c>
      <c r="B804" s="34">
        <v>46273</v>
      </c>
      <c r="C804" s="34">
        <v>46273</v>
      </c>
      <c r="D804" t="s">
        <v>35</v>
      </c>
      <c r="E804" t="s">
        <v>36</v>
      </c>
      <c r="F804" t="s">
        <v>37</v>
      </c>
      <c r="G804">
        <v>759079</v>
      </c>
      <c r="H804" t="s">
        <v>2468</v>
      </c>
      <c r="I804" t="s">
        <v>2469</v>
      </c>
      <c r="J804" t="s">
        <v>161</v>
      </c>
      <c r="O804" t="s">
        <v>2470</v>
      </c>
      <c r="P804">
        <v>33.06</v>
      </c>
      <c r="Q804">
        <v>34.5</v>
      </c>
      <c r="R804">
        <v>33</v>
      </c>
      <c r="S804">
        <v>33.75</v>
      </c>
      <c r="T804">
        <v>33.6</v>
      </c>
      <c r="U804">
        <v>33</v>
      </c>
      <c r="W804">
        <v>33.75</v>
      </c>
      <c r="Z804">
        <v>85260</v>
      </c>
      <c r="AA804">
        <v>2876250.69</v>
      </c>
      <c r="AB804">
        <v>660</v>
      </c>
      <c r="AC804" t="s">
        <v>42</v>
      </c>
      <c r="AD804">
        <v>1</v>
      </c>
    </row>
    <row r="805" spans="1:30">
      <c r="A805" t="str">
        <f>CONCATENATE(I805,J805)</f>
        <v>DEVITEQ</v>
      </c>
      <c r="B805" s="34">
        <v>46273</v>
      </c>
      <c r="C805" s="34">
        <v>46273</v>
      </c>
      <c r="D805" t="s">
        <v>35</v>
      </c>
      <c r="E805" t="s">
        <v>36</v>
      </c>
      <c r="F805" t="s">
        <v>37</v>
      </c>
      <c r="G805">
        <v>8146</v>
      </c>
      <c r="H805" t="s">
        <v>2471</v>
      </c>
      <c r="I805" t="s">
        <v>2472</v>
      </c>
      <c r="J805" t="s">
        <v>161</v>
      </c>
      <c r="O805" t="s">
        <v>2473</v>
      </c>
      <c r="P805">
        <v>24.39</v>
      </c>
      <c r="Q805">
        <v>24.39</v>
      </c>
      <c r="R805">
        <v>23.9</v>
      </c>
      <c r="S805">
        <v>23.99</v>
      </c>
      <c r="T805">
        <v>24</v>
      </c>
      <c r="U805">
        <v>24.27</v>
      </c>
      <c r="W805">
        <v>23.99</v>
      </c>
      <c r="Z805">
        <v>36964</v>
      </c>
      <c r="AA805">
        <v>890154.48</v>
      </c>
      <c r="AB805">
        <v>228</v>
      </c>
      <c r="AC805" t="s">
        <v>42</v>
      </c>
      <c r="AD805">
        <v>1</v>
      </c>
    </row>
    <row r="806" spans="1:30">
      <c r="A806" t="str">
        <f>CONCATENATE(I806,J806)</f>
        <v>DEVYANIEQ</v>
      </c>
      <c r="B806" s="34">
        <v>46273</v>
      </c>
      <c r="C806" s="34">
        <v>46273</v>
      </c>
      <c r="D806" t="s">
        <v>35</v>
      </c>
      <c r="E806" t="s">
        <v>36</v>
      </c>
      <c r="F806" t="s">
        <v>37</v>
      </c>
      <c r="G806">
        <v>5373</v>
      </c>
      <c r="H806" t="s">
        <v>2474</v>
      </c>
      <c r="I806" t="s">
        <v>2475</v>
      </c>
      <c r="J806" t="s">
        <v>161</v>
      </c>
      <c r="O806" t="s">
        <v>2476</v>
      </c>
      <c r="P806">
        <v>138.66999999999999</v>
      </c>
      <c r="Q806">
        <v>139.79</v>
      </c>
      <c r="R806">
        <v>135.80000000000001</v>
      </c>
      <c r="S806">
        <v>137.99</v>
      </c>
      <c r="T806">
        <v>138.02000000000001</v>
      </c>
      <c r="U806">
        <v>138.80000000000001</v>
      </c>
      <c r="W806">
        <v>137.97999999999999</v>
      </c>
      <c r="Z806">
        <v>868338</v>
      </c>
      <c r="AA806">
        <v>119422502.79000001</v>
      </c>
      <c r="AB806">
        <v>13447</v>
      </c>
      <c r="AC806" t="s">
        <v>42</v>
      </c>
      <c r="AD806">
        <v>1</v>
      </c>
    </row>
    <row r="807" spans="1:30">
      <c r="A807" t="str">
        <f>CONCATENATE(I807,J807)</f>
        <v>DHABRIYABE</v>
      </c>
      <c r="B807" s="34">
        <v>46273</v>
      </c>
      <c r="C807" s="34">
        <v>46273</v>
      </c>
      <c r="D807" t="s">
        <v>35</v>
      </c>
      <c r="E807" t="s">
        <v>36</v>
      </c>
      <c r="F807" t="s">
        <v>37</v>
      </c>
      <c r="G807">
        <v>764661</v>
      </c>
      <c r="H807" t="s">
        <v>2477</v>
      </c>
      <c r="I807" t="s">
        <v>2478</v>
      </c>
      <c r="J807" t="s">
        <v>183</v>
      </c>
      <c r="O807" t="s">
        <v>2479</v>
      </c>
      <c r="P807">
        <v>504</v>
      </c>
      <c r="Q807">
        <v>518.35</v>
      </c>
      <c r="R807">
        <v>485</v>
      </c>
      <c r="S807">
        <v>515.85</v>
      </c>
      <c r="T807">
        <v>515</v>
      </c>
      <c r="U807">
        <v>496.05</v>
      </c>
      <c r="W807">
        <v>515.1</v>
      </c>
      <c r="Z807">
        <v>6148</v>
      </c>
      <c r="AA807">
        <v>3125139.35</v>
      </c>
      <c r="AB807">
        <v>127</v>
      </c>
      <c r="AC807" t="s">
        <v>42</v>
      </c>
      <c r="AD807">
        <v>1</v>
      </c>
    </row>
    <row r="808" spans="1:30">
      <c r="A808" t="str">
        <f>CONCATENATE(I808,J808)</f>
        <v>DBOLEQ</v>
      </c>
      <c r="B808" s="34">
        <v>46273</v>
      </c>
      <c r="C808" s="34">
        <v>46273</v>
      </c>
      <c r="D808" t="s">
        <v>35</v>
      </c>
      <c r="E808" t="s">
        <v>36</v>
      </c>
      <c r="F808" t="s">
        <v>37</v>
      </c>
      <c r="G808">
        <v>10893</v>
      </c>
      <c r="H808" t="s">
        <v>2480</v>
      </c>
      <c r="I808" t="s">
        <v>2481</v>
      </c>
      <c r="J808" t="s">
        <v>161</v>
      </c>
      <c r="O808" t="s">
        <v>2482</v>
      </c>
      <c r="P808">
        <v>126.8</v>
      </c>
      <c r="Q808">
        <v>127.5</v>
      </c>
      <c r="R808">
        <v>125.01</v>
      </c>
      <c r="S808">
        <v>126.12</v>
      </c>
      <c r="T808">
        <v>126</v>
      </c>
      <c r="U808">
        <v>127.52</v>
      </c>
      <c r="W808">
        <v>126.12</v>
      </c>
      <c r="Z808">
        <v>83928</v>
      </c>
      <c r="AA808">
        <v>10579820.24</v>
      </c>
      <c r="AB808">
        <v>1579</v>
      </c>
      <c r="AC808" t="s">
        <v>42</v>
      </c>
      <c r="AD808">
        <v>1</v>
      </c>
    </row>
    <row r="809" spans="1:30">
      <c r="A809" t="str">
        <f>CONCATENATE(I809,J809)</f>
        <v>DHAMPURSUGEQ</v>
      </c>
      <c r="B809" s="34">
        <v>46273</v>
      </c>
      <c r="C809" s="34">
        <v>46273</v>
      </c>
      <c r="D809" t="s">
        <v>35</v>
      </c>
      <c r="E809" t="s">
        <v>36</v>
      </c>
      <c r="F809" t="s">
        <v>37</v>
      </c>
      <c r="G809">
        <v>857</v>
      </c>
      <c r="H809" t="s">
        <v>2483</v>
      </c>
      <c r="I809" t="s">
        <v>2484</v>
      </c>
      <c r="J809" t="s">
        <v>161</v>
      </c>
      <c r="O809" t="s">
        <v>2485</v>
      </c>
      <c r="P809">
        <v>172.49</v>
      </c>
      <c r="Q809">
        <v>173.75</v>
      </c>
      <c r="R809">
        <v>166.95</v>
      </c>
      <c r="S809">
        <v>168.88</v>
      </c>
      <c r="T809">
        <v>169.55</v>
      </c>
      <c r="U809">
        <v>171.28</v>
      </c>
      <c r="W809">
        <v>168.88</v>
      </c>
      <c r="Z809">
        <v>450077</v>
      </c>
      <c r="AA809">
        <v>76346641.469999999</v>
      </c>
      <c r="AB809">
        <v>6040</v>
      </c>
      <c r="AC809" t="s">
        <v>42</v>
      </c>
      <c r="AD809">
        <v>1</v>
      </c>
    </row>
    <row r="810" spans="1:30">
      <c r="A810" t="str">
        <f>CONCATENATE(I810,J810)</f>
        <v>DHANBANKEQ</v>
      </c>
      <c r="B810" s="34">
        <v>46273</v>
      </c>
      <c r="C810" s="34">
        <v>46273</v>
      </c>
      <c r="D810" t="s">
        <v>35</v>
      </c>
      <c r="E810" t="s">
        <v>36</v>
      </c>
      <c r="F810" t="s">
        <v>37</v>
      </c>
      <c r="G810">
        <v>11359</v>
      </c>
      <c r="H810" t="s">
        <v>2486</v>
      </c>
      <c r="I810" t="s">
        <v>2487</v>
      </c>
      <c r="J810" t="s">
        <v>161</v>
      </c>
      <c r="O810" t="s">
        <v>2488</v>
      </c>
      <c r="P810">
        <v>31.36</v>
      </c>
      <c r="Q810">
        <v>31.42</v>
      </c>
      <c r="R810">
        <v>30.95</v>
      </c>
      <c r="S810">
        <v>31.11</v>
      </c>
      <c r="T810">
        <v>31.29</v>
      </c>
      <c r="U810">
        <v>31.36</v>
      </c>
      <c r="W810">
        <v>31.11</v>
      </c>
      <c r="Z810">
        <v>342786</v>
      </c>
      <c r="AA810">
        <v>10676562.48</v>
      </c>
      <c r="AB810">
        <v>1833</v>
      </c>
      <c r="AC810" t="s">
        <v>42</v>
      </c>
      <c r="AD810">
        <v>1</v>
      </c>
    </row>
    <row r="811" spans="1:30">
      <c r="A811" t="str">
        <f>CONCATENATE(I811,J811)</f>
        <v>DHANLAXMISM</v>
      </c>
      <c r="B811" s="34">
        <v>46273</v>
      </c>
      <c r="C811" s="34">
        <v>46273</v>
      </c>
      <c r="D811" t="s">
        <v>35</v>
      </c>
      <c r="E811" t="s">
        <v>36</v>
      </c>
      <c r="F811" t="s">
        <v>37</v>
      </c>
      <c r="G811">
        <v>27723</v>
      </c>
      <c r="H811" t="s">
        <v>2489</v>
      </c>
      <c r="I811" t="s">
        <v>2490</v>
      </c>
      <c r="J811" t="s">
        <v>267</v>
      </c>
      <c r="O811" t="s">
        <v>2491</v>
      </c>
      <c r="P811">
        <v>23.2</v>
      </c>
      <c r="Q811">
        <v>23.2</v>
      </c>
      <c r="R811">
        <v>23.2</v>
      </c>
      <c r="S811">
        <v>23.2</v>
      </c>
      <c r="T811">
        <v>23.2</v>
      </c>
      <c r="U811">
        <v>25</v>
      </c>
      <c r="W811">
        <v>23.2</v>
      </c>
      <c r="Z811">
        <v>4000</v>
      </c>
      <c r="AA811">
        <v>92800</v>
      </c>
      <c r="AB811">
        <v>1</v>
      </c>
      <c r="AC811" t="s">
        <v>42</v>
      </c>
      <c r="AD811">
        <v>2000</v>
      </c>
    </row>
    <row r="812" spans="1:30">
      <c r="A812" t="str">
        <f>CONCATENATE(I812,J812)</f>
        <v>DHANSASM</v>
      </c>
      <c r="B812" s="34">
        <v>46273</v>
      </c>
      <c r="C812" s="34">
        <v>46273</v>
      </c>
      <c r="D812" t="s">
        <v>35</v>
      </c>
      <c r="E812" t="s">
        <v>36</v>
      </c>
      <c r="F812" t="s">
        <v>37</v>
      </c>
      <c r="G812">
        <v>24415</v>
      </c>
      <c r="H812" t="s">
        <v>2492</v>
      </c>
      <c r="I812" t="s">
        <v>2493</v>
      </c>
      <c r="J812" t="s">
        <v>267</v>
      </c>
      <c r="O812" t="s">
        <v>2494</v>
      </c>
      <c r="P812">
        <v>30.5</v>
      </c>
      <c r="Q812">
        <v>30.95</v>
      </c>
      <c r="R812">
        <v>30</v>
      </c>
      <c r="S812">
        <v>30.95</v>
      </c>
      <c r="T812">
        <v>30.95</v>
      </c>
      <c r="U812">
        <v>29.5</v>
      </c>
      <c r="W812">
        <v>30.95</v>
      </c>
      <c r="Z812">
        <v>26000</v>
      </c>
      <c r="AA812">
        <v>800900</v>
      </c>
      <c r="AB812">
        <v>10</v>
      </c>
      <c r="AC812" t="s">
        <v>42</v>
      </c>
      <c r="AD812">
        <v>2000</v>
      </c>
    </row>
    <row r="813" spans="1:30">
      <c r="A813" t="str">
        <f>CONCATENATE(I813,J813)</f>
        <v>DHANUKAEQ</v>
      </c>
      <c r="B813" s="34">
        <v>46273</v>
      </c>
      <c r="C813" s="34">
        <v>46273</v>
      </c>
      <c r="D813" t="s">
        <v>35</v>
      </c>
      <c r="E813" t="s">
        <v>36</v>
      </c>
      <c r="F813" t="s">
        <v>37</v>
      </c>
      <c r="G813">
        <v>24409</v>
      </c>
      <c r="H813" t="s">
        <v>2495</v>
      </c>
      <c r="I813" t="s">
        <v>2496</v>
      </c>
      <c r="J813" t="s">
        <v>161</v>
      </c>
      <c r="O813" t="s">
        <v>2497</v>
      </c>
      <c r="P813">
        <v>1028</v>
      </c>
      <c r="Q813">
        <v>1028</v>
      </c>
      <c r="R813">
        <v>989.15</v>
      </c>
      <c r="S813">
        <v>994.05</v>
      </c>
      <c r="T813">
        <v>998</v>
      </c>
      <c r="U813">
        <v>1023.7</v>
      </c>
      <c r="W813">
        <v>994.04</v>
      </c>
      <c r="Z813">
        <v>37513</v>
      </c>
      <c r="AA813">
        <v>37524920.850000001</v>
      </c>
      <c r="AB813">
        <v>2155</v>
      </c>
      <c r="AC813" t="s">
        <v>42</v>
      </c>
      <c r="AD813">
        <v>1</v>
      </c>
    </row>
    <row r="814" spans="1:30">
      <c r="A814" t="str">
        <f>CONCATENATE(I814,J814)</f>
        <v>DHARARAILST</v>
      </c>
      <c r="B814" s="34">
        <v>46273</v>
      </c>
      <c r="C814" s="34">
        <v>46273</v>
      </c>
      <c r="D814" t="s">
        <v>35</v>
      </c>
      <c r="E814" t="s">
        <v>36</v>
      </c>
      <c r="F814" t="s">
        <v>37</v>
      </c>
      <c r="G814">
        <v>760492</v>
      </c>
      <c r="H814" t="s">
        <v>2498</v>
      </c>
      <c r="I814" t="s">
        <v>2499</v>
      </c>
      <c r="J814" t="s">
        <v>328</v>
      </c>
      <c r="O814" t="s">
        <v>2500</v>
      </c>
      <c r="P814">
        <v>138</v>
      </c>
      <c r="Q814">
        <v>140</v>
      </c>
      <c r="R814">
        <v>138</v>
      </c>
      <c r="S814">
        <v>140</v>
      </c>
      <c r="T814">
        <v>140</v>
      </c>
      <c r="U814">
        <v>140</v>
      </c>
      <c r="W814">
        <v>140</v>
      </c>
      <c r="Z814">
        <v>2000</v>
      </c>
      <c r="AA814">
        <v>278000</v>
      </c>
      <c r="AB814">
        <v>2</v>
      </c>
      <c r="AC814" t="s">
        <v>42</v>
      </c>
      <c r="AD814">
        <v>1000</v>
      </c>
    </row>
    <row r="815" spans="1:30">
      <c r="A815" t="str">
        <f>CONCATENATE(I815,J815)</f>
        <v>DHARANBZ</v>
      </c>
      <c r="B815" s="34">
        <v>46273</v>
      </c>
      <c r="C815" s="34">
        <v>46273</v>
      </c>
      <c r="D815" t="s">
        <v>35</v>
      </c>
      <c r="E815" t="s">
        <v>36</v>
      </c>
      <c r="F815" t="s">
        <v>37</v>
      </c>
      <c r="G815">
        <v>759203</v>
      </c>
      <c r="H815" t="s">
        <v>2501</v>
      </c>
      <c r="I815" t="s">
        <v>2502</v>
      </c>
      <c r="J815" t="s">
        <v>551</v>
      </c>
      <c r="O815" t="s">
        <v>2503</v>
      </c>
      <c r="P815">
        <v>0.14000000000000001</v>
      </c>
      <c r="Q815">
        <v>0.14000000000000001</v>
      </c>
      <c r="R815">
        <v>0.13</v>
      </c>
      <c r="S815">
        <v>0.13</v>
      </c>
      <c r="T815">
        <v>0.13</v>
      </c>
      <c r="U815">
        <v>0.13</v>
      </c>
      <c r="W815">
        <v>0.13</v>
      </c>
      <c r="Z815">
        <v>7901887</v>
      </c>
      <c r="AA815">
        <v>1087320.24</v>
      </c>
      <c r="AB815">
        <v>1329</v>
      </c>
      <c r="AC815" t="s">
        <v>42</v>
      </c>
      <c r="AD815">
        <v>1</v>
      </c>
    </row>
    <row r="816" spans="1:30">
      <c r="A816" t="str">
        <f>CONCATENATE(I816,J816)</f>
        <v>DHARIWALSM</v>
      </c>
      <c r="B816" s="34">
        <v>46273</v>
      </c>
      <c r="C816" s="34">
        <v>46273</v>
      </c>
      <c r="D816" t="s">
        <v>35</v>
      </c>
      <c r="E816" t="s">
        <v>36</v>
      </c>
      <c r="F816" t="s">
        <v>37</v>
      </c>
      <c r="G816">
        <v>24747</v>
      </c>
      <c r="H816" t="s">
        <v>2504</v>
      </c>
      <c r="I816" t="s">
        <v>2505</v>
      </c>
      <c r="J816" t="s">
        <v>267</v>
      </c>
      <c r="O816" t="s">
        <v>2506</v>
      </c>
      <c r="P816">
        <v>26.35</v>
      </c>
      <c r="Q816">
        <v>26.45</v>
      </c>
      <c r="R816">
        <v>26</v>
      </c>
      <c r="S816">
        <v>26.45</v>
      </c>
      <c r="T816">
        <v>26.45</v>
      </c>
      <c r="U816">
        <v>25.2</v>
      </c>
      <c r="W816">
        <v>26.45</v>
      </c>
      <c r="Z816">
        <v>789000</v>
      </c>
      <c r="AA816">
        <v>20852250</v>
      </c>
      <c r="AB816">
        <v>94</v>
      </c>
      <c r="AC816" t="s">
        <v>42</v>
      </c>
      <c r="AD816">
        <v>3000</v>
      </c>
    </row>
    <row r="817" spans="1:30">
      <c r="A817" t="str">
        <f>CONCATENATE(I817,J817)</f>
        <v>DHARMAJEQ</v>
      </c>
      <c r="B817" s="34">
        <v>46273</v>
      </c>
      <c r="C817" s="34">
        <v>46273</v>
      </c>
      <c r="D817" t="s">
        <v>35</v>
      </c>
      <c r="E817" t="s">
        <v>36</v>
      </c>
      <c r="F817" t="s">
        <v>37</v>
      </c>
      <c r="G817">
        <v>13001</v>
      </c>
      <c r="H817" t="s">
        <v>2507</v>
      </c>
      <c r="I817" t="s">
        <v>2508</v>
      </c>
      <c r="J817" t="s">
        <v>161</v>
      </c>
      <c r="O817" t="s">
        <v>2509</v>
      </c>
      <c r="P817">
        <v>270</v>
      </c>
      <c r="Q817">
        <v>271.05</v>
      </c>
      <c r="R817">
        <v>265.55</v>
      </c>
      <c r="S817">
        <v>269.75</v>
      </c>
      <c r="T817">
        <v>267.5</v>
      </c>
      <c r="U817">
        <v>270.05</v>
      </c>
      <c r="W817">
        <v>269.75</v>
      </c>
      <c r="Z817">
        <v>42227</v>
      </c>
      <c r="AA817">
        <v>11375868.35</v>
      </c>
      <c r="AB817">
        <v>2035</v>
      </c>
      <c r="AC817" t="s">
        <v>42</v>
      </c>
      <c r="AD817">
        <v>1</v>
      </c>
    </row>
    <row r="818" spans="1:30">
      <c r="A818" t="str">
        <f>CONCATENATE(I818,J818)</f>
        <v>DHATREEQ</v>
      </c>
      <c r="B818" s="34">
        <v>46273</v>
      </c>
      <c r="C818" s="34">
        <v>46273</v>
      </c>
      <c r="D818" t="s">
        <v>35</v>
      </c>
      <c r="E818" t="s">
        <v>36</v>
      </c>
      <c r="F818" t="s">
        <v>37</v>
      </c>
      <c r="G818">
        <v>765060</v>
      </c>
      <c r="H818" t="s">
        <v>2510</v>
      </c>
      <c r="I818" t="s">
        <v>2511</v>
      </c>
      <c r="J818" t="s">
        <v>161</v>
      </c>
      <c r="O818" t="s">
        <v>2512</v>
      </c>
      <c r="P818">
        <v>4.9800000000000004</v>
      </c>
      <c r="Q818">
        <v>4.9800000000000004</v>
      </c>
      <c r="R818">
        <v>4.32</v>
      </c>
      <c r="S818">
        <v>4.6900000000000004</v>
      </c>
      <c r="T818">
        <v>4.7</v>
      </c>
      <c r="U818">
        <v>4.57</v>
      </c>
      <c r="W818">
        <v>4.74</v>
      </c>
      <c r="Z818">
        <v>77720</v>
      </c>
      <c r="AA818">
        <v>366302.75</v>
      </c>
      <c r="AB818">
        <v>307</v>
      </c>
      <c r="AC818" t="s">
        <v>42</v>
      </c>
      <c r="AD818">
        <v>1</v>
      </c>
    </row>
    <row r="819" spans="1:30">
      <c r="A819" t="str">
        <f>CONCATENATE(I819,J819)</f>
        <v>DHOOTTRANSEQ</v>
      </c>
      <c r="B819" s="34">
        <v>46273</v>
      </c>
      <c r="C819" s="34">
        <v>46273</v>
      </c>
      <c r="D819" t="s">
        <v>35</v>
      </c>
      <c r="E819" t="s">
        <v>36</v>
      </c>
      <c r="F819" t="s">
        <v>37</v>
      </c>
      <c r="G819">
        <v>764553</v>
      </c>
      <c r="H819" t="s">
        <v>2513</v>
      </c>
      <c r="I819" t="s">
        <v>2514</v>
      </c>
      <c r="J819" t="s">
        <v>161</v>
      </c>
      <c r="O819" t="s">
        <v>2515</v>
      </c>
      <c r="P819">
        <v>1551.7</v>
      </c>
      <c r="Q819">
        <v>1608.5</v>
      </c>
      <c r="R819">
        <v>1537</v>
      </c>
      <c r="S819">
        <v>1597.6</v>
      </c>
      <c r="T819">
        <v>1585.2</v>
      </c>
      <c r="U819">
        <v>1551.7</v>
      </c>
      <c r="W819">
        <v>1597.62</v>
      </c>
      <c r="Z819">
        <v>2321905</v>
      </c>
      <c r="AA819">
        <v>3680868195.1999998</v>
      </c>
      <c r="AB819">
        <v>111243</v>
      </c>
      <c r="AC819" t="s">
        <v>42</v>
      </c>
      <c r="AD819">
        <v>1</v>
      </c>
    </row>
    <row r="820" spans="1:30">
      <c r="A820" t="str">
        <f>CONCATENATE(I820,J820)</f>
        <v>DHRUVEQ</v>
      </c>
      <c r="B820" s="34">
        <v>46273</v>
      </c>
      <c r="C820" s="34">
        <v>46273</v>
      </c>
      <c r="D820" t="s">
        <v>35</v>
      </c>
      <c r="E820" t="s">
        <v>36</v>
      </c>
      <c r="F820" t="s">
        <v>37</v>
      </c>
      <c r="G820">
        <v>6858</v>
      </c>
      <c r="H820" t="s">
        <v>2516</v>
      </c>
      <c r="I820" t="s">
        <v>2517</v>
      </c>
      <c r="J820" t="s">
        <v>161</v>
      </c>
      <c r="O820" t="s">
        <v>2518</v>
      </c>
      <c r="P820">
        <v>22.8</v>
      </c>
      <c r="Q820">
        <v>23.4</v>
      </c>
      <c r="R820">
        <v>22.8</v>
      </c>
      <c r="S820">
        <v>23.4</v>
      </c>
      <c r="T820">
        <v>23.4</v>
      </c>
      <c r="U820">
        <v>22.8</v>
      </c>
      <c r="W820">
        <v>23.18</v>
      </c>
      <c r="Z820">
        <v>391</v>
      </c>
      <c r="AA820">
        <v>9012.5</v>
      </c>
      <c r="AB820">
        <v>28</v>
      </c>
      <c r="AC820" t="s">
        <v>42</v>
      </c>
      <c r="AD820">
        <v>1</v>
      </c>
    </row>
    <row r="821" spans="1:30">
      <c r="A821" t="str">
        <f>CONCATENATE(I821,J821)</f>
        <v>DHUNINVEQ</v>
      </c>
      <c r="B821" s="34">
        <v>46273</v>
      </c>
      <c r="C821" s="34">
        <v>46273</v>
      </c>
      <c r="D821" t="s">
        <v>35</v>
      </c>
      <c r="E821" t="s">
        <v>36</v>
      </c>
      <c r="F821" t="s">
        <v>37</v>
      </c>
      <c r="G821">
        <v>22233</v>
      </c>
      <c r="H821" t="s">
        <v>2519</v>
      </c>
      <c r="I821" t="s">
        <v>2520</v>
      </c>
      <c r="J821" t="s">
        <v>161</v>
      </c>
      <c r="O821" t="s">
        <v>2521</v>
      </c>
      <c r="P821">
        <v>1041.6500000000001</v>
      </c>
      <c r="Q821">
        <v>1041.6500000000001</v>
      </c>
      <c r="R821">
        <v>1008.75</v>
      </c>
      <c r="S821">
        <v>1014.5</v>
      </c>
      <c r="T821">
        <v>1012.5</v>
      </c>
      <c r="U821">
        <v>1036.5</v>
      </c>
      <c r="W821">
        <v>1014.5</v>
      </c>
      <c r="Z821">
        <v>301</v>
      </c>
      <c r="AA821">
        <v>306545.65000000002</v>
      </c>
      <c r="AB821">
        <v>73</v>
      </c>
      <c r="AC821" t="s">
        <v>42</v>
      </c>
      <c r="AD821">
        <v>1</v>
      </c>
    </row>
    <row r="822" spans="1:30">
      <c r="A822" t="str">
        <f>CONCATENATE(I822,J822)</f>
        <v>DTILBE</v>
      </c>
      <c r="B822" s="34">
        <v>46273</v>
      </c>
      <c r="C822" s="34">
        <v>46273</v>
      </c>
      <c r="D822" t="s">
        <v>35</v>
      </c>
      <c r="E822" t="s">
        <v>36</v>
      </c>
      <c r="F822" t="s">
        <v>37</v>
      </c>
      <c r="G822">
        <v>6239</v>
      </c>
      <c r="H822" t="s">
        <v>2522</v>
      </c>
      <c r="I822" t="s">
        <v>2523</v>
      </c>
      <c r="J822" t="s">
        <v>183</v>
      </c>
      <c r="O822" t="s">
        <v>2524</v>
      </c>
      <c r="P822">
        <v>146.08000000000001</v>
      </c>
      <c r="Q822">
        <v>148.49</v>
      </c>
      <c r="R822">
        <v>140</v>
      </c>
      <c r="S822">
        <v>142.08000000000001</v>
      </c>
      <c r="T822">
        <v>142.99</v>
      </c>
      <c r="U822">
        <v>146.08000000000001</v>
      </c>
      <c r="W822">
        <v>141.82</v>
      </c>
      <c r="Z822">
        <v>3972</v>
      </c>
      <c r="AA822">
        <v>564956.34</v>
      </c>
      <c r="AB822">
        <v>105</v>
      </c>
      <c r="AC822" t="s">
        <v>42</v>
      </c>
      <c r="AD822">
        <v>1</v>
      </c>
    </row>
    <row r="823" spans="1:30">
      <c r="A823" t="str">
        <f>CONCATENATE(I823,J823)</f>
        <v>DVLEQ</v>
      </c>
      <c r="B823" s="34">
        <v>46273</v>
      </c>
      <c r="C823" s="34">
        <v>46273</v>
      </c>
      <c r="D823" t="s">
        <v>35</v>
      </c>
      <c r="E823" t="s">
        <v>36</v>
      </c>
      <c r="F823" t="s">
        <v>37</v>
      </c>
      <c r="G823">
        <v>15214</v>
      </c>
      <c r="H823" t="s">
        <v>2525</v>
      </c>
      <c r="I823" t="s">
        <v>2526</v>
      </c>
      <c r="J823" t="s">
        <v>161</v>
      </c>
      <c r="O823" t="s">
        <v>2527</v>
      </c>
      <c r="P823">
        <v>300.10000000000002</v>
      </c>
      <c r="Q823">
        <v>300.10000000000002</v>
      </c>
      <c r="R823">
        <v>290.55</v>
      </c>
      <c r="S823">
        <v>292.05</v>
      </c>
      <c r="T823">
        <v>292.2</v>
      </c>
      <c r="U823">
        <v>298.2</v>
      </c>
      <c r="W823">
        <v>292.05</v>
      </c>
      <c r="Z823">
        <v>14117</v>
      </c>
      <c r="AA823">
        <v>4155932.85</v>
      </c>
      <c r="AB823">
        <v>419</v>
      </c>
      <c r="AC823" t="s">
        <v>42</v>
      </c>
      <c r="AD823">
        <v>1</v>
      </c>
    </row>
    <row r="824" spans="1:30">
      <c r="A824" t="str">
        <f>CONCATENATE(I824,J824)</f>
        <v>DIAMINESQEQ</v>
      </c>
      <c r="B824" s="34">
        <v>46273</v>
      </c>
      <c r="C824" s="34">
        <v>46273</v>
      </c>
      <c r="D824" t="s">
        <v>35</v>
      </c>
      <c r="E824" t="s">
        <v>36</v>
      </c>
      <c r="F824" t="s">
        <v>37</v>
      </c>
      <c r="G824">
        <v>18644</v>
      </c>
      <c r="H824" t="s">
        <v>2528</v>
      </c>
      <c r="I824" t="s">
        <v>2529</v>
      </c>
      <c r="J824" t="s">
        <v>161</v>
      </c>
      <c r="O824" t="s">
        <v>2530</v>
      </c>
      <c r="P824">
        <v>240</v>
      </c>
      <c r="Q824">
        <v>247.49</v>
      </c>
      <c r="R824">
        <v>240</v>
      </c>
      <c r="S824">
        <v>245.07</v>
      </c>
      <c r="T824">
        <v>245.01</v>
      </c>
      <c r="U824">
        <v>242.29</v>
      </c>
      <c r="W824">
        <v>245.07</v>
      </c>
      <c r="Z824">
        <v>7999</v>
      </c>
      <c r="AA824">
        <v>1956647.85</v>
      </c>
      <c r="AB824">
        <v>322</v>
      </c>
      <c r="AC824" t="s">
        <v>42</v>
      </c>
      <c r="AD824">
        <v>1</v>
      </c>
    </row>
    <row r="825" spans="1:30">
      <c r="A825" t="str">
        <f>CONCATENATE(I825,J825)</f>
        <v>DIACABSBE</v>
      </c>
      <c r="B825" s="34">
        <v>46273</v>
      </c>
      <c r="C825" s="34">
        <v>46273</v>
      </c>
      <c r="D825" t="s">
        <v>35</v>
      </c>
      <c r="E825" t="s">
        <v>36</v>
      </c>
      <c r="F825" t="s">
        <v>37</v>
      </c>
      <c r="G825">
        <v>18545</v>
      </c>
      <c r="H825" t="s">
        <v>2531</v>
      </c>
      <c r="I825" t="s">
        <v>2532</v>
      </c>
      <c r="J825" t="s">
        <v>183</v>
      </c>
      <c r="O825" t="s">
        <v>2533</v>
      </c>
      <c r="P825">
        <v>332.9</v>
      </c>
      <c r="Q825">
        <v>344.3</v>
      </c>
      <c r="R825">
        <v>326.5</v>
      </c>
      <c r="S825">
        <v>336.25</v>
      </c>
      <c r="T825">
        <v>338</v>
      </c>
      <c r="U825">
        <v>332.6</v>
      </c>
      <c r="W825">
        <v>336.37</v>
      </c>
      <c r="Z825">
        <v>645893</v>
      </c>
      <c r="AA825">
        <v>216811337.90000001</v>
      </c>
      <c r="AB825">
        <v>8160</v>
      </c>
      <c r="AC825" t="s">
        <v>42</v>
      </c>
      <c r="AD825">
        <v>1</v>
      </c>
    </row>
    <row r="826" spans="1:30">
      <c r="A826" t="str">
        <f>CONCATENATE(I826,J826)</f>
        <v>DICINDEQ</v>
      </c>
      <c r="B826" s="34">
        <v>46273</v>
      </c>
      <c r="C826" s="34">
        <v>46273</v>
      </c>
      <c r="D826" t="s">
        <v>35</v>
      </c>
      <c r="E826" t="s">
        <v>36</v>
      </c>
      <c r="F826" t="s">
        <v>37</v>
      </c>
      <c r="G826">
        <v>703</v>
      </c>
      <c r="H826" t="s">
        <v>2534</v>
      </c>
      <c r="I826" t="s">
        <v>2535</v>
      </c>
      <c r="J826" t="s">
        <v>161</v>
      </c>
      <c r="O826" t="s">
        <v>2536</v>
      </c>
      <c r="P826">
        <v>613</v>
      </c>
      <c r="Q826">
        <v>638.29999999999995</v>
      </c>
      <c r="R826">
        <v>613</v>
      </c>
      <c r="S826">
        <v>622.85</v>
      </c>
      <c r="T826">
        <v>625.9</v>
      </c>
      <c r="U826">
        <v>625.35</v>
      </c>
      <c r="W826">
        <v>622.34</v>
      </c>
      <c r="Z826">
        <v>6121</v>
      </c>
      <c r="AA826">
        <v>3814435.1</v>
      </c>
      <c r="AB826">
        <v>675</v>
      </c>
      <c r="AC826" t="s">
        <v>42</v>
      </c>
      <c r="AD826">
        <v>1</v>
      </c>
    </row>
    <row r="827" spans="1:30">
      <c r="A827" t="str">
        <f>CONCATENATE(I827,J827)</f>
        <v>DTLSM</v>
      </c>
      <c r="B827" s="34">
        <v>46273</v>
      </c>
      <c r="C827" s="34">
        <v>46273</v>
      </c>
      <c r="D827" t="s">
        <v>35</v>
      </c>
      <c r="E827" t="s">
        <v>36</v>
      </c>
      <c r="F827" t="s">
        <v>37</v>
      </c>
      <c r="G827">
        <v>24313</v>
      </c>
      <c r="H827" t="s">
        <v>2537</v>
      </c>
      <c r="I827" t="s">
        <v>2538</v>
      </c>
      <c r="J827" t="s">
        <v>267</v>
      </c>
      <c r="O827" t="s">
        <v>2539</v>
      </c>
      <c r="P827">
        <v>128</v>
      </c>
      <c r="Q827">
        <v>128</v>
      </c>
      <c r="R827">
        <v>128</v>
      </c>
      <c r="S827">
        <v>128</v>
      </c>
      <c r="T827">
        <v>128</v>
      </c>
      <c r="U827">
        <v>128</v>
      </c>
      <c r="W827">
        <v>128</v>
      </c>
      <c r="Z827">
        <v>2400</v>
      </c>
      <c r="AA827">
        <v>307200</v>
      </c>
      <c r="AB827">
        <v>2</v>
      </c>
      <c r="AC827" t="s">
        <v>42</v>
      </c>
      <c r="AD827">
        <v>1200</v>
      </c>
    </row>
    <row r="828" spans="1:30">
      <c r="A828" t="str">
        <f>CONCATENATE(I828,J828)</f>
        <v>DIFFNKGEQ</v>
      </c>
      <c r="B828" s="34">
        <v>46273</v>
      </c>
      <c r="C828" s="34">
        <v>46273</v>
      </c>
      <c r="D828" t="s">
        <v>35</v>
      </c>
      <c r="E828" t="s">
        <v>36</v>
      </c>
      <c r="F828" t="s">
        <v>37</v>
      </c>
      <c r="G828">
        <v>25672</v>
      </c>
      <c r="H828" t="s">
        <v>2540</v>
      </c>
      <c r="I828" t="s">
        <v>2541</v>
      </c>
      <c r="J828" t="s">
        <v>161</v>
      </c>
      <c r="O828" t="s">
        <v>2542</v>
      </c>
      <c r="P828">
        <v>454.4</v>
      </c>
      <c r="Q828">
        <v>459.75</v>
      </c>
      <c r="R828">
        <v>441</v>
      </c>
      <c r="S828">
        <v>442.5</v>
      </c>
      <c r="T828">
        <v>441.85</v>
      </c>
      <c r="U828">
        <v>454.4</v>
      </c>
      <c r="W828">
        <v>442.49</v>
      </c>
      <c r="Z828">
        <v>273122</v>
      </c>
      <c r="AA828">
        <v>122222867.8</v>
      </c>
      <c r="AB828">
        <v>10431</v>
      </c>
      <c r="AC828" t="s">
        <v>42</v>
      </c>
      <c r="AD828">
        <v>1</v>
      </c>
    </row>
    <row r="829" spans="1:30">
      <c r="A829" t="str">
        <f>CONCATENATE(I829,J829)</f>
        <v>DGCONTENTEQ</v>
      </c>
      <c r="B829" s="34">
        <v>46273</v>
      </c>
      <c r="C829" s="34">
        <v>46273</v>
      </c>
      <c r="D829" t="s">
        <v>35</v>
      </c>
      <c r="E829" t="s">
        <v>36</v>
      </c>
      <c r="F829" t="s">
        <v>37</v>
      </c>
      <c r="G829">
        <v>10346</v>
      </c>
      <c r="H829" t="s">
        <v>2543</v>
      </c>
      <c r="I829" t="s">
        <v>2544</v>
      </c>
      <c r="J829" t="s">
        <v>161</v>
      </c>
      <c r="O829" t="s">
        <v>2545</v>
      </c>
      <c r="P829">
        <v>24.43</v>
      </c>
      <c r="Q829">
        <v>25</v>
      </c>
      <c r="R829">
        <v>24.43</v>
      </c>
      <c r="S829">
        <v>24.54</v>
      </c>
      <c r="T829">
        <v>24.5</v>
      </c>
      <c r="U829">
        <v>24.55</v>
      </c>
      <c r="W829">
        <v>24.54</v>
      </c>
      <c r="Z829">
        <v>7305</v>
      </c>
      <c r="AA829">
        <v>180739.78</v>
      </c>
      <c r="AB829">
        <v>54</v>
      </c>
      <c r="AC829" t="s">
        <v>42</v>
      </c>
      <c r="AD829">
        <v>1</v>
      </c>
    </row>
    <row r="830" spans="1:30">
      <c r="A830" t="str">
        <f>CONCATENATE(I830,J830)</f>
        <v>DIGIDRIVEEQ</v>
      </c>
      <c r="B830" s="34">
        <v>46273</v>
      </c>
      <c r="C830" s="34">
        <v>46273</v>
      </c>
      <c r="D830" t="s">
        <v>35</v>
      </c>
      <c r="E830" t="s">
        <v>36</v>
      </c>
      <c r="F830" t="s">
        <v>37</v>
      </c>
      <c r="G830">
        <v>21247</v>
      </c>
      <c r="H830" t="s">
        <v>2546</v>
      </c>
      <c r="I830" t="s">
        <v>2547</v>
      </c>
      <c r="J830" t="s">
        <v>161</v>
      </c>
      <c r="O830" t="s">
        <v>2548</v>
      </c>
      <c r="P830">
        <v>17.84</v>
      </c>
      <c r="Q830">
        <v>18.3</v>
      </c>
      <c r="R830">
        <v>17.52</v>
      </c>
      <c r="S830">
        <v>17.73</v>
      </c>
      <c r="T830">
        <v>17.829999999999998</v>
      </c>
      <c r="U830">
        <v>17.73</v>
      </c>
      <c r="W830">
        <v>17.73</v>
      </c>
      <c r="Z830">
        <v>29631</v>
      </c>
      <c r="AA830">
        <v>529436.82999999996</v>
      </c>
      <c r="AB830">
        <v>162</v>
      </c>
      <c r="AC830" t="s">
        <v>42</v>
      </c>
      <c r="AD830">
        <v>1</v>
      </c>
    </row>
    <row r="831" spans="1:30">
      <c r="A831" t="str">
        <f>CONCATENATE(I831,J831)</f>
        <v>DIGIKORESM</v>
      </c>
      <c r="B831" s="34">
        <v>46273</v>
      </c>
      <c r="C831" s="34">
        <v>46273</v>
      </c>
      <c r="D831" t="s">
        <v>35</v>
      </c>
      <c r="E831" t="s">
        <v>36</v>
      </c>
      <c r="F831" t="s">
        <v>37</v>
      </c>
      <c r="G831">
        <v>19138</v>
      </c>
      <c r="H831" t="s">
        <v>2549</v>
      </c>
      <c r="I831" t="s">
        <v>2550</v>
      </c>
      <c r="J831" t="s">
        <v>267</v>
      </c>
      <c r="O831" t="s">
        <v>2551</v>
      </c>
      <c r="P831">
        <v>38.4</v>
      </c>
      <c r="Q831">
        <v>40.5</v>
      </c>
      <c r="R831">
        <v>38.4</v>
      </c>
      <c r="S831">
        <v>39.950000000000003</v>
      </c>
      <c r="T831">
        <v>39.950000000000003</v>
      </c>
      <c r="U831">
        <v>38.4</v>
      </c>
      <c r="W831">
        <v>39.950000000000003</v>
      </c>
      <c r="Z831">
        <v>51200</v>
      </c>
      <c r="AA831">
        <v>2067260</v>
      </c>
      <c r="AB831">
        <v>18</v>
      </c>
      <c r="AC831" t="s">
        <v>42</v>
      </c>
      <c r="AD831">
        <v>400</v>
      </c>
    </row>
    <row r="832" spans="1:30">
      <c r="A832" t="str">
        <f>CONCATENATE(I832,J832)</f>
        <v>DIGISPICEEQ</v>
      </c>
      <c r="B832" s="34">
        <v>46273</v>
      </c>
      <c r="C832" s="34">
        <v>46273</v>
      </c>
      <c r="D832" t="s">
        <v>35</v>
      </c>
      <c r="E832" t="s">
        <v>36</v>
      </c>
      <c r="F832" t="s">
        <v>37</v>
      </c>
      <c r="G832">
        <v>16683</v>
      </c>
      <c r="H832" t="s">
        <v>2552</v>
      </c>
      <c r="I832" t="s">
        <v>2553</v>
      </c>
      <c r="J832" t="s">
        <v>161</v>
      </c>
      <c r="O832" t="s">
        <v>2554</v>
      </c>
      <c r="P832">
        <v>16.97</v>
      </c>
      <c r="Q832">
        <v>17.100000000000001</v>
      </c>
      <c r="R832">
        <v>16.71</v>
      </c>
      <c r="S832">
        <v>16.91</v>
      </c>
      <c r="T832">
        <v>16.989999999999998</v>
      </c>
      <c r="U832">
        <v>16.97</v>
      </c>
      <c r="W832">
        <v>16.91</v>
      </c>
      <c r="Z832">
        <v>42404</v>
      </c>
      <c r="AA832">
        <v>714721.33</v>
      </c>
      <c r="AB832">
        <v>198</v>
      </c>
      <c r="AC832" t="s">
        <v>42</v>
      </c>
      <c r="AD832">
        <v>1</v>
      </c>
    </row>
    <row r="833" spans="1:30">
      <c r="A833" t="str">
        <f>CONCATENATE(I833,J833)</f>
        <v>DIGITIDEEQ</v>
      </c>
      <c r="B833" s="34">
        <v>46273</v>
      </c>
      <c r="C833" s="34">
        <v>46273</v>
      </c>
      <c r="D833" t="s">
        <v>35</v>
      </c>
      <c r="E833" t="s">
        <v>36</v>
      </c>
      <c r="F833" t="s">
        <v>37</v>
      </c>
      <c r="G833">
        <v>757515</v>
      </c>
      <c r="H833" t="s">
        <v>2555</v>
      </c>
      <c r="I833" t="s">
        <v>2556</v>
      </c>
      <c r="J833" t="s">
        <v>161</v>
      </c>
      <c r="O833" t="s">
        <v>2557</v>
      </c>
      <c r="P833">
        <v>96.06</v>
      </c>
      <c r="Q833">
        <v>96.06</v>
      </c>
      <c r="R833">
        <v>92.49</v>
      </c>
      <c r="S833">
        <v>93.42</v>
      </c>
      <c r="T833">
        <v>93.99</v>
      </c>
      <c r="U833">
        <v>95.77</v>
      </c>
      <c r="W833">
        <v>93.42</v>
      </c>
      <c r="Z833">
        <v>293637</v>
      </c>
      <c r="AA833">
        <v>27532190.280000001</v>
      </c>
      <c r="AB833">
        <v>2159</v>
      </c>
      <c r="AC833" t="s">
        <v>42</v>
      </c>
      <c r="AD833">
        <v>1</v>
      </c>
    </row>
    <row r="834" spans="1:30">
      <c r="A834" t="str">
        <f>CONCATENATE(I834,J834)</f>
        <v>DIGJAMLMTDEQ</v>
      </c>
      <c r="B834" s="34">
        <v>46273</v>
      </c>
      <c r="C834" s="34">
        <v>46273</v>
      </c>
      <c r="D834" t="s">
        <v>35</v>
      </c>
      <c r="E834" t="s">
        <v>36</v>
      </c>
      <c r="F834" t="s">
        <v>37</v>
      </c>
      <c r="G834">
        <v>6127</v>
      </c>
      <c r="H834" t="s">
        <v>2558</v>
      </c>
      <c r="I834" t="s">
        <v>2559</v>
      </c>
      <c r="J834" t="s">
        <v>161</v>
      </c>
      <c r="O834" t="s">
        <v>2560</v>
      </c>
      <c r="P834">
        <v>51.19</v>
      </c>
      <c r="Q834">
        <v>54</v>
      </c>
      <c r="R834">
        <v>51.19</v>
      </c>
      <c r="S834">
        <v>51.78</v>
      </c>
      <c r="T834">
        <v>52</v>
      </c>
      <c r="U834">
        <v>49.94</v>
      </c>
      <c r="W834">
        <v>51.94</v>
      </c>
      <c r="Z834">
        <v>20727</v>
      </c>
      <c r="AA834">
        <v>1091681.17</v>
      </c>
      <c r="AB834">
        <v>127</v>
      </c>
      <c r="AC834" t="s">
        <v>42</v>
      </c>
      <c r="AD834">
        <v>1</v>
      </c>
    </row>
    <row r="835" spans="1:30">
      <c r="A835" t="str">
        <f>CONCATENATE(I835,J835)</f>
        <v>DNAMEDIAEQ</v>
      </c>
      <c r="B835" s="34">
        <v>46273</v>
      </c>
      <c r="C835" s="34">
        <v>46273</v>
      </c>
      <c r="D835" t="s">
        <v>35</v>
      </c>
      <c r="E835" t="s">
        <v>36</v>
      </c>
      <c r="F835" t="s">
        <v>37</v>
      </c>
      <c r="G835">
        <v>641</v>
      </c>
      <c r="H835" t="s">
        <v>2561</v>
      </c>
      <c r="I835" t="s">
        <v>2562</v>
      </c>
      <c r="J835" t="s">
        <v>161</v>
      </c>
      <c r="O835" t="s">
        <v>2563</v>
      </c>
      <c r="P835">
        <v>2.62</v>
      </c>
      <c r="Q835">
        <v>2.79</v>
      </c>
      <c r="R835">
        <v>2.5299999999999998</v>
      </c>
      <c r="S835">
        <v>2.61</v>
      </c>
      <c r="T835">
        <v>2.57</v>
      </c>
      <c r="U835">
        <v>2.63</v>
      </c>
      <c r="W835">
        <v>2.6</v>
      </c>
      <c r="Z835">
        <v>19650</v>
      </c>
      <c r="AA835">
        <v>51981.94</v>
      </c>
      <c r="AB835">
        <v>84</v>
      </c>
      <c r="AC835" t="s">
        <v>42</v>
      </c>
      <c r="AD835">
        <v>1</v>
      </c>
    </row>
    <row r="836" spans="1:30">
      <c r="A836" t="str">
        <f>CONCATENATE(I836,J836)</f>
        <v>DBLEQ</v>
      </c>
      <c r="B836" s="34">
        <v>46273</v>
      </c>
      <c r="C836" s="34">
        <v>46273</v>
      </c>
      <c r="D836" t="s">
        <v>35</v>
      </c>
      <c r="E836" t="s">
        <v>36</v>
      </c>
      <c r="F836" t="s">
        <v>37</v>
      </c>
      <c r="G836">
        <v>18086</v>
      </c>
      <c r="H836" t="s">
        <v>2564</v>
      </c>
      <c r="I836" t="s">
        <v>2565</v>
      </c>
      <c r="J836" t="s">
        <v>161</v>
      </c>
      <c r="O836" t="s">
        <v>2566</v>
      </c>
      <c r="P836">
        <v>392</v>
      </c>
      <c r="Q836">
        <v>394.95</v>
      </c>
      <c r="R836">
        <v>390.15</v>
      </c>
      <c r="S836">
        <v>393.55</v>
      </c>
      <c r="T836">
        <v>394.85</v>
      </c>
      <c r="U836">
        <v>391.85</v>
      </c>
      <c r="W836">
        <v>393.55</v>
      </c>
      <c r="Z836">
        <v>49330</v>
      </c>
      <c r="AA836">
        <v>19365340.300000001</v>
      </c>
      <c r="AB836">
        <v>1979</v>
      </c>
      <c r="AC836" t="s">
        <v>42</v>
      </c>
      <c r="AD836">
        <v>1</v>
      </c>
    </row>
    <row r="837" spans="1:30">
      <c r="A837" t="str">
        <f>CONCATENATE(I837,J837)</f>
        <v>DISAQEQ</v>
      </c>
      <c r="B837" s="34">
        <v>46273</v>
      </c>
      <c r="C837" s="34">
        <v>46273</v>
      </c>
      <c r="D837" t="s">
        <v>35</v>
      </c>
      <c r="E837" t="s">
        <v>36</v>
      </c>
      <c r="F837" t="s">
        <v>37</v>
      </c>
      <c r="G837">
        <v>762643</v>
      </c>
      <c r="H837" t="s">
        <v>2567</v>
      </c>
      <c r="I837" t="s">
        <v>2568</v>
      </c>
      <c r="J837" t="s">
        <v>161</v>
      </c>
      <c r="O837" t="s">
        <v>2569</v>
      </c>
      <c r="P837">
        <v>11899</v>
      </c>
      <c r="Q837">
        <v>11994</v>
      </c>
      <c r="R837">
        <v>11800</v>
      </c>
      <c r="S837">
        <v>11926</v>
      </c>
      <c r="T837">
        <v>11813</v>
      </c>
      <c r="U837">
        <v>11758</v>
      </c>
      <c r="W837">
        <v>11926</v>
      </c>
      <c r="Z837">
        <v>492</v>
      </c>
      <c r="AA837">
        <v>5842866</v>
      </c>
      <c r="AB837">
        <v>402</v>
      </c>
      <c r="AC837" t="s">
        <v>42</v>
      </c>
      <c r="AD837">
        <v>1</v>
      </c>
    </row>
    <row r="838" spans="1:30">
      <c r="A838" t="str">
        <f>CONCATENATE(I838,J838)</f>
        <v>DISHTVEQ</v>
      </c>
      <c r="B838" s="34">
        <v>46273</v>
      </c>
      <c r="C838" s="34">
        <v>46273</v>
      </c>
      <c r="D838" t="s">
        <v>35</v>
      </c>
      <c r="E838" t="s">
        <v>36</v>
      </c>
      <c r="F838" t="s">
        <v>37</v>
      </c>
      <c r="G838">
        <v>14537</v>
      </c>
      <c r="H838" t="s">
        <v>2570</v>
      </c>
      <c r="I838" t="s">
        <v>2571</v>
      </c>
      <c r="J838" t="s">
        <v>161</v>
      </c>
      <c r="O838" t="s">
        <v>2572</v>
      </c>
      <c r="P838">
        <v>2.5299999999999998</v>
      </c>
      <c r="Q838">
        <v>2.57</v>
      </c>
      <c r="R838">
        <v>2.4900000000000002</v>
      </c>
      <c r="S838">
        <v>2.54</v>
      </c>
      <c r="T838">
        <v>2.54</v>
      </c>
      <c r="U838">
        <v>2.52</v>
      </c>
      <c r="W838">
        <v>2.54</v>
      </c>
      <c r="Z838">
        <v>1298327</v>
      </c>
      <c r="AA838">
        <v>3293811.3</v>
      </c>
      <c r="AB838">
        <v>1300</v>
      </c>
      <c r="AC838" t="s">
        <v>42</v>
      </c>
      <c r="AD838">
        <v>1</v>
      </c>
    </row>
    <row r="839" spans="1:30">
      <c r="A839" t="str">
        <f>CONCATENATE(I839,J839)</f>
        <v>DCALEQ</v>
      </c>
      <c r="B839" s="34">
        <v>46273</v>
      </c>
      <c r="C839" s="34">
        <v>46273</v>
      </c>
      <c r="D839" t="s">
        <v>35</v>
      </c>
      <c r="E839" t="s">
        <v>36</v>
      </c>
      <c r="F839" t="s">
        <v>37</v>
      </c>
      <c r="G839">
        <v>21704</v>
      </c>
      <c r="H839" t="s">
        <v>2573</v>
      </c>
      <c r="I839" t="s">
        <v>2574</v>
      </c>
      <c r="J839" t="s">
        <v>161</v>
      </c>
      <c r="O839" t="s">
        <v>2575</v>
      </c>
      <c r="P839">
        <v>172</v>
      </c>
      <c r="Q839">
        <v>174.89</v>
      </c>
      <c r="R839">
        <v>170.51</v>
      </c>
      <c r="S839">
        <v>173.98</v>
      </c>
      <c r="T839">
        <v>173.85</v>
      </c>
      <c r="U839">
        <v>171.53</v>
      </c>
      <c r="W839">
        <v>173.98</v>
      </c>
      <c r="Z839">
        <v>138425</v>
      </c>
      <c r="AA839">
        <v>23900547.210000001</v>
      </c>
      <c r="AB839">
        <v>2862</v>
      </c>
      <c r="AC839" t="s">
        <v>42</v>
      </c>
      <c r="AD839">
        <v>1</v>
      </c>
    </row>
    <row r="840" spans="1:30">
      <c r="A840" t="str">
        <f>CONCATENATE(I840,J840)</f>
        <v>DIVGIITTSEQ</v>
      </c>
      <c r="B840" s="34">
        <v>46273</v>
      </c>
      <c r="C840" s="34">
        <v>46273</v>
      </c>
      <c r="D840" t="s">
        <v>35</v>
      </c>
      <c r="E840" t="s">
        <v>36</v>
      </c>
      <c r="F840" t="s">
        <v>37</v>
      </c>
      <c r="G840">
        <v>14479</v>
      </c>
      <c r="H840" t="s">
        <v>2576</v>
      </c>
      <c r="I840" t="s">
        <v>2577</v>
      </c>
      <c r="J840" t="s">
        <v>161</v>
      </c>
      <c r="O840" t="s">
        <v>2578</v>
      </c>
      <c r="P840">
        <v>1175.9000000000001</v>
      </c>
      <c r="Q840">
        <v>1213</v>
      </c>
      <c r="R840">
        <v>1152.3</v>
      </c>
      <c r="S840">
        <v>1189.3</v>
      </c>
      <c r="T840">
        <v>1198.9000000000001</v>
      </c>
      <c r="U840">
        <v>1175.9000000000001</v>
      </c>
      <c r="W840">
        <v>1189.1600000000001</v>
      </c>
      <c r="Z840">
        <v>105696</v>
      </c>
      <c r="AA840">
        <v>124885385.5</v>
      </c>
      <c r="AB840">
        <v>10184</v>
      </c>
      <c r="AC840" t="s">
        <v>42</v>
      </c>
      <c r="AD840">
        <v>1</v>
      </c>
    </row>
    <row r="841" spans="1:30">
      <c r="A841" t="str">
        <f>CONCATENATE(I841,J841)</f>
        <v>DIVISLABEQ</v>
      </c>
      <c r="B841" s="34">
        <v>46273</v>
      </c>
      <c r="C841" s="34">
        <v>46273</v>
      </c>
      <c r="D841" t="s">
        <v>35</v>
      </c>
      <c r="E841" t="s">
        <v>36</v>
      </c>
      <c r="F841" t="s">
        <v>37</v>
      </c>
      <c r="G841">
        <v>10940</v>
      </c>
      <c r="H841" t="s">
        <v>2579</v>
      </c>
      <c r="I841" t="s">
        <v>2580</v>
      </c>
      <c r="J841" t="s">
        <v>161</v>
      </c>
      <c r="O841" t="s">
        <v>2581</v>
      </c>
      <c r="P841">
        <v>9375.5</v>
      </c>
      <c r="Q841">
        <v>9588</v>
      </c>
      <c r="R841">
        <v>9253</v>
      </c>
      <c r="S841">
        <v>9575</v>
      </c>
      <c r="T841">
        <v>9575</v>
      </c>
      <c r="U841">
        <v>9315</v>
      </c>
      <c r="W841">
        <v>9574.99</v>
      </c>
      <c r="Z841">
        <v>838906</v>
      </c>
      <c r="AA841">
        <v>7947575973</v>
      </c>
      <c r="AB841">
        <v>84850</v>
      </c>
      <c r="AC841" t="s">
        <v>42</v>
      </c>
      <c r="AD841">
        <v>1</v>
      </c>
    </row>
    <row r="842" spans="1:30">
      <c r="A842" t="str">
        <f>CONCATENATE(I842,J842)</f>
        <v>DIVINEHIRAST</v>
      </c>
      <c r="B842" s="34">
        <v>46273</v>
      </c>
      <c r="C842" s="34">
        <v>46273</v>
      </c>
      <c r="D842" t="s">
        <v>35</v>
      </c>
      <c r="E842" t="s">
        <v>36</v>
      </c>
      <c r="F842" t="s">
        <v>37</v>
      </c>
      <c r="G842">
        <v>30262</v>
      </c>
      <c r="H842" t="s">
        <v>2582</v>
      </c>
      <c r="I842" t="s">
        <v>2583</v>
      </c>
      <c r="J842" t="s">
        <v>328</v>
      </c>
      <c r="O842" t="s">
        <v>2584</v>
      </c>
      <c r="P842">
        <v>108.95</v>
      </c>
      <c r="Q842">
        <v>114.95</v>
      </c>
      <c r="R842">
        <v>108.95</v>
      </c>
      <c r="S842">
        <v>111</v>
      </c>
      <c r="T842">
        <v>111</v>
      </c>
      <c r="U842">
        <v>112.85</v>
      </c>
      <c r="W842">
        <v>111</v>
      </c>
      <c r="Z842">
        <v>14400</v>
      </c>
      <c r="AA842">
        <v>1612860</v>
      </c>
      <c r="AB842">
        <v>11</v>
      </c>
      <c r="AC842" t="s">
        <v>42</v>
      </c>
      <c r="AD842">
        <v>1200</v>
      </c>
    </row>
    <row r="843" spans="1:30">
      <c r="A843" t="str">
        <f>CONCATENATE(I843,J843)</f>
        <v>DPELSM</v>
      </c>
      <c r="B843" s="34">
        <v>46273</v>
      </c>
      <c r="C843" s="34">
        <v>46273</v>
      </c>
      <c r="D843" t="s">
        <v>35</v>
      </c>
      <c r="E843" t="s">
        <v>36</v>
      </c>
      <c r="F843" t="s">
        <v>37</v>
      </c>
      <c r="G843">
        <v>24286</v>
      </c>
      <c r="H843" t="s">
        <v>2585</v>
      </c>
      <c r="I843" t="s">
        <v>2586</v>
      </c>
      <c r="J843" t="s">
        <v>267</v>
      </c>
      <c r="O843" t="s">
        <v>2587</v>
      </c>
      <c r="P843">
        <v>610.04999999999995</v>
      </c>
      <c r="Q843">
        <v>627.75</v>
      </c>
      <c r="R843">
        <v>604.04999999999995</v>
      </c>
      <c r="S843">
        <v>621.75</v>
      </c>
      <c r="T843">
        <v>622.04999999999995</v>
      </c>
      <c r="U843">
        <v>600.75</v>
      </c>
      <c r="W843">
        <v>621.75</v>
      </c>
      <c r="Z843">
        <v>109000</v>
      </c>
      <c r="AA843">
        <v>67059450</v>
      </c>
      <c r="AB843">
        <v>198</v>
      </c>
      <c r="AC843" t="s">
        <v>42</v>
      </c>
      <c r="AD843">
        <v>500</v>
      </c>
    </row>
    <row r="844" spans="1:30">
      <c r="A844" t="str">
        <f>CONCATENATE(I844,J844)</f>
        <v>DIVYADHANST</v>
      </c>
      <c r="B844" s="34">
        <v>46273</v>
      </c>
      <c r="C844" s="34">
        <v>46273</v>
      </c>
      <c r="D844" t="s">
        <v>35</v>
      </c>
      <c r="E844" t="s">
        <v>36</v>
      </c>
      <c r="F844" t="s">
        <v>37</v>
      </c>
      <c r="G844">
        <v>25680</v>
      </c>
      <c r="H844" t="s">
        <v>2588</v>
      </c>
      <c r="I844" t="s">
        <v>2589</v>
      </c>
      <c r="J844" t="s">
        <v>328</v>
      </c>
      <c r="O844" t="s">
        <v>2590</v>
      </c>
      <c r="P844">
        <v>49.45</v>
      </c>
      <c r="Q844">
        <v>49.45</v>
      </c>
      <c r="R844">
        <v>48.45</v>
      </c>
      <c r="S844">
        <v>48.9</v>
      </c>
      <c r="T844">
        <v>48.45</v>
      </c>
      <c r="U844">
        <v>47.1</v>
      </c>
      <c r="W844">
        <v>48.9</v>
      </c>
      <c r="Z844">
        <v>8000</v>
      </c>
      <c r="AA844">
        <v>393500</v>
      </c>
      <c r="AB844">
        <v>4</v>
      </c>
      <c r="AC844" t="s">
        <v>42</v>
      </c>
      <c r="AD844">
        <v>2000</v>
      </c>
    </row>
    <row r="845" spans="1:30">
      <c r="A845" t="str">
        <f>CONCATENATE(I845,J845)</f>
        <v>DIXONEQ</v>
      </c>
      <c r="B845" s="34">
        <v>46273</v>
      </c>
      <c r="C845" s="34">
        <v>46273</v>
      </c>
      <c r="D845" t="s">
        <v>35</v>
      </c>
      <c r="E845" t="s">
        <v>36</v>
      </c>
      <c r="F845" t="s">
        <v>37</v>
      </c>
      <c r="G845">
        <v>21690</v>
      </c>
      <c r="H845" t="s">
        <v>2591</v>
      </c>
      <c r="I845" t="s">
        <v>2592</v>
      </c>
      <c r="J845" t="s">
        <v>161</v>
      </c>
      <c r="O845" t="s">
        <v>2593</v>
      </c>
      <c r="P845">
        <v>14128</v>
      </c>
      <c r="Q845">
        <v>14229</v>
      </c>
      <c r="R845">
        <v>14052</v>
      </c>
      <c r="S845">
        <v>14100</v>
      </c>
      <c r="T845">
        <v>14100</v>
      </c>
      <c r="U845">
        <v>14180</v>
      </c>
      <c r="W845">
        <v>14100</v>
      </c>
      <c r="Z845">
        <v>129101</v>
      </c>
      <c r="AA845">
        <v>1826135628</v>
      </c>
      <c r="AB845">
        <v>23077</v>
      </c>
      <c r="AC845" t="s">
        <v>42</v>
      </c>
      <c r="AD845">
        <v>1</v>
      </c>
    </row>
    <row r="846" spans="1:30">
      <c r="A846" t="str">
        <f>CONCATENATE(I846,J846)</f>
        <v>DJMLEQ</v>
      </c>
      <c r="B846" s="34">
        <v>46273</v>
      </c>
      <c r="C846" s="34">
        <v>46273</v>
      </c>
      <c r="D846" t="s">
        <v>35</v>
      </c>
      <c r="E846" t="s">
        <v>36</v>
      </c>
      <c r="F846" t="s">
        <v>37</v>
      </c>
      <c r="G846">
        <v>12749</v>
      </c>
      <c r="H846" t="s">
        <v>2594</v>
      </c>
      <c r="I846" t="s">
        <v>2595</v>
      </c>
      <c r="J846" t="s">
        <v>161</v>
      </c>
      <c r="O846" t="s">
        <v>2596</v>
      </c>
      <c r="P846">
        <v>74.48</v>
      </c>
      <c r="Q846">
        <v>77</v>
      </c>
      <c r="R846">
        <v>72.680000000000007</v>
      </c>
      <c r="S846">
        <v>76.08</v>
      </c>
      <c r="T846">
        <v>76</v>
      </c>
      <c r="U846">
        <v>75.069999999999993</v>
      </c>
      <c r="W846">
        <v>76.069999999999993</v>
      </c>
      <c r="Z846">
        <v>156457</v>
      </c>
      <c r="AA846">
        <v>11806318.93</v>
      </c>
      <c r="AB846">
        <v>2178</v>
      </c>
      <c r="AC846" t="s">
        <v>42</v>
      </c>
      <c r="AD846">
        <v>1</v>
      </c>
    </row>
    <row r="847" spans="1:30">
      <c r="A847" t="str">
        <f>CONCATENATE(I847,J847)</f>
        <v>DLFEQ</v>
      </c>
      <c r="B847" s="34">
        <v>46273</v>
      </c>
      <c r="C847" s="34">
        <v>46273</v>
      </c>
      <c r="D847" t="s">
        <v>35</v>
      </c>
      <c r="E847" t="s">
        <v>36</v>
      </c>
      <c r="F847" t="s">
        <v>37</v>
      </c>
      <c r="G847">
        <v>14732</v>
      </c>
      <c r="H847" t="s">
        <v>2597</v>
      </c>
      <c r="I847" t="s">
        <v>2598</v>
      </c>
      <c r="J847" t="s">
        <v>161</v>
      </c>
      <c r="O847" t="s">
        <v>2599</v>
      </c>
      <c r="P847">
        <v>672.4</v>
      </c>
      <c r="Q847">
        <v>676.4</v>
      </c>
      <c r="R847">
        <v>665</v>
      </c>
      <c r="S847">
        <v>675.1</v>
      </c>
      <c r="T847">
        <v>675.1</v>
      </c>
      <c r="U847">
        <v>672.7</v>
      </c>
      <c r="W847">
        <v>675.1</v>
      </c>
      <c r="Z847">
        <v>2425538</v>
      </c>
      <c r="AA847">
        <v>1632859353.25</v>
      </c>
      <c r="AB847">
        <v>27587</v>
      </c>
      <c r="AC847" t="s">
        <v>42</v>
      </c>
      <c r="AD847">
        <v>1</v>
      </c>
    </row>
    <row r="848" spans="1:30">
      <c r="A848" t="str">
        <f>CONCATENATE(I848,J848)</f>
        <v>DMCCEQ</v>
      </c>
      <c r="B848" s="34">
        <v>46273</v>
      </c>
      <c r="C848" s="34">
        <v>46273</v>
      </c>
      <c r="D848" t="s">
        <v>35</v>
      </c>
      <c r="E848" t="s">
        <v>36</v>
      </c>
      <c r="F848" t="s">
        <v>37</v>
      </c>
      <c r="G848">
        <v>6973</v>
      </c>
      <c r="H848" t="s">
        <v>2600</v>
      </c>
      <c r="I848" t="s">
        <v>2601</v>
      </c>
      <c r="J848" t="s">
        <v>161</v>
      </c>
      <c r="O848" t="s">
        <v>2602</v>
      </c>
      <c r="P848">
        <v>295.75</v>
      </c>
      <c r="Q848">
        <v>295.75</v>
      </c>
      <c r="R848">
        <v>289.25</v>
      </c>
      <c r="S848">
        <v>290.39999999999998</v>
      </c>
      <c r="T848">
        <v>289.25</v>
      </c>
      <c r="U848">
        <v>293.3</v>
      </c>
      <c r="W848">
        <v>290.39999999999998</v>
      </c>
      <c r="Z848">
        <v>36462</v>
      </c>
      <c r="AA848">
        <v>10639586.9</v>
      </c>
      <c r="AB848">
        <v>1029</v>
      </c>
      <c r="AC848" t="s">
        <v>42</v>
      </c>
      <c r="AD848">
        <v>1</v>
      </c>
    </row>
    <row r="849" spans="1:30">
      <c r="A849" t="str">
        <f>CONCATENATE(I849,J849)</f>
        <v>DODLAEQ</v>
      </c>
      <c r="B849" s="34">
        <v>46273</v>
      </c>
      <c r="C849" s="34">
        <v>46273</v>
      </c>
      <c r="D849" t="s">
        <v>35</v>
      </c>
      <c r="E849" t="s">
        <v>36</v>
      </c>
      <c r="F849" t="s">
        <v>37</v>
      </c>
      <c r="G849">
        <v>4822</v>
      </c>
      <c r="H849" t="s">
        <v>2603</v>
      </c>
      <c r="I849" t="s">
        <v>2604</v>
      </c>
      <c r="J849" t="s">
        <v>161</v>
      </c>
      <c r="O849" t="s">
        <v>2605</v>
      </c>
      <c r="P849">
        <v>1082.0999999999999</v>
      </c>
      <c r="Q849">
        <v>1087.9000000000001</v>
      </c>
      <c r="R849">
        <v>1070</v>
      </c>
      <c r="S849">
        <v>1081.7</v>
      </c>
      <c r="T849">
        <v>1085.8</v>
      </c>
      <c r="U849">
        <v>1073.0999999999999</v>
      </c>
      <c r="W849">
        <v>1081.74</v>
      </c>
      <c r="Z849">
        <v>27293</v>
      </c>
      <c r="AA849">
        <v>29387832.399999999</v>
      </c>
      <c r="AB849">
        <v>2801</v>
      </c>
      <c r="AC849" t="s">
        <v>42</v>
      </c>
      <c r="AD849">
        <v>1</v>
      </c>
    </row>
    <row r="850" spans="1:30">
      <c r="A850" t="str">
        <f>CONCATENATE(I850,J850)</f>
        <v>DOLATALGOEQ</v>
      </c>
      <c r="B850" s="34">
        <v>46273</v>
      </c>
      <c r="C850" s="34">
        <v>46273</v>
      </c>
      <c r="D850" t="s">
        <v>35</v>
      </c>
      <c r="E850" t="s">
        <v>36</v>
      </c>
      <c r="F850" t="s">
        <v>37</v>
      </c>
      <c r="G850">
        <v>12124</v>
      </c>
      <c r="H850" t="s">
        <v>2606</v>
      </c>
      <c r="I850" t="s">
        <v>2607</v>
      </c>
      <c r="J850" t="s">
        <v>161</v>
      </c>
      <c r="O850" t="s">
        <v>2608</v>
      </c>
      <c r="P850">
        <v>69.959999999999994</v>
      </c>
      <c r="Q850">
        <v>70.95</v>
      </c>
      <c r="R850">
        <v>68.900000000000006</v>
      </c>
      <c r="S850">
        <v>70.7</v>
      </c>
      <c r="T850">
        <v>70.680000000000007</v>
      </c>
      <c r="U850">
        <v>69.959999999999994</v>
      </c>
      <c r="W850">
        <v>70.64</v>
      </c>
      <c r="Z850">
        <v>128937</v>
      </c>
      <c r="AA850">
        <v>9003483.2799999993</v>
      </c>
      <c r="AB850">
        <v>1238</v>
      </c>
      <c r="AC850" t="s">
        <v>42</v>
      </c>
      <c r="AD850">
        <v>1</v>
      </c>
    </row>
    <row r="851" spans="1:30">
      <c r="A851" t="str">
        <f>CONCATENATE(I851,J851)</f>
        <v>DOLLAREQ</v>
      </c>
      <c r="B851" s="34">
        <v>46273</v>
      </c>
      <c r="C851" s="34">
        <v>46273</v>
      </c>
      <c r="D851" t="s">
        <v>35</v>
      </c>
      <c r="E851" t="s">
        <v>36</v>
      </c>
      <c r="F851" t="s">
        <v>37</v>
      </c>
      <c r="G851">
        <v>20560</v>
      </c>
      <c r="H851" t="s">
        <v>2609</v>
      </c>
      <c r="I851" t="s">
        <v>2610</v>
      </c>
      <c r="J851" t="s">
        <v>161</v>
      </c>
      <c r="O851" t="s">
        <v>2611</v>
      </c>
      <c r="P851">
        <v>262.05</v>
      </c>
      <c r="Q851">
        <v>265.95</v>
      </c>
      <c r="R851">
        <v>260</v>
      </c>
      <c r="S851">
        <v>264.75</v>
      </c>
      <c r="T851">
        <v>264.2</v>
      </c>
      <c r="U851">
        <v>262.05</v>
      </c>
      <c r="W851">
        <v>264.76</v>
      </c>
      <c r="Z851">
        <v>70109</v>
      </c>
      <c r="AA851">
        <v>18450343.949999999</v>
      </c>
      <c r="AB851">
        <v>1762</v>
      </c>
      <c r="AC851" t="s">
        <v>42</v>
      </c>
      <c r="AD851">
        <v>1</v>
      </c>
    </row>
    <row r="852" spans="1:30">
      <c r="A852" t="str">
        <f>CONCATENATE(I852,J852)</f>
        <v>DOLLEXSM</v>
      </c>
      <c r="B852" s="34">
        <v>46273</v>
      </c>
      <c r="C852" s="34">
        <v>46273</v>
      </c>
      <c r="D852" t="s">
        <v>35</v>
      </c>
      <c r="E852" t="s">
        <v>36</v>
      </c>
      <c r="F852" t="s">
        <v>37</v>
      </c>
      <c r="G852">
        <v>13323</v>
      </c>
      <c r="H852" t="s">
        <v>2612</v>
      </c>
      <c r="I852" t="s">
        <v>2613</v>
      </c>
      <c r="J852" t="s">
        <v>267</v>
      </c>
      <c r="O852" t="s">
        <v>2614</v>
      </c>
      <c r="P852">
        <v>36.4</v>
      </c>
      <c r="Q852">
        <v>39.950000000000003</v>
      </c>
      <c r="R852">
        <v>36.4</v>
      </c>
      <c r="S852">
        <v>38.1</v>
      </c>
      <c r="T852">
        <v>38.25</v>
      </c>
      <c r="U852">
        <v>35.75</v>
      </c>
      <c r="W852">
        <v>38.1</v>
      </c>
      <c r="Z852">
        <v>120000</v>
      </c>
      <c r="AA852">
        <v>4567600</v>
      </c>
      <c r="AB852">
        <v>29</v>
      </c>
      <c r="AC852" t="s">
        <v>42</v>
      </c>
      <c r="AD852">
        <v>4000</v>
      </c>
    </row>
    <row r="853" spans="1:30">
      <c r="A853" t="str">
        <f>CONCATENATE(I853,J853)</f>
        <v>DOLPHINEQ</v>
      </c>
      <c r="B853" s="34">
        <v>46273</v>
      </c>
      <c r="C853" s="34">
        <v>46273</v>
      </c>
      <c r="D853" t="s">
        <v>35</v>
      </c>
      <c r="E853" t="s">
        <v>36</v>
      </c>
      <c r="F853" t="s">
        <v>37</v>
      </c>
      <c r="G853">
        <v>18139</v>
      </c>
      <c r="H853" t="s">
        <v>2615</v>
      </c>
      <c r="I853" t="s">
        <v>2616</v>
      </c>
      <c r="J853" t="s">
        <v>161</v>
      </c>
      <c r="O853" t="s">
        <v>2617</v>
      </c>
      <c r="P853">
        <v>726.95</v>
      </c>
      <c r="Q853">
        <v>731</v>
      </c>
      <c r="R853">
        <v>680.35</v>
      </c>
      <c r="S853">
        <v>687.75</v>
      </c>
      <c r="T853">
        <v>683</v>
      </c>
      <c r="U853">
        <v>720.4</v>
      </c>
      <c r="W853">
        <v>687.72</v>
      </c>
      <c r="Z853">
        <v>73643</v>
      </c>
      <c r="AA853">
        <v>52047683.5</v>
      </c>
      <c r="AB853">
        <v>3191</v>
      </c>
      <c r="AC853" t="s">
        <v>42</v>
      </c>
      <c r="AD853">
        <v>1</v>
      </c>
    </row>
    <row r="854" spans="1:30">
      <c r="A854" t="str">
        <f>CONCATENATE(I854,J854)</f>
        <v>DOMSEQ</v>
      </c>
      <c r="B854" s="34">
        <v>46273</v>
      </c>
      <c r="C854" s="34">
        <v>46273</v>
      </c>
      <c r="D854" t="s">
        <v>35</v>
      </c>
      <c r="E854" t="s">
        <v>36</v>
      </c>
      <c r="F854" t="s">
        <v>37</v>
      </c>
      <c r="G854">
        <v>20551</v>
      </c>
      <c r="H854" t="s">
        <v>2618</v>
      </c>
      <c r="I854" t="s">
        <v>2619</v>
      </c>
      <c r="J854" t="s">
        <v>161</v>
      </c>
      <c r="O854" t="s">
        <v>2620</v>
      </c>
      <c r="P854">
        <v>2194</v>
      </c>
      <c r="Q854">
        <v>2215.3000000000002</v>
      </c>
      <c r="R854">
        <v>2170</v>
      </c>
      <c r="S854">
        <v>2191.4</v>
      </c>
      <c r="T854">
        <v>2193.1</v>
      </c>
      <c r="U854">
        <v>2201.5</v>
      </c>
      <c r="W854">
        <v>2191.4</v>
      </c>
      <c r="Z854">
        <v>38304</v>
      </c>
      <c r="AA854">
        <v>83903698.799999997</v>
      </c>
      <c r="AB854">
        <v>6392</v>
      </c>
      <c r="AC854" t="s">
        <v>42</v>
      </c>
      <c r="AD854">
        <v>1</v>
      </c>
    </row>
    <row r="855" spans="1:30">
      <c r="A855" t="str">
        <f>CONCATENATE(I855,J855)</f>
        <v>DONEAREQ</v>
      </c>
      <c r="B855" s="34">
        <v>46273</v>
      </c>
      <c r="C855" s="34">
        <v>46273</v>
      </c>
      <c r="D855" t="s">
        <v>35</v>
      </c>
      <c r="E855" t="s">
        <v>36</v>
      </c>
      <c r="F855" t="s">
        <v>37</v>
      </c>
      <c r="G855">
        <v>13839</v>
      </c>
      <c r="H855" t="s">
        <v>2621</v>
      </c>
      <c r="I855" t="s">
        <v>2622</v>
      </c>
      <c r="J855" t="s">
        <v>161</v>
      </c>
      <c r="O855" t="s">
        <v>2623</v>
      </c>
      <c r="P855">
        <v>88.7</v>
      </c>
      <c r="Q855">
        <v>91.49</v>
      </c>
      <c r="R855">
        <v>86.16</v>
      </c>
      <c r="S855">
        <v>86.79</v>
      </c>
      <c r="T855">
        <v>86.35</v>
      </c>
      <c r="U855">
        <v>89.13</v>
      </c>
      <c r="W855">
        <v>86.79</v>
      </c>
      <c r="Z855">
        <v>60206</v>
      </c>
      <c r="AA855">
        <v>5235512.3899999997</v>
      </c>
      <c r="AB855">
        <v>735</v>
      </c>
      <c r="AC855" t="s">
        <v>42</v>
      </c>
      <c r="AD855">
        <v>1</v>
      </c>
    </row>
    <row r="856" spans="1:30">
      <c r="A856" t="str">
        <f>CONCATENATE(I856,J856)</f>
        <v>DPSCLTDBE</v>
      </c>
      <c r="B856" s="34">
        <v>46273</v>
      </c>
      <c r="C856" s="34">
        <v>46273</v>
      </c>
      <c r="D856" t="s">
        <v>35</v>
      </c>
      <c r="E856" t="s">
        <v>36</v>
      </c>
      <c r="F856" t="s">
        <v>37</v>
      </c>
      <c r="G856">
        <v>15423</v>
      </c>
      <c r="H856" t="s">
        <v>2624</v>
      </c>
      <c r="I856" t="s">
        <v>2625</v>
      </c>
      <c r="J856" t="s">
        <v>183</v>
      </c>
      <c r="O856" t="s">
        <v>2626</v>
      </c>
      <c r="P856">
        <v>7.29</v>
      </c>
      <c r="Q856">
        <v>7.32</v>
      </c>
      <c r="R856">
        <v>7.05</v>
      </c>
      <c r="S856">
        <v>7.24</v>
      </c>
      <c r="T856">
        <v>7.27</v>
      </c>
      <c r="U856">
        <v>7.18</v>
      </c>
      <c r="W856">
        <v>7.24</v>
      </c>
      <c r="Z856">
        <v>70892</v>
      </c>
      <c r="AA856">
        <v>508987.36</v>
      </c>
      <c r="AB856">
        <v>393</v>
      </c>
      <c r="AC856" t="s">
        <v>42</v>
      </c>
      <c r="AD856">
        <v>1</v>
      </c>
    </row>
    <row r="857" spans="1:30">
      <c r="A857" t="str">
        <f>CONCATENATE(I857,J857)</f>
        <v>AGARWALEYEEQ</v>
      </c>
      <c r="B857" s="34">
        <v>46273</v>
      </c>
      <c r="C857" s="34">
        <v>46273</v>
      </c>
      <c r="D857" t="s">
        <v>35</v>
      </c>
      <c r="E857" t="s">
        <v>36</v>
      </c>
      <c r="F857" t="s">
        <v>37</v>
      </c>
      <c r="G857">
        <v>29452</v>
      </c>
      <c r="H857" t="s">
        <v>2627</v>
      </c>
      <c r="I857" t="s">
        <v>2628</v>
      </c>
      <c r="J857" t="s">
        <v>161</v>
      </c>
      <c r="O857" t="s">
        <v>2629</v>
      </c>
      <c r="P857">
        <v>518.25</v>
      </c>
      <c r="Q857">
        <v>523.79999999999995</v>
      </c>
      <c r="R857">
        <v>512.79999999999995</v>
      </c>
      <c r="S857">
        <v>519.70000000000005</v>
      </c>
      <c r="T857">
        <v>519.5</v>
      </c>
      <c r="U857">
        <v>518.25</v>
      </c>
      <c r="W857">
        <v>519.70000000000005</v>
      </c>
      <c r="Z857">
        <v>424854</v>
      </c>
      <c r="AA857">
        <v>221256534.19999999</v>
      </c>
      <c r="AB857">
        <v>5708</v>
      </c>
      <c r="AC857" t="s">
        <v>42</v>
      </c>
      <c r="AD857">
        <v>1</v>
      </c>
    </row>
    <row r="858" spans="1:30">
      <c r="A858" t="str">
        <f>CONCATENATE(I858,J858)</f>
        <v>DRAGARWQEQ</v>
      </c>
      <c r="B858" s="34">
        <v>46273</v>
      </c>
      <c r="C858" s="34">
        <v>46273</v>
      </c>
      <c r="D858" t="s">
        <v>35</v>
      </c>
      <c r="E858" t="s">
        <v>36</v>
      </c>
      <c r="F858" t="s">
        <v>37</v>
      </c>
      <c r="G858">
        <v>762648</v>
      </c>
      <c r="H858" t="s">
        <v>2630</v>
      </c>
      <c r="I858" t="s">
        <v>2631</v>
      </c>
      <c r="J858" t="s">
        <v>161</v>
      </c>
      <c r="O858" t="s">
        <v>2632</v>
      </c>
      <c r="P858">
        <v>5320</v>
      </c>
      <c r="Q858">
        <v>5351</v>
      </c>
      <c r="R858">
        <v>5236</v>
      </c>
      <c r="S858">
        <v>5267.5</v>
      </c>
      <c r="T858">
        <v>5260</v>
      </c>
      <c r="U858">
        <v>5323.5</v>
      </c>
      <c r="W858">
        <v>5268.69</v>
      </c>
      <c r="Z858">
        <v>898</v>
      </c>
      <c r="AA858">
        <v>4749715</v>
      </c>
      <c r="AB858">
        <v>391</v>
      </c>
      <c r="AC858" t="s">
        <v>42</v>
      </c>
      <c r="AD858">
        <v>1</v>
      </c>
    </row>
    <row r="859" spans="1:30">
      <c r="A859" t="str">
        <f>CONCATENATE(I859,J859)</f>
        <v>LALPATHLABEQ</v>
      </c>
      <c r="B859" s="34">
        <v>46273</v>
      </c>
      <c r="C859" s="34">
        <v>46273</v>
      </c>
      <c r="D859" t="s">
        <v>35</v>
      </c>
      <c r="E859" t="s">
        <v>36</v>
      </c>
      <c r="F859" t="s">
        <v>37</v>
      </c>
      <c r="G859">
        <v>11654</v>
      </c>
      <c r="H859" t="s">
        <v>2633</v>
      </c>
      <c r="I859" t="s">
        <v>2634</v>
      </c>
      <c r="J859" t="s">
        <v>161</v>
      </c>
      <c r="O859" t="s">
        <v>2635</v>
      </c>
      <c r="P859">
        <v>1881.4</v>
      </c>
      <c r="Q859">
        <v>1920</v>
      </c>
      <c r="R859">
        <v>1881.4</v>
      </c>
      <c r="S859">
        <v>1912.5</v>
      </c>
      <c r="T859">
        <v>1903</v>
      </c>
      <c r="U859">
        <v>1901.9</v>
      </c>
      <c r="W859">
        <v>1912.46</v>
      </c>
      <c r="Z859">
        <v>90505</v>
      </c>
      <c r="AA859">
        <v>172412366</v>
      </c>
      <c r="AB859">
        <v>13660</v>
      </c>
      <c r="AC859" t="s">
        <v>42</v>
      </c>
      <c r="AD859">
        <v>1</v>
      </c>
    </row>
    <row r="860" spans="1:30">
      <c r="A860" t="str">
        <f>CONCATENATE(I860,J860)</f>
        <v>DRREDDYEQ</v>
      </c>
      <c r="B860" s="34">
        <v>46273</v>
      </c>
      <c r="C860" s="34">
        <v>46273</v>
      </c>
      <c r="D860" t="s">
        <v>35</v>
      </c>
      <c r="E860" t="s">
        <v>36</v>
      </c>
      <c r="F860" t="s">
        <v>37</v>
      </c>
      <c r="G860">
        <v>881</v>
      </c>
      <c r="H860" t="s">
        <v>2636</v>
      </c>
      <c r="I860" t="s">
        <v>2637</v>
      </c>
      <c r="J860" t="s">
        <v>161</v>
      </c>
      <c r="O860" t="s">
        <v>2638</v>
      </c>
      <c r="P860">
        <v>1146.5</v>
      </c>
      <c r="Q860">
        <v>1154.5</v>
      </c>
      <c r="R860">
        <v>1144</v>
      </c>
      <c r="S860">
        <v>1151</v>
      </c>
      <c r="T860">
        <v>1151</v>
      </c>
      <c r="U860">
        <v>1144.2</v>
      </c>
      <c r="W860">
        <v>1151</v>
      </c>
      <c r="Z860">
        <v>587270</v>
      </c>
      <c r="AA860">
        <v>675130276.20000005</v>
      </c>
      <c r="AB860">
        <v>29456</v>
      </c>
      <c r="AC860" t="s">
        <v>42</v>
      </c>
      <c r="AD860">
        <v>1</v>
      </c>
    </row>
    <row r="861" spans="1:30">
      <c r="A861" t="str">
        <f>CONCATENATE(I861,J861)</f>
        <v>DRCSYSTEMSEQ</v>
      </c>
      <c r="B861" s="34">
        <v>46273</v>
      </c>
      <c r="C861" s="34">
        <v>46273</v>
      </c>
      <c r="D861" t="s">
        <v>35</v>
      </c>
      <c r="E861" t="s">
        <v>36</v>
      </c>
      <c r="F861" t="s">
        <v>37</v>
      </c>
      <c r="G861">
        <v>2645</v>
      </c>
      <c r="H861" t="s">
        <v>2639</v>
      </c>
      <c r="I861" t="s">
        <v>2640</v>
      </c>
      <c r="J861" t="s">
        <v>161</v>
      </c>
      <c r="O861" t="s">
        <v>2641</v>
      </c>
      <c r="P861">
        <v>13.55</v>
      </c>
      <c r="Q861">
        <v>13.55</v>
      </c>
      <c r="R861">
        <v>12.86</v>
      </c>
      <c r="S861">
        <v>12.9</v>
      </c>
      <c r="T861">
        <v>12.95</v>
      </c>
      <c r="U861">
        <v>13.25</v>
      </c>
      <c r="W861">
        <v>12.9</v>
      </c>
      <c r="Z861">
        <v>67911</v>
      </c>
      <c r="AA861">
        <v>889273.1</v>
      </c>
      <c r="AB861">
        <v>406</v>
      </c>
      <c r="AC861" t="s">
        <v>42</v>
      </c>
      <c r="AD861">
        <v>1</v>
      </c>
    </row>
    <row r="862" spans="1:30">
      <c r="A862" t="str">
        <f>CONCATENATE(I862,J862)</f>
        <v>DREAMFOLKSEQ</v>
      </c>
      <c r="B862" s="34">
        <v>46273</v>
      </c>
      <c r="C862" s="34">
        <v>46273</v>
      </c>
      <c r="D862" t="s">
        <v>35</v>
      </c>
      <c r="E862" t="s">
        <v>36</v>
      </c>
      <c r="F862" t="s">
        <v>37</v>
      </c>
      <c r="G862">
        <v>10859</v>
      </c>
      <c r="H862" t="s">
        <v>2642</v>
      </c>
      <c r="I862" t="s">
        <v>2643</v>
      </c>
      <c r="J862" t="s">
        <v>161</v>
      </c>
      <c r="O862" t="s">
        <v>2644</v>
      </c>
      <c r="P862">
        <v>65.12</v>
      </c>
      <c r="Q862">
        <v>66.349999999999994</v>
      </c>
      <c r="R862">
        <v>64.959999999999994</v>
      </c>
      <c r="S862">
        <v>65.14</v>
      </c>
      <c r="T862">
        <v>65</v>
      </c>
      <c r="U862">
        <v>65.94</v>
      </c>
      <c r="W862">
        <v>65.180000000000007</v>
      </c>
      <c r="Z862">
        <v>44900</v>
      </c>
      <c r="AA862">
        <v>2935619.78</v>
      </c>
      <c r="AB862">
        <v>950</v>
      </c>
      <c r="AC862" t="s">
        <v>42</v>
      </c>
      <c r="AD862">
        <v>1</v>
      </c>
    </row>
    <row r="863" spans="1:30">
      <c r="A863" t="str">
        <f>CONCATENATE(I863,J863)</f>
        <v>DREDGECORPEQ</v>
      </c>
      <c r="B863" s="34">
        <v>46273</v>
      </c>
      <c r="C863" s="34">
        <v>46273</v>
      </c>
      <c r="D863" t="s">
        <v>35</v>
      </c>
      <c r="E863" t="s">
        <v>36</v>
      </c>
      <c r="F863" t="s">
        <v>37</v>
      </c>
      <c r="G863">
        <v>11271</v>
      </c>
      <c r="H863" t="s">
        <v>2645</v>
      </c>
      <c r="I863" t="s">
        <v>2646</v>
      </c>
      <c r="J863" t="s">
        <v>161</v>
      </c>
      <c r="O863" t="s">
        <v>2647</v>
      </c>
      <c r="P863">
        <v>1054.2</v>
      </c>
      <c r="Q863">
        <v>1068</v>
      </c>
      <c r="R863">
        <v>1037.5</v>
      </c>
      <c r="S863">
        <v>1049.0999999999999</v>
      </c>
      <c r="T863">
        <v>1050.9000000000001</v>
      </c>
      <c r="U863">
        <v>1054.2</v>
      </c>
      <c r="W863">
        <v>1049.0999999999999</v>
      </c>
      <c r="Z863">
        <v>90354</v>
      </c>
      <c r="AA863">
        <v>94990812.400000006</v>
      </c>
      <c r="AB863">
        <v>6274</v>
      </c>
      <c r="AC863" t="s">
        <v>42</v>
      </c>
      <c r="AD863">
        <v>1</v>
      </c>
    </row>
    <row r="864" spans="1:30">
      <c r="A864" t="str">
        <f>CONCATENATE(I864,J864)</f>
        <v>DRONESM</v>
      </c>
      <c r="B864" s="34">
        <v>46273</v>
      </c>
      <c r="C864" s="34">
        <v>46273</v>
      </c>
      <c r="D864" t="s">
        <v>35</v>
      </c>
      <c r="E864" t="s">
        <v>36</v>
      </c>
      <c r="F864" t="s">
        <v>37</v>
      </c>
      <c r="G864">
        <v>17372</v>
      </c>
      <c r="H864" t="s">
        <v>2648</v>
      </c>
      <c r="I864" t="s">
        <v>2649</v>
      </c>
      <c r="J864" t="s">
        <v>267</v>
      </c>
      <c r="O864" t="s">
        <v>2650</v>
      </c>
      <c r="P864">
        <v>33</v>
      </c>
      <c r="Q864">
        <v>33.85</v>
      </c>
      <c r="R864">
        <v>32.950000000000003</v>
      </c>
      <c r="S864">
        <v>33.35</v>
      </c>
      <c r="T864">
        <v>33.4</v>
      </c>
      <c r="U864">
        <v>33.200000000000003</v>
      </c>
      <c r="W864">
        <v>33.35</v>
      </c>
      <c r="Z864">
        <v>207000</v>
      </c>
      <c r="AA864">
        <v>6901200</v>
      </c>
      <c r="AB864">
        <v>86</v>
      </c>
      <c r="AC864" t="s">
        <v>42</v>
      </c>
      <c r="AD864">
        <v>500</v>
      </c>
    </row>
    <row r="865" spans="1:30">
      <c r="A865" t="str">
        <f>CONCATENATE(I865,J865)</f>
        <v>DSKULKARNIBE</v>
      </c>
      <c r="B865" s="34">
        <v>46273</v>
      </c>
      <c r="C865" s="34">
        <v>46273</v>
      </c>
      <c r="D865" t="s">
        <v>35</v>
      </c>
      <c r="E865" t="s">
        <v>36</v>
      </c>
      <c r="F865" t="s">
        <v>37</v>
      </c>
      <c r="G865">
        <v>8772</v>
      </c>
      <c r="H865" t="s">
        <v>2651</v>
      </c>
      <c r="I865" t="s">
        <v>2652</v>
      </c>
      <c r="J865" t="s">
        <v>183</v>
      </c>
      <c r="O865" t="s">
        <v>2653</v>
      </c>
      <c r="P865">
        <v>20.190000000000001</v>
      </c>
      <c r="Q865">
        <v>20.190000000000001</v>
      </c>
      <c r="R865">
        <v>20.190000000000001</v>
      </c>
      <c r="S865">
        <v>20.190000000000001</v>
      </c>
      <c r="T865">
        <v>20.190000000000001</v>
      </c>
      <c r="U865">
        <v>19.8</v>
      </c>
      <c r="W865">
        <v>20.190000000000001</v>
      </c>
      <c r="Z865">
        <v>1</v>
      </c>
      <c r="AA865">
        <v>20.190000000000001</v>
      </c>
      <c r="AB865">
        <v>1</v>
      </c>
      <c r="AC865" t="s">
        <v>42</v>
      </c>
      <c r="AD865">
        <v>1</v>
      </c>
    </row>
    <row r="866" spans="1:30">
      <c r="A866" t="str">
        <f>CONCATENATE(I866,J866)</f>
        <v>KEEPLEARNEQ</v>
      </c>
      <c r="B866" s="34">
        <v>46273</v>
      </c>
      <c r="C866" s="34">
        <v>46273</v>
      </c>
      <c r="D866" t="s">
        <v>35</v>
      </c>
      <c r="E866" t="s">
        <v>36</v>
      </c>
      <c r="F866" t="s">
        <v>37</v>
      </c>
      <c r="G866">
        <v>778</v>
      </c>
      <c r="H866" t="s">
        <v>2654</v>
      </c>
      <c r="I866" t="s">
        <v>2655</v>
      </c>
      <c r="J866" t="s">
        <v>161</v>
      </c>
      <c r="O866" t="s">
        <v>2656</v>
      </c>
      <c r="P866">
        <v>1.95</v>
      </c>
      <c r="Q866">
        <v>1.95</v>
      </c>
      <c r="R866">
        <v>1.75</v>
      </c>
      <c r="S866">
        <v>1.91</v>
      </c>
      <c r="T866">
        <v>1.91</v>
      </c>
      <c r="U866">
        <v>1.91</v>
      </c>
      <c r="W866">
        <v>1.95</v>
      </c>
      <c r="Z866">
        <v>20742</v>
      </c>
      <c r="AA866">
        <v>38714.25</v>
      </c>
      <c r="AB866">
        <v>103</v>
      </c>
      <c r="AC866" t="s">
        <v>42</v>
      </c>
      <c r="AD866">
        <v>1</v>
      </c>
    </row>
    <row r="867" spans="1:30">
      <c r="A867" t="str">
        <f>CONCATENATE(I867,J867)</f>
        <v>LIQUIDETFEQ</v>
      </c>
      <c r="B867" s="34">
        <v>46273</v>
      </c>
      <c r="C867" s="34">
        <v>46273</v>
      </c>
      <c r="D867" t="s">
        <v>35</v>
      </c>
      <c r="E867" t="s">
        <v>36</v>
      </c>
      <c r="F867" t="s">
        <v>37</v>
      </c>
      <c r="G867">
        <v>1927</v>
      </c>
      <c r="H867" t="s">
        <v>2657</v>
      </c>
      <c r="I867" t="s">
        <v>2658</v>
      </c>
      <c r="J867" t="s">
        <v>161</v>
      </c>
      <c r="O867" t="s">
        <v>2659</v>
      </c>
      <c r="P867">
        <v>1000</v>
      </c>
      <c r="Q867">
        <v>1000.01</v>
      </c>
      <c r="R867">
        <v>999.99</v>
      </c>
      <c r="S867">
        <v>999.99</v>
      </c>
      <c r="T867">
        <v>1000</v>
      </c>
      <c r="U867">
        <v>999.99</v>
      </c>
      <c r="W867">
        <v>999.99</v>
      </c>
      <c r="Z867">
        <v>88307</v>
      </c>
      <c r="AA867">
        <v>88306891.989999995</v>
      </c>
      <c r="AB867">
        <v>183</v>
      </c>
      <c r="AC867" t="s">
        <v>42</v>
      </c>
      <c r="AD867">
        <v>1</v>
      </c>
    </row>
    <row r="868" spans="1:30">
      <c r="A868" t="str">
        <f>CONCATENATE(I868,J868)</f>
        <v>BANK10ADDEQ</v>
      </c>
      <c r="B868" s="34">
        <v>46273</v>
      </c>
      <c r="C868" s="34">
        <v>46273</v>
      </c>
      <c r="D868" t="s">
        <v>35</v>
      </c>
      <c r="E868" t="s">
        <v>36</v>
      </c>
      <c r="F868" t="s">
        <v>37</v>
      </c>
      <c r="G868">
        <v>761364</v>
      </c>
      <c r="H868" t="s">
        <v>2660</v>
      </c>
      <c r="I868" t="s">
        <v>2661</v>
      </c>
      <c r="J868" t="s">
        <v>161</v>
      </c>
      <c r="O868" t="s">
        <v>2662</v>
      </c>
      <c r="P868">
        <v>16.850000000000001</v>
      </c>
      <c r="Q868">
        <v>16.899999999999999</v>
      </c>
      <c r="R868">
        <v>16.649999999999999</v>
      </c>
      <c r="S868">
        <v>16.690000000000001</v>
      </c>
      <c r="T868">
        <v>16.649999999999999</v>
      </c>
      <c r="U868">
        <v>16.91</v>
      </c>
      <c r="W868">
        <v>16.690000000000001</v>
      </c>
      <c r="Z868">
        <v>45774</v>
      </c>
      <c r="AA868">
        <v>766234.23</v>
      </c>
      <c r="AB868">
        <v>203</v>
      </c>
      <c r="AC868" t="s">
        <v>42</v>
      </c>
      <c r="AD868">
        <v>1</v>
      </c>
    </row>
    <row r="869" spans="1:30">
      <c r="A869" t="str">
        <f>CONCATENATE(I869,J869)</f>
        <v>BANKADDEQ</v>
      </c>
      <c r="B869" s="34">
        <v>46273</v>
      </c>
      <c r="C869" s="34">
        <v>46273</v>
      </c>
      <c r="D869" t="s">
        <v>35</v>
      </c>
      <c r="E869" t="s">
        <v>36</v>
      </c>
      <c r="F869" t="s">
        <v>37</v>
      </c>
      <c r="G869">
        <v>13644</v>
      </c>
      <c r="H869" t="s">
        <v>2663</v>
      </c>
      <c r="I869" t="s">
        <v>2664</v>
      </c>
      <c r="J869" t="s">
        <v>161</v>
      </c>
      <c r="O869" t="s">
        <v>2665</v>
      </c>
      <c r="P869">
        <v>58.67</v>
      </c>
      <c r="Q869">
        <v>58.67</v>
      </c>
      <c r="R869">
        <v>58.14</v>
      </c>
      <c r="S869">
        <v>58.41</v>
      </c>
      <c r="T869">
        <v>58.49</v>
      </c>
      <c r="U869">
        <v>58.71</v>
      </c>
      <c r="W869">
        <v>58.41</v>
      </c>
      <c r="Z869">
        <v>6667</v>
      </c>
      <c r="AA869">
        <v>389395.91</v>
      </c>
      <c r="AB869">
        <v>123</v>
      </c>
      <c r="AC869" t="s">
        <v>42</v>
      </c>
      <c r="AD869">
        <v>1</v>
      </c>
    </row>
    <row r="870" spans="1:30">
      <c r="A870" t="str">
        <f>CONCATENATE(I870,J870)</f>
        <v>GOLDADDEQ</v>
      </c>
      <c r="B870" s="34">
        <v>46273</v>
      </c>
      <c r="C870" s="34">
        <v>46273</v>
      </c>
      <c r="D870" t="s">
        <v>35</v>
      </c>
      <c r="E870" t="s">
        <v>36</v>
      </c>
      <c r="F870" t="s">
        <v>37</v>
      </c>
      <c r="G870">
        <v>15356</v>
      </c>
      <c r="H870" t="s">
        <v>2666</v>
      </c>
      <c r="I870" t="s">
        <v>2667</v>
      </c>
      <c r="J870" t="s">
        <v>161</v>
      </c>
      <c r="O870" t="s">
        <v>2668</v>
      </c>
      <c r="P870">
        <v>14.92</v>
      </c>
      <c r="Q870">
        <v>14.92</v>
      </c>
      <c r="R870">
        <v>14.72</v>
      </c>
      <c r="S870">
        <v>14.79</v>
      </c>
      <c r="T870">
        <v>14.84</v>
      </c>
      <c r="U870">
        <v>14.74</v>
      </c>
      <c r="W870">
        <v>14.79</v>
      </c>
      <c r="Z870">
        <v>4359148</v>
      </c>
      <c r="AA870">
        <v>64459061.619999997</v>
      </c>
      <c r="AB870">
        <v>8815</v>
      </c>
      <c r="AC870" t="s">
        <v>42</v>
      </c>
      <c r="AD870">
        <v>1</v>
      </c>
    </row>
    <row r="871" spans="1:30">
      <c r="A871" t="str">
        <f>CONCATENATE(I871,J871)</f>
        <v>ITADDEQ</v>
      </c>
      <c r="B871" s="34">
        <v>46273</v>
      </c>
      <c r="C871" s="34">
        <v>46273</v>
      </c>
      <c r="D871" t="s">
        <v>35</v>
      </c>
      <c r="E871" t="s">
        <v>36</v>
      </c>
      <c r="F871" t="s">
        <v>37</v>
      </c>
      <c r="G871">
        <v>17207</v>
      </c>
      <c r="H871" t="s">
        <v>2669</v>
      </c>
      <c r="I871" t="s">
        <v>2670</v>
      </c>
      <c r="J871" t="s">
        <v>161</v>
      </c>
      <c r="O871" t="s">
        <v>2671</v>
      </c>
      <c r="P871">
        <v>32.24</v>
      </c>
      <c r="Q871">
        <v>32.24</v>
      </c>
      <c r="R871">
        <v>31.61</v>
      </c>
      <c r="S871">
        <v>31.79</v>
      </c>
      <c r="T871">
        <v>31.75</v>
      </c>
      <c r="U871">
        <v>31.79</v>
      </c>
      <c r="W871">
        <v>31.79</v>
      </c>
      <c r="Z871">
        <v>174245</v>
      </c>
      <c r="AA871">
        <v>5543711.25</v>
      </c>
      <c r="AB871">
        <v>101</v>
      </c>
      <c r="AC871" t="s">
        <v>42</v>
      </c>
      <c r="AD871">
        <v>1</v>
      </c>
    </row>
    <row r="872" spans="1:30">
      <c r="A872" t="str">
        <f>CONCATENATE(I872,J872)</f>
        <v>EQUAL50ADDEQ</v>
      </c>
      <c r="B872" s="34">
        <v>46273</v>
      </c>
      <c r="C872" s="34">
        <v>46273</v>
      </c>
      <c r="D872" t="s">
        <v>35</v>
      </c>
      <c r="E872" t="s">
        <v>36</v>
      </c>
      <c r="F872" t="s">
        <v>37</v>
      </c>
      <c r="G872">
        <v>6606</v>
      </c>
      <c r="H872" t="s">
        <v>2672</v>
      </c>
      <c r="I872" t="s">
        <v>2673</v>
      </c>
      <c r="J872" t="s">
        <v>161</v>
      </c>
      <c r="O872" t="s">
        <v>2674</v>
      </c>
      <c r="P872">
        <v>345.41</v>
      </c>
      <c r="Q872">
        <v>345.41</v>
      </c>
      <c r="R872">
        <v>336.95</v>
      </c>
      <c r="S872">
        <v>337.41</v>
      </c>
      <c r="T872">
        <v>337.4</v>
      </c>
      <c r="U872">
        <v>338.64</v>
      </c>
      <c r="W872">
        <v>337.41</v>
      </c>
      <c r="Z872">
        <v>39565</v>
      </c>
      <c r="AA872">
        <v>13350349.41</v>
      </c>
      <c r="AB872">
        <v>370</v>
      </c>
      <c r="AC872" t="s">
        <v>42</v>
      </c>
      <c r="AD872">
        <v>1</v>
      </c>
    </row>
    <row r="873" spans="1:30">
      <c r="A873" t="str">
        <f>CONCATENATE(I873,J873)</f>
        <v>NIFTYADDEQ</v>
      </c>
      <c r="B873" s="34">
        <v>46273</v>
      </c>
      <c r="C873" s="34">
        <v>46273</v>
      </c>
      <c r="D873" t="s">
        <v>35</v>
      </c>
      <c r="E873" t="s">
        <v>36</v>
      </c>
      <c r="F873" t="s">
        <v>37</v>
      </c>
      <c r="G873">
        <v>7451</v>
      </c>
      <c r="H873" t="s">
        <v>2675</v>
      </c>
      <c r="I873" t="s">
        <v>2676</v>
      </c>
      <c r="J873" t="s">
        <v>161</v>
      </c>
      <c r="O873" t="s">
        <v>2677</v>
      </c>
      <c r="P873">
        <v>250.39</v>
      </c>
      <c r="Q873">
        <v>250.59</v>
      </c>
      <c r="R873">
        <v>249.02</v>
      </c>
      <c r="S873">
        <v>250.03</v>
      </c>
      <c r="T873">
        <v>250.59</v>
      </c>
      <c r="U873">
        <v>250.91</v>
      </c>
      <c r="W873">
        <v>250.03</v>
      </c>
      <c r="Z873">
        <v>13681</v>
      </c>
      <c r="AA873">
        <v>3418587.77</v>
      </c>
      <c r="AB873">
        <v>211</v>
      </c>
      <c r="AC873" t="s">
        <v>42</v>
      </c>
      <c r="AD873">
        <v>1</v>
      </c>
    </row>
    <row r="874" spans="1:30">
      <c r="A874" t="str">
        <f>CONCATENATE(I874,J874)</f>
        <v>PSUBANKADDEQ</v>
      </c>
      <c r="B874" s="34">
        <v>46273</v>
      </c>
      <c r="C874" s="34">
        <v>46273</v>
      </c>
      <c r="D874" t="s">
        <v>35</v>
      </c>
      <c r="E874" t="s">
        <v>36</v>
      </c>
      <c r="F874" t="s">
        <v>37</v>
      </c>
      <c r="G874">
        <v>17616</v>
      </c>
      <c r="H874" t="s">
        <v>2678</v>
      </c>
      <c r="I874" t="s">
        <v>2679</v>
      </c>
      <c r="J874" t="s">
        <v>161</v>
      </c>
      <c r="O874" t="s">
        <v>2680</v>
      </c>
      <c r="P874">
        <v>85.06</v>
      </c>
      <c r="Q874">
        <v>85.4</v>
      </c>
      <c r="R874">
        <v>84.9</v>
      </c>
      <c r="S874">
        <v>85.12</v>
      </c>
      <c r="T874">
        <v>85.25</v>
      </c>
      <c r="U874">
        <v>85.39</v>
      </c>
      <c r="W874">
        <v>85.09</v>
      </c>
      <c r="Z874">
        <v>14460</v>
      </c>
      <c r="AA874">
        <v>1230645.47</v>
      </c>
      <c r="AB874">
        <v>191</v>
      </c>
      <c r="AC874" t="s">
        <v>42</v>
      </c>
      <c r="AD874">
        <v>1</v>
      </c>
    </row>
    <row r="875" spans="1:30">
      <c r="A875" t="str">
        <f>CONCATENATE(I875,J875)</f>
        <v>PVTBANKADDEQ</v>
      </c>
      <c r="B875" s="34">
        <v>46273</v>
      </c>
      <c r="C875" s="34">
        <v>46273</v>
      </c>
      <c r="D875" t="s">
        <v>35</v>
      </c>
      <c r="E875" t="s">
        <v>36</v>
      </c>
      <c r="F875" t="s">
        <v>37</v>
      </c>
      <c r="G875">
        <v>17576</v>
      </c>
      <c r="H875" t="s">
        <v>2681</v>
      </c>
      <c r="I875" t="s">
        <v>2682</v>
      </c>
      <c r="J875" t="s">
        <v>161</v>
      </c>
      <c r="O875" t="s">
        <v>2683</v>
      </c>
      <c r="P875">
        <v>28.21</v>
      </c>
      <c r="Q875">
        <v>28.21</v>
      </c>
      <c r="R875">
        <v>27.8</v>
      </c>
      <c r="S875">
        <v>27.93</v>
      </c>
      <c r="T875">
        <v>28.03</v>
      </c>
      <c r="U875">
        <v>28.24</v>
      </c>
      <c r="W875">
        <v>27.93</v>
      </c>
      <c r="Z875">
        <v>61827</v>
      </c>
      <c r="AA875">
        <v>1734809.84</v>
      </c>
      <c r="AB875">
        <v>193</v>
      </c>
      <c r="AC875" t="s">
        <v>42</v>
      </c>
      <c r="AD875">
        <v>1</v>
      </c>
    </row>
    <row r="876" spans="1:30">
      <c r="A876" t="str">
        <f>CONCATENATE(I876,J876)</f>
        <v>MIDQ50ADDEQ</v>
      </c>
      <c r="B876" s="34">
        <v>46273</v>
      </c>
      <c r="C876" s="34">
        <v>46273</v>
      </c>
      <c r="D876" t="s">
        <v>35</v>
      </c>
      <c r="E876" t="s">
        <v>36</v>
      </c>
      <c r="F876" t="s">
        <v>37</v>
      </c>
      <c r="G876">
        <v>7456</v>
      </c>
      <c r="H876" t="s">
        <v>2684</v>
      </c>
      <c r="I876" t="s">
        <v>2685</v>
      </c>
      <c r="J876" t="s">
        <v>161</v>
      </c>
      <c r="O876" t="s">
        <v>2686</v>
      </c>
      <c r="P876">
        <v>25.42</v>
      </c>
      <c r="Q876">
        <v>26.01</v>
      </c>
      <c r="R876">
        <v>24.42</v>
      </c>
      <c r="S876">
        <v>24.92</v>
      </c>
      <c r="T876">
        <v>24.9</v>
      </c>
      <c r="U876">
        <v>24.92</v>
      </c>
      <c r="W876">
        <v>24.92</v>
      </c>
      <c r="Z876">
        <v>31070</v>
      </c>
      <c r="AA876">
        <v>771608.69</v>
      </c>
      <c r="AB876">
        <v>122</v>
      </c>
      <c r="AC876" t="s">
        <v>42</v>
      </c>
      <c r="AD876">
        <v>1</v>
      </c>
    </row>
    <row r="877" spans="1:30">
      <c r="A877" t="str">
        <f>CONCATENATE(I877,J877)</f>
        <v>SENSEXADDEQ</v>
      </c>
      <c r="B877" s="34">
        <v>46273</v>
      </c>
      <c r="C877" s="34">
        <v>46273</v>
      </c>
      <c r="D877" t="s">
        <v>35</v>
      </c>
      <c r="E877" t="s">
        <v>36</v>
      </c>
      <c r="F877" t="s">
        <v>37</v>
      </c>
      <c r="G877">
        <v>17613</v>
      </c>
      <c r="H877" t="s">
        <v>2687</v>
      </c>
      <c r="I877" t="s">
        <v>2688</v>
      </c>
      <c r="J877" t="s">
        <v>161</v>
      </c>
      <c r="O877" t="s">
        <v>2689</v>
      </c>
      <c r="P877">
        <v>78.45</v>
      </c>
      <c r="Q877">
        <v>78.540000000000006</v>
      </c>
      <c r="R877">
        <v>77.91</v>
      </c>
      <c r="S877">
        <v>78.31</v>
      </c>
      <c r="T877">
        <v>78.319999999999993</v>
      </c>
      <c r="U877">
        <v>78.540000000000006</v>
      </c>
      <c r="W877">
        <v>78.31</v>
      </c>
      <c r="Z877">
        <v>1883</v>
      </c>
      <c r="AA877">
        <v>147153.34</v>
      </c>
      <c r="AB877">
        <v>36</v>
      </c>
      <c r="AC877" t="s">
        <v>42</v>
      </c>
      <c r="AD877">
        <v>1</v>
      </c>
    </row>
    <row r="878" spans="1:30">
      <c r="A878" t="str">
        <f>CONCATENATE(I878,J878)</f>
        <v>SILVERADDEQ</v>
      </c>
      <c r="B878" s="34">
        <v>46273</v>
      </c>
      <c r="C878" s="34">
        <v>46273</v>
      </c>
      <c r="D878" t="s">
        <v>35</v>
      </c>
      <c r="E878" t="s">
        <v>36</v>
      </c>
      <c r="F878" t="s">
        <v>37</v>
      </c>
      <c r="G878">
        <v>10761</v>
      </c>
      <c r="H878" t="s">
        <v>2690</v>
      </c>
      <c r="I878" t="s">
        <v>2691</v>
      </c>
      <c r="J878" t="s">
        <v>161</v>
      </c>
      <c r="O878" t="s">
        <v>2692</v>
      </c>
      <c r="P878">
        <v>22.6</v>
      </c>
      <c r="Q878">
        <v>22.6</v>
      </c>
      <c r="R878">
        <v>22.18</v>
      </c>
      <c r="S878">
        <v>22.3</v>
      </c>
      <c r="T878">
        <v>22.29</v>
      </c>
      <c r="U878">
        <v>22.15</v>
      </c>
      <c r="W878">
        <v>22.3</v>
      </c>
      <c r="Z878">
        <v>5232857</v>
      </c>
      <c r="AA878">
        <v>116818809.43000001</v>
      </c>
      <c r="AB878">
        <v>8905</v>
      </c>
      <c r="AC878" t="s">
        <v>42</v>
      </c>
      <c r="AD878">
        <v>1</v>
      </c>
    </row>
    <row r="879" spans="1:30">
      <c r="A879" t="str">
        <f>CONCATENATE(I879,J879)</f>
        <v>FLEXIADDEQ</v>
      </c>
      <c r="B879" s="34">
        <v>46273</v>
      </c>
      <c r="C879" s="34">
        <v>46273</v>
      </c>
      <c r="D879" t="s">
        <v>35</v>
      </c>
      <c r="E879" t="s">
        <v>36</v>
      </c>
      <c r="F879" t="s">
        <v>37</v>
      </c>
      <c r="G879">
        <v>759368</v>
      </c>
      <c r="H879" t="s">
        <v>2693</v>
      </c>
      <c r="I879" t="s">
        <v>2694</v>
      </c>
      <c r="J879" t="s">
        <v>161</v>
      </c>
      <c r="O879" t="s">
        <v>2695</v>
      </c>
      <c r="P879">
        <v>10.18</v>
      </c>
      <c r="Q879">
        <v>10.18</v>
      </c>
      <c r="R879">
        <v>9.93</v>
      </c>
      <c r="S879">
        <v>9.9700000000000006</v>
      </c>
      <c r="T879">
        <v>10.01</v>
      </c>
      <c r="U879">
        <v>9.98</v>
      </c>
      <c r="W879">
        <v>9.9700000000000006</v>
      </c>
      <c r="Z879">
        <v>45204</v>
      </c>
      <c r="AA879">
        <v>450433.57</v>
      </c>
      <c r="AB879">
        <v>328</v>
      </c>
      <c r="AC879" t="s">
        <v>42</v>
      </c>
      <c r="AD879">
        <v>1</v>
      </c>
    </row>
    <row r="880" spans="1:30">
      <c r="A880" t="str">
        <f>CONCATENATE(I880,J880)</f>
        <v>FMCGADDEQ</v>
      </c>
      <c r="B880" s="34">
        <v>46273</v>
      </c>
      <c r="C880" s="34">
        <v>46273</v>
      </c>
      <c r="D880" t="s">
        <v>35</v>
      </c>
      <c r="E880" t="s">
        <v>36</v>
      </c>
      <c r="F880" t="s">
        <v>37</v>
      </c>
      <c r="G880">
        <v>763530</v>
      </c>
      <c r="H880" t="s">
        <v>2696</v>
      </c>
      <c r="I880" t="s">
        <v>2697</v>
      </c>
      <c r="J880" t="s">
        <v>161</v>
      </c>
      <c r="O880" t="s">
        <v>2698</v>
      </c>
      <c r="P880">
        <v>45.91</v>
      </c>
      <c r="Q880">
        <v>46.24</v>
      </c>
      <c r="R880">
        <v>45.7</v>
      </c>
      <c r="S880">
        <v>46.07</v>
      </c>
      <c r="T880">
        <v>46.07</v>
      </c>
      <c r="U880">
        <v>45.93</v>
      </c>
      <c r="W880">
        <v>46.07</v>
      </c>
      <c r="Z880">
        <v>34188</v>
      </c>
      <c r="AA880">
        <v>1576183.98</v>
      </c>
      <c r="AB880">
        <v>82</v>
      </c>
      <c r="AC880" t="s">
        <v>42</v>
      </c>
      <c r="AD880">
        <v>1</v>
      </c>
    </row>
    <row r="881" spans="1:30">
      <c r="A881" t="str">
        <f>CONCATENATE(I881,J881)</f>
        <v>GSEC10ADDEQ</v>
      </c>
      <c r="B881" s="34">
        <v>46273</v>
      </c>
      <c r="C881" s="34">
        <v>46273</v>
      </c>
      <c r="D881" t="s">
        <v>35</v>
      </c>
      <c r="E881" t="s">
        <v>36</v>
      </c>
      <c r="F881" t="s">
        <v>37</v>
      </c>
      <c r="G881">
        <v>765310</v>
      </c>
      <c r="H881" t="s">
        <v>2699</v>
      </c>
      <c r="I881" t="s">
        <v>2700</v>
      </c>
      <c r="J881" t="s">
        <v>161</v>
      </c>
      <c r="O881" t="s">
        <v>2701</v>
      </c>
      <c r="P881">
        <v>26.81</v>
      </c>
      <c r="Q881">
        <v>26.83</v>
      </c>
      <c r="R881">
        <v>26.47</v>
      </c>
      <c r="S881">
        <v>26.83</v>
      </c>
      <c r="T881">
        <v>26.83</v>
      </c>
      <c r="U881">
        <v>26.81</v>
      </c>
      <c r="W881">
        <v>26.83</v>
      </c>
      <c r="Z881">
        <v>520</v>
      </c>
      <c r="AA881">
        <v>13939.8</v>
      </c>
      <c r="AB881">
        <v>4</v>
      </c>
      <c r="AC881" t="s">
        <v>42</v>
      </c>
      <c r="AD881">
        <v>1</v>
      </c>
    </row>
    <row r="882" spans="1:30">
      <c r="A882" t="str">
        <f>CONCATENATE(I882,J882)</f>
        <v>HEALTHADDEQ</v>
      </c>
      <c r="B882" s="34">
        <v>46273</v>
      </c>
      <c r="C882" s="34">
        <v>46273</v>
      </c>
      <c r="D882" t="s">
        <v>35</v>
      </c>
      <c r="E882" t="s">
        <v>36</v>
      </c>
      <c r="F882" t="s">
        <v>37</v>
      </c>
      <c r="G882">
        <v>22592</v>
      </c>
      <c r="H882" t="s">
        <v>2702</v>
      </c>
      <c r="I882" t="s">
        <v>2703</v>
      </c>
      <c r="J882" t="s">
        <v>161</v>
      </c>
      <c r="O882" t="s">
        <v>2704</v>
      </c>
      <c r="P882">
        <v>16.739999999999998</v>
      </c>
      <c r="Q882">
        <v>17</v>
      </c>
      <c r="R882">
        <v>16.63</v>
      </c>
      <c r="S882">
        <v>16.670000000000002</v>
      </c>
      <c r="T882">
        <v>16.670000000000002</v>
      </c>
      <c r="U882">
        <v>16.68</v>
      </c>
      <c r="W882">
        <v>16.670000000000002</v>
      </c>
      <c r="Z882">
        <v>18688</v>
      </c>
      <c r="AA882">
        <v>312506.09999999998</v>
      </c>
      <c r="AB882">
        <v>80</v>
      </c>
      <c r="AC882" t="s">
        <v>42</v>
      </c>
      <c r="AD882">
        <v>1</v>
      </c>
    </row>
    <row r="883" spans="1:30">
      <c r="A883" t="str">
        <f>CONCATENATE(I883,J883)</f>
        <v>LIQUIDADDEQ</v>
      </c>
      <c r="B883" s="34">
        <v>46273</v>
      </c>
      <c r="C883" s="34">
        <v>46273</v>
      </c>
      <c r="D883" t="s">
        <v>35</v>
      </c>
      <c r="E883" t="s">
        <v>36</v>
      </c>
      <c r="F883" t="s">
        <v>37</v>
      </c>
      <c r="G883">
        <v>23407</v>
      </c>
      <c r="H883" t="s">
        <v>2705</v>
      </c>
      <c r="I883" t="s">
        <v>2706</v>
      </c>
      <c r="J883" t="s">
        <v>161</v>
      </c>
      <c r="O883" t="s">
        <v>2707</v>
      </c>
      <c r="P883">
        <v>1143.76</v>
      </c>
      <c r="Q883">
        <v>1143.78</v>
      </c>
      <c r="R883">
        <v>1143.76</v>
      </c>
      <c r="S883">
        <v>1143.76</v>
      </c>
      <c r="T883">
        <v>1143.76</v>
      </c>
      <c r="U883">
        <v>1143.6400000000001</v>
      </c>
      <c r="W883">
        <v>1143.76</v>
      </c>
      <c r="Z883">
        <v>459106</v>
      </c>
      <c r="AA883">
        <v>525110461.35000002</v>
      </c>
      <c r="AB883">
        <v>231</v>
      </c>
      <c r="AC883" t="s">
        <v>42</v>
      </c>
      <c r="AD883">
        <v>1</v>
      </c>
    </row>
    <row r="884" spans="1:30">
      <c r="A884" t="str">
        <f>CONCATENATE(I884,J884)</f>
        <v>MIDBANKADDEQ</v>
      </c>
      <c r="B884" s="34">
        <v>46273</v>
      </c>
      <c r="C884" s="34">
        <v>46273</v>
      </c>
      <c r="D884" t="s">
        <v>35</v>
      </c>
      <c r="E884" t="s">
        <v>36</v>
      </c>
      <c r="F884" t="s">
        <v>37</v>
      </c>
      <c r="G884">
        <v>764428</v>
      </c>
      <c r="H884" t="s">
        <v>2708</v>
      </c>
      <c r="I884" t="s">
        <v>2709</v>
      </c>
      <c r="J884" t="s">
        <v>161</v>
      </c>
      <c r="O884" t="s">
        <v>2710</v>
      </c>
      <c r="P884">
        <v>17.38</v>
      </c>
      <c r="Q884">
        <v>17.47</v>
      </c>
      <c r="R884">
        <v>17.38</v>
      </c>
      <c r="S884">
        <v>17.43</v>
      </c>
      <c r="T884">
        <v>17.399999999999999</v>
      </c>
      <c r="U884">
        <v>17.38</v>
      </c>
      <c r="W884">
        <v>17.43</v>
      </c>
      <c r="Z884">
        <v>3817</v>
      </c>
      <c r="AA884">
        <v>66499.55</v>
      </c>
      <c r="AB884">
        <v>15</v>
      </c>
      <c r="AC884" t="s">
        <v>42</v>
      </c>
      <c r="AD884">
        <v>1</v>
      </c>
    </row>
    <row r="885" spans="1:30">
      <c r="A885" t="str">
        <f>CONCATENATE(I885,J885)</f>
        <v>MIDCAPADDEQ</v>
      </c>
      <c r="B885" s="34">
        <v>46273</v>
      </c>
      <c r="C885" s="34">
        <v>46273</v>
      </c>
      <c r="D885" t="s">
        <v>35</v>
      </c>
      <c r="E885" t="s">
        <v>36</v>
      </c>
      <c r="F885" t="s">
        <v>37</v>
      </c>
      <c r="G885">
        <v>760356</v>
      </c>
      <c r="H885" t="s">
        <v>2711</v>
      </c>
      <c r="I885" t="s">
        <v>2712</v>
      </c>
      <c r="J885" t="s">
        <v>161</v>
      </c>
      <c r="O885" t="s">
        <v>2713</v>
      </c>
      <c r="P885">
        <v>23.12</v>
      </c>
      <c r="Q885">
        <v>23.26</v>
      </c>
      <c r="R885">
        <v>23.06</v>
      </c>
      <c r="S885">
        <v>23.1</v>
      </c>
      <c r="T885">
        <v>23.26</v>
      </c>
      <c r="U885">
        <v>23.12</v>
      </c>
      <c r="W885">
        <v>23.1</v>
      </c>
      <c r="Z885">
        <v>7072</v>
      </c>
      <c r="AA885">
        <v>163380.49</v>
      </c>
      <c r="AB885">
        <v>34</v>
      </c>
      <c r="AC885" t="s">
        <v>42</v>
      </c>
      <c r="AD885">
        <v>1</v>
      </c>
    </row>
    <row r="886" spans="1:30">
      <c r="A886" t="str">
        <f>CONCATENATE(I886,J886)</f>
        <v>MSCIADDEQ</v>
      </c>
      <c r="B886" s="34">
        <v>46273</v>
      </c>
      <c r="C886" s="34">
        <v>46273</v>
      </c>
      <c r="D886" t="s">
        <v>35</v>
      </c>
      <c r="E886" t="s">
        <v>36</v>
      </c>
      <c r="F886" t="s">
        <v>37</v>
      </c>
      <c r="G886">
        <v>759978</v>
      </c>
      <c r="H886" t="s">
        <v>2714</v>
      </c>
      <c r="I886" t="s">
        <v>2715</v>
      </c>
      <c r="J886" t="s">
        <v>161</v>
      </c>
      <c r="O886" t="s">
        <v>2716</v>
      </c>
      <c r="P886">
        <v>29.15</v>
      </c>
      <c r="Q886">
        <v>29.28</v>
      </c>
      <c r="R886">
        <v>29.15</v>
      </c>
      <c r="S886">
        <v>29.27</v>
      </c>
      <c r="T886">
        <v>29.27</v>
      </c>
      <c r="U886">
        <v>29.3</v>
      </c>
      <c r="W886">
        <v>29.27</v>
      </c>
      <c r="Z886">
        <v>600</v>
      </c>
      <c r="AA886">
        <v>17538.439999999999</v>
      </c>
      <c r="AB886">
        <v>14</v>
      </c>
      <c r="AC886" t="s">
        <v>42</v>
      </c>
      <c r="AD886">
        <v>1</v>
      </c>
    </row>
    <row r="887" spans="1:30">
      <c r="A887" t="str">
        <f>CONCATENATE(I887,J887)</f>
        <v>NEXT30ADDEQ</v>
      </c>
      <c r="B887" s="34">
        <v>46273</v>
      </c>
      <c r="C887" s="34">
        <v>46273</v>
      </c>
      <c r="D887" t="s">
        <v>35</v>
      </c>
      <c r="E887" t="s">
        <v>36</v>
      </c>
      <c r="F887" t="s">
        <v>37</v>
      </c>
      <c r="G887">
        <v>29464</v>
      </c>
      <c r="H887" t="s">
        <v>2717</v>
      </c>
      <c r="I887" t="s">
        <v>2718</v>
      </c>
      <c r="J887" t="s">
        <v>161</v>
      </c>
      <c r="O887" t="s">
        <v>2719</v>
      </c>
      <c r="P887">
        <v>42.32</v>
      </c>
      <c r="Q887">
        <v>42.6</v>
      </c>
      <c r="R887">
        <v>42.32</v>
      </c>
      <c r="S887">
        <v>42.6</v>
      </c>
      <c r="T887">
        <v>42.6</v>
      </c>
      <c r="U887">
        <v>42.49</v>
      </c>
      <c r="W887">
        <v>42.6</v>
      </c>
      <c r="Z887">
        <v>3405</v>
      </c>
      <c r="AA887">
        <v>144497.94</v>
      </c>
      <c r="AB887">
        <v>64</v>
      </c>
      <c r="AC887" t="s">
        <v>42</v>
      </c>
      <c r="AD887">
        <v>1</v>
      </c>
    </row>
    <row r="888" spans="1:30">
      <c r="A888" t="str">
        <f>CONCATENATE(I888,J888)</f>
        <v>NEXT50ADDEQ</v>
      </c>
      <c r="B888" s="34">
        <v>46273</v>
      </c>
      <c r="C888" s="34">
        <v>46273</v>
      </c>
      <c r="D888" t="s">
        <v>35</v>
      </c>
      <c r="E888" t="s">
        <v>36</v>
      </c>
      <c r="F888" t="s">
        <v>37</v>
      </c>
      <c r="G888">
        <v>760599</v>
      </c>
      <c r="H888" t="s">
        <v>2720</v>
      </c>
      <c r="I888" t="s">
        <v>2721</v>
      </c>
      <c r="J888" t="s">
        <v>161</v>
      </c>
      <c r="O888" t="s">
        <v>2722</v>
      </c>
      <c r="P888">
        <v>73.12</v>
      </c>
      <c r="Q888">
        <v>73.489999999999995</v>
      </c>
      <c r="R888">
        <v>73.03</v>
      </c>
      <c r="S888">
        <v>73.489999999999995</v>
      </c>
      <c r="T888">
        <v>73.489999999999995</v>
      </c>
      <c r="U888">
        <v>73.040000000000006</v>
      </c>
      <c r="W888">
        <v>73.489999999999995</v>
      </c>
      <c r="Z888">
        <v>1994</v>
      </c>
      <c r="AA888">
        <v>146014.62</v>
      </c>
      <c r="AB888">
        <v>31</v>
      </c>
      <c r="AC888" t="s">
        <v>42</v>
      </c>
      <c r="AD888">
        <v>1</v>
      </c>
    </row>
    <row r="889" spans="1:30">
      <c r="A889" t="str">
        <f>CONCATENATE(I889,J889)</f>
        <v>SMALLADDEQ</v>
      </c>
      <c r="B889" s="34">
        <v>46273</v>
      </c>
      <c r="C889" s="34">
        <v>46273</v>
      </c>
      <c r="D889" t="s">
        <v>35</v>
      </c>
      <c r="E889" t="s">
        <v>36</v>
      </c>
      <c r="F889" t="s">
        <v>37</v>
      </c>
      <c r="G889">
        <v>760359</v>
      </c>
      <c r="H889" t="s">
        <v>2723</v>
      </c>
      <c r="I889" t="s">
        <v>2724</v>
      </c>
      <c r="J889" t="s">
        <v>161</v>
      </c>
      <c r="O889" t="s">
        <v>2725</v>
      </c>
      <c r="P889">
        <v>18.690000000000001</v>
      </c>
      <c r="Q889">
        <v>18.690000000000001</v>
      </c>
      <c r="R889">
        <v>18.53</v>
      </c>
      <c r="S889">
        <v>18.62</v>
      </c>
      <c r="T889">
        <v>18.62</v>
      </c>
      <c r="U889">
        <v>18.57</v>
      </c>
      <c r="W889">
        <v>18.62</v>
      </c>
      <c r="Z889">
        <v>94164</v>
      </c>
      <c r="AA889">
        <v>1750187.7</v>
      </c>
      <c r="AB889">
        <v>98</v>
      </c>
      <c r="AC889" t="s">
        <v>42</v>
      </c>
      <c r="AD889">
        <v>1</v>
      </c>
    </row>
    <row r="890" spans="1:30">
      <c r="A890" t="str">
        <f>CONCATENATE(I890,J890)</f>
        <v>TOP10ADDEQ</v>
      </c>
      <c r="B890" s="34">
        <v>46273</v>
      </c>
      <c r="C890" s="34">
        <v>46273</v>
      </c>
      <c r="D890" t="s">
        <v>35</v>
      </c>
      <c r="E890" t="s">
        <v>36</v>
      </c>
      <c r="F890" t="s">
        <v>37</v>
      </c>
      <c r="G890">
        <v>25171</v>
      </c>
      <c r="H890" t="s">
        <v>2726</v>
      </c>
      <c r="I890" t="s">
        <v>2727</v>
      </c>
      <c r="J890" t="s">
        <v>161</v>
      </c>
      <c r="O890" t="s">
        <v>2728</v>
      </c>
      <c r="P890">
        <v>87.15</v>
      </c>
      <c r="Q890">
        <v>87.15</v>
      </c>
      <c r="R890">
        <v>86.55</v>
      </c>
      <c r="S890">
        <v>86.63</v>
      </c>
      <c r="T890">
        <v>86.55</v>
      </c>
      <c r="U890">
        <v>87.19</v>
      </c>
      <c r="W890">
        <v>86.64</v>
      </c>
      <c r="Z890">
        <v>278950</v>
      </c>
      <c r="AA890">
        <v>24184564.41</v>
      </c>
      <c r="AB890">
        <v>867</v>
      </c>
      <c r="AC890" t="s">
        <v>42</v>
      </c>
      <c r="AD890">
        <v>1</v>
      </c>
    </row>
    <row r="891" spans="1:30">
      <c r="A891" t="str">
        <f>CONCATENATE(I891,J891)</f>
        <v>DUCOLSM</v>
      </c>
      <c r="B891" s="34">
        <v>46273</v>
      </c>
      <c r="C891" s="34">
        <v>46273</v>
      </c>
      <c r="D891" t="s">
        <v>35</v>
      </c>
      <c r="E891" t="s">
        <v>36</v>
      </c>
      <c r="F891" t="s">
        <v>37</v>
      </c>
      <c r="G891">
        <v>13766</v>
      </c>
      <c r="H891" t="s">
        <v>2729</v>
      </c>
      <c r="I891" t="s">
        <v>2730</v>
      </c>
      <c r="J891" t="s">
        <v>267</v>
      </c>
      <c r="O891" t="s">
        <v>2731</v>
      </c>
      <c r="P891">
        <v>101</v>
      </c>
      <c r="Q891">
        <v>119.95</v>
      </c>
      <c r="R891">
        <v>101</v>
      </c>
      <c r="S891">
        <v>119.3</v>
      </c>
      <c r="T891">
        <v>119.95</v>
      </c>
      <c r="U891">
        <v>109.7</v>
      </c>
      <c r="W891">
        <v>119.3</v>
      </c>
      <c r="Z891">
        <v>36000</v>
      </c>
      <c r="AA891">
        <v>4131080</v>
      </c>
      <c r="AB891">
        <v>34</v>
      </c>
      <c r="AC891" t="s">
        <v>42</v>
      </c>
      <c r="AD891">
        <v>800</v>
      </c>
    </row>
    <row r="892" spans="1:30">
      <c r="A892" t="str">
        <f>CONCATENATE(I892,J892)</f>
        <v>DUCONEQ</v>
      </c>
      <c r="B892" s="34">
        <v>46273</v>
      </c>
      <c r="C892" s="34">
        <v>46273</v>
      </c>
      <c r="D892" t="s">
        <v>35</v>
      </c>
      <c r="E892" t="s">
        <v>36</v>
      </c>
      <c r="F892" t="s">
        <v>37</v>
      </c>
      <c r="G892">
        <v>28952</v>
      </c>
      <c r="H892" t="s">
        <v>2732</v>
      </c>
      <c r="I892" t="s">
        <v>2733</v>
      </c>
      <c r="J892" t="s">
        <v>161</v>
      </c>
      <c r="O892" t="s">
        <v>2734</v>
      </c>
      <c r="P892">
        <v>1.79</v>
      </c>
      <c r="Q892">
        <v>1.98</v>
      </c>
      <c r="R892">
        <v>1.78</v>
      </c>
      <c r="S892">
        <v>1.8</v>
      </c>
      <c r="T892">
        <v>1.8</v>
      </c>
      <c r="U892">
        <v>1.79</v>
      </c>
      <c r="W892">
        <v>1.8</v>
      </c>
      <c r="Z892">
        <v>2913978</v>
      </c>
      <c r="AA892">
        <v>5479468.0499999998</v>
      </c>
      <c r="AB892">
        <v>1643</v>
      </c>
      <c r="AC892" t="s">
        <v>42</v>
      </c>
      <c r="AD892">
        <v>1</v>
      </c>
    </row>
    <row r="893" spans="1:30">
      <c r="A893" t="str">
        <f>CONCATENATE(I893,J893)</f>
        <v>DURLAXSM</v>
      </c>
      <c r="B893" s="34">
        <v>46273</v>
      </c>
      <c r="C893" s="34">
        <v>46273</v>
      </c>
      <c r="D893" t="s">
        <v>35</v>
      </c>
      <c r="E893" t="s">
        <v>36</v>
      </c>
      <c r="F893" t="s">
        <v>37</v>
      </c>
      <c r="G893">
        <v>24164</v>
      </c>
      <c r="H893" t="s">
        <v>2735</v>
      </c>
      <c r="I893" t="s">
        <v>2736</v>
      </c>
      <c r="J893" t="s">
        <v>267</v>
      </c>
      <c r="O893" t="s">
        <v>2737</v>
      </c>
      <c r="P893">
        <v>65</v>
      </c>
      <c r="Q893">
        <v>65</v>
      </c>
      <c r="R893">
        <v>61</v>
      </c>
      <c r="S893">
        <v>64.099999999999994</v>
      </c>
      <c r="T893">
        <v>64</v>
      </c>
      <c r="U893">
        <v>65</v>
      </c>
      <c r="W893">
        <v>64.099999999999994</v>
      </c>
      <c r="Z893">
        <v>90000</v>
      </c>
      <c r="AA893">
        <v>5620700</v>
      </c>
      <c r="AB893">
        <v>39</v>
      </c>
      <c r="AC893" t="s">
        <v>42</v>
      </c>
      <c r="AD893">
        <v>2000</v>
      </c>
    </row>
    <row r="894" spans="1:30">
      <c r="A894" t="str">
        <f>CONCATENATE(I894,J894)</f>
        <v>DWARKESHEQ</v>
      </c>
      <c r="B894" s="34">
        <v>46273</v>
      </c>
      <c r="C894" s="34">
        <v>46273</v>
      </c>
      <c r="D894" t="s">
        <v>35</v>
      </c>
      <c r="E894" t="s">
        <v>36</v>
      </c>
      <c r="F894" t="s">
        <v>37</v>
      </c>
      <c r="G894">
        <v>11667</v>
      </c>
      <c r="H894" t="s">
        <v>2738</v>
      </c>
      <c r="I894" t="s">
        <v>2739</v>
      </c>
      <c r="J894" t="s">
        <v>161</v>
      </c>
      <c r="O894" t="s">
        <v>2740</v>
      </c>
      <c r="P894">
        <v>47.5</v>
      </c>
      <c r="Q894">
        <v>48.55</v>
      </c>
      <c r="R894">
        <v>46.61</v>
      </c>
      <c r="S894">
        <v>47.96</v>
      </c>
      <c r="T894">
        <v>48.35</v>
      </c>
      <c r="U894">
        <v>47.38</v>
      </c>
      <c r="W894">
        <v>47.96</v>
      </c>
      <c r="Z894">
        <v>2299108</v>
      </c>
      <c r="AA894">
        <v>109421447.65000001</v>
      </c>
      <c r="AB894">
        <v>8301</v>
      </c>
      <c r="AC894" t="s">
        <v>42</v>
      </c>
      <c r="AD894">
        <v>1</v>
      </c>
    </row>
    <row r="895" spans="1:30">
      <c r="A895" t="str">
        <f>CONCATENATE(I895,J895)</f>
        <v>DSSLEQ</v>
      </c>
      <c r="B895" s="34">
        <v>46273</v>
      </c>
      <c r="C895" s="34">
        <v>46273</v>
      </c>
      <c r="D895" t="s">
        <v>35</v>
      </c>
      <c r="E895" t="s">
        <v>36</v>
      </c>
      <c r="F895" t="s">
        <v>37</v>
      </c>
      <c r="G895">
        <v>25690</v>
      </c>
      <c r="H895" t="s">
        <v>2741</v>
      </c>
      <c r="I895" t="s">
        <v>2742</v>
      </c>
      <c r="J895" t="s">
        <v>161</v>
      </c>
      <c r="O895" t="s">
        <v>2743</v>
      </c>
      <c r="P895">
        <v>1041.3</v>
      </c>
      <c r="Q895">
        <v>1082</v>
      </c>
      <c r="R895">
        <v>1024.5999999999999</v>
      </c>
      <c r="S895">
        <v>1061.7</v>
      </c>
      <c r="T895">
        <v>1059.4000000000001</v>
      </c>
      <c r="U895">
        <v>1040.4000000000001</v>
      </c>
      <c r="W895">
        <v>1061.71</v>
      </c>
      <c r="Z895">
        <v>28453</v>
      </c>
      <c r="AA895">
        <v>30188298.699999999</v>
      </c>
      <c r="AB895">
        <v>3328</v>
      </c>
      <c r="AC895" t="s">
        <v>42</v>
      </c>
      <c r="AD895">
        <v>1</v>
      </c>
    </row>
    <row r="896" spans="1:30">
      <c r="A896" t="str">
        <f>CONCATENATE(I896,J896)</f>
        <v>DYNAMATECHEQ</v>
      </c>
      <c r="B896" s="34">
        <v>46273</v>
      </c>
      <c r="C896" s="34">
        <v>46273</v>
      </c>
      <c r="D896" t="s">
        <v>35</v>
      </c>
      <c r="E896" t="s">
        <v>36</v>
      </c>
      <c r="F896" t="s">
        <v>37</v>
      </c>
      <c r="G896">
        <v>4525</v>
      </c>
      <c r="H896" t="s">
        <v>2744</v>
      </c>
      <c r="I896" t="s">
        <v>2745</v>
      </c>
      <c r="J896" t="s">
        <v>161</v>
      </c>
      <c r="O896" t="s">
        <v>2746</v>
      </c>
      <c r="P896">
        <v>11520</v>
      </c>
      <c r="Q896">
        <v>11689</v>
      </c>
      <c r="R896">
        <v>11450</v>
      </c>
      <c r="S896">
        <v>11584</v>
      </c>
      <c r="T896">
        <v>11601</v>
      </c>
      <c r="U896">
        <v>11569</v>
      </c>
      <c r="W896">
        <v>11583.79</v>
      </c>
      <c r="Z896">
        <v>10021</v>
      </c>
      <c r="AA896">
        <v>115800940</v>
      </c>
      <c r="AB896">
        <v>3596</v>
      </c>
      <c r="AC896" t="s">
        <v>42</v>
      </c>
      <c r="AD896">
        <v>1</v>
      </c>
    </row>
    <row r="897" spans="1:30">
      <c r="A897" t="str">
        <f>CONCATENATE(I897,J897)</f>
        <v>DYCLEQ</v>
      </c>
      <c r="B897" s="34">
        <v>46273</v>
      </c>
      <c r="C897" s="34">
        <v>46273</v>
      </c>
      <c r="D897" t="s">
        <v>35</v>
      </c>
      <c r="E897" t="s">
        <v>36</v>
      </c>
      <c r="F897" t="s">
        <v>37</v>
      </c>
      <c r="G897">
        <v>10417</v>
      </c>
      <c r="H897" t="s">
        <v>2747</v>
      </c>
      <c r="I897" t="s">
        <v>2748</v>
      </c>
      <c r="J897" t="s">
        <v>161</v>
      </c>
      <c r="O897" t="s">
        <v>2749</v>
      </c>
      <c r="P897">
        <v>462.95</v>
      </c>
      <c r="Q897">
        <v>475</v>
      </c>
      <c r="R897">
        <v>452.35</v>
      </c>
      <c r="S897">
        <v>460.6</v>
      </c>
      <c r="T897">
        <v>460.5</v>
      </c>
      <c r="U897">
        <v>461.05</v>
      </c>
      <c r="W897">
        <v>460.59</v>
      </c>
      <c r="Z897">
        <v>1016331</v>
      </c>
      <c r="AA897">
        <v>473624875.75</v>
      </c>
      <c r="AB897">
        <v>25977</v>
      </c>
      <c r="AC897" t="s">
        <v>42</v>
      </c>
      <c r="AD897">
        <v>1</v>
      </c>
    </row>
    <row r="898" spans="1:30">
      <c r="A898" t="str">
        <f>CONCATENATE(I898,J898)</f>
        <v>DYNAMICST</v>
      </c>
      <c r="B898" s="34">
        <v>46273</v>
      </c>
      <c r="C898" s="34">
        <v>46273</v>
      </c>
      <c r="D898" t="s">
        <v>35</v>
      </c>
      <c r="E898" t="s">
        <v>36</v>
      </c>
      <c r="F898" t="s">
        <v>37</v>
      </c>
      <c r="G898">
        <v>6082</v>
      </c>
      <c r="H898" t="s">
        <v>2750</v>
      </c>
      <c r="I898" t="s">
        <v>2751</v>
      </c>
      <c r="J898" t="s">
        <v>328</v>
      </c>
      <c r="O898" t="s">
        <v>2752</v>
      </c>
      <c r="P898">
        <v>147.19999999999999</v>
      </c>
      <c r="Q898">
        <v>154.5</v>
      </c>
      <c r="R898">
        <v>147.19999999999999</v>
      </c>
      <c r="S898">
        <v>152.4</v>
      </c>
      <c r="T898">
        <v>152.4</v>
      </c>
      <c r="U898">
        <v>147.25</v>
      </c>
      <c r="W898">
        <v>152.4</v>
      </c>
      <c r="Z898">
        <v>9500</v>
      </c>
      <c r="AA898">
        <v>1444275</v>
      </c>
      <c r="AB898">
        <v>19</v>
      </c>
      <c r="AC898" t="s">
        <v>42</v>
      </c>
      <c r="AD898">
        <v>500</v>
      </c>
    </row>
    <row r="899" spans="1:30">
      <c r="A899" t="str">
        <f>CONCATENATE(I899,J899)</f>
        <v>DYNPROEQ</v>
      </c>
      <c r="B899" s="34">
        <v>46273</v>
      </c>
      <c r="C899" s="34">
        <v>46273</v>
      </c>
      <c r="D899" t="s">
        <v>35</v>
      </c>
      <c r="E899" t="s">
        <v>36</v>
      </c>
      <c r="F899" t="s">
        <v>37</v>
      </c>
      <c r="G899">
        <v>21314</v>
      </c>
      <c r="H899" t="s">
        <v>2753</v>
      </c>
      <c r="I899" t="s">
        <v>2754</v>
      </c>
      <c r="J899" t="s">
        <v>161</v>
      </c>
      <c r="O899" t="s">
        <v>2755</v>
      </c>
      <c r="P899">
        <v>230.3</v>
      </c>
      <c r="Q899">
        <v>238.45</v>
      </c>
      <c r="R899">
        <v>230</v>
      </c>
      <c r="S899">
        <v>233.28</v>
      </c>
      <c r="T899">
        <v>230.32</v>
      </c>
      <c r="U899">
        <v>233.2</v>
      </c>
      <c r="W899">
        <v>232.88</v>
      </c>
      <c r="Z899">
        <v>15809</v>
      </c>
      <c r="AA899">
        <v>3677943.58</v>
      </c>
      <c r="AB899">
        <v>517</v>
      </c>
      <c r="AC899" t="s">
        <v>42</v>
      </c>
      <c r="AD899">
        <v>1</v>
      </c>
    </row>
    <row r="900" spans="1:30">
      <c r="A900" t="str">
        <f>CONCATENATE(I900,J900)</f>
        <v>EFACTORSM</v>
      </c>
      <c r="B900" s="34">
        <v>46273</v>
      </c>
      <c r="C900" s="34">
        <v>46273</v>
      </c>
      <c r="D900" t="s">
        <v>35</v>
      </c>
      <c r="E900" t="s">
        <v>36</v>
      </c>
      <c r="F900" t="s">
        <v>37</v>
      </c>
      <c r="G900">
        <v>19267</v>
      </c>
      <c r="H900" t="s">
        <v>2756</v>
      </c>
      <c r="I900" t="s">
        <v>2757</v>
      </c>
      <c r="J900" t="s">
        <v>267</v>
      </c>
      <c r="O900" t="s">
        <v>2758</v>
      </c>
      <c r="P900">
        <v>175</v>
      </c>
      <c r="Q900">
        <v>175</v>
      </c>
      <c r="R900">
        <v>162.1</v>
      </c>
      <c r="S900">
        <v>168</v>
      </c>
      <c r="T900">
        <v>168</v>
      </c>
      <c r="U900">
        <v>172.55</v>
      </c>
      <c r="W900">
        <v>168</v>
      </c>
      <c r="Z900">
        <v>29200</v>
      </c>
      <c r="AA900">
        <v>4926560</v>
      </c>
      <c r="AB900">
        <v>27</v>
      </c>
      <c r="AC900" t="s">
        <v>42</v>
      </c>
      <c r="AD900">
        <v>400</v>
      </c>
    </row>
    <row r="901" spans="1:30">
      <c r="A901" t="str">
        <f>CONCATENATE(I901,J901)</f>
        <v>E2ERAILSM</v>
      </c>
      <c r="B901" s="34">
        <v>46273</v>
      </c>
      <c r="C901" s="34">
        <v>46273</v>
      </c>
      <c r="D901" t="s">
        <v>35</v>
      </c>
      <c r="E901" t="s">
        <v>36</v>
      </c>
      <c r="F901" t="s">
        <v>37</v>
      </c>
      <c r="G901">
        <v>760531</v>
      </c>
      <c r="H901" t="s">
        <v>2759</v>
      </c>
      <c r="I901" t="s">
        <v>2760</v>
      </c>
      <c r="J901" t="s">
        <v>267</v>
      </c>
      <c r="O901" t="s">
        <v>2761</v>
      </c>
      <c r="P901">
        <v>351</v>
      </c>
      <c r="Q901">
        <v>386</v>
      </c>
      <c r="R901">
        <v>341.3</v>
      </c>
      <c r="S901">
        <v>374.95</v>
      </c>
      <c r="T901">
        <v>365</v>
      </c>
      <c r="U901">
        <v>350.15</v>
      </c>
      <c r="W901">
        <v>374.95</v>
      </c>
      <c r="Z901">
        <v>401600</v>
      </c>
      <c r="AA901">
        <v>148690120</v>
      </c>
      <c r="AB901">
        <v>346</v>
      </c>
      <c r="AC901" t="s">
        <v>42</v>
      </c>
      <c r="AD901">
        <v>800</v>
      </c>
    </row>
    <row r="902" spans="1:30">
      <c r="A902" t="str">
        <f>CONCATENATE(I902,J902)</f>
        <v>E2EBE</v>
      </c>
      <c r="B902" s="34">
        <v>46273</v>
      </c>
      <c r="C902" s="34">
        <v>46273</v>
      </c>
      <c r="D902" t="s">
        <v>35</v>
      </c>
      <c r="E902" t="s">
        <v>36</v>
      </c>
      <c r="F902" t="s">
        <v>37</v>
      </c>
      <c r="G902">
        <v>8940</v>
      </c>
      <c r="H902" t="s">
        <v>2762</v>
      </c>
      <c r="I902" t="s">
        <v>2763</v>
      </c>
      <c r="J902" t="s">
        <v>183</v>
      </c>
      <c r="O902" t="s">
        <v>2764</v>
      </c>
      <c r="P902">
        <v>618.75</v>
      </c>
      <c r="Q902">
        <v>627.70000000000005</v>
      </c>
      <c r="R902">
        <v>601</v>
      </c>
      <c r="S902">
        <v>617.6</v>
      </c>
      <c r="T902">
        <v>617.9</v>
      </c>
      <c r="U902">
        <v>630.20000000000005</v>
      </c>
      <c r="W902">
        <v>617.66999999999996</v>
      </c>
      <c r="Z902">
        <v>909321</v>
      </c>
      <c r="AA902">
        <v>559756649.29999995</v>
      </c>
      <c r="AB902">
        <v>16137</v>
      </c>
      <c r="AC902" t="s">
        <v>42</v>
      </c>
      <c r="AD902">
        <v>1</v>
      </c>
    </row>
    <row r="903" spans="1:30">
      <c r="A903" t="str">
        <f>CONCATENATE(I903,J903)</f>
        <v>EASTWESTEQ</v>
      </c>
      <c r="B903" s="34">
        <v>46273</v>
      </c>
      <c r="C903" s="34">
        <v>46273</v>
      </c>
      <c r="D903" t="s">
        <v>35</v>
      </c>
      <c r="E903" t="s">
        <v>36</v>
      </c>
      <c r="F903" t="s">
        <v>37</v>
      </c>
      <c r="G903">
        <v>765065</v>
      </c>
      <c r="H903" t="s">
        <v>2765</v>
      </c>
      <c r="I903" t="s">
        <v>2766</v>
      </c>
      <c r="J903" t="s">
        <v>161</v>
      </c>
      <c r="O903" t="s">
        <v>2767</v>
      </c>
      <c r="P903">
        <v>2.31</v>
      </c>
      <c r="Q903">
        <v>2.4</v>
      </c>
      <c r="R903">
        <v>2.2799999999999998</v>
      </c>
      <c r="S903">
        <v>2.36</v>
      </c>
      <c r="T903">
        <v>2.37</v>
      </c>
      <c r="U903">
        <v>2.36</v>
      </c>
      <c r="W903">
        <v>2.36</v>
      </c>
      <c r="Z903">
        <v>43991</v>
      </c>
      <c r="AA903">
        <v>102223.21</v>
      </c>
      <c r="AB903">
        <v>122</v>
      </c>
      <c r="AC903" t="s">
        <v>42</v>
      </c>
      <c r="AD903">
        <v>1</v>
      </c>
    </row>
    <row r="904" spans="1:30">
      <c r="A904" t="str">
        <f>CONCATENATE(I904,J904)</f>
        <v>EASTSILKBE</v>
      </c>
      <c r="B904" s="34">
        <v>46273</v>
      </c>
      <c r="C904" s="34">
        <v>46273</v>
      </c>
      <c r="D904" t="s">
        <v>35</v>
      </c>
      <c r="E904" t="s">
        <v>36</v>
      </c>
      <c r="F904" t="s">
        <v>37</v>
      </c>
      <c r="G904">
        <v>9769</v>
      </c>
      <c r="H904" t="s">
        <v>2768</v>
      </c>
      <c r="I904" t="s">
        <v>2769</v>
      </c>
      <c r="J904" t="s">
        <v>183</v>
      </c>
      <c r="O904" t="s">
        <v>2770</v>
      </c>
      <c r="P904">
        <v>58.04</v>
      </c>
      <c r="Q904">
        <v>58.04</v>
      </c>
      <c r="R904">
        <v>56</v>
      </c>
      <c r="S904">
        <v>57</v>
      </c>
      <c r="T904">
        <v>57</v>
      </c>
      <c r="U904">
        <v>58.04</v>
      </c>
      <c r="W904">
        <v>57.24</v>
      </c>
      <c r="Z904">
        <v>314</v>
      </c>
      <c r="AA904">
        <v>17772.95</v>
      </c>
      <c r="AB904">
        <v>25</v>
      </c>
      <c r="AC904" t="s">
        <v>42</v>
      </c>
      <c r="AD904">
        <v>1</v>
      </c>
    </row>
    <row r="905" spans="1:30">
      <c r="A905" t="str">
        <f>CONCATENATE(I905,J905)</f>
        <v>EASEMYTRIPEQ</v>
      </c>
      <c r="B905" s="34">
        <v>46273</v>
      </c>
      <c r="C905" s="34">
        <v>46273</v>
      </c>
      <c r="D905" t="s">
        <v>35</v>
      </c>
      <c r="E905" t="s">
        <v>36</v>
      </c>
      <c r="F905" t="s">
        <v>37</v>
      </c>
      <c r="G905">
        <v>2792</v>
      </c>
      <c r="H905" t="s">
        <v>2771</v>
      </c>
      <c r="I905" t="s">
        <v>2772</v>
      </c>
      <c r="J905" t="s">
        <v>161</v>
      </c>
      <c r="O905" t="s">
        <v>2773</v>
      </c>
      <c r="P905">
        <v>5.98</v>
      </c>
      <c r="Q905">
        <v>6.08</v>
      </c>
      <c r="R905">
        <v>5.88</v>
      </c>
      <c r="S905">
        <v>5.94</v>
      </c>
      <c r="T905">
        <v>5.97</v>
      </c>
      <c r="U905">
        <v>6.01</v>
      </c>
      <c r="W905">
        <v>5.94</v>
      </c>
      <c r="Z905">
        <v>28001359</v>
      </c>
      <c r="AA905">
        <v>166552449.08000001</v>
      </c>
      <c r="AB905">
        <v>10025</v>
      </c>
      <c r="AC905" t="s">
        <v>42</v>
      </c>
      <c r="AD905">
        <v>1</v>
      </c>
    </row>
    <row r="906" spans="1:30">
      <c r="A906" t="str">
        <f>CONCATENATE(I906,J906)</f>
        <v>EBIXBE</v>
      </c>
      <c r="B906" s="34">
        <v>46273</v>
      </c>
      <c r="C906" s="34">
        <v>46273</v>
      </c>
      <c r="D906" t="s">
        <v>35</v>
      </c>
      <c r="E906" t="s">
        <v>36</v>
      </c>
      <c r="F906" t="s">
        <v>37</v>
      </c>
      <c r="G906">
        <v>765073</v>
      </c>
      <c r="H906" t="s">
        <v>2774</v>
      </c>
      <c r="I906" t="s">
        <v>2775</v>
      </c>
      <c r="J906" t="s">
        <v>183</v>
      </c>
      <c r="O906" t="s">
        <v>2776</v>
      </c>
      <c r="P906">
        <v>20.3</v>
      </c>
      <c r="Q906">
        <v>20.3</v>
      </c>
      <c r="R906">
        <v>19.52</v>
      </c>
      <c r="S906">
        <v>19.77</v>
      </c>
      <c r="T906">
        <v>20.05</v>
      </c>
      <c r="U906">
        <v>20.49</v>
      </c>
      <c r="W906">
        <v>19.77</v>
      </c>
      <c r="Z906">
        <v>16460</v>
      </c>
      <c r="AA906">
        <v>328674.27</v>
      </c>
      <c r="AB906">
        <v>93</v>
      </c>
      <c r="AC906" t="s">
        <v>42</v>
      </c>
      <c r="AD906">
        <v>1</v>
      </c>
    </row>
    <row r="907" spans="1:30">
      <c r="A907" t="str">
        <f>CONCATENATE(I907,J907)</f>
        <v>ECLERXEQ</v>
      </c>
      <c r="B907" s="34">
        <v>46273</v>
      </c>
      <c r="C907" s="34">
        <v>46273</v>
      </c>
      <c r="D907" t="s">
        <v>35</v>
      </c>
      <c r="E907" t="s">
        <v>36</v>
      </c>
      <c r="F907" t="s">
        <v>37</v>
      </c>
      <c r="G907">
        <v>15179</v>
      </c>
      <c r="H907" t="s">
        <v>2777</v>
      </c>
      <c r="I907" t="s">
        <v>2778</v>
      </c>
      <c r="J907" t="s">
        <v>161</v>
      </c>
      <c r="O907" t="s">
        <v>2779</v>
      </c>
      <c r="P907">
        <v>1907.8</v>
      </c>
      <c r="Q907">
        <v>1959</v>
      </c>
      <c r="R907">
        <v>1888</v>
      </c>
      <c r="S907">
        <v>1945.1</v>
      </c>
      <c r="T907">
        <v>1940.3</v>
      </c>
      <c r="U907">
        <v>1888.8</v>
      </c>
      <c r="W907">
        <v>1945.07</v>
      </c>
      <c r="Z907">
        <v>168424</v>
      </c>
      <c r="AA907">
        <v>325324318.89999998</v>
      </c>
      <c r="AB907">
        <v>17850</v>
      </c>
      <c r="AC907" t="s">
        <v>42</v>
      </c>
      <c r="AD907">
        <v>1</v>
      </c>
    </row>
    <row r="908" spans="1:30">
      <c r="A908" t="str">
        <f>CONCATENATE(I908,J908)</f>
        <v>ECORECOEQ</v>
      </c>
      <c r="B908" s="34">
        <v>46273</v>
      </c>
      <c r="C908" s="34">
        <v>46273</v>
      </c>
      <c r="D908" t="s">
        <v>35</v>
      </c>
      <c r="E908" t="s">
        <v>36</v>
      </c>
      <c r="F908" t="s">
        <v>37</v>
      </c>
      <c r="G908">
        <v>764663</v>
      </c>
      <c r="H908" t="s">
        <v>2780</v>
      </c>
      <c r="I908" t="s">
        <v>2781</v>
      </c>
      <c r="J908" t="s">
        <v>161</v>
      </c>
      <c r="O908" t="s">
        <v>2782</v>
      </c>
      <c r="P908">
        <v>451.05</v>
      </c>
      <c r="Q908">
        <v>464.65</v>
      </c>
      <c r="R908">
        <v>446.05</v>
      </c>
      <c r="S908">
        <v>450.4</v>
      </c>
      <c r="T908">
        <v>449.85</v>
      </c>
      <c r="U908">
        <v>456</v>
      </c>
      <c r="W908">
        <v>450.41</v>
      </c>
      <c r="Z908">
        <v>10266</v>
      </c>
      <c r="AA908">
        <v>4638557.25</v>
      </c>
      <c r="AB908">
        <v>796</v>
      </c>
      <c r="AC908" t="s">
        <v>42</v>
      </c>
      <c r="AD908">
        <v>1</v>
      </c>
    </row>
    <row r="909" spans="1:30">
      <c r="A909" t="str">
        <f>CONCATENATE(I909,J909)</f>
        <v>ECOLINEST</v>
      </c>
      <c r="B909" s="34">
        <v>46273</v>
      </c>
      <c r="C909" s="34">
        <v>46273</v>
      </c>
      <c r="D909" t="s">
        <v>35</v>
      </c>
      <c r="E909" t="s">
        <v>36</v>
      </c>
      <c r="F909" t="s">
        <v>37</v>
      </c>
      <c r="G909">
        <v>759964</v>
      </c>
      <c r="H909" t="s">
        <v>2783</v>
      </c>
      <c r="I909" t="s">
        <v>2784</v>
      </c>
      <c r="J909" t="s">
        <v>328</v>
      </c>
      <c r="O909" t="s">
        <v>2785</v>
      </c>
      <c r="P909">
        <v>170.85</v>
      </c>
      <c r="Q909">
        <v>175</v>
      </c>
      <c r="R909">
        <v>170.8</v>
      </c>
      <c r="S909">
        <v>175</v>
      </c>
      <c r="T909">
        <v>175</v>
      </c>
      <c r="U909">
        <v>175.15</v>
      </c>
      <c r="W909">
        <v>175</v>
      </c>
      <c r="Z909">
        <v>22000</v>
      </c>
      <c r="AA909">
        <v>3830250</v>
      </c>
      <c r="AB909">
        <v>17</v>
      </c>
      <c r="AC909" t="s">
        <v>42</v>
      </c>
      <c r="AD909">
        <v>1000</v>
      </c>
    </row>
    <row r="910" spans="1:30">
      <c r="A910" t="str">
        <f>CONCATENATE(I910,J910)</f>
        <v>ECOSMOBLTYEQ</v>
      </c>
      <c r="B910" s="34">
        <v>46273</v>
      </c>
      <c r="C910" s="34">
        <v>46273</v>
      </c>
      <c r="D910" t="s">
        <v>35</v>
      </c>
      <c r="E910" t="s">
        <v>36</v>
      </c>
      <c r="F910" t="s">
        <v>37</v>
      </c>
      <c r="G910">
        <v>25060</v>
      </c>
      <c r="H910" t="s">
        <v>2786</v>
      </c>
      <c r="I910" t="s">
        <v>2787</v>
      </c>
      <c r="J910" t="s">
        <v>161</v>
      </c>
      <c r="O910" t="s">
        <v>2788</v>
      </c>
      <c r="P910">
        <v>112.68</v>
      </c>
      <c r="Q910">
        <v>113.5</v>
      </c>
      <c r="R910">
        <v>111.5</v>
      </c>
      <c r="S910">
        <v>111.87</v>
      </c>
      <c r="T910">
        <v>111.69</v>
      </c>
      <c r="U910">
        <v>111.75</v>
      </c>
      <c r="W910">
        <v>111.87</v>
      </c>
      <c r="Z910">
        <v>40799</v>
      </c>
      <c r="AA910">
        <v>4577173.66</v>
      </c>
      <c r="AB910">
        <v>820</v>
      </c>
      <c r="AC910" t="s">
        <v>42</v>
      </c>
      <c r="AD910">
        <v>1</v>
      </c>
    </row>
    <row r="911" spans="1:30">
      <c r="A911" t="str">
        <f>CONCATENATE(I911,J911)</f>
        <v>BBETF0432EQ</v>
      </c>
      <c r="B911" s="34">
        <v>46273</v>
      </c>
      <c r="C911" s="34">
        <v>46273</v>
      </c>
      <c r="D911" t="s">
        <v>35</v>
      </c>
      <c r="E911" t="s">
        <v>36</v>
      </c>
      <c r="F911" t="s">
        <v>37</v>
      </c>
      <c r="G911">
        <v>7196</v>
      </c>
      <c r="H911" t="s">
        <v>2789</v>
      </c>
      <c r="I911" t="s">
        <v>2790</v>
      </c>
      <c r="J911" t="s">
        <v>161</v>
      </c>
      <c r="O911" t="s">
        <v>2791</v>
      </c>
      <c r="P911">
        <v>1347.99</v>
      </c>
      <c r="Q911">
        <v>1349.89</v>
      </c>
      <c r="R911">
        <v>1345</v>
      </c>
      <c r="S911">
        <v>1345.75</v>
      </c>
      <c r="T911">
        <v>1347</v>
      </c>
      <c r="U911">
        <v>1346.06</v>
      </c>
      <c r="W911">
        <v>1345.81</v>
      </c>
      <c r="Z911">
        <v>1247</v>
      </c>
      <c r="AA911">
        <v>1679767.87</v>
      </c>
      <c r="AB911">
        <v>51</v>
      </c>
      <c r="AC911" t="s">
        <v>42</v>
      </c>
      <c r="AD911">
        <v>1</v>
      </c>
    </row>
    <row r="912" spans="1:30">
      <c r="A912" t="str">
        <f>CONCATENATE(I912,J912)</f>
        <v>EBANK10EQ</v>
      </c>
      <c r="B912" s="34">
        <v>46273</v>
      </c>
      <c r="C912" s="34">
        <v>46273</v>
      </c>
      <c r="D912" t="s">
        <v>35</v>
      </c>
      <c r="E912" t="s">
        <v>36</v>
      </c>
      <c r="F912" t="s">
        <v>37</v>
      </c>
      <c r="G912">
        <v>764378</v>
      </c>
      <c r="H912" t="s">
        <v>2792</v>
      </c>
      <c r="I912" t="s">
        <v>2793</v>
      </c>
      <c r="J912" t="s">
        <v>161</v>
      </c>
      <c r="O912" t="s">
        <v>2794</v>
      </c>
      <c r="P912">
        <v>16.72</v>
      </c>
      <c r="Q912">
        <v>16.72</v>
      </c>
      <c r="R912">
        <v>16.5</v>
      </c>
      <c r="S912">
        <v>16.54</v>
      </c>
      <c r="T912">
        <v>16.5</v>
      </c>
      <c r="U912">
        <v>16.649999999999999</v>
      </c>
      <c r="W912">
        <v>16.54</v>
      </c>
      <c r="Z912">
        <v>2754</v>
      </c>
      <c r="AA912">
        <v>45750.1</v>
      </c>
      <c r="AB912">
        <v>19</v>
      </c>
      <c r="AC912" t="s">
        <v>42</v>
      </c>
      <c r="AD912">
        <v>1</v>
      </c>
    </row>
    <row r="913" spans="1:30">
      <c r="A913" t="str">
        <f>CONCATENATE(I913,J913)</f>
        <v>EBANKNIFTYEQ</v>
      </c>
      <c r="B913" s="34">
        <v>46273</v>
      </c>
      <c r="C913" s="34">
        <v>46273</v>
      </c>
      <c r="D913" t="s">
        <v>35</v>
      </c>
      <c r="E913" t="s">
        <v>36</v>
      </c>
      <c r="F913" t="s">
        <v>37</v>
      </c>
      <c r="G913">
        <v>25258</v>
      </c>
      <c r="H913" t="s">
        <v>2795</v>
      </c>
      <c r="I913" t="s">
        <v>2796</v>
      </c>
      <c r="J913" t="s">
        <v>161</v>
      </c>
      <c r="O913" t="s">
        <v>2797</v>
      </c>
      <c r="P913">
        <v>57.62</v>
      </c>
      <c r="Q913">
        <v>57.67</v>
      </c>
      <c r="R913">
        <v>57.23</v>
      </c>
      <c r="S913">
        <v>57.48</v>
      </c>
      <c r="T913">
        <v>57.48</v>
      </c>
      <c r="U913">
        <v>57.78</v>
      </c>
      <c r="W913">
        <v>57.48</v>
      </c>
      <c r="Z913">
        <v>177</v>
      </c>
      <c r="AA913">
        <v>10174.15</v>
      </c>
      <c r="AB913">
        <v>15</v>
      </c>
      <c r="AC913" t="s">
        <v>42</v>
      </c>
      <c r="AD913">
        <v>1</v>
      </c>
    </row>
    <row r="914" spans="1:30">
      <c r="A914" t="str">
        <f>CONCATENATE(I914,J914)</f>
        <v>EBBETF0430EQ</v>
      </c>
      <c r="B914" s="34">
        <v>46273</v>
      </c>
      <c r="C914" s="34">
        <v>46273</v>
      </c>
      <c r="D914" t="s">
        <v>35</v>
      </c>
      <c r="E914" t="s">
        <v>36</v>
      </c>
      <c r="F914" t="s">
        <v>37</v>
      </c>
      <c r="G914">
        <v>16253</v>
      </c>
      <c r="H914" t="s">
        <v>2798</v>
      </c>
      <c r="I914" t="s">
        <v>2799</v>
      </c>
      <c r="J914" t="s">
        <v>161</v>
      </c>
      <c r="O914" t="s">
        <v>2800</v>
      </c>
      <c r="P914">
        <v>1614.88</v>
      </c>
      <c r="Q914">
        <v>1618.84</v>
      </c>
      <c r="R914">
        <v>1610</v>
      </c>
      <c r="S914">
        <v>1613.61</v>
      </c>
      <c r="T914">
        <v>1611.81</v>
      </c>
      <c r="U914">
        <v>1612.3</v>
      </c>
      <c r="W914">
        <v>1613.63</v>
      </c>
      <c r="Z914">
        <v>12172</v>
      </c>
      <c r="AA914">
        <v>19672091.93</v>
      </c>
      <c r="AB914">
        <v>461</v>
      </c>
      <c r="AC914" t="s">
        <v>42</v>
      </c>
      <c r="AD914">
        <v>1</v>
      </c>
    </row>
    <row r="915" spans="1:30">
      <c r="A915" t="str">
        <f>CONCATENATE(I915,J915)</f>
        <v>EBBETF0431EQ</v>
      </c>
      <c r="B915" s="34">
        <v>46273</v>
      </c>
      <c r="C915" s="34">
        <v>46273</v>
      </c>
      <c r="D915" t="s">
        <v>35</v>
      </c>
      <c r="E915" t="s">
        <v>36</v>
      </c>
      <c r="F915" t="s">
        <v>37</v>
      </c>
      <c r="G915">
        <v>22239</v>
      </c>
      <c r="H915" t="s">
        <v>2801</v>
      </c>
      <c r="I915" t="s">
        <v>2802</v>
      </c>
      <c r="J915" t="s">
        <v>161</v>
      </c>
      <c r="O915" t="s">
        <v>2803</v>
      </c>
      <c r="P915">
        <v>1439.51</v>
      </c>
      <c r="Q915">
        <v>1440.99</v>
      </c>
      <c r="R915">
        <v>1432.02</v>
      </c>
      <c r="S915">
        <v>1435.18</v>
      </c>
      <c r="T915">
        <v>1432.02</v>
      </c>
      <c r="U915">
        <v>1435.08</v>
      </c>
      <c r="W915">
        <v>1435.18</v>
      </c>
      <c r="Z915">
        <v>4062</v>
      </c>
      <c r="AA915">
        <v>5832854.4199999999</v>
      </c>
      <c r="AB915">
        <v>150</v>
      </c>
      <c r="AC915" t="s">
        <v>42</v>
      </c>
      <c r="AD915">
        <v>1</v>
      </c>
    </row>
    <row r="916" spans="1:30">
      <c r="A916" t="str">
        <f>CONCATENATE(I916,J916)</f>
        <v>EBBETF0433EQ</v>
      </c>
      <c r="B916" s="34">
        <v>46273</v>
      </c>
      <c r="C916" s="34">
        <v>46273</v>
      </c>
      <c r="D916" t="s">
        <v>35</v>
      </c>
      <c r="E916" t="s">
        <v>36</v>
      </c>
      <c r="F916" t="s">
        <v>37</v>
      </c>
      <c r="G916">
        <v>13139</v>
      </c>
      <c r="H916" t="s">
        <v>2804</v>
      </c>
      <c r="I916" t="s">
        <v>2805</v>
      </c>
      <c r="J916" t="s">
        <v>161</v>
      </c>
      <c r="O916" t="s">
        <v>2806</v>
      </c>
      <c r="P916">
        <v>1312.56</v>
      </c>
      <c r="Q916">
        <v>1312.97</v>
      </c>
      <c r="R916">
        <v>1305</v>
      </c>
      <c r="S916">
        <v>1306.94</v>
      </c>
      <c r="T916">
        <v>1306</v>
      </c>
      <c r="U916">
        <v>1310.01</v>
      </c>
      <c r="W916">
        <v>1306.94</v>
      </c>
      <c r="Z916">
        <v>19196</v>
      </c>
      <c r="AA916">
        <v>25091752.600000001</v>
      </c>
      <c r="AB916">
        <v>157</v>
      </c>
      <c r="AC916" t="s">
        <v>42</v>
      </c>
      <c r="AD916">
        <v>1</v>
      </c>
    </row>
    <row r="917" spans="1:30">
      <c r="A917" t="str">
        <f>CONCATENATE(I917,J917)</f>
        <v>ECAPINSUREEQ</v>
      </c>
      <c r="B917" s="34">
        <v>46273</v>
      </c>
      <c r="C917" s="34">
        <v>46273</v>
      </c>
      <c r="D917" t="s">
        <v>35</v>
      </c>
      <c r="E917" t="s">
        <v>36</v>
      </c>
      <c r="F917" t="s">
        <v>37</v>
      </c>
      <c r="G917">
        <v>29019</v>
      </c>
      <c r="H917" t="s">
        <v>2807</v>
      </c>
      <c r="I917" t="s">
        <v>2808</v>
      </c>
      <c r="J917" t="s">
        <v>161</v>
      </c>
      <c r="O917" t="s">
        <v>2809</v>
      </c>
      <c r="P917">
        <v>24.01</v>
      </c>
      <c r="Q917">
        <v>24.01</v>
      </c>
      <c r="R917">
        <v>23.65</v>
      </c>
      <c r="S917">
        <v>23.73</v>
      </c>
      <c r="T917">
        <v>23.76</v>
      </c>
      <c r="U917">
        <v>23.9</v>
      </c>
      <c r="W917">
        <v>23.73</v>
      </c>
      <c r="Z917">
        <v>23253</v>
      </c>
      <c r="AA917">
        <v>551278.73</v>
      </c>
      <c r="AB917">
        <v>258</v>
      </c>
      <c r="AC917" t="s">
        <v>42</v>
      </c>
      <c r="AD917">
        <v>1</v>
      </c>
    </row>
    <row r="918" spans="1:30">
      <c r="A918" t="str">
        <f>CONCATENATE(I918,J918)</f>
        <v>EGOLDEQ</v>
      </c>
      <c r="B918" s="34">
        <v>46273</v>
      </c>
      <c r="C918" s="34">
        <v>46273</v>
      </c>
      <c r="D918" t="s">
        <v>35</v>
      </c>
      <c r="E918" t="s">
        <v>36</v>
      </c>
      <c r="F918" t="s">
        <v>37</v>
      </c>
      <c r="G918">
        <v>19933</v>
      </c>
      <c r="H918" t="s">
        <v>2810</v>
      </c>
      <c r="I918" t="s">
        <v>2811</v>
      </c>
      <c r="J918" t="s">
        <v>161</v>
      </c>
      <c r="O918" t="s">
        <v>2812</v>
      </c>
      <c r="P918">
        <v>154.4</v>
      </c>
      <c r="Q918">
        <v>154.4</v>
      </c>
      <c r="R918">
        <v>151.30000000000001</v>
      </c>
      <c r="S918">
        <v>152.25</v>
      </c>
      <c r="T918">
        <v>151.94999999999999</v>
      </c>
      <c r="U918">
        <v>151.94999999999999</v>
      </c>
      <c r="W918">
        <v>152.25</v>
      </c>
      <c r="Z918">
        <v>41468</v>
      </c>
      <c r="AA918">
        <v>6321316.4000000004</v>
      </c>
      <c r="AB918">
        <v>480</v>
      </c>
      <c r="AC918" t="s">
        <v>42</v>
      </c>
      <c r="AD918">
        <v>1</v>
      </c>
    </row>
    <row r="919" spans="1:30">
      <c r="A919" t="str">
        <f>CONCATENATE(I919,J919)</f>
        <v>ELIQUIDEQ</v>
      </c>
      <c r="B919" s="34">
        <v>46273</v>
      </c>
      <c r="C919" s="34">
        <v>46273</v>
      </c>
      <c r="D919" t="s">
        <v>35</v>
      </c>
      <c r="E919" t="s">
        <v>36</v>
      </c>
      <c r="F919" t="s">
        <v>37</v>
      </c>
      <c r="G919">
        <v>759466</v>
      </c>
      <c r="H919" t="s">
        <v>2813</v>
      </c>
      <c r="I919" t="s">
        <v>2814</v>
      </c>
      <c r="J919" t="s">
        <v>161</v>
      </c>
      <c r="O919" t="s">
        <v>2815</v>
      </c>
      <c r="P919">
        <v>1046.8399999999999</v>
      </c>
      <c r="Q919">
        <v>1046.8399999999999</v>
      </c>
      <c r="R919">
        <v>1046.82</v>
      </c>
      <c r="S919">
        <v>1046.8399999999999</v>
      </c>
      <c r="T919">
        <v>1046.8399999999999</v>
      </c>
      <c r="U919">
        <v>1046.71</v>
      </c>
      <c r="W919">
        <v>1046.8399999999999</v>
      </c>
      <c r="Z919">
        <v>60179</v>
      </c>
      <c r="AA919">
        <v>62997228.340000004</v>
      </c>
      <c r="AB919">
        <v>35</v>
      </c>
      <c r="AC919" t="s">
        <v>42</v>
      </c>
      <c r="AD919">
        <v>1</v>
      </c>
    </row>
    <row r="920" spans="1:30">
      <c r="A920" t="str">
        <f>CONCATENATE(I920,J920)</f>
        <v>ELM250EQ</v>
      </c>
      <c r="B920" s="34">
        <v>46273</v>
      </c>
      <c r="C920" s="34">
        <v>46273</v>
      </c>
      <c r="D920" t="s">
        <v>35</v>
      </c>
      <c r="E920" t="s">
        <v>36</v>
      </c>
      <c r="F920" t="s">
        <v>37</v>
      </c>
      <c r="G920">
        <v>758952</v>
      </c>
      <c r="H920" t="s">
        <v>2816</v>
      </c>
      <c r="I920" t="s">
        <v>2817</v>
      </c>
      <c r="J920" t="s">
        <v>161</v>
      </c>
      <c r="O920" t="s">
        <v>2818</v>
      </c>
      <c r="P920">
        <v>16.739999999999998</v>
      </c>
      <c r="Q920">
        <v>16.760000000000002</v>
      </c>
      <c r="R920">
        <v>16.27</v>
      </c>
      <c r="S920">
        <v>16.47</v>
      </c>
      <c r="T920">
        <v>16.57</v>
      </c>
      <c r="U920">
        <v>16.41</v>
      </c>
      <c r="W920">
        <v>16.47</v>
      </c>
      <c r="Z920">
        <v>107056</v>
      </c>
      <c r="AA920">
        <v>1767012.19</v>
      </c>
      <c r="AB920">
        <v>537</v>
      </c>
      <c r="AC920" t="s">
        <v>42</v>
      </c>
      <c r="AD920">
        <v>1</v>
      </c>
    </row>
    <row r="921" spans="1:30">
      <c r="A921" t="str">
        <f>CONCATENATE(I921,J921)</f>
        <v>ELMDIVEQ</v>
      </c>
      <c r="B921" s="34">
        <v>46273</v>
      </c>
      <c r="C921" s="34">
        <v>46273</v>
      </c>
      <c r="D921" t="s">
        <v>35</v>
      </c>
      <c r="E921" t="s">
        <v>36</v>
      </c>
      <c r="F921" t="s">
        <v>37</v>
      </c>
      <c r="G921">
        <v>764367</v>
      </c>
      <c r="H921" t="s">
        <v>2819</v>
      </c>
      <c r="I921" t="s">
        <v>2820</v>
      </c>
      <c r="J921" t="s">
        <v>161</v>
      </c>
      <c r="O921" t="s">
        <v>2821</v>
      </c>
      <c r="P921">
        <v>36.24</v>
      </c>
      <c r="Q921">
        <v>36.24</v>
      </c>
      <c r="R921">
        <v>36.04</v>
      </c>
      <c r="S921">
        <v>36.130000000000003</v>
      </c>
      <c r="T921">
        <v>36.22</v>
      </c>
      <c r="U921">
        <v>36.26</v>
      </c>
      <c r="W921">
        <v>36.17</v>
      </c>
      <c r="Z921">
        <v>7</v>
      </c>
      <c r="AA921">
        <v>253.46</v>
      </c>
      <c r="AB921">
        <v>4</v>
      </c>
      <c r="AC921" t="s">
        <v>42</v>
      </c>
      <c r="AD921">
        <v>1</v>
      </c>
    </row>
    <row r="922" spans="1:30">
      <c r="A922" t="str">
        <f>CONCATENATE(I922,J922)</f>
        <v>EMETALEQ</v>
      </c>
      <c r="B922" s="34">
        <v>46273</v>
      </c>
      <c r="C922" s="34">
        <v>46273</v>
      </c>
      <c r="D922" t="s">
        <v>35</v>
      </c>
      <c r="E922" t="s">
        <v>36</v>
      </c>
      <c r="F922" t="s">
        <v>37</v>
      </c>
      <c r="G922">
        <v>764288</v>
      </c>
      <c r="H922" t="s">
        <v>2822</v>
      </c>
      <c r="I922" t="s">
        <v>2823</v>
      </c>
      <c r="J922" t="s">
        <v>161</v>
      </c>
      <c r="O922" t="s">
        <v>2824</v>
      </c>
      <c r="P922">
        <v>13.23</v>
      </c>
      <c r="Q922">
        <v>13.29</v>
      </c>
      <c r="R922">
        <v>13.13</v>
      </c>
      <c r="S922">
        <v>13.2</v>
      </c>
      <c r="T922">
        <v>13.27</v>
      </c>
      <c r="U922">
        <v>13.17</v>
      </c>
      <c r="W922">
        <v>13.2</v>
      </c>
      <c r="Z922">
        <v>6040</v>
      </c>
      <c r="AA922">
        <v>79604.12</v>
      </c>
      <c r="AB922">
        <v>21</v>
      </c>
      <c r="AC922" t="s">
        <v>42</v>
      </c>
      <c r="AD922">
        <v>1</v>
      </c>
    </row>
    <row r="923" spans="1:30">
      <c r="A923" t="str">
        <f>CONCATENATE(I923,J923)</f>
        <v>EMULTIMQEQ</v>
      </c>
      <c r="B923" s="34">
        <v>46273</v>
      </c>
      <c r="C923" s="34">
        <v>46273</v>
      </c>
      <c r="D923" t="s">
        <v>35</v>
      </c>
      <c r="E923" t="s">
        <v>36</v>
      </c>
      <c r="F923" t="s">
        <v>37</v>
      </c>
      <c r="G923">
        <v>25996</v>
      </c>
      <c r="H923" t="s">
        <v>2825</v>
      </c>
      <c r="I923" t="s">
        <v>2826</v>
      </c>
      <c r="J923" t="s">
        <v>161</v>
      </c>
      <c r="O923" t="s">
        <v>2827</v>
      </c>
      <c r="P923">
        <v>41.79</v>
      </c>
      <c r="Q923">
        <v>42.14</v>
      </c>
      <c r="R923">
        <v>41.72</v>
      </c>
      <c r="S923">
        <v>42.09</v>
      </c>
      <c r="T923">
        <v>42.03</v>
      </c>
      <c r="U923">
        <v>42</v>
      </c>
      <c r="W923">
        <v>42.09</v>
      </c>
      <c r="Z923">
        <v>12316</v>
      </c>
      <c r="AA923">
        <v>517978.48</v>
      </c>
      <c r="AB923">
        <v>132</v>
      </c>
      <c r="AC923" t="s">
        <v>42</v>
      </c>
      <c r="AD923">
        <v>1</v>
      </c>
    </row>
    <row r="924" spans="1:30">
      <c r="A924" t="str">
        <f>CONCATENATE(I924,J924)</f>
        <v>ENEXT50EQ</v>
      </c>
      <c r="B924" s="34">
        <v>46273</v>
      </c>
      <c r="C924" s="34">
        <v>46273</v>
      </c>
      <c r="D924" t="s">
        <v>35</v>
      </c>
      <c r="E924" t="s">
        <v>36</v>
      </c>
      <c r="F924" t="s">
        <v>37</v>
      </c>
      <c r="G924">
        <v>763540</v>
      </c>
      <c r="H924" t="s">
        <v>2828</v>
      </c>
      <c r="I924" t="s">
        <v>2829</v>
      </c>
      <c r="J924" t="s">
        <v>161</v>
      </c>
      <c r="O924" t="s">
        <v>2830</v>
      </c>
      <c r="P924">
        <v>72.27</v>
      </c>
      <c r="Q924">
        <v>72.86</v>
      </c>
      <c r="R924">
        <v>72.27</v>
      </c>
      <c r="S924">
        <v>72.849999999999994</v>
      </c>
      <c r="T924">
        <v>72.849999999999994</v>
      </c>
      <c r="U924">
        <v>72.63</v>
      </c>
      <c r="W924">
        <v>72.64</v>
      </c>
      <c r="Z924">
        <v>254</v>
      </c>
      <c r="AA924">
        <v>18386.439999999999</v>
      </c>
      <c r="AB924">
        <v>5</v>
      </c>
      <c r="AC924" t="s">
        <v>42</v>
      </c>
      <c r="AD924">
        <v>1</v>
      </c>
    </row>
    <row r="925" spans="1:30">
      <c r="A925" t="str">
        <f>CONCATENATE(I925,J925)</f>
        <v>ENIFTYEQ</v>
      </c>
      <c r="B925" s="34">
        <v>46273</v>
      </c>
      <c r="C925" s="34">
        <v>46273</v>
      </c>
      <c r="D925" t="s">
        <v>35</v>
      </c>
      <c r="E925" t="s">
        <v>36</v>
      </c>
      <c r="F925" t="s">
        <v>37</v>
      </c>
      <c r="G925">
        <v>759998</v>
      </c>
      <c r="H925" t="s">
        <v>2831</v>
      </c>
      <c r="I925" t="s">
        <v>2832</v>
      </c>
      <c r="J925" t="s">
        <v>161</v>
      </c>
      <c r="O925" t="s">
        <v>2833</v>
      </c>
      <c r="P925">
        <v>23.4</v>
      </c>
      <c r="Q925">
        <v>23.95</v>
      </c>
      <c r="R925">
        <v>23.4</v>
      </c>
      <c r="S925">
        <v>23.89</v>
      </c>
      <c r="T925">
        <v>23.89</v>
      </c>
      <c r="U925">
        <v>24.01</v>
      </c>
      <c r="W925">
        <v>23.89</v>
      </c>
      <c r="Z925">
        <v>1719</v>
      </c>
      <c r="AA925">
        <v>41083.17</v>
      </c>
      <c r="AB925">
        <v>44</v>
      </c>
      <c r="AC925" t="s">
        <v>42</v>
      </c>
      <c r="AD925">
        <v>1</v>
      </c>
    </row>
    <row r="926" spans="1:30">
      <c r="A926" t="str">
        <f>CONCATENATE(I926,J926)</f>
        <v>ESENSEXEQ</v>
      </c>
      <c r="B926" s="34">
        <v>46273</v>
      </c>
      <c r="C926" s="34">
        <v>46273</v>
      </c>
      <c r="D926" t="s">
        <v>35</v>
      </c>
      <c r="E926" t="s">
        <v>36</v>
      </c>
      <c r="F926" t="s">
        <v>37</v>
      </c>
      <c r="G926">
        <v>759995</v>
      </c>
      <c r="H926" t="s">
        <v>2834</v>
      </c>
      <c r="I926" t="s">
        <v>2835</v>
      </c>
      <c r="J926" t="s">
        <v>161</v>
      </c>
      <c r="O926" t="s">
        <v>2836</v>
      </c>
      <c r="P926">
        <v>76.77</v>
      </c>
      <c r="Q926">
        <v>76.77</v>
      </c>
      <c r="R926">
        <v>76.3</v>
      </c>
      <c r="S926">
        <v>76.459999999999994</v>
      </c>
      <c r="T926">
        <v>76.55</v>
      </c>
      <c r="U926">
        <v>76.77</v>
      </c>
      <c r="W926">
        <v>76.459999999999994</v>
      </c>
      <c r="Z926">
        <v>204</v>
      </c>
      <c r="AA926">
        <v>15590.28</v>
      </c>
      <c r="AB926">
        <v>20</v>
      </c>
      <c r="AC926" t="s">
        <v>42</v>
      </c>
      <c r="AD926">
        <v>1</v>
      </c>
    </row>
    <row r="927" spans="1:30">
      <c r="A927" t="str">
        <f>CONCATENATE(I927,J927)</f>
        <v>ESILVEREQ</v>
      </c>
      <c r="B927" s="34">
        <v>46273</v>
      </c>
      <c r="C927" s="34">
        <v>46273</v>
      </c>
      <c r="D927" t="s">
        <v>35</v>
      </c>
      <c r="E927" t="s">
        <v>36</v>
      </c>
      <c r="F927" t="s">
        <v>37</v>
      </c>
      <c r="G927">
        <v>20257</v>
      </c>
      <c r="H927" t="s">
        <v>2837</v>
      </c>
      <c r="I927" t="s">
        <v>2838</v>
      </c>
      <c r="J927" t="s">
        <v>161</v>
      </c>
      <c r="O927" t="s">
        <v>2839</v>
      </c>
      <c r="P927">
        <v>230.04</v>
      </c>
      <c r="Q927">
        <v>233.59</v>
      </c>
      <c r="R927">
        <v>229.69</v>
      </c>
      <c r="S927">
        <v>230.45</v>
      </c>
      <c r="T927">
        <v>230.73</v>
      </c>
      <c r="U927">
        <v>230.04</v>
      </c>
      <c r="W927">
        <v>230.45</v>
      </c>
      <c r="Z927">
        <v>52737</v>
      </c>
      <c r="AA927">
        <v>12184513.630000001</v>
      </c>
      <c r="AB927">
        <v>1096</v>
      </c>
      <c r="AC927" t="s">
        <v>42</v>
      </c>
      <c r="AD927">
        <v>1</v>
      </c>
    </row>
    <row r="928" spans="1:30">
      <c r="A928" t="str">
        <f>CONCATENATE(I928,J928)</f>
        <v>EDELWEISSEQ</v>
      </c>
      <c r="B928" s="34">
        <v>46273</v>
      </c>
      <c r="C928" s="34">
        <v>46273</v>
      </c>
      <c r="D928" t="s">
        <v>35</v>
      </c>
      <c r="E928" t="s">
        <v>36</v>
      </c>
      <c r="F928" t="s">
        <v>37</v>
      </c>
      <c r="G928">
        <v>15119</v>
      </c>
      <c r="H928" t="s">
        <v>2840</v>
      </c>
      <c r="I928" t="s">
        <v>2841</v>
      </c>
      <c r="J928" t="s">
        <v>161</v>
      </c>
      <c r="O928" t="s">
        <v>2842</v>
      </c>
      <c r="P928">
        <v>134</v>
      </c>
      <c r="Q928">
        <v>139.80000000000001</v>
      </c>
      <c r="R928">
        <v>127.48</v>
      </c>
      <c r="S928">
        <v>138.80000000000001</v>
      </c>
      <c r="T928">
        <v>138.6</v>
      </c>
      <c r="U928">
        <v>132.72</v>
      </c>
      <c r="W928">
        <v>138.80000000000001</v>
      </c>
      <c r="Z928">
        <v>23439200</v>
      </c>
      <c r="AA928">
        <v>3167056541.1500001</v>
      </c>
      <c r="AB928">
        <v>111498</v>
      </c>
      <c r="AC928" t="s">
        <v>42</v>
      </c>
      <c r="AD928">
        <v>1</v>
      </c>
    </row>
    <row r="929" spans="1:30">
      <c r="A929" t="str">
        <f>CONCATENATE(I929,J929)</f>
        <v>EFCILEQ</v>
      </c>
      <c r="B929" s="34">
        <v>46273</v>
      </c>
      <c r="C929" s="34">
        <v>46273</v>
      </c>
      <c r="D929" t="s">
        <v>35</v>
      </c>
      <c r="E929" t="s">
        <v>36</v>
      </c>
      <c r="F929" t="s">
        <v>37</v>
      </c>
      <c r="G929">
        <v>758675</v>
      </c>
      <c r="H929" t="s">
        <v>2843</v>
      </c>
      <c r="I929" t="s">
        <v>2844</v>
      </c>
      <c r="J929" t="s">
        <v>161</v>
      </c>
      <c r="O929" t="s">
        <v>2845</v>
      </c>
      <c r="P929">
        <v>193</v>
      </c>
      <c r="Q929">
        <v>193</v>
      </c>
      <c r="R929">
        <v>185.82</v>
      </c>
      <c r="S929">
        <v>186.53</v>
      </c>
      <c r="T929">
        <v>187</v>
      </c>
      <c r="U929">
        <v>191.74</v>
      </c>
      <c r="W929">
        <v>186.54</v>
      </c>
      <c r="Z929">
        <v>188815</v>
      </c>
      <c r="AA929">
        <v>35512578.399999999</v>
      </c>
      <c r="AB929">
        <v>4824</v>
      </c>
      <c r="AC929" t="s">
        <v>42</v>
      </c>
      <c r="AD929">
        <v>1</v>
      </c>
    </row>
    <row r="930" spans="1:30">
      <c r="A930" t="str">
        <f>CONCATENATE(I930,J930)</f>
        <v>EFFWASM</v>
      </c>
      <c r="B930" s="34">
        <v>46273</v>
      </c>
      <c r="C930" s="34">
        <v>46273</v>
      </c>
      <c r="D930" t="s">
        <v>35</v>
      </c>
      <c r="E930" t="s">
        <v>36</v>
      </c>
      <c r="F930" t="s">
        <v>37</v>
      </c>
      <c r="G930">
        <v>24435</v>
      </c>
      <c r="H930" t="s">
        <v>2846</v>
      </c>
      <c r="I930" t="s">
        <v>2847</v>
      </c>
      <c r="J930" t="s">
        <v>267</v>
      </c>
      <c r="O930" t="s">
        <v>2848</v>
      </c>
      <c r="P930">
        <v>370</v>
      </c>
      <c r="Q930">
        <v>375</v>
      </c>
      <c r="R930">
        <v>360</v>
      </c>
      <c r="S930">
        <v>360.5</v>
      </c>
      <c r="T930">
        <v>360</v>
      </c>
      <c r="U930">
        <v>370</v>
      </c>
      <c r="W930">
        <v>360.5</v>
      </c>
      <c r="Z930">
        <v>5600</v>
      </c>
      <c r="AA930">
        <v>2057420</v>
      </c>
      <c r="AB930">
        <v>14</v>
      </c>
      <c r="AC930" t="s">
        <v>42</v>
      </c>
      <c r="AD930">
        <v>400</v>
      </c>
    </row>
    <row r="931" spans="1:30">
      <c r="A931" t="str">
        <f>CONCATENATE(I931,J931)</f>
        <v>EICHERMOTEQ</v>
      </c>
      <c r="B931" s="34">
        <v>46273</v>
      </c>
      <c r="C931" s="34">
        <v>46273</v>
      </c>
      <c r="D931" t="s">
        <v>35</v>
      </c>
      <c r="E931" t="s">
        <v>36</v>
      </c>
      <c r="F931" t="s">
        <v>37</v>
      </c>
      <c r="G931">
        <v>910</v>
      </c>
      <c r="H931" t="s">
        <v>2849</v>
      </c>
      <c r="I931" t="s">
        <v>2850</v>
      </c>
      <c r="J931" t="s">
        <v>161</v>
      </c>
      <c r="O931" t="s">
        <v>2851</v>
      </c>
      <c r="P931">
        <v>7700</v>
      </c>
      <c r="Q931">
        <v>7747.5</v>
      </c>
      <c r="R931">
        <v>7655</v>
      </c>
      <c r="S931">
        <v>7747.5</v>
      </c>
      <c r="T931">
        <v>7747.5</v>
      </c>
      <c r="U931">
        <v>7672</v>
      </c>
      <c r="W931">
        <v>7747.45</v>
      </c>
      <c r="Z931">
        <v>461637</v>
      </c>
      <c r="AA931">
        <v>3559527687.5</v>
      </c>
      <c r="AB931">
        <v>35588</v>
      </c>
      <c r="AC931" t="s">
        <v>42</v>
      </c>
      <c r="AD931">
        <v>1</v>
      </c>
    </row>
    <row r="932" spans="1:30">
      <c r="A932" t="str">
        <f>CONCATENATE(I932,J932)</f>
        <v>EIDPARRYEQ</v>
      </c>
      <c r="B932" s="34">
        <v>46273</v>
      </c>
      <c r="C932" s="34">
        <v>46273</v>
      </c>
      <c r="D932" t="s">
        <v>35</v>
      </c>
      <c r="E932" t="s">
        <v>36</v>
      </c>
      <c r="F932" t="s">
        <v>37</v>
      </c>
      <c r="G932">
        <v>916</v>
      </c>
      <c r="H932" t="s">
        <v>2852</v>
      </c>
      <c r="I932" t="s">
        <v>2853</v>
      </c>
      <c r="J932" t="s">
        <v>161</v>
      </c>
      <c r="O932" t="s">
        <v>2854</v>
      </c>
      <c r="P932">
        <v>778.1</v>
      </c>
      <c r="Q932">
        <v>785.1</v>
      </c>
      <c r="R932">
        <v>760</v>
      </c>
      <c r="S932">
        <v>763.7</v>
      </c>
      <c r="T932">
        <v>764.05</v>
      </c>
      <c r="U932">
        <v>777.7</v>
      </c>
      <c r="W932">
        <v>763.67</v>
      </c>
      <c r="Z932">
        <v>251904</v>
      </c>
      <c r="AA932">
        <v>193850236.90000001</v>
      </c>
      <c r="AB932">
        <v>14944</v>
      </c>
      <c r="AC932" t="s">
        <v>42</v>
      </c>
      <c r="AD932">
        <v>1</v>
      </c>
    </row>
    <row r="933" spans="1:30">
      <c r="A933" t="str">
        <f>CONCATENATE(I933,J933)</f>
        <v>EIHAHOTELSEQ</v>
      </c>
      <c r="B933" s="34">
        <v>46273</v>
      </c>
      <c r="C933" s="34">
        <v>46273</v>
      </c>
      <c r="D933" t="s">
        <v>35</v>
      </c>
      <c r="E933" t="s">
        <v>36</v>
      </c>
      <c r="F933" t="s">
        <v>37</v>
      </c>
      <c r="G933">
        <v>15399</v>
      </c>
      <c r="H933" t="s">
        <v>2855</v>
      </c>
      <c r="I933" t="s">
        <v>2856</v>
      </c>
      <c r="J933" t="s">
        <v>161</v>
      </c>
      <c r="O933" t="s">
        <v>2857</v>
      </c>
      <c r="P933">
        <v>296.45</v>
      </c>
      <c r="Q933">
        <v>299.89999999999998</v>
      </c>
      <c r="R933">
        <v>293</v>
      </c>
      <c r="S933">
        <v>295.7</v>
      </c>
      <c r="T933">
        <v>293.2</v>
      </c>
      <c r="U933">
        <v>296.45</v>
      </c>
      <c r="W933">
        <v>295.7</v>
      </c>
      <c r="Z933">
        <v>11850</v>
      </c>
      <c r="AA933">
        <v>3512988.45</v>
      </c>
      <c r="AB933">
        <v>554</v>
      </c>
      <c r="AC933" t="s">
        <v>42</v>
      </c>
      <c r="AD933">
        <v>1</v>
      </c>
    </row>
    <row r="934" spans="1:30">
      <c r="A934" t="str">
        <f>CONCATENATE(I934,J934)</f>
        <v>EIHOTELEQ</v>
      </c>
      <c r="B934" s="34">
        <v>46273</v>
      </c>
      <c r="C934" s="34">
        <v>46273</v>
      </c>
      <c r="D934" t="s">
        <v>35</v>
      </c>
      <c r="E934" t="s">
        <v>36</v>
      </c>
      <c r="F934" t="s">
        <v>37</v>
      </c>
      <c r="G934">
        <v>919</v>
      </c>
      <c r="H934" t="s">
        <v>2858</v>
      </c>
      <c r="I934" t="s">
        <v>2859</v>
      </c>
      <c r="J934" t="s">
        <v>161</v>
      </c>
      <c r="O934" t="s">
        <v>2860</v>
      </c>
      <c r="P934">
        <v>291.89999999999998</v>
      </c>
      <c r="Q934">
        <v>307.5</v>
      </c>
      <c r="R934">
        <v>291.45</v>
      </c>
      <c r="S934">
        <v>295.75</v>
      </c>
      <c r="T934">
        <v>296</v>
      </c>
      <c r="U934">
        <v>294</v>
      </c>
      <c r="W934">
        <v>295.76</v>
      </c>
      <c r="Z934">
        <v>1038216</v>
      </c>
      <c r="AA934">
        <v>307869370.14999998</v>
      </c>
      <c r="AB934">
        <v>21426</v>
      </c>
      <c r="AC934" t="s">
        <v>42</v>
      </c>
      <c r="AD934">
        <v>1</v>
      </c>
    </row>
    <row r="935" spans="1:30">
      <c r="A935" t="str">
        <f>CONCATENATE(I935,J935)</f>
        <v>EIMCOELECOEQ</v>
      </c>
      <c r="B935" s="34">
        <v>46273</v>
      </c>
      <c r="C935" s="34">
        <v>46273</v>
      </c>
      <c r="D935" t="s">
        <v>35</v>
      </c>
      <c r="E935" t="s">
        <v>36</v>
      </c>
      <c r="F935" t="s">
        <v>37</v>
      </c>
      <c r="G935">
        <v>4040</v>
      </c>
      <c r="H935" t="s">
        <v>2861</v>
      </c>
      <c r="I935" t="s">
        <v>2862</v>
      </c>
      <c r="J935" t="s">
        <v>161</v>
      </c>
      <c r="O935" t="s">
        <v>2863</v>
      </c>
      <c r="P935">
        <v>2278.5</v>
      </c>
      <c r="Q935">
        <v>2305</v>
      </c>
      <c r="R935">
        <v>2250</v>
      </c>
      <c r="S935">
        <v>2258.1999999999998</v>
      </c>
      <c r="T935">
        <v>2270</v>
      </c>
      <c r="U935">
        <v>2268</v>
      </c>
      <c r="W935">
        <v>2258.4</v>
      </c>
      <c r="Z935">
        <v>16406</v>
      </c>
      <c r="AA935">
        <v>37236660.200000003</v>
      </c>
      <c r="AB935">
        <v>2672</v>
      </c>
      <c r="AC935" t="s">
        <v>42</v>
      </c>
      <c r="AD935">
        <v>1</v>
      </c>
    </row>
    <row r="936" spans="1:30">
      <c r="A936" t="str">
        <f>CONCATENATE(I936,J936)</f>
        <v>EKIEQ</v>
      </c>
      <c r="B936" s="34">
        <v>46273</v>
      </c>
      <c r="C936" s="34">
        <v>46273</v>
      </c>
      <c r="D936" t="s">
        <v>35</v>
      </c>
      <c r="E936" t="s">
        <v>36</v>
      </c>
      <c r="F936" t="s">
        <v>37</v>
      </c>
      <c r="G936">
        <v>764668</v>
      </c>
      <c r="H936" t="s">
        <v>2864</v>
      </c>
      <c r="I936" t="s">
        <v>2865</v>
      </c>
      <c r="J936" t="s">
        <v>161</v>
      </c>
      <c r="O936" t="s">
        <v>2866</v>
      </c>
      <c r="P936">
        <v>74</v>
      </c>
      <c r="Q936">
        <v>74</v>
      </c>
      <c r="R936">
        <v>70.45</v>
      </c>
      <c r="S936">
        <v>70.81</v>
      </c>
      <c r="T936">
        <v>71</v>
      </c>
      <c r="U936">
        <v>71.37</v>
      </c>
      <c r="W936">
        <v>70.930000000000007</v>
      </c>
      <c r="Z936">
        <v>11471</v>
      </c>
      <c r="AA936">
        <v>817841.45</v>
      </c>
      <c r="AB936">
        <v>432</v>
      </c>
      <c r="AC936" t="s">
        <v>42</v>
      </c>
      <c r="AD936">
        <v>1</v>
      </c>
    </row>
    <row r="937" spans="1:30">
      <c r="A937" t="str">
        <f>CONCATENATE(I937,J937)</f>
        <v>ELANTASEQ</v>
      </c>
      <c r="B937" s="34">
        <v>46273</v>
      </c>
      <c r="C937" s="34">
        <v>46273</v>
      </c>
      <c r="D937" t="s">
        <v>35</v>
      </c>
      <c r="E937" t="s">
        <v>36</v>
      </c>
      <c r="F937" t="s">
        <v>37</v>
      </c>
      <c r="G937">
        <v>762653</v>
      </c>
      <c r="H937" t="s">
        <v>2867</v>
      </c>
      <c r="I937" t="s">
        <v>2868</v>
      </c>
      <c r="J937" t="s">
        <v>161</v>
      </c>
      <c r="O937" t="s">
        <v>2869</v>
      </c>
      <c r="P937">
        <v>13250</v>
      </c>
      <c r="Q937">
        <v>13999</v>
      </c>
      <c r="R937">
        <v>13187</v>
      </c>
      <c r="S937">
        <v>13891</v>
      </c>
      <c r="T937">
        <v>13801</v>
      </c>
      <c r="U937">
        <v>13054</v>
      </c>
      <c r="W937">
        <v>13882.05</v>
      </c>
      <c r="Z937">
        <v>9941</v>
      </c>
      <c r="AA937">
        <v>134983578</v>
      </c>
      <c r="AB937">
        <v>4245</v>
      </c>
      <c r="AC937" t="s">
        <v>42</v>
      </c>
      <c r="AD937">
        <v>1</v>
      </c>
    </row>
    <row r="938" spans="1:30">
      <c r="A938" t="str">
        <f>CONCATENATE(I938,J938)</f>
        <v>ELCIDINEQ</v>
      </c>
      <c r="B938" s="34">
        <v>46273</v>
      </c>
      <c r="C938" s="34">
        <v>46273</v>
      </c>
      <c r="D938" t="s">
        <v>35</v>
      </c>
      <c r="E938" t="s">
        <v>36</v>
      </c>
      <c r="F938" t="s">
        <v>37</v>
      </c>
      <c r="G938">
        <v>762658</v>
      </c>
      <c r="H938" t="s">
        <v>2870</v>
      </c>
      <c r="I938" t="s">
        <v>2871</v>
      </c>
      <c r="J938" t="s">
        <v>161</v>
      </c>
      <c r="O938" t="s">
        <v>2872</v>
      </c>
      <c r="P938">
        <v>108915</v>
      </c>
      <c r="Q938">
        <v>108915</v>
      </c>
      <c r="R938">
        <v>106500</v>
      </c>
      <c r="S938">
        <v>106500</v>
      </c>
      <c r="T938">
        <v>106500</v>
      </c>
      <c r="U938">
        <v>108950</v>
      </c>
      <c r="W938">
        <v>106500</v>
      </c>
      <c r="Z938">
        <v>2</v>
      </c>
      <c r="AA938">
        <v>215415</v>
      </c>
      <c r="AB938">
        <v>2</v>
      </c>
      <c r="AC938" t="s">
        <v>42</v>
      </c>
      <c r="AD938">
        <v>1</v>
      </c>
    </row>
    <row r="939" spans="1:30">
      <c r="A939" t="str">
        <f>CONCATENATE(I939,J939)</f>
        <v>ELDEHSGEQ</v>
      </c>
      <c r="B939" s="34">
        <v>46273</v>
      </c>
      <c r="C939" s="34">
        <v>46273</v>
      </c>
      <c r="D939" t="s">
        <v>35</v>
      </c>
      <c r="E939" t="s">
        <v>36</v>
      </c>
      <c r="F939" t="s">
        <v>37</v>
      </c>
      <c r="G939">
        <v>8953</v>
      </c>
      <c r="H939" t="s">
        <v>2873</v>
      </c>
      <c r="I939" t="s">
        <v>2874</v>
      </c>
      <c r="J939" t="s">
        <v>161</v>
      </c>
      <c r="O939" t="s">
        <v>2875</v>
      </c>
      <c r="P939">
        <v>777.05</v>
      </c>
      <c r="Q939">
        <v>797</v>
      </c>
      <c r="R939">
        <v>777.05</v>
      </c>
      <c r="S939">
        <v>795.7</v>
      </c>
      <c r="T939">
        <v>795.7</v>
      </c>
      <c r="U939">
        <v>788.85</v>
      </c>
      <c r="W939">
        <v>794.75</v>
      </c>
      <c r="Z939">
        <v>158</v>
      </c>
      <c r="AA939">
        <v>124490.2</v>
      </c>
      <c r="AB939">
        <v>44</v>
      </c>
      <c r="AC939" t="s">
        <v>42</v>
      </c>
      <c r="AD939">
        <v>1</v>
      </c>
    </row>
    <row r="940" spans="1:30">
      <c r="A940" t="str">
        <f>CONCATENATE(I940,J940)</f>
        <v>ELECONEQ</v>
      </c>
      <c r="B940" s="34">
        <v>46273</v>
      </c>
      <c r="C940" s="34">
        <v>46273</v>
      </c>
      <c r="D940" t="s">
        <v>35</v>
      </c>
      <c r="E940" t="s">
        <v>36</v>
      </c>
      <c r="F940" t="s">
        <v>37</v>
      </c>
      <c r="G940">
        <v>13643</v>
      </c>
      <c r="H940" t="s">
        <v>2876</v>
      </c>
      <c r="I940" t="s">
        <v>2877</v>
      </c>
      <c r="J940" t="s">
        <v>161</v>
      </c>
      <c r="O940" t="s">
        <v>2878</v>
      </c>
      <c r="P940">
        <v>426.9</v>
      </c>
      <c r="Q940">
        <v>428</v>
      </c>
      <c r="R940">
        <v>420</v>
      </c>
      <c r="S940">
        <v>421.15</v>
      </c>
      <c r="T940">
        <v>422.6</v>
      </c>
      <c r="U940">
        <v>426.7</v>
      </c>
      <c r="W940">
        <v>421.16</v>
      </c>
      <c r="Z940">
        <v>163985</v>
      </c>
      <c r="AA940">
        <v>69310989.150000006</v>
      </c>
      <c r="AB940">
        <v>7417</v>
      </c>
      <c r="AC940" t="s">
        <v>42</v>
      </c>
      <c r="AD940">
        <v>1</v>
      </c>
    </row>
    <row r="941" spans="1:30">
      <c r="A941" t="str">
        <f>CONCATENATE(I941,J941)</f>
        <v>EFORCESM</v>
      </c>
      <c r="B941" s="34">
        <v>46273</v>
      </c>
      <c r="C941" s="34">
        <v>46273</v>
      </c>
      <c r="D941" t="s">
        <v>35</v>
      </c>
      <c r="E941" t="s">
        <v>36</v>
      </c>
      <c r="F941" t="s">
        <v>37</v>
      </c>
      <c r="G941">
        <v>20899</v>
      </c>
      <c r="H941" t="s">
        <v>2879</v>
      </c>
      <c r="I941" t="s">
        <v>2880</v>
      </c>
      <c r="J941" t="s">
        <v>267</v>
      </c>
      <c r="O941" t="s">
        <v>2881</v>
      </c>
      <c r="P941">
        <v>19.45</v>
      </c>
      <c r="Q941">
        <v>19.7</v>
      </c>
      <c r="R941">
        <v>19.2</v>
      </c>
      <c r="S941">
        <v>19.5</v>
      </c>
      <c r="T941">
        <v>19.5</v>
      </c>
      <c r="U941">
        <v>20</v>
      </c>
      <c r="W941">
        <v>19.5</v>
      </c>
      <c r="Z941">
        <v>14400</v>
      </c>
      <c r="AA941">
        <v>280020</v>
      </c>
      <c r="AB941">
        <v>12</v>
      </c>
      <c r="AC941" t="s">
        <v>42</v>
      </c>
      <c r="AD941">
        <v>1200</v>
      </c>
    </row>
    <row r="942" spans="1:30">
      <c r="A942" t="str">
        <f>CONCATENATE(I942,J942)</f>
        <v>EMILEQ</v>
      </c>
      <c r="B942" s="34">
        <v>46273</v>
      </c>
      <c r="C942" s="34">
        <v>46273</v>
      </c>
      <c r="D942" t="s">
        <v>35</v>
      </c>
      <c r="E942" t="s">
        <v>36</v>
      </c>
      <c r="F942" t="s">
        <v>37</v>
      </c>
      <c r="G942">
        <v>11530</v>
      </c>
      <c r="H942" t="s">
        <v>2882</v>
      </c>
      <c r="I942" t="s">
        <v>2883</v>
      </c>
      <c r="J942" t="s">
        <v>161</v>
      </c>
      <c r="O942" t="s">
        <v>2884</v>
      </c>
      <c r="P942">
        <v>179.75</v>
      </c>
      <c r="Q942">
        <v>189.8</v>
      </c>
      <c r="R942">
        <v>175.65</v>
      </c>
      <c r="S942">
        <v>186.02</v>
      </c>
      <c r="T942">
        <v>184.9</v>
      </c>
      <c r="U942">
        <v>178.24</v>
      </c>
      <c r="W942">
        <v>186.03</v>
      </c>
      <c r="Z942">
        <v>6303918</v>
      </c>
      <c r="AA942">
        <v>1166765958.8199999</v>
      </c>
      <c r="AB942">
        <v>60087</v>
      </c>
      <c r="AC942" t="s">
        <v>42</v>
      </c>
      <c r="AD942">
        <v>1</v>
      </c>
    </row>
    <row r="943" spans="1:30">
      <c r="A943" t="str">
        <f>CONCATENATE(I943,J943)</f>
        <v>ELECTCASTEQ</v>
      </c>
      <c r="B943" s="34">
        <v>46273</v>
      </c>
      <c r="C943" s="34">
        <v>46273</v>
      </c>
      <c r="D943" t="s">
        <v>35</v>
      </c>
      <c r="E943" t="s">
        <v>36</v>
      </c>
      <c r="F943" t="s">
        <v>37</v>
      </c>
      <c r="G943">
        <v>928</v>
      </c>
      <c r="H943" t="s">
        <v>2885</v>
      </c>
      <c r="I943" t="s">
        <v>2886</v>
      </c>
      <c r="J943" t="s">
        <v>161</v>
      </c>
      <c r="O943" t="s">
        <v>2887</v>
      </c>
      <c r="P943">
        <v>80.349999999999994</v>
      </c>
      <c r="Q943">
        <v>81.5</v>
      </c>
      <c r="R943">
        <v>79.319999999999993</v>
      </c>
      <c r="S943">
        <v>79.900000000000006</v>
      </c>
      <c r="T943">
        <v>79.86</v>
      </c>
      <c r="U943">
        <v>80.510000000000005</v>
      </c>
      <c r="W943">
        <v>79.900000000000006</v>
      </c>
      <c r="Z943">
        <v>1318866</v>
      </c>
      <c r="AA943">
        <v>105847122.72</v>
      </c>
      <c r="AB943">
        <v>10566</v>
      </c>
      <c r="AC943" t="s">
        <v>42</v>
      </c>
      <c r="AD943">
        <v>1</v>
      </c>
    </row>
    <row r="944" spans="1:30">
      <c r="A944" t="str">
        <f>CONCATENATE(I944,J944)</f>
        <v>ELECTHERMEQ</v>
      </c>
      <c r="B944" s="34">
        <v>46273</v>
      </c>
      <c r="C944" s="34">
        <v>46273</v>
      </c>
      <c r="D944" t="s">
        <v>35</v>
      </c>
      <c r="E944" t="s">
        <v>36</v>
      </c>
      <c r="F944" t="s">
        <v>37</v>
      </c>
      <c r="G944">
        <v>4469</v>
      </c>
      <c r="H944" t="s">
        <v>2888</v>
      </c>
      <c r="I944" t="s">
        <v>2889</v>
      </c>
      <c r="J944" t="s">
        <v>161</v>
      </c>
      <c r="O944" t="s">
        <v>2890</v>
      </c>
      <c r="P944">
        <v>966.4</v>
      </c>
      <c r="Q944">
        <v>981.3</v>
      </c>
      <c r="R944">
        <v>961.2</v>
      </c>
      <c r="S944">
        <v>964.6</v>
      </c>
      <c r="T944">
        <v>961.2</v>
      </c>
      <c r="U944">
        <v>966.4</v>
      </c>
      <c r="W944">
        <v>964.62</v>
      </c>
      <c r="Z944">
        <v>6936</v>
      </c>
      <c r="AA944">
        <v>6734918</v>
      </c>
      <c r="AB944">
        <v>350</v>
      </c>
      <c r="AC944" t="s">
        <v>42</v>
      </c>
      <c r="AD944">
        <v>1</v>
      </c>
    </row>
    <row r="945" spans="1:30">
      <c r="A945" t="str">
        <f>CONCATENATE(I945,J945)</f>
        <v>ELGNZSM</v>
      </c>
      <c r="B945" s="34">
        <v>46273</v>
      </c>
      <c r="C945" s="34">
        <v>46273</v>
      </c>
      <c r="D945" t="s">
        <v>35</v>
      </c>
      <c r="E945" t="s">
        <v>36</v>
      </c>
      <c r="F945" t="s">
        <v>37</v>
      </c>
      <c r="G945">
        <v>29595</v>
      </c>
      <c r="H945" t="s">
        <v>2891</v>
      </c>
      <c r="I945" t="s">
        <v>2892</v>
      </c>
      <c r="J945" t="s">
        <v>267</v>
      </c>
      <c r="O945" t="s">
        <v>2893</v>
      </c>
      <c r="P945">
        <v>86</v>
      </c>
      <c r="Q945">
        <v>90</v>
      </c>
      <c r="R945">
        <v>86</v>
      </c>
      <c r="S945">
        <v>88.95</v>
      </c>
      <c r="T945">
        <v>88.95</v>
      </c>
      <c r="U945">
        <v>88.85</v>
      </c>
      <c r="W945">
        <v>88.95</v>
      </c>
      <c r="Z945">
        <v>8000</v>
      </c>
      <c r="AA945">
        <v>701450</v>
      </c>
      <c r="AB945">
        <v>8</v>
      </c>
      <c r="AC945" t="s">
        <v>42</v>
      </c>
      <c r="AD945">
        <v>1000</v>
      </c>
    </row>
    <row r="946" spans="1:30">
      <c r="A946" t="str">
        <f>CONCATENATE(I946,J946)</f>
        <v>ELGIEQUIPEQ</v>
      </c>
      <c r="B946" s="34">
        <v>46273</v>
      </c>
      <c r="C946" s="34">
        <v>46273</v>
      </c>
      <c r="D946" t="s">
        <v>35</v>
      </c>
      <c r="E946" t="s">
        <v>36</v>
      </c>
      <c r="F946" t="s">
        <v>37</v>
      </c>
      <c r="G946">
        <v>937</v>
      </c>
      <c r="H946" t="s">
        <v>2894</v>
      </c>
      <c r="I946" t="s">
        <v>2895</v>
      </c>
      <c r="J946" t="s">
        <v>161</v>
      </c>
      <c r="O946" t="s">
        <v>2896</v>
      </c>
      <c r="P946">
        <v>644.9</v>
      </c>
      <c r="Q946">
        <v>645.5</v>
      </c>
      <c r="R946">
        <v>635.1</v>
      </c>
      <c r="S946">
        <v>638.20000000000005</v>
      </c>
      <c r="T946">
        <v>641</v>
      </c>
      <c r="U946">
        <v>642.4</v>
      </c>
      <c r="W946">
        <v>638.21</v>
      </c>
      <c r="Z946">
        <v>286900</v>
      </c>
      <c r="AA946">
        <v>183393913.40000001</v>
      </c>
      <c r="AB946">
        <v>15288</v>
      </c>
      <c r="AC946" t="s">
        <v>42</v>
      </c>
      <c r="AD946">
        <v>1</v>
      </c>
    </row>
    <row r="947" spans="1:30">
      <c r="A947" t="str">
        <f>CONCATENATE(I947,J947)</f>
        <v>ELGIRUBCOEQ</v>
      </c>
      <c r="B947" s="34">
        <v>46273</v>
      </c>
      <c r="C947" s="34">
        <v>46273</v>
      </c>
      <c r="D947" t="s">
        <v>35</v>
      </c>
      <c r="E947" t="s">
        <v>36</v>
      </c>
      <c r="F947" t="s">
        <v>37</v>
      </c>
      <c r="G947">
        <v>24924</v>
      </c>
      <c r="H947" t="s">
        <v>2897</v>
      </c>
      <c r="I947" t="s">
        <v>2898</v>
      </c>
      <c r="J947" t="s">
        <v>161</v>
      </c>
      <c r="O947" t="s">
        <v>2899</v>
      </c>
      <c r="P947">
        <v>57.68</v>
      </c>
      <c r="Q947">
        <v>59.85</v>
      </c>
      <c r="R947">
        <v>57</v>
      </c>
      <c r="S947">
        <v>59.12</v>
      </c>
      <c r="T947">
        <v>58.2</v>
      </c>
      <c r="U947">
        <v>57.68</v>
      </c>
      <c r="W947">
        <v>59.12</v>
      </c>
      <c r="Z947">
        <v>45091</v>
      </c>
      <c r="AA947">
        <v>2615901.4500000002</v>
      </c>
      <c r="AB947">
        <v>420</v>
      </c>
      <c r="AC947" t="s">
        <v>42</v>
      </c>
      <c r="AD947">
        <v>1</v>
      </c>
    </row>
    <row r="948" spans="1:30">
      <c r="A948" t="str">
        <f>CONCATENATE(I948,J948)</f>
        <v>ELINEQ</v>
      </c>
      <c r="B948" s="34">
        <v>46273</v>
      </c>
      <c r="C948" s="34">
        <v>46273</v>
      </c>
      <c r="D948" t="s">
        <v>35</v>
      </c>
      <c r="E948" t="s">
        <v>36</v>
      </c>
      <c r="F948" t="s">
        <v>37</v>
      </c>
      <c r="G948">
        <v>13423</v>
      </c>
      <c r="H948" t="s">
        <v>2900</v>
      </c>
      <c r="I948" t="s">
        <v>2901</v>
      </c>
      <c r="J948" t="s">
        <v>161</v>
      </c>
      <c r="O948" t="s">
        <v>2902</v>
      </c>
      <c r="P948">
        <v>97.6</v>
      </c>
      <c r="Q948">
        <v>100</v>
      </c>
      <c r="R948">
        <v>95.38</v>
      </c>
      <c r="S948">
        <v>98.42</v>
      </c>
      <c r="T948">
        <v>97.55</v>
      </c>
      <c r="U948">
        <v>96.14</v>
      </c>
      <c r="W948">
        <v>98.42</v>
      </c>
      <c r="Z948">
        <v>349113</v>
      </c>
      <c r="AA948">
        <v>34372301.399999999</v>
      </c>
      <c r="AB948">
        <v>3969</v>
      </c>
      <c r="AC948" t="s">
        <v>42</v>
      </c>
      <c r="AD948">
        <v>1</v>
      </c>
    </row>
    <row r="949" spans="1:30">
      <c r="A949" t="str">
        <f>CONCATENATE(I949,J949)</f>
        <v>ELITECONEQ</v>
      </c>
      <c r="B949" s="34">
        <v>46273</v>
      </c>
      <c r="C949" s="34">
        <v>46273</v>
      </c>
      <c r="D949" t="s">
        <v>35</v>
      </c>
      <c r="E949" t="s">
        <v>36</v>
      </c>
      <c r="F949" t="s">
        <v>37</v>
      </c>
      <c r="G949">
        <v>762663</v>
      </c>
      <c r="H949" t="s">
        <v>2903</v>
      </c>
      <c r="I949" t="s">
        <v>2904</v>
      </c>
      <c r="J949" t="s">
        <v>161</v>
      </c>
      <c r="O949" t="s">
        <v>2905</v>
      </c>
      <c r="P949">
        <v>7.84</v>
      </c>
      <c r="Q949">
        <v>7.84</v>
      </c>
      <c r="R949">
        <v>7.84</v>
      </c>
      <c r="S949">
        <v>7.84</v>
      </c>
      <c r="T949">
        <v>7.84</v>
      </c>
      <c r="U949">
        <v>8.25</v>
      </c>
      <c r="W949">
        <v>7.84</v>
      </c>
      <c r="Z949">
        <v>1895127</v>
      </c>
      <c r="AA949">
        <v>14857795.68</v>
      </c>
      <c r="AB949">
        <v>2972</v>
      </c>
      <c r="AC949" t="s">
        <v>42</v>
      </c>
      <c r="AD949">
        <v>1</v>
      </c>
    </row>
    <row r="950" spans="1:30">
      <c r="A950" t="str">
        <f>CONCATENATE(I950,J950)</f>
        <v>ELLENEQ</v>
      </c>
      <c r="B950" s="34">
        <v>46273</v>
      </c>
      <c r="C950" s="34">
        <v>46273</v>
      </c>
      <c r="D950" t="s">
        <v>35</v>
      </c>
      <c r="E950" t="s">
        <v>36</v>
      </c>
      <c r="F950" t="s">
        <v>37</v>
      </c>
      <c r="G950">
        <v>758563</v>
      </c>
      <c r="H950" t="s">
        <v>2906</v>
      </c>
      <c r="I950" t="s">
        <v>2907</v>
      </c>
      <c r="J950" t="s">
        <v>161</v>
      </c>
      <c r="O950" t="s">
        <v>2908</v>
      </c>
      <c r="P950">
        <v>322.95</v>
      </c>
      <c r="Q950">
        <v>329.05</v>
      </c>
      <c r="R950">
        <v>316.64999999999998</v>
      </c>
      <c r="S950">
        <v>322.8</v>
      </c>
      <c r="T950">
        <v>326.89999999999998</v>
      </c>
      <c r="U950">
        <v>321.7</v>
      </c>
      <c r="W950">
        <v>322.85000000000002</v>
      </c>
      <c r="Z950">
        <v>868357</v>
      </c>
      <c r="AA950">
        <v>278771285.19999999</v>
      </c>
      <c r="AB950">
        <v>13147</v>
      </c>
      <c r="AC950" t="s">
        <v>42</v>
      </c>
      <c r="AD950">
        <v>1</v>
      </c>
    </row>
    <row r="951" spans="1:30">
      <c r="A951" t="str">
        <f>CONCATENATE(I951,J951)</f>
        <v>ELPROINTLEQ</v>
      </c>
      <c r="B951" s="34">
        <v>46273</v>
      </c>
      <c r="C951" s="34">
        <v>46273</v>
      </c>
      <c r="D951" t="s">
        <v>35</v>
      </c>
      <c r="E951" t="s">
        <v>36</v>
      </c>
      <c r="F951" t="s">
        <v>37</v>
      </c>
      <c r="G951">
        <v>4471</v>
      </c>
      <c r="H951" t="s">
        <v>2909</v>
      </c>
      <c r="I951" t="s">
        <v>2910</v>
      </c>
      <c r="J951" t="s">
        <v>161</v>
      </c>
      <c r="O951" t="s">
        <v>2911</v>
      </c>
      <c r="P951">
        <v>177.95</v>
      </c>
      <c r="Q951">
        <v>177.95</v>
      </c>
      <c r="R951">
        <v>174.01</v>
      </c>
      <c r="S951">
        <v>174.17</v>
      </c>
      <c r="T951">
        <v>174.02</v>
      </c>
      <c r="U951">
        <v>175.05</v>
      </c>
      <c r="W951">
        <v>174.57</v>
      </c>
      <c r="Z951">
        <v>4832</v>
      </c>
      <c r="AA951">
        <v>845545.88</v>
      </c>
      <c r="AB951">
        <v>97</v>
      </c>
      <c r="AC951" t="s">
        <v>42</v>
      </c>
      <c r="AD951">
        <v>1</v>
      </c>
    </row>
    <row r="952" spans="1:30">
      <c r="A952" t="str">
        <f>CONCATENATE(I952,J952)</f>
        <v>EMAPARTNERSM</v>
      </c>
      <c r="B952" s="34">
        <v>46273</v>
      </c>
      <c r="C952" s="34">
        <v>46273</v>
      </c>
      <c r="D952" t="s">
        <v>35</v>
      </c>
      <c r="E952" t="s">
        <v>36</v>
      </c>
      <c r="F952" t="s">
        <v>37</v>
      </c>
      <c r="G952">
        <v>29229</v>
      </c>
      <c r="H952" t="s">
        <v>2912</v>
      </c>
      <c r="I952" t="s">
        <v>2913</v>
      </c>
      <c r="J952" t="s">
        <v>267</v>
      </c>
      <c r="O952" t="s">
        <v>2914</v>
      </c>
      <c r="P952">
        <v>82</v>
      </c>
      <c r="Q952">
        <v>85.7</v>
      </c>
      <c r="R952">
        <v>82</v>
      </c>
      <c r="S952">
        <v>85.65</v>
      </c>
      <c r="T952">
        <v>85.65</v>
      </c>
      <c r="U952">
        <v>84.5</v>
      </c>
      <c r="W952">
        <v>85.65</v>
      </c>
      <c r="Z952">
        <v>7000</v>
      </c>
      <c r="AA952">
        <v>587700</v>
      </c>
      <c r="AB952">
        <v>6</v>
      </c>
      <c r="AC952" t="s">
        <v>42</v>
      </c>
      <c r="AD952">
        <v>1000</v>
      </c>
    </row>
    <row r="953" spans="1:30">
      <c r="A953" t="str">
        <f>CONCATENATE(I953,J953)</f>
        <v>EMAMILTDEQ</v>
      </c>
      <c r="B953" s="34">
        <v>46273</v>
      </c>
      <c r="C953" s="34">
        <v>46273</v>
      </c>
      <c r="D953" t="s">
        <v>35</v>
      </c>
      <c r="E953" t="s">
        <v>36</v>
      </c>
      <c r="F953" t="s">
        <v>37</v>
      </c>
      <c r="G953">
        <v>13517</v>
      </c>
      <c r="H953" t="s">
        <v>2915</v>
      </c>
      <c r="I953" t="s">
        <v>2916</v>
      </c>
      <c r="J953" t="s">
        <v>161</v>
      </c>
      <c r="O953" t="s">
        <v>2917</v>
      </c>
      <c r="P953">
        <v>367.4</v>
      </c>
      <c r="Q953">
        <v>372.5</v>
      </c>
      <c r="R953">
        <v>362.2</v>
      </c>
      <c r="S953">
        <v>363.65</v>
      </c>
      <c r="T953">
        <v>365</v>
      </c>
      <c r="U953">
        <v>367.55</v>
      </c>
      <c r="W953">
        <v>363.65</v>
      </c>
      <c r="Z953">
        <v>860617</v>
      </c>
      <c r="AA953">
        <v>315806082.80000001</v>
      </c>
      <c r="AB953">
        <v>20285</v>
      </c>
      <c r="AC953" t="s">
        <v>42</v>
      </c>
      <c r="AD953">
        <v>1</v>
      </c>
    </row>
    <row r="954" spans="1:30">
      <c r="A954" t="str">
        <f>CONCATENATE(I954,J954)</f>
        <v>EMAMIPAPBE</v>
      </c>
      <c r="B954" s="34">
        <v>46273</v>
      </c>
      <c r="C954" s="34">
        <v>46273</v>
      </c>
      <c r="D954" t="s">
        <v>35</v>
      </c>
      <c r="E954" t="s">
        <v>36</v>
      </c>
      <c r="F954" t="s">
        <v>37</v>
      </c>
      <c r="G954">
        <v>10084</v>
      </c>
      <c r="H954" t="s">
        <v>2918</v>
      </c>
      <c r="I954" t="s">
        <v>2919</v>
      </c>
      <c r="J954" t="s">
        <v>183</v>
      </c>
      <c r="O954" t="s">
        <v>2920</v>
      </c>
      <c r="P954">
        <v>124</v>
      </c>
      <c r="Q954">
        <v>124</v>
      </c>
      <c r="R954">
        <v>116.21</v>
      </c>
      <c r="S954">
        <v>119.68</v>
      </c>
      <c r="T954">
        <v>119.96</v>
      </c>
      <c r="U954">
        <v>121.34</v>
      </c>
      <c r="W954">
        <v>119.87</v>
      </c>
      <c r="Z954">
        <v>33686</v>
      </c>
      <c r="AA954">
        <v>4032319.4</v>
      </c>
      <c r="AB954">
        <v>396</v>
      </c>
      <c r="AC954" t="s">
        <v>42</v>
      </c>
      <c r="AD954">
        <v>1</v>
      </c>
    </row>
    <row r="955" spans="1:30">
      <c r="A955" t="str">
        <f>CONCATENATE(I955,J955)</f>
        <v>EMAMIREALEQ</v>
      </c>
      <c r="B955" s="34">
        <v>46273</v>
      </c>
      <c r="C955" s="34">
        <v>46273</v>
      </c>
      <c r="D955" t="s">
        <v>35</v>
      </c>
      <c r="E955" t="s">
        <v>36</v>
      </c>
      <c r="F955" t="s">
        <v>37</v>
      </c>
      <c r="G955">
        <v>19277</v>
      </c>
      <c r="H955" t="s">
        <v>2921</v>
      </c>
      <c r="I955" t="s">
        <v>2922</v>
      </c>
      <c r="J955" t="s">
        <v>161</v>
      </c>
      <c r="O955" t="s">
        <v>2923</v>
      </c>
      <c r="P955">
        <v>67.62</v>
      </c>
      <c r="Q955">
        <v>67.7</v>
      </c>
      <c r="R955">
        <v>65.7</v>
      </c>
      <c r="S955">
        <v>66.180000000000007</v>
      </c>
      <c r="T955">
        <v>65.75</v>
      </c>
      <c r="U955">
        <v>67.62</v>
      </c>
      <c r="W955">
        <v>66.13</v>
      </c>
      <c r="Z955">
        <v>12331</v>
      </c>
      <c r="AA955">
        <v>818200.3</v>
      </c>
      <c r="AB955">
        <v>215</v>
      </c>
      <c r="AC955" t="s">
        <v>42</v>
      </c>
      <c r="AD955">
        <v>1</v>
      </c>
    </row>
    <row r="956" spans="1:30">
      <c r="A956" t="str">
        <f>CONCATENATE(I956,J956)</f>
        <v>EMBDLEQ</v>
      </c>
      <c r="B956" s="34">
        <v>46273</v>
      </c>
      <c r="C956" s="34">
        <v>46273</v>
      </c>
      <c r="D956" t="s">
        <v>35</v>
      </c>
      <c r="E956" t="s">
        <v>36</v>
      </c>
      <c r="F956" t="s">
        <v>37</v>
      </c>
      <c r="G956">
        <v>14450</v>
      </c>
      <c r="H956" t="s">
        <v>2924</v>
      </c>
      <c r="I956" t="s">
        <v>2925</v>
      </c>
      <c r="J956" t="s">
        <v>161</v>
      </c>
      <c r="O956" t="s">
        <v>2926</v>
      </c>
      <c r="P956">
        <v>59.23</v>
      </c>
      <c r="Q956">
        <v>59.23</v>
      </c>
      <c r="R956">
        <v>57.57</v>
      </c>
      <c r="S956">
        <v>58.12</v>
      </c>
      <c r="T956">
        <v>57.86</v>
      </c>
      <c r="U956">
        <v>59.1</v>
      </c>
      <c r="W956">
        <v>58.12</v>
      </c>
      <c r="Z956">
        <v>1639752</v>
      </c>
      <c r="AA956">
        <v>95393448.049999997</v>
      </c>
      <c r="AB956">
        <v>7688</v>
      </c>
      <c r="AC956" t="s">
        <v>42</v>
      </c>
      <c r="AD956">
        <v>1</v>
      </c>
    </row>
    <row r="957" spans="1:30">
      <c r="A957" t="str">
        <f>CONCATENATE(I957,J957)</f>
        <v>EMBASSYRR</v>
      </c>
      <c r="B957" s="34">
        <v>46273</v>
      </c>
      <c r="C957" s="34">
        <v>46273</v>
      </c>
      <c r="D957" t="s">
        <v>35</v>
      </c>
      <c r="E957" t="s">
        <v>36</v>
      </c>
      <c r="F957" t="s">
        <v>37</v>
      </c>
      <c r="G957">
        <v>9383</v>
      </c>
      <c r="H957" t="s">
        <v>2927</v>
      </c>
      <c r="I957" t="s">
        <v>2928</v>
      </c>
      <c r="J957" t="s">
        <v>1301</v>
      </c>
      <c r="O957" t="s">
        <v>2929</v>
      </c>
      <c r="P957">
        <v>440.97</v>
      </c>
      <c r="Q957">
        <v>440.97</v>
      </c>
      <c r="R957">
        <v>439.11</v>
      </c>
      <c r="S957">
        <v>439.87</v>
      </c>
      <c r="T957">
        <v>439.89</v>
      </c>
      <c r="U957">
        <v>438.88</v>
      </c>
      <c r="W957">
        <v>439.89</v>
      </c>
      <c r="Z957">
        <v>293614</v>
      </c>
      <c r="AA957">
        <v>129155377.69</v>
      </c>
      <c r="AB957">
        <v>10061</v>
      </c>
      <c r="AC957" t="s">
        <v>42</v>
      </c>
      <c r="AD957">
        <v>1</v>
      </c>
    </row>
    <row r="958" spans="1:30">
      <c r="A958" t="str">
        <f>CONCATENATE(I958,J958)</f>
        <v>EMCUREEQ</v>
      </c>
      <c r="B958" s="34">
        <v>46273</v>
      </c>
      <c r="C958" s="34">
        <v>46273</v>
      </c>
      <c r="D958" t="s">
        <v>35</v>
      </c>
      <c r="E958" t="s">
        <v>36</v>
      </c>
      <c r="F958" t="s">
        <v>37</v>
      </c>
      <c r="G958">
        <v>24398</v>
      </c>
      <c r="H958" t="s">
        <v>2930</v>
      </c>
      <c r="I958" t="s">
        <v>2931</v>
      </c>
      <c r="J958" t="s">
        <v>161</v>
      </c>
      <c r="O958" t="s">
        <v>2932</v>
      </c>
      <c r="P958">
        <v>1944</v>
      </c>
      <c r="Q958">
        <v>1955</v>
      </c>
      <c r="R958">
        <v>1916</v>
      </c>
      <c r="S958">
        <v>1925.8</v>
      </c>
      <c r="T958">
        <v>1919</v>
      </c>
      <c r="U958">
        <v>1926.8</v>
      </c>
      <c r="W958">
        <v>1925.61</v>
      </c>
      <c r="Z958">
        <v>93609</v>
      </c>
      <c r="AA958">
        <v>180807081</v>
      </c>
      <c r="AB958">
        <v>15351</v>
      </c>
      <c r="AC958" t="s">
        <v>42</v>
      </c>
      <c r="AD958">
        <v>1</v>
      </c>
    </row>
    <row r="959" spans="1:30">
      <c r="A959" t="str">
        <f>CONCATENATE(I959,J959)</f>
        <v>ETMLSM</v>
      </c>
      <c r="B959" s="34">
        <v>46273</v>
      </c>
      <c r="C959" s="34">
        <v>46273</v>
      </c>
      <c r="D959" t="s">
        <v>35</v>
      </c>
      <c r="E959" t="s">
        <v>36</v>
      </c>
      <c r="F959" t="s">
        <v>37</v>
      </c>
      <c r="G959">
        <v>27629</v>
      </c>
      <c r="H959" t="s">
        <v>2933</v>
      </c>
      <c r="I959" t="s">
        <v>2934</v>
      </c>
      <c r="J959" t="s">
        <v>267</v>
      </c>
      <c r="O959" t="s">
        <v>2935</v>
      </c>
      <c r="P959">
        <v>80.5</v>
      </c>
      <c r="Q959">
        <v>81.599999999999994</v>
      </c>
      <c r="R959">
        <v>80.5</v>
      </c>
      <c r="S959">
        <v>81.599999999999994</v>
      </c>
      <c r="T959">
        <v>81.599999999999994</v>
      </c>
      <c r="U959">
        <v>79.05</v>
      </c>
      <c r="W959">
        <v>81.599999999999994</v>
      </c>
      <c r="Z959">
        <v>3600</v>
      </c>
      <c r="AA959">
        <v>291660</v>
      </c>
      <c r="AB959">
        <v>3</v>
      </c>
      <c r="AC959" t="s">
        <v>42</v>
      </c>
      <c r="AD959">
        <v>1200</v>
      </c>
    </row>
    <row r="960" spans="1:30">
      <c r="A960" t="str">
        <f>CONCATENATE(I960,J960)</f>
        <v>EMKAYEQ</v>
      </c>
      <c r="B960" s="34">
        <v>46273</v>
      </c>
      <c r="C960" s="34">
        <v>46273</v>
      </c>
      <c r="D960" t="s">
        <v>35</v>
      </c>
      <c r="E960" t="s">
        <v>36</v>
      </c>
      <c r="F960" t="s">
        <v>37</v>
      </c>
      <c r="G960">
        <v>13421</v>
      </c>
      <c r="H960" t="s">
        <v>2936</v>
      </c>
      <c r="I960" t="s">
        <v>2937</v>
      </c>
      <c r="J960" t="s">
        <v>161</v>
      </c>
      <c r="O960" t="s">
        <v>2938</v>
      </c>
      <c r="P960">
        <v>265</v>
      </c>
      <c r="Q960">
        <v>265.14999999999998</v>
      </c>
      <c r="R960">
        <v>260</v>
      </c>
      <c r="S960">
        <v>260.7</v>
      </c>
      <c r="T960">
        <v>260</v>
      </c>
      <c r="U960">
        <v>265.14999999999998</v>
      </c>
      <c r="W960">
        <v>260.7</v>
      </c>
      <c r="Z960">
        <v>19955</v>
      </c>
      <c r="AA960">
        <v>5219159.4000000004</v>
      </c>
      <c r="AB960">
        <v>649</v>
      </c>
      <c r="AC960" t="s">
        <v>42</v>
      </c>
      <c r="AD960">
        <v>1</v>
      </c>
    </row>
    <row r="961" spans="1:30">
      <c r="A961" t="str">
        <f>CONCATENATE(I961,J961)</f>
        <v>EMKAYTOOLSSM</v>
      </c>
      <c r="B961" s="34">
        <v>46273</v>
      </c>
      <c r="C961" s="34">
        <v>46273</v>
      </c>
      <c r="D961" t="s">
        <v>35</v>
      </c>
      <c r="E961" t="s">
        <v>36</v>
      </c>
      <c r="F961" t="s">
        <v>37</v>
      </c>
      <c r="G961">
        <v>10253</v>
      </c>
      <c r="H961" t="s">
        <v>2939</v>
      </c>
      <c r="I961" t="s">
        <v>2940</v>
      </c>
      <c r="J961" t="s">
        <v>267</v>
      </c>
      <c r="O961" t="s">
        <v>2941</v>
      </c>
      <c r="P961">
        <v>99.9</v>
      </c>
      <c r="Q961">
        <v>99.9</v>
      </c>
      <c r="R961">
        <v>93.3</v>
      </c>
      <c r="S961">
        <v>94.05</v>
      </c>
      <c r="T961">
        <v>93.75</v>
      </c>
      <c r="U961">
        <v>97.5</v>
      </c>
      <c r="W961">
        <v>94.05</v>
      </c>
      <c r="Z961">
        <v>2100</v>
      </c>
      <c r="AA961">
        <v>197745</v>
      </c>
      <c r="AB961">
        <v>12</v>
      </c>
      <c r="AC961" t="s">
        <v>42</v>
      </c>
      <c r="AD961">
        <v>150</v>
      </c>
    </row>
    <row r="962" spans="1:30">
      <c r="A962" t="str">
        <f>CONCATENATE(I962,J962)</f>
        <v>ETLSM</v>
      </c>
      <c r="B962" s="34">
        <v>46273</v>
      </c>
      <c r="C962" s="34">
        <v>46273</v>
      </c>
      <c r="D962" t="s">
        <v>35</v>
      </c>
      <c r="E962" t="s">
        <v>36</v>
      </c>
      <c r="F962" t="s">
        <v>37</v>
      </c>
      <c r="G962">
        <v>758591</v>
      </c>
      <c r="H962" t="s">
        <v>2942</v>
      </c>
      <c r="I962" t="s">
        <v>2943</v>
      </c>
      <c r="J962" t="s">
        <v>267</v>
      </c>
      <c r="O962" t="s">
        <v>2944</v>
      </c>
      <c r="P962">
        <v>1035.0999999999999</v>
      </c>
      <c r="Q962">
        <v>1060</v>
      </c>
      <c r="R962">
        <v>1035.0999999999999</v>
      </c>
      <c r="S962">
        <v>1040</v>
      </c>
      <c r="T962">
        <v>1040</v>
      </c>
      <c r="U962">
        <v>1067.95</v>
      </c>
      <c r="W962">
        <v>1040</v>
      </c>
      <c r="Z962">
        <v>450</v>
      </c>
      <c r="AA962">
        <v>470265</v>
      </c>
      <c r="AB962">
        <v>3</v>
      </c>
      <c r="AC962" t="s">
        <v>42</v>
      </c>
      <c r="AD962">
        <v>150</v>
      </c>
    </row>
    <row r="963" spans="1:30">
      <c r="A963" t="str">
        <f>CONCATENATE(I963,J963)</f>
        <v>EMMBIBE</v>
      </c>
      <c r="B963" s="34">
        <v>46273</v>
      </c>
      <c r="C963" s="34">
        <v>46273</v>
      </c>
      <c r="D963" t="s">
        <v>35</v>
      </c>
      <c r="E963" t="s">
        <v>36</v>
      </c>
      <c r="F963" t="s">
        <v>37</v>
      </c>
      <c r="G963">
        <v>18146</v>
      </c>
      <c r="H963" t="s">
        <v>2945</v>
      </c>
      <c r="I963" t="s">
        <v>2946</v>
      </c>
      <c r="J963" t="s">
        <v>183</v>
      </c>
      <c r="O963" t="s">
        <v>2947</v>
      </c>
      <c r="P963">
        <v>94.47</v>
      </c>
      <c r="Q963">
        <v>94.47</v>
      </c>
      <c r="R963">
        <v>87.55</v>
      </c>
      <c r="S963">
        <v>89.94</v>
      </c>
      <c r="T963">
        <v>90</v>
      </c>
      <c r="U963">
        <v>92</v>
      </c>
      <c r="W963">
        <v>89.75</v>
      </c>
      <c r="Z963">
        <v>11738</v>
      </c>
      <c r="AA963">
        <v>1053808.71</v>
      </c>
      <c r="AB963">
        <v>99</v>
      </c>
      <c r="AC963" t="s">
        <v>42</v>
      </c>
      <c r="AD963">
        <v>1</v>
      </c>
    </row>
    <row r="964" spans="1:30">
      <c r="A964" t="str">
        <f>CONCATENATE(I964,J964)</f>
        <v>EMMVEEEQ</v>
      </c>
      <c r="B964" s="34">
        <v>46273</v>
      </c>
      <c r="C964" s="34">
        <v>46273</v>
      </c>
      <c r="D964" t="s">
        <v>35</v>
      </c>
      <c r="E964" t="s">
        <v>36</v>
      </c>
      <c r="F964" t="s">
        <v>37</v>
      </c>
      <c r="G964">
        <v>759728</v>
      </c>
      <c r="H964" t="s">
        <v>2948</v>
      </c>
      <c r="I964" t="s">
        <v>2949</v>
      </c>
      <c r="J964" t="s">
        <v>161</v>
      </c>
      <c r="O964" t="s">
        <v>2950</v>
      </c>
      <c r="P964">
        <v>325.64999999999998</v>
      </c>
      <c r="Q964">
        <v>332.75</v>
      </c>
      <c r="R964">
        <v>323.25</v>
      </c>
      <c r="S964">
        <v>331.25</v>
      </c>
      <c r="T964">
        <v>330.9</v>
      </c>
      <c r="U964">
        <v>325.2</v>
      </c>
      <c r="W964">
        <v>331.25</v>
      </c>
      <c r="Z964">
        <v>1236466</v>
      </c>
      <c r="AA964">
        <v>406473505.44999999</v>
      </c>
      <c r="AB964">
        <v>24823</v>
      </c>
      <c r="AC964" t="s">
        <v>42</v>
      </c>
      <c r="AD964">
        <v>1</v>
      </c>
    </row>
    <row r="965" spans="1:30">
      <c r="A965" t="str">
        <f>CONCATENATE(I965,J965)</f>
        <v>EMPINDEQ</v>
      </c>
      <c r="B965" s="34">
        <v>46273</v>
      </c>
      <c r="C965" s="34">
        <v>46273</v>
      </c>
      <c r="D965" t="s">
        <v>35</v>
      </c>
      <c r="E965" t="s">
        <v>36</v>
      </c>
      <c r="F965" t="s">
        <v>37</v>
      </c>
      <c r="G965">
        <v>764673</v>
      </c>
      <c r="H965" t="s">
        <v>2951</v>
      </c>
      <c r="I965" t="s">
        <v>2952</v>
      </c>
      <c r="J965" t="s">
        <v>161</v>
      </c>
      <c r="O965" t="s">
        <v>2953</v>
      </c>
      <c r="P965">
        <v>1204.9000000000001</v>
      </c>
      <c r="Q965">
        <v>1204.9000000000001</v>
      </c>
      <c r="R965">
        <v>1169.2</v>
      </c>
      <c r="S965">
        <v>1176.8</v>
      </c>
      <c r="T965">
        <v>1176</v>
      </c>
      <c r="U965">
        <v>1192.0999999999999</v>
      </c>
      <c r="W965">
        <v>1176.82</v>
      </c>
      <c r="Z965">
        <v>17717</v>
      </c>
      <c r="AA965">
        <v>20977909.800000001</v>
      </c>
      <c r="AB965">
        <v>1344</v>
      </c>
      <c r="AC965" t="s">
        <v>42</v>
      </c>
      <c r="AD965">
        <v>1</v>
      </c>
    </row>
    <row r="966" spans="1:30">
      <c r="A966" t="str">
        <f>CONCATENATE(I966,J966)</f>
        <v>EMPOWEREQ</v>
      </c>
      <c r="B966" s="34">
        <v>46273</v>
      </c>
      <c r="C966" s="34">
        <v>46273</v>
      </c>
      <c r="D966" t="s">
        <v>35</v>
      </c>
      <c r="E966" t="s">
        <v>36</v>
      </c>
      <c r="F966" t="s">
        <v>37</v>
      </c>
      <c r="G966">
        <v>762670</v>
      </c>
      <c r="H966" t="s">
        <v>2954</v>
      </c>
      <c r="I966" t="s">
        <v>2955</v>
      </c>
      <c r="J966" t="s">
        <v>161</v>
      </c>
      <c r="O966" t="s">
        <v>2956</v>
      </c>
      <c r="P966">
        <v>2.0099999999999998</v>
      </c>
      <c r="Q966">
        <v>2.02</v>
      </c>
      <c r="R966">
        <v>2</v>
      </c>
      <c r="S966">
        <v>2.0099999999999998</v>
      </c>
      <c r="T966">
        <v>2.02</v>
      </c>
      <c r="U966">
        <v>1.93</v>
      </c>
      <c r="W966">
        <v>2.0099999999999998</v>
      </c>
      <c r="Z966">
        <v>19565972</v>
      </c>
      <c r="AA966">
        <v>39488021.280000001</v>
      </c>
      <c r="AB966">
        <v>3384</v>
      </c>
      <c r="AC966" t="s">
        <v>42</v>
      </c>
      <c r="AD966">
        <v>1</v>
      </c>
    </row>
    <row r="967" spans="1:30">
      <c r="A967" t="str">
        <f>CONCATENATE(I967,J967)</f>
        <v>EMSLIMITEDEQ</v>
      </c>
      <c r="B967" s="34">
        <v>46273</v>
      </c>
      <c r="C967" s="34">
        <v>46273</v>
      </c>
      <c r="D967" t="s">
        <v>35</v>
      </c>
      <c r="E967" t="s">
        <v>36</v>
      </c>
      <c r="F967" t="s">
        <v>37</v>
      </c>
      <c r="G967">
        <v>18593</v>
      </c>
      <c r="H967" t="s">
        <v>2957</v>
      </c>
      <c r="I967" t="s">
        <v>2958</v>
      </c>
      <c r="J967" t="s">
        <v>161</v>
      </c>
      <c r="O967" t="s">
        <v>2959</v>
      </c>
      <c r="P967">
        <v>385</v>
      </c>
      <c r="Q967">
        <v>385</v>
      </c>
      <c r="R967">
        <v>376</v>
      </c>
      <c r="S967">
        <v>378.4</v>
      </c>
      <c r="T967">
        <v>379.95</v>
      </c>
      <c r="U967">
        <v>385.55</v>
      </c>
      <c r="W967">
        <v>378.44</v>
      </c>
      <c r="Z967">
        <v>164742</v>
      </c>
      <c r="AA967">
        <v>62441679.950000003</v>
      </c>
      <c r="AB967">
        <v>4940</v>
      </c>
      <c r="AC967" t="s">
        <v>42</v>
      </c>
      <c r="AD967">
        <v>1</v>
      </c>
    </row>
    <row r="968" spans="1:30">
      <c r="A968" t="str">
        <f>CONCATENATE(I968,J968)</f>
        <v>EMUDHRAEQ</v>
      </c>
      <c r="B968" s="34">
        <v>46273</v>
      </c>
      <c r="C968" s="34">
        <v>46273</v>
      </c>
      <c r="D968" t="s">
        <v>35</v>
      </c>
      <c r="E968" t="s">
        <v>36</v>
      </c>
      <c r="F968" t="s">
        <v>37</v>
      </c>
      <c r="G968">
        <v>9756</v>
      </c>
      <c r="H968" t="s">
        <v>2960</v>
      </c>
      <c r="I968" t="s">
        <v>2961</v>
      </c>
      <c r="J968" t="s">
        <v>161</v>
      </c>
      <c r="O968" t="s">
        <v>2962</v>
      </c>
      <c r="P968">
        <v>505</v>
      </c>
      <c r="Q968">
        <v>517.15</v>
      </c>
      <c r="R968">
        <v>493.8</v>
      </c>
      <c r="S968">
        <v>509.1</v>
      </c>
      <c r="T968">
        <v>508.8</v>
      </c>
      <c r="U968">
        <v>502.45</v>
      </c>
      <c r="W968">
        <v>509.1</v>
      </c>
      <c r="Z968">
        <v>173359</v>
      </c>
      <c r="AA968">
        <v>87609095.849999994</v>
      </c>
      <c r="AB968">
        <v>6529</v>
      </c>
      <c r="AC968" t="s">
        <v>42</v>
      </c>
      <c r="AD968">
        <v>1</v>
      </c>
    </row>
    <row r="969" spans="1:30">
      <c r="A969" t="str">
        <f>CONCATENATE(I969,J969)</f>
        <v>ENCOMPASSM</v>
      </c>
      <c r="B969" s="34">
        <v>46273</v>
      </c>
      <c r="C969" s="34">
        <v>46273</v>
      </c>
      <c r="D969" t="s">
        <v>35</v>
      </c>
      <c r="E969" t="s">
        <v>36</v>
      </c>
      <c r="F969" t="s">
        <v>37</v>
      </c>
      <c r="G969">
        <v>760321</v>
      </c>
      <c r="H969" t="s">
        <v>2963</v>
      </c>
      <c r="I969" t="s">
        <v>2964</v>
      </c>
      <c r="J969" t="s">
        <v>267</v>
      </c>
      <c r="O969" t="s">
        <v>2965</v>
      </c>
      <c r="P969">
        <v>258.45</v>
      </c>
      <c r="Q969">
        <v>259.60000000000002</v>
      </c>
      <c r="R969">
        <v>255.75</v>
      </c>
      <c r="S969">
        <v>259.60000000000002</v>
      </c>
      <c r="T969">
        <v>259.60000000000002</v>
      </c>
      <c r="U969">
        <v>256.45</v>
      </c>
      <c r="W969">
        <v>259.60000000000002</v>
      </c>
      <c r="Z969">
        <v>3600</v>
      </c>
      <c r="AA969">
        <v>927840</v>
      </c>
      <c r="AB969">
        <v>9</v>
      </c>
      <c r="AC969" t="s">
        <v>42</v>
      </c>
      <c r="AD969">
        <v>400</v>
      </c>
    </row>
    <row r="970" spans="1:30">
      <c r="A970" t="str">
        <f>CONCATENATE(I970,J970)</f>
        <v>ENDURANCEEQ</v>
      </c>
      <c r="B970" s="34">
        <v>46273</v>
      </c>
      <c r="C970" s="34">
        <v>46273</v>
      </c>
      <c r="D970" t="s">
        <v>35</v>
      </c>
      <c r="E970" t="s">
        <v>36</v>
      </c>
      <c r="F970" t="s">
        <v>37</v>
      </c>
      <c r="G970">
        <v>18822</v>
      </c>
      <c r="H970" t="s">
        <v>2966</v>
      </c>
      <c r="I970" t="s">
        <v>2967</v>
      </c>
      <c r="J970" t="s">
        <v>161</v>
      </c>
      <c r="O970" t="s">
        <v>2968</v>
      </c>
      <c r="P970">
        <v>2770</v>
      </c>
      <c r="Q970">
        <v>2784.3</v>
      </c>
      <c r="R970">
        <v>2702</v>
      </c>
      <c r="S970">
        <v>2735.3</v>
      </c>
      <c r="T970">
        <v>2736</v>
      </c>
      <c r="U970">
        <v>2763.2</v>
      </c>
      <c r="W970">
        <v>2735.28</v>
      </c>
      <c r="Z970">
        <v>81560</v>
      </c>
      <c r="AA970">
        <v>222970688.40000001</v>
      </c>
      <c r="AB970">
        <v>19410</v>
      </c>
      <c r="AC970" t="s">
        <v>42</v>
      </c>
      <c r="AD970">
        <v>1</v>
      </c>
    </row>
    <row r="971" spans="1:30">
      <c r="A971" t="str">
        <f>CONCATENATE(I971,J971)</f>
        <v>ENERGYDEVEQ</v>
      </c>
      <c r="B971" s="34">
        <v>46273</v>
      </c>
      <c r="C971" s="34">
        <v>46273</v>
      </c>
      <c r="D971" t="s">
        <v>35</v>
      </c>
      <c r="E971" t="s">
        <v>36</v>
      </c>
      <c r="F971" t="s">
        <v>37</v>
      </c>
      <c r="G971">
        <v>15049</v>
      </c>
      <c r="H971" t="s">
        <v>2969</v>
      </c>
      <c r="I971" t="s">
        <v>2970</v>
      </c>
      <c r="J971" t="s">
        <v>161</v>
      </c>
      <c r="O971" t="s">
        <v>2971</v>
      </c>
      <c r="P971">
        <v>15.43</v>
      </c>
      <c r="Q971">
        <v>15.65</v>
      </c>
      <c r="R971">
        <v>15.25</v>
      </c>
      <c r="S971">
        <v>15.33</v>
      </c>
      <c r="T971">
        <v>15.29</v>
      </c>
      <c r="U971">
        <v>15.43</v>
      </c>
      <c r="W971">
        <v>15.33</v>
      </c>
      <c r="Z971">
        <v>15162</v>
      </c>
      <c r="AA971">
        <v>232845.14</v>
      </c>
      <c r="AB971">
        <v>239</v>
      </c>
      <c r="AC971" t="s">
        <v>42</v>
      </c>
      <c r="AD971">
        <v>1</v>
      </c>
    </row>
    <row r="972" spans="1:30">
      <c r="A972" t="str">
        <f>CONCATENATE(I972,J972)</f>
        <v>EMMILSM</v>
      </c>
      <c r="B972" s="34">
        <v>46273</v>
      </c>
      <c r="C972" s="34">
        <v>46273</v>
      </c>
      <c r="D972" t="s">
        <v>35</v>
      </c>
      <c r="E972" t="s">
        <v>36</v>
      </c>
      <c r="F972" t="s">
        <v>37</v>
      </c>
      <c r="G972">
        <v>23745</v>
      </c>
      <c r="H972" t="s">
        <v>2972</v>
      </c>
      <c r="I972" t="s">
        <v>2973</v>
      </c>
      <c r="J972" t="s">
        <v>267</v>
      </c>
      <c r="O972" t="s">
        <v>2974</v>
      </c>
      <c r="P972">
        <v>118</v>
      </c>
      <c r="Q972">
        <v>119.1</v>
      </c>
      <c r="R972">
        <v>117</v>
      </c>
      <c r="S972">
        <v>117.1</v>
      </c>
      <c r="T972">
        <v>117.2</v>
      </c>
      <c r="U972">
        <v>118</v>
      </c>
      <c r="W972">
        <v>117.1</v>
      </c>
      <c r="Z972">
        <v>3500</v>
      </c>
      <c r="AA972">
        <v>412250</v>
      </c>
      <c r="AB972">
        <v>10</v>
      </c>
      <c r="AC972" t="s">
        <v>42</v>
      </c>
      <c r="AD972">
        <v>250</v>
      </c>
    </row>
    <row r="973" spans="1:30">
      <c r="A973" t="str">
        <f>CONCATENATE(I973,J973)</f>
        <v>ENFUSESM</v>
      </c>
      <c r="B973" s="34">
        <v>46273</v>
      </c>
      <c r="C973" s="34">
        <v>46273</v>
      </c>
      <c r="D973" t="s">
        <v>35</v>
      </c>
      <c r="E973" t="s">
        <v>36</v>
      </c>
      <c r="F973" t="s">
        <v>37</v>
      </c>
      <c r="G973">
        <v>23224</v>
      </c>
      <c r="H973" t="s">
        <v>2975</v>
      </c>
      <c r="I973" t="s">
        <v>2976</v>
      </c>
      <c r="J973" t="s">
        <v>267</v>
      </c>
      <c r="O973" t="s">
        <v>2977</v>
      </c>
      <c r="P973">
        <v>158</v>
      </c>
      <c r="Q973">
        <v>158</v>
      </c>
      <c r="R973">
        <v>158</v>
      </c>
      <c r="S973">
        <v>158</v>
      </c>
      <c r="T973">
        <v>158</v>
      </c>
      <c r="U973">
        <v>160</v>
      </c>
      <c r="W973">
        <v>158</v>
      </c>
      <c r="Z973">
        <v>1200</v>
      </c>
      <c r="AA973">
        <v>189600</v>
      </c>
      <c r="AB973">
        <v>2</v>
      </c>
      <c r="AC973" t="s">
        <v>42</v>
      </c>
      <c r="AD973">
        <v>600</v>
      </c>
    </row>
    <row r="974" spans="1:30">
      <c r="A974" t="str">
        <f>CONCATENATE(I974,J974)</f>
        <v>ENGINERSINEQ</v>
      </c>
      <c r="B974" s="34">
        <v>46273</v>
      </c>
      <c r="C974" s="34">
        <v>46273</v>
      </c>
      <c r="D974" t="s">
        <v>35</v>
      </c>
      <c r="E974" t="s">
        <v>36</v>
      </c>
      <c r="F974" t="s">
        <v>37</v>
      </c>
      <c r="G974">
        <v>4907</v>
      </c>
      <c r="H974" t="s">
        <v>2978</v>
      </c>
      <c r="I974" t="s">
        <v>2979</v>
      </c>
      <c r="J974" t="s">
        <v>161</v>
      </c>
      <c r="O974" t="s">
        <v>2980</v>
      </c>
      <c r="P974">
        <v>277.60000000000002</v>
      </c>
      <c r="Q974">
        <v>281.95</v>
      </c>
      <c r="R974">
        <v>271.45</v>
      </c>
      <c r="S974">
        <v>279.2</v>
      </c>
      <c r="T974">
        <v>281.60000000000002</v>
      </c>
      <c r="U974">
        <v>277.05</v>
      </c>
      <c r="W974">
        <v>279.16000000000003</v>
      </c>
      <c r="Z974">
        <v>2925037</v>
      </c>
      <c r="AA974">
        <v>811505248.89999998</v>
      </c>
      <c r="AB974">
        <v>36870</v>
      </c>
      <c r="AC974" t="s">
        <v>42</v>
      </c>
      <c r="AD974">
        <v>1</v>
      </c>
    </row>
    <row r="975" spans="1:30">
      <c r="A975" t="str">
        <f>CONCATENATE(I975,J975)</f>
        <v>ENKEIWHELEQ</v>
      </c>
      <c r="B975" s="34">
        <v>46273</v>
      </c>
      <c r="C975" s="34">
        <v>46273</v>
      </c>
      <c r="D975" t="s">
        <v>35</v>
      </c>
      <c r="E975" t="s">
        <v>36</v>
      </c>
      <c r="F975" t="s">
        <v>37</v>
      </c>
      <c r="G975">
        <v>764678</v>
      </c>
      <c r="H975" t="s">
        <v>2981</v>
      </c>
      <c r="I975" t="s">
        <v>2982</v>
      </c>
      <c r="J975" t="s">
        <v>161</v>
      </c>
      <c r="O975" t="s">
        <v>2983</v>
      </c>
      <c r="P975">
        <v>395</v>
      </c>
      <c r="Q975">
        <v>410</v>
      </c>
      <c r="R975">
        <v>390</v>
      </c>
      <c r="S975">
        <v>396.6</v>
      </c>
      <c r="T975">
        <v>406.9</v>
      </c>
      <c r="U975">
        <v>395.15</v>
      </c>
      <c r="W975">
        <v>396.7</v>
      </c>
      <c r="Z975">
        <v>4351</v>
      </c>
      <c r="AA975">
        <v>1737310.1</v>
      </c>
      <c r="AB975">
        <v>136</v>
      </c>
      <c r="AC975" t="s">
        <v>42</v>
      </c>
      <c r="AD975">
        <v>1</v>
      </c>
    </row>
    <row r="976" spans="1:30">
      <c r="A976" t="str">
        <f>CONCATENATE(I976,J976)</f>
        <v>ENSERSM</v>
      </c>
      <c r="B976" s="34">
        <v>46273</v>
      </c>
      <c r="C976" s="34">
        <v>46273</v>
      </c>
      <c r="D976" t="s">
        <v>35</v>
      </c>
      <c r="E976" t="s">
        <v>36</v>
      </c>
      <c r="F976" t="s">
        <v>37</v>
      </c>
      <c r="G976">
        <v>23230</v>
      </c>
      <c r="H976" t="s">
        <v>2984</v>
      </c>
      <c r="I976" t="s">
        <v>2985</v>
      </c>
      <c r="J976" t="s">
        <v>267</v>
      </c>
      <c r="O976" t="s">
        <v>2986</v>
      </c>
      <c r="P976">
        <v>15.25</v>
      </c>
      <c r="Q976">
        <v>15.35</v>
      </c>
      <c r="R976">
        <v>14.15</v>
      </c>
      <c r="S976">
        <v>15.25</v>
      </c>
      <c r="T976">
        <v>15.25</v>
      </c>
      <c r="U976">
        <v>15.1</v>
      </c>
      <c r="W976">
        <v>15.25</v>
      </c>
      <c r="Z976">
        <v>80000</v>
      </c>
      <c r="AA976">
        <v>1212000</v>
      </c>
      <c r="AB976">
        <v>16</v>
      </c>
      <c r="AC976" t="s">
        <v>42</v>
      </c>
      <c r="AD976">
        <v>5000</v>
      </c>
    </row>
    <row r="977" spans="1:30">
      <c r="A977" t="str">
        <f>CONCATENATE(I977,J977)</f>
        <v>ENTEROEQ</v>
      </c>
      <c r="B977" s="34">
        <v>46273</v>
      </c>
      <c r="C977" s="34">
        <v>46273</v>
      </c>
      <c r="D977" t="s">
        <v>35</v>
      </c>
      <c r="E977" t="s">
        <v>36</v>
      </c>
      <c r="F977" t="s">
        <v>37</v>
      </c>
      <c r="G977">
        <v>22717</v>
      </c>
      <c r="H977" t="s">
        <v>2987</v>
      </c>
      <c r="I977" t="s">
        <v>2988</v>
      </c>
      <c r="J977" t="s">
        <v>161</v>
      </c>
      <c r="O977" t="s">
        <v>2989</v>
      </c>
      <c r="P977">
        <v>1895.1</v>
      </c>
      <c r="Q977">
        <v>1920</v>
      </c>
      <c r="R977">
        <v>1841.2</v>
      </c>
      <c r="S977">
        <v>1851.8</v>
      </c>
      <c r="T977">
        <v>1860</v>
      </c>
      <c r="U977">
        <v>1898.4</v>
      </c>
      <c r="W977">
        <v>1851.94</v>
      </c>
      <c r="Z977">
        <v>114511</v>
      </c>
      <c r="AA977">
        <v>214271651.09999999</v>
      </c>
      <c r="AB977">
        <v>12786</v>
      </c>
      <c r="AC977" t="s">
        <v>42</v>
      </c>
      <c r="AD977">
        <v>1</v>
      </c>
    </row>
    <row r="978" spans="1:30">
      <c r="A978" t="str">
        <f>CONCATENATE(I978,J978)</f>
        <v>ENILEQ</v>
      </c>
      <c r="B978" s="34">
        <v>46273</v>
      </c>
      <c r="C978" s="34">
        <v>46273</v>
      </c>
      <c r="D978" t="s">
        <v>35</v>
      </c>
      <c r="E978" t="s">
        <v>36</v>
      </c>
      <c r="F978" t="s">
        <v>37</v>
      </c>
      <c r="G978">
        <v>13192</v>
      </c>
      <c r="H978" t="s">
        <v>2990</v>
      </c>
      <c r="I978" t="s">
        <v>2991</v>
      </c>
      <c r="J978" t="s">
        <v>161</v>
      </c>
      <c r="O978" t="s">
        <v>2992</v>
      </c>
      <c r="P978">
        <v>101.4</v>
      </c>
      <c r="Q978">
        <v>103.19</v>
      </c>
      <c r="R978">
        <v>99.57</v>
      </c>
      <c r="S978">
        <v>100.21</v>
      </c>
      <c r="T978">
        <v>100.97</v>
      </c>
      <c r="U978">
        <v>101.34</v>
      </c>
      <c r="W978">
        <v>100.21</v>
      </c>
      <c r="Z978">
        <v>73276</v>
      </c>
      <c r="AA978">
        <v>7402403.7599999998</v>
      </c>
      <c r="AB978">
        <v>479</v>
      </c>
      <c r="AC978" t="s">
        <v>42</v>
      </c>
      <c r="AD978">
        <v>1</v>
      </c>
    </row>
    <row r="979" spans="1:30">
      <c r="A979" t="str">
        <f>CONCATENATE(I979,J979)</f>
        <v>EIELEQ</v>
      </c>
      <c r="B979" s="34">
        <v>46273</v>
      </c>
      <c r="C979" s="34">
        <v>46273</v>
      </c>
      <c r="D979" t="s">
        <v>35</v>
      </c>
      <c r="E979" t="s">
        <v>36</v>
      </c>
      <c r="F979" t="s">
        <v>37</v>
      </c>
      <c r="G979">
        <v>27213</v>
      </c>
      <c r="H979" t="s">
        <v>2993</v>
      </c>
      <c r="I979" t="s">
        <v>2994</v>
      </c>
      <c r="J979" t="s">
        <v>161</v>
      </c>
      <c r="O979" t="s">
        <v>2995</v>
      </c>
      <c r="P979">
        <v>198.03</v>
      </c>
      <c r="Q979">
        <v>200</v>
      </c>
      <c r="R979">
        <v>195.68</v>
      </c>
      <c r="S979">
        <v>196.2</v>
      </c>
      <c r="T979">
        <v>196.35</v>
      </c>
      <c r="U979">
        <v>198.33</v>
      </c>
      <c r="W979">
        <v>196.2</v>
      </c>
      <c r="Z979">
        <v>1029574</v>
      </c>
      <c r="AA979">
        <v>203649037.93000001</v>
      </c>
      <c r="AB979">
        <v>9507</v>
      </c>
      <c r="AC979" t="s">
        <v>42</v>
      </c>
      <c r="AD979">
        <v>1</v>
      </c>
    </row>
    <row r="980" spans="1:30">
      <c r="A980" t="str">
        <f>CONCATENATE(I980,J980)</f>
        <v>ENVIROSM</v>
      </c>
      <c r="B980" s="34">
        <v>46273</v>
      </c>
      <c r="C980" s="34">
        <v>46273</v>
      </c>
      <c r="D980" t="s">
        <v>35</v>
      </c>
      <c r="E980" t="s">
        <v>36</v>
      </c>
      <c r="F980" t="s">
        <v>37</v>
      </c>
      <c r="G980">
        <v>25412</v>
      </c>
      <c r="H980" t="s">
        <v>2996</v>
      </c>
      <c r="I980" t="s">
        <v>2997</v>
      </c>
      <c r="J980" t="s">
        <v>267</v>
      </c>
      <c r="O980" t="s">
        <v>2998</v>
      </c>
      <c r="P980">
        <v>72</v>
      </c>
      <c r="Q980">
        <v>72</v>
      </c>
      <c r="R980">
        <v>69.95</v>
      </c>
      <c r="S980">
        <v>69.95</v>
      </c>
      <c r="T980">
        <v>70</v>
      </c>
      <c r="U980">
        <v>69.75</v>
      </c>
      <c r="W980">
        <v>69.95</v>
      </c>
      <c r="Z980">
        <v>24000</v>
      </c>
      <c r="AA980">
        <v>1689250</v>
      </c>
      <c r="AB980">
        <v>21</v>
      </c>
      <c r="AC980" t="s">
        <v>42</v>
      </c>
      <c r="AD980">
        <v>1000</v>
      </c>
    </row>
    <row r="981" spans="1:30">
      <c r="A981" t="str">
        <f>CONCATENATE(I981,J981)</f>
        <v>EPACKEQ</v>
      </c>
      <c r="B981" s="34">
        <v>46273</v>
      </c>
      <c r="C981" s="34">
        <v>46273</v>
      </c>
      <c r="D981" t="s">
        <v>35</v>
      </c>
      <c r="E981" t="s">
        <v>36</v>
      </c>
      <c r="F981" t="s">
        <v>37</v>
      </c>
      <c r="G981">
        <v>22463</v>
      </c>
      <c r="H981" t="s">
        <v>2999</v>
      </c>
      <c r="I981" t="s">
        <v>3000</v>
      </c>
      <c r="J981" t="s">
        <v>161</v>
      </c>
      <c r="O981" t="s">
        <v>3001</v>
      </c>
      <c r="P981">
        <v>186.31</v>
      </c>
      <c r="Q981">
        <v>190.24</v>
      </c>
      <c r="R981">
        <v>186</v>
      </c>
      <c r="S981">
        <v>187.38</v>
      </c>
      <c r="T981">
        <v>188.94</v>
      </c>
      <c r="U981">
        <v>186.33</v>
      </c>
      <c r="W981">
        <v>187.39</v>
      </c>
      <c r="Z981">
        <v>327225</v>
      </c>
      <c r="AA981">
        <v>61612604.740000002</v>
      </c>
      <c r="AB981">
        <v>6348</v>
      </c>
      <c r="AC981" t="s">
        <v>42</v>
      </c>
      <c r="AD981">
        <v>1</v>
      </c>
    </row>
    <row r="982" spans="1:30">
      <c r="A982" t="str">
        <f>CONCATENATE(I982,J982)</f>
        <v>EPACKPEBEQ</v>
      </c>
      <c r="B982" s="34">
        <v>46273</v>
      </c>
      <c r="C982" s="34">
        <v>46273</v>
      </c>
      <c r="D982" t="s">
        <v>35</v>
      </c>
      <c r="E982" t="s">
        <v>36</v>
      </c>
      <c r="F982" t="s">
        <v>37</v>
      </c>
      <c r="G982">
        <v>759251</v>
      </c>
      <c r="H982" t="s">
        <v>3002</v>
      </c>
      <c r="I982" t="s">
        <v>3003</v>
      </c>
      <c r="J982" t="s">
        <v>161</v>
      </c>
      <c r="O982" t="s">
        <v>3004</v>
      </c>
      <c r="P982">
        <v>233</v>
      </c>
      <c r="Q982">
        <v>238.8</v>
      </c>
      <c r="R982">
        <v>231.01</v>
      </c>
      <c r="S982">
        <v>234</v>
      </c>
      <c r="T982">
        <v>234.89</v>
      </c>
      <c r="U982">
        <v>230.44</v>
      </c>
      <c r="W982">
        <v>234.01</v>
      </c>
      <c r="Z982">
        <v>560975</v>
      </c>
      <c r="AA982">
        <v>131962533.44</v>
      </c>
      <c r="AB982">
        <v>12521</v>
      </c>
      <c r="AC982" t="s">
        <v>42</v>
      </c>
      <c r="AD982">
        <v>1</v>
      </c>
    </row>
    <row r="983" spans="1:30">
      <c r="A983" t="str">
        <f>CONCATENATE(I983,J983)</f>
        <v>EPIGRALEQ</v>
      </c>
      <c r="B983" s="34">
        <v>46273</v>
      </c>
      <c r="C983" s="34">
        <v>46273</v>
      </c>
      <c r="D983" t="s">
        <v>35</v>
      </c>
      <c r="E983" t="s">
        <v>36</v>
      </c>
      <c r="F983" t="s">
        <v>37</v>
      </c>
      <c r="G983">
        <v>5382</v>
      </c>
      <c r="H983" t="s">
        <v>3005</v>
      </c>
      <c r="I983" t="s">
        <v>3006</v>
      </c>
      <c r="J983" t="s">
        <v>161</v>
      </c>
      <c r="O983" t="s">
        <v>3007</v>
      </c>
      <c r="P983">
        <v>1215</v>
      </c>
      <c r="Q983">
        <v>1215</v>
      </c>
      <c r="R983">
        <v>1172.4000000000001</v>
      </c>
      <c r="S983">
        <v>1189.8</v>
      </c>
      <c r="T983">
        <v>1191.8</v>
      </c>
      <c r="U983">
        <v>1179.8</v>
      </c>
      <c r="W983">
        <v>1189.81</v>
      </c>
      <c r="Z983">
        <v>30444</v>
      </c>
      <c r="AA983">
        <v>36157459.100000001</v>
      </c>
      <c r="AB983">
        <v>5592</v>
      </c>
      <c r="AC983" t="s">
        <v>42</v>
      </c>
      <c r="AD983">
        <v>1</v>
      </c>
    </row>
    <row r="984" spans="1:30">
      <c r="A984" t="str">
        <f>CONCATENATE(I984,J984)</f>
        <v>EPLEQ</v>
      </c>
      <c r="B984" s="34">
        <v>46273</v>
      </c>
      <c r="C984" s="34">
        <v>46273</v>
      </c>
      <c r="D984" t="s">
        <v>35</v>
      </c>
      <c r="E984" t="s">
        <v>36</v>
      </c>
      <c r="F984" t="s">
        <v>37</v>
      </c>
      <c r="G984">
        <v>981</v>
      </c>
      <c r="H984" t="s">
        <v>3008</v>
      </c>
      <c r="I984" t="s">
        <v>3009</v>
      </c>
      <c r="J984" t="s">
        <v>161</v>
      </c>
      <c r="O984" t="s">
        <v>3010</v>
      </c>
      <c r="P984">
        <v>248.1</v>
      </c>
      <c r="Q984">
        <v>252.6</v>
      </c>
      <c r="R984">
        <v>245.95</v>
      </c>
      <c r="S984">
        <v>248.1</v>
      </c>
      <c r="T984">
        <v>248.9</v>
      </c>
      <c r="U984">
        <v>248.95</v>
      </c>
      <c r="W984">
        <v>248.1</v>
      </c>
      <c r="Z984">
        <v>3071783</v>
      </c>
      <c r="AA984">
        <v>762858542</v>
      </c>
      <c r="AB984">
        <v>31365</v>
      </c>
      <c r="AC984" t="s">
        <v>42</v>
      </c>
      <c r="AD984">
        <v>1</v>
      </c>
    </row>
    <row r="985" spans="1:30">
      <c r="A985" t="str">
        <f>CONCATENATE(I985,J985)</f>
        <v>EEPLST</v>
      </c>
      <c r="B985" s="34">
        <v>46273</v>
      </c>
      <c r="C985" s="34">
        <v>46273</v>
      </c>
      <c r="D985" t="s">
        <v>35</v>
      </c>
      <c r="E985" t="s">
        <v>36</v>
      </c>
      <c r="F985" t="s">
        <v>37</v>
      </c>
      <c r="G985">
        <v>758349</v>
      </c>
      <c r="H985" t="s">
        <v>3011</v>
      </c>
      <c r="I985" t="s">
        <v>3012</v>
      </c>
      <c r="J985" t="s">
        <v>328</v>
      </c>
      <c r="O985" t="s">
        <v>3013</v>
      </c>
      <c r="P985">
        <v>143</v>
      </c>
      <c r="Q985">
        <v>143</v>
      </c>
      <c r="R985">
        <v>138</v>
      </c>
      <c r="S985">
        <v>141</v>
      </c>
      <c r="T985">
        <v>141</v>
      </c>
      <c r="U985">
        <v>141</v>
      </c>
      <c r="W985">
        <v>141</v>
      </c>
      <c r="Z985">
        <v>15000</v>
      </c>
      <c r="AA985">
        <v>2099600</v>
      </c>
      <c r="AB985">
        <v>15</v>
      </c>
      <c r="AC985" t="s">
        <v>42</v>
      </c>
      <c r="AD985">
        <v>1000</v>
      </c>
    </row>
    <row r="986" spans="1:30">
      <c r="A986" t="str">
        <f>CONCATENATE(I986,J986)</f>
        <v>EQUIPPPBE</v>
      </c>
      <c r="B986" s="34">
        <v>46273</v>
      </c>
      <c r="C986" s="34">
        <v>46273</v>
      </c>
      <c r="D986" t="s">
        <v>35</v>
      </c>
      <c r="E986" t="s">
        <v>36</v>
      </c>
      <c r="F986" t="s">
        <v>37</v>
      </c>
      <c r="G986">
        <v>3553</v>
      </c>
      <c r="H986" t="s">
        <v>3014</v>
      </c>
      <c r="I986" t="s">
        <v>3015</v>
      </c>
      <c r="J986" t="s">
        <v>183</v>
      </c>
      <c r="O986" t="s">
        <v>3016</v>
      </c>
      <c r="P986">
        <v>22.85</v>
      </c>
      <c r="Q986">
        <v>23.99</v>
      </c>
      <c r="R986">
        <v>22.02</v>
      </c>
      <c r="S986">
        <v>23.8</v>
      </c>
      <c r="T986">
        <v>23.8</v>
      </c>
      <c r="U986">
        <v>22.85</v>
      </c>
      <c r="W986">
        <v>23.8</v>
      </c>
      <c r="Z986">
        <v>60920</v>
      </c>
      <c r="AA986">
        <v>1447436.18</v>
      </c>
      <c r="AB986">
        <v>54</v>
      </c>
      <c r="AC986" t="s">
        <v>42</v>
      </c>
      <c r="AD986">
        <v>1</v>
      </c>
    </row>
    <row r="987" spans="1:30">
      <c r="A987" t="str">
        <f>CONCATENATE(I987,J987)</f>
        <v>EQUITASBNKEQ</v>
      </c>
      <c r="B987" s="34">
        <v>46273</v>
      </c>
      <c r="C987" s="34">
        <v>46273</v>
      </c>
      <c r="D987" t="s">
        <v>35</v>
      </c>
      <c r="E987" t="s">
        <v>36</v>
      </c>
      <c r="F987" t="s">
        <v>37</v>
      </c>
      <c r="G987">
        <v>913</v>
      </c>
      <c r="H987" t="s">
        <v>3017</v>
      </c>
      <c r="I987" t="s">
        <v>3018</v>
      </c>
      <c r="J987" t="s">
        <v>161</v>
      </c>
      <c r="O987" t="s">
        <v>3019</v>
      </c>
      <c r="P987">
        <v>73.2</v>
      </c>
      <c r="Q987">
        <v>73.22</v>
      </c>
      <c r="R987">
        <v>72.3</v>
      </c>
      <c r="S987">
        <v>72.540000000000006</v>
      </c>
      <c r="T987">
        <v>72.5</v>
      </c>
      <c r="U987">
        <v>73.349999999999994</v>
      </c>
      <c r="W987">
        <v>72.540000000000006</v>
      </c>
      <c r="Z987">
        <v>1142583</v>
      </c>
      <c r="AA987">
        <v>82936197.030000001</v>
      </c>
      <c r="AB987">
        <v>10592</v>
      </c>
      <c r="AC987" t="s">
        <v>42</v>
      </c>
      <c r="AD987">
        <v>1</v>
      </c>
    </row>
    <row r="988" spans="1:30">
      <c r="A988" t="str">
        <f>CONCATENATE(I988,J988)</f>
        <v>ERISEQ</v>
      </c>
      <c r="B988" s="34">
        <v>46273</v>
      </c>
      <c r="C988" s="34">
        <v>46273</v>
      </c>
      <c r="D988" t="s">
        <v>35</v>
      </c>
      <c r="E988" t="s">
        <v>36</v>
      </c>
      <c r="F988" t="s">
        <v>37</v>
      </c>
      <c r="G988">
        <v>21154</v>
      </c>
      <c r="H988" t="s">
        <v>3020</v>
      </c>
      <c r="I988" t="s">
        <v>3021</v>
      </c>
      <c r="J988" t="s">
        <v>161</v>
      </c>
      <c r="O988" t="s">
        <v>3022</v>
      </c>
      <c r="P988">
        <v>1322.9</v>
      </c>
      <c r="Q988">
        <v>1333.8</v>
      </c>
      <c r="R988">
        <v>1315.1</v>
      </c>
      <c r="S988">
        <v>1324.7</v>
      </c>
      <c r="T988">
        <v>1324.8</v>
      </c>
      <c r="U988">
        <v>1324.3</v>
      </c>
      <c r="W988">
        <v>1324.7</v>
      </c>
      <c r="Z988">
        <v>28743</v>
      </c>
      <c r="AA988">
        <v>38062923.799999997</v>
      </c>
      <c r="AB988">
        <v>5055</v>
      </c>
      <c r="AC988" t="s">
        <v>42</v>
      </c>
      <c r="AD988">
        <v>1</v>
      </c>
    </row>
    <row r="989" spans="1:30">
      <c r="A989" t="str">
        <f>CONCATENATE(I989,J989)</f>
        <v>ESABINDIAEQ</v>
      </c>
      <c r="B989" s="34">
        <v>46273</v>
      </c>
      <c r="C989" s="34">
        <v>46273</v>
      </c>
      <c r="D989" t="s">
        <v>35</v>
      </c>
      <c r="E989" t="s">
        <v>36</v>
      </c>
      <c r="F989" t="s">
        <v>37</v>
      </c>
      <c r="G989">
        <v>955</v>
      </c>
      <c r="H989" t="s">
        <v>3023</v>
      </c>
      <c r="I989" t="s">
        <v>3024</v>
      </c>
      <c r="J989" t="s">
        <v>161</v>
      </c>
      <c r="O989" t="s">
        <v>3025</v>
      </c>
      <c r="P989">
        <v>6109</v>
      </c>
      <c r="Q989">
        <v>6117.5</v>
      </c>
      <c r="R989">
        <v>6010</v>
      </c>
      <c r="S989">
        <v>6067</v>
      </c>
      <c r="T989">
        <v>6051</v>
      </c>
      <c r="U989">
        <v>6092</v>
      </c>
      <c r="W989">
        <v>6067.26</v>
      </c>
      <c r="Z989">
        <v>4719</v>
      </c>
      <c r="AA989">
        <v>28563242</v>
      </c>
      <c r="AB989">
        <v>1884</v>
      </c>
      <c r="AC989" t="s">
        <v>42</v>
      </c>
      <c r="AD989">
        <v>1</v>
      </c>
    </row>
    <row r="990" spans="1:30">
      <c r="A990" t="str">
        <f>CONCATENATE(I990,J990)</f>
        <v>ESAFSFBBE</v>
      </c>
      <c r="B990" s="34">
        <v>46273</v>
      </c>
      <c r="C990" s="34">
        <v>46273</v>
      </c>
      <c r="D990" t="s">
        <v>35</v>
      </c>
      <c r="E990" t="s">
        <v>36</v>
      </c>
      <c r="F990" t="s">
        <v>37</v>
      </c>
      <c r="G990">
        <v>19884</v>
      </c>
      <c r="H990" t="s">
        <v>3026</v>
      </c>
      <c r="I990" t="s">
        <v>3027</v>
      </c>
      <c r="J990" t="s">
        <v>183</v>
      </c>
      <c r="O990" t="s">
        <v>3028</v>
      </c>
      <c r="P990">
        <v>41.5</v>
      </c>
      <c r="Q990">
        <v>41.69</v>
      </c>
      <c r="R990">
        <v>40.5</v>
      </c>
      <c r="S990">
        <v>41.47</v>
      </c>
      <c r="T990">
        <v>41.11</v>
      </c>
      <c r="U990">
        <v>41.76</v>
      </c>
      <c r="W990">
        <v>41.47</v>
      </c>
      <c r="Z990">
        <v>602956</v>
      </c>
      <c r="AA990">
        <v>24760091.329999998</v>
      </c>
      <c r="AB990">
        <v>2691</v>
      </c>
      <c r="AC990" t="s">
        <v>42</v>
      </c>
      <c r="AD990">
        <v>1</v>
      </c>
    </row>
    <row r="991" spans="1:30">
      <c r="A991" t="str">
        <f>CONCATENATE(I991,J991)</f>
        <v>ESCONETST</v>
      </c>
      <c r="B991" s="34">
        <v>46273</v>
      </c>
      <c r="C991" s="34">
        <v>46273</v>
      </c>
      <c r="D991" t="s">
        <v>35</v>
      </c>
      <c r="E991" t="s">
        <v>36</v>
      </c>
      <c r="F991" t="s">
        <v>37</v>
      </c>
      <c r="G991">
        <v>22767</v>
      </c>
      <c r="H991" t="s">
        <v>3029</v>
      </c>
      <c r="I991" t="s">
        <v>3030</v>
      </c>
      <c r="J991" t="s">
        <v>328</v>
      </c>
      <c r="O991" t="s">
        <v>3031</v>
      </c>
      <c r="P991">
        <v>250.1</v>
      </c>
      <c r="Q991">
        <v>260</v>
      </c>
      <c r="R991">
        <v>236.95</v>
      </c>
      <c r="S991">
        <v>236.95</v>
      </c>
      <c r="T991">
        <v>236.95</v>
      </c>
      <c r="U991">
        <v>249.4</v>
      </c>
      <c r="W991">
        <v>236.95</v>
      </c>
      <c r="Z991">
        <v>26000</v>
      </c>
      <c r="AA991">
        <v>6424340</v>
      </c>
      <c r="AB991">
        <v>59</v>
      </c>
      <c r="AC991" t="s">
        <v>42</v>
      </c>
      <c r="AD991">
        <v>400</v>
      </c>
    </row>
    <row r="992" spans="1:30">
      <c r="A992" t="str">
        <f>CONCATENATE(I992,J992)</f>
        <v>ESCORTSEQ</v>
      </c>
      <c r="B992" s="34">
        <v>46273</v>
      </c>
      <c r="C992" s="34">
        <v>46273</v>
      </c>
      <c r="D992" t="s">
        <v>35</v>
      </c>
      <c r="E992" t="s">
        <v>36</v>
      </c>
      <c r="F992" t="s">
        <v>37</v>
      </c>
      <c r="G992">
        <v>958</v>
      </c>
      <c r="H992" t="s">
        <v>3032</v>
      </c>
      <c r="I992" t="s">
        <v>3033</v>
      </c>
      <c r="J992" t="s">
        <v>161</v>
      </c>
      <c r="O992" t="s">
        <v>3034</v>
      </c>
      <c r="P992">
        <v>2980.3</v>
      </c>
      <c r="Q992">
        <v>3029.3</v>
      </c>
      <c r="R992">
        <v>2962.2</v>
      </c>
      <c r="S992">
        <v>3013.2</v>
      </c>
      <c r="T992">
        <v>3013.8</v>
      </c>
      <c r="U992">
        <v>2957.4</v>
      </c>
      <c r="W992">
        <v>3013.16</v>
      </c>
      <c r="Z992">
        <v>65334</v>
      </c>
      <c r="AA992">
        <v>196272244.90000001</v>
      </c>
      <c r="AB992">
        <v>11316</v>
      </c>
      <c r="AC992" t="s">
        <v>42</v>
      </c>
      <c r="AD992">
        <v>1</v>
      </c>
    </row>
    <row r="993" spans="1:30">
      <c r="A993" t="str">
        <f>CONCATENATE(I993,J993)</f>
        <v>ESDSEQ</v>
      </c>
      <c r="B993" s="34">
        <v>46273</v>
      </c>
      <c r="C993" s="34">
        <v>46273</v>
      </c>
      <c r="D993" t="s">
        <v>35</v>
      </c>
      <c r="E993" t="s">
        <v>36</v>
      </c>
      <c r="F993" t="s">
        <v>37</v>
      </c>
      <c r="G993">
        <v>765553</v>
      </c>
      <c r="H993" t="s">
        <v>3035</v>
      </c>
      <c r="I993" t="s">
        <v>3036</v>
      </c>
      <c r="J993" t="s">
        <v>161</v>
      </c>
      <c r="O993" t="s">
        <v>3037</v>
      </c>
      <c r="P993">
        <v>1189</v>
      </c>
      <c r="Q993">
        <v>1308.05</v>
      </c>
      <c r="R993">
        <v>1140.5999999999999</v>
      </c>
      <c r="S993">
        <v>1308.05</v>
      </c>
      <c r="T993">
        <v>1308.05</v>
      </c>
      <c r="U993">
        <v>1090.05</v>
      </c>
      <c r="W993">
        <v>1307.1099999999999</v>
      </c>
      <c r="Z993">
        <v>12761472</v>
      </c>
      <c r="AA993">
        <v>15784217466.700001</v>
      </c>
      <c r="AB993">
        <v>334076</v>
      </c>
      <c r="AC993" t="s">
        <v>42</v>
      </c>
      <c r="AD993">
        <v>1</v>
      </c>
    </row>
    <row r="994" spans="1:30">
      <c r="A994" t="str">
        <f>CONCATENATE(I994,J994)</f>
        <v>ESPRITSM</v>
      </c>
      <c r="B994" s="34">
        <v>46273</v>
      </c>
      <c r="C994" s="34">
        <v>46273</v>
      </c>
      <c r="D994" t="s">
        <v>35</v>
      </c>
      <c r="E994" t="s">
        <v>36</v>
      </c>
      <c r="F994" t="s">
        <v>37</v>
      </c>
      <c r="G994">
        <v>24678</v>
      </c>
      <c r="H994" t="s">
        <v>3038</v>
      </c>
      <c r="I994" t="s">
        <v>3039</v>
      </c>
      <c r="J994" t="s">
        <v>267</v>
      </c>
      <c r="O994" t="s">
        <v>3040</v>
      </c>
      <c r="P994">
        <v>63.25</v>
      </c>
      <c r="Q994">
        <v>66.8</v>
      </c>
      <c r="R994">
        <v>63.25</v>
      </c>
      <c r="S994">
        <v>64.5</v>
      </c>
      <c r="T994">
        <v>64.5</v>
      </c>
      <c r="U994">
        <v>62</v>
      </c>
      <c r="W994">
        <v>64.5</v>
      </c>
      <c r="Z994">
        <v>11200</v>
      </c>
      <c r="AA994">
        <v>730960</v>
      </c>
      <c r="AB994">
        <v>6</v>
      </c>
      <c r="AC994" t="s">
        <v>42</v>
      </c>
      <c r="AD994">
        <v>1600</v>
      </c>
    </row>
    <row r="995" spans="1:30">
      <c r="A995" t="str">
        <f>CONCATENATE(I995,J995)</f>
        <v>ESSARSHPNGEQ</v>
      </c>
      <c r="B995" s="34">
        <v>46273</v>
      </c>
      <c r="C995" s="34">
        <v>46273</v>
      </c>
      <c r="D995" t="s">
        <v>35</v>
      </c>
      <c r="E995" t="s">
        <v>36</v>
      </c>
      <c r="F995" t="s">
        <v>37</v>
      </c>
      <c r="G995">
        <v>25634</v>
      </c>
      <c r="H995" t="s">
        <v>3041</v>
      </c>
      <c r="I995" t="s">
        <v>3042</v>
      </c>
      <c r="J995" t="s">
        <v>161</v>
      </c>
      <c r="O995" t="s">
        <v>3043</v>
      </c>
      <c r="P995">
        <v>16.5</v>
      </c>
      <c r="Q995">
        <v>16.86</v>
      </c>
      <c r="R995">
        <v>15.9</v>
      </c>
      <c r="S995">
        <v>16.05</v>
      </c>
      <c r="T995">
        <v>15.9</v>
      </c>
      <c r="U995">
        <v>16.41</v>
      </c>
      <c r="W995">
        <v>16.07</v>
      </c>
      <c r="Z995">
        <v>303769</v>
      </c>
      <c r="AA995">
        <v>4945688.9000000004</v>
      </c>
      <c r="AB995">
        <v>832</v>
      </c>
      <c r="AC995" t="s">
        <v>42</v>
      </c>
      <c r="AD995">
        <v>1</v>
      </c>
    </row>
    <row r="996" spans="1:30">
      <c r="A996" t="str">
        <f>CONCATENATE(I996,J996)</f>
        <v>ESFLSM</v>
      </c>
      <c r="B996" s="34">
        <v>46273</v>
      </c>
      <c r="C996" s="34">
        <v>46273</v>
      </c>
      <c r="D996" t="s">
        <v>35</v>
      </c>
      <c r="E996" t="s">
        <v>36</v>
      </c>
      <c r="F996" t="s">
        <v>37</v>
      </c>
      <c r="G996">
        <v>17084</v>
      </c>
      <c r="H996" t="s">
        <v>3044</v>
      </c>
      <c r="I996" t="s">
        <v>3045</v>
      </c>
      <c r="J996" t="s">
        <v>267</v>
      </c>
      <c r="O996" t="s">
        <v>3046</v>
      </c>
      <c r="P996">
        <v>115</v>
      </c>
      <c r="Q996">
        <v>120</v>
      </c>
      <c r="R996">
        <v>113.95</v>
      </c>
      <c r="S996">
        <v>119.3</v>
      </c>
      <c r="T996">
        <v>117.6</v>
      </c>
      <c r="U996">
        <v>115.15</v>
      </c>
      <c r="W996">
        <v>119.3</v>
      </c>
      <c r="Z996">
        <v>17640</v>
      </c>
      <c r="AA996">
        <v>2074410</v>
      </c>
      <c r="AB996">
        <v>43</v>
      </c>
      <c r="AC996" t="s">
        <v>42</v>
      </c>
      <c r="AD996">
        <v>360</v>
      </c>
    </row>
    <row r="997" spans="1:30">
      <c r="A997" t="str">
        <f>CONCATENATE(I997,J997)</f>
        <v>ESTEREQ</v>
      </c>
      <c r="B997" s="34">
        <v>46273</v>
      </c>
      <c r="C997" s="34">
        <v>46273</v>
      </c>
      <c r="D997" t="s">
        <v>35</v>
      </c>
      <c r="E997" t="s">
        <v>36</v>
      </c>
      <c r="F997" t="s">
        <v>37</v>
      </c>
      <c r="G997">
        <v>24265</v>
      </c>
      <c r="H997" t="s">
        <v>3047</v>
      </c>
      <c r="I997" t="s">
        <v>3048</v>
      </c>
      <c r="J997" t="s">
        <v>161</v>
      </c>
      <c r="O997" t="s">
        <v>3049</v>
      </c>
      <c r="P997">
        <v>91.5</v>
      </c>
      <c r="Q997">
        <v>92.39</v>
      </c>
      <c r="R997">
        <v>91.02</v>
      </c>
      <c r="S997">
        <v>91.43</v>
      </c>
      <c r="T997">
        <v>91.5</v>
      </c>
      <c r="U997">
        <v>91.54</v>
      </c>
      <c r="W997">
        <v>91.44</v>
      </c>
      <c r="Z997">
        <v>49070</v>
      </c>
      <c r="AA997">
        <v>4489501.79</v>
      </c>
      <c r="AB997">
        <v>893</v>
      </c>
      <c r="AC997" t="s">
        <v>42</v>
      </c>
      <c r="AD997">
        <v>1</v>
      </c>
    </row>
    <row r="998" spans="1:30">
      <c r="A998" t="str">
        <f>CONCATENATE(I998,J998)</f>
        <v>ETERNALEQ</v>
      </c>
      <c r="B998" s="34">
        <v>46273</v>
      </c>
      <c r="C998" s="34">
        <v>46273</v>
      </c>
      <c r="D998" t="s">
        <v>35</v>
      </c>
      <c r="E998" t="s">
        <v>36</v>
      </c>
      <c r="F998" t="s">
        <v>37</v>
      </c>
      <c r="G998">
        <v>5097</v>
      </c>
      <c r="H998" t="s">
        <v>3050</v>
      </c>
      <c r="I998" t="s">
        <v>3051</v>
      </c>
      <c r="J998" t="s">
        <v>161</v>
      </c>
      <c r="O998" t="s">
        <v>3052</v>
      </c>
      <c r="P998">
        <v>320.8</v>
      </c>
      <c r="Q998">
        <v>324.3</v>
      </c>
      <c r="R998">
        <v>320.5</v>
      </c>
      <c r="S998">
        <v>321.60000000000002</v>
      </c>
      <c r="T998">
        <v>321.60000000000002</v>
      </c>
      <c r="U998">
        <v>320.8</v>
      </c>
      <c r="W998">
        <v>321.60000000000002</v>
      </c>
      <c r="Z998">
        <v>10662039</v>
      </c>
      <c r="AA998">
        <v>3435196011.1500001</v>
      </c>
      <c r="AB998">
        <v>115528</v>
      </c>
      <c r="AC998" t="s">
        <v>42</v>
      </c>
      <c r="AD998">
        <v>1</v>
      </c>
    </row>
    <row r="999" spans="1:30">
      <c r="A999" t="str">
        <f>CONCATENATE(I999,J999)</f>
        <v>ETHOSLTDEQ</v>
      </c>
      <c r="B999" s="34">
        <v>46273</v>
      </c>
      <c r="C999" s="34">
        <v>46273</v>
      </c>
      <c r="D999" t="s">
        <v>35</v>
      </c>
      <c r="E999" t="s">
        <v>36</v>
      </c>
      <c r="F999" t="s">
        <v>37</v>
      </c>
      <c r="G999">
        <v>9750</v>
      </c>
      <c r="H999" t="s">
        <v>3053</v>
      </c>
      <c r="I999" t="s">
        <v>3054</v>
      </c>
      <c r="J999" t="s">
        <v>161</v>
      </c>
      <c r="O999" t="s">
        <v>3055</v>
      </c>
      <c r="P999">
        <v>2779</v>
      </c>
      <c r="Q999">
        <v>2800</v>
      </c>
      <c r="R999">
        <v>2736.7</v>
      </c>
      <c r="S999">
        <v>2761.5</v>
      </c>
      <c r="T999">
        <v>2769.3</v>
      </c>
      <c r="U999">
        <v>2746.6</v>
      </c>
      <c r="W999">
        <v>2761.4</v>
      </c>
      <c r="Z999">
        <v>17259</v>
      </c>
      <c r="AA999">
        <v>47716107.299999997</v>
      </c>
      <c r="AB999">
        <v>5002</v>
      </c>
      <c r="AC999" t="s">
        <v>42</v>
      </c>
      <c r="AD999">
        <v>1</v>
      </c>
    </row>
    <row r="1000" spans="1:30">
      <c r="A1000" t="str">
        <f>CONCATENATE(I1000,J1000)</f>
        <v>EUREKAFORBEQ</v>
      </c>
      <c r="B1000" s="34">
        <v>46273</v>
      </c>
      <c r="C1000" s="34">
        <v>46273</v>
      </c>
      <c r="D1000" t="s">
        <v>35</v>
      </c>
      <c r="E1000" t="s">
        <v>36</v>
      </c>
      <c r="F1000" t="s">
        <v>37</v>
      </c>
      <c r="G1000">
        <v>25162</v>
      </c>
      <c r="H1000" t="s">
        <v>3056</v>
      </c>
      <c r="I1000" t="s">
        <v>3057</v>
      </c>
      <c r="J1000" t="s">
        <v>161</v>
      </c>
      <c r="O1000" t="s">
        <v>3058</v>
      </c>
      <c r="P1000">
        <v>407.9</v>
      </c>
      <c r="Q1000">
        <v>412.05</v>
      </c>
      <c r="R1000">
        <v>404.55</v>
      </c>
      <c r="S1000">
        <v>408.55</v>
      </c>
      <c r="T1000">
        <v>409</v>
      </c>
      <c r="U1000">
        <v>406.2</v>
      </c>
      <c r="W1000">
        <v>408.55</v>
      </c>
      <c r="Z1000">
        <v>101526</v>
      </c>
      <c r="AA1000">
        <v>41529118.799999997</v>
      </c>
      <c r="AB1000">
        <v>8653</v>
      </c>
      <c r="AC1000" t="s">
        <v>42</v>
      </c>
      <c r="AD1000">
        <v>1</v>
      </c>
    </row>
    <row r="1001" spans="1:30">
      <c r="A1001" t="str">
        <f>CONCATENATE(I1001,J1001)</f>
        <v>EIFFLBE</v>
      </c>
      <c r="B1001" s="34">
        <v>46273</v>
      </c>
      <c r="C1001" s="34">
        <v>46273</v>
      </c>
      <c r="D1001" t="s">
        <v>35</v>
      </c>
      <c r="E1001" t="s">
        <v>36</v>
      </c>
      <c r="F1001" t="s">
        <v>37</v>
      </c>
      <c r="G1001">
        <v>6042</v>
      </c>
      <c r="H1001" t="s">
        <v>3059</v>
      </c>
      <c r="I1001" t="s">
        <v>3060</v>
      </c>
      <c r="J1001" t="s">
        <v>183</v>
      </c>
      <c r="O1001" t="s">
        <v>3061</v>
      </c>
      <c r="P1001">
        <v>263.55</v>
      </c>
      <c r="Q1001">
        <v>265</v>
      </c>
      <c r="R1001">
        <v>263.55</v>
      </c>
      <c r="S1001">
        <v>265</v>
      </c>
      <c r="T1001">
        <v>265</v>
      </c>
      <c r="U1001">
        <v>268.89999999999998</v>
      </c>
      <c r="W1001">
        <v>265</v>
      </c>
      <c r="Z1001">
        <v>3197</v>
      </c>
      <c r="AA1001">
        <v>844028.05</v>
      </c>
      <c r="AB1001">
        <v>34</v>
      </c>
      <c r="AC1001" t="s">
        <v>42</v>
      </c>
      <c r="AD1001">
        <v>1</v>
      </c>
    </row>
    <row r="1002" spans="1:30">
      <c r="A1002" t="str">
        <f>CONCATENATE(I1002,J1002)</f>
        <v>EUROBONDEQ</v>
      </c>
      <c r="B1002" s="34">
        <v>46273</v>
      </c>
      <c r="C1002" s="34">
        <v>46273</v>
      </c>
      <c r="D1002" t="s">
        <v>35</v>
      </c>
      <c r="E1002" t="s">
        <v>36</v>
      </c>
      <c r="F1002" t="s">
        <v>37</v>
      </c>
      <c r="G1002">
        <v>757953</v>
      </c>
      <c r="H1002" t="s">
        <v>3062</v>
      </c>
      <c r="I1002" t="s">
        <v>3063</v>
      </c>
      <c r="J1002" t="s">
        <v>161</v>
      </c>
      <c r="O1002" t="s">
        <v>3064</v>
      </c>
      <c r="P1002">
        <v>154.80000000000001</v>
      </c>
      <c r="Q1002">
        <v>155.79</v>
      </c>
      <c r="R1002">
        <v>148.25</v>
      </c>
      <c r="S1002">
        <v>154.63</v>
      </c>
      <c r="T1002">
        <v>154</v>
      </c>
      <c r="U1002">
        <v>150.78</v>
      </c>
      <c r="W1002">
        <v>154.46</v>
      </c>
      <c r="Z1002">
        <v>2142</v>
      </c>
      <c r="AA1002">
        <v>328943.75</v>
      </c>
      <c r="AB1002">
        <v>160</v>
      </c>
      <c r="AC1002" t="s">
        <v>42</v>
      </c>
      <c r="AD1002">
        <v>1</v>
      </c>
    </row>
    <row r="1003" spans="1:30">
      <c r="A1003" t="str">
        <f>CONCATENATE(I1003,J1003)</f>
        <v>EUROPRATIKEQ</v>
      </c>
      <c r="B1003" s="34">
        <v>46273</v>
      </c>
      <c r="C1003" s="34">
        <v>46273</v>
      </c>
      <c r="D1003" t="s">
        <v>35</v>
      </c>
      <c r="E1003" t="s">
        <v>36</v>
      </c>
      <c r="F1003" t="s">
        <v>37</v>
      </c>
      <c r="G1003">
        <v>759797</v>
      </c>
      <c r="H1003" t="s">
        <v>3065</v>
      </c>
      <c r="I1003" t="s">
        <v>3066</v>
      </c>
      <c r="J1003" t="s">
        <v>161</v>
      </c>
      <c r="O1003" t="s">
        <v>3067</v>
      </c>
      <c r="P1003">
        <v>257</v>
      </c>
      <c r="Q1003">
        <v>259.60000000000002</v>
      </c>
      <c r="R1003">
        <v>254.55</v>
      </c>
      <c r="S1003">
        <v>256.95</v>
      </c>
      <c r="T1003">
        <v>259.60000000000002</v>
      </c>
      <c r="U1003">
        <v>257</v>
      </c>
      <c r="W1003">
        <v>256.95999999999998</v>
      </c>
      <c r="Z1003">
        <v>162490</v>
      </c>
      <c r="AA1003">
        <v>41819509.049999997</v>
      </c>
      <c r="AB1003">
        <v>2692</v>
      </c>
      <c r="AC1003" t="s">
        <v>42</v>
      </c>
      <c r="AD1003">
        <v>1</v>
      </c>
    </row>
    <row r="1004" spans="1:30">
      <c r="A1004" t="str">
        <f>CONCATENATE(I1004,J1004)</f>
        <v>EUROTEXINDBE</v>
      </c>
      <c r="B1004" s="34">
        <v>46273</v>
      </c>
      <c r="C1004" s="34">
        <v>46273</v>
      </c>
      <c r="D1004" t="s">
        <v>35</v>
      </c>
      <c r="E1004" t="s">
        <v>36</v>
      </c>
      <c r="F1004" t="s">
        <v>37</v>
      </c>
      <c r="G1004">
        <v>8886</v>
      </c>
      <c r="H1004" t="s">
        <v>3068</v>
      </c>
      <c r="I1004" t="s">
        <v>3069</v>
      </c>
      <c r="J1004" t="s">
        <v>183</v>
      </c>
      <c r="O1004" t="s">
        <v>3070</v>
      </c>
      <c r="P1004">
        <v>13.46</v>
      </c>
      <c r="Q1004">
        <v>13.46</v>
      </c>
      <c r="R1004">
        <v>13.46</v>
      </c>
      <c r="S1004">
        <v>13.46</v>
      </c>
      <c r="T1004">
        <v>13.46</v>
      </c>
      <c r="U1004">
        <v>13.46</v>
      </c>
      <c r="W1004">
        <v>13.46</v>
      </c>
      <c r="Z1004">
        <v>30</v>
      </c>
      <c r="AA1004">
        <v>403.8</v>
      </c>
      <c r="AB1004">
        <v>2</v>
      </c>
      <c r="AC1004" t="s">
        <v>42</v>
      </c>
      <c r="AD1004">
        <v>1</v>
      </c>
    </row>
    <row r="1005" spans="1:30">
      <c r="A1005" t="str">
        <f>CONCATENATE(I1005,J1005)</f>
        <v>EVEREADYEQ</v>
      </c>
      <c r="B1005" s="34">
        <v>46273</v>
      </c>
      <c r="C1005" s="34">
        <v>46273</v>
      </c>
      <c r="D1005" t="s">
        <v>35</v>
      </c>
      <c r="E1005" t="s">
        <v>36</v>
      </c>
      <c r="F1005" t="s">
        <v>37</v>
      </c>
      <c r="G1005">
        <v>11782</v>
      </c>
      <c r="H1005" t="s">
        <v>3071</v>
      </c>
      <c r="I1005" t="s">
        <v>3072</v>
      </c>
      <c r="J1005" t="s">
        <v>161</v>
      </c>
      <c r="O1005" t="s">
        <v>3073</v>
      </c>
      <c r="P1005">
        <v>329.9</v>
      </c>
      <c r="Q1005">
        <v>351.55</v>
      </c>
      <c r="R1005">
        <v>324.39999999999998</v>
      </c>
      <c r="S1005">
        <v>348.85</v>
      </c>
      <c r="T1005">
        <v>346.2</v>
      </c>
      <c r="U1005">
        <v>327.14999999999998</v>
      </c>
      <c r="W1005">
        <v>348.84</v>
      </c>
      <c r="Z1005">
        <v>421499</v>
      </c>
      <c r="AA1005">
        <v>144884486.15000001</v>
      </c>
      <c r="AB1005">
        <v>9048</v>
      </c>
      <c r="AC1005" t="s">
        <v>42</v>
      </c>
      <c r="AD1005">
        <v>1</v>
      </c>
    </row>
    <row r="1006" spans="1:30">
      <c r="A1006" t="str">
        <f>CONCATENATE(I1006,J1006)</f>
        <v>EVERESTINDBE</v>
      </c>
      <c r="B1006" s="34">
        <v>46273</v>
      </c>
      <c r="C1006" s="34">
        <v>46273</v>
      </c>
      <c r="D1006" t="s">
        <v>35</v>
      </c>
      <c r="E1006" t="s">
        <v>36</v>
      </c>
      <c r="F1006" t="s">
        <v>37</v>
      </c>
      <c r="G1006">
        <v>6017</v>
      </c>
      <c r="H1006" t="s">
        <v>3074</v>
      </c>
      <c r="I1006" t="s">
        <v>3075</v>
      </c>
      <c r="J1006" t="s">
        <v>183</v>
      </c>
      <c r="O1006" t="s">
        <v>3076</v>
      </c>
      <c r="P1006">
        <v>423</v>
      </c>
      <c r="Q1006">
        <v>429.8</v>
      </c>
      <c r="R1006">
        <v>420</v>
      </c>
      <c r="S1006">
        <v>426.3</v>
      </c>
      <c r="T1006">
        <v>427.5</v>
      </c>
      <c r="U1006">
        <v>422.2</v>
      </c>
      <c r="W1006">
        <v>426.76</v>
      </c>
      <c r="Z1006">
        <v>16352</v>
      </c>
      <c r="AA1006">
        <v>6898467.6500000004</v>
      </c>
      <c r="AB1006">
        <v>137</v>
      </c>
      <c r="AC1006" t="s">
        <v>42</v>
      </c>
      <c r="AD1006">
        <v>1</v>
      </c>
    </row>
    <row r="1007" spans="1:30">
      <c r="A1007" t="str">
        <f>CONCATENATE(I1007,J1007)</f>
        <v>EKCEQ</v>
      </c>
      <c r="B1007" s="34">
        <v>46273</v>
      </c>
      <c r="C1007" s="34">
        <v>46273</v>
      </c>
      <c r="D1007" t="s">
        <v>35</v>
      </c>
      <c r="E1007" t="s">
        <v>36</v>
      </c>
      <c r="F1007" t="s">
        <v>37</v>
      </c>
      <c r="G1007">
        <v>13091</v>
      </c>
      <c r="H1007" t="s">
        <v>3077</v>
      </c>
      <c r="I1007" t="s">
        <v>3078</v>
      </c>
      <c r="J1007" t="s">
        <v>161</v>
      </c>
      <c r="O1007" t="s">
        <v>3079</v>
      </c>
      <c r="P1007">
        <v>104.6</v>
      </c>
      <c r="Q1007">
        <v>104.6</v>
      </c>
      <c r="R1007">
        <v>102.3</v>
      </c>
      <c r="S1007">
        <v>103.14</v>
      </c>
      <c r="T1007">
        <v>103.14</v>
      </c>
      <c r="U1007">
        <v>104.7</v>
      </c>
      <c r="W1007">
        <v>103.14</v>
      </c>
      <c r="Z1007">
        <v>162005</v>
      </c>
      <c r="AA1007">
        <v>16750261.210000001</v>
      </c>
      <c r="AB1007">
        <v>2172</v>
      </c>
      <c r="AC1007" t="s">
        <v>42</v>
      </c>
      <c r="AD1007">
        <v>1</v>
      </c>
    </row>
    <row r="1008" spans="1:30">
      <c r="A1008" t="str">
        <f>CONCATENATE(I1008,J1008)</f>
        <v>EXCELINDUSEQ</v>
      </c>
      <c r="B1008" s="34">
        <v>46273</v>
      </c>
      <c r="C1008" s="34">
        <v>46273</v>
      </c>
      <c r="D1008" t="s">
        <v>35</v>
      </c>
      <c r="E1008" t="s">
        <v>36</v>
      </c>
      <c r="F1008" t="s">
        <v>37</v>
      </c>
      <c r="G1008">
        <v>11471</v>
      </c>
      <c r="H1008" t="s">
        <v>3080</v>
      </c>
      <c r="I1008" t="s">
        <v>3081</v>
      </c>
      <c r="J1008" t="s">
        <v>161</v>
      </c>
      <c r="O1008" t="s">
        <v>3082</v>
      </c>
      <c r="P1008">
        <v>1004</v>
      </c>
      <c r="Q1008">
        <v>1004</v>
      </c>
      <c r="R1008">
        <v>984.1</v>
      </c>
      <c r="S1008">
        <v>993</v>
      </c>
      <c r="T1008">
        <v>990</v>
      </c>
      <c r="U1008">
        <v>1002.6</v>
      </c>
      <c r="W1008">
        <v>993.1</v>
      </c>
      <c r="Z1008">
        <v>8141</v>
      </c>
      <c r="AA1008">
        <v>8110666.5</v>
      </c>
      <c r="AB1008">
        <v>884</v>
      </c>
      <c r="AC1008" t="s">
        <v>42</v>
      </c>
      <c r="AD1008">
        <v>1</v>
      </c>
    </row>
    <row r="1009" spans="1:30">
      <c r="A1009" t="str">
        <f>CONCATENATE(I1009,J1009)</f>
        <v>EXCELLENTST</v>
      </c>
      <c r="B1009" s="34">
        <v>46273</v>
      </c>
      <c r="C1009" s="34">
        <v>46273</v>
      </c>
      <c r="D1009" t="s">
        <v>35</v>
      </c>
      <c r="E1009" t="s">
        <v>36</v>
      </c>
      <c r="F1009" t="s">
        <v>37</v>
      </c>
      <c r="G1009">
        <v>25327</v>
      </c>
      <c r="H1009" t="s">
        <v>3083</v>
      </c>
      <c r="I1009" t="s">
        <v>3084</v>
      </c>
      <c r="J1009" t="s">
        <v>328</v>
      </c>
      <c r="O1009" t="s">
        <v>3085</v>
      </c>
      <c r="P1009">
        <v>201</v>
      </c>
      <c r="Q1009">
        <v>205.5</v>
      </c>
      <c r="R1009">
        <v>201</v>
      </c>
      <c r="S1009">
        <v>205.5</v>
      </c>
      <c r="T1009">
        <v>205.5</v>
      </c>
      <c r="U1009">
        <v>202.3</v>
      </c>
      <c r="W1009">
        <v>205.5</v>
      </c>
      <c r="Z1009">
        <v>3200</v>
      </c>
      <c r="AA1009">
        <v>650400</v>
      </c>
      <c r="AB1009">
        <v>2</v>
      </c>
      <c r="AC1009" t="s">
        <v>42</v>
      </c>
      <c r="AD1009">
        <v>1600</v>
      </c>
    </row>
    <row r="1010" spans="1:30">
      <c r="A1010" t="str">
        <f>CONCATENATE(I1010,J1010)</f>
        <v>EXCELSOFTEQ</v>
      </c>
      <c r="B1010" s="34">
        <v>46273</v>
      </c>
      <c r="C1010" s="34">
        <v>46273</v>
      </c>
      <c r="D1010" t="s">
        <v>35</v>
      </c>
      <c r="E1010" t="s">
        <v>36</v>
      </c>
      <c r="F1010" t="s">
        <v>37</v>
      </c>
      <c r="G1010">
        <v>760007</v>
      </c>
      <c r="H1010" t="s">
        <v>3086</v>
      </c>
      <c r="I1010" t="s">
        <v>3087</v>
      </c>
      <c r="J1010" t="s">
        <v>161</v>
      </c>
      <c r="O1010" t="s">
        <v>3088</v>
      </c>
      <c r="P1010">
        <v>69.8</v>
      </c>
      <c r="Q1010">
        <v>69.900000000000006</v>
      </c>
      <c r="R1010">
        <v>68.5</v>
      </c>
      <c r="S1010">
        <v>69.06</v>
      </c>
      <c r="T1010">
        <v>68.55</v>
      </c>
      <c r="U1010">
        <v>68.260000000000005</v>
      </c>
      <c r="W1010">
        <v>69.099999999999994</v>
      </c>
      <c r="Z1010">
        <v>244261</v>
      </c>
      <c r="AA1010">
        <v>16872905.899999999</v>
      </c>
      <c r="AB1010">
        <v>3626</v>
      </c>
      <c r="AC1010" t="s">
        <v>42</v>
      </c>
      <c r="AD1010">
        <v>1</v>
      </c>
    </row>
    <row r="1011" spans="1:30">
      <c r="A1011" t="str">
        <f>CONCATENATE(I1011,J1011)</f>
        <v>EXICOMEQ</v>
      </c>
      <c r="B1011" s="34">
        <v>46273</v>
      </c>
      <c r="C1011" s="34">
        <v>46273</v>
      </c>
      <c r="D1011" t="s">
        <v>35</v>
      </c>
      <c r="E1011" t="s">
        <v>36</v>
      </c>
      <c r="F1011" t="s">
        <v>37</v>
      </c>
      <c r="G1011">
        <v>22947</v>
      </c>
      <c r="H1011" t="s">
        <v>3089</v>
      </c>
      <c r="I1011" t="s">
        <v>3090</v>
      </c>
      <c r="J1011" t="s">
        <v>161</v>
      </c>
      <c r="O1011" t="s">
        <v>3091</v>
      </c>
      <c r="P1011">
        <v>184.75</v>
      </c>
      <c r="Q1011">
        <v>189.17</v>
      </c>
      <c r="R1011">
        <v>180.12</v>
      </c>
      <c r="S1011">
        <v>181.65</v>
      </c>
      <c r="T1011">
        <v>181</v>
      </c>
      <c r="U1011">
        <v>184.33</v>
      </c>
      <c r="W1011">
        <v>181.65</v>
      </c>
      <c r="Z1011">
        <v>2500549</v>
      </c>
      <c r="AA1011">
        <v>462888307.13</v>
      </c>
      <c r="AB1011">
        <v>24348</v>
      </c>
      <c r="AC1011" t="s">
        <v>42</v>
      </c>
      <c r="AD1011">
        <v>1</v>
      </c>
    </row>
    <row r="1012" spans="1:30">
      <c r="A1012" t="str">
        <f>CONCATENATE(I1012,J1012)</f>
        <v>EXIDEINDEQ</v>
      </c>
      <c r="B1012" s="34">
        <v>46273</v>
      </c>
      <c r="C1012" s="34">
        <v>46273</v>
      </c>
      <c r="D1012" t="s">
        <v>35</v>
      </c>
      <c r="E1012" t="s">
        <v>36</v>
      </c>
      <c r="F1012" t="s">
        <v>37</v>
      </c>
      <c r="G1012">
        <v>676</v>
      </c>
      <c r="H1012" t="s">
        <v>3092</v>
      </c>
      <c r="I1012" t="s">
        <v>3093</v>
      </c>
      <c r="J1012" t="s">
        <v>161</v>
      </c>
      <c r="O1012" t="s">
        <v>3094</v>
      </c>
      <c r="P1012">
        <v>424.95</v>
      </c>
      <c r="Q1012">
        <v>427.2</v>
      </c>
      <c r="R1012">
        <v>415.55</v>
      </c>
      <c r="S1012">
        <v>418.15</v>
      </c>
      <c r="T1012">
        <v>418.6</v>
      </c>
      <c r="U1012">
        <v>425.75</v>
      </c>
      <c r="W1012">
        <v>418.14</v>
      </c>
      <c r="Z1012">
        <v>1399882</v>
      </c>
      <c r="AA1012">
        <v>587354787.29999995</v>
      </c>
      <c r="AB1012">
        <v>27417</v>
      </c>
      <c r="AC1012" t="s">
        <v>42</v>
      </c>
      <c r="AD1012">
        <v>1</v>
      </c>
    </row>
    <row r="1013" spans="1:30">
      <c r="A1013" t="str">
        <f>CONCATENATE(I1013,J1013)</f>
        <v>EXIMROUTESSM</v>
      </c>
      <c r="B1013" s="34">
        <v>46273</v>
      </c>
      <c r="C1013" s="34">
        <v>46273</v>
      </c>
      <c r="D1013" t="s">
        <v>35</v>
      </c>
      <c r="E1013" t="s">
        <v>36</v>
      </c>
      <c r="F1013" t="s">
        <v>37</v>
      </c>
      <c r="G1013">
        <v>760422</v>
      </c>
      <c r="H1013" t="s">
        <v>3095</v>
      </c>
      <c r="I1013" t="s">
        <v>3096</v>
      </c>
      <c r="J1013" t="s">
        <v>267</v>
      </c>
      <c r="O1013" t="s">
        <v>3097</v>
      </c>
      <c r="P1013">
        <v>107</v>
      </c>
      <c r="Q1013">
        <v>108</v>
      </c>
      <c r="R1013">
        <v>106</v>
      </c>
      <c r="S1013">
        <v>108</v>
      </c>
      <c r="T1013">
        <v>108</v>
      </c>
      <c r="U1013">
        <v>106.8</v>
      </c>
      <c r="W1013">
        <v>108</v>
      </c>
      <c r="Z1013">
        <v>99200</v>
      </c>
      <c r="AA1013">
        <v>10616400</v>
      </c>
      <c r="AB1013">
        <v>8</v>
      </c>
      <c r="AC1013" t="s">
        <v>42</v>
      </c>
      <c r="AD1013">
        <v>800</v>
      </c>
    </row>
    <row r="1014" spans="1:30">
      <c r="A1014" t="str">
        <f>CONCATENATE(I1014,J1014)</f>
        <v>EXPLEOSOLEQ</v>
      </c>
      <c r="B1014" s="34">
        <v>46273</v>
      </c>
      <c r="C1014" s="34">
        <v>46273</v>
      </c>
      <c r="D1014" t="s">
        <v>35</v>
      </c>
      <c r="E1014" t="s">
        <v>36</v>
      </c>
      <c r="F1014" t="s">
        <v>37</v>
      </c>
      <c r="G1014">
        <v>17486</v>
      </c>
      <c r="H1014" t="s">
        <v>3098</v>
      </c>
      <c r="I1014" t="s">
        <v>3099</v>
      </c>
      <c r="J1014" t="s">
        <v>161</v>
      </c>
      <c r="O1014" t="s">
        <v>3100</v>
      </c>
      <c r="P1014">
        <v>899.95</v>
      </c>
      <c r="Q1014">
        <v>903.9</v>
      </c>
      <c r="R1014">
        <v>881.7</v>
      </c>
      <c r="S1014">
        <v>887.95</v>
      </c>
      <c r="T1014">
        <v>892.5</v>
      </c>
      <c r="U1014">
        <v>899.55</v>
      </c>
      <c r="W1014">
        <v>887.9</v>
      </c>
      <c r="Z1014">
        <v>20997</v>
      </c>
      <c r="AA1014">
        <v>18666224.25</v>
      </c>
      <c r="AB1014">
        <v>1955</v>
      </c>
      <c r="AC1014" t="s">
        <v>42</v>
      </c>
      <c r="AD1014">
        <v>1</v>
      </c>
    </row>
    <row r="1015" spans="1:30">
      <c r="A1015" t="str">
        <f>CONCATENATE(I1015,J1015)</f>
        <v>EXXAROEQ</v>
      </c>
      <c r="B1015" s="34">
        <v>46273</v>
      </c>
      <c r="C1015" s="34">
        <v>46273</v>
      </c>
      <c r="D1015" t="s">
        <v>35</v>
      </c>
      <c r="E1015" t="s">
        <v>36</v>
      </c>
      <c r="F1015" t="s">
        <v>37</v>
      </c>
      <c r="G1015">
        <v>5352</v>
      </c>
      <c r="H1015" t="s">
        <v>3101</v>
      </c>
      <c r="I1015" t="s">
        <v>3102</v>
      </c>
      <c r="J1015" t="s">
        <v>161</v>
      </c>
      <c r="O1015" t="s">
        <v>3103</v>
      </c>
      <c r="P1015">
        <v>6.41</v>
      </c>
      <c r="Q1015">
        <v>6.6</v>
      </c>
      <c r="R1015">
        <v>6.41</v>
      </c>
      <c r="S1015">
        <v>6.51</v>
      </c>
      <c r="T1015">
        <v>6.52</v>
      </c>
      <c r="U1015">
        <v>6.59</v>
      </c>
      <c r="W1015">
        <v>6.51</v>
      </c>
      <c r="Z1015">
        <v>254975</v>
      </c>
      <c r="AA1015">
        <v>1663064.14</v>
      </c>
      <c r="AB1015">
        <v>516</v>
      </c>
      <c r="AC1015" t="s">
        <v>42</v>
      </c>
      <c r="AD1015">
        <v>1</v>
      </c>
    </row>
    <row r="1016" spans="1:30">
      <c r="A1016" t="str">
        <f>CONCATENATE(I1016,J1016)</f>
        <v>FABTECHEQ</v>
      </c>
      <c r="B1016" s="34">
        <v>46273</v>
      </c>
      <c r="C1016" s="34">
        <v>46273</v>
      </c>
      <c r="D1016" t="s">
        <v>35</v>
      </c>
      <c r="E1016" t="s">
        <v>36</v>
      </c>
      <c r="F1016" t="s">
        <v>37</v>
      </c>
      <c r="G1016">
        <v>760125</v>
      </c>
      <c r="H1016" t="s">
        <v>3104</v>
      </c>
      <c r="I1016" t="s">
        <v>3105</v>
      </c>
      <c r="J1016" t="s">
        <v>161</v>
      </c>
      <c r="O1016" t="s">
        <v>3106</v>
      </c>
      <c r="P1016">
        <v>148.19999999999999</v>
      </c>
      <c r="Q1016">
        <v>149.38999999999999</v>
      </c>
      <c r="R1016">
        <v>146.5</v>
      </c>
      <c r="S1016">
        <v>146.91</v>
      </c>
      <c r="T1016">
        <v>146.5</v>
      </c>
      <c r="U1016">
        <v>148.47</v>
      </c>
      <c r="W1016">
        <v>146.87</v>
      </c>
      <c r="Z1016">
        <v>57323</v>
      </c>
      <c r="AA1016">
        <v>8468353.9000000004</v>
      </c>
      <c r="AB1016">
        <v>697</v>
      </c>
      <c r="AC1016" t="s">
        <v>42</v>
      </c>
      <c r="AD1016">
        <v>1</v>
      </c>
    </row>
    <row r="1017" spans="1:30">
      <c r="A1017" t="str">
        <f>CONCATENATE(I1017,J1017)</f>
        <v>FACTEQ</v>
      </c>
      <c r="B1017" s="34">
        <v>46273</v>
      </c>
      <c r="C1017" s="34">
        <v>46273</v>
      </c>
      <c r="D1017" t="s">
        <v>35</v>
      </c>
      <c r="E1017" t="s">
        <v>36</v>
      </c>
      <c r="F1017" t="s">
        <v>37</v>
      </c>
      <c r="G1017">
        <v>1008</v>
      </c>
      <c r="H1017" t="s">
        <v>3107</v>
      </c>
      <c r="I1017" t="s">
        <v>3108</v>
      </c>
      <c r="J1017" t="s">
        <v>161</v>
      </c>
      <c r="O1017" t="s">
        <v>3109</v>
      </c>
      <c r="P1017">
        <v>795</v>
      </c>
      <c r="Q1017">
        <v>823.3</v>
      </c>
      <c r="R1017">
        <v>786.65</v>
      </c>
      <c r="S1017">
        <v>791.2</v>
      </c>
      <c r="T1017">
        <v>794</v>
      </c>
      <c r="U1017">
        <v>793.3</v>
      </c>
      <c r="W1017">
        <v>791.19</v>
      </c>
      <c r="Z1017">
        <v>402032</v>
      </c>
      <c r="AA1017">
        <v>322160023.39999998</v>
      </c>
      <c r="AB1017">
        <v>20271</v>
      </c>
      <c r="AC1017" t="s">
        <v>42</v>
      </c>
      <c r="AD1017">
        <v>1</v>
      </c>
    </row>
    <row r="1018" spans="1:30">
      <c r="A1018" t="str">
        <f>CONCATENATE(I1018,J1018)</f>
        <v>FAIRCHEMORBE</v>
      </c>
      <c r="B1018" s="34">
        <v>46273</v>
      </c>
      <c r="C1018" s="34">
        <v>46273</v>
      </c>
      <c r="D1018" t="s">
        <v>35</v>
      </c>
      <c r="E1018" t="s">
        <v>36</v>
      </c>
      <c r="F1018" t="s">
        <v>37</v>
      </c>
      <c r="G1018">
        <v>1619</v>
      </c>
      <c r="H1018" t="s">
        <v>3110</v>
      </c>
      <c r="I1018" t="s">
        <v>3111</v>
      </c>
      <c r="J1018" t="s">
        <v>183</v>
      </c>
      <c r="O1018" t="s">
        <v>3112</v>
      </c>
      <c r="P1018">
        <v>646.85</v>
      </c>
      <c r="Q1018">
        <v>647</v>
      </c>
      <c r="R1018">
        <v>616.20000000000005</v>
      </c>
      <c r="S1018">
        <v>629.70000000000005</v>
      </c>
      <c r="T1018">
        <v>638.4</v>
      </c>
      <c r="U1018">
        <v>646.85</v>
      </c>
      <c r="W1018">
        <v>630.17999999999995</v>
      </c>
      <c r="Z1018">
        <v>42006</v>
      </c>
      <c r="AA1018">
        <v>26107086.25</v>
      </c>
      <c r="AB1018">
        <v>995</v>
      </c>
      <c r="AC1018" t="s">
        <v>42</v>
      </c>
      <c r="AD1018">
        <v>1</v>
      </c>
    </row>
    <row r="1019" spans="1:30">
      <c r="A1019" t="str">
        <f>CONCATENATE(I1019,J1019)</f>
        <v>FALCONTECHSM</v>
      </c>
      <c r="B1019" s="34">
        <v>46273</v>
      </c>
      <c r="C1019" s="34">
        <v>46273</v>
      </c>
      <c r="D1019" t="s">
        <v>35</v>
      </c>
      <c r="E1019" t="s">
        <v>36</v>
      </c>
      <c r="F1019" t="s">
        <v>37</v>
      </c>
      <c r="G1019">
        <v>24150</v>
      </c>
      <c r="H1019" t="s">
        <v>3113</v>
      </c>
      <c r="I1019" t="s">
        <v>3114</v>
      </c>
      <c r="J1019" t="s">
        <v>267</v>
      </c>
      <c r="O1019" t="s">
        <v>3115</v>
      </c>
      <c r="P1019">
        <v>12</v>
      </c>
      <c r="Q1019">
        <v>12.2</v>
      </c>
      <c r="R1019">
        <v>12</v>
      </c>
      <c r="S1019">
        <v>12.2</v>
      </c>
      <c r="T1019">
        <v>12.2</v>
      </c>
      <c r="U1019">
        <v>12.45</v>
      </c>
      <c r="W1019">
        <v>12.2</v>
      </c>
      <c r="Z1019">
        <v>2400</v>
      </c>
      <c r="AA1019">
        <v>29040</v>
      </c>
      <c r="AB1019">
        <v>2</v>
      </c>
      <c r="AC1019" t="s">
        <v>42</v>
      </c>
      <c r="AD1019">
        <v>1200</v>
      </c>
    </row>
    <row r="1020" spans="1:30">
      <c r="A1020" t="str">
        <f>CONCATENATE(I1020,J1020)</f>
        <v>FASCINATESM</v>
      </c>
      <c r="B1020" s="34">
        <v>46273</v>
      </c>
      <c r="C1020" s="34">
        <v>46273</v>
      </c>
      <c r="D1020" t="s">
        <v>35</v>
      </c>
      <c r="E1020" t="s">
        <v>36</v>
      </c>
      <c r="F1020" t="s">
        <v>37</v>
      </c>
      <c r="G1020">
        <v>765368</v>
      </c>
      <c r="H1020" t="s">
        <v>3116</v>
      </c>
      <c r="I1020" t="s">
        <v>3117</v>
      </c>
      <c r="J1020" t="s">
        <v>267</v>
      </c>
      <c r="O1020" t="s">
        <v>3118</v>
      </c>
      <c r="P1020">
        <v>58.8</v>
      </c>
      <c r="Q1020">
        <v>70</v>
      </c>
      <c r="R1020">
        <v>58.8</v>
      </c>
      <c r="S1020">
        <v>58.8</v>
      </c>
      <c r="T1020">
        <v>58.8</v>
      </c>
      <c r="U1020">
        <v>65.3</v>
      </c>
      <c r="W1020">
        <v>58.8</v>
      </c>
      <c r="Z1020">
        <v>1150400</v>
      </c>
      <c r="AA1020">
        <v>72781720</v>
      </c>
      <c r="AB1020">
        <v>779</v>
      </c>
      <c r="AC1020" t="s">
        <v>42</v>
      </c>
      <c r="AD1020">
        <v>800</v>
      </c>
    </row>
    <row r="1021" spans="1:30">
      <c r="A1021" t="str">
        <f>CONCATENATE(I1021,J1021)</f>
        <v>FAZE3QEQ</v>
      </c>
      <c r="B1021" s="34">
        <v>46273</v>
      </c>
      <c r="C1021" s="34">
        <v>46273</v>
      </c>
      <c r="D1021" t="s">
        <v>35</v>
      </c>
      <c r="E1021" t="s">
        <v>36</v>
      </c>
      <c r="F1021" t="s">
        <v>37</v>
      </c>
      <c r="G1021">
        <v>12000</v>
      </c>
      <c r="H1021" t="s">
        <v>3119</v>
      </c>
      <c r="I1021" t="s">
        <v>3120</v>
      </c>
      <c r="J1021" t="s">
        <v>161</v>
      </c>
      <c r="O1021" t="s">
        <v>3121</v>
      </c>
      <c r="P1021">
        <v>500</v>
      </c>
      <c r="Q1021">
        <v>500</v>
      </c>
      <c r="R1021">
        <v>494</v>
      </c>
      <c r="S1021">
        <v>497.3</v>
      </c>
      <c r="T1021">
        <v>500</v>
      </c>
      <c r="U1021">
        <v>500.9</v>
      </c>
      <c r="W1021">
        <v>497.29</v>
      </c>
      <c r="Z1021">
        <v>7008</v>
      </c>
      <c r="AA1021">
        <v>3485324.25</v>
      </c>
      <c r="AB1021">
        <v>366</v>
      </c>
      <c r="AC1021" t="s">
        <v>42</v>
      </c>
      <c r="AD1021">
        <v>1</v>
      </c>
    </row>
    <row r="1022" spans="1:30">
      <c r="A1022" t="str">
        <f>CONCATENATE(I1022,J1022)</f>
        <v>FCSSOFTEQ</v>
      </c>
      <c r="B1022" s="34">
        <v>46273</v>
      </c>
      <c r="C1022" s="34">
        <v>46273</v>
      </c>
      <c r="D1022" t="s">
        <v>35</v>
      </c>
      <c r="E1022" t="s">
        <v>36</v>
      </c>
      <c r="F1022" t="s">
        <v>37</v>
      </c>
      <c r="G1022">
        <v>11999</v>
      </c>
      <c r="H1022" t="s">
        <v>3122</v>
      </c>
      <c r="I1022" t="s">
        <v>3123</v>
      </c>
      <c r="J1022" t="s">
        <v>161</v>
      </c>
      <c r="O1022" t="s">
        <v>3124</v>
      </c>
      <c r="P1022">
        <v>1.46</v>
      </c>
      <c r="Q1022">
        <v>1.46</v>
      </c>
      <c r="R1022">
        <v>1.41</v>
      </c>
      <c r="S1022">
        <v>1.42</v>
      </c>
      <c r="T1022">
        <v>1.43</v>
      </c>
      <c r="U1022">
        <v>1.43</v>
      </c>
      <c r="W1022">
        <v>1.42</v>
      </c>
      <c r="Z1022">
        <v>1283392</v>
      </c>
      <c r="AA1022">
        <v>1841105.22</v>
      </c>
      <c r="AB1022">
        <v>1119</v>
      </c>
      <c r="AC1022" t="s">
        <v>42</v>
      </c>
      <c r="AD1022">
        <v>1</v>
      </c>
    </row>
    <row r="1023" spans="1:30">
      <c r="A1023" t="str">
        <f>CONCATENATE(I1023,J1023)</f>
        <v>FDCEQ</v>
      </c>
      <c r="B1023" s="34">
        <v>46273</v>
      </c>
      <c r="C1023" s="34">
        <v>46273</v>
      </c>
      <c r="D1023" t="s">
        <v>35</v>
      </c>
      <c r="E1023" t="s">
        <v>36</v>
      </c>
      <c r="F1023" t="s">
        <v>37</v>
      </c>
      <c r="G1023">
        <v>4898</v>
      </c>
      <c r="H1023" t="s">
        <v>3125</v>
      </c>
      <c r="I1023" t="s">
        <v>3126</v>
      </c>
      <c r="J1023" t="s">
        <v>161</v>
      </c>
      <c r="O1023" t="s">
        <v>3127</v>
      </c>
      <c r="P1023">
        <v>343</v>
      </c>
      <c r="Q1023">
        <v>347.5</v>
      </c>
      <c r="R1023">
        <v>341.95</v>
      </c>
      <c r="S1023">
        <v>345.95</v>
      </c>
      <c r="T1023">
        <v>346.9</v>
      </c>
      <c r="U1023">
        <v>342.15</v>
      </c>
      <c r="W1023">
        <v>345.94</v>
      </c>
      <c r="Z1023">
        <v>62726</v>
      </c>
      <c r="AA1023">
        <v>21633127.199999999</v>
      </c>
      <c r="AB1023">
        <v>4629</v>
      </c>
      <c r="AC1023" t="s">
        <v>42</v>
      </c>
      <c r="AD1023">
        <v>1</v>
      </c>
    </row>
    <row r="1024" spans="1:30">
      <c r="A1024" t="str">
        <f>CONCATENATE(I1024,J1024)</f>
        <v>FEDFINAEQ</v>
      </c>
      <c r="B1024" s="34">
        <v>46273</v>
      </c>
      <c r="C1024" s="34">
        <v>46273</v>
      </c>
      <c r="D1024" t="s">
        <v>35</v>
      </c>
      <c r="E1024" t="s">
        <v>36</v>
      </c>
      <c r="F1024" t="s">
        <v>37</v>
      </c>
      <c r="G1024">
        <v>20322</v>
      </c>
      <c r="H1024" t="s">
        <v>3128</v>
      </c>
      <c r="I1024" t="s">
        <v>3129</v>
      </c>
      <c r="J1024" t="s">
        <v>161</v>
      </c>
      <c r="O1024" t="s">
        <v>3130</v>
      </c>
      <c r="P1024">
        <v>167</v>
      </c>
      <c r="Q1024">
        <v>167.89</v>
      </c>
      <c r="R1024">
        <v>161.51</v>
      </c>
      <c r="S1024">
        <v>162.30000000000001</v>
      </c>
      <c r="T1024">
        <v>161.51</v>
      </c>
      <c r="U1024">
        <v>165.45</v>
      </c>
      <c r="W1024">
        <v>162.28</v>
      </c>
      <c r="Z1024">
        <v>676777</v>
      </c>
      <c r="AA1024">
        <v>110513485.45999999</v>
      </c>
      <c r="AB1024">
        <v>10180</v>
      </c>
      <c r="AC1024" t="s">
        <v>42</v>
      </c>
      <c r="AD1024">
        <v>1</v>
      </c>
    </row>
    <row r="1025" spans="1:30">
      <c r="A1025" t="str">
        <f>CONCATENATE(I1025,J1025)</f>
        <v>FEDDERSHOLEQ</v>
      </c>
      <c r="B1025" s="34">
        <v>46273</v>
      </c>
      <c r="C1025" s="34">
        <v>46273</v>
      </c>
      <c r="D1025" t="s">
        <v>35</v>
      </c>
      <c r="E1025" t="s">
        <v>36</v>
      </c>
      <c r="F1025" t="s">
        <v>37</v>
      </c>
      <c r="G1025">
        <v>762675</v>
      </c>
      <c r="H1025" t="s">
        <v>3131</v>
      </c>
      <c r="I1025" t="s">
        <v>3132</v>
      </c>
      <c r="J1025" t="s">
        <v>161</v>
      </c>
      <c r="O1025" t="s">
        <v>3133</v>
      </c>
      <c r="P1025">
        <v>48.3</v>
      </c>
      <c r="Q1025">
        <v>48.89</v>
      </c>
      <c r="R1025">
        <v>47.99</v>
      </c>
      <c r="S1025">
        <v>48</v>
      </c>
      <c r="T1025">
        <v>47.99</v>
      </c>
      <c r="U1025">
        <v>48.03</v>
      </c>
      <c r="W1025">
        <v>48</v>
      </c>
      <c r="Z1025">
        <v>3577049</v>
      </c>
      <c r="AA1025">
        <v>172234694.12</v>
      </c>
      <c r="AB1025">
        <v>2306</v>
      </c>
      <c r="AC1025" t="s">
        <v>42</v>
      </c>
      <c r="AD1025">
        <v>1</v>
      </c>
    </row>
    <row r="1026" spans="1:30">
      <c r="A1026" t="str">
        <f>CONCATENATE(I1026,J1026)</f>
        <v>FEDERALBNKEQ</v>
      </c>
      <c r="B1026" s="34">
        <v>46273</v>
      </c>
      <c r="C1026" s="34">
        <v>46273</v>
      </c>
      <c r="D1026" t="s">
        <v>35</v>
      </c>
      <c r="E1026" t="s">
        <v>36</v>
      </c>
      <c r="F1026" t="s">
        <v>37</v>
      </c>
      <c r="G1026">
        <v>1023</v>
      </c>
      <c r="H1026" t="s">
        <v>3134</v>
      </c>
      <c r="I1026" t="s">
        <v>3135</v>
      </c>
      <c r="J1026" t="s">
        <v>161</v>
      </c>
      <c r="O1026" t="s">
        <v>3136</v>
      </c>
      <c r="P1026">
        <v>343.05</v>
      </c>
      <c r="Q1026">
        <v>345.9</v>
      </c>
      <c r="R1026">
        <v>341.45</v>
      </c>
      <c r="S1026">
        <v>344.15</v>
      </c>
      <c r="T1026">
        <v>344.15</v>
      </c>
      <c r="U1026">
        <v>342</v>
      </c>
      <c r="W1026">
        <v>344.15</v>
      </c>
      <c r="Z1026">
        <v>3571930</v>
      </c>
      <c r="AA1026">
        <v>1228977500.3</v>
      </c>
      <c r="AB1026">
        <v>55345</v>
      </c>
      <c r="AC1026" t="s">
        <v>42</v>
      </c>
      <c r="AD1026">
        <v>1</v>
      </c>
    </row>
    <row r="1027" spans="1:30">
      <c r="A1027" t="str">
        <f>CONCATENATE(I1027,J1027)</f>
        <v>FMGOETZEEQ</v>
      </c>
      <c r="B1027" s="34">
        <v>46273</v>
      </c>
      <c r="C1027" s="34">
        <v>46273</v>
      </c>
      <c r="D1027" t="s">
        <v>35</v>
      </c>
      <c r="E1027" t="s">
        <v>36</v>
      </c>
      <c r="F1027" t="s">
        <v>37</v>
      </c>
      <c r="G1027">
        <v>1190</v>
      </c>
      <c r="H1027" t="s">
        <v>3137</v>
      </c>
      <c r="I1027" t="s">
        <v>3138</v>
      </c>
      <c r="J1027" t="s">
        <v>161</v>
      </c>
      <c r="O1027" t="s">
        <v>3139</v>
      </c>
      <c r="P1027">
        <v>482.1</v>
      </c>
      <c r="Q1027">
        <v>482.1</v>
      </c>
      <c r="R1027">
        <v>466.75</v>
      </c>
      <c r="S1027">
        <v>469.25</v>
      </c>
      <c r="T1027">
        <v>468.6</v>
      </c>
      <c r="U1027">
        <v>482.05</v>
      </c>
      <c r="W1027">
        <v>469.23</v>
      </c>
      <c r="Z1027">
        <v>572679</v>
      </c>
      <c r="AA1027">
        <v>271331855.55000001</v>
      </c>
      <c r="AB1027">
        <v>11944</v>
      </c>
      <c r="AC1027" t="s">
        <v>42</v>
      </c>
      <c r="AD1027">
        <v>1</v>
      </c>
    </row>
    <row r="1028" spans="1:30">
      <c r="A1028" t="str">
        <f>CONCATENATE(I1028,J1028)</f>
        <v>FELIXSM</v>
      </c>
      <c r="B1028" s="34">
        <v>46273</v>
      </c>
      <c r="C1028" s="34">
        <v>46273</v>
      </c>
      <c r="D1028" t="s">
        <v>35</v>
      </c>
      <c r="E1028" t="s">
        <v>36</v>
      </c>
      <c r="F1028" t="s">
        <v>37</v>
      </c>
      <c r="G1028">
        <v>573</v>
      </c>
      <c r="H1028" t="s">
        <v>3140</v>
      </c>
      <c r="I1028" t="s">
        <v>3141</v>
      </c>
      <c r="J1028" t="s">
        <v>267</v>
      </c>
      <c r="O1028" t="s">
        <v>3142</v>
      </c>
      <c r="P1028">
        <v>224.95</v>
      </c>
      <c r="Q1028">
        <v>228.4</v>
      </c>
      <c r="R1028">
        <v>218</v>
      </c>
      <c r="S1028">
        <v>219</v>
      </c>
      <c r="T1028">
        <v>220</v>
      </c>
      <c r="U1028">
        <v>222.15</v>
      </c>
      <c r="W1028">
        <v>219</v>
      </c>
      <c r="Z1028">
        <v>144500</v>
      </c>
      <c r="AA1028">
        <v>32074425</v>
      </c>
      <c r="AB1028">
        <v>215</v>
      </c>
      <c r="AC1028" t="s">
        <v>42</v>
      </c>
      <c r="AD1028">
        <v>500</v>
      </c>
    </row>
    <row r="1029" spans="1:30">
      <c r="A1029" t="str">
        <f>CONCATENATE(I1029,J1029)</f>
        <v>FERMENTAEQ</v>
      </c>
      <c r="B1029" s="34">
        <v>46273</v>
      </c>
      <c r="C1029" s="34">
        <v>46273</v>
      </c>
      <c r="D1029" t="s">
        <v>35</v>
      </c>
      <c r="E1029" t="s">
        <v>36</v>
      </c>
      <c r="F1029" t="s">
        <v>37</v>
      </c>
      <c r="G1029">
        <v>762680</v>
      </c>
      <c r="H1029" t="s">
        <v>3143</v>
      </c>
      <c r="I1029" t="s">
        <v>3144</v>
      </c>
      <c r="J1029" t="s">
        <v>161</v>
      </c>
      <c r="O1029" t="s">
        <v>3145</v>
      </c>
      <c r="P1029">
        <v>490</v>
      </c>
      <c r="Q1029">
        <v>495.45</v>
      </c>
      <c r="R1029">
        <v>472.2</v>
      </c>
      <c r="S1029">
        <v>480.7</v>
      </c>
      <c r="T1029">
        <v>478.4</v>
      </c>
      <c r="U1029">
        <v>496.5</v>
      </c>
      <c r="W1029">
        <v>480.74</v>
      </c>
      <c r="Z1029">
        <v>124807</v>
      </c>
      <c r="AA1029">
        <v>60058093</v>
      </c>
      <c r="AB1029">
        <v>6491</v>
      </c>
      <c r="AC1029" t="s">
        <v>42</v>
      </c>
      <c r="AD1029">
        <v>1</v>
      </c>
    </row>
    <row r="1030" spans="1:30">
      <c r="A1030" t="str">
        <f>CONCATENATE(I1030,J1030)</f>
        <v>FIBERWEBEQ</v>
      </c>
      <c r="B1030" s="34">
        <v>46273</v>
      </c>
      <c r="C1030" s="34">
        <v>46273</v>
      </c>
      <c r="D1030" t="s">
        <v>35</v>
      </c>
      <c r="E1030" t="s">
        <v>36</v>
      </c>
      <c r="F1030" t="s">
        <v>37</v>
      </c>
      <c r="G1030">
        <v>8159</v>
      </c>
      <c r="H1030" t="s">
        <v>3146</v>
      </c>
      <c r="I1030" t="s">
        <v>3147</v>
      </c>
      <c r="J1030" t="s">
        <v>161</v>
      </c>
      <c r="O1030" t="s">
        <v>3148</v>
      </c>
      <c r="P1030">
        <v>26.42</v>
      </c>
      <c r="Q1030">
        <v>26.42</v>
      </c>
      <c r="R1030">
        <v>25.73</v>
      </c>
      <c r="S1030">
        <v>26.03</v>
      </c>
      <c r="T1030">
        <v>26.39</v>
      </c>
      <c r="U1030">
        <v>26.42</v>
      </c>
      <c r="W1030">
        <v>26.03</v>
      </c>
      <c r="Z1030">
        <v>5777</v>
      </c>
      <c r="AA1030">
        <v>150395.67000000001</v>
      </c>
      <c r="AB1030">
        <v>90</v>
      </c>
      <c r="AC1030" t="s">
        <v>42</v>
      </c>
      <c r="AD1030">
        <v>1</v>
      </c>
    </row>
    <row r="1031" spans="1:30">
      <c r="A1031" t="str">
        <f>CONCATENATE(I1031,J1031)</f>
        <v>FIDELSM</v>
      </c>
      <c r="B1031" s="34">
        <v>46273</v>
      </c>
      <c r="C1031" s="34">
        <v>46273</v>
      </c>
      <c r="D1031" t="s">
        <v>35</v>
      </c>
      <c r="E1031" t="s">
        <v>36</v>
      </c>
      <c r="F1031" t="s">
        <v>37</v>
      </c>
      <c r="G1031">
        <v>9858</v>
      </c>
      <c r="H1031" t="s">
        <v>3149</v>
      </c>
      <c r="I1031" t="s">
        <v>3150</v>
      </c>
      <c r="J1031" t="s">
        <v>267</v>
      </c>
      <c r="O1031" t="s">
        <v>3151</v>
      </c>
      <c r="P1031">
        <v>138</v>
      </c>
      <c r="Q1031">
        <v>139.5</v>
      </c>
      <c r="R1031">
        <v>137.5</v>
      </c>
      <c r="S1031">
        <v>137.5</v>
      </c>
      <c r="T1031">
        <v>137.5</v>
      </c>
      <c r="U1031">
        <v>142</v>
      </c>
      <c r="W1031">
        <v>137.5</v>
      </c>
      <c r="Z1031">
        <v>6000</v>
      </c>
      <c r="AA1031">
        <v>829750</v>
      </c>
      <c r="AB1031">
        <v>6</v>
      </c>
      <c r="AC1031" t="s">
        <v>42</v>
      </c>
      <c r="AD1031">
        <v>1000</v>
      </c>
    </row>
    <row r="1032" spans="1:30">
      <c r="A1032" t="str">
        <f>CONCATENATE(I1032,J1032)</f>
        <v>FIEMINDEQ</v>
      </c>
      <c r="B1032" s="34">
        <v>46273</v>
      </c>
      <c r="C1032" s="34">
        <v>46273</v>
      </c>
      <c r="D1032" t="s">
        <v>35</v>
      </c>
      <c r="E1032" t="s">
        <v>36</v>
      </c>
      <c r="F1032" t="s">
        <v>37</v>
      </c>
      <c r="G1032">
        <v>13710</v>
      </c>
      <c r="H1032" t="s">
        <v>3152</v>
      </c>
      <c r="I1032" t="s">
        <v>3153</v>
      </c>
      <c r="J1032" t="s">
        <v>161</v>
      </c>
      <c r="O1032" t="s">
        <v>3154</v>
      </c>
      <c r="P1032">
        <v>2068.8000000000002</v>
      </c>
      <c r="Q1032">
        <v>2074</v>
      </c>
      <c r="R1032">
        <v>2035</v>
      </c>
      <c r="S1032">
        <v>2038.2</v>
      </c>
      <c r="T1032">
        <v>2044.9</v>
      </c>
      <c r="U1032">
        <v>2068.8000000000002</v>
      </c>
      <c r="W1032">
        <v>2038.2</v>
      </c>
      <c r="Z1032">
        <v>36919</v>
      </c>
      <c r="AA1032">
        <v>75383619.700000003</v>
      </c>
      <c r="AB1032">
        <v>5735</v>
      </c>
      <c r="AC1032" t="s">
        <v>42</v>
      </c>
      <c r="AD1032">
        <v>1</v>
      </c>
    </row>
    <row r="1033" spans="1:30">
      <c r="A1033" t="str">
        <f>CONCATENATE(I1033,J1033)</f>
        <v>FILATFASHEQ</v>
      </c>
      <c r="B1033" s="34">
        <v>46273</v>
      </c>
      <c r="C1033" s="34">
        <v>46273</v>
      </c>
      <c r="D1033" t="s">
        <v>35</v>
      </c>
      <c r="E1033" t="s">
        <v>36</v>
      </c>
      <c r="F1033" t="s">
        <v>37</v>
      </c>
      <c r="G1033">
        <v>23647</v>
      </c>
      <c r="H1033" t="s">
        <v>3155</v>
      </c>
      <c r="I1033" t="s">
        <v>3156</v>
      </c>
      <c r="J1033" t="s">
        <v>161</v>
      </c>
      <c r="O1033" t="s">
        <v>3157</v>
      </c>
      <c r="P1033">
        <v>0.18</v>
      </c>
      <c r="Q1033">
        <v>0.19</v>
      </c>
      <c r="R1033">
        <v>0.18</v>
      </c>
      <c r="S1033">
        <v>0.18</v>
      </c>
      <c r="T1033">
        <v>0.19</v>
      </c>
      <c r="U1033">
        <v>0.18</v>
      </c>
      <c r="W1033">
        <v>0.18</v>
      </c>
      <c r="Z1033">
        <v>9975185</v>
      </c>
      <c r="AA1033">
        <v>1822428.75</v>
      </c>
      <c r="AB1033">
        <v>1878</v>
      </c>
      <c r="AC1033" t="s">
        <v>42</v>
      </c>
      <c r="AD1033">
        <v>1</v>
      </c>
    </row>
    <row r="1034" spans="1:30">
      <c r="A1034" t="str">
        <f>CONCATENATE(I1034,J1034)</f>
        <v>FILATEXEQ</v>
      </c>
      <c r="B1034" s="34">
        <v>46273</v>
      </c>
      <c r="C1034" s="34">
        <v>46273</v>
      </c>
      <c r="D1034" t="s">
        <v>35</v>
      </c>
      <c r="E1034" t="s">
        <v>36</v>
      </c>
      <c r="F1034" t="s">
        <v>37</v>
      </c>
      <c r="G1034">
        <v>24532</v>
      </c>
      <c r="H1034" t="s">
        <v>3158</v>
      </c>
      <c r="I1034" t="s">
        <v>3159</v>
      </c>
      <c r="J1034" t="s">
        <v>161</v>
      </c>
      <c r="O1034" t="s">
        <v>3160</v>
      </c>
      <c r="P1034">
        <v>76.59</v>
      </c>
      <c r="Q1034">
        <v>77.239999999999995</v>
      </c>
      <c r="R1034">
        <v>74.86</v>
      </c>
      <c r="S1034">
        <v>76.44</v>
      </c>
      <c r="T1034">
        <v>76.13</v>
      </c>
      <c r="U1034">
        <v>76.59</v>
      </c>
      <c r="W1034">
        <v>76.44</v>
      </c>
      <c r="Z1034">
        <v>704694</v>
      </c>
      <c r="AA1034">
        <v>53648854.020000003</v>
      </c>
      <c r="AB1034">
        <v>5459</v>
      </c>
      <c r="AC1034" t="s">
        <v>42</v>
      </c>
      <c r="AD1034">
        <v>1</v>
      </c>
    </row>
    <row r="1035" spans="1:30">
      <c r="A1035" t="str">
        <f>CONCATENATE(I1035,J1035)</f>
        <v>FINBUDSM</v>
      </c>
      <c r="B1035" s="34">
        <v>46273</v>
      </c>
      <c r="C1035" s="34">
        <v>46273</v>
      </c>
      <c r="D1035" t="s">
        <v>35</v>
      </c>
      <c r="E1035" t="s">
        <v>36</v>
      </c>
      <c r="F1035" t="s">
        <v>37</v>
      </c>
      <c r="G1035">
        <v>759776</v>
      </c>
      <c r="H1035" t="s">
        <v>3161</v>
      </c>
      <c r="I1035" t="s">
        <v>3162</v>
      </c>
      <c r="J1035" t="s">
        <v>267</v>
      </c>
      <c r="O1035" t="s">
        <v>3163</v>
      </c>
      <c r="P1035">
        <v>132.1</v>
      </c>
      <c r="Q1035">
        <v>132.1</v>
      </c>
      <c r="R1035">
        <v>132.1</v>
      </c>
      <c r="S1035">
        <v>132.1</v>
      </c>
      <c r="T1035">
        <v>132.1</v>
      </c>
      <c r="U1035">
        <v>132.1</v>
      </c>
      <c r="W1035">
        <v>132.1</v>
      </c>
      <c r="Z1035">
        <v>2000</v>
      </c>
      <c r="AA1035">
        <v>264200</v>
      </c>
      <c r="AB1035">
        <v>2</v>
      </c>
      <c r="AC1035" t="s">
        <v>42</v>
      </c>
      <c r="AD1035">
        <v>1000</v>
      </c>
    </row>
    <row r="1036" spans="1:30">
      <c r="A1036" t="str">
        <f>CONCATENATE(I1036,J1036)</f>
        <v>FINEORGEQ</v>
      </c>
      <c r="B1036" s="34">
        <v>46273</v>
      </c>
      <c r="C1036" s="34">
        <v>46273</v>
      </c>
      <c r="D1036" t="s">
        <v>35</v>
      </c>
      <c r="E1036" t="s">
        <v>36</v>
      </c>
      <c r="F1036" t="s">
        <v>37</v>
      </c>
      <c r="G1036">
        <v>3744</v>
      </c>
      <c r="H1036" t="s">
        <v>3164</v>
      </c>
      <c r="I1036" t="s">
        <v>3165</v>
      </c>
      <c r="J1036" t="s">
        <v>161</v>
      </c>
      <c r="O1036" t="s">
        <v>3166</v>
      </c>
      <c r="P1036">
        <v>5120</v>
      </c>
      <c r="Q1036">
        <v>5207</v>
      </c>
      <c r="R1036">
        <v>5082</v>
      </c>
      <c r="S1036">
        <v>5196</v>
      </c>
      <c r="T1036">
        <v>5173</v>
      </c>
      <c r="U1036">
        <v>5125</v>
      </c>
      <c r="W1036">
        <v>5195.99</v>
      </c>
      <c r="Z1036">
        <v>11446</v>
      </c>
      <c r="AA1036">
        <v>58896829</v>
      </c>
      <c r="AB1036">
        <v>4122</v>
      </c>
      <c r="AC1036" t="s">
        <v>42</v>
      </c>
      <c r="AD1036">
        <v>1</v>
      </c>
    </row>
    <row r="1037" spans="1:30">
      <c r="A1037" t="str">
        <f>CONCATENATE(I1037,J1037)</f>
        <v>FCLEQ</v>
      </c>
      <c r="B1037" s="34">
        <v>46273</v>
      </c>
      <c r="C1037" s="34">
        <v>46273</v>
      </c>
      <c r="D1037" t="s">
        <v>35</v>
      </c>
      <c r="E1037" t="s">
        <v>36</v>
      </c>
      <c r="F1037" t="s">
        <v>37</v>
      </c>
      <c r="G1037">
        <v>6198</v>
      </c>
      <c r="H1037" t="s">
        <v>3167</v>
      </c>
      <c r="I1037" t="s">
        <v>3168</v>
      </c>
      <c r="J1037" t="s">
        <v>161</v>
      </c>
      <c r="O1037" t="s">
        <v>3169</v>
      </c>
      <c r="P1037">
        <v>58.84</v>
      </c>
      <c r="Q1037">
        <v>59.5</v>
      </c>
      <c r="R1037">
        <v>56.7</v>
      </c>
      <c r="S1037">
        <v>58.44</v>
      </c>
      <c r="T1037">
        <v>58.2</v>
      </c>
      <c r="U1037">
        <v>56.66</v>
      </c>
      <c r="W1037">
        <v>58.44</v>
      </c>
      <c r="Z1037">
        <v>51043359</v>
      </c>
      <c r="AA1037">
        <v>2978471643.1900001</v>
      </c>
      <c r="AB1037">
        <v>126069</v>
      </c>
      <c r="AC1037" t="s">
        <v>42</v>
      </c>
      <c r="AD1037">
        <v>1</v>
      </c>
    </row>
    <row r="1038" spans="1:30">
      <c r="A1038" t="str">
        <f>CONCATENATE(I1038,J1038)</f>
        <v>FINKURVEEQ</v>
      </c>
      <c r="B1038" s="34">
        <v>46273</v>
      </c>
      <c r="C1038" s="34">
        <v>46273</v>
      </c>
      <c r="D1038" t="s">
        <v>35</v>
      </c>
      <c r="E1038" t="s">
        <v>36</v>
      </c>
      <c r="F1038" t="s">
        <v>37</v>
      </c>
      <c r="G1038">
        <v>759239</v>
      </c>
      <c r="H1038" t="s">
        <v>3170</v>
      </c>
      <c r="I1038" t="s">
        <v>3171</v>
      </c>
      <c r="J1038" t="s">
        <v>161</v>
      </c>
      <c r="O1038" t="s">
        <v>3172</v>
      </c>
      <c r="P1038">
        <v>72.05</v>
      </c>
      <c r="Q1038">
        <v>72.05</v>
      </c>
      <c r="R1038">
        <v>66.099999999999994</v>
      </c>
      <c r="S1038">
        <v>69.09</v>
      </c>
      <c r="T1038">
        <v>69.86</v>
      </c>
      <c r="U1038">
        <v>71.45</v>
      </c>
      <c r="W1038">
        <v>69.09</v>
      </c>
      <c r="Z1038">
        <v>130557</v>
      </c>
      <c r="AA1038">
        <v>8982623.6400000006</v>
      </c>
      <c r="AB1038">
        <v>1752</v>
      </c>
      <c r="AC1038" t="s">
        <v>42</v>
      </c>
      <c r="AD1038">
        <v>1</v>
      </c>
    </row>
    <row r="1039" spans="1:30">
      <c r="A1039" t="str">
        <f>CONCATENATE(I1039,J1039)</f>
        <v>FINOPBEQ</v>
      </c>
      <c r="B1039" s="34">
        <v>46273</v>
      </c>
      <c r="C1039" s="34">
        <v>46273</v>
      </c>
      <c r="D1039" t="s">
        <v>35</v>
      </c>
      <c r="E1039" t="s">
        <v>36</v>
      </c>
      <c r="F1039" t="s">
        <v>37</v>
      </c>
      <c r="G1039">
        <v>6579</v>
      </c>
      <c r="H1039" t="s">
        <v>3173</v>
      </c>
      <c r="I1039" t="s">
        <v>3174</v>
      </c>
      <c r="J1039" t="s">
        <v>161</v>
      </c>
      <c r="O1039" t="s">
        <v>3175</v>
      </c>
      <c r="P1039">
        <v>137.71</v>
      </c>
      <c r="Q1039">
        <v>142.37</v>
      </c>
      <c r="R1039">
        <v>137.5</v>
      </c>
      <c r="S1039">
        <v>139.97</v>
      </c>
      <c r="T1039">
        <v>140</v>
      </c>
      <c r="U1039">
        <v>138.9</v>
      </c>
      <c r="W1039">
        <v>139.97</v>
      </c>
      <c r="Z1039">
        <v>223021</v>
      </c>
      <c r="AA1039">
        <v>31345146.600000001</v>
      </c>
      <c r="AB1039">
        <v>3473</v>
      </c>
      <c r="AC1039" t="s">
        <v>42</v>
      </c>
      <c r="AD1039">
        <v>1</v>
      </c>
    </row>
    <row r="1040" spans="1:30">
      <c r="A1040" t="str">
        <f>CONCATENATE(I1040,J1040)</f>
        <v>FINCABLESEQ</v>
      </c>
      <c r="B1040" s="34">
        <v>46273</v>
      </c>
      <c r="C1040" s="34">
        <v>46273</v>
      </c>
      <c r="D1040" t="s">
        <v>35</v>
      </c>
      <c r="E1040" t="s">
        <v>36</v>
      </c>
      <c r="F1040" t="s">
        <v>37</v>
      </c>
      <c r="G1040">
        <v>1038</v>
      </c>
      <c r="H1040" t="s">
        <v>3176</v>
      </c>
      <c r="I1040" t="s">
        <v>3177</v>
      </c>
      <c r="J1040" t="s">
        <v>161</v>
      </c>
      <c r="O1040" t="s">
        <v>3178</v>
      </c>
      <c r="P1040">
        <v>1235.0999999999999</v>
      </c>
      <c r="Q1040">
        <v>1311.8</v>
      </c>
      <c r="R1040">
        <v>1230.2</v>
      </c>
      <c r="S1040">
        <v>1302.3</v>
      </c>
      <c r="T1040">
        <v>1303</v>
      </c>
      <c r="U1040">
        <v>1227</v>
      </c>
      <c r="W1040">
        <v>1302.3499999999999</v>
      </c>
      <c r="Z1040">
        <v>1806357</v>
      </c>
      <c r="AA1040">
        <v>2328234203.8000002</v>
      </c>
      <c r="AB1040">
        <v>67361</v>
      </c>
      <c r="AC1040" t="s">
        <v>42</v>
      </c>
      <c r="AD1040">
        <v>1</v>
      </c>
    </row>
    <row r="1041" spans="1:30">
      <c r="A1041" t="str">
        <f>CONCATENATE(I1041,J1041)</f>
        <v>FINPIPEEQ</v>
      </c>
      <c r="B1041" s="34">
        <v>46273</v>
      </c>
      <c r="C1041" s="34">
        <v>46273</v>
      </c>
      <c r="D1041" t="s">
        <v>35</v>
      </c>
      <c r="E1041" t="s">
        <v>36</v>
      </c>
      <c r="F1041" t="s">
        <v>37</v>
      </c>
      <c r="G1041">
        <v>1041</v>
      </c>
      <c r="H1041" t="s">
        <v>3179</v>
      </c>
      <c r="I1041" t="s">
        <v>3180</v>
      </c>
      <c r="J1041" t="s">
        <v>161</v>
      </c>
      <c r="O1041" t="s">
        <v>3181</v>
      </c>
      <c r="P1041">
        <v>157</v>
      </c>
      <c r="Q1041">
        <v>159.16999999999999</v>
      </c>
      <c r="R1041">
        <v>156.71</v>
      </c>
      <c r="S1041">
        <v>157.86000000000001</v>
      </c>
      <c r="T1041">
        <v>158.44</v>
      </c>
      <c r="U1041">
        <v>157.16</v>
      </c>
      <c r="W1041">
        <v>157.88</v>
      </c>
      <c r="Z1041">
        <v>256537</v>
      </c>
      <c r="AA1041">
        <v>40461322.579999998</v>
      </c>
      <c r="AB1041">
        <v>11750</v>
      </c>
      <c r="AC1041" t="s">
        <v>42</v>
      </c>
      <c r="AD1041">
        <v>1</v>
      </c>
    </row>
    <row r="1042" spans="1:30">
      <c r="A1042" t="str">
        <f>CONCATENATE(I1042,J1042)</f>
        <v>FSLEQ</v>
      </c>
      <c r="B1042" s="34">
        <v>46273</v>
      </c>
      <c r="C1042" s="34">
        <v>46273</v>
      </c>
      <c r="D1042" t="s">
        <v>35</v>
      </c>
      <c r="E1042" t="s">
        <v>36</v>
      </c>
      <c r="F1042" t="s">
        <v>37</v>
      </c>
      <c r="G1042">
        <v>14304</v>
      </c>
      <c r="H1042" t="s">
        <v>3182</v>
      </c>
      <c r="I1042" t="s">
        <v>3183</v>
      </c>
      <c r="J1042" t="s">
        <v>161</v>
      </c>
      <c r="O1042" t="s">
        <v>3184</v>
      </c>
      <c r="P1042">
        <v>261</v>
      </c>
      <c r="Q1042">
        <v>261</v>
      </c>
      <c r="R1042">
        <v>256.5</v>
      </c>
      <c r="S1042">
        <v>257.8</v>
      </c>
      <c r="T1042">
        <v>258.95</v>
      </c>
      <c r="U1042">
        <v>259.60000000000002</v>
      </c>
      <c r="W1042">
        <v>257.8</v>
      </c>
      <c r="Z1042">
        <v>339117</v>
      </c>
      <c r="AA1042">
        <v>87485303.549999997</v>
      </c>
      <c r="AB1042">
        <v>9885</v>
      </c>
      <c r="AC1042" t="s">
        <v>42</v>
      </c>
      <c r="AD1042">
        <v>1</v>
      </c>
    </row>
    <row r="1043" spans="1:30">
      <c r="A1043" t="str">
        <f>CONCATENATE(I1043,J1043)</f>
        <v>FISCHEREQ</v>
      </c>
      <c r="B1043" s="34">
        <v>46273</v>
      </c>
      <c r="C1043" s="34">
        <v>46273</v>
      </c>
      <c r="D1043" t="s">
        <v>35</v>
      </c>
      <c r="E1043" t="s">
        <v>36</v>
      </c>
      <c r="F1043" t="s">
        <v>37</v>
      </c>
      <c r="G1043">
        <v>757658</v>
      </c>
      <c r="H1043" t="s">
        <v>3185</v>
      </c>
      <c r="I1043" t="s">
        <v>3186</v>
      </c>
      <c r="J1043" t="s">
        <v>161</v>
      </c>
      <c r="O1043" t="s">
        <v>3187</v>
      </c>
      <c r="P1043">
        <v>35.71</v>
      </c>
      <c r="Q1043">
        <v>36.29</v>
      </c>
      <c r="R1043">
        <v>35.4</v>
      </c>
      <c r="S1043">
        <v>35.56</v>
      </c>
      <c r="T1043">
        <v>35.53</v>
      </c>
      <c r="U1043">
        <v>35.72</v>
      </c>
      <c r="W1043">
        <v>35.56</v>
      </c>
      <c r="Z1043">
        <v>300427</v>
      </c>
      <c r="AA1043">
        <v>10713153.43</v>
      </c>
      <c r="AB1043">
        <v>1029</v>
      </c>
      <c r="AC1043" t="s">
        <v>42</v>
      </c>
      <c r="AD1043">
        <v>1</v>
      </c>
    </row>
    <row r="1044" spans="1:30">
      <c r="A1044" t="str">
        <f>CONCATENATE(I1044,J1044)</f>
        <v>FIVESTAREQ</v>
      </c>
      <c r="B1044" s="34">
        <v>46273</v>
      </c>
      <c r="C1044" s="34">
        <v>46273</v>
      </c>
      <c r="D1044" t="s">
        <v>35</v>
      </c>
      <c r="E1044" t="s">
        <v>36</v>
      </c>
      <c r="F1044" t="s">
        <v>37</v>
      </c>
      <c r="G1044">
        <v>12032</v>
      </c>
      <c r="H1044" t="s">
        <v>3188</v>
      </c>
      <c r="I1044" t="s">
        <v>3189</v>
      </c>
      <c r="J1044" t="s">
        <v>161</v>
      </c>
      <c r="O1044" t="s">
        <v>3190</v>
      </c>
      <c r="P1044">
        <v>524.04999999999995</v>
      </c>
      <c r="Q1044">
        <v>528.75</v>
      </c>
      <c r="R1044">
        <v>518.5</v>
      </c>
      <c r="S1044">
        <v>524.15</v>
      </c>
      <c r="T1044">
        <v>524</v>
      </c>
      <c r="U1044">
        <v>526.20000000000005</v>
      </c>
      <c r="W1044">
        <v>524.15</v>
      </c>
      <c r="Z1044">
        <v>145895</v>
      </c>
      <c r="AA1044">
        <v>76395826.650000006</v>
      </c>
      <c r="AB1044">
        <v>12887</v>
      </c>
      <c r="AC1044" t="s">
        <v>42</v>
      </c>
      <c r="AD1044">
        <v>1</v>
      </c>
    </row>
    <row r="1045" spans="1:30">
      <c r="A1045" t="str">
        <f>CONCATENATE(I1045,J1045)</f>
        <v>FLAIREQ</v>
      </c>
      <c r="B1045" s="34">
        <v>46273</v>
      </c>
      <c r="C1045" s="34">
        <v>46273</v>
      </c>
      <c r="D1045" t="s">
        <v>35</v>
      </c>
      <c r="E1045" t="s">
        <v>36</v>
      </c>
      <c r="F1045" t="s">
        <v>37</v>
      </c>
      <c r="G1045">
        <v>20372</v>
      </c>
      <c r="H1045" t="s">
        <v>3191</v>
      </c>
      <c r="I1045" t="s">
        <v>3192</v>
      </c>
      <c r="J1045" t="s">
        <v>161</v>
      </c>
      <c r="O1045" t="s">
        <v>3193</v>
      </c>
      <c r="P1045">
        <v>240.2</v>
      </c>
      <c r="Q1045">
        <v>250</v>
      </c>
      <c r="R1045">
        <v>234.95</v>
      </c>
      <c r="S1045">
        <v>236.96</v>
      </c>
      <c r="T1045">
        <v>235.06</v>
      </c>
      <c r="U1045">
        <v>240.22</v>
      </c>
      <c r="W1045">
        <v>236.99</v>
      </c>
      <c r="Z1045">
        <v>634998</v>
      </c>
      <c r="AA1045">
        <v>153216898.53</v>
      </c>
      <c r="AB1045">
        <v>7740</v>
      </c>
      <c r="AC1045" t="s">
        <v>42</v>
      </c>
      <c r="AD1045">
        <v>1</v>
      </c>
    </row>
    <row r="1046" spans="1:30">
      <c r="A1046" t="str">
        <f>CONCATENATE(I1046,J1046)</f>
        <v>FLEXITUFFBE</v>
      </c>
      <c r="B1046" s="34">
        <v>46273</v>
      </c>
      <c r="C1046" s="34">
        <v>46273</v>
      </c>
      <c r="D1046" t="s">
        <v>35</v>
      </c>
      <c r="E1046" t="s">
        <v>36</v>
      </c>
      <c r="F1046" t="s">
        <v>37</v>
      </c>
      <c r="G1046">
        <v>25516</v>
      </c>
      <c r="H1046" t="s">
        <v>3194</v>
      </c>
      <c r="I1046" t="s">
        <v>3195</v>
      </c>
      <c r="J1046" t="s">
        <v>183</v>
      </c>
      <c r="O1046" t="s">
        <v>3196</v>
      </c>
      <c r="P1046">
        <v>2.1800000000000002</v>
      </c>
      <c r="Q1046">
        <v>2.2799999999999998</v>
      </c>
      <c r="R1046">
        <v>2.08</v>
      </c>
      <c r="S1046">
        <v>2.08</v>
      </c>
      <c r="T1046">
        <v>2.08</v>
      </c>
      <c r="U1046">
        <v>2.1800000000000002</v>
      </c>
      <c r="W1046">
        <v>2.08</v>
      </c>
      <c r="Z1046">
        <v>145147</v>
      </c>
      <c r="AA1046">
        <v>305851.53000000003</v>
      </c>
      <c r="AB1046">
        <v>199</v>
      </c>
      <c r="AC1046" t="s">
        <v>42</v>
      </c>
      <c r="AD1046">
        <v>1</v>
      </c>
    </row>
    <row r="1047" spans="1:30">
      <c r="A1047" t="str">
        <f>CONCATENATE(I1047,J1047)</f>
        <v>FLYSBSSM</v>
      </c>
      <c r="B1047" s="34">
        <v>46273</v>
      </c>
      <c r="C1047" s="34">
        <v>46273</v>
      </c>
      <c r="D1047" t="s">
        <v>35</v>
      </c>
      <c r="E1047" t="s">
        <v>36</v>
      </c>
      <c r="F1047" t="s">
        <v>37</v>
      </c>
      <c r="G1047">
        <v>758208</v>
      </c>
      <c r="H1047" t="s">
        <v>3197</v>
      </c>
      <c r="I1047" t="s">
        <v>3198</v>
      </c>
      <c r="J1047" t="s">
        <v>267</v>
      </c>
      <c r="O1047" t="s">
        <v>3199</v>
      </c>
      <c r="P1047">
        <v>657.4</v>
      </c>
      <c r="Q1047">
        <v>682</v>
      </c>
      <c r="R1047">
        <v>643</v>
      </c>
      <c r="S1047">
        <v>676.95</v>
      </c>
      <c r="T1047">
        <v>670.1</v>
      </c>
      <c r="U1047">
        <v>657.4</v>
      </c>
      <c r="W1047">
        <v>676.95</v>
      </c>
      <c r="Z1047">
        <v>91600</v>
      </c>
      <c r="AA1047">
        <v>61293030</v>
      </c>
      <c r="AB1047">
        <v>302</v>
      </c>
      <c r="AC1047" t="s">
        <v>42</v>
      </c>
      <c r="AD1047">
        <v>200</v>
      </c>
    </row>
    <row r="1048" spans="1:30">
      <c r="A1048" t="str">
        <f>CONCATENATE(I1048,J1048)</f>
        <v>FOCUSBE</v>
      </c>
      <c r="B1048" s="34">
        <v>46273</v>
      </c>
      <c r="C1048" s="34">
        <v>46273</v>
      </c>
      <c r="D1048" t="s">
        <v>35</v>
      </c>
      <c r="E1048" t="s">
        <v>36</v>
      </c>
      <c r="F1048" t="s">
        <v>37</v>
      </c>
      <c r="G1048">
        <v>6839</v>
      </c>
      <c r="H1048" t="s">
        <v>3200</v>
      </c>
      <c r="I1048" t="s">
        <v>3201</v>
      </c>
      <c r="J1048" t="s">
        <v>183</v>
      </c>
      <c r="O1048" t="s">
        <v>3202</v>
      </c>
      <c r="P1048">
        <v>63.64</v>
      </c>
      <c r="Q1048">
        <v>63.87</v>
      </c>
      <c r="R1048">
        <v>61</v>
      </c>
      <c r="S1048">
        <v>61.59</v>
      </c>
      <c r="T1048">
        <v>61.78</v>
      </c>
      <c r="U1048">
        <v>63.64</v>
      </c>
      <c r="W1048">
        <v>61.59</v>
      </c>
      <c r="Z1048">
        <v>102474</v>
      </c>
      <c r="AA1048">
        <v>6341879.1299999999</v>
      </c>
      <c r="AB1048">
        <v>498</v>
      </c>
      <c r="AC1048" t="s">
        <v>42</v>
      </c>
      <c r="AD1048">
        <v>1</v>
      </c>
    </row>
    <row r="1049" spans="1:30">
      <c r="A1049" t="str">
        <f>CONCATENATE(I1049,J1049)</f>
        <v>FONEBOXSM</v>
      </c>
      <c r="B1049" s="34">
        <v>46273</v>
      </c>
      <c r="C1049" s="34">
        <v>46273</v>
      </c>
      <c r="D1049" t="s">
        <v>35</v>
      </c>
      <c r="E1049" t="s">
        <v>36</v>
      </c>
      <c r="F1049" t="s">
        <v>37</v>
      </c>
      <c r="G1049">
        <v>22517</v>
      </c>
      <c r="H1049" t="s">
        <v>3203</v>
      </c>
      <c r="I1049" t="s">
        <v>3204</v>
      </c>
      <c r="J1049" t="s">
        <v>267</v>
      </c>
      <c r="O1049" t="s">
        <v>3205</v>
      </c>
      <c r="P1049">
        <v>108.5</v>
      </c>
      <c r="Q1049">
        <v>108.6</v>
      </c>
      <c r="R1049">
        <v>105</v>
      </c>
      <c r="S1049">
        <v>108</v>
      </c>
      <c r="T1049">
        <v>108</v>
      </c>
      <c r="U1049">
        <v>103.45</v>
      </c>
      <c r="W1049">
        <v>108</v>
      </c>
      <c r="Z1049">
        <v>16000</v>
      </c>
      <c r="AA1049">
        <v>1709550</v>
      </c>
      <c r="AB1049">
        <v>14</v>
      </c>
      <c r="AC1049" t="s">
        <v>42</v>
      </c>
      <c r="AD1049">
        <v>1000</v>
      </c>
    </row>
    <row r="1050" spans="1:30">
      <c r="A1050" t="str">
        <f>CONCATENATE(I1050,J1050)</f>
        <v>FOODSINEQ</v>
      </c>
      <c r="B1050" s="34">
        <v>46273</v>
      </c>
      <c r="C1050" s="34">
        <v>46273</v>
      </c>
      <c r="D1050" t="s">
        <v>35</v>
      </c>
      <c r="E1050" t="s">
        <v>36</v>
      </c>
      <c r="F1050" t="s">
        <v>37</v>
      </c>
      <c r="G1050">
        <v>6673</v>
      </c>
      <c r="H1050" t="s">
        <v>3206</v>
      </c>
      <c r="I1050" t="s">
        <v>3207</v>
      </c>
      <c r="J1050" t="s">
        <v>161</v>
      </c>
      <c r="O1050" t="s">
        <v>3208</v>
      </c>
      <c r="P1050">
        <v>56.8</v>
      </c>
      <c r="Q1050">
        <v>57.99</v>
      </c>
      <c r="R1050">
        <v>55.25</v>
      </c>
      <c r="S1050">
        <v>56.08</v>
      </c>
      <c r="T1050">
        <v>55.26</v>
      </c>
      <c r="U1050">
        <v>57.4</v>
      </c>
      <c r="W1050">
        <v>56.11</v>
      </c>
      <c r="Z1050">
        <v>32938</v>
      </c>
      <c r="AA1050">
        <v>1866606.04</v>
      </c>
      <c r="AB1050">
        <v>721</v>
      </c>
      <c r="AC1050" t="s">
        <v>42</v>
      </c>
      <c r="AD1050">
        <v>1</v>
      </c>
    </row>
    <row r="1051" spans="1:30">
      <c r="A1051" t="str">
        <f>CONCATENATE(I1051,J1051)</f>
        <v>FORCASST</v>
      </c>
      <c r="B1051" s="34">
        <v>46273</v>
      </c>
      <c r="C1051" s="34">
        <v>46273</v>
      </c>
      <c r="D1051" t="s">
        <v>35</v>
      </c>
      <c r="E1051" t="s">
        <v>36</v>
      </c>
      <c r="F1051" t="s">
        <v>37</v>
      </c>
      <c r="G1051">
        <v>24917</v>
      </c>
      <c r="H1051" t="s">
        <v>3209</v>
      </c>
      <c r="I1051" t="s">
        <v>3210</v>
      </c>
      <c r="J1051" t="s">
        <v>328</v>
      </c>
      <c r="O1051" t="s">
        <v>3211</v>
      </c>
      <c r="P1051">
        <v>237</v>
      </c>
      <c r="Q1051">
        <v>237.95</v>
      </c>
      <c r="R1051">
        <v>228</v>
      </c>
      <c r="S1051">
        <v>235.9</v>
      </c>
      <c r="T1051">
        <v>237.95</v>
      </c>
      <c r="U1051">
        <v>234</v>
      </c>
      <c r="W1051">
        <v>235.9</v>
      </c>
      <c r="Z1051">
        <v>20800</v>
      </c>
      <c r="AA1051">
        <v>4879680</v>
      </c>
      <c r="AB1051">
        <v>13</v>
      </c>
      <c r="AC1051" t="s">
        <v>42</v>
      </c>
      <c r="AD1051">
        <v>1600</v>
      </c>
    </row>
    <row r="1052" spans="1:30">
      <c r="A1052" t="str">
        <f>CONCATENATE(I1052,J1052)</f>
        <v>FORCEMOTEQ</v>
      </c>
      <c r="B1052" s="34">
        <v>46273</v>
      </c>
      <c r="C1052" s="34">
        <v>46273</v>
      </c>
      <c r="D1052" t="s">
        <v>35</v>
      </c>
      <c r="E1052" t="s">
        <v>36</v>
      </c>
      <c r="F1052" t="s">
        <v>37</v>
      </c>
      <c r="G1052">
        <v>11573</v>
      </c>
      <c r="H1052" t="s">
        <v>3212</v>
      </c>
      <c r="I1052" t="s">
        <v>3213</v>
      </c>
      <c r="J1052" t="s">
        <v>161</v>
      </c>
      <c r="O1052" t="s">
        <v>3214</v>
      </c>
      <c r="P1052">
        <v>17750</v>
      </c>
      <c r="Q1052">
        <v>17865</v>
      </c>
      <c r="R1052">
        <v>17590</v>
      </c>
      <c r="S1052">
        <v>17625</v>
      </c>
      <c r="T1052">
        <v>17625</v>
      </c>
      <c r="U1052">
        <v>17829</v>
      </c>
      <c r="W1052">
        <v>17623.54</v>
      </c>
      <c r="Z1052">
        <v>47183</v>
      </c>
      <c r="AA1052">
        <v>833976505</v>
      </c>
      <c r="AB1052">
        <v>15936</v>
      </c>
      <c r="AC1052" t="s">
        <v>42</v>
      </c>
      <c r="AD1052">
        <v>1</v>
      </c>
    </row>
    <row r="1053" spans="1:30">
      <c r="A1053" t="str">
        <f>CONCATENATE(I1053,J1053)</f>
        <v>FORGEAUTOSM</v>
      </c>
      <c r="B1053" s="34">
        <v>46273</v>
      </c>
      <c r="C1053" s="34">
        <v>46273</v>
      </c>
      <c r="D1053" t="s">
        <v>35</v>
      </c>
      <c r="E1053" t="s">
        <v>36</v>
      </c>
      <c r="F1053" t="s">
        <v>37</v>
      </c>
      <c r="G1053">
        <v>25664</v>
      </c>
      <c r="H1053" t="s">
        <v>3215</v>
      </c>
      <c r="I1053" t="s">
        <v>3216</v>
      </c>
      <c r="J1053" t="s">
        <v>267</v>
      </c>
      <c r="O1053" t="s">
        <v>3217</v>
      </c>
      <c r="P1053">
        <v>100.1</v>
      </c>
      <c r="Q1053">
        <v>100.1</v>
      </c>
      <c r="R1053">
        <v>100</v>
      </c>
      <c r="S1053">
        <v>100</v>
      </c>
      <c r="T1053">
        <v>100</v>
      </c>
      <c r="U1053">
        <v>101</v>
      </c>
      <c r="W1053">
        <v>100</v>
      </c>
      <c r="Z1053">
        <v>7200</v>
      </c>
      <c r="AA1053">
        <v>720240</v>
      </c>
      <c r="AB1053">
        <v>6</v>
      </c>
      <c r="AC1053" t="s">
        <v>42</v>
      </c>
      <c r="AD1053">
        <v>1200</v>
      </c>
    </row>
    <row r="1054" spans="1:30">
      <c r="A1054" t="str">
        <f>CONCATENATE(I1054,J1054)</f>
        <v>FORTISEQ</v>
      </c>
      <c r="B1054" s="34">
        <v>46273</v>
      </c>
      <c r="C1054" s="34">
        <v>46273</v>
      </c>
      <c r="D1054" t="s">
        <v>35</v>
      </c>
      <c r="E1054" t="s">
        <v>36</v>
      </c>
      <c r="F1054" t="s">
        <v>37</v>
      </c>
      <c r="G1054">
        <v>14592</v>
      </c>
      <c r="H1054" t="s">
        <v>3218</v>
      </c>
      <c r="I1054" t="s">
        <v>3219</v>
      </c>
      <c r="J1054" t="s">
        <v>161</v>
      </c>
      <c r="O1054" t="s">
        <v>3220</v>
      </c>
      <c r="P1054">
        <v>908.05</v>
      </c>
      <c r="Q1054">
        <v>913</v>
      </c>
      <c r="R1054">
        <v>902.35</v>
      </c>
      <c r="S1054">
        <v>908</v>
      </c>
      <c r="T1054">
        <v>908</v>
      </c>
      <c r="U1054">
        <v>910</v>
      </c>
      <c r="W1054">
        <v>908.03</v>
      </c>
      <c r="Z1054">
        <v>768379</v>
      </c>
      <c r="AA1054">
        <v>696670612.95000005</v>
      </c>
      <c r="AB1054">
        <v>34332</v>
      </c>
      <c r="AC1054" t="s">
        <v>42</v>
      </c>
      <c r="AD1054">
        <v>1</v>
      </c>
    </row>
    <row r="1055" spans="1:30">
      <c r="A1055" t="str">
        <f>CONCATENATE(I1055,J1055)</f>
        <v>FOSECOINDEQ</v>
      </c>
      <c r="B1055" s="34">
        <v>46273</v>
      </c>
      <c r="C1055" s="34">
        <v>46273</v>
      </c>
      <c r="D1055" t="s">
        <v>35</v>
      </c>
      <c r="E1055" t="s">
        <v>36</v>
      </c>
      <c r="F1055" t="s">
        <v>37</v>
      </c>
      <c r="G1055">
        <v>1073</v>
      </c>
      <c r="H1055" t="s">
        <v>3221</v>
      </c>
      <c r="I1055" t="s">
        <v>3222</v>
      </c>
      <c r="J1055" t="s">
        <v>161</v>
      </c>
      <c r="O1055" t="s">
        <v>3223</v>
      </c>
      <c r="P1055">
        <v>6128.5</v>
      </c>
      <c r="Q1055">
        <v>6198.5</v>
      </c>
      <c r="R1055">
        <v>6015.5</v>
      </c>
      <c r="S1055">
        <v>6095.5</v>
      </c>
      <c r="T1055">
        <v>6078</v>
      </c>
      <c r="U1055">
        <v>6128.5</v>
      </c>
      <c r="W1055">
        <v>6095.84</v>
      </c>
      <c r="Z1055">
        <v>8459</v>
      </c>
      <c r="AA1055">
        <v>51593852.5</v>
      </c>
      <c r="AB1055">
        <v>2413</v>
      </c>
      <c r="AC1055" t="s">
        <v>42</v>
      </c>
      <c r="AD1055">
        <v>1</v>
      </c>
    </row>
    <row r="1056" spans="1:30">
      <c r="A1056" t="str">
        <f>CONCATENATE(I1056,J1056)</f>
        <v>FRACTALEQ</v>
      </c>
      <c r="B1056" s="34">
        <v>46273</v>
      </c>
      <c r="C1056" s="34">
        <v>46273</v>
      </c>
      <c r="D1056" t="s">
        <v>35</v>
      </c>
      <c r="E1056" t="s">
        <v>36</v>
      </c>
      <c r="F1056" t="s">
        <v>37</v>
      </c>
      <c r="G1056">
        <v>760961</v>
      </c>
      <c r="H1056" t="s">
        <v>3224</v>
      </c>
      <c r="I1056" t="s">
        <v>3225</v>
      </c>
      <c r="J1056" t="s">
        <v>161</v>
      </c>
      <c r="O1056" t="s">
        <v>3226</v>
      </c>
      <c r="P1056">
        <v>802</v>
      </c>
      <c r="Q1056">
        <v>804.65</v>
      </c>
      <c r="R1056">
        <v>791.2</v>
      </c>
      <c r="S1056">
        <v>794.75</v>
      </c>
      <c r="T1056">
        <v>794.5</v>
      </c>
      <c r="U1056">
        <v>801.2</v>
      </c>
      <c r="W1056">
        <v>794.75</v>
      </c>
      <c r="Z1056">
        <v>133560</v>
      </c>
      <c r="AA1056">
        <v>106450901.25</v>
      </c>
      <c r="AB1056">
        <v>11871</v>
      </c>
      <c r="AC1056" t="s">
        <v>42</v>
      </c>
      <c r="AD1056">
        <v>1</v>
      </c>
    </row>
    <row r="1057" spans="1:30">
      <c r="A1057" t="str">
        <f>CONCATENATE(I1057,J1057)</f>
        <v>FREDUNEQ</v>
      </c>
      <c r="B1057" s="34">
        <v>46273</v>
      </c>
      <c r="C1057" s="34">
        <v>46273</v>
      </c>
      <c r="D1057" t="s">
        <v>35</v>
      </c>
      <c r="E1057" t="s">
        <v>36</v>
      </c>
      <c r="F1057" t="s">
        <v>37</v>
      </c>
      <c r="G1057">
        <v>764683</v>
      </c>
      <c r="H1057" t="s">
        <v>3227</v>
      </c>
      <c r="I1057" t="s">
        <v>3228</v>
      </c>
      <c r="J1057" t="s">
        <v>161</v>
      </c>
      <c r="O1057" t="s">
        <v>3229</v>
      </c>
      <c r="P1057">
        <v>1409.9</v>
      </c>
      <c r="Q1057">
        <v>1430</v>
      </c>
      <c r="R1057">
        <v>1320.1</v>
      </c>
      <c r="S1057">
        <v>1356.8</v>
      </c>
      <c r="T1057">
        <v>1360</v>
      </c>
      <c r="U1057">
        <v>1405.5</v>
      </c>
      <c r="W1057">
        <v>1357.65</v>
      </c>
      <c r="Z1057">
        <v>97274</v>
      </c>
      <c r="AA1057">
        <v>132880450.3</v>
      </c>
      <c r="AB1057">
        <v>11388</v>
      </c>
      <c r="AC1057" t="s">
        <v>42</v>
      </c>
      <c r="AD1057">
        <v>1</v>
      </c>
    </row>
    <row r="1058" spans="1:30">
      <c r="A1058" t="str">
        <f>CONCATENATE(I1058,J1058)</f>
        <v>FRESHARAST</v>
      </c>
      <c r="B1058" s="34">
        <v>46273</v>
      </c>
      <c r="C1058" s="34">
        <v>46273</v>
      </c>
      <c r="D1058" t="s">
        <v>35</v>
      </c>
      <c r="E1058" t="s">
        <v>36</v>
      </c>
      <c r="F1058" t="s">
        <v>37</v>
      </c>
      <c r="G1058">
        <v>25871</v>
      </c>
      <c r="H1058" t="s">
        <v>3230</v>
      </c>
      <c r="I1058" t="s">
        <v>3231</v>
      </c>
      <c r="J1058" t="s">
        <v>328</v>
      </c>
      <c r="O1058" t="s">
        <v>3232</v>
      </c>
      <c r="P1058">
        <v>435</v>
      </c>
      <c r="Q1058">
        <v>452.55</v>
      </c>
      <c r="R1058">
        <v>435</v>
      </c>
      <c r="S1058">
        <v>452.55</v>
      </c>
      <c r="T1058">
        <v>452.55</v>
      </c>
      <c r="U1058">
        <v>431</v>
      </c>
      <c r="W1058">
        <v>452.55</v>
      </c>
      <c r="Z1058">
        <v>134400</v>
      </c>
      <c r="AA1058">
        <v>60754860</v>
      </c>
      <c r="AB1058">
        <v>71</v>
      </c>
      <c r="AC1058" t="s">
        <v>42</v>
      </c>
      <c r="AD1058">
        <v>600</v>
      </c>
    </row>
    <row r="1059" spans="1:30">
      <c r="A1059" t="str">
        <f>CONCATENATE(I1059,J1059)</f>
        <v>FROGST</v>
      </c>
      <c r="B1059" s="34">
        <v>46273</v>
      </c>
      <c r="C1059" s="34">
        <v>46273</v>
      </c>
      <c r="D1059" t="s">
        <v>35</v>
      </c>
      <c r="E1059" t="s">
        <v>36</v>
      </c>
      <c r="F1059" t="s">
        <v>37</v>
      </c>
      <c r="G1059">
        <v>11504</v>
      </c>
      <c r="H1059" t="s">
        <v>3233</v>
      </c>
      <c r="I1059" t="s">
        <v>3234</v>
      </c>
      <c r="J1059" t="s">
        <v>328</v>
      </c>
      <c r="O1059" t="s">
        <v>3235</v>
      </c>
      <c r="P1059">
        <v>247.1</v>
      </c>
      <c r="Q1059">
        <v>259.8</v>
      </c>
      <c r="R1059">
        <v>238</v>
      </c>
      <c r="S1059">
        <v>258.2</v>
      </c>
      <c r="T1059">
        <v>259.8</v>
      </c>
      <c r="U1059">
        <v>247.45</v>
      </c>
      <c r="W1059">
        <v>258.2</v>
      </c>
      <c r="Z1059">
        <v>41600</v>
      </c>
      <c r="AA1059">
        <v>10665840</v>
      </c>
      <c r="AB1059">
        <v>64</v>
      </c>
      <c r="AC1059" t="s">
        <v>42</v>
      </c>
      <c r="AD1059">
        <v>400</v>
      </c>
    </row>
    <row r="1060" spans="1:30">
      <c r="A1060" t="str">
        <f>CONCATENATE(I1060,J1060)</f>
        <v>FRONTSPEQ</v>
      </c>
      <c r="B1060" s="34">
        <v>46273</v>
      </c>
      <c r="C1060" s="34">
        <v>46273</v>
      </c>
      <c r="D1060" t="s">
        <v>35</v>
      </c>
      <c r="E1060" t="s">
        <v>36</v>
      </c>
      <c r="F1060" t="s">
        <v>37</v>
      </c>
      <c r="G1060">
        <v>762685</v>
      </c>
      <c r="H1060" t="s">
        <v>3236</v>
      </c>
      <c r="I1060" t="s">
        <v>3237</v>
      </c>
      <c r="J1060" t="s">
        <v>161</v>
      </c>
      <c r="O1060" t="s">
        <v>3238</v>
      </c>
      <c r="P1060">
        <v>1261.8</v>
      </c>
      <c r="Q1060">
        <v>1267.4000000000001</v>
      </c>
      <c r="R1060">
        <v>1246</v>
      </c>
      <c r="S1060">
        <v>1258.2</v>
      </c>
      <c r="T1060">
        <v>1260</v>
      </c>
      <c r="U1060">
        <v>1268</v>
      </c>
      <c r="W1060">
        <v>1258.23</v>
      </c>
      <c r="Z1060">
        <v>10954</v>
      </c>
      <c r="AA1060">
        <v>13764368.6</v>
      </c>
      <c r="AB1060">
        <v>1670</v>
      </c>
      <c r="AC1060" t="s">
        <v>42</v>
      </c>
      <c r="AD1060">
        <v>1</v>
      </c>
    </row>
    <row r="1061" spans="1:30">
      <c r="A1061" t="str">
        <f>CONCATENATE(I1061,J1061)</f>
        <v>NYKAAEQ</v>
      </c>
      <c r="B1061" s="34">
        <v>46273</v>
      </c>
      <c r="C1061" s="34">
        <v>46273</v>
      </c>
      <c r="D1061" t="s">
        <v>35</v>
      </c>
      <c r="E1061" t="s">
        <v>36</v>
      </c>
      <c r="F1061" t="s">
        <v>37</v>
      </c>
      <c r="G1061">
        <v>6545</v>
      </c>
      <c r="H1061" t="s">
        <v>3239</v>
      </c>
      <c r="I1061" t="s">
        <v>3240</v>
      </c>
      <c r="J1061" t="s">
        <v>161</v>
      </c>
      <c r="O1061" t="s">
        <v>3241</v>
      </c>
      <c r="P1061">
        <v>333.1</v>
      </c>
      <c r="Q1061">
        <v>341.55</v>
      </c>
      <c r="R1061">
        <v>333.1</v>
      </c>
      <c r="S1061">
        <v>341</v>
      </c>
      <c r="T1061">
        <v>341</v>
      </c>
      <c r="U1061">
        <v>332.7</v>
      </c>
      <c r="W1061">
        <v>341</v>
      </c>
      <c r="Z1061">
        <v>5740245</v>
      </c>
      <c r="AA1061">
        <v>1947065611.3499999</v>
      </c>
      <c r="AB1061">
        <v>60249</v>
      </c>
      <c r="AC1061" t="s">
        <v>42</v>
      </c>
      <c r="AD1061">
        <v>1</v>
      </c>
    </row>
    <row r="1062" spans="1:30">
      <c r="A1062" t="str">
        <f>CONCATENATE(I1062,J1062)</f>
        <v>UTLSOLAREQ</v>
      </c>
      <c r="B1062" s="34">
        <v>46273</v>
      </c>
      <c r="C1062" s="34">
        <v>46273</v>
      </c>
      <c r="D1062" t="s">
        <v>35</v>
      </c>
      <c r="E1062" t="s">
        <v>36</v>
      </c>
      <c r="F1062" t="s">
        <v>37</v>
      </c>
      <c r="G1062">
        <v>759876</v>
      </c>
      <c r="H1062" t="s">
        <v>3242</v>
      </c>
      <c r="I1062" t="s">
        <v>3243</v>
      </c>
      <c r="J1062" t="s">
        <v>161</v>
      </c>
      <c r="O1062" t="s">
        <v>3244</v>
      </c>
      <c r="P1062">
        <v>410.2</v>
      </c>
      <c r="Q1062">
        <v>440</v>
      </c>
      <c r="R1062">
        <v>410.2</v>
      </c>
      <c r="S1062">
        <v>435.2</v>
      </c>
      <c r="T1062">
        <v>434</v>
      </c>
      <c r="U1062">
        <v>417.3</v>
      </c>
      <c r="W1062">
        <v>435.18</v>
      </c>
      <c r="Z1062">
        <v>384255</v>
      </c>
      <c r="AA1062">
        <v>165088189.94999999</v>
      </c>
      <c r="AB1062">
        <v>22620</v>
      </c>
      <c r="AC1062" t="s">
        <v>42</v>
      </c>
      <c r="AD1062">
        <v>1</v>
      </c>
    </row>
    <row r="1063" spans="1:30">
      <c r="A1063" t="str">
        <f>CONCATENATE(I1063,J1063)</f>
        <v>FUSIONEQ</v>
      </c>
      <c r="B1063" s="34">
        <v>46273</v>
      </c>
      <c r="C1063" s="34">
        <v>46273</v>
      </c>
      <c r="D1063" t="s">
        <v>35</v>
      </c>
      <c r="E1063" t="s">
        <v>36</v>
      </c>
      <c r="F1063" t="s">
        <v>37</v>
      </c>
      <c r="G1063">
        <v>11932</v>
      </c>
      <c r="H1063" t="s">
        <v>3245</v>
      </c>
      <c r="I1063" t="s">
        <v>3246</v>
      </c>
      <c r="J1063" t="s">
        <v>161</v>
      </c>
      <c r="O1063" t="s">
        <v>3247</v>
      </c>
      <c r="P1063">
        <v>200.52</v>
      </c>
      <c r="Q1063">
        <v>203.33</v>
      </c>
      <c r="R1063">
        <v>197.82</v>
      </c>
      <c r="S1063">
        <v>202.06</v>
      </c>
      <c r="T1063">
        <v>201.4</v>
      </c>
      <c r="U1063">
        <v>200.52</v>
      </c>
      <c r="W1063">
        <v>202.04</v>
      </c>
      <c r="Z1063">
        <v>508211</v>
      </c>
      <c r="AA1063">
        <v>101791108.15000001</v>
      </c>
      <c r="AB1063">
        <v>9959</v>
      </c>
      <c r="AC1063" t="s">
        <v>42</v>
      </c>
      <c r="AD1063">
        <v>1</v>
      </c>
    </row>
    <row r="1064" spans="1:30">
      <c r="A1064" t="str">
        <f>CONCATENATE(I1064,J1064)</f>
        <v>FLFLBZ</v>
      </c>
      <c r="B1064" s="34">
        <v>46273</v>
      </c>
      <c r="C1064" s="34">
        <v>46273</v>
      </c>
      <c r="D1064" t="s">
        <v>35</v>
      </c>
      <c r="E1064" t="s">
        <v>36</v>
      </c>
      <c r="F1064" t="s">
        <v>37</v>
      </c>
      <c r="G1064">
        <v>14868</v>
      </c>
      <c r="H1064" t="s">
        <v>3248</v>
      </c>
      <c r="I1064" t="s">
        <v>3249</v>
      </c>
      <c r="J1064" t="s">
        <v>551</v>
      </c>
      <c r="O1064" t="s">
        <v>3250</v>
      </c>
      <c r="P1064">
        <v>1.25</v>
      </c>
      <c r="Q1064">
        <v>1.31</v>
      </c>
      <c r="R1064">
        <v>1.19</v>
      </c>
      <c r="S1064">
        <v>1.21</v>
      </c>
      <c r="T1064">
        <v>1.21</v>
      </c>
      <c r="U1064">
        <v>1.25</v>
      </c>
      <c r="W1064">
        <v>1.21</v>
      </c>
      <c r="Z1064">
        <v>26220</v>
      </c>
      <c r="AA1064">
        <v>33009.4</v>
      </c>
      <c r="AB1064">
        <v>63</v>
      </c>
      <c r="AC1064" t="s">
        <v>42</v>
      </c>
      <c r="AD1064">
        <v>1</v>
      </c>
    </row>
    <row r="1065" spans="1:30">
      <c r="A1065" t="str">
        <f>CONCATENATE(I1065,J1065)</f>
        <v>FELBZ</v>
      </c>
      <c r="B1065" s="34">
        <v>46273</v>
      </c>
      <c r="C1065" s="34">
        <v>46273</v>
      </c>
      <c r="D1065" t="s">
        <v>35</v>
      </c>
      <c r="E1065" t="s">
        <v>36</v>
      </c>
      <c r="F1065" t="s">
        <v>37</v>
      </c>
      <c r="G1065">
        <v>13812</v>
      </c>
      <c r="H1065" t="s">
        <v>3251</v>
      </c>
      <c r="I1065" t="s">
        <v>3252</v>
      </c>
      <c r="J1065" t="s">
        <v>551</v>
      </c>
      <c r="O1065" t="s">
        <v>3253</v>
      </c>
      <c r="P1065">
        <v>0.38</v>
      </c>
      <c r="Q1065">
        <v>0.39</v>
      </c>
      <c r="R1065">
        <v>0.37</v>
      </c>
      <c r="S1065">
        <v>0.38</v>
      </c>
      <c r="T1065">
        <v>0.39</v>
      </c>
      <c r="U1065">
        <v>0.38</v>
      </c>
      <c r="W1065">
        <v>0.38</v>
      </c>
      <c r="Z1065">
        <v>141476</v>
      </c>
      <c r="AA1065">
        <v>53866.13</v>
      </c>
      <c r="AB1065">
        <v>93</v>
      </c>
      <c r="AC1065" t="s">
        <v>42</v>
      </c>
      <c r="AD1065">
        <v>1</v>
      </c>
    </row>
    <row r="1066" spans="1:30">
      <c r="A1066" t="str">
        <f>CONCATENATE(I1066,J1066)</f>
        <v>FELDVRBZ</v>
      </c>
      <c r="B1066" s="34">
        <v>46273</v>
      </c>
      <c r="C1066" s="34">
        <v>46273</v>
      </c>
      <c r="D1066" t="s">
        <v>35</v>
      </c>
      <c r="E1066" t="s">
        <v>36</v>
      </c>
      <c r="F1066" t="s">
        <v>37</v>
      </c>
      <c r="G1066">
        <v>30491</v>
      </c>
      <c r="H1066" t="s">
        <v>3254</v>
      </c>
      <c r="I1066" t="s">
        <v>3255</v>
      </c>
      <c r="J1066" t="s">
        <v>551</v>
      </c>
      <c r="O1066" t="s">
        <v>3253</v>
      </c>
      <c r="P1066">
        <v>2.2200000000000002</v>
      </c>
      <c r="Q1066">
        <v>2.2400000000000002</v>
      </c>
      <c r="R1066">
        <v>2.1</v>
      </c>
      <c r="S1066">
        <v>2.2400000000000002</v>
      </c>
      <c r="T1066">
        <v>2.2400000000000002</v>
      </c>
      <c r="U1066">
        <v>2.2000000000000002</v>
      </c>
      <c r="W1066">
        <v>2.2400000000000002</v>
      </c>
      <c r="Z1066">
        <v>5836</v>
      </c>
      <c r="AA1066">
        <v>12371.9</v>
      </c>
      <c r="AB1066">
        <v>27</v>
      </c>
      <c r="AC1066" t="s">
        <v>42</v>
      </c>
      <c r="AD1066">
        <v>1</v>
      </c>
    </row>
    <row r="1067" spans="1:30">
      <c r="A1067" t="str">
        <f>CONCATENATE(I1067,J1067)</f>
        <v>FMNLEQ</v>
      </c>
      <c r="B1067" s="34">
        <v>46273</v>
      </c>
      <c r="C1067" s="34">
        <v>46273</v>
      </c>
      <c r="D1067" t="s">
        <v>35</v>
      </c>
      <c r="E1067" t="s">
        <v>36</v>
      </c>
      <c r="F1067" t="s">
        <v>37</v>
      </c>
      <c r="G1067">
        <v>21017</v>
      </c>
      <c r="H1067" t="s">
        <v>3256</v>
      </c>
      <c r="I1067" t="s">
        <v>3257</v>
      </c>
      <c r="J1067" t="s">
        <v>161</v>
      </c>
      <c r="O1067" t="s">
        <v>3258</v>
      </c>
      <c r="P1067">
        <v>9.43</v>
      </c>
      <c r="Q1067">
        <v>9.7899999999999991</v>
      </c>
      <c r="R1067">
        <v>9.41</v>
      </c>
      <c r="S1067">
        <v>9.52</v>
      </c>
      <c r="T1067">
        <v>9.5</v>
      </c>
      <c r="U1067">
        <v>9.77</v>
      </c>
      <c r="W1067">
        <v>9.5399999999999991</v>
      </c>
      <c r="Z1067">
        <v>50081</v>
      </c>
      <c r="AA1067">
        <v>477404.51</v>
      </c>
      <c r="AB1067">
        <v>147</v>
      </c>
      <c r="AC1067" t="s">
        <v>42</v>
      </c>
      <c r="AD1067">
        <v>1</v>
      </c>
    </row>
    <row r="1068" spans="1:30">
      <c r="A1068" t="str">
        <f>CONCATENATE(I1068,J1068)</f>
        <v>GMBREWEQ</v>
      </c>
      <c r="B1068" s="34">
        <v>46273</v>
      </c>
      <c r="C1068" s="34">
        <v>46273</v>
      </c>
      <c r="D1068" t="s">
        <v>35</v>
      </c>
      <c r="E1068" t="s">
        <v>36</v>
      </c>
      <c r="F1068" t="s">
        <v>37</v>
      </c>
      <c r="G1068">
        <v>1168</v>
      </c>
      <c r="H1068" t="s">
        <v>3259</v>
      </c>
      <c r="I1068" t="s">
        <v>3260</v>
      </c>
      <c r="J1068" t="s">
        <v>161</v>
      </c>
      <c r="O1068" t="s">
        <v>3261</v>
      </c>
      <c r="P1068">
        <v>941.4</v>
      </c>
      <c r="Q1068">
        <v>941.4</v>
      </c>
      <c r="R1068">
        <v>921.35</v>
      </c>
      <c r="S1068">
        <v>927.75</v>
      </c>
      <c r="T1068">
        <v>926.55</v>
      </c>
      <c r="U1068">
        <v>941.4</v>
      </c>
      <c r="W1068">
        <v>927.73</v>
      </c>
      <c r="Z1068">
        <v>20463</v>
      </c>
      <c r="AA1068">
        <v>19025105.800000001</v>
      </c>
      <c r="AB1068">
        <v>2085</v>
      </c>
      <c r="AC1068" t="s">
        <v>42</v>
      </c>
      <c r="AD1068">
        <v>1</v>
      </c>
    </row>
    <row r="1069" spans="1:30">
      <c r="A1069" t="str">
        <f>CONCATENATE(I1069,J1069)</f>
        <v>GRINFRAEQ</v>
      </c>
      <c r="B1069" s="34">
        <v>46273</v>
      </c>
      <c r="C1069" s="34">
        <v>46273</v>
      </c>
      <c r="D1069" t="s">
        <v>35</v>
      </c>
      <c r="E1069" t="s">
        <v>36</v>
      </c>
      <c r="F1069" t="s">
        <v>37</v>
      </c>
      <c r="G1069">
        <v>5054</v>
      </c>
      <c r="H1069" t="s">
        <v>3262</v>
      </c>
      <c r="I1069" t="s">
        <v>3263</v>
      </c>
      <c r="J1069" t="s">
        <v>161</v>
      </c>
      <c r="O1069" t="s">
        <v>3264</v>
      </c>
      <c r="P1069">
        <v>860</v>
      </c>
      <c r="Q1069">
        <v>865.25</v>
      </c>
      <c r="R1069">
        <v>853.4</v>
      </c>
      <c r="S1069">
        <v>859.3</v>
      </c>
      <c r="T1069">
        <v>853.4</v>
      </c>
      <c r="U1069">
        <v>862.6</v>
      </c>
      <c r="W1069">
        <v>859.33</v>
      </c>
      <c r="Z1069">
        <v>12337</v>
      </c>
      <c r="AA1069">
        <v>10614585.15</v>
      </c>
      <c r="AB1069">
        <v>1799</v>
      </c>
      <c r="AC1069" t="s">
        <v>42</v>
      </c>
      <c r="AD1069">
        <v>1</v>
      </c>
    </row>
    <row r="1070" spans="1:30">
      <c r="A1070" t="str">
        <f>CONCATENATE(I1070,J1070)</f>
        <v>GTECJAINXBE</v>
      </c>
      <c r="B1070" s="34">
        <v>46273</v>
      </c>
      <c r="C1070" s="34">
        <v>46273</v>
      </c>
      <c r="D1070" t="s">
        <v>35</v>
      </c>
      <c r="E1070" t="s">
        <v>36</v>
      </c>
      <c r="F1070" t="s">
        <v>37</v>
      </c>
      <c r="G1070">
        <v>1135</v>
      </c>
      <c r="H1070" t="s">
        <v>3265</v>
      </c>
      <c r="I1070" t="s">
        <v>3266</v>
      </c>
      <c r="J1070" t="s">
        <v>183</v>
      </c>
      <c r="O1070" t="s">
        <v>3267</v>
      </c>
      <c r="P1070">
        <v>28.11</v>
      </c>
      <c r="Q1070">
        <v>29.25</v>
      </c>
      <c r="R1070">
        <v>28</v>
      </c>
      <c r="S1070">
        <v>28.05</v>
      </c>
      <c r="T1070">
        <v>28.05</v>
      </c>
      <c r="U1070">
        <v>29.3</v>
      </c>
      <c r="W1070">
        <v>28.05</v>
      </c>
      <c r="Z1070">
        <v>2455</v>
      </c>
      <c r="AA1070">
        <v>69276</v>
      </c>
      <c r="AB1070">
        <v>14</v>
      </c>
      <c r="AC1070" t="s">
        <v>42</v>
      </c>
      <c r="AD1070">
        <v>1</v>
      </c>
    </row>
    <row r="1071" spans="1:30">
      <c r="A1071" t="str">
        <f>CONCATENATE(I1071,J1071)</f>
        <v>GABRIELEQ</v>
      </c>
      <c r="B1071" s="34">
        <v>46273</v>
      </c>
      <c r="C1071" s="34">
        <v>46273</v>
      </c>
      <c r="D1071" t="s">
        <v>35</v>
      </c>
      <c r="E1071" t="s">
        <v>36</v>
      </c>
      <c r="F1071" t="s">
        <v>37</v>
      </c>
      <c r="G1071">
        <v>1085</v>
      </c>
      <c r="H1071" t="s">
        <v>3268</v>
      </c>
      <c r="I1071" t="s">
        <v>3269</v>
      </c>
      <c r="J1071" t="s">
        <v>161</v>
      </c>
      <c r="O1071" t="s">
        <v>3270</v>
      </c>
      <c r="P1071">
        <v>1360.1</v>
      </c>
      <c r="Q1071">
        <v>1395</v>
      </c>
      <c r="R1071">
        <v>1346.1</v>
      </c>
      <c r="S1071">
        <v>1389.6</v>
      </c>
      <c r="T1071">
        <v>1386</v>
      </c>
      <c r="U1071">
        <v>1363.5</v>
      </c>
      <c r="W1071">
        <v>1389.59</v>
      </c>
      <c r="Z1071">
        <v>196279</v>
      </c>
      <c r="AA1071">
        <v>270287701.19999999</v>
      </c>
      <c r="AB1071">
        <v>19208</v>
      </c>
      <c r="AC1071" t="s">
        <v>42</v>
      </c>
      <c r="AD1071">
        <v>1</v>
      </c>
    </row>
    <row r="1072" spans="1:30">
      <c r="A1072" t="str">
        <f>CONCATENATE(I1072,J1072)</f>
        <v>GATECHBE</v>
      </c>
      <c r="B1072" s="34">
        <v>46273</v>
      </c>
      <c r="C1072" s="34">
        <v>46273</v>
      </c>
      <c r="D1072" t="s">
        <v>35</v>
      </c>
      <c r="E1072" t="s">
        <v>36</v>
      </c>
      <c r="F1072" t="s">
        <v>37</v>
      </c>
      <c r="G1072">
        <v>18018</v>
      </c>
      <c r="H1072" t="s">
        <v>3271</v>
      </c>
      <c r="I1072" t="s">
        <v>3272</v>
      </c>
      <c r="J1072" t="s">
        <v>183</v>
      </c>
      <c r="O1072" t="s">
        <v>3273</v>
      </c>
      <c r="P1072">
        <v>0.83</v>
      </c>
      <c r="Q1072">
        <v>0.83</v>
      </c>
      <c r="R1072">
        <v>0.83</v>
      </c>
      <c r="S1072">
        <v>0.83</v>
      </c>
      <c r="T1072">
        <v>0.83</v>
      </c>
      <c r="U1072">
        <v>0.87</v>
      </c>
      <c r="W1072">
        <v>0.84</v>
      </c>
      <c r="Z1072">
        <v>4501301</v>
      </c>
      <c r="AA1072">
        <v>3736079.83</v>
      </c>
      <c r="AB1072">
        <v>3386</v>
      </c>
      <c r="AC1072" t="s">
        <v>42</v>
      </c>
      <c r="AD1072">
        <v>1</v>
      </c>
    </row>
    <row r="1073" spans="1:30">
      <c r="A1073" t="str">
        <f>CONCATENATE(I1073,J1073)</f>
        <v>GATECHDVRBE</v>
      </c>
      <c r="B1073" s="34">
        <v>46273</v>
      </c>
      <c r="C1073" s="34">
        <v>46273</v>
      </c>
      <c r="D1073" t="s">
        <v>35</v>
      </c>
      <c r="E1073" t="s">
        <v>36</v>
      </c>
      <c r="F1073" t="s">
        <v>37</v>
      </c>
      <c r="G1073">
        <v>27</v>
      </c>
      <c r="H1073" t="s">
        <v>3274</v>
      </c>
      <c r="I1073" t="s">
        <v>3275</v>
      </c>
      <c r="J1073" t="s">
        <v>183</v>
      </c>
      <c r="O1073" t="s">
        <v>3273</v>
      </c>
      <c r="P1073">
        <v>0.49</v>
      </c>
      <c r="Q1073">
        <v>0.51</v>
      </c>
      <c r="R1073">
        <v>0.49</v>
      </c>
      <c r="S1073">
        <v>0.49</v>
      </c>
      <c r="T1073">
        <v>0.49</v>
      </c>
      <c r="U1073">
        <v>0.49</v>
      </c>
      <c r="W1073">
        <v>0.49</v>
      </c>
      <c r="Z1073">
        <v>300098</v>
      </c>
      <c r="AA1073">
        <v>149352.57999999999</v>
      </c>
      <c r="AB1073">
        <v>212</v>
      </c>
      <c r="AC1073" t="s">
        <v>42</v>
      </c>
      <c r="AD1073">
        <v>1</v>
      </c>
    </row>
    <row r="1074" spans="1:30">
      <c r="A1074" t="str">
        <f>CONCATENATE(I1074,J1074)</f>
        <v>GAILEQ</v>
      </c>
      <c r="B1074" s="34">
        <v>46273</v>
      </c>
      <c r="C1074" s="34">
        <v>46273</v>
      </c>
      <c r="D1074" t="s">
        <v>35</v>
      </c>
      <c r="E1074" t="s">
        <v>36</v>
      </c>
      <c r="F1074" t="s">
        <v>37</v>
      </c>
      <c r="G1074">
        <v>4717</v>
      </c>
      <c r="H1074" t="s">
        <v>3276</v>
      </c>
      <c r="I1074" t="s">
        <v>3277</v>
      </c>
      <c r="J1074" t="s">
        <v>161</v>
      </c>
      <c r="O1074" t="s">
        <v>3278</v>
      </c>
      <c r="P1074">
        <v>175.09</v>
      </c>
      <c r="Q1074">
        <v>176.2</v>
      </c>
      <c r="R1074">
        <v>173.84</v>
      </c>
      <c r="S1074">
        <v>175.09</v>
      </c>
      <c r="T1074">
        <v>175.09</v>
      </c>
      <c r="U1074">
        <v>176</v>
      </c>
      <c r="W1074">
        <v>175.09</v>
      </c>
      <c r="Z1074">
        <v>4347861</v>
      </c>
      <c r="AA1074">
        <v>759477522.51999998</v>
      </c>
      <c r="AB1074">
        <v>40475</v>
      </c>
      <c r="AC1074" t="s">
        <v>42</v>
      </c>
      <c r="AD1074">
        <v>1</v>
      </c>
    </row>
    <row r="1075" spans="1:30">
      <c r="A1075" t="str">
        <f>CONCATENATE(I1075,J1075)</f>
        <v>GAJAEQ</v>
      </c>
      <c r="B1075" s="34">
        <v>46273</v>
      </c>
      <c r="C1075" s="34">
        <v>46273</v>
      </c>
      <c r="D1075" t="s">
        <v>35</v>
      </c>
      <c r="E1075" t="s">
        <v>36</v>
      </c>
      <c r="F1075" t="s">
        <v>37</v>
      </c>
      <c r="G1075">
        <v>765396</v>
      </c>
      <c r="H1075" t="s">
        <v>3279</v>
      </c>
      <c r="I1075" t="s">
        <v>3280</v>
      </c>
      <c r="J1075" t="s">
        <v>161</v>
      </c>
      <c r="O1075" t="s">
        <v>3281</v>
      </c>
      <c r="P1075">
        <v>156.9</v>
      </c>
      <c r="Q1075">
        <v>157.19999999999999</v>
      </c>
      <c r="R1075">
        <v>152.54</v>
      </c>
      <c r="S1075">
        <v>153.63999999999999</v>
      </c>
      <c r="T1075">
        <v>153.5</v>
      </c>
      <c r="U1075">
        <v>155.41999999999999</v>
      </c>
      <c r="W1075">
        <v>153.63999999999999</v>
      </c>
      <c r="Z1075">
        <v>555867</v>
      </c>
      <c r="AA1075">
        <v>85660398.129999995</v>
      </c>
      <c r="AB1075">
        <v>6358</v>
      </c>
      <c r="AC1075" t="s">
        <v>42</v>
      </c>
      <c r="AD1075">
        <v>1</v>
      </c>
    </row>
    <row r="1076" spans="1:30">
      <c r="A1076" t="str">
        <f>CONCATENATE(I1076,J1076)</f>
        <v>GAJANANDSM</v>
      </c>
      <c r="B1076" s="34">
        <v>46273</v>
      </c>
      <c r="C1076" s="34">
        <v>46273</v>
      </c>
      <c r="D1076" t="s">
        <v>35</v>
      </c>
      <c r="E1076" t="s">
        <v>36</v>
      </c>
      <c r="F1076" t="s">
        <v>37</v>
      </c>
      <c r="G1076">
        <v>25244</v>
      </c>
      <c r="H1076" t="s">
        <v>3282</v>
      </c>
      <c r="I1076" t="s">
        <v>3283</v>
      </c>
      <c r="J1076" t="s">
        <v>267</v>
      </c>
      <c r="O1076" t="s">
        <v>3284</v>
      </c>
      <c r="P1076">
        <v>7.25</v>
      </c>
      <c r="Q1076">
        <v>8.75</v>
      </c>
      <c r="R1076">
        <v>7.25</v>
      </c>
      <c r="S1076">
        <v>8.75</v>
      </c>
      <c r="T1076">
        <v>8.75</v>
      </c>
      <c r="U1076">
        <v>8.4</v>
      </c>
      <c r="W1076">
        <v>8.75</v>
      </c>
      <c r="Z1076">
        <v>15000</v>
      </c>
      <c r="AA1076">
        <v>117750</v>
      </c>
      <c r="AB1076">
        <v>4</v>
      </c>
      <c r="AC1076" t="s">
        <v>42</v>
      </c>
      <c r="AD1076">
        <v>3000</v>
      </c>
    </row>
    <row r="1077" spans="1:30">
      <c r="A1077" t="str">
        <f>CONCATENATE(I1077,J1077)</f>
        <v>GALAPRECEQ</v>
      </c>
      <c r="B1077" s="34">
        <v>46273</v>
      </c>
      <c r="C1077" s="34">
        <v>46273</v>
      </c>
      <c r="D1077" t="s">
        <v>35</v>
      </c>
      <c r="E1077" t="s">
        <v>36</v>
      </c>
      <c r="F1077" t="s">
        <v>37</v>
      </c>
      <c r="G1077">
        <v>25134</v>
      </c>
      <c r="H1077" t="s">
        <v>3285</v>
      </c>
      <c r="I1077" t="s">
        <v>3286</v>
      </c>
      <c r="J1077" t="s">
        <v>161</v>
      </c>
      <c r="O1077" t="s">
        <v>3287</v>
      </c>
      <c r="P1077">
        <v>1028</v>
      </c>
      <c r="Q1077">
        <v>1058.4000000000001</v>
      </c>
      <c r="R1077">
        <v>1020</v>
      </c>
      <c r="S1077">
        <v>1054.9000000000001</v>
      </c>
      <c r="T1077">
        <v>1058</v>
      </c>
      <c r="U1077">
        <v>1037.4000000000001</v>
      </c>
      <c r="W1077">
        <v>1054.95</v>
      </c>
      <c r="Z1077">
        <v>21610</v>
      </c>
      <c r="AA1077">
        <v>22476503.300000001</v>
      </c>
      <c r="AB1077">
        <v>2333</v>
      </c>
      <c r="AC1077" t="s">
        <v>42</v>
      </c>
      <c r="AD1077">
        <v>1</v>
      </c>
    </row>
    <row r="1078" spans="1:30">
      <c r="A1078" t="str">
        <f>CONCATENATE(I1078,J1078)</f>
        <v>GMLSM</v>
      </c>
      <c r="B1078" s="34">
        <v>46273</v>
      </c>
      <c r="C1078" s="34">
        <v>46273</v>
      </c>
      <c r="D1078" t="s">
        <v>35</v>
      </c>
      <c r="E1078" t="s">
        <v>36</v>
      </c>
      <c r="F1078" t="s">
        <v>37</v>
      </c>
      <c r="G1078">
        <v>759089</v>
      </c>
      <c r="H1078" t="s">
        <v>3288</v>
      </c>
      <c r="I1078" t="s">
        <v>3289</v>
      </c>
      <c r="J1078" t="s">
        <v>267</v>
      </c>
      <c r="O1078" t="s">
        <v>3290</v>
      </c>
      <c r="P1078">
        <v>17.399999999999999</v>
      </c>
      <c r="Q1078">
        <v>17.399999999999999</v>
      </c>
      <c r="R1078">
        <v>16.95</v>
      </c>
      <c r="S1078">
        <v>16.95</v>
      </c>
      <c r="T1078">
        <v>16.95</v>
      </c>
      <c r="U1078">
        <v>17.8</v>
      </c>
      <c r="W1078">
        <v>16.95</v>
      </c>
      <c r="Z1078">
        <v>16000</v>
      </c>
      <c r="AA1078">
        <v>273400</v>
      </c>
      <c r="AB1078">
        <v>7</v>
      </c>
      <c r="AC1078" t="s">
        <v>42</v>
      </c>
      <c r="AD1078">
        <v>2000</v>
      </c>
    </row>
    <row r="1079" spans="1:30">
      <c r="A1079" t="str">
        <f>CONCATENATE(I1079,J1079)</f>
        <v>GALAXYSURFEQ</v>
      </c>
      <c r="B1079" s="34">
        <v>46273</v>
      </c>
      <c r="C1079" s="34">
        <v>46273</v>
      </c>
      <c r="D1079" t="s">
        <v>35</v>
      </c>
      <c r="E1079" t="s">
        <v>36</v>
      </c>
      <c r="F1079" t="s">
        <v>37</v>
      </c>
      <c r="G1079">
        <v>1315</v>
      </c>
      <c r="H1079" t="s">
        <v>3291</v>
      </c>
      <c r="I1079" t="s">
        <v>3292</v>
      </c>
      <c r="J1079" t="s">
        <v>161</v>
      </c>
      <c r="O1079" t="s">
        <v>3293</v>
      </c>
      <c r="P1079">
        <v>2170</v>
      </c>
      <c r="Q1079">
        <v>2283.4</v>
      </c>
      <c r="R1079">
        <v>2166.3000000000002</v>
      </c>
      <c r="S1079">
        <v>2251.9</v>
      </c>
      <c r="T1079">
        <v>2233.9</v>
      </c>
      <c r="U1079">
        <v>2136.6</v>
      </c>
      <c r="W1079">
        <v>2252.04</v>
      </c>
      <c r="Z1079">
        <v>159336</v>
      </c>
      <c r="AA1079">
        <v>355943530.69999999</v>
      </c>
      <c r="AB1079">
        <v>19880</v>
      </c>
      <c r="AC1079" t="s">
        <v>42</v>
      </c>
      <c r="AD1079">
        <v>1</v>
      </c>
    </row>
    <row r="1080" spans="1:30">
      <c r="A1080" t="str">
        <f>CONCATENATE(I1080,J1080)</f>
        <v>GALLANTTEQ</v>
      </c>
      <c r="B1080" s="34">
        <v>46273</v>
      </c>
      <c r="C1080" s="34">
        <v>46273</v>
      </c>
      <c r="D1080" t="s">
        <v>35</v>
      </c>
      <c r="E1080" t="s">
        <v>36</v>
      </c>
      <c r="F1080" t="s">
        <v>37</v>
      </c>
      <c r="G1080">
        <v>13337</v>
      </c>
      <c r="H1080" t="s">
        <v>3294</v>
      </c>
      <c r="I1080" t="s">
        <v>3295</v>
      </c>
      <c r="J1080" t="s">
        <v>161</v>
      </c>
      <c r="O1080" t="s">
        <v>3296</v>
      </c>
      <c r="P1080">
        <v>571</v>
      </c>
      <c r="Q1080">
        <v>571.70000000000005</v>
      </c>
      <c r="R1080">
        <v>556.29999999999995</v>
      </c>
      <c r="S1080">
        <v>561.65</v>
      </c>
      <c r="T1080">
        <v>563</v>
      </c>
      <c r="U1080">
        <v>572.45000000000005</v>
      </c>
      <c r="W1080">
        <v>561.66</v>
      </c>
      <c r="Z1080">
        <v>120655</v>
      </c>
      <c r="AA1080">
        <v>67932864.349999994</v>
      </c>
      <c r="AB1080">
        <v>8288</v>
      </c>
      <c r="AC1080" t="s">
        <v>42</v>
      </c>
      <c r="AD1080">
        <v>1</v>
      </c>
    </row>
    <row r="1081" spans="1:30">
      <c r="A1081" t="str">
        <f>CONCATENATE(I1081,J1081)</f>
        <v>GANDHAREQ</v>
      </c>
      <c r="B1081" s="34">
        <v>46273</v>
      </c>
      <c r="C1081" s="34">
        <v>46273</v>
      </c>
      <c r="D1081" t="s">
        <v>35</v>
      </c>
      <c r="E1081" t="s">
        <v>36</v>
      </c>
      <c r="F1081" t="s">
        <v>37</v>
      </c>
      <c r="G1081">
        <v>20303</v>
      </c>
      <c r="H1081" t="s">
        <v>3297</v>
      </c>
      <c r="I1081" t="s">
        <v>3298</v>
      </c>
      <c r="J1081" t="s">
        <v>161</v>
      </c>
      <c r="O1081" t="s">
        <v>3299</v>
      </c>
      <c r="P1081">
        <v>263.14999999999998</v>
      </c>
      <c r="Q1081">
        <v>265.95</v>
      </c>
      <c r="R1081">
        <v>261.3</v>
      </c>
      <c r="S1081">
        <v>264.05</v>
      </c>
      <c r="T1081">
        <v>262.75</v>
      </c>
      <c r="U1081">
        <v>264.85000000000002</v>
      </c>
      <c r="W1081">
        <v>264.05</v>
      </c>
      <c r="Z1081">
        <v>528915</v>
      </c>
      <c r="AA1081">
        <v>139240570.05000001</v>
      </c>
      <c r="AB1081">
        <v>6811</v>
      </c>
      <c r="AC1081" t="s">
        <v>42</v>
      </c>
      <c r="AD1081">
        <v>1</v>
      </c>
    </row>
    <row r="1082" spans="1:30">
      <c r="A1082" t="str">
        <f>CONCATENATE(I1082,J1082)</f>
        <v>GANDHITUBEEQ</v>
      </c>
      <c r="B1082" s="34">
        <v>46273</v>
      </c>
      <c r="C1082" s="34">
        <v>46273</v>
      </c>
      <c r="D1082" t="s">
        <v>35</v>
      </c>
      <c r="E1082" t="s">
        <v>36</v>
      </c>
      <c r="F1082" t="s">
        <v>37</v>
      </c>
      <c r="G1082">
        <v>14116</v>
      </c>
      <c r="H1082" t="s">
        <v>3300</v>
      </c>
      <c r="I1082" t="s">
        <v>3301</v>
      </c>
      <c r="J1082" t="s">
        <v>161</v>
      </c>
      <c r="O1082" t="s">
        <v>3302</v>
      </c>
      <c r="P1082">
        <v>904</v>
      </c>
      <c r="Q1082">
        <v>904</v>
      </c>
      <c r="R1082">
        <v>878</v>
      </c>
      <c r="S1082">
        <v>892.95</v>
      </c>
      <c r="T1082">
        <v>881</v>
      </c>
      <c r="U1082">
        <v>898.55</v>
      </c>
      <c r="W1082">
        <v>892.88</v>
      </c>
      <c r="Z1082">
        <v>4925</v>
      </c>
      <c r="AA1082">
        <v>4400322</v>
      </c>
      <c r="AB1082">
        <v>341</v>
      </c>
      <c r="AC1082" t="s">
        <v>42</v>
      </c>
      <c r="AD1082">
        <v>1</v>
      </c>
    </row>
    <row r="1083" spans="1:30">
      <c r="A1083" t="str">
        <f>CONCATENATE(I1083,J1083)</f>
        <v>GANESHBEBE</v>
      </c>
      <c r="B1083" s="34">
        <v>46273</v>
      </c>
      <c r="C1083" s="34">
        <v>46273</v>
      </c>
      <c r="D1083" t="s">
        <v>35</v>
      </c>
      <c r="E1083" t="s">
        <v>36</v>
      </c>
      <c r="F1083" t="s">
        <v>37</v>
      </c>
      <c r="G1083">
        <v>5617</v>
      </c>
      <c r="H1083" t="s">
        <v>3303</v>
      </c>
      <c r="I1083" t="s">
        <v>3304</v>
      </c>
      <c r="J1083" t="s">
        <v>183</v>
      </c>
      <c r="O1083" t="s">
        <v>3305</v>
      </c>
      <c r="P1083">
        <v>135.85</v>
      </c>
      <c r="Q1083">
        <v>135.85</v>
      </c>
      <c r="R1083">
        <v>126.25</v>
      </c>
      <c r="S1083">
        <v>129.6</v>
      </c>
      <c r="T1083">
        <v>131.49</v>
      </c>
      <c r="U1083">
        <v>129.38999999999999</v>
      </c>
      <c r="W1083">
        <v>129.55000000000001</v>
      </c>
      <c r="Z1083">
        <v>594797</v>
      </c>
      <c r="AA1083">
        <v>79093426.269999996</v>
      </c>
      <c r="AB1083">
        <v>1682</v>
      </c>
      <c r="AC1083" t="s">
        <v>42</v>
      </c>
      <c r="AD1083">
        <v>1</v>
      </c>
    </row>
    <row r="1084" spans="1:30">
      <c r="A1084" t="str">
        <f>CONCATENATE(I1084,J1084)</f>
        <v>GANESHCPEQ</v>
      </c>
      <c r="B1084" s="34">
        <v>46273</v>
      </c>
      <c r="C1084" s="34">
        <v>46273</v>
      </c>
      <c r="D1084" t="s">
        <v>35</v>
      </c>
      <c r="E1084" t="s">
        <v>36</v>
      </c>
      <c r="F1084" t="s">
        <v>37</v>
      </c>
      <c r="G1084">
        <v>759012</v>
      </c>
      <c r="H1084" t="s">
        <v>3306</v>
      </c>
      <c r="I1084" t="s">
        <v>3307</v>
      </c>
      <c r="J1084" t="s">
        <v>161</v>
      </c>
      <c r="O1084" t="s">
        <v>3308</v>
      </c>
      <c r="P1084">
        <v>170.95</v>
      </c>
      <c r="Q1084">
        <v>172.04</v>
      </c>
      <c r="R1084">
        <v>167.5</v>
      </c>
      <c r="S1084">
        <v>169.71</v>
      </c>
      <c r="T1084">
        <v>171</v>
      </c>
      <c r="U1084">
        <v>169.59</v>
      </c>
      <c r="W1084">
        <v>169.71</v>
      </c>
      <c r="Z1084">
        <v>620162</v>
      </c>
      <c r="AA1084">
        <v>105173111.52</v>
      </c>
      <c r="AB1084">
        <v>3530</v>
      </c>
      <c r="AC1084" t="s">
        <v>42</v>
      </c>
      <c r="AD1084">
        <v>1</v>
      </c>
    </row>
    <row r="1085" spans="1:30">
      <c r="A1085" t="str">
        <f>CONCATENATE(I1085,J1085)</f>
        <v>GGBLSM</v>
      </c>
      <c r="B1085" s="34">
        <v>46273</v>
      </c>
      <c r="C1085" s="34">
        <v>46273</v>
      </c>
      <c r="D1085" t="s">
        <v>35</v>
      </c>
      <c r="E1085" t="s">
        <v>36</v>
      </c>
      <c r="F1085" t="s">
        <v>37</v>
      </c>
      <c r="G1085">
        <v>24439</v>
      </c>
      <c r="H1085" t="s">
        <v>3309</v>
      </c>
      <c r="I1085" t="s">
        <v>3310</v>
      </c>
      <c r="J1085" t="s">
        <v>267</v>
      </c>
      <c r="O1085" t="s">
        <v>3311</v>
      </c>
      <c r="P1085">
        <v>219.3</v>
      </c>
      <c r="Q1085">
        <v>219.5</v>
      </c>
      <c r="R1085">
        <v>215.5</v>
      </c>
      <c r="S1085">
        <v>216.3</v>
      </c>
      <c r="T1085">
        <v>215.55</v>
      </c>
      <c r="U1085">
        <v>219.3</v>
      </c>
      <c r="W1085">
        <v>216.3</v>
      </c>
      <c r="Z1085">
        <v>37500</v>
      </c>
      <c r="AA1085">
        <v>8149275</v>
      </c>
      <c r="AB1085">
        <v>108</v>
      </c>
      <c r="AC1085" t="s">
        <v>42</v>
      </c>
      <c r="AD1085">
        <v>300</v>
      </c>
    </row>
    <row r="1086" spans="1:30">
      <c r="A1086" t="str">
        <f>CONCATENATE(I1086,J1086)</f>
        <v>GANESHHOUEQ</v>
      </c>
      <c r="B1086" s="34">
        <v>46273</v>
      </c>
      <c r="C1086" s="34">
        <v>46273</v>
      </c>
      <c r="D1086" t="s">
        <v>35</v>
      </c>
      <c r="E1086" t="s">
        <v>36</v>
      </c>
      <c r="F1086" t="s">
        <v>37</v>
      </c>
      <c r="G1086">
        <v>14339</v>
      </c>
      <c r="H1086" t="s">
        <v>3312</v>
      </c>
      <c r="I1086" t="s">
        <v>3313</v>
      </c>
      <c r="J1086" t="s">
        <v>161</v>
      </c>
      <c r="O1086" t="s">
        <v>3314</v>
      </c>
      <c r="P1086">
        <v>756.1</v>
      </c>
      <c r="Q1086">
        <v>761.95</v>
      </c>
      <c r="R1086">
        <v>745.1</v>
      </c>
      <c r="S1086">
        <v>750.8</v>
      </c>
      <c r="T1086">
        <v>749</v>
      </c>
      <c r="U1086">
        <v>758.75</v>
      </c>
      <c r="W1086">
        <v>750.82</v>
      </c>
      <c r="Z1086">
        <v>15289</v>
      </c>
      <c r="AA1086">
        <v>11466689.300000001</v>
      </c>
      <c r="AB1086">
        <v>1361</v>
      </c>
      <c r="AC1086" t="s">
        <v>42</v>
      </c>
      <c r="AD1086">
        <v>1</v>
      </c>
    </row>
    <row r="1087" spans="1:30">
      <c r="A1087" t="str">
        <f>CONCATENATE(I1087,J1087)</f>
        <v>GANESHINST</v>
      </c>
      <c r="B1087" s="34">
        <v>46273</v>
      </c>
      <c r="C1087" s="34">
        <v>46273</v>
      </c>
      <c r="D1087" t="s">
        <v>35</v>
      </c>
      <c r="E1087" t="s">
        <v>36</v>
      </c>
      <c r="F1087" t="s">
        <v>37</v>
      </c>
      <c r="G1087">
        <v>27351</v>
      </c>
      <c r="H1087" t="s">
        <v>3315</v>
      </c>
      <c r="I1087" t="s">
        <v>3316</v>
      </c>
      <c r="J1087" t="s">
        <v>328</v>
      </c>
      <c r="O1087" t="s">
        <v>3317</v>
      </c>
      <c r="P1087">
        <v>93</v>
      </c>
      <c r="Q1087">
        <v>95.65</v>
      </c>
      <c r="R1087">
        <v>89.5</v>
      </c>
      <c r="S1087">
        <v>92.25</v>
      </c>
      <c r="T1087">
        <v>92</v>
      </c>
      <c r="U1087">
        <v>94.05</v>
      </c>
      <c r="W1087">
        <v>92.25</v>
      </c>
      <c r="Z1087">
        <v>156000</v>
      </c>
      <c r="AA1087">
        <v>14493200</v>
      </c>
      <c r="AB1087">
        <v>138</v>
      </c>
      <c r="AC1087" t="s">
        <v>42</v>
      </c>
      <c r="AD1087">
        <v>800</v>
      </c>
    </row>
    <row r="1088" spans="1:30">
      <c r="A1088" t="str">
        <f>CONCATENATE(I1088,J1088)</f>
        <v>GANECOSEQ</v>
      </c>
      <c r="B1088" s="34">
        <v>46273</v>
      </c>
      <c r="C1088" s="34">
        <v>46273</v>
      </c>
      <c r="D1088" t="s">
        <v>35</v>
      </c>
      <c r="E1088" t="s">
        <v>36</v>
      </c>
      <c r="F1088" t="s">
        <v>37</v>
      </c>
      <c r="G1088">
        <v>6944</v>
      </c>
      <c r="H1088" t="s">
        <v>3318</v>
      </c>
      <c r="I1088" t="s">
        <v>3319</v>
      </c>
      <c r="J1088" t="s">
        <v>161</v>
      </c>
      <c r="O1088" t="s">
        <v>3320</v>
      </c>
      <c r="P1088">
        <v>990</v>
      </c>
      <c r="Q1088">
        <v>1044.3</v>
      </c>
      <c r="R1088">
        <v>978.5</v>
      </c>
      <c r="S1088">
        <v>1040.4000000000001</v>
      </c>
      <c r="T1088">
        <v>1040</v>
      </c>
      <c r="U1088">
        <v>990</v>
      </c>
      <c r="W1088">
        <v>1040.4100000000001</v>
      </c>
      <c r="Z1088">
        <v>156348</v>
      </c>
      <c r="AA1088">
        <v>158455546.80000001</v>
      </c>
      <c r="AB1088">
        <v>10869</v>
      </c>
      <c r="AC1088" t="s">
        <v>42</v>
      </c>
      <c r="AD1088">
        <v>1</v>
      </c>
    </row>
    <row r="1089" spans="1:30">
      <c r="A1089" t="str">
        <f>CONCATENATE(I1089,J1089)</f>
        <v>GANGABATHSM</v>
      </c>
      <c r="B1089" s="34">
        <v>46273</v>
      </c>
      <c r="C1089" s="34">
        <v>46273</v>
      </c>
      <c r="D1089" t="s">
        <v>35</v>
      </c>
      <c r="E1089" t="s">
        <v>36</v>
      </c>
      <c r="F1089" t="s">
        <v>37</v>
      </c>
      <c r="G1089">
        <v>757525</v>
      </c>
      <c r="H1089" t="s">
        <v>3321</v>
      </c>
      <c r="I1089" t="s">
        <v>3322</v>
      </c>
      <c r="J1089" t="s">
        <v>267</v>
      </c>
      <c r="O1089" t="s">
        <v>3323</v>
      </c>
      <c r="P1089">
        <v>20.45</v>
      </c>
      <c r="Q1089">
        <v>20.5</v>
      </c>
      <c r="R1089">
        <v>20.2</v>
      </c>
      <c r="S1089">
        <v>20.2</v>
      </c>
      <c r="T1089">
        <v>20.2</v>
      </c>
      <c r="U1089">
        <v>20.399999999999999</v>
      </c>
      <c r="W1089">
        <v>20.2</v>
      </c>
      <c r="Z1089">
        <v>9000</v>
      </c>
      <c r="AA1089">
        <v>183450</v>
      </c>
      <c r="AB1089">
        <v>3</v>
      </c>
      <c r="AC1089" t="s">
        <v>42</v>
      </c>
      <c r="AD1089">
        <v>3000</v>
      </c>
    </row>
    <row r="1090" spans="1:30">
      <c r="A1090" t="str">
        <f>CONCATENATE(I1090,J1090)</f>
        <v>GANGAFORGEEQ</v>
      </c>
      <c r="B1090" s="34">
        <v>46273</v>
      </c>
      <c r="C1090" s="34">
        <v>46273</v>
      </c>
      <c r="D1090" t="s">
        <v>35</v>
      </c>
      <c r="E1090" t="s">
        <v>36</v>
      </c>
      <c r="F1090" t="s">
        <v>37</v>
      </c>
      <c r="G1090">
        <v>4957</v>
      </c>
      <c r="H1090" t="s">
        <v>3324</v>
      </c>
      <c r="I1090" t="s">
        <v>3325</v>
      </c>
      <c r="J1090" t="s">
        <v>161</v>
      </c>
      <c r="O1090" t="s">
        <v>3326</v>
      </c>
      <c r="P1090">
        <v>1.64</v>
      </c>
      <c r="Q1090">
        <v>1.64</v>
      </c>
      <c r="R1090">
        <v>1.58</v>
      </c>
      <c r="S1090">
        <v>1.59</v>
      </c>
      <c r="T1090">
        <v>1.59</v>
      </c>
      <c r="U1090">
        <v>1.63</v>
      </c>
      <c r="W1090">
        <v>1.59</v>
      </c>
      <c r="Z1090">
        <v>3936325</v>
      </c>
      <c r="AA1090">
        <v>6306899.9199999999</v>
      </c>
      <c r="AB1090">
        <v>2051</v>
      </c>
      <c r="AC1090" t="s">
        <v>42</v>
      </c>
      <c r="AD1090">
        <v>1</v>
      </c>
    </row>
    <row r="1091" spans="1:30">
      <c r="A1091" t="str">
        <f>CONCATENATE(I1091,J1091)</f>
        <v>GANGESSECUEQ</v>
      </c>
      <c r="B1091" s="34">
        <v>46273</v>
      </c>
      <c r="C1091" s="34">
        <v>46273</v>
      </c>
      <c r="D1091" t="s">
        <v>35</v>
      </c>
      <c r="E1091" t="s">
        <v>36</v>
      </c>
      <c r="F1091" t="s">
        <v>37</v>
      </c>
      <c r="G1091">
        <v>21399</v>
      </c>
      <c r="H1091" t="s">
        <v>3327</v>
      </c>
      <c r="I1091" t="s">
        <v>3328</v>
      </c>
      <c r="J1091" t="s">
        <v>161</v>
      </c>
      <c r="O1091" t="s">
        <v>3329</v>
      </c>
      <c r="P1091">
        <v>120.4</v>
      </c>
      <c r="Q1091">
        <v>121.8</v>
      </c>
      <c r="R1091">
        <v>116.5</v>
      </c>
      <c r="S1091">
        <v>118.63</v>
      </c>
      <c r="T1091">
        <v>119.3</v>
      </c>
      <c r="U1091">
        <v>121.89</v>
      </c>
      <c r="W1091">
        <v>118.46</v>
      </c>
      <c r="Z1091">
        <v>1524</v>
      </c>
      <c r="AA1091">
        <v>180139.03</v>
      </c>
      <c r="AB1091">
        <v>47</v>
      </c>
      <c r="AC1091" t="s">
        <v>42</v>
      </c>
      <c r="AD1091">
        <v>1</v>
      </c>
    </row>
    <row r="1092" spans="1:30">
      <c r="A1092" t="str">
        <f>CONCATENATE(I1092,J1092)</f>
        <v>GRSEEQ</v>
      </c>
      <c r="B1092" s="34">
        <v>46273</v>
      </c>
      <c r="C1092" s="34">
        <v>46273</v>
      </c>
      <c r="D1092" t="s">
        <v>35</v>
      </c>
      <c r="E1092" t="s">
        <v>36</v>
      </c>
      <c r="F1092" t="s">
        <v>37</v>
      </c>
      <c r="G1092">
        <v>5475</v>
      </c>
      <c r="H1092" t="s">
        <v>3330</v>
      </c>
      <c r="I1092" t="s">
        <v>3331</v>
      </c>
      <c r="J1092" t="s">
        <v>161</v>
      </c>
      <c r="O1092" t="s">
        <v>3332</v>
      </c>
      <c r="P1092">
        <v>2518</v>
      </c>
      <c r="Q1092">
        <v>2568.9</v>
      </c>
      <c r="R1092">
        <v>2512</v>
      </c>
      <c r="S1092">
        <v>2525.6999999999998</v>
      </c>
      <c r="T1092">
        <v>2531</v>
      </c>
      <c r="U1092">
        <v>2506.6</v>
      </c>
      <c r="W1092">
        <v>2525.69</v>
      </c>
      <c r="Z1092">
        <v>348575</v>
      </c>
      <c r="AA1092">
        <v>885685642.70000005</v>
      </c>
      <c r="AB1092">
        <v>25692</v>
      </c>
      <c r="AC1092" t="s">
        <v>42</v>
      </c>
      <c r="AD1092">
        <v>1</v>
      </c>
    </row>
    <row r="1093" spans="1:30">
      <c r="A1093" t="str">
        <f>CONCATENATE(I1093,J1093)</f>
        <v>GARUDAEQ</v>
      </c>
      <c r="B1093" s="34">
        <v>46273</v>
      </c>
      <c r="C1093" s="34">
        <v>46273</v>
      </c>
      <c r="D1093" t="s">
        <v>35</v>
      </c>
      <c r="E1093" t="s">
        <v>36</v>
      </c>
      <c r="F1093" t="s">
        <v>37</v>
      </c>
      <c r="G1093">
        <v>25800</v>
      </c>
      <c r="H1093" t="s">
        <v>3333</v>
      </c>
      <c r="I1093" t="s">
        <v>3334</v>
      </c>
      <c r="J1093" t="s">
        <v>161</v>
      </c>
      <c r="O1093" t="s">
        <v>3335</v>
      </c>
      <c r="P1093">
        <v>183</v>
      </c>
      <c r="Q1093">
        <v>198.39</v>
      </c>
      <c r="R1093">
        <v>181.15</v>
      </c>
      <c r="S1093">
        <v>183.61</v>
      </c>
      <c r="T1093">
        <v>181.41</v>
      </c>
      <c r="U1093">
        <v>178.63</v>
      </c>
      <c r="W1093">
        <v>183.58</v>
      </c>
      <c r="Z1093">
        <v>12283756</v>
      </c>
      <c r="AA1093">
        <v>2353239273.5</v>
      </c>
      <c r="AB1093">
        <v>101717</v>
      </c>
      <c r="AC1093" t="s">
        <v>42</v>
      </c>
      <c r="AD1093">
        <v>1</v>
      </c>
    </row>
    <row r="1094" spans="1:30">
      <c r="A1094" t="str">
        <f>CONCATENATE(I1094,J1094)</f>
        <v>GRWRHITECHEQ</v>
      </c>
      <c r="B1094" s="34">
        <v>46273</v>
      </c>
      <c r="C1094" s="34">
        <v>46273</v>
      </c>
      <c r="D1094" t="s">
        <v>35</v>
      </c>
      <c r="E1094" t="s">
        <v>36</v>
      </c>
      <c r="F1094" t="s">
        <v>37</v>
      </c>
      <c r="G1094">
        <v>7982</v>
      </c>
      <c r="H1094" t="s">
        <v>3336</v>
      </c>
      <c r="I1094" t="s">
        <v>3337</v>
      </c>
      <c r="J1094" t="s">
        <v>161</v>
      </c>
      <c r="O1094" t="s">
        <v>3338</v>
      </c>
      <c r="P1094">
        <v>7006</v>
      </c>
      <c r="Q1094">
        <v>7049</v>
      </c>
      <c r="R1094">
        <v>6900.5</v>
      </c>
      <c r="S1094">
        <v>6975.5</v>
      </c>
      <c r="T1094">
        <v>6948</v>
      </c>
      <c r="U1094">
        <v>6951.5</v>
      </c>
      <c r="W1094">
        <v>6975.45</v>
      </c>
      <c r="Z1094">
        <v>21656</v>
      </c>
      <c r="AA1094">
        <v>150796029</v>
      </c>
      <c r="AB1094">
        <v>6202</v>
      </c>
      <c r="AC1094" t="s">
        <v>42</v>
      </c>
      <c r="AD1094">
        <v>1</v>
      </c>
    </row>
    <row r="1095" spans="1:30">
      <c r="A1095" t="str">
        <f>CONCATENATE(I1095,J1095)</f>
        <v>GARFIBRESEQ</v>
      </c>
      <c r="B1095" s="34">
        <v>46273</v>
      </c>
      <c r="C1095" s="34">
        <v>46273</v>
      </c>
      <c r="D1095" t="s">
        <v>35</v>
      </c>
      <c r="E1095" t="s">
        <v>36</v>
      </c>
      <c r="F1095" t="s">
        <v>37</v>
      </c>
      <c r="G1095">
        <v>1100</v>
      </c>
      <c r="H1095" t="s">
        <v>3339</v>
      </c>
      <c r="I1095" t="s">
        <v>3340</v>
      </c>
      <c r="J1095" t="s">
        <v>161</v>
      </c>
      <c r="O1095" t="s">
        <v>3341</v>
      </c>
      <c r="P1095">
        <v>819.25</v>
      </c>
      <c r="Q1095">
        <v>821.75</v>
      </c>
      <c r="R1095">
        <v>802</v>
      </c>
      <c r="S1095">
        <v>819.15</v>
      </c>
      <c r="T1095">
        <v>820</v>
      </c>
      <c r="U1095">
        <v>819.25</v>
      </c>
      <c r="W1095">
        <v>819.14</v>
      </c>
      <c r="Z1095">
        <v>24619</v>
      </c>
      <c r="AA1095">
        <v>20044081.899999999</v>
      </c>
      <c r="AB1095">
        <v>3684</v>
      </c>
      <c r="AC1095" t="s">
        <v>42</v>
      </c>
      <c r="AD1095">
        <v>1</v>
      </c>
    </row>
    <row r="1096" spans="1:30">
      <c r="A1096" t="str">
        <f>CONCATENATE(I1096,J1096)</f>
        <v>GATEWAYEQ</v>
      </c>
      <c r="B1096" s="34">
        <v>46273</v>
      </c>
      <c r="C1096" s="34">
        <v>46273</v>
      </c>
      <c r="D1096" t="s">
        <v>35</v>
      </c>
      <c r="E1096" t="s">
        <v>36</v>
      </c>
      <c r="F1096" t="s">
        <v>37</v>
      </c>
      <c r="G1096">
        <v>8510</v>
      </c>
      <c r="H1096" t="s">
        <v>3342</v>
      </c>
      <c r="I1096" t="s">
        <v>3343</v>
      </c>
      <c r="J1096" t="s">
        <v>161</v>
      </c>
      <c r="O1096" t="s">
        <v>3344</v>
      </c>
      <c r="P1096">
        <v>54.44</v>
      </c>
      <c r="Q1096">
        <v>54.96</v>
      </c>
      <c r="R1096">
        <v>53.5</v>
      </c>
      <c r="S1096">
        <v>53.94</v>
      </c>
      <c r="T1096">
        <v>53.89</v>
      </c>
      <c r="U1096">
        <v>53.96</v>
      </c>
      <c r="W1096">
        <v>53.94</v>
      </c>
      <c r="Z1096">
        <v>1065075</v>
      </c>
      <c r="AA1096">
        <v>57568197.990000002</v>
      </c>
      <c r="AB1096">
        <v>5536</v>
      </c>
      <c r="AC1096" t="s">
        <v>42</v>
      </c>
      <c r="AD1096">
        <v>1</v>
      </c>
    </row>
    <row r="1097" spans="1:30">
      <c r="A1097" t="str">
        <f>CONCATENATE(I1097,J1097)</f>
        <v>GAUDIUMIVFBE</v>
      </c>
      <c r="B1097" s="34">
        <v>46273</v>
      </c>
      <c r="C1097" s="34">
        <v>46273</v>
      </c>
      <c r="D1097" t="s">
        <v>35</v>
      </c>
      <c r="E1097" t="s">
        <v>36</v>
      </c>
      <c r="F1097" t="s">
        <v>37</v>
      </c>
      <c r="G1097">
        <v>760179</v>
      </c>
      <c r="H1097" t="s">
        <v>3345</v>
      </c>
      <c r="I1097" t="s">
        <v>3346</v>
      </c>
      <c r="J1097" t="s">
        <v>183</v>
      </c>
      <c r="O1097" t="s">
        <v>3347</v>
      </c>
      <c r="P1097">
        <v>112.7</v>
      </c>
      <c r="Q1097">
        <v>118.39</v>
      </c>
      <c r="R1097">
        <v>110.61</v>
      </c>
      <c r="S1097">
        <v>118.39</v>
      </c>
      <c r="T1097">
        <v>118.39</v>
      </c>
      <c r="U1097">
        <v>112.76</v>
      </c>
      <c r="W1097">
        <v>118.61</v>
      </c>
      <c r="Z1097">
        <v>86378</v>
      </c>
      <c r="AA1097">
        <v>10009407.49</v>
      </c>
      <c r="AB1097">
        <v>603</v>
      </c>
      <c r="AC1097" t="s">
        <v>42</v>
      </c>
      <c r="AD1097">
        <v>1</v>
      </c>
    </row>
    <row r="1098" spans="1:30">
      <c r="A1098" t="str">
        <f>CONCATENATE(I1098,J1098)</f>
        <v>GAYAHWSEQ</v>
      </c>
      <c r="B1098" s="34">
        <v>46273</v>
      </c>
      <c r="C1098" s="34">
        <v>46273</v>
      </c>
      <c r="D1098" t="s">
        <v>35</v>
      </c>
      <c r="E1098" t="s">
        <v>36</v>
      </c>
      <c r="F1098" t="s">
        <v>37</v>
      </c>
      <c r="G1098">
        <v>3693</v>
      </c>
      <c r="H1098" t="s">
        <v>3348</v>
      </c>
      <c r="I1098" t="s">
        <v>3349</v>
      </c>
      <c r="J1098" t="s">
        <v>161</v>
      </c>
      <c r="O1098" t="s">
        <v>3350</v>
      </c>
      <c r="P1098">
        <v>1.97</v>
      </c>
      <c r="Q1098">
        <v>1.98</v>
      </c>
      <c r="R1098">
        <v>1.92</v>
      </c>
      <c r="S1098">
        <v>1.94</v>
      </c>
      <c r="T1098">
        <v>1.96</v>
      </c>
      <c r="U1098">
        <v>1.92</v>
      </c>
      <c r="W1098">
        <v>1.94</v>
      </c>
      <c r="Z1098">
        <v>242919</v>
      </c>
      <c r="AA1098">
        <v>475073.21</v>
      </c>
      <c r="AB1098">
        <v>314</v>
      </c>
      <c r="AC1098" t="s">
        <v>42</v>
      </c>
      <c r="AD1098">
        <v>1</v>
      </c>
    </row>
    <row r="1099" spans="1:30">
      <c r="A1099" t="str">
        <f>CONCATENATE(I1099,J1099)</f>
        <v>GAYAPROJEQ</v>
      </c>
      <c r="B1099" s="34">
        <v>46273</v>
      </c>
      <c r="C1099" s="34">
        <v>46273</v>
      </c>
      <c r="D1099" t="s">
        <v>35</v>
      </c>
      <c r="E1099" t="s">
        <v>36</v>
      </c>
      <c r="F1099" t="s">
        <v>37</v>
      </c>
      <c r="G1099">
        <v>25023</v>
      </c>
      <c r="H1099" t="s">
        <v>3351</v>
      </c>
      <c r="I1099" t="s">
        <v>3352</v>
      </c>
      <c r="J1099" t="s">
        <v>161</v>
      </c>
      <c r="O1099" t="s">
        <v>3353</v>
      </c>
      <c r="P1099">
        <v>22.4</v>
      </c>
      <c r="Q1099">
        <v>23.28</v>
      </c>
      <c r="R1099">
        <v>22.3</v>
      </c>
      <c r="S1099">
        <v>23.26</v>
      </c>
      <c r="T1099">
        <v>23.28</v>
      </c>
      <c r="U1099">
        <v>22.18</v>
      </c>
      <c r="W1099">
        <v>23.26</v>
      </c>
      <c r="Z1099">
        <v>2694235</v>
      </c>
      <c r="AA1099">
        <v>62276418.490000002</v>
      </c>
      <c r="AB1099">
        <v>3524</v>
      </c>
      <c r="AC1099" t="s">
        <v>42</v>
      </c>
      <c r="AD1099">
        <v>1</v>
      </c>
    </row>
    <row r="1100" spans="1:30">
      <c r="A1100" t="str">
        <f>CONCATENATE(I1100,J1100)</f>
        <v>GRCLSM</v>
      </c>
      <c r="B1100" s="34">
        <v>46273</v>
      </c>
      <c r="C1100" s="34">
        <v>46273</v>
      </c>
      <c r="D1100" t="s">
        <v>35</v>
      </c>
      <c r="E1100" t="s">
        <v>36</v>
      </c>
      <c r="F1100" t="s">
        <v>37</v>
      </c>
      <c r="G1100">
        <v>14052</v>
      </c>
      <c r="H1100" t="s">
        <v>3354</v>
      </c>
      <c r="I1100" t="s">
        <v>3355</v>
      </c>
      <c r="J1100" t="s">
        <v>267</v>
      </c>
      <c r="O1100" t="s">
        <v>3356</v>
      </c>
      <c r="P1100">
        <v>550</v>
      </c>
      <c r="Q1100">
        <v>575</v>
      </c>
      <c r="R1100">
        <v>550</v>
      </c>
      <c r="S1100">
        <v>575</v>
      </c>
      <c r="T1100">
        <v>575</v>
      </c>
      <c r="U1100">
        <v>553.35</v>
      </c>
      <c r="W1100">
        <v>575</v>
      </c>
      <c r="Z1100">
        <v>750</v>
      </c>
      <c r="AA1100">
        <v>422500</v>
      </c>
      <c r="AB1100">
        <v>3</v>
      </c>
      <c r="AC1100" t="s">
        <v>42</v>
      </c>
      <c r="AD1100">
        <v>250</v>
      </c>
    </row>
    <row r="1101" spans="1:30">
      <c r="A1101" t="str">
        <f>CONCATENATE(I1101,J1101)</f>
        <v>GVPILEQ</v>
      </c>
      <c r="B1101" s="34">
        <v>46273</v>
      </c>
      <c r="C1101" s="34">
        <v>46273</v>
      </c>
      <c r="D1101" t="s">
        <v>35</v>
      </c>
      <c r="E1101" t="s">
        <v>36</v>
      </c>
      <c r="F1101" t="s">
        <v>37</v>
      </c>
      <c r="G1101">
        <v>7862</v>
      </c>
      <c r="H1101" t="s">
        <v>3357</v>
      </c>
      <c r="I1101" t="s">
        <v>3358</v>
      </c>
      <c r="J1101" t="s">
        <v>161</v>
      </c>
      <c r="O1101" t="s">
        <v>3359</v>
      </c>
      <c r="P1101">
        <v>662.45</v>
      </c>
      <c r="Q1101">
        <v>673.8</v>
      </c>
      <c r="R1101">
        <v>651.35</v>
      </c>
      <c r="S1101">
        <v>656.2</v>
      </c>
      <c r="T1101">
        <v>658</v>
      </c>
      <c r="U1101">
        <v>655.15</v>
      </c>
      <c r="W1101">
        <v>656.25</v>
      </c>
      <c r="Z1101">
        <v>214560</v>
      </c>
      <c r="AA1101">
        <v>142022275.84999999</v>
      </c>
      <c r="AB1101">
        <v>8725</v>
      </c>
      <c r="AC1101" t="s">
        <v>42</v>
      </c>
      <c r="AD1101">
        <v>1</v>
      </c>
    </row>
    <row r="1102" spans="1:30">
      <c r="A1102" t="str">
        <f>CONCATENATE(I1102,J1102)</f>
        <v>GVT&amp;DEQ</v>
      </c>
      <c r="B1102" s="34">
        <v>46273</v>
      </c>
      <c r="C1102" s="34">
        <v>46273</v>
      </c>
      <c r="D1102" t="s">
        <v>35</v>
      </c>
      <c r="E1102" t="s">
        <v>36</v>
      </c>
      <c r="F1102" t="s">
        <v>37</v>
      </c>
      <c r="G1102">
        <v>16783</v>
      </c>
      <c r="H1102" t="s">
        <v>3360</v>
      </c>
      <c r="I1102" t="s">
        <v>3361</v>
      </c>
      <c r="J1102" t="s">
        <v>161</v>
      </c>
      <c r="O1102" t="s">
        <v>3362</v>
      </c>
      <c r="P1102">
        <v>4636.1000000000004</v>
      </c>
      <c r="Q1102">
        <v>4793</v>
      </c>
      <c r="R1102">
        <v>4610</v>
      </c>
      <c r="S1102">
        <v>4750</v>
      </c>
      <c r="T1102">
        <v>4750</v>
      </c>
      <c r="U1102">
        <v>4367.2</v>
      </c>
      <c r="W1102">
        <v>4750.03</v>
      </c>
      <c r="Z1102">
        <v>4274212</v>
      </c>
      <c r="AA1102">
        <v>20116380460.099998</v>
      </c>
      <c r="AB1102">
        <v>274201</v>
      </c>
      <c r="AC1102" t="s">
        <v>42</v>
      </c>
      <c r="AD1102">
        <v>1</v>
      </c>
    </row>
    <row r="1103" spans="1:30">
      <c r="A1103" t="str">
        <f>CONCATENATE(I1103,J1103)</f>
        <v>GEECEEBE</v>
      </c>
      <c r="B1103" s="34">
        <v>46273</v>
      </c>
      <c r="C1103" s="34">
        <v>46273</v>
      </c>
      <c r="D1103" t="s">
        <v>35</v>
      </c>
      <c r="E1103" t="s">
        <v>36</v>
      </c>
      <c r="F1103" t="s">
        <v>37</v>
      </c>
      <c r="G1103">
        <v>13662</v>
      </c>
      <c r="H1103" t="s">
        <v>3363</v>
      </c>
      <c r="I1103" t="s">
        <v>3364</v>
      </c>
      <c r="J1103" t="s">
        <v>183</v>
      </c>
      <c r="O1103" t="s">
        <v>3365</v>
      </c>
      <c r="P1103">
        <v>379.6</v>
      </c>
      <c r="Q1103">
        <v>379.6</v>
      </c>
      <c r="R1103">
        <v>362.6</v>
      </c>
      <c r="S1103">
        <v>368.5</v>
      </c>
      <c r="T1103">
        <v>370</v>
      </c>
      <c r="U1103">
        <v>370.85</v>
      </c>
      <c r="W1103">
        <v>368.5</v>
      </c>
      <c r="Z1103">
        <v>3004</v>
      </c>
      <c r="AA1103">
        <v>1106240.1499999999</v>
      </c>
      <c r="AB1103">
        <v>45</v>
      </c>
      <c r="AC1103" t="s">
        <v>42</v>
      </c>
      <c r="AD1103">
        <v>1</v>
      </c>
    </row>
    <row r="1104" spans="1:30">
      <c r="A1104" t="str">
        <f>CONCATENATE(I1104,J1104)</f>
        <v>GEEKAYWIREEQ</v>
      </c>
      <c r="B1104" s="34">
        <v>46273</v>
      </c>
      <c r="C1104" s="34">
        <v>46273</v>
      </c>
      <c r="D1104" t="s">
        <v>35</v>
      </c>
      <c r="E1104" t="s">
        <v>36</v>
      </c>
      <c r="F1104" t="s">
        <v>37</v>
      </c>
      <c r="G1104">
        <v>17922</v>
      </c>
      <c r="H1104" t="s">
        <v>3366</v>
      </c>
      <c r="I1104" t="s">
        <v>3367</v>
      </c>
      <c r="J1104" t="s">
        <v>161</v>
      </c>
      <c r="O1104" t="s">
        <v>3368</v>
      </c>
      <c r="P1104">
        <v>30.55</v>
      </c>
      <c r="Q1104">
        <v>30.87</v>
      </c>
      <c r="R1104">
        <v>29.4</v>
      </c>
      <c r="S1104">
        <v>29.51</v>
      </c>
      <c r="T1104">
        <v>29.45</v>
      </c>
      <c r="U1104">
        <v>30.14</v>
      </c>
      <c r="W1104">
        <v>29.51</v>
      </c>
      <c r="Z1104">
        <v>124885</v>
      </c>
      <c r="AA1104">
        <v>3701470.77</v>
      </c>
      <c r="AB1104">
        <v>745</v>
      </c>
      <c r="AC1104" t="s">
        <v>42</v>
      </c>
      <c r="AD1104">
        <v>1</v>
      </c>
    </row>
    <row r="1105" spans="1:30">
      <c r="A1105" t="str">
        <f>CONCATENATE(I1105,J1105)</f>
        <v>GEMAROMAEQ</v>
      </c>
      <c r="B1105" s="34">
        <v>46273</v>
      </c>
      <c r="C1105" s="34">
        <v>46273</v>
      </c>
      <c r="D1105" t="s">
        <v>35</v>
      </c>
      <c r="E1105" t="s">
        <v>36</v>
      </c>
      <c r="F1105" t="s">
        <v>37</v>
      </c>
      <c r="G1105">
        <v>759461</v>
      </c>
      <c r="H1105" t="s">
        <v>3369</v>
      </c>
      <c r="I1105" t="s">
        <v>3370</v>
      </c>
      <c r="J1105" t="s">
        <v>161</v>
      </c>
      <c r="O1105" t="s">
        <v>3371</v>
      </c>
      <c r="P1105">
        <v>160.24</v>
      </c>
      <c r="Q1105">
        <v>164.69</v>
      </c>
      <c r="R1105">
        <v>157.30000000000001</v>
      </c>
      <c r="S1105">
        <v>161.86000000000001</v>
      </c>
      <c r="T1105">
        <v>163.1</v>
      </c>
      <c r="U1105">
        <v>158.19</v>
      </c>
      <c r="W1105">
        <v>161.87</v>
      </c>
      <c r="Z1105">
        <v>81302</v>
      </c>
      <c r="AA1105">
        <v>13069979.210000001</v>
      </c>
      <c r="AB1105">
        <v>1623</v>
      </c>
      <c r="AC1105" t="s">
        <v>42</v>
      </c>
      <c r="AD1105">
        <v>1</v>
      </c>
    </row>
    <row r="1106" spans="1:30">
      <c r="A1106" t="str">
        <f>CONCATENATE(I1106,J1106)</f>
        <v>GICREEQ</v>
      </c>
      <c r="B1106" s="34">
        <v>46273</v>
      </c>
      <c r="C1106" s="34">
        <v>46273</v>
      </c>
      <c r="D1106" t="s">
        <v>35</v>
      </c>
      <c r="E1106" t="s">
        <v>36</v>
      </c>
      <c r="F1106" t="s">
        <v>37</v>
      </c>
      <c r="G1106">
        <v>277</v>
      </c>
      <c r="H1106" t="s">
        <v>3372</v>
      </c>
      <c r="I1106" t="s">
        <v>3373</v>
      </c>
      <c r="J1106" t="s">
        <v>161</v>
      </c>
      <c r="O1106" t="s">
        <v>3374</v>
      </c>
      <c r="P1106">
        <v>351</v>
      </c>
      <c r="Q1106">
        <v>353.15</v>
      </c>
      <c r="R1106">
        <v>346.2</v>
      </c>
      <c r="S1106">
        <v>348.1</v>
      </c>
      <c r="T1106">
        <v>347.85</v>
      </c>
      <c r="U1106">
        <v>349.8</v>
      </c>
      <c r="W1106">
        <v>348.07</v>
      </c>
      <c r="Z1106">
        <v>937332</v>
      </c>
      <c r="AA1106">
        <v>326621271.69999999</v>
      </c>
      <c r="AB1106">
        <v>15752</v>
      </c>
      <c r="AC1106" t="s">
        <v>42</v>
      </c>
      <c r="AD1106">
        <v>1</v>
      </c>
    </row>
    <row r="1107" spans="1:30">
      <c r="A1107" t="str">
        <f>CONCATENATE(I1107,J1107)</f>
        <v>GENCONEQ</v>
      </c>
      <c r="B1107" s="34">
        <v>46273</v>
      </c>
      <c r="C1107" s="34">
        <v>46273</v>
      </c>
      <c r="D1107" t="s">
        <v>35</v>
      </c>
      <c r="E1107" t="s">
        <v>36</v>
      </c>
      <c r="F1107" t="s">
        <v>37</v>
      </c>
      <c r="G1107">
        <v>2188</v>
      </c>
      <c r="H1107" t="s">
        <v>3375</v>
      </c>
      <c r="I1107" t="s">
        <v>3376</v>
      </c>
      <c r="J1107" t="s">
        <v>161</v>
      </c>
      <c r="O1107" t="s">
        <v>3377</v>
      </c>
      <c r="P1107">
        <v>42.3</v>
      </c>
      <c r="Q1107">
        <v>42.66</v>
      </c>
      <c r="R1107">
        <v>41.31</v>
      </c>
      <c r="S1107">
        <v>41.89</v>
      </c>
      <c r="T1107">
        <v>42.65</v>
      </c>
      <c r="U1107">
        <v>41.98</v>
      </c>
      <c r="W1107">
        <v>41.88</v>
      </c>
      <c r="Z1107">
        <v>282549</v>
      </c>
      <c r="AA1107">
        <v>11959712.49</v>
      </c>
      <c r="AB1107">
        <v>1510</v>
      </c>
      <c r="AC1107" t="s">
        <v>42</v>
      </c>
      <c r="AD1107">
        <v>1</v>
      </c>
    </row>
    <row r="1108" spans="1:30">
      <c r="A1108" t="str">
        <f>CONCATENATE(I1108,J1108)</f>
        <v>GENESYSEQ</v>
      </c>
      <c r="B1108" s="34">
        <v>46273</v>
      </c>
      <c r="C1108" s="34">
        <v>46273</v>
      </c>
      <c r="D1108" t="s">
        <v>35</v>
      </c>
      <c r="E1108" t="s">
        <v>36</v>
      </c>
      <c r="F1108" t="s">
        <v>37</v>
      </c>
      <c r="G1108">
        <v>10905</v>
      </c>
      <c r="H1108" t="s">
        <v>3378</v>
      </c>
      <c r="I1108" t="s">
        <v>3379</v>
      </c>
      <c r="J1108" t="s">
        <v>161</v>
      </c>
      <c r="O1108" t="s">
        <v>3380</v>
      </c>
      <c r="P1108">
        <v>240.25</v>
      </c>
      <c r="Q1108">
        <v>288.19</v>
      </c>
      <c r="R1108">
        <v>239.5</v>
      </c>
      <c r="S1108">
        <v>288.19</v>
      </c>
      <c r="T1108">
        <v>288.19</v>
      </c>
      <c r="U1108">
        <v>240.16</v>
      </c>
      <c r="W1108">
        <v>288.19</v>
      </c>
      <c r="Z1108">
        <v>8754555</v>
      </c>
      <c r="AA1108">
        <v>2407794207.2600002</v>
      </c>
      <c r="AB1108">
        <v>116541</v>
      </c>
      <c r="AC1108" t="s">
        <v>42</v>
      </c>
      <c r="AD1108">
        <v>1</v>
      </c>
    </row>
    <row r="1109" spans="1:30">
      <c r="A1109" t="str">
        <f>CONCATENATE(I1109,J1109)</f>
        <v>GENSOLBZ</v>
      </c>
      <c r="B1109" s="34">
        <v>46273</v>
      </c>
      <c r="C1109" s="34">
        <v>46273</v>
      </c>
      <c r="D1109" t="s">
        <v>35</v>
      </c>
      <c r="E1109" t="s">
        <v>36</v>
      </c>
      <c r="F1109" t="s">
        <v>37</v>
      </c>
      <c r="G1109">
        <v>758842</v>
      </c>
      <c r="H1109" t="s">
        <v>3381</v>
      </c>
      <c r="I1109" t="s">
        <v>3382</v>
      </c>
      <c r="J1109" t="s">
        <v>551</v>
      </c>
      <c r="O1109" t="s">
        <v>3383</v>
      </c>
      <c r="P1109">
        <v>17.600000000000001</v>
      </c>
      <c r="Q1109">
        <v>17.77</v>
      </c>
      <c r="R1109">
        <v>17</v>
      </c>
      <c r="S1109">
        <v>17.46</v>
      </c>
      <c r="T1109">
        <v>17.5</v>
      </c>
      <c r="U1109">
        <v>17.190000000000001</v>
      </c>
      <c r="W1109">
        <v>17.39</v>
      </c>
      <c r="Z1109">
        <v>73427</v>
      </c>
      <c r="AA1109">
        <v>1281451.72</v>
      </c>
      <c r="AB1109">
        <v>372</v>
      </c>
      <c r="AC1109" t="s">
        <v>42</v>
      </c>
      <c r="AD1109">
        <v>1</v>
      </c>
    </row>
    <row r="1110" spans="1:30">
      <c r="A1110" t="str">
        <f>CONCATENATE(I1110,J1110)</f>
        <v>GENUSPAPEREQ</v>
      </c>
      <c r="B1110" s="34">
        <v>46273</v>
      </c>
      <c r="C1110" s="34">
        <v>46273</v>
      </c>
      <c r="D1110" t="s">
        <v>35</v>
      </c>
      <c r="E1110" t="s">
        <v>36</v>
      </c>
      <c r="F1110" t="s">
        <v>37</v>
      </c>
      <c r="G1110">
        <v>6600</v>
      </c>
      <c r="H1110" t="s">
        <v>3384</v>
      </c>
      <c r="I1110" t="s">
        <v>3385</v>
      </c>
      <c r="J1110" t="s">
        <v>161</v>
      </c>
      <c r="O1110" t="s">
        <v>3386</v>
      </c>
      <c r="P1110">
        <v>13.48</v>
      </c>
      <c r="Q1110">
        <v>13.79</v>
      </c>
      <c r="R1110">
        <v>12.67</v>
      </c>
      <c r="S1110">
        <v>12.86</v>
      </c>
      <c r="T1110">
        <v>12.95</v>
      </c>
      <c r="U1110">
        <v>13.22</v>
      </c>
      <c r="W1110">
        <v>12.86</v>
      </c>
      <c r="Z1110">
        <v>169810</v>
      </c>
      <c r="AA1110">
        <v>2237236.77</v>
      </c>
      <c r="AB1110">
        <v>805</v>
      </c>
      <c r="AC1110" t="s">
        <v>42</v>
      </c>
      <c r="AD1110">
        <v>1</v>
      </c>
    </row>
    <row r="1111" spans="1:30">
      <c r="A1111" t="str">
        <f>CONCATENATE(I1111,J1111)</f>
        <v>GENUSPOWEREQ</v>
      </c>
      <c r="B1111" s="34">
        <v>46273</v>
      </c>
      <c r="C1111" s="34">
        <v>46273</v>
      </c>
      <c r="D1111" t="s">
        <v>35</v>
      </c>
      <c r="E1111" t="s">
        <v>36</v>
      </c>
      <c r="F1111" t="s">
        <v>37</v>
      </c>
      <c r="G1111">
        <v>11905</v>
      </c>
      <c r="H1111" t="s">
        <v>3387</v>
      </c>
      <c r="I1111" t="s">
        <v>3388</v>
      </c>
      <c r="J1111" t="s">
        <v>161</v>
      </c>
      <c r="O1111" t="s">
        <v>3389</v>
      </c>
      <c r="P1111">
        <v>337</v>
      </c>
      <c r="Q1111">
        <v>338.2</v>
      </c>
      <c r="R1111">
        <v>331.85</v>
      </c>
      <c r="S1111">
        <v>333.65</v>
      </c>
      <c r="T1111">
        <v>334.45</v>
      </c>
      <c r="U1111">
        <v>336.4</v>
      </c>
      <c r="W1111">
        <v>333.63</v>
      </c>
      <c r="Z1111">
        <v>1390800</v>
      </c>
      <c r="AA1111">
        <v>464514383</v>
      </c>
      <c r="AB1111">
        <v>288248</v>
      </c>
      <c r="AC1111" t="s">
        <v>42</v>
      </c>
      <c r="AD1111">
        <v>1</v>
      </c>
    </row>
    <row r="1112" spans="1:30">
      <c r="A1112" t="str">
        <f>CONCATENATE(I1112,J1112)</f>
        <v>GENXAISM</v>
      </c>
      <c r="B1112" s="34">
        <v>46273</v>
      </c>
      <c r="C1112" s="34">
        <v>46273</v>
      </c>
      <c r="D1112" t="s">
        <v>35</v>
      </c>
      <c r="E1112" t="s">
        <v>36</v>
      </c>
      <c r="F1112" t="s">
        <v>37</v>
      </c>
      <c r="G1112">
        <v>31942</v>
      </c>
      <c r="H1112" t="s">
        <v>3390</v>
      </c>
      <c r="I1112" t="s">
        <v>3391</v>
      </c>
      <c r="J1112" t="s">
        <v>267</v>
      </c>
      <c r="O1112" t="s">
        <v>3392</v>
      </c>
      <c r="P1112">
        <v>83</v>
      </c>
      <c r="Q1112">
        <v>84</v>
      </c>
      <c r="R1112">
        <v>82</v>
      </c>
      <c r="S1112">
        <v>83.7</v>
      </c>
      <c r="T1112">
        <v>84</v>
      </c>
      <c r="U1112">
        <v>82.5</v>
      </c>
      <c r="W1112">
        <v>83.7</v>
      </c>
      <c r="Z1112">
        <v>22800</v>
      </c>
      <c r="AA1112">
        <v>1900800</v>
      </c>
      <c r="AB1112">
        <v>18</v>
      </c>
      <c r="AC1112" t="s">
        <v>42</v>
      </c>
      <c r="AD1112">
        <v>1200</v>
      </c>
    </row>
    <row r="1113" spans="1:30">
      <c r="A1113" t="str">
        <f>CONCATENATE(I1113,J1113)</f>
        <v>GEOJITFSLEQ</v>
      </c>
      <c r="B1113" s="34">
        <v>46273</v>
      </c>
      <c r="C1113" s="34">
        <v>46273</v>
      </c>
      <c r="D1113" t="s">
        <v>35</v>
      </c>
      <c r="E1113" t="s">
        <v>36</v>
      </c>
      <c r="F1113" t="s">
        <v>37</v>
      </c>
      <c r="G1113">
        <v>11896</v>
      </c>
      <c r="H1113" t="s">
        <v>3393</v>
      </c>
      <c r="I1113" t="s">
        <v>3394</v>
      </c>
      <c r="J1113" t="s">
        <v>161</v>
      </c>
      <c r="O1113" t="s">
        <v>3395</v>
      </c>
      <c r="P1113">
        <v>82.95</v>
      </c>
      <c r="Q1113">
        <v>83.04</v>
      </c>
      <c r="R1113">
        <v>77.849999999999994</v>
      </c>
      <c r="S1113">
        <v>81.08</v>
      </c>
      <c r="T1113">
        <v>81.790000000000006</v>
      </c>
      <c r="U1113">
        <v>82.78</v>
      </c>
      <c r="W1113">
        <v>81.08</v>
      </c>
      <c r="Z1113">
        <v>342199</v>
      </c>
      <c r="AA1113">
        <v>27897422.559999999</v>
      </c>
      <c r="AB1113">
        <v>2306</v>
      </c>
      <c r="AC1113" t="s">
        <v>42</v>
      </c>
      <c r="AD1113">
        <v>1</v>
      </c>
    </row>
    <row r="1114" spans="1:30">
      <c r="A1114" t="str">
        <f>CONCATENATE(I1114,J1114)</f>
        <v>GFLLIMITEDEQ</v>
      </c>
      <c r="B1114" s="34">
        <v>46273</v>
      </c>
      <c r="C1114" s="34">
        <v>46273</v>
      </c>
      <c r="D1114" t="s">
        <v>35</v>
      </c>
      <c r="E1114" t="s">
        <v>36</v>
      </c>
      <c r="F1114" t="s">
        <v>37</v>
      </c>
      <c r="G1114">
        <v>1289</v>
      </c>
      <c r="H1114" t="s">
        <v>3396</v>
      </c>
      <c r="I1114" t="s">
        <v>3397</v>
      </c>
      <c r="J1114" t="s">
        <v>161</v>
      </c>
      <c r="O1114" t="s">
        <v>3398</v>
      </c>
      <c r="P1114">
        <v>62.9</v>
      </c>
      <c r="Q1114">
        <v>63.59</v>
      </c>
      <c r="R1114">
        <v>59.21</v>
      </c>
      <c r="S1114">
        <v>60.17</v>
      </c>
      <c r="T1114">
        <v>60.29</v>
      </c>
      <c r="U1114">
        <v>62.17</v>
      </c>
      <c r="W1114">
        <v>60.17</v>
      </c>
      <c r="Z1114">
        <v>299897</v>
      </c>
      <c r="AA1114">
        <v>18726664.859999999</v>
      </c>
      <c r="AB1114">
        <v>2843</v>
      </c>
      <c r="AC1114" t="s">
        <v>42</v>
      </c>
      <c r="AD1114">
        <v>1</v>
      </c>
    </row>
    <row r="1115" spans="1:30">
      <c r="A1115" t="str">
        <f>CONCATENATE(I1115,J1115)</f>
        <v>GHCLEQ</v>
      </c>
      <c r="B1115" s="34">
        <v>46273</v>
      </c>
      <c r="C1115" s="34">
        <v>46273</v>
      </c>
      <c r="D1115" t="s">
        <v>35</v>
      </c>
      <c r="E1115" t="s">
        <v>36</v>
      </c>
      <c r="F1115" t="s">
        <v>37</v>
      </c>
      <c r="G1115">
        <v>1127</v>
      </c>
      <c r="H1115" t="s">
        <v>3399</v>
      </c>
      <c r="I1115" t="s">
        <v>3400</v>
      </c>
      <c r="J1115" t="s">
        <v>161</v>
      </c>
      <c r="O1115" t="s">
        <v>3401</v>
      </c>
      <c r="P1115">
        <v>434</v>
      </c>
      <c r="Q1115">
        <v>434.05</v>
      </c>
      <c r="R1115">
        <v>428.5</v>
      </c>
      <c r="S1115">
        <v>433.05</v>
      </c>
      <c r="T1115">
        <v>433.9</v>
      </c>
      <c r="U1115">
        <v>433.35</v>
      </c>
      <c r="W1115">
        <v>433.05</v>
      </c>
      <c r="Z1115">
        <v>90776</v>
      </c>
      <c r="AA1115">
        <v>39207015.100000001</v>
      </c>
      <c r="AB1115">
        <v>3280</v>
      </c>
      <c r="AC1115" t="s">
        <v>42</v>
      </c>
      <c r="AD1115">
        <v>1</v>
      </c>
    </row>
    <row r="1116" spans="1:30">
      <c r="A1116" t="str">
        <f>CONCATENATE(I1116,J1116)</f>
        <v>GHCLTEXTILEQ</v>
      </c>
      <c r="B1116" s="34">
        <v>46273</v>
      </c>
      <c r="C1116" s="34">
        <v>46273</v>
      </c>
      <c r="D1116" t="s">
        <v>35</v>
      </c>
      <c r="E1116" t="s">
        <v>36</v>
      </c>
      <c r="F1116" t="s">
        <v>37</v>
      </c>
      <c r="G1116">
        <v>16696</v>
      </c>
      <c r="H1116" t="s">
        <v>3402</v>
      </c>
      <c r="I1116" t="s">
        <v>3403</v>
      </c>
      <c r="J1116" t="s">
        <v>161</v>
      </c>
      <c r="O1116" t="s">
        <v>3404</v>
      </c>
      <c r="P1116">
        <v>133.52000000000001</v>
      </c>
      <c r="Q1116">
        <v>134.29</v>
      </c>
      <c r="R1116">
        <v>131.18</v>
      </c>
      <c r="S1116">
        <v>131.96</v>
      </c>
      <c r="T1116">
        <v>132.9</v>
      </c>
      <c r="U1116">
        <v>133.36000000000001</v>
      </c>
      <c r="W1116">
        <v>131.96</v>
      </c>
      <c r="Z1116">
        <v>403571</v>
      </c>
      <c r="AA1116">
        <v>53340006.32</v>
      </c>
      <c r="AB1116">
        <v>4102</v>
      </c>
      <c r="AC1116" t="s">
        <v>42</v>
      </c>
      <c r="AD1116">
        <v>1</v>
      </c>
    </row>
    <row r="1117" spans="1:30">
      <c r="A1117" t="str">
        <f>CONCATENATE(I1117,J1117)</f>
        <v>GICHSGFINEQ</v>
      </c>
      <c r="B1117" s="34">
        <v>46273</v>
      </c>
      <c r="C1117" s="34">
        <v>46273</v>
      </c>
      <c r="D1117" t="s">
        <v>35</v>
      </c>
      <c r="E1117" t="s">
        <v>36</v>
      </c>
      <c r="F1117" t="s">
        <v>37</v>
      </c>
      <c r="G1117">
        <v>1139</v>
      </c>
      <c r="H1117" t="s">
        <v>3405</v>
      </c>
      <c r="I1117" t="s">
        <v>3406</v>
      </c>
      <c r="J1117" t="s">
        <v>161</v>
      </c>
      <c r="O1117" t="s">
        <v>3407</v>
      </c>
      <c r="P1117">
        <v>140.41999999999999</v>
      </c>
      <c r="Q1117">
        <v>141.9</v>
      </c>
      <c r="R1117">
        <v>138.5</v>
      </c>
      <c r="S1117">
        <v>138.72999999999999</v>
      </c>
      <c r="T1117">
        <v>138.94</v>
      </c>
      <c r="U1117">
        <v>140.41999999999999</v>
      </c>
      <c r="W1117">
        <v>138.72999999999999</v>
      </c>
      <c r="Z1117">
        <v>63413</v>
      </c>
      <c r="AA1117">
        <v>8825439.8699999992</v>
      </c>
      <c r="AB1117">
        <v>1058</v>
      </c>
      <c r="AC1117" t="s">
        <v>42</v>
      </c>
      <c r="AD1117">
        <v>1</v>
      </c>
    </row>
    <row r="1118" spans="1:30">
      <c r="A1118" t="str">
        <f>CONCATENATE(I1118,J1118)</f>
        <v>GILLANDERSEQ</v>
      </c>
      <c r="B1118" s="34">
        <v>46273</v>
      </c>
      <c r="C1118" s="34">
        <v>46273</v>
      </c>
      <c r="D1118" t="s">
        <v>35</v>
      </c>
      <c r="E1118" t="s">
        <v>36</v>
      </c>
      <c r="F1118" t="s">
        <v>37</v>
      </c>
      <c r="G1118">
        <v>17839</v>
      </c>
      <c r="H1118" t="s">
        <v>3408</v>
      </c>
      <c r="I1118" t="s">
        <v>3409</v>
      </c>
      <c r="J1118" t="s">
        <v>161</v>
      </c>
      <c r="O1118" t="s">
        <v>3410</v>
      </c>
      <c r="P1118">
        <v>104.63</v>
      </c>
      <c r="Q1118">
        <v>104.63</v>
      </c>
      <c r="R1118">
        <v>100.11</v>
      </c>
      <c r="S1118">
        <v>101.81</v>
      </c>
      <c r="T1118">
        <v>103</v>
      </c>
      <c r="U1118">
        <v>104.63</v>
      </c>
      <c r="W1118">
        <v>101.81</v>
      </c>
      <c r="Z1118">
        <v>1739</v>
      </c>
      <c r="AA1118">
        <v>177199.51</v>
      </c>
      <c r="AB1118">
        <v>49</v>
      </c>
      <c r="AC1118" t="s">
        <v>42</v>
      </c>
      <c r="AD1118">
        <v>1</v>
      </c>
    </row>
    <row r="1119" spans="1:30">
      <c r="A1119" t="str">
        <f>CONCATENATE(I1119,J1119)</f>
        <v>GILLETTEEQ</v>
      </c>
      <c r="B1119" s="34">
        <v>46273</v>
      </c>
      <c r="C1119" s="34">
        <v>46273</v>
      </c>
      <c r="D1119" t="s">
        <v>35</v>
      </c>
      <c r="E1119" t="s">
        <v>36</v>
      </c>
      <c r="F1119" t="s">
        <v>37</v>
      </c>
      <c r="G1119">
        <v>1576</v>
      </c>
      <c r="H1119" t="s">
        <v>3411</v>
      </c>
      <c r="I1119" t="s">
        <v>3412</v>
      </c>
      <c r="J1119" t="s">
        <v>161</v>
      </c>
      <c r="O1119" t="s">
        <v>3413</v>
      </c>
      <c r="P1119">
        <v>7360</v>
      </c>
      <c r="Q1119">
        <v>7564</v>
      </c>
      <c r="R1119">
        <v>7311.5</v>
      </c>
      <c r="S1119">
        <v>7530.5</v>
      </c>
      <c r="T1119">
        <v>7506</v>
      </c>
      <c r="U1119">
        <v>7380.5</v>
      </c>
      <c r="W1119">
        <v>7530.29</v>
      </c>
      <c r="Z1119">
        <v>40115</v>
      </c>
      <c r="AA1119">
        <v>301747419.5</v>
      </c>
      <c r="AB1119">
        <v>6370</v>
      </c>
      <c r="AC1119" t="s">
        <v>42</v>
      </c>
      <c r="AD1119">
        <v>1</v>
      </c>
    </row>
    <row r="1120" spans="1:30">
      <c r="A1120" t="str">
        <f>CONCATENATE(I1120,J1120)</f>
        <v>GINNIFILABE</v>
      </c>
      <c r="B1120" s="34">
        <v>46273</v>
      </c>
      <c r="C1120" s="34">
        <v>46273</v>
      </c>
      <c r="D1120" t="s">
        <v>35</v>
      </c>
      <c r="E1120" t="s">
        <v>36</v>
      </c>
      <c r="F1120" t="s">
        <v>37</v>
      </c>
      <c r="G1120">
        <v>9294</v>
      </c>
      <c r="H1120" t="s">
        <v>3414</v>
      </c>
      <c r="I1120" t="s">
        <v>3415</v>
      </c>
      <c r="J1120" t="s">
        <v>183</v>
      </c>
      <c r="O1120" t="s">
        <v>3416</v>
      </c>
      <c r="P1120">
        <v>42.73</v>
      </c>
      <c r="Q1120">
        <v>43.49</v>
      </c>
      <c r="R1120">
        <v>42</v>
      </c>
      <c r="S1120">
        <v>42.99</v>
      </c>
      <c r="T1120">
        <v>43.23</v>
      </c>
      <c r="U1120">
        <v>42.18</v>
      </c>
      <c r="W1120">
        <v>42.99</v>
      </c>
      <c r="Z1120">
        <v>12793</v>
      </c>
      <c r="AA1120">
        <v>544019.39</v>
      </c>
      <c r="AB1120">
        <v>70</v>
      </c>
      <c r="AC1120" t="s">
        <v>42</v>
      </c>
      <c r="AD1120">
        <v>1</v>
      </c>
    </row>
    <row r="1121" spans="1:30">
      <c r="A1121" t="str">
        <f>CONCATENATE(I1121,J1121)</f>
        <v>GIRIRAJSM</v>
      </c>
      <c r="B1121" s="34">
        <v>46273</v>
      </c>
      <c r="C1121" s="34">
        <v>46273</v>
      </c>
      <c r="D1121" t="s">
        <v>35</v>
      </c>
      <c r="E1121" t="s">
        <v>36</v>
      </c>
      <c r="F1121" t="s">
        <v>37</v>
      </c>
      <c r="G1121">
        <v>2365</v>
      </c>
      <c r="H1121" t="s">
        <v>3417</v>
      </c>
      <c r="I1121" t="s">
        <v>3418</v>
      </c>
      <c r="J1121" t="s">
        <v>267</v>
      </c>
      <c r="O1121" t="s">
        <v>3419</v>
      </c>
      <c r="P1121">
        <v>82.25</v>
      </c>
      <c r="Q1121">
        <v>82.25</v>
      </c>
      <c r="R1121">
        <v>82.25</v>
      </c>
      <c r="S1121">
        <v>82.25</v>
      </c>
      <c r="T1121">
        <v>82.25</v>
      </c>
      <c r="U1121">
        <v>78.349999999999994</v>
      </c>
      <c r="W1121">
        <v>82.25</v>
      </c>
      <c r="Z1121">
        <v>250</v>
      </c>
      <c r="AA1121">
        <v>20562.5</v>
      </c>
      <c r="AB1121">
        <v>1</v>
      </c>
      <c r="AC1121" t="s">
        <v>42</v>
      </c>
      <c r="AD1121">
        <v>250</v>
      </c>
    </row>
    <row r="1122" spans="1:30">
      <c r="A1122" t="str">
        <f>CONCATENATE(I1122,J1122)</f>
        <v>GKENERGYEQ</v>
      </c>
      <c r="B1122" s="34">
        <v>46273</v>
      </c>
      <c r="C1122" s="34">
        <v>46273</v>
      </c>
      <c r="D1122" t="s">
        <v>35</v>
      </c>
      <c r="E1122" t="s">
        <v>36</v>
      </c>
      <c r="F1122" t="s">
        <v>37</v>
      </c>
      <c r="G1122">
        <v>759048</v>
      </c>
      <c r="H1122" t="s">
        <v>3420</v>
      </c>
      <c r="I1122" t="s">
        <v>3421</v>
      </c>
      <c r="J1122" t="s">
        <v>161</v>
      </c>
      <c r="O1122" t="s">
        <v>3422</v>
      </c>
      <c r="P1122">
        <v>131.30000000000001</v>
      </c>
      <c r="Q1122">
        <v>133.88</v>
      </c>
      <c r="R1122">
        <v>127.51</v>
      </c>
      <c r="S1122">
        <v>129.61000000000001</v>
      </c>
      <c r="T1122">
        <v>129.80000000000001</v>
      </c>
      <c r="U1122">
        <v>129.46</v>
      </c>
      <c r="W1122">
        <v>129.61000000000001</v>
      </c>
      <c r="Z1122">
        <v>362678</v>
      </c>
      <c r="AA1122">
        <v>46858992.189999998</v>
      </c>
      <c r="AB1122">
        <v>3984</v>
      </c>
      <c r="AC1122" t="s">
        <v>42</v>
      </c>
      <c r="AD1122">
        <v>1</v>
      </c>
    </row>
    <row r="1123" spans="1:30">
      <c r="A1123" t="str">
        <f>CONCATENATE(I1123,J1123)</f>
        <v>GKBEQ</v>
      </c>
      <c r="B1123" s="34">
        <v>46273</v>
      </c>
      <c r="C1123" s="34">
        <v>46273</v>
      </c>
      <c r="D1123" t="s">
        <v>35</v>
      </c>
      <c r="E1123" t="s">
        <v>36</v>
      </c>
      <c r="F1123" t="s">
        <v>37</v>
      </c>
      <c r="G1123">
        <v>764688</v>
      </c>
      <c r="H1123" t="s">
        <v>3423</v>
      </c>
      <c r="I1123" t="s">
        <v>3424</v>
      </c>
      <c r="J1123" t="s">
        <v>161</v>
      </c>
      <c r="O1123" t="s">
        <v>3425</v>
      </c>
      <c r="P1123">
        <v>68.95</v>
      </c>
      <c r="Q1123">
        <v>71.77</v>
      </c>
      <c r="R1123">
        <v>65</v>
      </c>
      <c r="S1123">
        <v>71.52</v>
      </c>
      <c r="T1123">
        <v>71.77</v>
      </c>
      <c r="U1123">
        <v>65.25</v>
      </c>
      <c r="W1123">
        <v>73.16</v>
      </c>
      <c r="Z1123">
        <v>7204</v>
      </c>
      <c r="AA1123">
        <v>495974.06</v>
      </c>
      <c r="AB1123">
        <v>52</v>
      </c>
      <c r="AC1123" t="s">
        <v>42</v>
      </c>
      <c r="AD1123">
        <v>1</v>
      </c>
    </row>
    <row r="1124" spans="1:30">
      <c r="A1124" t="str">
        <f>CONCATENATE(I1124,J1124)</f>
        <v>GKWLIMITEDEQ</v>
      </c>
      <c r="B1124" s="34">
        <v>46273</v>
      </c>
      <c r="C1124" s="34">
        <v>46273</v>
      </c>
      <c r="D1124" t="s">
        <v>35</v>
      </c>
      <c r="E1124" t="s">
        <v>36</v>
      </c>
      <c r="F1124" t="s">
        <v>37</v>
      </c>
      <c r="G1124">
        <v>17357</v>
      </c>
      <c r="H1124" t="s">
        <v>3426</v>
      </c>
      <c r="I1124" t="s">
        <v>3427</v>
      </c>
      <c r="J1124" t="s">
        <v>161</v>
      </c>
      <c r="O1124" t="s">
        <v>3428</v>
      </c>
      <c r="P1124">
        <v>1550</v>
      </c>
      <c r="Q1124">
        <v>1584</v>
      </c>
      <c r="R1124">
        <v>1550</v>
      </c>
      <c r="S1124">
        <v>1551.7</v>
      </c>
      <c r="T1124">
        <v>1579.9</v>
      </c>
      <c r="U1124">
        <v>1550.6</v>
      </c>
      <c r="W1124">
        <v>1551.7</v>
      </c>
      <c r="Z1124">
        <v>508</v>
      </c>
      <c r="AA1124">
        <v>793836.2</v>
      </c>
      <c r="AB1124">
        <v>51</v>
      </c>
      <c r="AC1124" t="s">
        <v>42</v>
      </c>
      <c r="AD1124">
        <v>1</v>
      </c>
    </row>
    <row r="1125" spans="1:30">
      <c r="A1125" t="str">
        <f>CONCATENATE(I1125,J1125)</f>
        <v>GLANDEQ</v>
      </c>
      <c r="B1125" s="34">
        <v>46273</v>
      </c>
      <c r="C1125" s="34">
        <v>46273</v>
      </c>
      <c r="D1125" t="s">
        <v>35</v>
      </c>
      <c r="E1125" t="s">
        <v>36</v>
      </c>
      <c r="F1125" t="s">
        <v>37</v>
      </c>
      <c r="G1125">
        <v>1186</v>
      </c>
      <c r="H1125" t="s">
        <v>3429</v>
      </c>
      <c r="I1125" t="s">
        <v>3430</v>
      </c>
      <c r="J1125" t="s">
        <v>161</v>
      </c>
      <c r="O1125" t="s">
        <v>3431</v>
      </c>
      <c r="P1125">
        <v>2979.9</v>
      </c>
      <c r="Q1125">
        <v>2979.9</v>
      </c>
      <c r="R1125">
        <v>2901.9</v>
      </c>
      <c r="S1125">
        <v>2959.3</v>
      </c>
      <c r="T1125">
        <v>2960</v>
      </c>
      <c r="U1125">
        <v>2974.3</v>
      </c>
      <c r="W1125">
        <v>2959.3</v>
      </c>
      <c r="Z1125">
        <v>709554</v>
      </c>
      <c r="AA1125">
        <v>2087289600.0999999</v>
      </c>
      <c r="AB1125">
        <v>56169</v>
      </c>
      <c r="AC1125" t="s">
        <v>42</v>
      </c>
      <c r="AD1125">
        <v>1</v>
      </c>
    </row>
    <row r="1126" spans="1:30">
      <c r="A1126" t="str">
        <f>CONCATENATE(I1126,J1126)</f>
        <v>GLAXOEQ</v>
      </c>
      <c r="B1126" s="34">
        <v>46273</v>
      </c>
      <c r="C1126" s="34">
        <v>46273</v>
      </c>
      <c r="D1126" t="s">
        <v>35</v>
      </c>
      <c r="E1126" t="s">
        <v>36</v>
      </c>
      <c r="F1126" t="s">
        <v>37</v>
      </c>
      <c r="G1126">
        <v>1153</v>
      </c>
      <c r="H1126" t="s">
        <v>3432</v>
      </c>
      <c r="I1126" t="s">
        <v>3433</v>
      </c>
      <c r="J1126" t="s">
        <v>161</v>
      </c>
      <c r="O1126" t="s">
        <v>3434</v>
      </c>
      <c r="P1126">
        <v>2978</v>
      </c>
      <c r="Q1126">
        <v>3001.3</v>
      </c>
      <c r="R1126">
        <v>2921.2</v>
      </c>
      <c r="S1126">
        <v>2928.2</v>
      </c>
      <c r="T1126">
        <v>2934</v>
      </c>
      <c r="U1126">
        <v>2957.8</v>
      </c>
      <c r="W1126">
        <v>2928.21</v>
      </c>
      <c r="Z1126">
        <v>50684</v>
      </c>
      <c r="AA1126">
        <v>150037988.69999999</v>
      </c>
      <c r="AB1126">
        <v>10020</v>
      </c>
      <c r="AC1126" t="s">
        <v>42</v>
      </c>
      <c r="AD1126">
        <v>1</v>
      </c>
    </row>
    <row r="1127" spans="1:30">
      <c r="A1127" t="str">
        <f>CONCATENATE(I1127,J1127)</f>
        <v>GLENMARKEQ</v>
      </c>
      <c r="B1127" s="34">
        <v>46273</v>
      </c>
      <c r="C1127" s="34">
        <v>46273</v>
      </c>
      <c r="D1127" t="s">
        <v>35</v>
      </c>
      <c r="E1127" t="s">
        <v>36</v>
      </c>
      <c r="F1127" t="s">
        <v>37</v>
      </c>
      <c r="G1127">
        <v>7406</v>
      </c>
      <c r="H1127" t="s">
        <v>3435</v>
      </c>
      <c r="I1127" t="s">
        <v>3436</v>
      </c>
      <c r="J1127" t="s">
        <v>161</v>
      </c>
      <c r="O1127" t="s">
        <v>3437</v>
      </c>
      <c r="P1127">
        <v>2469.9</v>
      </c>
      <c r="Q1127">
        <v>2492</v>
      </c>
      <c r="R1127">
        <v>2439</v>
      </c>
      <c r="S1127">
        <v>2474.5</v>
      </c>
      <c r="T1127">
        <v>2474.5</v>
      </c>
      <c r="U1127">
        <v>2451.9</v>
      </c>
      <c r="W1127">
        <v>2474.5100000000002</v>
      </c>
      <c r="Z1127">
        <v>447432</v>
      </c>
      <c r="AA1127">
        <v>1105826494.5</v>
      </c>
      <c r="AB1127">
        <v>46952</v>
      </c>
      <c r="AC1127" t="s">
        <v>42</v>
      </c>
      <c r="AD1127">
        <v>1</v>
      </c>
    </row>
    <row r="1128" spans="1:30">
      <c r="A1128" t="str">
        <f>CONCATENATE(I1128,J1128)</f>
        <v>GLOBALEQ</v>
      </c>
      <c r="B1128" s="34">
        <v>46273</v>
      </c>
      <c r="C1128" s="34">
        <v>46273</v>
      </c>
      <c r="D1128" t="s">
        <v>35</v>
      </c>
      <c r="E1128" t="s">
        <v>36</v>
      </c>
      <c r="F1128" t="s">
        <v>37</v>
      </c>
      <c r="G1128">
        <v>1415</v>
      </c>
      <c r="H1128" t="s">
        <v>3438</v>
      </c>
      <c r="I1128" t="s">
        <v>3439</v>
      </c>
      <c r="J1128" t="s">
        <v>161</v>
      </c>
      <c r="O1128" t="s">
        <v>3440</v>
      </c>
      <c r="P1128">
        <v>120.49</v>
      </c>
      <c r="Q1128">
        <v>129.4</v>
      </c>
      <c r="R1128">
        <v>120.46</v>
      </c>
      <c r="S1128">
        <v>126.62</v>
      </c>
      <c r="T1128">
        <v>126.72</v>
      </c>
      <c r="U1128">
        <v>120.15</v>
      </c>
      <c r="W1128">
        <v>126.62</v>
      </c>
      <c r="Z1128">
        <v>385486</v>
      </c>
      <c r="AA1128">
        <v>48443025.039999999</v>
      </c>
      <c r="AB1128">
        <v>4663</v>
      </c>
      <c r="AC1128" t="s">
        <v>42</v>
      </c>
      <c r="AD1128">
        <v>1</v>
      </c>
    </row>
    <row r="1129" spans="1:30">
      <c r="A1129" t="str">
        <f>CONCATENATE(I1129,J1129)</f>
        <v>MEDANTAEQ</v>
      </c>
      <c r="B1129" s="34">
        <v>46273</v>
      </c>
      <c r="C1129" s="34">
        <v>46273</v>
      </c>
      <c r="D1129" t="s">
        <v>35</v>
      </c>
      <c r="E1129" t="s">
        <v>36</v>
      </c>
      <c r="F1129" t="s">
        <v>37</v>
      </c>
      <c r="G1129">
        <v>11956</v>
      </c>
      <c r="H1129" t="s">
        <v>3441</v>
      </c>
      <c r="I1129" t="s">
        <v>3442</v>
      </c>
      <c r="J1129" t="s">
        <v>161</v>
      </c>
      <c r="O1129" t="s">
        <v>3443</v>
      </c>
      <c r="P1129">
        <v>1425.8</v>
      </c>
      <c r="Q1129">
        <v>1434.9</v>
      </c>
      <c r="R1129">
        <v>1403.4</v>
      </c>
      <c r="S1129">
        <v>1428.6</v>
      </c>
      <c r="T1129">
        <v>1432</v>
      </c>
      <c r="U1129">
        <v>1422.6</v>
      </c>
      <c r="W1129">
        <v>1428.56</v>
      </c>
      <c r="Z1129">
        <v>185231</v>
      </c>
      <c r="AA1129">
        <v>262713419</v>
      </c>
      <c r="AB1129">
        <v>25628</v>
      </c>
      <c r="AC1129" t="s">
        <v>42</v>
      </c>
      <c r="AD1129">
        <v>1</v>
      </c>
    </row>
    <row r="1130" spans="1:30">
      <c r="A1130" t="str">
        <f>CONCATENATE(I1130,J1130)</f>
        <v>GLOBALPETSM</v>
      </c>
      <c r="B1130" s="34">
        <v>46273</v>
      </c>
      <c r="C1130" s="34">
        <v>46273</v>
      </c>
      <c r="D1130" t="s">
        <v>35</v>
      </c>
      <c r="E1130" t="s">
        <v>36</v>
      </c>
      <c r="F1130" t="s">
        <v>37</v>
      </c>
      <c r="G1130">
        <v>17167</v>
      </c>
      <c r="H1130" t="s">
        <v>3444</v>
      </c>
      <c r="I1130" t="s">
        <v>3445</v>
      </c>
      <c r="J1130" t="s">
        <v>267</v>
      </c>
      <c r="O1130" t="s">
        <v>3446</v>
      </c>
      <c r="P1130">
        <v>156.94999999999999</v>
      </c>
      <c r="Q1130">
        <v>158.55000000000001</v>
      </c>
      <c r="R1130">
        <v>156.94999999999999</v>
      </c>
      <c r="S1130">
        <v>158.55000000000001</v>
      </c>
      <c r="T1130">
        <v>158.55000000000001</v>
      </c>
      <c r="U1130">
        <v>157.5</v>
      </c>
      <c r="W1130">
        <v>158.55000000000001</v>
      </c>
      <c r="Z1130">
        <v>2250</v>
      </c>
      <c r="AA1130">
        <v>354375</v>
      </c>
      <c r="AB1130">
        <v>3</v>
      </c>
      <c r="AC1130" t="s">
        <v>42</v>
      </c>
      <c r="AD1130">
        <v>750</v>
      </c>
    </row>
    <row r="1131" spans="1:30">
      <c r="A1131" t="str">
        <f>CONCATENATE(I1131,J1131)</f>
        <v>GSLSUEQ</v>
      </c>
      <c r="B1131" s="34">
        <v>46273</v>
      </c>
      <c r="C1131" s="34">
        <v>46273</v>
      </c>
      <c r="D1131" t="s">
        <v>35</v>
      </c>
      <c r="E1131" t="s">
        <v>36</v>
      </c>
      <c r="F1131" t="s">
        <v>37</v>
      </c>
      <c r="G1131">
        <v>14599</v>
      </c>
      <c r="H1131" t="s">
        <v>3447</v>
      </c>
      <c r="I1131" t="s">
        <v>3448</v>
      </c>
      <c r="J1131" t="s">
        <v>161</v>
      </c>
      <c r="O1131" t="s">
        <v>3449</v>
      </c>
      <c r="P1131">
        <v>30.5</v>
      </c>
      <c r="Q1131">
        <v>30.5</v>
      </c>
      <c r="R1131">
        <v>28.24</v>
      </c>
      <c r="S1131">
        <v>29.3</v>
      </c>
      <c r="T1131">
        <v>29.5</v>
      </c>
      <c r="U1131">
        <v>29.45</v>
      </c>
      <c r="W1131">
        <v>29.29</v>
      </c>
      <c r="Z1131">
        <v>71165</v>
      </c>
      <c r="AA1131">
        <v>2081877.25</v>
      </c>
      <c r="AB1131">
        <v>712</v>
      </c>
      <c r="AC1131" t="s">
        <v>42</v>
      </c>
      <c r="AD1131">
        <v>1</v>
      </c>
    </row>
    <row r="1132" spans="1:30">
      <c r="A1132" t="str">
        <f>CONCATENATE(I1132,J1132)</f>
        <v>GLOBALVECTEQ</v>
      </c>
      <c r="B1132" s="34">
        <v>46273</v>
      </c>
      <c r="C1132" s="34">
        <v>46273</v>
      </c>
      <c r="D1132" t="s">
        <v>35</v>
      </c>
      <c r="E1132" t="s">
        <v>36</v>
      </c>
      <c r="F1132" t="s">
        <v>37</v>
      </c>
      <c r="G1132">
        <v>13735</v>
      </c>
      <c r="H1132" t="s">
        <v>3450</v>
      </c>
      <c r="I1132" t="s">
        <v>3451</v>
      </c>
      <c r="J1132" t="s">
        <v>161</v>
      </c>
      <c r="O1132" t="s">
        <v>3452</v>
      </c>
      <c r="P1132">
        <v>141</v>
      </c>
      <c r="Q1132">
        <v>142.43</v>
      </c>
      <c r="R1132">
        <v>138.26</v>
      </c>
      <c r="S1132">
        <v>139.29</v>
      </c>
      <c r="T1132">
        <v>140.69999999999999</v>
      </c>
      <c r="U1132">
        <v>139.63999999999999</v>
      </c>
      <c r="W1132">
        <v>139.32</v>
      </c>
      <c r="Z1132">
        <v>6915</v>
      </c>
      <c r="AA1132">
        <v>969516.35</v>
      </c>
      <c r="AB1132">
        <v>276</v>
      </c>
      <c r="AC1132" t="s">
        <v>42</v>
      </c>
      <c r="AD1132">
        <v>1</v>
      </c>
    </row>
    <row r="1133" spans="1:30">
      <c r="A1133" t="str">
        <f>CONCATENATE(I1133,J1133)</f>
        <v>GLOBALEEQ</v>
      </c>
      <c r="B1133" s="34">
        <v>46273</v>
      </c>
      <c r="C1133" s="34">
        <v>46273</v>
      </c>
      <c r="D1133" t="s">
        <v>35</v>
      </c>
      <c r="E1133" t="s">
        <v>36</v>
      </c>
      <c r="F1133" t="s">
        <v>37</v>
      </c>
      <c r="G1133">
        <v>24932</v>
      </c>
      <c r="H1133" t="s">
        <v>3453</v>
      </c>
      <c r="I1133" t="s">
        <v>3454</v>
      </c>
      <c r="J1133" t="s">
        <v>161</v>
      </c>
      <c r="O1133" t="s">
        <v>3455</v>
      </c>
      <c r="P1133">
        <v>11.15</v>
      </c>
      <c r="Q1133">
        <v>11.74</v>
      </c>
      <c r="R1133">
        <v>10.85</v>
      </c>
      <c r="S1133">
        <v>10.91</v>
      </c>
      <c r="T1133">
        <v>10.91</v>
      </c>
      <c r="U1133">
        <v>11.4</v>
      </c>
      <c r="W1133">
        <v>10.93</v>
      </c>
      <c r="Z1133">
        <v>4731</v>
      </c>
      <c r="AA1133">
        <v>52832.29</v>
      </c>
      <c r="AB1133">
        <v>27</v>
      </c>
      <c r="AC1133" t="s">
        <v>42</v>
      </c>
      <c r="AD1133">
        <v>1</v>
      </c>
    </row>
    <row r="1134" spans="1:30">
      <c r="A1134" t="str">
        <f>CONCATENATE(I1134,J1134)</f>
        <v>GLOBECIVILEQ</v>
      </c>
      <c r="B1134" s="34">
        <v>46273</v>
      </c>
      <c r="C1134" s="34">
        <v>46273</v>
      </c>
      <c r="D1134" t="s">
        <v>35</v>
      </c>
      <c r="E1134" t="s">
        <v>36</v>
      </c>
      <c r="F1134" t="s">
        <v>37</v>
      </c>
      <c r="G1134">
        <v>758572</v>
      </c>
      <c r="H1134" t="s">
        <v>3456</v>
      </c>
      <c r="I1134" t="s">
        <v>3457</v>
      </c>
      <c r="J1134" t="s">
        <v>161</v>
      </c>
      <c r="O1134" t="s">
        <v>3458</v>
      </c>
      <c r="P1134">
        <v>47</v>
      </c>
      <c r="Q1134">
        <v>47</v>
      </c>
      <c r="R1134">
        <v>45</v>
      </c>
      <c r="S1134">
        <v>45.34</v>
      </c>
      <c r="T1134">
        <v>45</v>
      </c>
      <c r="U1134">
        <v>46.15</v>
      </c>
      <c r="W1134">
        <v>45.34</v>
      </c>
      <c r="Z1134">
        <v>27306</v>
      </c>
      <c r="AA1134">
        <v>1243814.27</v>
      </c>
      <c r="AB1134">
        <v>483</v>
      </c>
      <c r="AC1134" t="s">
        <v>42</v>
      </c>
      <c r="AD1134">
        <v>1</v>
      </c>
    </row>
    <row r="1135" spans="1:30">
      <c r="A1135" t="str">
        <f>CONCATENATE(I1135,J1135)</f>
        <v>GLOBEEQ</v>
      </c>
      <c r="B1135" s="34">
        <v>46273</v>
      </c>
      <c r="C1135" s="34">
        <v>46273</v>
      </c>
      <c r="D1135" t="s">
        <v>35</v>
      </c>
      <c r="E1135" t="s">
        <v>36</v>
      </c>
      <c r="F1135" t="s">
        <v>37</v>
      </c>
      <c r="G1135">
        <v>393</v>
      </c>
      <c r="H1135" t="s">
        <v>3459</v>
      </c>
      <c r="I1135" t="s">
        <v>3460</v>
      </c>
      <c r="J1135" t="s">
        <v>161</v>
      </c>
      <c r="O1135" t="s">
        <v>3461</v>
      </c>
      <c r="P1135">
        <v>1.84</v>
      </c>
      <c r="Q1135">
        <v>1.88</v>
      </c>
      <c r="R1135">
        <v>1.84</v>
      </c>
      <c r="S1135">
        <v>1.87</v>
      </c>
      <c r="T1135">
        <v>1.88</v>
      </c>
      <c r="U1135">
        <v>1.86</v>
      </c>
      <c r="W1135">
        <v>1.87</v>
      </c>
      <c r="Z1135">
        <v>407651</v>
      </c>
      <c r="AA1135">
        <v>763797.22</v>
      </c>
      <c r="AB1135">
        <v>227</v>
      </c>
      <c r="AC1135" t="s">
        <v>42</v>
      </c>
      <c r="AD1135">
        <v>1</v>
      </c>
    </row>
    <row r="1136" spans="1:30">
      <c r="A1136" t="str">
        <f>CONCATENATE(I1136,J1136)</f>
        <v>GICLEQ</v>
      </c>
      <c r="B1136" s="34">
        <v>46273</v>
      </c>
      <c r="C1136" s="34">
        <v>46273</v>
      </c>
      <c r="D1136" t="s">
        <v>35</v>
      </c>
      <c r="E1136" t="s">
        <v>36</v>
      </c>
      <c r="F1136" t="s">
        <v>37</v>
      </c>
      <c r="G1136">
        <v>761025</v>
      </c>
      <c r="H1136" t="s">
        <v>3462</v>
      </c>
      <c r="I1136" t="s">
        <v>3463</v>
      </c>
      <c r="J1136" t="s">
        <v>161</v>
      </c>
      <c r="O1136" t="s">
        <v>3464</v>
      </c>
      <c r="P1136">
        <v>24.01</v>
      </c>
      <c r="Q1136">
        <v>24.8</v>
      </c>
      <c r="R1136">
        <v>23.2</v>
      </c>
      <c r="S1136">
        <v>24.53</v>
      </c>
      <c r="T1136">
        <v>24.68</v>
      </c>
      <c r="U1136">
        <v>24.42</v>
      </c>
      <c r="W1136">
        <v>24.53</v>
      </c>
      <c r="Z1136">
        <v>695516</v>
      </c>
      <c r="AA1136">
        <v>16585295.859999999</v>
      </c>
      <c r="AB1136">
        <v>786</v>
      </c>
      <c r="AC1136" t="s">
        <v>42</v>
      </c>
      <c r="AD1136">
        <v>1</v>
      </c>
    </row>
    <row r="1137" spans="1:30">
      <c r="A1137" t="str">
        <f>CONCATENATE(I1137,J1137)</f>
        <v>GSTLSM</v>
      </c>
      <c r="B1137" s="34">
        <v>46273</v>
      </c>
      <c r="C1137" s="34">
        <v>46273</v>
      </c>
      <c r="D1137" t="s">
        <v>35</v>
      </c>
      <c r="E1137" t="s">
        <v>36</v>
      </c>
      <c r="F1137" t="s">
        <v>37</v>
      </c>
      <c r="G1137">
        <v>9764</v>
      </c>
      <c r="H1137" t="s">
        <v>3465</v>
      </c>
      <c r="I1137" t="s">
        <v>3466</v>
      </c>
      <c r="J1137" t="s">
        <v>267</v>
      </c>
      <c r="O1137" t="s">
        <v>3467</v>
      </c>
      <c r="P1137">
        <v>11.25</v>
      </c>
      <c r="Q1137">
        <v>11.25</v>
      </c>
      <c r="R1137">
        <v>11.25</v>
      </c>
      <c r="S1137">
        <v>11.25</v>
      </c>
      <c r="T1137">
        <v>11.25</v>
      </c>
      <c r="U1137">
        <v>11.7</v>
      </c>
      <c r="W1137">
        <v>11.25</v>
      </c>
      <c r="Z1137">
        <v>3000</v>
      </c>
      <c r="AA1137">
        <v>33750</v>
      </c>
      <c r="AB1137">
        <v>3</v>
      </c>
      <c r="AC1137" t="s">
        <v>42</v>
      </c>
      <c r="AD1137">
        <v>1000</v>
      </c>
    </row>
    <row r="1138" spans="1:30">
      <c r="A1138" t="str">
        <f>CONCATENATE(I1138,J1138)</f>
        <v>GLOBUSSPREQ</v>
      </c>
      <c r="B1138" s="34">
        <v>46273</v>
      </c>
      <c r="C1138" s="34">
        <v>46273</v>
      </c>
      <c r="D1138" t="s">
        <v>35</v>
      </c>
      <c r="E1138" t="s">
        <v>36</v>
      </c>
      <c r="F1138" t="s">
        <v>37</v>
      </c>
      <c r="G1138">
        <v>17424</v>
      </c>
      <c r="H1138" t="s">
        <v>3468</v>
      </c>
      <c r="I1138" t="s">
        <v>3469</v>
      </c>
      <c r="J1138" t="s">
        <v>161</v>
      </c>
      <c r="O1138" t="s">
        <v>3470</v>
      </c>
      <c r="P1138">
        <v>894</v>
      </c>
      <c r="Q1138">
        <v>894.5</v>
      </c>
      <c r="R1138">
        <v>852.1</v>
      </c>
      <c r="S1138">
        <v>861.45</v>
      </c>
      <c r="T1138">
        <v>863.6</v>
      </c>
      <c r="U1138">
        <v>895.1</v>
      </c>
      <c r="W1138">
        <v>861.48</v>
      </c>
      <c r="Z1138">
        <v>241474</v>
      </c>
      <c r="AA1138">
        <v>208393866.25</v>
      </c>
      <c r="AB1138">
        <v>15935</v>
      </c>
      <c r="AC1138" t="s">
        <v>42</v>
      </c>
      <c r="AD1138">
        <v>1</v>
      </c>
    </row>
    <row r="1139" spans="1:30">
      <c r="A1139" t="str">
        <f>CONCATENATE(I1139,J1139)</f>
        <v>GLOSTERLTDEQ</v>
      </c>
      <c r="B1139" s="34">
        <v>46273</v>
      </c>
      <c r="C1139" s="34">
        <v>46273</v>
      </c>
      <c r="D1139" t="s">
        <v>35</v>
      </c>
      <c r="E1139" t="s">
        <v>36</v>
      </c>
      <c r="F1139" t="s">
        <v>37</v>
      </c>
      <c r="G1139">
        <v>23590</v>
      </c>
      <c r="H1139" t="s">
        <v>3471</v>
      </c>
      <c r="I1139" t="s">
        <v>3472</v>
      </c>
      <c r="J1139" t="s">
        <v>161</v>
      </c>
      <c r="O1139" t="s">
        <v>3473</v>
      </c>
      <c r="P1139">
        <v>603.4</v>
      </c>
      <c r="Q1139">
        <v>614.5</v>
      </c>
      <c r="R1139">
        <v>591.1</v>
      </c>
      <c r="S1139">
        <v>598.79999999999995</v>
      </c>
      <c r="T1139">
        <v>605</v>
      </c>
      <c r="U1139">
        <v>603.4</v>
      </c>
      <c r="W1139">
        <v>598.32000000000005</v>
      </c>
      <c r="Z1139">
        <v>641</v>
      </c>
      <c r="AA1139">
        <v>383533.1</v>
      </c>
      <c r="AB1139">
        <v>56</v>
      </c>
      <c r="AC1139" t="s">
        <v>42</v>
      </c>
      <c r="AD1139">
        <v>1</v>
      </c>
    </row>
    <row r="1140" spans="1:30">
      <c r="A1140" t="str">
        <f>CONCATENATE(I1140,J1140)</f>
        <v>GLOTTISEQ</v>
      </c>
      <c r="B1140" s="34">
        <v>46273</v>
      </c>
      <c r="C1140" s="34">
        <v>46273</v>
      </c>
      <c r="D1140" t="s">
        <v>35</v>
      </c>
      <c r="E1140" t="s">
        <v>36</v>
      </c>
      <c r="F1140" t="s">
        <v>37</v>
      </c>
      <c r="G1140">
        <v>760116</v>
      </c>
      <c r="H1140" t="s">
        <v>3474</v>
      </c>
      <c r="I1140" t="s">
        <v>3475</v>
      </c>
      <c r="J1140" t="s">
        <v>161</v>
      </c>
      <c r="O1140" t="s">
        <v>3476</v>
      </c>
      <c r="P1140">
        <v>59.63</v>
      </c>
      <c r="Q1140">
        <v>60.86</v>
      </c>
      <c r="R1140">
        <v>56.8</v>
      </c>
      <c r="S1140">
        <v>57.13</v>
      </c>
      <c r="T1140">
        <v>57.35</v>
      </c>
      <c r="U1140">
        <v>59.62</v>
      </c>
      <c r="W1140">
        <v>57.13</v>
      </c>
      <c r="Z1140">
        <v>135316</v>
      </c>
      <c r="AA1140">
        <v>7819426.9100000001</v>
      </c>
      <c r="AB1140">
        <v>1270</v>
      </c>
      <c r="AC1140" t="s">
        <v>42</v>
      </c>
      <c r="AD1140">
        <v>1</v>
      </c>
    </row>
    <row r="1141" spans="1:30">
      <c r="A1141" t="str">
        <f>CONCATENATE(I1141,J1141)</f>
        <v>GMMPFAUDLREQ</v>
      </c>
      <c r="B1141" s="34">
        <v>46273</v>
      </c>
      <c r="C1141" s="34">
        <v>46273</v>
      </c>
      <c r="D1141" t="s">
        <v>35</v>
      </c>
      <c r="E1141" t="s">
        <v>36</v>
      </c>
      <c r="F1141" t="s">
        <v>37</v>
      </c>
      <c r="G1141">
        <v>1570</v>
      </c>
      <c r="H1141" t="s">
        <v>3477</v>
      </c>
      <c r="I1141" t="s">
        <v>3478</v>
      </c>
      <c r="J1141" t="s">
        <v>161</v>
      </c>
      <c r="O1141" t="s">
        <v>3479</v>
      </c>
      <c r="P1141">
        <v>1262.8</v>
      </c>
      <c r="Q1141">
        <v>1308.5999999999999</v>
      </c>
      <c r="R1141">
        <v>1235.7</v>
      </c>
      <c r="S1141">
        <v>1285.2</v>
      </c>
      <c r="T1141">
        <v>1285</v>
      </c>
      <c r="U1141">
        <v>1235.7</v>
      </c>
      <c r="W1141">
        <v>1285.23</v>
      </c>
      <c r="Z1141">
        <v>1155005</v>
      </c>
      <c r="AA1141">
        <v>1482160160.2</v>
      </c>
      <c r="AB1141">
        <v>77624</v>
      </c>
      <c r="AC1141" t="s">
        <v>42</v>
      </c>
      <c r="AD1141">
        <v>1</v>
      </c>
    </row>
    <row r="1142" spans="1:30">
      <c r="A1142" t="str">
        <f>CONCATENATE(I1142,J1142)</f>
        <v>GMRAIRPORTEQ</v>
      </c>
      <c r="B1142" s="34">
        <v>46273</v>
      </c>
      <c r="C1142" s="34">
        <v>46273</v>
      </c>
      <c r="D1142" t="s">
        <v>35</v>
      </c>
      <c r="E1142" t="s">
        <v>36</v>
      </c>
      <c r="F1142" t="s">
        <v>37</v>
      </c>
      <c r="G1142">
        <v>13528</v>
      </c>
      <c r="H1142" t="s">
        <v>3480</v>
      </c>
      <c r="I1142" t="s">
        <v>3481</v>
      </c>
      <c r="J1142" t="s">
        <v>161</v>
      </c>
      <c r="O1142" t="s">
        <v>3482</v>
      </c>
      <c r="P1142">
        <v>95.94</v>
      </c>
      <c r="Q1142">
        <v>97.28</v>
      </c>
      <c r="R1142">
        <v>95.74</v>
      </c>
      <c r="S1142">
        <v>97</v>
      </c>
      <c r="T1142">
        <v>97</v>
      </c>
      <c r="U1142">
        <v>95.94</v>
      </c>
      <c r="W1142">
        <v>97</v>
      </c>
      <c r="Z1142">
        <v>8949771</v>
      </c>
      <c r="AA1142">
        <v>866048450.66999996</v>
      </c>
      <c r="AB1142">
        <v>136897</v>
      </c>
      <c r="AC1142" t="s">
        <v>42</v>
      </c>
      <c r="AD1142">
        <v>1</v>
      </c>
    </row>
    <row r="1143" spans="1:30">
      <c r="A1143" t="str">
        <f>CONCATENATE(I1143,J1143)</f>
        <v>GMRP&amp;UIEQ</v>
      </c>
      <c r="B1143" s="34">
        <v>46273</v>
      </c>
      <c r="C1143" s="34">
        <v>46273</v>
      </c>
      <c r="D1143" t="s">
        <v>35</v>
      </c>
      <c r="E1143" t="s">
        <v>36</v>
      </c>
      <c r="F1143" t="s">
        <v>37</v>
      </c>
      <c r="G1143">
        <v>8529</v>
      </c>
      <c r="H1143" t="s">
        <v>3483</v>
      </c>
      <c r="I1143" t="s">
        <v>3484</v>
      </c>
      <c r="J1143" t="s">
        <v>161</v>
      </c>
      <c r="O1143" t="s">
        <v>3485</v>
      </c>
      <c r="P1143">
        <v>93.57</v>
      </c>
      <c r="Q1143">
        <v>96.05</v>
      </c>
      <c r="R1143">
        <v>91.75</v>
      </c>
      <c r="S1143">
        <v>95.61</v>
      </c>
      <c r="T1143">
        <v>95.52</v>
      </c>
      <c r="U1143">
        <v>93.57</v>
      </c>
      <c r="W1143">
        <v>95.61</v>
      </c>
      <c r="Z1143">
        <v>1548311</v>
      </c>
      <c r="AA1143">
        <v>145280414.00999999</v>
      </c>
      <c r="AB1143">
        <v>13370</v>
      </c>
      <c r="AC1143" t="s">
        <v>42</v>
      </c>
      <c r="AD1143">
        <v>1</v>
      </c>
    </row>
    <row r="1144" spans="1:30">
      <c r="A1144" t="str">
        <f>CONCATENATE(I1144,J1144)</f>
        <v>GNAEQ</v>
      </c>
      <c r="B1144" s="34">
        <v>46273</v>
      </c>
      <c r="C1144" s="34">
        <v>46273</v>
      </c>
      <c r="D1144" t="s">
        <v>35</v>
      </c>
      <c r="E1144" t="s">
        <v>36</v>
      </c>
      <c r="F1144" t="s">
        <v>37</v>
      </c>
      <c r="G1144">
        <v>18571</v>
      </c>
      <c r="H1144" t="s">
        <v>3486</v>
      </c>
      <c r="I1144" t="s">
        <v>3487</v>
      </c>
      <c r="J1144" t="s">
        <v>161</v>
      </c>
      <c r="O1144" t="s">
        <v>3488</v>
      </c>
      <c r="P1144">
        <v>546.9</v>
      </c>
      <c r="Q1144">
        <v>564</v>
      </c>
      <c r="R1144">
        <v>543.79999999999995</v>
      </c>
      <c r="S1144">
        <v>553.4</v>
      </c>
      <c r="T1144">
        <v>553.5</v>
      </c>
      <c r="U1144">
        <v>543.20000000000005</v>
      </c>
      <c r="W1144">
        <v>553.47</v>
      </c>
      <c r="Z1144">
        <v>227103</v>
      </c>
      <c r="AA1144">
        <v>126030452</v>
      </c>
      <c r="AB1144">
        <v>8441</v>
      </c>
      <c r="AC1144" t="s">
        <v>42</v>
      </c>
      <c r="AD1144">
        <v>1</v>
      </c>
    </row>
    <row r="1145" spans="1:30">
      <c r="A1145" t="str">
        <f>CONCATENATE(I1145,J1145)</f>
        <v>EBGNGEQ</v>
      </c>
      <c r="B1145" s="34">
        <v>46273</v>
      </c>
      <c r="C1145" s="34">
        <v>46273</v>
      </c>
      <c r="D1145" t="s">
        <v>35</v>
      </c>
      <c r="E1145" t="s">
        <v>36</v>
      </c>
      <c r="F1145" t="s">
        <v>37</v>
      </c>
      <c r="G1145">
        <v>757862</v>
      </c>
      <c r="H1145" t="s">
        <v>3489</v>
      </c>
      <c r="I1145" t="s">
        <v>3490</v>
      </c>
      <c r="J1145" t="s">
        <v>161</v>
      </c>
      <c r="O1145" t="s">
        <v>3491</v>
      </c>
      <c r="P1145">
        <v>626</v>
      </c>
      <c r="Q1145">
        <v>675</v>
      </c>
      <c r="R1145">
        <v>617</v>
      </c>
      <c r="S1145">
        <v>665.15</v>
      </c>
      <c r="T1145">
        <v>671.15</v>
      </c>
      <c r="U1145">
        <v>619.1</v>
      </c>
      <c r="W1145">
        <v>665.07</v>
      </c>
      <c r="Z1145">
        <v>1683816</v>
      </c>
      <c r="AA1145">
        <v>1099595760.6500001</v>
      </c>
      <c r="AB1145">
        <v>52082</v>
      </c>
      <c r="AC1145" t="s">
        <v>42</v>
      </c>
      <c r="AD1145">
        <v>1</v>
      </c>
    </row>
    <row r="1146" spans="1:30">
      <c r="A1146" t="str">
        <f>CONCATENATE(I1146,J1146)</f>
        <v>GODIGITEQ</v>
      </c>
      <c r="B1146" s="34">
        <v>46273</v>
      </c>
      <c r="C1146" s="34">
        <v>46273</v>
      </c>
      <c r="D1146" t="s">
        <v>35</v>
      </c>
      <c r="E1146" t="s">
        <v>36</v>
      </c>
      <c r="F1146" t="s">
        <v>37</v>
      </c>
      <c r="G1146">
        <v>23799</v>
      </c>
      <c r="H1146" t="s">
        <v>3492</v>
      </c>
      <c r="I1146" t="s">
        <v>3493</v>
      </c>
      <c r="J1146" t="s">
        <v>161</v>
      </c>
      <c r="O1146" t="s">
        <v>3494</v>
      </c>
      <c r="P1146">
        <v>255.05</v>
      </c>
      <c r="Q1146">
        <v>261.45</v>
      </c>
      <c r="R1146">
        <v>254.5</v>
      </c>
      <c r="S1146">
        <v>259.14999999999998</v>
      </c>
      <c r="T1146">
        <v>259.10000000000002</v>
      </c>
      <c r="U1146">
        <v>256.60000000000002</v>
      </c>
      <c r="W1146">
        <v>259.14999999999998</v>
      </c>
      <c r="Z1146">
        <v>158238</v>
      </c>
      <c r="AA1146">
        <v>40888545.799999997</v>
      </c>
      <c r="AB1146">
        <v>6673</v>
      </c>
      <c r="AC1146" t="s">
        <v>42</v>
      </c>
      <c r="AD1146">
        <v>1</v>
      </c>
    </row>
    <row r="1147" spans="1:30">
      <c r="A1147" t="str">
        <f>CONCATENATE(I1147,J1147)</f>
        <v>GOCOLORSEQ</v>
      </c>
      <c r="B1147" s="34">
        <v>46273</v>
      </c>
      <c r="C1147" s="34">
        <v>46273</v>
      </c>
      <c r="D1147" t="s">
        <v>35</v>
      </c>
      <c r="E1147" t="s">
        <v>36</v>
      </c>
      <c r="F1147" t="s">
        <v>37</v>
      </c>
      <c r="G1147">
        <v>6964</v>
      </c>
      <c r="H1147" t="s">
        <v>3495</v>
      </c>
      <c r="I1147" t="s">
        <v>3496</v>
      </c>
      <c r="J1147" t="s">
        <v>161</v>
      </c>
      <c r="O1147" t="s">
        <v>3497</v>
      </c>
      <c r="P1147">
        <v>330.5</v>
      </c>
      <c r="Q1147">
        <v>330.95</v>
      </c>
      <c r="R1147">
        <v>325.45</v>
      </c>
      <c r="S1147">
        <v>327.45</v>
      </c>
      <c r="T1147">
        <v>327.25</v>
      </c>
      <c r="U1147">
        <v>329.7</v>
      </c>
      <c r="W1147">
        <v>327.45999999999998</v>
      </c>
      <c r="Z1147">
        <v>59977</v>
      </c>
      <c r="AA1147">
        <v>19658218.300000001</v>
      </c>
      <c r="AB1147">
        <v>1980</v>
      </c>
      <c r="AC1147" t="s">
        <v>42</v>
      </c>
      <c r="AD1147">
        <v>1</v>
      </c>
    </row>
    <row r="1148" spans="1:30">
      <c r="A1148" t="str">
        <f>CONCATENATE(I1148,J1148)</f>
        <v>GOACARBONEQ</v>
      </c>
      <c r="B1148" s="34">
        <v>46273</v>
      </c>
      <c r="C1148" s="34">
        <v>46273</v>
      </c>
      <c r="D1148" t="s">
        <v>35</v>
      </c>
      <c r="E1148" t="s">
        <v>36</v>
      </c>
      <c r="F1148" t="s">
        <v>37</v>
      </c>
      <c r="G1148">
        <v>14687</v>
      </c>
      <c r="H1148" t="s">
        <v>3498</v>
      </c>
      <c r="I1148" t="s">
        <v>3499</v>
      </c>
      <c r="J1148" t="s">
        <v>161</v>
      </c>
      <c r="O1148" t="s">
        <v>3500</v>
      </c>
      <c r="P1148">
        <v>387</v>
      </c>
      <c r="Q1148">
        <v>393</v>
      </c>
      <c r="R1148">
        <v>382.15</v>
      </c>
      <c r="S1148">
        <v>386.25</v>
      </c>
      <c r="T1148">
        <v>385</v>
      </c>
      <c r="U1148">
        <v>382.55</v>
      </c>
      <c r="W1148">
        <v>386.26</v>
      </c>
      <c r="Z1148">
        <v>28685</v>
      </c>
      <c r="AA1148">
        <v>11111495.65</v>
      </c>
      <c r="AB1148">
        <v>1648</v>
      </c>
      <c r="AC1148" t="s">
        <v>42</v>
      </c>
      <c r="AD1148">
        <v>1</v>
      </c>
    </row>
    <row r="1149" spans="1:30">
      <c r="A1149" t="str">
        <f>CONCATENATE(I1149,J1149)</f>
        <v>GOCLCORPEQ</v>
      </c>
      <c r="B1149" s="34">
        <v>46273</v>
      </c>
      <c r="C1149" s="34">
        <v>46273</v>
      </c>
      <c r="D1149" t="s">
        <v>35</v>
      </c>
      <c r="E1149" t="s">
        <v>36</v>
      </c>
      <c r="F1149" t="s">
        <v>37</v>
      </c>
      <c r="G1149">
        <v>3963</v>
      </c>
      <c r="H1149" t="s">
        <v>3501</v>
      </c>
      <c r="I1149" t="s">
        <v>3502</v>
      </c>
      <c r="J1149" t="s">
        <v>161</v>
      </c>
      <c r="O1149" t="s">
        <v>3503</v>
      </c>
      <c r="P1149">
        <v>433.55</v>
      </c>
      <c r="Q1149">
        <v>441.9</v>
      </c>
      <c r="R1149">
        <v>433</v>
      </c>
      <c r="S1149">
        <v>435.6</v>
      </c>
      <c r="T1149">
        <v>435</v>
      </c>
      <c r="U1149">
        <v>436.95</v>
      </c>
      <c r="W1149">
        <v>435.66</v>
      </c>
      <c r="Z1149">
        <v>183004</v>
      </c>
      <c r="AA1149">
        <v>79904223.150000006</v>
      </c>
      <c r="AB1149">
        <v>5219</v>
      </c>
      <c r="AC1149" t="s">
        <v>42</v>
      </c>
      <c r="AD1149">
        <v>1</v>
      </c>
    </row>
    <row r="1150" spans="1:30">
      <c r="A1150" t="str">
        <f>CONCATENATE(I1150,J1150)</f>
        <v>GODAVARIBEQ</v>
      </c>
      <c r="B1150" s="34">
        <v>46273</v>
      </c>
      <c r="C1150" s="34">
        <v>46273</v>
      </c>
      <c r="D1150" t="s">
        <v>35</v>
      </c>
      <c r="E1150" t="s">
        <v>36</v>
      </c>
      <c r="F1150" t="s">
        <v>37</v>
      </c>
      <c r="G1150">
        <v>25941</v>
      </c>
      <c r="H1150" t="s">
        <v>3504</v>
      </c>
      <c r="I1150" t="s">
        <v>3505</v>
      </c>
      <c r="J1150" t="s">
        <v>161</v>
      </c>
      <c r="O1150" t="s">
        <v>3506</v>
      </c>
      <c r="P1150">
        <v>244.95</v>
      </c>
      <c r="Q1150">
        <v>246.89</v>
      </c>
      <c r="R1150">
        <v>240</v>
      </c>
      <c r="S1150">
        <v>244.37</v>
      </c>
      <c r="T1150">
        <v>245.98</v>
      </c>
      <c r="U1150">
        <v>244.95</v>
      </c>
      <c r="W1150">
        <v>244.51</v>
      </c>
      <c r="Z1150">
        <v>57244</v>
      </c>
      <c r="AA1150">
        <v>13926952.060000001</v>
      </c>
      <c r="AB1150">
        <v>2128</v>
      </c>
      <c r="AC1150" t="s">
        <v>42</v>
      </c>
      <c r="AD1150">
        <v>1</v>
      </c>
    </row>
    <row r="1151" spans="1:30">
      <c r="A1151" t="str">
        <f>CONCATENATE(I1151,J1151)</f>
        <v>GPILEQ</v>
      </c>
      <c r="B1151" s="34">
        <v>46273</v>
      </c>
      <c r="C1151" s="34">
        <v>46273</v>
      </c>
      <c r="D1151" t="s">
        <v>35</v>
      </c>
      <c r="E1151" t="s">
        <v>36</v>
      </c>
      <c r="F1151" t="s">
        <v>37</v>
      </c>
      <c r="G1151">
        <v>13409</v>
      </c>
      <c r="H1151" t="s">
        <v>3507</v>
      </c>
      <c r="I1151" t="s">
        <v>3508</v>
      </c>
      <c r="J1151" t="s">
        <v>161</v>
      </c>
      <c r="O1151" t="s">
        <v>3509</v>
      </c>
      <c r="P1151">
        <v>243.8</v>
      </c>
      <c r="Q1151">
        <v>247.06</v>
      </c>
      <c r="R1151">
        <v>242.5</v>
      </c>
      <c r="S1151">
        <v>245.71</v>
      </c>
      <c r="T1151">
        <v>244.8</v>
      </c>
      <c r="U1151">
        <v>244.05</v>
      </c>
      <c r="W1151">
        <v>245.67</v>
      </c>
      <c r="Z1151">
        <v>1287350</v>
      </c>
      <c r="AA1151">
        <v>315710111.18000001</v>
      </c>
      <c r="AB1151">
        <v>20970</v>
      </c>
      <c r="AC1151" t="s">
        <v>42</v>
      </c>
      <c r="AD1151">
        <v>1</v>
      </c>
    </row>
    <row r="1152" spans="1:30">
      <c r="A1152" t="str">
        <f>CONCATENATE(I1152,J1152)</f>
        <v>GODFRYPHLPEQ</v>
      </c>
      <c r="B1152" s="34">
        <v>46273</v>
      </c>
      <c r="C1152" s="34">
        <v>46273</v>
      </c>
      <c r="D1152" t="s">
        <v>35</v>
      </c>
      <c r="E1152" t="s">
        <v>36</v>
      </c>
      <c r="F1152" t="s">
        <v>37</v>
      </c>
      <c r="G1152">
        <v>1181</v>
      </c>
      <c r="H1152" t="s">
        <v>3510</v>
      </c>
      <c r="I1152" t="s">
        <v>3511</v>
      </c>
      <c r="J1152" t="s">
        <v>161</v>
      </c>
      <c r="O1152" t="s">
        <v>3512</v>
      </c>
      <c r="P1152">
        <v>2024</v>
      </c>
      <c r="Q1152">
        <v>2036.9</v>
      </c>
      <c r="R1152">
        <v>2003</v>
      </c>
      <c r="S1152">
        <v>2010</v>
      </c>
      <c r="T1152">
        <v>2010</v>
      </c>
      <c r="U1152">
        <v>2029</v>
      </c>
      <c r="W1152">
        <v>2010</v>
      </c>
      <c r="Z1152">
        <v>129795</v>
      </c>
      <c r="AA1152">
        <v>261094403.40000001</v>
      </c>
      <c r="AB1152">
        <v>12311</v>
      </c>
      <c r="AC1152" t="s">
        <v>42</v>
      </c>
      <c r="AD1152">
        <v>1</v>
      </c>
    </row>
    <row r="1153" spans="1:30">
      <c r="A1153" t="str">
        <f>CONCATENATE(I1153,J1153)</f>
        <v>GODREJAGROEQ</v>
      </c>
      <c r="B1153" s="34">
        <v>46273</v>
      </c>
      <c r="C1153" s="34">
        <v>46273</v>
      </c>
      <c r="D1153" t="s">
        <v>35</v>
      </c>
      <c r="E1153" t="s">
        <v>36</v>
      </c>
      <c r="F1153" t="s">
        <v>37</v>
      </c>
      <c r="G1153">
        <v>144</v>
      </c>
      <c r="H1153" t="s">
        <v>3513</v>
      </c>
      <c r="I1153" t="s">
        <v>3514</v>
      </c>
      <c r="J1153" t="s">
        <v>161</v>
      </c>
      <c r="O1153" t="s">
        <v>3515</v>
      </c>
      <c r="P1153">
        <v>665.5</v>
      </c>
      <c r="Q1153">
        <v>675</v>
      </c>
      <c r="R1153">
        <v>655.35</v>
      </c>
      <c r="S1153">
        <v>673.6</v>
      </c>
      <c r="T1153">
        <v>675</v>
      </c>
      <c r="U1153">
        <v>665.5</v>
      </c>
      <c r="W1153">
        <v>673.59</v>
      </c>
      <c r="Z1153">
        <v>422780</v>
      </c>
      <c r="AA1153">
        <v>282054662.60000002</v>
      </c>
      <c r="AB1153">
        <v>18109</v>
      </c>
      <c r="AC1153" t="s">
        <v>42</v>
      </c>
      <c r="AD1153">
        <v>1</v>
      </c>
    </row>
    <row r="1154" spans="1:30">
      <c r="A1154" t="str">
        <f>CONCATENATE(I1154,J1154)</f>
        <v>GODREJCPEQ</v>
      </c>
      <c r="B1154" s="34">
        <v>46273</v>
      </c>
      <c r="C1154" s="34">
        <v>46273</v>
      </c>
      <c r="D1154" t="s">
        <v>35</v>
      </c>
      <c r="E1154" t="s">
        <v>36</v>
      </c>
      <c r="F1154" t="s">
        <v>37</v>
      </c>
      <c r="G1154">
        <v>10099</v>
      </c>
      <c r="H1154" t="s">
        <v>3516</v>
      </c>
      <c r="I1154" t="s">
        <v>3517</v>
      </c>
      <c r="J1154" t="s">
        <v>161</v>
      </c>
      <c r="O1154" t="s">
        <v>3518</v>
      </c>
      <c r="P1154">
        <v>866.5</v>
      </c>
      <c r="Q1154">
        <v>870.95</v>
      </c>
      <c r="R1154">
        <v>855.15</v>
      </c>
      <c r="S1154">
        <v>865</v>
      </c>
      <c r="T1154">
        <v>865</v>
      </c>
      <c r="U1154">
        <v>861.9</v>
      </c>
      <c r="W1154">
        <v>865.01</v>
      </c>
      <c r="Z1154">
        <v>1437045</v>
      </c>
      <c r="AA1154">
        <v>1243763592.0999999</v>
      </c>
      <c r="AB1154">
        <v>46368</v>
      </c>
      <c r="AC1154" t="s">
        <v>42</v>
      </c>
      <c r="AD1154">
        <v>1</v>
      </c>
    </row>
    <row r="1155" spans="1:30">
      <c r="A1155" t="str">
        <f>CONCATENATE(I1155,J1155)</f>
        <v>GODREJINDEQ</v>
      </c>
      <c r="B1155" s="34">
        <v>46273</v>
      </c>
      <c r="C1155" s="34">
        <v>46273</v>
      </c>
      <c r="D1155" t="s">
        <v>35</v>
      </c>
      <c r="E1155" t="s">
        <v>36</v>
      </c>
      <c r="F1155" t="s">
        <v>37</v>
      </c>
      <c r="G1155">
        <v>10925</v>
      </c>
      <c r="H1155" t="s">
        <v>3519</v>
      </c>
      <c r="I1155" t="s">
        <v>3520</v>
      </c>
      <c r="J1155" t="s">
        <v>161</v>
      </c>
      <c r="O1155" t="s">
        <v>3521</v>
      </c>
      <c r="P1155">
        <v>1152</v>
      </c>
      <c r="Q1155">
        <v>1155</v>
      </c>
      <c r="R1155">
        <v>1130.2</v>
      </c>
      <c r="S1155">
        <v>1144</v>
      </c>
      <c r="T1155">
        <v>1140.0999999999999</v>
      </c>
      <c r="U1155">
        <v>1159.8</v>
      </c>
      <c r="W1155">
        <v>1144</v>
      </c>
      <c r="Z1155">
        <v>63806</v>
      </c>
      <c r="AA1155">
        <v>72830533</v>
      </c>
      <c r="AB1155">
        <v>9521</v>
      </c>
      <c r="AC1155" t="s">
        <v>42</v>
      </c>
      <c r="AD1155">
        <v>1</v>
      </c>
    </row>
    <row r="1156" spans="1:30">
      <c r="A1156" t="str">
        <f>CONCATENATE(I1156,J1156)</f>
        <v>GODREJPROPEQ</v>
      </c>
      <c r="B1156" s="34">
        <v>46273</v>
      </c>
      <c r="C1156" s="34">
        <v>46273</v>
      </c>
      <c r="D1156" t="s">
        <v>35</v>
      </c>
      <c r="E1156" t="s">
        <v>36</v>
      </c>
      <c r="F1156" t="s">
        <v>37</v>
      </c>
      <c r="G1156">
        <v>17875</v>
      </c>
      <c r="H1156" t="s">
        <v>3522</v>
      </c>
      <c r="I1156" t="s">
        <v>3523</v>
      </c>
      <c r="J1156" t="s">
        <v>161</v>
      </c>
      <c r="O1156" t="s">
        <v>3524</v>
      </c>
      <c r="P1156">
        <v>1920</v>
      </c>
      <c r="Q1156">
        <v>1926.3</v>
      </c>
      <c r="R1156">
        <v>1885.1</v>
      </c>
      <c r="S1156">
        <v>1906.6</v>
      </c>
      <c r="T1156">
        <v>1906.6</v>
      </c>
      <c r="U1156">
        <v>1922.2</v>
      </c>
      <c r="W1156">
        <v>1906.57</v>
      </c>
      <c r="Z1156">
        <v>507608</v>
      </c>
      <c r="AA1156">
        <v>967444514.5</v>
      </c>
      <c r="AB1156">
        <v>29442</v>
      </c>
      <c r="AC1156" t="s">
        <v>42</v>
      </c>
      <c r="AD1156">
        <v>1</v>
      </c>
    </row>
    <row r="1157" spans="1:30">
      <c r="A1157" t="str">
        <f>CONCATENATE(I1157,J1157)</f>
        <v>620GS2029GS</v>
      </c>
      <c r="B1157" s="34">
        <v>46273</v>
      </c>
      <c r="C1157" s="34">
        <v>46273</v>
      </c>
      <c r="D1157" t="s">
        <v>35</v>
      </c>
      <c r="E1157" t="s">
        <v>36</v>
      </c>
      <c r="F1157" t="s">
        <v>37</v>
      </c>
      <c r="G1157">
        <v>765280</v>
      </c>
      <c r="H1157" t="s">
        <v>3525</v>
      </c>
      <c r="I1157" t="s">
        <v>3526</v>
      </c>
      <c r="J1157" t="s">
        <v>3527</v>
      </c>
      <c r="O1157" t="s">
        <v>3528</v>
      </c>
      <c r="P1157">
        <v>98.8</v>
      </c>
      <c r="Q1157">
        <v>99</v>
      </c>
      <c r="R1157">
        <v>98.56</v>
      </c>
      <c r="S1157">
        <v>99</v>
      </c>
      <c r="T1157">
        <v>99</v>
      </c>
      <c r="U1157">
        <v>100.2</v>
      </c>
      <c r="W1157">
        <v>99</v>
      </c>
      <c r="Z1157">
        <v>300</v>
      </c>
      <c r="AA1157">
        <v>29636</v>
      </c>
      <c r="AB1157">
        <v>4</v>
      </c>
      <c r="AC1157" t="s">
        <v>42</v>
      </c>
      <c r="AD1157">
        <v>1</v>
      </c>
    </row>
    <row r="1158" spans="1:30">
      <c r="A1158" t="str">
        <f>CONCATENATE(I1158,J1158)</f>
        <v>657GS2033AGS</v>
      </c>
      <c r="B1158" s="34">
        <v>46273</v>
      </c>
      <c r="C1158" s="34">
        <v>46273</v>
      </c>
      <c r="D1158" t="s">
        <v>35</v>
      </c>
      <c r="E1158" t="s">
        <v>36</v>
      </c>
      <c r="F1158" t="s">
        <v>37</v>
      </c>
      <c r="G1158">
        <v>765281</v>
      </c>
      <c r="H1158" t="s">
        <v>3529</v>
      </c>
      <c r="I1158" t="s">
        <v>3530</v>
      </c>
      <c r="J1158" t="s">
        <v>3527</v>
      </c>
      <c r="O1158" t="s">
        <v>3531</v>
      </c>
      <c r="P1158">
        <v>99.75</v>
      </c>
      <c r="Q1158">
        <v>99.75</v>
      </c>
      <c r="R1158">
        <v>99.75</v>
      </c>
      <c r="S1158">
        <v>99.75</v>
      </c>
      <c r="T1158">
        <v>99.75</v>
      </c>
      <c r="U1158">
        <v>97.81</v>
      </c>
      <c r="W1158">
        <v>99.75</v>
      </c>
      <c r="Z1158">
        <v>22</v>
      </c>
      <c r="AA1158">
        <v>2194.5</v>
      </c>
      <c r="AB1158">
        <v>1</v>
      </c>
      <c r="AC1158" t="s">
        <v>42</v>
      </c>
      <c r="AD1158">
        <v>1</v>
      </c>
    </row>
    <row r="1159" spans="1:30">
      <c r="A1159" t="str">
        <f>CONCATENATE(I1159,J1159)</f>
        <v>679GS2034AGS</v>
      </c>
      <c r="B1159" s="34">
        <v>46273</v>
      </c>
      <c r="C1159" s="34">
        <v>46273</v>
      </c>
      <c r="D1159" t="s">
        <v>35</v>
      </c>
      <c r="E1159" t="s">
        <v>36</v>
      </c>
      <c r="F1159" t="s">
        <v>37</v>
      </c>
      <c r="G1159">
        <v>27273</v>
      </c>
      <c r="H1159" t="s">
        <v>3532</v>
      </c>
      <c r="I1159" t="s">
        <v>3533</v>
      </c>
      <c r="J1159" t="s">
        <v>3527</v>
      </c>
      <c r="O1159" t="s">
        <v>3534</v>
      </c>
      <c r="P1159">
        <v>96.1</v>
      </c>
      <c r="Q1159">
        <v>101</v>
      </c>
      <c r="R1159">
        <v>96.1</v>
      </c>
      <c r="S1159">
        <v>101</v>
      </c>
      <c r="T1159">
        <v>101</v>
      </c>
      <c r="U1159">
        <v>99.93</v>
      </c>
      <c r="W1159">
        <v>101</v>
      </c>
      <c r="Z1159">
        <v>101</v>
      </c>
      <c r="AA1159">
        <v>9711</v>
      </c>
      <c r="AB1159">
        <v>2</v>
      </c>
      <c r="AC1159" t="s">
        <v>42</v>
      </c>
      <c r="AD1159">
        <v>1</v>
      </c>
    </row>
    <row r="1160" spans="1:30">
      <c r="A1160" t="str">
        <f>CONCATENATE(I1160,J1160)</f>
        <v>698GR2054GS</v>
      </c>
      <c r="B1160" s="34">
        <v>46273</v>
      </c>
      <c r="C1160" s="34">
        <v>46273</v>
      </c>
      <c r="D1160" t="s">
        <v>35</v>
      </c>
      <c r="E1160" t="s">
        <v>36</v>
      </c>
      <c r="F1160" t="s">
        <v>37</v>
      </c>
      <c r="G1160">
        <v>27819</v>
      </c>
      <c r="H1160" t="s">
        <v>3535</v>
      </c>
      <c r="I1160" t="s">
        <v>3536</v>
      </c>
      <c r="J1160" t="s">
        <v>3527</v>
      </c>
      <c r="O1160" t="s">
        <v>3537</v>
      </c>
      <c r="P1160">
        <v>94.5</v>
      </c>
      <c r="Q1160">
        <v>94.5</v>
      </c>
      <c r="R1160">
        <v>94.5</v>
      </c>
      <c r="S1160">
        <v>94.5</v>
      </c>
      <c r="T1160">
        <v>94.5</v>
      </c>
      <c r="U1160">
        <v>94.5</v>
      </c>
      <c r="W1160">
        <v>94.5</v>
      </c>
      <c r="Z1160">
        <v>2</v>
      </c>
      <c r="AA1160">
        <v>189</v>
      </c>
      <c r="AB1160">
        <v>1</v>
      </c>
      <c r="AC1160" t="s">
        <v>42</v>
      </c>
      <c r="AD1160">
        <v>1</v>
      </c>
    </row>
    <row r="1161" spans="1:30">
      <c r="A1161" t="str">
        <f>CONCATENATE(I1161,J1161)</f>
        <v>709GS2074GS</v>
      </c>
      <c r="B1161" s="34">
        <v>46273</v>
      </c>
      <c r="C1161" s="34">
        <v>46273</v>
      </c>
      <c r="D1161" t="s">
        <v>35</v>
      </c>
      <c r="E1161" t="s">
        <v>36</v>
      </c>
      <c r="F1161" t="s">
        <v>37</v>
      </c>
      <c r="G1161">
        <v>27170</v>
      </c>
      <c r="H1161" t="s">
        <v>3538</v>
      </c>
      <c r="I1161" t="s">
        <v>3539</v>
      </c>
      <c r="J1161" t="s">
        <v>3527</v>
      </c>
      <c r="O1161" t="s">
        <v>3540</v>
      </c>
      <c r="P1161">
        <v>95.8</v>
      </c>
      <c r="Q1161">
        <v>95.8</v>
      </c>
      <c r="R1161">
        <v>95.2</v>
      </c>
      <c r="S1161">
        <v>95.5</v>
      </c>
      <c r="T1161">
        <v>95.5</v>
      </c>
      <c r="U1161">
        <v>95.5</v>
      </c>
      <c r="W1161">
        <v>95.5</v>
      </c>
      <c r="Z1161">
        <v>1111</v>
      </c>
      <c r="AA1161">
        <v>105947.63</v>
      </c>
      <c r="AB1161">
        <v>13</v>
      </c>
      <c r="AC1161" t="s">
        <v>42</v>
      </c>
      <c r="AD1161">
        <v>1</v>
      </c>
    </row>
    <row r="1162" spans="1:30">
      <c r="A1162" t="str">
        <f>CONCATENATE(I1162,J1162)</f>
        <v>574GS2026GS</v>
      </c>
      <c r="B1162" s="34">
        <v>46273</v>
      </c>
      <c r="C1162" s="34">
        <v>46273</v>
      </c>
      <c r="D1162" t="s">
        <v>35</v>
      </c>
      <c r="E1162" t="s">
        <v>36</v>
      </c>
      <c r="F1162" t="s">
        <v>37</v>
      </c>
      <c r="G1162">
        <v>6695</v>
      </c>
      <c r="H1162" t="s">
        <v>3541</v>
      </c>
      <c r="I1162" t="s">
        <v>3542</v>
      </c>
      <c r="J1162" t="s">
        <v>3527</v>
      </c>
      <c r="O1162" t="s">
        <v>3543</v>
      </c>
      <c r="P1162">
        <v>101.95</v>
      </c>
      <c r="Q1162">
        <v>101.95</v>
      </c>
      <c r="R1162">
        <v>101.95</v>
      </c>
      <c r="S1162">
        <v>101.95</v>
      </c>
      <c r="T1162">
        <v>101.95</v>
      </c>
      <c r="U1162">
        <v>101.21</v>
      </c>
      <c r="W1162">
        <v>101.95</v>
      </c>
      <c r="Z1162">
        <v>61</v>
      </c>
      <c r="AA1162">
        <v>6218.95</v>
      </c>
      <c r="AB1162">
        <v>2</v>
      </c>
      <c r="AC1162" t="s">
        <v>42</v>
      </c>
      <c r="AD1162">
        <v>1</v>
      </c>
    </row>
    <row r="1163" spans="1:30">
      <c r="A1163" t="str">
        <f>CONCATENATE(I1163,J1163)</f>
        <v>585GS2030GS</v>
      </c>
      <c r="B1163" s="34">
        <v>46273</v>
      </c>
      <c r="C1163" s="34">
        <v>46273</v>
      </c>
      <c r="D1163" t="s">
        <v>35</v>
      </c>
      <c r="E1163" t="s">
        <v>36</v>
      </c>
      <c r="F1163" t="s">
        <v>37</v>
      </c>
      <c r="G1163">
        <v>1341</v>
      </c>
      <c r="H1163" t="s">
        <v>3544</v>
      </c>
      <c r="I1163" t="s">
        <v>3545</v>
      </c>
      <c r="J1163" t="s">
        <v>3527</v>
      </c>
      <c r="O1163" t="s">
        <v>3546</v>
      </c>
      <c r="P1163">
        <v>97.55</v>
      </c>
      <c r="Q1163">
        <v>97.55</v>
      </c>
      <c r="R1163">
        <v>97.55</v>
      </c>
      <c r="S1163">
        <v>97.55</v>
      </c>
      <c r="T1163">
        <v>97.55</v>
      </c>
      <c r="U1163">
        <v>98.5</v>
      </c>
      <c r="W1163">
        <v>97.55</v>
      </c>
      <c r="Z1163">
        <v>11</v>
      </c>
      <c r="AA1163">
        <v>1073.05</v>
      </c>
      <c r="AB1163">
        <v>2</v>
      </c>
      <c r="AC1163" t="s">
        <v>42</v>
      </c>
      <c r="AD1163">
        <v>1</v>
      </c>
    </row>
    <row r="1164" spans="1:30">
      <c r="A1164" t="str">
        <f>CONCATENATE(I1164,J1164)</f>
        <v>603GS2029GS</v>
      </c>
      <c r="B1164" s="34">
        <v>46273</v>
      </c>
      <c r="C1164" s="34">
        <v>46273</v>
      </c>
      <c r="D1164" t="s">
        <v>35</v>
      </c>
      <c r="E1164" t="s">
        <v>36</v>
      </c>
      <c r="F1164" t="s">
        <v>37</v>
      </c>
      <c r="G1164">
        <v>760622</v>
      </c>
      <c r="H1164" t="s">
        <v>3547</v>
      </c>
      <c r="I1164" t="s">
        <v>3548</v>
      </c>
      <c r="J1164" t="s">
        <v>3527</v>
      </c>
      <c r="O1164" t="s">
        <v>3549</v>
      </c>
      <c r="P1164">
        <v>100.1</v>
      </c>
      <c r="Q1164">
        <v>100.1</v>
      </c>
      <c r="R1164">
        <v>100.1</v>
      </c>
      <c r="S1164">
        <v>100.1</v>
      </c>
      <c r="T1164">
        <v>100.1</v>
      </c>
      <c r="U1164">
        <v>100.25</v>
      </c>
      <c r="W1164">
        <v>100.1</v>
      </c>
      <c r="Z1164">
        <v>4995</v>
      </c>
      <c r="AA1164">
        <v>499999.5</v>
      </c>
      <c r="AB1164">
        <v>2</v>
      </c>
      <c r="AC1164" t="s">
        <v>42</v>
      </c>
      <c r="AD1164">
        <v>1</v>
      </c>
    </row>
    <row r="1165" spans="1:30">
      <c r="A1165" t="str">
        <f>CONCATENATE(I1165,J1165)</f>
        <v>610GS2031GS</v>
      </c>
      <c r="B1165" s="34">
        <v>46273</v>
      </c>
      <c r="C1165" s="34">
        <v>46273</v>
      </c>
      <c r="D1165" t="s">
        <v>35</v>
      </c>
      <c r="E1165" t="s">
        <v>36</v>
      </c>
      <c r="F1165" t="s">
        <v>37</v>
      </c>
      <c r="G1165">
        <v>5012</v>
      </c>
      <c r="H1165" t="s">
        <v>3550</v>
      </c>
      <c r="I1165" t="s">
        <v>3551</v>
      </c>
      <c r="J1165" t="s">
        <v>3527</v>
      </c>
      <c r="O1165" t="s">
        <v>3552</v>
      </c>
      <c r="P1165">
        <v>96.86</v>
      </c>
      <c r="Q1165">
        <v>99.99</v>
      </c>
      <c r="R1165">
        <v>96.86</v>
      </c>
      <c r="S1165">
        <v>99.99</v>
      </c>
      <c r="T1165">
        <v>99.99</v>
      </c>
      <c r="U1165">
        <v>99.99</v>
      </c>
      <c r="W1165">
        <v>99.99</v>
      </c>
      <c r="Z1165">
        <v>565</v>
      </c>
      <c r="AA1165">
        <v>55901.8</v>
      </c>
      <c r="AB1165">
        <v>4</v>
      </c>
      <c r="AC1165" t="s">
        <v>42</v>
      </c>
      <c r="AD1165">
        <v>1</v>
      </c>
    </row>
    <row r="1166" spans="1:30">
      <c r="A1166" t="str">
        <f>CONCATENATE(I1166,J1166)</f>
        <v>633GS2035GS</v>
      </c>
      <c r="B1166" s="34">
        <v>46273</v>
      </c>
      <c r="C1166" s="34">
        <v>46273</v>
      </c>
      <c r="D1166" t="s">
        <v>35</v>
      </c>
      <c r="E1166" t="s">
        <v>36</v>
      </c>
      <c r="F1166" t="s">
        <v>37</v>
      </c>
      <c r="G1166">
        <v>756890</v>
      </c>
      <c r="H1166" t="s">
        <v>3553</v>
      </c>
      <c r="I1166" t="s">
        <v>3554</v>
      </c>
      <c r="J1166" t="s">
        <v>3527</v>
      </c>
      <c r="O1166" t="s">
        <v>3555</v>
      </c>
      <c r="P1166">
        <v>99.3</v>
      </c>
      <c r="Q1166">
        <v>99.3</v>
      </c>
      <c r="R1166">
        <v>97.38</v>
      </c>
      <c r="S1166">
        <v>99.3</v>
      </c>
      <c r="T1166">
        <v>99.3</v>
      </c>
      <c r="U1166">
        <v>99.3</v>
      </c>
      <c r="W1166">
        <v>99.3</v>
      </c>
      <c r="Z1166">
        <v>1112</v>
      </c>
      <c r="AA1166">
        <v>110229.6</v>
      </c>
      <c r="AB1166">
        <v>5</v>
      </c>
      <c r="AC1166" t="s">
        <v>42</v>
      </c>
      <c r="AD1166">
        <v>1</v>
      </c>
    </row>
    <row r="1167" spans="1:30">
      <c r="A1167" t="str">
        <f>CONCATENATE(I1167,J1167)</f>
        <v>636GS2031GS</v>
      </c>
      <c r="B1167" s="34">
        <v>46273</v>
      </c>
      <c r="C1167" s="34">
        <v>46273</v>
      </c>
      <c r="D1167" t="s">
        <v>35</v>
      </c>
      <c r="E1167" t="s">
        <v>36</v>
      </c>
      <c r="F1167" t="s">
        <v>37</v>
      </c>
      <c r="G1167">
        <v>761020</v>
      </c>
      <c r="H1167" t="s">
        <v>3556</v>
      </c>
      <c r="I1167" t="s">
        <v>3557</v>
      </c>
      <c r="J1167" t="s">
        <v>3527</v>
      </c>
      <c r="O1167" t="s">
        <v>3558</v>
      </c>
      <c r="P1167">
        <v>98.55</v>
      </c>
      <c r="Q1167">
        <v>99.5</v>
      </c>
      <c r="R1167">
        <v>98.55</v>
      </c>
      <c r="S1167">
        <v>99.5</v>
      </c>
      <c r="T1167">
        <v>99.5</v>
      </c>
      <c r="U1167">
        <v>100.49</v>
      </c>
      <c r="W1167">
        <v>99.5</v>
      </c>
      <c r="Z1167">
        <v>2500</v>
      </c>
      <c r="AA1167">
        <v>248561</v>
      </c>
      <c r="AB1167">
        <v>8</v>
      </c>
      <c r="AC1167" t="s">
        <v>42</v>
      </c>
      <c r="AD1167">
        <v>1</v>
      </c>
    </row>
    <row r="1168" spans="1:30">
      <c r="A1168" t="str">
        <f>CONCATENATE(I1168,J1168)</f>
        <v>648GS2035GS</v>
      </c>
      <c r="B1168" s="34">
        <v>46273</v>
      </c>
      <c r="C1168" s="34">
        <v>46273</v>
      </c>
      <c r="D1168" t="s">
        <v>35</v>
      </c>
      <c r="E1168" t="s">
        <v>36</v>
      </c>
      <c r="F1168" t="s">
        <v>37</v>
      </c>
      <c r="G1168">
        <v>759396</v>
      </c>
      <c r="H1168" t="s">
        <v>3559</v>
      </c>
      <c r="I1168" t="s">
        <v>3560</v>
      </c>
      <c r="J1168" t="s">
        <v>3527</v>
      </c>
      <c r="O1168" t="s">
        <v>3561</v>
      </c>
      <c r="P1168">
        <v>98.6</v>
      </c>
      <c r="Q1168">
        <v>98.6</v>
      </c>
      <c r="R1168">
        <v>98.6</v>
      </c>
      <c r="S1168">
        <v>98.6</v>
      </c>
      <c r="T1168">
        <v>98.6</v>
      </c>
      <c r="U1168">
        <v>100</v>
      </c>
      <c r="W1168">
        <v>98.6</v>
      </c>
      <c r="Z1168">
        <v>100</v>
      </c>
      <c r="AA1168">
        <v>9860</v>
      </c>
      <c r="AB1168">
        <v>1</v>
      </c>
      <c r="AC1168" t="s">
        <v>42</v>
      </c>
      <c r="AD1168">
        <v>1</v>
      </c>
    </row>
    <row r="1169" spans="1:30">
      <c r="A1169" t="str">
        <f>CONCATENATE(I1169,J1169)</f>
        <v>654GS2032GS</v>
      </c>
      <c r="B1169" s="34">
        <v>46273</v>
      </c>
      <c r="C1169" s="34">
        <v>46273</v>
      </c>
      <c r="D1169" t="s">
        <v>35</v>
      </c>
      <c r="E1169" t="s">
        <v>36</v>
      </c>
      <c r="F1169" t="s">
        <v>37</v>
      </c>
      <c r="G1169">
        <v>7843</v>
      </c>
      <c r="H1169" t="s">
        <v>3562</v>
      </c>
      <c r="I1169" t="s">
        <v>3563</v>
      </c>
      <c r="J1169" t="s">
        <v>3527</v>
      </c>
      <c r="O1169" t="s">
        <v>3564</v>
      </c>
      <c r="P1169">
        <v>100.3</v>
      </c>
      <c r="Q1169">
        <v>100.3</v>
      </c>
      <c r="R1169">
        <v>100.3</v>
      </c>
      <c r="S1169">
        <v>100.3</v>
      </c>
      <c r="T1169">
        <v>100.3</v>
      </c>
      <c r="U1169">
        <v>100.35</v>
      </c>
      <c r="W1169">
        <v>100.3</v>
      </c>
      <c r="Z1169">
        <v>308</v>
      </c>
      <c r="AA1169">
        <v>30892.400000000001</v>
      </c>
      <c r="AB1169">
        <v>1</v>
      </c>
      <c r="AC1169" t="s">
        <v>42</v>
      </c>
      <c r="AD1169">
        <v>1</v>
      </c>
    </row>
    <row r="1170" spans="1:30">
      <c r="A1170" t="str">
        <f>CONCATENATE(I1170,J1170)</f>
        <v>667GS2035GS</v>
      </c>
      <c r="B1170" s="34">
        <v>46273</v>
      </c>
      <c r="C1170" s="34">
        <v>46273</v>
      </c>
      <c r="D1170" t="s">
        <v>35</v>
      </c>
      <c r="E1170" t="s">
        <v>36</v>
      </c>
      <c r="F1170" t="s">
        <v>37</v>
      </c>
      <c r="G1170">
        <v>5577</v>
      </c>
      <c r="H1170" t="s">
        <v>3565</v>
      </c>
      <c r="I1170" t="s">
        <v>3566</v>
      </c>
      <c r="J1170" t="s">
        <v>3527</v>
      </c>
      <c r="O1170" t="s">
        <v>3567</v>
      </c>
      <c r="P1170">
        <v>100</v>
      </c>
      <c r="Q1170">
        <v>100</v>
      </c>
      <c r="R1170">
        <v>100</v>
      </c>
      <c r="S1170">
        <v>100</v>
      </c>
      <c r="T1170">
        <v>100</v>
      </c>
      <c r="U1170">
        <v>98.81</v>
      </c>
      <c r="W1170">
        <v>100</v>
      </c>
      <c r="Z1170">
        <v>100</v>
      </c>
      <c r="AA1170">
        <v>10000</v>
      </c>
      <c r="AB1170">
        <v>2</v>
      </c>
      <c r="AC1170" t="s">
        <v>42</v>
      </c>
      <c r="AD1170">
        <v>1</v>
      </c>
    </row>
    <row r="1171" spans="1:30">
      <c r="A1171" t="str">
        <f>CONCATENATE(I1171,J1171)</f>
        <v>667GS2050GS</v>
      </c>
      <c r="B1171" s="34">
        <v>46273</v>
      </c>
      <c r="C1171" s="34">
        <v>46273</v>
      </c>
      <c r="D1171" t="s">
        <v>35</v>
      </c>
      <c r="E1171" t="s">
        <v>36</v>
      </c>
      <c r="F1171" t="s">
        <v>37</v>
      </c>
      <c r="G1171">
        <v>956</v>
      </c>
      <c r="H1171" t="s">
        <v>3568</v>
      </c>
      <c r="I1171" t="s">
        <v>3569</v>
      </c>
      <c r="J1171" t="s">
        <v>3527</v>
      </c>
      <c r="O1171" t="s">
        <v>3570</v>
      </c>
      <c r="P1171">
        <v>92.6</v>
      </c>
      <c r="Q1171">
        <v>92.6</v>
      </c>
      <c r="R1171">
        <v>92.6</v>
      </c>
      <c r="S1171">
        <v>92.6</v>
      </c>
      <c r="T1171">
        <v>92.6</v>
      </c>
      <c r="U1171">
        <v>93.2</v>
      </c>
      <c r="W1171">
        <v>92.6</v>
      </c>
      <c r="Z1171">
        <v>502</v>
      </c>
      <c r="AA1171">
        <v>46485.2</v>
      </c>
      <c r="AB1171">
        <v>2</v>
      </c>
      <c r="AC1171" t="s">
        <v>42</v>
      </c>
      <c r="AD1171">
        <v>1</v>
      </c>
    </row>
    <row r="1172" spans="1:30">
      <c r="A1172" t="str">
        <f>CONCATENATE(I1172,J1172)</f>
        <v>668GS2033GS</v>
      </c>
      <c r="B1172" s="34">
        <v>46273</v>
      </c>
      <c r="C1172" s="34">
        <v>46273</v>
      </c>
      <c r="D1172" t="s">
        <v>35</v>
      </c>
      <c r="E1172" t="s">
        <v>36</v>
      </c>
      <c r="F1172" t="s">
        <v>37</v>
      </c>
      <c r="G1172">
        <v>760623</v>
      </c>
      <c r="H1172" t="s">
        <v>3571</v>
      </c>
      <c r="I1172" t="s">
        <v>3572</v>
      </c>
      <c r="J1172" t="s">
        <v>3527</v>
      </c>
      <c r="O1172" t="s">
        <v>3573</v>
      </c>
      <c r="P1172">
        <v>99</v>
      </c>
      <c r="Q1172">
        <v>99</v>
      </c>
      <c r="R1172">
        <v>99</v>
      </c>
      <c r="S1172">
        <v>99</v>
      </c>
      <c r="T1172">
        <v>99</v>
      </c>
      <c r="U1172">
        <v>99</v>
      </c>
      <c r="W1172">
        <v>99</v>
      </c>
      <c r="Z1172">
        <v>100</v>
      </c>
      <c r="AA1172">
        <v>9900</v>
      </c>
      <c r="AB1172">
        <v>1</v>
      </c>
      <c r="AC1172" t="s">
        <v>42</v>
      </c>
      <c r="AD1172">
        <v>1</v>
      </c>
    </row>
    <row r="1173" spans="1:30">
      <c r="A1173" t="str">
        <f>CONCATENATE(I1173,J1173)</f>
        <v>668GS2040GS</v>
      </c>
      <c r="B1173" s="34">
        <v>46273</v>
      </c>
      <c r="C1173" s="34">
        <v>46273</v>
      </c>
      <c r="D1173" t="s">
        <v>35</v>
      </c>
      <c r="E1173" t="s">
        <v>36</v>
      </c>
      <c r="F1173" t="s">
        <v>37</v>
      </c>
      <c r="G1173">
        <v>757847</v>
      </c>
      <c r="H1173" t="s">
        <v>3574</v>
      </c>
      <c r="I1173" t="s">
        <v>3575</v>
      </c>
      <c r="J1173" t="s">
        <v>3527</v>
      </c>
      <c r="O1173" t="s">
        <v>3576</v>
      </c>
      <c r="P1173">
        <v>97.75</v>
      </c>
      <c r="Q1173">
        <v>97.75</v>
      </c>
      <c r="R1173">
        <v>97.7</v>
      </c>
      <c r="S1173">
        <v>97.7</v>
      </c>
      <c r="T1173">
        <v>97.7</v>
      </c>
      <c r="U1173">
        <v>97.8</v>
      </c>
      <c r="W1173">
        <v>97.7</v>
      </c>
      <c r="Z1173">
        <v>200</v>
      </c>
      <c r="AA1173">
        <v>19545</v>
      </c>
      <c r="AB1173">
        <v>2</v>
      </c>
      <c r="AC1173" t="s">
        <v>42</v>
      </c>
      <c r="AD1173">
        <v>1</v>
      </c>
    </row>
    <row r="1174" spans="1:30">
      <c r="A1174" t="str">
        <f>CONCATENATE(I1174,J1174)</f>
        <v>676GS2061GS</v>
      </c>
      <c r="B1174" s="34">
        <v>46273</v>
      </c>
      <c r="C1174" s="34">
        <v>46273</v>
      </c>
      <c r="D1174" t="s">
        <v>35</v>
      </c>
      <c r="E1174" t="s">
        <v>36</v>
      </c>
      <c r="F1174" t="s">
        <v>37</v>
      </c>
      <c r="G1174">
        <v>2317</v>
      </c>
      <c r="H1174" t="s">
        <v>3577</v>
      </c>
      <c r="I1174" t="s">
        <v>3578</v>
      </c>
      <c r="J1174" t="s">
        <v>3527</v>
      </c>
      <c r="O1174" t="s">
        <v>3579</v>
      </c>
      <c r="P1174">
        <v>91</v>
      </c>
      <c r="Q1174">
        <v>91</v>
      </c>
      <c r="R1174">
        <v>90.25</v>
      </c>
      <c r="S1174">
        <v>90.35</v>
      </c>
      <c r="T1174">
        <v>90.35</v>
      </c>
      <c r="U1174">
        <v>90.45</v>
      </c>
      <c r="W1174">
        <v>90.11</v>
      </c>
      <c r="Z1174">
        <v>57315</v>
      </c>
      <c r="AA1174">
        <v>5175149.13</v>
      </c>
      <c r="AB1174">
        <v>83</v>
      </c>
      <c r="AC1174" t="s">
        <v>42</v>
      </c>
      <c r="AD1174">
        <v>1</v>
      </c>
    </row>
    <row r="1175" spans="1:30">
      <c r="A1175" t="str">
        <f>CONCATENATE(I1175,J1175)</f>
        <v>679GS2034GS</v>
      </c>
      <c r="B1175" s="34">
        <v>46273</v>
      </c>
      <c r="C1175" s="34">
        <v>46273</v>
      </c>
      <c r="D1175" t="s">
        <v>35</v>
      </c>
      <c r="E1175" t="s">
        <v>36</v>
      </c>
      <c r="F1175" t="s">
        <v>37</v>
      </c>
      <c r="G1175">
        <v>25736</v>
      </c>
      <c r="H1175" t="s">
        <v>3580</v>
      </c>
      <c r="I1175" t="s">
        <v>3581</v>
      </c>
      <c r="J1175" t="s">
        <v>3527</v>
      </c>
      <c r="O1175" t="s">
        <v>3582</v>
      </c>
      <c r="P1175">
        <v>102.5</v>
      </c>
      <c r="Q1175">
        <v>102.5</v>
      </c>
      <c r="R1175">
        <v>102.5</v>
      </c>
      <c r="S1175">
        <v>102.5</v>
      </c>
      <c r="T1175">
        <v>102.5</v>
      </c>
      <c r="U1175">
        <v>100.41</v>
      </c>
      <c r="W1175">
        <v>102.5</v>
      </c>
      <c r="Z1175">
        <v>3000</v>
      </c>
      <c r="AA1175">
        <v>307500</v>
      </c>
      <c r="AB1175">
        <v>3</v>
      </c>
      <c r="AC1175" t="s">
        <v>42</v>
      </c>
      <c r="AD1175">
        <v>1</v>
      </c>
    </row>
    <row r="1176" spans="1:30">
      <c r="A1176" t="str">
        <f>CONCATENATE(I1176,J1176)</f>
        <v>68GS2060GS</v>
      </c>
      <c r="B1176" s="34">
        <v>46273</v>
      </c>
      <c r="C1176" s="34">
        <v>46273</v>
      </c>
      <c r="D1176" t="s">
        <v>35</v>
      </c>
      <c r="E1176" t="s">
        <v>36</v>
      </c>
      <c r="F1176" t="s">
        <v>37</v>
      </c>
      <c r="G1176">
        <v>22438</v>
      </c>
      <c r="H1176" t="s">
        <v>3583</v>
      </c>
      <c r="I1176" t="s">
        <v>3584</v>
      </c>
      <c r="J1176" t="s">
        <v>3527</v>
      </c>
      <c r="O1176" t="s">
        <v>3585</v>
      </c>
      <c r="P1176">
        <v>91.51</v>
      </c>
      <c r="Q1176">
        <v>91.51</v>
      </c>
      <c r="R1176">
        <v>91.51</v>
      </c>
      <c r="S1176">
        <v>91.51</v>
      </c>
      <c r="T1176">
        <v>91.51</v>
      </c>
      <c r="U1176">
        <v>91</v>
      </c>
      <c r="W1176">
        <v>91.51</v>
      </c>
      <c r="Z1176">
        <v>250</v>
      </c>
      <c r="AA1176">
        <v>22877.5</v>
      </c>
      <c r="AB1176">
        <v>3</v>
      </c>
      <c r="AC1176" t="s">
        <v>42</v>
      </c>
      <c r="AD1176">
        <v>1</v>
      </c>
    </row>
    <row r="1177" spans="1:30">
      <c r="A1177" t="str">
        <f>CONCATENATE(I1177,J1177)</f>
        <v>690GS2065GS</v>
      </c>
      <c r="B1177" s="34">
        <v>46273</v>
      </c>
      <c r="C1177" s="34">
        <v>46273</v>
      </c>
      <c r="D1177" t="s">
        <v>35</v>
      </c>
      <c r="E1177" t="s">
        <v>36</v>
      </c>
      <c r="F1177" t="s">
        <v>37</v>
      </c>
      <c r="G1177">
        <v>756014</v>
      </c>
      <c r="H1177" t="s">
        <v>3586</v>
      </c>
      <c r="I1177" t="s">
        <v>3587</v>
      </c>
      <c r="J1177" t="s">
        <v>3527</v>
      </c>
      <c r="O1177" t="s">
        <v>3588</v>
      </c>
      <c r="P1177">
        <v>94.3</v>
      </c>
      <c r="Q1177">
        <v>94.3</v>
      </c>
      <c r="R1177">
        <v>93.25</v>
      </c>
      <c r="S1177">
        <v>93.25</v>
      </c>
      <c r="T1177">
        <v>93.25</v>
      </c>
      <c r="U1177">
        <v>93.3</v>
      </c>
      <c r="W1177">
        <v>93.25</v>
      </c>
      <c r="Z1177">
        <v>4574</v>
      </c>
      <c r="AA1177">
        <v>426932.75</v>
      </c>
      <c r="AB1177">
        <v>14</v>
      </c>
      <c r="AC1177" t="s">
        <v>42</v>
      </c>
      <c r="AD1177">
        <v>1</v>
      </c>
    </row>
    <row r="1178" spans="1:30">
      <c r="A1178" t="str">
        <f>CONCATENATE(I1178,J1178)</f>
        <v>694GS2036GS</v>
      </c>
      <c r="B1178" s="34">
        <v>46273</v>
      </c>
      <c r="C1178" s="34">
        <v>46273</v>
      </c>
      <c r="D1178" t="s">
        <v>35</v>
      </c>
      <c r="E1178" t="s">
        <v>36</v>
      </c>
      <c r="F1178" t="s">
        <v>37</v>
      </c>
      <c r="G1178">
        <v>763340</v>
      </c>
      <c r="H1178" t="s">
        <v>3589</v>
      </c>
      <c r="I1178" t="s">
        <v>3590</v>
      </c>
      <c r="J1178" t="s">
        <v>3527</v>
      </c>
      <c r="O1178" t="s">
        <v>3591</v>
      </c>
      <c r="P1178">
        <v>102.31</v>
      </c>
      <c r="Q1178">
        <v>103.8</v>
      </c>
      <c r="R1178">
        <v>102.21</v>
      </c>
      <c r="S1178">
        <v>103.1</v>
      </c>
      <c r="T1178">
        <v>103.1</v>
      </c>
      <c r="U1178">
        <v>102.31</v>
      </c>
      <c r="W1178">
        <v>103.1</v>
      </c>
      <c r="Z1178">
        <v>1400</v>
      </c>
      <c r="AA1178">
        <v>144703</v>
      </c>
      <c r="AB1178">
        <v>12</v>
      </c>
      <c r="AC1178" t="s">
        <v>42</v>
      </c>
      <c r="AD1178">
        <v>1</v>
      </c>
    </row>
    <row r="1179" spans="1:30">
      <c r="A1179" t="str">
        <f>CONCATENATE(I1179,J1179)</f>
        <v>695GS2061GS</v>
      </c>
      <c r="B1179" s="34">
        <v>46273</v>
      </c>
      <c r="C1179" s="34">
        <v>46273</v>
      </c>
      <c r="D1179" t="s">
        <v>35</v>
      </c>
      <c r="E1179" t="s">
        <v>36</v>
      </c>
      <c r="F1179" t="s">
        <v>37</v>
      </c>
      <c r="G1179">
        <v>6817</v>
      </c>
      <c r="H1179" t="s">
        <v>3592</v>
      </c>
      <c r="I1179" t="s">
        <v>3593</v>
      </c>
      <c r="J1179" t="s">
        <v>3527</v>
      </c>
      <c r="O1179" t="s">
        <v>3594</v>
      </c>
      <c r="P1179">
        <v>94</v>
      </c>
      <c r="Q1179">
        <v>94</v>
      </c>
      <c r="R1179">
        <v>92.53</v>
      </c>
      <c r="S1179">
        <v>93.89</v>
      </c>
      <c r="T1179">
        <v>93.9</v>
      </c>
      <c r="U1179">
        <v>93.5</v>
      </c>
      <c r="W1179">
        <v>93.89</v>
      </c>
      <c r="Z1179">
        <v>1024</v>
      </c>
      <c r="AA1179">
        <v>94782.49</v>
      </c>
      <c r="AB1179">
        <v>8</v>
      </c>
      <c r="AC1179" t="s">
        <v>42</v>
      </c>
      <c r="AD1179">
        <v>1</v>
      </c>
    </row>
    <row r="1180" spans="1:30">
      <c r="A1180" t="str">
        <f>CONCATENATE(I1180,J1180)</f>
        <v>699GS2051GS</v>
      </c>
      <c r="B1180" s="34">
        <v>46273</v>
      </c>
      <c r="C1180" s="34">
        <v>46273</v>
      </c>
      <c r="D1180" t="s">
        <v>35</v>
      </c>
      <c r="E1180" t="s">
        <v>36</v>
      </c>
      <c r="F1180" t="s">
        <v>37</v>
      </c>
      <c r="G1180">
        <v>6696</v>
      </c>
      <c r="H1180" t="s">
        <v>3595</v>
      </c>
      <c r="I1180" t="s">
        <v>3596</v>
      </c>
      <c r="J1180" t="s">
        <v>3527</v>
      </c>
      <c r="O1180" t="s">
        <v>3597</v>
      </c>
      <c r="P1180">
        <v>96.75</v>
      </c>
      <c r="Q1180">
        <v>96.75</v>
      </c>
      <c r="R1180">
        <v>96.75</v>
      </c>
      <c r="S1180">
        <v>96.75</v>
      </c>
      <c r="T1180">
        <v>96.75</v>
      </c>
      <c r="U1180">
        <v>97.24</v>
      </c>
      <c r="W1180">
        <v>96.75</v>
      </c>
      <c r="Z1180">
        <v>27</v>
      </c>
      <c r="AA1180">
        <v>2612.25</v>
      </c>
      <c r="AB1180">
        <v>1</v>
      </c>
      <c r="AC1180" t="s">
        <v>42</v>
      </c>
      <c r="AD1180">
        <v>1</v>
      </c>
    </row>
    <row r="1181" spans="1:30">
      <c r="A1181" t="str">
        <f>CONCATENATE(I1181,J1181)</f>
        <v>702GS2027GS</v>
      </c>
      <c r="B1181" s="34">
        <v>46273</v>
      </c>
      <c r="C1181" s="34">
        <v>46273</v>
      </c>
      <c r="D1181" t="s">
        <v>35</v>
      </c>
      <c r="E1181" t="s">
        <v>36</v>
      </c>
      <c r="F1181" t="s">
        <v>37</v>
      </c>
      <c r="G1181">
        <v>23854</v>
      </c>
      <c r="H1181" t="s">
        <v>3598</v>
      </c>
      <c r="I1181" t="s">
        <v>3599</v>
      </c>
      <c r="J1181" t="s">
        <v>3527</v>
      </c>
      <c r="O1181" t="s">
        <v>3600</v>
      </c>
      <c r="P1181">
        <v>102.15</v>
      </c>
      <c r="Q1181">
        <v>102.15</v>
      </c>
      <c r="R1181">
        <v>102.15</v>
      </c>
      <c r="S1181">
        <v>102.15</v>
      </c>
      <c r="T1181">
        <v>102.15</v>
      </c>
      <c r="U1181">
        <v>102</v>
      </c>
      <c r="W1181">
        <v>102.15</v>
      </c>
      <c r="Z1181">
        <v>75</v>
      </c>
      <c r="AA1181">
        <v>7661.25</v>
      </c>
      <c r="AB1181">
        <v>1</v>
      </c>
      <c r="AC1181" t="s">
        <v>42</v>
      </c>
      <c r="AD1181">
        <v>1</v>
      </c>
    </row>
    <row r="1182" spans="1:30">
      <c r="A1182" t="str">
        <f>CONCATENATE(I1182,J1182)</f>
        <v>702GS2031GS</v>
      </c>
      <c r="B1182" s="34">
        <v>46273</v>
      </c>
      <c r="C1182" s="34">
        <v>46273</v>
      </c>
      <c r="D1182" t="s">
        <v>35</v>
      </c>
      <c r="E1182" t="s">
        <v>36</v>
      </c>
      <c r="F1182" t="s">
        <v>37</v>
      </c>
      <c r="G1182">
        <v>24072</v>
      </c>
      <c r="H1182" t="s">
        <v>3601</v>
      </c>
      <c r="I1182" t="s">
        <v>3602</v>
      </c>
      <c r="J1182" t="s">
        <v>3527</v>
      </c>
      <c r="O1182" t="s">
        <v>3603</v>
      </c>
      <c r="P1182">
        <v>101.71</v>
      </c>
      <c r="Q1182">
        <v>101.71</v>
      </c>
      <c r="R1182">
        <v>101.71</v>
      </c>
      <c r="S1182">
        <v>101.71</v>
      </c>
      <c r="T1182">
        <v>101.71</v>
      </c>
      <c r="U1182">
        <v>101.7</v>
      </c>
      <c r="W1182">
        <v>101.71</v>
      </c>
      <c r="Z1182">
        <v>1800</v>
      </c>
      <c r="AA1182">
        <v>183078</v>
      </c>
      <c r="AB1182">
        <v>2</v>
      </c>
      <c r="AC1182" t="s">
        <v>42</v>
      </c>
      <c r="AD1182">
        <v>1</v>
      </c>
    </row>
    <row r="1183" spans="1:30">
      <c r="A1183" t="str">
        <f>CONCATENATE(I1183,J1183)</f>
        <v>706GS2028GS</v>
      </c>
      <c r="B1183" s="34">
        <v>46273</v>
      </c>
      <c r="C1183" s="34">
        <v>46273</v>
      </c>
      <c r="D1183" t="s">
        <v>35</v>
      </c>
      <c r="E1183" t="s">
        <v>36</v>
      </c>
      <c r="F1183" t="s">
        <v>37</v>
      </c>
      <c r="G1183">
        <v>14970</v>
      </c>
      <c r="H1183" t="s">
        <v>3604</v>
      </c>
      <c r="I1183" t="s">
        <v>3605</v>
      </c>
      <c r="J1183" t="s">
        <v>3527</v>
      </c>
      <c r="O1183" t="s">
        <v>3606</v>
      </c>
      <c r="P1183">
        <v>103.55</v>
      </c>
      <c r="Q1183">
        <v>104.31</v>
      </c>
      <c r="R1183">
        <v>103.55</v>
      </c>
      <c r="S1183">
        <v>104.31</v>
      </c>
      <c r="T1183">
        <v>104.31</v>
      </c>
      <c r="U1183">
        <v>104.1</v>
      </c>
      <c r="W1183">
        <v>104.31</v>
      </c>
      <c r="Z1183">
        <v>37160</v>
      </c>
      <c r="AA1183">
        <v>3862458.8</v>
      </c>
      <c r="AB1183">
        <v>12</v>
      </c>
      <c r="AC1183" t="s">
        <v>42</v>
      </c>
      <c r="AD1183">
        <v>1</v>
      </c>
    </row>
    <row r="1184" spans="1:30">
      <c r="A1184" t="str">
        <f>CONCATENATE(I1184,J1184)</f>
        <v>709GS2054GS</v>
      </c>
      <c r="B1184" s="34">
        <v>46273</v>
      </c>
      <c r="C1184" s="34">
        <v>46273</v>
      </c>
      <c r="D1184" t="s">
        <v>35</v>
      </c>
      <c r="E1184" t="s">
        <v>36</v>
      </c>
      <c r="F1184" t="s">
        <v>37</v>
      </c>
      <c r="G1184">
        <v>24949</v>
      </c>
      <c r="H1184" t="s">
        <v>3607</v>
      </c>
      <c r="I1184" t="s">
        <v>3608</v>
      </c>
      <c r="J1184" t="s">
        <v>3527</v>
      </c>
      <c r="O1184" t="s">
        <v>3609</v>
      </c>
      <c r="P1184">
        <v>95.51</v>
      </c>
      <c r="Q1184">
        <v>95.51</v>
      </c>
      <c r="R1184">
        <v>95</v>
      </c>
      <c r="S1184">
        <v>95.1</v>
      </c>
      <c r="T1184">
        <v>95.1</v>
      </c>
      <c r="U1184">
        <v>95.52</v>
      </c>
      <c r="W1184">
        <v>95.1</v>
      </c>
      <c r="Z1184">
        <v>2276</v>
      </c>
      <c r="AA1184">
        <v>216722.37</v>
      </c>
      <c r="AB1184">
        <v>10</v>
      </c>
      <c r="AC1184" t="s">
        <v>42</v>
      </c>
      <c r="AD1184">
        <v>1</v>
      </c>
    </row>
    <row r="1185" spans="1:30">
      <c r="A1185" t="str">
        <f>CONCATENATE(I1185,J1185)</f>
        <v>71GS2034GS</v>
      </c>
      <c r="B1185" s="34">
        <v>46273</v>
      </c>
      <c r="C1185" s="34">
        <v>46273</v>
      </c>
      <c r="D1185" t="s">
        <v>35</v>
      </c>
      <c r="E1185" t="s">
        <v>36</v>
      </c>
      <c r="F1185" t="s">
        <v>37</v>
      </c>
      <c r="G1185">
        <v>23463</v>
      </c>
      <c r="H1185" t="s">
        <v>3610</v>
      </c>
      <c r="I1185" t="s">
        <v>3611</v>
      </c>
      <c r="J1185" t="s">
        <v>3527</v>
      </c>
      <c r="O1185" t="s">
        <v>3612</v>
      </c>
      <c r="P1185">
        <v>105.38</v>
      </c>
      <c r="Q1185">
        <v>105.38</v>
      </c>
      <c r="R1185">
        <v>105.38</v>
      </c>
      <c r="S1185">
        <v>105.38</v>
      </c>
      <c r="T1185">
        <v>105.38</v>
      </c>
      <c r="U1185">
        <v>108.67</v>
      </c>
      <c r="W1185">
        <v>105.38</v>
      </c>
      <c r="Z1185">
        <v>10</v>
      </c>
      <c r="AA1185">
        <v>1053.8</v>
      </c>
      <c r="AB1185">
        <v>1</v>
      </c>
      <c r="AC1185" t="s">
        <v>42</v>
      </c>
      <c r="AD1185">
        <v>1</v>
      </c>
    </row>
    <row r="1186" spans="1:30">
      <c r="A1186" t="str">
        <f>CONCATENATE(I1186,J1186)</f>
        <v>717GS2030GS</v>
      </c>
      <c r="B1186" s="34">
        <v>46273</v>
      </c>
      <c r="C1186" s="34">
        <v>46273</v>
      </c>
      <c r="D1186" t="s">
        <v>35</v>
      </c>
      <c r="E1186" t="s">
        <v>36</v>
      </c>
      <c r="F1186" t="s">
        <v>37</v>
      </c>
      <c r="G1186">
        <v>15050</v>
      </c>
      <c r="H1186" t="s">
        <v>3613</v>
      </c>
      <c r="I1186" t="s">
        <v>3614</v>
      </c>
      <c r="J1186" t="s">
        <v>3527</v>
      </c>
      <c r="O1186" t="s">
        <v>3615</v>
      </c>
      <c r="P1186">
        <v>103.41</v>
      </c>
      <c r="Q1186">
        <v>103.53</v>
      </c>
      <c r="R1186">
        <v>103.41</v>
      </c>
      <c r="S1186">
        <v>103.53</v>
      </c>
      <c r="T1186">
        <v>103.53</v>
      </c>
      <c r="U1186">
        <v>103.85</v>
      </c>
      <c r="W1186">
        <v>103.53</v>
      </c>
      <c r="Z1186">
        <v>2128</v>
      </c>
      <c r="AA1186">
        <v>220279.84</v>
      </c>
      <c r="AB1186">
        <v>3</v>
      </c>
      <c r="AC1186" t="s">
        <v>42</v>
      </c>
      <c r="AD1186">
        <v>1</v>
      </c>
    </row>
    <row r="1187" spans="1:30">
      <c r="A1187" t="str">
        <f>CONCATENATE(I1187,J1187)</f>
        <v>718GS2037GS</v>
      </c>
      <c r="B1187" s="34">
        <v>46273</v>
      </c>
      <c r="C1187" s="34">
        <v>46273</v>
      </c>
      <c r="D1187" t="s">
        <v>35</v>
      </c>
      <c r="E1187" t="s">
        <v>36</v>
      </c>
      <c r="F1187" t="s">
        <v>37</v>
      </c>
      <c r="G1187">
        <v>17398</v>
      </c>
      <c r="H1187" t="s">
        <v>3616</v>
      </c>
      <c r="I1187" t="s">
        <v>3617</v>
      </c>
      <c r="J1187" t="s">
        <v>3527</v>
      </c>
      <c r="O1187" t="s">
        <v>3618</v>
      </c>
      <c r="P1187">
        <v>102.8</v>
      </c>
      <c r="Q1187">
        <v>102.8</v>
      </c>
      <c r="R1187">
        <v>102.02</v>
      </c>
      <c r="S1187">
        <v>102.21</v>
      </c>
      <c r="T1187">
        <v>102.1</v>
      </c>
      <c r="U1187">
        <v>102.5</v>
      </c>
      <c r="W1187">
        <v>102.17</v>
      </c>
      <c r="Z1187">
        <v>37767</v>
      </c>
      <c r="AA1187">
        <v>3862510</v>
      </c>
      <c r="AB1187">
        <v>15</v>
      </c>
      <c r="AC1187" t="s">
        <v>42</v>
      </c>
      <c r="AD1187">
        <v>1</v>
      </c>
    </row>
    <row r="1188" spans="1:30">
      <c r="A1188" t="str">
        <f>CONCATENATE(I1188,J1188)</f>
        <v>723GS2039GS</v>
      </c>
      <c r="B1188" s="34">
        <v>46273</v>
      </c>
      <c r="C1188" s="34">
        <v>46273</v>
      </c>
      <c r="D1188" t="s">
        <v>35</v>
      </c>
      <c r="E1188" t="s">
        <v>36</v>
      </c>
      <c r="F1188" t="s">
        <v>37</v>
      </c>
      <c r="G1188">
        <v>23518</v>
      </c>
      <c r="H1188" t="s">
        <v>3619</v>
      </c>
      <c r="I1188" t="s">
        <v>3620</v>
      </c>
      <c r="J1188" t="s">
        <v>3527</v>
      </c>
      <c r="O1188" t="s">
        <v>3621</v>
      </c>
      <c r="P1188">
        <v>104.58</v>
      </c>
      <c r="Q1188">
        <v>104.58</v>
      </c>
      <c r="R1188">
        <v>104.58</v>
      </c>
      <c r="S1188">
        <v>104.58</v>
      </c>
      <c r="T1188">
        <v>104.58</v>
      </c>
      <c r="U1188">
        <v>104.58</v>
      </c>
      <c r="W1188">
        <v>104.58</v>
      </c>
      <c r="Z1188">
        <v>400</v>
      </c>
      <c r="AA1188">
        <v>41832</v>
      </c>
      <c r="AB1188">
        <v>1</v>
      </c>
      <c r="AC1188" t="s">
        <v>42</v>
      </c>
      <c r="AD1188">
        <v>1</v>
      </c>
    </row>
    <row r="1189" spans="1:30">
      <c r="A1189" t="str">
        <f>CONCATENATE(I1189,J1189)</f>
        <v>724GS2055GS</v>
      </c>
      <c r="B1189" s="34">
        <v>46273</v>
      </c>
      <c r="C1189" s="34">
        <v>46273</v>
      </c>
      <c r="D1189" t="s">
        <v>35</v>
      </c>
      <c r="E1189" t="s">
        <v>36</v>
      </c>
      <c r="F1189" t="s">
        <v>37</v>
      </c>
      <c r="G1189">
        <v>758674</v>
      </c>
      <c r="H1189" t="s">
        <v>3622</v>
      </c>
      <c r="I1189" t="s">
        <v>3623</v>
      </c>
      <c r="J1189" t="s">
        <v>3527</v>
      </c>
      <c r="O1189" t="s">
        <v>3624</v>
      </c>
      <c r="P1189">
        <v>97.38</v>
      </c>
      <c r="Q1189">
        <v>97.38</v>
      </c>
      <c r="R1189">
        <v>96.51</v>
      </c>
      <c r="S1189">
        <v>96.65</v>
      </c>
      <c r="T1189">
        <v>96.51</v>
      </c>
      <c r="U1189">
        <v>96.98</v>
      </c>
      <c r="W1189">
        <v>96.65</v>
      </c>
      <c r="Z1189">
        <v>104264</v>
      </c>
      <c r="AA1189">
        <v>10096879.970000001</v>
      </c>
      <c r="AB1189">
        <v>118</v>
      </c>
      <c r="AC1189" t="s">
        <v>42</v>
      </c>
      <c r="AD1189">
        <v>1</v>
      </c>
    </row>
    <row r="1190" spans="1:30">
      <c r="A1190" t="str">
        <f>CONCATENATE(I1190,J1190)</f>
        <v>725GS2063GS</v>
      </c>
      <c r="B1190" s="34">
        <v>46273</v>
      </c>
      <c r="C1190" s="34">
        <v>46273</v>
      </c>
      <c r="D1190" t="s">
        <v>35</v>
      </c>
      <c r="E1190" t="s">
        <v>36</v>
      </c>
      <c r="F1190" t="s">
        <v>37</v>
      </c>
      <c r="G1190">
        <v>16733</v>
      </c>
      <c r="H1190" t="s">
        <v>3625</v>
      </c>
      <c r="I1190" t="s">
        <v>3626</v>
      </c>
      <c r="J1190" t="s">
        <v>3527</v>
      </c>
      <c r="O1190" t="s">
        <v>3627</v>
      </c>
      <c r="P1190">
        <v>97.2</v>
      </c>
      <c r="Q1190">
        <v>97.2</v>
      </c>
      <c r="R1190">
        <v>96.92</v>
      </c>
      <c r="S1190">
        <v>96.98</v>
      </c>
      <c r="T1190">
        <v>96.99</v>
      </c>
      <c r="U1190">
        <v>96.98</v>
      </c>
      <c r="W1190">
        <v>96.98</v>
      </c>
      <c r="Z1190">
        <v>90321</v>
      </c>
      <c r="AA1190">
        <v>8757894.9399999995</v>
      </c>
      <c r="AB1190">
        <v>99</v>
      </c>
      <c r="AC1190" t="s">
        <v>42</v>
      </c>
      <c r="AD1190">
        <v>1</v>
      </c>
    </row>
    <row r="1191" spans="1:30">
      <c r="A1191" t="str">
        <f>CONCATENATE(I1191,J1191)</f>
        <v>726GS2032GS</v>
      </c>
      <c r="B1191" s="34">
        <v>46273</v>
      </c>
      <c r="C1191" s="34">
        <v>46273</v>
      </c>
      <c r="D1191" t="s">
        <v>35</v>
      </c>
      <c r="E1191" t="s">
        <v>36</v>
      </c>
      <c r="F1191" t="s">
        <v>37</v>
      </c>
      <c r="G1191">
        <v>10722</v>
      </c>
      <c r="H1191" t="s">
        <v>3628</v>
      </c>
      <c r="I1191" t="s">
        <v>3629</v>
      </c>
      <c r="J1191" t="s">
        <v>3527</v>
      </c>
      <c r="O1191" t="s">
        <v>3630</v>
      </c>
      <c r="P1191">
        <v>103.3</v>
      </c>
      <c r="Q1191">
        <v>103.3</v>
      </c>
      <c r="R1191">
        <v>103.3</v>
      </c>
      <c r="S1191">
        <v>103.3</v>
      </c>
      <c r="T1191">
        <v>103.3</v>
      </c>
      <c r="U1191">
        <v>103.2</v>
      </c>
      <c r="W1191">
        <v>103.3</v>
      </c>
      <c r="Z1191">
        <v>2205</v>
      </c>
      <c r="AA1191">
        <v>227776.5</v>
      </c>
      <c r="AB1191">
        <v>2</v>
      </c>
      <c r="AC1191" t="s">
        <v>42</v>
      </c>
      <c r="AD1191">
        <v>1</v>
      </c>
    </row>
    <row r="1192" spans="1:30">
      <c r="A1192" t="str">
        <f>CONCATENATE(I1192,J1192)</f>
        <v>73GS2053GS</v>
      </c>
      <c r="B1192" s="34">
        <v>46273</v>
      </c>
      <c r="C1192" s="34">
        <v>46273</v>
      </c>
      <c r="D1192" t="s">
        <v>35</v>
      </c>
      <c r="E1192" t="s">
        <v>36</v>
      </c>
      <c r="F1192" t="s">
        <v>37</v>
      </c>
      <c r="G1192">
        <v>16865</v>
      </c>
      <c r="H1192" t="s">
        <v>3631</v>
      </c>
      <c r="I1192" t="s">
        <v>3632</v>
      </c>
      <c r="J1192" t="s">
        <v>3527</v>
      </c>
      <c r="O1192" t="s">
        <v>3633</v>
      </c>
      <c r="P1192">
        <v>98.85</v>
      </c>
      <c r="Q1192">
        <v>99.05</v>
      </c>
      <c r="R1192">
        <v>98.85</v>
      </c>
      <c r="S1192">
        <v>99.05</v>
      </c>
      <c r="T1192">
        <v>99.05</v>
      </c>
      <c r="U1192">
        <v>98.8</v>
      </c>
      <c r="W1192">
        <v>99.05</v>
      </c>
      <c r="Z1192">
        <v>23098</v>
      </c>
      <c r="AA1192">
        <v>2285425.0499999998</v>
      </c>
      <c r="AB1192">
        <v>13</v>
      </c>
      <c r="AC1192" t="s">
        <v>42</v>
      </c>
      <c r="AD1192">
        <v>1</v>
      </c>
    </row>
    <row r="1193" spans="1:30">
      <c r="A1193" t="str">
        <f>CONCATENATE(I1193,J1193)</f>
        <v>732GS2030GS</v>
      </c>
      <c r="B1193" s="34">
        <v>46273</v>
      </c>
      <c r="C1193" s="34">
        <v>46273</v>
      </c>
      <c r="D1193" t="s">
        <v>35</v>
      </c>
      <c r="E1193" t="s">
        <v>36</v>
      </c>
      <c r="F1193" t="s">
        <v>37</v>
      </c>
      <c r="G1193">
        <v>20136</v>
      </c>
      <c r="H1193" t="s">
        <v>3634</v>
      </c>
      <c r="I1193" t="s">
        <v>3635</v>
      </c>
      <c r="J1193" t="s">
        <v>3527</v>
      </c>
      <c r="O1193" t="s">
        <v>3636</v>
      </c>
      <c r="P1193">
        <v>103.8</v>
      </c>
      <c r="Q1193">
        <v>103.8</v>
      </c>
      <c r="R1193">
        <v>103.8</v>
      </c>
      <c r="S1193">
        <v>103.8</v>
      </c>
      <c r="T1193">
        <v>103.8</v>
      </c>
      <c r="U1193">
        <v>103.61</v>
      </c>
      <c r="W1193">
        <v>103.8</v>
      </c>
      <c r="Z1193">
        <v>1100</v>
      </c>
      <c r="AA1193">
        <v>114180</v>
      </c>
      <c r="AB1193">
        <v>1</v>
      </c>
      <c r="AC1193" t="s">
        <v>42</v>
      </c>
      <c r="AD1193">
        <v>1</v>
      </c>
    </row>
    <row r="1194" spans="1:30">
      <c r="A1194" t="str">
        <f>CONCATENATE(I1194,J1194)</f>
        <v>734GS2064GS</v>
      </c>
      <c r="B1194" s="34">
        <v>46273</v>
      </c>
      <c r="C1194" s="34">
        <v>46273</v>
      </c>
      <c r="D1194" t="s">
        <v>35</v>
      </c>
      <c r="E1194" t="s">
        <v>36</v>
      </c>
      <c r="F1194" t="s">
        <v>37</v>
      </c>
      <c r="G1194">
        <v>23558</v>
      </c>
      <c r="H1194" t="s">
        <v>3637</v>
      </c>
      <c r="I1194" t="s">
        <v>3638</v>
      </c>
      <c r="J1194" t="s">
        <v>3527</v>
      </c>
      <c r="O1194" t="s">
        <v>3639</v>
      </c>
      <c r="P1194">
        <v>99</v>
      </c>
      <c r="Q1194">
        <v>99.29</v>
      </c>
      <c r="R1194">
        <v>95.95</v>
      </c>
      <c r="S1194">
        <v>98.91</v>
      </c>
      <c r="T1194">
        <v>98.91</v>
      </c>
      <c r="U1194">
        <v>98.84</v>
      </c>
      <c r="W1194">
        <v>98.91</v>
      </c>
      <c r="Z1194">
        <v>126738</v>
      </c>
      <c r="AA1194">
        <v>12466551.470000001</v>
      </c>
      <c r="AB1194">
        <v>123</v>
      </c>
      <c r="AC1194" t="s">
        <v>42</v>
      </c>
      <c r="AD1194">
        <v>1</v>
      </c>
    </row>
    <row r="1195" spans="1:30">
      <c r="A1195" t="str">
        <f>CONCATENATE(I1195,J1195)</f>
        <v>736GS2052GS</v>
      </c>
      <c r="B1195" s="34">
        <v>46273</v>
      </c>
      <c r="C1195" s="34">
        <v>46273</v>
      </c>
      <c r="D1195" t="s">
        <v>35</v>
      </c>
      <c r="E1195" t="s">
        <v>36</v>
      </c>
      <c r="F1195" t="s">
        <v>37</v>
      </c>
      <c r="G1195">
        <v>10931</v>
      </c>
      <c r="H1195" t="s">
        <v>3640</v>
      </c>
      <c r="I1195" t="s">
        <v>3641</v>
      </c>
      <c r="J1195" t="s">
        <v>3527</v>
      </c>
      <c r="O1195" t="s">
        <v>3642</v>
      </c>
      <c r="P1195">
        <v>102.1</v>
      </c>
      <c r="Q1195">
        <v>102.1</v>
      </c>
      <c r="R1195">
        <v>102</v>
      </c>
      <c r="S1195">
        <v>102.1</v>
      </c>
      <c r="T1195">
        <v>102.1</v>
      </c>
      <c r="U1195">
        <v>101.75</v>
      </c>
      <c r="W1195">
        <v>102.1</v>
      </c>
      <c r="Z1195">
        <v>4700</v>
      </c>
      <c r="AA1195">
        <v>479670</v>
      </c>
      <c r="AB1195">
        <v>5</v>
      </c>
      <c r="AC1195" t="s">
        <v>42</v>
      </c>
      <c r="AD1195">
        <v>1</v>
      </c>
    </row>
    <row r="1196" spans="1:30">
      <c r="A1196" t="str">
        <f>CONCATENATE(I1196,J1196)</f>
        <v>737GS2028GS</v>
      </c>
      <c r="B1196" s="34">
        <v>46273</v>
      </c>
      <c r="C1196" s="34">
        <v>46273</v>
      </c>
      <c r="D1196" t="s">
        <v>35</v>
      </c>
      <c r="E1196" t="s">
        <v>36</v>
      </c>
      <c r="F1196" t="s">
        <v>37</v>
      </c>
      <c r="G1196">
        <v>19566</v>
      </c>
      <c r="H1196" t="s">
        <v>3643</v>
      </c>
      <c r="I1196" t="s">
        <v>3644</v>
      </c>
      <c r="J1196" t="s">
        <v>3527</v>
      </c>
      <c r="O1196" t="s">
        <v>3645</v>
      </c>
      <c r="P1196">
        <v>104.21</v>
      </c>
      <c r="Q1196">
        <v>104.22</v>
      </c>
      <c r="R1196">
        <v>104.21</v>
      </c>
      <c r="S1196">
        <v>104.22</v>
      </c>
      <c r="T1196">
        <v>104.22</v>
      </c>
      <c r="U1196">
        <v>106.47</v>
      </c>
      <c r="W1196">
        <v>104.22</v>
      </c>
      <c r="Z1196">
        <v>563</v>
      </c>
      <c r="AA1196">
        <v>58670.36</v>
      </c>
      <c r="AB1196">
        <v>4</v>
      </c>
      <c r="AC1196" t="s">
        <v>42</v>
      </c>
      <c r="AD1196">
        <v>1</v>
      </c>
    </row>
    <row r="1197" spans="1:30">
      <c r="A1197" t="str">
        <f>CONCATENATE(I1197,J1197)</f>
        <v>74GS2062GS</v>
      </c>
      <c r="B1197" s="34">
        <v>46273</v>
      </c>
      <c r="C1197" s="34">
        <v>46273</v>
      </c>
      <c r="D1197" t="s">
        <v>35</v>
      </c>
      <c r="E1197" t="s">
        <v>36</v>
      </c>
      <c r="F1197" t="s">
        <v>37</v>
      </c>
      <c r="G1197">
        <v>10981</v>
      </c>
      <c r="H1197" t="s">
        <v>3646</v>
      </c>
      <c r="I1197" t="s">
        <v>3647</v>
      </c>
      <c r="J1197" t="s">
        <v>3527</v>
      </c>
      <c r="O1197" t="s">
        <v>3648</v>
      </c>
      <c r="P1197">
        <v>102</v>
      </c>
      <c r="Q1197">
        <v>102</v>
      </c>
      <c r="R1197">
        <v>102</v>
      </c>
      <c r="S1197">
        <v>102</v>
      </c>
      <c r="T1197">
        <v>102</v>
      </c>
      <c r="U1197">
        <v>101.97</v>
      </c>
      <c r="W1197">
        <v>102</v>
      </c>
      <c r="Z1197">
        <v>7</v>
      </c>
      <c r="AA1197">
        <v>714</v>
      </c>
      <c r="AB1197">
        <v>3</v>
      </c>
      <c r="AC1197" t="s">
        <v>42</v>
      </c>
      <c r="AD1197">
        <v>1</v>
      </c>
    </row>
    <row r="1198" spans="1:30">
      <c r="A1198" t="str">
        <f>CONCATENATE(I1198,J1198)</f>
        <v>741GS2036GS</v>
      </c>
      <c r="B1198" s="34">
        <v>46273</v>
      </c>
      <c r="C1198" s="34">
        <v>46273</v>
      </c>
      <c r="D1198" t="s">
        <v>35</v>
      </c>
      <c r="E1198" t="s">
        <v>36</v>
      </c>
      <c r="F1198" t="s">
        <v>37</v>
      </c>
      <c r="G1198">
        <v>13194</v>
      </c>
      <c r="H1198" t="s">
        <v>3649</v>
      </c>
      <c r="I1198" t="s">
        <v>3650</v>
      </c>
      <c r="J1198" t="s">
        <v>3527</v>
      </c>
      <c r="O1198" t="s">
        <v>3651</v>
      </c>
      <c r="P1198">
        <v>105.09</v>
      </c>
      <c r="Q1198">
        <v>105.09</v>
      </c>
      <c r="R1198">
        <v>104.91</v>
      </c>
      <c r="S1198">
        <v>105.05</v>
      </c>
      <c r="T1198">
        <v>105.05</v>
      </c>
      <c r="U1198">
        <v>105.07</v>
      </c>
      <c r="W1198">
        <v>105.05</v>
      </c>
      <c r="Z1198">
        <v>201</v>
      </c>
      <c r="AA1198">
        <v>21105.05</v>
      </c>
      <c r="AB1198">
        <v>5</v>
      </c>
      <c r="AC1198" t="s">
        <v>42</v>
      </c>
      <c r="AD1198">
        <v>1</v>
      </c>
    </row>
    <row r="1199" spans="1:30">
      <c r="A1199" t="str">
        <f>CONCATENATE(I1199,J1199)</f>
        <v>743GS2076GS</v>
      </c>
      <c r="B1199" s="34">
        <v>46273</v>
      </c>
      <c r="C1199" s="34">
        <v>46273</v>
      </c>
      <c r="D1199" t="s">
        <v>35</v>
      </c>
      <c r="E1199" t="s">
        <v>36</v>
      </c>
      <c r="F1199" t="s">
        <v>37</v>
      </c>
      <c r="G1199">
        <v>760649</v>
      </c>
      <c r="H1199" t="s">
        <v>3652</v>
      </c>
      <c r="I1199" t="s">
        <v>3653</v>
      </c>
      <c r="J1199" t="s">
        <v>3527</v>
      </c>
      <c r="O1199" t="s">
        <v>3654</v>
      </c>
      <c r="P1199">
        <v>99.27</v>
      </c>
      <c r="Q1199">
        <v>99.6</v>
      </c>
      <c r="R1199">
        <v>99.25</v>
      </c>
      <c r="S1199">
        <v>99.4</v>
      </c>
      <c r="T1199">
        <v>99.4</v>
      </c>
      <c r="U1199">
        <v>99.25</v>
      </c>
      <c r="W1199">
        <v>99.4</v>
      </c>
      <c r="Z1199">
        <v>33104</v>
      </c>
      <c r="AA1199">
        <v>3288733.1</v>
      </c>
      <c r="AB1199">
        <v>31</v>
      </c>
      <c r="AC1199" t="s">
        <v>42</v>
      </c>
      <c r="AD1199">
        <v>1</v>
      </c>
    </row>
    <row r="1200" spans="1:30">
      <c r="A1200" t="str">
        <f>CONCATENATE(I1200,J1200)</f>
        <v>746GS2073GS</v>
      </c>
      <c r="B1200" s="34">
        <v>46273</v>
      </c>
      <c r="C1200" s="34">
        <v>46273</v>
      </c>
      <c r="D1200" t="s">
        <v>35</v>
      </c>
      <c r="E1200" t="s">
        <v>36</v>
      </c>
      <c r="F1200" t="s">
        <v>37</v>
      </c>
      <c r="G1200">
        <v>19808</v>
      </c>
      <c r="H1200" t="s">
        <v>3655</v>
      </c>
      <c r="I1200" t="s">
        <v>3656</v>
      </c>
      <c r="J1200" t="s">
        <v>3527</v>
      </c>
      <c r="O1200" t="s">
        <v>3657</v>
      </c>
      <c r="P1200">
        <v>102.99</v>
      </c>
      <c r="Q1200">
        <v>102.99</v>
      </c>
      <c r="R1200">
        <v>101.2</v>
      </c>
      <c r="S1200">
        <v>101.25</v>
      </c>
      <c r="T1200">
        <v>101.25</v>
      </c>
      <c r="U1200">
        <v>101.39</v>
      </c>
      <c r="W1200">
        <v>101.25</v>
      </c>
      <c r="Z1200">
        <v>9497</v>
      </c>
      <c r="AA1200">
        <v>961372.99</v>
      </c>
      <c r="AB1200">
        <v>9</v>
      </c>
      <c r="AC1200" t="s">
        <v>42</v>
      </c>
      <c r="AD1200">
        <v>1</v>
      </c>
    </row>
    <row r="1201" spans="1:30">
      <c r="A1201" t="str">
        <f>CONCATENATE(I1201,J1201)</f>
        <v>750GS2056GS</v>
      </c>
      <c r="B1201" s="34">
        <v>46273</v>
      </c>
      <c r="C1201" s="34">
        <v>46273</v>
      </c>
      <c r="D1201" t="s">
        <v>35</v>
      </c>
      <c r="E1201" t="s">
        <v>36</v>
      </c>
      <c r="F1201" t="s">
        <v>37</v>
      </c>
      <c r="G1201">
        <v>763146</v>
      </c>
      <c r="H1201" t="s">
        <v>3658</v>
      </c>
      <c r="I1201" t="s">
        <v>3659</v>
      </c>
      <c r="J1201" t="s">
        <v>3527</v>
      </c>
      <c r="O1201" t="s">
        <v>3660</v>
      </c>
      <c r="P1201">
        <v>102.25</v>
      </c>
      <c r="Q1201">
        <v>103.8</v>
      </c>
      <c r="R1201">
        <v>102.25</v>
      </c>
      <c r="S1201">
        <v>103.8</v>
      </c>
      <c r="T1201">
        <v>103.8</v>
      </c>
      <c r="U1201">
        <v>102.24</v>
      </c>
      <c r="W1201">
        <v>103.8</v>
      </c>
      <c r="Z1201">
        <v>1489</v>
      </c>
      <c r="AA1201">
        <v>152853.20000000001</v>
      </c>
      <c r="AB1201">
        <v>4</v>
      </c>
      <c r="AC1201" t="s">
        <v>42</v>
      </c>
      <c r="AD1201">
        <v>1</v>
      </c>
    </row>
    <row r="1202" spans="1:30">
      <c r="A1202" t="str">
        <f>CONCATENATE(I1202,J1202)</f>
        <v>754GS2036GS</v>
      </c>
      <c r="B1202" s="34">
        <v>46273</v>
      </c>
      <c r="C1202" s="34">
        <v>46273</v>
      </c>
      <c r="D1202" t="s">
        <v>35</v>
      </c>
      <c r="E1202" t="s">
        <v>36</v>
      </c>
      <c r="F1202" t="s">
        <v>37</v>
      </c>
      <c r="G1202">
        <v>9585</v>
      </c>
      <c r="H1202" t="s">
        <v>3661</v>
      </c>
      <c r="I1202" t="s">
        <v>3662</v>
      </c>
      <c r="J1202" t="s">
        <v>3527</v>
      </c>
      <c r="O1202" t="s">
        <v>3663</v>
      </c>
      <c r="P1202">
        <v>106.18</v>
      </c>
      <c r="Q1202">
        <v>106.2</v>
      </c>
      <c r="R1202">
        <v>106.05</v>
      </c>
      <c r="S1202">
        <v>106.09</v>
      </c>
      <c r="T1202">
        <v>106.05</v>
      </c>
      <c r="U1202">
        <v>106.17</v>
      </c>
      <c r="W1202">
        <v>106.09</v>
      </c>
      <c r="Z1202">
        <v>317170</v>
      </c>
      <c r="AA1202">
        <v>33661523.549999997</v>
      </c>
      <c r="AB1202">
        <v>123</v>
      </c>
      <c r="AC1202" t="s">
        <v>42</v>
      </c>
      <c r="AD1202">
        <v>1</v>
      </c>
    </row>
    <row r="1203" spans="1:30">
      <c r="A1203" t="str">
        <f>CONCATENATE(I1203,J1203)</f>
        <v>771GS2066GS</v>
      </c>
      <c r="B1203" s="34">
        <v>46273</v>
      </c>
      <c r="C1203" s="34">
        <v>46273</v>
      </c>
      <c r="D1203" t="s">
        <v>35</v>
      </c>
      <c r="E1203" t="s">
        <v>36</v>
      </c>
      <c r="F1203" t="s">
        <v>37</v>
      </c>
      <c r="G1203">
        <v>763489</v>
      </c>
      <c r="H1203" t="s">
        <v>3664</v>
      </c>
      <c r="I1203" t="s">
        <v>3665</v>
      </c>
      <c r="J1203" t="s">
        <v>3527</v>
      </c>
      <c r="O1203" t="s">
        <v>3666</v>
      </c>
      <c r="P1203">
        <v>103.13</v>
      </c>
      <c r="Q1203">
        <v>103.53</v>
      </c>
      <c r="R1203">
        <v>103.05</v>
      </c>
      <c r="S1203">
        <v>103.15</v>
      </c>
      <c r="T1203">
        <v>103.15</v>
      </c>
      <c r="U1203">
        <v>103.6</v>
      </c>
      <c r="W1203">
        <v>103.15</v>
      </c>
      <c r="Z1203">
        <v>196548</v>
      </c>
      <c r="AA1203">
        <v>20292527.559999999</v>
      </c>
      <c r="AB1203">
        <v>70</v>
      </c>
      <c r="AC1203" t="s">
        <v>42</v>
      </c>
      <c r="AD1203">
        <v>1</v>
      </c>
    </row>
    <row r="1204" spans="1:30">
      <c r="A1204" t="str">
        <f>CONCATENATE(I1204,J1204)</f>
        <v>1018GS2026GS</v>
      </c>
      <c r="B1204" s="34">
        <v>46273</v>
      </c>
      <c r="C1204" s="34">
        <v>46273</v>
      </c>
      <c r="D1204" t="s">
        <v>35</v>
      </c>
      <c r="E1204" t="s">
        <v>36</v>
      </c>
      <c r="F1204" t="s">
        <v>37</v>
      </c>
      <c r="G1204">
        <v>6833</v>
      </c>
      <c r="H1204" t="s">
        <v>3667</v>
      </c>
      <c r="I1204" t="s">
        <v>3668</v>
      </c>
      <c r="J1204" t="s">
        <v>3527</v>
      </c>
      <c r="O1204" t="s">
        <v>3669</v>
      </c>
      <c r="P1204">
        <v>104.5</v>
      </c>
      <c r="Q1204">
        <v>105.05</v>
      </c>
      <c r="R1204">
        <v>104.5</v>
      </c>
      <c r="S1204">
        <v>104.99</v>
      </c>
      <c r="T1204">
        <v>104.99</v>
      </c>
      <c r="U1204">
        <v>104.97</v>
      </c>
      <c r="W1204">
        <v>104.99</v>
      </c>
      <c r="Z1204">
        <v>2520</v>
      </c>
      <c r="AA1204">
        <v>263641.08</v>
      </c>
      <c r="AB1204">
        <v>5</v>
      </c>
      <c r="AC1204" t="s">
        <v>42</v>
      </c>
      <c r="AD1204">
        <v>1</v>
      </c>
    </row>
    <row r="1205" spans="1:30">
      <c r="A1205" t="str">
        <f>CONCATENATE(I1205,J1205)</f>
        <v>706GS2046GS</v>
      </c>
      <c r="B1205" s="34">
        <v>46273</v>
      </c>
      <c r="C1205" s="34">
        <v>46273</v>
      </c>
      <c r="D1205" t="s">
        <v>35</v>
      </c>
      <c r="E1205" t="s">
        <v>36</v>
      </c>
      <c r="F1205" t="s">
        <v>37</v>
      </c>
      <c r="G1205">
        <v>7184</v>
      </c>
      <c r="H1205" t="s">
        <v>3670</v>
      </c>
      <c r="I1205" t="s">
        <v>3671</v>
      </c>
      <c r="J1205" t="s">
        <v>3527</v>
      </c>
      <c r="O1205" t="s">
        <v>3672</v>
      </c>
      <c r="P1205">
        <v>100.8</v>
      </c>
      <c r="Q1205">
        <v>100.8</v>
      </c>
      <c r="R1205">
        <v>100.8</v>
      </c>
      <c r="S1205">
        <v>100.8</v>
      </c>
      <c r="T1205">
        <v>100.8</v>
      </c>
      <c r="U1205">
        <v>100.7</v>
      </c>
      <c r="W1205">
        <v>100.8</v>
      </c>
      <c r="Z1205">
        <v>3150</v>
      </c>
      <c r="AA1205">
        <v>317520</v>
      </c>
      <c r="AB1205">
        <v>2</v>
      </c>
      <c r="AC1205" t="s">
        <v>42</v>
      </c>
      <c r="AD1205">
        <v>1</v>
      </c>
    </row>
    <row r="1206" spans="1:30">
      <c r="A1206" t="str">
        <f>CONCATENATE(I1206,J1206)</f>
        <v>710GS2029GS</v>
      </c>
      <c r="B1206" s="34">
        <v>46273</v>
      </c>
      <c r="C1206" s="34">
        <v>46273</v>
      </c>
      <c r="D1206" t="s">
        <v>35</v>
      </c>
      <c r="E1206" t="s">
        <v>36</v>
      </c>
      <c r="F1206" t="s">
        <v>37</v>
      </c>
      <c r="G1206">
        <v>9047</v>
      </c>
      <c r="H1206" t="s">
        <v>3673</v>
      </c>
      <c r="I1206" t="s">
        <v>3674</v>
      </c>
      <c r="J1206" t="s">
        <v>3527</v>
      </c>
      <c r="O1206" t="s">
        <v>3675</v>
      </c>
      <c r="P1206">
        <v>104.5</v>
      </c>
      <c r="Q1206">
        <v>106</v>
      </c>
      <c r="R1206">
        <v>104.4</v>
      </c>
      <c r="S1206">
        <v>106</v>
      </c>
      <c r="T1206">
        <v>106</v>
      </c>
      <c r="U1206">
        <v>103.41</v>
      </c>
      <c r="W1206">
        <v>106</v>
      </c>
      <c r="Z1206">
        <v>10600</v>
      </c>
      <c r="AA1206">
        <v>1107996</v>
      </c>
      <c r="AB1206">
        <v>8</v>
      </c>
      <c r="AC1206" t="s">
        <v>42</v>
      </c>
      <c r="AD1206">
        <v>1</v>
      </c>
    </row>
    <row r="1207" spans="1:30">
      <c r="A1207" t="str">
        <f>CONCATENATE(I1207,J1207)</f>
        <v>717GS2028GS</v>
      </c>
      <c r="B1207" s="34">
        <v>46273</v>
      </c>
      <c r="C1207" s="34">
        <v>46273</v>
      </c>
      <c r="D1207" t="s">
        <v>35</v>
      </c>
      <c r="E1207" t="s">
        <v>36</v>
      </c>
      <c r="F1207" t="s">
        <v>37</v>
      </c>
      <c r="G1207">
        <v>7208</v>
      </c>
      <c r="H1207" t="s">
        <v>3676</v>
      </c>
      <c r="I1207" t="s">
        <v>3677</v>
      </c>
      <c r="J1207" t="s">
        <v>3527</v>
      </c>
      <c r="O1207" t="s">
        <v>3678</v>
      </c>
      <c r="P1207">
        <v>102.55</v>
      </c>
      <c r="Q1207">
        <v>102.55</v>
      </c>
      <c r="R1207">
        <v>102.55</v>
      </c>
      <c r="S1207">
        <v>102.55</v>
      </c>
      <c r="T1207">
        <v>102.55</v>
      </c>
      <c r="U1207">
        <v>101.65</v>
      </c>
      <c r="W1207">
        <v>102.55</v>
      </c>
      <c r="Z1207">
        <v>2376</v>
      </c>
      <c r="AA1207">
        <v>243658.8</v>
      </c>
      <c r="AB1207">
        <v>1</v>
      </c>
      <c r="AC1207" t="s">
        <v>42</v>
      </c>
      <c r="AD1207">
        <v>1</v>
      </c>
    </row>
    <row r="1208" spans="1:30">
      <c r="A1208" t="str">
        <f>CONCATENATE(I1208,J1208)</f>
        <v>719GS2060GS</v>
      </c>
      <c r="B1208" s="34">
        <v>46273</v>
      </c>
      <c r="C1208" s="34">
        <v>46273</v>
      </c>
      <c r="D1208" t="s">
        <v>35</v>
      </c>
      <c r="E1208" t="s">
        <v>36</v>
      </c>
      <c r="F1208" t="s">
        <v>37</v>
      </c>
      <c r="G1208">
        <v>18474</v>
      </c>
      <c r="H1208" t="s">
        <v>3679</v>
      </c>
      <c r="I1208" t="s">
        <v>3680</v>
      </c>
      <c r="J1208" t="s">
        <v>3527</v>
      </c>
      <c r="O1208" t="s">
        <v>3681</v>
      </c>
      <c r="P1208">
        <v>99</v>
      </c>
      <c r="Q1208">
        <v>99</v>
      </c>
      <c r="R1208">
        <v>99</v>
      </c>
      <c r="S1208">
        <v>99</v>
      </c>
      <c r="T1208">
        <v>99</v>
      </c>
      <c r="U1208">
        <v>99.6</v>
      </c>
      <c r="W1208">
        <v>99</v>
      </c>
      <c r="Z1208">
        <v>2</v>
      </c>
      <c r="AA1208">
        <v>198</v>
      </c>
      <c r="AB1208">
        <v>1</v>
      </c>
      <c r="AC1208" t="s">
        <v>42</v>
      </c>
      <c r="AD1208">
        <v>1</v>
      </c>
    </row>
    <row r="1209" spans="1:30">
      <c r="A1209" t="str">
        <f>CONCATENATE(I1209,J1209)</f>
        <v>738GS2027GS</v>
      </c>
      <c r="B1209" s="34">
        <v>46273</v>
      </c>
      <c r="C1209" s="34">
        <v>46273</v>
      </c>
      <c r="D1209" t="s">
        <v>35</v>
      </c>
      <c r="E1209" t="s">
        <v>36</v>
      </c>
      <c r="F1209" t="s">
        <v>37</v>
      </c>
      <c r="G1209">
        <v>9913</v>
      </c>
      <c r="H1209" t="s">
        <v>3682</v>
      </c>
      <c r="I1209" t="s">
        <v>3683</v>
      </c>
      <c r="J1209" t="s">
        <v>3527</v>
      </c>
      <c r="O1209" t="s">
        <v>3684</v>
      </c>
      <c r="P1209">
        <v>102.6</v>
      </c>
      <c r="Q1209">
        <v>102.96</v>
      </c>
      <c r="R1209">
        <v>102.3</v>
      </c>
      <c r="S1209">
        <v>102.35</v>
      </c>
      <c r="T1209">
        <v>102.7</v>
      </c>
      <c r="U1209">
        <v>102.6</v>
      </c>
      <c r="W1209">
        <v>102.35</v>
      </c>
      <c r="Z1209">
        <v>23020</v>
      </c>
      <c r="AA1209">
        <v>2361242.2200000002</v>
      </c>
      <c r="AB1209">
        <v>19</v>
      </c>
      <c r="AC1209" t="s">
        <v>42</v>
      </c>
      <c r="AD1209">
        <v>1</v>
      </c>
    </row>
    <row r="1210" spans="1:30">
      <c r="A1210" t="str">
        <f>CONCATENATE(I1210,J1210)</f>
        <v>74GS2035GS</v>
      </c>
      <c r="B1210" s="34">
        <v>46273</v>
      </c>
      <c r="C1210" s="34">
        <v>46273</v>
      </c>
      <c r="D1210" t="s">
        <v>35</v>
      </c>
      <c r="E1210" t="s">
        <v>36</v>
      </c>
      <c r="F1210" t="s">
        <v>37</v>
      </c>
      <c r="G1210">
        <v>6874</v>
      </c>
      <c r="H1210" t="s">
        <v>3685</v>
      </c>
      <c r="I1210" t="s">
        <v>3686</v>
      </c>
      <c r="J1210" t="s">
        <v>3527</v>
      </c>
      <c r="O1210" t="s">
        <v>3687</v>
      </c>
      <c r="P1210">
        <v>103.4</v>
      </c>
      <c r="Q1210">
        <v>103.4</v>
      </c>
      <c r="R1210">
        <v>103.4</v>
      </c>
      <c r="S1210">
        <v>103.4</v>
      </c>
      <c r="T1210">
        <v>103.4</v>
      </c>
      <c r="U1210">
        <v>105.95</v>
      </c>
      <c r="W1210">
        <v>103.4</v>
      </c>
      <c r="Z1210">
        <v>1800</v>
      </c>
      <c r="AA1210">
        <v>186120</v>
      </c>
      <c r="AB1210">
        <v>4</v>
      </c>
      <c r="AC1210" t="s">
        <v>42</v>
      </c>
      <c r="AD1210">
        <v>1</v>
      </c>
    </row>
    <row r="1211" spans="1:30">
      <c r="A1211" t="str">
        <f>CONCATENATE(I1211,J1211)</f>
        <v>795GS2032GS</v>
      </c>
      <c r="B1211" s="34">
        <v>46273</v>
      </c>
      <c r="C1211" s="34">
        <v>46273</v>
      </c>
      <c r="D1211" t="s">
        <v>35</v>
      </c>
      <c r="E1211" t="s">
        <v>36</v>
      </c>
      <c r="F1211" t="s">
        <v>37</v>
      </c>
      <c r="G1211">
        <v>6835</v>
      </c>
      <c r="H1211" t="s">
        <v>3688</v>
      </c>
      <c r="I1211" t="s">
        <v>3689</v>
      </c>
      <c r="J1211" t="s">
        <v>3527</v>
      </c>
      <c r="O1211" t="s">
        <v>3690</v>
      </c>
      <c r="P1211">
        <v>107.2</v>
      </c>
      <c r="Q1211">
        <v>107.2</v>
      </c>
      <c r="R1211">
        <v>107.2</v>
      </c>
      <c r="S1211">
        <v>107.2</v>
      </c>
      <c r="T1211">
        <v>107.2</v>
      </c>
      <c r="U1211">
        <v>107.2</v>
      </c>
      <c r="W1211">
        <v>107.2</v>
      </c>
      <c r="Z1211">
        <v>4178</v>
      </c>
      <c r="AA1211">
        <v>447881.6</v>
      </c>
      <c r="AB1211">
        <v>4</v>
      </c>
      <c r="AC1211" t="s">
        <v>42</v>
      </c>
      <c r="AD1211">
        <v>1</v>
      </c>
    </row>
    <row r="1212" spans="1:30">
      <c r="A1212" t="str">
        <f>CONCATENATE(I1212,J1212)</f>
        <v>813GS2045GS</v>
      </c>
      <c r="B1212" s="34">
        <v>46273</v>
      </c>
      <c r="C1212" s="34">
        <v>46273</v>
      </c>
      <c r="D1212" t="s">
        <v>35</v>
      </c>
      <c r="E1212" t="s">
        <v>36</v>
      </c>
      <c r="F1212" t="s">
        <v>37</v>
      </c>
      <c r="G1212">
        <v>7124</v>
      </c>
      <c r="H1212" t="s">
        <v>3691</v>
      </c>
      <c r="I1212" t="s">
        <v>3692</v>
      </c>
      <c r="J1212" t="s">
        <v>3527</v>
      </c>
      <c r="O1212" t="s">
        <v>3693</v>
      </c>
      <c r="P1212">
        <v>113</v>
      </c>
      <c r="Q1212">
        <v>113</v>
      </c>
      <c r="R1212">
        <v>113</v>
      </c>
      <c r="S1212">
        <v>113</v>
      </c>
      <c r="T1212">
        <v>113</v>
      </c>
      <c r="U1212">
        <v>113.99</v>
      </c>
      <c r="W1212">
        <v>113</v>
      </c>
      <c r="Z1212">
        <v>22</v>
      </c>
      <c r="AA1212">
        <v>2486</v>
      </c>
      <c r="AB1212">
        <v>1</v>
      </c>
      <c r="AC1212" t="s">
        <v>42</v>
      </c>
      <c r="AD1212">
        <v>1</v>
      </c>
    </row>
    <row r="1213" spans="1:30">
      <c r="A1213" t="str">
        <f>CONCATENATE(I1213,J1213)</f>
        <v>824GS2027GS</v>
      </c>
      <c r="B1213" s="34">
        <v>46273</v>
      </c>
      <c r="C1213" s="34">
        <v>46273</v>
      </c>
      <c r="D1213" t="s">
        <v>35</v>
      </c>
      <c r="E1213" t="s">
        <v>36</v>
      </c>
      <c r="F1213" t="s">
        <v>37</v>
      </c>
      <c r="G1213">
        <v>6884</v>
      </c>
      <c r="H1213" t="s">
        <v>3694</v>
      </c>
      <c r="I1213" t="s">
        <v>3695</v>
      </c>
      <c r="J1213" t="s">
        <v>3527</v>
      </c>
      <c r="O1213" t="s">
        <v>3696</v>
      </c>
      <c r="P1213">
        <v>102</v>
      </c>
      <c r="Q1213">
        <v>102</v>
      </c>
      <c r="R1213">
        <v>101.65</v>
      </c>
      <c r="S1213">
        <v>101.65</v>
      </c>
      <c r="T1213">
        <v>101.65</v>
      </c>
      <c r="U1213">
        <v>101.7</v>
      </c>
      <c r="W1213">
        <v>101.65</v>
      </c>
      <c r="Z1213">
        <v>2603</v>
      </c>
      <c r="AA1213">
        <v>264595.3</v>
      </c>
      <c r="AB1213">
        <v>8</v>
      </c>
      <c r="AC1213" t="s">
        <v>42</v>
      </c>
      <c r="AD1213">
        <v>1</v>
      </c>
    </row>
    <row r="1214" spans="1:30">
      <c r="A1214" t="str">
        <f>CONCATENATE(I1214,J1214)</f>
        <v>897GS2030GS</v>
      </c>
      <c r="B1214" s="34">
        <v>46273</v>
      </c>
      <c r="C1214" s="34">
        <v>46273</v>
      </c>
      <c r="D1214" t="s">
        <v>35</v>
      </c>
      <c r="E1214" t="s">
        <v>36</v>
      </c>
      <c r="F1214" t="s">
        <v>37</v>
      </c>
      <c r="G1214">
        <v>7011</v>
      </c>
      <c r="H1214" t="s">
        <v>3697</v>
      </c>
      <c r="I1214" t="s">
        <v>3698</v>
      </c>
      <c r="J1214" t="s">
        <v>3527</v>
      </c>
      <c r="O1214" t="s">
        <v>3699</v>
      </c>
      <c r="P1214">
        <v>115</v>
      </c>
      <c r="Q1214">
        <v>115</v>
      </c>
      <c r="R1214">
        <v>115</v>
      </c>
      <c r="S1214">
        <v>115</v>
      </c>
      <c r="T1214">
        <v>115</v>
      </c>
      <c r="U1214">
        <v>112.5</v>
      </c>
      <c r="W1214">
        <v>115</v>
      </c>
      <c r="Z1214">
        <v>1</v>
      </c>
      <c r="AA1214">
        <v>115</v>
      </c>
      <c r="AB1214">
        <v>1</v>
      </c>
      <c r="AC1214" t="s">
        <v>42</v>
      </c>
      <c r="AD1214">
        <v>1</v>
      </c>
    </row>
    <row r="1215" spans="1:30">
      <c r="A1215" t="str">
        <f>CONCATENATE(I1215,J1215)</f>
        <v>92GS2030GS</v>
      </c>
      <c r="B1215" s="34">
        <v>46273</v>
      </c>
      <c r="C1215" s="34">
        <v>46273</v>
      </c>
      <c r="D1215" t="s">
        <v>35</v>
      </c>
      <c r="E1215" t="s">
        <v>36</v>
      </c>
      <c r="F1215" t="s">
        <v>37</v>
      </c>
      <c r="G1215">
        <v>7039</v>
      </c>
      <c r="H1215" t="s">
        <v>3700</v>
      </c>
      <c r="I1215" t="s">
        <v>3701</v>
      </c>
      <c r="J1215" t="s">
        <v>3527</v>
      </c>
      <c r="O1215" t="s">
        <v>3702</v>
      </c>
      <c r="P1215">
        <v>115.25</v>
      </c>
      <c r="Q1215">
        <v>115.5</v>
      </c>
      <c r="R1215">
        <v>115.1</v>
      </c>
      <c r="S1215">
        <v>115.1</v>
      </c>
      <c r="T1215">
        <v>115.1</v>
      </c>
      <c r="U1215">
        <v>115.32</v>
      </c>
      <c r="W1215">
        <v>115.1</v>
      </c>
      <c r="Z1215">
        <v>3810</v>
      </c>
      <c r="AA1215">
        <v>439151.4</v>
      </c>
      <c r="AB1215">
        <v>6</v>
      </c>
      <c r="AC1215" t="s">
        <v>42</v>
      </c>
      <c r="AD1215">
        <v>1</v>
      </c>
    </row>
    <row r="1216" spans="1:30">
      <c r="A1216" t="str">
        <f>CONCATENATE(I1216,J1216)</f>
        <v>182D180926TB</v>
      </c>
      <c r="B1216" s="34">
        <v>46273</v>
      </c>
      <c r="C1216" s="34">
        <v>46273</v>
      </c>
      <c r="D1216" t="s">
        <v>35</v>
      </c>
      <c r="E1216" t="s">
        <v>36</v>
      </c>
      <c r="F1216" t="s">
        <v>37</v>
      </c>
      <c r="G1216">
        <v>761480</v>
      </c>
      <c r="H1216" t="s">
        <v>3703</v>
      </c>
      <c r="I1216" t="s">
        <v>3704</v>
      </c>
      <c r="J1216" t="s">
        <v>3705</v>
      </c>
      <c r="O1216" t="s">
        <v>3706</v>
      </c>
      <c r="P1216">
        <v>99.8</v>
      </c>
      <c r="Q1216">
        <v>99.8</v>
      </c>
      <c r="R1216">
        <v>99.8</v>
      </c>
      <c r="S1216">
        <v>99.8</v>
      </c>
      <c r="T1216">
        <v>99.8</v>
      </c>
      <c r="U1216">
        <v>99.7</v>
      </c>
      <c r="W1216">
        <v>99.8</v>
      </c>
      <c r="Z1216">
        <v>1200</v>
      </c>
      <c r="AA1216">
        <v>119760</v>
      </c>
      <c r="AB1216">
        <v>10</v>
      </c>
      <c r="AC1216" t="s">
        <v>42</v>
      </c>
      <c r="AD1216">
        <v>100</v>
      </c>
    </row>
    <row r="1217" spans="1:30">
      <c r="A1217" t="str">
        <f>CONCATENATE(I1217,J1217)</f>
        <v>364D290727TB</v>
      </c>
      <c r="B1217" s="34">
        <v>46273</v>
      </c>
      <c r="C1217" s="34">
        <v>46273</v>
      </c>
      <c r="D1217" t="s">
        <v>35</v>
      </c>
      <c r="E1217" t="s">
        <v>36</v>
      </c>
      <c r="F1217" t="s">
        <v>37</v>
      </c>
      <c r="G1217">
        <v>764330</v>
      </c>
      <c r="H1217" t="s">
        <v>3707</v>
      </c>
      <c r="I1217" t="s">
        <v>3708</v>
      </c>
      <c r="J1217" t="s">
        <v>3705</v>
      </c>
      <c r="O1217" t="s">
        <v>3709</v>
      </c>
      <c r="P1217">
        <v>94.05</v>
      </c>
      <c r="Q1217">
        <v>94.05</v>
      </c>
      <c r="R1217">
        <v>94.05</v>
      </c>
      <c r="S1217">
        <v>94.05</v>
      </c>
      <c r="T1217">
        <v>94.05</v>
      </c>
      <c r="U1217">
        <v>94.6</v>
      </c>
      <c r="W1217">
        <v>94.05</v>
      </c>
      <c r="Z1217">
        <v>100</v>
      </c>
      <c r="AA1217">
        <v>9405</v>
      </c>
      <c r="AB1217">
        <v>1</v>
      </c>
      <c r="AC1217" t="s">
        <v>42</v>
      </c>
      <c r="AD1217">
        <v>100</v>
      </c>
    </row>
    <row r="1218" spans="1:30">
      <c r="A1218" t="str">
        <f>CONCATENATE(I1218,J1218)</f>
        <v>91D051126TB</v>
      </c>
      <c r="B1218" s="34">
        <v>46273</v>
      </c>
      <c r="C1218" s="34">
        <v>46273</v>
      </c>
      <c r="D1218" t="s">
        <v>35</v>
      </c>
      <c r="E1218" t="s">
        <v>36</v>
      </c>
      <c r="F1218" t="s">
        <v>37</v>
      </c>
      <c r="G1218">
        <v>764425</v>
      </c>
      <c r="H1218" t="s">
        <v>3710</v>
      </c>
      <c r="I1218" t="s">
        <v>3711</v>
      </c>
      <c r="J1218" t="s">
        <v>3705</v>
      </c>
      <c r="O1218" t="s">
        <v>3712</v>
      </c>
      <c r="P1218">
        <v>99</v>
      </c>
      <c r="Q1218">
        <v>99</v>
      </c>
      <c r="R1218">
        <v>99</v>
      </c>
      <c r="S1218">
        <v>99</v>
      </c>
      <c r="T1218">
        <v>99</v>
      </c>
      <c r="U1218">
        <v>98.75</v>
      </c>
      <c r="W1218">
        <v>99</v>
      </c>
      <c r="Z1218">
        <v>100</v>
      </c>
      <c r="AA1218">
        <v>9900</v>
      </c>
      <c r="AB1218">
        <v>1</v>
      </c>
      <c r="AC1218" t="s">
        <v>42</v>
      </c>
      <c r="AD1218">
        <v>100</v>
      </c>
    </row>
    <row r="1219" spans="1:30">
      <c r="A1219" t="str">
        <f>CONCATENATE(I1219,J1219)</f>
        <v>91D081026TB</v>
      </c>
      <c r="B1219" s="34">
        <v>46273</v>
      </c>
      <c r="C1219" s="34">
        <v>46273</v>
      </c>
      <c r="D1219" t="s">
        <v>35</v>
      </c>
      <c r="E1219" t="s">
        <v>36</v>
      </c>
      <c r="F1219" t="s">
        <v>37</v>
      </c>
      <c r="G1219">
        <v>764047</v>
      </c>
      <c r="H1219" t="s">
        <v>3713</v>
      </c>
      <c r="I1219" t="s">
        <v>3714</v>
      </c>
      <c r="J1219" t="s">
        <v>3705</v>
      </c>
      <c r="O1219" t="s">
        <v>3715</v>
      </c>
      <c r="P1219">
        <v>99.31</v>
      </c>
      <c r="Q1219">
        <v>99.42</v>
      </c>
      <c r="R1219">
        <v>99.31</v>
      </c>
      <c r="S1219">
        <v>99.42</v>
      </c>
      <c r="T1219">
        <v>99.42</v>
      </c>
      <c r="U1219">
        <v>99.31</v>
      </c>
      <c r="W1219">
        <v>99.42</v>
      </c>
      <c r="Z1219">
        <v>500</v>
      </c>
      <c r="AA1219">
        <v>49699</v>
      </c>
      <c r="AB1219">
        <v>5</v>
      </c>
      <c r="AC1219" t="s">
        <v>42</v>
      </c>
      <c r="AD1219">
        <v>100</v>
      </c>
    </row>
    <row r="1220" spans="1:30">
      <c r="A1220" t="str">
        <f>CONCATENATE(I1220,J1220)</f>
        <v>91D151026TB</v>
      </c>
      <c r="B1220" s="34">
        <v>46273</v>
      </c>
      <c r="C1220" s="34">
        <v>46273</v>
      </c>
      <c r="D1220" t="s">
        <v>35</v>
      </c>
      <c r="E1220" t="s">
        <v>36</v>
      </c>
      <c r="F1220" t="s">
        <v>37</v>
      </c>
      <c r="G1220">
        <v>764152</v>
      </c>
      <c r="H1220" t="s">
        <v>3716</v>
      </c>
      <c r="I1220" t="s">
        <v>3717</v>
      </c>
      <c r="J1220" t="s">
        <v>3705</v>
      </c>
      <c r="O1220" t="s">
        <v>3718</v>
      </c>
      <c r="P1220">
        <v>99.29</v>
      </c>
      <c r="Q1220">
        <v>99.29</v>
      </c>
      <c r="R1220">
        <v>99.29</v>
      </c>
      <c r="S1220">
        <v>99.29</v>
      </c>
      <c r="T1220">
        <v>99.29</v>
      </c>
      <c r="U1220">
        <v>99.35</v>
      </c>
      <c r="W1220">
        <v>99.07</v>
      </c>
      <c r="Z1220">
        <v>100</v>
      </c>
      <c r="AA1220">
        <v>9929</v>
      </c>
      <c r="AB1220">
        <v>1</v>
      </c>
      <c r="AC1220" t="s">
        <v>42</v>
      </c>
      <c r="AD1220">
        <v>100</v>
      </c>
    </row>
    <row r="1221" spans="1:30">
      <c r="A1221" t="str">
        <f>CONCATENATE(I1221,J1221)</f>
        <v>91D170926TB</v>
      </c>
      <c r="B1221" s="34">
        <v>46273</v>
      </c>
      <c r="C1221" s="34">
        <v>46273</v>
      </c>
      <c r="D1221" t="s">
        <v>35</v>
      </c>
      <c r="E1221" t="s">
        <v>36</v>
      </c>
      <c r="F1221" t="s">
        <v>37</v>
      </c>
      <c r="G1221">
        <v>753772</v>
      </c>
      <c r="H1221" t="s">
        <v>3719</v>
      </c>
      <c r="I1221" t="s">
        <v>3720</v>
      </c>
      <c r="J1221" t="s">
        <v>3705</v>
      </c>
      <c r="O1221" t="s">
        <v>3721</v>
      </c>
      <c r="P1221">
        <v>99.79</v>
      </c>
      <c r="Q1221">
        <v>99.79</v>
      </c>
      <c r="R1221">
        <v>99.79</v>
      </c>
      <c r="S1221">
        <v>99.79</v>
      </c>
      <c r="T1221">
        <v>99.79</v>
      </c>
      <c r="U1221">
        <v>99.67</v>
      </c>
      <c r="W1221">
        <v>99.79</v>
      </c>
      <c r="Z1221">
        <v>100</v>
      </c>
      <c r="AA1221">
        <v>9979</v>
      </c>
      <c r="AB1221">
        <v>1</v>
      </c>
      <c r="AC1221" t="s">
        <v>42</v>
      </c>
      <c r="AD1221">
        <v>100</v>
      </c>
    </row>
    <row r="1222" spans="1:30">
      <c r="A1222" t="str">
        <f>CONCATENATE(I1222,J1222)</f>
        <v>91D221026TB</v>
      </c>
      <c r="B1222" s="34">
        <v>46273</v>
      </c>
      <c r="C1222" s="34">
        <v>46273</v>
      </c>
      <c r="D1222" t="s">
        <v>35</v>
      </c>
      <c r="E1222" t="s">
        <v>36</v>
      </c>
      <c r="F1222" t="s">
        <v>37</v>
      </c>
      <c r="G1222">
        <v>764252</v>
      </c>
      <c r="H1222" t="s">
        <v>3722</v>
      </c>
      <c r="I1222" t="s">
        <v>3723</v>
      </c>
      <c r="J1222" t="s">
        <v>3705</v>
      </c>
      <c r="O1222" t="s">
        <v>3724</v>
      </c>
      <c r="P1222">
        <v>99.16</v>
      </c>
      <c r="Q1222">
        <v>99.16</v>
      </c>
      <c r="R1222">
        <v>99.16</v>
      </c>
      <c r="S1222">
        <v>99.16</v>
      </c>
      <c r="T1222">
        <v>99.16</v>
      </c>
      <c r="U1222">
        <v>99.2</v>
      </c>
      <c r="W1222">
        <v>99.16</v>
      </c>
      <c r="Z1222">
        <v>100</v>
      </c>
      <c r="AA1222">
        <v>9916</v>
      </c>
      <c r="AB1222">
        <v>1</v>
      </c>
      <c r="AC1222" t="s">
        <v>42</v>
      </c>
      <c r="AD1222">
        <v>100</v>
      </c>
    </row>
    <row r="1223" spans="1:30">
      <c r="A1223" t="str">
        <f>CONCATENATE(I1223,J1223)</f>
        <v>GOKEXEQ</v>
      </c>
      <c r="B1223" s="34">
        <v>46273</v>
      </c>
      <c r="C1223" s="34">
        <v>46273</v>
      </c>
      <c r="D1223" t="s">
        <v>35</v>
      </c>
      <c r="E1223" t="s">
        <v>36</v>
      </c>
      <c r="F1223" t="s">
        <v>37</v>
      </c>
      <c r="G1223">
        <v>11778</v>
      </c>
      <c r="H1223" t="s">
        <v>3725</v>
      </c>
      <c r="I1223" t="s">
        <v>3726</v>
      </c>
      <c r="J1223" t="s">
        <v>161</v>
      </c>
      <c r="O1223" t="s">
        <v>3727</v>
      </c>
      <c r="P1223">
        <v>774</v>
      </c>
      <c r="Q1223">
        <v>783.6</v>
      </c>
      <c r="R1223">
        <v>768.4</v>
      </c>
      <c r="S1223">
        <v>781.3</v>
      </c>
      <c r="T1223">
        <v>782.7</v>
      </c>
      <c r="U1223">
        <v>776.95</v>
      </c>
      <c r="W1223">
        <v>781.3</v>
      </c>
      <c r="Z1223">
        <v>106564</v>
      </c>
      <c r="AA1223">
        <v>82834715.799999997</v>
      </c>
      <c r="AB1223">
        <v>7174</v>
      </c>
      <c r="AC1223" t="s">
        <v>42</v>
      </c>
      <c r="AD1223">
        <v>1</v>
      </c>
    </row>
    <row r="1224" spans="1:30">
      <c r="A1224" t="str">
        <f>CONCATENATE(I1224,J1224)</f>
        <v>GOKULAGROEQ</v>
      </c>
      <c r="B1224" s="34">
        <v>46273</v>
      </c>
      <c r="C1224" s="34">
        <v>46273</v>
      </c>
      <c r="D1224" t="s">
        <v>35</v>
      </c>
      <c r="E1224" t="s">
        <v>36</v>
      </c>
      <c r="F1224" t="s">
        <v>37</v>
      </c>
      <c r="G1224">
        <v>14480</v>
      </c>
      <c r="H1224" t="s">
        <v>3728</v>
      </c>
      <c r="I1224" t="s">
        <v>3729</v>
      </c>
      <c r="J1224" t="s">
        <v>161</v>
      </c>
      <c r="O1224" t="s">
        <v>3730</v>
      </c>
      <c r="P1224">
        <v>231.45</v>
      </c>
      <c r="Q1224">
        <v>240</v>
      </c>
      <c r="R1224">
        <v>229.79</v>
      </c>
      <c r="S1224">
        <v>233.15</v>
      </c>
      <c r="T1224">
        <v>232.44</v>
      </c>
      <c r="U1224">
        <v>231.69</v>
      </c>
      <c r="W1224">
        <v>233.16</v>
      </c>
      <c r="Z1224">
        <v>875102</v>
      </c>
      <c r="AA1224">
        <v>205587380.55000001</v>
      </c>
      <c r="AB1224">
        <v>12902</v>
      </c>
      <c r="AC1224" t="s">
        <v>42</v>
      </c>
      <c r="AD1224">
        <v>1</v>
      </c>
    </row>
    <row r="1225" spans="1:30">
      <c r="A1225" t="str">
        <f>CONCATENATE(I1225,J1225)</f>
        <v>GOKULEQ</v>
      </c>
      <c r="B1225" s="34">
        <v>46273</v>
      </c>
      <c r="C1225" s="34">
        <v>46273</v>
      </c>
      <c r="D1225" t="s">
        <v>35</v>
      </c>
      <c r="E1225" t="s">
        <v>36</v>
      </c>
      <c r="F1225" t="s">
        <v>37</v>
      </c>
      <c r="G1225">
        <v>16705</v>
      </c>
      <c r="H1225" t="s">
        <v>3731</v>
      </c>
      <c r="I1225" t="s">
        <v>3732</v>
      </c>
      <c r="J1225" t="s">
        <v>161</v>
      </c>
      <c r="O1225" t="s">
        <v>3733</v>
      </c>
      <c r="P1225">
        <v>43.8</v>
      </c>
      <c r="Q1225">
        <v>44.4</v>
      </c>
      <c r="R1225">
        <v>42.02</v>
      </c>
      <c r="S1225">
        <v>42.54</v>
      </c>
      <c r="T1225">
        <v>42.15</v>
      </c>
      <c r="U1225">
        <v>42.85</v>
      </c>
      <c r="W1225">
        <v>42.55</v>
      </c>
      <c r="Z1225">
        <v>154949</v>
      </c>
      <c r="AA1225">
        <v>6674071.2699999996</v>
      </c>
      <c r="AB1225">
        <v>625</v>
      </c>
      <c r="AC1225" t="s">
        <v>42</v>
      </c>
      <c r="AD1225">
        <v>1</v>
      </c>
    </row>
    <row r="1226" spans="1:30">
      <c r="A1226" t="str">
        <f>CONCATENATE(I1226,J1226)</f>
        <v>GOLDENTOBCBZ</v>
      </c>
      <c r="B1226" s="34">
        <v>46273</v>
      </c>
      <c r="C1226" s="34">
        <v>46273</v>
      </c>
      <c r="D1226" t="s">
        <v>35</v>
      </c>
      <c r="E1226" t="s">
        <v>36</v>
      </c>
      <c r="F1226" t="s">
        <v>37</v>
      </c>
      <c r="G1226">
        <v>11619</v>
      </c>
      <c r="H1226" t="s">
        <v>3734</v>
      </c>
      <c r="I1226" t="s">
        <v>3735</v>
      </c>
      <c r="J1226" t="s">
        <v>551</v>
      </c>
      <c r="O1226" t="s">
        <v>3736</v>
      </c>
      <c r="P1226">
        <v>25.19</v>
      </c>
      <c r="Q1226">
        <v>25.35</v>
      </c>
      <c r="R1226">
        <v>24</v>
      </c>
      <c r="S1226">
        <v>25.3</v>
      </c>
      <c r="T1226">
        <v>25.25</v>
      </c>
      <c r="U1226">
        <v>24.25</v>
      </c>
      <c r="W1226">
        <v>25.3</v>
      </c>
      <c r="Z1226">
        <v>3341</v>
      </c>
      <c r="AA1226">
        <v>82355.360000000001</v>
      </c>
      <c r="AB1226">
        <v>18</v>
      </c>
      <c r="AC1226" t="s">
        <v>42</v>
      </c>
      <c r="AD1226">
        <v>1</v>
      </c>
    </row>
    <row r="1227" spans="1:30">
      <c r="A1227" t="str">
        <f>CONCATENATE(I1227,J1227)</f>
        <v>GOLDIAMEQ</v>
      </c>
      <c r="B1227" s="34">
        <v>46273</v>
      </c>
      <c r="C1227" s="34">
        <v>46273</v>
      </c>
      <c r="D1227" t="s">
        <v>35</v>
      </c>
      <c r="E1227" t="s">
        <v>36</v>
      </c>
      <c r="F1227" t="s">
        <v>37</v>
      </c>
      <c r="G1227">
        <v>11971</v>
      </c>
      <c r="H1227" t="s">
        <v>3737</v>
      </c>
      <c r="I1227" t="s">
        <v>3738</v>
      </c>
      <c r="J1227" t="s">
        <v>161</v>
      </c>
      <c r="O1227" t="s">
        <v>3739</v>
      </c>
      <c r="P1227">
        <v>339.45</v>
      </c>
      <c r="Q1227">
        <v>343.9</v>
      </c>
      <c r="R1227">
        <v>335.6</v>
      </c>
      <c r="S1227">
        <v>338.2</v>
      </c>
      <c r="T1227">
        <v>337.65</v>
      </c>
      <c r="U1227">
        <v>340.45</v>
      </c>
      <c r="W1227">
        <v>338.21</v>
      </c>
      <c r="Z1227">
        <v>583593</v>
      </c>
      <c r="AA1227">
        <v>197914964.84999999</v>
      </c>
      <c r="AB1227">
        <v>14087</v>
      </c>
      <c r="AC1227" t="s">
        <v>42</v>
      </c>
      <c r="AD1227">
        <v>1</v>
      </c>
    </row>
    <row r="1228" spans="1:30">
      <c r="A1228" t="str">
        <f>CONCATENATE(I1228,J1228)</f>
        <v>GOLDSTARSM</v>
      </c>
      <c r="B1228" s="34">
        <v>46273</v>
      </c>
      <c r="C1228" s="34">
        <v>46273</v>
      </c>
      <c r="D1228" t="s">
        <v>35</v>
      </c>
      <c r="E1228" t="s">
        <v>36</v>
      </c>
      <c r="F1228" t="s">
        <v>37</v>
      </c>
      <c r="G1228">
        <v>1</v>
      </c>
      <c r="H1228" t="s">
        <v>3740</v>
      </c>
      <c r="I1228" t="s">
        <v>3741</v>
      </c>
      <c r="J1228" t="s">
        <v>267</v>
      </c>
      <c r="O1228" t="s">
        <v>3742</v>
      </c>
      <c r="P1228">
        <v>7.6</v>
      </c>
      <c r="Q1228">
        <v>7.9</v>
      </c>
      <c r="R1228">
        <v>7.6</v>
      </c>
      <c r="S1228">
        <v>7.6</v>
      </c>
      <c r="T1228">
        <v>7.6</v>
      </c>
      <c r="U1228">
        <v>7.9</v>
      </c>
      <c r="W1228">
        <v>7.6</v>
      </c>
      <c r="Z1228">
        <v>33750</v>
      </c>
      <c r="AA1228">
        <v>259875</v>
      </c>
      <c r="AB1228">
        <v>3</v>
      </c>
      <c r="AC1228" t="s">
        <v>42</v>
      </c>
      <c r="AD1228">
        <v>11250</v>
      </c>
    </row>
    <row r="1229" spans="1:30">
      <c r="A1229" t="str">
        <f>CONCATENATE(I1229,J1229)</f>
        <v>GOODLUCKEQ</v>
      </c>
      <c r="B1229" s="34">
        <v>46273</v>
      </c>
      <c r="C1229" s="34">
        <v>46273</v>
      </c>
      <c r="D1229" t="s">
        <v>35</v>
      </c>
      <c r="E1229" t="s">
        <v>36</v>
      </c>
      <c r="F1229" t="s">
        <v>37</v>
      </c>
      <c r="G1229">
        <v>6125</v>
      </c>
      <c r="H1229" t="s">
        <v>3743</v>
      </c>
      <c r="I1229" t="s">
        <v>3744</v>
      </c>
      <c r="J1229" t="s">
        <v>161</v>
      </c>
      <c r="O1229" t="s">
        <v>3745</v>
      </c>
      <c r="P1229">
        <v>480</v>
      </c>
      <c r="Q1229">
        <v>528.79999999999995</v>
      </c>
      <c r="R1229">
        <v>465.05</v>
      </c>
      <c r="S1229">
        <v>515.65</v>
      </c>
      <c r="T1229">
        <v>518</v>
      </c>
      <c r="U1229">
        <v>479.75</v>
      </c>
      <c r="W1229">
        <v>515.61</v>
      </c>
      <c r="Z1229">
        <v>1569090</v>
      </c>
      <c r="AA1229">
        <v>786835510.45000005</v>
      </c>
      <c r="AB1229">
        <v>28526</v>
      </c>
      <c r="AC1229" t="s">
        <v>42</v>
      </c>
      <c r="AD1229">
        <v>1</v>
      </c>
    </row>
    <row r="1230" spans="1:30">
      <c r="A1230" t="str">
        <f>CONCATENATE(I1230,J1230)</f>
        <v>GOODYEAREQ</v>
      </c>
      <c r="B1230" s="34">
        <v>46273</v>
      </c>
      <c r="C1230" s="34">
        <v>46273</v>
      </c>
      <c r="D1230" t="s">
        <v>35</v>
      </c>
      <c r="E1230" t="s">
        <v>36</v>
      </c>
      <c r="F1230" t="s">
        <v>37</v>
      </c>
      <c r="G1230">
        <v>1205</v>
      </c>
      <c r="H1230" t="s">
        <v>3746</v>
      </c>
      <c r="I1230" t="s">
        <v>3747</v>
      </c>
      <c r="J1230" t="s">
        <v>161</v>
      </c>
      <c r="O1230" t="s">
        <v>3748</v>
      </c>
      <c r="P1230">
        <v>730.8</v>
      </c>
      <c r="Q1230">
        <v>734.85</v>
      </c>
      <c r="R1230">
        <v>723.5</v>
      </c>
      <c r="S1230">
        <v>725.2</v>
      </c>
      <c r="T1230">
        <v>723.6</v>
      </c>
      <c r="U1230">
        <v>730.8</v>
      </c>
      <c r="W1230">
        <v>726.46</v>
      </c>
      <c r="Z1230">
        <v>4216</v>
      </c>
      <c r="AA1230">
        <v>3066289.95</v>
      </c>
      <c r="AB1230">
        <v>412</v>
      </c>
      <c r="AC1230" t="s">
        <v>42</v>
      </c>
      <c r="AD1230">
        <v>1</v>
      </c>
    </row>
    <row r="1231" spans="1:30">
      <c r="A1231" t="str">
        <f>CONCATENATE(I1231,J1231)</f>
        <v>GOPALEQ</v>
      </c>
      <c r="B1231" s="34">
        <v>46273</v>
      </c>
      <c r="C1231" s="34">
        <v>46273</v>
      </c>
      <c r="D1231" t="s">
        <v>35</v>
      </c>
      <c r="E1231" t="s">
        <v>36</v>
      </c>
      <c r="F1231" t="s">
        <v>37</v>
      </c>
      <c r="G1231">
        <v>23066</v>
      </c>
      <c r="H1231" t="s">
        <v>3749</v>
      </c>
      <c r="I1231" t="s">
        <v>3750</v>
      </c>
      <c r="J1231" t="s">
        <v>161</v>
      </c>
      <c r="O1231" t="s">
        <v>3751</v>
      </c>
      <c r="P1231">
        <v>267.7</v>
      </c>
      <c r="Q1231">
        <v>267.7</v>
      </c>
      <c r="R1231">
        <v>263</v>
      </c>
      <c r="S1231">
        <v>264.2</v>
      </c>
      <c r="T1231">
        <v>263</v>
      </c>
      <c r="U1231">
        <v>266.3</v>
      </c>
      <c r="W1231">
        <v>264.20999999999998</v>
      </c>
      <c r="Z1231">
        <v>91892</v>
      </c>
      <c r="AA1231">
        <v>24259976.199999999</v>
      </c>
      <c r="AB1231">
        <v>4445</v>
      </c>
      <c r="AC1231" t="s">
        <v>42</v>
      </c>
      <c r="AD1231">
        <v>1</v>
      </c>
    </row>
    <row r="1232" spans="1:30">
      <c r="A1232" t="str">
        <f>CONCATENATE(I1232,J1232)</f>
        <v>GOYALALUMEQ</v>
      </c>
      <c r="B1232" s="34">
        <v>46273</v>
      </c>
      <c r="C1232" s="34">
        <v>46273</v>
      </c>
      <c r="D1232" t="s">
        <v>35</v>
      </c>
      <c r="E1232" t="s">
        <v>36</v>
      </c>
      <c r="F1232" t="s">
        <v>37</v>
      </c>
      <c r="G1232">
        <v>11787</v>
      </c>
      <c r="H1232" t="s">
        <v>3752</v>
      </c>
      <c r="I1232" t="s">
        <v>3753</v>
      </c>
      <c r="J1232" t="s">
        <v>161</v>
      </c>
      <c r="O1232" t="s">
        <v>3754</v>
      </c>
      <c r="P1232">
        <v>6.33</v>
      </c>
      <c r="Q1232">
        <v>6.33</v>
      </c>
      <c r="R1232">
        <v>6.13</v>
      </c>
      <c r="S1232">
        <v>6.21</v>
      </c>
      <c r="T1232">
        <v>6.23</v>
      </c>
      <c r="U1232">
        <v>6.16</v>
      </c>
      <c r="W1232">
        <v>6.22</v>
      </c>
      <c r="Z1232">
        <v>45367</v>
      </c>
      <c r="AA1232">
        <v>282282.19</v>
      </c>
      <c r="AB1232">
        <v>343</v>
      </c>
      <c r="AC1232" t="s">
        <v>42</v>
      </c>
      <c r="AD1232">
        <v>1</v>
      </c>
    </row>
    <row r="1233" spans="1:30">
      <c r="A1233" t="str">
        <f>CONCATENATE(I1233,J1233)</f>
        <v>GOYALSALTSM</v>
      </c>
      <c r="B1233" s="34">
        <v>46273</v>
      </c>
      <c r="C1233" s="34">
        <v>46273</v>
      </c>
      <c r="D1233" t="s">
        <v>35</v>
      </c>
      <c r="E1233" t="s">
        <v>36</v>
      </c>
      <c r="F1233" t="s">
        <v>37</v>
      </c>
      <c r="G1233">
        <v>19356</v>
      </c>
      <c r="H1233" t="s">
        <v>3755</v>
      </c>
      <c r="I1233" t="s">
        <v>3756</v>
      </c>
      <c r="J1233" t="s">
        <v>267</v>
      </c>
      <c r="O1233" t="s">
        <v>3757</v>
      </c>
      <c r="P1233">
        <v>103.05</v>
      </c>
      <c r="Q1233">
        <v>103.05</v>
      </c>
      <c r="R1233">
        <v>103.05</v>
      </c>
      <c r="S1233">
        <v>103.05</v>
      </c>
      <c r="T1233">
        <v>103.05</v>
      </c>
      <c r="U1233">
        <v>102.75</v>
      </c>
      <c r="W1233">
        <v>103.05</v>
      </c>
      <c r="Z1233">
        <v>600</v>
      </c>
      <c r="AA1233">
        <v>61830</v>
      </c>
      <c r="AB1233">
        <v>1</v>
      </c>
      <c r="AC1233" t="s">
        <v>42</v>
      </c>
      <c r="AD1233">
        <v>600</v>
      </c>
    </row>
    <row r="1234" spans="1:30">
      <c r="A1234" t="str">
        <f>CONCATENATE(I1234,J1234)</f>
        <v>GPECOSM</v>
      </c>
      <c r="B1234" s="34">
        <v>46273</v>
      </c>
      <c r="C1234" s="34">
        <v>46273</v>
      </c>
      <c r="D1234" t="s">
        <v>35</v>
      </c>
      <c r="E1234" t="s">
        <v>36</v>
      </c>
      <c r="F1234" t="s">
        <v>37</v>
      </c>
      <c r="G1234">
        <v>24108</v>
      </c>
      <c r="H1234" t="s">
        <v>3758</v>
      </c>
      <c r="I1234" t="s">
        <v>3759</v>
      </c>
      <c r="J1234" t="s">
        <v>267</v>
      </c>
      <c r="O1234" t="s">
        <v>3760</v>
      </c>
      <c r="P1234">
        <v>414</v>
      </c>
      <c r="Q1234">
        <v>418.95</v>
      </c>
      <c r="R1234">
        <v>400</v>
      </c>
      <c r="S1234">
        <v>408.7</v>
      </c>
      <c r="T1234">
        <v>408.65</v>
      </c>
      <c r="U1234">
        <v>417.9</v>
      </c>
      <c r="W1234">
        <v>408.7</v>
      </c>
      <c r="Z1234">
        <v>14800</v>
      </c>
      <c r="AA1234">
        <v>6015970</v>
      </c>
      <c r="AB1234">
        <v>60</v>
      </c>
      <c r="AC1234" t="s">
        <v>42</v>
      </c>
      <c r="AD1234">
        <v>200</v>
      </c>
    </row>
    <row r="1235" spans="1:30">
      <c r="A1235" t="str">
        <f>CONCATENATE(I1235,J1235)</f>
        <v>GULFPETROBE</v>
      </c>
      <c r="B1235" s="34">
        <v>46273</v>
      </c>
      <c r="C1235" s="34">
        <v>46273</v>
      </c>
      <c r="D1235" t="s">
        <v>35</v>
      </c>
      <c r="E1235" t="s">
        <v>36</v>
      </c>
      <c r="F1235" t="s">
        <v>37</v>
      </c>
      <c r="G1235">
        <v>11584</v>
      </c>
      <c r="H1235" t="s">
        <v>3761</v>
      </c>
      <c r="I1235" t="s">
        <v>3762</v>
      </c>
      <c r="J1235" t="s">
        <v>183</v>
      </c>
      <c r="O1235" t="s">
        <v>3763</v>
      </c>
      <c r="P1235">
        <v>64.599999999999994</v>
      </c>
      <c r="Q1235">
        <v>66.5</v>
      </c>
      <c r="R1235">
        <v>62.01</v>
      </c>
      <c r="S1235">
        <v>64.62</v>
      </c>
      <c r="T1235">
        <v>64.77</v>
      </c>
      <c r="U1235">
        <v>65.27</v>
      </c>
      <c r="W1235">
        <v>64.62</v>
      </c>
      <c r="Z1235">
        <v>155261</v>
      </c>
      <c r="AA1235">
        <v>10013952.960000001</v>
      </c>
      <c r="AB1235">
        <v>449</v>
      </c>
      <c r="AC1235" t="s">
        <v>42</v>
      </c>
      <c r="AD1235">
        <v>1</v>
      </c>
    </row>
    <row r="1236" spans="1:30">
      <c r="A1236" t="str">
        <f>CONCATENATE(I1236,J1236)</f>
        <v>GPTHEALTHEQ</v>
      </c>
      <c r="B1236" s="34">
        <v>46273</v>
      </c>
      <c r="C1236" s="34">
        <v>46273</v>
      </c>
      <c r="D1236" t="s">
        <v>35</v>
      </c>
      <c r="E1236" t="s">
        <v>36</v>
      </c>
      <c r="F1236" t="s">
        <v>37</v>
      </c>
      <c r="G1236">
        <v>22846</v>
      </c>
      <c r="H1236" t="s">
        <v>3764</v>
      </c>
      <c r="I1236" t="s">
        <v>3765</v>
      </c>
      <c r="J1236" t="s">
        <v>161</v>
      </c>
      <c r="O1236" t="s">
        <v>3766</v>
      </c>
      <c r="P1236">
        <v>161.37</v>
      </c>
      <c r="Q1236">
        <v>164.4</v>
      </c>
      <c r="R1236">
        <v>159</v>
      </c>
      <c r="S1236">
        <v>160.69999999999999</v>
      </c>
      <c r="T1236">
        <v>161.49</v>
      </c>
      <c r="U1236">
        <v>161.37</v>
      </c>
      <c r="W1236">
        <v>160.72999999999999</v>
      </c>
      <c r="Z1236">
        <v>145874</v>
      </c>
      <c r="AA1236">
        <v>23633771.640000001</v>
      </c>
      <c r="AB1236">
        <v>3040</v>
      </c>
      <c r="AC1236" t="s">
        <v>42</v>
      </c>
      <c r="AD1236">
        <v>1</v>
      </c>
    </row>
    <row r="1237" spans="1:30">
      <c r="A1237" t="str">
        <f>CONCATENATE(I1237,J1237)</f>
        <v>GPTINFRAEQ</v>
      </c>
      <c r="B1237" s="34">
        <v>46273</v>
      </c>
      <c r="C1237" s="34">
        <v>46273</v>
      </c>
      <c r="D1237" t="s">
        <v>35</v>
      </c>
      <c r="E1237" t="s">
        <v>36</v>
      </c>
      <c r="F1237" t="s">
        <v>37</v>
      </c>
      <c r="G1237">
        <v>17685</v>
      </c>
      <c r="H1237" t="s">
        <v>3767</v>
      </c>
      <c r="I1237" t="s">
        <v>3768</v>
      </c>
      <c r="J1237" t="s">
        <v>161</v>
      </c>
      <c r="O1237" t="s">
        <v>3769</v>
      </c>
      <c r="P1237">
        <v>111.2</v>
      </c>
      <c r="Q1237">
        <v>113</v>
      </c>
      <c r="R1237">
        <v>110.5</v>
      </c>
      <c r="S1237">
        <v>111.42</v>
      </c>
      <c r="T1237">
        <v>110.65</v>
      </c>
      <c r="U1237">
        <v>111.76</v>
      </c>
      <c r="W1237">
        <v>111.41</v>
      </c>
      <c r="Z1237">
        <v>143162</v>
      </c>
      <c r="AA1237">
        <v>15977985.48</v>
      </c>
      <c r="AB1237">
        <v>1446</v>
      </c>
      <c r="AC1237" t="s">
        <v>42</v>
      </c>
      <c r="AD1237">
        <v>1</v>
      </c>
    </row>
    <row r="1238" spans="1:30">
      <c r="A1238" t="str">
        <f>CONCATENATE(I1238,J1238)</f>
        <v>GRADIENTEEQ</v>
      </c>
      <c r="B1238" s="34">
        <v>46273</v>
      </c>
      <c r="C1238" s="34">
        <v>46273</v>
      </c>
      <c r="D1238" t="s">
        <v>35</v>
      </c>
      <c r="E1238" t="s">
        <v>36</v>
      </c>
      <c r="F1238" t="s">
        <v>37</v>
      </c>
      <c r="G1238">
        <v>763299</v>
      </c>
      <c r="H1238" t="s">
        <v>3770</v>
      </c>
      <c r="I1238" t="s">
        <v>3771</v>
      </c>
      <c r="J1238" t="s">
        <v>161</v>
      </c>
      <c r="O1238" t="s">
        <v>3772</v>
      </c>
      <c r="P1238">
        <v>2.62</v>
      </c>
      <c r="Q1238">
        <v>2.67</v>
      </c>
      <c r="R1238">
        <v>2.52</v>
      </c>
      <c r="S1238">
        <v>2.54</v>
      </c>
      <c r="T1238">
        <v>2.59</v>
      </c>
      <c r="U1238">
        <v>2.64</v>
      </c>
      <c r="W1238">
        <v>2.54</v>
      </c>
      <c r="Z1238">
        <v>1367910</v>
      </c>
      <c r="AA1238">
        <v>3548907.38</v>
      </c>
      <c r="AB1238">
        <v>383</v>
      </c>
      <c r="AC1238" t="s">
        <v>42</v>
      </c>
      <c r="AD1238">
        <v>1</v>
      </c>
    </row>
    <row r="1239" spans="1:30">
      <c r="A1239" t="str">
        <f>CONCATENATE(I1239,J1239)</f>
        <v>GCHOTELSST</v>
      </c>
      <c r="B1239" s="34">
        <v>46273</v>
      </c>
      <c r="C1239" s="34">
        <v>46273</v>
      </c>
      <c r="D1239" t="s">
        <v>35</v>
      </c>
      <c r="E1239" t="s">
        <v>36</v>
      </c>
      <c r="F1239" t="s">
        <v>37</v>
      </c>
      <c r="G1239">
        <v>30289</v>
      </c>
      <c r="H1239" t="s">
        <v>3773</v>
      </c>
      <c r="I1239" t="s">
        <v>3774</v>
      </c>
      <c r="J1239" t="s">
        <v>328</v>
      </c>
      <c r="O1239" t="s">
        <v>3775</v>
      </c>
      <c r="P1239">
        <v>98</v>
      </c>
      <c r="Q1239">
        <v>99.15</v>
      </c>
      <c r="R1239">
        <v>95.3</v>
      </c>
      <c r="S1239">
        <v>99.15</v>
      </c>
      <c r="T1239">
        <v>99.15</v>
      </c>
      <c r="U1239">
        <v>99.2</v>
      </c>
      <c r="W1239">
        <v>99.15</v>
      </c>
      <c r="Z1239">
        <v>25800</v>
      </c>
      <c r="AA1239">
        <v>2539740</v>
      </c>
      <c r="AB1239">
        <v>27</v>
      </c>
      <c r="AC1239" t="s">
        <v>42</v>
      </c>
      <c r="AD1239">
        <v>600</v>
      </c>
    </row>
    <row r="1240" spans="1:30">
      <c r="A1240" t="str">
        <f>CONCATENATE(I1240,J1240)</f>
        <v>GFSTEELSEQ</v>
      </c>
      <c r="B1240" s="34">
        <v>46273</v>
      </c>
      <c r="C1240" s="34">
        <v>46273</v>
      </c>
      <c r="D1240" t="s">
        <v>35</v>
      </c>
      <c r="E1240" t="s">
        <v>36</v>
      </c>
      <c r="F1240" t="s">
        <v>37</v>
      </c>
      <c r="G1240">
        <v>11080</v>
      </c>
      <c r="H1240" t="s">
        <v>3776</v>
      </c>
      <c r="I1240" t="s">
        <v>3777</v>
      </c>
      <c r="J1240" t="s">
        <v>161</v>
      </c>
      <c r="O1240" t="s">
        <v>3778</v>
      </c>
      <c r="P1240">
        <v>16.5</v>
      </c>
      <c r="Q1240">
        <v>16.5</v>
      </c>
      <c r="R1240">
        <v>16.5</v>
      </c>
      <c r="S1240">
        <v>16.5</v>
      </c>
      <c r="T1240">
        <v>16.5</v>
      </c>
      <c r="U1240">
        <v>15</v>
      </c>
      <c r="W1240">
        <v>14.65</v>
      </c>
      <c r="Z1240">
        <v>5204</v>
      </c>
      <c r="AA1240">
        <v>85866</v>
      </c>
      <c r="AB1240">
        <v>17</v>
      </c>
      <c r="AC1240" t="s">
        <v>42</v>
      </c>
      <c r="AD1240">
        <v>1</v>
      </c>
    </row>
    <row r="1241" spans="1:30">
      <c r="A1241" t="str">
        <f>CONCATENATE(I1241,J1241)</f>
        <v>GRANDOAKEQ</v>
      </c>
      <c r="B1241" s="34">
        <v>46273</v>
      </c>
      <c r="C1241" s="34">
        <v>46273</v>
      </c>
      <c r="D1241" t="s">
        <v>35</v>
      </c>
      <c r="E1241" t="s">
        <v>36</v>
      </c>
      <c r="F1241" t="s">
        <v>37</v>
      </c>
      <c r="G1241">
        <v>762695</v>
      </c>
      <c r="H1241" t="s">
        <v>3779</v>
      </c>
      <c r="I1241" t="s">
        <v>3780</v>
      </c>
      <c r="J1241" t="s">
        <v>161</v>
      </c>
      <c r="O1241" t="s">
        <v>3781</v>
      </c>
      <c r="P1241">
        <v>36.25</v>
      </c>
      <c r="Q1241">
        <v>36.25</v>
      </c>
      <c r="R1241">
        <v>34.36</v>
      </c>
      <c r="S1241">
        <v>34.56</v>
      </c>
      <c r="T1241">
        <v>35</v>
      </c>
      <c r="U1241">
        <v>35.86</v>
      </c>
      <c r="W1241">
        <v>34.630000000000003</v>
      </c>
      <c r="Z1241">
        <v>772</v>
      </c>
      <c r="AA1241">
        <v>26771.46</v>
      </c>
      <c r="AB1241">
        <v>44</v>
      </c>
      <c r="AC1241" t="s">
        <v>42</v>
      </c>
      <c r="AD1241">
        <v>1</v>
      </c>
    </row>
    <row r="1242" spans="1:30">
      <c r="A1242" t="str">
        <f>CONCATENATE(I1242,J1242)</f>
        <v>GRANULESEQ</v>
      </c>
      <c r="B1242" s="34">
        <v>46273</v>
      </c>
      <c r="C1242" s="34">
        <v>46273</v>
      </c>
      <c r="D1242" t="s">
        <v>35</v>
      </c>
      <c r="E1242" t="s">
        <v>36</v>
      </c>
      <c r="F1242" t="s">
        <v>37</v>
      </c>
      <c r="G1242">
        <v>11872</v>
      </c>
      <c r="H1242" t="s">
        <v>3782</v>
      </c>
      <c r="I1242" t="s">
        <v>3783</v>
      </c>
      <c r="J1242" t="s">
        <v>161</v>
      </c>
      <c r="O1242" t="s">
        <v>3784</v>
      </c>
      <c r="P1242">
        <v>869</v>
      </c>
      <c r="Q1242">
        <v>899.85</v>
      </c>
      <c r="R1242">
        <v>865</v>
      </c>
      <c r="S1242">
        <v>895.35</v>
      </c>
      <c r="T1242">
        <v>892</v>
      </c>
      <c r="U1242">
        <v>867.3</v>
      </c>
      <c r="W1242">
        <v>895.37</v>
      </c>
      <c r="Z1242">
        <v>2111998</v>
      </c>
      <c r="AA1242">
        <v>1870984725.95</v>
      </c>
      <c r="AB1242">
        <v>64068</v>
      </c>
      <c r="AC1242" t="s">
        <v>42</v>
      </c>
      <c r="AD1242">
        <v>1</v>
      </c>
    </row>
    <row r="1243" spans="1:30">
      <c r="A1243" t="str">
        <f>CONCATENATE(I1243,J1243)</f>
        <v>GRAPHISADSM</v>
      </c>
      <c r="B1243" s="34">
        <v>46273</v>
      </c>
      <c r="C1243" s="34">
        <v>46273</v>
      </c>
      <c r="D1243" t="s">
        <v>35</v>
      </c>
      <c r="E1243" t="s">
        <v>36</v>
      </c>
      <c r="F1243" t="s">
        <v>37</v>
      </c>
      <c r="G1243">
        <v>20454</v>
      </c>
      <c r="H1243" t="s">
        <v>3785</v>
      </c>
      <c r="I1243" t="s">
        <v>3786</v>
      </c>
      <c r="J1243" t="s">
        <v>267</v>
      </c>
      <c r="O1243" t="s">
        <v>3787</v>
      </c>
      <c r="P1243">
        <v>26.1</v>
      </c>
      <c r="Q1243">
        <v>26.1</v>
      </c>
      <c r="R1243">
        <v>24.7</v>
      </c>
      <c r="S1243">
        <v>25.35</v>
      </c>
      <c r="T1243">
        <v>25.4</v>
      </c>
      <c r="U1243">
        <v>26</v>
      </c>
      <c r="W1243">
        <v>25.35</v>
      </c>
      <c r="Z1243">
        <v>18000</v>
      </c>
      <c r="AA1243">
        <v>453180</v>
      </c>
      <c r="AB1243">
        <v>14</v>
      </c>
      <c r="AC1243" t="s">
        <v>42</v>
      </c>
      <c r="AD1243">
        <v>1200</v>
      </c>
    </row>
    <row r="1244" spans="1:30">
      <c r="A1244" t="str">
        <f>CONCATENATE(I1244,J1244)</f>
        <v>GRAPHITEEQ</v>
      </c>
      <c r="B1244" s="34">
        <v>46273</v>
      </c>
      <c r="C1244" s="34">
        <v>46273</v>
      </c>
      <c r="D1244" t="s">
        <v>35</v>
      </c>
      <c r="E1244" t="s">
        <v>36</v>
      </c>
      <c r="F1244" t="s">
        <v>37</v>
      </c>
      <c r="G1244">
        <v>592</v>
      </c>
      <c r="H1244" t="s">
        <v>3788</v>
      </c>
      <c r="I1244" t="s">
        <v>3789</v>
      </c>
      <c r="J1244" t="s">
        <v>161</v>
      </c>
      <c r="O1244" t="s">
        <v>3790</v>
      </c>
      <c r="P1244">
        <v>718</v>
      </c>
      <c r="Q1244">
        <v>743.9</v>
      </c>
      <c r="R1244">
        <v>713</v>
      </c>
      <c r="S1244">
        <v>734.25</v>
      </c>
      <c r="T1244">
        <v>734.95</v>
      </c>
      <c r="U1244">
        <v>717.1</v>
      </c>
      <c r="W1244">
        <v>734.26</v>
      </c>
      <c r="Z1244">
        <v>1208880</v>
      </c>
      <c r="AA1244">
        <v>887737450.54999995</v>
      </c>
      <c r="AB1244">
        <v>34376</v>
      </c>
      <c r="AC1244" t="s">
        <v>42</v>
      </c>
      <c r="AD1244">
        <v>1</v>
      </c>
    </row>
    <row r="1245" spans="1:30">
      <c r="A1245" t="str">
        <f>CONCATENATE(I1245,J1245)</f>
        <v>GRASIMEQ</v>
      </c>
      <c r="B1245" s="34">
        <v>46273</v>
      </c>
      <c r="C1245" s="34">
        <v>46273</v>
      </c>
      <c r="D1245" t="s">
        <v>35</v>
      </c>
      <c r="E1245" t="s">
        <v>36</v>
      </c>
      <c r="F1245" t="s">
        <v>37</v>
      </c>
      <c r="G1245">
        <v>1232</v>
      </c>
      <c r="H1245" t="s">
        <v>3791</v>
      </c>
      <c r="I1245" t="s">
        <v>3792</v>
      </c>
      <c r="J1245" t="s">
        <v>161</v>
      </c>
      <c r="O1245" t="s">
        <v>3793</v>
      </c>
      <c r="P1245">
        <v>3302.4</v>
      </c>
      <c r="Q1245">
        <v>3318.2</v>
      </c>
      <c r="R1245">
        <v>3277</v>
      </c>
      <c r="S1245">
        <v>3306.8</v>
      </c>
      <c r="T1245">
        <v>3306.8</v>
      </c>
      <c r="U1245">
        <v>3302.4</v>
      </c>
      <c r="W1245">
        <v>3306.82</v>
      </c>
      <c r="Z1245">
        <v>875447</v>
      </c>
      <c r="AA1245">
        <v>2886458226.3000002</v>
      </c>
      <c r="AB1245">
        <v>30556</v>
      </c>
      <c r="AC1245" t="s">
        <v>42</v>
      </c>
      <c r="AD1245">
        <v>1</v>
      </c>
    </row>
    <row r="1246" spans="1:30">
      <c r="A1246" t="str">
        <f>CONCATENATE(I1246,J1246)</f>
        <v>GRAUWEILEQ</v>
      </c>
      <c r="B1246" s="34">
        <v>46273</v>
      </c>
      <c r="C1246" s="34">
        <v>46273</v>
      </c>
      <c r="D1246" t="s">
        <v>35</v>
      </c>
      <c r="E1246" t="s">
        <v>36</v>
      </c>
      <c r="F1246" t="s">
        <v>37</v>
      </c>
      <c r="G1246">
        <v>5200</v>
      </c>
      <c r="H1246" t="s">
        <v>3794</v>
      </c>
      <c r="I1246" t="s">
        <v>3795</v>
      </c>
      <c r="J1246" t="s">
        <v>161</v>
      </c>
      <c r="O1246" t="s">
        <v>3796</v>
      </c>
      <c r="P1246">
        <v>71.88</v>
      </c>
      <c r="Q1246">
        <v>73.2</v>
      </c>
      <c r="R1246">
        <v>70.53</v>
      </c>
      <c r="S1246">
        <v>72.010000000000005</v>
      </c>
      <c r="T1246">
        <v>72.099999999999994</v>
      </c>
      <c r="U1246">
        <v>71.45</v>
      </c>
      <c r="W1246">
        <v>72.010000000000005</v>
      </c>
      <c r="Z1246">
        <v>306863</v>
      </c>
      <c r="AA1246">
        <v>22082216.550000001</v>
      </c>
      <c r="AB1246">
        <v>3031</v>
      </c>
      <c r="AC1246" t="s">
        <v>42</v>
      </c>
      <c r="AD1246">
        <v>1</v>
      </c>
    </row>
    <row r="1247" spans="1:30">
      <c r="A1247" t="str">
        <f>CONCATENATE(I1247,J1247)</f>
        <v>GRAVISSHOEQ</v>
      </c>
      <c r="B1247" s="34">
        <v>46273</v>
      </c>
      <c r="C1247" s="34">
        <v>46273</v>
      </c>
      <c r="D1247" t="s">
        <v>35</v>
      </c>
      <c r="E1247" t="s">
        <v>36</v>
      </c>
      <c r="F1247" t="s">
        <v>37</v>
      </c>
      <c r="G1247">
        <v>762700</v>
      </c>
      <c r="H1247" t="s">
        <v>3797</v>
      </c>
      <c r="I1247" t="s">
        <v>3798</v>
      </c>
      <c r="J1247" t="s">
        <v>161</v>
      </c>
      <c r="O1247" t="s">
        <v>3799</v>
      </c>
      <c r="P1247">
        <v>28.67</v>
      </c>
      <c r="Q1247">
        <v>28.67</v>
      </c>
      <c r="R1247">
        <v>28.67</v>
      </c>
      <c r="S1247">
        <v>28.67</v>
      </c>
      <c r="T1247">
        <v>28.67</v>
      </c>
      <c r="U1247">
        <v>28.66</v>
      </c>
      <c r="W1247">
        <v>28.67</v>
      </c>
      <c r="Z1247">
        <v>105</v>
      </c>
      <c r="AA1247">
        <v>3010.35</v>
      </c>
      <c r="AB1247">
        <v>2</v>
      </c>
      <c r="AC1247" t="s">
        <v>42</v>
      </c>
      <c r="AD1247">
        <v>1</v>
      </c>
    </row>
    <row r="1248" spans="1:30">
      <c r="A1248" t="str">
        <f>CONCATENATE(I1248,J1248)</f>
        <v>GRAVITAEQ</v>
      </c>
      <c r="B1248" s="34">
        <v>46273</v>
      </c>
      <c r="C1248" s="34">
        <v>46273</v>
      </c>
      <c r="D1248" t="s">
        <v>35</v>
      </c>
      <c r="E1248" t="s">
        <v>36</v>
      </c>
      <c r="F1248" t="s">
        <v>37</v>
      </c>
      <c r="G1248">
        <v>20534</v>
      </c>
      <c r="H1248" t="s">
        <v>3800</v>
      </c>
      <c r="I1248" t="s">
        <v>3801</v>
      </c>
      <c r="J1248" t="s">
        <v>161</v>
      </c>
      <c r="O1248" t="s">
        <v>3802</v>
      </c>
      <c r="P1248">
        <v>1665</v>
      </c>
      <c r="Q1248">
        <v>1690</v>
      </c>
      <c r="R1248">
        <v>1665</v>
      </c>
      <c r="S1248">
        <v>1682.3</v>
      </c>
      <c r="T1248">
        <v>1690</v>
      </c>
      <c r="U1248">
        <v>1676.9</v>
      </c>
      <c r="W1248">
        <v>1682.37</v>
      </c>
      <c r="Z1248">
        <v>218722</v>
      </c>
      <c r="AA1248">
        <v>367489455.5</v>
      </c>
      <c r="AB1248">
        <v>16636</v>
      </c>
      <c r="AC1248" t="s">
        <v>42</v>
      </c>
      <c r="AD1248">
        <v>1</v>
      </c>
    </row>
    <row r="1249" spans="1:30">
      <c r="A1249" t="str">
        <f>CONCATENATE(I1249,J1249)</f>
        <v>GREAVESCOTEQ</v>
      </c>
      <c r="B1249" s="34">
        <v>46273</v>
      </c>
      <c r="C1249" s="34">
        <v>46273</v>
      </c>
      <c r="D1249" t="s">
        <v>35</v>
      </c>
      <c r="E1249" t="s">
        <v>36</v>
      </c>
      <c r="F1249" t="s">
        <v>37</v>
      </c>
      <c r="G1249">
        <v>1235</v>
      </c>
      <c r="H1249" t="s">
        <v>3803</v>
      </c>
      <c r="I1249" t="s">
        <v>3804</v>
      </c>
      <c r="J1249" t="s">
        <v>161</v>
      </c>
      <c r="O1249" t="s">
        <v>3805</v>
      </c>
      <c r="P1249">
        <v>195.5</v>
      </c>
      <c r="Q1249">
        <v>195.8</v>
      </c>
      <c r="R1249">
        <v>192.31</v>
      </c>
      <c r="S1249">
        <v>193.06</v>
      </c>
      <c r="T1249">
        <v>192.65</v>
      </c>
      <c r="U1249">
        <v>194.45</v>
      </c>
      <c r="W1249">
        <v>193.06</v>
      </c>
      <c r="Z1249">
        <v>467258</v>
      </c>
      <c r="AA1249">
        <v>90291534.040000007</v>
      </c>
      <c r="AB1249">
        <v>6047</v>
      </c>
      <c r="AC1249" t="s">
        <v>42</v>
      </c>
      <c r="AD1249">
        <v>1</v>
      </c>
    </row>
    <row r="1250" spans="1:30">
      <c r="A1250" t="str">
        <f>CONCATENATE(I1250,J1250)</f>
        <v>GREENCHEFSM</v>
      </c>
      <c r="B1250" s="34">
        <v>46273</v>
      </c>
      <c r="C1250" s="34">
        <v>46273</v>
      </c>
      <c r="D1250" t="s">
        <v>35</v>
      </c>
      <c r="E1250" t="s">
        <v>36</v>
      </c>
      <c r="F1250" t="s">
        <v>37</v>
      </c>
      <c r="G1250">
        <v>17092</v>
      </c>
      <c r="H1250" t="s">
        <v>3806</v>
      </c>
      <c r="I1250" t="s">
        <v>3807</v>
      </c>
      <c r="J1250" t="s">
        <v>267</v>
      </c>
      <c r="O1250" t="s">
        <v>3808</v>
      </c>
      <c r="P1250">
        <v>61.1</v>
      </c>
      <c r="Q1250">
        <v>61.9</v>
      </c>
      <c r="R1250">
        <v>61.1</v>
      </c>
      <c r="S1250">
        <v>61.9</v>
      </c>
      <c r="T1250">
        <v>61.9</v>
      </c>
      <c r="U1250">
        <v>64</v>
      </c>
      <c r="W1250">
        <v>61.9</v>
      </c>
      <c r="Z1250">
        <v>1600</v>
      </c>
      <c r="AA1250">
        <v>98400</v>
      </c>
      <c r="AB1250">
        <v>2</v>
      </c>
      <c r="AC1250" t="s">
        <v>42</v>
      </c>
      <c r="AD1250">
        <v>800</v>
      </c>
    </row>
    <row r="1251" spans="1:30">
      <c r="A1251" t="str">
        <f>CONCATENATE(I1251,J1251)</f>
        <v>GREENLAMEQ</v>
      </c>
      <c r="B1251" s="34">
        <v>46273</v>
      </c>
      <c r="C1251" s="34">
        <v>46273</v>
      </c>
      <c r="D1251" t="s">
        <v>35</v>
      </c>
      <c r="E1251" t="s">
        <v>36</v>
      </c>
      <c r="F1251" t="s">
        <v>37</v>
      </c>
      <c r="G1251">
        <v>6848</v>
      </c>
      <c r="H1251" t="s">
        <v>3809</v>
      </c>
      <c r="I1251" t="s">
        <v>3810</v>
      </c>
      <c r="J1251" t="s">
        <v>161</v>
      </c>
      <c r="O1251" t="s">
        <v>3811</v>
      </c>
      <c r="P1251">
        <v>235.8</v>
      </c>
      <c r="Q1251">
        <v>238</v>
      </c>
      <c r="R1251">
        <v>234.74</v>
      </c>
      <c r="S1251">
        <v>235.53</v>
      </c>
      <c r="T1251">
        <v>235</v>
      </c>
      <c r="U1251">
        <v>236.87</v>
      </c>
      <c r="W1251">
        <v>235.53</v>
      </c>
      <c r="Z1251">
        <v>41593</v>
      </c>
      <c r="AA1251">
        <v>9807848.7300000004</v>
      </c>
      <c r="AB1251">
        <v>949</v>
      </c>
      <c r="AC1251" t="s">
        <v>42</v>
      </c>
      <c r="AD1251">
        <v>1</v>
      </c>
    </row>
    <row r="1252" spans="1:30">
      <c r="A1252" t="str">
        <f>CONCATENATE(I1252,J1252)</f>
        <v>GREENLEAFST</v>
      </c>
      <c r="B1252" s="34">
        <v>46273</v>
      </c>
      <c r="C1252" s="34">
        <v>46273</v>
      </c>
      <c r="D1252" t="s">
        <v>35</v>
      </c>
      <c r="E1252" t="s">
        <v>36</v>
      </c>
      <c r="F1252" t="s">
        <v>37</v>
      </c>
      <c r="G1252">
        <v>759427</v>
      </c>
      <c r="H1252" t="s">
        <v>3812</v>
      </c>
      <c r="I1252" t="s">
        <v>3813</v>
      </c>
      <c r="J1252" t="s">
        <v>328</v>
      </c>
      <c r="O1252" t="s">
        <v>3814</v>
      </c>
      <c r="P1252">
        <v>116.3</v>
      </c>
      <c r="Q1252">
        <v>116.3</v>
      </c>
      <c r="R1252">
        <v>116.25</v>
      </c>
      <c r="S1252">
        <v>116.25</v>
      </c>
      <c r="T1252">
        <v>116.25</v>
      </c>
      <c r="U1252">
        <v>120.75</v>
      </c>
      <c r="W1252">
        <v>116.25</v>
      </c>
      <c r="Z1252">
        <v>3000</v>
      </c>
      <c r="AA1252">
        <v>348800</v>
      </c>
      <c r="AB1252">
        <v>3</v>
      </c>
      <c r="AC1252" t="s">
        <v>42</v>
      </c>
      <c r="AD1252">
        <v>1000</v>
      </c>
    </row>
    <row r="1253" spans="1:30">
      <c r="A1253" t="str">
        <f>CONCATENATE(I1253,J1253)</f>
        <v>GREENPANELEQ</v>
      </c>
      <c r="B1253" s="34">
        <v>46273</v>
      </c>
      <c r="C1253" s="34">
        <v>46273</v>
      </c>
      <c r="D1253" t="s">
        <v>35</v>
      </c>
      <c r="E1253" t="s">
        <v>36</v>
      </c>
      <c r="F1253" t="s">
        <v>37</v>
      </c>
      <c r="G1253">
        <v>13810</v>
      </c>
      <c r="H1253" t="s">
        <v>3815</v>
      </c>
      <c r="I1253" t="s">
        <v>3816</v>
      </c>
      <c r="J1253" t="s">
        <v>161</v>
      </c>
      <c r="O1253" t="s">
        <v>3817</v>
      </c>
      <c r="P1253">
        <v>162.6</v>
      </c>
      <c r="Q1253">
        <v>164.44</v>
      </c>
      <c r="R1253">
        <v>160.5</v>
      </c>
      <c r="S1253">
        <v>161.69</v>
      </c>
      <c r="T1253">
        <v>161.69</v>
      </c>
      <c r="U1253">
        <v>162.55000000000001</v>
      </c>
      <c r="W1253">
        <v>161.68</v>
      </c>
      <c r="Z1253">
        <v>351454</v>
      </c>
      <c r="AA1253">
        <v>57038641.369999997</v>
      </c>
      <c r="AB1253">
        <v>6172</v>
      </c>
      <c r="AC1253" t="s">
        <v>42</v>
      </c>
      <c r="AD1253">
        <v>1</v>
      </c>
    </row>
    <row r="1254" spans="1:30">
      <c r="A1254" t="str">
        <f>CONCATENATE(I1254,J1254)</f>
        <v>GREENPLYEQ</v>
      </c>
      <c r="B1254" s="34">
        <v>46273</v>
      </c>
      <c r="C1254" s="34">
        <v>46273</v>
      </c>
      <c r="D1254" t="s">
        <v>35</v>
      </c>
      <c r="E1254" t="s">
        <v>36</v>
      </c>
      <c r="F1254" t="s">
        <v>37</v>
      </c>
      <c r="G1254">
        <v>3987</v>
      </c>
      <c r="H1254" t="s">
        <v>3818</v>
      </c>
      <c r="I1254" t="s">
        <v>3819</v>
      </c>
      <c r="J1254" t="s">
        <v>161</v>
      </c>
      <c r="O1254" t="s">
        <v>3820</v>
      </c>
      <c r="P1254">
        <v>305.35000000000002</v>
      </c>
      <c r="Q1254">
        <v>305.35000000000002</v>
      </c>
      <c r="R1254">
        <v>297.35000000000002</v>
      </c>
      <c r="S1254">
        <v>299.35000000000002</v>
      </c>
      <c r="T1254">
        <v>298.89999999999998</v>
      </c>
      <c r="U1254">
        <v>302.2</v>
      </c>
      <c r="W1254">
        <v>299.32</v>
      </c>
      <c r="Z1254">
        <v>104416</v>
      </c>
      <c r="AA1254">
        <v>31363313.100000001</v>
      </c>
      <c r="AB1254">
        <v>3121</v>
      </c>
      <c r="AC1254" t="s">
        <v>42</v>
      </c>
      <c r="AD1254">
        <v>1</v>
      </c>
    </row>
    <row r="1255" spans="1:30">
      <c r="A1255" t="str">
        <f>CONCATENATE(I1255,J1255)</f>
        <v>GCSLEQ</v>
      </c>
      <c r="B1255" s="34">
        <v>46273</v>
      </c>
      <c r="C1255" s="34">
        <v>46273</v>
      </c>
      <c r="D1255" t="s">
        <v>35</v>
      </c>
      <c r="E1255" t="s">
        <v>36</v>
      </c>
      <c r="F1255" t="s">
        <v>37</v>
      </c>
      <c r="G1255">
        <v>758986</v>
      </c>
      <c r="H1255" t="s">
        <v>3821</v>
      </c>
      <c r="I1255" t="s">
        <v>3822</v>
      </c>
      <c r="J1255" t="s">
        <v>161</v>
      </c>
      <c r="O1255" t="s">
        <v>3823</v>
      </c>
      <c r="P1255">
        <v>602.9</v>
      </c>
      <c r="Q1255">
        <v>608.79999999999995</v>
      </c>
      <c r="R1255">
        <v>595.65</v>
      </c>
      <c r="S1255">
        <v>598.25</v>
      </c>
      <c r="T1255">
        <v>595.65</v>
      </c>
      <c r="U1255">
        <v>601.85</v>
      </c>
      <c r="W1255">
        <v>598.25</v>
      </c>
      <c r="Z1255">
        <v>518013</v>
      </c>
      <c r="AA1255">
        <v>311173780.19999999</v>
      </c>
      <c r="AB1255">
        <v>3648</v>
      </c>
      <c r="AC1255" t="s">
        <v>42</v>
      </c>
      <c r="AD1255">
        <v>1</v>
      </c>
    </row>
    <row r="1256" spans="1:30">
      <c r="A1256" t="str">
        <f>CONCATENATE(I1256,J1256)</f>
        <v>BIRDYSSM</v>
      </c>
      <c r="B1256" s="34">
        <v>46273</v>
      </c>
      <c r="C1256" s="34">
        <v>46273</v>
      </c>
      <c r="D1256" t="s">
        <v>35</v>
      </c>
      <c r="E1256" t="s">
        <v>36</v>
      </c>
      <c r="F1256" t="s">
        <v>37</v>
      </c>
      <c r="G1256">
        <v>23559</v>
      </c>
      <c r="H1256" t="s">
        <v>3824</v>
      </c>
      <c r="I1256" t="s">
        <v>3825</v>
      </c>
      <c r="J1256" t="s">
        <v>267</v>
      </c>
      <c r="O1256" t="s">
        <v>3826</v>
      </c>
      <c r="P1256">
        <v>86.2</v>
      </c>
      <c r="Q1256">
        <v>86.2</v>
      </c>
      <c r="R1256">
        <v>86.2</v>
      </c>
      <c r="S1256">
        <v>86.2</v>
      </c>
      <c r="T1256">
        <v>86.2</v>
      </c>
      <c r="U1256">
        <v>86.2</v>
      </c>
      <c r="W1256">
        <v>86.2</v>
      </c>
      <c r="Z1256">
        <v>1200</v>
      </c>
      <c r="AA1256">
        <v>103440</v>
      </c>
      <c r="AB1256">
        <v>1</v>
      </c>
      <c r="AC1256" t="s">
        <v>42</v>
      </c>
      <c r="AD1256">
        <v>1200</v>
      </c>
    </row>
    <row r="1257" spans="1:30">
      <c r="A1257" t="str">
        <f>CONCATENATE(I1257,J1257)</f>
        <v>GRINDWELLEQ</v>
      </c>
      <c r="B1257" s="34">
        <v>46273</v>
      </c>
      <c r="C1257" s="34">
        <v>46273</v>
      </c>
      <c r="D1257" t="s">
        <v>35</v>
      </c>
      <c r="E1257" t="s">
        <v>36</v>
      </c>
      <c r="F1257" t="s">
        <v>37</v>
      </c>
      <c r="G1257">
        <v>13560</v>
      </c>
      <c r="H1257" t="s">
        <v>3827</v>
      </c>
      <c r="I1257" t="s">
        <v>3828</v>
      </c>
      <c r="J1257" t="s">
        <v>161</v>
      </c>
      <c r="O1257" t="s">
        <v>3829</v>
      </c>
      <c r="P1257">
        <v>1933</v>
      </c>
      <c r="Q1257">
        <v>1939.8</v>
      </c>
      <c r="R1257">
        <v>1910</v>
      </c>
      <c r="S1257">
        <v>1922.8</v>
      </c>
      <c r="T1257">
        <v>1927.4</v>
      </c>
      <c r="U1257">
        <v>1932.9</v>
      </c>
      <c r="W1257">
        <v>1922.85</v>
      </c>
      <c r="Z1257">
        <v>12837</v>
      </c>
      <c r="AA1257">
        <v>24755879.100000001</v>
      </c>
      <c r="AB1257">
        <v>2892</v>
      </c>
      <c r="AC1257" t="s">
        <v>42</v>
      </c>
      <c r="AD1257">
        <v>1</v>
      </c>
    </row>
    <row r="1258" spans="1:30">
      <c r="A1258" t="str">
        <f>CONCATENATE(I1258,J1258)</f>
        <v>GRMOVEREQ</v>
      </c>
      <c r="B1258" s="34">
        <v>46273</v>
      </c>
      <c r="C1258" s="34">
        <v>46273</v>
      </c>
      <c r="D1258" t="s">
        <v>35</v>
      </c>
      <c r="E1258" t="s">
        <v>36</v>
      </c>
      <c r="F1258" t="s">
        <v>37</v>
      </c>
      <c r="G1258">
        <v>10871</v>
      </c>
      <c r="H1258" t="s">
        <v>3830</v>
      </c>
      <c r="I1258" t="s">
        <v>3831</v>
      </c>
      <c r="J1258" t="s">
        <v>161</v>
      </c>
      <c r="O1258" t="s">
        <v>3832</v>
      </c>
      <c r="P1258">
        <v>85.15</v>
      </c>
      <c r="Q1258">
        <v>88.91</v>
      </c>
      <c r="R1258">
        <v>85.01</v>
      </c>
      <c r="S1258">
        <v>88.17</v>
      </c>
      <c r="T1258">
        <v>88.1</v>
      </c>
      <c r="U1258">
        <v>85.8</v>
      </c>
      <c r="W1258">
        <v>88.17</v>
      </c>
      <c r="Z1258">
        <v>1436766</v>
      </c>
      <c r="AA1258">
        <v>124240422.2</v>
      </c>
      <c r="AB1258">
        <v>5977</v>
      </c>
      <c r="AC1258" t="s">
        <v>42</v>
      </c>
      <c r="AD1258">
        <v>1</v>
      </c>
    </row>
    <row r="1259" spans="1:30">
      <c r="A1259" t="str">
        <f>CONCATENATE(I1259,J1259)</f>
        <v>GJLST</v>
      </c>
      <c r="B1259" s="34">
        <v>46273</v>
      </c>
      <c r="C1259" s="34">
        <v>46273</v>
      </c>
      <c r="D1259" t="s">
        <v>35</v>
      </c>
      <c r="E1259" t="s">
        <v>36</v>
      </c>
      <c r="F1259" t="s">
        <v>37</v>
      </c>
      <c r="G1259">
        <v>760971</v>
      </c>
      <c r="H1259" t="s">
        <v>3833</v>
      </c>
      <c r="I1259" t="s">
        <v>3834</v>
      </c>
      <c r="J1259" t="s">
        <v>328</v>
      </c>
      <c r="O1259" t="s">
        <v>3835</v>
      </c>
      <c r="P1259">
        <v>243.05</v>
      </c>
      <c r="Q1259">
        <v>243.05</v>
      </c>
      <c r="R1259">
        <v>242.25</v>
      </c>
      <c r="S1259">
        <v>242.6</v>
      </c>
      <c r="T1259">
        <v>242.25</v>
      </c>
      <c r="U1259">
        <v>255</v>
      </c>
      <c r="W1259">
        <v>242.6</v>
      </c>
      <c r="Z1259">
        <v>3200</v>
      </c>
      <c r="AA1259">
        <v>777040</v>
      </c>
      <c r="AB1259">
        <v>4</v>
      </c>
      <c r="AC1259" t="s">
        <v>42</v>
      </c>
      <c r="AD1259">
        <v>800</v>
      </c>
    </row>
    <row r="1260" spans="1:30">
      <c r="A1260" t="str">
        <f>CONCATENATE(I1260,J1260)</f>
        <v>CEMNTGROWWEQ</v>
      </c>
      <c r="B1260" s="34">
        <v>46273</v>
      </c>
      <c r="C1260" s="34">
        <v>46273</v>
      </c>
      <c r="D1260" t="s">
        <v>35</v>
      </c>
      <c r="E1260" t="s">
        <v>36</v>
      </c>
      <c r="F1260" t="s">
        <v>37</v>
      </c>
      <c r="G1260">
        <v>764285</v>
      </c>
      <c r="H1260" t="s">
        <v>3836</v>
      </c>
      <c r="I1260" t="s">
        <v>3837</v>
      </c>
      <c r="J1260" t="s">
        <v>161</v>
      </c>
      <c r="O1260" t="s">
        <v>3838</v>
      </c>
      <c r="P1260">
        <v>14.61</v>
      </c>
      <c r="Q1260">
        <v>14.78</v>
      </c>
      <c r="R1260">
        <v>14.33</v>
      </c>
      <c r="S1260">
        <v>14.38</v>
      </c>
      <c r="T1260">
        <v>14.42</v>
      </c>
      <c r="U1260">
        <v>14.54</v>
      </c>
      <c r="W1260">
        <v>14.38</v>
      </c>
      <c r="Z1260">
        <v>325637</v>
      </c>
      <c r="AA1260">
        <v>4702947.9000000004</v>
      </c>
      <c r="AB1260">
        <v>920</v>
      </c>
      <c r="AC1260" t="s">
        <v>42</v>
      </c>
      <c r="AD1260">
        <v>1</v>
      </c>
    </row>
    <row r="1261" spans="1:30">
      <c r="A1261" t="str">
        <f>CONCATENATE(I1261,J1261)</f>
        <v>GROWWCAPMEQ</v>
      </c>
      <c r="B1261" s="34">
        <v>46273</v>
      </c>
      <c r="C1261" s="34">
        <v>46273</v>
      </c>
      <c r="D1261" t="s">
        <v>35</v>
      </c>
      <c r="E1261" t="s">
        <v>36</v>
      </c>
      <c r="F1261" t="s">
        <v>37</v>
      </c>
      <c r="G1261">
        <v>760051</v>
      </c>
      <c r="H1261" t="s">
        <v>3839</v>
      </c>
      <c r="I1261" t="s">
        <v>3840</v>
      </c>
      <c r="J1261" t="s">
        <v>161</v>
      </c>
      <c r="O1261" t="s">
        <v>3841</v>
      </c>
      <c r="P1261">
        <v>11.54</v>
      </c>
      <c r="Q1261">
        <v>11.59</v>
      </c>
      <c r="R1261">
        <v>11.4</v>
      </c>
      <c r="S1261">
        <v>11.43</v>
      </c>
      <c r="T1261">
        <v>11.46</v>
      </c>
      <c r="U1261">
        <v>11.56</v>
      </c>
      <c r="W1261">
        <v>11.43</v>
      </c>
      <c r="Z1261">
        <v>463030</v>
      </c>
      <c r="AA1261">
        <v>5301654.2</v>
      </c>
      <c r="AB1261">
        <v>996</v>
      </c>
      <c r="AC1261" t="s">
        <v>42</v>
      </c>
      <c r="AD1261">
        <v>1</v>
      </c>
    </row>
    <row r="1262" spans="1:30">
      <c r="A1262" t="str">
        <f>CONCATENATE(I1262,J1262)</f>
        <v>GROWWCHEMEQ</v>
      </c>
      <c r="B1262" s="34">
        <v>46273</v>
      </c>
      <c r="C1262" s="34">
        <v>46273</v>
      </c>
      <c r="D1262" t="s">
        <v>35</v>
      </c>
      <c r="E1262" t="s">
        <v>36</v>
      </c>
      <c r="F1262" t="s">
        <v>37</v>
      </c>
      <c r="G1262">
        <v>760673</v>
      </c>
      <c r="H1262" t="s">
        <v>3842</v>
      </c>
      <c r="I1262" t="s">
        <v>3843</v>
      </c>
      <c r="J1262" t="s">
        <v>161</v>
      </c>
      <c r="O1262" t="s">
        <v>3844</v>
      </c>
      <c r="P1262">
        <v>29.93</v>
      </c>
      <c r="Q1262">
        <v>30.43</v>
      </c>
      <c r="R1262">
        <v>29.9</v>
      </c>
      <c r="S1262">
        <v>30.21</v>
      </c>
      <c r="T1262">
        <v>30.2</v>
      </c>
      <c r="U1262">
        <v>30.08</v>
      </c>
      <c r="W1262">
        <v>30.21</v>
      </c>
      <c r="Z1262">
        <v>109416</v>
      </c>
      <c r="AA1262">
        <v>3299781.59</v>
      </c>
      <c r="AB1262">
        <v>232</v>
      </c>
      <c r="AC1262" t="s">
        <v>42</v>
      </c>
      <c r="AD1262">
        <v>1</v>
      </c>
    </row>
    <row r="1263" spans="1:30">
      <c r="A1263" t="str">
        <f>CONCATENATE(I1263,J1263)</f>
        <v>GROWWDEFNCEQ</v>
      </c>
      <c r="B1263" s="34">
        <v>46273</v>
      </c>
      <c r="C1263" s="34">
        <v>46273</v>
      </c>
      <c r="D1263" t="s">
        <v>35</v>
      </c>
      <c r="E1263" t="s">
        <v>36</v>
      </c>
      <c r="F1263" t="s">
        <v>37</v>
      </c>
      <c r="G1263">
        <v>25758</v>
      </c>
      <c r="H1263" t="s">
        <v>3845</v>
      </c>
      <c r="I1263" t="s">
        <v>3846</v>
      </c>
      <c r="J1263" t="s">
        <v>161</v>
      </c>
      <c r="O1263" t="s">
        <v>3847</v>
      </c>
      <c r="P1263">
        <v>98</v>
      </c>
      <c r="Q1263">
        <v>101</v>
      </c>
      <c r="R1263">
        <v>97.75</v>
      </c>
      <c r="S1263">
        <v>99.97</v>
      </c>
      <c r="T1263">
        <v>100.36</v>
      </c>
      <c r="U1263">
        <v>97.75</v>
      </c>
      <c r="W1263">
        <v>99.97</v>
      </c>
      <c r="Z1263">
        <v>484787</v>
      </c>
      <c r="AA1263">
        <v>48275997.539999999</v>
      </c>
      <c r="AB1263">
        <v>3405</v>
      </c>
      <c r="AC1263" t="s">
        <v>42</v>
      </c>
      <c r="AD1263">
        <v>1</v>
      </c>
    </row>
    <row r="1264" spans="1:30">
      <c r="A1264" t="str">
        <f>CONCATENATE(I1264,J1264)</f>
        <v>GROWWEVEQ</v>
      </c>
      <c r="B1264" s="34">
        <v>46273</v>
      </c>
      <c r="C1264" s="34">
        <v>46273</v>
      </c>
      <c r="D1264" t="s">
        <v>35</v>
      </c>
      <c r="E1264" t="s">
        <v>36</v>
      </c>
      <c r="F1264" t="s">
        <v>37</v>
      </c>
      <c r="G1264">
        <v>24798</v>
      </c>
      <c r="H1264" t="s">
        <v>3848</v>
      </c>
      <c r="I1264" t="s">
        <v>3849</v>
      </c>
      <c r="J1264" t="s">
        <v>161</v>
      </c>
      <c r="O1264" t="s">
        <v>3850</v>
      </c>
      <c r="P1264">
        <v>32.76</v>
      </c>
      <c r="Q1264">
        <v>32.76</v>
      </c>
      <c r="R1264">
        <v>32</v>
      </c>
      <c r="S1264">
        <v>32.229999999999997</v>
      </c>
      <c r="T1264">
        <v>32.299999999999997</v>
      </c>
      <c r="U1264">
        <v>32.369999999999997</v>
      </c>
      <c r="W1264">
        <v>32.229999999999997</v>
      </c>
      <c r="Z1264">
        <v>312881</v>
      </c>
      <c r="AA1264">
        <v>10057654.1</v>
      </c>
      <c r="AB1264">
        <v>2093</v>
      </c>
      <c r="AC1264" t="s">
        <v>42</v>
      </c>
      <c r="AD1264">
        <v>1</v>
      </c>
    </row>
    <row r="1265" spans="1:30">
      <c r="A1265" t="str">
        <f>CONCATENATE(I1265,J1265)</f>
        <v>GROWWGOLDEQ</v>
      </c>
      <c r="B1265" s="34">
        <v>46273</v>
      </c>
      <c r="C1265" s="34">
        <v>46273</v>
      </c>
      <c r="D1265" t="s">
        <v>35</v>
      </c>
      <c r="E1265" t="s">
        <v>36</v>
      </c>
      <c r="F1265" t="s">
        <v>37</v>
      </c>
      <c r="G1265">
        <v>25872</v>
      </c>
      <c r="H1265" t="s">
        <v>3851</v>
      </c>
      <c r="I1265" t="s">
        <v>3852</v>
      </c>
      <c r="J1265" t="s">
        <v>161</v>
      </c>
      <c r="O1265" t="s">
        <v>3853</v>
      </c>
      <c r="P1265">
        <v>14.86</v>
      </c>
      <c r="Q1265">
        <v>14.97</v>
      </c>
      <c r="R1265">
        <v>14.8</v>
      </c>
      <c r="S1265">
        <v>14.85</v>
      </c>
      <c r="T1265">
        <v>14.88</v>
      </c>
      <c r="U1265">
        <v>14.81</v>
      </c>
      <c r="W1265">
        <v>14.85</v>
      </c>
      <c r="Z1265">
        <v>1485087</v>
      </c>
      <c r="AA1265">
        <v>22085176.199999999</v>
      </c>
      <c r="AB1265">
        <v>2766</v>
      </c>
      <c r="AC1265" t="s">
        <v>42</v>
      </c>
      <c r="AD1265">
        <v>1</v>
      </c>
    </row>
    <row r="1266" spans="1:30">
      <c r="A1266" t="str">
        <f>CONCATENATE(I1266,J1266)</f>
        <v>GROWWHOSPIEQ</v>
      </c>
      <c r="B1266" s="34">
        <v>46273</v>
      </c>
      <c r="C1266" s="34">
        <v>46273</v>
      </c>
      <c r="D1266" t="s">
        <v>35</v>
      </c>
      <c r="E1266" t="s">
        <v>36</v>
      </c>
      <c r="F1266" t="s">
        <v>37</v>
      </c>
      <c r="G1266">
        <v>760874</v>
      </c>
      <c r="H1266" t="s">
        <v>3854</v>
      </c>
      <c r="I1266" t="s">
        <v>3855</v>
      </c>
      <c r="J1266" t="s">
        <v>161</v>
      </c>
      <c r="O1266" t="s">
        <v>3856</v>
      </c>
      <c r="P1266">
        <v>52</v>
      </c>
      <c r="Q1266">
        <v>52.24</v>
      </c>
      <c r="R1266">
        <v>51.76</v>
      </c>
      <c r="S1266">
        <v>51.89</v>
      </c>
      <c r="T1266">
        <v>52</v>
      </c>
      <c r="U1266">
        <v>52.1</v>
      </c>
      <c r="W1266">
        <v>51.89</v>
      </c>
      <c r="Z1266">
        <v>210204</v>
      </c>
      <c r="AA1266">
        <v>10909972.24</v>
      </c>
      <c r="AB1266">
        <v>786</v>
      </c>
      <c r="AC1266" t="s">
        <v>42</v>
      </c>
      <c r="AD1266">
        <v>1</v>
      </c>
    </row>
    <row r="1267" spans="1:30">
      <c r="A1267" t="str">
        <f>CONCATENATE(I1267,J1267)</f>
        <v>GROWWLIQIDEQ</v>
      </c>
      <c r="B1267" s="34">
        <v>46273</v>
      </c>
      <c r="C1267" s="34">
        <v>46273</v>
      </c>
      <c r="D1267" t="s">
        <v>35</v>
      </c>
      <c r="E1267" t="s">
        <v>36</v>
      </c>
      <c r="F1267" t="s">
        <v>37</v>
      </c>
      <c r="G1267">
        <v>25447</v>
      </c>
      <c r="H1267" t="s">
        <v>3857</v>
      </c>
      <c r="I1267" t="s">
        <v>3858</v>
      </c>
      <c r="J1267" t="s">
        <v>161</v>
      </c>
      <c r="O1267" t="s">
        <v>3859</v>
      </c>
      <c r="P1267">
        <v>110.67</v>
      </c>
      <c r="Q1267">
        <v>110.67</v>
      </c>
      <c r="R1267">
        <v>110.66</v>
      </c>
      <c r="S1267">
        <v>110.66</v>
      </c>
      <c r="T1267">
        <v>110.67</v>
      </c>
      <c r="U1267">
        <v>110.65</v>
      </c>
      <c r="W1267">
        <v>110.66</v>
      </c>
      <c r="Z1267">
        <v>218348</v>
      </c>
      <c r="AA1267">
        <v>24163198.280000001</v>
      </c>
      <c r="AB1267">
        <v>236</v>
      </c>
      <c r="AC1267" t="s">
        <v>42</v>
      </c>
      <c r="AD1267">
        <v>1</v>
      </c>
    </row>
    <row r="1268" spans="1:30">
      <c r="A1268" t="str">
        <f>CONCATENATE(I1268,J1268)</f>
        <v>GROWWLOVOLEQ</v>
      </c>
      <c r="B1268" s="34">
        <v>46273</v>
      </c>
      <c r="C1268" s="34">
        <v>46273</v>
      </c>
      <c r="D1268" t="s">
        <v>35</v>
      </c>
      <c r="E1268" t="s">
        <v>36</v>
      </c>
      <c r="F1268" t="s">
        <v>37</v>
      </c>
      <c r="G1268">
        <v>758300</v>
      </c>
      <c r="H1268" t="s">
        <v>3860</v>
      </c>
      <c r="I1268" t="s">
        <v>3861</v>
      </c>
      <c r="J1268" t="s">
        <v>161</v>
      </c>
      <c r="O1268" t="s">
        <v>3862</v>
      </c>
      <c r="P1268">
        <v>10.28</v>
      </c>
      <c r="Q1268">
        <v>10.42</v>
      </c>
      <c r="R1268">
        <v>10.17</v>
      </c>
      <c r="S1268">
        <v>10.199999999999999</v>
      </c>
      <c r="T1268">
        <v>10.28</v>
      </c>
      <c r="U1268">
        <v>10.28</v>
      </c>
      <c r="W1268">
        <v>10.199999999999999</v>
      </c>
      <c r="Z1268">
        <v>7226</v>
      </c>
      <c r="AA1268">
        <v>73956.399999999994</v>
      </c>
      <c r="AB1268">
        <v>116</v>
      </c>
      <c r="AC1268" t="s">
        <v>42</v>
      </c>
      <c r="AD1268">
        <v>1</v>
      </c>
    </row>
    <row r="1269" spans="1:30">
      <c r="A1269" t="str">
        <f>CONCATENATE(I1269,J1269)</f>
        <v>GROWWMC150EQ</v>
      </c>
      <c r="B1269" s="34">
        <v>46273</v>
      </c>
      <c r="C1269" s="34">
        <v>46273</v>
      </c>
      <c r="D1269" t="s">
        <v>35</v>
      </c>
      <c r="E1269" t="s">
        <v>36</v>
      </c>
      <c r="F1269" t="s">
        <v>37</v>
      </c>
      <c r="G1269">
        <v>759719</v>
      </c>
      <c r="H1269" t="s">
        <v>3863</v>
      </c>
      <c r="I1269" t="s">
        <v>3864</v>
      </c>
      <c r="J1269" t="s">
        <v>161</v>
      </c>
      <c r="O1269" t="s">
        <v>3865</v>
      </c>
      <c r="P1269">
        <v>231</v>
      </c>
      <c r="Q1269">
        <v>232.5</v>
      </c>
      <c r="R1269">
        <v>229.19</v>
      </c>
      <c r="S1269">
        <v>230.25</v>
      </c>
      <c r="T1269">
        <v>230.1</v>
      </c>
      <c r="U1269">
        <v>230.1</v>
      </c>
      <c r="W1269">
        <v>230.25</v>
      </c>
      <c r="Z1269">
        <v>932</v>
      </c>
      <c r="AA1269">
        <v>214852.7</v>
      </c>
      <c r="AB1269">
        <v>24</v>
      </c>
      <c r="AC1269" t="s">
        <v>42</v>
      </c>
      <c r="AD1269">
        <v>1</v>
      </c>
    </row>
    <row r="1270" spans="1:30">
      <c r="A1270" t="str">
        <f>CONCATENATE(I1270,J1270)</f>
        <v>GROWWMETALEQ</v>
      </c>
      <c r="B1270" s="34">
        <v>46273</v>
      </c>
      <c r="C1270" s="34">
        <v>46273</v>
      </c>
      <c r="D1270" t="s">
        <v>35</v>
      </c>
      <c r="E1270" t="s">
        <v>36</v>
      </c>
      <c r="F1270" t="s">
        <v>37</v>
      </c>
      <c r="G1270">
        <v>760438</v>
      </c>
      <c r="H1270" t="s">
        <v>3866</v>
      </c>
      <c r="I1270" t="s">
        <v>3867</v>
      </c>
      <c r="J1270" t="s">
        <v>161</v>
      </c>
      <c r="O1270" t="s">
        <v>3868</v>
      </c>
      <c r="P1270">
        <v>12.4</v>
      </c>
      <c r="Q1270">
        <v>12.68</v>
      </c>
      <c r="R1270">
        <v>12.4</v>
      </c>
      <c r="S1270">
        <v>12.48</v>
      </c>
      <c r="T1270">
        <v>12.46</v>
      </c>
      <c r="U1270">
        <v>12.52</v>
      </c>
      <c r="W1270">
        <v>12.48</v>
      </c>
      <c r="Z1270">
        <v>669401</v>
      </c>
      <c r="AA1270">
        <v>8406887.5999999996</v>
      </c>
      <c r="AB1270">
        <v>1149</v>
      </c>
      <c r="AC1270" t="s">
        <v>42</v>
      </c>
      <c r="AD1270">
        <v>1</v>
      </c>
    </row>
    <row r="1271" spans="1:30">
      <c r="A1271" t="str">
        <f>CONCATENATE(I1271,J1271)</f>
        <v>GROWWMOM50EQ</v>
      </c>
      <c r="B1271" s="34">
        <v>46273</v>
      </c>
      <c r="C1271" s="34">
        <v>46273</v>
      </c>
      <c r="D1271" t="s">
        <v>35</v>
      </c>
      <c r="E1271" t="s">
        <v>36</v>
      </c>
      <c r="F1271" t="s">
        <v>37</v>
      </c>
      <c r="G1271">
        <v>756086</v>
      </c>
      <c r="H1271" t="s">
        <v>3869</v>
      </c>
      <c r="I1271" t="s">
        <v>3870</v>
      </c>
      <c r="J1271" t="s">
        <v>161</v>
      </c>
      <c r="O1271" t="s">
        <v>3871</v>
      </c>
      <c r="P1271">
        <v>11.2</v>
      </c>
      <c r="Q1271">
        <v>11.2</v>
      </c>
      <c r="R1271">
        <v>10.96</v>
      </c>
      <c r="S1271">
        <v>11.05</v>
      </c>
      <c r="T1271">
        <v>11.1</v>
      </c>
      <c r="U1271">
        <v>11</v>
      </c>
      <c r="W1271">
        <v>11.05</v>
      </c>
      <c r="Z1271">
        <v>94566</v>
      </c>
      <c r="AA1271">
        <v>1045843.07</v>
      </c>
      <c r="AB1271">
        <v>434</v>
      </c>
      <c r="AC1271" t="s">
        <v>42</v>
      </c>
      <c r="AD1271">
        <v>1</v>
      </c>
    </row>
    <row r="1272" spans="1:30">
      <c r="A1272" t="str">
        <f>CONCATENATE(I1272,J1272)</f>
        <v>GROWWN200EQ</v>
      </c>
      <c r="B1272" s="34">
        <v>46273</v>
      </c>
      <c r="C1272" s="34">
        <v>46273</v>
      </c>
      <c r="D1272" t="s">
        <v>35</v>
      </c>
      <c r="E1272" t="s">
        <v>36</v>
      </c>
      <c r="F1272" t="s">
        <v>37</v>
      </c>
      <c r="G1272">
        <v>29872</v>
      </c>
      <c r="H1272" t="s">
        <v>3872</v>
      </c>
      <c r="I1272" t="s">
        <v>3873</v>
      </c>
      <c r="J1272" t="s">
        <v>161</v>
      </c>
      <c r="O1272" t="s">
        <v>3874</v>
      </c>
      <c r="P1272">
        <v>11.55</v>
      </c>
      <c r="Q1272">
        <v>11.55</v>
      </c>
      <c r="R1272">
        <v>11.16</v>
      </c>
      <c r="S1272">
        <v>11.17</v>
      </c>
      <c r="T1272">
        <v>11.23</v>
      </c>
      <c r="U1272">
        <v>11.27</v>
      </c>
      <c r="W1272">
        <v>11.17</v>
      </c>
      <c r="Z1272">
        <v>82183</v>
      </c>
      <c r="AA1272">
        <v>918989.8</v>
      </c>
      <c r="AB1272">
        <v>307</v>
      </c>
      <c r="AC1272" t="s">
        <v>42</v>
      </c>
      <c r="AD1272">
        <v>1</v>
      </c>
    </row>
    <row r="1273" spans="1:30">
      <c r="A1273" t="str">
        <f>CONCATENATE(I1273,J1273)</f>
        <v>GROWWNETEQ</v>
      </c>
      <c r="B1273" s="34">
        <v>46273</v>
      </c>
      <c r="C1273" s="34">
        <v>46273</v>
      </c>
      <c r="D1273" t="s">
        <v>35</v>
      </c>
      <c r="E1273" t="s">
        <v>36</v>
      </c>
      <c r="F1273" t="s">
        <v>37</v>
      </c>
      <c r="G1273">
        <v>757814</v>
      </c>
      <c r="H1273" t="s">
        <v>3875</v>
      </c>
      <c r="I1273" t="s">
        <v>3876</v>
      </c>
      <c r="J1273" t="s">
        <v>161</v>
      </c>
      <c r="O1273" t="s">
        <v>3877</v>
      </c>
      <c r="P1273">
        <v>10.7</v>
      </c>
      <c r="Q1273">
        <v>11.06</v>
      </c>
      <c r="R1273">
        <v>10.09</v>
      </c>
      <c r="S1273">
        <v>10.86</v>
      </c>
      <c r="T1273">
        <v>10.85</v>
      </c>
      <c r="U1273">
        <v>10.79</v>
      </c>
      <c r="W1273">
        <v>10.86</v>
      </c>
      <c r="Z1273">
        <v>657563</v>
      </c>
      <c r="AA1273">
        <v>7104004.7199999997</v>
      </c>
      <c r="AB1273">
        <v>614</v>
      </c>
      <c r="AC1273" t="s">
        <v>42</v>
      </c>
      <c r="AD1273">
        <v>1</v>
      </c>
    </row>
    <row r="1274" spans="1:30">
      <c r="A1274" t="str">
        <f>CONCATENATE(I1274,J1274)</f>
        <v>GROWWNIFTYEQ</v>
      </c>
      <c r="B1274" s="34">
        <v>46273</v>
      </c>
      <c r="C1274" s="34">
        <v>46273</v>
      </c>
      <c r="D1274" t="s">
        <v>35</v>
      </c>
      <c r="E1274" t="s">
        <v>36</v>
      </c>
      <c r="F1274" t="s">
        <v>37</v>
      </c>
      <c r="G1274">
        <v>758697</v>
      </c>
      <c r="H1274" t="s">
        <v>3878</v>
      </c>
      <c r="I1274" t="s">
        <v>3879</v>
      </c>
      <c r="J1274" t="s">
        <v>161</v>
      </c>
      <c r="O1274" t="s">
        <v>3880</v>
      </c>
      <c r="P1274">
        <v>9.36</v>
      </c>
      <c r="Q1274">
        <v>9.66</v>
      </c>
      <c r="R1274">
        <v>9.36</v>
      </c>
      <c r="S1274">
        <v>9.58</v>
      </c>
      <c r="T1274">
        <v>9.66</v>
      </c>
      <c r="U1274">
        <v>9.6</v>
      </c>
      <c r="W1274">
        <v>9.58</v>
      </c>
      <c r="Z1274">
        <v>1090198</v>
      </c>
      <c r="AA1274">
        <v>10442136.15</v>
      </c>
      <c r="AB1274">
        <v>3595</v>
      </c>
      <c r="AC1274" t="s">
        <v>42</v>
      </c>
      <c r="AD1274">
        <v>1</v>
      </c>
    </row>
    <row r="1275" spans="1:30">
      <c r="A1275" t="str">
        <f>CONCATENATE(I1275,J1275)</f>
        <v>GROWWNXT50EQ</v>
      </c>
      <c r="B1275" s="34">
        <v>46273</v>
      </c>
      <c r="C1275" s="34">
        <v>46273</v>
      </c>
      <c r="D1275" t="s">
        <v>35</v>
      </c>
      <c r="E1275" t="s">
        <v>36</v>
      </c>
      <c r="F1275" t="s">
        <v>37</v>
      </c>
      <c r="G1275">
        <v>759458</v>
      </c>
      <c r="H1275" t="s">
        <v>3881</v>
      </c>
      <c r="I1275" t="s">
        <v>3882</v>
      </c>
      <c r="J1275" t="s">
        <v>161</v>
      </c>
      <c r="O1275" t="s">
        <v>3883</v>
      </c>
      <c r="P1275">
        <v>73.150000000000006</v>
      </c>
      <c r="Q1275">
        <v>74.849999999999994</v>
      </c>
      <c r="R1275">
        <v>72.11</v>
      </c>
      <c r="S1275">
        <v>74.599999999999994</v>
      </c>
      <c r="T1275">
        <v>74.849999999999994</v>
      </c>
      <c r="U1275">
        <v>72.790000000000006</v>
      </c>
      <c r="W1275">
        <v>74.599999999999994</v>
      </c>
      <c r="Z1275">
        <v>4677</v>
      </c>
      <c r="AA1275">
        <v>343017.75</v>
      </c>
      <c r="AB1275">
        <v>82</v>
      </c>
      <c r="AC1275" t="s">
        <v>42</v>
      </c>
      <c r="AD1275">
        <v>1</v>
      </c>
    </row>
    <row r="1276" spans="1:30">
      <c r="A1276" t="str">
        <f>CONCATENATE(I1276,J1276)</f>
        <v>GROWWPOWEREQ</v>
      </c>
      <c r="B1276" s="34">
        <v>46273</v>
      </c>
      <c r="C1276" s="34">
        <v>46273</v>
      </c>
      <c r="D1276" t="s">
        <v>35</v>
      </c>
      <c r="E1276" t="s">
        <v>36</v>
      </c>
      <c r="F1276" t="s">
        <v>37</v>
      </c>
      <c r="G1276">
        <v>758165</v>
      </c>
      <c r="H1276" t="s">
        <v>3884</v>
      </c>
      <c r="I1276" t="s">
        <v>3885</v>
      </c>
      <c r="J1276" t="s">
        <v>161</v>
      </c>
      <c r="O1276" t="s">
        <v>3886</v>
      </c>
      <c r="P1276">
        <v>11.23</v>
      </c>
      <c r="Q1276">
        <v>11.38</v>
      </c>
      <c r="R1276">
        <v>11.21</v>
      </c>
      <c r="S1276">
        <v>11.34</v>
      </c>
      <c r="T1276">
        <v>11.33</v>
      </c>
      <c r="U1276">
        <v>11.2</v>
      </c>
      <c r="W1276">
        <v>11.34</v>
      </c>
      <c r="Z1276">
        <v>1997010</v>
      </c>
      <c r="AA1276">
        <v>22579786.829999998</v>
      </c>
      <c r="AB1276">
        <v>2009</v>
      </c>
      <c r="AC1276" t="s">
        <v>42</v>
      </c>
      <c r="AD1276">
        <v>1</v>
      </c>
    </row>
    <row r="1277" spans="1:30">
      <c r="A1277" t="str">
        <f>CONCATENATE(I1277,J1277)</f>
        <v>GROWWPSEEQ</v>
      </c>
      <c r="B1277" s="34">
        <v>46273</v>
      </c>
      <c r="C1277" s="34">
        <v>46273</v>
      </c>
      <c r="D1277" t="s">
        <v>35</v>
      </c>
      <c r="E1277" t="s">
        <v>36</v>
      </c>
      <c r="F1277" t="s">
        <v>37</v>
      </c>
      <c r="G1277">
        <v>760976</v>
      </c>
      <c r="H1277" t="s">
        <v>3887</v>
      </c>
      <c r="I1277" t="s">
        <v>3888</v>
      </c>
      <c r="J1277" t="s">
        <v>161</v>
      </c>
      <c r="O1277" t="s">
        <v>3889</v>
      </c>
      <c r="P1277">
        <v>96</v>
      </c>
      <c r="Q1277">
        <v>99.6</v>
      </c>
      <c r="R1277">
        <v>96</v>
      </c>
      <c r="S1277">
        <v>98.16</v>
      </c>
      <c r="T1277">
        <v>99.6</v>
      </c>
      <c r="U1277">
        <v>97.95</v>
      </c>
      <c r="W1277">
        <v>98.16</v>
      </c>
      <c r="Z1277">
        <v>1672</v>
      </c>
      <c r="AA1277">
        <v>163745.85999999999</v>
      </c>
      <c r="AB1277">
        <v>101</v>
      </c>
      <c r="AC1277" t="s">
        <v>42</v>
      </c>
      <c r="AD1277">
        <v>1</v>
      </c>
    </row>
    <row r="1278" spans="1:30">
      <c r="A1278" t="str">
        <f>CONCATENATE(I1278,J1278)</f>
        <v>GROWWPSUBKEQ</v>
      </c>
      <c r="B1278" s="34">
        <v>46273</v>
      </c>
      <c r="C1278" s="34">
        <v>46273</v>
      </c>
      <c r="D1278" t="s">
        <v>35</v>
      </c>
      <c r="E1278" t="s">
        <v>36</v>
      </c>
      <c r="F1278" t="s">
        <v>37</v>
      </c>
      <c r="G1278">
        <v>761514</v>
      </c>
      <c r="H1278" t="s">
        <v>3890</v>
      </c>
      <c r="I1278" t="s">
        <v>3891</v>
      </c>
      <c r="J1278" t="s">
        <v>161</v>
      </c>
      <c r="O1278" t="s">
        <v>3892</v>
      </c>
      <c r="P1278">
        <v>84.67</v>
      </c>
      <c r="Q1278">
        <v>85.48</v>
      </c>
      <c r="R1278">
        <v>83.51</v>
      </c>
      <c r="S1278">
        <v>84.49</v>
      </c>
      <c r="T1278">
        <v>84.23</v>
      </c>
      <c r="U1278">
        <v>84.67</v>
      </c>
      <c r="W1278">
        <v>84.49</v>
      </c>
      <c r="Z1278">
        <v>4854</v>
      </c>
      <c r="AA1278">
        <v>409931.23</v>
      </c>
      <c r="AB1278">
        <v>106</v>
      </c>
      <c r="AC1278" t="s">
        <v>42</v>
      </c>
      <c r="AD1278">
        <v>1</v>
      </c>
    </row>
    <row r="1279" spans="1:30">
      <c r="A1279" t="str">
        <f>CONCATENATE(I1279,J1279)</f>
        <v>GROWWRAILEQ</v>
      </c>
      <c r="B1279" s="34">
        <v>46273</v>
      </c>
      <c r="C1279" s="34">
        <v>46273</v>
      </c>
      <c r="D1279" t="s">
        <v>35</v>
      </c>
      <c r="E1279" t="s">
        <v>36</v>
      </c>
      <c r="F1279" t="s">
        <v>37</v>
      </c>
      <c r="G1279">
        <v>29527</v>
      </c>
      <c r="H1279" t="s">
        <v>3893</v>
      </c>
      <c r="I1279" t="s">
        <v>3894</v>
      </c>
      <c r="J1279" t="s">
        <v>161</v>
      </c>
      <c r="O1279" t="s">
        <v>3895</v>
      </c>
      <c r="P1279">
        <v>28.22</v>
      </c>
      <c r="Q1279">
        <v>28.22</v>
      </c>
      <c r="R1279">
        <v>27.7</v>
      </c>
      <c r="S1279">
        <v>27.79</v>
      </c>
      <c r="T1279">
        <v>27.85</v>
      </c>
      <c r="U1279">
        <v>28</v>
      </c>
      <c r="W1279">
        <v>27.79</v>
      </c>
      <c r="Z1279">
        <v>468337</v>
      </c>
      <c r="AA1279">
        <v>13025444.960000001</v>
      </c>
      <c r="AB1279">
        <v>2533</v>
      </c>
      <c r="AC1279" t="s">
        <v>42</v>
      </c>
      <c r="AD1279">
        <v>1</v>
      </c>
    </row>
    <row r="1280" spans="1:30">
      <c r="A1280" t="str">
        <f>CONCATENATE(I1280,J1280)</f>
        <v>GROWWRLTYEQ</v>
      </c>
      <c r="B1280" s="34">
        <v>46273</v>
      </c>
      <c r="C1280" s="34">
        <v>46273</v>
      </c>
      <c r="D1280" t="s">
        <v>35</v>
      </c>
      <c r="E1280" t="s">
        <v>36</v>
      </c>
      <c r="F1280" t="s">
        <v>37</v>
      </c>
      <c r="G1280">
        <v>759428</v>
      </c>
      <c r="H1280" t="s">
        <v>3896</v>
      </c>
      <c r="I1280" t="s">
        <v>3897</v>
      </c>
      <c r="J1280" t="s">
        <v>161</v>
      </c>
      <c r="O1280" t="s">
        <v>3898</v>
      </c>
      <c r="P1280">
        <v>10.07</v>
      </c>
      <c r="Q1280">
        <v>10.35</v>
      </c>
      <c r="R1280">
        <v>9.91</v>
      </c>
      <c r="S1280">
        <v>10.029999999999999</v>
      </c>
      <c r="T1280">
        <v>10.050000000000001</v>
      </c>
      <c r="U1280">
        <v>10.050000000000001</v>
      </c>
      <c r="W1280">
        <v>10.029999999999999</v>
      </c>
      <c r="Z1280">
        <v>177073</v>
      </c>
      <c r="AA1280">
        <v>1767682.43</v>
      </c>
      <c r="AB1280">
        <v>529</v>
      </c>
      <c r="AC1280" t="s">
        <v>42</v>
      </c>
      <c r="AD1280">
        <v>1</v>
      </c>
    </row>
    <row r="1281" spans="1:30">
      <c r="A1281" t="str">
        <f>CONCATENATE(I1281,J1281)</f>
        <v>GROWWSC250EQ</v>
      </c>
      <c r="B1281" s="34">
        <v>46273</v>
      </c>
      <c r="C1281" s="34">
        <v>46273</v>
      </c>
      <c r="D1281" t="s">
        <v>35</v>
      </c>
      <c r="E1281" t="s">
        <v>36</v>
      </c>
      <c r="F1281" t="s">
        <v>37</v>
      </c>
      <c r="G1281">
        <v>759522</v>
      </c>
      <c r="H1281" t="s">
        <v>3899</v>
      </c>
      <c r="I1281" t="s">
        <v>3900</v>
      </c>
      <c r="J1281" t="s">
        <v>161</v>
      </c>
      <c r="O1281" t="s">
        <v>3901</v>
      </c>
      <c r="P1281">
        <v>10.8</v>
      </c>
      <c r="Q1281">
        <v>10.8</v>
      </c>
      <c r="R1281">
        <v>10.58</v>
      </c>
      <c r="S1281">
        <v>10.64</v>
      </c>
      <c r="T1281">
        <v>10.63</v>
      </c>
      <c r="U1281">
        <v>10.67</v>
      </c>
      <c r="W1281">
        <v>10.64</v>
      </c>
      <c r="Z1281">
        <v>115196</v>
      </c>
      <c r="AA1281">
        <v>1227793.57</v>
      </c>
      <c r="AB1281">
        <v>497</v>
      </c>
      <c r="AC1281" t="s">
        <v>42</v>
      </c>
      <c r="AD1281">
        <v>1</v>
      </c>
    </row>
    <row r="1282" spans="1:30">
      <c r="A1282" t="str">
        <f>CONCATENATE(I1282,J1282)</f>
        <v>GROWWSLVREQ</v>
      </c>
      <c r="B1282" s="34">
        <v>46273</v>
      </c>
      <c r="C1282" s="34">
        <v>46273</v>
      </c>
      <c r="D1282" t="s">
        <v>35</v>
      </c>
      <c r="E1282" t="s">
        <v>36</v>
      </c>
      <c r="F1282" t="s">
        <v>37</v>
      </c>
      <c r="G1282">
        <v>756827</v>
      </c>
      <c r="H1282" t="s">
        <v>3902</v>
      </c>
      <c r="I1282" t="s">
        <v>3903</v>
      </c>
      <c r="J1282" t="s">
        <v>161</v>
      </c>
      <c r="O1282" t="s">
        <v>3904</v>
      </c>
      <c r="P1282">
        <v>22.9</v>
      </c>
      <c r="Q1282">
        <v>22.94</v>
      </c>
      <c r="R1282">
        <v>22.55</v>
      </c>
      <c r="S1282">
        <v>22.65</v>
      </c>
      <c r="T1282">
        <v>22.69</v>
      </c>
      <c r="U1282">
        <v>22.53</v>
      </c>
      <c r="W1282">
        <v>22.65</v>
      </c>
      <c r="Z1282">
        <v>1107262</v>
      </c>
      <c r="AA1282">
        <v>25210013.800000001</v>
      </c>
      <c r="AB1282">
        <v>2130</v>
      </c>
      <c r="AC1282" t="s">
        <v>42</v>
      </c>
      <c r="AD1282">
        <v>1</v>
      </c>
    </row>
    <row r="1283" spans="1:30">
      <c r="A1283" t="str">
        <f>CONCATENATE(I1283,J1283)</f>
        <v>PVTBKGROWWEQ</v>
      </c>
      <c r="B1283" s="34">
        <v>46273</v>
      </c>
      <c r="C1283" s="34">
        <v>46273</v>
      </c>
      <c r="D1283" t="s">
        <v>35</v>
      </c>
      <c r="E1283" t="s">
        <v>36</v>
      </c>
      <c r="F1283" t="s">
        <v>37</v>
      </c>
      <c r="G1283">
        <v>763572</v>
      </c>
      <c r="H1283" t="s">
        <v>3905</v>
      </c>
      <c r="I1283" t="s">
        <v>3906</v>
      </c>
      <c r="J1283" t="s">
        <v>161</v>
      </c>
      <c r="O1283" t="s">
        <v>3907</v>
      </c>
      <c r="P1283">
        <v>28.19</v>
      </c>
      <c r="Q1283">
        <v>28.19</v>
      </c>
      <c r="R1283">
        <v>27.55</v>
      </c>
      <c r="S1283">
        <v>27.7</v>
      </c>
      <c r="T1283">
        <v>27.73</v>
      </c>
      <c r="U1283">
        <v>27.9</v>
      </c>
      <c r="W1283">
        <v>27.7</v>
      </c>
      <c r="Z1283">
        <v>9783</v>
      </c>
      <c r="AA1283">
        <v>271224.34000000003</v>
      </c>
      <c r="AB1283">
        <v>143</v>
      </c>
      <c r="AC1283" t="s">
        <v>42</v>
      </c>
      <c r="AD1283">
        <v>1</v>
      </c>
    </row>
    <row r="1284" spans="1:30">
      <c r="A1284" t="str">
        <f>CONCATENATE(I1284,J1284)</f>
        <v>SMALLGROWWEQ</v>
      </c>
      <c r="B1284" s="34">
        <v>46273</v>
      </c>
      <c r="C1284" s="34">
        <v>46273</v>
      </c>
      <c r="D1284" t="s">
        <v>35</v>
      </c>
      <c r="E1284" t="s">
        <v>36</v>
      </c>
      <c r="F1284" t="s">
        <v>37</v>
      </c>
      <c r="G1284">
        <v>751745</v>
      </c>
      <c r="H1284" t="s">
        <v>3908</v>
      </c>
      <c r="I1284" t="s">
        <v>3909</v>
      </c>
      <c r="J1284" t="s">
        <v>161</v>
      </c>
      <c r="O1284" t="s">
        <v>3910</v>
      </c>
      <c r="P1284">
        <v>49.22</v>
      </c>
      <c r="Q1284">
        <v>49.64</v>
      </c>
      <c r="R1284">
        <v>49.13</v>
      </c>
      <c r="S1284">
        <v>49.55</v>
      </c>
      <c r="T1284">
        <v>49.6</v>
      </c>
      <c r="U1284">
        <v>49.22</v>
      </c>
      <c r="W1284">
        <v>49.55</v>
      </c>
      <c r="Z1284">
        <v>2937</v>
      </c>
      <c r="AA1284">
        <v>145221.71</v>
      </c>
      <c r="AB1284">
        <v>68</v>
      </c>
      <c r="AC1284" t="s">
        <v>42</v>
      </c>
      <c r="AD1284">
        <v>1</v>
      </c>
    </row>
    <row r="1285" spans="1:30">
      <c r="A1285" t="str">
        <f>CONCATENATE(I1285,J1285)</f>
        <v>GRPLTDEQ</v>
      </c>
      <c r="B1285" s="34">
        <v>46273</v>
      </c>
      <c r="C1285" s="34">
        <v>46273</v>
      </c>
      <c r="D1285" t="s">
        <v>35</v>
      </c>
      <c r="E1285" t="s">
        <v>36</v>
      </c>
      <c r="F1285" t="s">
        <v>37</v>
      </c>
      <c r="G1285">
        <v>6543</v>
      </c>
      <c r="H1285" t="s">
        <v>3911</v>
      </c>
      <c r="I1285" t="s">
        <v>3912</v>
      </c>
      <c r="J1285" t="s">
        <v>161</v>
      </c>
      <c r="O1285" t="s">
        <v>3913</v>
      </c>
      <c r="P1285">
        <v>2042</v>
      </c>
      <c r="Q1285">
        <v>2042</v>
      </c>
      <c r="R1285">
        <v>1962</v>
      </c>
      <c r="S1285">
        <v>2001.4</v>
      </c>
      <c r="T1285">
        <v>1981</v>
      </c>
      <c r="U1285">
        <v>2004.1</v>
      </c>
      <c r="W1285">
        <v>2001.39</v>
      </c>
      <c r="Z1285">
        <v>981</v>
      </c>
      <c r="AA1285">
        <v>1952612.2</v>
      </c>
      <c r="AB1285">
        <v>220</v>
      </c>
      <c r="AC1285" t="s">
        <v>42</v>
      </c>
      <c r="AD1285">
        <v>1</v>
      </c>
    </row>
    <row r="1286" spans="1:30">
      <c r="A1286" t="str">
        <f>CONCATENATE(I1286,J1286)</f>
        <v>GSMFOILSSM</v>
      </c>
      <c r="B1286" s="34">
        <v>46273</v>
      </c>
      <c r="C1286" s="34">
        <v>46273</v>
      </c>
      <c r="D1286" t="s">
        <v>35</v>
      </c>
      <c r="E1286" t="s">
        <v>36</v>
      </c>
      <c r="F1286" t="s">
        <v>37</v>
      </c>
      <c r="G1286">
        <v>23888</v>
      </c>
      <c r="H1286" t="s">
        <v>3914</v>
      </c>
      <c r="I1286" t="s">
        <v>3915</v>
      </c>
      <c r="J1286" t="s">
        <v>267</v>
      </c>
      <c r="O1286" t="s">
        <v>3916</v>
      </c>
      <c r="P1286">
        <v>100.35</v>
      </c>
      <c r="Q1286">
        <v>109.6</v>
      </c>
      <c r="R1286">
        <v>100.35</v>
      </c>
      <c r="S1286">
        <v>100.35</v>
      </c>
      <c r="T1286">
        <v>100.35</v>
      </c>
      <c r="U1286">
        <v>105.6</v>
      </c>
      <c r="W1286">
        <v>100.35</v>
      </c>
      <c r="Z1286">
        <v>1275500</v>
      </c>
      <c r="AA1286">
        <v>131279625</v>
      </c>
      <c r="AB1286">
        <v>1121</v>
      </c>
      <c r="AC1286" t="s">
        <v>42</v>
      </c>
      <c r="AD1286">
        <v>500</v>
      </c>
    </row>
    <row r="1287" spans="1:30">
      <c r="A1287" t="str">
        <f>CONCATENATE(I1287,J1287)</f>
        <v>GSPCROPEQ</v>
      </c>
      <c r="B1287" s="34">
        <v>46273</v>
      </c>
      <c r="C1287" s="34">
        <v>46273</v>
      </c>
      <c r="D1287" t="s">
        <v>35</v>
      </c>
      <c r="E1287" t="s">
        <v>36</v>
      </c>
      <c r="F1287" t="s">
        <v>37</v>
      </c>
      <c r="G1287">
        <v>762239</v>
      </c>
      <c r="H1287" t="s">
        <v>3917</v>
      </c>
      <c r="I1287" t="s">
        <v>3918</v>
      </c>
      <c r="J1287" t="s">
        <v>161</v>
      </c>
      <c r="O1287" t="s">
        <v>3919</v>
      </c>
      <c r="P1287">
        <v>600</v>
      </c>
      <c r="Q1287">
        <v>606.70000000000005</v>
      </c>
      <c r="R1287">
        <v>480.8</v>
      </c>
      <c r="S1287">
        <v>531</v>
      </c>
      <c r="T1287">
        <v>527.9</v>
      </c>
      <c r="U1287">
        <v>600.95000000000005</v>
      </c>
      <c r="W1287">
        <v>530.99</v>
      </c>
      <c r="Z1287">
        <v>2530958</v>
      </c>
      <c r="AA1287">
        <v>1310866847.0999999</v>
      </c>
      <c r="AB1287">
        <v>66411</v>
      </c>
      <c r="AC1287" t="s">
        <v>42</v>
      </c>
      <c r="AD1287">
        <v>1</v>
      </c>
    </row>
    <row r="1288" spans="1:30">
      <c r="A1288" t="str">
        <f>CONCATENATE(I1288,J1288)</f>
        <v>GSSEQ</v>
      </c>
      <c r="B1288" s="34">
        <v>46273</v>
      </c>
      <c r="C1288" s="34">
        <v>46273</v>
      </c>
      <c r="D1288" t="s">
        <v>35</v>
      </c>
      <c r="E1288" t="s">
        <v>36</v>
      </c>
      <c r="F1288" t="s">
        <v>37</v>
      </c>
      <c r="G1288">
        <v>15347</v>
      </c>
      <c r="H1288" t="s">
        <v>3920</v>
      </c>
      <c r="I1288" t="s">
        <v>3921</v>
      </c>
      <c r="J1288" t="s">
        <v>161</v>
      </c>
      <c r="O1288" t="s">
        <v>3922</v>
      </c>
      <c r="P1288">
        <v>11.34</v>
      </c>
      <c r="Q1288">
        <v>11.34</v>
      </c>
      <c r="R1288">
        <v>10.83</v>
      </c>
      <c r="S1288">
        <v>10.96</v>
      </c>
      <c r="T1288">
        <v>10.98</v>
      </c>
      <c r="U1288">
        <v>11.02</v>
      </c>
      <c r="W1288">
        <v>10.96</v>
      </c>
      <c r="Z1288">
        <v>29086</v>
      </c>
      <c r="AA1288">
        <v>319671.67</v>
      </c>
      <c r="AB1288">
        <v>161</v>
      </c>
      <c r="AC1288" t="s">
        <v>42</v>
      </c>
      <c r="AD1288">
        <v>1</v>
      </c>
    </row>
    <row r="1289" spans="1:30">
      <c r="A1289" t="str">
        <f>CONCATENATE(I1289,J1289)</f>
        <v>GTLINFRAEQ</v>
      </c>
      <c r="B1289" s="34">
        <v>46273</v>
      </c>
      <c r="C1289" s="34">
        <v>46273</v>
      </c>
      <c r="D1289" t="s">
        <v>35</v>
      </c>
      <c r="E1289" t="s">
        <v>36</v>
      </c>
      <c r="F1289" t="s">
        <v>37</v>
      </c>
      <c r="G1289">
        <v>13745</v>
      </c>
      <c r="H1289" t="s">
        <v>3923</v>
      </c>
      <c r="I1289" t="s">
        <v>3924</v>
      </c>
      <c r="J1289" t="s">
        <v>161</v>
      </c>
      <c r="O1289" t="s">
        <v>3925</v>
      </c>
      <c r="P1289">
        <v>1.21</v>
      </c>
      <c r="Q1289">
        <v>1.22</v>
      </c>
      <c r="R1289">
        <v>1.17</v>
      </c>
      <c r="S1289">
        <v>1.18</v>
      </c>
      <c r="T1289">
        <v>1.19</v>
      </c>
      <c r="U1289">
        <v>1.2</v>
      </c>
      <c r="W1289">
        <v>1.18</v>
      </c>
      <c r="Z1289">
        <v>35870401</v>
      </c>
      <c r="AA1289">
        <v>42572044.329999998</v>
      </c>
      <c r="AB1289">
        <v>10394</v>
      </c>
      <c r="AC1289" t="s">
        <v>42</v>
      </c>
      <c r="AD1289">
        <v>1</v>
      </c>
    </row>
    <row r="1290" spans="1:30">
      <c r="A1290" t="str">
        <f>CONCATENATE(I1290,J1290)</f>
        <v>GTLEQ</v>
      </c>
      <c r="B1290" s="34">
        <v>46273</v>
      </c>
      <c r="C1290" s="34">
        <v>46273</v>
      </c>
      <c r="D1290" t="s">
        <v>35</v>
      </c>
      <c r="E1290" t="s">
        <v>36</v>
      </c>
      <c r="F1290" t="s">
        <v>37</v>
      </c>
      <c r="G1290">
        <v>1162</v>
      </c>
      <c r="H1290" t="s">
        <v>3926</v>
      </c>
      <c r="I1290" t="s">
        <v>3927</v>
      </c>
      <c r="J1290" t="s">
        <v>161</v>
      </c>
      <c r="O1290" t="s">
        <v>3928</v>
      </c>
      <c r="P1290">
        <v>7.3</v>
      </c>
      <c r="Q1290">
        <v>7.3</v>
      </c>
      <c r="R1290">
        <v>6.71</v>
      </c>
      <c r="S1290">
        <v>7.02</v>
      </c>
      <c r="T1290">
        <v>7.07</v>
      </c>
      <c r="U1290">
        <v>7.25</v>
      </c>
      <c r="W1290">
        <v>7.02</v>
      </c>
      <c r="Z1290">
        <v>459766</v>
      </c>
      <c r="AA1290">
        <v>3263252.54</v>
      </c>
      <c r="AB1290">
        <v>854</v>
      </c>
      <c r="AC1290" t="s">
        <v>42</v>
      </c>
      <c r="AD1290">
        <v>1</v>
      </c>
    </row>
    <row r="1291" spans="1:30">
      <c r="A1291" t="str">
        <f>CONCATENATE(I1291,J1291)</f>
        <v>GTPLEQ</v>
      </c>
      <c r="B1291" s="34">
        <v>46273</v>
      </c>
      <c r="C1291" s="34">
        <v>46273</v>
      </c>
      <c r="D1291" t="s">
        <v>35</v>
      </c>
      <c r="E1291" t="s">
        <v>36</v>
      </c>
      <c r="F1291" t="s">
        <v>37</v>
      </c>
      <c r="G1291">
        <v>21195</v>
      </c>
      <c r="H1291" t="s">
        <v>3929</v>
      </c>
      <c r="I1291" t="s">
        <v>3930</v>
      </c>
      <c r="J1291" t="s">
        <v>161</v>
      </c>
      <c r="O1291" t="s">
        <v>3931</v>
      </c>
      <c r="P1291">
        <v>59</v>
      </c>
      <c r="Q1291">
        <v>59.13</v>
      </c>
      <c r="R1291">
        <v>57.67</v>
      </c>
      <c r="S1291">
        <v>58.08</v>
      </c>
      <c r="T1291">
        <v>58.25</v>
      </c>
      <c r="U1291">
        <v>58.91</v>
      </c>
      <c r="W1291">
        <v>58.09</v>
      </c>
      <c r="Z1291">
        <v>26510</v>
      </c>
      <c r="AA1291">
        <v>1547252.15</v>
      </c>
      <c r="AB1291">
        <v>546</v>
      </c>
      <c r="AC1291" t="s">
        <v>42</v>
      </c>
      <c r="AD1291">
        <v>1</v>
      </c>
    </row>
    <row r="1292" spans="1:30">
      <c r="A1292" t="str">
        <f>CONCATENATE(I1292,J1292)</f>
        <v>GUFICBIOEQ</v>
      </c>
      <c r="B1292" s="34">
        <v>46273</v>
      </c>
      <c r="C1292" s="34">
        <v>46273</v>
      </c>
      <c r="D1292" t="s">
        <v>35</v>
      </c>
      <c r="E1292" t="s">
        <v>36</v>
      </c>
      <c r="F1292" t="s">
        <v>37</v>
      </c>
      <c r="G1292">
        <v>11606</v>
      </c>
      <c r="H1292" t="s">
        <v>3932</v>
      </c>
      <c r="I1292" t="s">
        <v>3933</v>
      </c>
      <c r="J1292" t="s">
        <v>161</v>
      </c>
      <c r="O1292" t="s">
        <v>3934</v>
      </c>
      <c r="P1292">
        <v>448</v>
      </c>
      <c r="Q1292">
        <v>451</v>
      </c>
      <c r="R1292">
        <v>436.8</v>
      </c>
      <c r="S1292">
        <v>440.3</v>
      </c>
      <c r="T1292">
        <v>440.1</v>
      </c>
      <c r="U1292">
        <v>448</v>
      </c>
      <c r="W1292">
        <v>440.28</v>
      </c>
      <c r="Z1292">
        <v>66969</v>
      </c>
      <c r="AA1292">
        <v>29783234.800000001</v>
      </c>
      <c r="AB1292">
        <v>3188</v>
      </c>
      <c r="AC1292" t="s">
        <v>42</v>
      </c>
      <c r="AD1292">
        <v>1</v>
      </c>
    </row>
    <row r="1293" spans="1:30">
      <c r="A1293" t="str">
        <f>CONCATENATE(I1293,J1293)</f>
        <v>GIPCLEQ</v>
      </c>
      <c r="B1293" s="34">
        <v>46273</v>
      </c>
      <c r="C1293" s="34">
        <v>46273</v>
      </c>
      <c r="D1293" t="s">
        <v>35</v>
      </c>
      <c r="E1293" t="s">
        <v>36</v>
      </c>
      <c r="F1293" t="s">
        <v>37</v>
      </c>
      <c r="G1293">
        <v>1145</v>
      </c>
      <c r="H1293" t="s">
        <v>3935</v>
      </c>
      <c r="I1293" t="s">
        <v>3936</v>
      </c>
      <c r="J1293" t="s">
        <v>161</v>
      </c>
      <c r="O1293" t="s">
        <v>3937</v>
      </c>
      <c r="P1293">
        <v>201.8</v>
      </c>
      <c r="Q1293">
        <v>201.98</v>
      </c>
      <c r="R1293">
        <v>198.2</v>
      </c>
      <c r="S1293">
        <v>201.1</v>
      </c>
      <c r="T1293">
        <v>201.01</v>
      </c>
      <c r="U1293">
        <v>200.72</v>
      </c>
      <c r="W1293">
        <v>201.1</v>
      </c>
      <c r="Z1293">
        <v>325313</v>
      </c>
      <c r="AA1293">
        <v>65038752.340000004</v>
      </c>
      <c r="AB1293">
        <v>6403</v>
      </c>
      <c r="AC1293" t="s">
        <v>42</v>
      </c>
      <c r="AD1293">
        <v>1</v>
      </c>
    </row>
    <row r="1294" spans="1:30">
      <c r="A1294" t="str">
        <f>CONCATENATE(I1294,J1294)</f>
        <v>GNFCEQ</v>
      </c>
      <c r="B1294" s="34">
        <v>46273</v>
      </c>
      <c r="C1294" s="34">
        <v>46273</v>
      </c>
      <c r="D1294" t="s">
        <v>35</v>
      </c>
      <c r="E1294" t="s">
        <v>36</v>
      </c>
      <c r="F1294" t="s">
        <v>37</v>
      </c>
      <c r="G1294">
        <v>1174</v>
      </c>
      <c r="H1294" t="s">
        <v>3938</v>
      </c>
      <c r="I1294" t="s">
        <v>3939</v>
      </c>
      <c r="J1294" t="s">
        <v>161</v>
      </c>
      <c r="O1294" t="s">
        <v>3940</v>
      </c>
      <c r="P1294">
        <v>599.9</v>
      </c>
      <c r="Q1294">
        <v>601</v>
      </c>
      <c r="R1294">
        <v>586.15</v>
      </c>
      <c r="S1294">
        <v>589.1</v>
      </c>
      <c r="T1294">
        <v>589</v>
      </c>
      <c r="U1294">
        <v>597.9</v>
      </c>
      <c r="W1294">
        <v>589.1</v>
      </c>
      <c r="Z1294">
        <v>1037637</v>
      </c>
      <c r="AA1294">
        <v>612799655.54999995</v>
      </c>
      <c r="AB1294">
        <v>21655</v>
      </c>
      <c r="AC1294" t="s">
        <v>42</v>
      </c>
      <c r="AD1294">
        <v>1</v>
      </c>
    </row>
    <row r="1295" spans="1:30">
      <c r="A1295" t="str">
        <f>CONCATENATE(I1295,J1295)</f>
        <v>GSFCEQ</v>
      </c>
      <c r="B1295" s="34">
        <v>46273</v>
      </c>
      <c r="C1295" s="34">
        <v>46273</v>
      </c>
      <c r="D1295" t="s">
        <v>35</v>
      </c>
      <c r="E1295" t="s">
        <v>36</v>
      </c>
      <c r="F1295" t="s">
        <v>37</v>
      </c>
      <c r="G1295">
        <v>1247</v>
      </c>
      <c r="H1295" t="s">
        <v>3941</v>
      </c>
      <c r="I1295" t="s">
        <v>3942</v>
      </c>
      <c r="J1295" t="s">
        <v>161</v>
      </c>
      <c r="O1295" t="s">
        <v>3943</v>
      </c>
      <c r="P1295">
        <v>162.19999999999999</v>
      </c>
      <c r="Q1295">
        <v>162.33000000000001</v>
      </c>
      <c r="R1295">
        <v>160.41999999999999</v>
      </c>
      <c r="S1295">
        <v>160.81</v>
      </c>
      <c r="T1295">
        <v>160.88</v>
      </c>
      <c r="U1295">
        <v>162.02000000000001</v>
      </c>
      <c r="W1295">
        <v>160.81</v>
      </c>
      <c r="Z1295">
        <v>877506</v>
      </c>
      <c r="AA1295">
        <v>141325735.21000001</v>
      </c>
      <c r="AB1295">
        <v>9916</v>
      </c>
      <c r="AC1295" t="s">
        <v>42</v>
      </c>
      <c r="AD1295">
        <v>1</v>
      </c>
    </row>
    <row r="1296" spans="1:30">
      <c r="A1296" t="str">
        <f>CONCATENATE(I1296,J1296)</f>
        <v>GUJAPOLLOEQ</v>
      </c>
      <c r="B1296" s="34">
        <v>46273</v>
      </c>
      <c r="C1296" s="34">
        <v>46273</v>
      </c>
      <c r="D1296" t="s">
        <v>35</v>
      </c>
      <c r="E1296" t="s">
        <v>36</v>
      </c>
      <c r="F1296" t="s">
        <v>37</v>
      </c>
      <c r="G1296">
        <v>14677</v>
      </c>
      <c r="H1296" t="s">
        <v>3944</v>
      </c>
      <c r="I1296" t="s">
        <v>3945</v>
      </c>
      <c r="J1296" t="s">
        <v>161</v>
      </c>
      <c r="O1296" t="s">
        <v>3946</v>
      </c>
      <c r="P1296">
        <v>348.05</v>
      </c>
      <c r="Q1296">
        <v>348.6</v>
      </c>
      <c r="R1296">
        <v>341.5</v>
      </c>
      <c r="S1296">
        <v>342.2</v>
      </c>
      <c r="T1296">
        <v>341.5</v>
      </c>
      <c r="U1296">
        <v>345.2</v>
      </c>
      <c r="W1296">
        <v>342.4</v>
      </c>
      <c r="Z1296">
        <v>4003</v>
      </c>
      <c r="AA1296">
        <v>1377076.6</v>
      </c>
      <c r="AB1296">
        <v>259</v>
      </c>
      <c r="AC1296" t="s">
        <v>42</v>
      </c>
      <c r="AD1296">
        <v>1</v>
      </c>
    </row>
    <row r="1297" spans="1:30">
      <c r="A1297" t="str">
        <f>CONCATENATE(I1297,J1297)</f>
        <v>GUJALKALIEQ</v>
      </c>
      <c r="B1297" s="34">
        <v>46273</v>
      </c>
      <c r="C1297" s="34">
        <v>46273</v>
      </c>
      <c r="D1297" t="s">
        <v>35</v>
      </c>
      <c r="E1297" t="s">
        <v>36</v>
      </c>
      <c r="F1297" t="s">
        <v>37</v>
      </c>
      <c r="G1297">
        <v>1267</v>
      </c>
      <c r="H1297" t="s">
        <v>3947</v>
      </c>
      <c r="I1297" t="s">
        <v>3948</v>
      </c>
      <c r="J1297" t="s">
        <v>161</v>
      </c>
      <c r="O1297" t="s">
        <v>3949</v>
      </c>
      <c r="P1297">
        <v>709</v>
      </c>
      <c r="Q1297">
        <v>730</v>
      </c>
      <c r="R1297">
        <v>707.85</v>
      </c>
      <c r="S1297">
        <v>718.75</v>
      </c>
      <c r="T1297">
        <v>719.8</v>
      </c>
      <c r="U1297">
        <v>707.85</v>
      </c>
      <c r="W1297">
        <v>718.72</v>
      </c>
      <c r="Z1297">
        <v>57495</v>
      </c>
      <c r="AA1297">
        <v>41081237.100000001</v>
      </c>
      <c r="AB1297">
        <v>5112</v>
      </c>
      <c r="AC1297" t="s">
        <v>42</v>
      </c>
      <c r="AD1297">
        <v>1</v>
      </c>
    </row>
    <row r="1298" spans="1:30">
      <c r="A1298" t="str">
        <f>CONCATENATE(I1298,J1298)</f>
        <v>GAELEQ</v>
      </c>
      <c r="B1298" s="34">
        <v>46273</v>
      </c>
      <c r="C1298" s="34">
        <v>46273</v>
      </c>
      <c r="D1298" t="s">
        <v>35</v>
      </c>
      <c r="E1298" t="s">
        <v>36</v>
      </c>
      <c r="F1298" t="s">
        <v>37</v>
      </c>
      <c r="G1298">
        <v>8828</v>
      </c>
      <c r="H1298" t="s">
        <v>3950</v>
      </c>
      <c r="I1298" t="s">
        <v>3951</v>
      </c>
      <c r="J1298" t="s">
        <v>161</v>
      </c>
      <c r="O1298" t="s">
        <v>3952</v>
      </c>
      <c r="P1298">
        <v>165.89</v>
      </c>
      <c r="Q1298">
        <v>170.3</v>
      </c>
      <c r="R1298">
        <v>164.35</v>
      </c>
      <c r="S1298">
        <v>167.3</v>
      </c>
      <c r="T1298">
        <v>168</v>
      </c>
      <c r="U1298">
        <v>165.48</v>
      </c>
      <c r="W1298">
        <v>167.3</v>
      </c>
      <c r="Z1298">
        <v>561039</v>
      </c>
      <c r="AA1298">
        <v>94241939.170000002</v>
      </c>
      <c r="AB1298">
        <v>12412</v>
      </c>
      <c r="AC1298" t="s">
        <v>42</v>
      </c>
      <c r="AD1298">
        <v>1</v>
      </c>
    </row>
    <row r="1299" spans="1:30">
      <c r="A1299" t="str">
        <f>CONCATENATE(I1299,J1299)</f>
        <v>GUJENERGYEQ</v>
      </c>
      <c r="B1299" s="34">
        <v>46273</v>
      </c>
      <c r="C1299" s="34">
        <v>46273</v>
      </c>
      <c r="D1299" t="s">
        <v>35</v>
      </c>
      <c r="E1299" t="s">
        <v>36</v>
      </c>
      <c r="F1299" t="s">
        <v>37</v>
      </c>
      <c r="G1299">
        <v>10599</v>
      </c>
      <c r="H1299" t="s">
        <v>3953</v>
      </c>
      <c r="I1299" t="s">
        <v>3954</v>
      </c>
      <c r="J1299" t="s">
        <v>161</v>
      </c>
      <c r="O1299" t="s">
        <v>3955</v>
      </c>
      <c r="P1299">
        <v>261.93</v>
      </c>
      <c r="Q1299">
        <v>262.89999999999998</v>
      </c>
      <c r="R1299">
        <v>258.91000000000003</v>
      </c>
      <c r="S1299">
        <v>260.18</v>
      </c>
      <c r="T1299">
        <v>260</v>
      </c>
      <c r="U1299">
        <v>261.93</v>
      </c>
      <c r="W1299">
        <v>260.18</v>
      </c>
      <c r="Z1299">
        <v>1104625</v>
      </c>
      <c r="AA1299">
        <v>287558449.13999999</v>
      </c>
      <c r="AB1299">
        <v>28573</v>
      </c>
      <c r="AC1299" t="s">
        <v>42</v>
      </c>
      <c r="AD1299">
        <v>1</v>
      </c>
    </row>
    <row r="1300" spans="1:30">
      <c r="A1300" t="str">
        <f>CONCATENATE(I1300,J1300)</f>
        <v>FLUOROCHEMEQ</v>
      </c>
      <c r="B1300" s="34">
        <v>46273</v>
      </c>
      <c r="C1300" s="34">
        <v>46273</v>
      </c>
      <c r="D1300" t="s">
        <v>35</v>
      </c>
      <c r="E1300" t="s">
        <v>36</v>
      </c>
      <c r="F1300" t="s">
        <v>37</v>
      </c>
      <c r="G1300">
        <v>13750</v>
      </c>
      <c r="H1300" t="s">
        <v>3956</v>
      </c>
      <c r="I1300" t="s">
        <v>3957</v>
      </c>
      <c r="J1300" t="s">
        <v>161</v>
      </c>
      <c r="O1300" t="s">
        <v>3958</v>
      </c>
      <c r="P1300">
        <v>4539</v>
      </c>
      <c r="Q1300">
        <v>4684.8999999999996</v>
      </c>
      <c r="R1300">
        <v>4486</v>
      </c>
      <c r="S1300">
        <v>4676.6000000000004</v>
      </c>
      <c r="T1300">
        <v>4684</v>
      </c>
      <c r="U1300">
        <v>4530.5</v>
      </c>
      <c r="W1300">
        <v>4676.63</v>
      </c>
      <c r="Z1300">
        <v>136156</v>
      </c>
      <c r="AA1300">
        <v>626541245</v>
      </c>
      <c r="AB1300">
        <v>20460</v>
      </c>
      <c r="AC1300" t="s">
        <v>42</v>
      </c>
      <c r="AD1300">
        <v>1</v>
      </c>
    </row>
    <row r="1301" spans="1:30">
      <c r="A1301" t="str">
        <f>CONCATENATE(I1301,J1301)</f>
        <v>GKSLEQ</v>
      </c>
      <c r="B1301" s="34">
        <v>46273</v>
      </c>
      <c r="C1301" s="34">
        <v>46273</v>
      </c>
      <c r="D1301" t="s">
        <v>35</v>
      </c>
      <c r="E1301" t="s">
        <v>36</v>
      </c>
      <c r="F1301" t="s">
        <v>37</v>
      </c>
      <c r="G1301">
        <v>761197</v>
      </c>
      <c r="H1301" t="s">
        <v>3959</v>
      </c>
      <c r="I1301" t="s">
        <v>3960</v>
      </c>
      <c r="J1301" t="s">
        <v>161</v>
      </c>
      <c r="O1301" t="s">
        <v>3961</v>
      </c>
      <c r="P1301">
        <v>176.34</v>
      </c>
      <c r="Q1301">
        <v>179.8</v>
      </c>
      <c r="R1301">
        <v>174</v>
      </c>
      <c r="S1301">
        <v>175.19</v>
      </c>
      <c r="T1301">
        <v>175.06</v>
      </c>
      <c r="U1301">
        <v>176.34</v>
      </c>
      <c r="W1301">
        <v>175.2</v>
      </c>
      <c r="Z1301">
        <v>381320</v>
      </c>
      <c r="AA1301">
        <v>67174890.989999995</v>
      </c>
      <c r="AB1301">
        <v>4334</v>
      </c>
      <c r="AC1301" t="s">
        <v>42</v>
      </c>
      <c r="AD1301">
        <v>1</v>
      </c>
    </row>
    <row r="1302" spans="1:30">
      <c r="A1302" t="str">
        <f>CONCATENATE(I1302,J1302)</f>
        <v>GLFLEQ</v>
      </c>
      <c r="B1302" s="34">
        <v>46273</v>
      </c>
      <c r="C1302" s="34">
        <v>46273</v>
      </c>
      <c r="D1302" t="s">
        <v>35</v>
      </c>
      <c r="E1302" t="s">
        <v>36</v>
      </c>
      <c r="F1302" t="s">
        <v>37</v>
      </c>
      <c r="G1302">
        <v>1156</v>
      </c>
      <c r="H1302" t="s">
        <v>3962</v>
      </c>
      <c r="I1302" t="s">
        <v>3963</v>
      </c>
      <c r="J1302" t="s">
        <v>161</v>
      </c>
      <c r="O1302" t="s">
        <v>3964</v>
      </c>
      <c r="P1302">
        <v>5.72</v>
      </c>
      <c r="Q1302">
        <v>5.73</v>
      </c>
      <c r="R1302">
        <v>5.35</v>
      </c>
      <c r="S1302">
        <v>5.35</v>
      </c>
      <c r="T1302">
        <v>5.35</v>
      </c>
      <c r="U1302">
        <v>5.63</v>
      </c>
      <c r="W1302">
        <v>5.35</v>
      </c>
      <c r="Z1302">
        <v>11524</v>
      </c>
      <c r="AA1302">
        <v>62165.06</v>
      </c>
      <c r="AB1302">
        <v>37</v>
      </c>
      <c r="AC1302" t="s">
        <v>42</v>
      </c>
      <c r="AD1302">
        <v>1</v>
      </c>
    </row>
    <row r="1303" spans="1:30">
      <c r="A1303" t="str">
        <f>CONCATENATE(I1303,J1303)</f>
        <v>GMDCLTDEQ</v>
      </c>
      <c r="B1303" s="34">
        <v>46273</v>
      </c>
      <c r="C1303" s="34">
        <v>46273</v>
      </c>
      <c r="D1303" t="s">
        <v>35</v>
      </c>
      <c r="E1303" t="s">
        <v>36</v>
      </c>
      <c r="F1303" t="s">
        <v>37</v>
      </c>
      <c r="G1303">
        <v>5204</v>
      </c>
      <c r="H1303" t="s">
        <v>3965</v>
      </c>
      <c r="I1303" t="s">
        <v>3966</v>
      </c>
      <c r="J1303" t="s">
        <v>161</v>
      </c>
      <c r="O1303" t="s">
        <v>3967</v>
      </c>
      <c r="P1303">
        <v>558.1</v>
      </c>
      <c r="Q1303">
        <v>576.1</v>
      </c>
      <c r="R1303">
        <v>552.75</v>
      </c>
      <c r="S1303">
        <v>568.85</v>
      </c>
      <c r="T1303">
        <v>568.65</v>
      </c>
      <c r="U1303">
        <v>557.6</v>
      </c>
      <c r="W1303">
        <v>568.86</v>
      </c>
      <c r="Z1303">
        <v>1454970</v>
      </c>
      <c r="AA1303">
        <v>825012382.89999998</v>
      </c>
      <c r="AB1303">
        <v>34113</v>
      </c>
      <c r="AC1303" t="s">
        <v>42</v>
      </c>
      <c r="AD1303">
        <v>1</v>
      </c>
    </row>
    <row r="1304" spans="1:30">
      <c r="A1304" t="str">
        <f>CONCATENATE(I1304,J1304)</f>
        <v>GNRLEQ</v>
      </c>
      <c r="B1304" s="34">
        <v>46273</v>
      </c>
      <c r="C1304" s="34">
        <v>46273</v>
      </c>
      <c r="D1304" t="s">
        <v>35</v>
      </c>
      <c r="E1304" t="s">
        <v>36</v>
      </c>
      <c r="F1304" t="s">
        <v>37</v>
      </c>
      <c r="G1304">
        <v>762690</v>
      </c>
      <c r="H1304" t="s">
        <v>3968</v>
      </c>
      <c r="I1304" t="s">
        <v>3969</v>
      </c>
      <c r="J1304" t="s">
        <v>161</v>
      </c>
      <c r="O1304" t="s">
        <v>3970</v>
      </c>
      <c r="P1304">
        <v>115</v>
      </c>
      <c r="Q1304">
        <v>117.8</v>
      </c>
      <c r="R1304">
        <v>106.7</v>
      </c>
      <c r="S1304">
        <v>108.95</v>
      </c>
      <c r="T1304">
        <v>109.1</v>
      </c>
      <c r="U1304">
        <v>113.96</v>
      </c>
      <c r="W1304">
        <v>109.01</v>
      </c>
      <c r="Z1304">
        <v>634510</v>
      </c>
      <c r="AA1304">
        <v>70819773</v>
      </c>
      <c r="AB1304">
        <v>13783</v>
      </c>
      <c r="AC1304" t="s">
        <v>42</v>
      </c>
      <c r="AD1304">
        <v>1</v>
      </c>
    </row>
    <row r="1305" spans="1:30">
      <c r="A1305" t="str">
        <f>CONCATENATE(I1305,J1305)</f>
        <v>GPPLEQ</v>
      </c>
      <c r="B1305" s="34">
        <v>46273</v>
      </c>
      <c r="C1305" s="34">
        <v>46273</v>
      </c>
      <c r="D1305" t="s">
        <v>35</v>
      </c>
      <c r="E1305" t="s">
        <v>36</v>
      </c>
      <c r="F1305" t="s">
        <v>37</v>
      </c>
      <c r="G1305">
        <v>19731</v>
      </c>
      <c r="H1305" t="s">
        <v>3971</v>
      </c>
      <c r="I1305" t="s">
        <v>3972</v>
      </c>
      <c r="J1305" t="s">
        <v>161</v>
      </c>
      <c r="O1305" t="s">
        <v>3973</v>
      </c>
      <c r="P1305">
        <v>160.9</v>
      </c>
      <c r="Q1305">
        <v>162.96</v>
      </c>
      <c r="R1305">
        <v>159.56</v>
      </c>
      <c r="S1305">
        <v>160.58000000000001</v>
      </c>
      <c r="T1305">
        <v>161</v>
      </c>
      <c r="U1305">
        <v>160.97999999999999</v>
      </c>
      <c r="W1305">
        <v>160.58000000000001</v>
      </c>
      <c r="Z1305">
        <v>560277</v>
      </c>
      <c r="AA1305">
        <v>90130772.709999993</v>
      </c>
      <c r="AB1305">
        <v>8608</v>
      </c>
      <c r="AC1305" t="s">
        <v>42</v>
      </c>
      <c r="AD1305">
        <v>1</v>
      </c>
    </row>
    <row r="1306" spans="1:30">
      <c r="A1306" t="str">
        <f>CONCATENATE(I1306,J1306)</f>
        <v>GUJRAFFIAEQ</v>
      </c>
      <c r="B1306" s="34">
        <v>46273</v>
      </c>
      <c r="C1306" s="34">
        <v>46273</v>
      </c>
      <c r="D1306" t="s">
        <v>35</v>
      </c>
      <c r="E1306" t="s">
        <v>36</v>
      </c>
      <c r="F1306" t="s">
        <v>37</v>
      </c>
      <c r="G1306">
        <v>4548</v>
      </c>
      <c r="H1306" t="s">
        <v>3974</v>
      </c>
      <c r="I1306" t="s">
        <v>3975</v>
      </c>
      <c r="J1306" t="s">
        <v>161</v>
      </c>
      <c r="O1306" t="s">
        <v>3976</v>
      </c>
      <c r="P1306">
        <v>40</v>
      </c>
      <c r="Q1306">
        <v>42</v>
      </c>
      <c r="R1306">
        <v>40</v>
      </c>
      <c r="S1306">
        <v>41.95</v>
      </c>
      <c r="T1306">
        <v>41.95</v>
      </c>
      <c r="U1306">
        <v>40.9</v>
      </c>
      <c r="W1306">
        <v>41.93</v>
      </c>
      <c r="Z1306">
        <v>2702</v>
      </c>
      <c r="AA1306">
        <v>111496.74</v>
      </c>
      <c r="AB1306">
        <v>43</v>
      </c>
      <c r="AC1306" t="s">
        <v>42</v>
      </c>
      <c r="AD1306">
        <v>1</v>
      </c>
    </row>
    <row r="1307" spans="1:30">
      <c r="A1307" t="str">
        <f>CONCATENATE(I1307,J1307)</f>
        <v>GUJTHEMEQ</v>
      </c>
      <c r="B1307" s="34">
        <v>46273</v>
      </c>
      <c r="C1307" s="34">
        <v>46273</v>
      </c>
      <c r="D1307" t="s">
        <v>35</v>
      </c>
      <c r="E1307" t="s">
        <v>36</v>
      </c>
      <c r="F1307" t="s">
        <v>37</v>
      </c>
      <c r="G1307">
        <v>29731</v>
      </c>
      <c r="H1307" t="s">
        <v>3977</v>
      </c>
      <c r="I1307" t="s">
        <v>3978</v>
      </c>
      <c r="J1307" t="s">
        <v>161</v>
      </c>
      <c r="O1307" t="s">
        <v>3979</v>
      </c>
      <c r="P1307">
        <v>432.75</v>
      </c>
      <c r="Q1307">
        <v>470.05</v>
      </c>
      <c r="R1307">
        <v>431.85</v>
      </c>
      <c r="S1307">
        <v>453.25</v>
      </c>
      <c r="T1307">
        <v>453</v>
      </c>
      <c r="U1307">
        <v>429.3</v>
      </c>
      <c r="W1307">
        <v>453.25</v>
      </c>
      <c r="Z1307">
        <v>1824251</v>
      </c>
      <c r="AA1307">
        <v>828830848.39999998</v>
      </c>
      <c r="AB1307">
        <v>40822</v>
      </c>
      <c r="AC1307" t="s">
        <v>42</v>
      </c>
      <c r="AD1307">
        <v>1</v>
      </c>
    </row>
    <row r="1308" spans="1:30">
      <c r="A1308" t="str">
        <f>CONCATENATE(I1308,J1308)</f>
        <v>GULFOILLUBEQ</v>
      </c>
      <c r="B1308" s="34">
        <v>46273</v>
      </c>
      <c r="C1308" s="34">
        <v>46273</v>
      </c>
      <c r="D1308" t="s">
        <v>35</v>
      </c>
      <c r="E1308" t="s">
        <v>36</v>
      </c>
      <c r="F1308" t="s">
        <v>37</v>
      </c>
      <c r="G1308">
        <v>4391</v>
      </c>
      <c r="H1308" t="s">
        <v>3980</v>
      </c>
      <c r="I1308" t="s">
        <v>3981</v>
      </c>
      <c r="J1308" t="s">
        <v>161</v>
      </c>
      <c r="O1308" t="s">
        <v>3982</v>
      </c>
      <c r="P1308">
        <v>1059.5999999999999</v>
      </c>
      <c r="Q1308">
        <v>1061</v>
      </c>
      <c r="R1308">
        <v>1047</v>
      </c>
      <c r="S1308">
        <v>1057.5999999999999</v>
      </c>
      <c r="T1308">
        <v>1059.2</v>
      </c>
      <c r="U1308">
        <v>1052.8</v>
      </c>
      <c r="W1308">
        <v>1057.5899999999999</v>
      </c>
      <c r="Z1308">
        <v>37689</v>
      </c>
      <c r="AA1308">
        <v>39764905.899999999</v>
      </c>
      <c r="AB1308">
        <v>5650</v>
      </c>
      <c r="AC1308" t="s">
        <v>42</v>
      </c>
      <c r="AD1308">
        <v>1</v>
      </c>
    </row>
    <row r="1309" spans="1:30">
      <c r="A1309" t="str">
        <f>CONCATENATE(I1309,J1309)</f>
        <v>GULPOLYEQ</v>
      </c>
      <c r="B1309" s="34">
        <v>46273</v>
      </c>
      <c r="C1309" s="34">
        <v>46273</v>
      </c>
      <c r="D1309" t="s">
        <v>35</v>
      </c>
      <c r="E1309" t="s">
        <v>36</v>
      </c>
      <c r="F1309" t="s">
        <v>37</v>
      </c>
      <c r="G1309">
        <v>6286</v>
      </c>
      <c r="H1309" t="s">
        <v>3983</v>
      </c>
      <c r="I1309" t="s">
        <v>3984</v>
      </c>
      <c r="J1309" t="s">
        <v>161</v>
      </c>
      <c r="O1309" t="s">
        <v>3985</v>
      </c>
      <c r="P1309">
        <v>183.04</v>
      </c>
      <c r="Q1309">
        <v>184.2</v>
      </c>
      <c r="R1309">
        <v>180</v>
      </c>
      <c r="S1309">
        <v>181.96</v>
      </c>
      <c r="T1309">
        <v>181.72</v>
      </c>
      <c r="U1309">
        <v>183.04</v>
      </c>
      <c r="W1309">
        <v>181.97</v>
      </c>
      <c r="Z1309">
        <v>195570</v>
      </c>
      <c r="AA1309">
        <v>35638646.109999999</v>
      </c>
      <c r="AB1309">
        <v>3139</v>
      </c>
      <c r="AC1309" t="s">
        <v>42</v>
      </c>
      <c r="AD1309">
        <v>1</v>
      </c>
    </row>
    <row r="1310" spans="1:30">
      <c r="A1310" t="str">
        <f>CONCATENATE(I1310,J1310)</f>
        <v>GURUNANAKSM</v>
      </c>
      <c r="B1310" s="34">
        <v>46273</v>
      </c>
      <c r="C1310" s="34">
        <v>46273</v>
      </c>
      <c r="D1310" t="s">
        <v>35</v>
      </c>
      <c r="E1310" t="s">
        <v>36</v>
      </c>
      <c r="F1310" t="s">
        <v>37</v>
      </c>
      <c r="G1310">
        <v>759261</v>
      </c>
      <c r="H1310" t="s">
        <v>3986</v>
      </c>
      <c r="I1310" t="s">
        <v>3987</v>
      </c>
      <c r="J1310" t="s">
        <v>267</v>
      </c>
      <c r="O1310" t="s">
        <v>3988</v>
      </c>
      <c r="P1310">
        <v>36.700000000000003</v>
      </c>
      <c r="Q1310">
        <v>36.85</v>
      </c>
      <c r="R1310">
        <v>36.700000000000003</v>
      </c>
      <c r="S1310">
        <v>36.85</v>
      </c>
      <c r="T1310">
        <v>36.85</v>
      </c>
      <c r="U1310">
        <v>35.1</v>
      </c>
      <c r="W1310">
        <v>36.85</v>
      </c>
      <c r="Z1310">
        <v>12800</v>
      </c>
      <c r="AA1310">
        <v>471280</v>
      </c>
      <c r="AB1310">
        <v>8</v>
      </c>
      <c r="AC1310" t="s">
        <v>42</v>
      </c>
      <c r="AD1310">
        <v>1600</v>
      </c>
    </row>
    <row r="1311" spans="1:30">
      <c r="A1311" t="str">
        <f>CONCATENATE(I1311,J1311)</f>
        <v>GVKPILBE</v>
      </c>
      <c r="B1311" s="34">
        <v>46273</v>
      </c>
      <c r="C1311" s="34">
        <v>46273</v>
      </c>
      <c r="D1311" t="s">
        <v>35</v>
      </c>
      <c r="E1311" t="s">
        <v>36</v>
      </c>
      <c r="F1311" t="s">
        <v>37</v>
      </c>
      <c r="G1311">
        <v>13229</v>
      </c>
      <c r="H1311" t="s">
        <v>3989</v>
      </c>
      <c r="I1311" t="s">
        <v>3990</v>
      </c>
      <c r="J1311" t="s">
        <v>183</v>
      </c>
      <c r="O1311" t="s">
        <v>3991</v>
      </c>
      <c r="P1311">
        <v>2.13</v>
      </c>
      <c r="Q1311">
        <v>2.13</v>
      </c>
      <c r="R1311">
        <v>2.13</v>
      </c>
      <c r="S1311">
        <v>2.13</v>
      </c>
      <c r="T1311">
        <v>2.13</v>
      </c>
      <c r="U1311">
        <v>2.09</v>
      </c>
      <c r="W1311">
        <v>2.13</v>
      </c>
      <c r="Z1311">
        <v>629903</v>
      </c>
      <c r="AA1311">
        <v>1341693.3899999999</v>
      </c>
      <c r="AB1311">
        <v>384</v>
      </c>
      <c r="AC1311" t="s">
        <v>42</v>
      </c>
      <c r="AD1311">
        <v>1</v>
      </c>
    </row>
    <row r="1312" spans="1:30">
      <c r="A1312" t="str">
        <f>CONCATENATE(I1312,J1312)</f>
        <v>GVPTECHBE</v>
      </c>
      <c r="B1312" s="34">
        <v>46273</v>
      </c>
      <c r="C1312" s="34">
        <v>46273</v>
      </c>
      <c r="D1312" t="s">
        <v>35</v>
      </c>
      <c r="E1312" t="s">
        <v>36</v>
      </c>
      <c r="F1312" t="s">
        <v>37</v>
      </c>
      <c r="G1312">
        <v>10866</v>
      </c>
      <c r="H1312" t="s">
        <v>3992</v>
      </c>
      <c r="I1312" t="s">
        <v>3993</v>
      </c>
      <c r="J1312" t="s">
        <v>183</v>
      </c>
      <c r="O1312" t="s">
        <v>3994</v>
      </c>
      <c r="P1312">
        <v>7.8</v>
      </c>
      <c r="Q1312">
        <v>8.2899999999999991</v>
      </c>
      <c r="R1312">
        <v>7.67</v>
      </c>
      <c r="S1312">
        <v>8.0299999999999994</v>
      </c>
      <c r="T1312">
        <v>8.1</v>
      </c>
      <c r="U1312">
        <v>8</v>
      </c>
      <c r="W1312">
        <v>8.0299999999999994</v>
      </c>
      <c r="Z1312">
        <v>45051</v>
      </c>
      <c r="AA1312">
        <v>355177.67</v>
      </c>
      <c r="AB1312">
        <v>191</v>
      </c>
      <c r="AC1312" t="s">
        <v>42</v>
      </c>
      <c r="AD1312">
        <v>1</v>
      </c>
    </row>
    <row r="1313" spans="1:30">
      <c r="A1313" t="str">
        <f>CONCATENATE(I1313,J1313)</f>
        <v>GYFTREQ</v>
      </c>
      <c r="B1313" s="34">
        <v>46273</v>
      </c>
      <c r="C1313" s="34">
        <v>46273</v>
      </c>
      <c r="D1313" t="s">
        <v>35</v>
      </c>
      <c r="E1313" t="s">
        <v>36</v>
      </c>
      <c r="F1313" t="s">
        <v>37</v>
      </c>
      <c r="G1313">
        <v>764050</v>
      </c>
      <c r="H1313" t="s">
        <v>3995</v>
      </c>
      <c r="I1313" t="s">
        <v>3996</v>
      </c>
      <c r="J1313" t="s">
        <v>161</v>
      </c>
      <c r="O1313" t="s">
        <v>3997</v>
      </c>
      <c r="P1313">
        <v>189.65</v>
      </c>
      <c r="Q1313">
        <v>190</v>
      </c>
      <c r="R1313">
        <v>186</v>
      </c>
      <c r="S1313">
        <v>186.02</v>
      </c>
      <c r="T1313">
        <v>186.02</v>
      </c>
      <c r="U1313">
        <v>186.34</v>
      </c>
      <c r="W1313">
        <v>186.01</v>
      </c>
      <c r="Z1313">
        <v>16980</v>
      </c>
      <c r="AA1313">
        <v>3174607.36</v>
      </c>
      <c r="AB1313">
        <v>599</v>
      </c>
      <c r="AC1313" t="s">
        <v>42</v>
      </c>
      <c r="AD1313">
        <v>1</v>
      </c>
    </row>
    <row r="1314" spans="1:30">
      <c r="A1314" t="str">
        <f>CONCATENATE(I1314,J1314)</f>
        <v>HBESDEQ</v>
      </c>
      <c r="B1314" s="34">
        <v>46273</v>
      </c>
      <c r="C1314" s="34">
        <v>46273</v>
      </c>
      <c r="D1314" t="s">
        <v>35</v>
      </c>
      <c r="E1314" t="s">
        <v>36</v>
      </c>
      <c r="F1314" t="s">
        <v>37</v>
      </c>
      <c r="G1314">
        <v>762712</v>
      </c>
      <c r="H1314" t="s">
        <v>3998</v>
      </c>
      <c r="I1314" t="s">
        <v>3999</v>
      </c>
      <c r="J1314" t="s">
        <v>161</v>
      </c>
      <c r="O1314" t="s">
        <v>4000</v>
      </c>
      <c r="P1314">
        <v>75</v>
      </c>
      <c r="Q1314">
        <v>76.66</v>
      </c>
      <c r="R1314">
        <v>72.510000000000005</v>
      </c>
      <c r="S1314">
        <v>76.66</v>
      </c>
      <c r="T1314">
        <v>76.66</v>
      </c>
      <c r="U1314">
        <v>74.099999999999994</v>
      </c>
      <c r="W1314">
        <v>75.48</v>
      </c>
      <c r="Z1314">
        <v>618</v>
      </c>
      <c r="AA1314">
        <v>45323.25</v>
      </c>
      <c r="AB1314">
        <v>17</v>
      </c>
      <c r="AC1314" t="s">
        <v>42</v>
      </c>
      <c r="AD1314">
        <v>1</v>
      </c>
    </row>
    <row r="1315" spans="1:30">
      <c r="A1315" t="str">
        <f>CONCATENATE(I1315,J1315)</f>
        <v>HGINFRAEQ</v>
      </c>
      <c r="B1315" s="34">
        <v>46273</v>
      </c>
      <c r="C1315" s="34">
        <v>46273</v>
      </c>
      <c r="D1315" t="s">
        <v>35</v>
      </c>
      <c r="E1315" t="s">
        <v>36</v>
      </c>
      <c r="F1315" t="s">
        <v>37</v>
      </c>
      <c r="G1315">
        <v>1672</v>
      </c>
      <c r="H1315" t="s">
        <v>4001</v>
      </c>
      <c r="I1315" t="s">
        <v>4002</v>
      </c>
      <c r="J1315" t="s">
        <v>161</v>
      </c>
      <c r="O1315" t="s">
        <v>4003</v>
      </c>
      <c r="P1315">
        <v>488.35</v>
      </c>
      <c r="Q1315">
        <v>488.35</v>
      </c>
      <c r="R1315">
        <v>477.85</v>
      </c>
      <c r="S1315">
        <v>484.55</v>
      </c>
      <c r="T1315">
        <v>488.35</v>
      </c>
      <c r="U1315">
        <v>488.7</v>
      </c>
      <c r="W1315">
        <v>484.57</v>
      </c>
      <c r="Z1315">
        <v>39924</v>
      </c>
      <c r="AA1315">
        <v>19286803.600000001</v>
      </c>
      <c r="AB1315">
        <v>3917</v>
      </c>
      <c r="AC1315" t="s">
        <v>42</v>
      </c>
      <c r="AD1315">
        <v>1</v>
      </c>
    </row>
    <row r="1316" spans="1:30">
      <c r="A1316" t="str">
        <f>CONCATENATE(I1316,J1316)</f>
        <v>HALDEREQ</v>
      </c>
      <c r="B1316" s="34">
        <v>46273</v>
      </c>
      <c r="C1316" s="34">
        <v>46273</v>
      </c>
      <c r="D1316" t="s">
        <v>35</v>
      </c>
      <c r="E1316" t="s">
        <v>36</v>
      </c>
      <c r="F1316" t="s">
        <v>37</v>
      </c>
      <c r="G1316">
        <v>760715</v>
      </c>
      <c r="H1316" t="s">
        <v>4004</v>
      </c>
      <c r="I1316" t="s">
        <v>4005</v>
      </c>
      <c r="J1316" t="s">
        <v>161</v>
      </c>
      <c r="O1316" t="s">
        <v>4006</v>
      </c>
      <c r="P1316">
        <v>281.60000000000002</v>
      </c>
      <c r="Q1316">
        <v>297</v>
      </c>
      <c r="R1316">
        <v>281.60000000000002</v>
      </c>
      <c r="S1316">
        <v>293.55</v>
      </c>
      <c r="T1316">
        <v>289</v>
      </c>
      <c r="U1316">
        <v>286.60000000000002</v>
      </c>
      <c r="W1316">
        <v>293.58999999999997</v>
      </c>
      <c r="Z1316">
        <v>27910</v>
      </c>
      <c r="AA1316">
        <v>7973732.9000000004</v>
      </c>
      <c r="AB1316">
        <v>950</v>
      </c>
      <c r="AC1316" t="s">
        <v>42</v>
      </c>
      <c r="AD1316">
        <v>1</v>
      </c>
    </row>
    <row r="1317" spans="1:30">
      <c r="A1317" t="str">
        <f>CONCATENATE(I1317,J1317)</f>
        <v>HALDYNGLBE</v>
      </c>
      <c r="B1317" s="34">
        <v>46273</v>
      </c>
      <c r="C1317" s="34">
        <v>46273</v>
      </c>
      <c r="D1317" t="s">
        <v>35</v>
      </c>
      <c r="E1317" t="s">
        <v>36</v>
      </c>
      <c r="F1317" t="s">
        <v>37</v>
      </c>
      <c r="G1317">
        <v>762708</v>
      </c>
      <c r="H1317" t="s">
        <v>4007</v>
      </c>
      <c r="I1317" t="s">
        <v>4008</v>
      </c>
      <c r="J1317" t="s">
        <v>183</v>
      </c>
      <c r="O1317" t="s">
        <v>4009</v>
      </c>
      <c r="P1317">
        <v>145.05000000000001</v>
      </c>
      <c r="Q1317">
        <v>145.94999999999999</v>
      </c>
      <c r="R1317">
        <v>140</v>
      </c>
      <c r="S1317">
        <v>141.13999999999999</v>
      </c>
      <c r="T1317">
        <v>141</v>
      </c>
      <c r="U1317">
        <v>144.33000000000001</v>
      </c>
      <c r="W1317">
        <v>141.16</v>
      </c>
      <c r="Z1317">
        <v>43680</v>
      </c>
      <c r="AA1317">
        <v>6216241.6100000003</v>
      </c>
      <c r="AB1317">
        <v>217</v>
      </c>
      <c r="AC1317" t="s">
        <v>42</v>
      </c>
      <c r="AD1317">
        <v>1</v>
      </c>
    </row>
    <row r="1318" spans="1:30">
      <c r="A1318" t="str">
        <f>CONCATENATE(I1318,J1318)</f>
        <v>HALEOSLABSEQ</v>
      </c>
      <c r="B1318" s="34">
        <v>46273</v>
      </c>
      <c r="C1318" s="34">
        <v>46273</v>
      </c>
      <c r="D1318" t="s">
        <v>35</v>
      </c>
      <c r="E1318" t="s">
        <v>36</v>
      </c>
      <c r="F1318" t="s">
        <v>37</v>
      </c>
      <c r="G1318">
        <v>21551</v>
      </c>
      <c r="H1318" t="s">
        <v>4010</v>
      </c>
      <c r="I1318" t="s">
        <v>4011</v>
      </c>
      <c r="J1318" t="s">
        <v>161</v>
      </c>
      <c r="O1318" t="s">
        <v>4012</v>
      </c>
      <c r="P1318">
        <v>1497.4</v>
      </c>
      <c r="Q1318">
        <v>1497.4</v>
      </c>
      <c r="R1318">
        <v>1445.5</v>
      </c>
      <c r="S1318">
        <v>1448.1</v>
      </c>
      <c r="T1318">
        <v>1465.1</v>
      </c>
      <c r="U1318">
        <v>1462</v>
      </c>
      <c r="W1318">
        <v>1449.25</v>
      </c>
      <c r="Z1318">
        <v>465</v>
      </c>
      <c r="AA1318">
        <v>678448.4</v>
      </c>
      <c r="AB1318">
        <v>59</v>
      </c>
      <c r="AC1318" t="s">
        <v>42</v>
      </c>
      <c r="AD1318">
        <v>1</v>
      </c>
    </row>
    <row r="1319" spans="1:30">
      <c r="A1319" t="str">
        <f>CONCATENATE(I1319,J1319)</f>
        <v>HAMPTONEQ</v>
      </c>
      <c r="B1319" s="34">
        <v>46273</v>
      </c>
      <c r="C1319" s="34">
        <v>46273</v>
      </c>
      <c r="D1319" t="s">
        <v>35</v>
      </c>
      <c r="E1319" t="s">
        <v>36</v>
      </c>
      <c r="F1319" t="s">
        <v>37</v>
      </c>
      <c r="G1319">
        <v>765075</v>
      </c>
      <c r="H1319" t="s">
        <v>4013</v>
      </c>
      <c r="I1319" t="s">
        <v>4014</v>
      </c>
      <c r="J1319" t="s">
        <v>161</v>
      </c>
      <c r="O1319" t="s">
        <v>4015</v>
      </c>
      <c r="P1319">
        <v>8.19</v>
      </c>
      <c r="Q1319">
        <v>9.65</v>
      </c>
      <c r="R1319">
        <v>7.71</v>
      </c>
      <c r="S1319">
        <v>8.59</v>
      </c>
      <c r="T1319">
        <v>8.3800000000000008</v>
      </c>
      <c r="U1319">
        <v>8.11</v>
      </c>
      <c r="W1319">
        <v>8.58</v>
      </c>
      <c r="Z1319">
        <v>371915</v>
      </c>
      <c r="AA1319">
        <v>3188635.49</v>
      </c>
      <c r="AB1319">
        <v>243</v>
      </c>
      <c r="AC1319" t="s">
        <v>42</v>
      </c>
      <c r="AD1319">
        <v>1</v>
      </c>
    </row>
    <row r="1320" spans="1:30">
      <c r="A1320" t="str">
        <f>CONCATENATE(I1320,J1320)</f>
        <v>HGMEQ</v>
      </c>
      <c r="B1320" s="34">
        <v>46273</v>
      </c>
      <c r="C1320" s="34">
        <v>46273</v>
      </c>
      <c r="D1320" t="s">
        <v>35</v>
      </c>
      <c r="E1320" t="s">
        <v>36</v>
      </c>
      <c r="F1320" t="s">
        <v>37</v>
      </c>
      <c r="G1320">
        <v>13592</v>
      </c>
      <c r="H1320" t="s">
        <v>4016</v>
      </c>
      <c r="I1320" t="s">
        <v>4017</v>
      </c>
      <c r="J1320" t="s">
        <v>161</v>
      </c>
      <c r="O1320" t="s">
        <v>4018</v>
      </c>
      <c r="P1320">
        <v>53.4</v>
      </c>
      <c r="Q1320">
        <v>53.4</v>
      </c>
      <c r="R1320">
        <v>48.05</v>
      </c>
      <c r="S1320">
        <v>50.16</v>
      </c>
      <c r="T1320">
        <v>49.66</v>
      </c>
      <c r="U1320">
        <v>50.81</v>
      </c>
      <c r="W1320">
        <v>49.97</v>
      </c>
      <c r="Z1320">
        <v>4218</v>
      </c>
      <c r="AA1320">
        <v>210572.56</v>
      </c>
      <c r="AB1320">
        <v>99</v>
      </c>
      <c r="AC1320" t="s">
        <v>42</v>
      </c>
      <c r="AD1320">
        <v>1</v>
      </c>
    </row>
    <row r="1321" spans="1:30">
      <c r="A1321" t="str">
        <f>CONCATENATE(I1321,J1321)</f>
        <v>HAPPSTMNDSEQ</v>
      </c>
      <c r="B1321" s="34">
        <v>46273</v>
      </c>
      <c r="C1321" s="34">
        <v>46273</v>
      </c>
      <c r="D1321" t="s">
        <v>35</v>
      </c>
      <c r="E1321" t="s">
        <v>36</v>
      </c>
      <c r="F1321" t="s">
        <v>37</v>
      </c>
      <c r="G1321">
        <v>48</v>
      </c>
      <c r="H1321" t="s">
        <v>4019</v>
      </c>
      <c r="I1321" t="s">
        <v>4020</v>
      </c>
      <c r="J1321" t="s">
        <v>161</v>
      </c>
      <c r="O1321" t="s">
        <v>4021</v>
      </c>
      <c r="P1321">
        <v>341.25</v>
      </c>
      <c r="Q1321">
        <v>349.35</v>
      </c>
      <c r="R1321">
        <v>338.1</v>
      </c>
      <c r="S1321">
        <v>345.65</v>
      </c>
      <c r="T1321">
        <v>344.85</v>
      </c>
      <c r="U1321">
        <v>343.5</v>
      </c>
      <c r="W1321">
        <v>345.66</v>
      </c>
      <c r="Z1321">
        <v>1486882</v>
      </c>
      <c r="AA1321">
        <v>510531851.35000002</v>
      </c>
      <c r="AB1321">
        <v>28440</v>
      </c>
      <c r="AC1321" t="s">
        <v>42</v>
      </c>
      <c r="AD1321">
        <v>1</v>
      </c>
    </row>
    <row r="1322" spans="1:30">
      <c r="A1322" t="str">
        <f>CONCATENATE(I1322,J1322)</f>
        <v>HAPPYFORGEEQ</v>
      </c>
      <c r="B1322" s="34">
        <v>46273</v>
      </c>
      <c r="C1322" s="34">
        <v>46273</v>
      </c>
      <c r="D1322" t="s">
        <v>35</v>
      </c>
      <c r="E1322" t="s">
        <v>36</v>
      </c>
      <c r="F1322" t="s">
        <v>37</v>
      </c>
      <c r="G1322">
        <v>20854</v>
      </c>
      <c r="H1322" t="s">
        <v>4022</v>
      </c>
      <c r="I1322" t="s">
        <v>4023</v>
      </c>
      <c r="J1322" t="s">
        <v>161</v>
      </c>
      <c r="O1322" t="s">
        <v>4024</v>
      </c>
      <c r="P1322">
        <v>2259.9</v>
      </c>
      <c r="Q1322">
        <v>2260</v>
      </c>
      <c r="R1322">
        <v>2171.5</v>
      </c>
      <c r="S1322">
        <v>2230.3000000000002</v>
      </c>
      <c r="T1322">
        <v>2235</v>
      </c>
      <c r="U1322">
        <v>2231.4</v>
      </c>
      <c r="W1322">
        <v>2230.42</v>
      </c>
      <c r="Z1322">
        <v>46944</v>
      </c>
      <c r="AA1322">
        <v>104168224.3</v>
      </c>
      <c r="AB1322">
        <v>9400</v>
      </c>
      <c r="AC1322" t="s">
        <v>42</v>
      </c>
      <c r="AD1322">
        <v>1</v>
      </c>
    </row>
    <row r="1323" spans="1:30">
      <c r="A1323" t="str">
        <f>CONCATENATE(I1323,J1323)</f>
        <v>WHITEFORCESM</v>
      </c>
      <c r="B1323" s="34">
        <v>46273</v>
      </c>
      <c r="C1323" s="34">
        <v>46273</v>
      </c>
      <c r="D1323" t="s">
        <v>35</v>
      </c>
      <c r="E1323" t="s">
        <v>36</v>
      </c>
      <c r="F1323" t="s">
        <v>37</v>
      </c>
      <c r="G1323">
        <v>757665</v>
      </c>
      <c r="H1323" t="s">
        <v>4025</v>
      </c>
      <c r="I1323" t="s">
        <v>4026</v>
      </c>
      <c r="J1323" t="s">
        <v>267</v>
      </c>
      <c r="O1323" t="s">
        <v>4027</v>
      </c>
      <c r="P1323">
        <v>38</v>
      </c>
      <c r="Q1323">
        <v>38</v>
      </c>
      <c r="R1323">
        <v>38</v>
      </c>
      <c r="S1323">
        <v>38</v>
      </c>
      <c r="T1323">
        <v>38</v>
      </c>
      <c r="U1323">
        <v>38</v>
      </c>
      <c r="W1323">
        <v>38</v>
      </c>
      <c r="Z1323">
        <v>3200</v>
      </c>
      <c r="AA1323">
        <v>121600</v>
      </c>
      <c r="AB1323">
        <v>2</v>
      </c>
      <c r="AC1323" t="s">
        <v>42</v>
      </c>
      <c r="AD1323">
        <v>1600</v>
      </c>
    </row>
    <row r="1324" spans="1:30">
      <c r="A1324" t="str">
        <f>CONCATENATE(I1324,J1324)</f>
        <v>HAPPYSM</v>
      </c>
      <c r="B1324" s="34">
        <v>46273</v>
      </c>
      <c r="C1324" s="34">
        <v>46273</v>
      </c>
      <c r="D1324" t="s">
        <v>35</v>
      </c>
      <c r="E1324" t="s">
        <v>36</v>
      </c>
      <c r="F1324" t="s">
        <v>37</v>
      </c>
      <c r="G1324">
        <v>764131</v>
      </c>
      <c r="H1324" t="s">
        <v>4028</v>
      </c>
      <c r="I1324" t="s">
        <v>4029</v>
      </c>
      <c r="J1324" t="s">
        <v>267</v>
      </c>
      <c r="O1324" t="s">
        <v>4030</v>
      </c>
      <c r="P1324">
        <v>86</v>
      </c>
      <c r="Q1324">
        <v>87.5</v>
      </c>
      <c r="R1324">
        <v>83.5</v>
      </c>
      <c r="S1324">
        <v>87.35</v>
      </c>
      <c r="T1324">
        <v>87.25</v>
      </c>
      <c r="U1324">
        <v>86</v>
      </c>
      <c r="W1324">
        <v>87.35</v>
      </c>
      <c r="Z1324">
        <v>48000</v>
      </c>
      <c r="AA1324">
        <v>4085200</v>
      </c>
      <c r="AB1324">
        <v>23</v>
      </c>
      <c r="AC1324" t="s">
        <v>42</v>
      </c>
      <c r="AD1324">
        <v>2000</v>
      </c>
    </row>
    <row r="1325" spans="1:30">
      <c r="A1325" t="str">
        <f>CONCATENATE(I1325,J1325)</f>
        <v>HARDWYNEQ</v>
      </c>
      <c r="B1325" s="34">
        <v>46273</v>
      </c>
      <c r="C1325" s="34">
        <v>46273</v>
      </c>
      <c r="D1325" t="s">
        <v>35</v>
      </c>
      <c r="E1325" t="s">
        <v>36</v>
      </c>
      <c r="F1325" t="s">
        <v>37</v>
      </c>
      <c r="G1325">
        <v>8962</v>
      </c>
      <c r="H1325" t="s">
        <v>4031</v>
      </c>
      <c r="I1325" t="s">
        <v>4032</v>
      </c>
      <c r="J1325" t="s">
        <v>161</v>
      </c>
      <c r="O1325" t="s">
        <v>4033</v>
      </c>
      <c r="P1325">
        <v>9.25</v>
      </c>
      <c r="Q1325">
        <v>9.25</v>
      </c>
      <c r="R1325">
        <v>9.01</v>
      </c>
      <c r="S1325">
        <v>9.14</v>
      </c>
      <c r="T1325">
        <v>9.16</v>
      </c>
      <c r="U1325">
        <v>9.17</v>
      </c>
      <c r="W1325">
        <v>9.14</v>
      </c>
      <c r="Z1325">
        <v>1019996</v>
      </c>
      <c r="AA1325">
        <v>9315245.8900000006</v>
      </c>
      <c r="AB1325">
        <v>1009</v>
      </c>
      <c r="AC1325" t="s">
        <v>42</v>
      </c>
      <c r="AD1325">
        <v>1</v>
      </c>
    </row>
    <row r="1326" spans="1:30">
      <c r="A1326" t="str">
        <f>CONCATENATE(I1326,J1326)</f>
        <v>HARIOMPIPEEQ</v>
      </c>
      <c r="B1326" s="34">
        <v>46273</v>
      </c>
      <c r="C1326" s="34">
        <v>46273</v>
      </c>
      <c r="D1326" t="s">
        <v>35</v>
      </c>
      <c r="E1326" t="s">
        <v>36</v>
      </c>
      <c r="F1326" t="s">
        <v>37</v>
      </c>
      <c r="G1326">
        <v>8968</v>
      </c>
      <c r="H1326" t="s">
        <v>4034</v>
      </c>
      <c r="I1326" t="s">
        <v>4035</v>
      </c>
      <c r="J1326" t="s">
        <v>161</v>
      </c>
      <c r="O1326" t="s">
        <v>4036</v>
      </c>
      <c r="P1326">
        <v>367.4</v>
      </c>
      <c r="Q1326">
        <v>377</v>
      </c>
      <c r="R1326">
        <v>358</v>
      </c>
      <c r="S1326">
        <v>371.7</v>
      </c>
      <c r="T1326">
        <v>369.5</v>
      </c>
      <c r="U1326">
        <v>365.2</v>
      </c>
      <c r="W1326">
        <v>371.7</v>
      </c>
      <c r="Z1326">
        <v>141126</v>
      </c>
      <c r="AA1326">
        <v>51983632.899999999</v>
      </c>
      <c r="AB1326">
        <v>3873</v>
      </c>
      <c r="AC1326" t="s">
        <v>42</v>
      </c>
      <c r="AD1326">
        <v>1</v>
      </c>
    </row>
    <row r="1327" spans="1:30">
      <c r="A1327" t="str">
        <f>CONCATENATE(I1327,J1327)</f>
        <v>HRYNSHPEQ</v>
      </c>
      <c r="B1327" s="34">
        <v>46273</v>
      </c>
      <c r="C1327" s="34">
        <v>46273</v>
      </c>
      <c r="D1327" t="s">
        <v>35</v>
      </c>
      <c r="E1327" t="s">
        <v>36</v>
      </c>
      <c r="F1327" t="s">
        <v>37</v>
      </c>
      <c r="G1327">
        <v>764703</v>
      </c>
      <c r="H1327" t="s">
        <v>4037</v>
      </c>
      <c r="I1327" t="s">
        <v>4038</v>
      </c>
      <c r="J1327" t="s">
        <v>161</v>
      </c>
      <c r="O1327" t="s">
        <v>4039</v>
      </c>
      <c r="P1327">
        <v>101.98</v>
      </c>
      <c r="Q1327">
        <v>101.98</v>
      </c>
      <c r="R1327">
        <v>96</v>
      </c>
      <c r="S1327">
        <v>100.62</v>
      </c>
      <c r="T1327">
        <v>100.99</v>
      </c>
      <c r="U1327">
        <v>100.98</v>
      </c>
      <c r="W1327">
        <v>100.04</v>
      </c>
      <c r="Z1327">
        <v>878</v>
      </c>
      <c r="AA1327">
        <v>86654.94</v>
      </c>
      <c r="AB1327">
        <v>54</v>
      </c>
      <c r="AC1327" t="s">
        <v>42</v>
      </c>
      <c r="AD1327">
        <v>1</v>
      </c>
    </row>
    <row r="1328" spans="1:30">
      <c r="A1328" t="str">
        <f>CONCATENATE(I1328,J1328)</f>
        <v>HARRMALAYAEQ</v>
      </c>
      <c r="B1328" s="34">
        <v>46273</v>
      </c>
      <c r="C1328" s="34">
        <v>46273</v>
      </c>
      <c r="D1328" t="s">
        <v>35</v>
      </c>
      <c r="E1328" t="s">
        <v>36</v>
      </c>
      <c r="F1328" t="s">
        <v>37</v>
      </c>
      <c r="G1328">
        <v>1313</v>
      </c>
      <c r="H1328" t="s">
        <v>4040</v>
      </c>
      <c r="I1328" t="s">
        <v>4041</v>
      </c>
      <c r="J1328" t="s">
        <v>161</v>
      </c>
      <c r="O1328" t="s">
        <v>4042</v>
      </c>
      <c r="P1328">
        <v>193</v>
      </c>
      <c r="Q1328">
        <v>193</v>
      </c>
      <c r="R1328">
        <v>189</v>
      </c>
      <c r="S1328">
        <v>189.92</v>
      </c>
      <c r="T1328">
        <v>189.5</v>
      </c>
      <c r="U1328">
        <v>189.85</v>
      </c>
      <c r="W1328">
        <v>189.92</v>
      </c>
      <c r="Z1328">
        <v>9200</v>
      </c>
      <c r="AA1328">
        <v>1751420.69</v>
      </c>
      <c r="AB1328">
        <v>227</v>
      </c>
      <c r="AC1328" t="s">
        <v>42</v>
      </c>
      <c r="AD1328">
        <v>1</v>
      </c>
    </row>
    <row r="1329" spans="1:30">
      <c r="A1329" t="str">
        <f>CONCATENATE(I1329,J1329)</f>
        <v>HARSHAEQ</v>
      </c>
      <c r="B1329" s="34">
        <v>46273</v>
      </c>
      <c r="C1329" s="34">
        <v>46273</v>
      </c>
      <c r="D1329" t="s">
        <v>35</v>
      </c>
      <c r="E1329" t="s">
        <v>36</v>
      </c>
      <c r="F1329" t="s">
        <v>37</v>
      </c>
      <c r="G1329">
        <v>11162</v>
      </c>
      <c r="H1329" t="s">
        <v>4043</v>
      </c>
      <c r="I1329" t="s">
        <v>4044</v>
      </c>
      <c r="J1329" t="s">
        <v>161</v>
      </c>
      <c r="O1329" t="s">
        <v>4045</v>
      </c>
      <c r="P1329">
        <v>461.05</v>
      </c>
      <c r="Q1329">
        <v>468.9</v>
      </c>
      <c r="R1329">
        <v>451.15</v>
      </c>
      <c r="S1329">
        <v>466.8</v>
      </c>
      <c r="T1329">
        <v>465</v>
      </c>
      <c r="U1329">
        <v>455.45</v>
      </c>
      <c r="W1329">
        <v>466.79</v>
      </c>
      <c r="Z1329">
        <v>211797</v>
      </c>
      <c r="AA1329">
        <v>98099113.849999994</v>
      </c>
      <c r="AB1329">
        <v>8086</v>
      </c>
      <c r="AC1329" t="s">
        <v>42</v>
      </c>
      <c r="AD1329">
        <v>1</v>
      </c>
    </row>
    <row r="1330" spans="1:30">
      <c r="A1330" t="str">
        <f>CONCATENATE(I1330,J1330)</f>
        <v>HATHWAYEQ</v>
      </c>
      <c r="B1330" s="34">
        <v>46273</v>
      </c>
      <c r="C1330" s="34">
        <v>46273</v>
      </c>
      <c r="D1330" t="s">
        <v>35</v>
      </c>
      <c r="E1330" t="s">
        <v>36</v>
      </c>
      <c r="F1330" t="s">
        <v>37</v>
      </c>
      <c r="G1330">
        <v>18154</v>
      </c>
      <c r="H1330" t="s">
        <v>4046</v>
      </c>
      <c r="I1330" t="s">
        <v>4047</v>
      </c>
      <c r="J1330" t="s">
        <v>161</v>
      </c>
      <c r="O1330" t="s">
        <v>4048</v>
      </c>
      <c r="P1330">
        <v>10.39</v>
      </c>
      <c r="Q1330">
        <v>10.39</v>
      </c>
      <c r="R1330">
        <v>10.26</v>
      </c>
      <c r="S1330">
        <v>10.29</v>
      </c>
      <c r="T1330">
        <v>10.31</v>
      </c>
      <c r="U1330">
        <v>10.38</v>
      </c>
      <c r="W1330">
        <v>10.29</v>
      </c>
      <c r="Z1330">
        <v>1064614</v>
      </c>
      <c r="AA1330">
        <v>10963055.65</v>
      </c>
      <c r="AB1330">
        <v>2027</v>
      </c>
      <c r="AC1330" t="s">
        <v>42</v>
      </c>
      <c r="AD1330">
        <v>1</v>
      </c>
    </row>
    <row r="1331" spans="1:30">
      <c r="A1331" t="str">
        <f>CONCATENATE(I1331,J1331)</f>
        <v>HATSUNEQ</v>
      </c>
      <c r="B1331" s="34">
        <v>46273</v>
      </c>
      <c r="C1331" s="34">
        <v>46273</v>
      </c>
      <c r="D1331" t="s">
        <v>35</v>
      </c>
      <c r="E1331" t="s">
        <v>36</v>
      </c>
      <c r="F1331" t="s">
        <v>37</v>
      </c>
      <c r="G1331">
        <v>3892</v>
      </c>
      <c r="H1331" t="s">
        <v>4049</v>
      </c>
      <c r="I1331" t="s">
        <v>4050</v>
      </c>
      <c r="J1331" t="s">
        <v>161</v>
      </c>
      <c r="O1331" t="s">
        <v>4051</v>
      </c>
      <c r="P1331">
        <v>1132.8</v>
      </c>
      <c r="Q1331">
        <v>1218.2</v>
      </c>
      <c r="R1331">
        <v>1132.8</v>
      </c>
      <c r="S1331">
        <v>1198</v>
      </c>
      <c r="T1331">
        <v>1213.3</v>
      </c>
      <c r="U1331">
        <v>1132.8</v>
      </c>
      <c r="W1331">
        <v>1198.32</v>
      </c>
      <c r="Z1331">
        <v>180176</v>
      </c>
      <c r="AA1331">
        <v>213886866.59999999</v>
      </c>
      <c r="AB1331">
        <v>13292</v>
      </c>
      <c r="AC1331" t="s">
        <v>42</v>
      </c>
      <c r="AD1331">
        <v>1</v>
      </c>
    </row>
    <row r="1332" spans="1:30">
      <c r="A1332" t="str">
        <f>CONCATENATE(I1332,J1332)</f>
        <v>HAVELLSEQ</v>
      </c>
      <c r="B1332" s="34">
        <v>46273</v>
      </c>
      <c r="C1332" s="34">
        <v>46273</v>
      </c>
      <c r="D1332" t="s">
        <v>35</v>
      </c>
      <c r="E1332" t="s">
        <v>36</v>
      </c>
      <c r="F1332" t="s">
        <v>37</v>
      </c>
      <c r="G1332">
        <v>9819</v>
      </c>
      <c r="H1332" t="s">
        <v>4052</v>
      </c>
      <c r="I1332" t="s">
        <v>4053</v>
      </c>
      <c r="J1332" t="s">
        <v>161</v>
      </c>
      <c r="O1332" t="s">
        <v>4054</v>
      </c>
      <c r="P1332">
        <v>1147</v>
      </c>
      <c r="Q1332">
        <v>1147.5999999999999</v>
      </c>
      <c r="R1332">
        <v>1135.4000000000001</v>
      </c>
      <c r="S1332">
        <v>1140</v>
      </c>
      <c r="T1332">
        <v>1140</v>
      </c>
      <c r="U1332">
        <v>1150</v>
      </c>
      <c r="W1332">
        <v>1140.01</v>
      </c>
      <c r="Z1332">
        <v>1045920</v>
      </c>
      <c r="AA1332">
        <v>1193104680.5999999</v>
      </c>
      <c r="AB1332">
        <v>31191</v>
      </c>
      <c r="AC1332" t="s">
        <v>42</v>
      </c>
      <c r="AD1332">
        <v>1</v>
      </c>
    </row>
    <row r="1333" spans="1:30">
      <c r="A1333" t="str">
        <f>CONCATENATE(I1333,J1333)</f>
        <v>HAWKINCOOKEQ</v>
      </c>
      <c r="B1333" s="34">
        <v>46273</v>
      </c>
      <c r="C1333" s="34">
        <v>46273</v>
      </c>
      <c r="D1333" t="s">
        <v>35</v>
      </c>
      <c r="E1333" t="s">
        <v>36</v>
      </c>
      <c r="F1333" t="s">
        <v>37</v>
      </c>
      <c r="G1333">
        <v>4444</v>
      </c>
      <c r="H1333" t="s">
        <v>4055</v>
      </c>
      <c r="I1333" t="s">
        <v>4056</v>
      </c>
      <c r="J1333" t="s">
        <v>161</v>
      </c>
      <c r="O1333" t="s">
        <v>4057</v>
      </c>
      <c r="P1333">
        <v>8395</v>
      </c>
      <c r="Q1333">
        <v>8395</v>
      </c>
      <c r="R1333">
        <v>8171</v>
      </c>
      <c r="S1333">
        <v>8212</v>
      </c>
      <c r="T1333">
        <v>8200</v>
      </c>
      <c r="U1333">
        <v>8254</v>
      </c>
      <c r="W1333">
        <v>8214.2000000000007</v>
      </c>
      <c r="Z1333">
        <v>843</v>
      </c>
      <c r="AA1333">
        <v>6929117</v>
      </c>
      <c r="AB1333">
        <v>333</v>
      </c>
      <c r="AC1333" t="s">
        <v>42</v>
      </c>
      <c r="AD1333">
        <v>1</v>
      </c>
    </row>
    <row r="1334" spans="1:30">
      <c r="A1334" t="str">
        <f>CONCATENATE(I1334,J1334)</f>
        <v>HAZOOREQ</v>
      </c>
      <c r="B1334" s="34">
        <v>46273</v>
      </c>
      <c r="C1334" s="34">
        <v>46273</v>
      </c>
      <c r="D1334" t="s">
        <v>35</v>
      </c>
      <c r="E1334" t="s">
        <v>36</v>
      </c>
      <c r="F1334" t="s">
        <v>37</v>
      </c>
      <c r="G1334">
        <v>764693</v>
      </c>
      <c r="H1334" t="s">
        <v>4058</v>
      </c>
      <c r="I1334" t="s">
        <v>4059</v>
      </c>
      <c r="J1334" t="s">
        <v>161</v>
      </c>
      <c r="O1334" t="s">
        <v>4060</v>
      </c>
      <c r="P1334">
        <v>20</v>
      </c>
      <c r="Q1334">
        <v>20.13</v>
      </c>
      <c r="R1334">
        <v>19.66</v>
      </c>
      <c r="S1334">
        <v>19.97</v>
      </c>
      <c r="T1334">
        <v>20.13</v>
      </c>
      <c r="U1334">
        <v>19.850000000000001</v>
      </c>
      <c r="W1334">
        <v>19.96</v>
      </c>
      <c r="Z1334">
        <v>346036</v>
      </c>
      <c r="AA1334">
        <v>6855840.1500000004</v>
      </c>
      <c r="AB1334">
        <v>479</v>
      </c>
      <c r="AC1334" t="s">
        <v>42</v>
      </c>
      <c r="AD1334">
        <v>1</v>
      </c>
    </row>
    <row r="1335" spans="1:30">
      <c r="A1335" t="str">
        <f>CONCATENATE(I1335,J1335)</f>
        <v>HBPOREQ</v>
      </c>
      <c r="B1335" s="34">
        <v>46273</v>
      </c>
      <c r="C1335" s="34">
        <v>46273</v>
      </c>
      <c r="D1335" t="s">
        <v>35</v>
      </c>
      <c r="E1335" t="s">
        <v>36</v>
      </c>
      <c r="F1335" t="s">
        <v>37</v>
      </c>
      <c r="G1335">
        <v>765080</v>
      </c>
      <c r="H1335" t="s">
        <v>4061</v>
      </c>
      <c r="I1335" t="s">
        <v>4062</v>
      </c>
      <c r="J1335" t="s">
        <v>161</v>
      </c>
      <c r="O1335" t="s">
        <v>4063</v>
      </c>
      <c r="P1335">
        <v>60.5</v>
      </c>
      <c r="Q1335">
        <v>62</v>
      </c>
      <c r="R1335">
        <v>57.03</v>
      </c>
      <c r="S1335">
        <v>61.79</v>
      </c>
      <c r="T1335">
        <v>61.79</v>
      </c>
      <c r="U1335">
        <v>60.46</v>
      </c>
      <c r="W1335">
        <v>60.9</v>
      </c>
      <c r="Z1335">
        <v>232</v>
      </c>
      <c r="AA1335">
        <v>13888.54</v>
      </c>
      <c r="AB1335">
        <v>12</v>
      </c>
      <c r="AC1335" t="s">
        <v>42</v>
      </c>
      <c r="AD1335">
        <v>1</v>
      </c>
    </row>
    <row r="1336" spans="1:30">
      <c r="A1336" t="str">
        <f>CONCATENATE(I1336,J1336)</f>
        <v>HBSLEQ</v>
      </c>
      <c r="B1336" s="34">
        <v>46273</v>
      </c>
      <c r="C1336" s="34">
        <v>46273</v>
      </c>
      <c r="D1336" t="s">
        <v>35</v>
      </c>
      <c r="E1336" t="s">
        <v>36</v>
      </c>
      <c r="F1336" t="s">
        <v>37</v>
      </c>
      <c r="G1336">
        <v>4116</v>
      </c>
      <c r="H1336" t="s">
        <v>4064</v>
      </c>
      <c r="I1336" t="s">
        <v>4065</v>
      </c>
      <c r="J1336" t="s">
        <v>161</v>
      </c>
      <c r="O1336" t="s">
        <v>4066</v>
      </c>
      <c r="P1336">
        <v>53.5</v>
      </c>
      <c r="Q1336">
        <v>56</v>
      </c>
      <c r="R1336">
        <v>53.26</v>
      </c>
      <c r="S1336">
        <v>54.01</v>
      </c>
      <c r="T1336">
        <v>54.01</v>
      </c>
      <c r="U1336">
        <v>52.43</v>
      </c>
      <c r="W1336">
        <v>54.01</v>
      </c>
      <c r="Z1336">
        <v>5599</v>
      </c>
      <c r="AA1336">
        <v>306844.32</v>
      </c>
      <c r="AB1336">
        <v>82</v>
      </c>
      <c r="AC1336" t="s">
        <v>42</v>
      </c>
      <c r="AD1336">
        <v>1</v>
      </c>
    </row>
    <row r="1337" spans="1:30">
      <c r="A1337" t="str">
        <f>CONCATENATE(I1337,J1337)</f>
        <v>HBLENGINEEQ</v>
      </c>
      <c r="B1337" s="34">
        <v>46273</v>
      </c>
      <c r="C1337" s="34">
        <v>46273</v>
      </c>
      <c r="D1337" t="s">
        <v>35</v>
      </c>
      <c r="E1337" t="s">
        <v>36</v>
      </c>
      <c r="F1337" t="s">
        <v>37</v>
      </c>
      <c r="G1337">
        <v>13966</v>
      </c>
      <c r="H1337" t="s">
        <v>4067</v>
      </c>
      <c r="I1337" t="s">
        <v>4068</v>
      </c>
      <c r="J1337" t="s">
        <v>161</v>
      </c>
      <c r="O1337" t="s">
        <v>4069</v>
      </c>
      <c r="P1337">
        <v>704.9</v>
      </c>
      <c r="Q1337">
        <v>733.85</v>
      </c>
      <c r="R1337">
        <v>698.1</v>
      </c>
      <c r="S1337">
        <v>731.25</v>
      </c>
      <c r="T1337">
        <v>732</v>
      </c>
      <c r="U1337">
        <v>703.9</v>
      </c>
      <c r="W1337">
        <v>731.28</v>
      </c>
      <c r="Z1337">
        <v>1986289</v>
      </c>
      <c r="AA1337">
        <v>1425008123.4000001</v>
      </c>
      <c r="AB1337">
        <v>46077</v>
      </c>
      <c r="AC1337" t="s">
        <v>42</v>
      </c>
      <c r="AD1337">
        <v>1</v>
      </c>
    </row>
    <row r="1338" spans="1:30">
      <c r="A1338" t="str">
        <f>CONCATENATE(I1338,J1338)</f>
        <v>HCL-INSYSEQ</v>
      </c>
      <c r="B1338" s="34">
        <v>46273</v>
      </c>
      <c r="C1338" s="34">
        <v>46273</v>
      </c>
      <c r="D1338" t="s">
        <v>35</v>
      </c>
      <c r="E1338" t="s">
        <v>36</v>
      </c>
      <c r="F1338" t="s">
        <v>37</v>
      </c>
      <c r="G1338">
        <v>1327</v>
      </c>
      <c r="H1338" t="s">
        <v>4070</v>
      </c>
      <c r="I1338" t="s">
        <v>4071</v>
      </c>
      <c r="J1338" t="s">
        <v>161</v>
      </c>
      <c r="O1338" t="s">
        <v>4072</v>
      </c>
      <c r="P1338">
        <v>10.1</v>
      </c>
      <c r="Q1338">
        <v>10.199999999999999</v>
      </c>
      <c r="R1338">
        <v>10.01</v>
      </c>
      <c r="S1338">
        <v>10.119999999999999</v>
      </c>
      <c r="T1338">
        <v>10.199999999999999</v>
      </c>
      <c r="U1338">
        <v>9.99</v>
      </c>
      <c r="W1338">
        <v>10.130000000000001</v>
      </c>
      <c r="Z1338">
        <v>327856</v>
      </c>
      <c r="AA1338">
        <v>3327991.98</v>
      </c>
      <c r="AB1338">
        <v>763</v>
      </c>
      <c r="AC1338" t="s">
        <v>42</v>
      </c>
      <c r="AD1338">
        <v>1</v>
      </c>
    </row>
    <row r="1339" spans="1:30">
      <c r="A1339" t="str">
        <f>CONCATENATE(I1339,J1339)</f>
        <v>HCLTECHEQ</v>
      </c>
      <c r="B1339" s="34">
        <v>46273</v>
      </c>
      <c r="C1339" s="34">
        <v>46273</v>
      </c>
      <c r="D1339" t="s">
        <v>35</v>
      </c>
      <c r="E1339" t="s">
        <v>36</v>
      </c>
      <c r="F1339" t="s">
        <v>37</v>
      </c>
      <c r="G1339">
        <v>7229</v>
      </c>
      <c r="H1339" t="s">
        <v>4073</v>
      </c>
      <c r="I1339" t="s">
        <v>4074</v>
      </c>
      <c r="J1339" t="s">
        <v>161</v>
      </c>
      <c r="O1339" t="s">
        <v>4075</v>
      </c>
      <c r="P1339">
        <v>1281.4000000000001</v>
      </c>
      <c r="Q1339">
        <v>1290</v>
      </c>
      <c r="R1339">
        <v>1268.2</v>
      </c>
      <c r="S1339">
        <v>1277</v>
      </c>
      <c r="T1339">
        <v>1277</v>
      </c>
      <c r="U1339">
        <v>1282.8</v>
      </c>
      <c r="W1339">
        <v>1277.02</v>
      </c>
      <c r="Z1339">
        <v>2241262</v>
      </c>
      <c r="AA1339">
        <v>2866355397.3000002</v>
      </c>
      <c r="AB1339">
        <v>66352</v>
      </c>
      <c r="AC1339" t="s">
        <v>42</v>
      </c>
      <c r="AD1339">
        <v>1</v>
      </c>
    </row>
    <row r="1340" spans="1:30">
      <c r="A1340" t="str">
        <f>CONCATENATE(I1340,J1340)</f>
        <v>HDBFSEQ</v>
      </c>
      <c r="B1340" s="34">
        <v>46273</v>
      </c>
      <c r="C1340" s="34">
        <v>46273</v>
      </c>
      <c r="D1340" t="s">
        <v>35</v>
      </c>
      <c r="E1340" t="s">
        <v>36</v>
      </c>
      <c r="F1340" t="s">
        <v>37</v>
      </c>
      <c r="G1340">
        <v>757772</v>
      </c>
      <c r="H1340" t="s">
        <v>4076</v>
      </c>
      <c r="I1340" t="s">
        <v>4077</v>
      </c>
      <c r="J1340" t="s">
        <v>161</v>
      </c>
      <c r="O1340" t="s">
        <v>4078</v>
      </c>
      <c r="P1340">
        <v>686</v>
      </c>
      <c r="Q1340">
        <v>689.95</v>
      </c>
      <c r="R1340">
        <v>677.7</v>
      </c>
      <c r="S1340">
        <v>683.1</v>
      </c>
      <c r="T1340">
        <v>682</v>
      </c>
      <c r="U1340">
        <v>685.05</v>
      </c>
      <c r="W1340">
        <v>683.09</v>
      </c>
      <c r="Z1340">
        <v>489696</v>
      </c>
      <c r="AA1340">
        <v>334586184.89999998</v>
      </c>
      <c r="AB1340">
        <v>17283</v>
      </c>
      <c r="AC1340" t="s">
        <v>42</v>
      </c>
      <c r="AD1340">
        <v>1</v>
      </c>
    </row>
    <row r="1341" spans="1:30">
      <c r="A1341" t="str">
        <f>CONCATENATE(I1341,J1341)</f>
        <v>HDFCAMCEQ</v>
      </c>
      <c r="B1341" s="34">
        <v>46273</v>
      </c>
      <c r="C1341" s="34">
        <v>46273</v>
      </c>
      <c r="D1341" t="s">
        <v>35</v>
      </c>
      <c r="E1341" t="s">
        <v>36</v>
      </c>
      <c r="F1341" t="s">
        <v>37</v>
      </c>
      <c r="G1341">
        <v>4244</v>
      </c>
      <c r="H1341" t="s">
        <v>4079</v>
      </c>
      <c r="I1341" t="s">
        <v>4080</v>
      </c>
      <c r="J1341" t="s">
        <v>161</v>
      </c>
      <c r="O1341" t="s">
        <v>4081</v>
      </c>
      <c r="P1341">
        <v>2443.5</v>
      </c>
      <c r="Q1341">
        <v>2454</v>
      </c>
      <c r="R1341">
        <v>2433</v>
      </c>
      <c r="S1341">
        <v>2447.3000000000002</v>
      </c>
      <c r="T1341">
        <v>2447.3000000000002</v>
      </c>
      <c r="U1341">
        <v>2432</v>
      </c>
      <c r="W1341">
        <v>2447.33</v>
      </c>
      <c r="Z1341">
        <v>550618</v>
      </c>
      <c r="AA1341">
        <v>1345443989.7</v>
      </c>
      <c r="AB1341">
        <v>27722</v>
      </c>
      <c r="AC1341" t="s">
        <v>42</v>
      </c>
      <c r="AD1341">
        <v>1</v>
      </c>
    </row>
    <row r="1342" spans="1:30">
      <c r="A1342" t="str">
        <f>CONCATENATE(I1342,J1342)</f>
        <v>HDFCBANKEQ</v>
      </c>
      <c r="B1342" s="34">
        <v>46273</v>
      </c>
      <c r="C1342" s="34">
        <v>46273</v>
      </c>
      <c r="D1342" t="s">
        <v>35</v>
      </c>
      <c r="E1342" t="s">
        <v>36</v>
      </c>
      <c r="F1342" t="s">
        <v>37</v>
      </c>
      <c r="G1342">
        <v>1333</v>
      </c>
      <c r="H1342" t="s">
        <v>4082</v>
      </c>
      <c r="I1342" t="s">
        <v>4083</v>
      </c>
      <c r="J1342" t="s">
        <v>161</v>
      </c>
      <c r="O1342" t="s">
        <v>4084</v>
      </c>
      <c r="P1342">
        <v>707.1</v>
      </c>
      <c r="Q1342">
        <v>708.9</v>
      </c>
      <c r="R1342">
        <v>703</v>
      </c>
      <c r="S1342">
        <v>703</v>
      </c>
      <c r="T1342">
        <v>703</v>
      </c>
      <c r="U1342">
        <v>710.5</v>
      </c>
      <c r="W1342">
        <v>703</v>
      </c>
      <c r="Z1342">
        <v>19883515</v>
      </c>
      <c r="AA1342">
        <v>14013351184.5</v>
      </c>
      <c r="AB1342">
        <v>248573</v>
      </c>
      <c r="AC1342" t="s">
        <v>42</v>
      </c>
      <c r="AD1342">
        <v>1</v>
      </c>
    </row>
    <row r="1343" spans="1:30">
      <c r="A1343" t="str">
        <f>CONCATENATE(I1343,J1343)</f>
        <v>HDFCGOLDEQ</v>
      </c>
      <c r="B1343" s="34">
        <v>46273</v>
      </c>
      <c r="C1343" s="34">
        <v>46273</v>
      </c>
      <c r="D1343" t="s">
        <v>35</v>
      </c>
      <c r="E1343" t="s">
        <v>36</v>
      </c>
      <c r="F1343" t="s">
        <v>37</v>
      </c>
      <c r="G1343">
        <v>19543</v>
      </c>
      <c r="H1343" t="s">
        <v>4085</v>
      </c>
      <c r="I1343" t="s">
        <v>4086</v>
      </c>
      <c r="J1343" t="s">
        <v>161</v>
      </c>
      <c r="O1343" t="s">
        <v>4087</v>
      </c>
      <c r="P1343">
        <v>130.15</v>
      </c>
      <c r="Q1343">
        <v>130.9</v>
      </c>
      <c r="R1343">
        <v>129.5</v>
      </c>
      <c r="S1343">
        <v>130.18</v>
      </c>
      <c r="T1343">
        <v>130.19999999999999</v>
      </c>
      <c r="U1343">
        <v>129.88</v>
      </c>
      <c r="W1343">
        <v>130.18</v>
      </c>
      <c r="Z1343">
        <v>2855085</v>
      </c>
      <c r="AA1343">
        <v>371810003.31</v>
      </c>
      <c r="AB1343">
        <v>8062</v>
      </c>
      <c r="AC1343" t="s">
        <v>42</v>
      </c>
      <c r="AD1343">
        <v>1</v>
      </c>
    </row>
    <row r="1344" spans="1:30">
      <c r="A1344" t="str">
        <f>CONCATENATE(I1344,J1344)</f>
        <v>HDFCLIFEEQ</v>
      </c>
      <c r="B1344" s="34">
        <v>46273</v>
      </c>
      <c r="C1344" s="34">
        <v>46273</v>
      </c>
      <c r="D1344" t="s">
        <v>35</v>
      </c>
      <c r="E1344" t="s">
        <v>36</v>
      </c>
      <c r="F1344" t="s">
        <v>37</v>
      </c>
      <c r="G1344">
        <v>467</v>
      </c>
      <c r="H1344" t="s">
        <v>4088</v>
      </c>
      <c r="I1344" t="s">
        <v>4089</v>
      </c>
      <c r="J1344" t="s">
        <v>161</v>
      </c>
      <c r="O1344" t="s">
        <v>4090</v>
      </c>
      <c r="P1344">
        <v>539.9</v>
      </c>
      <c r="Q1344">
        <v>547.79999999999995</v>
      </c>
      <c r="R1344">
        <v>533.65</v>
      </c>
      <c r="S1344">
        <v>533.79999999999995</v>
      </c>
      <c r="T1344">
        <v>533.79999999999995</v>
      </c>
      <c r="U1344">
        <v>533.20000000000005</v>
      </c>
      <c r="W1344">
        <v>533.79999999999995</v>
      </c>
      <c r="Z1344">
        <v>3149035</v>
      </c>
      <c r="AA1344">
        <v>1696189152.4000001</v>
      </c>
      <c r="AB1344">
        <v>48118</v>
      </c>
      <c r="AC1344" t="s">
        <v>42</v>
      </c>
      <c r="AD1344">
        <v>1</v>
      </c>
    </row>
    <row r="1345" spans="1:30">
      <c r="A1345" t="str">
        <f>CONCATENATE(I1345,J1345)</f>
        <v>HDFCBSE500EQ</v>
      </c>
      <c r="B1345" s="34">
        <v>46273</v>
      </c>
      <c r="C1345" s="34">
        <v>46273</v>
      </c>
      <c r="D1345" t="s">
        <v>35</v>
      </c>
      <c r="E1345" t="s">
        <v>36</v>
      </c>
      <c r="F1345" t="s">
        <v>37</v>
      </c>
      <c r="G1345">
        <v>14230</v>
      </c>
      <c r="H1345" t="s">
        <v>4091</v>
      </c>
      <c r="I1345" t="s">
        <v>4092</v>
      </c>
      <c r="J1345" t="s">
        <v>161</v>
      </c>
      <c r="O1345" t="s">
        <v>4093</v>
      </c>
      <c r="P1345">
        <v>37.369999999999997</v>
      </c>
      <c r="Q1345">
        <v>37.590000000000003</v>
      </c>
      <c r="R1345">
        <v>37.11</v>
      </c>
      <c r="S1345">
        <v>37.35</v>
      </c>
      <c r="T1345">
        <v>37.33</v>
      </c>
      <c r="U1345">
        <v>37.19</v>
      </c>
      <c r="W1345">
        <v>37.35</v>
      </c>
      <c r="Z1345">
        <v>566492</v>
      </c>
      <c r="AA1345">
        <v>21104042.25</v>
      </c>
      <c r="AB1345">
        <v>198</v>
      </c>
      <c r="AC1345" t="s">
        <v>42</v>
      </c>
      <c r="AD1345">
        <v>1</v>
      </c>
    </row>
    <row r="1346" spans="1:30">
      <c r="A1346" t="str">
        <f>CONCATENATE(I1346,J1346)</f>
        <v>HDFCGROWTHEQ</v>
      </c>
      <c r="B1346" s="34">
        <v>46273</v>
      </c>
      <c r="C1346" s="34">
        <v>46273</v>
      </c>
      <c r="D1346" t="s">
        <v>35</v>
      </c>
      <c r="E1346" t="s">
        <v>36</v>
      </c>
      <c r="F1346" t="s">
        <v>37</v>
      </c>
      <c r="G1346">
        <v>11241</v>
      </c>
      <c r="H1346" t="s">
        <v>4094</v>
      </c>
      <c r="I1346" t="s">
        <v>4095</v>
      </c>
      <c r="J1346" t="s">
        <v>161</v>
      </c>
      <c r="O1346" t="s">
        <v>4096</v>
      </c>
      <c r="P1346">
        <v>117.25</v>
      </c>
      <c r="Q1346">
        <v>118.09</v>
      </c>
      <c r="R1346">
        <v>117</v>
      </c>
      <c r="S1346">
        <v>117.33</v>
      </c>
      <c r="T1346">
        <v>118.09</v>
      </c>
      <c r="U1346">
        <v>117.39</v>
      </c>
      <c r="W1346">
        <v>117.36</v>
      </c>
      <c r="Z1346">
        <v>28461</v>
      </c>
      <c r="AA1346">
        <v>3339355.66</v>
      </c>
      <c r="AB1346">
        <v>113</v>
      </c>
      <c r="AC1346" t="s">
        <v>42</v>
      </c>
      <c r="AD1346">
        <v>1</v>
      </c>
    </row>
    <row r="1347" spans="1:30">
      <c r="A1347" t="str">
        <f>CONCATENATE(I1347,J1347)</f>
        <v>HDFCLIQUIDEQ</v>
      </c>
      <c r="B1347" s="34">
        <v>46273</v>
      </c>
      <c r="C1347" s="34">
        <v>46273</v>
      </c>
      <c r="D1347" t="s">
        <v>35</v>
      </c>
      <c r="E1347" t="s">
        <v>36</v>
      </c>
      <c r="F1347" t="s">
        <v>37</v>
      </c>
      <c r="G1347">
        <v>18279</v>
      </c>
      <c r="H1347" t="s">
        <v>4097</v>
      </c>
      <c r="I1347" t="s">
        <v>4098</v>
      </c>
      <c r="J1347" t="s">
        <v>161</v>
      </c>
      <c r="O1347" t="s">
        <v>4099</v>
      </c>
      <c r="P1347">
        <v>1077.01</v>
      </c>
      <c r="Q1347">
        <v>1077.01</v>
      </c>
      <c r="R1347">
        <v>1076.99</v>
      </c>
      <c r="S1347">
        <v>1077</v>
      </c>
      <c r="T1347">
        <v>1077.01</v>
      </c>
      <c r="U1347">
        <v>1076.8499999999999</v>
      </c>
      <c r="W1347">
        <v>1077</v>
      </c>
      <c r="Z1347">
        <v>18237</v>
      </c>
      <c r="AA1347">
        <v>19641356.100000001</v>
      </c>
      <c r="AB1347">
        <v>47</v>
      </c>
      <c r="AC1347" t="s">
        <v>42</v>
      </c>
      <c r="AD1347">
        <v>1</v>
      </c>
    </row>
    <row r="1348" spans="1:30">
      <c r="A1348" t="str">
        <f>CONCATENATE(I1348,J1348)</f>
        <v>HDFCLOWVOLEQ</v>
      </c>
      <c r="B1348" s="34">
        <v>46273</v>
      </c>
      <c r="C1348" s="34">
        <v>46273</v>
      </c>
      <c r="D1348" t="s">
        <v>35</v>
      </c>
      <c r="E1348" t="s">
        <v>36</v>
      </c>
      <c r="F1348" t="s">
        <v>37</v>
      </c>
      <c r="G1348">
        <v>11547</v>
      </c>
      <c r="H1348" t="s">
        <v>4100</v>
      </c>
      <c r="I1348" t="s">
        <v>4101</v>
      </c>
      <c r="J1348" t="s">
        <v>161</v>
      </c>
      <c r="O1348" t="s">
        <v>4102</v>
      </c>
      <c r="P1348">
        <v>20.27</v>
      </c>
      <c r="Q1348">
        <v>20.32</v>
      </c>
      <c r="R1348">
        <v>20.25</v>
      </c>
      <c r="S1348">
        <v>20.29</v>
      </c>
      <c r="T1348">
        <v>20.25</v>
      </c>
      <c r="U1348">
        <v>20.350000000000001</v>
      </c>
      <c r="W1348">
        <v>20.29</v>
      </c>
      <c r="Z1348">
        <v>13711</v>
      </c>
      <c r="AA1348">
        <v>277910.45</v>
      </c>
      <c r="AB1348">
        <v>82</v>
      </c>
      <c r="AC1348" t="s">
        <v>42</v>
      </c>
      <c r="AD1348">
        <v>1</v>
      </c>
    </row>
    <row r="1349" spans="1:30">
      <c r="A1349" t="str">
        <f>CONCATENATE(I1349,J1349)</f>
        <v>HDFCMID150EQ</v>
      </c>
      <c r="B1349" s="34">
        <v>46273</v>
      </c>
      <c r="C1349" s="34">
        <v>46273</v>
      </c>
      <c r="D1349" t="s">
        <v>35</v>
      </c>
      <c r="E1349" t="s">
        <v>36</v>
      </c>
      <c r="F1349" t="s">
        <v>37</v>
      </c>
      <c r="G1349">
        <v>14236</v>
      </c>
      <c r="H1349" t="s">
        <v>4103</v>
      </c>
      <c r="I1349" t="s">
        <v>4104</v>
      </c>
      <c r="J1349" t="s">
        <v>161</v>
      </c>
      <c r="O1349" t="s">
        <v>4105</v>
      </c>
      <c r="P1349">
        <v>23.75</v>
      </c>
      <c r="Q1349">
        <v>23.75</v>
      </c>
      <c r="R1349">
        <v>23.3</v>
      </c>
      <c r="S1349">
        <v>23.42</v>
      </c>
      <c r="T1349">
        <v>23.44</v>
      </c>
      <c r="U1349">
        <v>23.38</v>
      </c>
      <c r="W1349">
        <v>23.42</v>
      </c>
      <c r="Z1349">
        <v>171590</v>
      </c>
      <c r="AA1349">
        <v>4012975.37</v>
      </c>
      <c r="AB1349">
        <v>1123</v>
      </c>
      <c r="AC1349" t="s">
        <v>42</v>
      </c>
      <c r="AD1349">
        <v>1</v>
      </c>
    </row>
    <row r="1350" spans="1:30">
      <c r="A1350" t="str">
        <f>CONCATENATE(I1350,J1350)</f>
        <v>HDFCMOMENTEQ</v>
      </c>
      <c r="B1350" s="34">
        <v>46273</v>
      </c>
      <c r="C1350" s="34">
        <v>46273</v>
      </c>
      <c r="D1350" t="s">
        <v>35</v>
      </c>
      <c r="E1350" t="s">
        <v>36</v>
      </c>
      <c r="F1350" t="s">
        <v>37</v>
      </c>
      <c r="G1350">
        <v>11538</v>
      </c>
      <c r="H1350" t="s">
        <v>4106</v>
      </c>
      <c r="I1350" t="s">
        <v>4107</v>
      </c>
      <c r="J1350" t="s">
        <v>161</v>
      </c>
      <c r="O1350" t="s">
        <v>4108</v>
      </c>
      <c r="P1350">
        <v>31</v>
      </c>
      <c r="Q1350">
        <v>31.3</v>
      </c>
      <c r="R1350">
        <v>30.98</v>
      </c>
      <c r="S1350">
        <v>31.23</v>
      </c>
      <c r="T1350">
        <v>31.18</v>
      </c>
      <c r="U1350">
        <v>31</v>
      </c>
      <c r="W1350">
        <v>31.23</v>
      </c>
      <c r="Z1350">
        <v>162218</v>
      </c>
      <c r="AA1350">
        <v>5055565.08</v>
      </c>
      <c r="AB1350">
        <v>479</v>
      </c>
      <c r="AC1350" t="s">
        <v>42</v>
      </c>
      <c r="AD1350">
        <v>1</v>
      </c>
    </row>
    <row r="1351" spans="1:30">
      <c r="A1351" t="str">
        <f>CONCATENATE(I1351,J1351)</f>
        <v>HDFCNEXT50EQ</v>
      </c>
      <c r="B1351" s="34">
        <v>46273</v>
      </c>
      <c r="C1351" s="34">
        <v>46273</v>
      </c>
      <c r="D1351" t="s">
        <v>35</v>
      </c>
      <c r="E1351" t="s">
        <v>36</v>
      </c>
      <c r="F1351" t="s">
        <v>37</v>
      </c>
      <c r="G1351">
        <v>10619</v>
      </c>
      <c r="H1351" t="s">
        <v>4109</v>
      </c>
      <c r="I1351" t="s">
        <v>4110</v>
      </c>
      <c r="J1351" t="s">
        <v>161</v>
      </c>
      <c r="O1351" t="s">
        <v>4111</v>
      </c>
      <c r="P1351">
        <v>74.599999999999994</v>
      </c>
      <c r="Q1351">
        <v>74.78</v>
      </c>
      <c r="R1351">
        <v>74.099999999999994</v>
      </c>
      <c r="S1351">
        <v>74.5</v>
      </c>
      <c r="T1351">
        <v>74.78</v>
      </c>
      <c r="U1351">
        <v>74.38</v>
      </c>
      <c r="W1351">
        <v>74.489999999999995</v>
      </c>
      <c r="Z1351">
        <v>139965</v>
      </c>
      <c r="AA1351">
        <v>10420312.130000001</v>
      </c>
      <c r="AB1351">
        <v>574</v>
      </c>
      <c r="AC1351" t="s">
        <v>42</v>
      </c>
      <c r="AD1351">
        <v>1</v>
      </c>
    </row>
    <row r="1352" spans="1:30">
      <c r="A1352" t="str">
        <f>CONCATENATE(I1352,J1352)</f>
        <v>HDFCNIF100EQ</v>
      </c>
      <c r="B1352" s="34">
        <v>46273</v>
      </c>
      <c r="C1352" s="34">
        <v>46273</v>
      </c>
      <c r="D1352" t="s">
        <v>35</v>
      </c>
      <c r="E1352" t="s">
        <v>36</v>
      </c>
      <c r="F1352" t="s">
        <v>37</v>
      </c>
      <c r="G1352">
        <v>10633</v>
      </c>
      <c r="H1352" t="s">
        <v>4112</v>
      </c>
      <c r="I1352" t="s">
        <v>4113</v>
      </c>
      <c r="J1352" t="s">
        <v>161</v>
      </c>
      <c r="O1352" t="s">
        <v>4114</v>
      </c>
      <c r="P1352">
        <v>26.31</v>
      </c>
      <c r="Q1352">
        <v>26.31</v>
      </c>
      <c r="R1352">
        <v>25.62</v>
      </c>
      <c r="S1352">
        <v>25.71</v>
      </c>
      <c r="T1352">
        <v>25.72</v>
      </c>
      <c r="U1352">
        <v>25.76</v>
      </c>
      <c r="W1352">
        <v>25.72</v>
      </c>
      <c r="Z1352">
        <v>11976</v>
      </c>
      <c r="AA1352">
        <v>307986.63</v>
      </c>
      <c r="AB1352">
        <v>236</v>
      </c>
      <c r="AC1352" t="s">
        <v>42</v>
      </c>
      <c r="AD1352">
        <v>1</v>
      </c>
    </row>
    <row r="1353" spans="1:30">
      <c r="A1353" t="str">
        <f>CONCATENATE(I1353,J1353)</f>
        <v>HDFCNIFBANEQ</v>
      </c>
      <c r="B1353" s="34">
        <v>46273</v>
      </c>
      <c r="C1353" s="34">
        <v>46273</v>
      </c>
      <c r="D1353" t="s">
        <v>35</v>
      </c>
      <c r="E1353" t="s">
        <v>36</v>
      </c>
      <c r="F1353" t="s">
        <v>37</v>
      </c>
      <c r="G1353">
        <v>22433</v>
      </c>
      <c r="H1353" t="s">
        <v>4115</v>
      </c>
      <c r="I1353" t="s">
        <v>4116</v>
      </c>
      <c r="J1353" t="s">
        <v>161</v>
      </c>
      <c r="O1353" t="s">
        <v>4117</v>
      </c>
      <c r="P1353">
        <v>58.84</v>
      </c>
      <c r="Q1353">
        <v>58.84</v>
      </c>
      <c r="R1353">
        <v>58.42</v>
      </c>
      <c r="S1353">
        <v>58.55</v>
      </c>
      <c r="T1353">
        <v>58.42</v>
      </c>
      <c r="U1353">
        <v>58.84</v>
      </c>
      <c r="W1353">
        <v>58.55</v>
      </c>
      <c r="Z1353">
        <v>38001</v>
      </c>
      <c r="AA1353">
        <v>2227243.58</v>
      </c>
      <c r="AB1353">
        <v>390</v>
      </c>
      <c r="AC1353" t="s">
        <v>42</v>
      </c>
      <c r="AD1353">
        <v>1</v>
      </c>
    </row>
    <row r="1354" spans="1:30">
      <c r="A1354" t="str">
        <f>CONCATENATE(I1354,J1354)</f>
        <v>HDFCNIFITEQ</v>
      </c>
      <c r="B1354" s="34">
        <v>46273</v>
      </c>
      <c r="C1354" s="34">
        <v>46273</v>
      </c>
      <c r="D1354" t="s">
        <v>35</v>
      </c>
      <c r="E1354" t="s">
        <v>36</v>
      </c>
      <c r="F1354" t="s">
        <v>37</v>
      </c>
      <c r="G1354">
        <v>12101</v>
      </c>
      <c r="H1354" t="s">
        <v>4118</v>
      </c>
      <c r="I1354" t="s">
        <v>4119</v>
      </c>
      <c r="J1354" t="s">
        <v>161</v>
      </c>
      <c r="O1354" t="s">
        <v>4120</v>
      </c>
      <c r="P1354">
        <v>32.75</v>
      </c>
      <c r="Q1354">
        <v>32.75</v>
      </c>
      <c r="R1354">
        <v>31.8</v>
      </c>
      <c r="S1354">
        <v>32</v>
      </c>
      <c r="T1354">
        <v>32.11</v>
      </c>
      <c r="U1354">
        <v>32.06</v>
      </c>
      <c r="W1354">
        <v>32</v>
      </c>
      <c r="Z1354">
        <v>34099</v>
      </c>
      <c r="AA1354">
        <v>1090575.94</v>
      </c>
      <c r="AB1354">
        <v>232</v>
      </c>
      <c r="AC1354" t="s">
        <v>42</v>
      </c>
      <c r="AD1354">
        <v>1</v>
      </c>
    </row>
    <row r="1355" spans="1:30">
      <c r="A1355" t="str">
        <f>CONCATENATE(I1355,J1355)</f>
        <v>HDFCNIFTYEQ</v>
      </c>
      <c r="B1355" s="34">
        <v>46273</v>
      </c>
      <c r="C1355" s="34">
        <v>46273</v>
      </c>
      <c r="D1355" t="s">
        <v>35</v>
      </c>
      <c r="E1355" t="s">
        <v>36</v>
      </c>
      <c r="F1355" t="s">
        <v>37</v>
      </c>
      <c r="G1355">
        <v>11591</v>
      </c>
      <c r="H1355" t="s">
        <v>4121</v>
      </c>
      <c r="I1355" t="s">
        <v>4122</v>
      </c>
      <c r="J1355" t="s">
        <v>161</v>
      </c>
      <c r="O1355" t="s">
        <v>4123</v>
      </c>
      <c r="P1355">
        <v>268.29000000000002</v>
      </c>
      <c r="Q1355">
        <v>273</v>
      </c>
      <c r="R1355">
        <v>266.83</v>
      </c>
      <c r="S1355">
        <v>267.23</v>
      </c>
      <c r="T1355">
        <v>267.02</v>
      </c>
      <c r="U1355">
        <v>268.29000000000002</v>
      </c>
      <c r="W1355">
        <v>267.23</v>
      </c>
      <c r="Z1355">
        <v>528289</v>
      </c>
      <c r="AA1355">
        <v>141191421.43000001</v>
      </c>
      <c r="AB1355">
        <v>1274</v>
      </c>
      <c r="AC1355" t="s">
        <v>42</v>
      </c>
      <c r="AD1355">
        <v>1</v>
      </c>
    </row>
    <row r="1356" spans="1:30">
      <c r="A1356" t="str">
        <f>CONCATENATE(I1356,J1356)</f>
        <v>HDFCNIMEGEQ</v>
      </c>
      <c r="B1356" s="34">
        <v>46273</v>
      </c>
      <c r="C1356" s="34">
        <v>46273</v>
      </c>
      <c r="D1356" t="s">
        <v>35</v>
      </c>
      <c r="E1356" t="s">
        <v>36</v>
      </c>
      <c r="F1356" t="s">
        <v>37</v>
      </c>
      <c r="G1356">
        <v>764336</v>
      </c>
      <c r="H1356" t="s">
        <v>4124</v>
      </c>
      <c r="I1356" t="s">
        <v>4125</v>
      </c>
      <c r="J1356" t="s">
        <v>161</v>
      </c>
      <c r="O1356" t="s">
        <v>4126</v>
      </c>
      <c r="P1356">
        <v>132.19</v>
      </c>
      <c r="Q1356">
        <v>132.71</v>
      </c>
      <c r="R1356">
        <v>131</v>
      </c>
      <c r="S1356">
        <v>131.80000000000001</v>
      </c>
      <c r="T1356">
        <v>132.13</v>
      </c>
      <c r="U1356">
        <v>131.56</v>
      </c>
      <c r="W1356">
        <v>131.80000000000001</v>
      </c>
      <c r="Z1356">
        <v>2236</v>
      </c>
      <c r="AA1356">
        <v>294803.40000000002</v>
      </c>
      <c r="AB1356">
        <v>86</v>
      </c>
      <c r="AC1356" t="s">
        <v>42</v>
      </c>
      <c r="AD1356">
        <v>1</v>
      </c>
    </row>
    <row r="1357" spans="1:30">
      <c r="A1357" t="str">
        <f>CONCATENATE(I1357,J1357)</f>
        <v>HDFCPVTBANEQ</v>
      </c>
      <c r="B1357" s="34">
        <v>46273</v>
      </c>
      <c r="C1357" s="34">
        <v>46273</v>
      </c>
      <c r="D1357" t="s">
        <v>35</v>
      </c>
      <c r="E1357" t="s">
        <v>36</v>
      </c>
      <c r="F1357" t="s">
        <v>37</v>
      </c>
      <c r="G1357">
        <v>12108</v>
      </c>
      <c r="H1357" t="s">
        <v>4127</v>
      </c>
      <c r="I1357" t="s">
        <v>4128</v>
      </c>
      <c r="J1357" t="s">
        <v>161</v>
      </c>
      <c r="O1357" t="s">
        <v>4129</v>
      </c>
      <c r="P1357">
        <v>28.16</v>
      </c>
      <c r="Q1357">
        <v>28.25</v>
      </c>
      <c r="R1357">
        <v>27.99</v>
      </c>
      <c r="S1357">
        <v>28.04</v>
      </c>
      <c r="T1357">
        <v>28.01</v>
      </c>
      <c r="U1357">
        <v>28.25</v>
      </c>
      <c r="W1357">
        <v>28.05</v>
      </c>
      <c r="Z1357">
        <v>154092</v>
      </c>
      <c r="AA1357">
        <v>4334494.55</v>
      </c>
      <c r="AB1357">
        <v>401</v>
      </c>
      <c r="AC1357" t="s">
        <v>42</v>
      </c>
      <c r="AD1357">
        <v>1</v>
      </c>
    </row>
    <row r="1358" spans="1:30">
      <c r="A1358" t="str">
        <f>CONCATENATE(I1358,J1358)</f>
        <v>HDFCQUALEQ</v>
      </c>
      <c r="B1358" s="34">
        <v>46273</v>
      </c>
      <c r="C1358" s="34">
        <v>46273</v>
      </c>
      <c r="D1358" t="s">
        <v>35</v>
      </c>
      <c r="E1358" t="s">
        <v>36</v>
      </c>
      <c r="F1358" t="s">
        <v>37</v>
      </c>
      <c r="G1358">
        <v>11255</v>
      </c>
      <c r="H1358" t="s">
        <v>4130</v>
      </c>
      <c r="I1358" t="s">
        <v>4131</v>
      </c>
      <c r="J1358" t="s">
        <v>161</v>
      </c>
      <c r="O1358" t="s">
        <v>4132</v>
      </c>
      <c r="P1358">
        <v>58.17</v>
      </c>
      <c r="Q1358">
        <v>58.65</v>
      </c>
      <c r="R1358">
        <v>58.06</v>
      </c>
      <c r="S1358">
        <v>58.25</v>
      </c>
      <c r="T1358">
        <v>58.65</v>
      </c>
      <c r="U1358">
        <v>58.12</v>
      </c>
      <c r="W1358">
        <v>58.25</v>
      </c>
      <c r="Z1358">
        <v>3179</v>
      </c>
      <c r="AA1358">
        <v>185362.23</v>
      </c>
      <c r="AB1358">
        <v>61</v>
      </c>
      <c r="AC1358" t="s">
        <v>42</v>
      </c>
      <c r="AD1358">
        <v>1</v>
      </c>
    </row>
    <row r="1359" spans="1:30">
      <c r="A1359" t="str">
        <f>CONCATENATE(I1359,J1359)</f>
        <v>HDFCSENSEXEQ</v>
      </c>
      <c r="B1359" s="34">
        <v>46273</v>
      </c>
      <c r="C1359" s="34">
        <v>46273</v>
      </c>
      <c r="D1359" t="s">
        <v>35</v>
      </c>
      <c r="E1359" t="s">
        <v>36</v>
      </c>
      <c r="F1359" t="s">
        <v>37</v>
      </c>
      <c r="G1359">
        <v>11593</v>
      </c>
      <c r="H1359" t="s">
        <v>4133</v>
      </c>
      <c r="I1359" t="s">
        <v>4134</v>
      </c>
      <c r="J1359" t="s">
        <v>161</v>
      </c>
      <c r="O1359" t="s">
        <v>4135</v>
      </c>
      <c r="P1359">
        <v>86.69</v>
      </c>
      <c r="Q1359">
        <v>86.69</v>
      </c>
      <c r="R1359">
        <v>85.98</v>
      </c>
      <c r="S1359">
        <v>85.99</v>
      </c>
      <c r="T1359">
        <v>86</v>
      </c>
      <c r="U1359">
        <v>86.47</v>
      </c>
      <c r="W1359">
        <v>85.99</v>
      </c>
      <c r="Z1359">
        <v>29581</v>
      </c>
      <c r="AA1359">
        <v>2545905.0299999998</v>
      </c>
      <c r="AB1359">
        <v>741</v>
      </c>
      <c r="AC1359" t="s">
        <v>42</v>
      </c>
      <c r="AD1359">
        <v>1</v>
      </c>
    </row>
    <row r="1360" spans="1:30">
      <c r="A1360" t="str">
        <f>CONCATENATE(I1360,J1360)</f>
        <v>HDFCSILVEREQ</v>
      </c>
      <c r="B1360" s="34">
        <v>46273</v>
      </c>
      <c r="C1360" s="34">
        <v>46273</v>
      </c>
      <c r="D1360" t="s">
        <v>35</v>
      </c>
      <c r="E1360" t="s">
        <v>36</v>
      </c>
      <c r="F1360" t="s">
        <v>37</v>
      </c>
      <c r="G1360">
        <v>10876</v>
      </c>
      <c r="H1360" t="s">
        <v>4136</v>
      </c>
      <c r="I1360" t="s">
        <v>4137</v>
      </c>
      <c r="J1360" t="s">
        <v>161</v>
      </c>
      <c r="O1360" t="s">
        <v>4138</v>
      </c>
      <c r="P1360">
        <v>223.38</v>
      </c>
      <c r="Q1360">
        <v>224.2</v>
      </c>
      <c r="R1360">
        <v>220.01</v>
      </c>
      <c r="S1360">
        <v>221.31</v>
      </c>
      <c r="T1360">
        <v>221.5</v>
      </c>
      <c r="U1360">
        <v>219.9</v>
      </c>
      <c r="W1360">
        <v>221.3</v>
      </c>
      <c r="Z1360">
        <v>2108714</v>
      </c>
      <c r="AA1360">
        <v>468089202.36000001</v>
      </c>
      <c r="AB1360">
        <v>9257</v>
      </c>
      <c r="AC1360" t="s">
        <v>42</v>
      </c>
      <c r="AD1360">
        <v>1</v>
      </c>
    </row>
    <row r="1361" spans="1:30">
      <c r="A1361" t="str">
        <f>CONCATENATE(I1361,J1361)</f>
        <v>HDFCSML250EQ</v>
      </c>
      <c r="B1361" s="34">
        <v>46273</v>
      </c>
      <c r="C1361" s="34">
        <v>46273</v>
      </c>
      <c r="D1361" t="s">
        <v>35</v>
      </c>
      <c r="E1361" t="s">
        <v>36</v>
      </c>
      <c r="F1361" t="s">
        <v>37</v>
      </c>
      <c r="G1361">
        <v>14233</v>
      </c>
      <c r="H1361" t="s">
        <v>4139</v>
      </c>
      <c r="I1361" t="s">
        <v>4140</v>
      </c>
      <c r="J1361" t="s">
        <v>161</v>
      </c>
      <c r="O1361" t="s">
        <v>4141</v>
      </c>
      <c r="P1361">
        <v>186.51</v>
      </c>
      <c r="Q1361">
        <v>187.2</v>
      </c>
      <c r="R1361">
        <v>185.69</v>
      </c>
      <c r="S1361">
        <v>186.57</v>
      </c>
      <c r="T1361">
        <v>186.2</v>
      </c>
      <c r="U1361">
        <v>186.73</v>
      </c>
      <c r="W1361">
        <v>186.57</v>
      </c>
      <c r="Z1361">
        <v>830158</v>
      </c>
      <c r="AA1361">
        <v>154763730.05000001</v>
      </c>
      <c r="AB1361">
        <v>14752</v>
      </c>
      <c r="AC1361" t="s">
        <v>42</v>
      </c>
      <c r="AD1361">
        <v>1</v>
      </c>
    </row>
    <row r="1362" spans="1:30">
      <c r="A1362" t="str">
        <f>CONCATENATE(I1362,J1362)</f>
        <v>HDFCVALUEEQ</v>
      </c>
      <c r="B1362" s="34">
        <v>46273</v>
      </c>
      <c r="C1362" s="34">
        <v>46273</v>
      </c>
      <c r="D1362" t="s">
        <v>35</v>
      </c>
      <c r="E1362" t="s">
        <v>36</v>
      </c>
      <c r="F1362" t="s">
        <v>37</v>
      </c>
      <c r="G1362">
        <v>11260</v>
      </c>
      <c r="H1362" t="s">
        <v>4142</v>
      </c>
      <c r="I1362" t="s">
        <v>4143</v>
      </c>
      <c r="J1362" t="s">
        <v>161</v>
      </c>
      <c r="O1362" t="s">
        <v>4144</v>
      </c>
      <c r="P1362">
        <v>124.25</v>
      </c>
      <c r="Q1362">
        <v>126.33</v>
      </c>
      <c r="R1362">
        <v>123.4</v>
      </c>
      <c r="S1362">
        <v>123.92</v>
      </c>
      <c r="T1362">
        <v>124.24</v>
      </c>
      <c r="U1362">
        <v>124.54</v>
      </c>
      <c r="W1362">
        <v>123.92</v>
      </c>
      <c r="Z1362">
        <v>12289</v>
      </c>
      <c r="AA1362">
        <v>1522955.62</v>
      </c>
      <c r="AB1362">
        <v>145</v>
      </c>
      <c r="AC1362" t="s">
        <v>42</v>
      </c>
      <c r="AD1362">
        <v>1</v>
      </c>
    </row>
    <row r="1363" spans="1:30">
      <c r="A1363" t="str">
        <f>CONCATENATE(I1363,J1363)</f>
        <v>HDFCPSUBKEQ</v>
      </c>
      <c r="B1363" s="34">
        <v>46273</v>
      </c>
      <c r="C1363" s="34">
        <v>46273</v>
      </c>
      <c r="D1363" t="s">
        <v>35</v>
      </c>
      <c r="E1363" t="s">
        <v>36</v>
      </c>
      <c r="F1363" t="s">
        <v>37</v>
      </c>
      <c r="G1363">
        <v>22595</v>
      </c>
      <c r="H1363" t="s">
        <v>4145</v>
      </c>
      <c r="I1363" t="s">
        <v>4146</v>
      </c>
      <c r="J1363" t="s">
        <v>161</v>
      </c>
      <c r="O1363" t="s">
        <v>4147</v>
      </c>
      <c r="P1363">
        <v>84.9</v>
      </c>
      <c r="Q1363">
        <v>85.33</v>
      </c>
      <c r="R1363">
        <v>84.41</v>
      </c>
      <c r="S1363">
        <v>84.59</v>
      </c>
      <c r="T1363">
        <v>84.6</v>
      </c>
      <c r="U1363">
        <v>85.07</v>
      </c>
      <c r="W1363">
        <v>84.6</v>
      </c>
      <c r="Z1363">
        <v>53433</v>
      </c>
      <c r="AA1363">
        <v>4538027.78</v>
      </c>
      <c r="AB1363">
        <v>218</v>
      </c>
      <c r="AC1363" t="s">
        <v>42</v>
      </c>
      <c r="AD1363">
        <v>1</v>
      </c>
    </row>
    <row r="1364" spans="1:30">
      <c r="A1364" t="str">
        <f>CONCATENATE(I1364,J1364)</f>
        <v>HEADSUPEQ</v>
      </c>
      <c r="B1364" s="34">
        <v>46273</v>
      </c>
      <c r="C1364" s="34">
        <v>46273</v>
      </c>
      <c r="D1364" t="s">
        <v>35</v>
      </c>
      <c r="E1364" t="s">
        <v>36</v>
      </c>
      <c r="F1364" t="s">
        <v>37</v>
      </c>
      <c r="G1364">
        <v>19205</v>
      </c>
      <c r="H1364" t="s">
        <v>4148</v>
      </c>
      <c r="I1364" t="s">
        <v>4149</v>
      </c>
      <c r="J1364" t="s">
        <v>161</v>
      </c>
      <c r="O1364" t="s">
        <v>4150</v>
      </c>
      <c r="P1364">
        <v>7</v>
      </c>
      <c r="Q1364">
        <v>7.67</v>
      </c>
      <c r="R1364">
        <v>6.75</v>
      </c>
      <c r="S1364">
        <v>7.04</v>
      </c>
      <c r="T1364">
        <v>6.75</v>
      </c>
      <c r="U1364">
        <v>7.02</v>
      </c>
      <c r="W1364">
        <v>7.05</v>
      </c>
      <c r="Z1364">
        <v>10080</v>
      </c>
      <c r="AA1364">
        <v>72200.05</v>
      </c>
      <c r="AB1364">
        <v>224</v>
      </c>
      <c r="AC1364" t="s">
        <v>42</v>
      </c>
      <c r="AD1364">
        <v>1</v>
      </c>
    </row>
    <row r="1365" spans="1:30">
      <c r="A1365" t="str">
        <f>CONCATENATE(I1365,J1365)</f>
        <v>HEALTHXEQ</v>
      </c>
      <c r="B1365" s="34">
        <v>46273</v>
      </c>
      <c r="C1365" s="34">
        <v>46273</v>
      </c>
      <c r="D1365" t="s">
        <v>35</v>
      </c>
      <c r="E1365" t="s">
        <v>36</v>
      </c>
      <c r="F1365" t="s">
        <v>37</v>
      </c>
      <c r="G1365">
        <v>20063</v>
      </c>
      <c r="H1365" t="s">
        <v>4151</v>
      </c>
      <c r="I1365" t="s">
        <v>4152</v>
      </c>
      <c r="J1365" t="s">
        <v>161</v>
      </c>
      <c r="O1365" t="s">
        <v>4153</v>
      </c>
      <c r="P1365">
        <v>301.35000000000002</v>
      </c>
      <c r="Q1365">
        <v>312.39999999999998</v>
      </c>
      <c r="R1365">
        <v>300</v>
      </c>
      <c r="S1365">
        <v>302.60000000000002</v>
      </c>
      <c r="T1365">
        <v>302.5</v>
      </c>
      <c r="U1365">
        <v>296.89999999999998</v>
      </c>
      <c r="W1365">
        <v>302.60000000000002</v>
      </c>
      <c r="Z1365">
        <v>3540</v>
      </c>
      <c r="AA1365">
        <v>1075620.55</v>
      </c>
      <c r="AB1365">
        <v>103</v>
      </c>
      <c r="AC1365" t="s">
        <v>42</v>
      </c>
      <c r="AD1365">
        <v>1</v>
      </c>
    </row>
    <row r="1366" spans="1:30">
      <c r="A1366" t="str">
        <f>CONCATENATE(I1366,J1366)</f>
        <v>HCGEQ</v>
      </c>
      <c r="B1366" s="34">
        <v>46273</v>
      </c>
      <c r="C1366" s="34">
        <v>46273</v>
      </c>
      <c r="D1366" t="s">
        <v>35</v>
      </c>
      <c r="E1366" t="s">
        <v>36</v>
      </c>
      <c r="F1366" t="s">
        <v>37</v>
      </c>
      <c r="G1366">
        <v>15555</v>
      </c>
      <c r="H1366" t="s">
        <v>4154</v>
      </c>
      <c r="I1366" t="s">
        <v>4155</v>
      </c>
      <c r="J1366" t="s">
        <v>161</v>
      </c>
      <c r="O1366" t="s">
        <v>4156</v>
      </c>
      <c r="P1366">
        <v>690.95</v>
      </c>
      <c r="Q1366">
        <v>697.6</v>
      </c>
      <c r="R1366">
        <v>676.55</v>
      </c>
      <c r="S1366">
        <v>690.6</v>
      </c>
      <c r="T1366">
        <v>689.65</v>
      </c>
      <c r="U1366">
        <v>687.9</v>
      </c>
      <c r="W1366">
        <v>690.51</v>
      </c>
      <c r="Z1366">
        <v>145459</v>
      </c>
      <c r="AA1366">
        <v>99836262.299999997</v>
      </c>
      <c r="AB1366">
        <v>11353</v>
      </c>
      <c r="AC1366" t="s">
        <v>42</v>
      </c>
      <c r="AD1366">
        <v>1</v>
      </c>
    </row>
    <row r="1367" spans="1:30">
      <c r="A1367" t="str">
        <f>CONCATENATE(I1367,J1367)</f>
        <v>HECPROJECTEQ</v>
      </c>
      <c r="B1367" s="34">
        <v>46273</v>
      </c>
      <c r="C1367" s="34">
        <v>46273</v>
      </c>
      <c r="D1367" t="s">
        <v>35</v>
      </c>
      <c r="E1367" t="s">
        <v>36</v>
      </c>
      <c r="F1367" t="s">
        <v>37</v>
      </c>
      <c r="G1367">
        <v>7425</v>
      </c>
      <c r="H1367" t="s">
        <v>4157</v>
      </c>
      <c r="I1367" t="s">
        <v>4158</v>
      </c>
      <c r="J1367" t="s">
        <v>161</v>
      </c>
      <c r="O1367" t="s">
        <v>4159</v>
      </c>
      <c r="P1367">
        <v>120.48</v>
      </c>
      <c r="Q1367">
        <v>140.19999999999999</v>
      </c>
      <c r="R1367">
        <v>118.02</v>
      </c>
      <c r="S1367">
        <v>122.98</v>
      </c>
      <c r="T1367">
        <v>123.31</v>
      </c>
      <c r="U1367">
        <v>118.17</v>
      </c>
      <c r="W1367">
        <v>122.98</v>
      </c>
      <c r="Z1367">
        <v>139918</v>
      </c>
      <c r="AA1367">
        <v>18921517.469999999</v>
      </c>
      <c r="AB1367">
        <v>620</v>
      </c>
      <c r="AC1367" t="s">
        <v>42</v>
      </c>
      <c r="AD1367">
        <v>1</v>
      </c>
    </row>
    <row r="1368" spans="1:30">
      <c r="A1368" t="str">
        <f>CONCATENATE(I1368,J1368)</f>
        <v>HEGBE</v>
      </c>
      <c r="B1368" s="34">
        <v>46273</v>
      </c>
      <c r="C1368" s="34">
        <v>46273</v>
      </c>
      <c r="D1368" t="s">
        <v>35</v>
      </c>
      <c r="E1368" t="s">
        <v>36</v>
      </c>
      <c r="F1368" t="s">
        <v>37</v>
      </c>
      <c r="G1368">
        <v>7368</v>
      </c>
      <c r="H1368" t="s">
        <v>4160</v>
      </c>
      <c r="I1368" t="s">
        <v>4161</v>
      </c>
      <c r="J1368" t="s">
        <v>183</v>
      </c>
      <c r="O1368" t="s">
        <v>4162</v>
      </c>
      <c r="P1368">
        <v>265.39999999999998</v>
      </c>
      <c r="Q1368">
        <v>265.39999999999998</v>
      </c>
      <c r="R1368">
        <v>258.60000000000002</v>
      </c>
      <c r="S1368">
        <v>258.60000000000002</v>
      </c>
      <c r="T1368">
        <v>258.60000000000002</v>
      </c>
      <c r="U1368">
        <v>272.2</v>
      </c>
      <c r="W1368">
        <v>258.64</v>
      </c>
      <c r="Z1368">
        <v>1334287</v>
      </c>
      <c r="AA1368">
        <v>346353117.60000002</v>
      </c>
      <c r="AB1368">
        <v>12412</v>
      </c>
      <c r="AC1368" t="s">
        <v>42</v>
      </c>
      <c r="AD1368">
        <v>1</v>
      </c>
    </row>
    <row r="1369" spans="1:30">
      <c r="A1369" t="str">
        <f>CONCATENATE(I1369,J1369)</f>
        <v>HEIDELBERGEQ</v>
      </c>
      <c r="B1369" s="34">
        <v>46273</v>
      </c>
      <c r="C1369" s="34">
        <v>46273</v>
      </c>
      <c r="D1369" t="s">
        <v>35</v>
      </c>
      <c r="E1369" t="s">
        <v>36</v>
      </c>
      <c r="F1369" t="s">
        <v>37</v>
      </c>
      <c r="G1369">
        <v>2316</v>
      </c>
      <c r="H1369" t="s">
        <v>4163</v>
      </c>
      <c r="I1369" t="s">
        <v>4164</v>
      </c>
      <c r="J1369" t="s">
        <v>161</v>
      </c>
      <c r="O1369" t="s">
        <v>4165</v>
      </c>
      <c r="P1369">
        <v>161.49</v>
      </c>
      <c r="Q1369">
        <v>161.49</v>
      </c>
      <c r="R1369">
        <v>158.62</v>
      </c>
      <c r="S1369">
        <v>159.72</v>
      </c>
      <c r="T1369">
        <v>159.6</v>
      </c>
      <c r="U1369">
        <v>160.56</v>
      </c>
      <c r="W1369">
        <v>159.72</v>
      </c>
      <c r="Z1369">
        <v>341014</v>
      </c>
      <c r="AA1369">
        <v>54626157.93</v>
      </c>
      <c r="AB1369">
        <v>3963</v>
      </c>
      <c r="AC1369" t="s">
        <v>42</v>
      </c>
      <c r="AD1369">
        <v>1</v>
      </c>
    </row>
    <row r="1370" spans="1:30">
      <c r="A1370" t="str">
        <f>CONCATENATE(I1370,J1370)</f>
        <v>HEMIPROPEQ</v>
      </c>
      <c r="B1370" s="34">
        <v>46273</v>
      </c>
      <c r="C1370" s="34">
        <v>46273</v>
      </c>
      <c r="D1370" t="s">
        <v>35</v>
      </c>
      <c r="E1370" t="s">
        <v>36</v>
      </c>
      <c r="F1370" t="s">
        <v>37</v>
      </c>
      <c r="G1370">
        <v>701</v>
      </c>
      <c r="H1370" t="s">
        <v>4166</v>
      </c>
      <c r="I1370" t="s">
        <v>4167</v>
      </c>
      <c r="J1370" t="s">
        <v>161</v>
      </c>
      <c r="O1370" t="s">
        <v>4168</v>
      </c>
      <c r="P1370">
        <v>124.5</v>
      </c>
      <c r="Q1370">
        <v>125.44</v>
      </c>
      <c r="R1370">
        <v>124.05</v>
      </c>
      <c r="S1370">
        <v>124.41</v>
      </c>
      <c r="T1370">
        <v>124.49</v>
      </c>
      <c r="U1370">
        <v>125.08</v>
      </c>
      <c r="W1370">
        <v>124.4</v>
      </c>
      <c r="Z1370">
        <v>227721</v>
      </c>
      <c r="AA1370">
        <v>28361304.350000001</v>
      </c>
      <c r="AB1370">
        <v>1927</v>
      </c>
      <c r="AC1370" t="s">
        <v>42</v>
      </c>
      <c r="AD1370">
        <v>1</v>
      </c>
    </row>
    <row r="1371" spans="1:30">
      <c r="A1371" t="str">
        <f>CONCATENATE(I1371,J1371)</f>
        <v>HERANBAEQ</v>
      </c>
      <c r="B1371" s="34">
        <v>46273</v>
      </c>
      <c r="C1371" s="34">
        <v>46273</v>
      </c>
      <c r="D1371" t="s">
        <v>35</v>
      </c>
      <c r="E1371" t="s">
        <v>36</v>
      </c>
      <c r="F1371" t="s">
        <v>37</v>
      </c>
      <c r="G1371">
        <v>2614</v>
      </c>
      <c r="H1371" t="s">
        <v>4169</v>
      </c>
      <c r="I1371" t="s">
        <v>4170</v>
      </c>
      <c r="J1371" t="s">
        <v>161</v>
      </c>
      <c r="O1371" t="s">
        <v>4171</v>
      </c>
      <c r="P1371">
        <v>170</v>
      </c>
      <c r="Q1371">
        <v>175.99</v>
      </c>
      <c r="R1371">
        <v>169.21</v>
      </c>
      <c r="S1371">
        <v>172.8</v>
      </c>
      <c r="T1371">
        <v>173.1</v>
      </c>
      <c r="U1371">
        <v>169.62</v>
      </c>
      <c r="W1371">
        <v>172.74</v>
      </c>
      <c r="Z1371">
        <v>32314</v>
      </c>
      <c r="AA1371">
        <v>5555260.71</v>
      </c>
      <c r="AB1371">
        <v>1016</v>
      </c>
      <c r="AC1371" t="s">
        <v>42</v>
      </c>
      <c r="AD1371">
        <v>1</v>
      </c>
    </row>
    <row r="1372" spans="1:30">
      <c r="A1372" t="str">
        <f>CONCATENATE(I1372,J1372)</f>
        <v>HERITGFOODEQ</v>
      </c>
      <c r="B1372" s="34">
        <v>46273</v>
      </c>
      <c r="C1372" s="34">
        <v>46273</v>
      </c>
      <c r="D1372" t="s">
        <v>35</v>
      </c>
      <c r="E1372" t="s">
        <v>36</v>
      </c>
      <c r="F1372" t="s">
        <v>37</v>
      </c>
      <c r="G1372">
        <v>4598</v>
      </c>
      <c r="H1372" t="s">
        <v>4172</v>
      </c>
      <c r="I1372" t="s">
        <v>4173</v>
      </c>
      <c r="J1372" t="s">
        <v>161</v>
      </c>
      <c r="O1372" t="s">
        <v>4174</v>
      </c>
      <c r="P1372">
        <v>385</v>
      </c>
      <c r="Q1372">
        <v>385.15</v>
      </c>
      <c r="R1372">
        <v>376.5</v>
      </c>
      <c r="S1372">
        <v>382.15</v>
      </c>
      <c r="T1372">
        <v>382.2</v>
      </c>
      <c r="U1372">
        <v>384.15</v>
      </c>
      <c r="W1372">
        <v>382.14</v>
      </c>
      <c r="Z1372">
        <v>264313</v>
      </c>
      <c r="AA1372">
        <v>100782152.84999999</v>
      </c>
      <c r="AB1372">
        <v>8030</v>
      </c>
      <c r="AC1372" t="s">
        <v>42</v>
      </c>
      <c r="AD1372">
        <v>1</v>
      </c>
    </row>
    <row r="1373" spans="1:30">
      <c r="A1373" t="str">
        <f>CONCATENATE(I1373,J1373)</f>
        <v>HEROMOTOCOEQ</v>
      </c>
      <c r="B1373" s="34">
        <v>46273</v>
      </c>
      <c r="C1373" s="34">
        <v>46273</v>
      </c>
      <c r="D1373" t="s">
        <v>35</v>
      </c>
      <c r="E1373" t="s">
        <v>36</v>
      </c>
      <c r="F1373" t="s">
        <v>37</v>
      </c>
      <c r="G1373">
        <v>1348</v>
      </c>
      <c r="H1373" t="s">
        <v>4175</v>
      </c>
      <c r="I1373" t="s">
        <v>4176</v>
      </c>
      <c r="J1373" t="s">
        <v>161</v>
      </c>
      <c r="O1373" t="s">
        <v>4177</v>
      </c>
      <c r="P1373">
        <v>5305</v>
      </c>
      <c r="Q1373">
        <v>5339.5</v>
      </c>
      <c r="R1373">
        <v>5285</v>
      </c>
      <c r="S1373">
        <v>5333.5</v>
      </c>
      <c r="T1373">
        <v>5333.5</v>
      </c>
      <c r="U1373">
        <v>5270</v>
      </c>
      <c r="W1373">
        <v>5333.42</v>
      </c>
      <c r="Z1373">
        <v>393029</v>
      </c>
      <c r="AA1373">
        <v>2088190877</v>
      </c>
      <c r="AB1373">
        <v>31474</v>
      </c>
      <c r="AC1373" t="s">
        <v>42</v>
      </c>
      <c r="AD1373">
        <v>1</v>
      </c>
    </row>
    <row r="1374" spans="1:30">
      <c r="A1374" t="str">
        <f>CONCATENATE(I1374,J1374)</f>
        <v>HESTERBIOEQ</v>
      </c>
      <c r="B1374" s="34">
        <v>46273</v>
      </c>
      <c r="C1374" s="34">
        <v>46273</v>
      </c>
      <c r="D1374" t="s">
        <v>35</v>
      </c>
      <c r="E1374" t="s">
        <v>36</v>
      </c>
      <c r="F1374" t="s">
        <v>37</v>
      </c>
      <c r="G1374">
        <v>7048</v>
      </c>
      <c r="H1374" t="s">
        <v>4178</v>
      </c>
      <c r="I1374" t="s">
        <v>4179</v>
      </c>
      <c r="J1374" t="s">
        <v>161</v>
      </c>
      <c r="O1374" t="s">
        <v>4180</v>
      </c>
      <c r="P1374">
        <v>2354.6999999999998</v>
      </c>
      <c r="Q1374">
        <v>2369.9</v>
      </c>
      <c r="R1374">
        <v>2290</v>
      </c>
      <c r="S1374">
        <v>2318.3000000000002</v>
      </c>
      <c r="T1374">
        <v>2344.9</v>
      </c>
      <c r="U1374">
        <v>2362.6999999999998</v>
      </c>
      <c r="W1374">
        <v>2318.0300000000002</v>
      </c>
      <c r="Z1374">
        <v>5572</v>
      </c>
      <c r="AA1374">
        <v>12988275.6</v>
      </c>
      <c r="AB1374">
        <v>1044</v>
      </c>
      <c r="AC1374" t="s">
        <v>42</v>
      </c>
      <c r="AD1374">
        <v>1</v>
      </c>
    </row>
    <row r="1375" spans="1:30">
      <c r="A1375" t="str">
        <f>CONCATENATE(I1375,J1375)</f>
        <v>HEXATRADEXEQ</v>
      </c>
      <c r="B1375" s="34">
        <v>46273</v>
      </c>
      <c r="C1375" s="34">
        <v>46273</v>
      </c>
      <c r="D1375" t="s">
        <v>35</v>
      </c>
      <c r="E1375" t="s">
        <v>36</v>
      </c>
      <c r="F1375" t="s">
        <v>37</v>
      </c>
      <c r="G1375">
        <v>27008</v>
      </c>
      <c r="H1375" t="s">
        <v>4181</v>
      </c>
      <c r="I1375" t="s">
        <v>4182</v>
      </c>
      <c r="J1375" t="s">
        <v>161</v>
      </c>
      <c r="O1375" t="s">
        <v>4183</v>
      </c>
      <c r="P1375">
        <v>159.97999999999999</v>
      </c>
      <c r="Q1375">
        <v>165.9</v>
      </c>
      <c r="R1375">
        <v>157.11000000000001</v>
      </c>
      <c r="S1375">
        <v>157.34</v>
      </c>
      <c r="T1375">
        <v>157.30000000000001</v>
      </c>
      <c r="U1375">
        <v>158.58000000000001</v>
      </c>
      <c r="W1375">
        <v>157.72</v>
      </c>
      <c r="Z1375">
        <v>1576</v>
      </c>
      <c r="AA1375">
        <v>251488.55</v>
      </c>
      <c r="AB1375">
        <v>51</v>
      </c>
      <c r="AC1375" t="s">
        <v>42</v>
      </c>
      <c r="AD1375">
        <v>1</v>
      </c>
    </row>
    <row r="1376" spans="1:30">
      <c r="A1376" t="str">
        <f>CONCATENATE(I1376,J1376)</f>
        <v>HEXAGONBE</v>
      </c>
      <c r="B1376" s="34">
        <v>46273</v>
      </c>
      <c r="C1376" s="34">
        <v>46273</v>
      </c>
      <c r="D1376" t="s">
        <v>35</v>
      </c>
      <c r="E1376" t="s">
        <v>36</v>
      </c>
      <c r="F1376" t="s">
        <v>37</v>
      </c>
      <c r="G1376">
        <v>750116</v>
      </c>
      <c r="H1376" t="s">
        <v>4184</v>
      </c>
      <c r="I1376" t="s">
        <v>4185</v>
      </c>
      <c r="J1376" t="s">
        <v>183</v>
      </c>
      <c r="O1376" t="s">
        <v>4186</v>
      </c>
      <c r="P1376">
        <v>65.5</v>
      </c>
      <c r="Q1376">
        <v>66.75</v>
      </c>
      <c r="R1376">
        <v>63.5</v>
      </c>
      <c r="S1376">
        <v>64.209999999999994</v>
      </c>
      <c r="T1376">
        <v>64.25</v>
      </c>
      <c r="U1376">
        <v>65.72</v>
      </c>
      <c r="W1376">
        <v>64.209999999999994</v>
      </c>
      <c r="Z1376">
        <v>969542</v>
      </c>
      <c r="AA1376">
        <v>62513868.670000002</v>
      </c>
      <c r="AB1376">
        <v>965</v>
      </c>
      <c r="AC1376" t="s">
        <v>42</v>
      </c>
      <c r="AD1376">
        <v>1</v>
      </c>
    </row>
    <row r="1377" spans="1:30">
      <c r="A1377" t="str">
        <f>CONCATENATE(I1377,J1377)</f>
        <v>HEXTEQ</v>
      </c>
      <c r="B1377" s="34">
        <v>46273</v>
      </c>
      <c r="C1377" s="34">
        <v>46273</v>
      </c>
      <c r="D1377" t="s">
        <v>35</v>
      </c>
      <c r="E1377" t="s">
        <v>36</v>
      </c>
      <c r="F1377" t="s">
        <v>37</v>
      </c>
      <c r="G1377">
        <v>29666</v>
      </c>
      <c r="H1377" t="s">
        <v>4187</v>
      </c>
      <c r="I1377" t="s">
        <v>4188</v>
      </c>
      <c r="J1377" t="s">
        <v>161</v>
      </c>
      <c r="O1377" t="s">
        <v>4189</v>
      </c>
      <c r="P1377">
        <v>523.79999999999995</v>
      </c>
      <c r="Q1377">
        <v>524.45000000000005</v>
      </c>
      <c r="R1377">
        <v>508.75</v>
      </c>
      <c r="S1377">
        <v>518.85</v>
      </c>
      <c r="T1377">
        <v>519.79999999999995</v>
      </c>
      <c r="U1377">
        <v>522.85</v>
      </c>
      <c r="W1377">
        <v>518.85</v>
      </c>
      <c r="Z1377">
        <v>253225</v>
      </c>
      <c r="AA1377">
        <v>130312681</v>
      </c>
      <c r="AB1377">
        <v>13393</v>
      </c>
      <c r="AC1377" t="s">
        <v>42</v>
      </c>
      <c r="AD1377">
        <v>1</v>
      </c>
    </row>
    <row r="1378" spans="1:30">
      <c r="A1378" t="str">
        <f>CONCATENATE(I1378,J1378)</f>
        <v>HFCLBE</v>
      </c>
      <c r="B1378" s="34">
        <v>46273</v>
      </c>
      <c r="C1378" s="34">
        <v>46273</v>
      </c>
      <c r="D1378" t="s">
        <v>35</v>
      </c>
      <c r="E1378" t="s">
        <v>36</v>
      </c>
      <c r="F1378" t="s">
        <v>37</v>
      </c>
      <c r="G1378">
        <v>21954</v>
      </c>
      <c r="H1378" t="s">
        <v>4190</v>
      </c>
      <c r="I1378" t="s">
        <v>4191</v>
      </c>
      <c r="J1378" t="s">
        <v>183</v>
      </c>
      <c r="O1378" t="s">
        <v>4192</v>
      </c>
      <c r="P1378">
        <v>255.16</v>
      </c>
      <c r="Q1378">
        <v>255.16</v>
      </c>
      <c r="R1378">
        <v>245.51</v>
      </c>
      <c r="S1378">
        <v>250.76</v>
      </c>
      <c r="T1378">
        <v>251.5</v>
      </c>
      <c r="U1378">
        <v>243.01</v>
      </c>
      <c r="W1378">
        <v>250.72</v>
      </c>
      <c r="Z1378">
        <v>15866254</v>
      </c>
      <c r="AA1378">
        <v>4005760444.8800001</v>
      </c>
      <c r="AB1378">
        <v>64576</v>
      </c>
      <c r="AC1378" t="s">
        <v>42</v>
      </c>
      <c r="AD1378">
        <v>1</v>
      </c>
    </row>
    <row r="1379" spans="1:30">
      <c r="A1379" t="str">
        <f>CONCATENATE(I1379,J1379)</f>
        <v>HIGREENSM</v>
      </c>
      <c r="B1379" s="34">
        <v>46273</v>
      </c>
      <c r="C1379" s="34">
        <v>46273</v>
      </c>
      <c r="D1379" t="s">
        <v>35</v>
      </c>
      <c r="E1379" t="s">
        <v>36</v>
      </c>
      <c r="F1379" t="s">
        <v>37</v>
      </c>
      <c r="G1379">
        <v>18794</v>
      </c>
      <c r="H1379" t="s">
        <v>4193</v>
      </c>
      <c r="I1379" t="s">
        <v>4194</v>
      </c>
      <c r="J1379" t="s">
        <v>267</v>
      </c>
      <c r="O1379" t="s">
        <v>4195</v>
      </c>
      <c r="P1379">
        <v>124</v>
      </c>
      <c r="Q1379">
        <v>124</v>
      </c>
      <c r="R1379">
        <v>121</v>
      </c>
      <c r="S1379">
        <v>121.1</v>
      </c>
      <c r="T1379">
        <v>121</v>
      </c>
      <c r="U1379">
        <v>123.9</v>
      </c>
      <c r="W1379">
        <v>121.1</v>
      </c>
      <c r="Z1379">
        <v>8000</v>
      </c>
      <c r="AA1379">
        <v>976520</v>
      </c>
      <c r="AB1379">
        <v>10</v>
      </c>
      <c r="AC1379" t="s">
        <v>42</v>
      </c>
      <c r="AD1379">
        <v>800</v>
      </c>
    </row>
    <row r="1380" spans="1:30">
      <c r="A1380" t="str">
        <f>CONCATENATE(I1380,J1380)</f>
        <v>HITECHEQ</v>
      </c>
      <c r="B1380" s="34">
        <v>46273</v>
      </c>
      <c r="C1380" s="34">
        <v>46273</v>
      </c>
      <c r="D1380" t="s">
        <v>35</v>
      </c>
      <c r="E1380" t="s">
        <v>36</v>
      </c>
      <c r="F1380" t="s">
        <v>37</v>
      </c>
      <c r="G1380">
        <v>2868</v>
      </c>
      <c r="H1380" t="s">
        <v>4196</v>
      </c>
      <c r="I1380" t="s">
        <v>4197</v>
      </c>
      <c r="J1380" t="s">
        <v>161</v>
      </c>
      <c r="O1380" t="s">
        <v>4198</v>
      </c>
      <c r="P1380">
        <v>75.86</v>
      </c>
      <c r="Q1380">
        <v>75.900000000000006</v>
      </c>
      <c r="R1380">
        <v>74.5</v>
      </c>
      <c r="S1380">
        <v>75.400000000000006</v>
      </c>
      <c r="T1380">
        <v>75.48</v>
      </c>
      <c r="U1380">
        <v>75.959999999999994</v>
      </c>
      <c r="W1380">
        <v>75.39</v>
      </c>
      <c r="Z1380">
        <v>377605</v>
      </c>
      <c r="AA1380">
        <v>28374124.359999999</v>
      </c>
      <c r="AB1380">
        <v>3716</v>
      </c>
      <c r="AC1380" t="s">
        <v>42</v>
      </c>
      <c r="AD1380">
        <v>1</v>
      </c>
    </row>
    <row r="1381" spans="1:30">
      <c r="A1381" t="str">
        <f>CONCATENATE(I1381,J1381)</f>
        <v>HILINFRAEQ</v>
      </c>
      <c r="B1381" s="34">
        <v>46273</v>
      </c>
      <c r="C1381" s="34">
        <v>46273</v>
      </c>
      <c r="D1381" t="s">
        <v>35</v>
      </c>
      <c r="E1381" t="s">
        <v>36</v>
      </c>
      <c r="F1381" t="s">
        <v>37</v>
      </c>
      <c r="G1381">
        <v>759103</v>
      </c>
      <c r="H1381" t="s">
        <v>4199</v>
      </c>
      <c r="I1381" t="s">
        <v>4200</v>
      </c>
      <c r="J1381" t="s">
        <v>161</v>
      </c>
      <c r="O1381" t="s">
        <v>4201</v>
      </c>
      <c r="P1381">
        <v>44.22</v>
      </c>
      <c r="Q1381">
        <v>44.22</v>
      </c>
      <c r="R1381">
        <v>43.5</v>
      </c>
      <c r="S1381">
        <v>43.7</v>
      </c>
      <c r="T1381">
        <v>43.6</v>
      </c>
      <c r="U1381">
        <v>43.72</v>
      </c>
      <c r="W1381">
        <v>43.7</v>
      </c>
      <c r="Z1381">
        <v>30137</v>
      </c>
      <c r="AA1381">
        <v>1315845.23</v>
      </c>
      <c r="AB1381">
        <v>560</v>
      </c>
      <c r="AC1381" t="s">
        <v>42</v>
      </c>
      <c r="AD1381">
        <v>1</v>
      </c>
    </row>
    <row r="1382" spans="1:30">
      <c r="A1382" t="str">
        <f>CONCATENATE(I1382,J1382)</f>
        <v>HIKALEQ</v>
      </c>
      <c r="B1382" s="34">
        <v>46273</v>
      </c>
      <c r="C1382" s="34">
        <v>46273</v>
      </c>
      <c r="D1382" t="s">
        <v>35</v>
      </c>
      <c r="E1382" t="s">
        <v>36</v>
      </c>
      <c r="F1382" t="s">
        <v>37</v>
      </c>
      <c r="G1382">
        <v>9668</v>
      </c>
      <c r="H1382" t="s">
        <v>4202</v>
      </c>
      <c r="I1382" t="s">
        <v>4203</v>
      </c>
      <c r="J1382" t="s">
        <v>161</v>
      </c>
      <c r="O1382" t="s">
        <v>4204</v>
      </c>
      <c r="P1382">
        <v>246.2</v>
      </c>
      <c r="Q1382">
        <v>253.8</v>
      </c>
      <c r="R1382">
        <v>238.19</v>
      </c>
      <c r="S1382">
        <v>246.01</v>
      </c>
      <c r="T1382">
        <v>247</v>
      </c>
      <c r="U1382">
        <v>243</v>
      </c>
      <c r="W1382">
        <v>246.02</v>
      </c>
      <c r="Z1382">
        <v>6560890</v>
      </c>
      <c r="AA1382">
        <v>1618351754.45</v>
      </c>
      <c r="AB1382">
        <v>69830</v>
      </c>
      <c r="AC1382" t="s">
        <v>42</v>
      </c>
      <c r="AD1382">
        <v>1</v>
      </c>
    </row>
    <row r="1383" spans="1:30">
      <c r="A1383" t="str">
        <f>CONCATENATE(I1383,J1383)</f>
        <v>HILTONEQ</v>
      </c>
      <c r="B1383" s="34">
        <v>46273</v>
      </c>
      <c r="C1383" s="34">
        <v>46273</v>
      </c>
      <c r="D1383" t="s">
        <v>35</v>
      </c>
      <c r="E1383" t="s">
        <v>36</v>
      </c>
      <c r="F1383" t="s">
        <v>37</v>
      </c>
      <c r="G1383">
        <v>14627</v>
      </c>
      <c r="H1383" t="s">
        <v>4205</v>
      </c>
      <c r="I1383" t="s">
        <v>4206</v>
      </c>
      <c r="J1383" t="s">
        <v>161</v>
      </c>
      <c r="O1383" t="s">
        <v>4207</v>
      </c>
      <c r="P1383">
        <v>18.66</v>
      </c>
      <c r="Q1383">
        <v>18.989999999999998</v>
      </c>
      <c r="R1383">
        <v>18.5</v>
      </c>
      <c r="S1383">
        <v>18.649999999999999</v>
      </c>
      <c r="T1383">
        <v>18.66</v>
      </c>
      <c r="U1383">
        <v>18.64</v>
      </c>
      <c r="W1383">
        <v>18.63</v>
      </c>
      <c r="Z1383">
        <v>31756</v>
      </c>
      <c r="AA1383">
        <v>594058.13</v>
      </c>
      <c r="AB1383">
        <v>182</v>
      </c>
      <c r="AC1383" t="s">
        <v>42</v>
      </c>
      <c r="AD1383">
        <v>1</v>
      </c>
    </row>
    <row r="1384" spans="1:30">
      <c r="A1384" t="str">
        <f>CONCATENATE(I1384,J1384)</f>
        <v>HSCLEQ</v>
      </c>
      <c r="B1384" s="34">
        <v>46273</v>
      </c>
      <c r="C1384" s="34">
        <v>46273</v>
      </c>
      <c r="D1384" t="s">
        <v>35</v>
      </c>
      <c r="E1384" t="s">
        <v>36</v>
      </c>
      <c r="F1384" t="s">
        <v>37</v>
      </c>
      <c r="G1384">
        <v>14334</v>
      </c>
      <c r="H1384" t="s">
        <v>4208</v>
      </c>
      <c r="I1384" t="s">
        <v>4209</v>
      </c>
      <c r="J1384" t="s">
        <v>161</v>
      </c>
      <c r="O1384" t="s">
        <v>4210</v>
      </c>
      <c r="P1384">
        <v>676.3</v>
      </c>
      <c r="Q1384">
        <v>680.5</v>
      </c>
      <c r="R1384">
        <v>667.15</v>
      </c>
      <c r="S1384">
        <v>670.65</v>
      </c>
      <c r="T1384">
        <v>671.9</v>
      </c>
      <c r="U1384">
        <v>672.65</v>
      </c>
      <c r="W1384">
        <v>670.65</v>
      </c>
      <c r="Z1384">
        <v>1689241</v>
      </c>
      <c r="AA1384">
        <v>1137141647.75</v>
      </c>
      <c r="AB1384">
        <v>28425</v>
      </c>
      <c r="AC1384" t="s">
        <v>42</v>
      </c>
      <c r="AD1384">
        <v>1</v>
      </c>
    </row>
    <row r="1385" spans="1:30">
      <c r="A1385" t="str">
        <f>CONCATENATE(I1385,J1385)</f>
        <v>HIMATSEIDEEQ</v>
      </c>
      <c r="B1385" s="34">
        <v>46273</v>
      </c>
      <c r="C1385" s="34">
        <v>46273</v>
      </c>
      <c r="D1385" t="s">
        <v>35</v>
      </c>
      <c r="E1385" t="s">
        <v>36</v>
      </c>
      <c r="F1385" t="s">
        <v>37</v>
      </c>
      <c r="G1385">
        <v>1360</v>
      </c>
      <c r="H1385" t="s">
        <v>4211</v>
      </c>
      <c r="I1385" t="s">
        <v>4212</v>
      </c>
      <c r="J1385" t="s">
        <v>161</v>
      </c>
      <c r="O1385" t="s">
        <v>4213</v>
      </c>
      <c r="P1385">
        <v>70.150000000000006</v>
      </c>
      <c r="Q1385">
        <v>70.239999999999995</v>
      </c>
      <c r="R1385">
        <v>68.8</v>
      </c>
      <c r="S1385">
        <v>69.459999999999994</v>
      </c>
      <c r="T1385">
        <v>69.56</v>
      </c>
      <c r="U1385">
        <v>70.150000000000006</v>
      </c>
      <c r="W1385">
        <v>69.45</v>
      </c>
      <c r="Z1385">
        <v>362515</v>
      </c>
      <c r="AA1385">
        <v>25081428.120000001</v>
      </c>
      <c r="AB1385">
        <v>2814</v>
      </c>
      <c r="AC1385" t="s">
        <v>42</v>
      </c>
      <c r="AD1385">
        <v>1</v>
      </c>
    </row>
    <row r="1386" spans="1:30">
      <c r="A1386" t="str">
        <f>CONCATENATE(I1386,J1386)</f>
        <v>HINDALUMIEQ</v>
      </c>
      <c r="B1386" s="34">
        <v>46273</v>
      </c>
      <c r="C1386" s="34">
        <v>46273</v>
      </c>
      <c r="D1386" t="s">
        <v>35</v>
      </c>
      <c r="E1386" t="s">
        <v>36</v>
      </c>
      <c r="F1386" t="s">
        <v>37</v>
      </c>
      <c r="G1386">
        <v>765085</v>
      </c>
      <c r="H1386" t="s">
        <v>4214</v>
      </c>
      <c r="I1386" t="s">
        <v>4215</v>
      </c>
      <c r="J1386" t="s">
        <v>161</v>
      </c>
      <c r="O1386" t="s">
        <v>4216</v>
      </c>
      <c r="P1386">
        <v>100.5</v>
      </c>
      <c r="Q1386">
        <v>100.5</v>
      </c>
      <c r="R1386">
        <v>94.5</v>
      </c>
      <c r="S1386">
        <v>97.9</v>
      </c>
      <c r="T1386">
        <v>97.9</v>
      </c>
      <c r="U1386">
        <v>96.25</v>
      </c>
      <c r="W1386">
        <v>97.34</v>
      </c>
      <c r="Z1386">
        <v>4275</v>
      </c>
      <c r="AA1386">
        <v>415859.12</v>
      </c>
      <c r="AB1386">
        <v>135</v>
      </c>
      <c r="AC1386" t="s">
        <v>42</v>
      </c>
      <c r="AD1386">
        <v>1</v>
      </c>
    </row>
    <row r="1387" spans="1:30">
      <c r="A1387" t="str">
        <f>CONCATENATE(I1387,J1387)</f>
        <v>HINDALCOEQ</v>
      </c>
      <c r="B1387" s="34">
        <v>46273</v>
      </c>
      <c r="C1387" s="34">
        <v>46273</v>
      </c>
      <c r="D1387" t="s">
        <v>35</v>
      </c>
      <c r="E1387" t="s">
        <v>36</v>
      </c>
      <c r="F1387" t="s">
        <v>37</v>
      </c>
      <c r="G1387">
        <v>1363</v>
      </c>
      <c r="H1387" t="s">
        <v>4217</v>
      </c>
      <c r="I1387" t="s">
        <v>4218</v>
      </c>
      <c r="J1387" t="s">
        <v>161</v>
      </c>
      <c r="O1387" t="s">
        <v>4219</v>
      </c>
      <c r="P1387">
        <v>1014</v>
      </c>
      <c r="Q1387">
        <v>1024.7</v>
      </c>
      <c r="R1387">
        <v>1007.5</v>
      </c>
      <c r="S1387">
        <v>1009</v>
      </c>
      <c r="T1387">
        <v>1009</v>
      </c>
      <c r="U1387">
        <v>1006</v>
      </c>
      <c r="W1387">
        <v>1009</v>
      </c>
      <c r="Z1387">
        <v>3094146</v>
      </c>
      <c r="AA1387">
        <v>3139087993.3000002</v>
      </c>
      <c r="AB1387">
        <v>54664</v>
      </c>
      <c r="AC1387" t="s">
        <v>42</v>
      </c>
      <c r="AD1387">
        <v>1</v>
      </c>
    </row>
    <row r="1388" spans="1:30">
      <c r="A1388" t="str">
        <f>CONCATENATE(I1388,J1388)</f>
        <v>HINDCONEQ</v>
      </c>
      <c r="B1388" s="34">
        <v>46273</v>
      </c>
      <c r="C1388" s="34">
        <v>46273</v>
      </c>
      <c r="D1388" t="s">
        <v>35</v>
      </c>
      <c r="E1388" t="s">
        <v>36</v>
      </c>
      <c r="F1388" t="s">
        <v>37</v>
      </c>
      <c r="G1388">
        <v>4920</v>
      </c>
      <c r="H1388" t="s">
        <v>4220</v>
      </c>
      <c r="I1388" t="s">
        <v>4221</v>
      </c>
      <c r="J1388" t="s">
        <v>161</v>
      </c>
      <c r="O1388" t="s">
        <v>4222</v>
      </c>
      <c r="P1388">
        <v>24.83</v>
      </c>
      <c r="Q1388">
        <v>24.83</v>
      </c>
      <c r="R1388">
        <v>24.25</v>
      </c>
      <c r="S1388">
        <v>24.39</v>
      </c>
      <c r="T1388">
        <v>24.47</v>
      </c>
      <c r="U1388">
        <v>24.25</v>
      </c>
      <c r="W1388">
        <v>24.39</v>
      </c>
      <c r="Z1388">
        <v>18698</v>
      </c>
      <c r="AA1388">
        <v>457175.57</v>
      </c>
      <c r="AB1388">
        <v>162</v>
      </c>
      <c r="AC1388" t="s">
        <v>42</v>
      </c>
      <c r="AD1388">
        <v>1</v>
      </c>
    </row>
    <row r="1389" spans="1:30">
      <c r="A1389" t="str">
        <f>CONCATENATE(I1389,J1389)</f>
        <v>HPILEQ</v>
      </c>
      <c r="B1389" s="34">
        <v>46273</v>
      </c>
      <c r="C1389" s="34">
        <v>46273</v>
      </c>
      <c r="D1389" t="s">
        <v>35</v>
      </c>
      <c r="E1389" t="s">
        <v>36</v>
      </c>
      <c r="F1389" t="s">
        <v>37</v>
      </c>
      <c r="G1389">
        <v>11796</v>
      </c>
      <c r="H1389" t="s">
        <v>4223</v>
      </c>
      <c r="I1389" t="s">
        <v>4224</v>
      </c>
      <c r="J1389" t="s">
        <v>161</v>
      </c>
      <c r="O1389" t="s">
        <v>4225</v>
      </c>
      <c r="P1389">
        <v>121.87</v>
      </c>
      <c r="Q1389">
        <v>127.9</v>
      </c>
      <c r="R1389">
        <v>121.87</v>
      </c>
      <c r="S1389">
        <v>122</v>
      </c>
      <c r="T1389">
        <v>122</v>
      </c>
      <c r="U1389">
        <v>121.87</v>
      </c>
      <c r="W1389">
        <v>122</v>
      </c>
      <c r="Z1389">
        <v>198</v>
      </c>
      <c r="AA1389">
        <v>24617.38</v>
      </c>
      <c r="AB1389">
        <v>30</v>
      </c>
      <c r="AC1389" t="s">
        <v>42</v>
      </c>
      <c r="AD1389">
        <v>1</v>
      </c>
    </row>
    <row r="1390" spans="1:30">
      <c r="A1390" t="str">
        <f>CONCATENATE(I1390,J1390)</f>
        <v>HGSEQ</v>
      </c>
      <c r="B1390" s="34">
        <v>46273</v>
      </c>
      <c r="C1390" s="34">
        <v>46273</v>
      </c>
      <c r="D1390" t="s">
        <v>35</v>
      </c>
      <c r="E1390" t="s">
        <v>36</v>
      </c>
      <c r="F1390" t="s">
        <v>37</v>
      </c>
      <c r="G1390">
        <v>14712</v>
      </c>
      <c r="H1390" t="s">
        <v>4226</v>
      </c>
      <c r="I1390" t="s">
        <v>4227</v>
      </c>
      <c r="J1390" t="s">
        <v>161</v>
      </c>
      <c r="O1390" t="s">
        <v>4228</v>
      </c>
      <c r="P1390">
        <v>395.1</v>
      </c>
      <c r="Q1390">
        <v>398.4</v>
      </c>
      <c r="R1390">
        <v>382.8</v>
      </c>
      <c r="S1390">
        <v>387.95</v>
      </c>
      <c r="T1390">
        <v>387</v>
      </c>
      <c r="U1390">
        <v>395.55</v>
      </c>
      <c r="W1390">
        <v>387.94</v>
      </c>
      <c r="Z1390">
        <v>23781</v>
      </c>
      <c r="AA1390">
        <v>9274267.5</v>
      </c>
      <c r="AB1390">
        <v>1238</v>
      </c>
      <c r="AC1390" t="s">
        <v>42</v>
      </c>
      <c r="AD1390">
        <v>1</v>
      </c>
    </row>
    <row r="1391" spans="1:30">
      <c r="A1391" t="str">
        <f>CONCATENATE(I1391,J1391)</f>
        <v>HINDADHEQ</v>
      </c>
      <c r="B1391" s="34">
        <v>46273</v>
      </c>
      <c r="C1391" s="34">
        <v>46273</v>
      </c>
      <c r="D1391" t="s">
        <v>35</v>
      </c>
      <c r="E1391" t="s">
        <v>36</v>
      </c>
      <c r="F1391" t="s">
        <v>37</v>
      </c>
      <c r="G1391">
        <v>764698</v>
      </c>
      <c r="H1391" t="s">
        <v>4229</v>
      </c>
      <c r="I1391" t="s">
        <v>4230</v>
      </c>
      <c r="J1391" t="s">
        <v>161</v>
      </c>
      <c r="O1391" t="s">
        <v>4231</v>
      </c>
      <c r="P1391">
        <v>357.75</v>
      </c>
      <c r="Q1391">
        <v>372.65</v>
      </c>
      <c r="R1391">
        <v>357.75</v>
      </c>
      <c r="S1391">
        <v>363.7</v>
      </c>
      <c r="T1391">
        <v>367.95</v>
      </c>
      <c r="U1391">
        <v>361.25</v>
      </c>
      <c r="W1391">
        <v>363.7</v>
      </c>
      <c r="Z1391">
        <v>744</v>
      </c>
      <c r="AA1391">
        <v>270638.90000000002</v>
      </c>
      <c r="AB1391">
        <v>110</v>
      </c>
      <c r="AC1391" t="s">
        <v>42</v>
      </c>
      <c r="AD1391">
        <v>1</v>
      </c>
    </row>
    <row r="1392" spans="1:30">
      <c r="A1392" t="str">
        <f>CONCATENATE(I1392,J1392)</f>
        <v>HALEQ</v>
      </c>
      <c r="B1392" s="34">
        <v>46273</v>
      </c>
      <c r="C1392" s="34">
        <v>46273</v>
      </c>
      <c r="D1392" t="s">
        <v>35</v>
      </c>
      <c r="E1392" t="s">
        <v>36</v>
      </c>
      <c r="F1392" t="s">
        <v>37</v>
      </c>
      <c r="G1392">
        <v>2303</v>
      </c>
      <c r="H1392" t="s">
        <v>4232</v>
      </c>
      <c r="I1392" t="s">
        <v>4233</v>
      </c>
      <c r="J1392" t="s">
        <v>161</v>
      </c>
      <c r="O1392" t="s">
        <v>4234</v>
      </c>
      <c r="P1392">
        <v>4904.1000000000004</v>
      </c>
      <c r="Q1392">
        <v>5072</v>
      </c>
      <c r="R1392">
        <v>4903.7</v>
      </c>
      <c r="S1392">
        <v>5031.1000000000004</v>
      </c>
      <c r="T1392">
        <v>5031.1000000000004</v>
      </c>
      <c r="U1392">
        <v>4855.2</v>
      </c>
      <c r="W1392">
        <v>5031.07</v>
      </c>
      <c r="Z1392">
        <v>2553021</v>
      </c>
      <c r="AA1392">
        <v>12825178050.4</v>
      </c>
      <c r="AB1392">
        <v>151412</v>
      </c>
      <c r="AC1392" t="s">
        <v>42</v>
      </c>
      <c r="AD1392">
        <v>1</v>
      </c>
    </row>
    <row r="1393" spans="1:30">
      <c r="A1393" t="str">
        <f>CONCATENATE(I1393,J1393)</f>
        <v>HINDCOMPOSEQ</v>
      </c>
      <c r="B1393" s="34">
        <v>46273</v>
      </c>
      <c r="C1393" s="34">
        <v>46273</v>
      </c>
      <c r="D1393" t="s">
        <v>35</v>
      </c>
      <c r="E1393" t="s">
        <v>36</v>
      </c>
      <c r="F1393" t="s">
        <v>37</v>
      </c>
      <c r="G1393">
        <v>1372</v>
      </c>
      <c r="H1393" t="s">
        <v>4235</v>
      </c>
      <c r="I1393" t="s">
        <v>4236</v>
      </c>
      <c r="J1393" t="s">
        <v>161</v>
      </c>
      <c r="O1393" t="s">
        <v>4237</v>
      </c>
      <c r="P1393">
        <v>398.5</v>
      </c>
      <c r="Q1393">
        <v>400</v>
      </c>
      <c r="R1393">
        <v>382.75</v>
      </c>
      <c r="S1393">
        <v>395.35</v>
      </c>
      <c r="T1393">
        <v>394</v>
      </c>
      <c r="U1393">
        <v>398.75</v>
      </c>
      <c r="W1393">
        <v>395.28</v>
      </c>
      <c r="Z1393">
        <v>9174</v>
      </c>
      <c r="AA1393">
        <v>3579724.8</v>
      </c>
      <c r="AB1393">
        <v>513</v>
      </c>
      <c r="AC1393" t="s">
        <v>42</v>
      </c>
      <c r="AD1393">
        <v>1</v>
      </c>
    </row>
    <row r="1394" spans="1:30">
      <c r="A1394" t="str">
        <f>CONCATENATE(I1394,J1394)</f>
        <v>HCCEQ</v>
      </c>
      <c r="B1394" s="34">
        <v>46273</v>
      </c>
      <c r="C1394" s="34">
        <v>46273</v>
      </c>
      <c r="D1394" t="s">
        <v>35</v>
      </c>
      <c r="E1394" t="s">
        <v>36</v>
      </c>
      <c r="F1394" t="s">
        <v>37</v>
      </c>
      <c r="G1394">
        <v>1375</v>
      </c>
      <c r="H1394" t="s">
        <v>4238</v>
      </c>
      <c r="I1394" t="s">
        <v>4239</v>
      </c>
      <c r="J1394" t="s">
        <v>161</v>
      </c>
      <c r="O1394" t="s">
        <v>4240</v>
      </c>
      <c r="P1394">
        <v>23.52</v>
      </c>
      <c r="Q1394">
        <v>24.1</v>
      </c>
      <c r="R1394">
        <v>23.06</v>
      </c>
      <c r="S1394">
        <v>23.86</v>
      </c>
      <c r="T1394">
        <v>23.85</v>
      </c>
      <c r="U1394">
        <v>23.54</v>
      </c>
      <c r="W1394">
        <v>23.86</v>
      </c>
      <c r="Z1394">
        <v>35951505</v>
      </c>
      <c r="AA1394">
        <v>852127988.00999999</v>
      </c>
      <c r="AB1394">
        <v>33238</v>
      </c>
      <c r="AC1394" t="s">
        <v>42</v>
      </c>
      <c r="AD1394">
        <v>1</v>
      </c>
    </row>
    <row r="1395" spans="1:30">
      <c r="A1395" t="str">
        <f>CONCATENATE(I1395,J1395)</f>
        <v>HINDCOPPEREQ</v>
      </c>
      <c r="B1395" s="34">
        <v>46273</v>
      </c>
      <c r="C1395" s="34">
        <v>46273</v>
      </c>
      <c r="D1395" t="s">
        <v>35</v>
      </c>
      <c r="E1395" t="s">
        <v>36</v>
      </c>
      <c r="F1395" t="s">
        <v>37</v>
      </c>
      <c r="G1395">
        <v>17939</v>
      </c>
      <c r="H1395" t="s">
        <v>4241</v>
      </c>
      <c r="I1395" t="s">
        <v>4242</v>
      </c>
      <c r="J1395" t="s">
        <v>161</v>
      </c>
      <c r="O1395" t="s">
        <v>4243</v>
      </c>
      <c r="P1395">
        <v>520</v>
      </c>
      <c r="Q1395">
        <v>537</v>
      </c>
      <c r="R1395">
        <v>520</v>
      </c>
      <c r="S1395">
        <v>532.85</v>
      </c>
      <c r="T1395">
        <v>533</v>
      </c>
      <c r="U1395">
        <v>509.1</v>
      </c>
      <c r="W1395">
        <v>532.84</v>
      </c>
      <c r="Z1395">
        <v>24876043</v>
      </c>
      <c r="AA1395">
        <v>13196498951.65</v>
      </c>
      <c r="AB1395">
        <v>220967</v>
      </c>
      <c r="AC1395" t="s">
        <v>42</v>
      </c>
      <c r="AD1395">
        <v>1</v>
      </c>
    </row>
    <row r="1396" spans="1:30">
      <c r="A1396" t="str">
        <f>CONCATENATE(I1396,J1396)</f>
        <v>HNDFDSEQ</v>
      </c>
      <c r="B1396" s="34">
        <v>46273</v>
      </c>
      <c r="C1396" s="34">
        <v>46273</v>
      </c>
      <c r="D1396" t="s">
        <v>35</v>
      </c>
      <c r="E1396" t="s">
        <v>36</v>
      </c>
      <c r="F1396" t="s">
        <v>37</v>
      </c>
      <c r="G1396">
        <v>12173</v>
      </c>
      <c r="H1396" t="s">
        <v>4244</v>
      </c>
      <c r="I1396" t="s">
        <v>4245</v>
      </c>
      <c r="J1396" t="s">
        <v>161</v>
      </c>
      <c r="O1396" t="s">
        <v>4246</v>
      </c>
      <c r="P1396">
        <v>627.54999999999995</v>
      </c>
      <c r="Q1396">
        <v>637.6</v>
      </c>
      <c r="R1396">
        <v>620</v>
      </c>
      <c r="S1396">
        <v>623.5</v>
      </c>
      <c r="T1396">
        <v>620.20000000000005</v>
      </c>
      <c r="U1396">
        <v>628.9</v>
      </c>
      <c r="W1396">
        <v>623.58000000000004</v>
      </c>
      <c r="Z1396">
        <v>300961</v>
      </c>
      <c r="AA1396">
        <v>188333875.5</v>
      </c>
      <c r="AB1396">
        <v>5197</v>
      </c>
      <c r="AC1396" t="s">
        <v>42</v>
      </c>
      <c r="AD1396">
        <v>1</v>
      </c>
    </row>
    <row r="1397" spans="1:30">
      <c r="A1397" t="str">
        <f>CONCATENATE(I1397,J1397)</f>
        <v>HMVLBE</v>
      </c>
      <c r="B1397" s="34">
        <v>46273</v>
      </c>
      <c r="C1397" s="34">
        <v>46273</v>
      </c>
      <c r="D1397" t="s">
        <v>35</v>
      </c>
      <c r="E1397" t="s">
        <v>36</v>
      </c>
      <c r="F1397" t="s">
        <v>37</v>
      </c>
      <c r="G1397">
        <v>19215</v>
      </c>
      <c r="H1397" t="s">
        <v>4247</v>
      </c>
      <c r="I1397" t="s">
        <v>4248</v>
      </c>
      <c r="J1397" t="s">
        <v>183</v>
      </c>
      <c r="O1397" t="s">
        <v>4249</v>
      </c>
      <c r="P1397">
        <v>83.5</v>
      </c>
      <c r="Q1397">
        <v>83.5</v>
      </c>
      <c r="R1397">
        <v>80.7</v>
      </c>
      <c r="S1397">
        <v>81.98</v>
      </c>
      <c r="T1397">
        <v>82</v>
      </c>
      <c r="U1397">
        <v>83.45</v>
      </c>
      <c r="W1397">
        <v>81.98</v>
      </c>
      <c r="Z1397">
        <v>77539</v>
      </c>
      <c r="AA1397">
        <v>6289845.5599999996</v>
      </c>
      <c r="AB1397">
        <v>148</v>
      </c>
      <c r="AC1397" t="s">
        <v>42</v>
      </c>
      <c r="AD1397">
        <v>1</v>
      </c>
    </row>
    <row r="1398" spans="1:30">
      <c r="A1398" t="str">
        <f>CONCATENATE(I1398,J1398)</f>
        <v>HINDOILEXPEQ</v>
      </c>
      <c r="B1398" s="34">
        <v>46273</v>
      </c>
      <c r="C1398" s="34">
        <v>46273</v>
      </c>
      <c r="D1398" t="s">
        <v>35</v>
      </c>
      <c r="E1398" t="s">
        <v>36</v>
      </c>
      <c r="F1398" t="s">
        <v>37</v>
      </c>
      <c r="G1398">
        <v>1403</v>
      </c>
      <c r="H1398" t="s">
        <v>4250</v>
      </c>
      <c r="I1398" t="s">
        <v>4251</v>
      </c>
      <c r="J1398" t="s">
        <v>161</v>
      </c>
      <c r="O1398" t="s">
        <v>4252</v>
      </c>
      <c r="P1398">
        <v>188.48</v>
      </c>
      <c r="Q1398">
        <v>194.99</v>
      </c>
      <c r="R1398">
        <v>187.01</v>
      </c>
      <c r="S1398">
        <v>193.66</v>
      </c>
      <c r="T1398">
        <v>193</v>
      </c>
      <c r="U1398">
        <v>188.85</v>
      </c>
      <c r="W1398">
        <v>193.65</v>
      </c>
      <c r="Z1398">
        <v>1852355</v>
      </c>
      <c r="AA1398">
        <v>356216984.89999998</v>
      </c>
      <c r="AB1398">
        <v>20895</v>
      </c>
      <c r="AC1398" t="s">
        <v>42</v>
      </c>
      <c r="AD1398">
        <v>1</v>
      </c>
    </row>
    <row r="1399" spans="1:30">
      <c r="A1399" t="str">
        <f>CONCATENATE(I1399,J1399)</f>
        <v>HINDPETROEQ</v>
      </c>
      <c r="B1399" s="34">
        <v>46273</v>
      </c>
      <c r="C1399" s="34">
        <v>46273</v>
      </c>
      <c r="D1399" t="s">
        <v>35</v>
      </c>
      <c r="E1399" t="s">
        <v>36</v>
      </c>
      <c r="F1399" t="s">
        <v>37</v>
      </c>
      <c r="G1399">
        <v>1406</v>
      </c>
      <c r="H1399" t="s">
        <v>4253</v>
      </c>
      <c r="I1399" t="s">
        <v>4254</v>
      </c>
      <c r="J1399" t="s">
        <v>161</v>
      </c>
      <c r="O1399" t="s">
        <v>4255</v>
      </c>
      <c r="P1399">
        <v>353.4</v>
      </c>
      <c r="Q1399">
        <v>355.95</v>
      </c>
      <c r="R1399">
        <v>346</v>
      </c>
      <c r="S1399">
        <v>347</v>
      </c>
      <c r="T1399">
        <v>347</v>
      </c>
      <c r="U1399">
        <v>356.9</v>
      </c>
      <c r="W1399">
        <v>347.02</v>
      </c>
      <c r="Z1399">
        <v>3433819</v>
      </c>
      <c r="AA1399">
        <v>1202042054.95</v>
      </c>
      <c r="AB1399">
        <v>38017</v>
      </c>
      <c r="AC1399" t="s">
        <v>42</v>
      </c>
      <c r="AD1399">
        <v>1</v>
      </c>
    </row>
    <row r="1400" spans="1:30">
      <c r="A1400" t="str">
        <f>CONCATENATE(I1400,J1400)</f>
        <v>HINDUNILVREQ</v>
      </c>
      <c r="B1400" s="34">
        <v>46273</v>
      </c>
      <c r="C1400" s="34">
        <v>46273</v>
      </c>
      <c r="D1400" t="s">
        <v>35</v>
      </c>
      <c r="E1400" t="s">
        <v>36</v>
      </c>
      <c r="F1400" t="s">
        <v>37</v>
      </c>
      <c r="G1400">
        <v>1394</v>
      </c>
      <c r="H1400" t="s">
        <v>4256</v>
      </c>
      <c r="I1400" t="s">
        <v>4257</v>
      </c>
      <c r="J1400" t="s">
        <v>161</v>
      </c>
      <c r="O1400" t="s">
        <v>4258</v>
      </c>
      <c r="P1400">
        <v>1967</v>
      </c>
      <c r="Q1400">
        <v>1990.8</v>
      </c>
      <c r="R1400">
        <v>1956.7</v>
      </c>
      <c r="S1400">
        <v>1980</v>
      </c>
      <c r="T1400">
        <v>1980</v>
      </c>
      <c r="U1400">
        <v>1960</v>
      </c>
      <c r="W1400">
        <v>1980.01</v>
      </c>
      <c r="Z1400">
        <v>1256067</v>
      </c>
      <c r="AA1400">
        <v>2489110135.6999998</v>
      </c>
      <c r="AB1400">
        <v>42991</v>
      </c>
      <c r="AC1400" t="s">
        <v>42</v>
      </c>
      <c r="AD1400">
        <v>1</v>
      </c>
    </row>
    <row r="1401" spans="1:30">
      <c r="A1401" t="str">
        <f>CONCATENATE(I1401,J1401)</f>
        <v>HINDZINCEQ</v>
      </c>
      <c r="B1401" s="34">
        <v>46273</v>
      </c>
      <c r="C1401" s="34">
        <v>46273</v>
      </c>
      <c r="D1401" t="s">
        <v>35</v>
      </c>
      <c r="E1401" t="s">
        <v>36</v>
      </c>
      <c r="F1401" t="s">
        <v>37</v>
      </c>
      <c r="G1401">
        <v>1424</v>
      </c>
      <c r="H1401" t="s">
        <v>4259</v>
      </c>
      <c r="I1401" t="s">
        <v>4260</v>
      </c>
      <c r="J1401" t="s">
        <v>161</v>
      </c>
      <c r="O1401" t="s">
        <v>4261</v>
      </c>
      <c r="P1401">
        <v>593.04999999999995</v>
      </c>
      <c r="Q1401">
        <v>606.70000000000005</v>
      </c>
      <c r="R1401">
        <v>593</v>
      </c>
      <c r="S1401">
        <v>595.5</v>
      </c>
      <c r="T1401">
        <v>595.5</v>
      </c>
      <c r="U1401">
        <v>589.15</v>
      </c>
      <c r="W1401">
        <v>595.49</v>
      </c>
      <c r="Z1401">
        <v>6893194</v>
      </c>
      <c r="AA1401">
        <v>4128710566.3499999</v>
      </c>
      <c r="AB1401">
        <v>71129</v>
      </c>
      <c r="AC1401" t="s">
        <v>42</v>
      </c>
      <c r="AD1401">
        <v>1</v>
      </c>
    </row>
    <row r="1402" spans="1:30">
      <c r="A1402" t="str">
        <f>CONCATENATE(I1402,J1402)</f>
        <v>HINDWAREAPEQ</v>
      </c>
      <c r="B1402" s="34">
        <v>46273</v>
      </c>
      <c r="C1402" s="34">
        <v>46273</v>
      </c>
      <c r="D1402" t="s">
        <v>35</v>
      </c>
      <c r="E1402" t="s">
        <v>36</v>
      </c>
      <c r="F1402" t="s">
        <v>37</v>
      </c>
      <c r="G1402">
        <v>15883</v>
      </c>
      <c r="H1402" t="s">
        <v>4262</v>
      </c>
      <c r="I1402" t="s">
        <v>4263</v>
      </c>
      <c r="J1402" t="s">
        <v>161</v>
      </c>
      <c r="O1402" t="s">
        <v>4264</v>
      </c>
      <c r="P1402">
        <v>182.54</v>
      </c>
      <c r="Q1402">
        <v>182.54</v>
      </c>
      <c r="R1402">
        <v>180</v>
      </c>
      <c r="S1402">
        <v>180.28</v>
      </c>
      <c r="T1402">
        <v>180.02</v>
      </c>
      <c r="U1402">
        <v>182.54</v>
      </c>
      <c r="W1402">
        <v>180.29</v>
      </c>
      <c r="Z1402">
        <v>45845</v>
      </c>
      <c r="AA1402">
        <v>8293020.6399999997</v>
      </c>
      <c r="AB1402">
        <v>1306</v>
      </c>
      <c r="AC1402" t="s">
        <v>42</v>
      </c>
      <c r="AD1402">
        <v>1</v>
      </c>
    </row>
    <row r="1403" spans="1:30">
      <c r="A1403" t="str">
        <f>CONCATENATE(I1403,J1403)</f>
        <v>HIRECTEQ</v>
      </c>
      <c r="B1403" s="34">
        <v>46273</v>
      </c>
      <c r="C1403" s="34">
        <v>46273</v>
      </c>
      <c r="D1403" t="s">
        <v>35</v>
      </c>
      <c r="E1403" t="s">
        <v>36</v>
      </c>
      <c r="F1403" t="s">
        <v>37</v>
      </c>
      <c r="G1403">
        <v>13890</v>
      </c>
      <c r="H1403" t="s">
        <v>4265</v>
      </c>
      <c r="I1403" t="s">
        <v>4266</v>
      </c>
      <c r="J1403" t="s">
        <v>161</v>
      </c>
      <c r="O1403" t="s">
        <v>4267</v>
      </c>
      <c r="P1403">
        <v>1214.2</v>
      </c>
      <c r="Q1403">
        <v>1305</v>
      </c>
      <c r="R1403">
        <v>1214.2</v>
      </c>
      <c r="S1403">
        <v>1281.4000000000001</v>
      </c>
      <c r="T1403">
        <v>1282</v>
      </c>
      <c r="U1403">
        <v>1211.9000000000001</v>
      </c>
      <c r="W1403">
        <v>1281.29</v>
      </c>
      <c r="Z1403">
        <v>252304</v>
      </c>
      <c r="AA1403">
        <v>323122071.19999999</v>
      </c>
      <c r="AB1403">
        <v>18120</v>
      </c>
      <c r="AC1403" t="s">
        <v>42</v>
      </c>
      <c r="AD1403">
        <v>1</v>
      </c>
    </row>
    <row r="1404" spans="1:30">
      <c r="A1404" t="str">
        <f>CONCATENATE(I1404,J1404)</f>
        <v>HISARMETALEQ</v>
      </c>
      <c r="B1404" s="34">
        <v>46273</v>
      </c>
      <c r="C1404" s="34">
        <v>46273</v>
      </c>
      <c r="D1404" t="s">
        <v>35</v>
      </c>
      <c r="E1404" t="s">
        <v>36</v>
      </c>
      <c r="F1404" t="s">
        <v>37</v>
      </c>
      <c r="G1404">
        <v>19322</v>
      </c>
      <c r="H1404" t="s">
        <v>4268</v>
      </c>
      <c r="I1404" t="s">
        <v>4269</v>
      </c>
      <c r="J1404" t="s">
        <v>161</v>
      </c>
      <c r="O1404" t="s">
        <v>4270</v>
      </c>
      <c r="P1404">
        <v>165.2</v>
      </c>
      <c r="Q1404">
        <v>165.26</v>
      </c>
      <c r="R1404">
        <v>160.24</v>
      </c>
      <c r="S1404">
        <v>160.26</v>
      </c>
      <c r="T1404">
        <v>160.24</v>
      </c>
      <c r="U1404">
        <v>162.02000000000001</v>
      </c>
      <c r="W1404">
        <v>160.26</v>
      </c>
      <c r="Z1404">
        <v>2922</v>
      </c>
      <c r="AA1404">
        <v>471899.43</v>
      </c>
      <c r="AB1404">
        <v>115</v>
      </c>
      <c r="AC1404" t="s">
        <v>42</v>
      </c>
      <c r="AD1404">
        <v>1</v>
      </c>
    </row>
    <row r="1405" spans="1:30">
      <c r="A1405" t="str">
        <f>CONCATENATE(I1405,J1405)</f>
        <v>POWERINDIAEQ</v>
      </c>
      <c r="B1405" s="34">
        <v>46273</v>
      </c>
      <c r="C1405" s="34">
        <v>46273</v>
      </c>
      <c r="D1405" t="s">
        <v>35</v>
      </c>
      <c r="E1405" t="s">
        <v>36</v>
      </c>
      <c r="F1405" t="s">
        <v>37</v>
      </c>
      <c r="G1405">
        <v>18457</v>
      </c>
      <c r="H1405" t="s">
        <v>4271</v>
      </c>
      <c r="I1405" t="s">
        <v>4272</v>
      </c>
      <c r="J1405" t="s">
        <v>161</v>
      </c>
      <c r="O1405" t="s">
        <v>4273</v>
      </c>
      <c r="P1405">
        <v>31500</v>
      </c>
      <c r="Q1405">
        <v>31570</v>
      </c>
      <c r="R1405">
        <v>30550</v>
      </c>
      <c r="S1405">
        <v>31135</v>
      </c>
      <c r="T1405">
        <v>31135</v>
      </c>
      <c r="U1405">
        <v>31775</v>
      </c>
      <c r="W1405">
        <v>31135.54</v>
      </c>
      <c r="Z1405">
        <v>278064</v>
      </c>
      <c r="AA1405">
        <v>8632374205</v>
      </c>
      <c r="AB1405">
        <v>67480</v>
      </c>
      <c r="AC1405" t="s">
        <v>42</v>
      </c>
      <c r="AD1405">
        <v>1</v>
      </c>
    </row>
    <row r="1406" spans="1:30">
      <c r="A1406" t="str">
        <f>CONCATENATE(I1406,J1406)</f>
        <v>HITECHCORPBE</v>
      </c>
      <c r="B1406" s="34">
        <v>46273</v>
      </c>
      <c r="C1406" s="34">
        <v>46273</v>
      </c>
      <c r="D1406" t="s">
        <v>35</v>
      </c>
      <c r="E1406" t="s">
        <v>36</v>
      </c>
      <c r="F1406" t="s">
        <v>37</v>
      </c>
      <c r="G1406">
        <v>15165</v>
      </c>
      <c r="H1406" t="s">
        <v>4274</v>
      </c>
      <c r="I1406" t="s">
        <v>4275</v>
      </c>
      <c r="J1406" t="s">
        <v>183</v>
      </c>
      <c r="O1406" t="s">
        <v>4276</v>
      </c>
      <c r="P1406">
        <v>333.1</v>
      </c>
      <c r="Q1406">
        <v>338.3</v>
      </c>
      <c r="R1406">
        <v>333.1</v>
      </c>
      <c r="S1406">
        <v>335.95</v>
      </c>
      <c r="T1406">
        <v>338.3</v>
      </c>
      <c r="U1406">
        <v>334.35</v>
      </c>
      <c r="W1406">
        <v>335.95</v>
      </c>
      <c r="Z1406">
        <v>2645</v>
      </c>
      <c r="AA1406">
        <v>886984.5</v>
      </c>
      <c r="AB1406">
        <v>39</v>
      </c>
      <c r="AC1406" t="s">
        <v>42</v>
      </c>
      <c r="AD1406">
        <v>1</v>
      </c>
    </row>
    <row r="1407" spans="1:30">
      <c r="A1407" t="str">
        <f>CONCATENATE(I1407,J1407)</f>
        <v>HLEGLASEQ</v>
      </c>
      <c r="B1407" s="34">
        <v>46273</v>
      </c>
      <c r="C1407" s="34">
        <v>46273</v>
      </c>
      <c r="D1407" t="s">
        <v>35</v>
      </c>
      <c r="E1407" t="s">
        <v>36</v>
      </c>
      <c r="F1407" t="s">
        <v>37</v>
      </c>
      <c r="G1407">
        <v>2289</v>
      </c>
      <c r="H1407" t="s">
        <v>4277</v>
      </c>
      <c r="I1407" t="s">
        <v>4278</v>
      </c>
      <c r="J1407" t="s">
        <v>161</v>
      </c>
      <c r="O1407" t="s">
        <v>4279</v>
      </c>
      <c r="P1407">
        <v>345</v>
      </c>
      <c r="Q1407">
        <v>345</v>
      </c>
      <c r="R1407">
        <v>328.15</v>
      </c>
      <c r="S1407">
        <v>334.5</v>
      </c>
      <c r="T1407">
        <v>336.95</v>
      </c>
      <c r="U1407">
        <v>336.25</v>
      </c>
      <c r="W1407">
        <v>334.62</v>
      </c>
      <c r="Z1407">
        <v>315202</v>
      </c>
      <c r="AA1407">
        <v>106612265.05</v>
      </c>
      <c r="AB1407">
        <v>7648</v>
      </c>
      <c r="AC1407" t="s">
        <v>42</v>
      </c>
      <c r="AD1407">
        <v>1</v>
      </c>
    </row>
    <row r="1408" spans="1:30">
      <c r="A1408" t="str">
        <f>CONCATENATE(I1408,J1408)</f>
        <v>HLVLTDEQ</v>
      </c>
      <c r="B1408" s="34">
        <v>46273</v>
      </c>
      <c r="C1408" s="34">
        <v>46273</v>
      </c>
      <c r="D1408" t="s">
        <v>35</v>
      </c>
      <c r="E1408" t="s">
        <v>36</v>
      </c>
      <c r="F1408" t="s">
        <v>37</v>
      </c>
      <c r="G1408">
        <v>1448</v>
      </c>
      <c r="H1408" t="s">
        <v>4280</v>
      </c>
      <c r="I1408" t="s">
        <v>4281</v>
      </c>
      <c r="J1408" t="s">
        <v>161</v>
      </c>
      <c r="O1408" t="s">
        <v>4282</v>
      </c>
      <c r="P1408">
        <v>6.5</v>
      </c>
      <c r="Q1408">
        <v>6.5</v>
      </c>
      <c r="R1408">
        <v>6.3</v>
      </c>
      <c r="S1408">
        <v>6.4</v>
      </c>
      <c r="T1408">
        <v>6.37</v>
      </c>
      <c r="U1408">
        <v>6.41</v>
      </c>
      <c r="W1408">
        <v>6.4</v>
      </c>
      <c r="Z1408">
        <v>134222</v>
      </c>
      <c r="AA1408">
        <v>854527.25</v>
      </c>
      <c r="AB1408">
        <v>392</v>
      </c>
      <c r="AC1408" t="s">
        <v>42</v>
      </c>
      <c r="AD1408">
        <v>1</v>
      </c>
    </row>
    <row r="1409" spans="1:30">
      <c r="A1409" t="str">
        <f>CONCATENATE(I1409,J1409)</f>
        <v>HMAAGROEQ</v>
      </c>
      <c r="B1409" s="34">
        <v>46273</v>
      </c>
      <c r="C1409" s="34">
        <v>46273</v>
      </c>
      <c r="D1409" t="s">
        <v>35</v>
      </c>
      <c r="E1409" t="s">
        <v>36</v>
      </c>
      <c r="F1409" t="s">
        <v>37</v>
      </c>
      <c r="G1409">
        <v>17053</v>
      </c>
      <c r="H1409" t="s">
        <v>4283</v>
      </c>
      <c r="I1409" t="s">
        <v>4284</v>
      </c>
      <c r="J1409" t="s">
        <v>161</v>
      </c>
      <c r="O1409" t="s">
        <v>4285</v>
      </c>
      <c r="P1409">
        <v>20.8</v>
      </c>
      <c r="Q1409">
        <v>21.08</v>
      </c>
      <c r="R1409">
        <v>19.899999999999999</v>
      </c>
      <c r="S1409">
        <v>20.010000000000002</v>
      </c>
      <c r="T1409">
        <v>19.95</v>
      </c>
      <c r="U1409">
        <v>20.66</v>
      </c>
      <c r="W1409">
        <v>20.010000000000002</v>
      </c>
      <c r="Z1409">
        <v>2220160</v>
      </c>
      <c r="AA1409">
        <v>45428727.119999997</v>
      </c>
      <c r="AB1409">
        <v>4582</v>
      </c>
      <c r="AC1409" t="s">
        <v>42</v>
      </c>
      <c r="AD1409">
        <v>1</v>
      </c>
    </row>
    <row r="1410" spans="1:30">
      <c r="A1410" t="str">
        <f>CONCATENATE(I1410,J1410)</f>
        <v>87HMDA39N0</v>
      </c>
      <c r="B1410" s="34">
        <v>46273</v>
      </c>
      <c r="C1410" s="34">
        <v>46273</v>
      </c>
      <c r="D1410" t="s">
        <v>35</v>
      </c>
      <c r="E1410" t="s">
        <v>36</v>
      </c>
      <c r="F1410" t="s">
        <v>37</v>
      </c>
      <c r="G1410">
        <v>761809</v>
      </c>
      <c r="H1410" t="s">
        <v>4286</v>
      </c>
      <c r="I1410" t="s">
        <v>4287</v>
      </c>
      <c r="J1410" t="s">
        <v>514</v>
      </c>
      <c r="O1410" t="s">
        <v>4288</v>
      </c>
      <c r="P1410">
        <v>107410</v>
      </c>
      <c r="Q1410">
        <v>107410</v>
      </c>
      <c r="R1410">
        <v>107410</v>
      </c>
      <c r="S1410">
        <v>107410</v>
      </c>
      <c r="T1410">
        <v>107410</v>
      </c>
      <c r="U1410">
        <v>103685</v>
      </c>
      <c r="W1410">
        <v>107410</v>
      </c>
      <c r="Z1410">
        <v>200</v>
      </c>
      <c r="AA1410">
        <v>21482000</v>
      </c>
      <c r="AB1410">
        <v>1</v>
      </c>
      <c r="AC1410" t="s">
        <v>42</v>
      </c>
      <c r="AD1410">
        <v>1</v>
      </c>
    </row>
    <row r="1411" spans="1:30">
      <c r="A1411" t="str">
        <f>CONCATENATE(I1411,J1411)</f>
        <v>HMTBZ</v>
      </c>
      <c r="B1411" s="34">
        <v>46273</v>
      </c>
      <c r="C1411" s="34">
        <v>46273</v>
      </c>
      <c r="D1411" t="s">
        <v>35</v>
      </c>
      <c r="E1411" t="s">
        <v>36</v>
      </c>
      <c r="F1411" t="s">
        <v>37</v>
      </c>
      <c r="G1411">
        <v>19698</v>
      </c>
      <c r="H1411" t="s">
        <v>4289</v>
      </c>
      <c r="I1411" t="s">
        <v>4290</v>
      </c>
      <c r="J1411" t="s">
        <v>551</v>
      </c>
      <c r="O1411" t="s">
        <v>4291</v>
      </c>
      <c r="P1411">
        <v>68.98</v>
      </c>
      <c r="Q1411">
        <v>69.5</v>
      </c>
      <c r="R1411">
        <v>66.52</v>
      </c>
      <c r="S1411">
        <v>68.11</v>
      </c>
      <c r="T1411">
        <v>68.290000000000006</v>
      </c>
      <c r="U1411">
        <v>68.180000000000007</v>
      </c>
      <c r="W1411">
        <v>67.92</v>
      </c>
      <c r="Z1411">
        <v>22580</v>
      </c>
      <c r="AA1411">
        <v>1540354.49</v>
      </c>
      <c r="AB1411">
        <v>218</v>
      </c>
      <c r="AC1411" t="s">
        <v>42</v>
      </c>
      <c r="AD1411">
        <v>1</v>
      </c>
    </row>
    <row r="1412" spans="1:30">
      <c r="A1412" t="str">
        <f>CONCATENATE(I1412,J1412)</f>
        <v>HOACFOODSST</v>
      </c>
      <c r="B1412" s="34">
        <v>46273</v>
      </c>
      <c r="C1412" s="34">
        <v>46273</v>
      </c>
      <c r="D1412" t="s">
        <v>35</v>
      </c>
      <c r="E1412" t="s">
        <v>36</v>
      </c>
      <c r="F1412" t="s">
        <v>37</v>
      </c>
      <c r="G1412">
        <v>23826</v>
      </c>
      <c r="H1412" t="s">
        <v>4292</v>
      </c>
      <c r="I1412" t="s">
        <v>4293</v>
      </c>
      <c r="J1412" t="s">
        <v>328</v>
      </c>
      <c r="O1412" t="s">
        <v>4294</v>
      </c>
      <c r="P1412">
        <v>980</v>
      </c>
      <c r="Q1412">
        <v>999.95</v>
      </c>
      <c r="R1412">
        <v>970.2</v>
      </c>
      <c r="S1412">
        <v>970.2</v>
      </c>
      <c r="T1412">
        <v>970.2</v>
      </c>
      <c r="U1412">
        <v>990</v>
      </c>
      <c r="W1412">
        <v>970.2</v>
      </c>
      <c r="Z1412">
        <v>6375</v>
      </c>
      <c r="AA1412">
        <v>6255337.5</v>
      </c>
      <c r="AB1412">
        <v>16</v>
      </c>
      <c r="AC1412" t="s">
        <v>42</v>
      </c>
      <c r="AD1412">
        <v>375</v>
      </c>
    </row>
    <row r="1413" spans="1:30">
      <c r="A1413" t="str">
        <f>CONCATENATE(I1413,J1413)</f>
        <v>HOLMARCSM</v>
      </c>
      <c r="B1413" s="34">
        <v>46273</v>
      </c>
      <c r="C1413" s="34">
        <v>46273</v>
      </c>
      <c r="D1413" t="s">
        <v>35</v>
      </c>
      <c r="E1413" t="s">
        <v>36</v>
      </c>
      <c r="F1413" t="s">
        <v>37</v>
      </c>
      <c r="G1413">
        <v>18649</v>
      </c>
      <c r="H1413" t="s">
        <v>4295</v>
      </c>
      <c r="I1413" t="s">
        <v>4296</v>
      </c>
      <c r="J1413" t="s">
        <v>267</v>
      </c>
      <c r="O1413" t="s">
        <v>4297</v>
      </c>
      <c r="P1413">
        <v>103.95</v>
      </c>
      <c r="Q1413">
        <v>109.05</v>
      </c>
      <c r="R1413">
        <v>103.95</v>
      </c>
      <c r="S1413">
        <v>107.9</v>
      </c>
      <c r="T1413">
        <v>109</v>
      </c>
      <c r="U1413">
        <v>103.9</v>
      </c>
      <c r="W1413">
        <v>107.9</v>
      </c>
      <c r="Z1413">
        <v>14250</v>
      </c>
      <c r="AA1413">
        <v>1533712.5</v>
      </c>
      <c r="AB1413">
        <v>11</v>
      </c>
      <c r="AC1413" t="s">
        <v>42</v>
      </c>
      <c r="AD1413">
        <v>750</v>
      </c>
    </row>
    <row r="1414" spans="1:30">
      <c r="A1414" t="str">
        <f>CONCATENATE(I1414,J1414)</f>
        <v>HOMEFIRSTEQ</v>
      </c>
      <c r="B1414" s="34">
        <v>46273</v>
      </c>
      <c r="C1414" s="34">
        <v>46273</v>
      </c>
      <c r="D1414" t="s">
        <v>35</v>
      </c>
      <c r="E1414" t="s">
        <v>36</v>
      </c>
      <c r="F1414" t="s">
        <v>37</v>
      </c>
      <c r="G1414">
        <v>2056</v>
      </c>
      <c r="H1414" t="s">
        <v>4298</v>
      </c>
      <c r="I1414" t="s">
        <v>4299</v>
      </c>
      <c r="J1414" t="s">
        <v>161</v>
      </c>
      <c r="O1414" t="s">
        <v>4300</v>
      </c>
      <c r="P1414">
        <v>1245.0999999999999</v>
      </c>
      <c r="Q1414">
        <v>1248.0999999999999</v>
      </c>
      <c r="R1414">
        <v>1225.5</v>
      </c>
      <c r="S1414">
        <v>1237.0999999999999</v>
      </c>
      <c r="T1414">
        <v>1231.4000000000001</v>
      </c>
      <c r="U1414">
        <v>1233.7</v>
      </c>
      <c r="W1414">
        <v>1237.06</v>
      </c>
      <c r="Z1414">
        <v>560479</v>
      </c>
      <c r="AA1414">
        <v>692396852.20000005</v>
      </c>
      <c r="AB1414">
        <v>13709</v>
      </c>
      <c r="AC1414" t="s">
        <v>42</v>
      </c>
      <c r="AD1414">
        <v>1</v>
      </c>
    </row>
    <row r="1415" spans="1:30">
      <c r="A1415" t="str">
        <f>CONCATENATE(I1415,J1415)</f>
        <v>HONASAEQ</v>
      </c>
      <c r="B1415" s="34">
        <v>46273</v>
      </c>
      <c r="C1415" s="34">
        <v>46273</v>
      </c>
      <c r="D1415" t="s">
        <v>35</v>
      </c>
      <c r="E1415" t="s">
        <v>36</v>
      </c>
      <c r="F1415" t="s">
        <v>37</v>
      </c>
      <c r="G1415">
        <v>19813</v>
      </c>
      <c r="H1415" t="s">
        <v>4301</v>
      </c>
      <c r="I1415" t="s">
        <v>4302</v>
      </c>
      <c r="J1415" t="s">
        <v>161</v>
      </c>
      <c r="O1415" t="s">
        <v>4303</v>
      </c>
      <c r="P1415">
        <v>468.95</v>
      </c>
      <c r="Q1415">
        <v>483</v>
      </c>
      <c r="R1415">
        <v>468.95</v>
      </c>
      <c r="S1415">
        <v>476.05</v>
      </c>
      <c r="T1415">
        <v>475.2</v>
      </c>
      <c r="U1415">
        <v>468.9</v>
      </c>
      <c r="W1415">
        <v>476.04</v>
      </c>
      <c r="Z1415">
        <v>1012735</v>
      </c>
      <c r="AA1415">
        <v>483346466</v>
      </c>
      <c r="AB1415">
        <v>33846</v>
      </c>
      <c r="AC1415" t="s">
        <v>42</v>
      </c>
      <c r="AD1415">
        <v>1</v>
      </c>
    </row>
    <row r="1416" spans="1:30">
      <c r="A1416" t="str">
        <f>CONCATENATE(I1416,J1416)</f>
        <v>HONDAPOWEREQ</v>
      </c>
      <c r="B1416" s="34">
        <v>46273</v>
      </c>
      <c r="C1416" s="34">
        <v>46273</v>
      </c>
      <c r="D1416" t="s">
        <v>35</v>
      </c>
      <c r="E1416" t="s">
        <v>36</v>
      </c>
      <c r="F1416" t="s">
        <v>37</v>
      </c>
      <c r="G1416">
        <v>3138</v>
      </c>
      <c r="H1416" t="s">
        <v>4304</v>
      </c>
      <c r="I1416" t="s">
        <v>4305</v>
      </c>
      <c r="J1416" t="s">
        <v>161</v>
      </c>
      <c r="O1416" t="s">
        <v>4306</v>
      </c>
      <c r="P1416">
        <v>2017</v>
      </c>
      <c r="Q1416">
        <v>2018.2</v>
      </c>
      <c r="R1416">
        <v>1976</v>
      </c>
      <c r="S1416">
        <v>1981.7</v>
      </c>
      <c r="T1416">
        <v>1979.2</v>
      </c>
      <c r="U1416">
        <v>1999.8</v>
      </c>
      <c r="W1416">
        <v>1981.73</v>
      </c>
      <c r="Z1416">
        <v>2018</v>
      </c>
      <c r="AA1416">
        <v>4015313.6</v>
      </c>
      <c r="AB1416">
        <v>433</v>
      </c>
      <c r="AC1416" t="s">
        <v>42</v>
      </c>
      <c r="AD1416">
        <v>1</v>
      </c>
    </row>
    <row r="1417" spans="1:30">
      <c r="A1417" t="str">
        <f>CONCATENATE(I1417,J1417)</f>
        <v>HONAUTEQ</v>
      </c>
      <c r="B1417" s="34">
        <v>46273</v>
      </c>
      <c r="C1417" s="34">
        <v>46273</v>
      </c>
      <c r="D1417" t="s">
        <v>35</v>
      </c>
      <c r="E1417" t="s">
        <v>36</v>
      </c>
      <c r="F1417" t="s">
        <v>37</v>
      </c>
      <c r="G1417">
        <v>3417</v>
      </c>
      <c r="H1417" t="s">
        <v>4307</v>
      </c>
      <c r="I1417" t="s">
        <v>4308</v>
      </c>
      <c r="J1417" t="s">
        <v>161</v>
      </c>
      <c r="O1417" t="s">
        <v>4309</v>
      </c>
      <c r="P1417">
        <v>35335</v>
      </c>
      <c r="Q1417">
        <v>35725</v>
      </c>
      <c r="R1417">
        <v>34970</v>
      </c>
      <c r="S1417">
        <v>35060</v>
      </c>
      <c r="T1417">
        <v>35050</v>
      </c>
      <c r="U1417">
        <v>35565</v>
      </c>
      <c r="W1417">
        <v>35060.230000000003</v>
      </c>
      <c r="Z1417">
        <v>2407</v>
      </c>
      <c r="AA1417">
        <v>84549810</v>
      </c>
      <c r="AB1417">
        <v>1553</v>
      </c>
      <c r="AC1417" t="s">
        <v>42</v>
      </c>
      <c r="AD1417">
        <v>1</v>
      </c>
    </row>
    <row r="1418" spans="1:30">
      <c r="A1418" t="str">
        <f>CONCATENATE(I1418,J1418)</f>
        <v>HORIZONINDEQ</v>
      </c>
      <c r="B1418" s="34">
        <v>46273</v>
      </c>
      <c r="C1418" s="34">
        <v>46273</v>
      </c>
      <c r="D1418" t="s">
        <v>35</v>
      </c>
      <c r="E1418" t="s">
        <v>36</v>
      </c>
      <c r="F1418" t="s">
        <v>37</v>
      </c>
      <c r="G1418">
        <v>765356</v>
      </c>
      <c r="H1418" t="s">
        <v>4310</v>
      </c>
      <c r="I1418" t="s">
        <v>4311</v>
      </c>
      <c r="J1418" t="s">
        <v>161</v>
      </c>
      <c r="O1418" t="s">
        <v>4312</v>
      </c>
      <c r="P1418">
        <v>54.82</v>
      </c>
      <c r="Q1418">
        <v>55.74</v>
      </c>
      <c r="R1418">
        <v>54.25</v>
      </c>
      <c r="S1418">
        <v>55.54</v>
      </c>
      <c r="T1418">
        <v>55.5</v>
      </c>
      <c r="U1418">
        <v>54.85</v>
      </c>
      <c r="W1418">
        <v>55.54</v>
      </c>
      <c r="Z1418">
        <v>2922955</v>
      </c>
      <c r="AA1418">
        <v>160847591.11000001</v>
      </c>
      <c r="AB1418">
        <v>28057</v>
      </c>
      <c r="AC1418" t="s">
        <v>42</v>
      </c>
      <c r="AD1418">
        <v>1</v>
      </c>
    </row>
    <row r="1419" spans="1:30">
      <c r="A1419" t="str">
        <f>CONCATENATE(I1419,J1419)</f>
        <v>HDILBZ</v>
      </c>
      <c r="B1419" s="34">
        <v>46273</v>
      </c>
      <c r="C1419" s="34">
        <v>46273</v>
      </c>
      <c r="D1419" t="s">
        <v>35</v>
      </c>
      <c r="E1419" t="s">
        <v>36</v>
      </c>
      <c r="F1419" t="s">
        <v>37</v>
      </c>
      <c r="G1419">
        <v>17920</v>
      </c>
      <c r="H1419" t="s">
        <v>4313</v>
      </c>
      <c r="I1419" t="s">
        <v>4314</v>
      </c>
      <c r="J1419" t="s">
        <v>551</v>
      </c>
      <c r="O1419" t="s">
        <v>4315</v>
      </c>
      <c r="P1419">
        <v>1.52</v>
      </c>
      <c r="Q1419">
        <v>1.53</v>
      </c>
      <c r="R1419">
        <v>1.47</v>
      </c>
      <c r="S1419">
        <v>1.5</v>
      </c>
      <c r="T1419">
        <v>1.52</v>
      </c>
      <c r="U1419">
        <v>1.49</v>
      </c>
      <c r="W1419">
        <v>1.5</v>
      </c>
      <c r="Z1419">
        <v>78484</v>
      </c>
      <c r="AA1419">
        <v>118209.22</v>
      </c>
      <c r="AB1419">
        <v>188</v>
      </c>
      <c r="AC1419" t="s">
        <v>42</v>
      </c>
      <c r="AD1419">
        <v>1</v>
      </c>
    </row>
    <row r="1420" spans="1:30">
      <c r="A1420" t="str">
        <f>CONCATENATE(I1420,J1420)</f>
        <v>HPALEQ</v>
      </c>
      <c r="B1420" s="34">
        <v>46273</v>
      </c>
      <c r="C1420" s="34">
        <v>46273</v>
      </c>
      <c r="D1420" t="s">
        <v>35</v>
      </c>
      <c r="E1420" t="s">
        <v>36</v>
      </c>
      <c r="F1420" t="s">
        <v>37</v>
      </c>
      <c r="G1420">
        <v>7376</v>
      </c>
      <c r="H1420" t="s">
        <v>4316</v>
      </c>
      <c r="I1420" t="s">
        <v>4317</v>
      </c>
      <c r="J1420" t="s">
        <v>161</v>
      </c>
      <c r="O1420" t="s">
        <v>4318</v>
      </c>
      <c r="P1420">
        <v>35.5</v>
      </c>
      <c r="Q1420">
        <v>36.18</v>
      </c>
      <c r="R1420">
        <v>35.17</v>
      </c>
      <c r="S1420">
        <v>35.42</v>
      </c>
      <c r="T1420">
        <v>35.67</v>
      </c>
      <c r="U1420">
        <v>35.700000000000003</v>
      </c>
      <c r="W1420">
        <v>35.409999999999997</v>
      </c>
      <c r="Z1420">
        <v>57000</v>
      </c>
      <c r="AA1420">
        <v>2031930.78</v>
      </c>
      <c r="AB1420">
        <v>874</v>
      </c>
      <c r="AC1420" t="s">
        <v>42</v>
      </c>
      <c r="AD1420">
        <v>1</v>
      </c>
    </row>
    <row r="1421" spans="1:30">
      <c r="A1421" t="str">
        <f>CONCATENATE(I1421,J1421)</f>
        <v>HPTLSM</v>
      </c>
      <c r="B1421" s="34">
        <v>46273</v>
      </c>
      <c r="C1421" s="34">
        <v>46273</v>
      </c>
      <c r="D1421" t="s">
        <v>35</v>
      </c>
      <c r="E1421" t="s">
        <v>36</v>
      </c>
      <c r="F1421" t="s">
        <v>37</v>
      </c>
      <c r="G1421">
        <v>29875</v>
      </c>
      <c r="H1421" t="s">
        <v>4319</v>
      </c>
      <c r="I1421" t="s">
        <v>4320</v>
      </c>
      <c r="J1421" t="s">
        <v>267</v>
      </c>
      <c r="O1421" t="s">
        <v>4321</v>
      </c>
      <c r="P1421">
        <v>318.05</v>
      </c>
      <c r="Q1421">
        <v>327</v>
      </c>
      <c r="R1421">
        <v>313</v>
      </c>
      <c r="S1421">
        <v>315.5</v>
      </c>
      <c r="T1421">
        <v>315</v>
      </c>
      <c r="U1421">
        <v>322.25</v>
      </c>
      <c r="W1421">
        <v>315.5</v>
      </c>
      <c r="Z1421">
        <v>99000</v>
      </c>
      <c r="AA1421">
        <v>31196340</v>
      </c>
      <c r="AB1421">
        <v>56</v>
      </c>
      <c r="AC1421" t="s">
        <v>42</v>
      </c>
      <c r="AD1421">
        <v>600</v>
      </c>
    </row>
    <row r="1422" spans="1:30">
      <c r="A1422" t="str">
        <f>CONCATENATE(I1422,J1422)</f>
        <v>HPLEQ</v>
      </c>
      <c r="B1422" s="34">
        <v>46273</v>
      </c>
      <c r="C1422" s="34">
        <v>46273</v>
      </c>
      <c r="D1422" t="s">
        <v>35</v>
      </c>
      <c r="E1422" t="s">
        <v>36</v>
      </c>
      <c r="F1422" t="s">
        <v>37</v>
      </c>
      <c r="G1422">
        <v>18679</v>
      </c>
      <c r="H1422" t="s">
        <v>4322</v>
      </c>
      <c r="I1422" t="s">
        <v>4323</v>
      </c>
      <c r="J1422" t="s">
        <v>161</v>
      </c>
      <c r="O1422" t="s">
        <v>4324</v>
      </c>
      <c r="P1422">
        <v>301.55</v>
      </c>
      <c r="Q1422">
        <v>305.55</v>
      </c>
      <c r="R1422">
        <v>300.3</v>
      </c>
      <c r="S1422">
        <v>303</v>
      </c>
      <c r="T1422">
        <v>303.45</v>
      </c>
      <c r="U1422">
        <v>301.55</v>
      </c>
      <c r="W1422">
        <v>302.98</v>
      </c>
      <c r="Z1422">
        <v>66069</v>
      </c>
      <c r="AA1422">
        <v>19983628.350000001</v>
      </c>
      <c r="AB1422">
        <v>2522</v>
      </c>
      <c r="AC1422" t="s">
        <v>42</v>
      </c>
      <c r="AD1422">
        <v>1</v>
      </c>
    </row>
    <row r="1423" spans="1:30">
      <c r="A1423" t="str">
        <f>CONCATENATE(I1423,J1423)</f>
        <v>HRHNEXTSM</v>
      </c>
      <c r="B1423" s="34">
        <v>46273</v>
      </c>
      <c r="C1423" s="34">
        <v>46273</v>
      </c>
      <c r="D1423" t="s">
        <v>35</v>
      </c>
      <c r="E1423" t="s">
        <v>36</v>
      </c>
      <c r="F1423" t="s">
        <v>37</v>
      </c>
      <c r="G1423">
        <v>21107</v>
      </c>
      <c r="H1423" t="s">
        <v>4325</v>
      </c>
      <c r="I1423" t="s">
        <v>4326</v>
      </c>
      <c r="J1423" t="s">
        <v>267</v>
      </c>
      <c r="O1423" t="s">
        <v>4327</v>
      </c>
      <c r="P1423">
        <v>23.95</v>
      </c>
      <c r="Q1423">
        <v>26.3</v>
      </c>
      <c r="R1423">
        <v>23.95</v>
      </c>
      <c r="S1423">
        <v>26.15</v>
      </c>
      <c r="T1423">
        <v>26.3</v>
      </c>
      <c r="U1423">
        <v>25.2</v>
      </c>
      <c r="W1423">
        <v>26.15</v>
      </c>
      <c r="Z1423">
        <v>45000</v>
      </c>
      <c r="AA1423">
        <v>1122900</v>
      </c>
      <c r="AB1423">
        <v>15</v>
      </c>
      <c r="AC1423" t="s">
        <v>42</v>
      </c>
      <c r="AD1423">
        <v>1500</v>
      </c>
    </row>
    <row r="1424" spans="1:30">
      <c r="A1424" t="str">
        <f>CONCATENATE(I1424,J1424)</f>
        <v>HSBCGOLDEQ</v>
      </c>
      <c r="B1424" s="34">
        <v>46273</v>
      </c>
      <c r="C1424" s="34">
        <v>46273</v>
      </c>
      <c r="D1424" t="s">
        <v>35</v>
      </c>
      <c r="E1424" t="s">
        <v>36</v>
      </c>
      <c r="F1424" t="s">
        <v>37</v>
      </c>
      <c r="G1424">
        <v>761506</v>
      </c>
      <c r="H1424" t="s">
        <v>4328</v>
      </c>
      <c r="I1424" t="s">
        <v>4329</v>
      </c>
      <c r="J1424" t="s">
        <v>161</v>
      </c>
      <c r="O1424" t="s">
        <v>4330</v>
      </c>
      <c r="P1424">
        <v>133.41</v>
      </c>
      <c r="Q1424">
        <v>133.41</v>
      </c>
      <c r="R1424">
        <v>132.05000000000001</v>
      </c>
      <c r="S1424">
        <v>132.66999999999999</v>
      </c>
      <c r="T1424">
        <v>132.66</v>
      </c>
      <c r="U1424">
        <v>132.11000000000001</v>
      </c>
      <c r="W1424">
        <v>132.66999999999999</v>
      </c>
      <c r="Z1424">
        <v>2291</v>
      </c>
      <c r="AA1424">
        <v>304902.46999999997</v>
      </c>
      <c r="AB1424">
        <v>30</v>
      </c>
      <c r="AC1424" t="s">
        <v>42</v>
      </c>
      <c r="AD1424">
        <v>1</v>
      </c>
    </row>
    <row r="1425" spans="1:30">
      <c r="A1425" t="str">
        <f>CONCATENATE(I1425,J1425)</f>
        <v>HUDCOEQ</v>
      </c>
      <c r="B1425" s="34">
        <v>46273</v>
      </c>
      <c r="C1425" s="34">
        <v>46273</v>
      </c>
      <c r="D1425" t="s">
        <v>35</v>
      </c>
      <c r="E1425" t="s">
        <v>36</v>
      </c>
      <c r="F1425" t="s">
        <v>37</v>
      </c>
      <c r="G1425">
        <v>20825</v>
      </c>
      <c r="H1425" t="s">
        <v>4331</v>
      </c>
      <c r="I1425" t="s">
        <v>4332</v>
      </c>
      <c r="J1425" t="s">
        <v>161</v>
      </c>
      <c r="O1425" t="s">
        <v>4333</v>
      </c>
      <c r="P1425">
        <v>178.1</v>
      </c>
      <c r="Q1425">
        <v>178.99</v>
      </c>
      <c r="R1425">
        <v>177</v>
      </c>
      <c r="S1425">
        <v>178.26</v>
      </c>
      <c r="T1425">
        <v>178.7</v>
      </c>
      <c r="U1425">
        <v>179.24</v>
      </c>
      <c r="W1425">
        <v>178.26</v>
      </c>
      <c r="Z1425">
        <v>1157634</v>
      </c>
      <c r="AA1425">
        <v>206224692.97999999</v>
      </c>
      <c r="AB1425">
        <v>14304</v>
      </c>
      <c r="AC1425" t="s">
        <v>42</v>
      </c>
      <c r="AD1425">
        <v>1</v>
      </c>
    </row>
    <row r="1426" spans="1:30">
      <c r="A1426" t="str">
        <f>CONCATENATE(I1426,J1426)</f>
        <v>HTMEDIAEQ</v>
      </c>
      <c r="B1426" s="34">
        <v>46273</v>
      </c>
      <c r="C1426" s="34">
        <v>46273</v>
      </c>
      <c r="D1426" t="s">
        <v>35</v>
      </c>
      <c r="E1426" t="s">
        <v>36</v>
      </c>
      <c r="F1426" t="s">
        <v>37</v>
      </c>
      <c r="G1426">
        <v>11979</v>
      </c>
      <c r="H1426" t="s">
        <v>4334</v>
      </c>
      <c r="I1426" t="s">
        <v>4335</v>
      </c>
      <c r="J1426" t="s">
        <v>161</v>
      </c>
      <c r="O1426" t="s">
        <v>4336</v>
      </c>
      <c r="P1426">
        <v>25.74</v>
      </c>
      <c r="Q1426">
        <v>26.15</v>
      </c>
      <c r="R1426">
        <v>25.11</v>
      </c>
      <c r="S1426">
        <v>25.41</v>
      </c>
      <c r="T1426">
        <v>25.5</v>
      </c>
      <c r="U1426">
        <v>25.7</v>
      </c>
      <c r="W1426">
        <v>25.41</v>
      </c>
      <c r="Z1426">
        <v>111032</v>
      </c>
      <c r="AA1426">
        <v>2838124.86</v>
      </c>
      <c r="AB1426">
        <v>549</v>
      </c>
      <c r="AC1426" t="s">
        <v>42</v>
      </c>
      <c r="AD1426">
        <v>1</v>
      </c>
    </row>
    <row r="1427" spans="1:30">
      <c r="A1427" t="str">
        <f>CONCATENATE(I1427,J1427)</f>
        <v>HUBTOWNEQ</v>
      </c>
      <c r="B1427" s="34">
        <v>46273</v>
      </c>
      <c r="C1427" s="34">
        <v>46273</v>
      </c>
      <c r="D1427" t="s">
        <v>35</v>
      </c>
      <c r="E1427" t="s">
        <v>36</v>
      </c>
      <c r="F1427" t="s">
        <v>37</v>
      </c>
      <c r="G1427">
        <v>14203</v>
      </c>
      <c r="H1427" t="s">
        <v>4337</v>
      </c>
      <c r="I1427" t="s">
        <v>4338</v>
      </c>
      <c r="J1427" t="s">
        <v>161</v>
      </c>
      <c r="O1427" t="s">
        <v>4339</v>
      </c>
      <c r="P1427">
        <v>188.48</v>
      </c>
      <c r="Q1427">
        <v>190</v>
      </c>
      <c r="R1427">
        <v>184.59</v>
      </c>
      <c r="S1427">
        <v>185.56</v>
      </c>
      <c r="T1427">
        <v>184.99</v>
      </c>
      <c r="U1427">
        <v>189.91</v>
      </c>
      <c r="W1427">
        <v>185.56</v>
      </c>
      <c r="Z1427">
        <v>331640</v>
      </c>
      <c r="AA1427">
        <v>61900789.170000002</v>
      </c>
      <c r="AB1427">
        <v>2403</v>
      </c>
      <c r="AC1427" t="s">
        <v>42</v>
      </c>
      <c r="AD1427">
        <v>1</v>
      </c>
    </row>
    <row r="1428" spans="1:30">
      <c r="A1428" t="str">
        <f>CONCATENATE(I1428,J1428)</f>
        <v>HUHTAMAKIEQ</v>
      </c>
      <c r="B1428" s="34">
        <v>46273</v>
      </c>
      <c r="C1428" s="34">
        <v>46273</v>
      </c>
      <c r="D1428" t="s">
        <v>35</v>
      </c>
      <c r="E1428" t="s">
        <v>36</v>
      </c>
      <c r="F1428" t="s">
        <v>37</v>
      </c>
      <c r="G1428">
        <v>2562</v>
      </c>
      <c r="H1428" t="s">
        <v>4340</v>
      </c>
      <c r="I1428" t="s">
        <v>4341</v>
      </c>
      <c r="J1428" t="s">
        <v>161</v>
      </c>
      <c r="O1428" t="s">
        <v>4342</v>
      </c>
      <c r="P1428">
        <v>248.55</v>
      </c>
      <c r="Q1428">
        <v>253.2</v>
      </c>
      <c r="R1428">
        <v>247.5</v>
      </c>
      <c r="S1428">
        <v>250.7</v>
      </c>
      <c r="T1428">
        <v>251.9</v>
      </c>
      <c r="U1428">
        <v>250.05</v>
      </c>
      <c r="W1428">
        <v>250.69</v>
      </c>
      <c r="Z1428">
        <v>122791</v>
      </c>
      <c r="AA1428">
        <v>30707260.800000001</v>
      </c>
      <c r="AB1428">
        <v>3912</v>
      </c>
      <c r="AC1428" t="s">
        <v>42</v>
      </c>
      <c r="AD1428">
        <v>1</v>
      </c>
    </row>
    <row r="1429" spans="1:30">
      <c r="A1429" t="str">
        <f>CONCATENATE(I1429,J1429)</f>
        <v>HVAXSM</v>
      </c>
      <c r="B1429" s="34">
        <v>46273</v>
      </c>
      <c r="C1429" s="34">
        <v>46273</v>
      </c>
      <c r="D1429" t="s">
        <v>35</v>
      </c>
      <c r="E1429" t="s">
        <v>36</v>
      </c>
      <c r="F1429" t="s">
        <v>37</v>
      </c>
      <c r="G1429">
        <v>25708</v>
      </c>
      <c r="H1429" t="s">
        <v>4343</v>
      </c>
      <c r="I1429" t="s">
        <v>4344</v>
      </c>
      <c r="J1429" t="s">
        <v>267</v>
      </c>
      <c r="O1429" t="s">
        <v>4345</v>
      </c>
      <c r="P1429">
        <v>635</v>
      </c>
      <c r="Q1429">
        <v>642</v>
      </c>
      <c r="R1429">
        <v>635</v>
      </c>
      <c r="S1429">
        <v>640</v>
      </c>
      <c r="T1429">
        <v>640</v>
      </c>
      <c r="U1429">
        <v>651.29999999999995</v>
      </c>
      <c r="W1429">
        <v>640</v>
      </c>
      <c r="Z1429">
        <v>600</v>
      </c>
      <c r="AA1429">
        <v>383550</v>
      </c>
      <c r="AB1429">
        <v>4</v>
      </c>
      <c r="AC1429" t="s">
        <v>42</v>
      </c>
      <c r="AD1429">
        <v>150</v>
      </c>
    </row>
    <row r="1430" spans="1:30">
      <c r="A1430" t="str">
        <f>CONCATENATE(I1430,J1430)</f>
        <v>HTELBE</v>
      </c>
      <c r="B1430" s="34">
        <v>46273</v>
      </c>
      <c r="C1430" s="34">
        <v>46273</v>
      </c>
      <c r="D1430" t="s">
        <v>35</v>
      </c>
      <c r="E1430" t="s">
        <v>36</v>
      </c>
      <c r="F1430" t="s">
        <v>37</v>
      </c>
      <c r="G1430">
        <v>765468</v>
      </c>
      <c r="H1430" t="s">
        <v>4346</v>
      </c>
      <c r="I1430" t="s">
        <v>4347</v>
      </c>
      <c r="J1430" t="s">
        <v>183</v>
      </c>
      <c r="O1430" t="s">
        <v>4348</v>
      </c>
      <c r="P1430">
        <v>73</v>
      </c>
      <c r="Q1430">
        <v>75.08</v>
      </c>
      <c r="R1430">
        <v>72</v>
      </c>
      <c r="S1430">
        <v>73.959999999999994</v>
      </c>
      <c r="T1430">
        <v>74</v>
      </c>
      <c r="U1430">
        <v>73.25</v>
      </c>
      <c r="W1430">
        <v>73.959999999999994</v>
      </c>
      <c r="Z1430">
        <v>1164694</v>
      </c>
      <c r="AA1430">
        <v>86058022.019999996</v>
      </c>
      <c r="AB1430">
        <v>4492</v>
      </c>
      <c r="AC1430" t="s">
        <v>42</v>
      </c>
      <c r="AD1430">
        <v>1</v>
      </c>
    </row>
    <row r="1431" spans="1:30">
      <c r="A1431" t="str">
        <f>CONCATENATE(I1431,J1431)</f>
        <v>HYBRIDFINBE</v>
      </c>
      <c r="B1431" s="34">
        <v>46273</v>
      </c>
      <c r="C1431" s="34">
        <v>46273</v>
      </c>
      <c r="D1431" t="s">
        <v>35</v>
      </c>
      <c r="E1431" t="s">
        <v>36</v>
      </c>
      <c r="F1431" t="s">
        <v>37</v>
      </c>
      <c r="G1431">
        <v>12814</v>
      </c>
      <c r="H1431" t="s">
        <v>4349</v>
      </c>
      <c r="I1431" t="s">
        <v>4350</v>
      </c>
      <c r="J1431" t="s">
        <v>183</v>
      </c>
      <c r="O1431" t="s">
        <v>4351</v>
      </c>
      <c r="P1431">
        <v>17.190000000000001</v>
      </c>
      <c r="Q1431">
        <v>18.04</v>
      </c>
      <c r="R1431">
        <v>16.850000000000001</v>
      </c>
      <c r="S1431">
        <v>17.2</v>
      </c>
      <c r="T1431">
        <v>17.2</v>
      </c>
      <c r="U1431">
        <v>17.190000000000001</v>
      </c>
      <c r="W1431">
        <v>17.23</v>
      </c>
      <c r="Z1431">
        <v>4009</v>
      </c>
      <c r="AA1431">
        <v>69076.7</v>
      </c>
      <c r="AB1431">
        <v>26</v>
      </c>
      <c r="AC1431" t="s">
        <v>42</v>
      </c>
      <c r="AD1431">
        <v>1</v>
      </c>
    </row>
    <row r="1432" spans="1:30">
      <c r="A1432" t="str">
        <f>CONCATENATE(I1432,J1432)</f>
        <v>HYUNDAIEQ</v>
      </c>
      <c r="B1432" s="34">
        <v>46273</v>
      </c>
      <c r="C1432" s="34">
        <v>46273</v>
      </c>
      <c r="D1432" t="s">
        <v>35</v>
      </c>
      <c r="E1432" t="s">
        <v>36</v>
      </c>
      <c r="F1432" t="s">
        <v>37</v>
      </c>
      <c r="G1432">
        <v>25844</v>
      </c>
      <c r="H1432" t="s">
        <v>4352</v>
      </c>
      <c r="I1432" t="s">
        <v>4353</v>
      </c>
      <c r="J1432" t="s">
        <v>161</v>
      </c>
      <c r="O1432" t="s">
        <v>4354</v>
      </c>
      <c r="P1432">
        <v>2200</v>
      </c>
      <c r="Q1432">
        <v>2222</v>
      </c>
      <c r="R1432">
        <v>2198.9</v>
      </c>
      <c r="S1432">
        <v>2220</v>
      </c>
      <c r="T1432">
        <v>2220</v>
      </c>
      <c r="U1432">
        <v>2210</v>
      </c>
      <c r="W1432">
        <v>2219.9899999999998</v>
      </c>
      <c r="Z1432">
        <v>485596</v>
      </c>
      <c r="AA1432">
        <v>1073784849.9000001</v>
      </c>
      <c r="AB1432">
        <v>32483</v>
      </c>
      <c r="AC1432" t="s">
        <v>42</v>
      </c>
      <c r="AD1432">
        <v>1</v>
      </c>
    </row>
    <row r="1433" spans="1:30">
      <c r="A1433" t="str">
        <f>CONCATENATE(I1433,J1433)</f>
        <v>IGPLEQ</v>
      </c>
      <c r="B1433" s="34">
        <v>46273</v>
      </c>
      <c r="C1433" s="34">
        <v>46273</v>
      </c>
      <c r="D1433" t="s">
        <v>35</v>
      </c>
      <c r="E1433" t="s">
        <v>36</v>
      </c>
      <c r="F1433" t="s">
        <v>37</v>
      </c>
      <c r="G1433">
        <v>14086</v>
      </c>
      <c r="H1433" t="s">
        <v>4355</v>
      </c>
      <c r="I1433" t="s">
        <v>4356</v>
      </c>
      <c r="J1433" t="s">
        <v>161</v>
      </c>
      <c r="O1433" t="s">
        <v>4357</v>
      </c>
      <c r="P1433">
        <v>564.35</v>
      </c>
      <c r="Q1433">
        <v>590</v>
      </c>
      <c r="R1433">
        <v>560.15</v>
      </c>
      <c r="S1433">
        <v>584.54999999999995</v>
      </c>
      <c r="T1433">
        <v>588</v>
      </c>
      <c r="U1433">
        <v>558.79999999999995</v>
      </c>
      <c r="W1433">
        <v>584.54999999999995</v>
      </c>
      <c r="Z1433">
        <v>152994</v>
      </c>
      <c r="AA1433">
        <v>88929031.349999994</v>
      </c>
      <c r="AB1433">
        <v>6782</v>
      </c>
      <c r="AC1433" t="s">
        <v>42</v>
      </c>
      <c r="AD1433">
        <v>1</v>
      </c>
    </row>
    <row r="1434" spans="1:30">
      <c r="A1434" t="str">
        <f>CONCATENATE(I1434,J1434)</f>
        <v>ISTLTDEQ</v>
      </c>
      <c r="B1434" s="34">
        <v>46273</v>
      </c>
      <c r="C1434" s="34">
        <v>46273</v>
      </c>
      <c r="D1434" t="s">
        <v>35</v>
      </c>
      <c r="E1434" t="s">
        <v>36</v>
      </c>
      <c r="F1434" t="s">
        <v>37</v>
      </c>
      <c r="G1434">
        <v>764718</v>
      </c>
      <c r="H1434" t="s">
        <v>4358</v>
      </c>
      <c r="I1434" t="s">
        <v>4359</v>
      </c>
      <c r="J1434" t="s">
        <v>161</v>
      </c>
      <c r="O1434" t="s">
        <v>4360</v>
      </c>
      <c r="P1434">
        <v>644</v>
      </c>
      <c r="Q1434">
        <v>675</v>
      </c>
      <c r="R1434">
        <v>644</v>
      </c>
      <c r="S1434">
        <v>651.79999999999995</v>
      </c>
      <c r="T1434">
        <v>663.55</v>
      </c>
      <c r="U1434">
        <v>654.9</v>
      </c>
      <c r="W1434">
        <v>651.1</v>
      </c>
      <c r="Z1434">
        <v>1022</v>
      </c>
      <c r="AA1434">
        <v>677263.7</v>
      </c>
      <c r="AB1434">
        <v>70</v>
      </c>
      <c r="AC1434" t="s">
        <v>42</v>
      </c>
      <c r="AD1434">
        <v>1</v>
      </c>
    </row>
    <row r="1435" spans="1:30">
      <c r="A1435" t="str">
        <f>CONCATENATE(I1435,J1435)</f>
        <v>IBLFLSM</v>
      </c>
      <c r="B1435" s="34">
        <v>46273</v>
      </c>
      <c r="C1435" s="34">
        <v>46273</v>
      </c>
      <c r="D1435" t="s">
        <v>35</v>
      </c>
      <c r="E1435" t="s">
        <v>36</v>
      </c>
      <c r="F1435" t="s">
        <v>37</v>
      </c>
      <c r="G1435">
        <v>21348</v>
      </c>
      <c r="H1435" t="s">
        <v>4361</v>
      </c>
      <c r="I1435" t="s">
        <v>4362</v>
      </c>
      <c r="J1435" t="s">
        <v>267</v>
      </c>
      <c r="O1435" t="s">
        <v>4363</v>
      </c>
      <c r="P1435">
        <v>59.45</v>
      </c>
      <c r="Q1435">
        <v>60.6</v>
      </c>
      <c r="R1435">
        <v>59.45</v>
      </c>
      <c r="S1435">
        <v>60.5</v>
      </c>
      <c r="T1435">
        <v>60.5</v>
      </c>
      <c r="U1435">
        <v>60.9</v>
      </c>
      <c r="W1435">
        <v>60.5</v>
      </c>
      <c r="Z1435">
        <v>12000</v>
      </c>
      <c r="AA1435">
        <v>724300</v>
      </c>
      <c r="AB1435">
        <v>6</v>
      </c>
      <c r="AC1435" t="s">
        <v>42</v>
      </c>
      <c r="AD1435">
        <v>2000</v>
      </c>
    </row>
    <row r="1436" spans="1:30">
      <c r="A1436" t="str">
        <f>CONCATENATE(I1436,J1436)</f>
        <v>ICELCOSM</v>
      </c>
      <c r="B1436" s="34">
        <v>46273</v>
      </c>
      <c r="C1436" s="34">
        <v>46273</v>
      </c>
      <c r="D1436" t="s">
        <v>35</v>
      </c>
      <c r="E1436" t="s">
        <v>36</v>
      </c>
      <c r="F1436" t="s">
        <v>37</v>
      </c>
      <c r="G1436">
        <v>764064</v>
      </c>
      <c r="H1436" t="s">
        <v>4364</v>
      </c>
      <c r="I1436" t="s">
        <v>4365</v>
      </c>
      <c r="J1436" t="s">
        <v>267</v>
      </c>
      <c r="O1436" t="s">
        <v>4366</v>
      </c>
      <c r="P1436">
        <v>121.4</v>
      </c>
      <c r="Q1436">
        <v>121.4</v>
      </c>
      <c r="R1436">
        <v>117</v>
      </c>
      <c r="S1436">
        <v>118.95</v>
      </c>
      <c r="T1436">
        <v>118.95</v>
      </c>
      <c r="U1436">
        <v>116.3</v>
      </c>
      <c r="W1436">
        <v>118.95</v>
      </c>
      <c r="Z1436">
        <v>25200</v>
      </c>
      <c r="AA1436">
        <v>2998560</v>
      </c>
      <c r="AB1436">
        <v>21</v>
      </c>
      <c r="AC1436" t="s">
        <v>42</v>
      </c>
      <c r="AD1436">
        <v>1200</v>
      </c>
    </row>
    <row r="1437" spans="1:30">
      <c r="A1437" t="str">
        <f>CONCATENATE(I1437,J1437)</f>
        <v>ICDSLTDEQ</v>
      </c>
      <c r="B1437" s="34">
        <v>46273</v>
      </c>
      <c r="C1437" s="34">
        <v>46273</v>
      </c>
      <c r="D1437" t="s">
        <v>35</v>
      </c>
      <c r="E1437" t="s">
        <v>36</v>
      </c>
      <c r="F1437" t="s">
        <v>37</v>
      </c>
      <c r="G1437">
        <v>6977</v>
      </c>
      <c r="H1437" t="s">
        <v>4367</v>
      </c>
      <c r="I1437" t="s">
        <v>4368</v>
      </c>
      <c r="J1437" t="s">
        <v>161</v>
      </c>
      <c r="O1437" t="s">
        <v>4369</v>
      </c>
      <c r="P1437">
        <v>65.099999999999994</v>
      </c>
      <c r="Q1437">
        <v>66</v>
      </c>
      <c r="R1437">
        <v>60.59</v>
      </c>
      <c r="S1437">
        <v>61.26</v>
      </c>
      <c r="T1437">
        <v>60.81</v>
      </c>
      <c r="U1437">
        <v>67.319999999999993</v>
      </c>
      <c r="W1437">
        <v>61.38</v>
      </c>
      <c r="Z1437">
        <v>22358</v>
      </c>
      <c r="AA1437">
        <v>1387417.97</v>
      </c>
      <c r="AB1437">
        <v>426</v>
      </c>
      <c r="AC1437" t="s">
        <v>42</v>
      </c>
      <c r="AD1437">
        <v>1</v>
      </c>
    </row>
    <row r="1438" spans="1:30">
      <c r="A1438" t="str">
        <f>CONCATENATE(I1438,J1438)</f>
        <v>ICEMAKEEQ</v>
      </c>
      <c r="B1438" s="34">
        <v>46273</v>
      </c>
      <c r="C1438" s="34">
        <v>46273</v>
      </c>
      <c r="D1438" t="s">
        <v>35</v>
      </c>
      <c r="E1438" t="s">
        <v>36</v>
      </c>
      <c r="F1438" t="s">
        <v>37</v>
      </c>
      <c r="G1438">
        <v>489</v>
      </c>
      <c r="H1438" t="s">
        <v>4370</v>
      </c>
      <c r="I1438" t="s">
        <v>4371</v>
      </c>
      <c r="J1438" t="s">
        <v>161</v>
      </c>
      <c r="O1438" t="s">
        <v>4372</v>
      </c>
      <c r="P1438">
        <v>723.9</v>
      </c>
      <c r="Q1438">
        <v>733</v>
      </c>
      <c r="R1438">
        <v>720</v>
      </c>
      <c r="S1438">
        <v>730.35</v>
      </c>
      <c r="T1438">
        <v>731</v>
      </c>
      <c r="U1438">
        <v>724.75</v>
      </c>
      <c r="W1438">
        <v>730.35</v>
      </c>
      <c r="Z1438">
        <v>9205</v>
      </c>
      <c r="AA1438">
        <v>6703779.8499999996</v>
      </c>
      <c r="AB1438">
        <v>899</v>
      </c>
      <c r="AC1438" t="s">
        <v>42</v>
      </c>
      <c r="AD1438">
        <v>1</v>
      </c>
    </row>
    <row r="1439" spans="1:30">
      <c r="A1439" t="str">
        <f>CONCATENATE(I1439,J1439)</f>
        <v>ICICIBANKEQ</v>
      </c>
      <c r="B1439" s="34">
        <v>46273</v>
      </c>
      <c r="C1439" s="34">
        <v>46273</v>
      </c>
      <c r="D1439" t="s">
        <v>35</v>
      </c>
      <c r="E1439" t="s">
        <v>36</v>
      </c>
      <c r="F1439" t="s">
        <v>37</v>
      </c>
      <c r="G1439">
        <v>4963</v>
      </c>
      <c r="H1439" t="s">
        <v>4373</v>
      </c>
      <c r="I1439" t="s">
        <v>4374</v>
      </c>
      <c r="J1439" t="s">
        <v>161</v>
      </c>
      <c r="O1439" t="s">
        <v>4375</v>
      </c>
      <c r="P1439">
        <v>1424</v>
      </c>
      <c r="Q1439">
        <v>1424.9</v>
      </c>
      <c r="R1439">
        <v>1396.3</v>
      </c>
      <c r="S1439">
        <v>1399.4</v>
      </c>
      <c r="T1439">
        <v>1399.4</v>
      </c>
      <c r="U1439">
        <v>1427.5</v>
      </c>
      <c r="W1439">
        <v>1399.4</v>
      </c>
      <c r="Z1439">
        <v>12123411</v>
      </c>
      <c r="AA1439">
        <v>17010302757.700001</v>
      </c>
      <c r="AB1439">
        <v>385562</v>
      </c>
      <c r="AC1439" t="s">
        <v>42</v>
      </c>
      <c r="AD1439">
        <v>1</v>
      </c>
    </row>
    <row r="1440" spans="1:30">
      <c r="A1440" t="str">
        <f>CONCATENATE(I1440,J1440)</f>
        <v>ICICIGIEQ</v>
      </c>
      <c r="B1440" s="34">
        <v>46273</v>
      </c>
      <c r="C1440" s="34">
        <v>46273</v>
      </c>
      <c r="D1440" t="s">
        <v>35</v>
      </c>
      <c r="E1440" t="s">
        <v>36</v>
      </c>
      <c r="F1440" t="s">
        <v>37</v>
      </c>
      <c r="G1440">
        <v>21770</v>
      </c>
      <c r="H1440" t="s">
        <v>4376</v>
      </c>
      <c r="I1440" t="s">
        <v>4377</v>
      </c>
      <c r="J1440" t="s">
        <v>161</v>
      </c>
      <c r="O1440" t="s">
        <v>4378</v>
      </c>
      <c r="P1440">
        <v>1500</v>
      </c>
      <c r="Q1440">
        <v>1503.3</v>
      </c>
      <c r="R1440">
        <v>1474.5</v>
      </c>
      <c r="S1440">
        <v>1484.4</v>
      </c>
      <c r="T1440">
        <v>1484.4</v>
      </c>
      <c r="U1440">
        <v>1493.4</v>
      </c>
      <c r="W1440">
        <v>1484.3</v>
      </c>
      <c r="Z1440">
        <v>458407</v>
      </c>
      <c r="AA1440">
        <v>679691418.10000002</v>
      </c>
      <c r="AB1440">
        <v>24690</v>
      </c>
      <c r="AC1440" t="s">
        <v>42</v>
      </c>
      <c r="AD1440">
        <v>1</v>
      </c>
    </row>
    <row r="1441" spans="1:30">
      <c r="A1441" t="str">
        <f>CONCATENATE(I1441,J1441)</f>
        <v>LOWVOLIETFEQ</v>
      </c>
      <c r="B1441" s="34">
        <v>46273</v>
      </c>
      <c r="C1441" s="34">
        <v>46273</v>
      </c>
      <c r="D1441" t="s">
        <v>35</v>
      </c>
      <c r="E1441" t="s">
        <v>36</v>
      </c>
      <c r="F1441" t="s">
        <v>37</v>
      </c>
      <c r="G1441">
        <v>21254</v>
      </c>
      <c r="H1441" t="s">
        <v>4379</v>
      </c>
      <c r="I1441" t="s">
        <v>4380</v>
      </c>
      <c r="J1441" t="s">
        <v>161</v>
      </c>
      <c r="O1441" t="s">
        <v>4381</v>
      </c>
      <c r="P1441">
        <v>22.08</v>
      </c>
      <c r="Q1441">
        <v>22.08</v>
      </c>
      <c r="R1441">
        <v>21.7</v>
      </c>
      <c r="S1441">
        <v>21.73</v>
      </c>
      <c r="T1441">
        <v>21.74</v>
      </c>
      <c r="U1441">
        <v>21.84</v>
      </c>
      <c r="W1441">
        <v>21.73</v>
      </c>
      <c r="Z1441">
        <v>2664933</v>
      </c>
      <c r="AA1441">
        <v>57969364.5</v>
      </c>
      <c r="AB1441">
        <v>1221</v>
      </c>
      <c r="AC1441" t="s">
        <v>42</v>
      </c>
      <c r="AD1441">
        <v>1</v>
      </c>
    </row>
    <row r="1442" spans="1:30">
      <c r="A1442" t="str">
        <f>CONCATENATE(I1442,J1442)</f>
        <v>ICICIPRULIEQ</v>
      </c>
      <c r="B1442" s="34">
        <v>46273</v>
      </c>
      <c r="C1442" s="34">
        <v>46273</v>
      </c>
      <c r="D1442" t="s">
        <v>35</v>
      </c>
      <c r="E1442" t="s">
        <v>36</v>
      </c>
      <c r="F1442" t="s">
        <v>37</v>
      </c>
      <c r="G1442">
        <v>18652</v>
      </c>
      <c r="H1442" t="s">
        <v>4382</v>
      </c>
      <c r="I1442" t="s">
        <v>4383</v>
      </c>
      <c r="J1442" t="s">
        <v>161</v>
      </c>
      <c r="O1442" t="s">
        <v>4384</v>
      </c>
      <c r="P1442">
        <v>476.85</v>
      </c>
      <c r="Q1442">
        <v>478.35</v>
      </c>
      <c r="R1442">
        <v>466.25</v>
      </c>
      <c r="S1442">
        <v>469.3</v>
      </c>
      <c r="T1442">
        <v>469.3</v>
      </c>
      <c r="U1442">
        <v>470.65</v>
      </c>
      <c r="W1442">
        <v>469.3</v>
      </c>
      <c r="Z1442">
        <v>1191834</v>
      </c>
      <c r="AA1442">
        <v>560631632.25</v>
      </c>
      <c r="AB1442">
        <v>56272</v>
      </c>
      <c r="AC1442" t="s">
        <v>42</v>
      </c>
      <c r="AD1442">
        <v>1</v>
      </c>
    </row>
    <row r="1443" spans="1:30">
      <c r="A1443" t="str">
        <f>CONCATENATE(I1443,J1443)</f>
        <v>MIDSELIETFEQ</v>
      </c>
      <c r="B1443" s="34">
        <v>46273</v>
      </c>
      <c r="C1443" s="34">
        <v>46273</v>
      </c>
      <c r="D1443" t="s">
        <v>35</v>
      </c>
      <c r="E1443" t="s">
        <v>36</v>
      </c>
      <c r="F1443" t="s">
        <v>37</v>
      </c>
      <c r="G1443">
        <v>17702</v>
      </c>
      <c r="H1443" t="s">
        <v>4385</v>
      </c>
      <c r="I1443" t="s">
        <v>4386</v>
      </c>
      <c r="J1443" t="s">
        <v>161</v>
      </c>
      <c r="O1443" t="s">
        <v>4387</v>
      </c>
      <c r="P1443">
        <v>19.78</v>
      </c>
      <c r="Q1443">
        <v>19.93</v>
      </c>
      <c r="R1443">
        <v>19.75</v>
      </c>
      <c r="S1443">
        <v>19.89</v>
      </c>
      <c r="T1443">
        <v>19.93</v>
      </c>
      <c r="U1443">
        <v>19.78</v>
      </c>
      <c r="W1443">
        <v>19.89</v>
      </c>
      <c r="Z1443">
        <v>139612</v>
      </c>
      <c r="AA1443">
        <v>2775267.69</v>
      </c>
      <c r="AB1443">
        <v>557</v>
      </c>
      <c r="AC1443" t="s">
        <v>42</v>
      </c>
      <c r="AD1443">
        <v>1</v>
      </c>
    </row>
    <row r="1444" spans="1:30">
      <c r="A1444" t="str">
        <f>CONCATENATE(I1444,J1444)</f>
        <v>NIF100IETFEQ</v>
      </c>
      <c r="B1444" s="34">
        <v>46273</v>
      </c>
      <c r="C1444" s="34">
        <v>46273</v>
      </c>
      <c r="D1444" t="s">
        <v>35</v>
      </c>
      <c r="E1444" t="s">
        <v>36</v>
      </c>
      <c r="F1444" t="s">
        <v>37</v>
      </c>
      <c r="G1444">
        <v>30392</v>
      </c>
      <c r="H1444" t="s">
        <v>4388</v>
      </c>
      <c r="I1444" t="s">
        <v>4389</v>
      </c>
      <c r="J1444" t="s">
        <v>161</v>
      </c>
      <c r="O1444" t="s">
        <v>4390</v>
      </c>
      <c r="P1444">
        <v>28.52</v>
      </c>
      <c r="Q1444">
        <v>28.52</v>
      </c>
      <c r="R1444">
        <v>27.68</v>
      </c>
      <c r="S1444">
        <v>27.77</v>
      </c>
      <c r="T1444">
        <v>27.75</v>
      </c>
      <c r="U1444">
        <v>27.83</v>
      </c>
      <c r="W1444">
        <v>27.77</v>
      </c>
      <c r="Z1444">
        <v>62921</v>
      </c>
      <c r="AA1444">
        <v>1746556.14</v>
      </c>
      <c r="AB1444">
        <v>1386</v>
      </c>
      <c r="AC1444" t="s">
        <v>42</v>
      </c>
      <c r="AD1444">
        <v>1</v>
      </c>
    </row>
    <row r="1445" spans="1:30">
      <c r="A1445" t="str">
        <f>CONCATENATE(I1445,J1445)</f>
        <v>NIFTYIETFEQ</v>
      </c>
      <c r="B1445" s="34">
        <v>46273</v>
      </c>
      <c r="C1445" s="34">
        <v>46273</v>
      </c>
      <c r="D1445" t="s">
        <v>35</v>
      </c>
      <c r="E1445" t="s">
        <v>36</v>
      </c>
      <c r="F1445" t="s">
        <v>37</v>
      </c>
      <c r="G1445">
        <v>29553</v>
      </c>
      <c r="H1445" t="s">
        <v>4391</v>
      </c>
      <c r="I1445" t="s">
        <v>4392</v>
      </c>
      <c r="J1445" t="s">
        <v>161</v>
      </c>
      <c r="O1445" t="s">
        <v>4393</v>
      </c>
      <c r="P1445">
        <v>274</v>
      </c>
      <c r="Q1445">
        <v>274</v>
      </c>
      <c r="R1445">
        <v>268.36</v>
      </c>
      <c r="S1445">
        <v>268.88</v>
      </c>
      <c r="T1445">
        <v>268.87</v>
      </c>
      <c r="U1445">
        <v>269.60000000000002</v>
      </c>
      <c r="W1445">
        <v>268.88</v>
      </c>
      <c r="Z1445">
        <v>673504</v>
      </c>
      <c r="AA1445">
        <v>181103387.80000001</v>
      </c>
      <c r="AB1445">
        <v>11525</v>
      </c>
      <c r="AC1445" t="s">
        <v>42</v>
      </c>
      <c r="AD1445">
        <v>1</v>
      </c>
    </row>
    <row r="1446" spans="1:30">
      <c r="A1446" t="str">
        <f>CONCATENATE(I1446,J1446)</f>
        <v>SENSEXIETFEQ</v>
      </c>
      <c r="B1446" s="34">
        <v>46273</v>
      </c>
      <c r="C1446" s="34">
        <v>46273</v>
      </c>
      <c r="D1446" t="s">
        <v>35</v>
      </c>
      <c r="E1446" t="s">
        <v>36</v>
      </c>
      <c r="F1446" t="s">
        <v>37</v>
      </c>
      <c r="G1446">
        <v>4378</v>
      </c>
      <c r="H1446" t="s">
        <v>4394</v>
      </c>
      <c r="I1446" t="s">
        <v>4395</v>
      </c>
      <c r="J1446" t="s">
        <v>161</v>
      </c>
      <c r="O1446" t="s">
        <v>4396</v>
      </c>
      <c r="P1446">
        <v>873.01</v>
      </c>
      <c r="Q1446">
        <v>876.37</v>
      </c>
      <c r="R1446">
        <v>871</v>
      </c>
      <c r="S1446">
        <v>872.03</v>
      </c>
      <c r="T1446">
        <v>874.51</v>
      </c>
      <c r="U1446">
        <v>876.69</v>
      </c>
      <c r="W1446">
        <v>872.1</v>
      </c>
      <c r="Z1446">
        <v>6871</v>
      </c>
      <c r="AA1446">
        <v>5994632.3200000003</v>
      </c>
      <c r="AB1446">
        <v>447</v>
      </c>
      <c r="AC1446" t="s">
        <v>42</v>
      </c>
      <c r="AD1446">
        <v>1</v>
      </c>
    </row>
    <row r="1447" spans="1:30">
      <c r="A1447" t="str">
        <f>CONCATENATE(I1447,J1447)</f>
        <v>ICICIAMCEQ</v>
      </c>
      <c r="B1447" s="34">
        <v>46273</v>
      </c>
      <c r="C1447" s="34">
        <v>46273</v>
      </c>
      <c r="D1447" t="s">
        <v>35</v>
      </c>
      <c r="E1447" t="s">
        <v>36</v>
      </c>
      <c r="F1447" t="s">
        <v>37</v>
      </c>
      <c r="G1447">
        <v>760407</v>
      </c>
      <c r="H1447" t="s">
        <v>4397</v>
      </c>
      <c r="I1447" t="s">
        <v>4398</v>
      </c>
      <c r="J1447" t="s">
        <v>161</v>
      </c>
      <c r="O1447" t="s">
        <v>4399</v>
      </c>
      <c r="P1447">
        <v>3001</v>
      </c>
      <c r="Q1447">
        <v>3031.9</v>
      </c>
      <c r="R1447">
        <v>2983.8</v>
      </c>
      <c r="S1447">
        <v>3013</v>
      </c>
      <c r="T1447">
        <v>3001</v>
      </c>
      <c r="U1447">
        <v>3013.7</v>
      </c>
      <c r="W1447">
        <v>3013.11</v>
      </c>
      <c r="Z1447">
        <v>309852</v>
      </c>
      <c r="AA1447">
        <v>933052532.5</v>
      </c>
      <c r="AB1447">
        <v>35761</v>
      </c>
      <c r="AC1447" t="s">
        <v>42</v>
      </c>
      <c r="AD1447">
        <v>1</v>
      </c>
    </row>
    <row r="1448" spans="1:30">
      <c r="A1448" t="str">
        <f>CONCATENATE(I1448,J1448)</f>
        <v>GOLDIETFEQ</v>
      </c>
      <c r="B1448" s="34">
        <v>46273</v>
      </c>
      <c r="C1448" s="34">
        <v>46273</v>
      </c>
      <c r="D1448" t="s">
        <v>35</v>
      </c>
      <c r="E1448" t="s">
        <v>36</v>
      </c>
      <c r="F1448" t="s">
        <v>37</v>
      </c>
      <c r="G1448">
        <v>19679</v>
      </c>
      <c r="H1448" t="s">
        <v>4400</v>
      </c>
      <c r="I1448" t="s">
        <v>4401</v>
      </c>
      <c r="J1448" t="s">
        <v>161</v>
      </c>
      <c r="O1448" t="s">
        <v>4402</v>
      </c>
      <c r="P1448">
        <v>131.25</v>
      </c>
      <c r="Q1448">
        <v>131.30000000000001</v>
      </c>
      <c r="R1448">
        <v>129.80000000000001</v>
      </c>
      <c r="S1448">
        <v>130.38</v>
      </c>
      <c r="T1448">
        <v>130.41</v>
      </c>
      <c r="U1448">
        <v>130.01</v>
      </c>
      <c r="W1448">
        <v>130.38</v>
      </c>
      <c r="Z1448">
        <v>3793599</v>
      </c>
      <c r="AA1448">
        <v>494890800.94999999</v>
      </c>
      <c r="AB1448">
        <v>24854</v>
      </c>
      <c r="AC1448" t="s">
        <v>42</v>
      </c>
      <c r="AD1448">
        <v>1</v>
      </c>
    </row>
    <row r="1449" spans="1:30">
      <c r="A1449" t="str">
        <f>CONCATENATE(I1449,J1449)</f>
        <v>NV20IETFEQ</v>
      </c>
      <c r="B1449" s="34">
        <v>46273</v>
      </c>
      <c r="C1449" s="34">
        <v>46273</v>
      </c>
      <c r="D1449" t="s">
        <v>35</v>
      </c>
      <c r="E1449" t="s">
        <v>36</v>
      </c>
      <c r="F1449" t="s">
        <v>37</v>
      </c>
      <c r="G1449">
        <v>17475</v>
      </c>
      <c r="H1449" t="s">
        <v>4403</v>
      </c>
      <c r="I1449" t="s">
        <v>4404</v>
      </c>
      <c r="J1449" t="s">
        <v>161</v>
      </c>
      <c r="O1449" t="s">
        <v>4405</v>
      </c>
      <c r="P1449">
        <v>13.56</v>
      </c>
      <c r="Q1449">
        <v>13.56</v>
      </c>
      <c r="R1449">
        <v>13.4</v>
      </c>
      <c r="S1449">
        <v>13.42</v>
      </c>
      <c r="T1449">
        <v>13.45</v>
      </c>
      <c r="U1449">
        <v>13.49</v>
      </c>
      <c r="W1449">
        <v>13.42</v>
      </c>
      <c r="Z1449">
        <v>703019</v>
      </c>
      <c r="AA1449">
        <v>9437451.0199999996</v>
      </c>
      <c r="AB1449">
        <v>1968</v>
      </c>
      <c r="AC1449" t="s">
        <v>42</v>
      </c>
      <c r="AD1449">
        <v>1</v>
      </c>
    </row>
    <row r="1450" spans="1:30">
      <c r="A1450" t="str">
        <f>CONCATENATE(I1450,J1450)</f>
        <v>ICICIB22EQ</v>
      </c>
      <c r="B1450" s="34">
        <v>46273</v>
      </c>
      <c r="C1450" s="34">
        <v>46273</v>
      </c>
      <c r="D1450" t="s">
        <v>35</v>
      </c>
      <c r="E1450" t="s">
        <v>36</v>
      </c>
      <c r="F1450" t="s">
        <v>37</v>
      </c>
      <c r="G1450">
        <v>522</v>
      </c>
      <c r="H1450" t="s">
        <v>4406</v>
      </c>
      <c r="I1450" t="s">
        <v>4407</v>
      </c>
      <c r="J1450" t="s">
        <v>161</v>
      </c>
      <c r="O1450" t="s">
        <v>4408</v>
      </c>
      <c r="P1450">
        <v>113.49</v>
      </c>
      <c r="Q1450">
        <v>114.48</v>
      </c>
      <c r="R1450">
        <v>113.46</v>
      </c>
      <c r="S1450">
        <v>113.91</v>
      </c>
      <c r="T1450">
        <v>114</v>
      </c>
      <c r="U1450">
        <v>113.84</v>
      </c>
      <c r="W1450">
        <v>113.91</v>
      </c>
      <c r="Z1450">
        <v>437422</v>
      </c>
      <c r="AA1450">
        <v>49780114.039999999</v>
      </c>
      <c r="AB1450">
        <v>2763</v>
      </c>
      <c r="AC1450" t="s">
        <v>42</v>
      </c>
      <c r="AD1450">
        <v>1</v>
      </c>
    </row>
    <row r="1451" spans="1:30">
      <c r="A1451" t="str">
        <f>CONCATENATE(I1451,J1451)</f>
        <v>CASHIETFEQ</v>
      </c>
      <c r="B1451" s="34">
        <v>46273</v>
      </c>
      <c r="C1451" s="34">
        <v>46273</v>
      </c>
      <c r="D1451" t="s">
        <v>35</v>
      </c>
      <c r="E1451" t="s">
        <v>36</v>
      </c>
      <c r="F1451" t="s">
        <v>37</v>
      </c>
      <c r="G1451">
        <v>30139</v>
      </c>
      <c r="H1451" t="s">
        <v>4409</v>
      </c>
      <c r="I1451" t="s">
        <v>4410</v>
      </c>
      <c r="J1451" t="s">
        <v>161</v>
      </c>
      <c r="O1451" t="s">
        <v>4411</v>
      </c>
      <c r="P1451">
        <v>1078.6099999999999</v>
      </c>
      <c r="Q1451">
        <v>1078.6300000000001</v>
      </c>
      <c r="R1451">
        <v>1078.6099999999999</v>
      </c>
      <c r="S1451">
        <v>1078.6099999999999</v>
      </c>
      <c r="T1451">
        <v>1078.6099999999999</v>
      </c>
      <c r="U1451">
        <v>1078.48</v>
      </c>
      <c r="W1451">
        <v>1078.6099999999999</v>
      </c>
      <c r="Z1451">
        <v>66567</v>
      </c>
      <c r="AA1451">
        <v>71800685.420000002</v>
      </c>
      <c r="AB1451">
        <v>123</v>
      </c>
      <c r="AC1451" t="s">
        <v>42</v>
      </c>
      <c r="AD1451">
        <v>1</v>
      </c>
    </row>
    <row r="1452" spans="1:30">
      <c r="A1452" t="str">
        <f>CONCATENATE(I1452,J1452)</f>
        <v>EVIETFEQ</v>
      </c>
      <c r="B1452" s="34">
        <v>46273</v>
      </c>
      <c r="C1452" s="34">
        <v>46273</v>
      </c>
      <c r="D1452" t="s">
        <v>35</v>
      </c>
      <c r="E1452" t="s">
        <v>36</v>
      </c>
      <c r="F1452" t="s">
        <v>37</v>
      </c>
      <c r="G1452">
        <v>755881</v>
      </c>
      <c r="H1452" t="s">
        <v>4412</v>
      </c>
      <c r="I1452" t="s">
        <v>4413</v>
      </c>
      <c r="J1452" t="s">
        <v>161</v>
      </c>
      <c r="O1452" t="s">
        <v>4414</v>
      </c>
      <c r="P1452">
        <v>32.270000000000003</v>
      </c>
      <c r="Q1452">
        <v>34.18</v>
      </c>
      <c r="R1452">
        <v>32</v>
      </c>
      <c r="S1452">
        <v>32.479999999999997</v>
      </c>
      <c r="T1452">
        <v>32.51</v>
      </c>
      <c r="U1452">
        <v>32.270000000000003</v>
      </c>
      <c r="W1452">
        <v>32.49</v>
      </c>
      <c r="Z1452">
        <v>211175</v>
      </c>
      <c r="AA1452">
        <v>6826521.9800000004</v>
      </c>
      <c r="AB1452">
        <v>774</v>
      </c>
      <c r="AC1452" t="s">
        <v>42</v>
      </c>
      <c r="AD1452">
        <v>1</v>
      </c>
    </row>
    <row r="1453" spans="1:30">
      <c r="A1453" t="str">
        <f>CONCATENATE(I1453,J1453)</f>
        <v>GSEC10IETFEQ</v>
      </c>
      <c r="B1453" s="34">
        <v>46273</v>
      </c>
      <c r="C1453" s="34">
        <v>46273</v>
      </c>
      <c r="D1453" t="s">
        <v>35</v>
      </c>
      <c r="E1453" t="s">
        <v>36</v>
      </c>
      <c r="F1453" t="s">
        <v>37</v>
      </c>
      <c r="G1453">
        <v>13143</v>
      </c>
      <c r="H1453" t="s">
        <v>4415</v>
      </c>
      <c r="I1453" t="s">
        <v>4416</v>
      </c>
      <c r="J1453" t="s">
        <v>161</v>
      </c>
      <c r="O1453" t="s">
        <v>4417</v>
      </c>
      <c r="P1453">
        <v>262.18</v>
      </c>
      <c r="Q1453">
        <v>262.18</v>
      </c>
      <c r="R1453">
        <v>262.18</v>
      </c>
      <c r="S1453">
        <v>262.18</v>
      </c>
      <c r="T1453">
        <v>262.18</v>
      </c>
      <c r="U1453">
        <v>261.92</v>
      </c>
      <c r="W1453">
        <v>263.49</v>
      </c>
      <c r="Z1453">
        <v>100</v>
      </c>
      <c r="AA1453">
        <v>26218</v>
      </c>
      <c r="AB1453">
        <v>1</v>
      </c>
      <c r="AC1453" t="s">
        <v>42</v>
      </c>
      <c r="AD1453">
        <v>1</v>
      </c>
    </row>
    <row r="1454" spans="1:30">
      <c r="A1454" t="str">
        <f>CONCATENATE(I1454,J1454)</f>
        <v>BSE500IETFEQ</v>
      </c>
      <c r="B1454" s="34">
        <v>46273</v>
      </c>
      <c r="C1454" s="34">
        <v>46273</v>
      </c>
      <c r="D1454" t="s">
        <v>35</v>
      </c>
      <c r="E1454" t="s">
        <v>36</v>
      </c>
      <c r="F1454" t="s">
        <v>37</v>
      </c>
      <c r="G1454">
        <v>3001</v>
      </c>
      <c r="H1454" t="s">
        <v>4418</v>
      </c>
      <c r="I1454" t="s">
        <v>4419</v>
      </c>
      <c r="J1454" t="s">
        <v>161</v>
      </c>
      <c r="O1454" t="s">
        <v>4420</v>
      </c>
      <c r="P1454">
        <v>40.049999999999997</v>
      </c>
      <c r="Q1454">
        <v>40.25</v>
      </c>
      <c r="R1454">
        <v>39.049999999999997</v>
      </c>
      <c r="S1454">
        <v>39.19</v>
      </c>
      <c r="T1454">
        <v>39.200000000000003</v>
      </c>
      <c r="U1454">
        <v>39.26</v>
      </c>
      <c r="W1454">
        <v>39.19</v>
      </c>
      <c r="Z1454">
        <v>131875</v>
      </c>
      <c r="AA1454">
        <v>5163645.3099999996</v>
      </c>
      <c r="AB1454">
        <v>1158</v>
      </c>
      <c r="AC1454" t="s">
        <v>42</v>
      </c>
      <c r="AD1454">
        <v>1</v>
      </c>
    </row>
    <row r="1455" spans="1:30">
      <c r="A1455" t="str">
        <f>CONCATENATE(I1455,J1455)</f>
        <v>GSEC5IETFEQ</v>
      </c>
      <c r="B1455" s="34">
        <v>46273</v>
      </c>
      <c r="C1455" s="34">
        <v>46273</v>
      </c>
      <c r="D1455" t="s">
        <v>35</v>
      </c>
      <c r="E1455" t="s">
        <v>36</v>
      </c>
      <c r="F1455" t="s">
        <v>37</v>
      </c>
      <c r="G1455">
        <v>8342</v>
      </c>
      <c r="H1455" t="s">
        <v>4421</v>
      </c>
      <c r="I1455" t="s">
        <v>4422</v>
      </c>
      <c r="J1455" t="s">
        <v>161</v>
      </c>
      <c r="O1455" t="s">
        <v>4423</v>
      </c>
      <c r="P1455">
        <v>66.72</v>
      </c>
      <c r="Q1455">
        <v>67.11</v>
      </c>
      <c r="R1455">
        <v>66.2</v>
      </c>
      <c r="S1455">
        <v>66.239999999999995</v>
      </c>
      <c r="T1455">
        <v>66.92</v>
      </c>
      <c r="U1455">
        <v>66.5</v>
      </c>
      <c r="W1455">
        <v>66.239999999999995</v>
      </c>
      <c r="Z1455">
        <v>8567</v>
      </c>
      <c r="AA1455">
        <v>570608.18999999994</v>
      </c>
      <c r="AB1455">
        <v>43</v>
      </c>
      <c r="AC1455" t="s">
        <v>42</v>
      </c>
      <c r="AD1455">
        <v>1</v>
      </c>
    </row>
    <row r="1456" spans="1:30">
      <c r="A1456" t="str">
        <f>CONCATENATE(I1456,J1456)</f>
        <v>ALPL30IETFEQ</v>
      </c>
      <c r="B1456" s="34">
        <v>46273</v>
      </c>
      <c r="C1456" s="34">
        <v>46273</v>
      </c>
      <c r="D1456" t="s">
        <v>35</v>
      </c>
      <c r="E1456" t="s">
        <v>36</v>
      </c>
      <c r="F1456" t="s">
        <v>37</v>
      </c>
      <c r="G1456">
        <v>22344</v>
      </c>
      <c r="H1456" t="s">
        <v>4424</v>
      </c>
      <c r="I1456" t="s">
        <v>4425</v>
      </c>
      <c r="J1456" t="s">
        <v>161</v>
      </c>
      <c r="O1456" t="s">
        <v>4426</v>
      </c>
      <c r="P1456">
        <v>27.5</v>
      </c>
      <c r="Q1456">
        <v>27.5</v>
      </c>
      <c r="R1456">
        <v>27.41</v>
      </c>
      <c r="S1456">
        <v>27.46</v>
      </c>
      <c r="T1456">
        <v>27.46</v>
      </c>
      <c r="U1456">
        <v>27.49</v>
      </c>
      <c r="W1456">
        <v>27.46</v>
      </c>
      <c r="Z1456">
        <v>160858</v>
      </c>
      <c r="AA1456">
        <v>4415394.6500000004</v>
      </c>
      <c r="AB1456">
        <v>795</v>
      </c>
      <c r="AC1456" t="s">
        <v>42</v>
      </c>
      <c r="AD1456">
        <v>1</v>
      </c>
    </row>
    <row r="1457" spans="1:30">
      <c r="A1457" t="str">
        <f>CONCATENATE(I1457,J1457)</f>
        <v>AUTOIETFEQ</v>
      </c>
      <c r="B1457" s="34">
        <v>46273</v>
      </c>
      <c r="C1457" s="34">
        <v>46273</v>
      </c>
      <c r="D1457" t="s">
        <v>35</v>
      </c>
      <c r="E1457" t="s">
        <v>36</v>
      </c>
      <c r="F1457" t="s">
        <v>37</v>
      </c>
      <c r="G1457">
        <v>7844</v>
      </c>
      <c r="H1457" t="s">
        <v>4427</v>
      </c>
      <c r="I1457" t="s">
        <v>4428</v>
      </c>
      <c r="J1457" t="s">
        <v>161</v>
      </c>
      <c r="O1457" t="s">
        <v>4429</v>
      </c>
      <c r="P1457">
        <v>28.81</v>
      </c>
      <c r="Q1457">
        <v>28.95</v>
      </c>
      <c r="R1457">
        <v>28.51</v>
      </c>
      <c r="S1457">
        <v>28.82</v>
      </c>
      <c r="T1457">
        <v>28.9</v>
      </c>
      <c r="U1457">
        <v>28.81</v>
      </c>
      <c r="W1457">
        <v>28.81</v>
      </c>
      <c r="Z1457">
        <v>366585</v>
      </c>
      <c r="AA1457">
        <v>10515344.42</v>
      </c>
      <c r="AB1457">
        <v>2257</v>
      </c>
      <c r="AC1457" t="s">
        <v>42</v>
      </c>
      <c r="AD1457">
        <v>1</v>
      </c>
    </row>
    <row r="1458" spans="1:30">
      <c r="A1458" t="str">
        <f>CONCATENATE(I1458,J1458)</f>
        <v>PVTBANIETFEQ</v>
      </c>
      <c r="B1458" s="34">
        <v>46273</v>
      </c>
      <c r="C1458" s="34">
        <v>46273</v>
      </c>
      <c r="D1458" t="s">
        <v>35</v>
      </c>
      <c r="E1458" t="s">
        <v>36</v>
      </c>
      <c r="F1458" t="s">
        <v>37</v>
      </c>
      <c r="G1458">
        <v>11386</v>
      </c>
      <c r="H1458" t="s">
        <v>4430</v>
      </c>
      <c r="I1458" t="s">
        <v>4431</v>
      </c>
      <c r="J1458" t="s">
        <v>161</v>
      </c>
      <c r="O1458" t="s">
        <v>4432</v>
      </c>
      <c r="P1458">
        <v>27.92</v>
      </c>
      <c r="Q1458">
        <v>28</v>
      </c>
      <c r="R1458">
        <v>27.75</v>
      </c>
      <c r="S1458">
        <v>27.8</v>
      </c>
      <c r="T1458">
        <v>27.89</v>
      </c>
      <c r="U1458">
        <v>28.02</v>
      </c>
      <c r="W1458">
        <v>27.8</v>
      </c>
      <c r="Z1458">
        <v>824898</v>
      </c>
      <c r="AA1458">
        <v>22995974.170000002</v>
      </c>
      <c r="AB1458">
        <v>1451</v>
      </c>
      <c r="AC1458" t="s">
        <v>42</v>
      </c>
      <c r="AD1458">
        <v>1</v>
      </c>
    </row>
    <row r="1459" spans="1:30">
      <c r="A1459" t="str">
        <f>CONCATENATE(I1459,J1459)</f>
        <v>COMMOIETFEQ</v>
      </c>
      <c r="B1459" s="34">
        <v>46273</v>
      </c>
      <c r="C1459" s="34">
        <v>46273</v>
      </c>
      <c r="D1459" t="s">
        <v>35</v>
      </c>
      <c r="E1459" t="s">
        <v>36</v>
      </c>
      <c r="F1459" t="s">
        <v>37</v>
      </c>
      <c r="G1459">
        <v>13198</v>
      </c>
      <c r="H1459" t="s">
        <v>4433</v>
      </c>
      <c r="I1459" t="s">
        <v>4434</v>
      </c>
      <c r="J1459" t="s">
        <v>161</v>
      </c>
      <c r="O1459" t="s">
        <v>4435</v>
      </c>
      <c r="P1459">
        <v>98.77</v>
      </c>
      <c r="Q1459">
        <v>101.4</v>
      </c>
      <c r="R1459">
        <v>98</v>
      </c>
      <c r="S1459">
        <v>98.68</v>
      </c>
      <c r="T1459">
        <v>99.21</v>
      </c>
      <c r="U1459">
        <v>99.07</v>
      </c>
      <c r="W1459">
        <v>98.69</v>
      </c>
      <c r="Z1459">
        <v>46454</v>
      </c>
      <c r="AA1459">
        <v>4585764.16</v>
      </c>
      <c r="AB1459">
        <v>3019</v>
      </c>
      <c r="AC1459" t="s">
        <v>42</v>
      </c>
      <c r="AD1459">
        <v>1</v>
      </c>
    </row>
    <row r="1460" spans="1:30">
      <c r="A1460" t="str">
        <f>CONCATENATE(I1460,J1460)</f>
        <v>CONSUMIETFEQ</v>
      </c>
      <c r="B1460" s="34">
        <v>46273</v>
      </c>
      <c r="C1460" s="34">
        <v>46273</v>
      </c>
      <c r="D1460" t="s">
        <v>35</v>
      </c>
      <c r="E1460" t="s">
        <v>36</v>
      </c>
      <c r="F1460" t="s">
        <v>37</v>
      </c>
      <c r="G1460">
        <v>6446</v>
      </c>
      <c r="H1460" t="s">
        <v>4436</v>
      </c>
      <c r="I1460" t="s">
        <v>4437</v>
      </c>
      <c r="J1460" t="s">
        <v>161</v>
      </c>
      <c r="O1460" t="s">
        <v>4438</v>
      </c>
      <c r="P1460">
        <v>119.99</v>
      </c>
      <c r="Q1460">
        <v>120.24</v>
      </c>
      <c r="R1460">
        <v>119.35</v>
      </c>
      <c r="S1460">
        <v>119.96</v>
      </c>
      <c r="T1460">
        <v>119.85</v>
      </c>
      <c r="U1460">
        <v>120.02</v>
      </c>
      <c r="W1460">
        <v>119.83</v>
      </c>
      <c r="Z1460">
        <v>18938</v>
      </c>
      <c r="AA1460">
        <v>2268573.92</v>
      </c>
      <c r="AB1460">
        <v>143</v>
      </c>
      <c r="AC1460" t="s">
        <v>42</v>
      </c>
      <c r="AD1460">
        <v>1</v>
      </c>
    </row>
    <row r="1461" spans="1:30">
      <c r="A1461" t="str">
        <f>CONCATENATE(I1461,J1461)</f>
        <v>FMCGIETFEQ</v>
      </c>
      <c r="B1461" s="34">
        <v>46273</v>
      </c>
      <c r="C1461" s="34">
        <v>46273</v>
      </c>
      <c r="D1461" t="s">
        <v>35</v>
      </c>
      <c r="E1461" t="s">
        <v>36</v>
      </c>
      <c r="F1461" t="s">
        <v>37</v>
      </c>
      <c r="G1461">
        <v>5306</v>
      </c>
      <c r="H1461" t="s">
        <v>4439</v>
      </c>
      <c r="I1461" t="s">
        <v>4440</v>
      </c>
      <c r="J1461" t="s">
        <v>161</v>
      </c>
      <c r="O1461" t="s">
        <v>4441</v>
      </c>
      <c r="P1461">
        <v>49.32</v>
      </c>
      <c r="Q1461">
        <v>49.5</v>
      </c>
      <c r="R1461">
        <v>48.92</v>
      </c>
      <c r="S1461">
        <v>49.31</v>
      </c>
      <c r="T1461">
        <v>49.46</v>
      </c>
      <c r="U1461">
        <v>49.17</v>
      </c>
      <c r="W1461">
        <v>49.31</v>
      </c>
      <c r="Z1461">
        <v>2380827</v>
      </c>
      <c r="AA1461">
        <v>117406941.25</v>
      </c>
      <c r="AB1461">
        <v>4186</v>
      </c>
      <c r="AC1461" t="s">
        <v>42</v>
      </c>
      <c r="AD1461">
        <v>1</v>
      </c>
    </row>
    <row r="1462" spans="1:30">
      <c r="A1462" t="str">
        <f>CONCATENATE(I1462,J1462)</f>
        <v>INFRAIETFEQ</v>
      </c>
      <c r="B1462" s="34">
        <v>46273</v>
      </c>
      <c r="C1462" s="34">
        <v>46273</v>
      </c>
      <c r="D1462" t="s">
        <v>35</v>
      </c>
      <c r="E1462" t="s">
        <v>36</v>
      </c>
      <c r="F1462" t="s">
        <v>37</v>
      </c>
      <c r="G1462">
        <v>10723</v>
      </c>
      <c r="H1462" t="s">
        <v>4442</v>
      </c>
      <c r="I1462" t="s">
        <v>4443</v>
      </c>
      <c r="J1462" t="s">
        <v>161</v>
      </c>
      <c r="O1462" t="s">
        <v>4444</v>
      </c>
      <c r="P1462">
        <v>94.39</v>
      </c>
      <c r="Q1462">
        <v>95.14</v>
      </c>
      <c r="R1462">
        <v>93.81</v>
      </c>
      <c r="S1462">
        <v>94.76</v>
      </c>
      <c r="T1462">
        <v>93.81</v>
      </c>
      <c r="U1462">
        <v>94.39</v>
      </c>
      <c r="W1462">
        <v>94.76</v>
      </c>
      <c r="Z1462">
        <v>224272</v>
      </c>
      <c r="AA1462">
        <v>21182167.600000001</v>
      </c>
      <c r="AB1462">
        <v>4497</v>
      </c>
      <c r="AC1462" t="s">
        <v>42</v>
      </c>
      <c r="AD1462">
        <v>1</v>
      </c>
    </row>
    <row r="1463" spans="1:30">
      <c r="A1463" t="str">
        <f>CONCATENATE(I1463,J1463)</f>
        <v>LIQUIDIETFEQ</v>
      </c>
      <c r="B1463" s="34">
        <v>46273</v>
      </c>
      <c r="C1463" s="34">
        <v>46273</v>
      </c>
      <c r="D1463" t="s">
        <v>35</v>
      </c>
      <c r="E1463" t="s">
        <v>36</v>
      </c>
      <c r="F1463" t="s">
        <v>37</v>
      </c>
      <c r="G1463">
        <v>4838</v>
      </c>
      <c r="H1463" t="s">
        <v>4445</v>
      </c>
      <c r="I1463" t="s">
        <v>4446</v>
      </c>
      <c r="J1463" t="s">
        <v>161</v>
      </c>
      <c r="O1463" t="s">
        <v>4447</v>
      </c>
      <c r="P1463">
        <v>999.99</v>
      </c>
      <c r="Q1463">
        <v>1000.01</v>
      </c>
      <c r="R1463">
        <v>999.98</v>
      </c>
      <c r="S1463">
        <v>999.99</v>
      </c>
      <c r="T1463">
        <v>1000</v>
      </c>
      <c r="U1463">
        <v>999.99</v>
      </c>
      <c r="W1463">
        <v>999.99</v>
      </c>
      <c r="Z1463">
        <v>347991</v>
      </c>
      <c r="AA1463">
        <v>347990284.11000001</v>
      </c>
      <c r="AB1463">
        <v>183</v>
      </c>
      <c r="AC1463" t="s">
        <v>42</v>
      </c>
      <c r="AD1463">
        <v>1</v>
      </c>
    </row>
    <row r="1464" spans="1:30">
      <c r="A1464" t="str">
        <f>CONCATENATE(I1464,J1464)</f>
        <v>MIDCAPIETFEQ</v>
      </c>
      <c r="B1464" s="34">
        <v>46273</v>
      </c>
      <c r="C1464" s="34">
        <v>46273</v>
      </c>
      <c r="D1464" t="s">
        <v>35</v>
      </c>
      <c r="E1464" t="s">
        <v>36</v>
      </c>
      <c r="F1464" t="s">
        <v>37</v>
      </c>
      <c r="G1464">
        <v>17152</v>
      </c>
      <c r="H1464" t="s">
        <v>4448</v>
      </c>
      <c r="I1464" t="s">
        <v>4449</v>
      </c>
      <c r="J1464" t="s">
        <v>161</v>
      </c>
      <c r="O1464" t="s">
        <v>4450</v>
      </c>
      <c r="P1464">
        <v>23.91</v>
      </c>
      <c r="Q1464">
        <v>24</v>
      </c>
      <c r="R1464">
        <v>23.8</v>
      </c>
      <c r="S1464">
        <v>23.91</v>
      </c>
      <c r="T1464">
        <v>24</v>
      </c>
      <c r="U1464">
        <v>23.9</v>
      </c>
      <c r="W1464">
        <v>23.91</v>
      </c>
      <c r="Z1464">
        <v>958438</v>
      </c>
      <c r="AA1464">
        <v>22871824.449999999</v>
      </c>
      <c r="AB1464">
        <v>2530</v>
      </c>
      <c r="AC1464" t="s">
        <v>42</v>
      </c>
      <c r="AD1464">
        <v>1</v>
      </c>
    </row>
    <row r="1465" spans="1:30">
      <c r="A1465" t="str">
        <f>CONCATENATE(I1465,J1465)</f>
        <v>MOM30IETFEQ</v>
      </c>
      <c r="B1465" s="34">
        <v>46273</v>
      </c>
      <c r="C1465" s="34">
        <v>46273</v>
      </c>
      <c r="D1465" t="s">
        <v>35</v>
      </c>
      <c r="E1465" t="s">
        <v>36</v>
      </c>
      <c r="F1465" t="s">
        <v>37</v>
      </c>
      <c r="G1465">
        <v>10585</v>
      </c>
      <c r="H1465" t="s">
        <v>4451</v>
      </c>
      <c r="I1465" t="s">
        <v>4452</v>
      </c>
      <c r="J1465" t="s">
        <v>161</v>
      </c>
      <c r="O1465" t="s">
        <v>4453</v>
      </c>
      <c r="P1465">
        <v>31.23</v>
      </c>
      <c r="Q1465">
        <v>31.65</v>
      </c>
      <c r="R1465">
        <v>31.23</v>
      </c>
      <c r="S1465">
        <v>31.53</v>
      </c>
      <c r="T1465">
        <v>31.65</v>
      </c>
      <c r="U1465">
        <v>31.23</v>
      </c>
      <c r="W1465">
        <v>31.53</v>
      </c>
      <c r="Z1465">
        <v>786727</v>
      </c>
      <c r="AA1465">
        <v>24741736.23</v>
      </c>
      <c r="AB1465">
        <v>1287</v>
      </c>
      <c r="AC1465" t="s">
        <v>42</v>
      </c>
      <c r="AD1465">
        <v>1</v>
      </c>
    </row>
    <row r="1466" spans="1:30">
      <c r="A1466" t="str">
        <f>CONCATENATE(I1466,J1466)</f>
        <v>NEXT50IETFEQ</v>
      </c>
      <c r="B1466" s="34">
        <v>46273</v>
      </c>
      <c r="C1466" s="34">
        <v>46273</v>
      </c>
      <c r="D1466" t="s">
        <v>35</v>
      </c>
      <c r="E1466" t="s">
        <v>36</v>
      </c>
      <c r="F1466" t="s">
        <v>37</v>
      </c>
      <c r="G1466">
        <v>4529</v>
      </c>
      <c r="H1466" t="s">
        <v>4454</v>
      </c>
      <c r="I1466" t="s">
        <v>4455</v>
      </c>
      <c r="J1466" t="s">
        <v>161</v>
      </c>
      <c r="O1466" t="s">
        <v>4456</v>
      </c>
      <c r="P1466">
        <v>78.7</v>
      </c>
      <c r="Q1466">
        <v>78.7</v>
      </c>
      <c r="R1466">
        <v>76.52</v>
      </c>
      <c r="S1466">
        <v>77.13</v>
      </c>
      <c r="T1466">
        <v>77</v>
      </c>
      <c r="U1466">
        <v>76.790000000000006</v>
      </c>
      <c r="W1466">
        <v>77.13</v>
      </c>
      <c r="Z1466">
        <v>316266</v>
      </c>
      <c r="AA1466">
        <v>24331413.59</v>
      </c>
      <c r="AB1466">
        <v>3638</v>
      </c>
      <c r="AC1466" t="s">
        <v>42</v>
      </c>
      <c r="AD1466">
        <v>1</v>
      </c>
    </row>
    <row r="1467" spans="1:30">
      <c r="A1467" t="str">
        <f>CONCATENATE(I1467,J1467)</f>
        <v>HEALTHIETFEQ</v>
      </c>
      <c r="B1467" s="34">
        <v>46273</v>
      </c>
      <c r="C1467" s="34">
        <v>46273</v>
      </c>
      <c r="D1467" t="s">
        <v>35</v>
      </c>
      <c r="E1467" t="s">
        <v>36</v>
      </c>
      <c r="F1467" t="s">
        <v>37</v>
      </c>
      <c r="G1467">
        <v>3626</v>
      </c>
      <c r="H1467" t="s">
        <v>4457</v>
      </c>
      <c r="I1467" t="s">
        <v>4458</v>
      </c>
      <c r="J1467" t="s">
        <v>161</v>
      </c>
      <c r="O1467" t="s">
        <v>4459</v>
      </c>
      <c r="P1467">
        <v>169.45</v>
      </c>
      <c r="Q1467">
        <v>171.3</v>
      </c>
      <c r="R1467">
        <v>169.07</v>
      </c>
      <c r="S1467">
        <v>170.85</v>
      </c>
      <c r="T1467">
        <v>171.3</v>
      </c>
      <c r="U1467">
        <v>169.45</v>
      </c>
      <c r="W1467">
        <v>170.86</v>
      </c>
      <c r="Z1467">
        <v>50246</v>
      </c>
      <c r="AA1467">
        <v>8563148.1400000006</v>
      </c>
      <c r="AB1467">
        <v>1210</v>
      </c>
      <c r="AC1467" t="s">
        <v>42</v>
      </c>
      <c r="AD1467">
        <v>1</v>
      </c>
    </row>
    <row r="1468" spans="1:30">
      <c r="A1468" t="str">
        <f>CONCATENATE(I1468,J1468)</f>
        <v>QUAL30IETFEQ</v>
      </c>
      <c r="B1468" s="34">
        <v>46273</v>
      </c>
      <c r="C1468" s="34">
        <v>46273</v>
      </c>
      <c r="D1468" t="s">
        <v>35</v>
      </c>
      <c r="E1468" t="s">
        <v>36</v>
      </c>
      <c r="F1468" t="s">
        <v>37</v>
      </c>
      <c r="G1468">
        <v>17808</v>
      </c>
      <c r="H1468" t="s">
        <v>4460</v>
      </c>
      <c r="I1468" t="s">
        <v>4461</v>
      </c>
      <c r="J1468" t="s">
        <v>161</v>
      </c>
      <c r="O1468" t="s">
        <v>4462</v>
      </c>
      <c r="P1468">
        <v>20.76</v>
      </c>
      <c r="Q1468">
        <v>21</v>
      </c>
      <c r="R1468">
        <v>20.76</v>
      </c>
      <c r="S1468">
        <v>20.9</v>
      </c>
      <c r="T1468">
        <v>20.85</v>
      </c>
      <c r="U1468">
        <v>20.82</v>
      </c>
      <c r="W1468">
        <v>20.9</v>
      </c>
      <c r="Z1468">
        <v>35378</v>
      </c>
      <c r="AA1468">
        <v>739744.92</v>
      </c>
      <c r="AB1468">
        <v>186</v>
      </c>
      <c r="AC1468" t="s">
        <v>42</v>
      </c>
      <c r="AD1468">
        <v>1</v>
      </c>
    </row>
    <row r="1469" spans="1:30">
      <c r="A1469" t="str">
        <f>CONCATENATE(I1469,J1469)</f>
        <v>SILVERIETFEQ</v>
      </c>
      <c r="B1469" s="34">
        <v>46273</v>
      </c>
      <c r="C1469" s="34">
        <v>46273</v>
      </c>
      <c r="D1469" t="s">
        <v>35</v>
      </c>
      <c r="E1469" t="s">
        <v>36</v>
      </c>
      <c r="F1469" t="s">
        <v>37</v>
      </c>
      <c r="G1469">
        <v>7942</v>
      </c>
      <c r="H1469" t="s">
        <v>4463</v>
      </c>
      <c r="I1469" t="s">
        <v>4464</v>
      </c>
      <c r="J1469" t="s">
        <v>161</v>
      </c>
      <c r="O1469" t="s">
        <v>4465</v>
      </c>
      <c r="P1469">
        <v>232</v>
      </c>
      <c r="Q1469">
        <v>233.65</v>
      </c>
      <c r="R1469">
        <v>229.8</v>
      </c>
      <c r="S1469">
        <v>230.88</v>
      </c>
      <c r="T1469">
        <v>231</v>
      </c>
      <c r="U1469">
        <v>229.68</v>
      </c>
      <c r="W1469">
        <v>230.89</v>
      </c>
      <c r="Z1469">
        <v>2517714</v>
      </c>
      <c r="AA1469">
        <v>582668711.79999995</v>
      </c>
      <c r="AB1469">
        <v>13997</v>
      </c>
      <c r="AC1469" t="s">
        <v>42</v>
      </c>
      <c r="AD1469">
        <v>1</v>
      </c>
    </row>
    <row r="1470" spans="1:30">
      <c r="A1470" t="str">
        <f>CONCATENATE(I1470,J1470)</f>
        <v>ITIETFEQ</v>
      </c>
      <c r="B1470" s="34">
        <v>46273</v>
      </c>
      <c r="C1470" s="34">
        <v>46273</v>
      </c>
      <c r="D1470" t="s">
        <v>35</v>
      </c>
      <c r="E1470" t="s">
        <v>36</v>
      </c>
      <c r="F1470" t="s">
        <v>37</v>
      </c>
      <c r="G1470">
        <v>22365</v>
      </c>
      <c r="H1470" t="s">
        <v>4466</v>
      </c>
      <c r="I1470" t="s">
        <v>4467</v>
      </c>
      <c r="J1470" t="s">
        <v>161</v>
      </c>
      <c r="O1470" t="s">
        <v>4468</v>
      </c>
      <c r="P1470">
        <v>33.369999999999997</v>
      </c>
      <c r="Q1470">
        <v>33.5</v>
      </c>
      <c r="R1470">
        <v>33.1</v>
      </c>
      <c r="S1470">
        <v>33.24</v>
      </c>
      <c r="T1470">
        <v>33.200000000000003</v>
      </c>
      <c r="U1470">
        <v>33.36</v>
      </c>
      <c r="W1470">
        <v>33.25</v>
      </c>
      <c r="Z1470">
        <v>325229</v>
      </c>
      <c r="AA1470">
        <v>10820970.91</v>
      </c>
      <c r="AB1470">
        <v>1179</v>
      </c>
      <c r="AC1470" t="s">
        <v>42</v>
      </c>
      <c r="AD1470">
        <v>1</v>
      </c>
    </row>
    <row r="1471" spans="1:30">
      <c r="A1471" t="str">
        <f>CONCATENATE(I1471,J1471)</f>
        <v>INSUREIETFEQ</v>
      </c>
      <c r="B1471" s="34">
        <v>46273</v>
      </c>
      <c r="C1471" s="34">
        <v>46273</v>
      </c>
      <c r="D1471" t="s">
        <v>35</v>
      </c>
      <c r="E1471" t="s">
        <v>36</v>
      </c>
      <c r="F1471" t="s">
        <v>37</v>
      </c>
      <c r="G1471">
        <v>764364</v>
      </c>
      <c r="H1471" t="s">
        <v>4469</v>
      </c>
      <c r="I1471" t="s">
        <v>4470</v>
      </c>
      <c r="J1471" t="s">
        <v>161</v>
      </c>
      <c r="O1471" t="s">
        <v>4471</v>
      </c>
      <c r="P1471">
        <v>15.13</v>
      </c>
      <c r="Q1471">
        <v>15.14</v>
      </c>
      <c r="R1471">
        <v>14.93</v>
      </c>
      <c r="S1471">
        <v>14.98</v>
      </c>
      <c r="T1471">
        <v>14.97</v>
      </c>
      <c r="U1471">
        <v>15.06</v>
      </c>
      <c r="W1471">
        <v>14.98</v>
      </c>
      <c r="Z1471">
        <v>272822</v>
      </c>
      <c r="AA1471">
        <v>4082064.6</v>
      </c>
      <c r="AB1471">
        <v>237</v>
      </c>
      <c r="AC1471" t="s">
        <v>42</v>
      </c>
      <c r="AD1471">
        <v>1</v>
      </c>
    </row>
    <row r="1472" spans="1:30">
      <c r="A1472" t="str">
        <f>CONCATENATE(I1472,J1472)</f>
        <v>BANKIETFEQ</v>
      </c>
      <c r="B1472" s="34">
        <v>46273</v>
      </c>
      <c r="C1472" s="34">
        <v>46273</v>
      </c>
      <c r="D1472" t="s">
        <v>35</v>
      </c>
      <c r="E1472" t="s">
        <v>36</v>
      </c>
      <c r="F1472" t="s">
        <v>37</v>
      </c>
      <c r="G1472">
        <v>11037</v>
      </c>
      <c r="H1472" t="s">
        <v>4472</v>
      </c>
      <c r="I1472" t="s">
        <v>4473</v>
      </c>
      <c r="J1472" t="s">
        <v>161</v>
      </c>
      <c r="O1472" t="s">
        <v>4474</v>
      </c>
      <c r="P1472">
        <v>58.61</v>
      </c>
      <c r="Q1472">
        <v>58.8</v>
      </c>
      <c r="R1472">
        <v>58.31</v>
      </c>
      <c r="S1472">
        <v>58.43</v>
      </c>
      <c r="T1472">
        <v>58.31</v>
      </c>
      <c r="U1472">
        <v>58.68</v>
      </c>
      <c r="W1472">
        <v>58.43</v>
      </c>
      <c r="Z1472">
        <v>108948</v>
      </c>
      <c r="AA1472">
        <v>6369370.04</v>
      </c>
      <c r="AB1472">
        <v>1420</v>
      </c>
      <c r="AC1472" t="s">
        <v>42</v>
      </c>
      <c r="AD1472">
        <v>1</v>
      </c>
    </row>
    <row r="1473" spans="1:30">
      <c r="A1473" t="str">
        <f>CONCATENATE(I1473,J1473)</f>
        <v>METALIETFEQ</v>
      </c>
      <c r="B1473" s="34">
        <v>46273</v>
      </c>
      <c r="C1473" s="34">
        <v>46273</v>
      </c>
      <c r="D1473" t="s">
        <v>35</v>
      </c>
      <c r="E1473" t="s">
        <v>36</v>
      </c>
      <c r="F1473" t="s">
        <v>37</v>
      </c>
      <c r="G1473">
        <v>24861</v>
      </c>
      <c r="H1473" t="s">
        <v>4475</v>
      </c>
      <c r="I1473" t="s">
        <v>4476</v>
      </c>
      <c r="J1473" t="s">
        <v>161</v>
      </c>
      <c r="O1473" t="s">
        <v>4477</v>
      </c>
      <c r="P1473">
        <v>13.48</v>
      </c>
      <c r="Q1473">
        <v>13.48</v>
      </c>
      <c r="R1473">
        <v>13.1</v>
      </c>
      <c r="S1473">
        <v>13.25</v>
      </c>
      <c r="T1473">
        <v>13.26</v>
      </c>
      <c r="U1473">
        <v>13.24</v>
      </c>
      <c r="W1473">
        <v>13.25</v>
      </c>
      <c r="Z1473">
        <v>3282875</v>
      </c>
      <c r="AA1473">
        <v>43654008.32</v>
      </c>
      <c r="AB1473">
        <v>7174</v>
      </c>
      <c r="AC1473" t="s">
        <v>42</v>
      </c>
      <c r="AD1473">
        <v>1</v>
      </c>
    </row>
    <row r="1474" spans="1:30">
      <c r="A1474" t="str">
        <f>CONCATENATE(I1474,J1474)</f>
        <v>OILIETFEQ</v>
      </c>
      <c r="B1474" s="34">
        <v>46273</v>
      </c>
      <c r="C1474" s="34">
        <v>46273</v>
      </c>
      <c r="D1474" t="s">
        <v>35</v>
      </c>
      <c r="E1474" t="s">
        <v>36</v>
      </c>
      <c r="F1474" t="s">
        <v>37</v>
      </c>
      <c r="G1474">
        <v>24533</v>
      </c>
      <c r="H1474" t="s">
        <v>4478</v>
      </c>
      <c r="I1474" t="s">
        <v>4479</v>
      </c>
      <c r="J1474" t="s">
        <v>161</v>
      </c>
      <c r="O1474" t="s">
        <v>4480</v>
      </c>
      <c r="P1474">
        <v>11.15</v>
      </c>
      <c r="Q1474">
        <v>11.31</v>
      </c>
      <c r="R1474">
        <v>11.15</v>
      </c>
      <c r="S1474">
        <v>11.21</v>
      </c>
      <c r="T1474">
        <v>11.28</v>
      </c>
      <c r="U1474">
        <v>11.26</v>
      </c>
      <c r="W1474">
        <v>11.21</v>
      </c>
      <c r="Z1474">
        <v>1003926</v>
      </c>
      <c r="AA1474">
        <v>11266251.25</v>
      </c>
      <c r="AB1474">
        <v>2127</v>
      </c>
      <c r="AC1474" t="s">
        <v>42</v>
      </c>
      <c r="AD1474">
        <v>1</v>
      </c>
    </row>
    <row r="1475" spans="1:30">
      <c r="A1475" t="str">
        <f>CONCATENATE(I1475,J1475)</f>
        <v>PSUBNKIETFEQ</v>
      </c>
      <c r="B1475" s="34">
        <v>46273</v>
      </c>
      <c r="C1475" s="34">
        <v>46273</v>
      </c>
      <c r="D1475" t="s">
        <v>35</v>
      </c>
      <c r="E1475" t="s">
        <v>36</v>
      </c>
      <c r="F1475" t="s">
        <v>37</v>
      </c>
      <c r="G1475">
        <v>14584</v>
      </c>
      <c r="H1475" t="s">
        <v>4481</v>
      </c>
      <c r="I1475" t="s">
        <v>4482</v>
      </c>
      <c r="J1475" t="s">
        <v>161</v>
      </c>
      <c r="O1475" t="s">
        <v>4483</v>
      </c>
      <c r="P1475">
        <v>85.65</v>
      </c>
      <c r="Q1475">
        <v>85.67</v>
      </c>
      <c r="R1475">
        <v>85</v>
      </c>
      <c r="S1475">
        <v>85.1</v>
      </c>
      <c r="T1475">
        <v>85.2</v>
      </c>
      <c r="U1475">
        <v>85.42</v>
      </c>
      <c r="W1475">
        <v>85.1</v>
      </c>
      <c r="Z1475">
        <v>79437</v>
      </c>
      <c r="AA1475">
        <v>6770096.8099999996</v>
      </c>
      <c r="AB1475">
        <v>711</v>
      </c>
      <c r="AC1475" t="s">
        <v>42</v>
      </c>
      <c r="AD1475">
        <v>1</v>
      </c>
    </row>
    <row r="1476" spans="1:30">
      <c r="A1476" t="str">
        <f>CONCATENATE(I1476,J1476)</f>
        <v>SMALLIETFEQ</v>
      </c>
      <c r="B1476" s="34">
        <v>46273</v>
      </c>
      <c r="C1476" s="34">
        <v>46273</v>
      </c>
      <c r="D1476" t="s">
        <v>35</v>
      </c>
      <c r="E1476" t="s">
        <v>36</v>
      </c>
      <c r="F1476" t="s">
        <v>37</v>
      </c>
      <c r="G1476">
        <v>754612</v>
      </c>
      <c r="H1476" t="s">
        <v>4484</v>
      </c>
      <c r="I1476" t="s">
        <v>4485</v>
      </c>
      <c r="J1476" t="s">
        <v>161</v>
      </c>
      <c r="O1476" t="s">
        <v>4486</v>
      </c>
      <c r="P1476">
        <v>18.54</v>
      </c>
      <c r="Q1476">
        <v>18.61</v>
      </c>
      <c r="R1476">
        <v>18.48</v>
      </c>
      <c r="S1476">
        <v>18.59</v>
      </c>
      <c r="T1476">
        <v>18.600000000000001</v>
      </c>
      <c r="U1476">
        <v>18.54</v>
      </c>
      <c r="W1476">
        <v>18.59</v>
      </c>
      <c r="Z1476">
        <v>16170</v>
      </c>
      <c r="AA1476">
        <v>300069.08</v>
      </c>
      <c r="AB1476">
        <v>109</v>
      </c>
      <c r="AC1476" t="s">
        <v>42</v>
      </c>
      <c r="AD1476">
        <v>1</v>
      </c>
    </row>
    <row r="1477" spans="1:30">
      <c r="A1477" t="str">
        <f>CONCATENATE(I1477,J1477)</f>
        <v>TOP15IETFEQ</v>
      </c>
      <c r="B1477" s="34">
        <v>46273</v>
      </c>
      <c r="C1477" s="34">
        <v>46273</v>
      </c>
      <c r="D1477" t="s">
        <v>35</v>
      </c>
      <c r="E1477" t="s">
        <v>36</v>
      </c>
      <c r="F1477" t="s">
        <v>37</v>
      </c>
      <c r="G1477">
        <v>757781</v>
      </c>
      <c r="H1477" t="s">
        <v>4487</v>
      </c>
      <c r="I1477" t="s">
        <v>4488</v>
      </c>
      <c r="J1477" t="s">
        <v>161</v>
      </c>
      <c r="O1477" t="s">
        <v>4489</v>
      </c>
      <c r="P1477">
        <v>9.77</v>
      </c>
      <c r="Q1477">
        <v>9.77</v>
      </c>
      <c r="R1477">
        <v>9.67</v>
      </c>
      <c r="S1477">
        <v>9.68</v>
      </c>
      <c r="T1477">
        <v>9.6999999999999993</v>
      </c>
      <c r="U1477">
        <v>9.74</v>
      </c>
      <c r="W1477">
        <v>9.68</v>
      </c>
      <c r="Z1477">
        <v>62782</v>
      </c>
      <c r="AA1477">
        <v>608237.15</v>
      </c>
      <c r="AB1477">
        <v>248</v>
      </c>
      <c r="AC1477" t="s">
        <v>42</v>
      </c>
      <c r="AD1477">
        <v>1</v>
      </c>
    </row>
    <row r="1478" spans="1:30">
      <c r="A1478" t="str">
        <f>CONCATENATE(I1478,J1478)</f>
        <v>VAL30IETFEQ</v>
      </c>
      <c r="B1478" s="34">
        <v>46273</v>
      </c>
      <c r="C1478" s="34">
        <v>46273</v>
      </c>
      <c r="D1478" t="s">
        <v>35</v>
      </c>
      <c r="E1478" t="s">
        <v>36</v>
      </c>
      <c r="F1478" t="s">
        <v>37</v>
      </c>
      <c r="G1478">
        <v>25851</v>
      </c>
      <c r="H1478" t="s">
        <v>4490</v>
      </c>
      <c r="I1478" t="s">
        <v>4491</v>
      </c>
      <c r="J1478" t="s">
        <v>161</v>
      </c>
      <c r="O1478" t="s">
        <v>4492</v>
      </c>
      <c r="P1478">
        <v>15.06</v>
      </c>
      <c r="Q1478">
        <v>15.06</v>
      </c>
      <c r="R1478">
        <v>14.99</v>
      </c>
      <c r="S1478">
        <v>15</v>
      </c>
      <c r="T1478">
        <v>15</v>
      </c>
      <c r="U1478">
        <v>15.06</v>
      </c>
      <c r="W1478">
        <v>15</v>
      </c>
      <c r="Z1478">
        <v>89195</v>
      </c>
      <c r="AA1478">
        <v>1340313.74</v>
      </c>
      <c r="AB1478">
        <v>501</v>
      </c>
      <c r="AC1478" t="s">
        <v>42</v>
      </c>
      <c r="AD1478">
        <v>1</v>
      </c>
    </row>
    <row r="1479" spans="1:30">
      <c r="A1479" t="str">
        <f>CONCATENATE(I1479,J1479)</f>
        <v>FINIETFEQ</v>
      </c>
      <c r="B1479" s="34">
        <v>46273</v>
      </c>
      <c r="C1479" s="34">
        <v>46273</v>
      </c>
      <c r="D1479" t="s">
        <v>35</v>
      </c>
      <c r="E1479" t="s">
        <v>36</v>
      </c>
      <c r="F1479" t="s">
        <v>37</v>
      </c>
      <c r="G1479">
        <v>12578</v>
      </c>
      <c r="H1479" t="s">
        <v>4493</v>
      </c>
      <c r="I1479" t="s">
        <v>4494</v>
      </c>
      <c r="J1479" t="s">
        <v>161</v>
      </c>
      <c r="O1479" t="s">
        <v>4495</v>
      </c>
      <c r="P1479">
        <v>32.729999999999997</v>
      </c>
      <c r="Q1479">
        <v>32.729999999999997</v>
      </c>
      <c r="R1479">
        <v>32.44</v>
      </c>
      <c r="S1479">
        <v>32.56</v>
      </c>
      <c r="T1479">
        <v>32.58</v>
      </c>
      <c r="U1479">
        <v>32.71</v>
      </c>
      <c r="W1479">
        <v>32.56</v>
      </c>
      <c r="Z1479">
        <v>252671</v>
      </c>
      <c r="AA1479">
        <v>8231210.9500000002</v>
      </c>
      <c r="AB1479">
        <v>1117</v>
      </c>
      <c r="AC1479" t="s">
        <v>42</v>
      </c>
      <c r="AD1479">
        <v>1</v>
      </c>
    </row>
    <row r="1480" spans="1:30">
      <c r="A1480" t="str">
        <f>CONCATENATE(I1480,J1480)</f>
        <v>ICRAEQ</v>
      </c>
      <c r="B1480" s="34">
        <v>46273</v>
      </c>
      <c r="C1480" s="34">
        <v>46273</v>
      </c>
      <c r="D1480" t="s">
        <v>35</v>
      </c>
      <c r="E1480" t="s">
        <v>36</v>
      </c>
      <c r="F1480" t="s">
        <v>37</v>
      </c>
      <c r="G1480">
        <v>14523</v>
      </c>
      <c r="H1480" t="s">
        <v>4496</v>
      </c>
      <c r="I1480" t="s">
        <v>4497</v>
      </c>
      <c r="J1480" t="s">
        <v>161</v>
      </c>
      <c r="O1480" t="s">
        <v>4498</v>
      </c>
      <c r="P1480">
        <v>4949.8999999999996</v>
      </c>
      <c r="Q1480">
        <v>4955</v>
      </c>
      <c r="R1480">
        <v>4833.1000000000004</v>
      </c>
      <c r="S1480">
        <v>4854.3999999999996</v>
      </c>
      <c r="T1480">
        <v>4850</v>
      </c>
      <c r="U1480">
        <v>4929.3999999999996</v>
      </c>
      <c r="W1480">
        <v>4854.3599999999997</v>
      </c>
      <c r="Z1480">
        <v>25803</v>
      </c>
      <c r="AA1480">
        <v>125466741.90000001</v>
      </c>
      <c r="AB1480">
        <v>5501</v>
      </c>
      <c r="AC1480" t="s">
        <v>42</v>
      </c>
      <c r="AD1480">
        <v>1</v>
      </c>
    </row>
    <row r="1481" spans="1:30">
      <c r="A1481" t="str">
        <f>CONCATENATE(I1481,J1481)</f>
        <v>IDBIEQ</v>
      </c>
      <c r="B1481" s="34">
        <v>46273</v>
      </c>
      <c r="C1481" s="34">
        <v>46273</v>
      </c>
      <c r="D1481" t="s">
        <v>35</v>
      </c>
      <c r="E1481" t="s">
        <v>36</v>
      </c>
      <c r="F1481" t="s">
        <v>37</v>
      </c>
      <c r="G1481">
        <v>1476</v>
      </c>
      <c r="H1481" t="s">
        <v>4499</v>
      </c>
      <c r="I1481" t="s">
        <v>4500</v>
      </c>
      <c r="J1481" t="s">
        <v>161</v>
      </c>
      <c r="O1481" t="s">
        <v>4501</v>
      </c>
      <c r="P1481">
        <v>91.3</v>
      </c>
      <c r="Q1481">
        <v>92</v>
      </c>
      <c r="R1481">
        <v>79.05</v>
      </c>
      <c r="S1481">
        <v>81.11</v>
      </c>
      <c r="T1481">
        <v>81.22</v>
      </c>
      <c r="U1481">
        <v>90.75</v>
      </c>
      <c r="W1481">
        <v>81.11</v>
      </c>
      <c r="Z1481">
        <v>69073713</v>
      </c>
      <c r="AA1481">
        <v>5719868549.6899996</v>
      </c>
      <c r="AB1481">
        <v>173209</v>
      </c>
      <c r="AC1481" t="s">
        <v>42</v>
      </c>
      <c r="AD1481">
        <v>1</v>
      </c>
    </row>
    <row r="1482" spans="1:30">
      <c r="A1482" t="str">
        <f>CONCATENATE(I1482,J1482)</f>
        <v>IDEAFORGEEQ</v>
      </c>
      <c r="B1482" s="34">
        <v>46273</v>
      </c>
      <c r="C1482" s="34">
        <v>46273</v>
      </c>
      <c r="D1482" t="s">
        <v>35</v>
      </c>
      <c r="E1482" t="s">
        <v>36</v>
      </c>
      <c r="F1482" t="s">
        <v>37</v>
      </c>
      <c r="G1482">
        <v>17140</v>
      </c>
      <c r="H1482" t="s">
        <v>4502</v>
      </c>
      <c r="I1482" t="s">
        <v>4503</v>
      </c>
      <c r="J1482" t="s">
        <v>161</v>
      </c>
      <c r="O1482" t="s">
        <v>4504</v>
      </c>
      <c r="P1482">
        <v>771</v>
      </c>
      <c r="Q1482">
        <v>799</v>
      </c>
      <c r="R1482">
        <v>771</v>
      </c>
      <c r="S1482">
        <v>775.2</v>
      </c>
      <c r="T1482">
        <v>777</v>
      </c>
      <c r="U1482">
        <v>765.45</v>
      </c>
      <c r="W1482">
        <v>775.22</v>
      </c>
      <c r="Z1482">
        <v>409710</v>
      </c>
      <c r="AA1482">
        <v>321641144.25</v>
      </c>
      <c r="AB1482">
        <v>21103</v>
      </c>
      <c r="AC1482" t="s">
        <v>42</v>
      </c>
      <c r="AD1482">
        <v>1</v>
      </c>
    </row>
    <row r="1483" spans="1:30">
      <c r="A1483" t="str">
        <f>CONCATENATE(I1483,J1483)</f>
        <v>IDENTICALSM</v>
      </c>
      <c r="B1483" s="34">
        <v>46273</v>
      </c>
      <c r="C1483" s="34">
        <v>46273</v>
      </c>
      <c r="D1483" t="s">
        <v>35</v>
      </c>
      <c r="E1483" t="s">
        <v>36</v>
      </c>
      <c r="F1483" t="s">
        <v>37</v>
      </c>
      <c r="G1483">
        <v>28574</v>
      </c>
      <c r="H1483" t="s">
        <v>4505</v>
      </c>
      <c r="I1483" t="s">
        <v>4506</v>
      </c>
      <c r="J1483" t="s">
        <v>267</v>
      </c>
      <c r="O1483" t="s">
        <v>4507</v>
      </c>
      <c r="P1483">
        <v>17.45</v>
      </c>
      <c r="Q1483">
        <v>19.7</v>
      </c>
      <c r="R1483">
        <v>17.45</v>
      </c>
      <c r="S1483">
        <v>19.7</v>
      </c>
      <c r="T1483">
        <v>19.7</v>
      </c>
      <c r="U1483">
        <v>18.05</v>
      </c>
      <c r="W1483">
        <v>19.7</v>
      </c>
      <c r="Z1483">
        <v>12000</v>
      </c>
      <c r="AA1483">
        <v>231900</v>
      </c>
      <c r="AB1483">
        <v>5</v>
      </c>
      <c r="AC1483" t="s">
        <v>42</v>
      </c>
      <c r="AD1483">
        <v>2000</v>
      </c>
    </row>
    <row r="1484" spans="1:30">
      <c r="A1484" t="str">
        <f>CONCATENATE(I1484,J1484)</f>
        <v>IDFCFIRSTBEQ</v>
      </c>
      <c r="B1484" s="34">
        <v>46273</v>
      </c>
      <c r="C1484" s="34">
        <v>46273</v>
      </c>
      <c r="D1484" t="s">
        <v>35</v>
      </c>
      <c r="E1484" t="s">
        <v>36</v>
      </c>
      <c r="F1484" t="s">
        <v>37</v>
      </c>
      <c r="G1484">
        <v>11184</v>
      </c>
      <c r="H1484" t="s">
        <v>4508</v>
      </c>
      <c r="I1484" t="s">
        <v>4509</v>
      </c>
      <c r="J1484" t="s">
        <v>161</v>
      </c>
      <c r="O1484" t="s">
        <v>4510</v>
      </c>
      <c r="P1484">
        <v>86.44</v>
      </c>
      <c r="Q1484">
        <v>87.1</v>
      </c>
      <c r="R1484">
        <v>86.02</v>
      </c>
      <c r="S1484">
        <v>86.5</v>
      </c>
      <c r="T1484">
        <v>86.5</v>
      </c>
      <c r="U1484">
        <v>86.44</v>
      </c>
      <c r="W1484">
        <v>86.49</v>
      </c>
      <c r="Z1484">
        <v>11728338</v>
      </c>
      <c r="AA1484">
        <v>1016925681.58</v>
      </c>
      <c r="AB1484">
        <v>45304</v>
      </c>
      <c r="AC1484" t="s">
        <v>42</v>
      </c>
      <c r="AD1484">
        <v>1</v>
      </c>
    </row>
    <row r="1485" spans="1:30">
      <c r="A1485" t="str">
        <f>CONCATENATE(I1485,J1485)</f>
        <v>IFBAGROEQ</v>
      </c>
      <c r="B1485" s="34">
        <v>46273</v>
      </c>
      <c r="C1485" s="34">
        <v>46273</v>
      </c>
      <c r="D1485" t="s">
        <v>35</v>
      </c>
      <c r="E1485" t="s">
        <v>36</v>
      </c>
      <c r="F1485" t="s">
        <v>37</v>
      </c>
      <c r="G1485">
        <v>1482</v>
      </c>
      <c r="H1485" t="s">
        <v>4511</v>
      </c>
      <c r="I1485" t="s">
        <v>4512</v>
      </c>
      <c r="J1485" t="s">
        <v>161</v>
      </c>
      <c r="O1485" t="s">
        <v>4513</v>
      </c>
      <c r="P1485">
        <v>914.2</v>
      </c>
      <c r="Q1485">
        <v>914.2</v>
      </c>
      <c r="R1485">
        <v>884.05</v>
      </c>
      <c r="S1485">
        <v>887.05</v>
      </c>
      <c r="T1485">
        <v>888</v>
      </c>
      <c r="U1485">
        <v>896.25</v>
      </c>
      <c r="W1485">
        <v>887.02</v>
      </c>
      <c r="Z1485">
        <v>3184</v>
      </c>
      <c r="AA1485">
        <v>2831114.95</v>
      </c>
      <c r="AB1485">
        <v>229</v>
      </c>
      <c r="AC1485" t="s">
        <v>42</v>
      </c>
      <c r="AD1485">
        <v>1</v>
      </c>
    </row>
    <row r="1486" spans="1:30">
      <c r="A1486" t="str">
        <f>CONCATENATE(I1486,J1486)</f>
        <v>IFBINDEQ</v>
      </c>
      <c r="B1486" s="34">
        <v>46273</v>
      </c>
      <c r="C1486" s="34">
        <v>46273</v>
      </c>
      <c r="D1486" t="s">
        <v>35</v>
      </c>
      <c r="E1486" t="s">
        <v>36</v>
      </c>
      <c r="F1486" t="s">
        <v>37</v>
      </c>
      <c r="G1486">
        <v>1485</v>
      </c>
      <c r="H1486" t="s">
        <v>4514</v>
      </c>
      <c r="I1486" t="s">
        <v>4515</v>
      </c>
      <c r="J1486" t="s">
        <v>161</v>
      </c>
      <c r="O1486" t="s">
        <v>4516</v>
      </c>
      <c r="P1486">
        <v>1314</v>
      </c>
      <c r="Q1486">
        <v>1314.9</v>
      </c>
      <c r="R1486">
        <v>1290</v>
      </c>
      <c r="S1486">
        <v>1296</v>
      </c>
      <c r="T1486">
        <v>1297</v>
      </c>
      <c r="U1486">
        <v>1313.6</v>
      </c>
      <c r="W1486">
        <v>1296.1099999999999</v>
      </c>
      <c r="Z1486">
        <v>30359</v>
      </c>
      <c r="AA1486">
        <v>39514590.5</v>
      </c>
      <c r="AB1486">
        <v>2655</v>
      </c>
      <c r="AC1486" t="s">
        <v>42</v>
      </c>
      <c r="AD1486">
        <v>1</v>
      </c>
    </row>
    <row r="1487" spans="1:30">
      <c r="A1487" t="str">
        <f>CONCATENATE(I1487,J1487)</f>
        <v>IFCIEQ</v>
      </c>
      <c r="B1487" s="34">
        <v>46273</v>
      </c>
      <c r="C1487" s="34">
        <v>46273</v>
      </c>
      <c r="D1487" t="s">
        <v>35</v>
      </c>
      <c r="E1487" t="s">
        <v>36</v>
      </c>
      <c r="F1487" t="s">
        <v>37</v>
      </c>
      <c r="G1487">
        <v>1491</v>
      </c>
      <c r="H1487" t="s">
        <v>4517</v>
      </c>
      <c r="I1487" t="s">
        <v>4518</v>
      </c>
      <c r="J1487" t="s">
        <v>161</v>
      </c>
      <c r="O1487" t="s">
        <v>4519</v>
      </c>
      <c r="P1487">
        <v>103.4</v>
      </c>
      <c r="Q1487">
        <v>103.59</v>
      </c>
      <c r="R1487">
        <v>91.77</v>
      </c>
      <c r="S1487">
        <v>92.61</v>
      </c>
      <c r="T1487">
        <v>92.25</v>
      </c>
      <c r="U1487">
        <v>102.51</v>
      </c>
      <c r="W1487">
        <v>92.61</v>
      </c>
      <c r="Z1487">
        <v>217424506</v>
      </c>
      <c r="AA1487">
        <v>20625208400.549999</v>
      </c>
      <c r="AB1487">
        <v>533974</v>
      </c>
      <c r="AC1487" t="s">
        <v>42</v>
      </c>
      <c r="AD1487">
        <v>1</v>
      </c>
    </row>
    <row r="1488" spans="1:30">
      <c r="A1488" t="str">
        <f>CONCATENATE(I1488,J1488)</f>
        <v>IFGLEXPOREQ</v>
      </c>
      <c r="B1488" s="34">
        <v>46273</v>
      </c>
      <c r="C1488" s="34">
        <v>46273</v>
      </c>
      <c r="D1488" t="s">
        <v>35</v>
      </c>
      <c r="E1488" t="s">
        <v>36</v>
      </c>
      <c r="F1488" t="s">
        <v>37</v>
      </c>
      <c r="G1488">
        <v>436</v>
      </c>
      <c r="H1488" t="s">
        <v>4520</v>
      </c>
      <c r="I1488" t="s">
        <v>4521</v>
      </c>
      <c r="J1488" t="s">
        <v>161</v>
      </c>
      <c r="O1488" t="s">
        <v>4522</v>
      </c>
      <c r="P1488">
        <v>203.97</v>
      </c>
      <c r="Q1488">
        <v>205.56</v>
      </c>
      <c r="R1488">
        <v>195</v>
      </c>
      <c r="S1488">
        <v>198.22</v>
      </c>
      <c r="T1488">
        <v>199.5</v>
      </c>
      <c r="U1488">
        <v>203.79</v>
      </c>
      <c r="W1488">
        <v>198.25</v>
      </c>
      <c r="Z1488">
        <v>36372</v>
      </c>
      <c r="AA1488">
        <v>7253585.1200000001</v>
      </c>
      <c r="AB1488">
        <v>1835</v>
      </c>
      <c r="AC1488" t="s">
        <v>42</v>
      </c>
      <c r="AD1488">
        <v>1</v>
      </c>
    </row>
    <row r="1489" spans="1:30">
      <c r="A1489" t="str">
        <f>CONCATENATE(I1489,J1489)</f>
        <v>1225IFL27N0</v>
      </c>
      <c r="B1489" s="34">
        <v>46273</v>
      </c>
      <c r="C1489" s="34">
        <v>46273</v>
      </c>
      <c r="D1489" t="s">
        <v>35</v>
      </c>
      <c r="E1489" t="s">
        <v>36</v>
      </c>
      <c r="F1489" t="s">
        <v>37</v>
      </c>
      <c r="G1489">
        <v>759897</v>
      </c>
      <c r="H1489" t="s">
        <v>4523</v>
      </c>
      <c r="I1489" t="s">
        <v>4524</v>
      </c>
      <c r="J1489" t="s">
        <v>514</v>
      </c>
      <c r="O1489" t="s">
        <v>4525</v>
      </c>
      <c r="P1489">
        <v>6119.25</v>
      </c>
      <c r="Q1489">
        <v>6119.25</v>
      </c>
      <c r="R1489">
        <v>6011</v>
      </c>
      <c r="S1489">
        <v>6011</v>
      </c>
      <c r="T1489">
        <v>6011</v>
      </c>
      <c r="U1489">
        <v>6119.25</v>
      </c>
      <c r="W1489">
        <v>6011</v>
      </c>
      <c r="Z1489">
        <v>2</v>
      </c>
      <c r="AA1489">
        <v>12130.25</v>
      </c>
      <c r="AB1489">
        <v>2</v>
      </c>
      <c r="AC1489" t="s">
        <v>42</v>
      </c>
      <c r="AD1489">
        <v>1</v>
      </c>
    </row>
    <row r="1490" spans="1:30">
      <c r="A1490" t="str">
        <f>CONCATENATE(I1490,J1490)</f>
        <v>1225IFL28N0</v>
      </c>
      <c r="B1490" s="34">
        <v>46273</v>
      </c>
      <c r="C1490" s="34">
        <v>46273</v>
      </c>
      <c r="D1490" t="s">
        <v>35</v>
      </c>
      <c r="E1490" t="s">
        <v>36</v>
      </c>
      <c r="F1490" t="s">
        <v>37</v>
      </c>
      <c r="G1490">
        <v>760656</v>
      </c>
      <c r="H1490" t="s">
        <v>4526</v>
      </c>
      <c r="I1490" t="s">
        <v>4527</v>
      </c>
      <c r="J1490" t="s">
        <v>514</v>
      </c>
      <c r="O1490" t="s">
        <v>4528</v>
      </c>
      <c r="P1490">
        <v>7480</v>
      </c>
      <c r="Q1490">
        <v>7505</v>
      </c>
      <c r="R1490">
        <v>7480</v>
      </c>
      <c r="S1490">
        <v>7505</v>
      </c>
      <c r="T1490">
        <v>7505</v>
      </c>
      <c r="U1490">
        <v>7480</v>
      </c>
      <c r="W1490">
        <v>7505</v>
      </c>
      <c r="Z1490">
        <v>2</v>
      </c>
      <c r="AA1490">
        <v>14985</v>
      </c>
      <c r="AB1490">
        <v>2</v>
      </c>
      <c r="AC1490" t="s">
        <v>42</v>
      </c>
      <c r="AD1490">
        <v>1</v>
      </c>
    </row>
    <row r="1491" spans="1:30">
      <c r="A1491" t="str">
        <f>CONCATENATE(I1491,J1491)</f>
        <v>IGARASHIEQ</v>
      </c>
      <c r="B1491" s="34">
        <v>46273</v>
      </c>
      <c r="C1491" s="34">
        <v>46273</v>
      </c>
      <c r="D1491" t="s">
        <v>35</v>
      </c>
      <c r="E1491" t="s">
        <v>36</v>
      </c>
      <c r="F1491" t="s">
        <v>37</v>
      </c>
      <c r="G1491">
        <v>634</v>
      </c>
      <c r="H1491" t="s">
        <v>4529</v>
      </c>
      <c r="I1491" t="s">
        <v>4530</v>
      </c>
      <c r="J1491" t="s">
        <v>161</v>
      </c>
      <c r="O1491" t="s">
        <v>4531</v>
      </c>
      <c r="P1491">
        <v>412.05</v>
      </c>
      <c r="Q1491">
        <v>417.5</v>
      </c>
      <c r="R1491">
        <v>412.05</v>
      </c>
      <c r="S1491">
        <v>415.6</v>
      </c>
      <c r="T1491">
        <v>415</v>
      </c>
      <c r="U1491">
        <v>415.15</v>
      </c>
      <c r="W1491">
        <v>415.64</v>
      </c>
      <c r="Z1491">
        <v>27204</v>
      </c>
      <c r="AA1491">
        <v>11300645.25</v>
      </c>
      <c r="AB1491">
        <v>1090</v>
      </c>
      <c r="AC1491" t="s">
        <v>42</v>
      </c>
      <c r="AD1491">
        <v>1</v>
      </c>
    </row>
    <row r="1492" spans="1:30">
      <c r="A1492" t="str">
        <f>CONCATENATE(I1492,J1492)</f>
        <v>865IIFL31Y6</v>
      </c>
      <c r="B1492" s="34">
        <v>46273</v>
      </c>
      <c r="C1492" s="34">
        <v>46273</v>
      </c>
      <c r="D1492" t="s">
        <v>35</v>
      </c>
      <c r="E1492" t="s">
        <v>36</v>
      </c>
      <c r="F1492" t="s">
        <v>37</v>
      </c>
      <c r="G1492">
        <v>761118</v>
      </c>
      <c r="H1492" t="s">
        <v>4532</v>
      </c>
      <c r="I1492" t="s">
        <v>4533</v>
      </c>
      <c r="J1492" t="s">
        <v>4534</v>
      </c>
      <c r="O1492" t="s">
        <v>4535</v>
      </c>
      <c r="P1492">
        <v>985.2</v>
      </c>
      <c r="Q1492">
        <v>988</v>
      </c>
      <c r="R1492">
        <v>985.2</v>
      </c>
      <c r="S1492">
        <v>988</v>
      </c>
      <c r="T1492">
        <v>988</v>
      </c>
      <c r="U1492">
        <v>985.2</v>
      </c>
      <c r="W1492">
        <v>988</v>
      </c>
      <c r="Z1492">
        <v>80</v>
      </c>
      <c r="AA1492">
        <v>78886</v>
      </c>
      <c r="AB1492">
        <v>4</v>
      </c>
      <c r="AC1492" t="s">
        <v>42</v>
      </c>
      <c r="AD1492">
        <v>1</v>
      </c>
    </row>
    <row r="1493" spans="1:30">
      <c r="A1493" t="str">
        <f>CONCATENATE(I1493,J1493)</f>
        <v>885IIFL29Y8</v>
      </c>
      <c r="B1493" s="34">
        <v>46273</v>
      </c>
      <c r="C1493" s="34">
        <v>46273</v>
      </c>
      <c r="D1493" t="s">
        <v>35</v>
      </c>
      <c r="E1493" t="s">
        <v>36</v>
      </c>
      <c r="F1493" t="s">
        <v>37</v>
      </c>
      <c r="G1493">
        <v>761120</v>
      </c>
      <c r="H1493" t="s">
        <v>4536</v>
      </c>
      <c r="I1493" t="s">
        <v>4537</v>
      </c>
      <c r="J1493" t="s">
        <v>4538</v>
      </c>
      <c r="O1493" t="s">
        <v>4539</v>
      </c>
      <c r="P1493">
        <v>1057.27</v>
      </c>
      <c r="Q1493">
        <v>1057.27</v>
      </c>
      <c r="R1493">
        <v>1020</v>
      </c>
      <c r="S1493">
        <v>1020</v>
      </c>
      <c r="T1493">
        <v>1020</v>
      </c>
      <c r="U1493">
        <v>1005</v>
      </c>
      <c r="W1493">
        <v>1023</v>
      </c>
      <c r="Z1493">
        <v>95</v>
      </c>
      <c r="AA1493">
        <v>99695.25</v>
      </c>
      <c r="AB1493">
        <v>3</v>
      </c>
      <c r="AC1493" t="s">
        <v>42</v>
      </c>
      <c r="AD1493">
        <v>1</v>
      </c>
    </row>
    <row r="1494" spans="1:30">
      <c r="A1494" t="str">
        <f>CONCATENATE(I1494,J1494)</f>
        <v>IIFLCAPSEQ</v>
      </c>
      <c r="B1494" s="34">
        <v>46273</v>
      </c>
      <c r="C1494" s="34">
        <v>46273</v>
      </c>
      <c r="D1494" t="s">
        <v>35</v>
      </c>
      <c r="E1494" t="s">
        <v>36</v>
      </c>
      <c r="F1494" t="s">
        <v>37</v>
      </c>
      <c r="G1494">
        <v>13072</v>
      </c>
      <c r="H1494" t="s">
        <v>4540</v>
      </c>
      <c r="I1494" t="s">
        <v>4541</v>
      </c>
      <c r="J1494" t="s">
        <v>161</v>
      </c>
      <c r="O1494" t="s">
        <v>4542</v>
      </c>
      <c r="P1494">
        <v>341.95</v>
      </c>
      <c r="Q1494">
        <v>341.95</v>
      </c>
      <c r="R1494">
        <v>339</v>
      </c>
      <c r="S1494">
        <v>339.4</v>
      </c>
      <c r="T1494">
        <v>339.05</v>
      </c>
      <c r="U1494">
        <v>340.45</v>
      </c>
      <c r="W1494">
        <v>339.4</v>
      </c>
      <c r="Z1494">
        <v>419363</v>
      </c>
      <c r="AA1494">
        <v>142754739</v>
      </c>
      <c r="AB1494">
        <v>9240</v>
      </c>
      <c r="AC1494" t="s">
        <v>42</v>
      </c>
      <c r="AD1494">
        <v>1</v>
      </c>
    </row>
    <row r="1495" spans="1:30">
      <c r="A1495" t="str">
        <f>CONCATENATE(I1495,J1495)</f>
        <v>IIFLEQ</v>
      </c>
      <c r="B1495" s="34">
        <v>46273</v>
      </c>
      <c r="C1495" s="34">
        <v>46273</v>
      </c>
      <c r="D1495" t="s">
        <v>35</v>
      </c>
      <c r="E1495" t="s">
        <v>36</v>
      </c>
      <c r="F1495" t="s">
        <v>37</v>
      </c>
      <c r="G1495">
        <v>11809</v>
      </c>
      <c r="H1495" t="s">
        <v>4543</v>
      </c>
      <c r="I1495" t="s">
        <v>4544</v>
      </c>
      <c r="J1495" t="s">
        <v>161</v>
      </c>
      <c r="O1495" t="s">
        <v>4545</v>
      </c>
      <c r="P1495">
        <v>660.2</v>
      </c>
      <c r="Q1495">
        <v>675.8</v>
      </c>
      <c r="R1495">
        <v>616.4</v>
      </c>
      <c r="S1495">
        <v>628</v>
      </c>
      <c r="T1495">
        <v>626.29999999999995</v>
      </c>
      <c r="U1495">
        <v>654.04999999999995</v>
      </c>
      <c r="W1495">
        <v>627.96</v>
      </c>
      <c r="Z1495">
        <v>6784526</v>
      </c>
      <c r="AA1495">
        <v>4368356356.6999998</v>
      </c>
      <c r="AB1495">
        <v>134174</v>
      </c>
      <c r="AC1495" t="s">
        <v>42</v>
      </c>
      <c r="AD1495">
        <v>1</v>
      </c>
    </row>
    <row r="1496" spans="1:30">
      <c r="A1496" t="str">
        <f>CONCATENATE(I1496,J1496)</f>
        <v>IIFL060326YA</v>
      </c>
      <c r="B1496" s="34">
        <v>46273</v>
      </c>
      <c r="C1496" s="34">
        <v>46273</v>
      </c>
      <c r="D1496" t="s">
        <v>35</v>
      </c>
      <c r="E1496" t="s">
        <v>36</v>
      </c>
      <c r="F1496" t="s">
        <v>37</v>
      </c>
      <c r="G1496">
        <v>761122</v>
      </c>
      <c r="H1496" t="s">
        <v>4546</v>
      </c>
      <c r="I1496" t="s">
        <v>4547</v>
      </c>
      <c r="J1496" t="s">
        <v>4548</v>
      </c>
      <c r="O1496" t="s">
        <v>4549</v>
      </c>
      <c r="P1496">
        <v>1020</v>
      </c>
      <c r="Q1496">
        <v>1020</v>
      </c>
      <c r="R1496">
        <v>1020</v>
      </c>
      <c r="S1496">
        <v>1020</v>
      </c>
      <c r="T1496">
        <v>1020</v>
      </c>
      <c r="U1496">
        <v>1019</v>
      </c>
      <c r="W1496">
        <v>1020</v>
      </c>
      <c r="Z1496">
        <v>50</v>
      </c>
      <c r="AA1496">
        <v>51000</v>
      </c>
      <c r="AB1496">
        <v>2</v>
      </c>
      <c r="AC1496" t="s">
        <v>42</v>
      </c>
      <c r="AD1496">
        <v>1</v>
      </c>
    </row>
    <row r="1497" spans="1:30">
      <c r="A1497" t="str">
        <f>CONCATENATE(I1497,J1497)</f>
        <v>IKIOEQ</v>
      </c>
      <c r="B1497" s="34">
        <v>46273</v>
      </c>
      <c r="C1497" s="34">
        <v>46273</v>
      </c>
      <c r="D1497" t="s">
        <v>35</v>
      </c>
      <c r="E1497" t="s">
        <v>36</v>
      </c>
      <c r="F1497" t="s">
        <v>37</v>
      </c>
      <c r="G1497">
        <v>16822</v>
      </c>
      <c r="H1497" t="s">
        <v>4550</v>
      </c>
      <c r="I1497" t="s">
        <v>4551</v>
      </c>
      <c r="J1497" t="s">
        <v>161</v>
      </c>
      <c r="O1497" t="s">
        <v>4552</v>
      </c>
      <c r="P1497">
        <v>202</v>
      </c>
      <c r="Q1497">
        <v>226.78</v>
      </c>
      <c r="R1497">
        <v>201.98</v>
      </c>
      <c r="S1497">
        <v>219.73</v>
      </c>
      <c r="T1497">
        <v>220</v>
      </c>
      <c r="U1497">
        <v>202.98</v>
      </c>
      <c r="W1497">
        <v>219.73</v>
      </c>
      <c r="Z1497">
        <v>2263360</v>
      </c>
      <c r="AA1497">
        <v>497032775.91000003</v>
      </c>
      <c r="AB1497">
        <v>32519</v>
      </c>
      <c r="AC1497" t="s">
        <v>42</v>
      </c>
      <c r="AD1497">
        <v>1</v>
      </c>
    </row>
    <row r="1498" spans="1:30">
      <c r="A1498" t="str">
        <f>CONCATENATE(I1498,J1498)</f>
        <v>IL&amp;FSENGGBZ</v>
      </c>
      <c r="B1498" s="34">
        <v>46273</v>
      </c>
      <c r="C1498" s="34">
        <v>46273</v>
      </c>
      <c r="D1498" t="s">
        <v>35</v>
      </c>
      <c r="E1498" t="s">
        <v>36</v>
      </c>
      <c r="F1498" t="s">
        <v>37</v>
      </c>
      <c r="G1498">
        <v>9380</v>
      </c>
      <c r="H1498" t="s">
        <v>4553</v>
      </c>
      <c r="I1498" t="s">
        <v>4554</v>
      </c>
      <c r="J1498" t="s">
        <v>551</v>
      </c>
      <c r="O1498" t="s">
        <v>4555</v>
      </c>
      <c r="P1498">
        <v>35.25</v>
      </c>
      <c r="Q1498">
        <v>36.85</v>
      </c>
      <c r="R1498">
        <v>35.25</v>
      </c>
      <c r="S1498">
        <v>36</v>
      </c>
      <c r="T1498">
        <v>36</v>
      </c>
      <c r="U1498">
        <v>37</v>
      </c>
      <c r="W1498">
        <v>36</v>
      </c>
      <c r="Z1498">
        <v>8080</v>
      </c>
      <c r="AA1498">
        <v>293240.17</v>
      </c>
      <c r="AB1498">
        <v>36</v>
      </c>
      <c r="AC1498" t="s">
        <v>42</v>
      </c>
      <c r="AD1498">
        <v>1</v>
      </c>
    </row>
    <row r="1499" spans="1:30">
      <c r="A1499" t="str">
        <f>CONCATENATE(I1499,J1499)</f>
        <v>IVCEQ</v>
      </c>
      <c r="B1499" s="34">
        <v>46273</v>
      </c>
      <c r="C1499" s="34">
        <v>46273</v>
      </c>
      <c r="D1499" t="s">
        <v>35</v>
      </c>
      <c r="E1499" t="s">
        <v>36</v>
      </c>
      <c r="F1499" t="s">
        <v>37</v>
      </c>
      <c r="G1499">
        <v>6711</v>
      </c>
      <c r="H1499" t="s">
        <v>4556</v>
      </c>
      <c r="I1499" t="s">
        <v>4557</v>
      </c>
      <c r="J1499" t="s">
        <v>161</v>
      </c>
      <c r="O1499" t="s">
        <v>4558</v>
      </c>
      <c r="P1499">
        <v>10.25</v>
      </c>
      <c r="Q1499">
        <v>10.38</v>
      </c>
      <c r="R1499">
        <v>9.82</v>
      </c>
      <c r="S1499">
        <v>10.02</v>
      </c>
      <c r="T1499">
        <v>10.029999999999999</v>
      </c>
      <c r="U1499">
        <v>10.28</v>
      </c>
      <c r="W1499">
        <v>10.130000000000001</v>
      </c>
      <c r="Z1499">
        <v>1180267</v>
      </c>
      <c r="AA1499">
        <v>11887429.98</v>
      </c>
      <c r="AB1499">
        <v>2215</v>
      </c>
      <c r="AC1499" t="s">
        <v>42</v>
      </c>
      <c r="AD1499">
        <v>1</v>
      </c>
    </row>
    <row r="1500" spans="1:30">
      <c r="A1500" t="str">
        <f>CONCATENATE(I1500,J1500)</f>
        <v>IL&amp;FSTRANSBZ</v>
      </c>
      <c r="B1500" s="34">
        <v>46273</v>
      </c>
      <c r="C1500" s="34">
        <v>46273</v>
      </c>
      <c r="D1500" t="s">
        <v>35</v>
      </c>
      <c r="E1500" t="s">
        <v>36</v>
      </c>
      <c r="F1500" t="s">
        <v>37</v>
      </c>
      <c r="G1500">
        <v>9381</v>
      </c>
      <c r="H1500" t="s">
        <v>4559</v>
      </c>
      <c r="I1500" t="s">
        <v>4560</v>
      </c>
      <c r="J1500" t="s">
        <v>551</v>
      </c>
      <c r="O1500" t="s">
        <v>4561</v>
      </c>
      <c r="P1500">
        <v>2.11</v>
      </c>
      <c r="Q1500">
        <v>2.15</v>
      </c>
      <c r="R1500">
        <v>2.06</v>
      </c>
      <c r="S1500">
        <v>2.08</v>
      </c>
      <c r="T1500">
        <v>2.08</v>
      </c>
      <c r="U1500">
        <v>2.11</v>
      </c>
      <c r="W1500">
        <v>2.08</v>
      </c>
      <c r="Z1500">
        <v>15373</v>
      </c>
      <c r="AA1500">
        <v>32267.360000000001</v>
      </c>
      <c r="AB1500">
        <v>47</v>
      </c>
      <c r="AC1500" t="s">
        <v>42</v>
      </c>
      <c r="AD1500">
        <v>1</v>
      </c>
    </row>
    <row r="1501" spans="1:30">
      <c r="A1501" t="str">
        <f>CONCATENATE(I1501,J1501)</f>
        <v>IMAGICAAEQ</v>
      </c>
      <c r="B1501" s="34">
        <v>46273</v>
      </c>
      <c r="C1501" s="34">
        <v>46273</v>
      </c>
      <c r="D1501" t="s">
        <v>35</v>
      </c>
      <c r="E1501" t="s">
        <v>36</v>
      </c>
      <c r="F1501" t="s">
        <v>37</v>
      </c>
      <c r="G1501">
        <v>7672</v>
      </c>
      <c r="H1501" t="s">
        <v>4562</v>
      </c>
      <c r="I1501" t="s">
        <v>4563</v>
      </c>
      <c r="J1501" t="s">
        <v>161</v>
      </c>
      <c r="O1501" t="s">
        <v>4564</v>
      </c>
      <c r="P1501">
        <v>56.5</v>
      </c>
      <c r="Q1501">
        <v>56.51</v>
      </c>
      <c r="R1501">
        <v>54.3</v>
      </c>
      <c r="S1501">
        <v>54.43</v>
      </c>
      <c r="T1501">
        <v>54.9</v>
      </c>
      <c r="U1501">
        <v>54.86</v>
      </c>
      <c r="W1501">
        <v>54.43</v>
      </c>
      <c r="Z1501">
        <v>653308</v>
      </c>
      <c r="AA1501">
        <v>35875936.219999999</v>
      </c>
      <c r="AB1501">
        <v>3289</v>
      </c>
      <c r="AC1501" t="s">
        <v>42</v>
      </c>
      <c r="AD1501">
        <v>1</v>
      </c>
    </row>
    <row r="1502" spans="1:30">
      <c r="A1502" t="str">
        <f>CONCATENATE(I1502,J1502)</f>
        <v>IMPEXFERROBZ</v>
      </c>
      <c r="B1502" s="34">
        <v>46273</v>
      </c>
      <c r="C1502" s="34">
        <v>46273</v>
      </c>
      <c r="D1502" t="s">
        <v>35</v>
      </c>
      <c r="E1502" t="s">
        <v>36</v>
      </c>
      <c r="F1502" t="s">
        <v>37</v>
      </c>
      <c r="G1502">
        <v>25881</v>
      </c>
      <c r="H1502" t="s">
        <v>4565</v>
      </c>
      <c r="I1502" t="s">
        <v>4566</v>
      </c>
      <c r="J1502" t="s">
        <v>551</v>
      </c>
      <c r="O1502" t="s">
        <v>4567</v>
      </c>
      <c r="P1502">
        <v>4.9000000000000004</v>
      </c>
      <c r="Q1502">
        <v>4.9000000000000004</v>
      </c>
      <c r="R1502">
        <v>4.9000000000000004</v>
      </c>
      <c r="S1502">
        <v>4.9000000000000004</v>
      </c>
      <c r="T1502">
        <v>4.9000000000000004</v>
      </c>
      <c r="U1502">
        <v>4.8099999999999996</v>
      </c>
      <c r="W1502">
        <v>5.03</v>
      </c>
      <c r="Z1502">
        <v>52111</v>
      </c>
      <c r="AA1502">
        <v>255343.9</v>
      </c>
      <c r="AB1502">
        <v>19</v>
      </c>
      <c r="AC1502" t="s">
        <v>42</v>
      </c>
      <c r="AD1502">
        <v>1</v>
      </c>
    </row>
    <row r="1503" spans="1:30">
      <c r="A1503" t="str">
        <f>CONCATENATE(I1503,J1503)</f>
        <v>INCREDIBLEEQ</v>
      </c>
      <c r="B1503" s="34">
        <v>46273</v>
      </c>
      <c r="C1503" s="34">
        <v>46273</v>
      </c>
      <c r="D1503" t="s">
        <v>35</v>
      </c>
      <c r="E1503" t="s">
        <v>36</v>
      </c>
      <c r="F1503" t="s">
        <v>37</v>
      </c>
      <c r="G1503">
        <v>17507</v>
      </c>
      <c r="H1503" t="s">
        <v>4568</v>
      </c>
      <c r="I1503" t="s">
        <v>4569</v>
      </c>
      <c r="J1503" t="s">
        <v>161</v>
      </c>
      <c r="O1503" t="s">
        <v>4570</v>
      </c>
      <c r="P1503">
        <v>32.479999999999997</v>
      </c>
      <c r="Q1503">
        <v>32.479999999999997</v>
      </c>
      <c r="R1503">
        <v>31.31</v>
      </c>
      <c r="S1503">
        <v>31.78</v>
      </c>
      <c r="T1503">
        <v>31.51</v>
      </c>
      <c r="U1503">
        <v>32.340000000000003</v>
      </c>
      <c r="W1503">
        <v>31.72</v>
      </c>
      <c r="Z1503">
        <v>2176</v>
      </c>
      <c r="AA1503">
        <v>69052.84</v>
      </c>
      <c r="AB1503">
        <v>78</v>
      </c>
      <c r="AC1503" t="s">
        <v>42</v>
      </c>
      <c r="AD1503">
        <v>1</v>
      </c>
    </row>
    <row r="1504" spans="1:30">
      <c r="A1504" t="str">
        <f>CONCATENATE(I1504,J1504)</f>
        <v>IMPALEQ</v>
      </c>
      <c r="B1504" s="34">
        <v>46273</v>
      </c>
      <c r="C1504" s="34">
        <v>46273</v>
      </c>
      <c r="D1504" t="s">
        <v>35</v>
      </c>
      <c r="E1504" t="s">
        <v>36</v>
      </c>
      <c r="F1504" t="s">
        <v>37</v>
      </c>
      <c r="G1504">
        <v>12009</v>
      </c>
      <c r="H1504" t="s">
        <v>4571</v>
      </c>
      <c r="I1504" t="s">
        <v>4572</v>
      </c>
      <c r="J1504" t="s">
        <v>161</v>
      </c>
      <c r="O1504" t="s">
        <v>4573</v>
      </c>
      <c r="P1504">
        <v>1130.9000000000001</v>
      </c>
      <c r="Q1504">
        <v>1170</v>
      </c>
      <c r="R1504">
        <v>1090.5</v>
      </c>
      <c r="S1504">
        <v>1151.5</v>
      </c>
      <c r="T1504">
        <v>1120</v>
      </c>
      <c r="U1504">
        <v>1114.2</v>
      </c>
      <c r="W1504">
        <v>1151.07</v>
      </c>
      <c r="Z1504">
        <v>15807</v>
      </c>
      <c r="AA1504">
        <v>17889471.600000001</v>
      </c>
      <c r="AB1504">
        <v>932</v>
      </c>
      <c r="AC1504" t="s">
        <v>42</v>
      </c>
      <c r="AD1504">
        <v>1</v>
      </c>
    </row>
    <row r="1505" spans="1:30">
      <c r="A1505" t="str">
        <f>CONCATENATE(I1505,J1505)</f>
        <v>INDSWFTLABEQ</v>
      </c>
      <c r="B1505" s="34">
        <v>46273</v>
      </c>
      <c r="C1505" s="34">
        <v>46273</v>
      </c>
      <c r="D1505" t="s">
        <v>35</v>
      </c>
      <c r="E1505" t="s">
        <v>36</v>
      </c>
      <c r="F1505" t="s">
        <v>37</v>
      </c>
      <c r="G1505">
        <v>4870</v>
      </c>
      <c r="H1505" t="s">
        <v>4574</v>
      </c>
      <c r="I1505" t="s">
        <v>4575</v>
      </c>
      <c r="J1505" t="s">
        <v>161</v>
      </c>
      <c r="O1505" t="s">
        <v>4576</v>
      </c>
      <c r="P1505">
        <v>368.7</v>
      </c>
      <c r="Q1505">
        <v>401.45</v>
      </c>
      <c r="R1505">
        <v>368.7</v>
      </c>
      <c r="S1505">
        <v>388.3</v>
      </c>
      <c r="T1505">
        <v>389</v>
      </c>
      <c r="U1505">
        <v>368.7</v>
      </c>
      <c r="W1505">
        <v>388.3</v>
      </c>
      <c r="Z1505">
        <v>2095086</v>
      </c>
      <c r="AA1505">
        <v>821021661.54999995</v>
      </c>
      <c r="AB1505">
        <v>35895</v>
      </c>
      <c r="AC1505" t="s">
        <v>42</v>
      </c>
      <c r="AD1505">
        <v>1</v>
      </c>
    </row>
    <row r="1506" spans="1:30">
      <c r="A1506" t="str">
        <f>CONCATENATE(I1506,J1506)</f>
        <v>INDTERRAINEQ</v>
      </c>
      <c r="B1506" s="34">
        <v>46273</v>
      </c>
      <c r="C1506" s="34">
        <v>46273</v>
      </c>
      <c r="D1506" t="s">
        <v>35</v>
      </c>
      <c r="E1506" t="s">
        <v>36</v>
      </c>
      <c r="F1506" t="s">
        <v>37</v>
      </c>
      <c r="G1506">
        <v>21957</v>
      </c>
      <c r="H1506" t="s">
        <v>4577</v>
      </c>
      <c r="I1506" t="s">
        <v>4578</v>
      </c>
      <c r="J1506" t="s">
        <v>161</v>
      </c>
      <c r="O1506" t="s">
        <v>4579</v>
      </c>
      <c r="P1506">
        <v>30</v>
      </c>
      <c r="Q1506">
        <v>30.45</v>
      </c>
      <c r="R1506">
        <v>30</v>
      </c>
      <c r="S1506">
        <v>30.3</v>
      </c>
      <c r="T1506">
        <v>30.37</v>
      </c>
      <c r="U1506">
        <v>30.74</v>
      </c>
      <c r="W1506">
        <v>30.3</v>
      </c>
      <c r="Z1506">
        <v>10452</v>
      </c>
      <c r="AA1506">
        <v>315862</v>
      </c>
      <c r="AB1506">
        <v>76</v>
      </c>
      <c r="AC1506" t="s">
        <v>42</v>
      </c>
      <c r="AD1506">
        <v>1</v>
      </c>
    </row>
    <row r="1507" spans="1:30">
      <c r="A1507" t="str">
        <f>CONCATENATE(I1507,J1507)</f>
        <v>INDBANKEQ</v>
      </c>
      <c r="B1507" s="34">
        <v>46273</v>
      </c>
      <c r="C1507" s="34">
        <v>46273</v>
      </c>
      <c r="D1507" t="s">
        <v>35</v>
      </c>
      <c r="E1507" t="s">
        <v>36</v>
      </c>
      <c r="F1507" t="s">
        <v>37</v>
      </c>
      <c r="G1507">
        <v>16933</v>
      </c>
      <c r="H1507" t="s">
        <v>4580</v>
      </c>
      <c r="I1507" t="s">
        <v>4581</v>
      </c>
      <c r="J1507" t="s">
        <v>161</v>
      </c>
      <c r="O1507" t="s">
        <v>4582</v>
      </c>
      <c r="P1507">
        <v>28.68</v>
      </c>
      <c r="Q1507">
        <v>28.68</v>
      </c>
      <c r="R1507">
        <v>27.6</v>
      </c>
      <c r="S1507">
        <v>27.69</v>
      </c>
      <c r="T1507">
        <v>27.63</v>
      </c>
      <c r="U1507">
        <v>28.16</v>
      </c>
      <c r="W1507">
        <v>27.69</v>
      </c>
      <c r="Z1507">
        <v>60876</v>
      </c>
      <c r="AA1507">
        <v>1701430.31</v>
      </c>
      <c r="AB1507">
        <v>623</v>
      </c>
      <c r="AC1507" t="s">
        <v>42</v>
      </c>
      <c r="AD1507">
        <v>1</v>
      </c>
    </row>
    <row r="1508" spans="1:30">
      <c r="A1508" t="str">
        <f>CONCATENATE(I1508,J1508)</f>
        <v>BAJAJINDEFEQ</v>
      </c>
      <c r="B1508" s="34">
        <v>46273</v>
      </c>
      <c r="C1508" s="34">
        <v>46273</v>
      </c>
      <c r="D1508" t="s">
        <v>35</v>
      </c>
      <c r="E1508" t="s">
        <v>36</v>
      </c>
      <c r="F1508" t="s">
        <v>37</v>
      </c>
      <c r="G1508">
        <v>29678</v>
      </c>
      <c r="H1508" t="s">
        <v>4583</v>
      </c>
      <c r="I1508" t="s">
        <v>4584</v>
      </c>
      <c r="J1508" t="s">
        <v>161</v>
      </c>
      <c r="O1508" t="s">
        <v>4585</v>
      </c>
      <c r="P1508">
        <v>225.6</v>
      </c>
      <c r="Q1508">
        <v>226.89</v>
      </c>
      <c r="R1508">
        <v>220.02</v>
      </c>
      <c r="S1508">
        <v>220.95</v>
      </c>
      <c r="T1508">
        <v>222.38</v>
      </c>
      <c r="U1508">
        <v>222.26</v>
      </c>
      <c r="W1508">
        <v>220.95</v>
      </c>
      <c r="Z1508">
        <v>7155</v>
      </c>
      <c r="AA1508">
        <v>1587181.2</v>
      </c>
      <c r="AB1508">
        <v>249</v>
      </c>
      <c r="AC1508" t="s">
        <v>42</v>
      </c>
      <c r="AD1508">
        <v>1</v>
      </c>
    </row>
    <row r="1509" spans="1:30">
      <c r="A1509" t="str">
        <f>CONCATENATE(I1509,J1509)</f>
        <v>INDGNEQ</v>
      </c>
      <c r="B1509" s="34">
        <v>46273</v>
      </c>
      <c r="C1509" s="34">
        <v>46273</v>
      </c>
      <c r="D1509" t="s">
        <v>35</v>
      </c>
      <c r="E1509" t="s">
        <v>36</v>
      </c>
      <c r="F1509" t="s">
        <v>37</v>
      </c>
      <c r="G1509">
        <v>23693</v>
      </c>
      <c r="H1509" t="s">
        <v>4586</v>
      </c>
      <c r="I1509" t="s">
        <v>4587</v>
      </c>
      <c r="J1509" t="s">
        <v>161</v>
      </c>
      <c r="O1509" t="s">
        <v>4588</v>
      </c>
      <c r="P1509">
        <v>597</v>
      </c>
      <c r="Q1509">
        <v>603.6</v>
      </c>
      <c r="R1509">
        <v>579.20000000000005</v>
      </c>
      <c r="S1509">
        <v>589.20000000000005</v>
      </c>
      <c r="T1509">
        <v>591</v>
      </c>
      <c r="U1509">
        <v>599.35</v>
      </c>
      <c r="W1509">
        <v>589.17999999999995</v>
      </c>
      <c r="Z1509">
        <v>410036</v>
      </c>
      <c r="AA1509">
        <v>241495076.40000001</v>
      </c>
      <c r="AB1509">
        <v>22962</v>
      </c>
      <c r="AC1509" t="s">
        <v>42</v>
      </c>
      <c r="AD1509">
        <v>1</v>
      </c>
    </row>
    <row r="1510" spans="1:30">
      <c r="A1510" t="str">
        <f>CONCATENATE(I1510,J1510)</f>
        <v>INDIAGLYCOBE</v>
      </c>
      <c r="B1510" s="34">
        <v>46273</v>
      </c>
      <c r="C1510" s="34">
        <v>46273</v>
      </c>
      <c r="D1510" t="s">
        <v>35</v>
      </c>
      <c r="E1510" t="s">
        <v>36</v>
      </c>
      <c r="F1510" t="s">
        <v>37</v>
      </c>
      <c r="G1510">
        <v>7128</v>
      </c>
      <c r="H1510" t="s">
        <v>4589</v>
      </c>
      <c r="I1510" t="s">
        <v>4590</v>
      </c>
      <c r="J1510" t="s">
        <v>183</v>
      </c>
      <c r="O1510" t="s">
        <v>4591</v>
      </c>
      <c r="P1510">
        <v>274.7</v>
      </c>
      <c r="Q1510">
        <v>287</v>
      </c>
      <c r="R1510">
        <v>274.7</v>
      </c>
      <c r="S1510">
        <v>287</v>
      </c>
      <c r="T1510">
        <v>287</v>
      </c>
      <c r="U1510">
        <v>273.39999999999998</v>
      </c>
      <c r="W1510">
        <v>293.16000000000003</v>
      </c>
      <c r="Z1510">
        <v>168877</v>
      </c>
      <c r="AA1510">
        <v>48003020.799999997</v>
      </c>
      <c r="AB1510">
        <v>1428</v>
      </c>
      <c r="AC1510" t="s">
        <v>42</v>
      </c>
      <c r="AD1510">
        <v>1</v>
      </c>
    </row>
    <row r="1511" spans="1:30">
      <c r="A1511" t="str">
        <f>CONCATENATE(I1511,J1511)</f>
        <v>INDNIPPONEQ</v>
      </c>
      <c r="B1511" s="34">
        <v>46273</v>
      </c>
      <c r="C1511" s="34">
        <v>46273</v>
      </c>
      <c r="D1511" t="s">
        <v>35</v>
      </c>
      <c r="E1511" t="s">
        <v>36</v>
      </c>
      <c r="F1511" t="s">
        <v>37</v>
      </c>
      <c r="G1511">
        <v>4747</v>
      </c>
      <c r="H1511" t="s">
        <v>4592</v>
      </c>
      <c r="I1511" t="s">
        <v>4593</v>
      </c>
      <c r="J1511" t="s">
        <v>161</v>
      </c>
      <c r="O1511" t="s">
        <v>4594</v>
      </c>
      <c r="P1511">
        <v>1130.0999999999999</v>
      </c>
      <c r="Q1511">
        <v>1135.9000000000001</v>
      </c>
      <c r="R1511">
        <v>1092</v>
      </c>
      <c r="S1511">
        <v>1122.3</v>
      </c>
      <c r="T1511">
        <v>1125</v>
      </c>
      <c r="U1511">
        <v>1128.4000000000001</v>
      </c>
      <c r="W1511">
        <v>1122.3599999999999</v>
      </c>
      <c r="Z1511">
        <v>41478</v>
      </c>
      <c r="AA1511">
        <v>46019205.100000001</v>
      </c>
      <c r="AB1511">
        <v>3970</v>
      </c>
      <c r="AC1511" t="s">
        <v>42</v>
      </c>
      <c r="AD1511">
        <v>1</v>
      </c>
    </row>
    <row r="1512" spans="1:30">
      <c r="A1512" t="str">
        <f>CONCATENATE(I1512,J1512)</f>
        <v>IPLEQ</v>
      </c>
      <c r="B1512" s="34">
        <v>46273</v>
      </c>
      <c r="C1512" s="34">
        <v>46273</v>
      </c>
      <c r="D1512" t="s">
        <v>35</v>
      </c>
      <c r="E1512" t="s">
        <v>36</v>
      </c>
      <c r="F1512" t="s">
        <v>37</v>
      </c>
      <c r="G1512">
        <v>4934</v>
      </c>
      <c r="H1512" t="s">
        <v>4595</v>
      </c>
      <c r="I1512" t="s">
        <v>4596</v>
      </c>
      <c r="J1512" t="s">
        <v>161</v>
      </c>
      <c r="O1512" t="s">
        <v>4597</v>
      </c>
      <c r="P1512">
        <v>136.69999999999999</v>
      </c>
      <c r="Q1512">
        <v>136.79</v>
      </c>
      <c r="R1512">
        <v>133.9</v>
      </c>
      <c r="S1512">
        <v>134.65</v>
      </c>
      <c r="T1512">
        <v>135.80000000000001</v>
      </c>
      <c r="U1512">
        <v>136.63</v>
      </c>
      <c r="W1512">
        <v>134.63999999999999</v>
      </c>
      <c r="Z1512">
        <v>129674</v>
      </c>
      <c r="AA1512">
        <v>17488802.030000001</v>
      </c>
      <c r="AB1512">
        <v>1881</v>
      </c>
      <c r="AC1512" t="s">
        <v>42</v>
      </c>
      <c r="AD1512">
        <v>1</v>
      </c>
    </row>
    <row r="1513" spans="1:30">
      <c r="A1513" t="str">
        <f>CONCATENATE(I1513,J1513)</f>
        <v>INDIASHLTREQ</v>
      </c>
      <c r="B1513" s="34">
        <v>46273</v>
      </c>
      <c r="C1513" s="34">
        <v>46273</v>
      </c>
      <c r="D1513" t="s">
        <v>35</v>
      </c>
      <c r="E1513" t="s">
        <v>36</v>
      </c>
      <c r="F1513" t="s">
        <v>37</v>
      </c>
      <c r="G1513">
        <v>20556</v>
      </c>
      <c r="H1513" t="s">
        <v>4598</v>
      </c>
      <c r="I1513" t="s">
        <v>4599</v>
      </c>
      <c r="J1513" t="s">
        <v>161</v>
      </c>
      <c r="O1513" t="s">
        <v>4600</v>
      </c>
      <c r="P1513">
        <v>670</v>
      </c>
      <c r="Q1513">
        <v>675</v>
      </c>
      <c r="R1513">
        <v>667.5</v>
      </c>
      <c r="S1513">
        <v>671.7</v>
      </c>
      <c r="T1513">
        <v>672.9</v>
      </c>
      <c r="U1513">
        <v>672.15</v>
      </c>
      <c r="W1513">
        <v>671.7</v>
      </c>
      <c r="Z1513">
        <v>31956</v>
      </c>
      <c r="AA1513">
        <v>21439595.25</v>
      </c>
      <c r="AB1513">
        <v>3428</v>
      </c>
      <c r="AC1513" t="s">
        <v>42</v>
      </c>
      <c r="AD1513">
        <v>1</v>
      </c>
    </row>
    <row r="1514" spans="1:30">
      <c r="A1514" t="str">
        <f>CONCATENATE(I1514,J1514)</f>
        <v>ITDCEQ</v>
      </c>
      <c r="B1514" s="34">
        <v>46273</v>
      </c>
      <c r="C1514" s="34">
        <v>46273</v>
      </c>
      <c r="D1514" t="s">
        <v>35</v>
      </c>
      <c r="E1514" t="s">
        <v>36</v>
      </c>
      <c r="F1514" t="s">
        <v>37</v>
      </c>
      <c r="G1514">
        <v>19299</v>
      </c>
      <c r="H1514" t="s">
        <v>4601</v>
      </c>
      <c r="I1514" t="s">
        <v>4602</v>
      </c>
      <c r="J1514" t="s">
        <v>161</v>
      </c>
      <c r="O1514" t="s">
        <v>4603</v>
      </c>
      <c r="P1514">
        <v>643.35</v>
      </c>
      <c r="Q1514">
        <v>651</v>
      </c>
      <c r="R1514">
        <v>635.1</v>
      </c>
      <c r="S1514">
        <v>638.20000000000005</v>
      </c>
      <c r="T1514">
        <v>643.9</v>
      </c>
      <c r="U1514">
        <v>643.35</v>
      </c>
      <c r="W1514">
        <v>638.21</v>
      </c>
      <c r="Z1514">
        <v>30593</v>
      </c>
      <c r="AA1514">
        <v>19540079.5</v>
      </c>
      <c r="AB1514">
        <v>1760</v>
      </c>
      <c r="AC1514" t="s">
        <v>42</v>
      </c>
      <c r="AD1514">
        <v>1</v>
      </c>
    </row>
    <row r="1515" spans="1:30">
      <c r="A1515" t="str">
        <f>CONCATENATE(I1515,J1515)</f>
        <v>IBULLSLTDEQ</v>
      </c>
      <c r="B1515" s="34">
        <v>46273</v>
      </c>
      <c r="C1515" s="34">
        <v>46273</v>
      </c>
      <c r="D1515" t="s">
        <v>35</v>
      </c>
      <c r="E1515" t="s">
        <v>36</v>
      </c>
      <c r="F1515" t="s">
        <v>37</v>
      </c>
      <c r="G1515">
        <v>24999</v>
      </c>
      <c r="H1515" t="s">
        <v>4604</v>
      </c>
      <c r="I1515" t="s">
        <v>4605</v>
      </c>
      <c r="J1515" t="s">
        <v>161</v>
      </c>
      <c r="O1515" t="s">
        <v>4606</v>
      </c>
      <c r="P1515">
        <v>25.51</v>
      </c>
      <c r="Q1515">
        <v>26.39</v>
      </c>
      <c r="R1515">
        <v>25.23</v>
      </c>
      <c r="S1515">
        <v>25.95</v>
      </c>
      <c r="T1515">
        <v>25.86</v>
      </c>
      <c r="U1515">
        <v>25.7</v>
      </c>
      <c r="W1515">
        <v>25.95</v>
      </c>
      <c r="Z1515">
        <v>15254328</v>
      </c>
      <c r="AA1515">
        <v>396336522.38999999</v>
      </c>
      <c r="AB1515">
        <v>15259</v>
      </c>
      <c r="AC1515" t="s">
        <v>42</v>
      </c>
      <c r="AD1515">
        <v>1</v>
      </c>
    </row>
    <row r="1516" spans="1:30">
      <c r="A1516" t="str">
        <f>CONCATENATE(I1516,J1516)</f>
        <v>INDIAMARTEQ</v>
      </c>
      <c r="B1516" s="34">
        <v>46273</v>
      </c>
      <c r="C1516" s="34">
        <v>46273</v>
      </c>
      <c r="D1516" t="s">
        <v>35</v>
      </c>
      <c r="E1516" t="s">
        <v>36</v>
      </c>
      <c r="F1516" t="s">
        <v>37</v>
      </c>
      <c r="G1516">
        <v>10726</v>
      </c>
      <c r="H1516" t="s">
        <v>4607</v>
      </c>
      <c r="I1516" t="s">
        <v>4608</v>
      </c>
      <c r="J1516" t="s">
        <v>161</v>
      </c>
      <c r="O1516" t="s">
        <v>4609</v>
      </c>
      <c r="P1516">
        <v>1700.1</v>
      </c>
      <c r="Q1516">
        <v>1714.1</v>
      </c>
      <c r="R1516">
        <v>1681</v>
      </c>
      <c r="S1516">
        <v>1684.5</v>
      </c>
      <c r="T1516">
        <v>1686.7</v>
      </c>
      <c r="U1516">
        <v>1706.4</v>
      </c>
      <c r="W1516">
        <v>1684.38</v>
      </c>
      <c r="Z1516">
        <v>122055</v>
      </c>
      <c r="AA1516">
        <v>205896875.59999999</v>
      </c>
      <c r="AB1516">
        <v>11933</v>
      </c>
      <c r="AC1516" t="s">
        <v>42</v>
      </c>
      <c r="AD1516">
        <v>1</v>
      </c>
    </row>
    <row r="1517" spans="1:30">
      <c r="A1517" t="str">
        <f>CONCATENATE(I1517,J1517)</f>
        <v>INDIANBEQ</v>
      </c>
      <c r="B1517" s="34">
        <v>46273</v>
      </c>
      <c r="C1517" s="34">
        <v>46273</v>
      </c>
      <c r="D1517" t="s">
        <v>35</v>
      </c>
      <c r="E1517" t="s">
        <v>36</v>
      </c>
      <c r="F1517" t="s">
        <v>37</v>
      </c>
      <c r="G1517">
        <v>14309</v>
      </c>
      <c r="H1517" t="s">
        <v>4610</v>
      </c>
      <c r="I1517" t="s">
        <v>4611</v>
      </c>
      <c r="J1517" t="s">
        <v>161</v>
      </c>
      <c r="O1517" t="s">
        <v>4612</v>
      </c>
      <c r="P1517">
        <v>868.5</v>
      </c>
      <c r="Q1517">
        <v>868.9</v>
      </c>
      <c r="R1517">
        <v>855.15</v>
      </c>
      <c r="S1517">
        <v>859.9</v>
      </c>
      <c r="T1517">
        <v>859.9</v>
      </c>
      <c r="U1517">
        <v>869.4</v>
      </c>
      <c r="W1517">
        <v>859.9</v>
      </c>
      <c r="Z1517">
        <v>1120827</v>
      </c>
      <c r="AA1517">
        <v>964466918.70000005</v>
      </c>
      <c r="AB1517">
        <v>27491</v>
      </c>
      <c r="AC1517" t="s">
        <v>42</v>
      </c>
      <c r="AD1517">
        <v>1</v>
      </c>
    </row>
    <row r="1518" spans="1:30">
      <c r="A1518" t="str">
        <f>CONCATENATE(I1518,J1518)</f>
        <v>INDIANCARDEQ</v>
      </c>
      <c r="B1518" s="34">
        <v>46273</v>
      </c>
      <c r="C1518" s="34">
        <v>46273</v>
      </c>
      <c r="D1518" t="s">
        <v>35</v>
      </c>
      <c r="E1518" t="s">
        <v>36</v>
      </c>
      <c r="F1518" t="s">
        <v>37</v>
      </c>
      <c r="G1518">
        <v>4422</v>
      </c>
      <c r="H1518" t="s">
        <v>4613</v>
      </c>
      <c r="I1518" t="s">
        <v>4614</v>
      </c>
      <c r="J1518" t="s">
        <v>161</v>
      </c>
      <c r="O1518" t="s">
        <v>4615</v>
      </c>
      <c r="P1518">
        <v>224.4</v>
      </c>
      <c r="Q1518">
        <v>224.99</v>
      </c>
      <c r="R1518">
        <v>212.19</v>
      </c>
      <c r="S1518">
        <v>218.81</v>
      </c>
      <c r="T1518">
        <v>218.54</v>
      </c>
      <c r="U1518">
        <v>217.85</v>
      </c>
      <c r="W1518">
        <v>218.81</v>
      </c>
      <c r="Z1518">
        <v>538</v>
      </c>
      <c r="AA1518">
        <v>118346.49</v>
      </c>
      <c r="AB1518">
        <v>23</v>
      </c>
      <c r="AC1518" t="s">
        <v>42</v>
      </c>
      <c r="AD1518">
        <v>1</v>
      </c>
    </row>
    <row r="1519" spans="1:30">
      <c r="A1519" t="str">
        <f>CONCATENATE(I1519,J1519)</f>
        <v>IEMLST</v>
      </c>
      <c r="B1519" s="34">
        <v>46273</v>
      </c>
      <c r="C1519" s="34">
        <v>46273</v>
      </c>
      <c r="D1519" t="s">
        <v>35</v>
      </c>
      <c r="E1519" t="s">
        <v>36</v>
      </c>
      <c r="F1519" t="s">
        <v>37</v>
      </c>
      <c r="G1519">
        <v>23792</v>
      </c>
      <c r="H1519" t="s">
        <v>4616</v>
      </c>
      <c r="I1519" t="s">
        <v>4617</v>
      </c>
      <c r="J1519" t="s">
        <v>328</v>
      </c>
      <c r="O1519" t="s">
        <v>4618</v>
      </c>
      <c r="P1519">
        <v>41</v>
      </c>
      <c r="Q1519">
        <v>43.3</v>
      </c>
      <c r="R1519">
        <v>40.799999999999997</v>
      </c>
      <c r="S1519">
        <v>41.95</v>
      </c>
      <c r="T1519">
        <v>41.9</v>
      </c>
      <c r="U1519">
        <v>41.25</v>
      </c>
      <c r="W1519">
        <v>41.95</v>
      </c>
      <c r="Z1519">
        <v>37000</v>
      </c>
      <c r="AA1519">
        <v>1581450</v>
      </c>
      <c r="AB1519">
        <v>61</v>
      </c>
      <c r="AC1519" t="s">
        <v>42</v>
      </c>
      <c r="AD1519">
        <v>500</v>
      </c>
    </row>
    <row r="1520" spans="1:30">
      <c r="A1520" t="str">
        <f>CONCATENATE(I1520,J1520)</f>
        <v>IEXEQ</v>
      </c>
      <c r="B1520" s="34">
        <v>46273</v>
      </c>
      <c r="C1520" s="34">
        <v>46273</v>
      </c>
      <c r="D1520" t="s">
        <v>35</v>
      </c>
      <c r="E1520" t="s">
        <v>36</v>
      </c>
      <c r="F1520" t="s">
        <v>37</v>
      </c>
      <c r="G1520">
        <v>220</v>
      </c>
      <c r="H1520" t="s">
        <v>4619</v>
      </c>
      <c r="I1520" t="s">
        <v>4620</v>
      </c>
      <c r="J1520" t="s">
        <v>161</v>
      </c>
      <c r="O1520" t="s">
        <v>4621</v>
      </c>
      <c r="P1520">
        <v>117.5</v>
      </c>
      <c r="Q1520">
        <v>117.75</v>
      </c>
      <c r="R1520">
        <v>116</v>
      </c>
      <c r="S1520">
        <v>116.54</v>
      </c>
      <c r="T1520">
        <v>116.54</v>
      </c>
      <c r="U1520">
        <v>117.5</v>
      </c>
      <c r="W1520">
        <v>116.54</v>
      </c>
      <c r="Z1520">
        <v>4316644</v>
      </c>
      <c r="AA1520">
        <v>503640248.51999998</v>
      </c>
      <c r="AB1520">
        <v>34642</v>
      </c>
      <c r="AC1520" t="s">
        <v>42</v>
      </c>
      <c r="AD1520">
        <v>1</v>
      </c>
    </row>
    <row r="1521" spans="1:30">
      <c r="A1521" t="str">
        <f>CONCATENATE(I1521,J1521)</f>
        <v>INDIANHUMEEQ</v>
      </c>
      <c r="B1521" s="34">
        <v>46273</v>
      </c>
      <c r="C1521" s="34">
        <v>46273</v>
      </c>
      <c r="D1521" t="s">
        <v>35</v>
      </c>
      <c r="E1521" t="s">
        <v>36</v>
      </c>
      <c r="F1521" t="s">
        <v>37</v>
      </c>
      <c r="G1521">
        <v>1530</v>
      </c>
      <c r="H1521" t="s">
        <v>4622</v>
      </c>
      <c r="I1521" t="s">
        <v>4623</v>
      </c>
      <c r="J1521" t="s">
        <v>161</v>
      </c>
      <c r="O1521" t="s">
        <v>4624</v>
      </c>
      <c r="P1521">
        <v>393.6</v>
      </c>
      <c r="Q1521">
        <v>395</v>
      </c>
      <c r="R1521">
        <v>385.6</v>
      </c>
      <c r="S1521">
        <v>388.9</v>
      </c>
      <c r="T1521">
        <v>390</v>
      </c>
      <c r="U1521">
        <v>394.9</v>
      </c>
      <c r="W1521">
        <v>388.86</v>
      </c>
      <c r="Z1521">
        <v>33597</v>
      </c>
      <c r="AA1521">
        <v>13083562</v>
      </c>
      <c r="AB1521">
        <v>1435</v>
      </c>
      <c r="AC1521" t="s">
        <v>42</v>
      </c>
      <c r="AD1521">
        <v>1</v>
      </c>
    </row>
    <row r="1522" spans="1:30">
      <c r="A1522" t="str">
        <f>CONCATENATE(I1522,J1522)</f>
        <v>IMFAEQ</v>
      </c>
      <c r="B1522" s="34">
        <v>46273</v>
      </c>
      <c r="C1522" s="34">
        <v>46273</v>
      </c>
      <c r="D1522" t="s">
        <v>35</v>
      </c>
      <c r="E1522" t="s">
        <v>36</v>
      </c>
      <c r="F1522" t="s">
        <v>37</v>
      </c>
      <c r="G1522">
        <v>19235</v>
      </c>
      <c r="H1522" t="s">
        <v>4625</v>
      </c>
      <c r="I1522" t="s">
        <v>4626</v>
      </c>
      <c r="J1522" t="s">
        <v>161</v>
      </c>
      <c r="O1522" t="s">
        <v>4627</v>
      </c>
      <c r="P1522">
        <v>1287</v>
      </c>
      <c r="Q1522">
        <v>1315</v>
      </c>
      <c r="R1522">
        <v>1283.0999999999999</v>
      </c>
      <c r="S1522">
        <v>1306.7</v>
      </c>
      <c r="T1522">
        <v>1309</v>
      </c>
      <c r="U1522">
        <v>1286.9000000000001</v>
      </c>
      <c r="W1522">
        <v>1306.71</v>
      </c>
      <c r="Z1522">
        <v>74407</v>
      </c>
      <c r="AA1522">
        <v>96408641.400000006</v>
      </c>
      <c r="AB1522">
        <v>7209</v>
      </c>
      <c r="AC1522" t="s">
        <v>42</v>
      </c>
      <c r="AD1522">
        <v>1</v>
      </c>
    </row>
    <row r="1523" spans="1:30">
      <c r="A1523" t="str">
        <f>CONCATENATE(I1523,J1523)</f>
        <v>IOCEQ</v>
      </c>
      <c r="B1523" s="34">
        <v>46273</v>
      </c>
      <c r="C1523" s="34">
        <v>46273</v>
      </c>
      <c r="D1523" t="s">
        <v>35</v>
      </c>
      <c r="E1523" t="s">
        <v>36</v>
      </c>
      <c r="F1523" t="s">
        <v>37</v>
      </c>
      <c r="G1523">
        <v>1624</v>
      </c>
      <c r="H1523" t="s">
        <v>4628</v>
      </c>
      <c r="I1523" t="s">
        <v>4629</v>
      </c>
      <c r="J1523" t="s">
        <v>161</v>
      </c>
      <c r="O1523" t="s">
        <v>4630</v>
      </c>
      <c r="P1523">
        <v>134.88</v>
      </c>
      <c r="Q1523">
        <v>135.65</v>
      </c>
      <c r="R1523">
        <v>133.02000000000001</v>
      </c>
      <c r="S1523">
        <v>134.35</v>
      </c>
      <c r="T1523">
        <v>134.35</v>
      </c>
      <c r="U1523">
        <v>135.15</v>
      </c>
      <c r="W1523">
        <v>134.35</v>
      </c>
      <c r="Z1523">
        <v>6954986</v>
      </c>
      <c r="AA1523">
        <v>933939472.83000004</v>
      </c>
      <c r="AB1523">
        <v>50405</v>
      </c>
      <c r="AC1523" t="s">
        <v>42</v>
      </c>
      <c r="AD1523">
        <v>1</v>
      </c>
    </row>
    <row r="1524" spans="1:30">
      <c r="A1524" t="str">
        <f>CONCATENATE(I1524,J1524)</f>
        <v>IOBEQ</v>
      </c>
      <c r="B1524" s="34">
        <v>46273</v>
      </c>
      <c r="C1524" s="34">
        <v>46273</v>
      </c>
      <c r="D1524" t="s">
        <v>35</v>
      </c>
      <c r="E1524" t="s">
        <v>36</v>
      </c>
      <c r="F1524" t="s">
        <v>37</v>
      </c>
      <c r="G1524">
        <v>9348</v>
      </c>
      <c r="H1524" t="s">
        <v>4631</v>
      </c>
      <c r="I1524" t="s">
        <v>4632</v>
      </c>
      <c r="J1524" t="s">
        <v>161</v>
      </c>
      <c r="O1524" t="s">
        <v>4633</v>
      </c>
      <c r="P1524">
        <v>33.1</v>
      </c>
      <c r="Q1524">
        <v>33.450000000000003</v>
      </c>
      <c r="R1524">
        <v>32.9</v>
      </c>
      <c r="S1524">
        <v>33.340000000000003</v>
      </c>
      <c r="T1524">
        <v>33.4</v>
      </c>
      <c r="U1524">
        <v>33.1</v>
      </c>
      <c r="W1524">
        <v>33.340000000000003</v>
      </c>
      <c r="Z1524">
        <v>1397088</v>
      </c>
      <c r="AA1524">
        <v>46405647.770000003</v>
      </c>
      <c r="AB1524">
        <v>8215</v>
      </c>
      <c r="AC1524" t="s">
        <v>42</v>
      </c>
      <c r="AD1524">
        <v>1</v>
      </c>
    </row>
    <row r="1525" spans="1:30">
      <c r="A1525" t="str">
        <f>CONCATENATE(I1525,J1525)</f>
        <v>IPHLSM</v>
      </c>
      <c r="B1525" s="34">
        <v>46273</v>
      </c>
      <c r="C1525" s="34">
        <v>46273</v>
      </c>
      <c r="D1525" t="s">
        <v>35</v>
      </c>
      <c r="E1525" t="s">
        <v>36</v>
      </c>
      <c r="F1525" t="s">
        <v>37</v>
      </c>
      <c r="G1525">
        <v>25033</v>
      </c>
      <c r="H1525" t="s">
        <v>4634</v>
      </c>
      <c r="I1525" t="s">
        <v>4635</v>
      </c>
      <c r="J1525" t="s">
        <v>267</v>
      </c>
      <c r="O1525" t="s">
        <v>4636</v>
      </c>
      <c r="P1525">
        <v>76.849999999999994</v>
      </c>
      <c r="Q1525">
        <v>78.55</v>
      </c>
      <c r="R1525">
        <v>76.650000000000006</v>
      </c>
      <c r="S1525">
        <v>77.05</v>
      </c>
      <c r="T1525">
        <v>77.05</v>
      </c>
      <c r="U1525">
        <v>76.099999999999994</v>
      </c>
      <c r="W1525">
        <v>77.05</v>
      </c>
      <c r="Z1525">
        <v>20400</v>
      </c>
      <c r="AA1525">
        <v>1578240</v>
      </c>
      <c r="AB1525">
        <v>16</v>
      </c>
      <c r="AC1525" t="s">
        <v>42</v>
      </c>
      <c r="AD1525">
        <v>1200</v>
      </c>
    </row>
    <row r="1526" spans="1:30">
      <c r="A1526" t="str">
        <f>CONCATENATE(I1526,J1526)</f>
        <v>IRCTCEQ</v>
      </c>
      <c r="B1526" s="34">
        <v>46273</v>
      </c>
      <c r="C1526" s="34">
        <v>46273</v>
      </c>
      <c r="D1526" t="s">
        <v>35</v>
      </c>
      <c r="E1526" t="s">
        <v>36</v>
      </c>
      <c r="F1526" t="s">
        <v>37</v>
      </c>
      <c r="G1526">
        <v>13611</v>
      </c>
      <c r="H1526" t="s">
        <v>4637</v>
      </c>
      <c r="I1526" t="s">
        <v>4638</v>
      </c>
      <c r="J1526" t="s">
        <v>161</v>
      </c>
      <c r="O1526" t="s">
        <v>4639</v>
      </c>
      <c r="P1526">
        <v>474.5</v>
      </c>
      <c r="Q1526">
        <v>474.9</v>
      </c>
      <c r="R1526">
        <v>472</v>
      </c>
      <c r="S1526">
        <v>472.45</v>
      </c>
      <c r="T1526">
        <v>472.4</v>
      </c>
      <c r="U1526">
        <v>474.5</v>
      </c>
      <c r="W1526">
        <v>472.45</v>
      </c>
      <c r="Z1526">
        <v>412334</v>
      </c>
      <c r="AA1526">
        <v>194905738.30000001</v>
      </c>
      <c r="AB1526">
        <v>19859</v>
      </c>
      <c r="AC1526" t="s">
        <v>42</v>
      </c>
      <c r="AD1526">
        <v>1</v>
      </c>
    </row>
    <row r="1527" spans="1:30">
      <c r="A1527" t="str">
        <f>CONCATENATE(I1527,J1527)</f>
        <v>IRFCEQ</v>
      </c>
      <c r="B1527" s="34">
        <v>46273</v>
      </c>
      <c r="C1527" s="34">
        <v>46273</v>
      </c>
      <c r="D1527" t="s">
        <v>35</v>
      </c>
      <c r="E1527" t="s">
        <v>36</v>
      </c>
      <c r="F1527" t="s">
        <v>37</v>
      </c>
      <c r="G1527">
        <v>2029</v>
      </c>
      <c r="H1527" t="s">
        <v>4640</v>
      </c>
      <c r="I1527" t="s">
        <v>4641</v>
      </c>
      <c r="J1527" t="s">
        <v>161</v>
      </c>
      <c r="O1527" t="s">
        <v>4642</v>
      </c>
      <c r="P1527">
        <v>82.9</v>
      </c>
      <c r="Q1527">
        <v>82.93</v>
      </c>
      <c r="R1527">
        <v>81.75</v>
      </c>
      <c r="S1527">
        <v>82</v>
      </c>
      <c r="T1527">
        <v>82</v>
      </c>
      <c r="U1527">
        <v>83</v>
      </c>
      <c r="W1527">
        <v>82</v>
      </c>
      <c r="Z1527">
        <v>5883007</v>
      </c>
      <c r="AA1527">
        <v>483661751.85000002</v>
      </c>
      <c r="AB1527">
        <v>39595</v>
      </c>
      <c r="AC1527" t="s">
        <v>42</v>
      </c>
      <c r="AD1527">
        <v>1</v>
      </c>
    </row>
    <row r="1528" spans="1:30">
      <c r="A1528" t="str">
        <f>CONCATENATE(I1528,J1528)</f>
        <v>IREDAEQ</v>
      </c>
      <c r="B1528" s="34">
        <v>46273</v>
      </c>
      <c r="C1528" s="34">
        <v>46273</v>
      </c>
      <c r="D1528" t="s">
        <v>35</v>
      </c>
      <c r="E1528" t="s">
        <v>36</v>
      </c>
      <c r="F1528" t="s">
        <v>37</v>
      </c>
      <c r="G1528">
        <v>20261</v>
      </c>
      <c r="H1528" t="s">
        <v>4643</v>
      </c>
      <c r="I1528" t="s">
        <v>4644</v>
      </c>
      <c r="J1528" t="s">
        <v>161</v>
      </c>
      <c r="O1528" t="s">
        <v>4645</v>
      </c>
      <c r="P1528">
        <v>112.5</v>
      </c>
      <c r="Q1528">
        <v>112.95</v>
      </c>
      <c r="R1528">
        <v>111.8</v>
      </c>
      <c r="S1528">
        <v>112.2</v>
      </c>
      <c r="T1528">
        <v>112.2</v>
      </c>
      <c r="U1528">
        <v>112.95</v>
      </c>
      <c r="W1528">
        <v>112.21</v>
      </c>
      <c r="Z1528">
        <v>3095995</v>
      </c>
      <c r="AA1528">
        <v>347289917.88999999</v>
      </c>
      <c r="AB1528">
        <v>24401</v>
      </c>
      <c r="AC1528" t="s">
        <v>42</v>
      </c>
      <c r="AD1528">
        <v>1</v>
      </c>
    </row>
    <row r="1529" spans="1:30">
      <c r="A1529" t="str">
        <f>CONCATENATE(I1529,J1529)</f>
        <v>IWPEQ</v>
      </c>
      <c r="B1529" s="34">
        <v>46273</v>
      </c>
      <c r="C1529" s="34">
        <v>46273</v>
      </c>
      <c r="D1529" t="s">
        <v>35</v>
      </c>
      <c r="E1529" t="s">
        <v>36</v>
      </c>
      <c r="F1529" t="s">
        <v>37</v>
      </c>
      <c r="G1529">
        <v>762727</v>
      </c>
      <c r="H1529" t="s">
        <v>4646</v>
      </c>
      <c r="I1529" t="s">
        <v>4647</v>
      </c>
      <c r="J1529" t="s">
        <v>161</v>
      </c>
      <c r="O1529" t="s">
        <v>4648</v>
      </c>
      <c r="P1529">
        <v>35.270000000000003</v>
      </c>
      <c r="Q1529">
        <v>35.270000000000003</v>
      </c>
      <c r="R1529">
        <v>34.46</v>
      </c>
      <c r="S1529">
        <v>34.700000000000003</v>
      </c>
      <c r="T1529">
        <v>34.700000000000003</v>
      </c>
      <c r="U1529">
        <v>34.409999999999997</v>
      </c>
      <c r="W1529">
        <v>34.61</v>
      </c>
      <c r="Z1529">
        <v>3329</v>
      </c>
      <c r="AA1529">
        <v>115901.84</v>
      </c>
      <c r="AB1529">
        <v>58</v>
      </c>
      <c r="AC1529" t="s">
        <v>42</v>
      </c>
      <c r="AD1529">
        <v>1</v>
      </c>
    </row>
    <row r="1530" spans="1:30">
      <c r="A1530" t="str">
        <f>CONCATENATE(I1530,J1530)</f>
        <v>INDIGOPNTSEQ</v>
      </c>
      <c r="B1530" s="34">
        <v>46273</v>
      </c>
      <c r="C1530" s="34">
        <v>46273</v>
      </c>
      <c r="D1530" t="s">
        <v>35</v>
      </c>
      <c r="E1530" t="s">
        <v>36</v>
      </c>
      <c r="F1530" t="s">
        <v>37</v>
      </c>
      <c r="G1530">
        <v>2048</v>
      </c>
      <c r="H1530" t="s">
        <v>4649</v>
      </c>
      <c r="I1530" t="s">
        <v>4650</v>
      </c>
      <c r="J1530" t="s">
        <v>161</v>
      </c>
      <c r="O1530" t="s">
        <v>4651</v>
      </c>
      <c r="P1530">
        <v>1172</v>
      </c>
      <c r="Q1530">
        <v>1176.2</v>
      </c>
      <c r="R1530">
        <v>1131</v>
      </c>
      <c r="S1530">
        <v>1140.3</v>
      </c>
      <c r="T1530">
        <v>1139</v>
      </c>
      <c r="U1530">
        <v>1178</v>
      </c>
      <c r="W1530">
        <v>1140.1500000000001</v>
      </c>
      <c r="Z1530">
        <v>52024</v>
      </c>
      <c r="AA1530">
        <v>59658001.799999997</v>
      </c>
      <c r="AB1530">
        <v>6609</v>
      </c>
      <c r="AC1530" t="s">
        <v>42</v>
      </c>
      <c r="AD1530">
        <v>1</v>
      </c>
    </row>
    <row r="1531" spans="1:30">
      <c r="A1531" t="str">
        <f>CONCATENATE(I1531,J1531)</f>
        <v>INDIGRIDIV</v>
      </c>
      <c r="B1531" s="34">
        <v>46273</v>
      </c>
      <c r="C1531" s="34">
        <v>46273</v>
      </c>
      <c r="D1531" t="s">
        <v>35</v>
      </c>
      <c r="E1531" t="s">
        <v>36</v>
      </c>
      <c r="F1531" t="s">
        <v>37</v>
      </c>
      <c r="G1531">
        <v>20988</v>
      </c>
      <c r="H1531" t="s">
        <v>4652</v>
      </c>
      <c r="I1531" t="s">
        <v>4653</v>
      </c>
      <c r="J1531" t="s">
        <v>759</v>
      </c>
      <c r="O1531" t="s">
        <v>4654</v>
      </c>
      <c r="P1531">
        <v>175.4</v>
      </c>
      <c r="Q1531">
        <v>175.4</v>
      </c>
      <c r="R1531">
        <v>174.2</v>
      </c>
      <c r="S1531">
        <v>174.44</v>
      </c>
      <c r="T1531">
        <v>174.41</v>
      </c>
      <c r="U1531">
        <v>175.39</v>
      </c>
      <c r="W1531">
        <v>174.44</v>
      </c>
      <c r="Z1531">
        <v>436306</v>
      </c>
      <c r="AA1531">
        <v>76272981.109999999</v>
      </c>
      <c r="AB1531">
        <v>12627</v>
      </c>
      <c r="AC1531" t="s">
        <v>42</v>
      </c>
      <c r="AD1531">
        <v>1</v>
      </c>
    </row>
    <row r="1532" spans="1:30">
      <c r="A1532" t="str">
        <f>CONCATENATE(I1532,J1532)</f>
        <v>INDIQUBEEQ</v>
      </c>
      <c r="B1532" s="34">
        <v>46273</v>
      </c>
      <c r="C1532" s="34">
        <v>46273</v>
      </c>
      <c r="D1532" t="s">
        <v>35</v>
      </c>
      <c r="E1532" t="s">
        <v>36</v>
      </c>
      <c r="F1532" t="s">
        <v>37</v>
      </c>
      <c r="G1532">
        <v>757845</v>
      </c>
      <c r="H1532" t="s">
        <v>4655</v>
      </c>
      <c r="I1532" t="s">
        <v>4656</v>
      </c>
      <c r="J1532" t="s">
        <v>161</v>
      </c>
      <c r="O1532" t="s">
        <v>4657</v>
      </c>
      <c r="P1532">
        <v>203.61</v>
      </c>
      <c r="Q1532">
        <v>206.85</v>
      </c>
      <c r="R1532">
        <v>198.02</v>
      </c>
      <c r="S1532">
        <v>205.09</v>
      </c>
      <c r="T1532">
        <v>206.18</v>
      </c>
      <c r="U1532">
        <v>202.13</v>
      </c>
      <c r="W1532">
        <v>205.02</v>
      </c>
      <c r="Z1532">
        <v>59639</v>
      </c>
      <c r="AA1532">
        <v>12117002.369999999</v>
      </c>
      <c r="AB1532">
        <v>1334</v>
      </c>
      <c r="AC1532" t="s">
        <v>42</v>
      </c>
      <c r="AD1532">
        <v>1</v>
      </c>
    </row>
    <row r="1533" spans="1:30">
      <c r="A1533" t="str">
        <f>CONCATENATE(I1533,J1533)</f>
        <v>INDOAMINBE</v>
      </c>
      <c r="B1533" s="34">
        <v>46273</v>
      </c>
      <c r="C1533" s="34">
        <v>46273</v>
      </c>
      <c r="D1533" t="s">
        <v>35</v>
      </c>
      <c r="E1533" t="s">
        <v>36</v>
      </c>
      <c r="F1533" t="s">
        <v>37</v>
      </c>
      <c r="G1533">
        <v>9120</v>
      </c>
      <c r="H1533" t="s">
        <v>4658</v>
      </c>
      <c r="I1533" t="s">
        <v>4659</v>
      </c>
      <c r="J1533" t="s">
        <v>183</v>
      </c>
      <c r="O1533" t="s">
        <v>4660</v>
      </c>
      <c r="P1533">
        <v>128.4</v>
      </c>
      <c r="Q1533">
        <v>128.4</v>
      </c>
      <c r="R1533">
        <v>125.5</v>
      </c>
      <c r="S1533">
        <v>127.06</v>
      </c>
      <c r="T1533">
        <v>127.9</v>
      </c>
      <c r="U1533">
        <v>127.23</v>
      </c>
      <c r="W1533">
        <v>127.02</v>
      </c>
      <c r="Z1533">
        <v>62530</v>
      </c>
      <c r="AA1533">
        <v>7938242.1500000004</v>
      </c>
      <c r="AB1533">
        <v>279</v>
      </c>
      <c r="AC1533" t="s">
        <v>42</v>
      </c>
      <c r="AD1533">
        <v>1</v>
      </c>
    </row>
    <row r="1534" spans="1:30">
      <c r="A1534" t="str">
        <f>CONCATENATE(I1534,J1534)</f>
        <v>INDOBORAXEQ</v>
      </c>
      <c r="B1534" s="34">
        <v>46273</v>
      </c>
      <c r="C1534" s="34">
        <v>46273</v>
      </c>
      <c r="D1534" t="s">
        <v>35</v>
      </c>
      <c r="E1534" t="s">
        <v>36</v>
      </c>
      <c r="F1534" t="s">
        <v>37</v>
      </c>
      <c r="G1534">
        <v>8614</v>
      </c>
      <c r="H1534" t="s">
        <v>4661</v>
      </c>
      <c r="I1534" t="s">
        <v>4662</v>
      </c>
      <c r="J1534" t="s">
        <v>161</v>
      </c>
      <c r="O1534" t="s">
        <v>4663</v>
      </c>
      <c r="P1534">
        <v>503.3</v>
      </c>
      <c r="Q1534">
        <v>515.45000000000005</v>
      </c>
      <c r="R1534">
        <v>503.1</v>
      </c>
      <c r="S1534">
        <v>511.05</v>
      </c>
      <c r="T1534">
        <v>511</v>
      </c>
      <c r="U1534">
        <v>503.95</v>
      </c>
      <c r="W1534">
        <v>511.05</v>
      </c>
      <c r="Z1534">
        <v>95162</v>
      </c>
      <c r="AA1534">
        <v>48526673.350000001</v>
      </c>
      <c r="AB1534">
        <v>4261</v>
      </c>
      <c r="AC1534" t="s">
        <v>42</v>
      </c>
      <c r="AD1534">
        <v>1</v>
      </c>
    </row>
    <row r="1535" spans="1:30">
      <c r="A1535" t="str">
        <f>CONCATENATE(I1535,J1535)</f>
        <v>ICILEQ</v>
      </c>
      <c r="B1535" s="34">
        <v>46273</v>
      </c>
      <c r="C1535" s="34">
        <v>46273</v>
      </c>
      <c r="D1535" t="s">
        <v>35</v>
      </c>
      <c r="E1535" t="s">
        <v>36</v>
      </c>
      <c r="F1535" t="s">
        <v>37</v>
      </c>
      <c r="G1535">
        <v>11987</v>
      </c>
      <c r="H1535" t="s">
        <v>4664</v>
      </c>
      <c r="I1535" t="s">
        <v>4665</v>
      </c>
      <c r="J1535" t="s">
        <v>161</v>
      </c>
      <c r="O1535" t="s">
        <v>4666</v>
      </c>
      <c r="P1535">
        <v>451.75</v>
      </c>
      <c r="Q1535">
        <v>453.45</v>
      </c>
      <c r="R1535">
        <v>437.95</v>
      </c>
      <c r="S1535">
        <v>450.85</v>
      </c>
      <c r="T1535">
        <v>448.95</v>
      </c>
      <c r="U1535">
        <v>453.7</v>
      </c>
      <c r="W1535">
        <v>450.89</v>
      </c>
      <c r="Z1535">
        <v>292038</v>
      </c>
      <c r="AA1535">
        <v>130334422.34999999</v>
      </c>
      <c r="AB1535">
        <v>13318</v>
      </c>
      <c r="AC1535" t="s">
        <v>42</v>
      </c>
      <c r="AD1535">
        <v>1</v>
      </c>
    </row>
    <row r="1536" spans="1:30">
      <c r="A1536" t="str">
        <f>CONCATENATE(I1536,J1536)</f>
        <v>INDOFARMEQ</v>
      </c>
      <c r="B1536" s="34">
        <v>46273</v>
      </c>
      <c r="C1536" s="34">
        <v>46273</v>
      </c>
      <c r="D1536" t="s">
        <v>35</v>
      </c>
      <c r="E1536" t="s">
        <v>36</v>
      </c>
      <c r="F1536" t="s">
        <v>37</v>
      </c>
      <c r="G1536">
        <v>29025</v>
      </c>
      <c r="H1536" t="s">
        <v>4667</v>
      </c>
      <c r="I1536" t="s">
        <v>4668</v>
      </c>
      <c r="J1536" t="s">
        <v>161</v>
      </c>
      <c r="O1536" t="s">
        <v>4669</v>
      </c>
      <c r="P1536">
        <v>141</v>
      </c>
      <c r="Q1536">
        <v>150.19</v>
      </c>
      <c r="R1536">
        <v>138.91999999999999</v>
      </c>
      <c r="S1536">
        <v>144.16</v>
      </c>
      <c r="T1536">
        <v>143.80000000000001</v>
      </c>
      <c r="U1536">
        <v>131.65</v>
      </c>
      <c r="W1536">
        <v>144.16</v>
      </c>
      <c r="Z1536">
        <v>2435816</v>
      </c>
      <c r="AA1536">
        <v>353448297.19</v>
      </c>
      <c r="AB1536">
        <v>27291</v>
      </c>
      <c r="AC1536" t="s">
        <v>42</v>
      </c>
      <c r="AD1536">
        <v>1</v>
      </c>
    </row>
    <row r="1537" spans="1:30">
      <c r="A1537" t="str">
        <f>CONCATENATE(I1537,J1537)</f>
        <v>INDORAMAEQ</v>
      </c>
      <c r="B1537" s="34">
        <v>46273</v>
      </c>
      <c r="C1537" s="34">
        <v>46273</v>
      </c>
      <c r="D1537" t="s">
        <v>35</v>
      </c>
      <c r="E1537" t="s">
        <v>36</v>
      </c>
      <c r="F1537" t="s">
        <v>37</v>
      </c>
      <c r="G1537">
        <v>10993</v>
      </c>
      <c r="H1537" t="s">
        <v>4670</v>
      </c>
      <c r="I1537" t="s">
        <v>4671</v>
      </c>
      <c r="J1537" t="s">
        <v>161</v>
      </c>
      <c r="O1537" t="s">
        <v>4672</v>
      </c>
      <c r="P1537">
        <v>74.25</v>
      </c>
      <c r="Q1537">
        <v>76</v>
      </c>
      <c r="R1537">
        <v>70.72</v>
      </c>
      <c r="S1537">
        <v>74.98</v>
      </c>
      <c r="T1537">
        <v>75.36</v>
      </c>
      <c r="U1537">
        <v>73.56</v>
      </c>
      <c r="W1537">
        <v>74.98</v>
      </c>
      <c r="Z1537">
        <v>1050466</v>
      </c>
      <c r="AA1537">
        <v>76860871.409999996</v>
      </c>
      <c r="AB1537">
        <v>9995</v>
      </c>
      <c r="AC1537" t="s">
        <v>42</v>
      </c>
      <c r="AD1537">
        <v>1</v>
      </c>
    </row>
    <row r="1538" spans="1:30">
      <c r="A1538" t="str">
        <f>CONCATENATE(I1538,J1538)</f>
        <v>INDOTECHEQ</v>
      </c>
      <c r="B1538" s="34">
        <v>46273</v>
      </c>
      <c r="C1538" s="34">
        <v>46273</v>
      </c>
      <c r="D1538" t="s">
        <v>35</v>
      </c>
      <c r="E1538" t="s">
        <v>36</v>
      </c>
      <c r="F1538" t="s">
        <v>37</v>
      </c>
      <c r="G1538">
        <v>13275</v>
      </c>
      <c r="H1538" t="s">
        <v>4673</v>
      </c>
      <c r="I1538" t="s">
        <v>4674</v>
      </c>
      <c r="J1538" t="s">
        <v>161</v>
      </c>
      <c r="O1538" t="s">
        <v>4675</v>
      </c>
      <c r="P1538">
        <v>3679.9</v>
      </c>
      <c r="Q1538">
        <v>3848.9</v>
      </c>
      <c r="R1538">
        <v>3600</v>
      </c>
      <c r="S1538">
        <v>3696.8</v>
      </c>
      <c r="T1538">
        <v>3699.7</v>
      </c>
      <c r="U1538">
        <v>3666.6</v>
      </c>
      <c r="W1538">
        <v>3695.96</v>
      </c>
      <c r="Z1538">
        <v>26581</v>
      </c>
      <c r="AA1538">
        <v>98853238.200000003</v>
      </c>
      <c r="AB1538">
        <v>3836</v>
      </c>
      <c r="AC1538" t="s">
        <v>42</v>
      </c>
      <c r="AD1538">
        <v>1</v>
      </c>
    </row>
    <row r="1539" spans="1:30">
      <c r="A1539" t="str">
        <f>CONCATENATE(I1539,J1539)</f>
        <v>INDOTHAIEQ</v>
      </c>
      <c r="B1539" s="34">
        <v>46273</v>
      </c>
      <c r="C1539" s="34">
        <v>46273</v>
      </c>
      <c r="D1539" t="s">
        <v>35</v>
      </c>
      <c r="E1539" t="s">
        <v>36</v>
      </c>
      <c r="F1539" t="s">
        <v>37</v>
      </c>
      <c r="G1539">
        <v>25608</v>
      </c>
      <c r="H1539" t="s">
        <v>4676</v>
      </c>
      <c r="I1539" t="s">
        <v>4677</v>
      </c>
      <c r="J1539" t="s">
        <v>161</v>
      </c>
      <c r="O1539" t="s">
        <v>4678</v>
      </c>
      <c r="P1539">
        <v>39.4</v>
      </c>
      <c r="Q1539">
        <v>39.4</v>
      </c>
      <c r="R1539">
        <v>39.4</v>
      </c>
      <c r="S1539">
        <v>39.4</v>
      </c>
      <c r="T1539">
        <v>39.4</v>
      </c>
      <c r="U1539">
        <v>37.53</v>
      </c>
      <c r="W1539">
        <v>39.44</v>
      </c>
      <c r="Z1539">
        <v>59211</v>
      </c>
      <c r="AA1539">
        <v>2332913.4</v>
      </c>
      <c r="AB1539">
        <v>103</v>
      </c>
      <c r="AC1539" t="s">
        <v>42</v>
      </c>
      <c r="AD1539">
        <v>1</v>
      </c>
    </row>
    <row r="1540" spans="1:30">
      <c r="A1540" t="str">
        <f>CONCATENATE(I1540,J1540)</f>
        <v>INDOUSEQ</v>
      </c>
      <c r="B1540" s="34">
        <v>46273</v>
      </c>
      <c r="C1540" s="34">
        <v>46273</v>
      </c>
      <c r="D1540" t="s">
        <v>35</v>
      </c>
      <c r="E1540" t="s">
        <v>36</v>
      </c>
      <c r="F1540" t="s">
        <v>37</v>
      </c>
      <c r="G1540">
        <v>25503</v>
      </c>
      <c r="H1540" t="s">
        <v>4679</v>
      </c>
      <c r="I1540" t="s">
        <v>4680</v>
      </c>
      <c r="J1540" t="s">
        <v>161</v>
      </c>
      <c r="O1540" t="s">
        <v>4681</v>
      </c>
      <c r="P1540">
        <v>78.81</v>
      </c>
      <c r="Q1540">
        <v>83</v>
      </c>
      <c r="R1540">
        <v>78.05</v>
      </c>
      <c r="S1540">
        <v>78.849999999999994</v>
      </c>
      <c r="T1540">
        <v>80.33</v>
      </c>
      <c r="U1540">
        <v>78.739999999999995</v>
      </c>
      <c r="W1540">
        <v>78.849999999999994</v>
      </c>
      <c r="Z1540">
        <v>13629</v>
      </c>
      <c r="AA1540">
        <v>1082557.22</v>
      </c>
      <c r="AB1540">
        <v>193</v>
      </c>
      <c r="AC1540" t="s">
        <v>42</v>
      </c>
      <c r="AD1540">
        <v>1</v>
      </c>
    </row>
    <row r="1541" spans="1:30">
      <c r="A1541" t="str">
        <f>CONCATENATE(I1541,J1541)</f>
        <v>INDOMIMEQ</v>
      </c>
      <c r="B1541" s="34">
        <v>46273</v>
      </c>
      <c r="C1541" s="34">
        <v>46273</v>
      </c>
      <c r="D1541" t="s">
        <v>35</v>
      </c>
      <c r="E1541" t="s">
        <v>36</v>
      </c>
      <c r="F1541" t="s">
        <v>37</v>
      </c>
      <c r="G1541">
        <v>764301</v>
      </c>
      <c r="H1541" t="s">
        <v>4682</v>
      </c>
      <c r="I1541" t="s">
        <v>4683</v>
      </c>
      <c r="J1541" t="s">
        <v>161</v>
      </c>
      <c r="O1541" t="s">
        <v>4684</v>
      </c>
      <c r="P1541">
        <v>951</v>
      </c>
      <c r="Q1541">
        <v>989</v>
      </c>
      <c r="R1541">
        <v>943.75</v>
      </c>
      <c r="S1541">
        <v>968.95</v>
      </c>
      <c r="T1541">
        <v>967</v>
      </c>
      <c r="U1541">
        <v>946.7</v>
      </c>
      <c r="W1541">
        <v>968.9</v>
      </c>
      <c r="Z1541">
        <v>2185054</v>
      </c>
      <c r="AA1541">
        <v>2119367756.3</v>
      </c>
      <c r="AB1541">
        <v>72778</v>
      </c>
      <c r="AC1541" t="s">
        <v>42</v>
      </c>
      <c r="AD1541">
        <v>1</v>
      </c>
    </row>
    <row r="1542" spans="1:30">
      <c r="A1542" t="str">
        <f>CONCATENATE(I1542,J1542)</f>
        <v>NIPPOBATRYEQ</v>
      </c>
      <c r="B1542" s="34">
        <v>46273</v>
      </c>
      <c r="C1542" s="34">
        <v>46273</v>
      </c>
      <c r="D1542" t="s">
        <v>35</v>
      </c>
      <c r="E1542" t="s">
        <v>36</v>
      </c>
      <c r="F1542" t="s">
        <v>37</v>
      </c>
      <c r="G1542">
        <v>6782</v>
      </c>
      <c r="H1542" t="s">
        <v>4685</v>
      </c>
      <c r="I1542" t="s">
        <v>4686</v>
      </c>
      <c r="J1542" t="s">
        <v>161</v>
      </c>
      <c r="O1542" t="s">
        <v>4687</v>
      </c>
      <c r="P1542">
        <v>321.2</v>
      </c>
      <c r="Q1542">
        <v>329.9</v>
      </c>
      <c r="R1542">
        <v>320</v>
      </c>
      <c r="S1542">
        <v>324.60000000000002</v>
      </c>
      <c r="T1542">
        <v>324.85000000000002</v>
      </c>
      <c r="U1542">
        <v>325.25</v>
      </c>
      <c r="W1542">
        <v>324.60000000000002</v>
      </c>
      <c r="Z1542">
        <v>2175</v>
      </c>
      <c r="AA1542">
        <v>705237.05</v>
      </c>
      <c r="AB1542">
        <v>519</v>
      </c>
      <c r="AC1542" t="s">
        <v>42</v>
      </c>
      <c r="AD1542">
        <v>1</v>
      </c>
    </row>
    <row r="1543" spans="1:30">
      <c r="A1543" t="str">
        <f>CONCATENATE(I1543,J1543)</f>
        <v>INDOCOEQ</v>
      </c>
      <c r="B1543" s="34">
        <v>46273</v>
      </c>
      <c r="C1543" s="34">
        <v>46273</v>
      </c>
      <c r="D1543" t="s">
        <v>35</v>
      </c>
      <c r="E1543" t="s">
        <v>36</v>
      </c>
      <c r="F1543" t="s">
        <v>37</v>
      </c>
      <c r="G1543">
        <v>11677</v>
      </c>
      <c r="H1543" t="s">
        <v>4688</v>
      </c>
      <c r="I1543" t="s">
        <v>4689</v>
      </c>
      <c r="J1543" t="s">
        <v>161</v>
      </c>
      <c r="O1543" t="s">
        <v>4690</v>
      </c>
      <c r="P1543">
        <v>250.73</v>
      </c>
      <c r="Q1543">
        <v>256.88</v>
      </c>
      <c r="R1543">
        <v>243</v>
      </c>
      <c r="S1543">
        <v>244.25</v>
      </c>
      <c r="T1543">
        <v>244</v>
      </c>
      <c r="U1543">
        <v>250.7</v>
      </c>
      <c r="W1543">
        <v>244.25</v>
      </c>
      <c r="Z1543">
        <v>176170</v>
      </c>
      <c r="AA1543">
        <v>43345034.140000001</v>
      </c>
      <c r="AB1543">
        <v>4243</v>
      </c>
      <c r="AC1543" t="s">
        <v>42</v>
      </c>
      <c r="AD1543">
        <v>1</v>
      </c>
    </row>
    <row r="1544" spans="1:30">
      <c r="A1544" t="str">
        <f>CONCATENATE(I1544,J1544)</f>
        <v>IGCLEQ</v>
      </c>
      <c r="B1544" s="34">
        <v>46273</v>
      </c>
      <c r="C1544" s="34">
        <v>46273</v>
      </c>
      <c r="D1544" t="s">
        <v>35</v>
      </c>
      <c r="E1544" t="s">
        <v>36</v>
      </c>
      <c r="F1544" t="s">
        <v>37</v>
      </c>
      <c r="G1544">
        <v>757801</v>
      </c>
      <c r="H1544" t="s">
        <v>4691</v>
      </c>
      <c r="I1544" t="s">
        <v>4692</v>
      </c>
      <c r="J1544" t="s">
        <v>161</v>
      </c>
      <c r="O1544" t="s">
        <v>4693</v>
      </c>
      <c r="P1544">
        <v>73.47</v>
      </c>
      <c r="Q1544">
        <v>73.47</v>
      </c>
      <c r="R1544">
        <v>72.099999999999994</v>
      </c>
      <c r="S1544">
        <v>72.540000000000006</v>
      </c>
      <c r="T1544">
        <v>72.2</v>
      </c>
      <c r="U1544">
        <v>72.48</v>
      </c>
      <c r="W1544">
        <v>72.53</v>
      </c>
      <c r="Z1544">
        <v>177043</v>
      </c>
      <c r="AA1544">
        <v>12854821.699999999</v>
      </c>
      <c r="AB1544">
        <v>1418</v>
      </c>
      <c r="AC1544" t="s">
        <v>42</v>
      </c>
      <c r="AD1544">
        <v>1</v>
      </c>
    </row>
    <row r="1545" spans="1:30">
      <c r="A1545" t="str">
        <f>CONCATENATE(I1545,J1545)</f>
        <v>INDOKEMEQ</v>
      </c>
      <c r="B1545" s="34">
        <v>46273</v>
      </c>
      <c r="C1545" s="34">
        <v>46273</v>
      </c>
      <c r="D1545" t="s">
        <v>35</v>
      </c>
      <c r="E1545" t="s">
        <v>36</v>
      </c>
      <c r="F1545" t="s">
        <v>37</v>
      </c>
      <c r="G1545">
        <v>764708</v>
      </c>
      <c r="H1545" t="s">
        <v>4694</v>
      </c>
      <c r="I1545" t="s">
        <v>4695</v>
      </c>
      <c r="J1545" t="s">
        <v>161</v>
      </c>
      <c r="O1545" t="s">
        <v>4696</v>
      </c>
      <c r="P1545">
        <v>649.85</v>
      </c>
      <c r="Q1545">
        <v>649.85</v>
      </c>
      <c r="R1545">
        <v>624.9</v>
      </c>
      <c r="S1545">
        <v>627.4</v>
      </c>
      <c r="T1545">
        <v>630</v>
      </c>
      <c r="U1545">
        <v>636.35</v>
      </c>
      <c r="W1545">
        <v>626.80999999999995</v>
      </c>
      <c r="Z1545">
        <v>2468</v>
      </c>
      <c r="AA1545">
        <v>1562802.55</v>
      </c>
      <c r="AB1545">
        <v>179</v>
      </c>
      <c r="AC1545" t="s">
        <v>42</v>
      </c>
      <c r="AD1545">
        <v>1</v>
      </c>
    </row>
    <row r="1546" spans="1:30">
      <c r="A1546" t="str">
        <f>CONCATENATE(I1546,J1546)</f>
        <v>WAAREEINDOEQ</v>
      </c>
      <c r="B1546" s="34">
        <v>46273</v>
      </c>
      <c r="C1546" s="34">
        <v>46273</v>
      </c>
      <c r="D1546" t="s">
        <v>35</v>
      </c>
      <c r="E1546" t="s">
        <v>36</v>
      </c>
      <c r="F1546" t="s">
        <v>37</v>
      </c>
      <c r="G1546">
        <v>19955</v>
      </c>
      <c r="H1546" t="s">
        <v>4697</v>
      </c>
      <c r="I1546" t="s">
        <v>4698</v>
      </c>
      <c r="J1546" t="s">
        <v>161</v>
      </c>
      <c r="O1546" t="s">
        <v>4699</v>
      </c>
      <c r="P1546">
        <v>267.39999999999998</v>
      </c>
      <c r="Q1546">
        <v>267.39999999999998</v>
      </c>
      <c r="R1546">
        <v>261.2</v>
      </c>
      <c r="S1546">
        <v>262.05</v>
      </c>
      <c r="T1546">
        <v>262</v>
      </c>
      <c r="U1546">
        <v>265.55</v>
      </c>
      <c r="W1546">
        <v>262.05</v>
      </c>
      <c r="Z1546">
        <v>52149</v>
      </c>
      <c r="AA1546">
        <v>13762564.35</v>
      </c>
      <c r="AB1546">
        <v>1266</v>
      </c>
      <c r="AC1546" t="s">
        <v>42</v>
      </c>
      <c r="AD1546">
        <v>1</v>
      </c>
    </row>
    <row r="1547" spans="1:30">
      <c r="A1547" t="str">
        <f>CONCATENATE(I1547,J1547)</f>
        <v>INDOSTAREQ</v>
      </c>
      <c r="B1547" s="34">
        <v>46273</v>
      </c>
      <c r="C1547" s="34">
        <v>46273</v>
      </c>
      <c r="D1547" t="s">
        <v>35</v>
      </c>
      <c r="E1547" t="s">
        <v>36</v>
      </c>
      <c r="F1547" t="s">
        <v>37</v>
      </c>
      <c r="G1547">
        <v>3088</v>
      </c>
      <c r="H1547" t="s">
        <v>4700</v>
      </c>
      <c r="I1547" t="s">
        <v>4701</v>
      </c>
      <c r="J1547" t="s">
        <v>161</v>
      </c>
      <c r="O1547" t="s">
        <v>4702</v>
      </c>
      <c r="P1547">
        <v>253.95</v>
      </c>
      <c r="Q1547">
        <v>254.55</v>
      </c>
      <c r="R1547">
        <v>250</v>
      </c>
      <c r="S1547">
        <v>251.29</v>
      </c>
      <c r="T1547">
        <v>250</v>
      </c>
      <c r="U1547">
        <v>253.08</v>
      </c>
      <c r="W1547">
        <v>251.14</v>
      </c>
      <c r="Z1547">
        <v>35032</v>
      </c>
      <c r="AA1547">
        <v>8830674.8900000006</v>
      </c>
      <c r="AB1547">
        <v>696</v>
      </c>
      <c r="AC1547" t="s">
        <v>42</v>
      </c>
      <c r="AD1547">
        <v>1</v>
      </c>
    </row>
    <row r="1548" spans="1:30">
      <c r="A1548" t="str">
        <f>CONCATENATE(I1548,J1548)</f>
        <v>INDOWINDEQ</v>
      </c>
      <c r="B1548" s="34">
        <v>46273</v>
      </c>
      <c r="C1548" s="34">
        <v>46273</v>
      </c>
      <c r="D1548" t="s">
        <v>35</v>
      </c>
      <c r="E1548" t="s">
        <v>36</v>
      </c>
      <c r="F1548" t="s">
        <v>37</v>
      </c>
      <c r="G1548">
        <v>14952</v>
      </c>
      <c r="H1548" t="s">
        <v>4703</v>
      </c>
      <c r="I1548" t="s">
        <v>4704</v>
      </c>
      <c r="J1548" t="s">
        <v>161</v>
      </c>
      <c r="O1548" t="s">
        <v>4705</v>
      </c>
      <c r="P1548">
        <v>9.09</v>
      </c>
      <c r="Q1548">
        <v>9.1</v>
      </c>
      <c r="R1548">
        <v>8.65</v>
      </c>
      <c r="S1548">
        <v>8.85</v>
      </c>
      <c r="T1548">
        <v>8.94</v>
      </c>
      <c r="U1548">
        <v>8.91</v>
      </c>
      <c r="W1548">
        <v>8.85</v>
      </c>
      <c r="Z1548">
        <v>112368</v>
      </c>
      <c r="AA1548">
        <v>1001053.57</v>
      </c>
      <c r="AB1548">
        <v>460</v>
      </c>
      <c r="AC1548" t="s">
        <v>42</v>
      </c>
      <c r="AD1548">
        <v>1</v>
      </c>
    </row>
    <row r="1549" spans="1:30">
      <c r="A1549" t="str">
        <f>CONCATENATE(I1549,J1549)</f>
        <v>IGLEQ</v>
      </c>
      <c r="B1549" s="34">
        <v>46273</v>
      </c>
      <c r="C1549" s="34">
        <v>46273</v>
      </c>
      <c r="D1549" t="s">
        <v>35</v>
      </c>
      <c r="E1549" t="s">
        <v>36</v>
      </c>
      <c r="F1549" t="s">
        <v>37</v>
      </c>
      <c r="G1549">
        <v>11262</v>
      </c>
      <c r="H1549" t="s">
        <v>4706</v>
      </c>
      <c r="I1549" t="s">
        <v>4707</v>
      </c>
      <c r="J1549" t="s">
        <v>161</v>
      </c>
      <c r="O1549" t="s">
        <v>4708</v>
      </c>
      <c r="P1549">
        <v>153.25</v>
      </c>
      <c r="Q1549">
        <v>154.49</v>
      </c>
      <c r="R1549">
        <v>152.69999999999999</v>
      </c>
      <c r="S1549">
        <v>154.02000000000001</v>
      </c>
      <c r="T1549">
        <v>153.69999999999999</v>
      </c>
      <c r="U1549">
        <v>154.80000000000001</v>
      </c>
      <c r="W1549">
        <v>154.02000000000001</v>
      </c>
      <c r="Z1549">
        <v>834619</v>
      </c>
      <c r="AA1549">
        <v>128202537.3</v>
      </c>
      <c r="AB1549">
        <v>11356</v>
      </c>
      <c r="AC1549" t="s">
        <v>42</v>
      </c>
      <c r="AD1549">
        <v>1</v>
      </c>
    </row>
    <row r="1550" spans="1:30">
      <c r="A1550" t="str">
        <f>CONCATENATE(I1550,J1550)</f>
        <v>INDRAMEDCOEQ</v>
      </c>
      <c r="B1550" s="34">
        <v>46273</v>
      </c>
      <c r="C1550" s="34">
        <v>46273</v>
      </c>
      <c r="D1550" t="s">
        <v>35</v>
      </c>
      <c r="E1550" t="s">
        <v>36</v>
      </c>
      <c r="F1550" t="s">
        <v>37</v>
      </c>
      <c r="G1550">
        <v>4751</v>
      </c>
      <c r="H1550" t="s">
        <v>4709</v>
      </c>
      <c r="I1550" t="s">
        <v>4710</v>
      </c>
      <c r="J1550" t="s">
        <v>161</v>
      </c>
      <c r="O1550" t="s">
        <v>4711</v>
      </c>
      <c r="P1550">
        <v>351.95</v>
      </c>
      <c r="Q1550">
        <v>356.2</v>
      </c>
      <c r="R1550">
        <v>348.45</v>
      </c>
      <c r="S1550">
        <v>355.15</v>
      </c>
      <c r="T1550">
        <v>355.25</v>
      </c>
      <c r="U1550">
        <v>351.4</v>
      </c>
      <c r="W1550">
        <v>355.12</v>
      </c>
      <c r="Z1550">
        <v>126540</v>
      </c>
      <c r="AA1550">
        <v>44572359</v>
      </c>
      <c r="AB1550">
        <v>4019</v>
      </c>
      <c r="AC1550" t="s">
        <v>42</v>
      </c>
      <c r="AD1550">
        <v>1</v>
      </c>
    </row>
    <row r="1551" spans="1:30">
      <c r="A1551" t="str">
        <f>CONCATENATE(I1551,J1551)</f>
        <v>INDUSINVITIV</v>
      </c>
      <c r="B1551" s="34">
        <v>46273</v>
      </c>
      <c r="C1551" s="34">
        <v>46273</v>
      </c>
      <c r="D1551" t="s">
        <v>35</v>
      </c>
      <c r="E1551" t="s">
        <v>36</v>
      </c>
      <c r="F1551" t="s">
        <v>37</v>
      </c>
      <c r="G1551">
        <v>23036</v>
      </c>
      <c r="H1551" t="s">
        <v>4712</v>
      </c>
      <c r="I1551" t="s">
        <v>4713</v>
      </c>
      <c r="J1551" t="s">
        <v>759</v>
      </c>
      <c r="O1551" t="s">
        <v>4714</v>
      </c>
      <c r="P1551">
        <v>133.58000000000001</v>
      </c>
      <c r="Q1551">
        <v>134</v>
      </c>
      <c r="R1551">
        <v>132.81</v>
      </c>
      <c r="S1551">
        <v>132.97999999999999</v>
      </c>
      <c r="T1551">
        <v>132.82</v>
      </c>
      <c r="U1551">
        <v>132.97</v>
      </c>
      <c r="W1551">
        <v>132.97999999999999</v>
      </c>
      <c r="Z1551">
        <v>127304</v>
      </c>
      <c r="AA1551">
        <v>16945969.190000001</v>
      </c>
      <c r="AB1551">
        <v>5297</v>
      </c>
      <c r="AC1551" t="s">
        <v>42</v>
      </c>
      <c r="AD1551">
        <v>1</v>
      </c>
    </row>
    <row r="1552" spans="1:30">
      <c r="A1552" t="str">
        <f>CONCATENATE(I1552,J1552)</f>
        <v>INDUSTOWEREQ</v>
      </c>
      <c r="B1552" s="34">
        <v>46273</v>
      </c>
      <c r="C1552" s="34">
        <v>46273</v>
      </c>
      <c r="D1552" t="s">
        <v>35</v>
      </c>
      <c r="E1552" t="s">
        <v>36</v>
      </c>
      <c r="F1552" t="s">
        <v>37</v>
      </c>
      <c r="G1552">
        <v>29135</v>
      </c>
      <c r="H1552" t="s">
        <v>4715</v>
      </c>
      <c r="I1552" t="s">
        <v>4716</v>
      </c>
      <c r="J1552" t="s">
        <v>161</v>
      </c>
      <c r="O1552" t="s">
        <v>4717</v>
      </c>
      <c r="P1552">
        <v>376.45</v>
      </c>
      <c r="Q1552">
        <v>376.95</v>
      </c>
      <c r="R1552">
        <v>370</v>
      </c>
      <c r="S1552">
        <v>373.05</v>
      </c>
      <c r="T1552">
        <v>373.05</v>
      </c>
      <c r="U1552">
        <v>376.45</v>
      </c>
      <c r="W1552">
        <v>373.05</v>
      </c>
      <c r="Z1552">
        <v>2490099</v>
      </c>
      <c r="AA1552">
        <v>927406387.45000005</v>
      </c>
      <c r="AB1552">
        <v>48179</v>
      </c>
      <c r="AC1552" t="s">
        <v>42</v>
      </c>
      <c r="AD1552">
        <v>1</v>
      </c>
    </row>
    <row r="1553" spans="1:30">
      <c r="A1553" t="str">
        <f>CONCATENATE(I1553,J1553)</f>
        <v>INDUSINDBKEQ</v>
      </c>
      <c r="B1553" s="34">
        <v>46273</v>
      </c>
      <c r="C1553" s="34">
        <v>46273</v>
      </c>
      <c r="D1553" t="s">
        <v>35</v>
      </c>
      <c r="E1553" t="s">
        <v>36</v>
      </c>
      <c r="F1553" t="s">
        <v>37</v>
      </c>
      <c r="G1553">
        <v>5258</v>
      </c>
      <c r="H1553" t="s">
        <v>4718</v>
      </c>
      <c r="I1553" t="s">
        <v>4719</v>
      </c>
      <c r="J1553" t="s">
        <v>161</v>
      </c>
      <c r="O1553" t="s">
        <v>4720</v>
      </c>
      <c r="P1553">
        <v>991.6</v>
      </c>
      <c r="Q1553">
        <v>1004.7</v>
      </c>
      <c r="R1553">
        <v>988.3</v>
      </c>
      <c r="S1553">
        <v>997.7</v>
      </c>
      <c r="T1553">
        <v>997.7</v>
      </c>
      <c r="U1553">
        <v>998</v>
      </c>
      <c r="W1553">
        <v>997.71</v>
      </c>
      <c r="Z1553">
        <v>1055105</v>
      </c>
      <c r="AA1553">
        <v>1052014520.3</v>
      </c>
      <c r="AB1553">
        <v>35795</v>
      </c>
      <c r="AC1553" t="s">
        <v>42</v>
      </c>
      <c r="AD1553">
        <v>1</v>
      </c>
    </row>
    <row r="1554" spans="1:30">
      <c r="A1554" t="str">
        <f>CONCATENATE(I1554,J1554)</f>
        <v>INDPRUDEQ</v>
      </c>
      <c r="B1554" s="34">
        <v>46273</v>
      </c>
      <c r="C1554" s="34">
        <v>46273</v>
      </c>
      <c r="D1554" t="s">
        <v>35</v>
      </c>
      <c r="E1554" t="s">
        <v>36</v>
      </c>
      <c r="F1554" t="s">
        <v>37</v>
      </c>
      <c r="G1554">
        <v>762717</v>
      </c>
      <c r="H1554" t="s">
        <v>4721</v>
      </c>
      <c r="I1554" t="s">
        <v>4722</v>
      </c>
      <c r="J1554" t="s">
        <v>161</v>
      </c>
      <c r="O1554" t="s">
        <v>4723</v>
      </c>
      <c r="P1554">
        <v>6389</v>
      </c>
      <c r="Q1554">
        <v>6389</v>
      </c>
      <c r="R1554">
        <v>6200</v>
      </c>
      <c r="S1554">
        <v>6210</v>
      </c>
      <c r="T1554">
        <v>6210</v>
      </c>
      <c r="U1554">
        <v>6385</v>
      </c>
      <c r="W1554">
        <v>6185</v>
      </c>
      <c r="Z1554">
        <v>119</v>
      </c>
      <c r="AA1554">
        <v>746998.5</v>
      </c>
      <c r="AB1554">
        <v>23</v>
      </c>
      <c r="AC1554" t="s">
        <v>42</v>
      </c>
      <c r="AD1554">
        <v>1</v>
      </c>
    </row>
    <row r="1555" spans="1:30">
      <c r="A1555" t="str">
        <f>CONCATENATE(I1555,J1555)</f>
        <v>IITLEQ</v>
      </c>
      <c r="B1555" s="34">
        <v>46273</v>
      </c>
      <c r="C1555" s="34">
        <v>46273</v>
      </c>
      <c r="D1555" t="s">
        <v>35</v>
      </c>
      <c r="E1555" t="s">
        <v>36</v>
      </c>
      <c r="F1555" t="s">
        <v>37</v>
      </c>
      <c r="G1555">
        <v>19525</v>
      </c>
      <c r="H1555" t="s">
        <v>4724</v>
      </c>
      <c r="I1555" t="s">
        <v>4725</v>
      </c>
      <c r="J1555" t="s">
        <v>161</v>
      </c>
      <c r="O1555" t="s">
        <v>4726</v>
      </c>
      <c r="P1555">
        <v>141.01</v>
      </c>
      <c r="Q1555">
        <v>159.15</v>
      </c>
      <c r="R1555">
        <v>139.08000000000001</v>
      </c>
      <c r="S1555">
        <v>149.88</v>
      </c>
      <c r="T1555">
        <v>149.25</v>
      </c>
      <c r="U1555">
        <v>140.1</v>
      </c>
      <c r="W1555">
        <v>149.87</v>
      </c>
      <c r="Z1555">
        <v>155404</v>
      </c>
      <c r="AA1555">
        <v>22986050.91</v>
      </c>
      <c r="AB1555">
        <v>3850</v>
      </c>
      <c r="AC1555" t="s">
        <v>42</v>
      </c>
      <c r="AD1555">
        <v>1</v>
      </c>
    </row>
    <row r="1556" spans="1:30">
      <c r="A1556" t="str">
        <f>CONCATENATE(I1556,J1556)</f>
        <v>INFINIUMSM</v>
      </c>
      <c r="B1556" s="34">
        <v>46273</v>
      </c>
      <c r="C1556" s="34">
        <v>46273</v>
      </c>
      <c r="D1556" t="s">
        <v>35</v>
      </c>
      <c r="E1556" t="s">
        <v>36</v>
      </c>
      <c r="F1556" t="s">
        <v>37</v>
      </c>
      <c r="G1556">
        <v>15036</v>
      </c>
      <c r="H1556" t="s">
        <v>4727</v>
      </c>
      <c r="I1556" t="s">
        <v>4728</v>
      </c>
      <c r="J1556" t="s">
        <v>267</v>
      </c>
      <c r="O1556" t="s">
        <v>4729</v>
      </c>
      <c r="P1556">
        <v>274</v>
      </c>
      <c r="Q1556">
        <v>277.5</v>
      </c>
      <c r="R1556">
        <v>270.2</v>
      </c>
      <c r="S1556">
        <v>277.45</v>
      </c>
      <c r="T1556">
        <v>277.45</v>
      </c>
      <c r="U1556">
        <v>274.89999999999998</v>
      </c>
      <c r="W1556">
        <v>277.45</v>
      </c>
      <c r="Z1556">
        <v>6500</v>
      </c>
      <c r="AA1556">
        <v>1792150</v>
      </c>
      <c r="AB1556">
        <v>11</v>
      </c>
      <c r="AC1556" t="s">
        <v>42</v>
      </c>
      <c r="AD1556">
        <v>500</v>
      </c>
    </row>
    <row r="1557" spans="1:30">
      <c r="A1557" t="str">
        <f>CONCATENATE(I1557,J1557)</f>
        <v>INFLUXSM</v>
      </c>
      <c r="B1557" s="34">
        <v>46273</v>
      </c>
      <c r="C1557" s="34">
        <v>46273</v>
      </c>
      <c r="D1557" t="s">
        <v>35</v>
      </c>
      <c r="E1557" t="s">
        <v>36</v>
      </c>
      <c r="F1557" t="s">
        <v>37</v>
      </c>
      <c r="G1557">
        <v>757602</v>
      </c>
      <c r="H1557" t="s">
        <v>4730</v>
      </c>
      <c r="I1557" t="s">
        <v>4731</v>
      </c>
      <c r="J1557" t="s">
        <v>267</v>
      </c>
      <c r="O1557" t="s">
        <v>4732</v>
      </c>
      <c r="P1557">
        <v>285</v>
      </c>
      <c r="Q1557">
        <v>287.95</v>
      </c>
      <c r="R1557">
        <v>282</v>
      </c>
      <c r="S1557">
        <v>283.7</v>
      </c>
      <c r="T1557">
        <v>282</v>
      </c>
      <c r="U1557">
        <v>288.60000000000002</v>
      </c>
      <c r="W1557">
        <v>283.7</v>
      </c>
      <c r="Z1557">
        <v>13200</v>
      </c>
      <c r="AA1557">
        <v>3749880</v>
      </c>
      <c r="AB1557">
        <v>22</v>
      </c>
      <c r="AC1557" t="s">
        <v>42</v>
      </c>
      <c r="AD1557">
        <v>600</v>
      </c>
    </row>
    <row r="1558" spans="1:30">
      <c r="A1558" t="str">
        <f>CONCATENATE(I1558,J1558)</f>
        <v>NAUKRIEQ</v>
      </c>
      <c r="B1558" s="34">
        <v>46273</v>
      </c>
      <c r="C1558" s="34">
        <v>46273</v>
      </c>
      <c r="D1558" t="s">
        <v>35</v>
      </c>
      <c r="E1558" t="s">
        <v>36</v>
      </c>
      <c r="F1558" t="s">
        <v>37</v>
      </c>
      <c r="G1558">
        <v>13751</v>
      </c>
      <c r="H1558" t="s">
        <v>4733</v>
      </c>
      <c r="I1558" t="s">
        <v>4734</v>
      </c>
      <c r="J1558" t="s">
        <v>161</v>
      </c>
      <c r="O1558" t="s">
        <v>4735</v>
      </c>
      <c r="P1558">
        <v>1274.5</v>
      </c>
      <c r="Q1558">
        <v>1298.3</v>
      </c>
      <c r="R1558">
        <v>1251.9000000000001</v>
      </c>
      <c r="S1558">
        <v>1292</v>
      </c>
      <c r="T1558">
        <v>1292</v>
      </c>
      <c r="U1558">
        <v>1302.5</v>
      </c>
      <c r="W1558">
        <v>1292.03</v>
      </c>
      <c r="Z1558">
        <v>2345489</v>
      </c>
      <c r="AA1558">
        <v>3015527062</v>
      </c>
      <c r="AB1558">
        <v>71658</v>
      </c>
      <c r="AC1558" t="s">
        <v>42</v>
      </c>
      <c r="AD1558">
        <v>1</v>
      </c>
    </row>
    <row r="1559" spans="1:30">
      <c r="A1559" t="str">
        <f>CONCATENATE(I1559,J1559)</f>
        <v>INFOBEANEQ</v>
      </c>
      <c r="B1559" s="34">
        <v>46273</v>
      </c>
      <c r="C1559" s="34">
        <v>46273</v>
      </c>
      <c r="D1559" t="s">
        <v>35</v>
      </c>
      <c r="E1559" t="s">
        <v>36</v>
      </c>
      <c r="F1559" t="s">
        <v>37</v>
      </c>
      <c r="G1559">
        <v>11027</v>
      </c>
      <c r="H1559" t="s">
        <v>4736</v>
      </c>
      <c r="I1559" t="s">
        <v>4737</v>
      </c>
      <c r="J1559" t="s">
        <v>161</v>
      </c>
      <c r="O1559" t="s">
        <v>4738</v>
      </c>
      <c r="P1559">
        <v>159.19999999999999</v>
      </c>
      <c r="Q1559">
        <v>160.13</v>
      </c>
      <c r="R1559">
        <v>157.1</v>
      </c>
      <c r="S1559">
        <v>158.61000000000001</v>
      </c>
      <c r="T1559">
        <v>157.6</v>
      </c>
      <c r="U1559">
        <v>159.72999999999999</v>
      </c>
      <c r="W1559">
        <v>158.63999999999999</v>
      </c>
      <c r="Z1559">
        <v>202682</v>
      </c>
      <c r="AA1559">
        <v>32075420.579999998</v>
      </c>
      <c r="AB1559">
        <v>3207</v>
      </c>
      <c r="AC1559" t="s">
        <v>42</v>
      </c>
      <c r="AD1559">
        <v>1</v>
      </c>
    </row>
    <row r="1560" spans="1:30">
      <c r="A1560" t="str">
        <f>CONCATENATE(I1560,J1560)</f>
        <v>INFOLLIONSM</v>
      </c>
      <c r="B1560" s="34">
        <v>46273</v>
      </c>
      <c r="C1560" s="34">
        <v>46273</v>
      </c>
      <c r="D1560" t="s">
        <v>35</v>
      </c>
      <c r="E1560" t="s">
        <v>36</v>
      </c>
      <c r="F1560" t="s">
        <v>37</v>
      </c>
      <c r="G1560">
        <v>16588</v>
      </c>
      <c r="H1560" t="s">
        <v>4739</v>
      </c>
      <c r="I1560" t="s">
        <v>4740</v>
      </c>
      <c r="J1560" t="s">
        <v>267</v>
      </c>
      <c r="O1560" t="s">
        <v>4741</v>
      </c>
      <c r="P1560">
        <v>156</v>
      </c>
      <c r="Q1560">
        <v>157</v>
      </c>
      <c r="R1560">
        <v>151.15</v>
      </c>
      <c r="S1560">
        <v>154</v>
      </c>
      <c r="T1560">
        <v>153.05000000000001</v>
      </c>
      <c r="U1560">
        <v>155.65</v>
      </c>
      <c r="W1560">
        <v>154</v>
      </c>
      <c r="Z1560">
        <v>23600</v>
      </c>
      <c r="AA1560">
        <v>3676340</v>
      </c>
      <c r="AB1560">
        <v>43</v>
      </c>
      <c r="AC1560" t="s">
        <v>42</v>
      </c>
      <c r="AD1560">
        <v>400</v>
      </c>
    </row>
    <row r="1561" spans="1:30">
      <c r="A1561" t="str">
        <f>CONCATENATE(I1561,J1561)</f>
        <v>INFOMEDIAEQ</v>
      </c>
      <c r="B1561" s="34">
        <v>46273</v>
      </c>
      <c r="C1561" s="34">
        <v>46273</v>
      </c>
      <c r="D1561" t="s">
        <v>35</v>
      </c>
      <c r="E1561" t="s">
        <v>36</v>
      </c>
      <c r="F1561" t="s">
        <v>37</v>
      </c>
      <c r="G1561">
        <v>13693</v>
      </c>
      <c r="H1561" t="s">
        <v>4742</v>
      </c>
      <c r="I1561" t="s">
        <v>4743</v>
      </c>
      <c r="J1561" t="s">
        <v>161</v>
      </c>
      <c r="O1561" t="s">
        <v>4744</v>
      </c>
      <c r="P1561">
        <v>5.21</v>
      </c>
      <c r="Q1561">
        <v>5.8</v>
      </c>
      <c r="R1561">
        <v>5.21</v>
      </c>
      <c r="S1561">
        <v>5.53</v>
      </c>
      <c r="T1561">
        <v>5.42</v>
      </c>
      <c r="U1561">
        <v>5.43</v>
      </c>
      <c r="W1561">
        <v>5.53</v>
      </c>
      <c r="Z1561">
        <v>36530</v>
      </c>
      <c r="AA1561">
        <v>202307.69</v>
      </c>
      <c r="AB1561">
        <v>131</v>
      </c>
      <c r="AC1561" t="s">
        <v>42</v>
      </c>
      <c r="AD1561">
        <v>1</v>
      </c>
    </row>
    <row r="1562" spans="1:30">
      <c r="A1562" t="str">
        <f>CONCATENATE(I1562,J1562)</f>
        <v>INFYEQ</v>
      </c>
      <c r="B1562" s="34">
        <v>46273</v>
      </c>
      <c r="C1562" s="34">
        <v>46273</v>
      </c>
      <c r="D1562" t="s">
        <v>35</v>
      </c>
      <c r="E1562" t="s">
        <v>36</v>
      </c>
      <c r="F1562" t="s">
        <v>37</v>
      </c>
      <c r="G1562">
        <v>1594</v>
      </c>
      <c r="H1562" t="s">
        <v>4745</v>
      </c>
      <c r="I1562" t="s">
        <v>4746</v>
      </c>
      <c r="J1562" t="s">
        <v>161</v>
      </c>
      <c r="O1562" t="s">
        <v>4747</v>
      </c>
      <c r="P1562">
        <v>1095</v>
      </c>
      <c r="Q1562">
        <v>1095</v>
      </c>
      <c r="R1562">
        <v>1078.9000000000001</v>
      </c>
      <c r="S1562">
        <v>1082</v>
      </c>
      <c r="T1562">
        <v>1082</v>
      </c>
      <c r="U1562">
        <v>1087.5</v>
      </c>
      <c r="W1562">
        <v>1082</v>
      </c>
      <c r="Z1562">
        <v>6269037</v>
      </c>
      <c r="AA1562">
        <v>6797433881.6000004</v>
      </c>
      <c r="AB1562">
        <v>151673</v>
      </c>
      <c r="AC1562" t="s">
        <v>42</v>
      </c>
      <c r="AD1562">
        <v>1</v>
      </c>
    </row>
    <row r="1563" spans="1:30">
      <c r="A1563" t="str">
        <f>CONCATENATE(I1563,J1563)</f>
        <v>INGERRANDEQ</v>
      </c>
      <c r="B1563" s="34">
        <v>46273</v>
      </c>
      <c r="C1563" s="34">
        <v>46273</v>
      </c>
      <c r="D1563" t="s">
        <v>35</v>
      </c>
      <c r="E1563" t="s">
        <v>36</v>
      </c>
      <c r="F1563" t="s">
        <v>37</v>
      </c>
      <c r="G1563">
        <v>1597</v>
      </c>
      <c r="H1563" t="s">
        <v>4748</v>
      </c>
      <c r="I1563" t="s">
        <v>4749</v>
      </c>
      <c r="J1563" t="s">
        <v>161</v>
      </c>
      <c r="O1563" t="s">
        <v>4750</v>
      </c>
      <c r="P1563">
        <v>4754</v>
      </c>
      <c r="Q1563">
        <v>4769.8999999999996</v>
      </c>
      <c r="R1563">
        <v>4692.3</v>
      </c>
      <c r="S1563">
        <v>4741.7</v>
      </c>
      <c r="T1563">
        <v>4760</v>
      </c>
      <c r="U1563">
        <v>4730.3</v>
      </c>
      <c r="W1563">
        <v>4741.7700000000004</v>
      </c>
      <c r="Z1563">
        <v>10123</v>
      </c>
      <c r="AA1563">
        <v>47801302.899999999</v>
      </c>
      <c r="AB1563">
        <v>2117</v>
      </c>
      <c r="AC1563" t="s">
        <v>42</v>
      </c>
      <c r="AD1563">
        <v>1</v>
      </c>
    </row>
    <row r="1564" spans="1:30">
      <c r="A1564" t="str">
        <f>CONCATENATE(I1564,J1564)</f>
        <v>INNOMETST</v>
      </c>
      <c r="B1564" s="34">
        <v>46273</v>
      </c>
      <c r="C1564" s="34">
        <v>46273</v>
      </c>
      <c r="D1564" t="s">
        <v>35</v>
      </c>
      <c r="E1564" t="s">
        <v>36</v>
      </c>
      <c r="F1564" t="s">
        <v>37</v>
      </c>
      <c r="G1564">
        <v>25323</v>
      </c>
      <c r="H1564" t="s">
        <v>4751</v>
      </c>
      <c r="I1564" t="s">
        <v>4752</v>
      </c>
      <c r="J1564" t="s">
        <v>328</v>
      </c>
      <c r="O1564" t="s">
        <v>4753</v>
      </c>
      <c r="P1564">
        <v>282.3</v>
      </c>
      <c r="Q1564">
        <v>293.75</v>
      </c>
      <c r="R1564">
        <v>282.3</v>
      </c>
      <c r="S1564">
        <v>288.89999999999998</v>
      </c>
      <c r="T1564">
        <v>288.89999999999998</v>
      </c>
      <c r="U1564">
        <v>288.05</v>
      </c>
      <c r="W1564">
        <v>288.89999999999998</v>
      </c>
      <c r="Z1564">
        <v>133200</v>
      </c>
      <c r="AA1564">
        <v>38126850</v>
      </c>
      <c r="AB1564">
        <v>140</v>
      </c>
      <c r="AC1564" t="s">
        <v>42</v>
      </c>
      <c r="AD1564">
        <v>600</v>
      </c>
    </row>
    <row r="1565" spans="1:30">
      <c r="A1565" t="str">
        <f>CONCATENATE(I1565,J1565)</f>
        <v>INNOVACAPEQ</v>
      </c>
      <c r="B1565" s="34">
        <v>46273</v>
      </c>
      <c r="C1565" s="34">
        <v>46273</v>
      </c>
      <c r="D1565" t="s">
        <v>35</v>
      </c>
      <c r="E1565" t="s">
        <v>36</v>
      </c>
      <c r="F1565" t="s">
        <v>37</v>
      </c>
      <c r="G1565">
        <v>21062</v>
      </c>
      <c r="H1565" t="s">
        <v>4754</v>
      </c>
      <c r="I1565" t="s">
        <v>4755</v>
      </c>
      <c r="J1565" t="s">
        <v>161</v>
      </c>
      <c r="O1565" t="s">
        <v>4756</v>
      </c>
      <c r="P1565">
        <v>1172</v>
      </c>
      <c r="Q1565">
        <v>1185.8</v>
      </c>
      <c r="R1565">
        <v>1164</v>
      </c>
      <c r="S1565">
        <v>1171.8</v>
      </c>
      <c r="T1565">
        <v>1180</v>
      </c>
      <c r="U1565">
        <v>1164.4000000000001</v>
      </c>
      <c r="W1565">
        <v>1171.8399999999999</v>
      </c>
      <c r="Z1565">
        <v>34248</v>
      </c>
      <c r="AA1565">
        <v>40127902.299999997</v>
      </c>
      <c r="AB1565">
        <v>5399</v>
      </c>
      <c r="AC1565" t="s">
        <v>42</v>
      </c>
      <c r="AD1565">
        <v>1</v>
      </c>
    </row>
    <row r="1566" spans="1:30">
      <c r="A1566" t="str">
        <f>CONCATENATE(I1566,J1566)</f>
        <v>INNOVANAEQ</v>
      </c>
      <c r="B1566" s="34">
        <v>46273</v>
      </c>
      <c r="C1566" s="34">
        <v>46273</v>
      </c>
      <c r="D1566" t="s">
        <v>35</v>
      </c>
      <c r="E1566" t="s">
        <v>36</v>
      </c>
      <c r="F1566" t="s">
        <v>37</v>
      </c>
      <c r="G1566">
        <v>27754</v>
      </c>
      <c r="H1566" t="s">
        <v>4757</v>
      </c>
      <c r="I1566" t="s">
        <v>4758</v>
      </c>
      <c r="J1566" t="s">
        <v>161</v>
      </c>
      <c r="O1566" t="s">
        <v>4759</v>
      </c>
      <c r="P1566">
        <v>300.60000000000002</v>
      </c>
      <c r="Q1566">
        <v>314.39999999999998</v>
      </c>
      <c r="R1566">
        <v>300.10000000000002</v>
      </c>
      <c r="S1566">
        <v>300.55</v>
      </c>
      <c r="T1566">
        <v>300.10000000000002</v>
      </c>
      <c r="U1566">
        <v>301.64999999999998</v>
      </c>
      <c r="W1566">
        <v>300.83</v>
      </c>
      <c r="Z1566">
        <v>32871</v>
      </c>
      <c r="AA1566">
        <v>10103258.800000001</v>
      </c>
      <c r="AB1566">
        <v>294</v>
      </c>
      <c r="AC1566" t="s">
        <v>42</v>
      </c>
      <c r="AD1566">
        <v>1</v>
      </c>
    </row>
    <row r="1567" spans="1:30">
      <c r="A1567" t="str">
        <f>CONCATENATE(I1567,J1567)</f>
        <v>ITTLST</v>
      </c>
      <c r="B1567" s="34">
        <v>46273</v>
      </c>
      <c r="C1567" s="34">
        <v>46273</v>
      </c>
      <c r="D1567" t="s">
        <v>35</v>
      </c>
      <c r="E1567" t="s">
        <v>36</v>
      </c>
      <c r="F1567" t="s">
        <v>37</v>
      </c>
      <c r="G1567">
        <v>27266</v>
      </c>
      <c r="H1567" t="s">
        <v>4760</v>
      </c>
      <c r="I1567" t="s">
        <v>4761</v>
      </c>
      <c r="J1567" t="s">
        <v>328</v>
      </c>
      <c r="O1567" t="s">
        <v>4762</v>
      </c>
      <c r="P1567">
        <v>65.45</v>
      </c>
      <c r="Q1567">
        <v>65.45</v>
      </c>
      <c r="R1567">
        <v>65.45</v>
      </c>
      <c r="S1567">
        <v>65.45</v>
      </c>
      <c r="T1567">
        <v>65.45</v>
      </c>
      <c r="U1567">
        <v>65.45</v>
      </c>
      <c r="W1567">
        <v>65.45</v>
      </c>
      <c r="Z1567">
        <v>105</v>
      </c>
      <c r="AA1567">
        <v>6872.25</v>
      </c>
      <c r="AB1567">
        <v>1</v>
      </c>
      <c r="AC1567" t="s">
        <v>42</v>
      </c>
      <c r="AD1567">
        <v>105</v>
      </c>
    </row>
    <row r="1568" spans="1:30">
      <c r="A1568" t="str">
        <f>CONCATENATE(I1568,J1568)</f>
        <v>INNOVISIONEQ</v>
      </c>
      <c r="B1568" s="34">
        <v>46273</v>
      </c>
      <c r="C1568" s="34">
        <v>46273</v>
      </c>
      <c r="D1568" t="s">
        <v>35</v>
      </c>
      <c r="E1568" t="s">
        <v>36</v>
      </c>
      <c r="F1568" t="s">
        <v>37</v>
      </c>
      <c r="G1568">
        <v>761528</v>
      </c>
      <c r="H1568" t="s">
        <v>4763</v>
      </c>
      <c r="I1568" t="s">
        <v>4764</v>
      </c>
      <c r="J1568" t="s">
        <v>161</v>
      </c>
      <c r="O1568" t="s">
        <v>4765</v>
      </c>
      <c r="P1568">
        <v>254.15</v>
      </c>
      <c r="Q1568">
        <v>258.89999999999998</v>
      </c>
      <c r="R1568">
        <v>250.75</v>
      </c>
      <c r="S1568">
        <v>252</v>
      </c>
      <c r="T1568">
        <v>252.75</v>
      </c>
      <c r="U1568">
        <v>256.25</v>
      </c>
      <c r="W1568">
        <v>251.98</v>
      </c>
      <c r="Z1568">
        <v>8849</v>
      </c>
      <c r="AA1568">
        <v>2234751.0499999998</v>
      </c>
      <c r="AB1568">
        <v>730</v>
      </c>
      <c r="AC1568" t="s">
        <v>42</v>
      </c>
      <c r="AD1568">
        <v>1</v>
      </c>
    </row>
    <row r="1569" spans="1:30">
      <c r="A1569" t="str">
        <f>CONCATENATE(I1569,J1569)</f>
        <v>INOXGREENEQ</v>
      </c>
      <c r="B1569" s="34">
        <v>46273</v>
      </c>
      <c r="C1569" s="34">
        <v>46273</v>
      </c>
      <c r="D1569" t="s">
        <v>35</v>
      </c>
      <c r="E1569" t="s">
        <v>36</v>
      </c>
      <c r="F1569" t="s">
        <v>37</v>
      </c>
      <c r="G1569">
        <v>12188</v>
      </c>
      <c r="H1569" t="s">
        <v>4766</v>
      </c>
      <c r="I1569" t="s">
        <v>4767</v>
      </c>
      <c r="J1569" t="s">
        <v>161</v>
      </c>
      <c r="O1569" t="s">
        <v>4768</v>
      </c>
      <c r="P1569">
        <v>172.28</v>
      </c>
      <c r="Q1569">
        <v>176</v>
      </c>
      <c r="R1569">
        <v>169.61</v>
      </c>
      <c r="S1569">
        <v>174.42</v>
      </c>
      <c r="T1569">
        <v>175.01</v>
      </c>
      <c r="U1569">
        <v>172.28</v>
      </c>
      <c r="W1569">
        <v>174.42</v>
      </c>
      <c r="Z1569">
        <v>1008485</v>
      </c>
      <c r="AA1569">
        <v>175215351.81</v>
      </c>
      <c r="AB1569">
        <v>8898</v>
      </c>
      <c r="AC1569" t="s">
        <v>42</v>
      </c>
      <c r="AD1569">
        <v>1</v>
      </c>
    </row>
    <row r="1570" spans="1:30">
      <c r="A1570" t="str">
        <f>CONCATENATE(I1570,J1570)</f>
        <v>INOXINDIAEQ</v>
      </c>
      <c r="B1570" s="34">
        <v>46273</v>
      </c>
      <c r="C1570" s="34">
        <v>46273</v>
      </c>
      <c r="D1570" t="s">
        <v>35</v>
      </c>
      <c r="E1570" t="s">
        <v>36</v>
      </c>
      <c r="F1570" t="s">
        <v>37</v>
      </c>
      <c r="G1570">
        <v>20607</v>
      </c>
      <c r="H1570" t="s">
        <v>4769</v>
      </c>
      <c r="I1570" t="s">
        <v>4770</v>
      </c>
      <c r="J1570" t="s">
        <v>161</v>
      </c>
      <c r="O1570" t="s">
        <v>4771</v>
      </c>
      <c r="P1570">
        <v>2243.4</v>
      </c>
      <c r="Q1570">
        <v>2253.1</v>
      </c>
      <c r="R1570">
        <v>2137.6999999999998</v>
      </c>
      <c r="S1570">
        <v>2215.9</v>
      </c>
      <c r="T1570">
        <v>2228.5</v>
      </c>
      <c r="U1570">
        <v>2231.4</v>
      </c>
      <c r="W1570">
        <v>2215.85</v>
      </c>
      <c r="Z1570">
        <v>203200</v>
      </c>
      <c r="AA1570">
        <v>445336477.60000002</v>
      </c>
      <c r="AB1570">
        <v>26193</v>
      </c>
      <c r="AC1570" t="s">
        <v>42</v>
      </c>
      <c r="AD1570">
        <v>1</v>
      </c>
    </row>
    <row r="1571" spans="1:30">
      <c r="A1571" t="str">
        <f>CONCATENATE(I1571,J1571)</f>
        <v>INOXWINDEQ</v>
      </c>
      <c r="B1571" s="34">
        <v>46273</v>
      </c>
      <c r="C1571" s="34">
        <v>46273</v>
      </c>
      <c r="D1571" t="s">
        <v>35</v>
      </c>
      <c r="E1571" t="s">
        <v>36</v>
      </c>
      <c r="F1571" t="s">
        <v>37</v>
      </c>
      <c r="G1571">
        <v>7852</v>
      </c>
      <c r="H1571" t="s">
        <v>4772</v>
      </c>
      <c r="I1571" t="s">
        <v>4773</v>
      </c>
      <c r="J1571" t="s">
        <v>161</v>
      </c>
      <c r="O1571" t="s">
        <v>4774</v>
      </c>
      <c r="P1571">
        <v>75.67</v>
      </c>
      <c r="Q1571">
        <v>76.08</v>
      </c>
      <c r="R1571">
        <v>74.5</v>
      </c>
      <c r="S1571">
        <v>75.709999999999994</v>
      </c>
      <c r="T1571">
        <v>75.709999999999994</v>
      </c>
      <c r="U1571">
        <v>75.599999999999994</v>
      </c>
      <c r="W1571">
        <v>75.7</v>
      </c>
      <c r="Z1571">
        <v>9911582</v>
      </c>
      <c r="AA1571">
        <v>746610345.41999996</v>
      </c>
      <c r="AB1571">
        <v>27972</v>
      </c>
      <c r="AC1571" t="s">
        <v>42</v>
      </c>
      <c r="AD1571">
        <v>1</v>
      </c>
    </row>
    <row r="1572" spans="1:30">
      <c r="A1572" t="str">
        <f>CONCATENATE(I1572,J1572)</f>
        <v>INSECTICIDEQ</v>
      </c>
      <c r="B1572" s="34">
        <v>46273</v>
      </c>
      <c r="C1572" s="34">
        <v>46273</v>
      </c>
      <c r="D1572" t="s">
        <v>35</v>
      </c>
      <c r="E1572" t="s">
        <v>36</v>
      </c>
      <c r="F1572" t="s">
        <v>37</v>
      </c>
      <c r="G1572">
        <v>14657</v>
      </c>
      <c r="H1572" t="s">
        <v>4775</v>
      </c>
      <c r="I1572" t="s">
        <v>4776</v>
      </c>
      <c r="J1572" t="s">
        <v>161</v>
      </c>
      <c r="O1572" t="s">
        <v>4777</v>
      </c>
      <c r="P1572">
        <v>604.79999999999995</v>
      </c>
      <c r="Q1572">
        <v>612.95000000000005</v>
      </c>
      <c r="R1572">
        <v>602.54999999999995</v>
      </c>
      <c r="S1572">
        <v>610.20000000000005</v>
      </c>
      <c r="T1572">
        <v>610</v>
      </c>
      <c r="U1572">
        <v>606.5</v>
      </c>
      <c r="W1572">
        <v>610.20000000000005</v>
      </c>
      <c r="Z1572">
        <v>10805</v>
      </c>
      <c r="AA1572">
        <v>6583118.2999999998</v>
      </c>
      <c r="AB1572">
        <v>939</v>
      </c>
      <c r="AC1572" t="s">
        <v>42</v>
      </c>
      <c r="AD1572">
        <v>1</v>
      </c>
    </row>
    <row r="1573" spans="1:30">
      <c r="A1573" t="str">
        <f>CONCATENATE(I1573,J1573)</f>
        <v>INAEQ</v>
      </c>
      <c r="B1573" s="34">
        <v>46273</v>
      </c>
      <c r="C1573" s="34">
        <v>46273</v>
      </c>
      <c r="D1573" t="s">
        <v>35</v>
      </c>
      <c r="E1573" t="s">
        <v>36</v>
      </c>
      <c r="F1573" t="s">
        <v>37</v>
      </c>
      <c r="G1573">
        <v>761099</v>
      </c>
      <c r="H1573" t="s">
        <v>4778</v>
      </c>
      <c r="I1573" t="s">
        <v>4779</v>
      </c>
      <c r="J1573" t="s">
        <v>161</v>
      </c>
      <c r="O1573" t="s">
        <v>4780</v>
      </c>
      <c r="P1573">
        <v>92.77</v>
      </c>
      <c r="Q1573">
        <v>95.69</v>
      </c>
      <c r="R1573">
        <v>90.38</v>
      </c>
      <c r="S1573">
        <v>93.12</v>
      </c>
      <c r="T1573">
        <v>93.7</v>
      </c>
      <c r="U1573">
        <v>92.77</v>
      </c>
      <c r="W1573">
        <v>93.12</v>
      </c>
      <c r="Z1573">
        <v>1060998</v>
      </c>
      <c r="AA1573">
        <v>99429040.019999996</v>
      </c>
      <c r="AB1573">
        <v>9044</v>
      </c>
      <c r="AC1573" t="s">
        <v>42</v>
      </c>
      <c r="AD1573">
        <v>1</v>
      </c>
    </row>
    <row r="1574" spans="1:30">
      <c r="A1574" t="str">
        <f>CONCATENATE(I1574,J1574)</f>
        <v>INSPIRESM</v>
      </c>
      <c r="B1574" s="34">
        <v>46273</v>
      </c>
      <c r="C1574" s="34">
        <v>46273</v>
      </c>
      <c r="D1574" t="s">
        <v>35</v>
      </c>
      <c r="E1574" t="s">
        <v>36</v>
      </c>
      <c r="F1574" t="s">
        <v>37</v>
      </c>
      <c r="G1574">
        <v>19154</v>
      </c>
      <c r="H1574" t="s">
        <v>4781</v>
      </c>
      <c r="I1574" t="s">
        <v>4782</v>
      </c>
      <c r="J1574" t="s">
        <v>267</v>
      </c>
      <c r="O1574" t="s">
        <v>4783</v>
      </c>
      <c r="P1574">
        <v>8.15</v>
      </c>
      <c r="Q1574">
        <v>8.85</v>
      </c>
      <c r="R1574">
        <v>8.15</v>
      </c>
      <c r="S1574">
        <v>8.85</v>
      </c>
      <c r="T1574">
        <v>8.85</v>
      </c>
      <c r="U1574">
        <v>8.4499999999999993</v>
      </c>
      <c r="W1574">
        <v>8.85</v>
      </c>
      <c r="Z1574">
        <v>8000</v>
      </c>
      <c r="AA1574">
        <v>68700</v>
      </c>
      <c r="AB1574">
        <v>4</v>
      </c>
      <c r="AC1574" t="s">
        <v>42</v>
      </c>
      <c r="AD1574">
        <v>2000</v>
      </c>
    </row>
    <row r="1575" spans="1:30">
      <c r="A1575" t="str">
        <f>CONCATENATE(I1575,J1575)</f>
        <v>INSPIRISYSEQ</v>
      </c>
      <c r="B1575" s="34">
        <v>46273</v>
      </c>
      <c r="C1575" s="34">
        <v>46273</v>
      </c>
      <c r="D1575" t="s">
        <v>35</v>
      </c>
      <c r="E1575" t="s">
        <v>36</v>
      </c>
      <c r="F1575" t="s">
        <v>37</v>
      </c>
      <c r="G1575">
        <v>13730</v>
      </c>
      <c r="H1575" t="s">
        <v>4784</v>
      </c>
      <c r="I1575" t="s">
        <v>4785</v>
      </c>
      <c r="J1575" t="s">
        <v>161</v>
      </c>
      <c r="O1575" t="s">
        <v>4786</v>
      </c>
      <c r="P1575">
        <v>89</v>
      </c>
      <c r="Q1575">
        <v>91.99</v>
      </c>
      <c r="R1575">
        <v>87.5</v>
      </c>
      <c r="S1575">
        <v>90.52</v>
      </c>
      <c r="T1575">
        <v>89.61</v>
      </c>
      <c r="U1575">
        <v>88.75</v>
      </c>
      <c r="W1575">
        <v>90.47</v>
      </c>
      <c r="Z1575">
        <v>3083</v>
      </c>
      <c r="AA1575">
        <v>275659.03999999998</v>
      </c>
      <c r="AB1575">
        <v>79</v>
      </c>
      <c r="AC1575" t="s">
        <v>42</v>
      </c>
      <c r="AD1575">
        <v>1</v>
      </c>
    </row>
    <row r="1576" spans="1:30">
      <c r="A1576" t="str">
        <f>CONCATENATE(I1576,J1576)</f>
        <v>ESSENTIAEQ</v>
      </c>
      <c r="B1576" s="34">
        <v>46273</v>
      </c>
      <c r="C1576" s="34">
        <v>46273</v>
      </c>
      <c r="D1576" t="s">
        <v>35</v>
      </c>
      <c r="E1576" t="s">
        <v>36</v>
      </c>
      <c r="F1576" t="s">
        <v>37</v>
      </c>
      <c r="G1576">
        <v>30323</v>
      </c>
      <c r="H1576" t="s">
        <v>4787</v>
      </c>
      <c r="I1576" t="s">
        <v>4788</v>
      </c>
      <c r="J1576" t="s">
        <v>161</v>
      </c>
      <c r="O1576" t="s">
        <v>4789</v>
      </c>
      <c r="P1576">
        <v>1.1000000000000001</v>
      </c>
      <c r="Q1576">
        <v>1.1499999999999999</v>
      </c>
      <c r="R1576">
        <v>1.05</v>
      </c>
      <c r="S1576">
        <v>1.05</v>
      </c>
      <c r="T1576">
        <v>1.06</v>
      </c>
      <c r="U1576">
        <v>1.1000000000000001</v>
      </c>
      <c r="W1576">
        <v>1.05</v>
      </c>
      <c r="Z1576">
        <v>8096583</v>
      </c>
      <c r="AA1576">
        <v>8752111.9499999993</v>
      </c>
      <c r="AB1576">
        <v>1587</v>
      </c>
      <c r="AC1576" t="s">
        <v>42</v>
      </c>
      <c r="AD1576">
        <v>1</v>
      </c>
    </row>
    <row r="1577" spans="1:30">
      <c r="A1577" t="str">
        <f>CONCATENATE(I1577,J1577)</f>
        <v>INTELLECTEQ</v>
      </c>
      <c r="B1577" s="34">
        <v>46273</v>
      </c>
      <c r="C1577" s="34">
        <v>46273</v>
      </c>
      <c r="D1577" t="s">
        <v>35</v>
      </c>
      <c r="E1577" t="s">
        <v>36</v>
      </c>
      <c r="F1577" t="s">
        <v>37</v>
      </c>
      <c r="G1577">
        <v>5926</v>
      </c>
      <c r="H1577" t="s">
        <v>4790</v>
      </c>
      <c r="I1577" t="s">
        <v>4791</v>
      </c>
      <c r="J1577" t="s">
        <v>161</v>
      </c>
      <c r="O1577" t="s">
        <v>4792</v>
      </c>
      <c r="P1577">
        <v>688</v>
      </c>
      <c r="Q1577">
        <v>694.95</v>
      </c>
      <c r="R1577">
        <v>677</v>
      </c>
      <c r="S1577">
        <v>691.8</v>
      </c>
      <c r="T1577">
        <v>689.9</v>
      </c>
      <c r="U1577">
        <v>682.15</v>
      </c>
      <c r="W1577">
        <v>691.8</v>
      </c>
      <c r="Z1577">
        <v>252434</v>
      </c>
      <c r="AA1577">
        <v>173527453.34999999</v>
      </c>
      <c r="AB1577">
        <v>12728</v>
      </c>
      <c r="AC1577" t="s">
        <v>42</v>
      </c>
      <c r="AD1577">
        <v>1</v>
      </c>
    </row>
    <row r="1578" spans="1:30">
      <c r="A1578" t="str">
        <f>CONCATENATE(I1578,J1578)</f>
        <v>INTENTECHEQ</v>
      </c>
      <c r="B1578" s="34">
        <v>46273</v>
      </c>
      <c r="C1578" s="34">
        <v>46273</v>
      </c>
      <c r="D1578" t="s">
        <v>35</v>
      </c>
      <c r="E1578" t="s">
        <v>36</v>
      </c>
      <c r="F1578" t="s">
        <v>37</v>
      </c>
      <c r="G1578">
        <v>20071</v>
      </c>
      <c r="H1578" t="s">
        <v>4793</v>
      </c>
      <c r="I1578" t="s">
        <v>4794</v>
      </c>
      <c r="J1578" t="s">
        <v>161</v>
      </c>
      <c r="O1578" t="s">
        <v>4795</v>
      </c>
      <c r="P1578">
        <v>80.31</v>
      </c>
      <c r="Q1578">
        <v>81.599999999999994</v>
      </c>
      <c r="R1578">
        <v>78.25</v>
      </c>
      <c r="S1578">
        <v>79.66</v>
      </c>
      <c r="T1578">
        <v>80.3</v>
      </c>
      <c r="U1578">
        <v>80.709999999999994</v>
      </c>
      <c r="W1578">
        <v>79.66</v>
      </c>
      <c r="Z1578">
        <v>14588</v>
      </c>
      <c r="AA1578">
        <v>1164394.51</v>
      </c>
      <c r="AB1578">
        <v>328</v>
      </c>
      <c r="AC1578" t="s">
        <v>42</v>
      </c>
      <c r="AD1578">
        <v>1</v>
      </c>
    </row>
    <row r="1579" spans="1:30">
      <c r="A1579" t="str">
        <f>CONCATENATE(I1579,J1579)</f>
        <v>INTERARCHEQ</v>
      </c>
      <c r="B1579" s="34">
        <v>46273</v>
      </c>
      <c r="C1579" s="34">
        <v>46273</v>
      </c>
      <c r="D1579" t="s">
        <v>35</v>
      </c>
      <c r="E1579" t="s">
        <v>36</v>
      </c>
      <c r="F1579" t="s">
        <v>37</v>
      </c>
      <c r="G1579">
        <v>24909</v>
      </c>
      <c r="H1579" t="s">
        <v>4796</v>
      </c>
      <c r="I1579" t="s">
        <v>4797</v>
      </c>
      <c r="J1579" t="s">
        <v>161</v>
      </c>
      <c r="O1579" t="s">
        <v>4798</v>
      </c>
      <c r="P1579">
        <v>1703.9</v>
      </c>
      <c r="Q1579">
        <v>1765.9</v>
      </c>
      <c r="R1579">
        <v>1685</v>
      </c>
      <c r="S1579">
        <v>1753.5</v>
      </c>
      <c r="T1579">
        <v>1765.9</v>
      </c>
      <c r="U1579">
        <v>1703.5</v>
      </c>
      <c r="W1579">
        <v>1753.5</v>
      </c>
      <c r="Z1579">
        <v>112094</v>
      </c>
      <c r="AA1579">
        <v>193354209.19999999</v>
      </c>
      <c r="AB1579">
        <v>9876</v>
      </c>
      <c r="AC1579" t="s">
        <v>42</v>
      </c>
      <c r="AD1579">
        <v>1</v>
      </c>
    </row>
    <row r="1580" spans="1:30">
      <c r="A1580" t="str">
        <f>CONCATENATE(I1580,J1580)</f>
        <v>INDIGOEQ</v>
      </c>
      <c r="B1580" s="34">
        <v>46273</v>
      </c>
      <c r="C1580" s="34">
        <v>46273</v>
      </c>
      <c r="D1580" t="s">
        <v>35</v>
      </c>
      <c r="E1580" t="s">
        <v>36</v>
      </c>
      <c r="F1580" t="s">
        <v>37</v>
      </c>
      <c r="G1580">
        <v>11195</v>
      </c>
      <c r="H1580" t="s">
        <v>4799</v>
      </c>
      <c r="I1580" t="s">
        <v>4800</v>
      </c>
      <c r="J1580" t="s">
        <v>161</v>
      </c>
      <c r="O1580" t="s">
        <v>4801</v>
      </c>
      <c r="P1580">
        <v>4971</v>
      </c>
      <c r="Q1580">
        <v>5022.5</v>
      </c>
      <c r="R1580">
        <v>4952</v>
      </c>
      <c r="S1580">
        <v>5000</v>
      </c>
      <c r="T1580">
        <v>5000</v>
      </c>
      <c r="U1580">
        <v>5001</v>
      </c>
      <c r="W1580">
        <v>5000.01</v>
      </c>
      <c r="Z1580">
        <v>435589</v>
      </c>
      <c r="AA1580">
        <v>2176808432.5</v>
      </c>
      <c r="AB1580">
        <v>40089</v>
      </c>
      <c r="AC1580" t="s">
        <v>42</v>
      </c>
      <c r="AD1580">
        <v>1</v>
      </c>
    </row>
    <row r="1581" spans="1:30">
      <c r="A1581" t="str">
        <f>CONCATENATE(I1581,J1581)</f>
        <v>INTLCONVEQ</v>
      </c>
      <c r="B1581" s="34">
        <v>46273</v>
      </c>
      <c r="C1581" s="34">
        <v>46273</v>
      </c>
      <c r="D1581" t="s">
        <v>35</v>
      </c>
      <c r="E1581" t="s">
        <v>36</v>
      </c>
      <c r="F1581" t="s">
        <v>37</v>
      </c>
      <c r="G1581">
        <v>5606</v>
      </c>
      <c r="H1581" t="s">
        <v>4802</v>
      </c>
      <c r="I1581" t="s">
        <v>4803</v>
      </c>
      <c r="J1581" t="s">
        <v>161</v>
      </c>
      <c r="O1581" t="s">
        <v>4804</v>
      </c>
      <c r="P1581">
        <v>80.53</v>
      </c>
      <c r="Q1581">
        <v>81.02</v>
      </c>
      <c r="R1581">
        <v>79.099999999999994</v>
      </c>
      <c r="S1581">
        <v>79.61</v>
      </c>
      <c r="T1581">
        <v>79.099999999999994</v>
      </c>
      <c r="U1581">
        <v>79.92</v>
      </c>
      <c r="W1581">
        <v>79.62</v>
      </c>
      <c r="Z1581">
        <v>31494</v>
      </c>
      <c r="AA1581">
        <v>2518324.84</v>
      </c>
      <c r="AB1581">
        <v>1663</v>
      </c>
      <c r="AC1581" t="s">
        <v>42</v>
      </c>
      <c r="AD1581">
        <v>1</v>
      </c>
    </row>
    <row r="1582" spans="1:30">
      <c r="A1582" t="str">
        <f>CONCATENATE(I1582,J1582)</f>
        <v>IGILEQ</v>
      </c>
      <c r="B1582" s="34">
        <v>46273</v>
      </c>
      <c r="C1582" s="34">
        <v>46273</v>
      </c>
      <c r="D1582" t="s">
        <v>35</v>
      </c>
      <c r="E1582" t="s">
        <v>36</v>
      </c>
      <c r="F1582" t="s">
        <v>37</v>
      </c>
      <c r="G1582">
        <v>28378</v>
      </c>
      <c r="H1582" t="s">
        <v>4805</v>
      </c>
      <c r="I1582" t="s">
        <v>4806</v>
      </c>
      <c r="J1582" t="s">
        <v>161</v>
      </c>
      <c r="O1582" t="s">
        <v>4807</v>
      </c>
      <c r="P1582">
        <v>318</v>
      </c>
      <c r="Q1582">
        <v>320.05</v>
      </c>
      <c r="R1582">
        <v>314.35000000000002</v>
      </c>
      <c r="S1582">
        <v>318.10000000000002</v>
      </c>
      <c r="T1582">
        <v>319</v>
      </c>
      <c r="U1582">
        <v>318</v>
      </c>
      <c r="W1582">
        <v>318.08999999999997</v>
      </c>
      <c r="Z1582">
        <v>321958</v>
      </c>
      <c r="AA1582">
        <v>102290662.7</v>
      </c>
      <c r="AB1582">
        <v>19770</v>
      </c>
      <c r="AC1582" t="s">
        <v>42</v>
      </c>
      <c r="AD1582">
        <v>1</v>
      </c>
    </row>
    <row r="1583" spans="1:30">
      <c r="A1583" t="str">
        <f>CONCATENATE(I1583,J1583)</f>
        <v>ISFTEQ</v>
      </c>
      <c r="B1583" s="34">
        <v>46273</v>
      </c>
      <c r="C1583" s="34">
        <v>46273</v>
      </c>
      <c r="D1583" t="s">
        <v>35</v>
      </c>
      <c r="E1583" t="s">
        <v>36</v>
      </c>
      <c r="F1583" t="s">
        <v>37</v>
      </c>
      <c r="G1583">
        <v>18479</v>
      </c>
      <c r="H1583" t="s">
        <v>4808</v>
      </c>
      <c r="I1583" t="s">
        <v>4809</v>
      </c>
      <c r="J1583" t="s">
        <v>161</v>
      </c>
      <c r="O1583" t="s">
        <v>4810</v>
      </c>
      <c r="P1583">
        <v>85</v>
      </c>
      <c r="Q1583">
        <v>86.99</v>
      </c>
      <c r="R1583">
        <v>81.5</v>
      </c>
      <c r="S1583">
        <v>82.34</v>
      </c>
      <c r="T1583">
        <v>82.42</v>
      </c>
      <c r="U1583">
        <v>83.1</v>
      </c>
      <c r="W1583">
        <v>82.37</v>
      </c>
      <c r="Z1583">
        <v>121968</v>
      </c>
      <c r="AA1583">
        <v>10171426.439999999</v>
      </c>
      <c r="AB1583">
        <v>941</v>
      </c>
      <c r="AC1583" t="s">
        <v>42</v>
      </c>
      <c r="AD1583">
        <v>1</v>
      </c>
    </row>
    <row r="1584" spans="1:30">
      <c r="A1584" t="str">
        <f>CONCATENATE(I1584,J1584)</f>
        <v>INVENTUREEQ</v>
      </c>
      <c r="B1584" s="34">
        <v>46273</v>
      </c>
      <c r="C1584" s="34">
        <v>46273</v>
      </c>
      <c r="D1584" t="s">
        <v>35</v>
      </c>
      <c r="E1584" t="s">
        <v>36</v>
      </c>
      <c r="F1584" t="s">
        <v>37</v>
      </c>
      <c r="G1584">
        <v>24870</v>
      </c>
      <c r="H1584" t="s">
        <v>4811</v>
      </c>
      <c r="I1584" t="s">
        <v>4812</v>
      </c>
      <c r="J1584" t="s">
        <v>161</v>
      </c>
      <c r="O1584" t="s">
        <v>4813</v>
      </c>
      <c r="P1584">
        <v>0.92</v>
      </c>
      <c r="Q1584">
        <v>0.93</v>
      </c>
      <c r="R1584">
        <v>0.92</v>
      </c>
      <c r="S1584">
        <v>0.92</v>
      </c>
      <c r="T1584">
        <v>0.93</v>
      </c>
      <c r="U1584">
        <v>0.92</v>
      </c>
      <c r="W1584">
        <v>0.92</v>
      </c>
      <c r="Z1584">
        <v>362494</v>
      </c>
      <c r="AA1584">
        <v>335891.66</v>
      </c>
      <c r="AB1584">
        <v>249</v>
      </c>
      <c r="AC1584" t="s">
        <v>42</v>
      </c>
      <c r="AD1584">
        <v>1</v>
      </c>
    </row>
    <row r="1585" spans="1:30">
      <c r="A1585" t="str">
        <f>CONCATENATE(I1585,J1585)</f>
        <v>IKSEQ</v>
      </c>
      <c r="B1585" s="34">
        <v>46273</v>
      </c>
      <c r="C1585" s="34">
        <v>46273</v>
      </c>
      <c r="D1585" t="s">
        <v>35</v>
      </c>
      <c r="E1585" t="s">
        <v>36</v>
      </c>
      <c r="F1585" t="s">
        <v>37</v>
      </c>
      <c r="G1585">
        <v>28125</v>
      </c>
      <c r="H1585" t="s">
        <v>4814</v>
      </c>
      <c r="I1585" t="s">
        <v>4815</v>
      </c>
      <c r="J1585" t="s">
        <v>161</v>
      </c>
      <c r="O1585" t="s">
        <v>4816</v>
      </c>
      <c r="P1585">
        <v>1800</v>
      </c>
      <c r="Q1585">
        <v>1813.2</v>
      </c>
      <c r="R1585">
        <v>1769.8</v>
      </c>
      <c r="S1585">
        <v>1780</v>
      </c>
      <c r="T1585">
        <v>1782.5</v>
      </c>
      <c r="U1585">
        <v>1788</v>
      </c>
      <c r="W1585">
        <v>1779.92</v>
      </c>
      <c r="Z1585">
        <v>67890</v>
      </c>
      <c r="AA1585">
        <v>121284020.2</v>
      </c>
      <c r="AB1585">
        <v>7900</v>
      </c>
      <c r="AC1585" t="s">
        <v>42</v>
      </c>
      <c r="AD1585">
        <v>1</v>
      </c>
    </row>
    <row r="1586" spans="1:30">
      <c r="A1586" t="str">
        <f>CONCATENATE(I1586,J1586)</f>
        <v>IVZINGOLDEQ</v>
      </c>
      <c r="B1586" s="34">
        <v>46273</v>
      </c>
      <c r="C1586" s="34">
        <v>46273</v>
      </c>
      <c r="D1586" t="s">
        <v>35</v>
      </c>
      <c r="E1586" t="s">
        <v>36</v>
      </c>
      <c r="F1586" t="s">
        <v>37</v>
      </c>
      <c r="G1586">
        <v>18292</v>
      </c>
      <c r="H1586" t="s">
        <v>4817</v>
      </c>
      <c r="I1586" t="s">
        <v>4818</v>
      </c>
      <c r="J1586" t="s">
        <v>161</v>
      </c>
      <c r="O1586" t="s">
        <v>4819</v>
      </c>
      <c r="P1586">
        <v>133.15</v>
      </c>
      <c r="Q1586">
        <v>133.30000000000001</v>
      </c>
      <c r="R1586">
        <v>131.19999999999999</v>
      </c>
      <c r="S1586">
        <v>132.9</v>
      </c>
      <c r="T1586">
        <v>133</v>
      </c>
      <c r="U1586">
        <v>131.85</v>
      </c>
      <c r="W1586">
        <v>132.9</v>
      </c>
      <c r="Z1586">
        <v>75534</v>
      </c>
      <c r="AA1586">
        <v>10016769.35</v>
      </c>
      <c r="AB1586">
        <v>264</v>
      </c>
      <c r="AC1586" t="s">
        <v>42</v>
      </c>
      <c r="AD1586">
        <v>1</v>
      </c>
    </row>
    <row r="1587" spans="1:30">
      <c r="A1587" t="str">
        <f>CONCATENATE(I1587,J1587)</f>
        <v>IVZINNIFTYEQ</v>
      </c>
      <c r="B1587" s="34">
        <v>46273</v>
      </c>
      <c r="C1587" s="34">
        <v>46273</v>
      </c>
      <c r="D1587" t="s">
        <v>35</v>
      </c>
      <c r="E1587" t="s">
        <v>36</v>
      </c>
      <c r="F1587" t="s">
        <v>37</v>
      </c>
      <c r="G1587">
        <v>24217</v>
      </c>
      <c r="H1587" t="s">
        <v>4820</v>
      </c>
      <c r="I1587" t="s">
        <v>4821</v>
      </c>
      <c r="J1587" t="s">
        <v>161</v>
      </c>
      <c r="O1587" t="s">
        <v>4822</v>
      </c>
      <c r="P1587">
        <v>271.02999999999997</v>
      </c>
      <c r="Q1587">
        <v>272.72000000000003</v>
      </c>
      <c r="R1587">
        <v>271.02999999999997</v>
      </c>
      <c r="S1587">
        <v>271.87</v>
      </c>
      <c r="T1587">
        <v>271.87</v>
      </c>
      <c r="U1587">
        <v>273</v>
      </c>
      <c r="W1587">
        <v>271.87</v>
      </c>
      <c r="Z1587">
        <v>547</v>
      </c>
      <c r="AA1587">
        <v>148661.12</v>
      </c>
      <c r="AB1587">
        <v>29</v>
      </c>
      <c r="AC1587" t="s">
        <v>42</v>
      </c>
      <c r="AD1587">
        <v>1</v>
      </c>
    </row>
    <row r="1588" spans="1:30">
      <c r="A1588" t="str">
        <f>CONCATENATE(I1588,J1588)</f>
        <v>INVPRECQBE</v>
      </c>
      <c r="B1588" s="34">
        <v>46273</v>
      </c>
      <c r="C1588" s="34">
        <v>46273</v>
      </c>
      <c r="D1588" t="s">
        <v>35</v>
      </c>
      <c r="E1588" t="s">
        <v>36</v>
      </c>
      <c r="F1588" t="s">
        <v>37</v>
      </c>
      <c r="G1588">
        <v>762725</v>
      </c>
      <c r="H1588" t="s">
        <v>4823</v>
      </c>
      <c r="I1588" t="s">
        <v>4824</v>
      </c>
      <c r="J1588" t="s">
        <v>183</v>
      </c>
      <c r="O1588" t="s">
        <v>4825</v>
      </c>
      <c r="P1588">
        <v>1324.9</v>
      </c>
      <c r="Q1588">
        <v>1324.9</v>
      </c>
      <c r="R1588">
        <v>1324.9</v>
      </c>
      <c r="S1588">
        <v>1324.9</v>
      </c>
      <c r="T1588">
        <v>1324.9</v>
      </c>
      <c r="U1588">
        <v>1299</v>
      </c>
      <c r="W1588">
        <v>1326.5</v>
      </c>
      <c r="Z1588">
        <v>1224</v>
      </c>
      <c r="AA1588">
        <v>1621677.6</v>
      </c>
      <c r="AB1588">
        <v>12</v>
      </c>
      <c r="AC1588" t="s">
        <v>42</v>
      </c>
      <c r="AD1588">
        <v>1</v>
      </c>
    </row>
    <row r="1589" spans="1:30">
      <c r="A1589" t="str">
        <f>CONCATENATE(I1589,J1589)</f>
        <v>INVICTASM</v>
      </c>
      <c r="B1589" s="34">
        <v>46273</v>
      </c>
      <c r="C1589" s="34">
        <v>46273</v>
      </c>
      <c r="D1589" t="s">
        <v>35</v>
      </c>
      <c r="E1589" t="s">
        <v>36</v>
      </c>
      <c r="F1589" t="s">
        <v>37</v>
      </c>
      <c r="G1589">
        <v>760139</v>
      </c>
      <c r="H1589" t="s">
        <v>4826</v>
      </c>
      <c r="I1589" t="s">
        <v>4827</v>
      </c>
      <c r="J1589" t="s">
        <v>267</v>
      </c>
      <c r="O1589" t="s">
        <v>4828</v>
      </c>
      <c r="P1589">
        <v>67</v>
      </c>
      <c r="Q1589">
        <v>67.5</v>
      </c>
      <c r="R1589">
        <v>67</v>
      </c>
      <c r="S1589">
        <v>67.5</v>
      </c>
      <c r="T1589">
        <v>67.5</v>
      </c>
      <c r="U1589">
        <v>68</v>
      </c>
      <c r="W1589">
        <v>67.5</v>
      </c>
      <c r="Z1589">
        <v>8000</v>
      </c>
      <c r="AA1589">
        <v>538080</v>
      </c>
      <c r="AB1589">
        <v>5</v>
      </c>
      <c r="AC1589" t="s">
        <v>42</v>
      </c>
      <c r="AD1589">
        <v>1600</v>
      </c>
    </row>
    <row r="1590" spans="1:30">
      <c r="A1590" t="str">
        <f>CONCATENATE(I1590,J1590)</f>
        <v>IOLCPEQ</v>
      </c>
      <c r="B1590" s="34">
        <v>46273</v>
      </c>
      <c r="C1590" s="34">
        <v>46273</v>
      </c>
      <c r="D1590" t="s">
        <v>35</v>
      </c>
      <c r="E1590" t="s">
        <v>36</v>
      </c>
      <c r="F1590" t="s">
        <v>37</v>
      </c>
      <c r="G1590">
        <v>20413</v>
      </c>
      <c r="H1590" t="s">
        <v>4829</v>
      </c>
      <c r="I1590" t="s">
        <v>4830</v>
      </c>
      <c r="J1590" t="s">
        <v>161</v>
      </c>
      <c r="O1590" t="s">
        <v>4831</v>
      </c>
      <c r="P1590">
        <v>215</v>
      </c>
      <c r="Q1590">
        <v>219.04</v>
      </c>
      <c r="R1590">
        <v>208.4</v>
      </c>
      <c r="S1590">
        <v>210.98</v>
      </c>
      <c r="T1590">
        <v>210.92</v>
      </c>
      <c r="U1590">
        <v>213.04</v>
      </c>
      <c r="W1590">
        <v>210.97</v>
      </c>
      <c r="Z1590">
        <v>4116432</v>
      </c>
      <c r="AA1590">
        <v>875358527.37</v>
      </c>
      <c r="AB1590">
        <v>38364</v>
      </c>
      <c r="AC1590" t="s">
        <v>42</v>
      </c>
      <c r="AD1590">
        <v>1</v>
      </c>
    </row>
    <row r="1591" spans="1:30">
      <c r="A1591" t="str">
        <f>CONCATENATE(I1591,J1591)</f>
        <v>IONEXCHANGEQ</v>
      </c>
      <c r="B1591" s="34">
        <v>46273</v>
      </c>
      <c r="C1591" s="34">
        <v>46273</v>
      </c>
      <c r="D1591" t="s">
        <v>35</v>
      </c>
      <c r="E1591" t="s">
        <v>36</v>
      </c>
      <c r="F1591" t="s">
        <v>37</v>
      </c>
      <c r="G1591">
        <v>1630</v>
      </c>
      <c r="H1591" t="s">
        <v>4832</v>
      </c>
      <c r="I1591" t="s">
        <v>4833</v>
      </c>
      <c r="J1591" t="s">
        <v>161</v>
      </c>
      <c r="O1591" t="s">
        <v>4834</v>
      </c>
      <c r="P1591">
        <v>436</v>
      </c>
      <c r="Q1591">
        <v>437.9</v>
      </c>
      <c r="R1591">
        <v>420.85</v>
      </c>
      <c r="S1591">
        <v>431.75</v>
      </c>
      <c r="T1591">
        <v>435</v>
      </c>
      <c r="U1591">
        <v>439.1</v>
      </c>
      <c r="W1591">
        <v>431.66</v>
      </c>
      <c r="Z1591">
        <v>513930</v>
      </c>
      <c r="AA1591">
        <v>220468673.94999999</v>
      </c>
      <c r="AB1591">
        <v>19565</v>
      </c>
      <c r="AC1591" t="s">
        <v>42</v>
      </c>
      <c r="AD1591">
        <v>1</v>
      </c>
    </row>
    <row r="1592" spans="1:30">
      <c r="A1592" t="str">
        <f>CONCATENATE(I1592,J1592)</f>
        <v>IPRINGLTDEQ</v>
      </c>
      <c r="B1592" s="34">
        <v>46273</v>
      </c>
      <c r="C1592" s="34">
        <v>46273</v>
      </c>
      <c r="D1592" t="s">
        <v>35</v>
      </c>
      <c r="E1592" t="s">
        <v>36</v>
      </c>
      <c r="F1592" t="s">
        <v>37</v>
      </c>
      <c r="G1592">
        <v>764713</v>
      </c>
      <c r="H1592" t="s">
        <v>4835</v>
      </c>
      <c r="I1592" t="s">
        <v>4836</v>
      </c>
      <c r="J1592" t="s">
        <v>161</v>
      </c>
      <c r="O1592" t="s">
        <v>4837</v>
      </c>
      <c r="P1592">
        <v>152.22</v>
      </c>
      <c r="Q1592">
        <v>156.91999999999999</v>
      </c>
      <c r="R1592">
        <v>152.21</v>
      </c>
      <c r="S1592">
        <v>155</v>
      </c>
      <c r="T1592">
        <v>155</v>
      </c>
      <c r="U1592">
        <v>154.84</v>
      </c>
      <c r="W1592">
        <v>155</v>
      </c>
      <c r="Z1592">
        <v>731</v>
      </c>
      <c r="AA1592">
        <v>112905.78</v>
      </c>
      <c r="AB1592">
        <v>17</v>
      </c>
      <c r="AC1592" t="s">
        <v>42</v>
      </c>
      <c r="AD1592">
        <v>1</v>
      </c>
    </row>
    <row r="1593" spans="1:30">
      <c r="A1593" t="str">
        <f>CONCATENATE(I1593,J1593)</f>
        <v>IPCALABEQ</v>
      </c>
      <c r="B1593" s="34">
        <v>46273</v>
      </c>
      <c r="C1593" s="34">
        <v>46273</v>
      </c>
      <c r="D1593" t="s">
        <v>35</v>
      </c>
      <c r="E1593" t="s">
        <v>36</v>
      </c>
      <c r="F1593" t="s">
        <v>37</v>
      </c>
      <c r="G1593">
        <v>1633</v>
      </c>
      <c r="H1593" t="s">
        <v>4838</v>
      </c>
      <c r="I1593" t="s">
        <v>4839</v>
      </c>
      <c r="J1593" t="s">
        <v>161</v>
      </c>
      <c r="O1593" t="s">
        <v>4840</v>
      </c>
      <c r="P1593">
        <v>1959.9</v>
      </c>
      <c r="Q1593">
        <v>1996.9</v>
      </c>
      <c r="R1593">
        <v>1959.9</v>
      </c>
      <c r="S1593">
        <v>1967.2</v>
      </c>
      <c r="T1593">
        <v>1975.8</v>
      </c>
      <c r="U1593">
        <v>1959.1</v>
      </c>
      <c r="W1593">
        <v>1967.21</v>
      </c>
      <c r="Z1593">
        <v>158357</v>
      </c>
      <c r="AA1593">
        <v>312131735.19999999</v>
      </c>
      <c r="AB1593">
        <v>19223</v>
      </c>
      <c r="AC1593" t="s">
        <v>42</v>
      </c>
      <c r="AD1593">
        <v>1</v>
      </c>
    </row>
    <row r="1594" spans="1:30">
      <c r="A1594" t="str">
        <f>CONCATENATE(I1594,J1594)</f>
        <v>IRBEQ</v>
      </c>
      <c r="B1594" s="34">
        <v>46273</v>
      </c>
      <c r="C1594" s="34">
        <v>46273</v>
      </c>
      <c r="D1594" t="s">
        <v>35</v>
      </c>
      <c r="E1594" t="s">
        <v>36</v>
      </c>
      <c r="F1594" t="s">
        <v>37</v>
      </c>
      <c r="G1594">
        <v>15313</v>
      </c>
      <c r="H1594" t="s">
        <v>4841</v>
      </c>
      <c r="I1594" t="s">
        <v>4842</v>
      </c>
      <c r="J1594" t="s">
        <v>161</v>
      </c>
      <c r="O1594" t="s">
        <v>4843</v>
      </c>
      <c r="P1594">
        <v>19.25</v>
      </c>
      <c r="Q1594">
        <v>19.3</v>
      </c>
      <c r="R1594">
        <v>19.100000000000001</v>
      </c>
      <c r="S1594">
        <v>19.25</v>
      </c>
      <c r="T1594">
        <v>19.29</v>
      </c>
      <c r="U1594">
        <v>19.25</v>
      </c>
      <c r="W1594">
        <v>19.25</v>
      </c>
      <c r="Z1594">
        <v>5202171</v>
      </c>
      <c r="AA1594">
        <v>99835161.579999998</v>
      </c>
      <c r="AB1594">
        <v>13269</v>
      </c>
      <c r="AC1594" t="s">
        <v>42</v>
      </c>
      <c r="AD1594">
        <v>1</v>
      </c>
    </row>
    <row r="1595" spans="1:30">
      <c r="A1595" t="str">
        <f>CONCATENATE(I1595,J1595)</f>
        <v>IRBINVITIV</v>
      </c>
      <c r="B1595" s="34">
        <v>46273</v>
      </c>
      <c r="C1595" s="34">
        <v>46273</v>
      </c>
      <c r="D1595" t="s">
        <v>35</v>
      </c>
      <c r="E1595" t="s">
        <v>36</v>
      </c>
      <c r="F1595" t="s">
        <v>37</v>
      </c>
      <c r="G1595">
        <v>20817</v>
      </c>
      <c r="H1595" t="s">
        <v>4844</v>
      </c>
      <c r="I1595" t="s">
        <v>4845</v>
      </c>
      <c r="J1595" t="s">
        <v>759</v>
      </c>
      <c r="O1595" t="s">
        <v>4846</v>
      </c>
      <c r="P1595">
        <v>64.8</v>
      </c>
      <c r="Q1595">
        <v>64.989999999999995</v>
      </c>
      <c r="R1595">
        <v>64.3</v>
      </c>
      <c r="S1595">
        <v>64.849999999999994</v>
      </c>
      <c r="T1595">
        <v>64.75</v>
      </c>
      <c r="U1595">
        <v>64.709999999999994</v>
      </c>
      <c r="W1595">
        <v>64.849999999999994</v>
      </c>
      <c r="Z1595">
        <v>360738</v>
      </c>
      <c r="AA1595">
        <v>23362240.550000001</v>
      </c>
      <c r="AB1595">
        <v>4407</v>
      </c>
      <c r="AC1595" t="s">
        <v>42</v>
      </c>
      <c r="AD1595">
        <v>1</v>
      </c>
    </row>
    <row r="1596" spans="1:30">
      <c r="A1596" t="str">
        <f>CONCATENATE(I1596,J1596)</f>
        <v>IRCONEQ</v>
      </c>
      <c r="B1596" s="34">
        <v>46273</v>
      </c>
      <c r="C1596" s="34">
        <v>46273</v>
      </c>
      <c r="D1596" t="s">
        <v>35</v>
      </c>
      <c r="E1596" t="s">
        <v>36</v>
      </c>
      <c r="F1596" t="s">
        <v>37</v>
      </c>
      <c r="G1596">
        <v>4986</v>
      </c>
      <c r="H1596" t="s">
        <v>4847</v>
      </c>
      <c r="I1596" t="s">
        <v>4848</v>
      </c>
      <c r="J1596" t="s">
        <v>161</v>
      </c>
      <c r="O1596" t="s">
        <v>4849</v>
      </c>
      <c r="P1596">
        <v>117.8</v>
      </c>
      <c r="Q1596">
        <v>118.25</v>
      </c>
      <c r="R1596">
        <v>116.61</v>
      </c>
      <c r="S1596">
        <v>116.89</v>
      </c>
      <c r="T1596">
        <v>116.84</v>
      </c>
      <c r="U1596">
        <v>117.71</v>
      </c>
      <c r="W1596">
        <v>116.91</v>
      </c>
      <c r="Z1596">
        <v>803464</v>
      </c>
      <c r="AA1596">
        <v>94120202.099999994</v>
      </c>
      <c r="AB1596">
        <v>12617</v>
      </c>
      <c r="AC1596" t="s">
        <v>42</v>
      </c>
      <c r="AD1596">
        <v>1</v>
      </c>
    </row>
    <row r="1597" spans="1:30">
      <c r="A1597" t="str">
        <f>CONCATENATE(I1597,J1597)</f>
        <v>880IREDA29N5</v>
      </c>
      <c r="B1597" s="34">
        <v>46273</v>
      </c>
      <c r="C1597" s="34">
        <v>46273</v>
      </c>
      <c r="D1597" t="s">
        <v>35</v>
      </c>
      <c r="E1597" t="s">
        <v>36</v>
      </c>
      <c r="F1597" t="s">
        <v>37</v>
      </c>
      <c r="G1597">
        <v>1391</v>
      </c>
      <c r="H1597" t="s">
        <v>4850</v>
      </c>
      <c r="I1597" t="s">
        <v>4851</v>
      </c>
      <c r="J1597" t="s">
        <v>219</v>
      </c>
      <c r="O1597" t="s">
        <v>4852</v>
      </c>
      <c r="P1597">
        <v>1130</v>
      </c>
      <c r="Q1597">
        <v>1130</v>
      </c>
      <c r="R1597">
        <v>1110.05</v>
      </c>
      <c r="S1597">
        <v>1124</v>
      </c>
      <c r="T1597">
        <v>1124</v>
      </c>
      <c r="U1597">
        <v>1130</v>
      </c>
      <c r="W1597">
        <v>1126</v>
      </c>
      <c r="Z1597">
        <v>142</v>
      </c>
      <c r="AA1597">
        <v>158805.95000000001</v>
      </c>
      <c r="AB1597">
        <v>6</v>
      </c>
      <c r="AC1597" t="s">
        <v>42</v>
      </c>
      <c r="AD1597">
        <v>1</v>
      </c>
    </row>
    <row r="1598" spans="1:30">
      <c r="A1598" t="str">
        <f>CONCATENATE(I1598,J1598)</f>
        <v>IRISDOREMEEQ</v>
      </c>
      <c r="B1598" s="34">
        <v>46273</v>
      </c>
      <c r="C1598" s="34">
        <v>46273</v>
      </c>
      <c r="D1598" t="s">
        <v>35</v>
      </c>
      <c r="E1598" t="s">
        <v>36</v>
      </c>
      <c r="F1598" t="s">
        <v>37</v>
      </c>
      <c r="G1598">
        <v>2275</v>
      </c>
      <c r="H1598" t="s">
        <v>4853</v>
      </c>
      <c r="I1598" t="s">
        <v>4854</v>
      </c>
      <c r="J1598" t="s">
        <v>161</v>
      </c>
      <c r="O1598" t="s">
        <v>4855</v>
      </c>
      <c r="P1598">
        <v>62.1</v>
      </c>
      <c r="Q1598">
        <v>62.5</v>
      </c>
      <c r="R1598">
        <v>60.71</v>
      </c>
      <c r="S1598">
        <v>61.62</v>
      </c>
      <c r="T1598">
        <v>61.66</v>
      </c>
      <c r="U1598">
        <v>62.15</v>
      </c>
      <c r="W1598">
        <v>61.62</v>
      </c>
      <c r="Z1598">
        <v>321368</v>
      </c>
      <c r="AA1598">
        <v>19755546.239999998</v>
      </c>
      <c r="AB1598">
        <v>2772</v>
      </c>
      <c r="AC1598" t="s">
        <v>42</v>
      </c>
      <c r="AD1598">
        <v>1</v>
      </c>
    </row>
    <row r="1599" spans="1:30">
      <c r="A1599" t="str">
        <f>CONCATENATE(I1599,J1599)</f>
        <v>IRISEQ</v>
      </c>
      <c r="B1599" s="34">
        <v>46273</v>
      </c>
      <c r="C1599" s="34">
        <v>46273</v>
      </c>
      <c r="D1599" t="s">
        <v>35</v>
      </c>
      <c r="E1599" t="s">
        <v>36</v>
      </c>
      <c r="F1599" t="s">
        <v>37</v>
      </c>
      <c r="G1599">
        <v>6489</v>
      </c>
      <c r="H1599" t="s">
        <v>4856</v>
      </c>
      <c r="I1599" t="s">
        <v>4857</v>
      </c>
      <c r="J1599" t="s">
        <v>161</v>
      </c>
      <c r="O1599" t="s">
        <v>4858</v>
      </c>
      <c r="P1599">
        <v>261.42</v>
      </c>
      <c r="Q1599">
        <v>268.13</v>
      </c>
      <c r="R1599">
        <v>253</v>
      </c>
      <c r="S1599">
        <v>254.67</v>
      </c>
      <c r="T1599">
        <v>253.5</v>
      </c>
      <c r="U1599">
        <v>260.35000000000002</v>
      </c>
      <c r="W1599">
        <v>254.65</v>
      </c>
      <c r="Z1599">
        <v>21579</v>
      </c>
      <c r="AA1599">
        <v>5579185.9699999997</v>
      </c>
      <c r="AB1599">
        <v>1302</v>
      </c>
      <c r="AC1599" t="s">
        <v>42</v>
      </c>
      <c r="AD1599">
        <v>1</v>
      </c>
    </row>
    <row r="1600" spans="1:30">
      <c r="A1600" t="str">
        <f>CONCATENATE(I1600,J1600)</f>
        <v>IRMENERGYEQ</v>
      </c>
      <c r="B1600" s="34">
        <v>46273</v>
      </c>
      <c r="C1600" s="34">
        <v>46273</v>
      </c>
      <c r="D1600" t="s">
        <v>35</v>
      </c>
      <c r="E1600" t="s">
        <v>36</v>
      </c>
      <c r="F1600" t="s">
        <v>37</v>
      </c>
      <c r="G1600">
        <v>19597</v>
      </c>
      <c r="H1600" t="s">
        <v>4859</v>
      </c>
      <c r="I1600" t="s">
        <v>4860</v>
      </c>
      <c r="J1600" t="s">
        <v>161</v>
      </c>
      <c r="O1600" t="s">
        <v>4861</v>
      </c>
      <c r="P1600">
        <v>282</v>
      </c>
      <c r="Q1600">
        <v>287.45</v>
      </c>
      <c r="R1600">
        <v>280</v>
      </c>
      <c r="S1600">
        <v>282.25</v>
      </c>
      <c r="T1600">
        <v>283.39999999999998</v>
      </c>
      <c r="U1600">
        <v>284.5</v>
      </c>
      <c r="W1600">
        <v>282.23</v>
      </c>
      <c r="Z1600">
        <v>76125</v>
      </c>
      <c r="AA1600">
        <v>21492638.75</v>
      </c>
      <c r="AB1600">
        <v>2996</v>
      </c>
      <c r="AC1600" t="s">
        <v>42</v>
      </c>
      <c r="AD1600">
        <v>1</v>
      </c>
    </row>
    <row r="1601" spans="1:30">
      <c r="A1601" t="str">
        <f>CONCATENATE(I1601,J1601)</f>
        <v>ISGECEQ</v>
      </c>
      <c r="B1601" s="34">
        <v>46273</v>
      </c>
      <c r="C1601" s="34">
        <v>46273</v>
      </c>
      <c r="D1601" t="s">
        <v>35</v>
      </c>
      <c r="E1601" t="s">
        <v>36</v>
      </c>
      <c r="F1601" t="s">
        <v>37</v>
      </c>
      <c r="G1601">
        <v>3329</v>
      </c>
      <c r="H1601" t="s">
        <v>4862</v>
      </c>
      <c r="I1601" t="s">
        <v>4863</v>
      </c>
      <c r="J1601" t="s">
        <v>161</v>
      </c>
      <c r="O1601" t="s">
        <v>4864</v>
      </c>
      <c r="P1601">
        <v>781</v>
      </c>
      <c r="Q1601">
        <v>787</v>
      </c>
      <c r="R1601">
        <v>767</v>
      </c>
      <c r="S1601">
        <v>782.4</v>
      </c>
      <c r="T1601">
        <v>785.05</v>
      </c>
      <c r="U1601">
        <v>781.1</v>
      </c>
      <c r="W1601">
        <v>782.44</v>
      </c>
      <c r="Z1601">
        <v>32844</v>
      </c>
      <c r="AA1601">
        <v>25619214.850000001</v>
      </c>
      <c r="AB1601">
        <v>4533</v>
      </c>
      <c r="AC1601" t="s">
        <v>42</v>
      </c>
      <c r="AD1601">
        <v>1</v>
      </c>
    </row>
    <row r="1602" spans="1:30">
      <c r="A1602" t="str">
        <f>CONCATENATE(I1602,J1602)</f>
        <v>ISHANCHEQ</v>
      </c>
      <c r="B1602" s="34">
        <v>46273</v>
      </c>
      <c r="C1602" s="34">
        <v>46273</v>
      </c>
      <c r="D1602" t="s">
        <v>35</v>
      </c>
      <c r="E1602" t="s">
        <v>36</v>
      </c>
      <c r="F1602" t="s">
        <v>37</v>
      </c>
      <c r="G1602">
        <v>30249</v>
      </c>
      <c r="H1602" t="s">
        <v>4865</v>
      </c>
      <c r="I1602" t="s">
        <v>4866</v>
      </c>
      <c r="J1602" t="s">
        <v>161</v>
      </c>
      <c r="O1602" t="s">
        <v>4867</v>
      </c>
      <c r="P1602">
        <v>44.95</v>
      </c>
      <c r="Q1602">
        <v>45.57</v>
      </c>
      <c r="R1602">
        <v>43.85</v>
      </c>
      <c r="S1602">
        <v>44.32</v>
      </c>
      <c r="T1602">
        <v>44.09</v>
      </c>
      <c r="U1602">
        <v>44.3</v>
      </c>
      <c r="W1602">
        <v>44.32</v>
      </c>
      <c r="Z1602">
        <v>16425</v>
      </c>
      <c r="AA1602">
        <v>729062.31</v>
      </c>
      <c r="AB1602">
        <v>424</v>
      </c>
      <c r="AC1602" t="s">
        <v>42</v>
      </c>
      <c r="AD1602">
        <v>1</v>
      </c>
    </row>
    <row r="1603" spans="1:30">
      <c r="A1603" t="str">
        <f>CONCATENATE(I1603,J1603)</f>
        <v>ITALIANESM</v>
      </c>
      <c r="B1603" s="34">
        <v>46273</v>
      </c>
      <c r="C1603" s="34">
        <v>46273</v>
      </c>
      <c r="D1603" t="s">
        <v>35</v>
      </c>
      <c r="E1603" t="s">
        <v>36</v>
      </c>
      <c r="F1603" t="s">
        <v>37</v>
      </c>
      <c r="G1603">
        <v>22645</v>
      </c>
      <c r="H1603" t="s">
        <v>4868</v>
      </c>
      <c r="I1603" t="s">
        <v>4869</v>
      </c>
      <c r="J1603" t="s">
        <v>267</v>
      </c>
      <c r="O1603" t="s">
        <v>4870</v>
      </c>
      <c r="P1603">
        <v>30.75</v>
      </c>
      <c r="Q1603">
        <v>30.75</v>
      </c>
      <c r="R1603">
        <v>30.75</v>
      </c>
      <c r="S1603">
        <v>30.75</v>
      </c>
      <c r="T1603">
        <v>30.75</v>
      </c>
      <c r="U1603">
        <v>32.200000000000003</v>
      </c>
      <c r="W1603">
        <v>30.75</v>
      </c>
      <c r="Z1603">
        <v>2000</v>
      </c>
      <c r="AA1603">
        <v>61500</v>
      </c>
      <c r="AB1603">
        <v>1</v>
      </c>
      <c r="AC1603" t="s">
        <v>42</v>
      </c>
      <c r="AD1603">
        <v>2000</v>
      </c>
    </row>
    <row r="1604" spans="1:30">
      <c r="A1604" t="str">
        <f>CONCATENATE(I1604,J1604)</f>
        <v>ITCHOTELSEQ</v>
      </c>
      <c r="B1604" s="34">
        <v>46273</v>
      </c>
      <c r="C1604" s="34">
        <v>46273</v>
      </c>
      <c r="D1604" t="s">
        <v>35</v>
      </c>
      <c r="E1604" t="s">
        <v>36</v>
      </c>
      <c r="F1604" t="s">
        <v>37</v>
      </c>
      <c r="G1604">
        <v>29251</v>
      </c>
      <c r="H1604" t="s">
        <v>4871</v>
      </c>
      <c r="I1604" t="s">
        <v>4872</v>
      </c>
      <c r="J1604" t="s">
        <v>161</v>
      </c>
      <c r="O1604" t="s">
        <v>4873</v>
      </c>
      <c r="P1604">
        <v>158</v>
      </c>
      <c r="Q1604">
        <v>158.97999999999999</v>
      </c>
      <c r="R1604">
        <v>156.05000000000001</v>
      </c>
      <c r="S1604">
        <v>156.84</v>
      </c>
      <c r="T1604">
        <v>157.19999999999999</v>
      </c>
      <c r="U1604">
        <v>157.77000000000001</v>
      </c>
      <c r="W1604">
        <v>156.84</v>
      </c>
      <c r="Z1604">
        <v>1702422</v>
      </c>
      <c r="AA1604">
        <v>267606946.09</v>
      </c>
      <c r="AB1604">
        <v>24805</v>
      </c>
      <c r="AC1604" t="s">
        <v>42</v>
      </c>
      <c r="AD1604">
        <v>1</v>
      </c>
    </row>
    <row r="1605" spans="1:30">
      <c r="A1605" t="str">
        <f>CONCATENATE(I1605,J1605)</f>
        <v>ITCEQ</v>
      </c>
      <c r="B1605" s="34">
        <v>46273</v>
      </c>
      <c r="C1605" s="34">
        <v>46273</v>
      </c>
      <c r="D1605" t="s">
        <v>35</v>
      </c>
      <c r="E1605" t="s">
        <v>36</v>
      </c>
      <c r="F1605" t="s">
        <v>37</v>
      </c>
      <c r="G1605">
        <v>1660</v>
      </c>
      <c r="H1605" t="s">
        <v>4874</v>
      </c>
      <c r="I1605" t="s">
        <v>4875</v>
      </c>
      <c r="J1605" t="s">
        <v>161</v>
      </c>
      <c r="O1605" t="s">
        <v>4876</v>
      </c>
      <c r="P1605">
        <v>263.5</v>
      </c>
      <c r="Q1605">
        <v>265.89999999999998</v>
      </c>
      <c r="R1605">
        <v>262.7</v>
      </c>
      <c r="S1605">
        <v>263.5</v>
      </c>
      <c r="T1605">
        <v>263.5</v>
      </c>
      <c r="U1605">
        <v>263.5</v>
      </c>
      <c r="W1605">
        <v>263.5</v>
      </c>
      <c r="Z1605">
        <v>7406617</v>
      </c>
      <c r="AA1605">
        <v>1958591277.95</v>
      </c>
      <c r="AB1605">
        <v>171295</v>
      </c>
      <c r="AC1605" t="s">
        <v>42</v>
      </c>
      <c r="AD1605">
        <v>1</v>
      </c>
    </row>
    <row r="1606" spans="1:30">
      <c r="A1606" t="str">
        <f>CONCATENATE(I1606,J1606)</f>
        <v>ITIEQ</v>
      </c>
      <c r="B1606" s="34">
        <v>46273</v>
      </c>
      <c r="C1606" s="34">
        <v>46273</v>
      </c>
      <c r="D1606" t="s">
        <v>35</v>
      </c>
      <c r="E1606" t="s">
        <v>36</v>
      </c>
      <c r="F1606" t="s">
        <v>37</v>
      </c>
      <c r="G1606">
        <v>1675</v>
      </c>
      <c r="H1606" t="s">
        <v>4877</v>
      </c>
      <c r="I1606" t="s">
        <v>4878</v>
      </c>
      <c r="J1606" t="s">
        <v>161</v>
      </c>
      <c r="O1606" t="s">
        <v>4879</v>
      </c>
      <c r="P1606">
        <v>270.60000000000002</v>
      </c>
      <c r="Q1606">
        <v>271.64999999999998</v>
      </c>
      <c r="R1606">
        <v>266.95</v>
      </c>
      <c r="S1606">
        <v>270.2</v>
      </c>
      <c r="T1606">
        <v>270.05</v>
      </c>
      <c r="U1606">
        <v>270.60000000000002</v>
      </c>
      <c r="W1606">
        <v>270.2</v>
      </c>
      <c r="Z1606">
        <v>142263</v>
      </c>
      <c r="AA1606">
        <v>38341266.049999997</v>
      </c>
      <c r="AB1606">
        <v>4102</v>
      </c>
      <c r="AC1606" t="s">
        <v>42</v>
      </c>
      <c r="AD1606">
        <v>1</v>
      </c>
    </row>
    <row r="1607" spans="1:30">
      <c r="A1607" t="str">
        <f>CONCATENATE(I1607,J1607)</f>
        <v>ITLEQ</v>
      </c>
      <c r="B1607" s="34">
        <v>46273</v>
      </c>
      <c r="C1607" s="34">
        <v>46273</v>
      </c>
      <c r="D1607" t="s">
        <v>35</v>
      </c>
      <c r="E1607" t="s">
        <v>36</v>
      </c>
      <c r="F1607" t="s">
        <v>37</v>
      </c>
      <c r="G1607">
        <v>764723</v>
      </c>
      <c r="H1607" t="s">
        <v>4880</v>
      </c>
      <c r="I1607" t="s">
        <v>4881</v>
      </c>
      <c r="J1607" t="s">
        <v>161</v>
      </c>
      <c r="O1607" t="s">
        <v>4882</v>
      </c>
      <c r="P1607">
        <v>362.65</v>
      </c>
      <c r="Q1607">
        <v>370</v>
      </c>
      <c r="R1607">
        <v>358.4</v>
      </c>
      <c r="S1607">
        <v>369.65</v>
      </c>
      <c r="T1607">
        <v>370</v>
      </c>
      <c r="U1607">
        <v>364.45</v>
      </c>
      <c r="W1607">
        <v>369.65</v>
      </c>
      <c r="Z1607">
        <v>3429</v>
      </c>
      <c r="AA1607">
        <v>1245155.7</v>
      </c>
      <c r="AB1607">
        <v>44</v>
      </c>
      <c r="AC1607" t="s">
        <v>42</v>
      </c>
      <c r="AD1607">
        <v>1</v>
      </c>
    </row>
    <row r="1608" spans="1:30">
      <c r="A1608" t="str">
        <f>CONCATENATE(I1608,J1608)</f>
        <v>IVALUEEQ</v>
      </c>
      <c r="B1608" s="34">
        <v>46273</v>
      </c>
      <c r="C1608" s="34">
        <v>46273</v>
      </c>
      <c r="D1608" t="s">
        <v>35</v>
      </c>
      <c r="E1608" t="s">
        <v>36</v>
      </c>
      <c r="F1608" t="s">
        <v>37</v>
      </c>
      <c r="G1608">
        <v>759041</v>
      </c>
      <c r="H1608" t="s">
        <v>4883</v>
      </c>
      <c r="I1608" t="s">
        <v>4884</v>
      </c>
      <c r="J1608" t="s">
        <v>161</v>
      </c>
      <c r="O1608" t="s">
        <v>4885</v>
      </c>
      <c r="P1608">
        <v>227.06</v>
      </c>
      <c r="Q1608">
        <v>238.8</v>
      </c>
      <c r="R1608">
        <v>227.06</v>
      </c>
      <c r="S1608">
        <v>235.31</v>
      </c>
      <c r="T1608">
        <v>234.15</v>
      </c>
      <c r="U1608">
        <v>227.02</v>
      </c>
      <c r="W1608">
        <v>235.31</v>
      </c>
      <c r="Z1608">
        <v>253667</v>
      </c>
      <c r="AA1608">
        <v>59726754.780000001</v>
      </c>
      <c r="AB1608">
        <v>6851</v>
      </c>
      <c r="AC1608" t="s">
        <v>42</v>
      </c>
      <c r="AD1608">
        <v>1</v>
      </c>
    </row>
    <row r="1609" spans="1:30">
      <c r="A1609" t="str">
        <f>CONCATENATE(I1609,J1609)</f>
        <v>IVPBE</v>
      </c>
      <c r="B1609" s="34">
        <v>46273</v>
      </c>
      <c r="C1609" s="34">
        <v>46273</v>
      </c>
      <c r="D1609" t="s">
        <v>35</v>
      </c>
      <c r="E1609" t="s">
        <v>36</v>
      </c>
      <c r="F1609" t="s">
        <v>37</v>
      </c>
      <c r="G1609">
        <v>8857</v>
      </c>
      <c r="H1609" t="s">
        <v>4886</v>
      </c>
      <c r="I1609" t="s">
        <v>4887</v>
      </c>
      <c r="J1609" t="s">
        <v>183</v>
      </c>
      <c r="O1609" t="s">
        <v>4888</v>
      </c>
      <c r="P1609">
        <v>212.9</v>
      </c>
      <c r="Q1609">
        <v>218.5</v>
      </c>
      <c r="R1609">
        <v>212</v>
      </c>
      <c r="S1609">
        <v>216.96</v>
      </c>
      <c r="T1609">
        <v>216.15</v>
      </c>
      <c r="U1609">
        <v>212.46</v>
      </c>
      <c r="W1609">
        <v>216.96</v>
      </c>
      <c r="Z1609">
        <v>17927</v>
      </c>
      <c r="AA1609">
        <v>3877966.79</v>
      </c>
      <c r="AB1609">
        <v>202</v>
      </c>
      <c r="AC1609" t="s">
        <v>42</v>
      </c>
      <c r="AD1609">
        <v>1</v>
      </c>
    </row>
    <row r="1610" spans="1:30">
      <c r="A1610" t="str">
        <f>CONCATENATE(I1610,J1610)</f>
        <v>IWAREST</v>
      </c>
      <c r="B1610" s="34">
        <v>46273</v>
      </c>
      <c r="C1610" s="34">
        <v>46273</v>
      </c>
      <c r="D1610" t="s">
        <v>35</v>
      </c>
      <c r="E1610" t="s">
        <v>36</v>
      </c>
      <c r="F1610" t="s">
        <v>37</v>
      </c>
      <c r="G1610">
        <v>757644</v>
      </c>
      <c r="H1610" t="s">
        <v>4889</v>
      </c>
      <c r="I1610" t="s">
        <v>4890</v>
      </c>
      <c r="J1610" t="s">
        <v>328</v>
      </c>
      <c r="O1610" t="s">
        <v>4891</v>
      </c>
      <c r="P1610">
        <v>473.95</v>
      </c>
      <c r="Q1610">
        <v>473.95</v>
      </c>
      <c r="R1610">
        <v>454.6</v>
      </c>
      <c r="S1610">
        <v>454.6</v>
      </c>
      <c r="T1610">
        <v>454.6</v>
      </c>
      <c r="U1610">
        <v>478.5</v>
      </c>
      <c r="W1610">
        <v>454.6</v>
      </c>
      <c r="Z1610">
        <v>20400</v>
      </c>
      <c r="AA1610">
        <v>9296250</v>
      </c>
      <c r="AB1610">
        <v>33</v>
      </c>
      <c r="AC1610" t="s">
        <v>42</v>
      </c>
      <c r="AD1610">
        <v>600</v>
      </c>
    </row>
    <row r="1611" spans="1:30">
      <c r="A1611" t="str">
        <f>CONCATENATE(I1611,J1611)</f>
        <v>IZMOEQ</v>
      </c>
      <c r="B1611" s="34">
        <v>46273</v>
      </c>
      <c r="C1611" s="34">
        <v>46273</v>
      </c>
      <c r="D1611" t="s">
        <v>35</v>
      </c>
      <c r="E1611" t="s">
        <v>36</v>
      </c>
      <c r="F1611" t="s">
        <v>37</v>
      </c>
      <c r="G1611">
        <v>14174</v>
      </c>
      <c r="H1611" t="s">
        <v>4892</v>
      </c>
      <c r="I1611" t="s">
        <v>4893</v>
      </c>
      <c r="J1611" t="s">
        <v>161</v>
      </c>
      <c r="O1611" t="s">
        <v>4894</v>
      </c>
      <c r="P1611">
        <v>924.5</v>
      </c>
      <c r="Q1611">
        <v>935</v>
      </c>
      <c r="R1611">
        <v>905.25</v>
      </c>
      <c r="S1611">
        <v>927.15</v>
      </c>
      <c r="T1611">
        <v>924</v>
      </c>
      <c r="U1611">
        <v>924.5</v>
      </c>
      <c r="W1611">
        <v>927.18</v>
      </c>
      <c r="Z1611">
        <v>97787</v>
      </c>
      <c r="AA1611">
        <v>89854469.900000006</v>
      </c>
      <c r="AB1611">
        <v>7219</v>
      </c>
      <c r="AC1611" t="s">
        <v>42</v>
      </c>
      <c r="AD1611">
        <v>1</v>
      </c>
    </row>
    <row r="1612" spans="1:30">
      <c r="A1612" t="str">
        <f>CONCATENATE(I1612,J1612)</f>
        <v>J&amp;KBANKEQ</v>
      </c>
      <c r="B1612" s="34">
        <v>46273</v>
      </c>
      <c r="C1612" s="34">
        <v>46273</v>
      </c>
      <c r="D1612" t="s">
        <v>35</v>
      </c>
      <c r="E1612" t="s">
        <v>36</v>
      </c>
      <c r="F1612" t="s">
        <v>37</v>
      </c>
      <c r="G1612">
        <v>5633</v>
      </c>
      <c r="H1612" t="s">
        <v>4895</v>
      </c>
      <c r="I1612" t="s">
        <v>4896</v>
      </c>
      <c r="J1612" t="s">
        <v>161</v>
      </c>
      <c r="O1612" t="s">
        <v>4897</v>
      </c>
      <c r="P1612">
        <v>147.88</v>
      </c>
      <c r="Q1612">
        <v>148.5</v>
      </c>
      <c r="R1612">
        <v>145.80000000000001</v>
      </c>
      <c r="S1612">
        <v>147.03</v>
      </c>
      <c r="T1612">
        <v>147</v>
      </c>
      <c r="U1612">
        <v>147.88</v>
      </c>
      <c r="W1612">
        <v>147.01</v>
      </c>
      <c r="Z1612">
        <v>1322470</v>
      </c>
      <c r="AA1612">
        <v>194295794.31999999</v>
      </c>
      <c r="AB1612">
        <v>14162</v>
      </c>
      <c r="AC1612" t="s">
        <v>42</v>
      </c>
      <c r="AD1612">
        <v>1</v>
      </c>
    </row>
    <row r="1613" spans="1:30">
      <c r="A1613" t="str">
        <f>CONCATENATE(I1613,J1613)</f>
        <v>JGCHEMEQ</v>
      </c>
      <c r="B1613" s="34">
        <v>46273</v>
      </c>
      <c r="C1613" s="34">
        <v>46273</v>
      </c>
      <c r="D1613" t="s">
        <v>35</v>
      </c>
      <c r="E1613" t="s">
        <v>36</v>
      </c>
      <c r="F1613" t="s">
        <v>37</v>
      </c>
      <c r="G1613">
        <v>23056</v>
      </c>
      <c r="H1613" t="s">
        <v>4898</v>
      </c>
      <c r="I1613" t="s">
        <v>4899</v>
      </c>
      <c r="J1613" t="s">
        <v>161</v>
      </c>
      <c r="O1613" t="s">
        <v>4900</v>
      </c>
      <c r="P1613">
        <v>582</v>
      </c>
      <c r="Q1613">
        <v>623</v>
      </c>
      <c r="R1613">
        <v>582</v>
      </c>
      <c r="S1613">
        <v>611.20000000000005</v>
      </c>
      <c r="T1613">
        <v>613.04999999999995</v>
      </c>
      <c r="U1613">
        <v>581.35</v>
      </c>
      <c r="W1613">
        <v>611.20000000000005</v>
      </c>
      <c r="Z1613">
        <v>571020</v>
      </c>
      <c r="AA1613">
        <v>347302328.14999998</v>
      </c>
      <c r="AB1613">
        <v>21476</v>
      </c>
      <c r="AC1613" t="s">
        <v>42</v>
      </c>
      <c r="AD1613">
        <v>1</v>
      </c>
    </row>
    <row r="1614" spans="1:30">
      <c r="A1614" t="str">
        <f>CONCATENATE(I1614,J1614)</f>
        <v>JAGRANEQ</v>
      </c>
      <c r="B1614" s="34">
        <v>46273</v>
      </c>
      <c r="C1614" s="34">
        <v>46273</v>
      </c>
      <c r="D1614" t="s">
        <v>35</v>
      </c>
      <c r="E1614" t="s">
        <v>36</v>
      </c>
      <c r="F1614" t="s">
        <v>37</v>
      </c>
      <c r="G1614">
        <v>13211</v>
      </c>
      <c r="H1614" t="s">
        <v>4901</v>
      </c>
      <c r="I1614" t="s">
        <v>4902</v>
      </c>
      <c r="J1614" t="s">
        <v>161</v>
      </c>
      <c r="O1614" t="s">
        <v>4903</v>
      </c>
      <c r="P1614">
        <v>62</v>
      </c>
      <c r="Q1614">
        <v>63</v>
      </c>
      <c r="R1614">
        <v>61.66</v>
      </c>
      <c r="S1614">
        <v>62.54</v>
      </c>
      <c r="T1614">
        <v>62.68</v>
      </c>
      <c r="U1614">
        <v>61.81</v>
      </c>
      <c r="W1614">
        <v>62.54</v>
      </c>
      <c r="Z1614">
        <v>284044</v>
      </c>
      <c r="AA1614">
        <v>17689878.120000001</v>
      </c>
      <c r="AB1614">
        <v>2299</v>
      </c>
      <c r="AC1614" t="s">
        <v>42</v>
      </c>
      <c r="AD1614">
        <v>1</v>
      </c>
    </row>
    <row r="1615" spans="1:30">
      <c r="A1615" t="str">
        <f>CONCATENATE(I1615,J1615)</f>
        <v>JAGSNPHARMEQ</v>
      </c>
      <c r="B1615" s="34">
        <v>46273</v>
      </c>
      <c r="C1615" s="34">
        <v>46273</v>
      </c>
      <c r="D1615" t="s">
        <v>35</v>
      </c>
      <c r="E1615" t="s">
        <v>36</v>
      </c>
      <c r="F1615" t="s">
        <v>37</v>
      </c>
      <c r="G1615">
        <v>4410</v>
      </c>
      <c r="H1615" t="s">
        <v>4904</v>
      </c>
      <c r="I1615" t="s">
        <v>4905</v>
      </c>
      <c r="J1615" t="s">
        <v>161</v>
      </c>
      <c r="O1615" t="s">
        <v>4906</v>
      </c>
      <c r="P1615">
        <v>239.51</v>
      </c>
      <c r="Q1615">
        <v>241.33</v>
      </c>
      <c r="R1615">
        <v>236.1</v>
      </c>
      <c r="S1615">
        <v>237.72</v>
      </c>
      <c r="T1615">
        <v>236.1</v>
      </c>
      <c r="U1615">
        <v>239.06</v>
      </c>
      <c r="W1615">
        <v>237.73</v>
      </c>
      <c r="Z1615">
        <v>59503</v>
      </c>
      <c r="AA1615">
        <v>14204725.26</v>
      </c>
      <c r="AB1615">
        <v>2574</v>
      </c>
      <c r="AC1615" t="s">
        <v>42</v>
      </c>
      <c r="AD1615">
        <v>1</v>
      </c>
    </row>
    <row r="1616" spans="1:30">
      <c r="A1616" t="str">
        <f>CONCATENATE(I1616,J1616)</f>
        <v>JAIBALAJIEQ</v>
      </c>
      <c r="B1616" s="34">
        <v>46273</v>
      </c>
      <c r="C1616" s="34">
        <v>46273</v>
      </c>
      <c r="D1616" t="s">
        <v>35</v>
      </c>
      <c r="E1616" t="s">
        <v>36</v>
      </c>
      <c r="F1616" t="s">
        <v>37</v>
      </c>
      <c r="G1616">
        <v>11256</v>
      </c>
      <c r="H1616" t="s">
        <v>4907</v>
      </c>
      <c r="I1616" t="s">
        <v>4908</v>
      </c>
      <c r="J1616" t="s">
        <v>161</v>
      </c>
      <c r="O1616" t="s">
        <v>4909</v>
      </c>
      <c r="P1616">
        <v>69.98</v>
      </c>
      <c r="Q1616">
        <v>70.540000000000006</v>
      </c>
      <c r="R1616">
        <v>67.5</v>
      </c>
      <c r="S1616">
        <v>67.86</v>
      </c>
      <c r="T1616">
        <v>68.3</v>
      </c>
      <c r="U1616">
        <v>69.709999999999994</v>
      </c>
      <c r="W1616">
        <v>67.86</v>
      </c>
      <c r="Z1616">
        <v>645330</v>
      </c>
      <c r="AA1616">
        <v>44338236.240000002</v>
      </c>
      <c r="AB1616">
        <v>4653</v>
      </c>
      <c r="AC1616" t="s">
        <v>42</v>
      </c>
      <c r="AD1616">
        <v>1</v>
      </c>
    </row>
    <row r="1617" spans="1:30">
      <c r="A1617" t="str">
        <f>CONCATENATE(I1617,J1617)</f>
        <v>JAICORPLTDEQ</v>
      </c>
      <c r="B1617" s="34">
        <v>46273</v>
      </c>
      <c r="C1617" s="34">
        <v>46273</v>
      </c>
      <c r="D1617" t="s">
        <v>35</v>
      </c>
      <c r="E1617" t="s">
        <v>36</v>
      </c>
      <c r="F1617" t="s">
        <v>37</v>
      </c>
      <c r="G1617">
        <v>5143</v>
      </c>
      <c r="H1617" t="s">
        <v>4910</v>
      </c>
      <c r="I1617" t="s">
        <v>4911</v>
      </c>
      <c r="J1617" t="s">
        <v>161</v>
      </c>
      <c r="O1617" t="s">
        <v>4912</v>
      </c>
      <c r="P1617">
        <v>98.59</v>
      </c>
      <c r="Q1617">
        <v>99</v>
      </c>
      <c r="R1617">
        <v>97.11</v>
      </c>
      <c r="S1617">
        <v>98.3</v>
      </c>
      <c r="T1617">
        <v>98.58</v>
      </c>
      <c r="U1617">
        <v>98.56</v>
      </c>
      <c r="W1617">
        <v>98.3</v>
      </c>
      <c r="Z1617">
        <v>221980</v>
      </c>
      <c r="AA1617">
        <v>21732842.190000001</v>
      </c>
      <c r="AB1617">
        <v>3182</v>
      </c>
      <c r="AC1617" t="s">
        <v>42</v>
      </c>
      <c r="AD1617">
        <v>1</v>
      </c>
    </row>
    <row r="1618" spans="1:30">
      <c r="A1618" t="str">
        <f>CONCATENATE(I1618,J1618)</f>
        <v>JISLDVREQSEQ</v>
      </c>
      <c r="B1618" s="34">
        <v>46273</v>
      </c>
      <c r="C1618" s="34">
        <v>46273</v>
      </c>
      <c r="D1618" t="s">
        <v>35</v>
      </c>
      <c r="E1618" t="s">
        <v>36</v>
      </c>
      <c r="F1618" t="s">
        <v>37</v>
      </c>
      <c r="G1618">
        <v>25684</v>
      </c>
      <c r="H1618" t="s">
        <v>4913</v>
      </c>
      <c r="I1618" t="s">
        <v>4914</v>
      </c>
      <c r="J1618" t="s">
        <v>161</v>
      </c>
      <c r="O1618" t="s">
        <v>4915</v>
      </c>
      <c r="P1618">
        <v>21.62</v>
      </c>
      <c r="Q1618">
        <v>22.05</v>
      </c>
      <c r="R1618">
        <v>21.31</v>
      </c>
      <c r="S1618">
        <v>21.7</v>
      </c>
      <c r="T1618">
        <v>21.79</v>
      </c>
      <c r="U1618">
        <v>21.99</v>
      </c>
      <c r="W1618">
        <v>21.69</v>
      </c>
      <c r="Z1618">
        <v>11464</v>
      </c>
      <c r="AA1618">
        <v>248397.83</v>
      </c>
      <c r="AB1618">
        <v>155</v>
      </c>
      <c r="AC1618" t="s">
        <v>42</v>
      </c>
      <c r="AD1618">
        <v>1</v>
      </c>
    </row>
    <row r="1619" spans="1:30">
      <c r="A1619" t="str">
        <f>CONCATENATE(I1619,J1619)</f>
        <v>JISLJALEQSEQ</v>
      </c>
      <c r="B1619" s="34">
        <v>46273</v>
      </c>
      <c r="C1619" s="34">
        <v>46273</v>
      </c>
      <c r="D1619" t="s">
        <v>35</v>
      </c>
      <c r="E1619" t="s">
        <v>36</v>
      </c>
      <c r="F1619" t="s">
        <v>37</v>
      </c>
      <c r="G1619">
        <v>10397</v>
      </c>
      <c r="H1619" t="s">
        <v>4916</v>
      </c>
      <c r="I1619" t="s">
        <v>4917</v>
      </c>
      <c r="J1619" t="s">
        <v>161</v>
      </c>
      <c r="O1619" t="s">
        <v>4918</v>
      </c>
      <c r="P1619">
        <v>32.51</v>
      </c>
      <c r="Q1619">
        <v>32.54</v>
      </c>
      <c r="R1619">
        <v>30.9</v>
      </c>
      <c r="S1619">
        <v>31.12</v>
      </c>
      <c r="T1619">
        <v>31</v>
      </c>
      <c r="U1619">
        <v>32.51</v>
      </c>
      <c r="W1619">
        <v>31.12</v>
      </c>
      <c r="Z1619">
        <v>3667616</v>
      </c>
      <c r="AA1619">
        <v>115055629.73</v>
      </c>
      <c r="AB1619">
        <v>10919</v>
      </c>
      <c r="AC1619" t="s">
        <v>42</v>
      </c>
      <c r="AD1619">
        <v>1</v>
      </c>
    </row>
    <row r="1620" spans="1:30">
      <c r="A1620" t="str">
        <f>CONCATENATE(I1620,J1620)</f>
        <v>JAINRECEQ</v>
      </c>
      <c r="B1620" s="34">
        <v>46273</v>
      </c>
      <c r="C1620" s="34">
        <v>46273</v>
      </c>
      <c r="D1620" t="s">
        <v>35</v>
      </c>
      <c r="E1620" t="s">
        <v>36</v>
      </c>
      <c r="F1620" t="s">
        <v>37</v>
      </c>
      <c r="G1620">
        <v>759244</v>
      </c>
      <c r="H1620" t="s">
        <v>4919</v>
      </c>
      <c r="I1620" t="s">
        <v>4920</v>
      </c>
      <c r="J1620" t="s">
        <v>161</v>
      </c>
      <c r="O1620" t="s">
        <v>4921</v>
      </c>
      <c r="P1620">
        <v>283.3</v>
      </c>
      <c r="Q1620">
        <v>298.7</v>
      </c>
      <c r="R1620">
        <v>282.55</v>
      </c>
      <c r="S1620">
        <v>296.55</v>
      </c>
      <c r="T1620">
        <v>296</v>
      </c>
      <c r="U1620">
        <v>281.35000000000002</v>
      </c>
      <c r="W1620">
        <v>296.56</v>
      </c>
      <c r="Z1620">
        <v>2755389</v>
      </c>
      <c r="AA1620">
        <v>801251315.35000002</v>
      </c>
      <c r="AB1620">
        <v>42322</v>
      </c>
      <c r="AC1620" t="s">
        <v>42</v>
      </c>
      <c r="AD1620">
        <v>1</v>
      </c>
    </row>
    <row r="1621" spans="1:30">
      <c r="A1621" t="str">
        <f>CONCATENATE(I1621,J1621)</f>
        <v>JAINAMSM</v>
      </c>
      <c r="B1621" s="34">
        <v>46273</v>
      </c>
      <c r="C1621" s="34">
        <v>46273</v>
      </c>
      <c r="D1621" t="s">
        <v>35</v>
      </c>
      <c r="E1621" t="s">
        <v>36</v>
      </c>
      <c r="F1621" t="s">
        <v>37</v>
      </c>
      <c r="G1621">
        <v>6012</v>
      </c>
      <c r="H1621" t="s">
        <v>4922</v>
      </c>
      <c r="I1621" t="s">
        <v>4923</v>
      </c>
      <c r="J1621" t="s">
        <v>267</v>
      </c>
      <c r="O1621" t="s">
        <v>4924</v>
      </c>
      <c r="P1621">
        <v>204</v>
      </c>
      <c r="Q1621">
        <v>224.3</v>
      </c>
      <c r="R1621">
        <v>204</v>
      </c>
      <c r="S1621">
        <v>224.3</v>
      </c>
      <c r="T1621">
        <v>224.3</v>
      </c>
      <c r="U1621">
        <v>213.65</v>
      </c>
      <c r="W1621">
        <v>224.3</v>
      </c>
      <c r="Z1621">
        <v>9500</v>
      </c>
      <c r="AA1621">
        <v>2118275</v>
      </c>
      <c r="AB1621">
        <v>11</v>
      </c>
      <c r="AC1621" t="s">
        <v>42</v>
      </c>
      <c r="AD1621">
        <v>500</v>
      </c>
    </row>
    <row r="1622" spans="1:30">
      <c r="A1622" t="str">
        <f>CONCATENATE(I1622,J1622)</f>
        <v>JAINIKSM</v>
      </c>
      <c r="B1622" s="34">
        <v>46273</v>
      </c>
      <c r="C1622" s="34">
        <v>46273</v>
      </c>
      <c r="D1622" t="s">
        <v>35</v>
      </c>
      <c r="E1622" t="s">
        <v>36</v>
      </c>
      <c r="F1622" t="s">
        <v>37</v>
      </c>
      <c r="G1622">
        <v>758303</v>
      </c>
      <c r="H1622" t="s">
        <v>4925</v>
      </c>
      <c r="I1622" t="s">
        <v>4926</v>
      </c>
      <c r="J1622" t="s">
        <v>267</v>
      </c>
      <c r="O1622" t="s">
        <v>4927</v>
      </c>
      <c r="P1622">
        <v>210</v>
      </c>
      <c r="Q1622">
        <v>217.4</v>
      </c>
      <c r="R1622">
        <v>210</v>
      </c>
      <c r="S1622">
        <v>215.55</v>
      </c>
      <c r="T1622">
        <v>216.85</v>
      </c>
      <c r="U1622">
        <v>211</v>
      </c>
      <c r="W1622">
        <v>215.55</v>
      </c>
      <c r="Z1622">
        <v>8400</v>
      </c>
      <c r="AA1622">
        <v>1801740</v>
      </c>
      <c r="AB1622">
        <v>7</v>
      </c>
      <c r="AC1622" t="s">
        <v>42</v>
      </c>
      <c r="AD1622">
        <v>1200</v>
      </c>
    </row>
    <row r="1623" spans="1:30">
      <c r="A1623" t="str">
        <f>CONCATENATE(I1623,J1623)</f>
        <v>JPPOWEREQ</v>
      </c>
      <c r="B1623" s="34">
        <v>46273</v>
      </c>
      <c r="C1623" s="34">
        <v>46273</v>
      </c>
      <c r="D1623" t="s">
        <v>35</v>
      </c>
      <c r="E1623" t="s">
        <v>36</v>
      </c>
      <c r="F1623" t="s">
        <v>37</v>
      </c>
      <c r="G1623">
        <v>11763</v>
      </c>
      <c r="H1623" t="s">
        <v>4928</v>
      </c>
      <c r="I1623" t="s">
        <v>4929</v>
      </c>
      <c r="J1623" t="s">
        <v>161</v>
      </c>
      <c r="O1623" t="s">
        <v>4930</v>
      </c>
      <c r="P1623">
        <v>16.79</v>
      </c>
      <c r="Q1623">
        <v>16.79</v>
      </c>
      <c r="R1623">
        <v>16.45</v>
      </c>
      <c r="S1623">
        <v>16.489999999999998</v>
      </c>
      <c r="T1623">
        <v>16.52</v>
      </c>
      <c r="U1623">
        <v>16.79</v>
      </c>
      <c r="W1623">
        <v>16.489999999999998</v>
      </c>
      <c r="Z1623">
        <v>31428211</v>
      </c>
      <c r="AA1623">
        <v>520250162.57999998</v>
      </c>
      <c r="AB1623">
        <v>25571</v>
      </c>
      <c r="AC1623" t="s">
        <v>42</v>
      </c>
      <c r="AD1623">
        <v>1</v>
      </c>
    </row>
    <row r="1624" spans="1:30">
      <c r="A1624" t="str">
        <f>CONCATENATE(I1624,J1624)</f>
        <v>JAMNAAUTOEQ</v>
      </c>
      <c r="B1624" s="34">
        <v>46273</v>
      </c>
      <c r="C1624" s="34">
        <v>46273</v>
      </c>
      <c r="D1624" t="s">
        <v>35</v>
      </c>
      <c r="E1624" t="s">
        <v>36</v>
      </c>
      <c r="F1624" t="s">
        <v>37</v>
      </c>
      <c r="G1624">
        <v>20778</v>
      </c>
      <c r="H1624" t="s">
        <v>4931</v>
      </c>
      <c r="I1624" t="s">
        <v>4932</v>
      </c>
      <c r="J1624" t="s">
        <v>161</v>
      </c>
      <c r="O1624" t="s">
        <v>4933</v>
      </c>
      <c r="P1624">
        <v>127.38</v>
      </c>
      <c r="Q1624">
        <v>129.4</v>
      </c>
      <c r="R1624">
        <v>125.65</v>
      </c>
      <c r="S1624">
        <v>128.91999999999999</v>
      </c>
      <c r="T1624">
        <v>129</v>
      </c>
      <c r="U1624">
        <v>126.61</v>
      </c>
      <c r="W1624">
        <v>128.91999999999999</v>
      </c>
      <c r="Z1624">
        <v>2288474</v>
      </c>
      <c r="AA1624">
        <v>292980027.25999999</v>
      </c>
      <c r="AB1624">
        <v>25152</v>
      </c>
      <c r="AC1624" t="s">
        <v>42</v>
      </c>
      <c r="AD1624">
        <v>1</v>
      </c>
    </row>
    <row r="1625" spans="1:30">
      <c r="A1625" t="str">
        <f>CONCATENATE(I1625,J1625)</f>
        <v>JSFBEQ</v>
      </c>
      <c r="B1625" s="34">
        <v>46273</v>
      </c>
      <c r="C1625" s="34">
        <v>46273</v>
      </c>
      <c r="D1625" t="s">
        <v>35</v>
      </c>
      <c r="E1625" t="s">
        <v>36</v>
      </c>
      <c r="F1625" t="s">
        <v>37</v>
      </c>
      <c r="G1625">
        <v>22663</v>
      </c>
      <c r="H1625" t="s">
        <v>4934</v>
      </c>
      <c r="I1625" t="s">
        <v>4935</v>
      </c>
      <c r="J1625" t="s">
        <v>161</v>
      </c>
      <c r="O1625" t="s">
        <v>4936</v>
      </c>
      <c r="P1625">
        <v>540.6</v>
      </c>
      <c r="Q1625">
        <v>547.45000000000005</v>
      </c>
      <c r="R1625">
        <v>536.65</v>
      </c>
      <c r="S1625">
        <v>539.79999999999995</v>
      </c>
      <c r="T1625">
        <v>538.6</v>
      </c>
      <c r="U1625">
        <v>538.5</v>
      </c>
      <c r="W1625">
        <v>539.82000000000005</v>
      </c>
      <c r="Z1625">
        <v>181108</v>
      </c>
      <c r="AA1625">
        <v>98127444.950000003</v>
      </c>
      <c r="AB1625">
        <v>7938</v>
      </c>
      <c r="AC1625" t="s">
        <v>42</v>
      </c>
      <c r="AD1625">
        <v>1</v>
      </c>
    </row>
    <row r="1626" spans="1:30">
      <c r="A1626" t="str">
        <f>CONCATENATE(I1626,J1626)</f>
        <v>JAROEQ</v>
      </c>
      <c r="B1626" s="34">
        <v>46273</v>
      </c>
      <c r="C1626" s="34">
        <v>46273</v>
      </c>
      <c r="D1626" t="s">
        <v>35</v>
      </c>
      <c r="E1626" t="s">
        <v>36</v>
      </c>
      <c r="F1626" t="s">
        <v>37</v>
      </c>
      <c r="G1626">
        <v>759951</v>
      </c>
      <c r="H1626" t="s">
        <v>4937</v>
      </c>
      <c r="I1626" t="s">
        <v>4938</v>
      </c>
      <c r="J1626" t="s">
        <v>161</v>
      </c>
      <c r="O1626" t="s">
        <v>4939</v>
      </c>
      <c r="P1626">
        <v>444</v>
      </c>
      <c r="Q1626">
        <v>448.1</v>
      </c>
      <c r="R1626">
        <v>440</v>
      </c>
      <c r="S1626">
        <v>441.4</v>
      </c>
      <c r="T1626">
        <v>443.95</v>
      </c>
      <c r="U1626">
        <v>443.4</v>
      </c>
      <c r="W1626">
        <v>441.39</v>
      </c>
      <c r="Z1626">
        <v>90685</v>
      </c>
      <c r="AA1626">
        <v>40122182.5</v>
      </c>
      <c r="AB1626">
        <v>1858</v>
      </c>
      <c r="AC1626" t="s">
        <v>42</v>
      </c>
      <c r="AD1626">
        <v>1</v>
      </c>
    </row>
    <row r="1627" spans="1:30">
      <c r="A1627" t="str">
        <f>CONCATENATE(I1627,J1627)</f>
        <v>JASHEQ</v>
      </c>
      <c r="B1627" s="34">
        <v>46273</v>
      </c>
      <c r="C1627" s="34">
        <v>46273</v>
      </c>
      <c r="D1627" t="s">
        <v>35</v>
      </c>
      <c r="E1627" t="s">
        <v>36</v>
      </c>
      <c r="F1627" t="s">
        <v>37</v>
      </c>
      <c r="G1627">
        <v>13982</v>
      </c>
      <c r="H1627" t="s">
        <v>4940</v>
      </c>
      <c r="I1627" t="s">
        <v>4941</v>
      </c>
      <c r="J1627" t="s">
        <v>161</v>
      </c>
      <c r="O1627" t="s">
        <v>4942</v>
      </c>
      <c r="P1627">
        <v>513</v>
      </c>
      <c r="Q1627">
        <v>521</v>
      </c>
      <c r="R1627">
        <v>504.75</v>
      </c>
      <c r="S1627">
        <v>518.70000000000005</v>
      </c>
      <c r="T1627">
        <v>521</v>
      </c>
      <c r="U1627">
        <v>511.15</v>
      </c>
      <c r="W1627">
        <v>518.69000000000005</v>
      </c>
      <c r="Z1627">
        <v>195333</v>
      </c>
      <c r="AA1627">
        <v>100166836.45</v>
      </c>
      <c r="AB1627">
        <v>8583</v>
      </c>
      <c r="AC1627" t="s">
        <v>42</v>
      </c>
      <c r="AD1627">
        <v>1</v>
      </c>
    </row>
    <row r="1628" spans="1:30">
      <c r="A1628" t="str">
        <f>CONCATENATE(I1628,J1628)</f>
        <v>JAYBEESM</v>
      </c>
      <c r="B1628" s="34">
        <v>46273</v>
      </c>
      <c r="C1628" s="34">
        <v>46273</v>
      </c>
      <c r="D1628" t="s">
        <v>35</v>
      </c>
      <c r="E1628" t="s">
        <v>36</v>
      </c>
      <c r="F1628" t="s">
        <v>37</v>
      </c>
      <c r="G1628">
        <v>25037</v>
      </c>
      <c r="H1628" t="s">
        <v>4943</v>
      </c>
      <c r="I1628" t="s">
        <v>4944</v>
      </c>
      <c r="J1628" t="s">
        <v>267</v>
      </c>
      <c r="O1628" t="s">
        <v>4945</v>
      </c>
      <c r="P1628">
        <v>81</v>
      </c>
      <c r="Q1628">
        <v>83.55</v>
      </c>
      <c r="R1628">
        <v>81</v>
      </c>
      <c r="S1628">
        <v>82</v>
      </c>
      <c r="T1628">
        <v>82</v>
      </c>
      <c r="U1628">
        <v>81.7</v>
      </c>
      <c r="W1628">
        <v>82</v>
      </c>
      <c r="Z1628">
        <v>26000</v>
      </c>
      <c r="AA1628">
        <v>2144750</v>
      </c>
      <c r="AB1628">
        <v>48</v>
      </c>
      <c r="AC1628" t="s">
        <v>42</v>
      </c>
      <c r="AD1628">
        <v>500</v>
      </c>
    </row>
    <row r="1629" spans="1:30">
      <c r="A1629" t="str">
        <f>CONCATENATE(I1629,J1629)</f>
        <v>JAYBARMARUEQ</v>
      </c>
      <c r="B1629" s="34">
        <v>46273</v>
      </c>
      <c r="C1629" s="34">
        <v>46273</v>
      </c>
      <c r="D1629" t="s">
        <v>35</v>
      </c>
      <c r="E1629" t="s">
        <v>36</v>
      </c>
      <c r="F1629" t="s">
        <v>37</v>
      </c>
      <c r="G1629">
        <v>1708</v>
      </c>
      <c r="H1629" t="s">
        <v>4946</v>
      </c>
      <c r="I1629" t="s">
        <v>4947</v>
      </c>
      <c r="J1629" t="s">
        <v>161</v>
      </c>
      <c r="O1629" t="s">
        <v>4948</v>
      </c>
      <c r="P1629">
        <v>120.69</v>
      </c>
      <c r="Q1629">
        <v>120.69</v>
      </c>
      <c r="R1629">
        <v>114.19</v>
      </c>
      <c r="S1629">
        <v>116.5</v>
      </c>
      <c r="T1629">
        <v>116.26</v>
      </c>
      <c r="U1629">
        <v>120.19</v>
      </c>
      <c r="W1629">
        <v>116.49</v>
      </c>
      <c r="Z1629">
        <v>487526</v>
      </c>
      <c r="AA1629">
        <v>56590098.5</v>
      </c>
      <c r="AB1629">
        <v>5031</v>
      </c>
      <c r="AC1629" t="s">
        <v>42</v>
      </c>
      <c r="AD1629">
        <v>1</v>
      </c>
    </row>
    <row r="1630" spans="1:30">
      <c r="A1630" t="str">
        <f>CONCATENATE(I1630,J1630)</f>
        <v>KORESM</v>
      </c>
      <c r="B1630" s="34">
        <v>46273</v>
      </c>
      <c r="C1630" s="34">
        <v>46273</v>
      </c>
      <c r="D1630" t="s">
        <v>35</v>
      </c>
      <c r="E1630" t="s">
        <v>36</v>
      </c>
      <c r="F1630" t="s">
        <v>37</v>
      </c>
      <c r="G1630">
        <v>10889</v>
      </c>
      <c r="H1630" t="s">
        <v>4949</v>
      </c>
      <c r="I1630" t="s">
        <v>4950</v>
      </c>
      <c r="J1630" t="s">
        <v>267</v>
      </c>
      <c r="O1630" t="s">
        <v>4951</v>
      </c>
      <c r="P1630">
        <v>149.75</v>
      </c>
      <c r="Q1630">
        <v>149.75</v>
      </c>
      <c r="R1630">
        <v>138.05000000000001</v>
      </c>
      <c r="S1630">
        <v>149.75</v>
      </c>
      <c r="T1630">
        <v>149.75</v>
      </c>
      <c r="U1630">
        <v>136.15</v>
      </c>
      <c r="W1630">
        <v>149.75</v>
      </c>
      <c r="Z1630">
        <v>44250</v>
      </c>
      <c r="AA1630">
        <v>6586187.5</v>
      </c>
      <c r="AB1630">
        <v>96</v>
      </c>
      <c r="AC1630" t="s">
        <v>42</v>
      </c>
      <c r="AD1630">
        <v>250</v>
      </c>
    </row>
    <row r="1631" spans="1:30">
      <c r="A1631" t="str">
        <f>CONCATENATE(I1631,J1631)</f>
        <v>JAYAGROGNEQ</v>
      </c>
      <c r="B1631" s="34">
        <v>46273</v>
      </c>
      <c r="C1631" s="34">
        <v>46273</v>
      </c>
      <c r="D1631" t="s">
        <v>35</v>
      </c>
      <c r="E1631" t="s">
        <v>36</v>
      </c>
      <c r="F1631" t="s">
        <v>37</v>
      </c>
      <c r="G1631">
        <v>4041</v>
      </c>
      <c r="H1631" t="s">
        <v>4952</v>
      </c>
      <c r="I1631" t="s">
        <v>4953</v>
      </c>
      <c r="J1631" t="s">
        <v>161</v>
      </c>
      <c r="O1631" t="s">
        <v>4954</v>
      </c>
      <c r="P1631">
        <v>228.3</v>
      </c>
      <c r="Q1631">
        <v>256</v>
      </c>
      <c r="R1631">
        <v>227.21</v>
      </c>
      <c r="S1631">
        <v>249.04</v>
      </c>
      <c r="T1631">
        <v>252</v>
      </c>
      <c r="U1631">
        <v>228.33</v>
      </c>
      <c r="W1631">
        <v>249.03</v>
      </c>
      <c r="Z1631">
        <v>266571</v>
      </c>
      <c r="AA1631">
        <v>65682717.770000003</v>
      </c>
      <c r="AB1631">
        <v>4618</v>
      </c>
      <c r="AC1631" t="s">
        <v>42</v>
      </c>
      <c r="AD1631">
        <v>1</v>
      </c>
    </row>
    <row r="1632" spans="1:30">
      <c r="A1632" t="str">
        <f>CONCATENATE(I1632,J1632)</f>
        <v>JAYNECOINDEQ</v>
      </c>
      <c r="B1632" s="34">
        <v>46273</v>
      </c>
      <c r="C1632" s="34">
        <v>46273</v>
      </c>
      <c r="D1632" t="s">
        <v>35</v>
      </c>
      <c r="E1632" t="s">
        <v>36</v>
      </c>
      <c r="F1632" t="s">
        <v>37</v>
      </c>
      <c r="G1632">
        <v>2331</v>
      </c>
      <c r="H1632" t="s">
        <v>4955</v>
      </c>
      <c r="I1632" t="s">
        <v>4956</v>
      </c>
      <c r="J1632" t="s">
        <v>161</v>
      </c>
      <c r="O1632" t="s">
        <v>4957</v>
      </c>
      <c r="P1632">
        <v>89</v>
      </c>
      <c r="Q1632">
        <v>91</v>
      </c>
      <c r="R1632">
        <v>88.33</v>
      </c>
      <c r="S1632">
        <v>90.68</v>
      </c>
      <c r="T1632">
        <v>90.9</v>
      </c>
      <c r="U1632">
        <v>89.67</v>
      </c>
      <c r="W1632">
        <v>90.68</v>
      </c>
      <c r="Z1632">
        <v>4627478</v>
      </c>
      <c r="AA1632">
        <v>416146192.19999999</v>
      </c>
      <c r="AB1632">
        <v>23658</v>
      </c>
      <c r="AC1632" t="s">
        <v>42</v>
      </c>
      <c r="AD1632">
        <v>1</v>
      </c>
    </row>
    <row r="1633" spans="1:30">
      <c r="A1633" t="str">
        <f>CONCATENATE(I1633,J1633)</f>
        <v>JAYESHSM</v>
      </c>
      <c r="B1633" s="34">
        <v>46273</v>
      </c>
      <c r="C1633" s="34">
        <v>46273</v>
      </c>
      <c r="D1633" t="s">
        <v>35</v>
      </c>
      <c r="E1633" t="s">
        <v>36</v>
      </c>
      <c r="F1633" t="s">
        <v>37</v>
      </c>
      <c r="G1633">
        <v>759159</v>
      </c>
      <c r="H1633" t="s">
        <v>4958</v>
      </c>
      <c r="I1633" t="s">
        <v>4959</v>
      </c>
      <c r="J1633" t="s">
        <v>267</v>
      </c>
      <c r="O1633" t="s">
        <v>4960</v>
      </c>
      <c r="P1633">
        <v>135</v>
      </c>
      <c r="Q1633">
        <v>135</v>
      </c>
      <c r="R1633">
        <v>135</v>
      </c>
      <c r="S1633">
        <v>135</v>
      </c>
      <c r="T1633">
        <v>135</v>
      </c>
      <c r="U1633">
        <v>139.9</v>
      </c>
      <c r="W1633">
        <v>135</v>
      </c>
      <c r="Z1633">
        <v>6000</v>
      </c>
      <c r="AA1633">
        <v>810000</v>
      </c>
      <c r="AB1633">
        <v>3</v>
      </c>
      <c r="AC1633" t="s">
        <v>42</v>
      </c>
      <c r="AD1633">
        <v>1000</v>
      </c>
    </row>
    <row r="1634" spans="1:30">
      <c r="A1634" t="str">
        <f>CONCATENATE(I1634,J1634)</f>
        <v>JAYKAYEQ</v>
      </c>
      <c r="B1634" s="34">
        <v>46273</v>
      </c>
      <c r="C1634" s="34">
        <v>46273</v>
      </c>
      <c r="D1634" t="s">
        <v>35</v>
      </c>
      <c r="E1634" t="s">
        <v>36</v>
      </c>
      <c r="F1634" t="s">
        <v>37</v>
      </c>
      <c r="G1634">
        <v>760073</v>
      </c>
      <c r="H1634" t="s">
        <v>4961</v>
      </c>
      <c r="I1634" t="s">
        <v>4962</v>
      </c>
      <c r="J1634" t="s">
        <v>161</v>
      </c>
      <c r="O1634" t="s">
        <v>4963</v>
      </c>
      <c r="P1634">
        <v>158.72999999999999</v>
      </c>
      <c r="Q1634">
        <v>162.38999999999999</v>
      </c>
      <c r="R1634">
        <v>156.28</v>
      </c>
      <c r="S1634">
        <v>159.87</v>
      </c>
      <c r="T1634">
        <v>160.9</v>
      </c>
      <c r="U1634">
        <v>158.72999999999999</v>
      </c>
      <c r="W1634">
        <v>159.88</v>
      </c>
      <c r="Z1634">
        <v>301645</v>
      </c>
      <c r="AA1634">
        <v>48196684.710000001</v>
      </c>
      <c r="AB1634">
        <v>5900</v>
      </c>
      <c r="AC1634" t="s">
        <v>42</v>
      </c>
      <c r="AD1634">
        <v>1</v>
      </c>
    </row>
    <row r="1635" spans="1:30">
      <c r="A1635" t="str">
        <f>CONCATENATE(I1635,J1635)</f>
        <v>JAYKAY-RE1BE</v>
      </c>
      <c r="B1635" s="34">
        <v>46273</v>
      </c>
      <c r="C1635" s="34">
        <v>46273</v>
      </c>
      <c r="D1635" t="s">
        <v>35</v>
      </c>
      <c r="E1635" t="s">
        <v>36</v>
      </c>
      <c r="F1635" t="s">
        <v>37</v>
      </c>
      <c r="G1635">
        <v>765563</v>
      </c>
      <c r="H1635" t="s">
        <v>4964</v>
      </c>
      <c r="I1635" t="s">
        <v>4965</v>
      </c>
      <c r="J1635" t="s">
        <v>183</v>
      </c>
      <c r="O1635" t="s">
        <v>4963</v>
      </c>
      <c r="P1635">
        <v>75</v>
      </c>
      <c r="Q1635">
        <v>82.65</v>
      </c>
      <c r="R1635">
        <v>73.2</v>
      </c>
      <c r="S1635">
        <v>81.64</v>
      </c>
      <c r="T1635">
        <v>82.65</v>
      </c>
      <c r="U1635">
        <v>76.05</v>
      </c>
      <c r="W1635">
        <v>81.66</v>
      </c>
      <c r="Z1635">
        <v>139175</v>
      </c>
      <c r="AA1635">
        <v>10968972.02</v>
      </c>
      <c r="AB1635">
        <v>1202</v>
      </c>
      <c r="AC1635" t="s">
        <v>42</v>
      </c>
      <c r="AD1635">
        <v>1</v>
      </c>
    </row>
    <row r="1636" spans="1:30">
      <c r="A1636" t="str">
        <f>CONCATENATE(I1636,J1636)</f>
        <v>JAYSREETEAEQ</v>
      </c>
      <c r="B1636" s="34">
        <v>46273</v>
      </c>
      <c r="C1636" s="34">
        <v>46273</v>
      </c>
      <c r="D1636" t="s">
        <v>35</v>
      </c>
      <c r="E1636" t="s">
        <v>36</v>
      </c>
      <c r="F1636" t="s">
        <v>37</v>
      </c>
      <c r="G1636">
        <v>1720</v>
      </c>
      <c r="H1636" t="s">
        <v>4966</v>
      </c>
      <c r="I1636" t="s">
        <v>4967</v>
      </c>
      <c r="J1636" t="s">
        <v>161</v>
      </c>
      <c r="O1636" t="s">
        <v>4968</v>
      </c>
      <c r="P1636">
        <v>99</v>
      </c>
      <c r="Q1636">
        <v>99.06</v>
      </c>
      <c r="R1636">
        <v>92.74</v>
      </c>
      <c r="S1636">
        <v>94.41</v>
      </c>
      <c r="T1636">
        <v>94.5</v>
      </c>
      <c r="U1636">
        <v>98.61</v>
      </c>
      <c r="W1636">
        <v>94.4</v>
      </c>
      <c r="Z1636">
        <v>161062</v>
      </c>
      <c r="AA1636">
        <v>15223148.82</v>
      </c>
      <c r="AB1636">
        <v>2085</v>
      </c>
      <c r="AC1636" t="s">
        <v>42</v>
      </c>
      <c r="AD1636">
        <v>1</v>
      </c>
    </row>
    <row r="1637" spans="1:30">
      <c r="A1637" t="str">
        <f>CONCATENATE(I1637,J1637)</f>
        <v>JBMAEQ</v>
      </c>
      <c r="B1637" s="34">
        <v>46273</v>
      </c>
      <c r="C1637" s="34">
        <v>46273</v>
      </c>
      <c r="D1637" t="s">
        <v>35</v>
      </c>
      <c r="E1637" t="s">
        <v>36</v>
      </c>
      <c r="F1637" t="s">
        <v>37</v>
      </c>
      <c r="G1637">
        <v>11655</v>
      </c>
      <c r="H1637" t="s">
        <v>4969</v>
      </c>
      <c r="I1637" t="s">
        <v>4970</v>
      </c>
      <c r="J1637" t="s">
        <v>161</v>
      </c>
      <c r="O1637" t="s">
        <v>4971</v>
      </c>
      <c r="P1637">
        <v>615</v>
      </c>
      <c r="Q1637">
        <v>618</v>
      </c>
      <c r="R1637">
        <v>612.95000000000005</v>
      </c>
      <c r="S1637">
        <v>615.35</v>
      </c>
      <c r="T1637">
        <v>616.4</v>
      </c>
      <c r="U1637">
        <v>613.6</v>
      </c>
      <c r="W1637">
        <v>615.35</v>
      </c>
      <c r="Z1637">
        <v>137066</v>
      </c>
      <c r="AA1637">
        <v>84329409.849999994</v>
      </c>
      <c r="AB1637">
        <v>6898</v>
      </c>
      <c r="AC1637" t="s">
        <v>42</v>
      </c>
      <c r="AD1637">
        <v>1</v>
      </c>
    </row>
    <row r="1638" spans="1:30">
      <c r="A1638" t="str">
        <f>CONCATENATE(I1638,J1638)</f>
        <v>JSLLEQ</v>
      </c>
      <c r="B1638" s="34">
        <v>46273</v>
      </c>
      <c r="C1638" s="34">
        <v>46273</v>
      </c>
      <c r="D1638" t="s">
        <v>35</v>
      </c>
      <c r="E1638" t="s">
        <v>36</v>
      </c>
      <c r="F1638" t="s">
        <v>37</v>
      </c>
      <c r="G1638">
        <v>758115</v>
      </c>
      <c r="H1638" t="s">
        <v>4972</v>
      </c>
      <c r="I1638" t="s">
        <v>4973</v>
      </c>
      <c r="J1638" t="s">
        <v>161</v>
      </c>
      <c r="O1638" t="s">
        <v>4974</v>
      </c>
      <c r="P1638">
        <v>515</v>
      </c>
      <c r="Q1638">
        <v>518.6</v>
      </c>
      <c r="R1638">
        <v>503.05</v>
      </c>
      <c r="S1638">
        <v>505.45</v>
      </c>
      <c r="T1638">
        <v>505.85</v>
      </c>
      <c r="U1638">
        <v>516.75</v>
      </c>
      <c r="W1638">
        <v>505.45</v>
      </c>
      <c r="Z1638">
        <v>357058</v>
      </c>
      <c r="AA1638">
        <v>181088516.05000001</v>
      </c>
      <c r="AB1638">
        <v>14713</v>
      </c>
      <c r="AC1638" t="s">
        <v>42</v>
      </c>
      <c r="AD1638">
        <v>1</v>
      </c>
    </row>
    <row r="1639" spans="1:30">
      <c r="A1639" t="str">
        <f>CONCATENATE(I1639,J1639)</f>
        <v>JENBURPHEQ</v>
      </c>
      <c r="B1639" s="34">
        <v>46273</v>
      </c>
      <c r="C1639" s="34">
        <v>46273</v>
      </c>
      <c r="D1639" t="s">
        <v>35</v>
      </c>
      <c r="E1639" t="s">
        <v>36</v>
      </c>
      <c r="F1639" t="s">
        <v>37</v>
      </c>
      <c r="G1639">
        <v>764728</v>
      </c>
      <c r="H1639" t="s">
        <v>4975</v>
      </c>
      <c r="I1639" t="s">
        <v>4976</v>
      </c>
      <c r="J1639" t="s">
        <v>161</v>
      </c>
      <c r="O1639" t="s">
        <v>4977</v>
      </c>
      <c r="P1639">
        <v>1052</v>
      </c>
      <c r="Q1639">
        <v>1052</v>
      </c>
      <c r="R1639">
        <v>1025.0999999999999</v>
      </c>
      <c r="S1639">
        <v>1039.9000000000001</v>
      </c>
      <c r="T1639">
        <v>1039.9000000000001</v>
      </c>
      <c r="U1639">
        <v>1043</v>
      </c>
      <c r="W1639">
        <v>1055.2</v>
      </c>
      <c r="Z1639">
        <v>276</v>
      </c>
      <c r="AA1639">
        <v>284767.40000000002</v>
      </c>
      <c r="AB1639">
        <v>34</v>
      </c>
      <c r="AC1639" t="s">
        <v>42</v>
      </c>
      <c r="AD1639">
        <v>1</v>
      </c>
    </row>
    <row r="1640" spans="1:30">
      <c r="A1640" t="str">
        <f>CONCATENATE(I1640,J1640)</f>
        <v>JETFREIGHTEQ</v>
      </c>
      <c r="B1640" s="34">
        <v>46273</v>
      </c>
      <c r="C1640" s="34">
        <v>46273</v>
      </c>
      <c r="D1640" t="s">
        <v>35</v>
      </c>
      <c r="E1640" t="s">
        <v>36</v>
      </c>
      <c r="F1640" t="s">
        <v>37</v>
      </c>
      <c r="G1640">
        <v>7211</v>
      </c>
      <c r="H1640" t="s">
        <v>4978</v>
      </c>
      <c r="I1640" t="s">
        <v>4979</v>
      </c>
      <c r="J1640" t="s">
        <v>161</v>
      </c>
      <c r="O1640" t="s">
        <v>4980</v>
      </c>
      <c r="P1640">
        <v>20.21</v>
      </c>
      <c r="Q1640">
        <v>20.83</v>
      </c>
      <c r="R1640">
        <v>20.059999999999999</v>
      </c>
      <c r="S1640">
        <v>20.239999999999998</v>
      </c>
      <c r="T1640">
        <v>20.170000000000002</v>
      </c>
      <c r="U1640">
        <v>20.309999999999999</v>
      </c>
      <c r="W1640">
        <v>20.239999999999998</v>
      </c>
      <c r="Z1640">
        <v>121792</v>
      </c>
      <c r="AA1640">
        <v>2486879.5699999998</v>
      </c>
      <c r="AB1640">
        <v>1933</v>
      </c>
      <c r="AC1640" t="s">
        <v>42</v>
      </c>
      <c r="AD1640">
        <v>1</v>
      </c>
    </row>
    <row r="1641" spans="1:30">
      <c r="A1641" t="str">
        <f>CONCATENATE(I1641,J1641)</f>
        <v>JEYYAMST</v>
      </c>
      <c r="B1641" s="34">
        <v>46273</v>
      </c>
      <c r="C1641" s="34">
        <v>46273</v>
      </c>
      <c r="D1641" t="s">
        <v>35</v>
      </c>
      <c r="E1641" t="s">
        <v>36</v>
      </c>
      <c r="F1641" t="s">
        <v>37</v>
      </c>
      <c r="G1641">
        <v>25150</v>
      </c>
      <c r="H1641" t="s">
        <v>4981</v>
      </c>
      <c r="I1641" t="s">
        <v>4982</v>
      </c>
      <c r="J1641" t="s">
        <v>328</v>
      </c>
      <c r="O1641" t="s">
        <v>4983</v>
      </c>
      <c r="P1641">
        <v>21.8</v>
      </c>
      <c r="Q1641">
        <v>21.8</v>
      </c>
      <c r="R1641">
        <v>21.8</v>
      </c>
      <c r="S1641">
        <v>21.8</v>
      </c>
      <c r="T1641">
        <v>21.8</v>
      </c>
      <c r="U1641">
        <v>22.1</v>
      </c>
      <c r="W1641">
        <v>21.8</v>
      </c>
      <c r="Z1641">
        <v>2000</v>
      </c>
      <c r="AA1641">
        <v>43600</v>
      </c>
      <c r="AB1641">
        <v>1</v>
      </c>
      <c r="AC1641" t="s">
        <v>42</v>
      </c>
      <c r="AD1641">
        <v>2000</v>
      </c>
    </row>
    <row r="1642" spans="1:30">
      <c r="A1642" t="str">
        <f>CONCATENATE(I1642,J1642)</f>
        <v>JFLLIFESM</v>
      </c>
      <c r="B1642" s="34">
        <v>46273</v>
      </c>
      <c r="C1642" s="34">
        <v>46273</v>
      </c>
      <c r="D1642" t="s">
        <v>35</v>
      </c>
      <c r="E1642" t="s">
        <v>36</v>
      </c>
      <c r="F1642" t="s">
        <v>37</v>
      </c>
      <c r="G1642">
        <v>10885</v>
      </c>
      <c r="H1642" t="s">
        <v>4984</v>
      </c>
      <c r="I1642" t="s">
        <v>4985</v>
      </c>
      <c r="J1642" t="s">
        <v>267</v>
      </c>
      <c r="O1642" t="s">
        <v>4986</v>
      </c>
      <c r="P1642">
        <v>9.75</v>
      </c>
      <c r="Q1642">
        <v>9.75</v>
      </c>
      <c r="R1642">
        <v>9.6999999999999993</v>
      </c>
      <c r="S1642">
        <v>9.6999999999999993</v>
      </c>
      <c r="T1642">
        <v>9.6999999999999993</v>
      </c>
      <c r="U1642">
        <v>9.65</v>
      </c>
      <c r="W1642">
        <v>9.6999999999999993</v>
      </c>
      <c r="Z1642">
        <v>12000</v>
      </c>
      <c r="AA1642">
        <v>116700</v>
      </c>
      <c r="AB1642">
        <v>2</v>
      </c>
      <c r="AC1642" t="s">
        <v>42</v>
      </c>
      <c r="AD1642">
        <v>6000</v>
      </c>
    </row>
    <row r="1643" spans="1:30">
      <c r="A1643" t="str">
        <f>CONCATENATE(I1643,J1643)</f>
        <v>JHSEQ</v>
      </c>
      <c r="B1643" s="34">
        <v>46273</v>
      </c>
      <c r="C1643" s="34">
        <v>46273</v>
      </c>
      <c r="D1643" t="s">
        <v>35</v>
      </c>
      <c r="E1643" t="s">
        <v>36</v>
      </c>
      <c r="F1643" t="s">
        <v>37</v>
      </c>
      <c r="G1643">
        <v>13720</v>
      </c>
      <c r="H1643" t="s">
        <v>4987</v>
      </c>
      <c r="I1643" t="s">
        <v>4988</v>
      </c>
      <c r="J1643" t="s">
        <v>161</v>
      </c>
      <c r="O1643" t="s">
        <v>4989</v>
      </c>
      <c r="P1643">
        <v>7.99</v>
      </c>
      <c r="Q1643">
        <v>8.31</v>
      </c>
      <c r="R1643">
        <v>7.85</v>
      </c>
      <c r="S1643">
        <v>7.97</v>
      </c>
      <c r="T1643">
        <v>7.96</v>
      </c>
      <c r="U1643">
        <v>7.99</v>
      </c>
      <c r="W1643">
        <v>7.97</v>
      </c>
      <c r="Z1643">
        <v>23839</v>
      </c>
      <c r="AA1643">
        <v>193599.46</v>
      </c>
      <c r="AB1643">
        <v>108</v>
      </c>
      <c r="AC1643" t="s">
        <v>42</v>
      </c>
      <c r="AD1643">
        <v>1</v>
      </c>
    </row>
    <row r="1644" spans="1:30">
      <c r="A1644" t="str">
        <f>CONCATENATE(I1644,J1644)</f>
        <v>RETAILEQ</v>
      </c>
      <c r="B1644" s="34">
        <v>46273</v>
      </c>
      <c r="C1644" s="34">
        <v>46273</v>
      </c>
      <c r="D1644" t="s">
        <v>35</v>
      </c>
      <c r="E1644" t="s">
        <v>36</v>
      </c>
      <c r="F1644" t="s">
        <v>37</v>
      </c>
      <c r="G1644">
        <v>24145</v>
      </c>
      <c r="H1644" t="s">
        <v>4990</v>
      </c>
      <c r="I1644" t="s">
        <v>4991</v>
      </c>
      <c r="J1644" t="s">
        <v>161</v>
      </c>
      <c r="O1644" t="s">
        <v>4992</v>
      </c>
      <c r="P1644">
        <v>16.13</v>
      </c>
      <c r="Q1644">
        <v>17.75</v>
      </c>
      <c r="R1644">
        <v>16.13</v>
      </c>
      <c r="S1644">
        <v>17.23</v>
      </c>
      <c r="T1644">
        <v>17.29</v>
      </c>
      <c r="U1644">
        <v>16.59</v>
      </c>
      <c r="W1644">
        <v>17.25</v>
      </c>
      <c r="Z1644">
        <v>5303</v>
      </c>
      <c r="AA1644">
        <v>91650.37</v>
      </c>
      <c r="AB1644">
        <v>71</v>
      </c>
      <c r="AC1644" t="s">
        <v>42</v>
      </c>
      <c r="AD1644">
        <v>1</v>
      </c>
    </row>
    <row r="1645" spans="1:30">
      <c r="A1645" t="str">
        <f>CONCATENATE(I1645,J1645)</f>
        <v>JPOLYINVSTEQ</v>
      </c>
      <c r="B1645" s="34">
        <v>46273</v>
      </c>
      <c r="C1645" s="34">
        <v>46273</v>
      </c>
      <c r="D1645" t="s">
        <v>35</v>
      </c>
      <c r="E1645" t="s">
        <v>36</v>
      </c>
      <c r="F1645" t="s">
        <v>37</v>
      </c>
      <c r="G1645">
        <v>31507</v>
      </c>
      <c r="H1645" t="s">
        <v>4993</v>
      </c>
      <c r="I1645" t="s">
        <v>4994</v>
      </c>
      <c r="J1645" t="s">
        <v>161</v>
      </c>
      <c r="O1645" t="s">
        <v>4995</v>
      </c>
      <c r="P1645">
        <v>1007.2</v>
      </c>
      <c r="Q1645">
        <v>1011.9</v>
      </c>
      <c r="R1645">
        <v>983.9</v>
      </c>
      <c r="S1645">
        <v>994.45</v>
      </c>
      <c r="T1645">
        <v>999.9</v>
      </c>
      <c r="U1645">
        <v>1006.8</v>
      </c>
      <c r="W1645">
        <v>994.47</v>
      </c>
      <c r="Z1645">
        <v>5471</v>
      </c>
      <c r="AA1645">
        <v>5468375.9500000002</v>
      </c>
      <c r="AB1645">
        <v>721</v>
      </c>
      <c r="AC1645" t="s">
        <v>42</v>
      </c>
      <c r="AD1645">
        <v>1</v>
      </c>
    </row>
    <row r="1646" spans="1:30">
      <c r="A1646" t="str">
        <f>CONCATENATE(I1646,J1646)</f>
        <v>JINDRILLEQ</v>
      </c>
      <c r="B1646" s="34">
        <v>46273</v>
      </c>
      <c r="C1646" s="34">
        <v>46273</v>
      </c>
      <c r="D1646" t="s">
        <v>35</v>
      </c>
      <c r="E1646" t="s">
        <v>36</v>
      </c>
      <c r="F1646" t="s">
        <v>37</v>
      </c>
      <c r="G1646">
        <v>13875</v>
      </c>
      <c r="H1646" t="s">
        <v>4996</v>
      </c>
      <c r="I1646" t="s">
        <v>4997</v>
      </c>
      <c r="J1646" t="s">
        <v>161</v>
      </c>
      <c r="O1646" t="s">
        <v>4998</v>
      </c>
      <c r="P1646">
        <v>665.4</v>
      </c>
      <c r="Q1646">
        <v>684</v>
      </c>
      <c r="R1646">
        <v>656.3</v>
      </c>
      <c r="S1646">
        <v>678</v>
      </c>
      <c r="T1646">
        <v>671</v>
      </c>
      <c r="U1646">
        <v>664.15</v>
      </c>
      <c r="W1646">
        <v>678.03</v>
      </c>
      <c r="Z1646">
        <v>424593</v>
      </c>
      <c r="AA1646">
        <v>285099749.55000001</v>
      </c>
      <c r="AB1646">
        <v>18069</v>
      </c>
      <c r="AC1646" t="s">
        <v>42</v>
      </c>
      <c r="AD1646">
        <v>1</v>
      </c>
    </row>
    <row r="1647" spans="1:30">
      <c r="A1647" t="str">
        <f>CONCATENATE(I1647,J1647)</f>
        <v>JINDALPHOTEQ</v>
      </c>
      <c r="B1647" s="34">
        <v>46273</v>
      </c>
      <c r="C1647" s="34">
        <v>46273</v>
      </c>
      <c r="D1647" t="s">
        <v>35</v>
      </c>
      <c r="E1647" t="s">
        <v>36</v>
      </c>
      <c r="F1647" t="s">
        <v>37</v>
      </c>
      <c r="G1647">
        <v>11743</v>
      </c>
      <c r="H1647" t="s">
        <v>4999</v>
      </c>
      <c r="I1647" t="s">
        <v>5000</v>
      </c>
      <c r="J1647" t="s">
        <v>161</v>
      </c>
      <c r="O1647" t="s">
        <v>5001</v>
      </c>
      <c r="P1647">
        <v>1020.2</v>
      </c>
      <c r="Q1647">
        <v>1039</v>
      </c>
      <c r="R1647">
        <v>1014.5</v>
      </c>
      <c r="S1647">
        <v>1015.5</v>
      </c>
      <c r="T1647">
        <v>1022.7</v>
      </c>
      <c r="U1647">
        <v>1010.8</v>
      </c>
      <c r="W1647">
        <v>1013.74</v>
      </c>
      <c r="Z1647">
        <v>1280</v>
      </c>
      <c r="AA1647">
        <v>1304879.8</v>
      </c>
      <c r="AB1647">
        <v>131</v>
      </c>
      <c r="AC1647" t="s">
        <v>42</v>
      </c>
      <c r="AD1647">
        <v>1</v>
      </c>
    </row>
    <row r="1648" spans="1:30">
      <c r="A1648" t="str">
        <f>CONCATENATE(I1648,J1648)</f>
        <v>JINDALPOLYEQ</v>
      </c>
      <c r="B1648" s="34">
        <v>46273</v>
      </c>
      <c r="C1648" s="34">
        <v>46273</v>
      </c>
      <c r="D1648" t="s">
        <v>35</v>
      </c>
      <c r="E1648" t="s">
        <v>36</v>
      </c>
      <c r="F1648" t="s">
        <v>37</v>
      </c>
      <c r="G1648">
        <v>1756</v>
      </c>
      <c r="H1648" t="s">
        <v>5002</v>
      </c>
      <c r="I1648" t="s">
        <v>5003</v>
      </c>
      <c r="J1648" t="s">
        <v>161</v>
      </c>
      <c r="O1648" t="s">
        <v>5004</v>
      </c>
      <c r="P1648">
        <v>706</v>
      </c>
      <c r="Q1648">
        <v>706</v>
      </c>
      <c r="R1648">
        <v>680</v>
      </c>
      <c r="S1648">
        <v>683.8</v>
      </c>
      <c r="T1648">
        <v>684</v>
      </c>
      <c r="U1648">
        <v>699.1</v>
      </c>
      <c r="W1648">
        <v>683.91</v>
      </c>
      <c r="Z1648">
        <v>11020</v>
      </c>
      <c r="AA1648">
        <v>7601330.1500000004</v>
      </c>
      <c r="AB1648">
        <v>814</v>
      </c>
      <c r="AC1648" t="s">
        <v>42</v>
      </c>
      <c r="AD1648">
        <v>1</v>
      </c>
    </row>
    <row r="1649" spans="1:30">
      <c r="A1649" t="str">
        <f>CONCATENATE(I1649,J1649)</f>
        <v>JINDALSAWEQ</v>
      </c>
      <c r="B1649" s="34">
        <v>46273</v>
      </c>
      <c r="C1649" s="34">
        <v>46273</v>
      </c>
      <c r="D1649" t="s">
        <v>35</v>
      </c>
      <c r="E1649" t="s">
        <v>36</v>
      </c>
      <c r="F1649" t="s">
        <v>37</v>
      </c>
      <c r="G1649">
        <v>3024</v>
      </c>
      <c r="H1649" t="s">
        <v>5005</v>
      </c>
      <c r="I1649" t="s">
        <v>5006</v>
      </c>
      <c r="J1649" t="s">
        <v>161</v>
      </c>
      <c r="O1649" t="s">
        <v>5007</v>
      </c>
      <c r="P1649">
        <v>309.55</v>
      </c>
      <c r="Q1649">
        <v>310.95</v>
      </c>
      <c r="R1649">
        <v>297.35000000000002</v>
      </c>
      <c r="S1649">
        <v>307.60000000000002</v>
      </c>
      <c r="T1649">
        <v>307.8</v>
      </c>
      <c r="U1649">
        <v>309.55</v>
      </c>
      <c r="W1649">
        <v>307.58999999999997</v>
      </c>
      <c r="Z1649">
        <v>2130770</v>
      </c>
      <c r="AA1649">
        <v>650147394.75</v>
      </c>
      <c r="AB1649">
        <v>46673</v>
      </c>
      <c r="AC1649" t="s">
        <v>42</v>
      </c>
      <c r="AD1649">
        <v>1</v>
      </c>
    </row>
    <row r="1650" spans="1:30">
      <c r="A1650" t="str">
        <f>CONCATENATE(I1650,J1650)</f>
        <v>JSLEQ</v>
      </c>
      <c r="B1650" s="34">
        <v>46273</v>
      </c>
      <c r="C1650" s="34">
        <v>46273</v>
      </c>
      <c r="D1650" t="s">
        <v>35</v>
      </c>
      <c r="E1650" t="s">
        <v>36</v>
      </c>
      <c r="F1650" t="s">
        <v>37</v>
      </c>
      <c r="G1650">
        <v>11236</v>
      </c>
      <c r="H1650" t="s">
        <v>5008</v>
      </c>
      <c r="I1650" t="s">
        <v>5009</v>
      </c>
      <c r="J1650" t="s">
        <v>161</v>
      </c>
      <c r="O1650" t="s">
        <v>5010</v>
      </c>
      <c r="P1650">
        <v>733.95</v>
      </c>
      <c r="Q1650">
        <v>740</v>
      </c>
      <c r="R1650">
        <v>727</v>
      </c>
      <c r="S1650">
        <v>738.75</v>
      </c>
      <c r="T1650">
        <v>739.5</v>
      </c>
      <c r="U1650">
        <v>736.8</v>
      </c>
      <c r="W1650">
        <v>738.74</v>
      </c>
      <c r="Z1650">
        <v>413278</v>
      </c>
      <c r="AA1650">
        <v>304222452</v>
      </c>
      <c r="AB1650">
        <v>25479</v>
      </c>
      <c r="AC1650" t="s">
        <v>42</v>
      </c>
      <c r="AD1650">
        <v>1</v>
      </c>
    </row>
    <row r="1651" spans="1:30">
      <c r="A1651" t="str">
        <f>CONCATENATE(I1651,J1651)</f>
        <v>JINDALSTELEQ</v>
      </c>
      <c r="B1651" s="34">
        <v>46273</v>
      </c>
      <c r="C1651" s="34">
        <v>46273</v>
      </c>
      <c r="D1651" t="s">
        <v>35</v>
      </c>
      <c r="E1651" t="s">
        <v>36</v>
      </c>
      <c r="F1651" t="s">
        <v>37</v>
      </c>
      <c r="G1651">
        <v>6733</v>
      </c>
      <c r="H1651" t="s">
        <v>5011</v>
      </c>
      <c r="I1651" t="s">
        <v>5012</v>
      </c>
      <c r="J1651" t="s">
        <v>161</v>
      </c>
      <c r="O1651" t="s">
        <v>5013</v>
      </c>
      <c r="P1651">
        <v>1147.9000000000001</v>
      </c>
      <c r="Q1651">
        <v>1151</v>
      </c>
      <c r="R1651">
        <v>1135</v>
      </c>
      <c r="S1651">
        <v>1136.3</v>
      </c>
      <c r="T1651">
        <v>1136.3</v>
      </c>
      <c r="U1651">
        <v>1147.9000000000001</v>
      </c>
      <c r="W1651">
        <v>1136.32</v>
      </c>
      <c r="Z1651">
        <v>443885</v>
      </c>
      <c r="AA1651">
        <v>507100580.5</v>
      </c>
      <c r="AB1651">
        <v>20151</v>
      </c>
      <c r="AC1651" t="s">
        <v>42</v>
      </c>
      <c r="AD1651">
        <v>1</v>
      </c>
    </row>
    <row r="1652" spans="1:30">
      <c r="A1652" t="str">
        <f>CONCATENATE(I1652,J1652)</f>
        <v>JINDWORLDEQ</v>
      </c>
      <c r="B1652" s="34">
        <v>46273</v>
      </c>
      <c r="C1652" s="34">
        <v>46273</v>
      </c>
      <c r="D1652" t="s">
        <v>35</v>
      </c>
      <c r="E1652" t="s">
        <v>36</v>
      </c>
      <c r="F1652" t="s">
        <v>37</v>
      </c>
      <c r="G1652">
        <v>20642</v>
      </c>
      <c r="H1652" t="s">
        <v>5014</v>
      </c>
      <c r="I1652" t="s">
        <v>5015</v>
      </c>
      <c r="J1652" t="s">
        <v>161</v>
      </c>
      <c r="O1652" t="s">
        <v>5016</v>
      </c>
      <c r="P1652">
        <v>58.5</v>
      </c>
      <c r="Q1652">
        <v>59.9</v>
      </c>
      <c r="R1652">
        <v>54.21</v>
      </c>
      <c r="S1652">
        <v>55.53</v>
      </c>
      <c r="T1652">
        <v>55.18</v>
      </c>
      <c r="U1652">
        <v>58.52</v>
      </c>
      <c r="W1652">
        <v>55.52</v>
      </c>
      <c r="Z1652">
        <v>62255444</v>
      </c>
      <c r="AA1652">
        <v>3543153438.2399998</v>
      </c>
      <c r="AB1652">
        <v>132068</v>
      </c>
      <c r="AC1652" t="s">
        <v>42</v>
      </c>
      <c r="AD1652">
        <v>1</v>
      </c>
    </row>
    <row r="1653" spans="1:30">
      <c r="A1653" t="str">
        <f>CONCATENATE(I1653,J1653)</f>
        <v>JKIPLEQ</v>
      </c>
      <c r="B1653" s="34">
        <v>46273</v>
      </c>
      <c r="C1653" s="34">
        <v>46273</v>
      </c>
      <c r="D1653" t="s">
        <v>35</v>
      </c>
      <c r="E1653" t="s">
        <v>36</v>
      </c>
      <c r="F1653" t="s">
        <v>37</v>
      </c>
      <c r="G1653">
        <v>759205</v>
      </c>
      <c r="H1653" t="s">
        <v>5017</v>
      </c>
      <c r="I1653" t="s">
        <v>5018</v>
      </c>
      <c r="J1653" t="s">
        <v>161</v>
      </c>
      <c r="O1653" t="s">
        <v>5019</v>
      </c>
      <c r="P1653">
        <v>98.03</v>
      </c>
      <c r="Q1653">
        <v>99.96</v>
      </c>
      <c r="R1653">
        <v>95.5</v>
      </c>
      <c r="S1653">
        <v>96.5</v>
      </c>
      <c r="T1653">
        <v>96</v>
      </c>
      <c r="U1653">
        <v>98.56</v>
      </c>
      <c r="W1653">
        <v>96.51</v>
      </c>
      <c r="Z1653">
        <v>7414</v>
      </c>
      <c r="AA1653">
        <v>715802.57</v>
      </c>
      <c r="AB1653">
        <v>200</v>
      </c>
      <c r="AC1653" t="s">
        <v>42</v>
      </c>
      <c r="AD1653">
        <v>1</v>
      </c>
    </row>
    <row r="1654" spans="1:30">
      <c r="A1654" t="str">
        <f>CONCATENATE(I1654,J1654)</f>
        <v>JIOFINEQ</v>
      </c>
      <c r="B1654" s="34">
        <v>46273</v>
      </c>
      <c r="C1654" s="34">
        <v>46273</v>
      </c>
      <c r="D1654" t="s">
        <v>35</v>
      </c>
      <c r="E1654" t="s">
        <v>36</v>
      </c>
      <c r="F1654" t="s">
        <v>37</v>
      </c>
      <c r="G1654">
        <v>18143</v>
      </c>
      <c r="H1654" t="s">
        <v>5020</v>
      </c>
      <c r="I1654" t="s">
        <v>5021</v>
      </c>
      <c r="J1654" t="s">
        <v>161</v>
      </c>
      <c r="O1654" t="s">
        <v>5022</v>
      </c>
      <c r="P1654">
        <v>234.75</v>
      </c>
      <c r="Q1654">
        <v>234.75</v>
      </c>
      <c r="R1654">
        <v>232.6</v>
      </c>
      <c r="S1654">
        <v>233.15</v>
      </c>
      <c r="T1654">
        <v>233.15</v>
      </c>
      <c r="U1654">
        <v>234.4</v>
      </c>
      <c r="W1654">
        <v>233.16</v>
      </c>
      <c r="Z1654">
        <v>8934543</v>
      </c>
      <c r="AA1654">
        <v>2085942499.21</v>
      </c>
      <c r="AB1654">
        <v>65699</v>
      </c>
      <c r="AC1654" t="s">
        <v>42</v>
      </c>
      <c r="AD1654">
        <v>1</v>
      </c>
    </row>
    <row r="1655" spans="1:30">
      <c r="A1655" t="str">
        <f>CONCATENATE(I1655,J1655)</f>
        <v>NIFTYJBLKEQ</v>
      </c>
      <c r="B1655" s="34">
        <v>46273</v>
      </c>
      <c r="C1655" s="34">
        <v>46273</v>
      </c>
      <c r="D1655" t="s">
        <v>35</v>
      </c>
      <c r="E1655" t="s">
        <v>36</v>
      </c>
      <c r="F1655" t="s">
        <v>37</v>
      </c>
      <c r="G1655">
        <v>765307</v>
      </c>
      <c r="H1655" t="s">
        <v>5023</v>
      </c>
      <c r="I1655" t="s">
        <v>5024</v>
      </c>
      <c r="J1655" t="s">
        <v>161</v>
      </c>
      <c r="O1655" t="s">
        <v>5025</v>
      </c>
      <c r="P1655">
        <v>12.61</v>
      </c>
      <c r="Q1655">
        <v>12.61</v>
      </c>
      <c r="R1655">
        <v>12.12</v>
      </c>
      <c r="S1655">
        <v>12.14</v>
      </c>
      <c r="T1655">
        <v>12.22</v>
      </c>
      <c r="U1655">
        <v>12.31</v>
      </c>
      <c r="W1655">
        <v>12.14</v>
      </c>
      <c r="Z1655">
        <v>158149</v>
      </c>
      <c r="AA1655">
        <v>1922040.7</v>
      </c>
      <c r="AB1655">
        <v>755</v>
      </c>
      <c r="AC1655" t="s">
        <v>42</v>
      </c>
      <c r="AD1655">
        <v>1</v>
      </c>
    </row>
    <row r="1656" spans="1:30">
      <c r="A1656" t="str">
        <f>CONCATENATE(I1656,J1656)</f>
        <v>JITFINFRAEQ</v>
      </c>
      <c r="B1656" s="34">
        <v>46273</v>
      </c>
      <c r="C1656" s="34">
        <v>46273</v>
      </c>
      <c r="D1656" t="s">
        <v>35</v>
      </c>
      <c r="E1656" t="s">
        <v>36</v>
      </c>
      <c r="F1656" t="s">
        <v>37</v>
      </c>
      <c r="G1656">
        <v>19691</v>
      </c>
      <c r="H1656" t="s">
        <v>5026</v>
      </c>
      <c r="I1656" t="s">
        <v>5027</v>
      </c>
      <c r="J1656" t="s">
        <v>161</v>
      </c>
      <c r="O1656" t="s">
        <v>5028</v>
      </c>
      <c r="P1656">
        <v>300</v>
      </c>
      <c r="Q1656">
        <v>309.89999999999998</v>
      </c>
      <c r="R1656">
        <v>300</v>
      </c>
      <c r="S1656">
        <v>306.5</v>
      </c>
      <c r="T1656">
        <v>305.55</v>
      </c>
      <c r="U1656">
        <v>301</v>
      </c>
      <c r="W1656">
        <v>306.5</v>
      </c>
      <c r="Z1656">
        <v>11991</v>
      </c>
      <c r="AA1656">
        <v>3675678.7</v>
      </c>
      <c r="AB1656">
        <v>482</v>
      </c>
      <c r="AC1656" t="s">
        <v>42</v>
      </c>
      <c r="AD1656">
        <v>1</v>
      </c>
    </row>
    <row r="1657" spans="1:30">
      <c r="A1657" t="str">
        <f>CONCATENATE(I1657,J1657)</f>
        <v>JIWANRAMSM</v>
      </c>
      <c r="B1657" s="34">
        <v>46273</v>
      </c>
      <c r="C1657" s="34">
        <v>46273</v>
      </c>
      <c r="D1657" t="s">
        <v>35</v>
      </c>
      <c r="E1657" t="s">
        <v>36</v>
      </c>
      <c r="F1657" t="s">
        <v>37</v>
      </c>
      <c r="G1657">
        <v>18558</v>
      </c>
      <c r="H1657" t="s">
        <v>5029</v>
      </c>
      <c r="I1657" t="s">
        <v>5030</v>
      </c>
      <c r="J1657" t="s">
        <v>267</v>
      </c>
      <c r="O1657" t="s">
        <v>5031</v>
      </c>
      <c r="P1657">
        <v>4.2</v>
      </c>
      <c r="Q1657">
        <v>4.2</v>
      </c>
      <c r="R1657">
        <v>4.2</v>
      </c>
      <c r="S1657">
        <v>4.2</v>
      </c>
      <c r="T1657">
        <v>4.2</v>
      </c>
      <c r="U1657">
        <v>4.25</v>
      </c>
      <c r="W1657">
        <v>4.2</v>
      </c>
      <c r="Z1657">
        <v>12000</v>
      </c>
      <c r="AA1657">
        <v>50400</v>
      </c>
      <c r="AB1657">
        <v>2</v>
      </c>
      <c r="AC1657" t="s">
        <v>42</v>
      </c>
      <c r="AD1657">
        <v>6000</v>
      </c>
    </row>
    <row r="1658" spans="1:30">
      <c r="A1658" t="str">
        <f>CONCATENATE(I1658,J1658)</f>
        <v>JKCEMENTEQ</v>
      </c>
      <c r="B1658" s="34">
        <v>46273</v>
      </c>
      <c r="C1658" s="34">
        <v>46273</v>
      </c>
      <c r="D1658" t="s">
        <v>35</v>
      </c>
      <c r="E1658" t="s">
        <v>36</v>
      </c>
      <c r="F1658" t="s">
        <v>37</v>
      </c>
      <c r="G1658">
        <v>13270</v>
      </c>
      <c r="H1658" t="s">
        <v>5032</v>
      </c>
      <c r="I1658" t="s">
        <v>5033</v>
      </c>
      <c r="J1658" t="s">
        <v>161</v>
      </c>
      <c r="O1658" t="s">
        <v>5034</v>
      </c>
      <c r="P1658">
        <v>5026</v>
      </c>
      <c r="Q1658">
        <v>5170</v>
      </c>
      <c r="R1658">
        <v>4972</v>
      </c>
      <c r="S1658">
        <v>4990.5</v>
      </c>
      <c r="T1658">
        <v>4990</v>
      </c>
      <c r="U1658">
        <v>5047</v>
      </c>
      <c r="W1658">
        <v>4990.5200000000004</v>
      </c>
      <c r="Z1658">
        <v>94515</v>
      </c>
      <c r="AA1658">
        <v>475666866.5</v>
      </c>
      <c r="AB1658">
        <v>7100</v>
      </c>
      <c r="AC1658" t="s">
        <v>42</v>
      </c>
      <c r="AD1658">
        <v>1</v>
      </c>
    </row>
    <row r="1659" spans="1:30">
      <c r="A1659" t="str">
        <f>CONCATENATE(I1659,J1659)</f>
        <v>JKLAKSHMIEQ</v>
      </c>
      <c r="B1659" s="34">
        <v>46273</v>
      </c>
      <c r="C1659" s="34">
        <v>46273</v>
      </c>
      <c r="D1659" t="s">
        <v>35</v>
      </c>
      <c r="E1659" t="s">
        <v>36</v>
      </c>
      <c r="F1659" t="s">
        <v>37</v>
      </c>
      <c r="G1659">
        <v>13491</v>
      </c>
      <c r="H1659" t="s">
        <v>5035</v>
      </c>
      <c r="I1659" t="s">
        <v>5036</v>
      </c>
      <c r="J1659" t="s">
        <v>161</v>
      </c>
      <c r="O1659" t="s">
        <v>5037</v>
      </c>
      <c r="P1659">
        <v>508.9</v>
      </c>
      <c r="Q1659">
        <v>508.9</v>
      </c>
      <c r="R1659">
        <v>498.05</v>
      </c>
      <c r="S1659">
        <v>498.75</v>
      </c>
      <c r="T1659">
        <v>499.45</v>
      </c>
      <c r="U1659">
        <v>507.15</v>
      </c>
      <c r="W1659">
        <v>498.75</v>
      </c>
      <c r="Z1659">
        <v>188056</v>
      </c>
      <c r="AA1659">
        <v>94134452.650000006</v>
      </c>
      <c r="AB1659">
        <v>11780</v>
      </c>
      <c r="AC1659" t="s">
        <v>42</v>
      </c>
      <c r="AD1659">
        <v>1</v>
      </c>
    </row>
    <row r="1660" spans="1:30">
      <c r="A1660" t="str">
        <f>CONCATENATE(I1660,J1660)</f>
        <v>JKPAPEREQ</v>
      </c>
      <c r="B1660" s="34">
        <v>46273</v>
      </c>
      <c r="C1660" s="34">
        <v>46273</v>
      </c>
      <c r="D1660" t="s">
        <v>35</v>
      </c>
      <c r="E1660" t="s">
        <v>36</v>
      </c>
      <c r="F1660" t="s">
        <v>37</v>
      </c>
      <c r="G1660">
        <v>11860</v>
      </c>
      <c r="H1660" t="s">
        <v>5038</v>
      </c>
      <c r="I1660" t="s">
        <v>5039</v>
      </c>
      <c r="J1660" t="s">
        <v>161</v>
      </c>
      <c r="O1660" t="s">
        <v>5040</v>
      </c>
      <c r="P1660">
        <v>420.05</v>
      </c>
      <c r="Q1660">
        <v>423.85</v>
      </c>
      <c r="R1660">
        <v>412.05</v>
      </c>
      <c r="S1660">
        <v>415.3</v>
      </c>
      <c r="T1660">
        <v>415</v>
      </c>
      <c r="U1660">
        <v>420.05</v>
      </c>
      <c r="W1660">
        <v>415.3</v>
      </c>
      <c r="Z1660">
        <v>703560</v>
      </c>
      <c r="AA1660">
        <v>294390094.30000001</v>
      </c>
      <c r="AB1660">
        <v>16051</v>
      </c>
      <c r="AC1660" t="s">
        <v>42</v>
      </c>
      <c r="AD1660">
        <v>1</v>
      </c>
    </row>
    <row r="1661" spans="1:30">
      <c r="A1661" t="str">
        <f>CONCATENATE(I1661,J1661)</f>
        <v>JKTYREEQ</v>
      </c>
      <c r="B1661" s="34">
        <v>46273</v>
      </c>
      <c r="C1661" s="34">
        <v>46273</v>
      </c>
      <c r="D1661" t="s">
        <v>35</v>
      </c>
      <c r="E1661" t="s">
        <v>36</v>
      </c>
      <c r="F1661" t="s">
        <v>37</v>
      </c>
      <c r="G1661">
        <v>14435</v>
      </c>
      <c r="H1661" t="s">
        <v>5041</v>
      </c>
      <c r="I1661" t="s">
        <v>5042</v>
      </c>
      <c r="J1661" t="s">
        <v>161</v>
      </c>
      <c r="O1661" t="s">
        <v>5043</v>
      </c>
      <c r="P1661">
        <v>368</v>
      </c>
      <c r="Q1661">
        <v>368.45</v>
      </c>
      <c r="R1661">
        <v>363.05</v>
      </c>
      <c r="S1661">
        <v>364.1</v>
      </c>
      <c r="T1661">
        <v>364.35</v>
      </c>
      <c r="U1661">
        <v>368.45</v>
      </c>
      <c r="W1661">
        <v>364.1</v>
      </c>
      <c r="Z1661">
        <v>354143</v>
      </c>
      <c r="AA1661">
        <v>129147804.3</v>
      </c>
      <c r="AB1661">
        <v>9788</v>
      </c>
      <c r="AC1661" t="s">
        <v>42</v>
      </c>
      <c r="AD1661">
        <v>1</v>
      </c>
    </row>
    <row r="1662" spans="1:30">
      <c r="A1662" t="str">
        <f>CONCATENATE(I1662,J1662)</f>
        <v>JKILEQ</v>
      </c>
      <c r="B1662" s="34">
        <v>46273</v>
      </c>
      <c r="C1662" s="34">
        <v>46273</v>
      </c>
      <c r="D1662" t="s">
        <v>35</v>
      </c>
      <c r="E1662" t="s">
        <v>36</v>
      </c>
      <c r="F1662" t="s">
        <v>37</v>
      </c>
      <c r="G1662">
        <v>15266</v>
      </c>
      <c r="H1662" t="s">
        <v>5044</v>
      </c>
      <c r="I1662" t="s">
        <v>5045</v>
      </c>
      <c r="J1662" t="s">
        <v>161</v>
      </c>
      <c r="O1662" t="s">
        <v>5046</v>
      </c>
      <c r="P1662">
        <v>491.3</v>
      </c>
      <c r="Q1662">
        <v>494.7</v>
      </c>
      <c r="R1662">
        <v>486.55</v>
      </c>
      <c r="S1662">
        <v>488.6</v>
      </c>
      <c r="T1662">
        <v>488.7</v>
      </c>
      <c r="U1662">
        <v>491.3</v>
      </c>
      <c r="W1662">
        <v>488.59</v>
      </c>
      <c r="Z1662">
        <v>24752</v>
      </c>
      <c r="AA1662">
        <v>12119541.35</v>
      </c>
      <c r="AB1662">
        <v>2182</v>
      </c>
      <c r="AC1662" t="s">
        <v>42</v>
      </c>
      <c r="AD1662">
        <v>1</v>
      </c>
    </row>
    <row r="1663" spans="1:30">
      <c r="A1663" t="str">
        <f>CONCATENATE(I1663,J1663)</f>
        <v>JMFINANCILEQ</v>
      </c>
      <c r="B1663" s="34">
        <v>46273</v>
      </c>
      <c r="C1663" s="34">
        <v>46273</v>
      </c>
      <c r="D1663" t="s">
        <v>35</v>
      </c>
      <c r="E1663" t="s">
        <v>36</v>
      </c>
      <c r="F1663" t="s">
        <v>37</v>
      </c>
      <c r="G1663">
        <v>13637</v>
      </c>
      <c r="H1663" t="s">
        <v>5047</v>
      </c>
      <c r="I1663" t="s">
        <v>5048</v>
      </c>
      <c r="J1663" t="s">
        <v>161</v>
      </c>
      <c r="O1663" t="s">
        <v>5049</v>
      </c>
      <c r="P1663">
        <v>130</v>
      </c>
      <c r="Q1663">
        <v>131.81</v>
      </c>
      <c r="R1663">
        <v>128.08000000000001</v>
      </c>
      <c r="S1663">
        <v>128.47</v>
      </c>
      <c r="T1663">
        <v>128.66999999999999</v>
      </c>
      <c r="U1663">
        <v>130.28</v>
      </c>
      <c r="W1663">
        <v>128.47</v>
      </c>
      <c r="Z1663">
        <v>1725261</v>
      </c>
      <c r="AA1663">
        <v>222825453.36000001</v>
      </c>
      <c r="AB1663">
        <v>15667</v>
      </c>
      <c r="AC1663" t="s">
        <v>42</v>
      </c>
      <c r="AD1663">
        <v>1</v>
      </c>
    </row>
    <row r="1664" spans="1:30">
      <c r="A1664" t="str">
        <f>CONCATENATE(I1664,J1664)</f>
        <v>JNKINDIAEQ</v>
      </c>
      <c r="B1664" s="34">
        <v>46273</v>
      </c>
      <c r="C1664" s="34">
        <v>46273</v>
      </c>
      <c r="D1664" t="s">
        <v>35</v>
      </c>
      <c r="E1664" t="s">
        <v>36</v>
      </c>
      <c r="F1664" t="s">
        <v>37</v>
      </c>
      <c r="G1664">
        <v>23621</v>
      </c>
      <c r="H1664" t="s">
        <v>5050</v>
      </c>
      <c r="I1664" t="s">
        <v>5051</v>
      </c>
      <c r="J1664" t="s">
        <v>161</v>
      </c>
      <c r="O1664" t="s">
        <v>5052</v>
      </c>
      <c r="P1664">
        <v>432.5</v>
      </c>
      <c r="Q1664">
        <v>450</v>
      </c>
      <c r="R1664">
        <v>432.5</v>
      </c>
      <c r="S1664">
        <v>440.5</v>
      </c>
      <c r="T1664">
        <v>445</v>
      </c>
      <c r="U1664">
        <v>435.35</v>
      </c>
      <c r="W1664">
        <v>440.46</v>
      </c>
      <c r="Z1664">
        <v>71281</v>
      </c>
      <c r="AA1664">
        <v>31539829.199999999</v>
      </c>
      <c r="AB1664">
        <v>2413</v>
      </c>
      <c r="AC1664" t="s">
        <v>42</v>
      </c>
      <c r="AD1664">
        <v>1</v>
      </c>
    </row>
    <row r="1665" spans="1:30">
      <c r="A1665" t="str">
        <f>CONCATENATE(I1665,J1665)</f>
        <v>JOCILEQ</v>
      </c>
      <c r="B1665" s="34">
        <v>46273</v>
      </c>
      <c r="C1665" s="34">
        <v>46273</v>
      </c>
      <c r="D1665" t="s">
        <v>35</v>
      </c>
      <c r="E1665" t="s">
        <v>36</v>
      </c>
      <c r="F1665" t="s">
        <v>37</v>
      </c>
      <c r="G1665">
        <v>16927</v>
      </c>
      <c r="H1665" t="s">
        <v>5053</v>
      </c>
      <c r="I1665" t="s">
        <v>5054</v>
      </c>
      <c r="J1665" t="s">
        <v>161</v>
      </c>
      <c r="O1665" t="s">
        <v>5055</v>
      </c>
      <c r="P1665">
        <v>160</v>
      </c>
      <c r="Q1665">
        <v>174</v>
      </c>
      <c r="R1665">
        <v>158.5</v>
      </c>
      <c r="S1665">
        <v>164.29</v>
      </c>
      <c r="T1665">
        <v>164</v>
      </c>
      <c r="U1665">
        <v>159.32</v>
      </c>
      <c r="W1665">
        <v>164.29</v>
      </c>
      <c r="Z1665">
        <v>81439</v>
      </c>
      <c r="AA1665">
        <v>13589758.15</v>
      </c>
      <c r="AB1665">
        <v>1387</v>
      </c>
      <c r="AC1665" t="s">
        <v>42</v>
      </c>
      <c r="AD1665">
        <v>1</v>
      </c>
    </row>
    <row r="1666" spans="1:30">
      <c r="A1666" t="str">
        <f>CONCATENATE(I1666,J1666)</f>
        <v>COCKERILLEQ</v>
      </c>
      <c r="B1666" s="34">
        <v>46273</v>
      </c>
      <c r="C1666" s="34">
        <v>46273</v>
      </c>
      <c r="D1666" t="s">
        <v>35</v>
      </c>
      <c r="E1666" t="s">
        <v>36</v>
      </c>
      <c r="F1666" t="s">
        <v>37</v>
      </c>
      <c r="G1666">
        <v>762623</v>
      </c>
      <c r="H1666" t="s">
        <v>5056</v>
      </c>
      <c r="I1666" t="s">
        <v>5057</v>
      </c>
      <c r="J1666" t="s">
        <v>161</v>
      </c>
      <c r="O1666" t="s">
        <v>5058</v>
      </c>
      <c r="P1666">
        <v>8029</v>
      </c>
      <c r="Q1666">
        <v>8409</v>
      </c>
      <c r="R1666">
        <v>8006</v>
      </c>
      <c r="S1666">
        <v>8325.5</v>
      </c>
      <c r="T1666">
        <v>8360</v>
      </c>
      <c r="U1666">
        <v>8065.5</v>
      </c>
      <c r="W1666">
        <v>8325.6200000000008</v>
      </c>
      <c r="Z1666">
        <v>11751</v>
      </c>
      <c r="AA1666">
        <v>97014093.5</v>
      </c>
      <c r="AB1666">
        <v>3316</v>
      </c>
      <c r="AC1666" t="s">
        <v>42</v>
      </c>
      <c r="AD1666">
        <v>1</v>
      </c>
    </row>
    <row r="1667" spans="1:30">
      <c r="A1667" t="str">
        <f>CONCATENATE(I1667,J1667)</f>
        <v>JSWCEMENTEQ</v>
      </c>
      <c r="B1667" s="34">
        <v>46273</v>
      </c>
      <c r="C1667" s="34">
        <v>46273</v>
      </c>
      <c r="D1667" t="s">
        <v>35</v>
      </c>
      <c r="E1667" t="s">
        <v>36</v>
      </c>
      <c r="F1667" t="s">
        <v>37</v>
      </c>
      <c r="G1667">
        <v>758460</v>
      </c>
      <c r="H1667" t="s">
        <v>5059</v>
      </c>
      <c r="I1667" t="s">
        <v>5060</v>
      </c>
      <c r="J1667" t="s">
        <v>161</v>
      </c>
      <c r="O1667" t="s">
        <v>5061</v>
      </c>
      <c r="P1667">
        <v>121.84</v>
      </c>
      <c r="Q1667">
        <v>122.09</v>
      </c>
      <c r="R1667">
        <v>120.26</v>
      </c>
      <c r="S1667">
        <v>121.62</v>
      </c>
      <c r="T1667">
        <v>121.5</v>
      </c>
      <c r="U1667">
        <v>121.81</v>
      </c>
      <c r="W1667">
        <v>121.62</v>
      </c>
      <c r="Z1667">
        <v>765295</v>
      </c>
      <c r="AA1667">
        <v>92820587.569999993</v>
      </c>
      <c r="AB1667">
        <v>19546</v>
      </c>
      <c r="AC1667" t="s">
        <v>42</v>
      </c>
      <c r="AD1667">
        <v>1</v>
      </c>
    </row>
    <row r="1668" spans="1:30">
      <c r="A1668" t="str">
        <f>CONCATENATE(I1668,J1668)</f>
        <v>JSWDULUXEQ</v>
      </c>
      <c r="B1668" s="34">
        <v>46273</v>
      </c>
      <c r="C1668" s="34">
        <v>46273</v>
      </c>
      <c r="D1668" t="s">
        <v>35</v>
      </c>
      <c r="E1668" t="s">
        <v>36</v>
      </c>
      <c r="F1668" t="s">
        <v>37</v>
      </c>
      <c r="G1668">
        <v>1467</v>
      </c>
      <c r="H1668" t="s">
        <v>5062</v>
      </c>
      <c r="I1668" t="s">
        <v>5063</v>
      </c>
      <c r="J1668" t="s">
        <v>161</v>
      </c>
      <c r="O1668" t="s">
        <v>5064</v>
      </c>
      <c r="P1668">
        <v>3199</v>
      </c>
      <c r="Q1668">
        <v>3199</v>
      </c>
      <c r="R1668">
        <v>3156.1</v>
      </c>
      <c r="S1668">
        <v>3174.4</v>
      </c>
      <c r="T1668">
        <v>3170</v>
      </c>
      <c r="U1668">
        <v>3186.8</v>
      </c>
      <c r="W1668">
        <v>3174.39</v>
      </c>
      <c r="Z1668">
        <v>37827</v>
      </c>
      <c r="AA1668">
        <v>120117690.5</v>
      </c>
      <c r="AB1668">
        <v>4254</v>
      </c>
      <c r="AC1668" t="s">
        <v>42</v>
      </c>
      <c r="AD1668">
        <v>1</v>
      </c>
    </row>
    <row r="1669" spans="1:30">
      <c r="A1669" t="str">
        <f>CONCATENATE(I1669,J1669)</f>
        <v>JSWENERGYEQ</v>
      </c>
      <c r="B1669" s="34">
        <v>46273</v>
      </c>
      <c r="C1669" s="34">
        <v>46273</v>
      </c>
      <c r="D1669" t="s">
        <v>35</v>
      </c>
      <c r="E1669" t="s">
        <v>36</v>
      </c>
      <c r="F1669" t="s">
        <v>37</v>
      </c>
      <c r="G1669">
        <v>17869</v>
      </c>
      <c r="H1669" t="s">
        <v>5065</v>
      </c>
      <c r="I1669" t="s">
        <v>5066</v>
      </c>
      <c r="J1669" t="s">
        <v>161</v>
      </c>
      <c r="O1669" t="s">
        <v>5067</v>
      </c>
      <c r="P1669">
        <v>527.04999999999995</v>
      </c>
      <c r="Q1669">
        <v>528.85</v>
      </c>
      <c r="R1669">
        <v>522.29999999999995</v>
      </c>
      <c r="S1669">
        <v>526.5</v>
      </c>
      <c r="T1669">
        <v>526.5</v>
      </c>
      <c r="U1669">
        <v>530</v>
      </c>
      <c r="W1669">
        <v>526.45000000000005</v>
      </c>
      <c r="Z1669">
        <v>1912629</v>
      </c>
      <c r="AA1669">
        <v>1005009849</v>
      </c>
      <c r="AB1669">
        <v>22706</v>
      </c>
      <c r="AC1669" t="s">
        <v>42</v>
      </c>
      <c r="AD1669">
        <v>1</v>
      </c>
    </row>
    <row r="1670" spans="1:30">
      <c r="A1670" t="str">
        <f>CONCATENATE(I1670,J1670)</f>
        <v>JSWHLEQ</v>
      </c>
      <c r="B1670" s="34">
        <v>46273</v>
      </c>
      <c r="C1670" s="34">
        <v>46273</v>
      </c>
      <c r="D1670" t="s">
        <v>35</v>
      </c>
      <c r="E1670" t="s">
        <v>36</v>
      </c>
      <c r="F1670" t="s">
        <v>37</v>
      </c>
      <c r="G1670">
        <v>11880</v>
      </c>
      <c r="H1670" t="s">
        <v>5068</v>
      </c>
      <c r="I1670" t="s">
        <v>5069</v>
      </c>
      <c r="J1670" t="s">
        <v>161</v>
      </c>
      <c r="O1670" t="s">
        <v>5070</v>
      </c>
      <c r="P1670">
        <v>11548</v>
      </c>
      <c r="Q1670">
        <v>11549</v>
      </c>
      <c r="R1670">
        <v>11222</v>
      </c>
      <c r="S1670">
        <v>11466</v>
      </c>
      <c r="T1670">
        <v>11402</v>
      </c>
      <c r="U1670">
        <v>11372</v>
      </c>
      <c r="W1670">
        <v>11466.68</v>
      </c>
      <c r="Z1670">
        <v>1674</v>
      </c>
      <c r="AA1670">
        <v>19011599</v>
      </c>
      <c r="AB1670">
        <v>668</v>
      </c>
      <c r="AC1670" t="s">
        <v>42</v>
      </c>
      <c r="AD1670">
        <v>1</v>
      </c>
    </row>
    <row r="1671" spans="1:30">
      <c r="A1671" t="str">
        <f>CONCATENATE(I1671,J1671)</f>
        <v>JSWINFRAEQ</v>
      </c>
      <c r="B1671" s="34">
        <v>46273</v>
      </c>
      <c r="C1671" s="34">
        <v>46273</v>
      </c>
      <c r="D1671" t="s">
        <v>35</v>
      </c>
      <c r="E1671" t="s">
        <v>36</v>
      </c>
      <c r="F1671" t="s">
        <v>37</v>
      </c>
      <c r="G1671">
        <v>19020</v>
      </c>
      <c r="H1671" t="s">
        <v>5071</v>
      </c>
      <c r="I1671" t="s">
        <v>5072</v>
      </c>
      <c r="J1671" t="s">
        <v>161</v>
      </c>
      <c r="O1671" t="s">
        <v>5073</v>
      </c>
      <c r="P1671">
        <v>330</v>
      </c>
      <c r="Q1671">
        <v>335.9</v>
      </c>
      <c r="R1671">
        <v>328.8</v>
      </c>
      <c r="S1671">
        <v>332</v>
      </c>
      <c r="T1671">
        <v>331.35</v>
      </c>
      <c r="U1671">
        <v>330.85</v>
      </c>
      <c r="W1671">
        <v>331.99</v>
      </c>
      <c r="Z1671">
        <v>1633475</v>
      </c>
      <c r="AA1671">
        <v>542754222.35000002</v>
      </c>
      <c r="AB1671">
        <v>62757</v>
      </c>
      <c r="AC1671" t="s">
        <v>42</v>
      </c>
      <c r="AD1671">
        <v>1</v>
      </c>
    </row>
    <row r="1672" spans="1:30">
      <c r="A1672" t="str">
        <f>CONCATENATE(I1672,J1672)</f>
        <v>JSWSTEELEQ</v>
      </c>
      <c r="B1672" s="34">
        <v>46273</v>
      </c>
      <c r="C1672" s="34">
        <v>46273</v>
      </c>
      <c r="D1672" t="s">
        <v>35</v>
      </c>
      <c r="E1672" t="s">
        <v>36</v>
      </c>
      <c r="F1672" t="s">
        <v>37</v>
      </c>
      <c r="G1672">
        <v>11723</v>
      </c>
      <c r="H1672" t="s">
        <v>5074</v>
      </c>
      <c r="I1672" t="s">
        <v>5075</v>
      </c>
      <c r="J1672" t="s">
        <v>161</v>
      </c>
      <c r="O1672" t="s">
        <v>5076</v>
      </c>
      <c r="P1672">
        <v>1306.4000000000001</v>
      </c>
      <c r="Q1672">
        <v>1315</v>
      </c>
      <c r="R1672">
        <v>1295.7</v>
      </c>
      <c r="S1672">
        <v>1297.3</v>
      </c>
      <c r="T1672">
        <v>1297.3</v>
      </c>
      <c r="U1672">
        <v>1302</v>
      </c>
      <c r="W1672">
        <v>1297.3</v>
      </c>
      <c r="Z1672">
        <v>1345313</v>
      </c>
      <c r="AA1672">
        <v>1753323294.2</v>
      </c>
      <c r="AB1672">
        <v>38739</v>
      </c>
      <c r="AC1672" t="s">
        <v>42</v>
      </c>
      <c r="AD1672">
        <v>1</v>
      </c>
    </row>
    <row r="1673" spans="1:30">
      <c r="A1673" t="str">
        <f>CONCATENATE(I1673,J1673)</f>
        <v>JTEKTINDIAEQ</v>
      </c>
      <c r="B1673" s="34">
        <v>46273</v>
      </c>
      <c r="C1673" s="34">
        <v>46273</v>
      </c>
      <c r="D1673" t="s">
        <v>35</v>
      </c>
      <c r="E1673" t="s">
        <v>36</v>
      </c>
      <c r="F1673" t="s">
        <v>37</v>
      </c>
      <c r="G1673">
        <v>3237</v>
      </c>
      <c r="H1673" t="s">
        <v>5077</v>
      </c>
      <c r="I1673" t="s">
        <v>5078</v>
      </c>
      <c r="J1673" t="s">
        <v>161</v>
      </c>
      <c r="O1673" t="s">
        <v>5079</v>
      </c>
      <c r="P1673">
        <v>121.5</v>
      </c>
      <c r="Q1673">
        <v>122.46</v>
      </c>
      <c r="R1673">
        <v>120.1</v>
      </c>
      <c r="S1673">
        <v>121.28</v>
      </c>
      <c r="T1673">
        <v>122</v>
      </c>
      <c r="U1673">
        <v>121.3</v>
      </c>
      <c r="W1673">
        <v>121.31</v>
      </c>
      <c r="Z1673">
        <v>94919</v>
      </c>
      <c r="AA1673">
        <v>11495535.800000001</v>
      </c>
      <c r="AB1673">
        <v>1570</v>
      </c>
      <c r="AC1673" t="s">
        <v>42</v>
      </c>
      <c r="AD1673">
        <v>1</v>
      </c>
    </row>
    <row r="1674" spans="1:30">
      <c r="A1674" t="str">
        <f>CONCATENATE(I1674,J1674)</f>
        <v>JTLINDEQ</v>
      </c>
      <c r="B1674" s="34">
        <v>46273</v>
      </c>
      <c r="C1674" s="34">
        <v>46273</v>
      </c>
      <c r="D1674" t="s">
        <v>35</v>
      </c>
      <c r="E1674" t="s">
        <v>36</v>
      </c>
      <c r="F1674" t="s">
        <v>37</v>
      </c>
      <c r="G1674">
        <v>7287</v>
      </c>
      <c r="H1674" t="s">
        <v>5080</v>
      </c>
      <c r="I1674" t="s">
        <v>5081</v>
      </c>
      <c r="J1674" t="s">
        <v>161</v>
      </c>
      <c r="O1674" t="s">
        <v>5082</v>
      </c>
      <c r="P1674">
        <v>89.25</v>
      </c>
      <c r="Q1674">
        <v>90.4</v>
      </c>
      <c r="R1674">
        <v>87.76</v>
      </c>
      <c r="S1674">
        <v>89.55</v>
      </c>
      <c r="T1674">
        <v>89.55</v>
      </c>
      <c r="U1674">
        <v>89.51</v>
      </c>
      <c r="W1674">
        <v>89.55</v>
      </c>
      <c r="Z1674">
        <v>3728512</v>
      </c>
      <c r="AA1674">
        <v>334558755.64999998</v>
      </c>
      <c r="AB1674">
        <v>13417</v>
      </c>
      <c r="AC1674" t="s">
        <v>42</v>
      </c>
      <c r="AD1674">
        <v>1</v>
      </c>
    </row>
    <row r="1675" spans="1:30">
      <c r="A1675" t="str">
        <f>CONCATENATE(I1675,J1675)</f>
        <v>JUBLCPLEQ</v>
      </c>
      <c r="B1675" s="34">
        <v>46273</v>
      </c>
      <c r="C1675" s="34">
        <v>46273</v>
      </c>
      <c r="D1675" t="s">
        <v>35</v>
      </c>
      <c r="E1675" t="s">
        <v>36</v>
      </c>
      <c r="F1675" t="s">
        <v>37</v>
      </c>
      <c r="G1675">
        <v>29590</v>
      </c>
      <c r="H1675" t="s">
        <v>5083</v>
      </c>
      <c r="I1675" t="s">
        <v>5084</v>
      </c>
      <c r="J1675" t="s">
        <v>161</v>
      </c>
      <c r="O1675" t="s">
        <v>5085</v>
      </c>
      <c r="P1675">
        <v>2230</v>
      </c>
      <c r="Q1675">
        <v>2230</v>
      </c>
      <c r="R1675">
        <v>2160.4</v>
      </c>
      <c r="S1675">
        <v>2177.8000000000002</v>
      </c>
      <c r="T1675">
        <v>2162</v>
      </c>
      <c r="U1675">
        <v>2206.6</v>
      </c>
      <c r="W1675">
        <v>2179.4</v>
      </c>
      <c r="Z1675">
        <v>4836</v>
      </c>
      <c r="AA1675">
        <v>10615539</v>
      </c>
      <c r="AB1675">
        <v>631</v>
      </c>
      <c r="AC1675" t="s">
        <v>42</v>
      </c>
      <c r="AD1675">
        <v>1</v>
      </c>
    </row>
    <row r="1676" spans="1:30">
      <c r="A1676" t="str">
        <f>CONCATENATE(I1676,J1676)</f>
        <v>JUBLFOODEQ</v>
      </c>
      <c r="B1676" s="34">
        <v>46273</v>
      </c>
      <c r="C1676" s="34">
        <v>46273</v>
      </c>
      <c r="D1676" t="s">
        <v>35</v>
      </c>
      <c r="E1676" t="s">
        <v>36</v>
      </c>
      <c r="F1676" t="s">
        <v>37</v>
      </c>
      <c r="G1676">
        <v>18096</v>
      </c>
      <c r="H1676" t="s">
        <v>5086</v>
      </c>
      <c r="I1676" t="s">
        <v>5087</v>
      </c>
      <c r="J1676" t="s">
        <v>161</v>
      </c>
      <c r="O1676" t="s">
        <v>5088</v>
      </c>
      <c r="P1676">
        <v>473</v>
      </c>
      <c r="Q1676">
        <v>484</v>
      </c>
      <c r="R1676">
        <v>471.5</v>
      </c>
      <c r="S1676">
        <v>480.4</v>
      </c>
      <c r="T1676">
        <v>480.4</v>
      </c>
      <c r="U1676">
        <v>475.4</v>
      </c>
      <c r="W1676">
        <v>480.43</v>
      </c>
      <c r="Z1676">
        <v>1239794</v>
      </c>
      <c r="AA1676">
        <v>594374968.10000002</v>
      </c>
      <c r="AB1676">
        <v>18460</v>
      </c>
      <c r="AC1676" t="s">
        <v>42</v>
      </c>
      <c r="AD1676">
        <v>1</v>
      </c>
    </row>
    <row r="1677" spans="1:30">
      <c r="A1677" t="str">
        <f>CONCATENATE(I1677,J1677)</f>
        <v>JUBLINGREAEQ</v>
      </c>
      <c r="B1677" s="34">
        <v>46273</v>
      </c>
      <c r="C1677" s="34">
        <v>46273</v>
      </c>
      <c r="D1677" t="s">
        <v>35</v>
      </c>
      <c r="E1677" t="s">
        <v>36</v>
      </c>
      <c r="F1677" t="s">
        <v>37</v>
      </c>
      <c r="G1677">
        <v>2783</v>
      </c>
      <c r="H1677" t="s">
        <v>5089</v>
      </c>
      <c r="I1677" t="s">
        <v>5090</v>
      </c>
      <c r="J1677" t="s">
        <v>161</v>
      </c>
      <c r="O1677" t="s">
        <v>5091</v>
      </c>
      <c r="P1677">
        <v>675.35</v>
      </c>
      <c r="Q1677">
        <v>680.3</v>
      </c>
      <c r="R1677">
        <v>664.05</v>
      </c>
      <c r="S1677">
        <v>675.3</v>
      </c>
      <c r="T1677">
        <v>673.5</v>
      </c>
      <c r="U1677">
        <v>675.35</v>
      </c>
      <c r="W1677">
        <v>675.3</v>
      </c>
      <c r="Z1677">
        <v>159391</v>
      </c>
      <c r="AA1677">
        <v>107320238</v>
      </c>
      <c r="AB1677">
        <v>10449</v>
      </c>
      <c r="AC1677" t="s">
        <v>42</v>
      </c>
      <c r="AD1677">
        <v>1</v>
      </c>
    </row>
    <row r="1678" spans="1:30">
      <c r="A1678" t="str">
        <f>CONCATENATE(I1678,J1678)</f>
        <v>JUBLPHARMAEQ</v>
      </c>
      <c r="B1678" s="34">
        <v>46273</v>
      </c>
      <c r="C1678" s="34">
        <v>46273</v>
      </c>
      <c r="D1678" t="s">
        <v>35</v>
      </c>
      <c r="E1678" t="s">
        <v>36</v>
      </c>
      <c r="F1678" t="s">
        <v>37</v>
      </c>
      <c r="G1678">
        <v>3637</v>
      </c>
      <c r="H1678" t="s">
        <v>5092</v>
      </c>
      <c r="I1678" t="s">
        <v>5093</v>
      </c>
      <c r="J1678" t="s">
        <v>161</v>
      </c>
      <c r="O1678" t="s">
        <v>5094</v>
      </c>
      <c r="P1678">
        <v>956</v>
      </c>
      <c r="Q1678">
        <v>1021.55</v>
      </c>
      <c r="R1678">
        <v>953.3</v>
      </c>
      <c r="S1678">
        <v>997.75</v>
      </c>
      <c r="T1678">
        <v>999.75</v>
      </c>
      <c r="U1678">
        <v>950.3</v>
      </c>
      <c r="W1678">
        <v>997.76</v>
      </c>
      <c r="Z1678">
        <v>1366696</v>
      </c>
      <c r="AA1678">
        <v>1365757630.5</v>
      </c>
      <c r="AB1678">
        <v>62321</v>
      </c>
      <c r="AC1678" t="s">
        <v>42</v>
      </c>
      <c r="AD1678">
        <v>1</v>
      </c>
    </row>
    <row r="1679" spans="1:30">
      <c r="A1679" t="str">
        <f>CONCATENATE(I1679,J1679)</f>
        <v>JMAEQ</v>
      </c>
      <c r="B1679" s="34">
        <v>46273</v>
      </c>
      <c r="C1679" s="34">
        <v>46273</v>
      </c>
      <c r="D1679" t="s">
        <v>35</v>
      </c>
      <c r="E1679" t="s">
        <v>36</v>
      </c>
      <c r="F1679" t="s">
        <v>37</v>
      </c>
      <c r="G1679">
        <v>7109</v>
      </c>
      <c r="H1679" t="s">
        <v>5095</v>
      </c>
      <c r="I1679" t="s">
        <v>5096</v>
      </c>
      <c r="J1679" t="s">
        <v>161</v>
      </c>
      <c r="O1679" t="s">
        <v>5097</v>
      </c>
      <c r="P1679">
        <v>91.79</v>
      </c>
      <c r="Q1679">
        <v>91.79</v>
      </c>
      <c r="R1679">
        <v>88.35</v>
      </c>
      <c r="S1679">
        <v>89.14</v>
      </c>
      <c r="T1679">
        <v>89.2</v>
      </c>
      <c r="U1679">
        <v>90.04</v>
      </c>
      <c r="W1679">
        <v>89.14</v>
      </c>
      <c r="Z1679">
        <v>7394</v>
      </c>
      <c r="AA1679">
        <v>670853.61</v>
      </c>
      <c r="AB1679">
        <v>149</v>
      </c>
      <c r="AC1679" t="s">
        <v>42</v>
      </c>
      <c r="AD1679">
        <v>1</v>
      </c>
    </row>
    <row r="1680" spans="1:30">
      <c r="A1680" t="str">
        <f>CONCATENATE(I1680,J1680)</f>
        <v>JNPREQ</v>
      </c>
      <c r="B1680" s="34">
        <v>46273</v>
      </c>
      <c r="C1680" s="34">
        <v>46273</v>
      </c>
      <c r="D1680" t="s">
        <v>35</v>
      </c>
      <c r="E1680" t="s">
        <v>36</v>
      </c>
      <c r="F1680" t="s">
        <v>37</v>
      </c>
      <c r="G1680">
        <v>764408</v>
      </c>
      <c r="H1680" t="s">
        <v>5098</v>
      </c>
      <c r="I1680" t="s">
        <v>5099</v>
      </c>
      <c r="J1680" t="s">
        <v>161</v>
      </c>
      <c r="O1680" t="s">
        <v>5100</v>
      </c>
      <c r="P1680">
        <v>259.05</v>
      </c>
      <c r="Q1680">
        <v>267.5</v>
      </c>
      <c r="R1680">
        <v>252.5</v>
      </c>
      <c r="S1680">
        <v>264.10000000000002</v>
      </c>
      <c r="T1680">
        <v>262.5</v>
      </c>
      <c r="U1680">
        <v>260.64999999999998</v>
      </c>
      <c r="W1680">
        <v>264.06</v>
      </c>
      <c r="Z1680">
        <v>742430</v>
      </c>
      <c r="AA1680">
        <v>194701965.55000001</v>
      </c>
      <c r="AB1680">
        <v>14419</v>
      </c>
      <c r="AC1680" t="s">
        <v>42</v>
      </c>
      <c r="AD1680">
        <v>1</v>
      </c>
    </row>
    <row r="1681" spans="1:30">
      <c r="A1681" t="str">
        <f>CONCATENATE(I1681,J1681)</f>
        <v>JUNIPEREQ</v>
      </c>
      <c r="B1681" s="34">
        <v>46273</v>
      </c>
      <c r="C1681" s="34">
        <v>46273</v>
      </c>
      <c r="D1681" t="s">
        <v>35</v>
      </c>
      <c r="E1681" t="s">
        <v>36</v>
      </c>
      <c r="F1681" t="s">
        <v>37</v>
      </c>
      <c r="G1681">
        <v>22824</v>
      </c>
      <c r="H1681" t="s">
        <v>5101</v>
      </c>
      <c r="I1681" t="s">
        <v>5102</v>
      </c>
      <c r="J1681" t="s">
        <v>161</v>
      </c>
      <c r="O1681" t="s">
        <v>5103</v>
      </c>
      <c r="P1681">
        <v>217.5</v>
      </c>
      <c r="Q1681">
        <v>217.5</v>
      </c>
      <c r="R1681">
        <v>212.72</v>
      </c>
      <c r="S1681">
        <v>215.75</v>
      </c>
      <c r="T1681">
        <v>215</v>
      </c>
      <c r="U1681">
        <v>215.33</v>
      </c>
      <c r="W1681">
        <v>215.75</v>
      </c>
      <c r="Z1681">
        <v>71832</v>
      </c>
      <c r="AA1681">
        <v>15453515.619999999</v>
      </c>
      <c r="AB1681">
        <v>2863</v>
      </c>
      <c r="AC1681" t="s">
        <v>42</v>
      </c>
      <c r="AD1681">
        <v>1</v>
      </c>
    </row>
    <row r="1682" spans="1:30">
      <c r="A1682" t="str">
        <f>CONCATENATE(I1682,J1682)</f>
        <v>JLHLEQ</v>
      </c>
      <c r="B1682" s="34">
        <v>46273</v>
      </c>
      <c r="C1682" s="34">
        <v>46273</v>
      </c>
      <c r="D1682" t="s">
        <v>35</v>
      </c>
      <c r="E1682" t="s">
        <v>36</v>
      </c>
      <c r="F1682" t="s">
        <v>37</v>
      </c>
      <c r="G1682">
        <v>18553</v>
      </c>
      <c r="H1682" t="s">
        <v>5104</v>
      </c>
      <c r="I1682" t="s">
        <v>5105</v>
      </c>
      <c r="J1682" t="s">
        <v>161</v>
      </c>
      <c r="O1682" t="s">
        <v>5106</v>
      </c>
      <c r="P1682">
        <v>285.39999999999998</v>
      </c>
      <c r="Q1682">
        <v>287</v>
      </c>
      <c r="R1682">
        <v>280.35000000000002</v>
      </c>
      <c r="S1682">
        <v>283.35000000000002</v>
      </c>
      <c r="T1682">
        <v>282.10000000000002</v>
      </c>
      <c r="U1682">
        <v>285.39999999999998</v>
      </c>
      <c r="W1682">
        <v>283.35000000000002</v>
      </c>
      <c r="Z1682">
        <v>33842</v>
      </c>
      <c r="AA1682">
        <v>9615759.5</v>
      </c>
      <c r="AB1682">
        <v>2268</v>
      </c>
      <c r="AC1682" t="s">
        <v>42</v>
      </c>
      <c r="AD1682">
        <v>1</v>
      </c>
    </row>
    <row r="1683" spans="1:30">
      <c r="A1683" t="str">
        <f>CONCATENATE(I1683,J1683)</f>
        <v>JWLEQ</v>
      </c>
      <c r="B1683" s="34">
        <v>46273</v>
      </c>
      <c r="C1683" s="34">
        <v>46273</v>
      </c>
      <c r="D1683" t="s">
        <v>35</v>
      </c>
      <c r="E1683" t="s">
        <v>36</v>
      </c>
      <c r="F1683" t="s">
        <v>37</v>
      </c>
      <c r="G1683">
        <v>20224</v>
      </c>
      <c r="H1683" t="s">
        <v>5107</v>
      </c>
      <c r="I1683" t="s">
        <v>5108</v>
      </c>
      <c r="J1683" t="s">
        <v>161</v>
      </c>
      <c r="O1683" t="s">
        <v>5109</v>
      </c>
      <c r="P1683">
        <v>244</v>
      </c>
      <c r="Q1683">
        <v>245.15</v>
      </c>
      <c r="R1683">
        <v>241.5</v>
      </c>
      <c r="S1683">
        <v>242.41</v>
      </c>
      <c r="T1683">
        <v>242.5</v>
      </c>
      <c r="U1683">
        <v>244.99</v>
      </c>
      <c r="W1683">
        <v>242.42</v>
      </c>
      <c r="Z1683">
        <v>476036</v>
      </c>
      <c r="AA1683">
        <v>115834546.53</v>
      </c>
      <c r="AB1683">
        <v>14253</v>
      </c>
      <c r="AC1683" t="s">
        <v>42</v>
      </c>
      <c r="AD1683">
        <v>1</v>
      </c>
    </row>
    <row r="1684" spans="1:30">
      <c r="A1684" t="str">
        <f>CONCATENATE(I1684,J1684)</f>
        <v>JUSTDIALEQ</v>
      </c>
      <c r="B1684" s="34">
        <v>46273</v>
      </c>
      <c r="C1684" s="34">
        <v>46273</v>
      </c>
      <c r="D1684" t="s">
        <v>35</v>
      </c>
      <c r="E1684" t="s">
        <v>36</v>
      </c>
      <c r="F1684" t="s">
        <v>37</v>
      </c>
      <c r="G1684">
        <v>29962</v>
      </c>
      <c r="H1684" t="s">
        <v>5110</v>
      </c>
      <c r="I1684" t="s">
        <v>5111</v>
      </c>
      <c r="J1684" t="s">
        <v>161</v>
      </c>
      <c r="O1684" t="s">
        <v>5112</v>
      </c>
      <c r="P1684">
        <v>705</v>
      </c>
      <c r="Q1684">
        <v>705</v>
      </c>
      <c r="R1684">
        <v>685.5</v>
      </c>
      <c r="S1684">
        <v>694.25</v>
      </c>
      <c r="T1684">
        <v>689.9</v>
      </c>
      <c r="U1684">
        <v>698.75</v>
      </c>
      <c r="W1684">
        <v>694.25</v>
      </c>
      <c r="Z1684">
        <v>162622</v>
      </c>
      <c r="AA1684">
        <v>112572864.40000001</v>
      </c>
      <c r="AB1684">
        <v>5392</v>
      </c>
      <c r="AC1684" t="s">
        <v>42</v>
      </c>
      <c r="AD1684">
        <v>1</v>
      </c>
    </row>
    <row r="1685" spans="1:30">
      <c r="A1685" t="str">
        <f>CONCATENATE(I1685,J1685)</f>
        <v>JYOTHYLABEQ</v>
      </c>
      <c r="B1685" s="34">
        <v>46273</v>
      </c>
      <c r="C1685" s="34">
        <v>46273</v>
      </c>
      <c r="D1685" t="s">
        <v>35</v>
      </c>
      <c r="E1685" t="s">
        <v>36</v>
      </c>
      <c r="F1685" t="s">
        <v>37</v>
      </c>
      <c r="G1685">
        <v>15146</v>
      </c>
      <c r="H1685" t="s">
        <v>5113</v>
      </c>
      <c r="I1685" t="s">
        <v>5114</v>
      </c>
      <c r="J1685" t="s">
        <v>161</v>
      </c>
      <c r="O1685" t="s">
        <v>5115</v>
      </c>
      <c r="P1685">
        <v>195.1</v>
      </c>
      <c r="Q1685">
        <v>196.01</v>
      </c>
      <c r="R1685">
        <v>192.3</v>
      </c>
      <c r="S1685">
        <v>194.59</v>
      </c>
      <c r="T1685">
        <v>194.05</v>
      </c>
      <c r="U1685">
        <v>195.1</v>
      </c>
      <c r="W1685">
        <v>194.6</v>
      </c>
      <c r="Z1685">
        <v>457936</v>
      </c>
      <c r="AA1685">
        <v>88780626.099999994</v>
      </c>
      <c r="AB1685">
        <v>10113</v>
      </c>
      <c r="AC1685" t="s">
        <v>42</v>
      </c>
      <c r="AD1685">
        <v>1</v>
      </c>
    </row>
    <row r="1686" spans="1:30">
      <c r="A1686" t="str">
        <f>CONCATENATE(I1686,J1686)</f>
        <v>JYOTICNCEQ</v>
      </c>
      <c r="B1686" s="34">
        <v>46273</v>
      </c>
      <c r="C1686" s="34">
        <v>46273</v>
      </c>
      <c r="D1686" t="s">
        <v>35</v>
      </c>
      <c r="E1686" t="s">
        <v>36</v>
      </c>
      <c r="F1686" t="s">
        <v>37</v>
      </c>
      <c r="G1686">
        <v>21334</v>
      </c>
      <c r="H1686" t="s">
        <v>5116</v>
      </c>
      <c r="I1686" t="s">
        <v>5117</v>
      </c>
      <c r="J1686" t="s">
        <v>161</v>
      </c>
      <c r="O1686" t="s">
        <v>5118</v>
      </c>
      <c r="P1686">
        <v>1020</v>
      </c>
      <c r="Q1686">
        <v>1058.8499999999999</v>
      </c>
      <c r="R1686">
        <v>1012.45</v>
      </c>
      <c r="S1686">
        <v>1037.2</v>
      </c>
      <c r="T1686">
        <v>1040.5</v>
      </c>
      <c r="U1686">
        <v>1020.65</v>
      </c>
      <c r="W1686">
        <v>1037.18</v>
      </c>
      <c r="Z1686">
        <v>1316914</v>
      </c>
      <c r="AA1686">
        <v>1372128503</v>
      </c>
      <c r="AB1686">
        <v>41618</v>
      </c>
      <c r="AC1686" t="s">
        <v>42</v>
      </c>
      <c r="AD1686">
        <v>1</v>
      </c>
    </row>
    <row r="1687" spans="1:30">
      <c r="A1687" t="str">
        <f>CONCATENATE(I1687,J1687)</f>
        <v>JYOTIGLOBLSM</v>
      </c>
      <c r="B1687" s="34">
        <v>46273</v>
      </c>
      <c r="C1687" s="34">
        <v>46273</v>
      </c>
      <c r="D1687" t="s">
        <v>35</v>
      </c>
      <c r="E1687" t="s">
        <v>36</v>
      </c>
      <c r="F1687" t="s">
        <v>37</v>
      </c>
      <c r="G1687">
        <v>758221</v>
      </c>
      <c r="H1687" t="s">
        <v>5119</v>
      </c>
      <c r="I1687" t="s">
        <v>5120</v>
      </c>
      <c r="J1687" t="s">
        <v>267</v>
      </c>
      <c r="O1687" t="s">
        <v>5121</v>
      </c>
      <c r="P1687">
        <v>44.4</v>
      </c>
      <c r="Q1687">
        <v>44.4</v>
      </c>
      <c r="R1687">
        <v>44.4</v>
      </c>
      <c r="S1687">
        <v>44.4</v>
      </c>
      <c r="T1687">
        <v>44.4</v>
      </c>
      <c r="U1687">
        <v>42.3</v>
      </c>
      <c r="W1687">
        <v>44.4</v>
      </c>
      <c r="Z1687">
        <v>14000</v>
      </c>
      <c r="AA1687">
        <v>621600</v>
      </c>
      <c r="AB1687">
        <v>6</v>
      </c>
      <c r="AC1687" t="s">
        <v>42</v>
      </c>
      <c r="AD1687">
        <v>2000</v>
      </c>
    </row>
    <row r="1688" spans="1:30">
      <c r="A1688" t="str">
        <f>CONCATENATE(I1688,J1688)</f>
        <v>JYOTIRESEQ</v>
      </c>
      <c r="B1688" s="34">
        <v>46273</v>
      </c>
      <c r="C1688" s="34">
        <v>46273</v>
      </c>
      <c r="D1688" t="s">
        <v>35</v>
      </c>
      <c r="E1688" t="s">
        <v>36</v>
      </c>
      <c r="F1688" t="s">
        <v>37</v>
      </c>
      <c r="G1688">
        <v>764733</v>
      </c>
      <c r="H1688" t="s">
        <v>5122</v>
      </c>
      <c r="I1688" t="s">
        <v>5123</v>
      </c>
      <c r="J1688" t="s">
        <v>161</v>
      </c>
      <c r="O1688" t="s">
        <v>5124</v>
      </c>
      <c r="P1688">
        <v>875.95</v>
      </c>
      <c r="Q1688">
        <v>880</v>
      </c>
      <c r="R1688">
        <v>866.5</v>
      </c>
      <c r="S1688">
        <v>873.95</v>
      </c>
      <c r="T1688">
        <v>866.5</v>
      </c>
      <c r="U1688">
        <v>868.75</v>
      </c>
      <c r="W1688">
        <v>874.77</v>
      </c>
      <c r="Z1688">
        <v>8040</v>
      </c>
      <c r="AA1688">
        <v>7028502.5</v>
      </c>
      <c r="AB1688">
        <v>685</v>
      </c>
      <c r="AC1688" t="s">
        <v>42</v>
      </c>
      <c r="AD1688">
        <v>1</v>
      </c>
    </row>
    <row r="1689" spans="1:30">
      <c r="A1689" t="str">
        <f>CONCATENATE(I1689,J1689)</f>
        <v>JYOTISTRUCEQ</v>
      </c>
      <c r="B1689" s="34">
        <v>46273</v>
      </c>
      <c r="C1689" s="34">
        <v>46273</v>
      </c>
      <c r="D1689" t="s">
        <v>35</v>
      </c>
      <c r="E1689" t="s">
        <v>36</v>
      </c>
      <c r="F1689" t="s">
        <v>37</v>
      </c>
      <c r="G1689">
        <v>1802</v>
      </c>
      <c r="H1689" t="s">
        <v>5125</v>
      </c>
      <c r="I1689" t="s">
        <v>5126</v>
      </c>
      <c r="J1689" t="s">
        <v>161</v>
      </c>
      <c r="O1689" t="s">
        <v>5127</v>
      </c>
      <c r="P1689">
        <v>10.29</v>
      </c>
      <c r="Q1689">
        <v>10.85</v>
      </c>
      <c r="R1689">
        <v>10.050000000000001</v>
      </c>
      <c r="S1689">
        <v>10.42</v>
      </c>
      <c r="T1689">
        <v>10.42</v>
      </c>
      <c r="U1689">
        <v>10.16</v>
      </c>
      <c r="W1689">
        <v>10.42</v>
      </c>
      <c r="Z1689">
        <v>14533173</v>
      </c>
      <c r="AA1689">
        <v>152524872.44999999</v>
      </c>
      <c r="AB1689">
        <v>15208</v>
      </c>
      <c r="AC1689" t="s">
        <v>42</v>
      </c>
      <c r="AD1689">
        <v>1</v>
      </c>
    </row>
    <row r="1690" spans="1:30">
      <c r="A1690" t="str">
        <f>CONCATENATE(I1690,J1690)</f>
        <v>KJMCFINEQ</v>
      </c>
      <c r="B1690" s="34">
        <v>46273</v>
      </c>
      <c r="C1690" s="34">
        <v>46273</v>
      </c>
      <c r="D1690" t="s">
        <v>35</v>
      </c>
      <c r="E1690" t="s">
        <v>36</v>
      </c>
      <c r="F1690" t="s">
        <v>37</v>
      </c>
      <c r="G1690">
        <v>764743</v>
      </c>
      <c r="H1690" t="s">
        <v>5128</v>
      </c>
      <c r="I1690" t="s">
        <v>5129</v>
      </c>
      <c r="J1690" t="s">
        <v>161</v>
      </c>
      <c r="O1690" t="s">
        <v>5130</v>
      </c>
      <c r="P1690">
        <v>61.84</v>
      </c>
      <c r="Q1690">
        <v>64.89</v>
      </c>
      <c r="R1690">
        <v>61.54</v>
      </c>
      <c r="S1690">
        <v>62.54</v>
      </c>
      <c r="T1690">
        <v>62</v>
      </c>
      <c r="U1690">
        <v>61.84</v>
      </c>
      <c r="W1690">
        <v>62.54</v>
      </c>
      <c r="Z1690">
        <v>1447</v>
      </c>
      <c r="AA1690">
        <v>89965.75</v>
      </c>
      <c r="AB1690">
        <v>68</v>
      </c>
      <c r="AC1690" t="s">
        <v>42</v>
      </c>
      <c r="AD1690">
        <v>1</v>
      </c>
    </row>
    <row r="1691" spans="1:30">
      <c r="A1691" t="str">
        <f>CONCATENATE(I1691,J1691)</f>
        <v>KMCSHILEQ</v>
      </c>
      <c r="B1691" s="34">
        <v>46273</v>
      </c>
      <c r="C1691" s="34">
        <v>46273</v>
      </c>
      <c r="D1691" t="s">
        <v>35</v>
      </c>
      <c r="E1691" t="s">
        <v>36</v>
      </c>
      <c r="F1691" t="s">
        <v>37</v>
      </c>
      <c r="G1691">
        <v>764748</v>
      </c>
      <c r="H1691" t="s">
        <v>5131</v>
      </c>
      <c r="I1691" t="s">
        <v>5132</v>
      </c>
      <c r="J1691" t="s">
        <v>161</v>
      </c>
      <c r="O1691" t="s">
        <v>5133</v>
      </c>
      <c r="P1691">
        <v>138.59</v>
      </c>
      <c r="Q1691">
        <v>138.59</v>
      </c>
      <c r="R1691">
        <v>134.61000000000001</v>
      </c>
      <c r="S1691">
        <v>137.59</v>
      </c>
      <c r="T1691">
        <v>137.72999999999999</v>
      </c>
      <c r="U1691">
        <v>135.72999999999999</v>
      </c>
      <c r="W1691">
        <v>137.63</v>
      </c>
      <c r="Z1691">
        <v>73643</v>
      </c>
      <c r="AA1691">
        <v>10069335.619999999</v>
      </c>
      <c r="AB1691">
        <v>1526</v>
      </c>
      <c r="AC1691" t="s">
        <v>42</v>
      </c>
      <c r="AD1691">
        <v>1</v>
      </c>
    </row>
    <row r="1692" spans="1:30">
      <c r="A1692" t="str">
        <f>CONCATENATE(I1692,J1692)</f>
        <v>KMSUGAREQ</v>
      </c>
      <c r="B1692" s="34">
        <v>46273</v>
      </c>
      <c r="C1692" s="34">
        <v>46273</v>
      </c>
      <c r="D1692" t="s">
        <v>35</v>
      </c>
      <c r="E1692" t="s">
        <v>36</v>
      </c>
      <c r="F1692" t="s">
        <v>37</v>
      </c>
      <c r="G1692">
        <v>14667</v>
      </c>
      <c r="H1692" t="s">
        <v>5134</v>
      </c>
      <c r="I1692" t="s">
        <v>5135</v>
      </c>
      <c r="J1692" t="s">
        <v>161</v>
      </c>
      <c r="O1692" t="s">
        <v>5136</v>
      </c>
      <c r="P1692">
        <v>30.6</v>
      </c>
      <c r="Q1692">
        <v>30.95</v>
      </c>
      <c r="R1692">
        <v>30.05</v>
      </c>
      <c r="S1692">
        <v>30.31</v>
      </c>
      <c r="T1692">
        <v>30.52</v>
      </c>
      <c r="U1692">
        <v>30.71</v>
      </c>
      <c r="W1692">
        <v>30.31</v>
      </c>
      <c r="Z1692">
        <v>153322</v>
      </c>
      <c r="AA1692">
        <v>4657355.62</v>
      </c>
      <c r="AB1692">
        <v>825</v>
      </c>
      <c r="AC1692" t="s">
        <v>42</v>
      </c>
      <c r="AD1692">
        <v>1</v>
      </c>
    </row>
    <row r="1693" spans="1:30">
      <c r="A1693" t="str">
        <f>CONCATENATE(I1693,J1693)</f>
        <v>KPELEQ</v>
      </c>
      <c r="B1693" s="34">
        <v>46273</v>
      </c>
      <c r="C1693" s="34">
        <v>46273</v>
      </c>
      <c r="D1693" t="s">
        <v>35</v>
      </c>
      <c r="E1693" t="s">
        <v>36</v>
      </c>
      <c r="F1693" t="s">
        <v>37</v>
      </c>
      <c r="G1693">
        <v>27079</v>
      </c>
      <c r="H1693" t="s">
        <v>5137</v>
      </c>
      <c r="I1693" t="s">
        <v>5138</v>
      </c>
      <c r="J1693" t="s">
        <v>161</v>
      </c>
      <c r="O1693" t="s">
        <v>5139</v>
      </c>
      <c r="P1693">
        <v>242</v>
      </c>
      <c r="Q1693">
        <v>242.21</v>
      </c>
      <c r="R1693">
        <v>235</v>
      </c>
      <c r="S1693">
        <v>235.88</v>
      </c>
      <c r="T1693">
        <v>235.7</v>
      </c>
      <c r="U1693">
        <v>241.85</v>
      </c>
      <c r="W1693">
        <v>235.91</v>
      </c>
      <c r="Z1693">
        <v>359793</v>
      </c>
      <c r="AA1693">
        <v>85476051.609999999</v>
      </c>
      <c r="AB1693">
        <v>7711</v>
      </c>
      <c r="AC1693" t="s">
        <v>42</v>
      </c>
      <c r="AD1693">
        <v>1</v>
      </c>
    </row>
    <row r="1694" spans="1:30">
      <c r="A1694" t="str">
        <f>CONCATENATE(I1694,J1694)</f>
        <v>K2INFRAST</v>
      </c>
      <c r="B1694" s="34">
        <v>46273</v>
      </c>
      <c r="C1694" s="34">
        <v>46273</v>
      </c>
      <c r="D1694" t="s">
        <v>35</v>
      </c>
      <c r="E1694" t="s">
        <v>36</v>
      </c>
      <c r="F1694" t="s">
        <v>37</v>
      </c>
      <c r="G1694">
        <v>23462</v>
      </c>
      <c r="H1694" t="s">
        <v>5140</v>
      </c>
      <c r="I1694" t="s">
        <v>5141</v>
      </c>
      <c r="J1694" t="s">
        <v>328</v>
      </c>
      <c r="O1694" t="s">
        <v>5142</v>
      </c>
      <c r="P1694">
        <v>46</v>
      </c>
      <c r="Q1694">
        <v>47.95</v>
      </c>
      <c r="R1694">
        <v>45.45</v>
      </c>
      <c r="S1694">
        <v>46.05</v>
      </c>
      <c r="T1694">
        <v>45.8</v>
      </c>
      <c r="U1694">
        <v>47.4</v>
      </c>
      <c r="W1694">
        <v>46.05</v>
      </c>
      <c r="Z1694">
        <v>46200</v>
      </c>
      <c r="AA1694">
        <v>2150940</v>
      </c>
      <c r="AB1694">
        <v>59</v>
      </c>
      <c r="AC1694" t="s">
        <v>42</v>
      </c>
      <c r="AD1694">
        <v>600</v>
      </c>
    </row>
    <row r="1695" spans="1:30">
      <c r="A1695" t="str">
        <f>CONCATENATE(I1695,J1695)</f>
        <v>KABRAEXTRUEQ</v>
      </c>
      <c r="B1695" s="34">
        <v>46273</v>
      </c>
      <c r="C1695" s="34">
        <v>46273</v>
      </c>
      <c r="D1695" t="s">
        <v>35</v>
      </c>
      <c r="E1695" t="s">
        <v>36</v>
      </c>
      <c r="F1695" t="s">
        <v>37</v>
      </c>
      <c r="G1695">
        <v>1805</v>
      </c>
      <c r="H1695" t="s">
        <v>5143</v>
      </c>
      <c r="I1695" t="s">
        <v>5144</v>
      </c>
      <c r="J1695" t="s">
        <v>161</v>
      </c>
      <c r="O1695" t="s">
        <v>5145</v>
      </c>
      <c r="P1695">
        <v>639.5</v>
      </c>
      <c r="Q1695">
        <v>677.75</v>
      </c>
      <c r="R1695">
        <v>639</v>
      </c>
      <c r="S1695">
        <v>656.45</v>
      </c>
      <c r="T1695">
        <v>659.95</v>
      </c>
      <c r="U1695">
        <v>634.5</v>
      </c>
      <c r="W1695">
        <v>656.41</v>
      </c>
      <c r="Z1695">
        <v>524936</v>
      </c>
      <c r="AA1695">
        <v>347112239</v>
      </c>
      <c r="AB1695">
        <v>21858</v>
      </c>
      <c r="AC1695" t="s">
        <v>42</v>
      </c>
      <c r="AD1695">
        <v>1</v>
      </c>
    </row>
    <row r="1696" spans="1:30">
      <c r="A1696" t="str">
        <f>CONCATENATE(I1696,J1696)</f>
        <v>KKJEWELSSM</v>
      </c>
      <c r="B1696" s="34">
        <v>46273</v>
      </c>
      <c r="C1696" s="34">
        <v>46273</v>
      </c>
      <c r="D1696" t="s">
        <v>35</v>
      </c>
      <c r="E1696" t="s">
        <v>36</v>
      </c>
      <c r="F1696" t="s">
        <v>37</v>
      </c>
      <c r="G1696">
        <v>29192</v>
      </c>
      <c r="H1696" t="s">
        <v>5146</v>
      </c>
      <c r="I1696" t="s">
        <v>5147</v>
      </c>
      <c r="J1696" t="s">
        <v>267</v>
      </c>
      <c r="O1696" t="s">
        <v>5148</v>
      </c>
      <c r="P1696">
        <v>99.95</v>
      </c>
      <c r="Q1696">
        <v>106.5</v>
      </c>
      <c r="R1696">
        <v>99.95</v>
      </c>
      <c r="S1696">
        <v>103.3</v>
      </c>
      <c r="T1696">
        <v>104.75</v>
      </c>
      <c r="U1696">
        <v>98</v>
      </c>
      <c r="W1696">
        <v>103.3</v>
      </c>
      <c r="Z1696">
        <v>37000</v>
      </c>
      <c r="AA1696">
        <v>3838800</v>
      </c>
      <c r="AB1696">
        <v>35</v>
      </c>
      <c r="AC1696" t="s">
        <v>42</v>
      </c>
      <c r="AD1696">
        <v>1000</v>
      </c>
    </row>
    <row r="1697" spans="1:30">
      <c r="A1697" t="str">
        <f>CONCATENATE(I1697,J1697)</f>
        <v>KAJARIACEREQ</v>
      </c>
      <c r="B1697" s="34">
        <v>46273</v>
      </c>
      <c r="C1697" s="34">
        <v>46273</v>
      </c>
      <c r="D1697" t="s">
        <v>35</v>
      </c>
      <c r="E1697" t="s">
        <v>36</v>
      </c>
      <c r="F1697" t="s">
        <v>37</v>
      </c>
      <c r="G1697">
        <v>1808</v>
      </c>
      <c r="H1697" t="s">
        <v>5149</v>
      </c>
      <c r="I1697" t="s">
        <v>5150</v>
      </c>
      <c r="J1697" t="s">
        <v>161</v>
      </c>
      <c r="O1697" t="s">
        <v>5151</v>
      </c>
      <c r="P1697">
        <v>1220.4000000000001</v>
      </c>
      <c r="Q1697">
        <v>1254.5999999999999</v>
      </c>
      <c r="R1697">
        <v>1213.7</v>
      </c>
      <c r="S1697">
        <v>1250.2</v>
      </c>
      <c r="T1697">
        <v>1250</v>
      </c>
      <c r="U1697">
        <v>1220.5</v>
      </c>
      <c r="W1697">
        <v>1250.2</v>
      </c>
      <c r="Z1697">
        <v>255311</v>
      </c>
      <c r="AA1697">
        <v>317387263.10000002</v>
      </c>
      <c r="AB1697">
        <v>21028</v>
      </c>
      <c r="AC1697" t="s">
        <v>42</v>
      </c>
      <c r="AD1697">
        <v>1</v>
      </c>
    </row>
    <row r="1698" spans="1:30">
      <c r="A1698" t="str">
        <f>CONCATENATE(I1698,J1698)</f>
        <v>KAKATCEMEQ</v>
      </c>
      <c r="B1698" s="34">
        <v>46273</v>
      </c>
      <c r="C1698" s="34">
        <v>46273</v>
      </c>
      <c r="D1698" t="s">
        <v>35</v>
      </c>
      <c r="E1698" t="s">
        <v>36</v>
      </c>
      <c r="F1698" t="s">
        <v>37</v>
      </c>
      <c r="G1698">
        <v>1811</v>
      </c>
      <c r="H1698" t="s">
        <v>5152</v>
      </c>
      <c r="I1698" t="s">
        <v>5153</v>
      </c>
      <c r="J1698" t="s">
        <v>161</v>
      </c>
      <c r="O1698" t="s">
        <v>5154</v>
      </c>
      <c r="P1698">
        <v>109.14</v>
      </c>
      <c r="Q1698">
        <v>112</v>
      </c>
      <c r="R1698">
        <v>108.7</v>
      </c>
      <c r="S1698">
        <v>111.14</v>
      </c>
      <c r="T1698">
        <v>112</v>
      </c>
      <c r="U1698">
        <v>109.14</v>
      </c>
      <c r="W1698">
        <v>111.07</v>
      </c>
      <c r="Z1698">
        <v>915</v>
      </c>
      <c r="AA1698">
        <v>100846.74</v>
      </c>
      <c r="AB1698">
        <v>33</v>
      </c>
      <c r="AC1698" t="s">
        <v>42</v>
      </c>
      <c r="AD1698">
        <v>1</v>
      </c>
    </row>
    <row r="1699" spans="1:30">
      <c r="A1699" t="str">
        <f>CONCATENATE(I1699,J1699)</f>
        <v>KALANASM</v>
      </c>
      <c r="B1699" s="34">
        <v>46273</v>
      </c>
      <c r="C1699" s="34">
        <v>46273</v>
      </c>
      <c r="D1699" t="s">
        <v>35</v>
      </c>
      <c r="E1699" t="s">
        <v>36</v>
      </c>
      <c r="F1699" t="s">
        <v>37</v>
      </c>
      <c r="G1699">
        <v>25443</v>
      </c>
      <c r="H1699" t="s">
        <v>5155</v>
      </c>
      <c r="I1699" t="s">
        <v>5156</v>
      </c>
      <c r="J1699" t="s">
        <v>267</v>
      </c>
      <c r="O1699" t="s">
        <v>5157</v>
      </c>
      <c r="P1699">
        <v>20.55</v>
      </c>
      <c r="Q1699">
        <v>20.55</v>
      </c>
      <c r="R1699">
        <v>20.55</v>
      </c>
      <c r="S1699">
        <v>20.55</v>
      </c>
      <c r="T1699">
        <v>20.55</v>
      </c>
      <c r="U1699">
        <v>19.600000000000001</v>
      </c>
      <c r="W1699">
        <v>20.55</v>
      </c>
      <c r="Z1699">
        <v>4000</v>
      </c>
      <c r="AA1699">
        <v>82200</v>
      </c>
      <c r="AB1699">
        <v>2</v>
      </c>
      <c r="AC1699" t="s">
        <v>42</v>
      </c>
      <c r="AD1699">
        <v>2000</v>
      </c>
    </row>
    <row r="1700" spans="1:30">
      <c r="A1700" t="str">
        <f>CONCATENATE(I1700,J1700)</f>
        <v>KALPATARUEQ</v>
      </c>
      <c r="B1700" s="34">
        <v>46273</v>
      </c>
      <c r="C1700" s="34">
        <v>46273</v>
      </c>
      <c r="D1700" t="s">
        <v>35</v>
      </c>
      <c r="E1700" t="s">
        <v>36</v>
      </c>
      <c r="F1700" t="s">
        <v>37</v>
      </c>
      <c r="G1700">
        <v>758558</v>
      </c>
      <c r="H1700" t="s">
        <v>5158</v>
      </c>
      <c r="I1700" t="s">
        <v>5159</v>
      </c>
      <c r="J1700" t="s">
        <v>161</v>
      </c>
      <c r="O1700" t="s">
        <v>5160</v>
      </c>
      <c r="P1700">
        <v>275.35000000000002</v>
      </c>
      <c r="Q1700">
        <v>275.35000000000002</v>
      </c>
      <c r="R1700">
        <v>271</v>
      </c>
      <c r="S1700">
        <v>272.14999999999998</v>
      </c>
      <c r="T1700">
        <v>271</v>
      </c>
      <c r="U1700">
        <v>275.89999999999998</v>
      </c>
      <c r="W1700">
        <v>272.11</v>
      </c>
      <c r="Z1700">
        <v>25325</v>
      </c>
      <c r="AA1700">
        <v>6896367.9500000002</v>
      </c>
      <c r="AB1700">
        <v>796</v>
      </c>
      <c r="AC1700" t="s">
        <v>42</v>
      </c>
      <c r="AD1700">
        <v>1</v>
      </c>
    </row>
    <row r="1701" spans="1:30">
      <c r="A1701" t="str">
        <f>CONCATENATE(I1701,J1701)</f>
        <v>KPILEQ</v>
      </c>
      <c r="B1701" s="34">
        <v>46273</v>
      </c>
      <c r="C1701" s="34">
        <v>46273</v>
      </c>
      <c r="D1701" t="s">
        <v>35</v>
      </c>
      <c r="E1701" t="s">
        <v>36</v>
      </c>
      <c r="F1701" t="s">
        <v>37</v>
      </c>
      <c r="G1701">
        <v>1814</v>
      </c>
      <c r="H1701" t="s">
        <v>5161</v>
      </c>
      <c r="I1701" t="s">
        <v>5162</v>
      </c>
      <c r="J1701" t="s">
        <v>161</v>
      </c>
      <c r="O1701" t="s">
        <v>5163</v>
      </c>
      <c r="P1701">
        <v>1430.9</v>
      </c>
      <c r="Q1701">
        <v>1444.8</v>
      </c>
      <c r="R1701">
        <v>1393.3</v>
      </c>
      <c r="S1701">
        <v>1397.5</v>
      </c>
      <c r="T1701">
        <v>1395</v>
      </c>
      <c r="U1701">
        <v>1424.4</v>
      </c>
      <c r="W1701">
        <v>1397.46</v>
      </c>
      <c r="Z1701">
        <v>132996</v>
      </c>
      <c r="AA1701">
        <v>187558215.40000001</v>
      </c>
      <c r="AB1701">
        <v>17107</v>
      </c>
      <c r="AC1701" t="s">
        <v>42</v>
      </c>
      <c r="AD1701">
        <v>1</v>
      </c>
    </row>
    <row r="1702" spans="1:30">
      <c r="A1702" t="str">
        <f>CONCATENATE(I1702,J1702)</f>
        <v>KALYANKJILEQ</v>
      </c>
      <c r="B1702" s="34">
        <v>46273</v>
      </c>
      <c r="C1702" s="34">
        <v>46273</v>
      </c>
      <c r="D1702" t="s">
        <v>35</v>
      </c>
      <c r="E1702" t="s">
        <v>36</v>
      </c>
      <c r="F1702" t="s">
        <v>37</v>
      </c>
      <c r="G1702">
        <v>2955</v>
      </c>
      <c r="H1702" t="s">
        <v>5164</v>
      </c>
      <c r="I1702" t="s">
        <v>5165</v>
      </c>
      <c r="J1702" t="s">
        <v>161</v>
      </c>
      <c r="O1702" t="s">
        <v>5166</v>
      </c>
      <c r="P1702">
        <v>591</v>
      </c>
      <c r="Q1702">
        <v>618.9</v>
      </c>
      <c r="R1702">
        <v>587.1</v>
      </c>
      <c r="S1702">
        <v>612.6</v>
      </c>
      <c r="T1702">
        <v>612.6</v>
      </c>
      <c r="U1702">
        <v>591</v>
      </c>
      <c r="W1702">
        <v>612.59</v>
      </c>
      <c r="Z1702">
        <v>10713234</v>
      </c>
      <c r="AA1702">
        <v>6522060430.25</v>
      </c>
      <c r="AB1702">
        <v>102656</v>
      </c>
      <c r="AC1702" t="s">
        <v>42</v>
      </c>
      <c r="AD1702">
        <v>1</v>
      </c>
    </row>
    <row r="1703" spans="1:30">
      <c r="A1703" t="str">
        <f>CONCATENATE(I1703,J1703)</f>
        <v>KALYANIFRGBE</v>
      </c>
      <c r="B1703" s="34">
        <v>46273</v>
      </c>
      <c r="C1703" s="34">
        <v>46273</v>
      </c>
      <c r="D1703" t="s">
        <v>35</v>
      </c>
      <c r="E1703" t="s">
        <v>36</v>
      </c>
      <c r="F1703" t="s">
        <v>37</v>
      </c>
      <c r="G1703">
        <v>15160</v>
      </c>
      <c r="H1703" t="s">
        <v>5167</v>
      </c>
      <c r="I1703" t="s">
        <v>5168</v>
      </c>
      <c r="J1703" t="s">
        <v>183</v>
      </c>
      <c r="O1703" t="s">
        <v>5169</v>
      </c>
      <c r="P1703">
        <v>985.1</v>
      </c>
      <c r="Q1703">
        <v>1010</v>
      </c>
      <c r="R1703">
        <v>975.65</v>
      </c>
      <c r="S1703">
        <v>975.65</v>
      </c>
      <c r="T1703">
        <v>975.65</v>
      </c>
      <c r="U1703">
        <v>1027</v>
      </c>
      <c r="W1703">
        <v>973.85</v>
      </c>
      <c r="Z1703">
        <v>3521</v>
      </c>
      <c r="AA1703">
        <v>3439065.85</v>
      </c>
      <c r="AB1703">
        <v>216</v>
      </c>
      <c r="AC1703" t="s">
        <v>42</v>
      </c>
      <c r="AD1703">
        <v>1</v>
      </c>
    </row>
    <row r="1704" spans="1:30">
      <c r="A1704" t="str">
        <f>CONCATENATE(I1704,J1704)</f>
        <v>KICLEQ</v>
      </c>
      <c r="B1704" s="34">
        <v>46273</v>
      </c>
      <c r="C1704" s="34">
        <v>46273</v>
      </c>
      <c r="D1704" t="s">
        <v>35</v>
      </c>
      <c r="E1704" t="s">
        <v>36</v>
      </c>
      <c r="F1704" t="s">
        <v>37</v>
      </c>
      <c r="G1704">
        <v>21119</v>
      </c>
      <c r="H1704" t="s">
        <v>5170</v>
      </c>
      <c r="I1704" t="s">
        <v>5171</v>
      </c>
      <c r="J1704" t="s">
        <v>161</v>
      </c>
      <c r="O1704" t="s">
        <v>5172</v>
      </c>
      <c r="P1704">
        <v>5166</v>
      </c>
      <c r="Q1704">
        <v>5234.5</v>
      </c>
      <c r="R1704">
        <v>5074.5</v>
      </c>
      <c r="S1704">
        <v>5144</v>
      </c>
      <c r="T1704">
        <v>5136</v>
      </c>
      <c r="U1704">
        <v>5196</v>
      </c>
      <c r="W1704">
        <v>5144</v>
      </c>
      <c r="Z1704">
        <v>982</v>
      </c>
      <c r="AA1704">
        <v>5038615.5</v>
      </c>
      <c r="AB1704">
        <v>205</v>
      </c>
      <c r="AC1704" t="s">
        <v>42</v>
      </c>
      <c r="AD1704">
        <v>1</v>
      </c>
    </row>
    <row r="1705" spans="1:30">
      <c r="A1705" t="str">
        <f>CONCATENATE(I1705,J1705)</f>
        <v>KSLEQ</v>
      </c>
      <c r="B1705" s="34">
        <v>46273</v>
      </c>
      <c r="C1705" s="34">
        <v>46273</v>
      </c>
      <c r="D1705" t="s">
        <v>35</v>
      </c>
      <c r="E1705" t="s">
        <v>36</v>
      </c>
      <c r="F1705" t="s">
        <v>37</v>
      </c>
      <c r="G1705">
        <v>18889</v>
      </c>
      <c r="H1705" t="s">
        <v>5173</v>
      </c>
      <c r="I1705" t="s">
        <v>5174</v>
      </c>
      <c r="J1705" t="s">
        <v>161</v>
      </c>
      <c r="O1705" t="s">
        <v>5175</v>
      </c>
      <c r="P1705">
        <v>951.05</v>
      </c>
      <c r="Q1705">
        <v>959</v>
      </c>
      <c r="R1705">
        <v>900</v>
      </c>
      <c r="S1705">
        <v>907.8</v>
      </c>
      <c r="T1705">
        <v>900</v>
      </c>
      <c r="U1705">
        <v>941.45</v>
      </c>
      <c r="W1705">
        <v>907.8</v>
      </c>
      <c r="Z1705">
        <v>117932</v>
      </c>
      <c r="AA1705">
        <v>109066069.75</v>
      </c>
      <c r="AB1705">
        <v>8873</v>
      </c>
      <c r="AC1705" t="s">
        <v>42</v>
      </c>
      <c r="AD1705">
        <v>1</v>
      </c>
    </row>
    <row r="1706" spans="1:30">
      <c r="A1706" t="str">
        <f>CONCATENATE(I1706,J1706)</f>
        <v>KAMAHOLDEQ</v>
      </c>
      <c r="B1706" s="34">
        <v>46273</v>
      </c>
      <c r="C1706" s="34">
        <v>46273</v>
      </c>
      <c r="D1706" t="s">
        <v>35</v>
      </c>
      <c r="E1706" t="s">
        <v>36</v>
      </c>
      <c r="F1706" t="s">
        <v>37</v>
      </c>
      <c r="G1706">
        <v>762732</v>
      </c>
      <c r="H1706" t="s">
        <v>5176</v>
      </c>
      <c r="I1706" t="s">
        <v>5177</v>
      </c>
      <c r="J1706" t="s">
        <v>161</v>
      </c>
      <c r="O1706" t="s">
        <v>5178</v>
      </c>
      <c r="P1706">
        <v>2336.5</v>
      </c>
      <c r="Q1706">
        <v>2336.5</v>
      </c>
      <c r="R1706">
        <v>2316.1</v>
      </c>
      <c r="S1706">
        <v>2318.6999999999998</v>
      </c>
      <c r="T1706">
        <v>2318</v>
      </c>
      <c r="U1706">
        <v>2331.1</v>
      </c>
      <c r="W1706">
        <v>2318.65</v>
      </c>
      <c r="Z1706">
        <v>1318</v>
      </c>
      <c r="AA1706">
        <v>3062175</v>
      </c>
      <c r="AB1706">
        <v>406</v>
      </c>
      <c r="AC1706" t="s">
        <v>42</v>
      </c>
      <c r="AD1706">
        <v>1</v>
      </c>
    </row>
    <row r="1707" spans="1:30">
      <c r="A1707" t="str">
        <f>CONCATENATE(I1707,J1707)</f>
        <v>KAMANWALAEQ</v>
      </c>
      <c r="B1707" s="34">
        <v>46273</v>
      </c>
      <c r="C1707" s="34">
        <v>46273</v>
      </c>
      <c r="D1707" t="s">
        <v>35</v>
      </c>
      <c r="E1707" t="s">
        <v>36</v>
      </c>
      <c r="F1707" t="s">
        <v>37</v>
      </c>
      <c r="G1707">
        <v>764738</v>
      </c>
      <c r="H1707" t="s">
        <v>5179</v>
      </c>
      <c r="I1707" t="s">
        <v>5180</v>
      </c>
      <c r="J1707" t="s">
        <v>161</v>
      </c>
      <c r="O1707" t="s">
        <v>5181</v>
      </c>
      <c r="P1707">
        <v>16.5</v>
      </c>
      <c r="Q1707">
        <v>16.899999999999999</v>
      </c>
      <c r="R1707">
        <v>16.5</v>
      </c>
      <c r="S1707">
        <v>16.5</v>
      </c>
      <c r="T1707">
        <v>16.5</v>
      </c>
      <c r="U1707">
        <v>16.53</v>
      </c>
      <c r="W1707">
        <v>16.670000000000002</v>
      </c>
      <c r="Z1707">
        <v>2514</v>
      </c>
      <c r="AA1707">
        <v>41486.44</v>
      </c>
      <c r="AB1707">
        <v>10</v>
      </c>
      <c r="AC1707" t="s">
        <v>42</v>
      </c>
      <c r="AD1707">
        <v>1</v>
      </c>
    </row>
    <row r="1708" spans="1:30">
      <c r="A1708" t="str">
        <f>CONCATENATE(I1708,J1708)</f>
        <v>KAMATHOTELEQ</v>
      </c>
      <c r="B1708" s="34">
        <v>46273</v>
      </c>
      <c r="C1708" s="34">
        <v>46273</v>
      </c>
      <c r="D1708" t="s">
        <v>35</v>
      </c>
      <c r="E1708" t="s">
        <v>36</v>
      </c>
      <c r="F1708" t="s">
        <v>37</v>
      </c>
      <c r="G1708">
        <v>1826</v>
      </c>
      <c r="H1708" t="s">
        <v>5182</v>
      </c>
      <c r="I1708" t="s">
        <v>5183</v>
      </c>
      <c r="J1708" t="s">
        <v>161</v>
      </c>
      <c r="O1708" t="s">
        <v>5184</v>
      </c>
      <c r="P1708">
        <v>226.2</v>
      </c>
      <c r="Q1708">
        <v>234.79</v>
      </c>
      <c r="R1708">
        <v>223.02</v>
      </c>
      <c r="S1708">
        <v>232.18</v>
      </c>
      <c r="T1708">
        <v>231.01</v>
      </c>
      <c r="U1708">
        <v>228.19</v>
      </c>
      <c r="W1708">
        <v>232.15</v>
      </c>
      <c r="Z1708">
        <v>103818</v>
      </c>
      <c r="AA1708">
        <v>23698830.280000001</v>
      </c>
      <c r="AB1708">
        <v>2885</v>
      </c>
      <c r="AC1708" t="s">
        <v>42</v>
      </c>
      <c r="AD1708">
        <v>1</v>
      </c>
    </row>
    <row r="1709" spans="1:30">
      <c r="A1709" t="str">
        <f>CONCATENATE(I1709,J1709)</f>
        <v>KAMDHENUBE</v>
      </c>
      <c r="B1709" s="34">
        <v>46273</v>
      </c>
      <c r="C1709" s="34">
        <v>46273</v>
      </c>
      <c r="D1709" t="s">
        <v>35</v>
      </c>
      <c r="E1709" t="s">
        <v>36</v>
      </c>
      <c r="F1709" t="s">
        <v>37</v>
      </c>
      <c r="G1709">
        <v>13461</v>
      </c>
      <c r="H1709" t="s">
        <v>5185</v>
      </c>
      <c r="I1709" t="s">
        <v>5186</v>
      </c>
      <c r="J1709" t="s">
        <v>183</v>
      </c>
      <c r="O1709" t="s">
        <v>5187</v>
      </c>
      <c r="P1709">
        <v>40.880000000000003</v>
      </c>
      <c r="Q1709">
        <v>40.950000000000003</v>
      </c>
      <c r="R1709">
        <v>39.6</v>
      </c>
      <c r="S1709">
        <v>40.25</v>
      </c>
      <c r="T1709">
        <v>40.25</v>
      </c>
      <c r="U1709">
        <v>39.880000000000003</v>
      </c>
      <c r="W1709">
        <v>40.31</v>
      </c>
      <c r="Z1709">
        <v>844372</v>
      </c>
      <c r="AA1709">
        <v>34053943.829999998</v>
      </c>
      <c r="AB1709">
        <v>1614</v>
      </c>
      <c r="AC1709" t="s">
        <v>42</v>
      </c>
      <c r="AD1709">
        <v>1</v>
      </c>
    </row>
    <row r="1710" spans="1:30">
      <c r="A1710" t="str">
        <f>CONCATENATE(I1710,J1710)</f>
        <v>KAMOPAINTSEQ</v>
      </c>
      <c r="B1710" s="34">
        <v>46273</v>
      </c>
      <c r="C1710" s="34">
        <v>46273</v>
      </c>
      <c r="D1710" t="s">
        <v>35</v>
      </c>
      <c r="E1710" t="s">
        <v>36</v>
      </c>
      <c r="F1710" t="s">
        <v>37</v>
      </c>
      <c r="G1710">
        <v>13814</v>
      </c>
      <c r="H1710" t="s">
        <v>5188</v>
      </c>
      <c r="I1710" t="s">
        <v>5189</v>
      </c>
      <c r="J1710" t="s">
        <v>161</v>
      </c>
      <c r="O1710" t="s">
        <v>5190</v>
      </c>
      <c r="P1710">
        <v>4.4000000000000004</v>
      </c>
      <c r="Q1710">
        <v>4.55</v>
      </c>
      <c r="R1710">
        <v>4.37</v>
      </c>
      <c r="S1710">
        <v>4.45</v>
      </c>
      <c r="T1710">
        <v>4.5</v>
      </c>
      <c r="U1710">
        <v>4.4000000000000004</v>
      </c>
      <c r="W1710">
        <v>4.45</v>
      </c>
      <c r="Z1710">
        <v>331028</v>
      </c>
      <c r="AA1710">
        <v>1476078.37</v>
      </c>
      <c r="AB1710">
        <v>570</v>
      </c>
      <c r="AC1710" t="s">
        <v>42</v>
      </c>
      <c r="AD1710">
        <v>1</v>
      </c>
    </row>
    <row r="1711" spans="1:30">
      <c r="A1711" t="str">
        <f>CONCATENATE(I1711,J1711)</f>
        <v>KANANIINDEQ</v>
      </c>
      <c r="B1711" s="34">
        <v>46273</v>
      </c>
      <c r="C1711" s="34">
        <v>46273</v>
      </c>
      <c r="D1711" t="s">
        <v>35</v>
      </c>
      <c r="E1711" t="s">
        <v>36</v>
      </c>
      <c r="F1711" t="s">
        <v>37</v>
      </c>
      <c r="G1711">
        <v>25786</v>
      </c>
      <c r="H1711" t="s">
        <v>5191</v>
      </c>
      <c r="I1711" t="s">
        <v>5192</v>
      </c>
      <c r="J1711" t="s">
        <v>161</v>
      </c>
      <c r="O1711" t="s">
        <v>5193</v>
      </c>
      <c r="P1711">
        <v>1.51</v>
      </c>
      <c r="Q1711">
        <v>1.54</v>
      </c>
      <c r="R1711">
        <v>1.51</v>
      </c>
      <c r="S1711">
        <v>1.53</v>
      </c>
      <c r="T1711">
        <v>1.53</v>
      </c>
      <c r="U1711">
        <v>1.52</v>
      </c>
      <c r="W1711">
        <v>1.53</v>
      </c>
      <c r="Z1711">
        <v>86175</v>
      </c>
      <c r="AA1711">
        <v>131632.59</v>
      </c>
      <c r="AB1711">
        <v>266</v>
      </c>
      <c r="AC1711" t="s">
        <v>42</v>
      </c>
      <c r="AD1711">
        <v>1</v>
      </c>
    </row>
    <row r="1712" spans="1:30">
      <c r="A1712" t="str">
        <f>CONCATENATE(I1712,J1712)</f>
        <v>KANCHIEQ</v>
      </c>
      <c r="B1712" s="34">
        <v>46273</v>
      </c>
      <c r="C1712" s="34">
        <v>46273</v>
      </c>
      <c r="D1712" t="s">
        <v>35</v>
      </c>
      <c r="E1712" t="s">
        <v>36</v>
      </c>
      <c r="F1712" t="s">
        <v>37</v>
      </c>
      <c r="G1712">
        <v>762737</v>
      </c>
      <c r="H1712" t="s">
        <v>5194</v>
      </c>
      <c r="I1712" t="s">
        <v>5195</v>
      </c>
      <c r="J1712" t="s">
        <v>161</v>
      </c>
      <c r="O1712" t="s">
        <v>5196</v>
      </c>
      <c r="P1712">
        <v>403.05</v>
      </c>
      <c r="Q1712">
        <v>407</v>
      </c>
      <c r="R1712">
        <v>394</v>
      </c>
      <c r="S1712">
        <v>403.95</v>
      </c>
      <c r="T1712">
        <v>405</v>
      </c>
      <c r="U1712">
        <v>403.05</v>
      </c>
      <c r="W1712">
        <v>403.95</v>
      </c>
      <c r="Z1712">
        <v>862</v>
      </c>
      <c r="AA1712">
        <v>346961.5</v>
      </c>
      <c r="AB1712">
        <v>127</v>
      </c>
      <c r="AC1712" t="s">
        <v>42</v>
      </c>
      <c r="AD1712">
        <v>1</v>
      </c>
    </row>
    <row r="1713" spans="1:30">
      <c r="A1713" t="str">
        <f>CONCATENATE(I1713,J1713)</f>
        <v>KANCOTEAEQ</v>
      </c>
      <c r="B1713" s="34">
        <v>46273</v>
      </c>
      <c r="C1713" s="34">
        <v>46273</v>
      </c>
      <c r="D1713" t="s">
        <v>35</v>
      </c>
      <c r="E1713" t="s">
        <v>36</v>
      </c>
      <c r="F1713" t="s">
        <v>37</v>
      </c>
      <c r="G1713">
        <v>765090</v>
      </c>
      <c r="H1713" t="s">
        <v>5197</v>
      </c>
      <c r="I1713" t="s">
        <v>5198</v>
      </c>
      <c r="J1713" t="s">
        <v>161</v>
      </c>
      <c r="O1713" t="s">
        <v>5199</v>
      </c>
      <c r="P1713">
        <v>56</v>
      </c>
      <c r="Q1713">
        <v>56</v>
      </c>
      <c r="R1713">
        <v>52.99</v>
      </c>
      <c r="S1713">
        <v>55.89</v>
      </c>
      <c r="T1713">
        <v>55.89</v>
      </c>
      <c r="U1713">
        <v>56.4</v>
      </c>
      <c r="W1713">
        <v>55.89</v>
      </c>
      <c r="Z1713">
        <v>218</v>
      </c>
      <c r="AA1713">
        <v>11710.02</v>
      </c>
      <c r="AB1713">
        <v>12</v>
      </c>
      <c r="AC1713" t="s">
        <v>42</v>
      </c>
      <c r="AD1713">
        <v>1</v>
      </c>
    </row>
    <row r="1714" spans="1:30">
      <c r="A1714" t="str">
        <f>CONCATENATE(I1714,J1714)</f>
        <v>KANDARPSM</v>
      </c>
      <c r="B1714" s="34">
        <v>46273</v>
      </c>
      <c r="C1714" s="34">
        <v>46273</v>
      </c>
      <c r="D1714" t="s">
        <v>35</v>
      </c>
      <c r="E1714" t="s">
        <v>36</v>
      </c>
      <c r="F1714" t="s">
        <v>37</v>
      </c>
      <c r="G1714">
        <v>11208</v>
      </c>
      <c r="H1714" t="s">
        <v>5200</v>
      </c>
      <c r="I1714" t="s">
        <v>5201</v>
      </c>
      <c r="J1714" t="s">
        <v>267</v>
      </c>
      <c r="O1714" t="s">
        <v>5202</v>
      </c>
      <c r="P1714">
        <v>91.05</v>
      </c>
      <c r="Q1714">
        <v>92.1</v>
      </c>
      <c r="R1714">
        <v>88.65</v>
      </c>
      <c r="S1714">
        <v>88.65</v>
      </c>
      <c r="T1714">
        <v>88.65</v>
      </c>
      <c r="U1714">
        <v>98.5</v>
      </c>
      <c r="W1714">
        <v>88.65</v>
      </c>
      <c r="Z1714">
        <v>16000</v>
      </c>
      <c r="AA1714">
        <v>1445500</v>
      </c>
      <c r="AB1714">
        <v>16</v>
      </c>
      <c r="AC1714" t="s">
        <v>42</v>
      </c>
      <c r="AD1714">
        <v>1000</v>
      </c>
    </row>
    <row r="1715" spans="1:30">
      <c r="A1715" t="str">
        <f>CONCATENATE(I1715,J1715)</f>
        <v>KANORICHEMBE</v>
      </c>
      <c r="B1715" s="34">
        <v>46273</v>
      </c>
      <c r="C1715" s="34">
        <v>46273</v>
      </c>
      <c r="D1715" t="s">
        <v>35</v>
      </c>
      <c r="E1715" t="s">
        <v>36</v>
      </c>
      <c r="F1715" t="s">
        <v>37</v>
      </c>
      <c r="G1715">
        <v>9805</v>
      </c>
      <c r="H1715" t="s">
        <v>5203</v>
      </c>
      <c r="I1715" t="s">
        <v>5204</v>
      </c>
      <c r="J1715" t="s">
        <v>183</v>
      </c>
      <c r="O1715" t="s">
        <v>5205</v>
      </c>
      <c r="P1715">
        <v>156.75</v>
      </c>
      <c r="Q1715">
        <v>161.5</v>
      </c>
      <c r="R1715">
        <v>152.80000000000001</v>
      </c>
      <c r="S1715">
        <v>158.9</v>
      </c>
      <c r="T1715">
        <v>159.9</v>
      </c>
      <c r="U1715">
        <v>155.41</v>
      </c>
      <c r="W1715">
        <v>159.08000000000001</v>
      </c>
      <c r="Z1715">
        <v>28552</v>
      </c>
      <c r="AA1715">
        <v>4538099.28</v>
      </c>
      <c r="AB1715">
        <v>246</v>
      </c>
      <c r="AC1715" t="s">
        <v>42</v>
      </c>
      <c r="AD1715">
        <v>1</v>
      </c>
    </row>
    <row r="1716" spans="1:30">
      <c r="A1716" t="str">
        <f>CONCATENATE(I1716,J1716)</f>
        <v>KANPRPLAEQ</v>
      </c>
      <c r="B1716" s="34">
        <v>46273</v>
      </c>
      <c r="C1716" s="34">
        <v>46273</v>
      </c>
      <c r="D1716" t="s">
        <v>35</v>
      </c>
      <c r="E1716" t="s">
        <v>36</v>
      </c>
      <c r="F1716" t="s">
        <v>37</v>
      </c>
      <c r="G1716">
        <v>1782</v>
      </c>
      <c r="H1716" t="s">
        <v>5206</v>
      </c>
      <c r="I1716" t="s">
        <v>5207</v>
      </c>
      <c r="J1716" t="s">
        <v>161</v>
      </c>
      <c r="O1716" t="s">
        <v>5208</v>
      </c>
      <c r="P1716">
        <v>238.1</v>
      </c>
      <c r="Q1716">
        <v>246</v>
      </c>
      <c r="R1716">
        <v>233.55</v>
      </c>
      <c r="S1716">
        <v>242.1</v>
      </c>
      <c r="T1716">
        <v>243.05</v>
      </c>
      <c r="U1716">
        <v>240.1</v>
      </c>
      <c r="W1716">
        <v>242.2</v>
      </c>
      <c r="Z1716">
        <v>25065</v>
      </c>
      <c r="AA1716">
        <v>6008661.8499999996</v>
      </c>
      <c r="AB1716">
        <v>1781</v>
      </c>
      <c r="AC1716" t="s">
        <v>42</v>
      </c>
      <c r="AD1716">
        <v>1</v>
      </c>
    </row>
    <row r="1717" spans="1:30">
      <c r="A1717" t="str">
        <f>CONCATENATE(I1717,J1717)</f>
        <v>KANSAINEREQ</v>
      </c>
      <c r="B1717" s="34">
        <v>46273</v>
      </c>
      <c r="C1717" s="34">
        <v>46273</v>
      </c>
      <c r="D1717" t="s">
        <v>35</v>
      </c>
      <c r="E1717" t="s">
        <v>36</v>
      </c>
      <c r="F1717" t="s">
        <v>37</v>
      </c>
      <c r="G1717">
        <v>1196</v>
      </c>
      <c r="H1717" t="s">
        <v>5209</v>
      </c>
      <c r="I1717" t="s">
        <v>5210</v>
      </c>
      <c r="J1717" t="s">
        <v>161</v>
      </c>
      <c r="O1717" t="s">
        <v>5211</v>
      </c>
      <c r="P1717">
        <v>194.27</v>
      </c>
      <c r="Q1717">
        <v>194.5</v>
      </c>
      <c r="R1717">
        <v>191.14</v>
      </c>
      <c r="S1717">
        <v>193.4</v>
      </c>
      <c r="T1717">
        <v>192.6</v>
      </c>
      <c r="U1717">
        <v>194.28</v>
      </c>
      <c r="W1717">
        <v>193.4</v>
      </c>
      <c r="Z1717">
        <v>173879</v>
      </c>
      <c r="AA1717">
        <v>33595497.090000004</v>
      </c>
      <c r="AB1717">
        <v>6507</v>
      </c>
      <c r="AC1717" t="s">
        <v>42</v>
      </c>
      <c r="AD1717">
        <v>1</v>
      </c>
    </row>
    <row r="1718" spans="1:30">
      <c r="A1718" t="str">
        <f>CONCATENATE(I1718,J1718)</f>
        <v>KAPSTONEQ</v>
      </c>
      <c r="B1718" s="34">
        <v>46273</v>
      </c>
      <c r="C1718" s="34">
        <v>46273</v>
      </c>
      <c r="D1718" t="s">
        <v>35</v>
      </c>
      <c r="E1718" t="s">
        <v>36</v>
      </c>
      <c r="F1718" t="s">
        <v>37</v>
      </c>
      <c r="G1718">
        <v>18967</v>
      </c>
      <c r="H1718" t="s">
        <v>5212</v>
      </c>
      <c r="I1718" t="s">
        <v>5213</v>
      </c>
      <c r="J1718" t="s">
        <v>161</v>
      </c>
      <c r="O1718" t="s">
        <v>5214</v>
      </c>
      <c r="P1718">
        <v>570.4</v>
      </c>
      <c r="Q1718">
        <v>577.04999999999995</v>
      </c>
      <c r="R1718">
        <v>561</v>
      </c>
      <c r="S1718">
        <v>573.65</v>
      </c>
      <c r="T1718">
        <v>573</v>
      </c>
      <c r="U1718">
        <v>566.5</v>
      </c>
      <c r="W1718">
        <v>573.65</v>
      </c>
      <c r="Z1718">
        <v>21702</v>
      </c>
      <c r="AA1718">
        <v>12318169.85</v>
      </c>
      <c r="AB1718">
        <v>1219</v>
      </c>
      <c r="AC1718" t="s">
        <v>42</v>
      </c>
      <c r="AD1718">
        <v>1</v>
      </c>
    </row>
    <row r="1719" spans="1:30">
      <c r="A1719" t="str">
        <f>CONCATENATE(I1719,J1719)</f>
        <v>KARMAENGEQ</v>
      </c>
      <c r="B1719" s="34">
        <v>46273</v>
      </c>
      <c r="C1719" s="34">
        <v>46273</v>
      </c>
      <c r="D1719" t="s">
        <v>35</v>
      </c>
      <c r="E1719" t="s">
        <v>36</v>
      </c>
      <c r="F1719" t="s">
        <v>37</v>
      </c>
      <c r="G1719">
        <v>24385</v>
      </c>
      <c r="H1719" t="s">
        <v>5215</v>
      </c>
      <c r="I1719" t="s">
        <v>5216</v>
      </c>
      <c r="J1719" t="s">
        <v>161</v>
      </c>
      <c r="O1719" t="s">
        <v>5217</v>
      </c>
      <c r="P1719">
        <v>37.700000000000003</v>
      </c>
      <c r="Q1719">
        <v>37.99</v>
      </c>
      <c r="R1719">
        <v>36.799999999999997</v>
      </c>
      <c r="S1719">
        <v>37.18</v>
      </c>
      <c r="T1719">
        <v>37</v>
      </c>
      <c r="U1719">
        <v>37.299999999999997</v>
      </c>
      <c r="W1719">
        <v>37.18</v>
      </c>
      <c r="Z1719">
        <v>445</v>
      </c>
      <c r="AA1719">
        <v>16746.14</v>
      </c>
      <c r="AB1719">
        <v>20</v>
      </c>
      <c r="AC1719" t="s">
        <v>42</v>
      </c>
      <c r="AD1719">
        <v>1</v>
      </c>
    </row>
    <row r="1720" spans="1:30">
      <c r="A1720" t="str">
        <f>CONCATENATE(I1720,J1720)</f>
        <v>KTKBANKEQ</v>
      </c>
      <c r="B1720" s="34">
        <v>46273</v>
      </c>
      <c r="C1720" s="34">
        <v>46273</v>
      </c>
      <c r="D1720" t="s">
        <v>35</v>
      </c>
      <c r="E1720" t="s">
        <v>36</v>
      </c>
      <c r="F1720" t="s">
        <v>37</v>
      </c>
      <c r="G1720">
        <v>8054</v>
      </c>
      <c r="H1720" t="s">
        <v>5218</v>
      </c>
      <c r="I1720" t="s">
        <v>5219</v>
      </c>
      <c r="J1720" t="s">
        <v>161</v>
      </c>
      <c r="O1720" t="s">
        <v>5220</v>
      </c>
      <c r="P1720">
        <v>333.6</v>
      </c>
      <c r="Q1720">
        <v>335.7</v>
      </c>
      <c r="R1720">
        <v>328</v>
      </c>
      <c r="S1720">
        <v>334.25</v>
      </c>
      <c r="T1720">
        <v>334.5</v>
      </c>
      <c r="U1720">
        <v>333.6</v>
      </c>
      <c r="W1720">
        <v>334.25</v>
      </c>
      <c r="Z1720">
        <v>2015693</v>
      </c>
      <c r="AA1720">
        <v>670718545</v>
      </c>
      <c r="AB1720">
        <v>23565</v>
      </c>
      <c r="AC1720" t="s">
        <v>42</v>
      </c>
      <c r="AD1720">
        <v>1</v>
      </c>
    </row>
    <row r="1721" spans="1:30">
      <c r="A1721" t="str">
        <f>CONCATENATE(I1721,J1721)</f>
        <v>KARNIKASM</v>
      </c>
      <c r="B1721" s="34">
        <v>46273</v>
      </c>
      <c r="C1721" s="34">
        <v>46273</v>
      </c>
      <c r="D1721" t="s">
        <v>35</v>
      </c>
      <c r="E1721" t="s">
        <v>36</v>
      </c>
      <c r="F1721" t="s">
        <v>37</v>
      </c>
      <c r="G1721">
        <v>19465</v>
      </c>
      <c r="H1721" t="s">
        <v>5221</v>
      </c>
      <c r="I1721" t="s">
        <v>5222</v>
      </c>
      <c r="J1721" t="s">
        <v>267</v>
      </c>
      <c r="O1721" t="s">
        <v>5223</v>
      </c>
      <c r="P1721">
        <v>121</v>
      </c>
      <c r="Q1721">
        <v>122.8</v>
      </c>
      <c r="R1721">
        <v>119.75</v>
      </c>
      <c r="S1721">
        <v>121.55</v>
      </c>
      <c r="T1721">
        <v>120.5</v>
      </c>
      <c r="U1721">
        <v>120.1</v>
      </c>
      <c r="W1721">
        <v>121.55</v>
      </c>
      <c r="Z1721">
        <v>284000</v>
      </c>
      <c r="AA1721">
        <v>34113050</v>
      </c>
      <c r="AB1721">
        <v>62</v>
      </c>
      <c r="AC1721" t="s">
        <v>42</v>
      </c>
      <c r="AD1721">
        <v>1000</v>
      </c>
    </row>
    <row r="1722" spans="1:30">
      <c r="A1722" t="str">
        <f>CONCATENATE(I1722,J1722)</f>
        <v>KARURVYSYAEQ</v>
      </c>
      <c r="B1722" s="34">
        <v>46273</v>
      </c>
      <c r="C1722" s="34">
        <v>46273</v>
      </c>
      <c r="D1722" t="s">
        <v>35</v>
      </c>
      <c r="E1722" t="s">
        <v>36</v>
      </c>
      <c r="F1722" t="s">
        <v>37</v>
      </c>
      <c r="G1722">
        <v>1838</v>
      </c>
      <c r="H1722" t="s">
        <v>5224</v>
      </c>
      <c r="I1722" t="s">
        <v>5225</v>
      </c>
      <c r="J1722" t="s">
        <v>161</v>
      </c>
      <c r="O1722" t="s">
        <v>5226</v>
      </c>
      <c r="P1722">
        <v>341.6</v>
      </c>
      <c r="Q1722">
        <v>343.65</v>
      </c>
      <c r="R1722">
        <v>334.8</v>
      </c>
      <c r="S1722">
        <v>341.15</v>
      </c>
      <c r="T1722">
        <v>340.5</v>
      </c>
      <c r="U1722">
        <v>341.7</v>
      </c>
      <c r="W1722">
        <v>341.15</v>
      </c>
      <c r="Z1722">
        <v>1450597</v>
      </c>
      <c r="AA1722">
        <v>492255455.69999999</v>
      </c>
      <c r="AB1722">
        <v>30725</v>
      </c>
      <c r="AC1722" t="s">
        <v>42</v>
      </c>
      <c r="AD1722">
        <v>1</v>
      </c>
    </row>
    <row r="1723" spans="1:30">
      <c r="A1723" t="str">
        <f>CONCATENATE(I1723,J1723)</f>
        <v>KATARIASM</v>
      </c>
      <c r="B1723" s="34">
        <v>46273</v>
      </c>
      <c r="C1723" s="34">
        <v>46273</v>
      </c>
      <c r="D1723" t="s">
        <v>35</v>
      </c>
      <c r="E1723" t="s">
        <v>36</v>
      </c>
      <c r="F1723" t="s">
        <v>37</v>
      </c>
      <c r="G1723">
        <v>24528</v>
      </c>
      <c r="H1723" t="s">
        <v>5227</v>
      </c>
      <c r="I1723" t="s">
        <v>5228</v>
      </c>
      <c r="J1723" t="s">
        <v>267</v>
      </c>
      <c r="O1723" t="s">
        <v>5229</v>
      </c>
      <c r="P1723">
        <v>135.1</v>
      </c>
      <c r="Q1723">
        <v>138</v>
      </c>
      <c r="R1723">
        <v>129.5</v>
      </c>
      <c r="S1723">
        <v>134.6</v>
      </c>
      <c r="T1723">
        <v>132</v>
      </c>
      <c r="U1723">
        <v>128.9</v>
      </c>
      <c r="W1723">
        <v>134.6</v>
      </c>
      <c r="Z1723">
        <v>54600</v>
      </c>
      <c r="AA1723">
        <v>7258860</v>
      </c>
      <c r="AB1723">
        <v>83</v>
      </c>
      <c r="AC1723" t="s">
        <v>42</v>
      </c>
      <c r="AD1723">
        <v>600</v>
      </c>
    </row>
    <row r="1724" spans="1:30">
      <c r="A1724" t="str">
        <f>CONCATENATE(I1724,J1724)</f>
        <v>KAUSHALYABE</v>
      </c>
      <c r="B1724" s="34">
        <v>46273</v>
      </c>
      <c r="C1724" s="34">
        <v>46273</v>
      </c>
      <c r="D1724" t="s">
        <v>35</v>
      </c>
      <c r="E1724" t="s">
        <v>36</v>
      </c>
      <c r="F1724" t="s">
        <v>37</v>
      </c>
      <c r="G1724">
        <v>15140</v>
      </c>
      <c r="H1724" t="s">
        <v>5230</v>
      </c>
      <c r="I1724" t="s">
        <v>5231</v>
      </c>
      <c r="J1724" t="s">
        <v>183</v>
      </c>
      <c r="O1724" t="s">
        <v>5232</v>
      </c>
      <c r="P1724">
        <v>852.05</v>
      </c>
      <c r="Q1724">
        <v>853</v>
      </c>
      <c r="R1724">
        <v>851</v>
      </c>
      <c r="S1724">
        <v>851.3</v>
      </c>
      <c r="T1724">
        <v>851.3</v>
      </c>
      <c r="U1724">
        <v>874.9</v>
      </c>
      <c r="W1724">
        <v>848.15</v>
      </c>
      <c r="Z1724">
        <v>124</v>
      </c>
      <c r="AA1724">
        <v>105577.3</v>
      </c>
      <c r="AB1724">
        <v>17</v>
      </c>
      <c r="AC1724" t="s">
        <v>42</v>
      </c>
      <c r="AD1724">
        <v>1</v>
      </c>
    </row>
    <row r="1725" spans="1:30">
      <c r="A1725" t="str">
        <f>CONCATENATE(I1725,J1725)</f>
        <v>KLLSM</v>
      </c>
      <c r="B1725" s="34">
        <v>46273</v>
      </c>
      <c r="C1725" s="34">
        <v>46273</v>
      </c>
      <c r="D1725" t="s">
        <v>35</v>
      </c>
      <c r="E1725" t="s">
        <v>36</v>
      </c>
      <c r="F1725" t="s">
        <v>37</v>
      </c>
      <c r="G1725">
        <v>21186</v>
      </c>
      <c r="H1725" t="s">
        <v>5233</v>
      </c>
      <c r="I1725" t="s">
        <v>5234</v>
      </c>
      <c r="J1725" t="s">
        <v>267</v>
      </c>
      <c r="O1725" t="s">
        <v>5235</v>
      </c>
      <c r="P1725">
        <v>24.5</v>
      </c>
      <c r="Q1725">
        <v>24.5</v>
      </c>
      <c r="R1725">
        <v>24.05</v>
      </c>
      <c r="S1725">
        <v>24.05</v>
      </c>
      <c r="T1725">
        <v>24.05</v>
      </c>
      <c r="U1725">
        <v>24.8</v>
      </c>
      <c r="W1725">
        <v>24.05</v>
      </c>
      <c r="Z1725">
        <v>1600</v>
      </c>
      <c r="AA1725">
        <v>38840</v>
      </c>
      <c r="AB1725">
        <v>2</v>
      </c>
      <c r="AC1725" t="s">
        <v>42</v>
      </c>
      <c r="AD1725">
        <v>800</v>
      </c>
    </row>
    <row r="1726" spans="1:30">
      <c r="A1726" t="str">
        <f>CONCATENATE(I1726,J1726)</f>
        <v>KSCLEQ</v>
      </c>
      <c r="B1726" s="34">
        <v>46273</v>
      </c>
      <c r="C1726" s="34">
        <v>46273</v>
      </c>
      <c r="D1726" t="s">
        <v>35</v>
      </c>
      <c r="E1726" t="s">
        <v>36</v>
      </c>
      <c r="F1726" t="s">
        <v>37</v>
      </c>
      <c r="G1726">
        <v>14972</v>
      </c>
      <c r="H1726" t="s">
        <v>5236</v>
      </c>
      <c r="I1726" t="s">
        <v>5237</v>
      </c>
      <c r="J1726" t="s">
        <v>161</v>
      </c>
      <c r="O1726" t="s">
        <v>5238</v>
      </c>
      <c r="P1726">
        <v>729.5</v>
      </c>
      <c r="Q1726">
        <v>734.9</v>
      </c>
      <c r="R1726">
        <v>724.3</v>
      </c>
      <c r="S1726">
        <v>728.5</v>
      </c>
      <c r="T1726">
        <v>731.95</v>
      </c>
      <c r="U1726">
        <v>732.3</v>
      </c>
      <c r="W1726">
        <v>728.5</v>
      </c>
      <c r="Z1726">
        <v>44628</v>
      </c>
      <c r="AA1726">
        <v>32540900.649999999</v>
      </c>
      <c r="AB1726">
        <v>3071</v>
      </c>
      <c r="AC1726" t="s">
        <v>42</v>
      </c>
      <c r="AD1726">
        <v>1</v>
      </c>
    </row>
    <row r="1727" spans="1:30">
      <c r="A1727" t="str">
        <f>CONCATENATE(I1727,J1727)</f>
        <v>KAVDEFENCEEQ</v>
      </c>
      <c r="B1727" s="34">
        <v>46273</v>
      </c>
      <c r="C1727" s="34">
        <v>46273</v>
      </c>
      <c r="D1727" t="s">
        <v>35</v>
      </c>
      <c r="E1727" t="s">
        <v>36</v>
      </c>
      <c r="F1727" t="s">
        <v>37</v>
      </c>
      <c r="G1727">
        <v>15244</v>
      </c>
      <c r="H1727" t="s">
        <v>5239</v>
      </c>
      <c r="I1727" t="s">
        <v>5240</v>
      </c>
      <c r="J1727" t="s">
        <v>161</v>
      </c>
      <c r="O1727" t="s">
        <v>5241</v>
      </c>
      <c r="P1727">
        <v>67.98</v>
      </c>
      <c r="Q1727">
        <v>68.5</v>
      </c>
      <c r="R1727">
        <v>63</v>
      </c>
      <c r="S1727">
        <v>64.62</v>
      </c>
      <c r="T1727">
        <v>64</v>
      </c>
      <c r="U1727">
        <v>66.510000000000005</v>
      </c>
      <c r="W1727">
        <v>64.63</v>
      </c>
      <c r="Z1727">
        <v>521569</v>
      </c>
      <c r="AA1727">
        <v>34342293.229999997</v>
      </c>
      <c r="AB1727">
        <v>5436</v>
      </c>
      <c r="AC1727" t="s">
        <v>42</v>
      </c>
      <c r="AD1727">
        <v>1</v>
      </c>
    </row>
    <row r="1728" spans="1:30">
      <c r="A1728" t="str">
        <f>CONCATENATE(I1728,J1728)</f>
        <v>KCEILSM</v>
      </c>
      <c r="B1728" s="34">
        <v>46273</v>
      </c>
      <c r="C1728" s="34">
        <v>46273</v>
      </c>
      <c r="D1728" t="s">
        <v>35</v>
      </c>
      <c r="E1728" t="s">
        <v>36</v>
      </c>
      <c r="F1728" t="s">
        <v>37</v>
      </c>
      <c r="G1728">
        <v>21173</v>
      </c>
      <c r="H1728" t="s">
        <v>5242</v>
      </c>
      <c r="I1728" t="s">
        <v>5243</v>
      </c>
      <c r="J1728" t="s">
        <v>267</v>
      </c>
      <c r="O1728" t="s">
        <v>5244</v>
      </c>
      <c r="P1728">
        <v>77.55</v>
      </c>
      <c r="Q1728">
        <v>77.75</v>
      </c>
      <c r="R1728">
        <v>75.8</v>
      </c>
      <c r="S1728">
        <v>77.099999999999994</v>
      </c>
      <c r="T1728">
        <v>76.95</v>
      </c>
      <c r="U1728">
        <v>78.349999999999994</v>
      </c>
      <c r="W1728">
        <v>77.099999999999994</v>
      </c>
      <c r="Z1728">
        <v>24500</v>
      </c>
      <c r="AA1728">
        <v>1873650</v>
      </c>
      <c r="AB1728">
        <v>41</v>
      </c>
      <c r="AC1728" t="s">
        <v>42</v>
      </c>
      <c r="AD1728">
        <v>500</v>
      </c>
    </row>
    <row r="1729" spans="1:30">
      <c r="A1729" t="str">
        <f>CONCATENATE(I1729,J1729)</f>
        <v>KAYABE</v>
      </c>
      <c r="B1729" s="34">
        <v>46273</v>
      </c>
      <c r="C1729" s="34">
        <v>46273</v>
      </c>
      <c r="D1729" t="s">
        <v>35</v>
      </c>
      <c r="E1729" t="s">
        <v>36</v>
      </c>
      <c r="F1729" t="s">
        <v>37</v>
      </c>
      <c r="G1729">
        <v>10282</v>
      </c>
      <c r="H1729" t="s">
        <v>5245</v>
      </c>
      <c r="I1729" t="s">
        <v>5246</v>
      </c>
      <c r="J1729" t="s">
        <v>183</v>
      </c>
      <c r="O1729" t="s">
        <v>5247</v>
      </c>
      <c r="P1729">
        <v>355</v>
      </c>
      <c r="Q1729">
        <v>379.5</v>
      </c>
      <c r="R1729">
        <v>348</v>
      </c>
      <c r="S1729">
        <v>356</v>
      </c>
      <c r="T1729">
        <v>357.9</v>
      </c>
      <c r="U1729">
        <v>362.3</v>
      </c>
      <c r="W1729">
        <v>356.03</v>
      </c>
      <c r="Z1729">
        <v>28671</v>
      </c>
      <c r="AA1729">
        <v>10556023.75</v>
      </c>
      <c r="AB1729">
        <v>626</v>
      </c>
      <c r="AC1729" t="s">
        <v>42</v>
      </c>
      <c r="AD1729">
        <v>1</v>
      </c>
    </row>
    <row r="1730" spans="1:30">
      <c r="A1730" t="str">
        <f>CONCATENATE(I1730,J1730)</f>
        <v>KAYNESEQ</v>
      </c>
      <c r="B1730" s="34">
        <v>46273</v>
      </c>
      <c r="C1730" s="34">
        <v>46273</v>
      </c>
      <c r="D1730" t="s">
        <v>35</v>
      </c>
      <c r="E1730" t="s">
        <v>36</v>
      </c>
      <c r="F1730" t="s">
        <v>37</v>
      </c>
      <c r="G1730">
        <v>12092</v>
      </c>
      <c r="H1730" t="s">
        <v>5248</v>
      </c>
      <c r="I1730" t="s">
        <v>5249</v>
      </c>
      <c r="J1730" t="s">
        <v>161</v>
      </c>
      <c r="O1730" t="s">
        <v>5250</v>
      </c>
      <c r="P1730">
        <v>3614</v>
      </c>
      <c r="Q1730">
        <v>3685</v>
      </c>
      <c r="R1730">
        <v>3581</v>
      </c>
      <c r="S1730">
        <v>3610</v>
      </c>
      <c r="T1730">
        <v>3610</v>
      </c>
      <c r="U1730">
        <v>3604</v>
      </c>
      <c r="W1730">
        <v>3610.3</v>
      </c>
      <c r="Z1730">
        <v>686828</v>
      </c>
      <c r="AA1730">
        <v>2507913262.5999999</v>
      </c>
      <c r="AB1730">
        <v>43335</v>
      </c>
      <c r="AC1730" t="s">
        <v>42</v>
      </c>
      <c r="AD1730">
        <v>1</v>
      </c>
    </row>
    <row r="1731" spans="1:30">
      <c r="A1731" t="str">
        <f>CONCATENATE(I1731,J1731)</f>
        <v>KAYTEXSM</v>
      </c>
      <c r="B1731" s="34">
        <v>46273</v>
      </c>
      <c r="C1731" s="34">
        <v>46273</v>
      </c>
      <c r="D1731" t="s">
        <v>35</v>
      </c>
      <c r="E1731" t="s">
        <v>36</v>
      </c>
      <c r="F1731" t="s">
        <v>37</v>
      </c>
      <c r="G1731">
        <v>758868</v>
      </c>
      <c r="H1731" t="s">
        <v>5251</v>
      </c>
      <c r="I1731" t="s">
        <v>5252</v>
      </c>
      <c r="J1731" t="s">
        <v>267</v>
      </c>
      <c r="O1731" t="s">
        <v>5253</v>
      </c>
      <c r="P1731">
        <v>56</v>
      </c>
      <c r="Q1731">
        <v>57.5</v>
      </c>
      <c r="R1731">
        <v>56</v>
      </c>
      <c r="S1731">
        <v>57.5</v>
      </c>
      <c r="T1731">
        <v>57.5</v>
      </c>
      <c r="U1731">
        <v>57.8</v>
      </c>
      <c r="W1731">
        <v>57.5</v>
      </c>
      <c r="Z1731">
        <v>3200</v>
      </c>
      <c r="AA1731">
        <v>180600</v>
      </c>
      <c r="AB1731">
        <v>4</v>
      </c>
      <c r="AC1731" t="s">
        <v>42</v>
      </c>
      <c r="AD1731">
        <v>800</v>
      </c>
    </row>
    <row r="1732" spans="1:30">
      <c r="A1732" t="str">
        <f>CONCATENATE(I1732,J1732)</f>
        <v>KCKST</v>
      </c>
      <c r="B1732" s="34">
        <v>46273</v>
      </c>
      <c r="C1732" s="34">
        <v>46273</v>
      </c>
      <c r="D1732" t="s">
        <v>35</v>
      </c>
      <c r="E1732" t="s">
        <v>36</v>
      </c>
      <c r="F1732" t="s">
        <v>37</v>
      </c>
      <c r="G1732">
        <v>10296</v>
      </c>
      <c r="H1732" t="s">
        <v>5254</v>
      </c>
      <c r="I1732" t="s">
        <v>5255</v>
      </c>
      <c r="J1732" t="s">
        <v>328</v>
      </c>
      <c r="O1732" t="s">
        <v>5256</v>
      </c>
      <c r="P1732">
        <v>14.75</v>
      </c>
      <c r="Q1732">
        <v>15.35</v>
      </c>
      <c r="R1732">
        <v>14.75</v>
      </c>
      <c r="S1732">
        <v>15.05</v>
      </c>
      <c r="T1732">
        <v>15.35</v>
      </c>
      <c r="U1732">
        <v>15.2</v>
      </c>
      <c r="W1732">
        <v>15.05</v>
      </c>
      <c r="Z1732">
        <v>247500</v>
      </c>
      <c r="AA1732">
        <v>3659250</v>
      </c>
      <c r="AB1732">
        <v>39</v>
      </c>
      <c r="AC1732" t="s">
        <v>42</v>
      </c>
      <c r="AD1732">
        <v>2500</v>
      </c>
    </row>
    <row r="1733" spans="1:30">
      <c r="A1733" t="str">
        <f>CONCATENATE(I1733,J1733)</f>
        <v>KCPEQ</v>
      </c>
      <c r="B1733" s="34">
        <v>46273</v>
      </c>
      <c r="C1733" s="34">
        <v>46273</v>
      </c>
      <c r="D1733" t="s">
        <v>35</v>
      </c>
      <c r="E1733" t="s">
        <v>36</v>
      </c>
      <c r="F1733" t="s">
        <v>37</v>
      </c>
      <c r="G1733">
        <v>1841</v>
      </c>
      <c r="H1733" t="s">
        <v>5257</v>
      </c>
      <c r="I1733" t="s">
        <v>5258</v>
      </c>
      <c r="J1733" t="s">
        <v>161</v>
      </c>
      <c r="O1733" t="s">
        <v>5259</v>
      </c>
      <c r="P1733">
        <v>162.1</v>
      </c>
      <c r="Q1733">
        <v>164.08</v>
      </c>
      <c r="R1733">
        <v>161.78</v>
      </c>
      <c r="S1733">
        <v>162.11000000000001</v>
      </c>
      <c r="T1733">
        <v>161.94</v>
      </c>
      <c r="U1733">
        <v>163.30000000000001</v>
      </c>
      <c r="W1733">
        <v>162.08000000000001</v>
      </c>
      <c r="Z1733">
        <v>57528</v>
      </c>
      <c r="AA1733">
        <v>9354471.7799999993</v>
      </c>
      <c r="AB1733">
        <v>1182</v>
      </c>
      <c r="AC1733" t="s">
        <v>42</v>
      </c>
      <c r="AD1733">
        <v>1</v>
      </c>
    </row>
    <row r="1734" spans="1:30">
      <c r="A1734" t="str">
        <f>CONCATENATE(I1734,J1734)</f>
        <v>KCPSUGINDBE</v>
      </c>
      <c r="B1734" s="34">
        <v>46273</v>
      </c>
      <c r="C1734" s="34">
        <v>46273</v>
      </c>
      <c r="D1734" t="s">
        <v>35</v>
      </c>
      <c r="E1734" t="s">
        <v>36</v>
      </c>
      <c r="F1734" t="s">
        <v>37</v>
      </c>
      <c r="G1734">
        <v>8849</v>
      </c>
      <c r="H1734" t="s">
        <v>5260</v>
      </c>
      <c r="I1734" t="s">
        <v>5261</v>
      </c>
      <c r="J1734" t="s">
        <v>183</v>
      </c>
      <c r="O1734" t="s">
        <v>5262</v>
      </c>
      <c r="P1734">
        <v>31.88</v>
      </c>
      <c r="Q1734">
        <v>32.35</v>
      </c>
      <c r="R1734">
        <v>31.57</v>
      </c>
      <c r="S1734">
        <v>31.83</v>
      </c>
      <c r="T1734">
        <v>31.82</v>
      </c>
      <c r="U1734">
        <v>31.88</v>
      </c>
      <c r="W1734">
        <v>31.83</v>
      </c>
      <c r="Z1734">
        <v>49111</v>
      </c>
      <c r="AA1734">
        <v>1570519.81</v>
      </c>
      <c r="AB1734">
        <v>178</v>
      </c>
      <c r="AC1734" t="s">
        <v>42</v>
      </c>
      <c r="AD1734">
        <v>1</v>
      </c>
    </row>
    <row r="1735" spans="1:30">
      <c r="A1735" t="str">
        <f>CONCATENATE(I1735,J1735)</f>
        <v>KDGREENEQ</v>
      </c>
      <c r="B1735" s="34">
        <v>46273</v>
      </c>
      <c r="C1735" s="34">
        <v>46273</v>
      </c>
      <c r="D1735" t="s">
        <v>35</v>
      </c>
      <c r="E1735" t="s">
        <v>36</v>
      </c>
      <c r="F1735" t="s">
        <v>37</v>
      </c>
      <c r="G1735">
        <v>765105</v>
      </c>
      <c r="H1735" t="s">
        <v>5263</v>
      </c>
      <c r="I1735" t="s">
        <v>5264</v>
      </c>
      <c r="J1735" t="s">
        <v>161</v>
      </c>
      <c r="O1735" t="s">
        <v>5265</v>
      </c>
      <c r="P1735">
        <v>48.9</v>
      </c>
      <c r="Q1735">
        <v>48.9</v>
      </c>
      <c r="R1735">
        <v>47.01</v>
      </c>
      <c r="S1735">
        <v>47.36</v>
      </c>
      <c r="T1735">
        <v>47.69</v>
      </c>
      <c r="U1735">
        <v>48.57</v>
      </c>
      <c r="W1735">
        <v>47.38</v>
      </c>
      <c r="Z1735">
        <v>35522</v>
      </c>
      <c r="AA1735">
        <v>1693814.89</v>
      </c>
      <c r="AB1735">
        <v>435</v>
      </c>
      <c r="AC1735" t="s">
        <v>42</v>
      </c>
      <c r="AD1735">
        <v>1</v>
      </c>
    </row>
    <row r="1736" spans="1:30">
      <c r="A1736" t="str">
        <f>CONCATENATE(I1736,J1736)</f>
        <v>KDDLEQ</v>
      </c>
      <c r="B1736" s="34">
        <v>46273</v>
      </c>
      <c r="C1736" s="34">
        <v>46273</v>
      </c>
      <c r="D1736" t="s">
        <v>35</v>
      </c>
      <c r="E1736" t="s">
        <v>36</v>
      </c>
      <c r="F1736" t="s">
        <v>37</v>
      </c>
      <c r="G1736">
        <v>14908</v>
      </c>
      <c r="H1736" t="s">
        <v>5266</v>
      </c>
      <c r="I1736" t="s">
        <v>5267</v>
      </c>
      <c r="J1736" t="s">
        <v>161</v>
      </c>
      <c r="O1736" t="s">
        <v>5268</v>
      </c>
      <c r="P1736">
        <v>3990.9</v>
      </c>
      <c r="Q1736">
        <v>4013.7</v>
      </c>
      <c r="R1736">
        <v>3940.1</v>
      </c>
      <c r="S1736">
        <v>3965.7</v>
      </c>
      <c r="T1736">
        <v>3943.1</v>
      </c>
      <c r="U1736">
        <v>3991.9</v>
      </c>
      <c r="W1736">
        <v>3965.66</v>
      </c>
      <c r="Z1736">
        <v>22322</v>
      </c>
      <c r="AA1736">
        <v>88974733.799999997</v>
      </c>
      <c r="AB1736">
        <v>5618</v>
      </c>
      <c r="AC1736" t="s">
        <v>42</v>
      </c>
      <c r="AD1736">
        <v>1</v>
      </c>
    </row>
    <row r="1737" spans="1:30">
      <c r="A1737" t="str">
        <f>CONCATENATE(I1737,J1737)</f>
        <v>KECEQ</v>
      </c>
      <c r="B1737" s="34">
        <v>46273</v>
      </c>
      <c r="C1737" s="34">
        <v>46273</v>
      </c>
      <c r="D1737" t="s">
        <v>35</v>
      </c>
      <c r="E1737" t="s">
        <v>36</v>
      </c>
      <c r="F1737" t="s">
        <v>37</v>
      </c>
      <c r="G1737">
        <v>13260</v>
      </c>
      <c r="H1737" t="s">
        <v>5269</v>
      </c>
      <c r="I1737" t="s">
        <v>5270</v>
      </c>
      <c r="J1737" t="s">
        <v>161</v>
      </c>
      <c r="O1737" t="s">
        <v>5271</v>
      </c>
      <c r="P1737">
        <v>401.65</v>
      </c>
      <c r="Q1737">
        <v>407.25</v>
      </c>
      <c r="R1737">
        <v>401.65</v>
      </c>
      <c r="S1737">
        <v>405.7</v>
      </c>
      <c r="T1737">
        <v>405.5</v>
      </c>
      <c r="U1737">
        <v>401.65</v>
      </c>
      <c r="W1737">
        <v>405.69</v>
      </c>
      <c r="Z1737">
        <v>468357</v>
      </c>
      <c r="AA1737">
        <v>189690927.69999999</v>
      </c>
      <c r="AB1737">
        <v>14239</v>
      </c>
      <c r="AC1737" t="s">
        <v>42</v>
      </c>
      <c r="AD1737">
        <v>1</v>
      </c>
    </row>
    <row r="1738" spans="1:30">
      <c r="A1738" t="str">
        <f>CONCATENATE(I1738,J1738)</f>
        <v>KEIEQ</v>
      </c>
      <c r="B1738" s="34">
        <v>46273</v>
      </c>
      <c r="C1738" s="34">
        <v>46273</v>
      </c>
      <c r="D1738" t="s">
        <v>35</v>
      </c>
      <c r="E1738" t="s">
        <v>36</v>
      </c>
      <c r="F1738" t="s">
        <v>37</v>
      </c>
      <c r="G1738">
        <v>13310</v>
      </c>
      <c r="H1738" t="s">
        <v>5272</v>
      </c>
      <c r="I1738" t="s">
        <v>5273</v>
      </c>
      <c r="J1738" t="s">
        <v>161</v>
      </c>
      <c r="O1738" t="s">
        <v>5274</v>
      </c>
      <c r="P1738">
        <v>4701</v>
      </c>
      <c r="Q1738">
        <v>4783</v>
      </c>
      <c r="R1738">
        <v>4666</v>
      </c>
      <c r="S1738">
        <v>4697.5</v>
      </c>
      <c r="T1738">
        <v>4697.5</v>
      </c>
      <c r="U1738">
        <v>4704</v>
      </c>
      <c r="W1738">
        <v>4697.58</v>
      </c>
      <c r="Z1738">
        <v>1080574</v>
      </c>
      <c r="AA1738">
        <v>5095999797</v>
      </c>
      <c r="AB1738">
        <v>98253</v>
      </c>
      <c r="AC1738" t="s">
        <v>42</v>
      </c>
      <c r="AD1738">
        <v>1</v>
      </c>
    </row>
    <row r="1739" spans="1:30">
      <c r="A1739" t="str">
        <f>CONCATENATE(I1739,J1739)</f>
        <v>KELLTONTECEQ</v>
      </c>
      <c r="B1739" s="34">
        <v>46273</v>
      </c>
      <c r="C1739" s="34">
        <v>46273</v>
      </c>
      <c r="D1739" t="s">
        <v>35</v>
      </c>
      <c r="E1739" t="s">
        <v>36</v>
      </c>
      <c r="F1739" t="s">
        <v>37</v>
      </c>
      <c r="G1739">
        <v>13430</v>
      </c>
      <c r="H1739" t="s">
        <v>5275</v>
      </c>
      <c r="I1739" t="s">
        <v>5276</v>
      </c>
      <c r="J1739" t="s">
        <v>161</v>
      </c>
      <c r="O1739" t="s">
        <v>5277</v>
      </c>
      <c r="P1739">
        <v>13.69</v>
      </c>
      <c r="Q1739">
        <v>14.09</v>
      </c>
      <c r="R1739">
        <v>13.56</v>
      </c>
      <c r="S1739">
        <v>13.69</v>
      </c>
      <c r="T1739">
        <v>13.77</v>
      </c>
      <c r="U1739">
        <v>13.62</v>
      </c>
      <c r="W1739">
        <v>13.69</v>
      </c>
      <c r="Z1739">
        <v>1924147</v>
      </c>
      <c r="AA1739">
        <v>26495160.059999999</v>
      </c>
      <c r="AB1739">
        <v>4161</v>
      </c>
      <c r="AC1739" t="s">
        <v>42</v>
      </c>
      <c r="AD1739">
        <v>1</v>
      </c>
    </row>
    <row r="1740" spans="1:30">
      <c r="A1740" t="str">
        <f>CONCATENATE(I1740,J1740)</f>
        <v>KENSM</v>
      </c>
      <c r="B1740" s="34">
        <v>46273</v>
      </c>
      <c r="C1740" s="34">
        <v>46273</v>
      </c>
      <c r="D1740" t="s">
        <v>35</v>
      </c>
      <c r="E1740" t="s">
        <v>36</v>
      </c>
      <c r="F1740" t="s">
        <v>37</v>
      </c>
      <c r="G1740">
        <v>29547</v>
      </c>
      <c r="H1740" t="s">
        <v>5278</v>
      </c>
      <c r="I1740" t="s">
        <v>5279</v>
      </c>
      <c r="J1740" t="s">
        <v>267</v>
      </c>
      <c r="O1740" t="s">
        <v>5280</v>
      </c>
      <c r="P1740">
        <v>38.15</v>
      </c>
      <c r="Q1740">
        <v>39</v>
      </c>
      <c r="R1740">
        <v>38.049999999999997</v>
      </c>
      <c r="S1740">
        <v>38.5</v>
      </c>
      <c r="T1740">
        <v>38.5</v>
      </c>
      <c r="U1740">
        <v>38.15</v>
      </c>
      <c r="W1740">
        <v>38.5</v>
      </c>
      <c r="Z1740">
        <v>7200</v>
      </c>
      <c r="AA1740">
        <v>276720</v>
      </c>
      <c r="AB1740">
        <v>6</v>
      </c>
      <c r="AC1740" t="s">
        <v>42</v>
      </c>
      <c r="AD1740">
        <v>1200</v>
      </c>
    </row>
    <row r="1741" spans="1:30">
      <c r="A1741" t="str">
        <f>CONCATENATE(I1741,J1741)</f>
        <v>KENNAMETEQ</v>
      </c>
      <c r="B1741" s="34">
        <v>46273</v>
      </c>
      <c r="C1741" s="34">
        <v>46273</v>
      </c>
      <c r="D1741" t="s">
        <v>35</v>
      </c>
      <c r="E1741" t="s">
        <v>36</v>
      </c>
      <c r="F1741" t="s">
        <v>37</v>
      </c>
      <c r="G1741">
        <v>11841</v>
      </c>
      <c r="H1741" t="s">
        <v>5281</v>
      </c>
      <c r="I1741" t="s">
        <v>5282</v>
      </c>
      <c r="J1741" t="s">
        <v>161</v>
      </c>
      <c r="O1741" t="s">
        <v>5283</v>
      </c>
      <c r="P1741">
        <v>4690</v>
      </c>
      <c r="Q1741">
        <v>4770</v>
      </c>
      <c r="R1741">
        <v>4602</v>
      </c>
      <c r="S1741">
        <v>4654.3999999999996</v>
      </c>
      <c r="T1741">
        <v>4641.1000000000004</v>
      </c>
      <c r="U1741">
        <v>4693</v>
      </c>
      <c r="W1741">
        <v>4654.5200000000004</v>
      </c>
      <c r="Z1741">
        <v>21053</v>
      </c>
      <c r="AA1741">
        <v>98292298.5</v>
      </c>
      <c r="AB1741">
        <v>4110</v>
      </c>
      <c r="AC1741" t="s">
        <v>42</v>
      </c>
      <c r="AD1741">
        <v>1</v>
      </c>
    </row>
    <row r="1742" spans="1:30">
      <c r="A1742" t="str">
        <f>CONCATENATE(I1742,J1742)</f>
        <v>KERNEXEQ</v>
      </c>
      <c r="B1742" s="34">
        <v>46273</v>
      </c>
      <c r="C1742" s="34">
        <v>46273</v>
      </c>
      <c r="D1742" t="s">
        <v>35</v>
      </c>
      <c r="E1742" t="s">
        <v>36</v>
      </c>
      <c r="F1742" t="s">
        <v>37</v>
      </c>
      <c r="G1742">
        <v>13121</v>
      </c>
      <c r="H1742" t="s">
        <v>5284</v>
      </c>
      <c r="I1742" t="s">
        <v>5285</v>
      </c>
      <c r="J1742" t="s">
        <v>161</v>
      </c>
      <c r="O1742" t="s">
        <v>5286</v>
      </c>
      <c r="P1742">
        <v>1774.8</v>
      </c>
      <c r="Q1742">
        <v>1775.9</v>
      </c>
      <c r="R1742">
        <v>1713</v>
      </c>
      <c r="S1742">
        <v>1732</v>
      </c>
      <c r="T1742">
        <v>1729</v>
      </c>
      <c r="U1742">
        <v>1769.3</v>
      </c>
      <c r="W1742">
        <v>1731.93</v>
      </c>
      <c r="Z1742">
        <v>171873</v>
      </c>
      <c r="AA1742">
        <v>298469748.5</v>
      </c>
      <c r="AB1742">
        <v>13941</v>
      </c>
      <c r="AC1742" t="s">
        <v>42</v>
      </c>
      <c r="AD1742">
        <v>1</v>
      </c>
    </row>
    <row r="1743" spans="1:30">
      <c r="A1743" t="str">
        <f>CONCATENATE(I1743,J1743)</f>
        <v>KESORAMINDBE</v>
      </c>
      <c r="B1743" s="34">
        <v>46273</v>
      </c>
      <c r="C1743" s="34">
        <v>46273</v>
      </c>
      <c r="D1743" t="s">
        <v>35</v>
      </c>
      <c r="E1743" t="s">
        <v>36</v>
      </c>
      <c r="F1743" t="s">
        <v>37</v>
      </c>
      <c r="G1743">
        <v>4981</v>
      </c>
      <c r="H1743" t="s">
        <v>5287</v>
      </c>
      <c r="I1743" t="s">
        <v>5288</v>
      </c>
      <c r="J1743" t="s">
        <v>183</v>
      </c>
      <c r="O1743" t="s">
        <v>5289</v>
      </c>
      <c r="P1743">
        <v>11.33</v>
      </c>
      <c r="Q1743">
        <v>11.33</v>
      </c>
      <c r="R1743">
        <v>11.33</v>
      </c>
      <c r="S1743">
        <v>11.33</v>
      </c>
      <c r="T1743">
        <v>11.33</v>
      </c>
      <c r="U1743">
        <v>11.11</v>
      </c>
      <c r="W1743">
        <v>11.3</v>
      </c>
      <c r="Z1743">
        <v>139665</v>
      </c>
      <c r="AA1743">
        <v>1582404.45</v>
      </c>
      <c r="AB1743">
        <v>122</v>
      </c>
      <c r="AC1743" t="s">
        <v>42</v>
      </c>
      <c r="AD1743">
        <v>1</v>
      </c>
    </row>
    <row r="1744" spans="1:30">
      <c r="A1744" t="str">
        <f>CONCATENATE(I1744,J1744)</f>
        <v>KKCLEQ</v>
      </c>
      <c r="B1744" s="34">
        <v>46273</v>
      </c>
      <c r="C1744" s="34">
        <v>46273</v>
      </c>
      <c r="D1744" t="s">
        <v>35</v>
      </c>
      <c r="E1744" t="s">
        <v>36</v>
      </c>
      <c r="F1744" t="s">
        <v>37</v>
      </c>
      <c r="G1744">
        <v>13381</v>
      </c>
      <c r="H1744" t="s">
        <v>5290</v>
      </c>
      <c r="I1744" t="s">
        <v>5291</v>
      </c>
      <c r="J1744" t="s">
        <v>161</v>
      </c>
      <c r="O1744" t="s">
        <v>5292</v>
      </c>
      <c r="P1744">
        <v>506.4</v>
      </c>
      <c r="Q1744">
        <v>508.95</v>
      </c>
      <c r="R1744">
        <v>498.1</v>
      </c>
      <c r="S1744">
        <v>501.5</v>
      </c>
      <c r="T1744">
        <v>502</v>
      </c>
      <c r="U1744">
        <v>504.5</v>
      </c>
      <c r="W1744">
        <v>501.43</v>
      </c>
      <c r="Z1744">
        <v>21476</v>
      </c>
      <c r="AA1744">
        <v>10769182.15</v>
      </c>
      <c r="AB1744">
        <v>1629</v>
      </c>
      <c r="AC1744" t="s">
        <v>42</v>
      </c>
      <c r="AD1744">
        <v>1</v>
      </c>
    </row>
    <row r="1745" spans="1:30">
      <c r="A1745" t="str">
        <f>CONCATENATE(I1745,J1745)</f>
        <v>KEYFINSERVEQ</v>
      </c>
      <c r="B1745" s="34">
        <v>46273</v>
      </c>
      <c r="C1745" s="34">
        <v>46273</v>
      </c>
      <c r="D1745" t="s">
        <v>35</v>
      </c>
      <c r="E1745" t="s">
        <v>36</v>
      </c>
      <c r="F1745" t="s">
        <v>37</v>
      </c>
      <c r="G1745">
        <v>4157</v>
      </c>
      <c r="H1745" t="s">
        <v>5293</v>
      </c>
      <c r="I1745" t="s">
        <v>5294</v>
      </c>
      <c r="J1745" t="s">
        <v>161</v>
      </c>
      <c r="O1745" t="s">
        <v>5295</v>
      </c>
      <c r="P1745">
        <v>246.05</v>
      </c>
      <c r="Q1745">
        <v>264.60000000000002</v>
      </c>
      <c r="R1745">
        <v>246.05</v>
      </c>
      <c r="S1745">
        <v>250.25</v>
      </c>
      <c r="T1745">
        <v>247.05</v>
      </c>
      <c r="U1745">
        <v>248.6</v>
      </c>
      <c r="W1745">
        <v>250.26</v>
      </c>
      <c r="Z1745">
        <v>624</v>
      </c>
      <c r="AA1745">
        <v>155786.35</v>
      </c>
      <c r="AB1745">
        <v>51</v>
      </c>
      <c r="AC1745" t="s">
        <v>42</v>
      </c>
      <c r="AD1745">
        <v>1</v>
      </c>
    </row>
    <row r="1746" spans="1:30">
      <c r="A1746" t="str">
        <f>CONCATENATE(I1746,J1746)</f>
        <v>RUSTOMJEEEQ</v>
      </c>
      <c r="B1746" s="34">
        <v>46273</v>
      </c>
      <c r="C1746" s="34">
        <v>46273</v>
      </c>
      <c r="D1746" t="s">
        <v>35</v>
      </c>
      <c r="E1746" t="s">
        <v>36</v>
      </c>
      <c r="F1746" t="s">
        <v>37</v>
      </c>
      <c r="G1746">
        <v>12219</v>
      </c>
      <c r="H1746" t="s">
        <v>5296</v>
      </c>
      <c r="I1746" t="s">
        <v>5297</v>
      </c>
      <c r="J1746" t="s">
        <v>161</v>
      </c>
      <c r="O1746" t="s">
        <v>5298</v>
      </c>
      <c r="P1746">
        <v>367</v>
      </c>
      <c r="Q1746">
        <v>369</v>
      </c>
      <c r="R1746">
        <v>351.05</v>
      </c>
      <c r="S1746">
        <v>357.55</v>
      </c>
      <c r="T1746">
        <v>358.9</v>
      </c>
      <c r="U1746">
        <v>366.9</v>
      </c>
      <c r="W1746">
        <v>357.56</v>
      </c>
      <c r="Z1746">
        <v>588269</v>
      </c>
      <c r="AA1746">
        <v>209488041.75</v>
      </c>
      <c r="AB1746">
        <v>15304</v>
      </c>
      <c r="AC1746" t="s">
        <v>42</v>
      </c>
      <c r="AD1746">
        <v>1</v>
      </c>
    </row>
    <row r="1747" spans="1:30">
      <c r="A1747" t="str">
        <f>CONCATENATE(I1747,J1747)</f>
        <v>KFINTECHEQ</v>
      </c>
      <c r="B1747" s="34">
        <v>46273</v>
      </c>
      <c r="C1747" s="34">
        <v>46273</v>
      </c>
      <c r="D1747" t="s">
        <v>35</v>
      </c>
      <c r="E1747" t="s">
        <v>36</v>
      </c>
      <c r="F1747" t="s">
        <v>37</v>
      </c>
      <c r="G1747">
        <v>13359</v>
      </c>
      <c r="H1747" t="s">
        <v>5299</v>
      </c>
      <c r="I1747" t="s">
        <v>5300</v>
      </c>
      <c r="J1747" t="s">
        <v>161</v>
      </c>
      <c r="O1747" t="s">
        <v>5301</v>
      </c>
      <c r="P1747">
        <v>922.5</v>
      </c>
      <c r="Q1747">
        <v>929.65</v>
      </c>
      <c r="R1747">
        <v>915.6</v>
      </c>
      <c r="S1747">
        <v>925.1</v>
      </c>
      <c r="T1747">
        <v>925.1</v>
      </c>
      <c r="U1747">
        <v>922.5</v>
      </c>
      <c r="W1747">
        <v>925.04</v>
      </c>
      <c r="Z1747">
        <v>382500</v>
      </c>
      <c r="AA1747">
        <v>352696642.85000002</v>
      </c>
      <c r="AB1747">
        <v>12033</v>
      </c>
      <c r="AC1747" t="s">
        <v>42</v>
      </c>
      <c r="AD1747">
        <v>1</v>
      </c>
    </row>
    <row r="1748" spans="1:30">
      <c r="A1748" t="str">
        <f>CONCATENATE(I1748,J1748)</f>
        <v>KHADIMBE</v>
      </c>
      <c r="B1748" s="34">
        <v>46273</v>
      </c>
      <c r="C1748" s="34">
        <v>46273</v>
      </c>
      <c r="D1748" t="s">
        <v>35</v>
      </c>
      <c r="E1748" t="s">
        <v>36</v>
      </c>
      <c r="F1748" t="s">
        <v>37</v>
      </c>
      <c r="G1748">
        <v>433</v>
      </c>
      <c r="H1748" t="s">
        <v>5302</v>
      </c>
      <c r="I1748" t="s">
        <v>5303</v>
      </c>
      <c r="J1748" t="s">
        <v>183</v>
      </c>
      <c r="O1748" t="s">
        <v>5304</v>
      </c>
      <c r="P1748">
        <v>115</v>
      </c>
      <c r="Q1748">
        <v>118.32</v>
      </c>
      <c r="R1748">
        <v>113.76</v>
      </c>
      <c r="S1748">
        <v>118.32</v>
      </c>
      <c r="T1748">
        <v>118.32</v>
      </c>
      <c r="U1748">
        <v>116</v>
      </c>
      <c r="W1748">
        <v>117.05</v>
      </c>
      <c r="Z1748">
        <v>14242</v>
      </c>
      <c r="AA1748">
        <v>1660684.2</v>
      </c>
      <c r="AB1748">
        <v>62</v>
      </c>
      <c r="AC1748" t="s">
        <v>42</v>
      </c>
      <c r="AD1748">
        <v>1</v>
      </c>
    </row>
    <row r="1749" spans="1:30">
      <c r="A1749" t="str">
        <f>CONCATENATE(I1749,J1749)</f>
        <v>KHAITANLTDEQ</v>
      </c>
      <c r="B1749" s="34">
        <v>46273</v>
      </c>
      <c r="C1749" s="34">
        <v>46273</v>
      </c>
      <c r="D1749" t="s">
        <v>35</v>
      </c>
      <c r="E1749" t="s">
        <v>36</v>
      </c>
      <c r="F1749" t="s">
        <v>37</v>
      </c>
      <c r="G1749">
        <v>3912</v>
      </c>
      <c r="H1749" t="s">
        <v>5305</v>
      </c>
      <c r="I1749" t="s">
        <v>5306</v>
      </c>
      <c r="J1749" t="s">
        <v>161</v>
      </c>
      <c r="O1749" t="s">
        <v>5307</v>
      </c>
      <c r="P1749">
        <v>159</v>
      </c>
      <c r="Q1749">
        <v>164</v>
      </c>
      <c r="R1749">
        <v>155</v>
      </c>
      <c r="S1749">
        <v>160.99</v>
      </c>
      <c r="T1749">
        <v>160.69999999999999</v>
      </c>
      <c r="U1749">
        <v>162.35</v>
      </c>
      <c r="W1749">
        <v>160.99</v>
      </c>
      <c r="Z1749">
        <v>5036</v>
      </c>
      <c r="AA1749">
        <v>812622.25</v>
      </c>
      <c r="AB1749">
        <v>113</v>
      </c>
      <c r="AC1749" t="s">
        <v>42</v>
      </c>
      <c r="AD1749">
        <v>1</v>
      </c>
    </row>
    <row r="1750" spans="1:30">
      <c r="A1750" t="str">
        <f>CONCATENATE(I1750,J1750)</f>
        <v>KHAICHEMEQ</v>
      </c>
      <c r="B1750" s="34">
        <v>46273</v>
      </c>
      <c r="C1750" s="34">
        <v>46273</v>
      </c>
      <c r="D1750" t="s">
        <v>35</v>
      </c>
      <c r="E1750" t="s">
        <v>36</v>
      </c>
      <c r="F1750" t="s">
        <v>37</v>
      </c>
      <c r="G1750">
        <v>896</v>
      </c>
      <c r="H1750" t="s">
        <v>5308</v>
      </c>
      <c r="I1750" t="s">
        <v>5309</v>
      </c>
      <c r="J1750" t="s">
        <v>161</v>
      </c>
      <c r="O1750" t="s">
        <v>5310</v>
      </c>
      <c r="P1750">
        <v>53.65</v>
      </c>
      <c r="Q1750">
        <v>54.41</v>
      </c>
      <c r="R1750">
        <v>52.23</v>
      </c>
      <c r="S1750">
        <v>52.83</v>
      </c>
      <c r="T1750">
        <v>52.89</v>
      </c>
      <c r="U1750">
        <v>53.6</v>
      </c>
      <c r="W1750">
        <v>52.82</v>
      </c>
      <c r="Z1750">
        <v>149643</v>
      </c>
      <c r="AA1750">
        <v>7916501.6699999999</v>
      </c>
      <c r="AB1750">
        <v>1243</v>
      </c>
      <c r="AC1750" t="s">
        <v>42</v>
      </c>
      <c r="AD1750">
        <v>1</v>
      </c>
    </row>
    <row r="1751" spans="1:30">
      <c r="A1751" t="str">
        <f>CONCATENATE(I1751,J1751)</f>
        <v>KHANDSEEQ</v>
      </c>
      <c r="B1751" s="34">
        <v>46273</v>
      </c>
      <c r="C1751" s="34">
        <v>46273</v>
      </c>
      <c r="D1751" t="s">
        <v>35</v>
      </c>
      <c r="E1751" t="s">
        <v>36</v>
      </c>
      <c r="F1751" t="s">
        <v>37</v>
      </c>
      <c r="G1751">
        <v>9641</v>
      </c>
      <c r="H1751" t="s">
        <v>5311</v>
      </c>
      <c r="I1751" t="s">
        <v>5312</v>
      </c>
      <c r="J1751" t="s">
        <v>161</v>
      </c>
      <c r="O1751" t="s">
        <v>5313</v>
      </c>
      <c r="P1751">
        <v>18</v>
      </c>
      <c r="Q1751">
        <v>18.399999999999999</v>
      </c>
      <c r="R1751">
        <v>16.75</v>
      </c>
      <c r="S1751">
        <v>18.2</v>
      </c>
      <c r="T1751">
        <v>18.399999999999999</v>
      </c>
      <c r="U1751">
        <v>17.61</v>
      </c>
      <c r="W1751">
        <v>18.2</v>
      </c>
      <c r="Z1751">
        <v>1221</v>
      </c>
      <c r="AA1751">
        <v>21573.16</v>
      </c>
      <c r="AB1751">
        <v>68</v>
      </c>
      <c r="AC1751" t="s">
        <v>42</v>
      </c>
      <c r="AD1751">
        <v>1</v>
      </c>
    </row>
    <row r="1752" spans="1:30">
      <c r="A1752" t="str">
        <f>CONCATENATE(I1752,J1752)</f>
        <v>KLBRENG-BEQ</v>
      </c>
      <c r="B1752" s="34">
        <v>46273</v>
      </c>
      <c r="C1752" s="34">
        <v>46273</v>
      </c>
      <c r="D1752" t="s">
        <v>35</v>
      </c>
      <c r="E1752" t="s">
        <v>36</v>
      </c>
      <c r="F1752" t="s">
        <v>37</v>
      </c>
      <c r="G1752">
        <v>762747</v>
      </c>
      <c r="H1752" t="s">
        <v>5314</v>
      </c>
      <c r="I1752" t="s">
        <v>5315</v>
      </c>
      <c r="J1752" t="s">
        <v>161</v>
      </c>
      <c r="O1752" t="s">
        <v>5316</v>
      </c>
      <c r="P1752">
        <v>461.2</v>
      </c>
      <c r="Q1752">
        <v>463.45</v>
      </c>
      <c r="R1752">
        <v>450.05</v>
      </c>
      <c r="S1752">
        <v>459.7</v>
      </c>
      <c r="T1752">
        <v>457</v>
      </c>
      <c r="U1752">
        <v>461.2</v>
      </c>
      <c r="W1752">
        <v>459.68</v>
      </c>
      <c r="Z1752">
        <v>189596</v>
      </c>
      <c r="AA1752">
        <v>86684994.900000006</v>
      </c>
      <c r="AB1752">
        <v>6744</v>
      </c>
      <c r="AC1752" t="s">
        <v>42</v>
      </c>
      <c r="AD1752">
        <v>1</v>
      </c>
    </row>
    <row r="1753" spans="1:30">
      <c r="A1753" t="str">
        <f>CONCATENATE(I1753,J1753)</f>
        <v>KILITCHBE</v>
      </c>
      <c r="B1753" s="34">
        <v>46273</v>
      </c>
      <c r="C1753" s="34">
        <v>46273</v>
      </c>
      <c r="D1753" t="s">
        <v>35</v>
      </c>
      <c r="E1753" t="s">
        <v>36</v>
      </c>
      <c r="F1753" t="s">
        <v>37</v>
      </c>
      <c r="G1753">
        <v>19941</v>
      </c>
      <c r="H1753" t="s">
        <v>5317</v>
      </c>
      <c r="I1753" t="s">
        <v>5318</v>
      </c>
      <c r="J1753" t="s">
        <v>183</v>
      </c>
      <c r="O1753" t="s">
        <v>5319</v>
      </c>
      <c r="P1753">
        <v>192</v>
      </c>
      <c r="Q1753">
        <v>192</v>
      </c>
      <c r="R1753">
        <v>181.3</v>
      </c>
      <c r="S1753">
        <v>187.88</v>
      </c>
      <c r="T1753">
        <v>188.95</v>
      </c>
      <c r="U1753">
        <v>187.82</v>
      </c>
      <c r="W1753">
        <v>186.56</v>
      </c>
      <c r="Z1753">
        <v>33104</v>
      </c>
      <c r="AA1753">
        <v>6276042.4900000002</v>
      </c>
      <c r="AB1753">
        <v>216</v>
      </c>
      <c r="AC1753" t="s">
        <v>42</v>
      </c>
      <c r="AD1753">
        <v>1</v>
      </c>
    </row>
    <row r="1754" spans="1:30">
      <c r="A1754" t="str">
        <f>CONCATENATE(I1754,J1754)</f>
        <v>KINGFAEQ</v>
      </c>
      <c r="B1754" s="34">
        <v>46273</v>
      </c>
      <c r="C1754" s="34">
        <v>46273</v>
      </c>
      <c r="D1754" t="s">
        <v>35</v>
      </c>
      <c r="E1754" t="s">
        <v>36</v>
      </c>
      <c r="F1754" t="s">
        <v>37</v>
      </c>
      <c r="G1754">
        <v>18944</v>
      </c>
      <c r="H1754" t="s">
        <v>5320</v>
      </c>
      <c r="I1754" t="s">
        <v>5321</v>
      </c>
      <c r="J1754" t="s">
        <v>161</v>
      </c>
      <c r="O1754" t="s">
        <v>5322</v>
      </c>
      <c r="P1754">
        <v>6099</v>
      </c>
      <c r="Q1754">
        <v>6137</v>
      </c>
      <c r="R1754">
        <v>5993.5</v>
      </c>
      <c r="S1754">
        <v>6037</v>
      </c>
      <c r="T1754">
        <v>6028.5</v>
      </c>
      <c r="U1754">
        <v>6056.5</v>
      </c>
      <c r="W1754">
        <v>6036.72</v>
      </c>
      <c r="Z1754">
        <v>12243</v>
      </c>
      <c r="AA1754">
        <v>74283204</v>
      </c>
      <c r="AB1754">
        <v>4829</v>
      </c>
      <c r="AC1754" t="s">
        <v>42</v>
      </c>
      <c r="AD1754">
        <v>1</v>
      </c>
    </row>
    <row r="1755" spans="1:30">
      <c r="A1755" t="str">
        <f>CONCATENATE(I1755,J1755)</f>
        <v>KIOCLEQ</v>
      </c>
      <c r="B1755" s="34">
        <v>46273</v>
      </c>
      <c r="C1755" s="34">
        <v>46273</v>
      </c>
      <c r="D1755" t="s">
        <v>35</v>
      </c>
      <c r="E1755" t="s">
        <v>36</v>
      </c>
      <c r="F1755" t="s">
        <v>37</v>
      </c>
      <c r="G1755">
        <v>19126</v>
      </c>
      <c r="H1755" t="s">
        <v>5323</v>
      </c>
      <c r="I1755" t="s">
        <v>5324</v>
      </c>
      <c r="J1755" t="s">
        <v>161</v>
      </c>
      <c r="O1755" t="s">
        <v>5325</v>
      </c>
      <c r="P1755">
        <v>376.5</v>
      </c>
      <c r="Q1755">
        <v>379.15</v>
      </c>
      <c r="R1755">
        <v>372.1</v>
      </c>
      <c r="S1755">
        <v>377.1</v>
      </c>
      <c r="T1755">
        <v>377.5</v>
      </c>
      <c r="U1755">
        <v>376.5</v>
      </c>
      <c r="W1755">
        <v>377.1</v>
      </c>
      <c r="Z1755">
        <v>54542</v>
      </c>
      <c r="AA1755">
        <v>20474973.449999999</v>
      </c>
      <c r="AB1755">
        <v>2519</v>
      </c>
      <c r="AC1755" t="s">
        <v>42</v>
      </c>
      <c r="AD1755">
        <v>1</v>
      </c>
    </row>
    <row r="1756" spans="1:30">
      <c r="A1756" t="str">
        <f>CONCATENATE(I1756,J1756)</f>
        <v>KIRANVYPAREQ</v>
      </c>
      <c r="B1756" s="34">
        <v>46273</v>
      </c>
      <c r="C1756" s="34">
        <v>46273</v>
      </c>
      <c r="D1756" t="s">
        <v>35</v>
      </c>
      <c r="E1756" t="s">
        <v>36</v>
      </c>
      <c r="F1756" t="s">
        <v>37</v>
      </c>
      <c r="G1756">
        <v>762742</v>
      </c>
      <c r="H1756" t="s">
        <v>5326</v>
      </c>
      <c r="I1756" t="s">
        <v>5327</v>
      </c>
      <c r="J1756" t="s">
        <v>161</v>
      </c>
      <c r="O1756" t="s">
        <v>5328</v>
      </c>
      <c r="P1756">
        <v>205</v>
      </c>
      <c r="Q1756">
        <v>208.43</v>
      </c>
      <c r="R1756">
        <v>198.01</v>
      </c>
      <c r="S1756">
        <v>203.33</v>
      </c>
      <c r="T1756">
        <v>204.1</v>
      </c>
      <c r="U1756">
        <v>204.65</v>
      </c>
      <c r="W1756">
        <v>203.28</v>
      </c>
      <c r="Z1756">
        <v>2460</v>
      </c>
      <c r="AA1756">
        <v>503953.64</v>
      </c>
      <c r="AB1756">
        <v>80</v>
      </c>
      <c r="AC1756" t="s">
        <v>42</v>
      </c>
      <c r="AD1756">
        <v>1</v>
      </c>
    </row>
    <row r="1757" spans="1:30">
      <c r="A1757" t="str">
        <f>CONCATENATE(I1757,J1757)</f>
        <v>KIRIINDUSEQ</v>
      </c>
      <c r="B1757" s="34">
        <v>46273</v>
      </c>
      <c r="C1757" s="34">
        <v>46273</v>
      </c>
      <c r="D1757" t="s">
        <v>35</v>
      </c>
      <c r="E1757" t="s">
        <v>36</v>
      </c>
      <c r="F1757" t="s">
        <v>37</v>
      </c>
      <c r="G1757">
        <v>16639</v>
      </c>
      <c r="H1757" t="s">
        <v>5329</v>
      </c>
      <c r="I1757" t="s">
        <v>5330</v>
      </c>
      <c r="J1757" t="s">
        <v>161</v>
      </c>
      <c r="O1757" t="s">
        <v>5331</v>
      </c>
      <c r="P1757">
        <v>585</v>
      </c>
      <c r="Q1757">
        <v>603.5</v>
      </c>
      <c r="R1757">
        <v>569</v>
      </c>
      <c r="S1757">
        <v>588.1</v>
      </c>
      <c r="T1757">
        <v>584</v>
      </c>
      <c r="U1757">
        <v>583.20000000000005</v>
      </c>
      <c r="W1757">
        <v>588.07000000000005</v>
      </c>
      <c r="Z1757">
        <v>2404145</v>
      </c>
      <c r="AA1757">
        <v>1416956748.05</v>
      </c>
      <c r="AB1757">
        <v>42678</v>
      </c>
      <c r="AC1757" t="s">
        <v>42</v>
      </c>
      <c r="AD1757">
        <v>1</v>
      </c>
    </row>
    <row r="1758" spans="1:30">
      <c r="A1758" t="str">
        <f>CONCATENATE(I1758,J1758)</f>
        <v>KIRLOSBROSEQ</v>
      </c>
      <c r="B1758" s="34">
        <v>46273</v>
      </c>
      <c r="C1758" s="34">
        <v>46273</v>
      </c>
      <c r="D1758" t="s">
        <v>35</v>
      </c>
      <c r="E1758" t="s">
        <v>36</v>
      </c>
      <c r="F1758" t="s">
        <v>37</v>
      </c>
      <c r="G1758">
        <v>18581</v>
      </c>
      <c r="H1758" t="s">
        <v>5332</v>
      </c>
      <c r="I1758" t="s">
        <v>5333</v>
      </c>
      <c r="J1758" t="s">
        <v>161</v>
      </c>
      <c r="O1758" t="s">
        <v>5334</v>
      </c>
      <c r="P1758">
        <v>1829</v>
      </c>
      <c r="Q1758">
        <v>1860.9</v>
      </c>
      <c r="R1758">
        <v>1825</v>
      </c>
      <c r="S1758">
        <v>1853.3</v>
      </c>
      <c r="T1758">
        <v>1857</v>
      </c>
      <c r="U1758">
        <v>1832.4</v>
      </c>
      <c r="W1758">
        <v>1853.43</v>
      </c>
      <c r="Z1758">
        <v>15551</v>
      </c>
      <c r="AA1758">
        <v>28724181.600000001</v>
      </c>
      <c r="AB1758">
        <v>2823</v>
      </c>
      <c r="AC1758" t="s">
        <v>42</v>
      </c>
      <c r="AD1758">
        <v>1</v>
      </c>
    </row>
    <row r="1759" spans="1:30">
      <c r="A1759" t="str">
        <f>CONCATENATE(I1759,J1759)</f>
        <v>KECLEQ</v>
      </c>
      <c r="B1759" s="34">
        <v>46273</v>
      </c>
      <c r="C1759" s="34">
        <v>46273</v>
      </c>
      <c r="D1759" t="s">
        <v>35</v>
      </c>
      <c r="E1759" t="s">
        <v>36</v>
      </c>
      <c r="F1759" t="s">
        <v>37</v>
      </c>
      <c r="G1759">
        <v>18220</v>
      </c>
      <c r="H1759" t="s">
        <v>5335</v>
      </c>
      <c r="I1759" t="s">
        <v>5336</v>
      </c>
      <c r="J1759" t="s">
        <v>161</v>
      </c>
      <c r="O1759" t="s">
        <v>5337</v>
      </c>
      <c r="P1759">
        <v>123.78</v>
      </c>
      <c r="Q1759">
        <v>126.35</v>
      </c>
      <c r="R1759">
        <v>119.59</v>
      </c>
      <c r="S1759">
        <v>121.14</v>
      </c>
      <c r="T1759">
        <v>121.5</v>
      </c>
      <c r="U1759">
        <v>122.93</v>
      </c>
      <c r="W1759">
        <v>121.15</v>
      </c>
      <c r="Z1759">
        <v>127638</v>
      </c>
      <c r="AA1759">
        <v>15510663.310000001</v>
      </c>
      <c r="AB1759">
        <v>2660</v>
      </c>
      <c r="AC1759" t="s">
        <v>42</v>
      </c>
      <c r="AD1759">
        <v>1</v>
      </c>
    </row>
    <row r="1760" spans="1:30">
      <c r="A1760" t="str">
        <f>CONCATENATE(I1760,J1760)</f>
        <v>KIRLFEREQ</v>
      </c>
      <c r="B1760" s="34">
        <v>46273</v>
      </c>
      <c r="C1760" s="34">
        <v>46273</v>
      </c>
      <c r="D1760" t="s">
        <v>35</v>
      </c>
      <c r="E1760" t="s">
        <v>36</v>
      </c>
      <c r="F1760" t="s">
        <v>37</v>
      </c>
      <c r="G1760">
        <v>14466</v>
      </c>
      <c r="H1760" t="s">
        <v>5338</v>
      </c>
      <c r="I1760" t="s">
        <v>5339</v>
      </c>
      <c r="J1760" t="s">
        <v>161</v>
      </c>
      <c r="O1760" t="s">
        <v>5340</v>
      </c>
      <c r="P1760">
        <v>457.85</v>
      </c>
      <c r="Q1760">
        <v>465.3</v>
      </c>
      <c r="R1760">
        <v>457.35</v>
      </c>
      <c r="S1760">
        <v>459.9</v>
      </c>
      <c r="T1760">
        <v>460</v>
      </c>
      <c r="U1760">
        <v>460.1</v>
      </c>
      <c r="W1760">
        <v>459.92</v>
      </c>
      <c r="Z1760">
        <v>63385</v>
      </c>
      <c r="AA1760">
        <v>29170608.699999999</v>
      </c>
      <c r="AB1760">
        <v>2822</v>
      </c>
      <c r="AC1760" t="s">
        <v>42</v>
      </c>
      <c r="AD1760">
        <v>1</v>
      </c>
    </row>
    <row r="1761" spans="1:30">
      <c r="A1761" t="str">
        <f>CONCATENATE(I1761,J1761)</f>
        <v>KIRLOSINDEQ</v>
      </c>
      <c r="B1761" s="34">
        <v>46273</v>
      </c>
      <c r="C1761" s="34">
        <v>46273</v>
      </c>
      <c r="D1761" t="s">
        <v>35</v>
      </c>
      <c r="E1761" t="s">
        <v>36</v>
      </c>
      <c r="F1761" t="s">
        <v>37</v>
      </c>
      <c r="G1761">
        <v>19025</v>
      </c>
      <c r="H1761" t="s">
        <v>5341</v>
      </c>
      <c r="I1761" t="s">
        <v>5342</v>
      </c>
      <c r="J1761" t="s">
        <v>161</v>
      </c>
      <c r="O1761" t="s">
        <v>5343</v>
      </c>
      <c r="P1761">
        <v>3705.1</v>
      </c>
      <c r="Q1761">
        <v>3719.9</v>
      </c>
      <c r="R1761">
        <v>3670</v>
      </c>
      <c r="S1761">
        <v>3677.6</v>
      </c>
      <c r="T1761">
        <v>3670.5</v>
      </c>
      <c r="U1761">
        <v>3715.1</v>
      </c>
      <c r="W1761">
        <v>3677.62</v>
      </c>
      <c r="Z1761">
        <v>2188</v>
      </c>
      <c r="AA1761">
        <v>8077262.2000000002</v>
      </c>
      <c r="AB1761">
        <v>562</v>
      </c>
      <c r="AC1761" t="s">
        <v>42</v>
      </c>
      <c r="AD1761">
        <v>1</v>
      </c>
    </row>
    <row r="1762" spans="1:30">
      <c r="A1762" t="str">
        <f>CONCATENATE(I1762,J1762)</f>
        <v>KIRLOSENGEQ</v>
      </c>
      <c r="B1762" s="34">
        <v>46273</v>
      </c>
      <c r="C1762" s="34">
        <v>46273</v>
      </c>
      <c r="D1762" t="s">
        <v>35</v>
      </c>
      <c r="E1762" t="s">
        <v>36</v>
      </c>
      <c r="F1762" t="s">
        <v>37</v>
      </c>
      <c r="G1762">
        <v>20936</v>
      </c>
      <c r="H1762" t="s">
        <v>5344</v>
      </c>
      <c r="I1762" t="s">
        <v>5345</v>
      </c>
      <c r="J1762" t="s">
        <v>161</v>
      </c>
      <c r="O1762" t="s">
        <v>5346</v>
      </c>
      <c r="P1762">
        <v>2180</v>
      </c>
      <c r="Q1762">
        <v>2285</v>
      </c>
      <c r="R1762">
        <v>2163.9</v>
      </c>
      <c r="S1762">
        <v>2272.8000000000002</v>
      </c>
      <c r="T1762">
        <v>2276.8000000000002</v>
      </c>
      <c r="U1762">
        <v>2174.8000000000002</v>
      </c>
      <c r="W1762">
        <v>2272.8200000000002</v>
      </c>
      <c r="Z1762">
        <v>516056</v>
      </c>
      <c r="AA1762">
        <v>1160103868.0999999</v>
      </c>
      <c r="AB1762">
        <v>45297</v>
      </c>
      <c r="AC1762" t="s">
        <v>42</v>
      </c>
      <c r="AD1762">
        <v>1</v>
      </c>
    </row>
    <row r="1763" spans="1:30">
      <c r="A1763" t="str">
        <f>CONCATENATE(I1763,J1763)</f>
        <v>KIRLPNUEQ</v>
      </c>
      <c r="B1763" s="34">
        <v>46273</v>
      </c>
      <c r="C1763" s="34">
        <v>46273</v>
      </c>
      <c r="D1763" t="s">
        <v>35</v>
      </c>
      <c r="E1763" t="s">
        <v>36</v>
      </c>
      <c r="F1763" t="s">
        <v>37</v>
      </c>
      <c r="G1763">
        <v>15180</v>
      </c>
      <c r="H1763" t="s">
        <v>5347</v>
      </c>
      <c r="I1763" t="s">
        <v>5348</v>
      </c>
      <c r="J1763" t="s">
        <v>161</v>
      </c>
      <c r="O1763" t="s">
        <v>5349</v>
      </c>
      <c r="P1763">
        <v>758.1</v>
      </c>
      <c r="Q1763">
        <v>762</v>
      </c>
      <c r="R1763">
        <v>742</v>
      </c>
      <c r="S1763">
        <v>745</v>
      </c>
      <c r="T1763">
        <v>751</v>
      </c>
      <c r="U1763">
        <v>760.15</v>
      </c>
      <c r="W1763">
        <v>745.01</v>
      </c>
      <c r="Z1763">
        <v>249261</v>
      </c>
      <c r="AA1763">
        <v>188444522.75</v>
      </c>
      <c r="AB1763">
        <v>15856</v>
      </c>
      <c r="AC1763" t="s">
        <v>42</v>
      </c>
      <c r="AD1763">
        <v>1</v>
      </c>
    </row>
    <row r="1764" spans="1:30">
      <c r="A1764" t="str">
        <f>CONCATENATE(I1764,J1764)</f>
        <v>KITEXEQ</v>
      </c>
      <c r="B1764" s="34">
        <v>46273</v>
      </c>
      <c r="C1764" s="34">
        <v>46273</v>
      </c>
      <c r="D1764" t="s">
        <v>35</v>
      </c>
      <c r="E1764" t="s">
        <v>36</v>
      </c>
      <c r="F1764" t="s">
        <v>37</v>
      </c>
      <c r="G1764">
        <v>28899</v>
      </c>
      <c r="H1764" t="s">
        <v>5350</v>
      </c>
      <c r="I1764" t="s">
        <v>5351</v>
      </c>
      <c r="J1764" t="s">
        <v>161</v>
      </c>
      <c r="O1764" t="s">
        <v>5352</v>
      </c>
      <c r="P1764">
        <v>126.71</v>
      </c>
      <c r="Q1764">
        <v>129.4</v>
      </c>
      <c r="R1764">
        <v>125.51</v>
      </c>
      <c r="S1764">
        <v>127.1</v>
      </c>
      <c r="T1764">
        <v>127.2</v>
      </c>
      <c r="U1764">
        <v>127.77</v>
      </c>
      <c r="W1764">
        <v>127.09</v>
      </c>
      <c r="Z1764">
        <v>304944</v>
      </c>
      <c r="AA1764">
        <v>38811805.469999999</v>
      </c>
      <c r="AB1764">
        <v>3497</v>
      </c>
      <c r="AC1764" t="s">
        <v>42</v>
      </c>
      <c r="AD1764">
        <v>1</v>
      </c>
    </row>
    <row r="1765" spans="1:30">
      <c r="A1765" t="str">
        <f>CONCATENATE(I1765,J1765)</f>
        <v>KNAGRIEQ</v>
      </c>
      <c r="B1765" s="34">
        <v>46273</v>
      </c>
      <c r="C1765" s="34">
        <v>46273</v>
      </c>
      <c r="D1765" t="s">
        <v>35</v>
      </c>
      <c r="E1765" t="s">
        <v>36</v>
      </c>
      <c r="F1765" t="s">
        <v>37</v>
      </c>
      <c r="G1765">
        <v>760923</v>
      </c>
      <c r="H1765" t="s">
        <v>5353</v>
      </c>
      <c r="I1765" t="s">
        <v>5354</v>
      </c>
      <c r="J1765" t="s">
        <v>161</v>
      </c>
      <c r="O1765" t="s">
        <v>5355</v>
      </c>
      <c r="P1765">
        <v>202.5</v>
      </c>
      <c r="Q1765">
        <v>203.96</v>
      </c>
      <c r="R1765">
        <v>199.81</v>
      </c>
      <c r="S1765">
        <v>202.25</v>
      </c>
      <c r="T1765">
        <v>202</v>
      </c>
      <c r="U1765">
        <v>201.18</v>
      </c>
      <c r="W1765">
        <v>202.25</v>
      </c>
      <c r="Z1765">
        <v>5211</v>
      </c>
      <c r="AA1765">
        <v>1050878.08</v>
      </c>
      <c r="AB1765">
        <v>246</v>
      </c>
      <c r="AC1765" t="s">
        <v>42</v>
      </c>
      <c r="AD1765">
        <v>1</v>
      </c>
    </row>
    <row r="1766" spans="1:30">
      <c r="A1766" t="str">
        <f>CONCATENATE(I1766,J1766)</f>
        <v>KNACKEQ</v>
      </c>
      <c r="B1766" s="34">
        <v>46273</v>
      </c>
      <c r="C1766" s="34">
        <v>46273</v>
      </c>
      <c r="D1766" t="s">
        <v>35</v>
      </c>
      <c r="E1766" t="s">
        <v>36</v>
      </c>
      <c r="F1766" t="s">
        <v>37</v>
      </c>
      <c r="G1766">
        <v>763839</v>
      </c>
      <c r="H1766" t="s">
        <v>5356</v>
      </c>
      <c r="I1766" t="s">
        <v>5357</v>
      </c>
      <c r="J1766" t="s">
        <v>161</v>
      </c>
      <c r="O1766" t="s">
        <v>5358</v>
      </c>
      <c r="P1766">
        <v>185.93</v>
      </c>
      <c r="Q1766">
        <v>186.69</v>
      </c>
      <c r="R1766">
        <v>182.7</v>
      </c>
      <c r="S1766">
        <v>183.91</v>
      </c>
      <c r="T1766">
        <v>183.65</v>
      </c>
      <c r="U1766">
        <v>185.93</v>
      </c>
      <c r="W1766">
        <v>183.9</v>
      </c>
      <c r="Z1766">
        <v>638148</v>
      </c>
      <c r="AA1766">
        <v>117668709.06999999</v>
      </c>
      <c r="AB1766">
        <v>4874</v>
      </c>
      <c r="AC1766" t="s">
        <v>42</v>
      </c>
      <c r="AD1766">
        <v>1</v>
      </c>
    </row>
    <row r="1767" spans="1:30">
      <c r="A1767" t="str">
        <f>CONCATENATE(I1767,J1767)</f>
        <v>KMEWEQ</v>
      </c>
      <c r="B1767" s="34">
        <v>46273</v>
      </c>
      <c r="C1767" s="34">
        <v>46273</v>
      </c>
      <c r="D1767" t="s">
        <v>35</v>
      </c>
      <c r="E1767" t="s">
        <v>36</v>
      </c>
      <c r="F1767" t="s">
        <v>37</v>
      </c>
      <c r="G1767">
        <v>27084</v>
      </c>
      <c r="H1767" t="s">
        <v>5359</v>
      </c>
      <c r="I1767" t="s">
        <v>5360</v>
      </c>
      <c r="J1767" t="s">
        <v>161</v>
      </c>
      <c r="O1767" t="s">
        <v>5361</v>
      </c>
      <c r="P1767">
        <v>2983.8</v>
      </c>
      <c r="Q1767">
        <v>3025.8</v>
      </c>
      <c r="R1767">
        <v>2944</v>
      </c>
      <c r="S1767">
        <v>2985.6</v>
      </c>
      <c r="T1767">
        <v>2982.8</v>
      </c>
      <c r="U1767">
        <v>2961.6</v>
      </c>
      <c r="W1767">
        <v>2985.67</v>
      </c>
      <c r="Z1767">
        <v>59769</v>
      </c>
      <c r="AA1767">
        <v>178481833.90000001</v>
      </c>
      <c r="AB1767">
        <v>10573</v>
      </c>
      <c r="AC1767" t="s">
        <v>42</v>
      </c>
      <c r="AD1767">
        <v>1</v>
      </c>
    </row>
    <row r="1768" spans="1:30">
      <c r="A1768" t="str">
        <f>CONCATENATE(I1768,J1768)</f>
        <v>KRTRR</v>
      </c>
      <c r="B1768" s="34">
        <v>46273</v>
      </c>
      <c r="C1768" s="34">
        <v>46273</v>
      </c>
      <c r="D1768" t="s">
        <v>35</v>
      </c>
      <c r="E1768" t="s">
        <v>36</v>
      </c>
      <c r="F1768" t="s">
        <v>37</v>
      </c>
      <c r="G1768">
        <v>758431</v>
      </c>
      <c r="H1768" t="s">
        <v>5362</v>
      </c>
      <c r="I1768" t="s">
        <v>5363</v>
      </c>
      <c r="J1768" t="s">
        <v>1301</v>
      </c>
      <c r="O1768" t="s">
        <v>5364</v>
      </c>
      <c r="P1768">
        <v>113.2</v>
      </c>
      <c r="Q1768">
        <v>114</v>
      </c>
      <c r="R1768">
        <v>112.9</v>
      </c>
      <c r="S1768">
        <v>113.59</v>
      </c>
      <c r="T1768">
        <v>113.49</v>
      </c>
      <c r="U1768">
        <v>113.21</v>
      </c>
      <c r="W1768">
        <v>113.58</v>
      </c>
      <c r="Z1768">
        <v>5965274</v>
      </c>
      <c r="AA1768">
        <v>678248607.24000001</v>
      </c>
      <c r="AB1768">
        <v>11425</v>
      </c>
      <c r="AC1768" t="s">
        <v>42</v>
      </c>
      <c r="AD1768">
        <v>1</v>
      </c>
    </row>
    <row r="1769" spans="1:30">
      <c r="A1769" t="str">
        <f>CONCATENATE(I1769,J1769)</f>
        <v>KNRCONEQ</v>
      </c>
      <c r="B1769" s="34">
        <v>46273</v>
      </c>
      <c r="C1769" s="34">
        <v>46273</v>
      </c>
      <c r="D1769" t="s">
        <v>35</v>
      </c>
      <c r="E1769" t="s">
        <v>36</v>
      </c>
      <c r="F1769" t="s">
        <v>37</v>
      </c>
      <c r="G1769">
        <v>15283</v>
      </c>
      <c r="H1769" t="s">
        <v>5365</v>
      </c>
      <c r="I1769" t="s">
        <v>5366</v>
      </c>
      <c r="J1769" t="s">
        <v>161</v>
      </c>
      <c r="O1769" t="s">
        <v>5367</v>
      </c>
      <c r="P1769">
        <v>122</v>
      </c>
      <c r="Q1769">
        <v>122.47</v>
      </c>
      <c r="R1769">
        <v>118.55</v>
      </c>
      <c r="S1769">
        <v>119.72</v>
      </c>
      <c r="T1769">
        <v>119.86</v>
      </c>
      <c r="U1769">
        <v>122.75</v>
      </c>
      <c r="W1769">
        <v>119.72</v>
      </c>
      <c r="Z1769">
        <v>860201</v>
      </c>
      <c r="AA1769">
        <v>103383940.90000001</v>
      </c>
      <c r="AB1769">
        <v>9520</v>
      </c>
      <c r="AC1769" t="s">
        <v>42</v>
      </c>
      <c r="AD1769">
        <v>1</v>
      </c>
    </row>
    <row r="1770" spans="1:30">
      <c r="A1770" t="str">
        <f>CONCATENATE(I1770,J1770)</f>
        <v>KODYTECHST</v>
      </c>
      <c r="B1770" s="34">
        <v>46273</v>
      </c>
      <c r="C1770" s="34">
        <v>46273</v>
      </c>
      <c r="D1770" t="s">
        <v>35</v>
      </c>
      <c r="E1770" t="s">
        <v>36</v>
      </c>
      <c r="F1770" t="s">
        <v>37</v>
      </c>
      <c r="G1770">
        <v>18754</v>
      </c>
      <c r="H1770" t="s">
        <v>5368</v>
      </c>
      <c r="I1770" t="s">
        <v>5369</v>
      </c>
      <c r="J1770" t="s">
        <v>328</v>
      </c>
      <c r="O1770" t="s">
        <v>5370</v>
      </c>
      <c r="P1770">
        <v>1530</v>
      </c>
      <c r="Q1770">
        <v>1550</v>
      </c>
      <c r="R1770">
        <v>1510</v>
      </c>
      <c r="S1770">
        <v>1534</v>
      </c>
      <c r="T1770">
        <v>1520</v>
      </c>
      <c r="U1770">
        <v>1530</v>
      </c>
      <c r="W1770">
        <v>1534</v>
      </c>
      <c r="Z1770">
        <v>5300</v>
      </c>
      <c r="AA1770">
        <v>8077165</v>
      </c>
      <c r="AB1770">
        <v>38</v>
      </c>
      <c r="AC1770" t="s">
        <v>42</v>
      </c>
      <c r="AD1770">
        <v>100</v>
      </c>
    </row>
    <row r="1771" spans="1:30">
      <c r="A1771" t="str">
        <f>CONCATENATE(I1771,J1771)</f>
        <v>KOHINOOREQ</v>
      </c>
      <c r="B1771" s="34">
        <v>46273</v>
      </c>
      <c r="C1771" s="34">
        <v>46273</v>
      </c>
      <c r="D1771" t="s">
        <v>35</v>
      </c>
      <c r="E1771" t="s">
        <v>36</v>
      </c>
      <c r="F1771" t="s">
        <v>37</v>
      </c>
      <c r="G1771">
        <v>3009</v>
      </c>
      <c r="H1771" t="s">
        <v>5371</v>
      </c>
      <c r="I1771" t="s">
        <v>5372</v>
      </c>
      <c r="J1771" t="s">
        <v>161</v>
      </c>
      <c r="O1771" t="s">
        <v>5373</v>
      </c>
      <c r="P1771">
        <v>30.85</v>
      </c>
      <c r="Q1771">
        <v>31.9</v>
      </c>
      <c r="R1771">
        <v>30.4</v>
      </c>
      <c r="S1771">
        <v>31.41</v>
      </c>
      <c r="T1771">
        <v>31.15</v>
      </c>
      <c r="U1771">
        <v>30.87</v>
      </c>
      <c r="W1771">
        <v>31.43</v>
      </c>
      <c r="Z1771">
        <v>195203</v>
      </c>
      <c r="AA1771">
        <v>6098380.4699999997</v>
      </c>
      <c r="AB1771">
        <v>2835</v>
      </c>
      <c r="AC1771" t="s">
        <v>42</v>
      </c>
      <c r="AD1771">
        <v>1</v>
      </c>
    </row>
    <row r="1772" spans="1:30">
      <c r="A1772" t="str">
        <f>CONCATENATE(I1772,J1772)</f>
        <v>KOKUYOCMLNEQ</v>
      </c>
      <c r="B1772" s="34">
        <v>46273</v>
      </c>
      <c r="C1772" s="34">
        <v>46273</v>
      </c>
      <c r="D1772" t="s">
        <v>35</v>
      </c>
      <c r="E1772" t="s">
        <v>36</v>
      </c>
      <c r="F1772" t="s">
        <v>37</v>
      </c>
      <c r="G1772">
        <v>16827</v>
      </c>
      <c r="H1772" t="s">
        <v>5374</v>
      </c>
      <c r="I1772" t="s">
        <v>5375</v>
      </c>
      <c r="J1772" t="s">
        <v>161</v>
      </c>
      <c r="O1772" t="s">
        <v>5376</v>
      </c>
      <c r="P1772">
        <v>79</v>
      </c>
      <c r="Q1772">
        <v>80.84</v>
      </c>
      <c r="R1772">
        <v>78.7</v>
      </c>
      <c r="S1772">
        <v>79.040000000000006</v>
      </c>
      <c r="T1772">
        <v>78.709999999999994</v>
      </c>
      <c r="U1772">
        <v>79.430000000000007</v>
      </c>
      <c r="W1772">
        <v>79.040000000000006</v>
      </c>
      <c r="Z1772">
        <v>19504</v>
      </c>
      <c r="AA1772">
        <v>1547469.67</v>
      </c>
      <c r="AB1772">
        <v>304</v>
      </c>
      <c r="AC1772" t="s">
        <v>42</v>
      </c>
      <c r="AD1772">
        <v>1</v>
      </c>
    </row>
    <row r="1773" spans="1:30">
      <c r="A1773" t="str">
        <f>CONCATENATE(I1773,J1773)</f>
        <v>KOLTEPATILEQ</v>
      </c>
      <c r="B1773" s="34">
        <v>46273</v>
      </c>
      <c r="C1773" s="34">
        <v>46273</v>
      </c>
      <c r="D1773" t="s">
        <v>35</v>
      </c>
      <c r="E1773" t="s">
        <v>36</v>
      </c>
      <c r="F1773" t="s">
        <v>37</v>
      </c>
      <c r="G1773">
        <v>15124</v>
      </c>
      <c r="H1773" t="s">
        <v>5377</v>
      </c>
      <c r="I1773" t="s">
        <v>5378</v>
      </c>
      <c r="J1773" t="s">
        <v>161</v>
      </c>
      <c r="O1773" t="s">
        <v>5379</v>
      </c>
      <c r="P1773">
        <v>444.4</v>
      </c>
      <c r="Q1773">
        <v>448</v>
      </c>
      <c r="R1773">
        <v>437.2</v>
      </c>
      <c r="S1773">
        <v>441.95</v>
      </c>
      <c r="T1773">
        <v>441</v>
      </c>
      <c r="U1773">
        <v>443.6</v>
      </c>
      <c r="W1773">
        <v>441.95</v>
      </c>
      <c r="Z1773">
        <v>46482</v>
      </c>
      <c r="AA1773">
        <v>20580441.850000001</v>
      </c>
      <c r="AB1773">
        <v>2677</v>
      </c>
      <c r="AC1773" t="s">
        <v>42</v>
      </c>
      <c r="AD1773">
        <v>1</v>
      </c>
    </row>
    <row r="1774" spans="1:30">
      <c r="A1774" t="str">
        <f>CONCATENATE(I1774,J1774)</f>
        <v>KONSTELECST</v>
      </c>
      <c r="B1774" s="34">
        <v>46273</v>
      </c>
      <c r="C1774" s="34">
        <v>46273</v>
      </c>
      <c r="D1774" t="s">
        <v>35</v>
      </c>
      <c r="E1774" t="s">
        <v>36</v>
      </c>
      <c r="F1774" t="s">
        <v>37</v>
      </c>
      <c r="G1774">
        <v>22475</v>
      </c>
      <c r="H1774" t="s">
        <v>5380</v>
      </c>
      <c r="I1774" t="s">
        <v>5381</v>
      </c>
      <c r="J1774" t="s">
        <v>328</v>
      </c>
      <c r="O1774" t="s">
        <v>5382</v>
      </c>
      <c r="P1774">
        <v>64</v>
      </c>
      <c r="Q1774">
        <v>66</v>
      </c>
      <c r="R1774">
        <v>61.75</v>
      </c>
      <c r="S1774">
        <v>62</v>
      </c>
      <c r="T1774">
        <v>62</v>
      </c>
      <c r="U1774">
        <v>64.349999999999994</v>
      </c>
      <c r="W1774">
        <v>62</v>
      </c>
      <c r="Z1774">
        <v>54000</v>
      </c>
      <c r="AA1774">
        <v>3457050</v>
      </c>
      <c r="AB1774">
        <v>31</v>
      </c>
      <c r="AC1774" t="s">
        <v>42</v>
      </c>
      <c r="AD1774">
        <v>1000</v>
      </c>
    </row>
    <row r="1775" spans="1:30">
      <c r="A1775" t="str">
        <f>CONCATENATE(I1775,J1775)</f>
        <v>KONTORSM</v>
      </c>
      <c r="B1775" s="34">
        <v>46273</v>
      </c>
      <c r="C1775" s="34">
        <v>46273</v>
      </c>
      <c r="D1775" t="s">
        <v>35</v>
      </c>
      <c r="E1775" t="s">
        <v>36</v>
      </c>
      <c r="F1775" t="s">
        <v>37</v>
      </c>
      <c r="G1775">
        <v>19287</v>
      </c>
      <c r="H1775" t="s">
        <v>5383</v>
      </c>
      <c r="I1775" t="s">
        <v>5384</v>
      </c>
      <c r="J1775" t="s">
        <v>267</v>
      </c>
      <c r="O1775" t="s">
        <v>5385</v>
      </c>
      <c r="P1775">
        <v>52</v>
      </c>
      <c r="Q1775">
        <v>52</v>
      </c>
      <c r="R1775">
        <v>52</v>
      </c>
      <c r="S1775">
        <v>52</v>
      </c>
      <c r="T1775">
        <v>52</v>
      </c>
      <c r="U1775">
        <v>51.25</v>
      </c>
      <c r="W1775">
        <v>52</v>
      </c>
      <c r="Z1775">
        <v>4200</v>
      </c>
      <c r="AA1775">
        <v>218400</v>
      </c>
      <c r="AB1775">
        <v>4</v>
      </c>
      <c r="AC1775" t="s">
        <v>42</v>
      </c>
      <c r="AD1775">
        <v>600</v>
      </c>
    </row>
    <row r="1776" spans="1:30">
      <c r="A1776" t="str">
        <f>CONCATENATE(I1776,J1776)</f>
        <v>KOPRANEQ</v>
      </c>
      <c r="B1776" s="34">
        <v>46273</v>
      </c>
      <c r="C1776" s="34">
        <v>46273</v>
      </c>
      <c r="D1776" t="s">
        <v>35</v>
      </c>
      <c r="E1776" t="s">
        <v>36</v>
      </c>
      <c r="F1776" t="s">
        <v>37</v>
      </c>
      <c r="G1776">
        <v>1919</v>
      </c>
      <c r="H1776" t="s">
        <v>5386</v>
      </c>
      <c r="I1776" t="s">
        <v>5387</v>
      </c>
      <c r="J1776" t="s">
        <v>161</v>
      </c>
      <c r="O1776" t="s">
        <v>5388</v>
      </c>
      <c r="P1776">
        <v>245.87</v>
      </c>
      <c r="Q1776">
        <v>249.99</v>
      </c>
      <c r="R1776">
        <v>235</v>
      </c>
      <c r="S1776">
        <v>239.51</v>
      </c>
      <c r="T1776">
        <v>235.55</v>
      </c>
      <c r="U1776">
        <v>245.87</v>
      </c>
      <c r="W1776">
        <v>239.54</v>
      </c>
      <c r="Z1776">
        <v>809220</v>
      </c>
      <c r="AA1776">
        <v>195704334.40000001</v>
      </c>
      <c r="AB1776">
        <v>15546</v>
      </c>
      <c r="AC1776" t="s">
        <v>42</v>
      </c>
      <c r="AD1776">
        <v>1</v>
      </c>
    </row>
    <row r="1777" spans="1:30">
      <c r="A1777" t="str">
        <f>CONCATENATE(I1777,J1777)</f>
        <v>KDLSM</v>
      </c>
      <c r="B1777" s="34">
        <v>46273</v>
      </c>
      <c r="C1777" s="34">
        <v>46273</v>
      </c>
      <c r="D1777" t="s">
        <v>35</v>
      </c>
      <c r="E1777" t="s">
        <v>36</v>
      </c>
      <c r="F1777" t="s">
        <v>37</v>
      </c>
      <c r="G1777">
        <v>16758</v>
      </c>
      <c r="H1777" t="s">
        <v>5389</v>
      </c>
      <c r="I1777" t="s">
        <v>5390</v>
      </c>
      <c r="J1777" t="s">
        <v>267</v>
      </c>
      <c r="O1777" t="s">
        <v>5391</v>
      </c>
      <c r="P1777">
        <v>91.9</v>
      </c>
      <c r="Q1777">
        <v>91.9</v>
      </c>
      <c r="R1777">
        <v>88.1</v>
      </c>
      <c r="S1777">
        <v>90.75</v>
      </c>
      <c r="T1777">
        <v>90.9</v>
      </c>
      <c r="U1777">
        <v>91.45</v>
      </c>
      <c r="W1777">
        <v>90.75</v>
      </c>
      <c r="Z1777">
        <v>15750</v>
      </c>
      <c r="AA1777">
        <v>1416742.5</v>
      </c>
      <c r="AB1777">
        <v>84</v>
      </c>
      <c r="AC1777" t="s">
        <v>42</v>
      </c>
      <c r="AD1777">
        <v>150</v>
      </c>
    </row>
    <row r="1778" spans="1:30">
      <c r="A1778" t="str">
        <f>CONCATENATE(I1778,J1778)</f>
        <v>GOLD1EQ</v>
      </c>
      <c r="B1778" s="34">
        <v>46273</v>
      </c>
      <c r="C1778" s="34">
        <v>46273</v>
      </c>
      <c r="D1778" t="s">
        <v>35</v>
      </c>
      <c r="E1778" t="s">
        <v>36</v>
      </c>
      <c r="F1778" t="s">
        <v>37</v>
      </c>
      <c r="G1778">
        <v>14858</v>
      </c>
      <c r="H1778" t="s">
        <v>5392</v>
      </c>
      <c r="I1778" t="s">
        <v>5393</v>
      </c>
      <c r="J1778" t="s">
        <v>161</v>
      </c>
      <c r="O1778" t="s">
        <v>5394</v>
      </c>
      <c r="P1778">
        <v>127.06</v>
      </c>
      <c r="Q1778">
        <v>127.9</v>
      </c>
      <c r="R1778">
        <v>126.54</v>
      </c>
      <c r="S1778">
        <v>127.09</v>
      </c>
      <c r="T1778">
        <v>127.27</v>
      </c>
      <c r="U1778">
        <v>126.71</v>
      </c>
      <c r="W1778">
        <v>127.09</v>
      </c>
      <c r="Z1778">
        <v>1041351</v>
      </c>
      <c r="AA1778">
        <v>132348029.87</v>
      </c>
      <c r="AB1778">
        <v>6139</v>
      </c>
      <c r="AC1778" t="s">
        <v>42</v>
      </c>
      <c r="AD1778">
        <v>1</v>
      </c>
    </row>
    <row r="1779" spans="1:30">
      <c r="A1779" t="str">
        <f>CONCATENATE(I1779,J1779)</f>
        <v>KOTAKBANKEQ</v>
      </c>
      <c r="B1779" s="34">
        <v>46273</v>
      </c>
      <c r="C1779" s="34">
        <v>46273</v>
      </c>
      <c r="D1779" t="s">
        <v>35</v>
      </c>
      <c r="E1779" t="s">
        <v>36</v>
      </c>
      <c r="F1779" t="s">
        <v>37</v>
      </c>
      <c r="G1779">
        <v>1922</v>
      </c>
      <c r="H1779" t="s">
        <v>5395</v>
      </c>
      <c r="I1779" t="s">
        <v>5396</v>
      </c>
      <c r="J1779" t="s">
        <v>161</v>
      </c>
      <c r="O1779" t="s">
        <v>5397</v>
      </c>
      <c r="P1779">
        <v>422.3</v>
      </c>
      <c r="Q1779">
        <v>423.85</v>
      </c>
      <c r="R1779">
        <v>419</v>
      </c>
      <c r="S1779">
        <v>419.25</v>
      </c>
      <c r="T1779">
        <v>419.25</v>
      </c>
      <c r="U1779">
        <v>422.1</v>
      </c>
      <c r="W1779">
        <v>419.24</v>
      </c>
      <c r="Z1779">
        <v>12406799</v>
      </c>
      <c r="AA1779">
        <v>5227413284.3500004</v>
      </c>
      <c r="AB1779">
        <v>101709</v>
      </c>
      <c r="AC1779" t="s">
        <v>42</v>
      </c>
      <c r="AD1779">
        <v>1</v>
      </c>
    </row>
    <row r="1780" spans="1:30">
      <c r="A1780" t="str">
        <f>CONCATENATE(I1780,J1780)</f>
        <v>NIFTY1EQ</v>
      </c>
      <c r="B1780" s="34">
        <v>46273</v>
      </c>
      <c r="C1780" s="34">
        <v>46273</v>
      </c>
      <c r="D1780" t="s">
        <v>35</v>
      </c>
      <c r="E1780" t="s">
        <v>36</v>
      </c>
      <c r="F1780" t="s">
        <v>37</v>
      </c>
      <c r="G1780">
        <v>18102</v>
      </c>
      <c r="H1780" t="s">
        <v>5398</v>
      </c>
      <c r="I1780" t="s">
        <v>5399</v>
      </c>
      <c r="J1780" t="s">
        <v>161</v>
      </c>
      <c r="O1780" t="s">
        <v>5400</v>
      </c>
      <c r="P1780">
        <v>270.8</v>
      </c>
      <c r="Q1780">
        <v>270.8</v>
      </c>
      <c r="R1780">
        <v>261.56</v>
      </c>
      <c r="S1780">
        <v>263.3</v>
      </c>
      <c r="T1780">
        <v>262.89999999999998</v>
      </c>
      <c r="U1780">
        <v>264.2</v>
      </c>
      <c r="W1780">
        <v>263.24</v>
      </c>
      <c r="Z1780">
        <v>4034945</v>
      </c>
      <c r="AA1780">
        <v>1059644980.5700001</v>
      </c>
      <c r="AB1780">
        <v>1773</v>
      </c>
      <c r="AC1780" t="s">
        <v>42</v>
      </c>
      <c r="AD1780">
        <v>1</v>
      </c>
    </row>
    <row r="1781" spans="1:30">
      <c r="A1781" t="str">
        <f>CONCATENATE(I1781,J1781)</f>
        <v>PSUBANKEQ</v>
      </c>
      <c r="B1781" s="34">
        <v>46273</v>
      </c>
      <c r="C1781" s="34">
        <v>46273</v>
      </c>
      <c r="D1781" t="s">
        <v>35</v>
      </c>
      <c r="E1781" t="s">
        <v>36</v>
      </c>
      <c r="F1781" t="s">
        <v>37</v>
      </c>
      <c r="G1781">
        <v>15061</v>
      </c>
      <c r="H1781" t="s">
        <v>5401</v>
      </c>
      <c r="I1781" t="s">
        <v>5402</v>
      </c>
      <c r="J1781" t="s">
        <v>161</v>
      </c>
      <c r="O1781" t="s">
        <v>5403</v>
      </c>
      <c r="P1781">
        <v>84.43</v>
      </c>
      <c r="Q1781">
        <v>84.99</v>
      </c>
      <c r="R1781">
        <v>83.9</v>
      </c>
      <c r="S1781">
        <v>84.22</v>
      </c>
      <c r="T1781">
        <v>84.24</v>
      </c>
      <c r="U1781">
        <v>84.42</v>
      </c>
      <c r="W1781">
        <v>84.19</v>
      </c>
      <c r="Z1781">
        <v>41388</v>
      </c>
      <c r="AA1781">
        <v>3484633.53</v>
      </c>
      <c r="AB1781">
        <v>495</v>
      </c>
      <c r="AC1781" t="s">
        <v>42</v>
      </c>
      <c r="AD1781">
        <v>1</v>
      </c>
    </row>
    <row r="1782" spans="1:30">
      <c r="A1782" t="str">
        <f>CONCATENATE(I1782,J1782)</f>
        <v>CHEMICALEQ</v>
      </c>
      <c r="B1782" s="34">
        <v>46273</v>
      </c>
      <c r="C1782" s="34">
        <v>46273</v>
      </c>
      <c r="D1782" t="s">
        <v>35</v>
      </c>
      <c r="E1782" t="s">
        <v>36</v>
      </c>
      <c r="F1782" t="s">
        <v>37</v>
      </c>
      <c r="G1782">
        <v>759885</v>
      </c>
      <c r="H1782" t="s">
        <v>5404</v>
      </c>
      <c r="I1782" t="s">
        <v>5405</v>
      </c>
      <c r="J1782" t="s">
        <v>161</v>
      </c>
      <c r="O1782" t="s">
        <v>5406</v>
      </c>
      <c r="P1782">
        <v>30.15</v>
      </c>
      <c r="Q1782">
        <v>30.21</v>
      </c>
      <c r="R1782">
        <v>30.05</v>
      </c>
      <c r="S1782">
        <v>30.13</v>
      </c>
      <c r="T1782">
        <v>30.18</v>
      </c>
      <c r="U1782">
        <v>30.05</v>
      </c>
      <c r="W1782">
        <v>30.13</v>
      </c>
      <c r="Z1782">
        <v>218836</v>
      </c>
      <c r="AA1782">
        <v>6591771.4299999997</v>
      </c>
      <c r="AB1782">
        <v>770</v>
      </c>
      <c r="AC1782" t="s">
        <v>42</v>
      </c>
      <c r="AD1782">
        <v>1</v>
      </c>
    </row>
    <row r="1783" spans="1:30">
      <c r="A1783" t="str">
        <f>CONCATENATE(I1783,J1783)</f>
        <v>ALPHAEQ</v>
      </c>
      <c r="B1783" s="34">
        <v>46273</v>
      </c>
      <c r="C1783" s="34">
        <v>46273</v>
      </c>
      <c r="D1783" t="s">
        <v>35</v>
      </c>
      <c r="E1783" t="s">
        <v>36</v>
      </c>
      <c r="F1783" t="s">
        <v>37</v>
      </c>
      <c r="G1783">
        <v>7412</v>
      </c>
      <c r="H1783" t="s">
        <v>5407</v>
      </c>
      <c r="I1783" t="s">
        <v>5408</v>
      </c>
      <c r="J1783" t="s">
        <v>161</v>
      </c>
      <c r="O1783" t="s">
        <v>5409</v>
      </c>
      <c r="P1783">
        <v>53.98</v>
      </c>
      <c r="Q1783">
        <v>54.23</v>
      </c>
      <c r="R1783">
        <v>53.42</v>
      </c>
      <c r="S1783">
        <v>54.14</v>
      </c>
      <c r="T1783">
        <v>54.03</v>
      </c>
      <c r="U1783">
        <v>53.97</v>
      </c>
      <c r="W1783">
        <v>54.14</v>
      </c>
      <c r="Z1783">
        <v>719525</v>
      </c>
      <c r="AA1783">
        <v>38966354.200000003</v>
      </c>
      <c r="AB1783">
        <v>2323</v>
      </c>
      <c r="AC1783" t="s">
        <v>42</v>
      </c>
      <c r="AD1783">
        <v>1</v>
      </c>
    </row>
    <row r="1784" spans="1:30">
      <c r="A1784" t="str">
        <f>CONCATENATE(I1784,J1784)</f>
        <v>CONSEQ</v>
      </c>
      <c r="B1784" s="34">
        <v>46273</v>
      </c>
      <c r="C1784" s="34">
        <v>46273</v>
      </c>
      <c r="D1784" t="s">
        <v>35</v>
      </c>
      <c r="E1784" t="s">
        <v>36</v>
      </c>
      <c r="F1784" t="s">
        <v>37</v>
      </c>
      <c r="G1784">
        <v>10512</v>
      </c>
      <c r="H1784" t="s">
        <v>5410</v>
      </c>
      <c r="I1784" t="s">
        <v>5411</v>
      </c>
      <c r="J1784" t="s">
        <v>161</v>
      </c>
      <c r="O1784" t="s">
        <v>5412</v>
      </c>
      <c r="P1784">
        <v>11.9</v>
      </c>
      <c r="Q1784">
        <v>11.98</v>
      </c>
      <c r="R1784">
        <v>11.81</v>
      </c>
      <c r="S1784">
        <v>11.88</v>
      </c>
      <c r="T1784">
        <v>11.98</v>
      </c>
      <c r="U1784">
        <v>11.93</v>
      </c>
      <c r="W1784">
        <v>11.88</v>
      </c>
      <c r="Z1784">
        <v>28902</v>
      </c>
      <c r="AA1784">
        <v>344095.05</v>
      </c>
      <c r="AB1784">
        <v>158</v>
      </c>
      <c r="AC1784" t="s">
        <v>42</v>
      </c>
      <c r="AD1784">
        <v>1</v>
      </c>
    </row>
    <row r="1785" spans="1:30">
      <c r="A1785" t="str">
        <f>CONCATENATE(I1785,J1785)</f>
        <v>ITEQ</v>
      </c>
      <c r="B1785" s="34">
        <v>46273</v>
      </c>
      <c r="C1785" s="34">
        <v>46273</v>
      </c>
      <c r="D1785" t="s">
        <v>35</v>
      </c>
      <c r="E1785" t="s">
        <v>36</v>
      </c>
      <c r="F1785" t="s">
        <v>37</v>
      </c>
      <c r="G1785">
        <v>2627</v>
      </c>
      <c r="H1785" t="s">
        <v>5413</v>
      </c>
      <c r="I1785" t="s">
        <v>5414</v>
      </c>
      <c r="J1785" t="s">
        <v>161</v>
      </c>
      <c r="O1785" t="s">
        <v>5415</v>
      </c>
      <c r="P1785">
        <v>33.32</v>
      </c>
      <c r="Q1785">
        <v>33.82</v>
      </c>
      <c r="R1785">
        <v>33.01</v>
      </c>
      <c r="S1785">
        <v>33.270000000000003</v>
      </c>
      <c r="T1785">
        <v>33.299999999999997</v>
      </c>
      <c r="U1785">
        <v>33.32</v>
      </c>
      <c r="W1785">
        <v>33.270000000000003</v>
      </c>
      <c r="Z1785">
        <v>602096</v>
      </c>
      <c r="AA1785">
        <v>20048254.039999999</v>
      </c>
      <c r="AB1785">
        <v>1453</v>
      </c>
      <c r="AC1785" t="s">
        <v>42</v>
      </c>
      <c r="AD1785">
        <v>1</v>
      </c>
    </row>
    <row r="1786" spans="1:30">
      <c r="A1786" t="str">
        <f>CONCATENATE(I1786,J1786)</f>
        <v>LIQUID1EQ</v>
      </c>
      <c r="B1786" s="34">
        <v>46273</v>
      </c>
      <c r="C1786" s="34">
        <v>46273</v>
      </c>
      <c r="D1786" t="s">
        <v>35</v>
      </c>
      <c r="E1786" t="s">
        <v>36</v>
      </c>
      <c r="F1786" t="s">
        <v>37</v>
      </c>
      <c r="G1786">
        <v>13950</v>
      </c>
      <c r="H1786" t="s">
        <v>5416</v>
      </c>
      <c r="I1786" t="s">
        <v>5417</v>
      </c>
      <c r="J1786" t="s">
        <v>161</v>
      </c>
      <c r="O1786" t="s">
        <v>5418</v>
      </c>
      <c r="P1786">
        <v>1121.69</v>
      </c>
      <c r="Q1786">
        <v>1121.71</v>
      </c>
      <c r="R1786">
        <v>1121.69</v>
      </c>
      <c r="S1786">
        <v>1121.7</v>
      </c>
      <c r="T1786">
        <v>1121.7</v>
      </c>
      <c r="U1786">
        <v>1121.56</v>
      </c>
      <c r="W1786">
        <v>1121.7</v>
      </c>
      <c r="Z1786">
        <v>913015</v>
      </c>
      <c r="AA1786">
        <v>1024131345.9299999</v>
      </c>
      <c r="AB1786">
        <v>616</v>
      </c>
      <c r="AC1786" t="s">
        <v>42</v>
      </c>
      <c r="AD1786">
        <v>1</v>
      </c>
    </row>
    <row r="1787" spans="1:30">
      <c r="A1787" t="str">
        <f>CONCATENATE(I1787,J1787)</f>
        <v>LOWVOL1EQ</v>
      </c>
      <c r="B1787" s="34">
        <v>46273</v>
      </c>
      <c r="C1787" s="34">
        <v>46273</v>
      </c>
      <c r="D1787" t="s">
        <v>35</v>
      </c>
      <c r="E1787" t="s">
        <v>36</v>
      </c>
      <c r="F1787" t="s">
        <v>37</v>
      </c>
      <c r="G1787">
        <v>8632</v>
      </c>
      <c r="H1787" t="s">
        <v>5419</v>
      </c>
      <c r="I1787" t="s">
        <v>5420</v>
      </c>
      <c r="J1787" t="s">
        <v>161</v>
      </c>
      <c r="O1787" t="s">
        <v>5421</v>
      </c>
      <c r="P1787">
        <v>20.82</v>
      </c>
      <c r="Q1787">
        <v>20.95</v>
      </c>
      <c r="R1787">
        <v>20.72</v>
      </c>
      <c r="S1787">
        <v>20.85</v>
      </c>
      <c r="T1787">
        <v>20.85</v>
      </c>
      <c r="U1787">
        <v>20.82</v>
      </c>
      <c r="W1787">
        <v>20.85</v>
      </c>
      <c r="Z1787">
        <v>574008</v>
      </c>
      <c r="AA1787">
        <v>11935161.960000001</v>
      </c>
      <c r="AB1787">
        <v>143</v>
      </c>
      <c r="AC1787" t="s">
        <v>42</v>
      </c>
      <c r="AD1787">
        <v>1</v>
      </c>
    </row>
    <row r="1788" spans="1:30">
      <c r="A1788" t="str">
        <f>CONCATENATE(I1788,J1788)</f>
        <v>MIDCAPEQ</v>
      </c>
      <c r="B1788" s="34">
        <v>46273</v>
      </c>
      <c r="C1788" s="34">
        <v>46273</v>
      </c>
      <c r="D1788" t="s">
        <v>35</v>
      </c>
      <c r="E1788" t="s">
        <v>36</v>
      </c>
      <c r="F1788" t="s">
        <v>37</v>
      </c>
      <c r="G1788">
        <v>8077</v>
      </c>
      <c r="H1788" t="s">
        <v>5422</v>
      </c>
      <c r="I1788" t="s">
        <v>5423</v>
      </c>
      <c r="J1788" t="s">
        <v>161</v>
      </c>
      <c r="O1788" t="s">
        <v>5424</v>
      </c>
      <c r="P1788">
        <v>18.8</v>
      </c>
      <c r="Q1788">
        <v>18.8</v>
      </c>
      <c r="R1788">
        <v>18.39</v>
      </c>
      <c r="S1788">
        <v>18.5</v>
      </c>
      <c r="T1788">
        <v>18.55</v>
      </c>
      <c r="U1788">
        <v>18.43</v>
      </c>
      <c r="W1788">
        <v>18.5</v>
      </c>
      <c r="Z1788">
        <v>230507</v>
      </c>
      <c r="AA1788">
        <v>4257351.3</v>
      </c>
      <c r="AB1788">
        <v>689</v>
      </c>
      <c r="AC1788" t="s">
        <v>42</v>
      </c>
      <c r="AD1788">
        <v>1</v>
      </c>
    </row>
    <row r="1789" spans="1:30">
      <c r="A1789" t="str">
        <f>CONCATENATE(I1789,J1789)</f>
        <v>MNCEQ</v>
      </c>
      <c r="B1789" s="34">
        <v>46273</v>
      </c>
      <c r="C1789" s="34">
        <v>46273</v>
      </c>
      <c r="D1789" t="s">
        <v>35</v>
      </c>
      <c r="E1789" t="s">
        <v>36</v>
      </c>
      <c r="F1789" t="s">
        <v>37</v>
      </c>
      <c r="G1789">
        <v>10676</v>
      </c>
      <c r="H1789" t="s">
        <v>5425</v>
      </c>
      <c r="I1789" t="s">
        <v>5426</v>
      </c>
      <c r="J1789" t="s">
        <v>161</v>
      </c>
      <c r="O1789" t="s">
        <v>5427</v>
      </c>
      <c r="P1789">
        <v>33.04</v>
      </c>
      <c r="Q1789">
        <v>33.14</v>
      </c>
      <c r="R1789">
        <v>32.869999999999997</v>
      </c>
      <c r="S1789">
        <v>33.11</v>
      </c>
      <c r="T1789">
        <v>33.11</v>
      </c>
      <c r="U1789">
        <v>33.04</v>
      </c>
      <c r="W1789">
        <v>33.11</v>
      </c>
      <c r="Z1789">
        <v>44458</v>
      </c>
      <c r="AA1789">
        <v>1469238.5</v>
      </c>
      <c r="AB1789">
        <v>279</v>
      </c>
      <c r="AC1789" t="s">
        <v>42</v>
      </c>
      <c r="AD1789">
        <v>1</v>
      </c>
    </row>
    <row r="1790" spans="1:30">
      <c r="A1790" t="str">
        <f>CONCATENATE(I1790,J1790)</f>
        <v>SILVER1EQ</v>
      </c>
      <c r="B1790" s="34">
        <v>46273</v>
      </c>
      <c r="C1790" s="34">
        <v>46273</v>
      </c>
      <c r="D1790" t="s">
        <v>35</v>
      </c>
      <c r="E1790" t="s">
        <v>36</v>
      </c>
      <c r="F1790" t="s">
        <v>37</v>
      </c>
      <c r="G1790">
        <v>13082</v>
      </c>
      <c r="H1790" t="s">
        <v>5428</v>
      </c>
      <c r="I1790" t="s">
        <v>5429</v>
      </c>
      <c r="J1790" t="s">
        <v>161</v>
      </c>
      <c r="O1790" t="s">
        <v>5430</v>
      </c>
      <c r="P1790">
        <v>22.6</v>
      </c>
      <c r="Q1790">
        <v>22.7</v>
      </c>
      <c r="R1790">
        <v>22.32</v>
      </c>
      <c r="S1790">
        <v>22.46</v>
      </c>
      <c r="T1790">
        <v>22.45</v>
      </c>
      <c r="U1790">
        <v>22.32</v>
      </c>
      <c r="W1790">
        <v>22.46</v>
      </c>
      <c r="Z1790">
        <v>8172584</v>
      </c>
      <c r="AA1790">
        <v>183747747.13</v>
      </c>
      <c r="AB1790">
        <v>5446</v>
      </c>
      <c r="AC1790" t="s">
        <v>42</v>
      </c>
      <c r="AD1790">
        <v>1</v>
      </c>
    </row>
    <row r="1791" spans="1:30">
      <c r="A1791" t="str">
        <f>CONCATENATE(I1791,J1791)</f>
        <v>NV20EQ</v>
      </c>
      <c r="B1791" s="34">
        <v>46273</v>
      </c>
      <c r="C1791" s="34">
        <v>46273</v>
      </c>
      <c r="D1791" t="s">
        <v>35</v>
      </c>
      <c r="E1791" t="s">
        <v>36</v>
      </c>
      <c r="F1791" t="s">
        <v>37</v>
      </c>
      <c r="G1791">
        <v>11457</v>
      </c>
      <c r="H1791" t="s">
        <v>5431</v>
      </c>
      <c r="I1791" t="s">
        <v>5432</v>
      </c>
      <c r="J1791" t="s">
        <v>161</v>
      </c>
      <c r="O1791" t="s">
        <v>5433</v>
      </c>
      <c r="P1791">
        <v>13.82</v>
      </c>
      <c r="Q1791">
        <v>13.82</v>
      </c>
      <c r="R1791">
        <v>13.71</v>
      </c>
      <c r="S1791">
        <v>13.75</v>
      </c>
      <c r="T1791">
        <v>13.76</v>
      </c>
      <c r="U1791">
        <v>13.82</v>
      </c>
      <c r="W1791">
        <v>13.75</v>
      </c>
      <c r="Z1791">
        <v>408358</v>
      </c>
      <c r="AA1791">
        <v>5615225.9900000002</v>
      </c>
      <c r="AB1791">
        <v>292</v>
      </c>
      <c r="AC1791" t="s">
        <v>42</v>
      </c>
      <c r="AD1791">
        <v>1</v>
      </c>
    </row>
    <row r="1792" spans="1:30">
      <c r="A1792" t="str">
        <f>CONCATENATE(I1792,J1792)</f>
        <v>MID150EQ</v>
      </c>
      <c r="B1792" s="34">
        <v>46273</v>
      </c>
      <c r="C1792" s="34">
        <v>46273</v>
      </c>
      <c r="D1792" t="s">
        <v>35</v>
      </c>
      <c r="E1792" t="s">
        <v>36</v>
      </c>
      <c r="F1792" t="s">
        <v>37</v>
      </c>
      <c r="G1792">
        <v>30469</v>
      </c>
      <c r="H1792" t="s">
        <v>5434</v>
      </c>
      <c r="I1792" t="s">
        <v>5435</v>
      </c>
      <c r="J1792" t="s">
        <v>161</v>
      </c>
      <c r="O1792" t="s">
        <v>5436</v>
      </c>
      <c r="P1792">
        <v>23.49</v>
      </c>
      <c r="Q1792">
        <v>23.52</v>
      </c>
      <c r="R1792">
        <v>23.37</v>
      </c>
      <c r="S1792">
        <v>23.48</v>
      </c>
      <c r="T1792">
        <v>23.47</v>
      </c>
      <c r="U1792">
        <v>23.49</v>
      </c>
      <c r="W1792">
        <v>23.48</v>
      </c>
      <c r="Z1792">
        <v>93482</v>
      </c>
      <c r="AA1792">
        <v>2190846.66</v>
      </c>
      <c r="AB1792">
        <v>155</v>
      </c>
      <c r="AC1792" t="s">
        <v>42</v>
      </c>
      <c r="AD1792">
        <v>1</v>
      </c>
    </row>
    <row r="1793" spans="1:30">
      <c r="A1793" t="str">
        <f>CONCATENATE(I1793,J1793)</f>
        <v>MOMENTUM30EQ</v>
      </c>
      <c r="B1793" s="34">
        <v>46273</v>
      </c>
      <c r="C1793" s="34">
        <v>46273</v>
      </c>
      <c r="D1793" t="s">
        <v>35</v>
      </c>
      <c r="E1793" t="s">
        <v>36</v>
      </c>
      <c r="F1793" t="s">
        <v>37</v>
      </c>
      <c r="G1793">
        <v>759488</v>
      </c>
      <c r="H1793" t="s">
        <v>5437</v>
      </c>
      <c r="I1793" t="s">
        <v>5438</v>
      </c>
      <c r="J1793" t="s">
        <v>161</v>
      </c>
      <c r="O1793" t="s">
        <v>5439</v>
      </c>
      <c r="P1793">
        <v>30.83</v>
      </c>
      <c r="Q1793">
        <v>31.12</v>
      </c>
      <c r="R1793">
        <v>30.73</v>
      </c>
      <c r="S1793">
        <v>30.98</v>
      </c>
      <c r="T1793">
        <v>30.8</v>
      </c>
      <c r="U1793">
        <v>30.76</v>
      </c>
      <c r="W1793">
        <v>30.98</v>
      </c>
      <c r="Z1793">
        <v>683196</v>
      </c>
      <c r="AA1793">
        <v>21166890.039999999</v>
      </c>
      <c r="AB1793">
        <v>75</v>
      </c>
      <c r="AC1793" t="s">
        <v>42</v>
      </c>
      <c r="AD1793">
        <v>1</v>
      </c>
    </row>
    <row r="1794" spans="1:30">
      <c r="A1794" t="str">
        <f>CONCATENATE(I1794,J1794)</f>
        <v>MSCIINDIAEQ</v>
      </c>
      <c r="B1794" s="34">
        <v>46273</v>
      </c>
      <c r="C1794" s="34">
        <v>46273</v>
      </c>
      <c r="D1794" t="s">
        <v>35</v>
      </c>
      <c r="E1794" t="s">
        <v>36</v>
      </c>
      <c r="F1794" t="s">
        <v>37</v>
      </c>
      <c r="G1794">
        <v>29758</v>
      </c>
      <c r="H1794" t="s">
        <v>5440</v>
      </c>
      <c r="I1794" t="s">
        <v>5441</v>
      </c>
      <c r="J1794" t="s">
        <v>161</v>
      </c>
      <c r="O1794" t="s">
        <v>5442</v>
      </c>
      <c r="P1794">
        <v>29.57</v>
      </c>
      <c r="Q1794">
        <v>29.59</v>
      </c>
      <c r="R1794">
        <v>29.4</v>
      </c>
      <c r="S1794">
        <v>29.47</v>
      </c>
      <c r="T1794">
        <v>29.4</v>
      </c>
      <c r="U1794">
        <v>29.6</v>
      </c>
      <c r="W1794">
        <v>29.47</v>
      </c>
      <c r="Z1794">
        <v>6105</v>
      </c>
      <c r="AA1794">
        <v>180269.31</v>
      </c>
      <c r="AB1794">
        <v>108</v>
      </c>
      <c r="AC1794" t="s">
        <v>42</v>
      </c>
      <c r="AD1794">
        <v>1</v>
      </c>
    </row>
    <row r="1795" spans="1:30">
      <c r="A1795" t="str">
        <f>CONCATENATE(I1795,J1795)</f>
        <v>NEXT50ETFEQ</v>
      </c>
      <c r="B1795" s="34">
        <v>46273</v>
      </c>
      <c r="C1795" s="34">
        <v>46273</v>
      </c>
      <c r="D1795" t="s">
        <v>35</v>
      </c>
      <c r="E1795" t="s">
        <v>36</v>
      </c>
      <c r="F1795" t="s">
        <v>37</v>
      </c>
      <c r="G1795">
        <v>760709</v>
      </c>
      <c r="H1795" t="s">
        <v>5443</v>
      </c>
      <c r="I1795" t="s">
        <v>5444</v>
      </c>
      <c r="J1795" t="s">
        <v>161</v>
      </c>
      <c r="O1795" t="s">
        <v>5445</v>
      </c>
      <c r="P1795">
        <v>73.23</v>
      </c>
      <c r="Q1795">
        <v>73.849999999999994</v>
      </c>
      <c r="R1795">
        <v>73</v>
      </c>
      <c r="S1795">
        <v>73.459999999999994</v>
      </c>
      <c r="T1795">
        <v>73.849999999999994</v>
      </c>
      <c r="U1795">
        <v>73.23</v>
      </c>
      <c r="W1795">
        <v>73.459999999999994</v>
      </c>
      <c r="Z1795">
        <v>27338</v>
      </c>
      <c r="AA1795">
        <v>2006931.32</v>
      </c>
      <c r="AB1795">
        <v>101</v>
      </c>
      <c r="AC1795" t="s">
        <v>42</v>
      </c>
      <c r="AD1795">
        <v>1</v>
      </c>
    </row>
    <row r="1796" spans="1:30">
      <c r="A1796" t="str">
        <f>CONCATENATE(I1796,J1796)</f>
        <v>NIFTY100EWEQ</v>
      </c>
      <c r="B1796" s="34">
        <v>46273</v>
      </c>
      <c r="C1796" s="34">
        <v>46273</v>
      </c>
      <c r="D1796" t="s">
        <v>35</v>
      </c>
      <c r="E1796" t="s">
        <v>36</v>
      </c>
      <c r="F1796" t="s">
        <v>37</v>
      </c>
      <c r="G1796">
        <v>29944</v>
      </c>
      <c r="H1796" t="s">
        <v>5446</v>
      </c>
      <c r="I1796" t="s">
        <v>5447</v>
      </c>
      <c r="J1796" t="s">
        <v>161</v>
      </c>
      <c r="O1796" t="s">
        <v>5448</v>
      </c>
      <c r="P1796">
        <v>35.18</v>
      </c>
      <c r="Q1796">
        <v>35.18</v>
      </c>
      <c r="R1796">
        <v>34.64</v>
      </c>
      <c r="S1796">
        <v>34.770000000000003</v>
      </c>
      <c r="T1796">
        <v>34.75</v>
      </c>
      <c r="U1796">
        <v>34.85</v>
      </c>
      <c r="W1796">
        <v>34.770000000000003</v>
      </c>
      <c r="Z1796">
        <v>20398</v>
      </c>
      <c r="AA1796">
        <v>709537.52</v>
      </c>
      <c r="AB1796">
        <v>160</v>
      </c>
      <c r="AC1796" t="s">
        <v>42</v>
      </c>
      <c r="AD1796">
        <v>1</v>
      </c>
    </row>
    <row r="1797" spans="1:30">
      <c r="A1797" t="str">
        <f>CONCATENATE(I1797,J1797)</f>
        <v>PVTBANKEQ</v>
      </c>
      <c r="B1797" s="34">
        <v>46273</v>
      </c>
      <c r="C1797" s="34">
        <v>46273</v>
      </c>
      <c r="D1797" t="s">
        <v>35</v>
      </c>
      <c r="E1797" t="s">
        <v>36</v>
      </c>
      <c r="F1797" t="s">
        <v>37</v>
      </c>
      <c r="G1797">
        <v>764195</v>
      </c>
      <c r="H1797" t="s">
        <v>5449</v>
      </c>
      <c r="I1797" t="s">
        <v>5450</v>
      </c>
      <c r="J1797" t="s">
        <v>161</v>
      </c>
      <c r="O1797" t="s">
        <v>5451</v>
      </c>
      <c r="P1797">
        <v>27.68</v>
      </c>
      <c r="Q1797">
        <v>27.74</v>
      </c>
      <c r="R1797">
        <v>27.6</v>
      </c>
      <c r="S1797">
        <v>27.62</v>
      </c>
      <c r="T1797">
        <v>27.7</v>
      </c>
      <c r="U1797">
        <v>27.87</v>
      </c>
      <c r="W1797">
        <v>27.62</v>
      </c>
      <c r="Z1797">
        <v>2839</v>
      </c>
      <c r="AA1797">
        <v>78562.350000000006</v>
      </c>
      <c r="AB1797">
        <v>26</v>
      </c>
      <c r="AC1797" t="s">
        <v>42</v>
      </c>
      <c r="AD1797">
        <v>1</v>
      </c>
    </row>
    <row r="1798" spans="1:30">
      <c r="A1798" t="str">
        <f>CONCATENATE(I1798,J1798)</f>
        <v>QUALITY30EQ</v>
      </c>
      <c r="B1798" s="34">
        <v>46273</v>
      </c>
      <c r="C1798" s="34">
        <v>46273</v>
      </c>
      <c r="D1798" t="s">
        <v>35</v>
      </c>
      <c r="E1798" t="s">
        <v>36</v>
      </c>
      <c r="F1798" t="s">
        <v>37</v>
      </c>
      <c r="G1798">
        <v>757946</v>
      </c>
      <c r="H1798" t="s">
        <v>5452</v>
      </c>
      <c r="I1798" t="s">
        <v>5453</v>
      </c>
      <c r="J1798" t="s">
        <v>161</v>
      </c>
      <c r="O1798" t="s">
        <v>5454</v>
      </c>
      <c r="P1798">
        <v>20.36</v>
      </c>
      <c r="Q1798">
        <v>20.57</v>
      </c>
      <c r="R1798">
        <v>20.36</v>
      </c>
      <c r="S1798">
        <v>20.47</v>
      </c>
      <c r="T1798">
        <v>20.420000000000002</v>
      </c>
      <c r="U1798">
        <v>20.49</v>
      </c>
      <c r="W1798">
        <v>20.47</v>
      </c>
      <c r="Z1798">
        <v>4104</v>
      </c>
      <c r="AA1798">
        <v>84123.68</v>
      </c>
      <c r="AB1798">
        <v>33</v>
      </c>
      <c r="AC1798" t="s">
        <v>42</v>
      </c>
      <c r="AD1798">
        <v>1</v>
      </c>
    </row>
    <row r="1799" spans="1:30">
      <c r="A1799" t="str">
        <f>CONCATENATE(I1799,J1799)</f>
        <v>BANKNIFTY1EQ</v>
      </c>
      <c r="B1799" s="34">
        <v>46273</v>
      </c>
      <c r="C1799" s="34">
        <v>46273</v>
      </c>
      <c r="D1799" t="s">
        <v>35</v>
      </c>
      <c r="E1799" t="s">
        <v>36</v>
      </c>
      <c r="F1799" t="s">
        <v>37</v>
      </c>
      <c r="G1799">
        <v>5851</v>
      </c>
      <c r="H1799" t="s">
        <v>5455</v>
      </c>
      <c r="I1799" t="s">
        <v>5456</v>
      </c>
      <c r="J1799" t="s">
        <v>161</v>
      </c>
      <c r="O1799" t="s">
        <v>5457</v>
      </c>
      <c r="P1799">
        <v>59.32</v>
      </c>
      <c r="Q1799">
        <v>59.32</v>
      </c>
      <c r="R1799">
        <v>59</v>
      </c>
      <c r="S1799">
        <v>59.06</v>
      </c>
      <c r="T1799">
        <v>59.1</v>
      </c>
      <c r="U1799">
        <v>59.32</v>
      </c>
      <c r="W1799">
        <v>59.06</v>
      </c>
      <c r="Z1799">
        <v>104424</v>
      </c>
      <c r="AA1799">
        <v>6174576.8600000003</v>
      </c>
      <c r="AB1799">
        <v>670</v>
      </c>
      <c r="AC1799" t="s">
        <v>42</v>
      </c>
      <c r="AD1799">
        <v>1</v>
      </c>
    </row>
    <row r="1800" spans="1:30">
      <c r="A1800" t="str">
        <f>CONCATENATE(I1800,J1800)</f>
        <v>KOTICEQ</v>
      </c>
      <c r="B1800" s="34">
        <v>46273</v>
      </c>
      <c r="C1800" s="34">
        <v>46273</v>
      </c>
      <c r="D1800" t="s">
        <v>35</v>
      </c>
      <c r="E1800" t="s">
        <v>36</v>
      </c>
      <c r="F1800" t="s">
        <v>37</v>
      </c>
      <c r="G1800">
        <v>762752</v>
      </c>
      <c r="H1800" t="s">
        <v>5458</v>
      </c>
      <c r="I1800" t="s">
        <v>5459</v>
      </c>
      <c r="J1800" t="s">
        <v>161</v>
      </c>
      <c r="O1800" t="s">
        <v>5460</v>
      </c>
      <c r="P1800">
        <v>133.02000000000001</v>
      </c>
      <c r="Q1800">
        <v>137</v>
      </c>
      <c r="R1800">
        <v>132.9</v>
      </c>
      <c r="S1800">
        <v>136.63</v>
      </c>
      <c r="T1800">
        <v>136.94999999999999</v>
      </c>
      <c r="U1800">
        <v>131.86000000000001</v>
      </c>
      <c r="W1800">
        <v>136.81</v>
      </c>
      <c r="Z1800">
        <v>8391</v>
      </c>
      <c r="AA1800">
        <v>1142541.51</v>
      </c>
      <c r="AB1800">
        <v>422</v>
      </c>
      <c r="AC1800" t="s">
        <v>42</v>
      </c>
      <c r="AD1800">
        <v>1</v>
      </c>
    </row>
    <row r="1801" spans="1:30">
      <c r="A1801" t="str">
        <f>CONCATENATE(I1801,J1801)</f>
        <v>KOTHARIPETEQ</v>
      </c>
      <c r="B1801" s="34">
        <v>46273</v>
      </c>
      <c r="C1801" s="34">
        <v>46273</v>
      </c>
      <c r="D1801" t="s">
        <v>35</v>
      </c>
      <c r="E1801" t="s">
        <v>36</v>
      </c>
      <c r="F1801" t="s">
        <v>37</v>
      </c>
      <c r="G1801">
        <v>4594</v>
      </c>
      <c r="H1801" t="s">
        <v>5461</v>
      </c>
      <c r="I1801" t="s">
        <v>5462</v>
      </c>
      <c r="J1801" t="s">
        <v>161</v>
      </c>
      <c r="O1801" t="s">
        <v>5463</v>
      </c>
      <c r="P1801">
        <v>133</v>
      </c>
      <c r="Q1801">
        <v>150.6</v>
      </c>
      <c r="R1801">
        <v>131.19999999999999</v>
      </c>
      <c r="S1801">
        <v>144.29</v>
      </c>
      <c r="T1801">
        <v>143.9</v>
      </c>
      <c r="U1801">
        <v>133.27000000000001</v>
      </c>
      <c r="W1801">
        <v>144.29</v>
      </c>
      <c r="Z1801">
        <v>660992</v>
      </c>
      <c r="AA1801">
        <v>94909595.170000002</v>
      </c>
      <c r="AB1801">
        <v>9235</v>
      </c>
      <c r="AC1801" t="s">
        <v>42</v>
      </c>
      <c r="AD1801">
        <v>1</v>
      </c>
    </row>
    <row r="1802" spans="1:30">
      <c r="A1802" t="str">
        <f>CONCATENATE(I1802,J1802)</f>
        <v>KOTHARIPROEQ</v>
      </c>
      <c r="B1802" s="34">
        <v>46273</v>
      </c>
      <c r="C1802" s="34">
        <v>46273</v>
      </c>
      <c r="D1802" t="s">
        <v>35</v>
      </c>
      <c r="E1802" t="s">
        <v>36</v>
      </c>
      <c r="F1802" t="s">
        <v>37</v>
      </c>
      <c r="G1802">
        <v>5528</v>
      </c>
      <c r="H1802" t="s">
        <v>5464</v>
      </c>
      <c r="I1802" t="s">
        <v>5465</v>
      </c>
      <c r="J1802" t="s">
        <v>161</v>
      </c>
      <c r="O1802" t="s">
        <v>5466</v>
      </c>
      <c r="P1802">
        <v>67.900000000000006</v>
      </c>
      <c r="Q1802">
        <v>67.900000000000006</v>
      </c>
      <c r="R1802">
        <v>66.3</v>
      </c>
      <c r="S1802">
        <v>66.430000000000007</v>
      </c>
      <c r="T1802">
        <v>66.3</v>
      </c>
      <c r="U1802">
        <v>66.16</v>
      </c>
      <c r="W1802">
        <v>66.459999999999994</v>
      </c>
      <c r="Z1802">
        <v>5661</v>
      </c>
      <c r="AA1802">
        <v>376690.75</v>
      </c>
      <c r="AB1802">
        <v>83</v>
      </c>
      <c r="AC1802" t="s">
        <v>42</v>
      </c>
      <c r="AD1802">
        <v>1</v>
      </c>
    </row>
    <row r="1803" spans="1:30">
      <c r="A1803" t="str">
        <f>CONCATENATE(I1803,J1803)</f>
        <v>KOTARISUGBE</v>
      </c>
      <c r="B1803" s="34">
        <v>46273</v>
      </c>
      <c r="C1803" s="34">
        <v>46273</v>
      </c>
      <c r="D1803" t="s">
        <v>35</v>
      </c>
      <c r="E1803" t="s">
        <v>36</v>
      </c>
      <c r="F1803" t="s">
        <v>37</v>
      </c>
      <c r="G1803">
        <v>11648</v>
      </c>
      <c r="H1803" t="s">
        <v>5467</v>
      </c>
      <c r="I1803" t="s">
        <v>5468</v>
      </c>
      <c r="J1803" t="s">
        <v>183</v>
      </c>
      <c r="O1803" t="s">
        <v>5469</v>
      </c>
      <c r="P1803">
        <v>29.31</v>
      </c>
      <c r="Q1803">
        <v>29.9</v>
      </c>
      <c r="R1803">
        <v>29.05</v>
      </c>
      <c r="S1803">
        <v>29.24</v>
      </c>
      <c r="T1803">
        <v>29.49</v>
      </c>
      <c r="U1803">
        <v>30.13</v>
      </c>
      <c r="W1803">
        <v>29.24</v>
      </c>
      <c r="Z1803">
        <v>55387</v>
      </c>
      <c r="AA1803">
        <v>1625500.32</v>
      </c>
      <c r="AB1803">
        <v>322</v>
      </c>
      <c r="AC1803" t="s">
        <v>42</v>
      </c>
      <c r="AD1803">
        <v>1</v>
      </c>
    </row>
    <row r="1804" spans="1:30">
      <c r="A1804" t="str">
        <f>CONCATENATE(I1804,J1804)</f>
        <v>KOTYARKBE</v>
      </c>
      <c r="B1804" s="34">
        <v>46273</v>
      </c>
      <c r="C1804" s="34">
        <v>46273</v>
      </c>
      <c r="D1804" t="s">
        <v>35</v>
      </c>
      <c r="E1804" t="s">
        <v>36</v>
      </c>
      <c r="F1804" t="s">
        <v>37</v>
      </c>
      <c r="G1804">
        <v>761337</v>
      </c>
      <c r="H1804" t="s">
        <v>5470</v>
      </c>
      <c r="I1804" t="s">
        <v>5471</v>
      </c>
      <c r="J1804" t="s">
        <v>183</v>
      </c>
      <c r="O1804" t="s">
        <v>5472</v>
      </c>
      <c r="P1804">
        <v>32.89</v>
      </c>
      <c r="Q1804">
        <v>33.39</v>
      </c>
      <c r="R1804">
        <v>31.55</v>
      </c>
      <c r="S1804">
        <v>32</v>
      </c>
      <c r="T1804">
        <v>32.04</v>
      </c>
      <c r="U1804">
        <v>32.89</v>
      </c>
      <c r="W1804">
        <v>31.96</v>
      </c>
      <c r="Z1804">
        <v>93193</v>
      </c>
      <c r="AA1804">
        <v>2991461.93</v>
      </c>
      <c r="AB1804">
        <v>366</v>
      </c>
      <c r="AC1804" t="s">
        <v>42</v>
      </c>
      <c r="AD1804">
        <v>1</v>
      </c>
    </row>
    <row r="1805" spans="1:30">
      <c r="A1805" t="str">
        <f>CONCATENATE(I1805,J1805)</f>
        <v>KOVAIEQ</v>
      </c>
      <c r="B1805" s="34">
        <v>46273</v>
      </c>
      <c r="C1805" s="34">
        <v>46273</v>
      </c>
      <c r="D1805" t="s">
        <v>35</v>
      </c>
      <c r="E1805" t="s">
        <v>36</v>
      </c>
      <c r="F1805" t="s">
        <v>37</v>
      </c>
      <c r="G1805">
        <v>5192</v>
      </c>
      <c r="H1805" t="s">
        <v>5473</v>
      </c>
      <c r="I1805" t="s">
        <v>5474</v>
      </c>
      <c r="J1805" t="s">
        <v>161</v>
      </c>
      <c r="O1805" t="s">
        <v>5475</v>
      </c>
      <c r="P1805">
        <v>6120</v>
      </c>
      <c r="Q1805">
        <v>6128</v>
      </c>
      <c r="R1805">
        <v>5970</v>
      </c>
      <c r="S1805">
        <v>6107</v>
      </c>
      <c r="T1805">
        <v>6125</v>
      </c>
      <c r="U1805">
        <v>6069</v>
      </c>
      <c r="W1805">
        <v>6107.6</v>
      </c>
      <c r="Z1805">
        <v>4468</v>
      </c>
      <c r="AA1805">
        <v>27036059</v>
      </c>
      <c r="AB1805">
        <v>1154</v>
      </c>
      <c r="AC1805" t="s">
        <v>42</v>
      </c>
      <c r="AD1805">
        <v>1</v>
      </c>
    </row>
    <row r="1806" spans="1:30">
      <c r="A1806" t="str">
        <f>CONCATENATE(I1806,J1806)</f>
        <v>KPIGREENEQ</v>
      </c>
      <c r="B1806" s="34">
        <v>46273</v>
      </c>
      <c r="C1806" s="34">
        <v>46273</v>
      </c>
      <c r="D1806" t="s">
        <v>35</v>
      </c>
      <c r="E1806" t="s">
        <v>36</v>
      </c>
      <c r="F1806" t="s">
        <v>37</v>
      </c>
      <c r="G1806">
        <v>5108</v>
      </c>
      <c r="H1806" t="s">
        <v>5476</v>
      </c>
      <c r="I1806" t="s">
        <v>5477</v>
      </c>
      <c r="J1806" t="s">
        <v>161</v>
      </c>
      <c r="O1806" t="s">
        <v>5478</v>
      </c>
      <c r="P1806">
        <v>303.55</v>
      </c>
      <c r="Q1806">
        <v>304.45</v>
      </c>
      <c r="R1806">
        <v>290.55</v>
      </c>
      <c r="S1806">
        <v>292.05</v>
      </c>
      <c r="T1806">
        <v>292.5</v>
      </c>
      <c r="U1806">
        <v>302.60000000000002</v>
      </c>
      <c r="W1806">
        <v>292.05</v>
      </c>
      <c r="Z1806">
        <v>1209981</v>
      </c>
      <c r="AA1806">
        <v>357793647.44999999</v>
      </c>
      <c r="AB1806">
        <v>25728</v>
      </c>
      <c r="AC1806" t="s">
        <v>42</v>
      </c>
      <c r="AD1806">
        <v>1</v>
      </c>
    </row>
    <row r="1807" spans="1:30">
      <c r="A1807" t="str">
        <f>CONCATENATE(I1807,J1807)</f>
        <v>KPITTECHEQ</v>
      </c>
      <c r="B1807" s="34">
        <v>46273</v>
      </c>
      <c r="C1807" s="34">
        <v>46273</v>
      </c>
      <c r="D1807" t="s">
        <v>35</v>
      </c>
      <c r="E1807" t="s">
        <v>36</v>
      </c>
      <c r="F1807" t="s">
        <v>37</v>
      </c>
      <c r="G1807">
        <v>9683</v>
      </c>
      <c r="H1807" t="s">
        <v>5479</v>
      </c>
      <c r="I1807" t="s">
        <v>5480</v>
      </c>
      <c r="J1807" t="s">
        <v>161</v>
      </c>
      <c r="O1807" t="s">
        <v>5481</v>
      </c>
      <c r="P1807">
        <v>562.25</v>
      </c>
      <c r="Q1807">
        <v>563.35</v>
      </c>
      <c r="R1807">
        <v>556.4</v>
      </c>
      <c r="S1807">
        <v>562</v>
      </c>
      <c r="T1807">
        <v>562</v>
      </c>
      <c r="U1807">
        <v>562.25</v>
      </c>
      <c r="W1807">
        <v>561.84</v>
      </c>
      <c r="Z1807">
        <v>1083793</v>
      </c>
      <c r="AA1807">
        <v>606829443.64999998</v>
      </c>
      <c r="AB1807">
        <v>22720</v>
      </c>
      <c r="AC1807" t="s">
        <v>42</v>
      </c>
      <c r="AD1807">
        <v>1</v>
      </c>
    </row>
    <row r="1808" spans="1:30">
      <c r="A1808" t="str">
        <f>CONCATENATE(I1808,J1808)</f>
        <v>KPRMILLEQ</v>
      </c>
      <c r="B1808" s="34">
        <v>46273</v>
      </c>
      <c r="C1808" s="34">
        <v>46273</v>
      </c>
      <c r="D1808" t="s">
        <v>35</v>
      </c>
      <c r="E1808" t="s">
        <v>36</v>
      </c>
      <c r="F1808" t="s">
        <v>37</v>
      </c>
      <c r="G1808">
        <v>14912</v>
      </c>
      <c r="H1808" t="s">
        <v>5482</v>
      </c>
      <c r="I1808" t="s">
        <v>5483</v>
      </c>
      <c r="J1808" t="s">
        <v>161</v>
      </c>
      <c r="O1808" t="s">
        <v>5484</v>
      </c>
      <c r="P1808">
        <v>1154.8</v>
      </c>
      <c r="Q1808">
        <v>1155.0999999999999</v>
      </c>
      <c r="R1808">
        <v>1118.0999999999999</v>
      </c>
      <c r="S1808">
        <v>1135</v>
      </c>
      <c r="T1808">
        <v>1135.2</v>
      </c>
      <c r="U1808">
        <v>1154.7</v>
      </c>
      <c r="W1808">
        <v>1134.99</v>
      </c>
      <c r="Z1808">
        <v>257472</v>
      </c>
      <c r="AA1808">
        <v>291836860.89999998</v>
      </c>
      <c r="AB1808">
        <v>22138</v>
      </c>
      <c r="AC1808" t="s">
        <v>42</v>
      </c>
      <c r="AD1808">
        <v>1</v>
      </c>
    </row>
    <row r="1809" spans="1:30">
      <c r="A1809" t="str">
        <f>CONCATENATE(I1809,J1809)</f>
        <v>KRBLEQ</v>
      </c>
      <c r="B1809" s="34">
        <v>46273</v>
      </c>
      <c r="C1809" s="34">
        <v>46273</v>
      </c>
      <c r="D1809" t="s">
        <v>35</v>
      </c>
      <c r="E1809" t="s">
        <v>36</v>
      </c>
      <c r="F1809" t="s">
        <v>37</v>
      </c>
      <c r="G1809">
        <v>10577</v>
      </c>
      <c r="H1809" t="s">
        <v>5485</v>
      </c>
      <c r="I1809" t="s">
        <v>5486</v>
      </c>
      <c r="J1809" t="s">
        <v>161</v>
      </c>
      <c r="O1809" t="s">
        <v>5487</v>
      </c>
      <c r="P1809">
        <v>429.4</v>
      </c>
      <c r="Q1809">
        <v>438.7</v>
      </c>
      <c r="R1809">
        <v>425.2</v>
      </c>
      <c r="S1809">
        <v>431.05</v>
      </c>
      <c r="T1809">
        <v>430.8</v>
      </c>
      <c r="U1809">
        <v>427.3</v>
      </c>
      <c r="W1809">
        <v>431.04</v>
      </c>
      <c r="Z1809">
        <v>611988</v>
      </c>
      <c r="AA1809">
        <v>265552492.69999999</v>
      </c>
      <c r="AB1809">
        <v>16540</v>
      </c>
      <c r="AC1809" t="s">
        <v>42</v>
      </c>
      <c r="AD1809">
        <v>1</v>
      </c>
    </row>
    <row r="1810" spans="1:30">
      <c r="A1810" t="str">
        <f>CONCATENATE(I1810,J1810)</f>
        <v>KREBSBIOEQ</v>
      </c>
      <c r="B1810" s="34">
        <v>46273</v>
      </c>
      <c r="C1810" s="34">
        <v>46273</v>
      </c>
      <c r="D1810" t="s">
        <v>35</v>
      </c>
      <c r="E1810" t="s">
        <v>36</v>
      </c>
      <c r="F1810" t="s">
        <v>37</v>
      </c>
      <c r="G1810">
        <v>1937</v>
      </c>
      <c r="H1810" t="s">
        <v>5488</v>
      </c>
      <c r="I1810" t="s">
        <v>5489</v>
      </c>
      <c r="J1810" t="s">
        <v>161</v>
      </c>
      <c r="O1810" t="s">
        <v>5490</v>
      </c>
      <c r="P1810">
        <v>56</v>
      </c>
      <c r="Q1810">
        <v>58</v>
      </c>
      <c r="R1810">
        <v>55.68</v>
      </c>
      <c r="S1810">
        <v>56.73</v>
      </c>
      <c r="T1810">
        <v>56.7</v>
      </c>
      <c r="U1810">
        <v>55.99</v>
      </c>
      <c r="W1810">
        <v>56.31</v>
      </c>
      <c r="Z1810">
        <v>3193</v>
      </c>
      <c r="AA1810">
        <v>181297.27</v>
      </c>
      <c r="AB1810">
        <v>126</v>
      </c>
      <c r="AC1810" t="s">
        <v>42</v>
      </c>
      <c r="AD1810">
        <v>1</v>
      </c>
    </row>
    <row r="1811" spans="1:30">
      <c r="A1811" t="str">
        <f>CONCATENATE(I1811,J1811)</f>
        <v>KRIDHANINFEQ</v>
      </c>
      <c r="B1811" s="34">
        <v>46273</v>
      </c>
      <c r="C1811" s="34">
        <v>46273</v>
      </c>
      <c r="D1811" t="s">
        <v>35</v>
      </c>
      <c r="E1811" t="s">
        <v>36</v>
      </c>
      <c r="F1811" t="s">
        <v>37</v>
      </c>
      <c r="G1811">
        <v>11480</v>
      </c>
      <c r="H1811" t="s">
        <v>5491</v>
      </c>
      <c r="I1811" t="s">
        <v>5492</v>
      </c>
      <c r="J1811" t="s">
        <v>161</v>
      </c>
      <c r="O1811" t="s">
        <v>5493</v>
      </c>
      <c r="P1811">
        <v>2.0299999999999998</v>
      </c>
      <c r="Q1811">
        <v>2.0299999999999998</v>
      </c>
      <c r="R1811">
        <v>1.95</v>
      </c>
      <c r="S1811">
        <v>1.97</v>
      </c>
      <c r="T1811">
        <v>2</v>
      </c>
      <c r="U1811">
        <v>1.99</v>
      </c>
      <c r="W1811">
        <v>1.98</v>
      </c>
      <c r="Z1811">
        <v>50857</v>
      </c>
      <c r="AA1811">
        <v>100933.97</v>
      </c>
      <c r="AB1811">
        <v>72</v>
      </c>
      <c r="AC1811" t="s">
        <v>42</v>
      </c>
      <c r="AD1811">
        <v>1</v>
      </c>
    </row>
    <row r="1812" spans="1:30">
      <c r="A1812" t="str">
        <f>CONCATENATE(I1812,J1812)</f>
        <v>KRISHANAEQ</v>
      </c>
      <c r="B1812" s="34">
        <v>46273</v>
      </c>
      <c r="C1812" s="34">
        <v>46273</v>
      </c>
      <c r="D1812" t="s">
        <v>35</v>
      </c>
      <c r="E1812" t="s">
        <v>36</v>
      </c>
      <c r="F1812" t="s">
        <v>37</v>
      </c>
      <c r="G1812">
        <v>12847</v>
      </c>
      <c r="H1812" t="s">
        <v>5494</v>
      </c>
      <c r="I1812" t="s">
        <v>5495</v>
      </c>
      <c r="J1812" t="s">
        <v>161</v>
      </c>
      <c r="O1812" t="s">
        <v>5496</v>
      </c>
      <c r="P1812">
        <v>182.5</v>
      </c>
      <c r="Q1812">
        <v>185.5</v>
      </c>
      <c r="R1812">
        <v>181.7</v>
      </c>
      <c r="S1812">
        <v>183.03</v>
      </c>
      <c r="T1812">
        <v>183.27</v>
      </c>
      <c r="U1812">
        <v>182.84</v>
      </c>
      <c r="W1812">
        <v>183.03</v>
      </c>
      <c r="Z1812">
        <v>596621</v>
      </c>
      <c r="AA1812">
        <v>109491793.98999999</v>
      </c>
      <c r="AB1812">
        <v>6850</v>
      </c>
      <c r="AC1812" t="s">
        <v>42</v>
      </c>
      <c r="AD1812">
        <v>1</v>
      </c>
    </row>
    <row r="1813" spans="1:30">
      <c r="A1813" t="str">
        <f>CONCATENATE(I1813,J1813)</f>
        <v>KRISHCASM</v>
      </c>
      <c r="B1813" s="34">
        <v>46273</v>
      </c>
      <c r="C1813" s="34">
        <v>46273</v>
      </c>
      <c r="D1813" t="s">
        <v>35</v>
      </c>
      <c r="E1813" t="s">
        <v>36</v>
      </c>
      <c r="F1813" t="s">
        <v>37</v>
      </c>
      <c r="G1813">
        <v>16133</v>
      </c>
      <c r="H1813" t="s">
        <v>5497</v>
      </c>
      <c r="I1813" t="s">
        <v>5498</v>
      </c>
      <c r="J1813" t="s">
        <v>267</v>
      </c>
      <c r="O1813" t="s">
        <v>5499</v>
      </c>
      <c r="P1813">
        <v>158.44999999999999</v>
      </c>
      <c r="Q1813">
        <v>162</v>
      </c>
      <c r="R1813">
        <v>158.44999999999999</v>
      </c>
      <c r="S1813">
        <v>160</v>
      </c>
      <c r="T1813">
        <v>160</v>
      </c>
      <c r="U1813">
        <v>160.05000000000001</v>
      </c>
      <c r="W1813">
        <v>160</v>
      </c>
      <c r="Z1813">
        <v>20500</v>
      </c>
      <c r="AA1813">
        <v>3294900</v>
      </c>
      <c r="AB1813">
        <v>34</v>
      </c>
      <c r="AC1813" t="s">
        <v>42</v>
      </c>
      <c r="AD1813">
        <v>500</v>
      </c>
    </row>
    <row r="1814" spans="1:30">
      <c r="A1814" t="str">
        <f>CONCATENATE(I1814,J1814)</f>
        <v>KRISHIVALEQ</v>
      </c>
      <c r="B1814" s="34">
        <v>46273</v>
      </c>
      <c r="C1814" s="34">
        <v>46273</v>
      </c>
      <c r="D1814" t="s">
        <v>35</v>
      </c>
      <c r="E1814" t="s">
        <v>36</v>
      </c>
      <c r="F1814" t="s">
        <v>37</v>
      </c>
      <c r="G1814">
        <v>756782</v>
      </c>
      <c r="H1814" t="s">
        <v>5500</v>
      </c>
      <c r="I1814" t="s">
        <v>5501</v>
      </c>
      <c r="J1814" t="s">
        <v>161</v>
      </c>
      <c r="O1814" t="s">
        <v>5502</v>
      </c>
      <c r="P1814">
        <v>415.7</v>
      </c>
      <c r="Q1814">
        <v>419.2</v>
      </c>
      <c r="R1814">
        <v>414.25</v>
      </c>
      <c r="S1814">
        <v>418</v>
      </c>
      <c r="T1814">
        <v>418.7</v>
      </c>
      <c r="U1814">
        <v>415.25</v>
      </c>
      <c r="W1814">
        <v>417.99</v>
      </c>
      <c r="Z1814">
        <v>53879</v>
      </c>
      <c r="AA1814">
        <v>22489094.149999999</v>
      </c>
      <c r="AB1814">
        <v>582</v>
      </c>
      <c r="AC1814" t="s">
        <v>42</v>
      </c>
      <c r="AD1814">
        <v>1</v>
      </c>
    </row>
    <row r="1815" spans="1:30">
      <c r="A1815" t="str">
        <f>CONCATENATE(I1815,J1815)</f>
        <v>KRISHNADEFEQ</v>
      </c>
      <c r="B1815" s="34">
        <v>46273</v>
      </c>
      <c r="C1815" s="34">
        <v>46273</v>
      </c>
      <c r="D1815" t="s">
        <v>35</v>
      </c>
      <c r="E1815" t="s">
        <v>36</v>
      </c>
      <c r="F1815" t="s">
        <v>37</v>
      </c>
      <c r="G1815">
        <v>761192</v>
      </c>
      <c r="H1815" t="s">
        <v>5503</v>
      </c>
      <c r="I1815" t="s">
        <v>5504</v>
      </c>
      <c r="J1815" t="s">
        <v>161</v>
      </c>
      <c r="O1815" t="s">
        <v>5505</v>
      </c>
      <c r="P1815">
        <v>1075.8</v>
      </c>
      <c r="Q1815">
        <v>1122</v>
      </c>
      <c r="R1815">
        <v>1075.8</v>
      </c>
      <c r="S1815">
        <v>1111.5999999999999</v>
      </c>
      <c r="T1815">
        <v>1109.3</v>
      </c>
      <c r="U1815">
        <v>1066.4000000000001</v>
      </c>
      <c r="W1815">
        <v>1111.5999999999999</v>
      </c>
      <c r="Z1815">
        <v>191647</v>
      </c>
      <c r="AA1815">
        <v>212251453.80000001</v>
      </c>
      <c r="AB1815">
        <v>15786</v>
      </c>
      <c r="AC1815" t="s">
        <v>42</v>
      </c>
      <c r="AD1815">
        <v>1</v>
      </c>
    </row>
    <row r="1816" spans="1:30">
      <c r="A1816" t="str">
        <f>CONCATENATE(I1816,J1816)</f>
        <v>KIMSEQ</v>
      </c>
      <c r="B1816" s="34">
        <v>46273</v>
      </c>
      <c r="C1816" s="34">
        <v>46273</v>
      </c>
      <c r="D1816" t="s">
        <v>35</v>
      </c>
      <c r="E1816" t="s">
        <v>36</v>
      </c>
      <c r="F1816" t="s">
        <v>37</v>
      </c>
      <c r="G1816">
        <v>4847</v>
      </c>
      <c r="H1816" t="s">
        <v>5506</v>
      </c>
      <c r="I1816" t="s">
        <v>5507</v>
      </c>
      <c r="J1816" t="s">
        <v>161</v>
      </c>
      <c r="O1816" t="s">
        <v>5508</v>
      </c>
      <c r="P1816">
        <v>762.25</v>
      </c>
      <c r="Q1816">
        <v>771.65</v>
      </c>
      <c r="R1816">
        <v>759</v>
      </c>
      <c r="S1816">
        <v>764.5</v>
      </c>
      <c r="T1816">
        <v>765</v>
      </c>
      <c r="U1816">
        <v>764.55</v>
      </c>
      <c r="W1816">
        <v>764.51</v>
      </c>
      <c r="Z1816">
        <v>737239</v>
      </c>
      <c r="AA1816">
        <v>563706823.45000005</v>
      </c>
      <c r="AB1816">
        <v>14419</v>
      </c>
      <c r="AC1816" t="s">
        <v>42</v>
      </c>
      <c r="AD1816">
        <v>1</v>
      </c>
    </row>
    <row r="1817" spans="1:30">
      <c r="A1817" t="str">
        <f>CONCATENATE(I1817,J1817)</f>
        <v>KRITIEQ</v>
      </c>
      <c r="B1817" s="34">
        <v>46273</v>
      </c>
      <c r="C1817" s="34">
        <v>46273</v>
      </c>
      <c r="D1817" t="s">
        <v>35</v>
      </c>
      <c r="E1817" t="s">
        <v>36</v>
      </c>
      <c r="F1817" t="s">
        <v>37</v>
      </c>
      <c r="G1817">
        <v>6417</v>
      </c>
      <c r="H1817" t="s">
        <v>5509</v>
      </c>
      <c r="I1817" t="s">
        <v>5510</v>
      </c>
      <c r="J1817" t="s">
        <v>161</v>
      </c>
      <c r="O1817" t="s">
        <v>5511</v>
      </c>
      <c r="P1817">
        <v>62.16</v>
      </c>
      <c r="Q1817">
        <v>64</v>
      </c>
      <c r="R1817">
        <v>61.2</v>
      </c>
      <c r="S1817">
        <v>61.27</v>
      </c>
      <c r="T1817">
        <v>61.4</v>
      </c>
      <c r="U1817">
        <v>62.47</v>
      </c>
      <c r="W1817">
        <v>61.32</v>
      </c>
      <c r="Z1817">
        <v>8096</v>
      </c>
      <c r="AA1817">
        <v>500489.33</v>
      </c>
      <c r="AB1817">
        <v>74</v>
      </c>
      <c r="AC1817" t="s">
        <v>42</v>
      </c>
      <c r="AD1817">
        <v>1</v>
      </c>
    </row>
    <row r="1818" spans="1:30">
      <c r="A1818" t="str">
        <f>CONCATENATE(I1818,J1818)</f>
        <v>KRITINUTEQ</v>
      </c>
      <c r="B1818" s="34">
        <v>46273</v>
      </c>
      <c r="C1818" s="34">
        <v>46273</v>
      </c>
      <c r="D1818" t="s">
        <v>35</v>
      </c>
      <c r="E1818" t="s">
        <v>36</v>
      </c>
      <c r="F1818" t="s">
        <v>37</v>
      </c>
      <c r="G1818">
        <v>11432</v>
      </c>
      <c r="H1818" t="s">
        <v>5512</v>
      </c>
      <c r="I1818" t="s">
        <v>5513</v>
      </c>
      <c r="J1818" t="s">
        <v>161</v>
      </c>
      <c r="O1818" t="s">
        <v>5514</v>
      </c>
      <c r="P1818">
        <v>84.8</v>
      </c>
      <c r="Q1818">
        <v>84.8</v>
      </c>
      <c r="R1818">
        <v>81.53</v>
      </c>
      <c r="S1818">
        <v>82.14</v>
      </c>
      <c r="T1818">
        <v>82.82</v>
      </c>
      <c r="U1818">
        <v>83.2</v>
      </c>
      <c r="W1818">
        <v>82.09</v>
      </c>
      <c r="Z1818">
        <v>11169</v>
      </c>
      <c r="AA1818">
        <v>924585.3</v>
      </c>
      <c r="AB1818">
        <v>312</v>
      </c>
      <c r="AC1818" t="s">
        <v>42</v>
      </c>
      <c r="AD1818">
        <v>1</v>
      </c>
    </row>
    <row r="1819" spans="1:30">
      <c r="A1819" t="str">
        <f>CONCATENATE(I1819,J1819)</f>
        <v>KRITIKAEQ</v>
      </c>
      <c r="B1819" s="34">
        <v>46273</v>
      </c>
      <c r="C1819" s="34">
        <v>46273</v>
      </c>
      <c r="D1819" t="s">
        <v>35</v>
      </c>
      <c r="E1819" t="s">
        <v>36</v>
      </c>
      <c r="F1819" t="s">
        <v>37</v>
      </c>
      <c r="G1819">
        <v>9288</v>
      </c>
      <c r="H1819" t="s">
        <v>5515</v>
      </c>
      <c r="I1819" t="s">
        <v>5516</v>
      </c>
      <c r="J1819" t="s">
        <v>161</v>
      </c>
      <c r="O1819" t="s">
        <v>5517</v>
      </c>
      <c r="P1819">
        <v>5.5</v>
      </c>
      <c r="Q1819">
        <v>5.5</v>
      </c>
      <c r="R1819">
        <v>5.25</v>
      </c>
      <c r="S1819">
        <v>5.32</v>
      </c>
      <c r="T1819">
        <v>5.35</v>
      </c>
      <c r="U1819">
        <v>5.35</v>
      </c>
      <c r="W1819">
        <v>5.32</v>
      </c>
      <c r="Z1819">
        <v>81502</v>
      </c>
      <c r="AA1819">
        <v>435706.06</v>
      </c>
      <c r="AB1819">
        <v>347</v>
      </c>
      <c r="AC1819" t="s">
        <v>42</v>
      </c>
      <c r="AD1819">
        <v>1</v>
      </c>
    </row>
    <row r="1820" spans="1:30">
      <c r="A1820" t="str">
        <f>CONCATENATE(I1820,J1820)</f>
        <v>KRMAYURVEDSM</v>
      </c>
      <c r="B1820" s="34">
        <v>46273</v>
      </c>
      <c r="C1820" s="34">
        <v>46273</v>
      </c>
      <c r="D1820" t="s">
        <v>35</v>
      </c>
      <c r="E1820" t="s">
        <v>36</v>
      </c>
      <c r="F1820" t="s">
        <v>37</v>
      </c>
      <c r="G1820">
        <v>760624</v>
      </c>
      <c r="H1820" t="s">
        <v>5518</v>
      </c>
      <c r="I1820" t="s">
        <v>5519</v>
      </c>
      <c r="J1820" t="s">
        <v>267</v>
      </c>
      <c r="O1820" t="s">
        <v>5520</v>
      </c>
      <c r="P1820">
        <v>287.60000000000002</v>
      </c>
      <c r="Q1820">
        <v>293</v>
      </c>
      <c r="R1820">
        <v>283</v>
      </c>
      <c r="S1820">
        <v>289.75</v>
      </c>
      <c r="T1820">
        <v>288</v>
      </c>
      <c r="U1820">
        <v>285.5</v>
      </c>
      <c r="W1820">
        <v>289.75</v>
      </c>
      <c r="Z1820">
        <v>110000</v>
      </c>
      <c r="AA1820">
        <v>31585450</v>
      </c>
      <c r="AB1820">
        <v>65</v>
      </c>
      <c r="AC1820" t="s">
        <v>42</v>
      </c>
      <c r="AD1820">
        <v>1000</v>
      </c>
    </row>
    <row r="1821" spans="1:30">
      <c r="A1821" t="str">
        <f>CONCATENATE(I1821,J1821)</f>
        <v>KRNEQ</v>
      </c>
      <c r="B1821" s="34">
        <v>46273</v>
      </c>
      <c r="C1821" s="34">
        <v>46273</v>
      </c>
      <c r="D1821" t="s">
        <v>35</v>
      </c>
      <c r="E1821" t="s">
        <v>36</v>
      </c>
      <c r="F1821" t="s">
        <v>37</v>
      </c>
      <c r="G1821">
        <v>25643</v>
      </c>
      <c r="H1821" t="s">
        <v>5521</v>
      </c>
      <c r="I1821" t="s">
        <v>5522</v>
      </c>
      <c r="J1821" t="s">
        <v>161</v>
      </c>
      <c r="O1821" t="s">
        <v>5523</v>
      </c>
      <c r="P1821">
        <v>1639.9</v>
      </c>
      <c r="Q1821">
        <v>1669.5</v>
      </c>
      <c r="R1821">
        <v>1591</v>
      </c>
      <c r="S1821">
        <v>1660.2</v>
      </c>
      <c r="T1821">
        <v>1656.3</v>
      </c>
      <c r="U1821">
        <v>1625.4</v>
      </c>
      <c r="W1821">
        <v>1660.15</v>
      </c>
      <c r="Z1821">
        <v>211548</v>
      </c>
      <c r="AA1821">
        <v>345593025.89999998</v>
      </c>
      <c r="AB1821">
        <v>16906</v>
      </c>
      <c r="AC1821" t="s">
        <v>42</v>
      </c>
      <c r="AD1821">
        <v>1</v>
      </c>
    </row>
    <row r="1822" spans="1:30">
      <c r="A1822" t="str">
        <f>CONCATENATE(I1822,J1822)</f>
        <v>KRONOXBE</v>
      </c>
      <c r="B1822" s="34">
        <v>46273</v>
      </c>
      <c r="C1822" s="34">
        <v>46273</v>
      </c>
      <c r="D1822" t="s">
        <v>35</v>
      </c>
      <c r="E1822" t="s">
        <v>36</v>
      </c>
      <c r="F1822" t="s">
        <v>37</v>
      </c>
      <c r="G1822">
        <v>24026</v>
      </c>
      <c r="H1822" t="s">
        <v>5524</v>
      </c>
      <c r="I1822" t="s">
        <v>5525</v>
      </c>
      <c r="J1822" t="s">
        <v>183</v>
      </c>
      <c r="O1822" t="s">
        <v>5526</v>
      </c>
      <c r="P1822">
        <v>180.99</v>
      </c>
      <c r="Q1822">
        <v>184.45</v>
      </c>
      <c r="R1822">
        <v>172.5</v>
      </c>
      <c r="S1822">
        <v>174.97</v>
      </c>
      <c r="T1822">
        <v>174.29</v>
      </c>
      <c r="U1822">
        <v>180.09</v>
      </c>
      <c r="W1822">
        <v>174.94</v>
      </c>
      <c r="Z1822">
        <v>103904</v>
      </c>
      <c r="AA1822">
        <v>18346670.27</v>
      </c>
      <c r="AB1822">
        <v>890</v>
      </c>
      <c r="AC1822" t="s">
        <v>42</v>
      </c>
      <c r="AD1822">
        <v>1</v>
      </c>
    </row>
    <row r="1823" spans="1:30">
      <c r="A1823" t="str">
        <f>CONCATENATE(I1823,J1823)</f>
        <v>KROSSEQ</v>
      </c>
      <c r="B1823" s="34">
        <v>46273</v>
      </c>
      <c r="C1823" s="34">
        <v>46273</v>
      </c>
      <c r="D1823" t="s">
        <v>35</v>
      </c>
      <c r="E1823" t="s">
        <v>36</v>
      </c>
      <c r="F1823" t="s">
        <v>37</v>
      </c>
      <c r="G1823">
        <v>25252</v>
      </c>
      <c r="H1823" t="s">
        <v>5527</v>
      </c>
      <c r="I1823" t="s">
        <v>5528</v>
      </c>
      <c r="J1823" t="s">
        <v>161</v>
      </c>
      <c r="O1823" t="s">
        <v>5529</v>
      </c>
      <c r="P1823">
        <v>208.5</v>
      </c>
      <c r="Q1823">
        <v>212.09</v>
      </c>
      <c r="R1823">
        <v>205.36</v>
      </c>
      <c r="S1823">
        <v>211.28</v>
      </c>
      <c r="T1823">
        <v>209.15</v>
      </c>
      <c r="U1823">
        <v>209.13</v>
      </c>
      <c r="W1823">
        <v>211.26</v>
      </c>
      <c r="Z1823">
        <v>229386</v>
      </c>
      <c r="AA1823">
        <v>47827738.920000002</v>
      </c>
      <c r="AB1823">
        <v>5351</v>
      </c>
      <c r="AC1823" t="s">
        <v>42</v>
      </c>
      <c r="AD1823">
        <v>1</v>
      </c>
    </row>
    <row r="1824" spans="1:30">
      <c r="A1824" t="str">
        <f>CONCATENATE(I1824,J1824)</f>
        <v>KRSNAAEQ</v>
      </c>
      <c r="B1824" s="34">
        <v>46273</v>
      </c>
      <c r="C1824" s="34">
        <v>46273</v>
      </c>
      <c r="D1824" t="s">
        <v>35</v>
      </c>
      <c r="E1824" t="s">
        <v>36</v>
      </c>
      <c r="F1824" t="s">
        <v>37</v>
      </c>
      <c r="G1824">
        <v>5359</v>
      </c>
      <c r="H1824" t="s">
        <v>5530</v>
      </c>
      <c r="I1824" t="s">
        <v>5531</v>
      </c>
      <c r="J1824" t="s">
        <v>161</v>
      </c>
      <c r="O1824" t="s">
        <v>5532</v>
      </c>
      <c r="P1824">
        <v>564.54999999999995</v>
      </c>
      <c r="Q1824">
        <v>565.25</v>
      </c>
      <c r="R1824">
        <v>544.1</v>
      </c>
      <c r="S1824">
        <v>546.15</v>
      </c>
      <c r="T1824">
        <v>548.9</v>
      </c>
      <c r="U1824">
        <v>564.04999999999995</v>
      </c>
      <c r="W1824">
        <v>546.16</v>
      </c>
      <c r="Z1824">
        <v>76502</v>
      </c>
      <c r="AA1824">
        <v>42200085.649999999</v>
      </c>
      <c r="AB1824">
        <v>5681</v>
      </c>
      <c r="AC1824" t="s">
        <v>42</v>
      </c>
      <c r="AD1824">
        <v>1</v>
      </c>
    </row>
    <row r="1825" spans="1:30">
      <c r="A1825" t="str">
        <f>CONCATENATE(I1825,J1825)</f>
        <v>KRYSTALEQ</v>
      </c>
      <c r="B1825" s="34">
        <v>46273</v>
      </c>
      <c r="C1825" s="34">
        <v>46273</v>
      </c>
      <c r="D1825" t="s">
        <v>35</v>
      </c>
      <c r="E1825" t="s">
        <v>36</v>
      </c>
      <c r="F1825" t="s">
        <v>37</v>
      </c>
      <c r="G1825">
        <v>23175</v>
      </c>
      <c r="H1825" t="s">
        <v>5533</v>
      </c>
      <c r="I1825" t="s">
        <v>5534</v>
      </c>
      <c r="J1825" t="s">
        <v>161</v>
      </c>
      <c r="O1825" t="s">
        <v>5535</v>
      </c>
      <c r="P1825">
        <v>661.7</v>
      </c>
      <c r="Q1825">
        <v>667.7</v>
      </c>
      <c r="R1825">
        <v>647.70000000000005</v>
      </c>
      <c r="S1825">
        <v>663.95</v>
      </c>
      <c r="T1825">
        <v>655.29999999999995</v>
      </c>
      <c r="U1825">
        <v>661.5</v>
      </c>
      <c r="W1825">
        <v>663.91</v>
      </c>
      <c r="Z1825">
        <v>3892</v>
      </c>
      <c r="AA1825">
        <v>2563139.1</v>
      </c>
      <c r="AB1825">
        <v>342</v>
      </c>
      <c r="AC1825" t="s">
        <v>42</v>
      </c>
      <c r="AD1825">
        <v>1</v>
      </c>
    </row>
    <row r="1826" spans="1:30">
      <c r="A1826" t="str">
        <f>CONCATENATE(I1826,J1826)</f>
        <v>KSBEQ</v>
      </c>
      <c r="B1826" s="34">
        <v>46273</v>
      </c>
      <c r="C1826" s="34">
        <v>46273</v>
      </c>
      <c r="D1826" t="s">
        <v>35</v>
      </c>
      <c r="E1826" t="s">
        <v>36</v>
      </c>
      <c r="F1826" t="s">
        <v>37</v>
      </c>
      <c r="G1826">
        <v>1949</v>
      </c>
      <c r="H1826" t="s">
        <v>5536</v>
      </c>
      <c r="I1826" t="s">
        <v>5537</v>
      </c>
      <c r="J1826" t="s">
        <v>161</v>
      </c>
      <c r="O1826" t="s">
        <v>5538</v>
      </c>
      <c r="P1826">
        <v>799.05</v>
      </c>
      <c r="Q1826">
        <v>830</v>
      </c>
      <c r="R1826">
        <v>790.05</v>
      </c>
      <c r="S1826">
        <v>824.05</v>
      </c>
      <c r="T1826">
        <v>825</v>
      </c>
      <c r="U1826">
        <v>801.45</v>
      </c>
      <c r="W1826">
        <v>824.05</v>
      </c>
      <c r="Z1826">
        <v>192730</v>
      </c>
      <c r="AA1826">
        <v>157537517.09999999</v>
      </c>
      <c r="AB1826">
        <v>13565</v>
      </c>
      <c r="AC1826" t="s">
        <v>42</v>
      </c>
      <c r="AD1826">
        <v>1</v>
      </c>
    </row>
    <row r="1827" spans="1:30">
      <c r="A1827" t="str">
        <f>CONCATENATE(I1827,J1827)</f>
        <v>KSEEQ</v>
      </c>
      <c r="B1827" s="34">
        <v>46273</v>
      </c>
      <c r="C1827" s="34">
        <v>46273</v>
      </c>
      <c r="D1827" t="s">
        <v>35</v>
      </c>
      <c r="E1827" t="s">
        <v>36</v>
      </c>
      <c r="F1827" t="s">
        <v>37</v>
      </c>
      <c r="G1827">
        <v>764753</v>
      </c>
      <c r="H1827" t="s">
        <v>5539</v>
      </c>
      <c r="I1827" t="s">
        <v>5540</v>
      </c>
      <c r="J1827" t="s">
        <v>161</v>
      </c>
      <c r="O1827" t="s">
        <v>5541</v>
      </c>
      <c r="P1827">
        <v>182.94</v>
      </c>
      <c r="Q1827">
        <v>182.94</v>
      </c>
      <c r="R1827">
        <v>177</v>
      </c>
      <c r="S1827">
        <v>178.95</v>
      </c>
      <c r="T1827">
        <v>179</v>
      </c>
      <c r="U1827">
        <v>177</v>
      </c>
      <c r="W1827">
        <v>179.5</v>
      </c>
      <c r="Z1827">
        <v>12354</v>
      </c>
      <c r="AA1827">
        <v>2200037.11</v>
      </c>
      <c r="AB1827">
        <v>315</v>
      </c>
      <c r="AC1827" t="s">
        <v>42</v>
      </c>
      <c r="AD1827">
        <v>1</v>
      </c>
    </row>
    <row r="1828" spans="1:30">
      <c r="A1828" t="str">
        <f>CONCATENATE(I1828,J1828)</f>
        <v>KSHINTLEQ</v>
      </c>
      <c r="B1828" s="34">
        <v>46273</v>
      </c>
      <c r="C1828" s="34">
        <v>46273</v>
      </c>
      <c r="D1828" t="s">
        <v>35</v>
      </c>
      <c r="E1828" t="s">
        <v>36</v>
      </c>
      <c r="F1828" t="s">
        <v>37</v>
      </c>
      <c r="G1828">
        <v>760433</v>
      </c>
      <c r="H1828" t="s">
        <v>5542</v>
      </c>
      <c r="I1828" t="s">
        <v>5543</v>
      </c>
      <c r="J1828" t="s">
        <v>161</v>
      </c>
      <c r="O1828" t="s">
        <v>5544</v>
      </c>
      <c r="P1828">
        <v>1113.95</v>
      </c>
      <c r="Q1828">
        <v>1197</v>
      </c>
      <c r="R1828">
        <v>1102.05</v>
      </c>
      <c r="S1828">
        <v>1176.75</v>
      </c>
      <c r="T1828">
        <v>1190.2</v>
      </c>
      <c r="U1828">
        <v>1105.6500000000001</v>
      </c>
      <c r="W1828">
        <v>1176.06</v>
      </c>
      <c r="Z1828">
        <v>691489</v>
      </c>
      <c r="AA1828">
        <v>800160523.25</v>
      </c>
      <c r="AB1828">
        <v>51951</v>
      </c>
      <c r="AC1828" t="s">
        <v>42</v>
      </c>
      <c r="AD1828">
        <v>1</v>
      </c>
    </row>
    <row r="1829" spans="1:30">
      <c r="A1829" t="str">
        <f>CONCATENATE(I1829,J1829)</f>
        <v>KSHITIJPOLEQ</v>
      </c>
      <c r="B1829" s="34">
        <v>46273</v>
      </c>
      <c r="C1829" s="34">
        <v>46273</v>
      </c>
      <c r="D1829" t="s">
        <v>35</v>
      </c>
      <c r="E1829" t="s">
        <v>36</v>
      </c>
      <c r="F1829" t="s">
        <v>37</v>
      </c>
      <c r="G1829">
        <v>10407</v>
      </c>
      <c r="H1829" t="s">
        <v>5545</v>
      </c>
      <c r="I1829" t="s">
        <v>5546</v>
      </c>
      <c r="J1829" t="s">
        <v>161</v>
      </c>
      <c r="O1829" t="s">
        <v>5547</v>
      </c>
      <c r="P1829">
        <v>3.4</v>
      </c>
      <c r="Q1829">
        <v>3.63</v>
      </c>
      <c r="R1829">
        <v>3.31</v>
      </c>
      <c r="S1829">
        <v>3.62</v>
      </c>
      <c r="T1829">
        <v>3.63</v>
      </c>
      <c r="U1829">
        <v>3.46</v>
      </c>
      <c r="W1829">
        <v>3.62</v>
      </c>
      <c r="Z1829">
        <v>4222263</v>
      </c>
      <c r="AA1829">
        <v>15155094.52</v>
      </c>
      <c r="AB1829">
        <v>2423</v>
      </c>
      <c r="AC1829" t="s">
        <v>42</v>
      </c>
      <c r="AD1829">
        <v>1</v>
      </c>
    </row>
    <row r="1830" spans="1:30">
      <c r="A1830" t="str">
        <f>CONCATENATE(I1830,J1830)</f>
        <v>KSOLVESEQ</v>
      </c>
      <c r="B1830" s="34">
        <v>46273</v>
      </c>
      <c r="C1830" s="34">
        <v>46273</v>
      </c>
      <c r="D1830" t="s">
        <v>35</v>
      </c>
      <c r="E1830" t="s">
        <v>36</v>
      </c>
      <c r="F1830" t="s">
        <v>37</v>
      </c>
      <c r="G1830">
        <v>11060</v>
      </c>
      <c r="H1830" t="s">
        <v>5548</v>
      </c>
      <c r="I1830" t="s">
        <v>5549</v>
      </c>
      <c r="J1830" t="s">
        <v>161</v>
      </c>
      <c r="O1830" t="s">
        <v>5550</v>
      </c>
      <c r="P1830">
        <v>268</v>
      </c>
      <c r="Q1830">
        <v>270</v>
      </c>
      <c r="R1830">
        <v>265.14999999999998</v>
      </c>
      <c r="S1830">
        <v>268.2</v>
      </c>
      <c r="T1830">
        <v>270</v>
      </c>
      <c r="U1830">
        <v>269.10000000000002</v>
      </c>
      <c r="W1830">
        <v>268.18</v>
      </c>
      <c r="Z1830">
        <v>27200</v>
      </c>
      <c r="AA1830">
        <v>7264692.4000000004</v>
      </c>
      <c r="AB1830">
        <v>1138</v>
      </c>
      <c r="AC1830" t="s">
        <v>42</v>
      </c>
      <c r="AD1830">
        <v>1</v>
      </c>
    </row>
    <row r="1831" spans="1:30">
      <c r="A1831" t="str">
        <f>CONCATENATE(I1831,J1831)</f>
        <v>KSREQ</v>
      </c>
      <c r="B1831" s="34">
        <v>46273</v>
      </c>
      <c r="C1831" s="34">
        <v>46273</v>
      </c>
      <c r="D1831" t="s">
        <v>35</v>
      </c>
      <c r="E1831" t="s">
        <v>36</v>
      </c>
      <c r="F1831" t="s">
        <v>37</v>
      </c>
      <c r="G1831">
        <v>759987</v>
      </c>
      <c r="H1831" t="s">
        <v>5551</v>
      </c>
      <c r="I1831" t="s">
        <v>5552</v>
      </c>
      <c r="J1831" t="s">
        <v>161</v>
      </c>
      <c r="O1831" t="s">
        <v>5553</v>
      </c>
      <c r="P1831">
        <v>34.85</v>
      </c>
      <c r="Q1831">
        <v>37.54</v>
      </c>
      <c r="R1831">
        <v>34.85</v>
      </c>
      <c r="S1831">
        <v>37.33</v>
      </c>
      <c r="T1831">
        <v>37.54</v>
      </c>
      <c r="U1831">
        <v>34.130000000000003</v>
      </c>
      <c r="W1831">
        <v>37.340000000000003</v>
      </c>
      <c r="Z1831">
        <v>283946</v>
      </c>
      <c r="AA1831">
        <v>10346867.359999999</v>
      </c>
      <c r="AB1831">
        <v>721</v>
      </c>
      <c r="AC1831" t="s">
        <v>42</v>
      </c>
      <c r="AD1831">
        <v>1</v>
      </c>
    </row>
    <row r="1832" spans="1:30">
      <c r="A1832" t="str">
        <f>CONCATENATE(I1832,J1832)</f>
        <v>KUANTUMEQ</v>
      </c>
      <c r="B1832" s="34">
        <v>46273</v>
      </c>
      <c r="C1832" s="34">
        <v>46273</v>
      </c>
      <c r="D1832" t="s">
        <v>35</v>
      </c>
      <c r="E1832" t="s">
        <v>36</v>
      </c>
      <c r="F1832" t="s">
        <v>37</v>
      </c>
      <c r="G1832">
        <v>13870</v>
      </c>
      <c r="H1832" t="s">
        <v>5554</v>
      </c>
      <c r="I1832" t="s">
        <v>5555</v>
      </c>
      <c r="J1832" t="s">
        <v>161</v>
      </c>
      <c r="O1832" t="s">
        <v>5556</v>
      </c>
      <c r="P1832">
        <v>76.349999999999994</v>
      </c>
      <c r="Q1832">
        <v>81.28</v>
      </c>
      <c r="R1832">
        <v>76.349999999999994</v>
      </c>
      <c r="S1832">
        <v>77.92</v>
      </c>
      <c r="T1832">
        <v>78.45</v>
      </c>
      <c r="U1832">
        <v>76.7</v>
      </c>
      <c r="W1832">
        <v>77.92</v>
      </c>
      <c r="Z1832">
        <v>243518</v>
      </c>
      <c r="AA1832">
        <v>19283790.489999998</v>
      </c>
      <c r="AB1832">
        <v>2795</v>
      </c>
      <c r="AC1832" t="s">
        <v>42</v>
      </c>
      <c r="AD1832">
        <v>1</v>
      </c>
    </row>
    <row r="1833" spans="1:30">
      <c r="A1833" t="str">
        <f>CONCATENATE(I1833,J1833)</f>
        <v>KUSUMGAREQ</v>
      </c>
      <c r="B1833" s="34">
        <v>46273</v>
      </c>
      <c r="C1833" s="34">
        <v>46273</v>
      </c>
      <c r="D1833" t="s">
        <v>35</v>
      </c>
      <c r="E1833" t="s">
        <v>36</v>
      </c>
      <c r="F1833" t="s">
        <v>37</v>
      </c>
      <c r="G1833">
        <v>764116</v>
      </c>
      <c r="H1833" t="s">
        <v>5557</v>
      </c>
      <c r="I1833" t="s">
        <v>5558</v>
      </c>
      <c r="J1833" t="s">
        <v>161</v>
      </c>
      <c r="O1833" t="s">
        <v>5559</v>
      </c>
      <c r="P1833">
        <v>570.95000000000005</v>
      </c>
      <c r="Q1833">
        <v>573.95000000000005</v>
      </c>
      <c r="R1833">
        <v>561</v>
      </c>
      <c r="S1833">
        <v>565.79999999999995</v>
      </c>
      <c r="T1833">
        <v>566</v>
      </c>
      <c r="U1833">
        <v>571.9</v>
      </c>
      <c r="W1833">
        <v>565.79999999999995</v>
      </c>
      <c r="Z1833">
        <v>131944</v>
      </c>
      <c r="AA1833">
        <v>74667713.75</v>
      </c>
      <c r="AB1833">
        <v>5981</v>
      </c>
      <c r="AC1833" t="s">
        <v>42</v>
      </c>
      <c r="AD1833">
        <v>1</v>
      </c>
    </row>
    <row r="1834" spans="1:30">
      <c r="A1834" t="str">
        <f>CONCATENATE(I1834,J1834)</f>
        <v>KPLEQ</v>
      </c>
      <c r="B1834" s="34">
        <v>46273</v>
      </c>
      <c r="C1834" s="34">
        <v>46273</v>
      </c>
      <c r="D1834" t="s">
        <v>35</v>
      </c>
      <c r="E1834" t="s">
        <v>36</v>
      </c>
      <c r="F1834" t="s">
        <v>37</v>
      </c>
      <c r="G1834">
        <v>762757</v>
      </c>
      <c r="H1834" t="s">
        <v>5560</v>
      </c>
      <c r="I1834" t="s">
        <v>5561</v>
      </c>
      <c r="J1834" t="s">
        <v>161</v>
      </c>
      <c r="O1834" t="s">
        <v>5562</v>
      </c>
      <c r="P1834">
        <v>3443</v>
      </c>
      <c r="Q1834">
        <v>3710</v>
      </c>
      <c r="R1834">
        <v>3442.9</v>
      </c>
      <c r="S1834">
        <v>3661.4</v>
      </c>
      <c r="T1834">
        <v>3677</v>
      </c>
      <c r="U1834">
        <v>3411.2</v>
      </c>
      <c r="W1834">
        <v>3662.38</v>
      </c>
      <c r="Z1834">
        <v>162467</v>
      </c>
      <c r="AA1834">
        <v>589549022.60000002</v>
      </c>
      <c r="AB1834">
        <v>20110</v>
      </c>
      <c r="AC1834" t="s">
        <v>42</v>
      </c>
      <c r="AD1834">
        <v>1</v>
      </c>
    </row>
    <row r="1835" spans="1:30">
      <c r="A1835" t="str">
        <f>CONCATENATE(I1835,J1835)</f>
        <v>KWILEQ</v>
      </c>
      <c r="B1835" s="34">
        <v>46273</v>
      </c>
      <c r="C1835" s="34">
        <v>46273</v>
      </c>
      <c r="D1835" t="s">
        <v>35</v>
      </c>
      <c r="E1835" t="s">
        <v>36</v>
      </c>
      <c r="F1835" t="s">
        <v>37</v>
      </c>
      <c r="G1835">
        <v>760946</v>
      </c>
      <c r="H1835" t="s">
        <v>5563</v>
      </c>
      <c r="I1835" t="s">
        <v>5564</v>
      </c>
      <c r="J1835" t="s">
        <v>161</v>
      </c>
      <c r="O1835" t="s">
        <v>5565</v>
      </c>
      <c r="P1835">
        <v>41.1</v>
      </c>
      <c r="Q1835">
        <v>42.09</v>
      </c>
      <c r="R1835">
        <v>40.5</v>
      </c>
      <c r="S1835">
        <v>41.48</v>
      </c>
      <c r="T1835">
        <v>41.68</v>
      </c>
      <c r="U1835">
        <v>41.12</v>
      </c>
      <c r="W1835">
        <v>41.48</v>
      </c>
      <c r="Z1835">
        <v>11896172</v>
      </c>
      <c r="AA1835">
        <v>492147972.5</v>
      </c>
      <c r="AB1835">
        <v>30718</v>
      </c>
      <c r="AC1835" t="s">
        <v>42</v>
      </c>
      <c r="AD1835">
        <v>1</v>
      </c>
    </row>
    <row r="1836" spans="1:30">
      <c r="A1836" t="str">
        <f>CONCATENATE(I1836,J1836)</f>
        <v>LKPSECEQ</v>
      </c>
      <c r="B1836" s="34">
        <v>46273</v>
      </c>
      <c r="C1836" s="34">
        <v>46273</v>
      </c>
      <c r="D1836" t="s">
        <v>35</v>
      </c>
      <c r="E1836" t="s">
        <v>36</v>
      </c>
      <c r="F1836" t="s">
        <v>37</v>
      </c>
      <c r="G1836">
        <v>765100</v>
      </c>
      <c r="H1836" t="s">
        <v>5566</v>
      </c>
      <c r="I1836" t="s">
        <v>5567</v>
      </c>
      <c r="J1836" t="s">
        <v>161</v>
      </c>
      <c r="O1836" t="s">
        <v>5568</v>
      </c>
      <c r="P1836">
        <v>16.61</v>
      </c>
      <c r="Q1836">
        <v>16.61</v>
      </c>
      <c r="R1836">
        <v>15.15</v>
      </c>
      <c r="S1836">
        <v>15.35</v>
      </c>
      <c r="T1836">
        <v>15.5</v>
      </c>
      <c r="U1836">
        <v>15.42</v>
      </c>
      <c r="W1836">
        <v>15.35</v>
      </c>
      <c r="Z1836">
        <v>7963</v>
      </c>
      <c r="AA1836">
        <v>123090.76</v>
      </c>
      <c r="AB1836">
        <v>131</v>
      </c>
      <c r="AC1836" t="s">
        <v>42</v>
      </c>
      <c r="AD1836">
        <v>1</v>
      </c>
    </row>
    <row r="1837" spans="1:30">
      <c r="A1837" t="str">
        <f>CONCATENATE(I1837,J1837)</f>
        <v>LTFEQ</v>
      </c>
      <c r="B1837" s="34">
        <v>46273</v>
      </c>
      <c r="C1837" s="34">
        <v>46273</v>
      </c>
      <c r="D1837" t="s">
        <v>35</v>
      </c>
      <c r="E1837" t="s">
        <v>36</v>
      </c>
      <c r="F1837" t="s">
        <v>37</v>
      </c>
      <c r="G1837">
        <v>24948</v>
      </c>
      <c r="H1837" t="s">
        <v>5569</v>
      </c>
      <c r="I1837" t="s">
        <v>5570</v>
      </c>
      <c r="J1837" t="s">
        <v>161</v>
      </c>
      <c r="O1837" t="s">
        <v>5571</v>
      </c>
      <c r="P1837">
        <v>311.10000000000002</v>
      </c>
      <c r="Q1837">
        <v>311.89999999999998</v>
      </c>
      <c r="R1837">
        <v>308.3</v>
      </c>
      <c r="S1837">
        <v>308.3</v>
      </c>
      <c r="T1837">
        <v>308.3</v>
      </c>
      <c r="U1837">
        <v>312.5</v>
      </c>
      <c r="W1837">
        <v>308.3</v>
      </c>
      <c r="Z1837">
        <v>1493719</v>
      </c>
      <c r="AA1837">
        <v>462979179.94999999</v>
      </c>
      <c r="AB1837">
        <v>20378</v>
      </c>
      <c r="AC1837" t="s">
        <v>42</v>
      </c>
      <c r="AD1837">
        <v>1</v>
      </c>
    </row>
    <row r="1838" spans="1:30">
      <c r="A1838" t="str">
        <f>CONCATENATE(I1838,J1838)</f>
        <v>LTTSEQ</v>
      </c>
      <c r="B1838" s="34">
        <v>46273</v>
      </c>
      <c r="C1838" s="34">
        <v>46273</v>
      </c>
      <c r="D1838" t="s">
        <v>35</v>
      </c>
      <c r="E1838" t="s">
        <v>36</v>
      </c>
      <c r="F1838" t="s">
        <v>37</v>
      </c>
      <c r="G1838">
        <v>18564</v>
      </c>
      <c r="H1838" t="s">
        <v>5572</v>
      </c>
      <c r="I1838" t="s">
        <v>5573</v>
      </c>
      <c r="J1838" t="s">
        <v>161</v>
      </c>
      <c r="O1838" t="s">
        <v>5574</v>
      </c>
      <c r="P1838">
        <v>3420</v>
      </c>
      <c r="Q1838">
        <v>3440</v>
      </c>
      <c r="R1838">
        <v>3380</v>
      </c>
      <c r="S1838">
        <v>3389.1</v>
      </c>
      <c r="T1838">
        <v>3384</v>
      </c>
      <c r="U1838">
        <v>3414.2</v>
      </c>
      <c r="W1838">
        <v>3389.12</v>
      </c>
      <c r="Z1838">
        <v>56454</v>
      </c>
      <c r="AA1838">
        <v>192452605.59999999</v>
      </c>
      <c r="AB1838">
        <v>13224</v>
      </c>
      <c r="AC1838" t="s">
        <v>42</v>
      </c>
      <c r="AD1838">
        <v>1</v>
      </c>
    </row>
    <row r="1839" spans="1:30">
      <c r="A1839" t="str">
        <f>CONCATENATE(I1839,J1839)</f>
        <v>LAOPALAEQ</v>
      </c>
      <c r="B1839" s="34">
        <v>46273</v>
      </c>
      <c r="C1839" s="34">
        <v>46273</v>
      </c>
      <c r="D1839" t="s">
        <v>35</v>
      </c>
      <c r="E1839" t="s">
        <v>36</v>
      </c>
      <c r="F1839" t="s">
        <v>37</v>
      </c>
      <c r="G1839">
        <v>14423</v>
      </c>
      <c r="H1839" t="s">
        <v>5575</v>
      </c>
      <c r="I1839" t="s">
        <v>5576</v>
      </c>
      <c r="J1839" t="s">
        <v>161</v>
      </c>
      <c r="O1839" t="s">
        <v>5577</v>
      </c>
      <c r="P1839">
        <v>171.2</v>
      </c>
      <c r="Q1839">
        <v>171.78</v>
      </c>
      <c r="R1839">
        <v>169.3</v>
      </c>
      <c r="S1839">
        <v>169.92</v>
      </c>
      <c r="T1839">
        <v>170</v>
      </c>
      <c r="U1839">
        <v>171.96</v>
      </c>
      <c r="W1839">
        <v>169.93</v>
      </c>
      <c r="Z1839">
        <v>82971</v>
      </c>
      <c r="AA1839">
        <v>14132178.029999999</v>
      </c>
      <c r="AB1839">
        <v>2573</v>
      </c>
      <c r="AC1839" t="s">
        <v>42</v>
      </c>
      <c r="AD1839">
        <v>1</v>
      </c>
    </row>
    <row r="1840" spans="1:30">
      <c r="A1840" t="str">
        <f>CONCATENATE(I1840,J1840)</f>
        <v>LADDERUPEQ</v>
      </c>
      <c r="B1840" s="34">
        <v>46273</v>
      </c>
      <c r="C1840" s="34">
        <v>46273</v>
      </c>
      <c r="D1840" t="s">
        <v>35</v>
      </c>
      <c r="E1840" t="s">
        <v>36</v>
      </c>
      <c r="F1840" t="s">
        <v>37</v>
      </c>
      <c r="G1840">
        <v>764758</v>
      </c>
      <c r="H1840" t="s">
        <v>5578</v>
      </c>
      <c r="I1840" t="s">
        <v>5579</v>
      </c>
      <c r="J1840" t="s">
        <v>161</v>
      </c>
      <c r="O1840" t="s">
        <v>5580</v>
      </c>
      <c r="P1840">
        <v>50</v>
      </c>
      <c r="Q1840">
        <v>50</v>
      </c>
      <c r="R1840">
        <v>45</v>
      </c>
      <c r="S1840">
        <v>45.19</v>
      </c>
      <c r="T1840">
        <v>45.5</v>
      </c>
      <c r="U1840">
        <v>50</v>
      </c>
      <c r="W1840">
        <v>47.59</v>
      </c>
      <c r="Z1840">
        <v>331</v>
      </c>
      <c r="AA1840">
        <v>15842.57</v>
      </c>
      <c r="AB1840">
        <v>25</v>
      </c>
      <c r="AC1840" t="s">
        <v>42</v>
      </c>
      <c r="AD1840">
        <v>1</v>
      </c>
    </row>
    <row r="1841" spans="1:30">
      <c r="A1841" t="str">
        <f>CONCATENATE(I1841,J1841)</f>
        <v>LAGNAMEQ</v>
      </c>
      <c r="B1841" s="34">
        <v>46273</v>
      </c>
      <c r="C1841" s="34">
        <v>46273</v>
      </c>
      <c r="D1841" t="s">
        <v>35</v>
      </c>
      <c r="E1841" t="s">
        <v>36</v>
      </c>
      <c r="F1841" t="s">
        <v>37</v>
      </c>
      <c r="G1841">
        <v>5865</v>
      </c>
      <c r="H1841" t="s">
        <v>5581</v>
      </c>
      <c r="I1841" t="s">
        <v>5582</v>
      </c>
      <c r="J1841" t="s">
        <v>161</v>
      </c>
      <c r="O1841" t="s">
        <v>5583</v>
      </c>
      <c r="P1841">
        <v>77.400000000000006</v>
      </c>
      <c r="Q1841">
        <v>77.400000000000006</v>
      </c>
      <c r="R1841">
        <v>74.150000000000006</v>
      </c>
      <c r="S1841">
        <v>74.510000000000005</v>
      </c>
      <c r="T1841">
        <v>74.510000000000005</v>
      </c>
      <c r="U1841">
        <v>74.55</v>
      </c>
      <c r="W1841">
        <v>74.510000000000005</v>
      </c>
      <c r="Z1841">
        <v>688</v>
      </c>
      <c r="AA1841">
        <v>51438.9</v>
      </c>
      <c r="AB1841">
        <v>21</v>
      </c>
      <c r="AC1841" t="s">
        <v>42</v>
      </c>
      <c r="AD1841">
        <v>1</v>
      </c>
    </row>
    <row r="1842" spans="1:30">
      <c r="A1842" t="str">
        <f>CONCATENATE(I1842,J1842)</f>
        <v>LAHOTIOVEQ</v>
      </c>
      <c r="B1842" s="34">
        <v>46273</v>
      </c>
      <c r="C1842" s="34">
        <v>46273</v>
      </c>
      <c r="D1842" t="s">
        <v>35</v>
      </c>
      <c r="E1842" t="s">
        <v>36</v>
      </c>
      <c r="F1842" t="s">
        <v>37</v>
      </c>
      <c r="G1842">
        <v>762762</v>
      </c>
      <c r="H1842" t="s">
        <v>5584</v>
      </c>
      <c r="I1842" t="s">
        <v>5585</v>
      </c>
      <c r="J1842" t="s">
        <v>161</v>
      </c>
      <c r="O1842" t="s">
        <v>5586</v>
      </c>
      <c r="P1842">
        <v>44.01</v>
      </c>
      <c r="Q1842">
        <v>44.9</v>
      </c>
      <c r="R1842">
        <v>40.1</v>
      </c>
      <c r="S1842">
        <v>41.38</v>
      </c>
      <c r="T1842">
        <v>41.38</v>
      </c>
      <c r="U1842">
        <v>44</v>
      </c>
      <c r="W1842">
        <v>42</v>
      </c>
      <c r="Z1842">
        <v>7475</v>
      </c>
      <c r="AA1842">
        <v>313591.69</v>
      </c>
      <c r="AB1842">
        <v>69</v>
      </c>
      <c r="AC1842" t="s">
        <v>42</v>
      </c>
      <c r="AD1842">
        <v>1</v>
      </c>
    </row>
    <row r="1843" spans="1:30">
      <c r="A1843" t="str">
        <f>CONCATENATE(I1843,J1843)</f>
        <v>LFICEQ</v>
      </c>
      <c r="B1843" s="34">
        <v>46273</v>
      </c>
      <c r="C1843" s="34">
        <v>46273</v>
      </c>
      <c r="D1843" t="s">
        <v>35</v>
      </c>
      <c r="E1843" t="s">
        <v>36</v>
      </c>
      <c r="F1843" t="s">
        <v>37</v>
      </c>
      <c r="G1843">
        <v>7902</v>
      </c>
      <c r="H1843" t="s">
        <v>5587</v>
      </c>
      <c r="I1843" t="s">
        <v>5588</v>
      </c>
      <c r="J1843" t="s">
        <v>161</v>
      </c>
      <c r="O1843" t="s">
        <v>5589</v>
      </c>
      <c r="P1843">
        <v>131</v>
      </c>
      <c r="Q1843">
        <v>142</v>
      </c>
      <c r="R1843">
        <v>130</v>
      </c>
      <c r="S1843">
        <v>139.65</v>
      </c>
      <c r="T1843">
        <v>140</v>
      </c>
      <c r="U1843">
        <v>134.59</v>
      </c>
      <c r="W1843">
        <v>139.65</v>
      </c>
      <c r="Z1843">
        <v>4098</v>
      </c>
      <c r="AA1843">
        <v>568360.72</v>
      </c>
      <c r="AB1843">
        <v>95</v>
      </c>
      <c r="AC1843" t="s">
        <v>42</v>
      </c>
      <c r="AD1843">
        <v>1</v>
      </c>
    </row>
    <row r="1844" spans="1:30">
      <c r="A1844" t="str">
        <f>CONCATENATE(I1844,J1844)</f>
        <v>LAKSHMIMILEQ</v>
      </c>
      <c r="B1844" s="34">
        <v>46273</v>
      </c>
      <c r="C1844" s="34">
        <v>46273</v>
      </c>
      <c r="D1844" t="s">
        <v>35</v>
      </c>
      <c r="E1844" t="s">
        <v>36</v>
      </c>
      <c r="F1844" t="s">
        <v>37</v>
      </c>
      <c r="G1844">
        <v>764763</v>
      </c>
      <c r="H1844" t="s">
        <v>5590</v>
      </c>
      <c r="I1844" t="s">
        <v>5591</v>
      </c>
      <c r="J1844" t="s">
        <v>161</v>
      </c>
      <c r="O1844" t="s">
        <v>5592</v>
      </c>
      <c r="P1844">
        <v>8045</v>
      </c>
      <c r="Q1844">
        <v>8045</v>
      </c>
      <c r="R1844">
        <v>7751</v>
      </c>
      <c r="S1844">
        <v>7998.5</v>
      </c>
      <c r="T1844">
        <v>7998.5</v>
      </c>
      <c r="U1844">
        <v>7734</v>
      </c>
      <c r="W1844">
        <v>7998.5</v>
      </c>
      <c r="Z1844">
        <v>9</v>
      </c>
      <c r="AA1844">
        <v>71603.5</v>
      </c>
      <c r="AB1844">
        <v>8</v>
      </c>
      <c r="AC1844" t="s">
        <v>42</v>
      </c>
      <c r="AD1844">
        <v>1</v>
      </c>
    </row>
    <row r="1845" spans="1:30">
      <c r="A1845" t="str">
        <f>CONCATENATE(I1845,J1845)</f>
        <v>LAKPREBZ</v>
      </c>
      <c r="B1845" s="34">
        <v>46273</v>
      </c>
      <c r="C1845" s="34">
        <v>46273</v>
      </c>
      <c r="D1845" t="s">
        <v>35</v>
      </c>
      <c r="E1845" t="s">
        <v>36</v>
      </c>
      <c r="F1845" t="s">
        <v>37</v>
      </c>
      <c r="G1845">
        <v>4774</v>
      </c>
      <c r="H1845" t="s">
        <v>5593</v>
      </c>
      <c r="I1845" t="s">
        <v>5594</v>
      </c>
      <c r="J1845" t="s">
        <v>551</v>
      </c>
      <c r="O1845" t="s">
        <v>5595</v>
      </c>
      <c r="P1845">
        <v>5.52</v>
      </c>
      <c r="Q1845">
        <v>5.52</v>
      </c>
      <c r="R1845">
        <v>5.04</v>
      </c>
      <c r="S1845">
        <v>5.48</v>
      </c>
      <c r="T1845">
        <v>5.49</v>
      </c>
      <c r="U1845">
        <v>5.26</v>
      </c>
      <c r="W1845">
        <v>5.56</v>
      </c>
      <c r="Z1845">
        <v>10289</v>
      </c>
      <c r="AA1845">
        <v>55973.72</v>
      </c>
      <c r="AB1845">
        <v>31</v>
      </c>
      <c r="AC1845" t="s">
        <v>42</v>
      </c>
      <c r="AD1845">
        <v>1</v>
      </c>
    </row>
    <row r="1846" spans="1:30">
      <c r="A1846" t="str">
        <f>CONCATENATE(I1846,J1846)</f>
        <v>LAKSHYASM</v>
      </c>
      <c r="B1846" s="34">
        <v>46273</v>
      </c>
      <c r="C1846" s="34">
        <v>46273</v>
      </c>
      <c r="D1846" t="s">
        <v>35</v>
      </c>
      <c r="E1846" t="s">
        <v>36</v>
      </c>
      <c r="F1846" t="s">
        <v>37</v>
      </c>
      <c r="G1846">
        <v>25860</v>
      </c>
      <c r="H1846" t="s">
        <v>5596</v>
      </c>
      <c r="I1846" t="s">
        <v>5597</v>
      </c>
      <c r="J1846" t="s">
        <v>267</v>
      </c>
      <c r="O1846" t="s">
        <v>5598</v>
      </c>
      <c r="P1846">
        <v>82</v>
      </c>
      <c r="Q1846">
        <v>82</v>
      </c>
      <c r="R1846">
        <v>80</v>
      </c>
      <c r="S1846">
        <v>80.2</v>
      </c>
      <c r="T1846">
        <v>80.2</v>
      </c>
      <c r="U1846">
        <v>83.5</v>
      </c>
      <c r="W1846">
        <v>80.2</v>
      </c>
      <c r="Z1846">
        <v>15200</v>
      </c>
      <c r="AA1846">
        <v>1226000</v>
      </c>
      <c r="AB1846">
        <v>14</v>
      </c>
      <c r="AC1846" t="s">
        <v>42</v>
      </c>
      <c r="AD1846">
        <v>800</v>
      </c>
    </row>
    <row r="1847" spans="1:30">
      <c r="A1847" t="str">
        <f>CONCATENATE(I1847,J1847)</f>
        <v>LALITHAAEQ</v>
      </c>
      <c r="B1847" s="34">
        <v>46273</v>
      </c>
      <c r="C1847" s="34">
        <v>46273</v>
      </c>
      <c r="D1847" t="s">
        <v>35</v>
      </c>
      <c r="E1847" t="s">
        <v>36</v>
      </c>
      <c r="F1847" t="s">
        <v>37</v>
      </c>
      <c r="G1847">
        <v>765361</v>
      </c>
      <c r="H1847" t="s">
        <v>5599</v>
      </c>
      <c r="I1847" t="s">
        <v>5600</v>
      </c>
      <c r="J1847" t="s">
        <v>161</v>
      </c>
      <c r="O1847" t="s">
        <v>5601</v>
      </c>
      <c r="P1847">
        <v>319</v>
      </c>
      <c r="Q1847">
        <v>322.39999999999998</v>
      </c>
      <c r="R1847">
        <v>312.39999999999998</v>
      </c>
      <c r="S1847">
        <v>318.75</v>
      </c>
      <c r="T1847">
        <v>318.2</v>
      </c>
      <c r="U1847">
        <v>317.75</v>
      </c>
      <c r="W1847">
        <v>318.75</v>
      </c>
      <c r="Z1847">
        <v>7903836</v>
      </c>
      <c r="AA1847">
        <v>2510083933.4499998</v>
      </c>
      <c r="AB1847">
        <v>81921</v>
      </c>
      <c r="AC1847" t="s">
        <v>42</v>
      </c>
      <c r="AD1847">
        <v>1</v>
      </c>
    </row>
    <row r="1848" spans="1:30">
      <c r="A1848" t="str">
        <f>CONCATENATE(I1848,J1848)</f>
        <v>LAMBODHARAEQ</v>
      </c>
      <c r="B1848" s="34">
        <v>46273</v>
      </c>
      <c r="C1848" s="34">
        <v>46273</v>
      </c>
      <c r="D1848" t="s">
        <v>35</v>
      </c>
      <c r="E1848" t="s">
        <v>36</v>
      </c>
      <c r="F1848" t="s">
        <v>37</v>
      </c>
      <c r="G1848">
        <v>6407</v>
      </c>
      <c r="H1848" t="s">
        <v>5602</v>
      </c>
      <c r="I1848" t="s">
        <v>5603</v>
      </c>
      <c r="J1848" t="s">
        <v>161</v>
      </c>
      <c r="O1848" t="s">
        <v>5604</v>
      </c>
      <c r="P1848">
        <v>136.15</v>
      </c>
      <c r="Q1848">
        <v>140</v>
      </c>
      <c r="R1848">
        <v>131</v>
      </c>
      <c r="S1848">
        <v>138.69999999999999</v>
      </c>
      <c r="T1848">
        <v>138.69999999999999</v>
      </c>
      <c r="U1848">
        <v>134.6</v>
      </c>
      <c r="W1848">
        <v>138.71</v>
      </c>
      <c r="Z1848">
        <v>15699</v>
      </c>
      <c r="AA1848">
        <v>2142393.75</v>
      </c>
      <c r="AB1848">
        <v>693</v>
      </c>
      <c r="AC1848" t="s">
        <v>42</v>
      </c>
      <c r="AD1848">
        <v>1</v>
      </c>
    </row>
    <row r="1849" spans="1:30">
      <c r="A1849" t="str">
        <f>CONCATENATE(I1849,J1849)</f>
        <v>LAMOSAICST</v>
      </c>
      <c r="B1849" s="34">
        <v>46273</v>
      </c>
      <c r="C1849" s="34">
        <v>46273</v>
      </c>
      <c r="D1849" t="s">
        <v>35</v>
      </c>
      <c r="E1849" t="s">
        <v>36</v>
      </c>
      <c r="F1849" t="s">
        <v>37</v>
      </c>
      <c r="G1849">
        <v>27225</v>
      </c>
      <c r="H1849" t="s">
        <v>5605</v>
      </c>
      <c r="I1849" t="s">
        <v>5606</v>
      </c>
      <c r="J1849" t="s">
        <v>328</v>
      </c>
      <c r="O1849" t="s">
        <v>5607</v>
      </c>
      <c r="P1849">
        <v>58.05</v>
      </c>
      <c r="Q1849">
        <v>60.35</v>
      </c>
      <c r="R1849">
        <v>56.05</v>
      </c>
      <c r="S1849">
        <v>56.05</v>
      </c>
      <c r="T1849">
        <v>56.05</v>
      </c>
      <c r="U1849">
        <v>59</v>
      </c>
      <c r="W1849">
        <v>56.05</v>
      </c>
      <c r="Z1849">
        <v>74400</v>
      </c>
      <c r="AA1849">
        <v>4216860</v>
      </c>
      <c r="AB1849">
        <v>79</v>
      </c>
      <c r="AC1849" t="s">
        <v>42</v>
      </c>
      <c r="AD1849">
        <v>600</v>
      </c>
    </row>
    <row r="1850" spans="1:30">
      <c r="A1850" t="str">
        <f>CONCATENATE(I1850,J1850)</f>
        <v>LANCEREQ</v>
      </c>
      <c r="B1850" s="34">
        <v>46273</v>
      </c>
      <c r="C1850" s="34">
        <v>46273</v>
      </c>
      <c r="D1850" t="s">
        <v>35</v>
      </c>
      <c r="E1850" t="s">
        <v>36</v>
      </c>
      <c r="F1850" t="s">
        <v>37</v>
      </c>
      <c r="G1850">
        <v>9392</v>
      </c>
      <c r="H1850" t="s">
        <v>5608</v>
      </c>
      <c r="I1850" t="s">
        <v>5609</v>
      </c>
      <c r="J1850" t="s">
        <v>161</v>
      </c>
      <c r="O1850" t="s">
        <v>5610</v>
      </c>
      <c r="P1850">
        <v>13.01</v>
      </c>
      <c r="Q1850">
        <v>13.1</v>
      </c>
      <c r="R1850">
        <v>12.51</v>
      </c>
      <c r="S1850">
        <v>12.62</v>
      </c>
      <c r="T1850">
        <v>12.63</v>
      </c>
      <c r="U1850">
        <v>12.96</v>
      </c>
      <c r="W1850">
        <v>12.62</v>
      </c>
      <c r="Z1850">
        <v>465876</v>
      </c>
      <c r="AA1850">
        <v>5929765.0599999996</v>
      </c>
      <c r="AB1850">
        <v>1039</v>
      </c>
      <c r="AC1850" t="s">
        <v>42</v>
      </c>
      <c r="AD1850">
        <v>1</v>
      </c>
    </row>
    <row r="1851" spans="1:30">
      <c r="A1851" t="str">
        <f>CONCATENATE(I1851,J1851)</f>
        <v>LANCORHOLEQ</v>
      </c>
      <c r="B1851" s="34">
        <v>46273</v>
      </c>
      <c r="C1851" s="34">
        <v>46273</v>
      </c>
      <c r="D1851" t="s">
        <v>35</v>
      </c>
      <c r="E1851" t="s">
        <v>36</v>
      </c>
      <c r="F1851" t="s">
        <v>37</v>
      </c>
      <c r="G1851">
        <v>23027</v>
      </c>
      <c r="H1851" t="s">
        <v>5611</v>
      </c>
      <c r="I1851" t="s">
        <v>5612</v>
      </c>
      <c r="J1851" t="s">
        <v>161</v>
      </c>
      <c r="O1851" t="s">
        <v>5613</v>
      </c>
      <c r="P1851">
        <v>39.700000000000003</v>
      </c>
      <c r="Q1851">
        <v>40.36</v>
      </c>
      <c r="R1851">
        <v>37.799999999999997</v>
      </c>
      <c r="S1851">
        <v>38.020000000000003</v>
      </c>
      <c r="T1851">
        <v>37.799999999999997</v>
      </c>
      <c r="U1851">
        <v>40.119999999999997</v>
      </c>
      <c r="W1851">
        <v>38.04</v>
      </c>
      <c r="Z1851">
        <v>249193</v>
      </c>
      <c r="AA1851">
        <v>9683484.9100000001</v>
      </c>
      <c r="AB1851">
        <v>2231</v>
      </c>
      <c r="AC1851" t="s">
        <v>42</v>
      </c>
      <c r="AD1851">
        <v>1</v>
      </c>
    </row>
    <row r="1852" spans="1:30">
      <c r="A1852" t="str">
        <f>CONCATENATE(I1852,J1852)</f>
        <v>LANDMARKEQ</v>
      </c>
      <c r="B1852" s="34">
        <v>46273</v>
      </c>
      <c r="C1852" s="34">
        <v>46273</v>
      </c>
      <c r="D1852" t="s">
        <v>35</v>
      </c>
      <c r="E1852" t="s">
        <v>36</v>
      </c>
      <c r="F1852" t="s">
        <v>37</v>
      </c>
      <c r="G1852">
        <v>13276</v>
      </c>
      <c r="H1852" t="s">
        <v>5614</v>
      </c>
      <c r="I1852" t="s">
        <v>5615</v>
      </c>
      <c r="J1852" t="s">
        <v>161</v>
      </c>
      <c r="O1852" t="s">
        <v>5616</v>
      </c>
      <c r="P1852">
        <v>495</v>
      </c>
      <c r="Q1852">
        <v>506</v>
      </c>
      <c r="R1852">
        <v>490.85</v>
      </c>
      <c r="S1852">
        <v>497.95</v>
      </c>
      <c r="T1852">
        <v>500.2</v>
      </c>
      <c r="U1852">
        <v>494.1</v>
      </c>
      <c r="W1852">
        <v>497.95</v>
      </c>
      <c r="Z1852">
        <v>81462</v>
      </c>
      <c r="AA1852">
        <v>40421671.899999999</v>
      </c>
      <c r="AB1852">
        <v>4177</v>
      </c>
      <c r="AC1852" t="s">
        <v>42</v>
      </c>
      <c r="AD1852">
        <v>1</v>
      </c>
    </row>
    <row r="1853" spans="1:30">
      <c r="A1853" t="str">
        <f>CONCATENATE(I1853,J1853)</f>
        <v>LPDCEQ</v>
      </c>
      <c r="B1853" s="34">
        <v>46273</v>
      </c>
      <c r="C1853" s="34">
        <v>46273</v>
      </c>
      <c r="D1853" t="s">
        <v>35</v>
      </c>
      <c r="E1853" t="s">
        <v>36</v>
      </c>
      <c r="F1853" t="s">
        <v>37</v>
      </c>
      <c r="G1853">
        <v>16863</v>
      </c>
      <c r="H1853" t="s">
        <v>5617</v>
      </c>
      <c r="I1853" t="s">
        <v>5618</v>
      </c>
      <c r="J1853" t="s">
        <v>161</v>
      </c>
      <c r="O1853" t="s">
        <v>5619</v>
      </c>
      <c r="P1853">
        <v>6.44</v>
      </c>
      <c r="Q1853">
        <v>6.46</v>
      </c>
      <c r="R1853">
        <v>6.2</v>
      </c>
      <c r="S1853">
        <v>6.29</v>
      </c>
      <c r="T1853">
        <v>6.33</v>
      </c>
      <c r="U1853">
        <v>6.32</v>
      </c>
      <c r="W1853">
        <v>6.29</v>
      </c>
      <c r="Z1853">
        <v>34608</v>
      </c>
      <c r="AA1853">
        <v>218604.55</v>
      </c>
      <c r="AB1853">
        <v>281</v>
      </c>
      <c r="AC1853" t="s">
        <v>42</v>
      </c>
      <c r="AD1853">
        <v>1</v>
      </c>
    </row>
    <row r="1854" spans="1:30">
      <c r="A1854" t="str">
        <f>CONCATENATE(I1854,J1854)</f>
        <v>LANDSMILLEQ</v>
      </c>
      <c r="B1854" s="34">
        <v>46273</v>
      </c>
      <c r="C1854" s="34">
        <v>46273</v>
      </c>
      <c r="D1854" t="s">
        <v>35</v>
      </c>
      <c r="E1854" t="s">
        <v>36</v>
      </c>
      <c r="F1854" t="s">
        <v>37</v>
      </c>
      <c r="G1854">
        <v>17376</v>
      </c>
      <c r="H1854" t="s">
        <v>5620</v>
      </c>
      <c r="I1854" t="s">
        <v>5621</v>
      </c>
      <c r="J1854" t="s">
        <v>161</v>
      </c>
      <c r="O1854" t="s">
        <v>5622</v>
      </c>
      <c r="P1854">
        <v>0.59</v>
      </c>
      <c r="Q1854">
        <v>0.62</v>
      </c>
      <c r="R1854">
        <v>0.56999999999999995</v>
      </c>
      <c r="S1854">
        <v>0.57999999999999996</v>
      </c>
      <c r="T1854">
        <v>0.57999999999999996</v>
      </c>
      <c r="U1854">
        <v>0.57999999999999996</v>
      </c>
      <c r="W1854">
        <v>0.57999999999999996</v>
      </c>
      <c r="Z1854">
        <v>5182259</v>
      </c>
      <c r="AA1854">
        <v>3057563.06</v>
      </c>
      <c r="AB1854">
        <v>1600</v>
      </c>
      <c r="AC1854" t="s">
        <v>42</v>
      </c>
      <c r="AD1854">
        <v>1</v>
      </c>
    </row>
    <row r="1855" spans="1:30">
      <c r="A1855" t="str">
        <f>CONCATENATE(I1855,J1855)</f>
        <v>LTEQ</v>
      </c>
      <c r="B1855" s="34">
        <v>46273</v>
      </c>
      <c r="C1855" s="34">
        <v>46273</v>
      </c>
      <c r="D1855" t="s">
        <v>35</v>
      </c>
      <c r="E1855" t="s">
        <v>36</v>
      </c>
      <c r="F1855" t="s">
        <v>37</v>
      </c>
      <c r="G1855">
        <v>11483</v>
      </c>
      <c r="H1855" t="s">
        <v>5623</v>
      </c>
      <c r="I1855" t="s">
        <v>5624</v>
      </c>
      <c r="J1855" t="s">
        <v>161</v>
      </c>
      <c r="O1855" t="s">
        <v>5625</v>
      </c>
      <c r="P1855">
        <v>3988.7</v>
      </c>
      <c r="Q1855">
        <v>3988.7</v>
      </c>
      <c r="R1855">
        <v>3946.1</v>
      </c>
      <c r="S1855">
        <v>3946.1</v>
      </c>
      <c r="T1855">
        <v>3946.1</v>
      </c>
      <c r="U1855">
        <v>3999</v>
      </c>
      <c r="W1855">
        <v>3946.21</v>
      </c>
      <c r="Z1855">
        <v>1200872</v>
      </c>
      <c r="AA1855">
        <v>4766003578.3000002</v>
      </c>
      <c r="AB1855">
        <v>66908</v>
      </c>
      <c r="AC1855" t="s">
        <v>42</v>
      </c>
      <c r="AD1855">
        <v>1</v>
      </c>
    </row>
    <row r="1856" spans="1:30">
      <c r="A1856" t="str">
        <f>CONCATENATE(I1856,J1856)</f>
        <v>LASAEQ</v>
      </c>
      <c r="B1856" s="34">
        <v>46273</v>
      </c>
      <c r="C1856" s="34">
        <v>46273</v>
      </c>
      <c r="D1856" t="s">
        <v>35</v>
      </c>
      <c r="E1856" t="s">
        <v>36</v>
      </c>
      <c r="F1856" t="s">
        <v>37</v>
      </c>
      <c r="G1856">
        <v>21713</v>
      </c>
      <c r="H1856" t="s">
        <v>5626</v>
      </c>
      <c r="I1856" t="s">
        <v>5627</v>
      </c>
      <c r="J1856" t="s">
        <v>161</v>
      </c>
      <c r="O1856" t="s">
        <v>5628</v>
      </c>
      <c r="P1856">
        <v>6.7</v>
      </c>
      <c r="Q1856">
        <v>6.83</v>
      </c>
      <c r="R1856">
        <v>6.65</v>
      </c>
      <c r="S1856">
        <v>6.69</v>
      </c>
      <c r="T1856">
        <v>6.72</v>
      </c>
      <c r="U1856">
        <v>6.68</v>
      </c>
      <c r="W1856">
        <v>6.7</v>
      </c>
      <c r="Z1856">
        <v>35670</v>
      </c>
      <c r="AA1856">
        <v>239036.47</v>
      </c>
      <c r="AB1856">
        <v>150</v>
      </c>
      <c r="AC1856" t="s">
        <v>42</v>
      </c>
      <c r="AD1856">
        <v>1</v>
      </c>
    </row>
    <row r="1857" spans="1:30">
      <c r="A1857" t="str">
        <f>CONCATENATE(I1857,J1857)</f>
        <v>LASERPOWEREQ</v>
      </c>
      <c r="B1857" s="34">
        <v>46273</v>
      </c>
      <c r="C1857" s="34">
        <v>46273</v>
      </c>
      <c r="D1857" t="s">
        <v>35</v>
      </c>
      <c r="E1857" t="s">
        <v>36</v>
      </c>
      <c r="F1857" t="s">
        <v>37</v>
      </c>
      <c r="G1857">
        <v>764126</v>
      </c>
      <c r="H1857" t="s">
        <v>5629</v>
      </c>
      <c r="I1857" t="s">
        <v>5630</v>
      </c>
      <c r="J1857" t="s">
        <v>161</v>
      </c>
      <c r="O1857" t="s">
        <v>5631</v>
      </c>
      <c r="P1857">
        <v>313.95</v>
      </c>
      <c r="Q1857">
        <v>317.14999999999998</v>
      </c>
      <c r="R1857">
        <v>303.8</v>
      </c>
      <c r="S1857">
        <v>305.3</v>
      </c>
      <c r="T1857">
        <v>305.89999999999998</v>
      </c>
      <c r="U1857">
        <v>310.7</v>
      </c>
      <c r="W1857">
        <v>305.27999999999997</v>
      </c>
      <c r="Z1857">
        <v>507280</v>
      </c>
      <c r="AA1857">
        <v>156408622.34999999</v>
      </c>
      <c r="AB1857">
        <v>10060</v>
      </c>
      <c r="AC1857" t="s">
        <v>42</v>
      </c>
      <c r="AD1857">
        <v>1</v>
      </c>
    </row>
    <row r="1858" spans="1:30">
      <c r="A1858" t="str">
        <f>CONCATENATE(I1858,J1858)</f>
        <v>LATENTVIEWEQ</v>
      </c>
      <c r="B1858" s="34">
        <v>46273</v>
      </c>
      <c r="C1858" s="34">
        <v>46273</v>
      </c>
      <c r="D1858" t="s">
        <v>35</v>
      </c>
      <c r="E1858" t="s">
        <v>36</v>
      </c>
      <c r="F1858" t="s">
        <v>37</v>
      </c>
      <c r="G1858">
        <v>6818</v>
      </c>
      <c r="H1858" t="s">
        <v>5632</v>
      </c>
      <c r="I1858" t="s">
        <v>5633</v>
      </c>
      <c r="J1858" t="s">
        <v>161</v>
      </c>
      <c r="O1858" t="s">
        <v>5634</v>
      </c>
      <c r="P1858">
        <v>261.75</v>
      </c>
      <c r="Q1858">
        <v>262.05</v>
      </c>
      <c r="R1858">
        <v>256.95</v>
      </c>
      <c r="S1858">
        <v>258.05</v>
      </c>
      <c r="T1858">
        <v>258.5</v>
      </c>
      <c r="U1858">
        <v>261.7</v>
      </c>
      <c r="W1858">
        <v>258.05</v>
      </c>
      <c r="Z1858">
        <v>358940</v>
      </c>
      <c r="AA1858">
        <v>93061628</v>
      </c>
      <c r="AB1858">
        <v>11429</v>
      </c>
      <c r="AC1858" t="s">
        <v>42</v>
      </c>
      <c r="AD1858">
        <v>1</v>
      </c>
    </row>
    <row r="1859" spans="1:30">
      <c r="A1859" t="str">
        <f>CONCATENATE(I1859,J1859)</f>
        <v>LATTEYSEQ</v>
      </c>
      <c r="B1859" s="34">
        <v>46273</v>
      </c>
      <c r="C1859" s="34">
        <v>46273</v>
      </c>
      <c r="D1859" t="s">
        <v>35</v>
      </c>
      <c r="E1859" t="s">
        <v>36</v>
      </c>
      <c r="F1859" t="s">
        <v>37</v>
      </c>
      <c r="G1859">
        <v>15840</v>
      </c>
      <c r="H1859" t="s">
        <v>5635</v>
      </c>
      <c r="I1859" t="s">
        <v>5636</v>
      </c>
      <c r="J1859" t="s">
        <v>161</v>
      </c>
      <c r="O1859" t="s">
        <v>5637</v>
      </c>
      <c r="P1859">
        <v>21</v>
      </c>
      <c r="Q1859">
        <v>22</v>
      </c>
      <c r="R1859">
        <v>20.63</v>
      </c>
      <c r="S1859">
        <v>21.15</v>
      </c>
      <c r="T1859">
        <v>21.39</v>
      </c>
      <c r="U1859">
        <v>20.63</v>
      </c>
      <c r="W1859">
        <v>21.15</v>
      </c>
      <c r="Z1859">
        <v>65125</v>
      </c>
      <c r="AA1859">
        <v>1374834.01</v>
      </c>
      <c r="AB1859">
        <v>313</v>
      </c>
      <c r="AC1859" t="s">
        <v>42</v>
      </c>
      <c r="AD1859">
        <v>1</v>
      </c>
    </row>
    <row r="1860" spans="1:30">
      <c r="A1860" t="str">
        <f>CONCATENATE(I1860,J1860)</f>
        <v>LAURUSLABSEQ</v>
      </c>
      <c r="B1860" s="34">
        <v>46273</v>
      </c>
      <c r="C1860" s="34">
        <v>46273</v>
      </c>
      <c r="D1860" t="s">
        <v>35</v>
      </c>
      <c r="E1860" t="s">
        <v>36</v>
      </c>
      <c r="F1860" t="s">
        <v>37</v>
      </c>
      <c r="G1860">
        <v>19234</v>
      </c>
      <c r="H1860" t="s">
        <v>5638</v>
      </c>
      <c r="I1860" t="s">
        <v>5639</v>
      </c>
      <c r="J1860" t="s">
        <v>161</v>
      </c>
      <c r="O1860" t="s">
        <v>5640</v>
      </c>
      <c r="P1860">
        <v>1870.8</v>
      </c>
      <c r="Q1860">
        <v>1952</v>
      </c>
      <c r="R1860">
        <v>1862.7</v>
      </c>
      <c r="S1860">
        <v>1946.9</v>
      </c>
      <c r="T1860">
        <v>1946.9</v>
      </c>
      <c r="U1860">
        <v>1876.7</v>
      </c>
      <c r="W1860">
        <v>1946.89</v>
      </c>
      <c r="Z1860">
        <v>2115447</v>
      </c>
      <c r="AA1860">
        <v>4075915178.8000002</v>
      </c>
      <c r="AB1860">
        <v>63758</v>
      </c>
      <c r="AC1860" t="s">
        <v>42</v>
      </c>
      <c r="AD1860">
        <v>1</v>
      </c>
    </row>
    <row r="1861" spans="1:30">
      <c r="A1861" t="str">
        <f>CONCATENATE(I1861,J1861)</f>
        <v>LAXMICOTEQ</v>
      </c>
      <c r="B1861" s="34">
        <v>46273</v>
      </c>
      <c r="C1861" s="34">
        <v>46273</v>
      </c>
      <c r="D1861" t="s">
        <v>35</v>
      </c>
      <c r="E1861" t="s">
        <v>36</v>
      </c>
      <c r="F1861" t="s">
        <v>37</v>
      </c>
      <c r="G1861">
        <v>6568</v>
      </c>
      <c r="H1861" t="s">
        <v>5641</v>
      </c>
      <c r="I1861" t="s">
        <v>5642</v>
      </c>
      <c r="J1861" t="s">
        <v>161</v>
      </c>
      <c r="O1861" t="s">
        <v>5643</v>
      </c>
      <c r="P1861">
        <v>13.37</v>
      </c>
      <c r="Q1861">
        <v>13.74</v>
      </c>
      <c r="R1861">
        <v>12.66</v>
      </c>
      <c r="S1861">
        <v>13.03</v>
      </c>
      <c r="T1861">
        <v>12.95</v>
      </c>
      <c r="U1861">
        <v>13.38</v>
      </c>
      <c r="W1861">
        <v>13.03</v>
      </c>
      <c r="Z1861">
        <v>13257</v>
      </c>
      <c r="AA1861">
        <v>172879.62</v>
      </c>
      <c r="AB1861">
        <v>123</v>
      </c>
      <c r="AC1861" t="s">
        <v>42</v>
      </c>
      <c r="AD1861">
        <v>1</v>
      </c>
    </row>
    <row r="1862" spans="1:30">
      <c r="A1862" t="str">
        <f>CONCATENATE(I1862,J1862)</f>
        <v>LAXMIDENTLEQ</v>
      </c>
      <c r="B1862" s="34">
        <v>46273</v>
      </c>
      <c r="C1862" s="34">
        <v>46273</v>
      </c>
      <c r="D1862" t="s">
        <v>35</v>
      </c>
      <c r="E1862" t="s">
        <v>36</v>
      </c>
      <c r="F1862" t="s">
        <v>37</v>
      </c>
      <c r="G1862">
        <v>29171</v>
      </c>
      <c r="H1862" t="s">
        <v>5644</v>
      </c>
      <c r="I1862" t="s">
        <v>5645</v>
      </c>
      <c r="J1862" t="s">
        <v>161</v>
      </c>
      <c r="O1862" t="s">
        <v>5646</v>
      </c>
      <c r="P1862">
        <v>199.38</v>
      </c>
      <c r="Q1862">
        <v>200</v>
      </c>
      <c r="R1862">
        <v>193.1</v>
      </c>
      <c r="S1862">
        <v>199.25</v>
      </c>
      <c r="T1862">
        <v>198.01</v>
      </c>
      <c r="U1862">
        <v>197.73</v>
      </c>
      <c r="W1862">
        <v>199.25</v>
      </c>
      <c r="Z1862">
        <v>87536</v>
      </c>
      <c r="AA1862">
        <v>17362776.5</v>
      </c>
      <c r="AB1862">
        <v>2519</v>
      </c>
      <c r="AC1862" t="s">
        <v>42</v>
      </c>
      <c r="AD1862">
        <v>1</v>
      </c>
    </row>
    <row r="1863" spans="1:30">
      <c r="A1863" t="str">
        <f>CONCATENATE(I1863,J1863)</f>
        <v>LGHLEQ</v>
      </c>
      <c r="B1863" s="34">
        <v>46273</v>
      </c>
      <c r="C1863" s="34">
        <v>46273</v>
      </c>
      <c r="D1863" t="s">
        <v>35</v>
      </c>
      <c r="E1863" t="s">
        <v>36</v>
      </c>
      <c r="F1863" t="s">
        <v>37</v>
      </c>
      <c r="G1863">
        <v>19876</v>
      </c>
      <c r="H1863" t="s">
        <v>5647</v>
      </c>
      <c r="I1863" t="s">
        <v>5648</v>
      </c>
      <c r="J1863" t="s">
        <v>161</v>
      </c>
      <c r="O1863" t="s">
        <v>5649</v>
      </c>
      <c r="P1863">
        <v>177</v>
      </c>
      <c r="Q1863">
        <v>177.97</v>
      </c>
      <c r="R1863">
        <v>170.99</v>
      </c>
      <c r="S1863">
        <v>175.21</v>
      </c>
      <c r="T1863">
        <v>175.85</v>
      </c>
      <c r="U1863">
        <v>176.23</v>
      </c>
      <c r="W1863">
        <v>175.21</v>
      </c>
      <c r="Z1863">
        <v>5650</v>
      </c>
      <c r="AA1863">
        <v>987279.79</v>
      </c>
      <c r="AB1863">
        <v>313</v>
      </c>
      <c r="AC1863" t="s">
        <v>42</v>
      </c>
      <c r="AD1863">
        <v>1</v>
      </c>
    </row>
    <row r="1864" spans="1:30">
      <c r="A1864" t="str">
        <f>CONCATENATE(I1864,J1864)</f>
        <v>LAXMIINDIAEQ</v>
      </c>
      <c r="B1864" s="34">
        <v>46273</v>
      </c>
      <c r="C1864" s="34">
        <v>46273</v>
      </c>
      <c r="D1864" t="s">
        <v>35</v>
      </c>
      <c r="E1864" t="s">
        <v>36</v>
      </c>
      <c r="F1864" t="s">
        <v>37</v>
      </c>
      <c r="G1864">
        <v>758863</v>
      </c>
      <c r="H1864" t="s">
        <v>5650</v>
      </c>
      <c r="I1864" t="s">
        <v>5651</v>
      </c>
      <c r="J1864" t="s">
        <v>161</v>
      </c>
      <c r="O1864" t="s">
        <v>5652</v>
      </c>
      <c r="P1864">
        <v>130.22999999999999</v>
      </c>
      <c r="Q1864">
        <v>132.9</v>
      </c>
      <c r="R1864">
        <v>129.16</v>
      </c>
      <c r="S1864">
        <v>129.99</v>
      </c>
      <c r="T1864">
        <v>129.6</v>
      </c>
      <c r="U1864">
        <v>130.88999999999999</v>
      </c>
      <c r="W1864">
        <v>129.96</v>
      </c>
      <c r="Z1864">
        <v>123289</v>
      </c>
      <c r="AA1864">
        <v>16124173.949999999</v>
      </c>
      <c r="AB1864">
        <v>2292</v>
      </c>
      <c r="AC1864" t="s">
        <v>42</v>
      </c>
      <c r="AD1864">
        <v>1</v>
      </c>
    </row>
    <row r="1865" spans="1:30">
      <c r="A1865" t="str">
        <f>CONCATENATE(I1865,J1865)</f>
        <v>LXCHEMEQ</v>
      </c>
      <c r="B1865" s="34">
        <v>46273</v>
      </c>
      <c r="C1865" s="34">
        <v>46273</v>
      </c>
      <c r="D1865" t="s">
        <v>35</v>
      </c>
      <c r="E1865" t="s">
        <v>36</v>
      </c>
      <c r="F1865" t="s">
        <v>37</v>
      </c>
      <c r="G1865">
        <v>2841</v>
      </c>
      <c r="H1865" t="s">
        <v>5653</v>
      </c>
      <c r="I1865" t="s">
        <v>5654</v>
      </c>
      <c r="J1865" t="s">
        <v>161</v>
      </c>
      <c r="O1865" t="s">
        <v>5655</v>
      </c>
      <c r="P1865">
        <v>171.25</v>
      </c>
      <c r="Q1865">
        <v>186</v>
      </c>
      <c r="R1865">
        <v>170.87</v>
      </c>
      <c r="S1865">
        <v>184.52</v>
      </c>
      <c r="T1865">
        <v>183.48</v>
      </c>
      <c r="U1865">
        <v>171.99</v>
      </c>
      <c r="W1865">
        <v>184.51</v>
      </c>
      <c r="Z1865">
        <v>3239876</v>
      </c>
      <c r="AA1865">
        <v>587616754.00999999</v>
      </c>
      <c r="AB1865">
        <v>33894</v>
      </c>
      <c r="AC1865" t="s">
        <v>42</v>
      </c>
      <c r="AD1865">
        <v>1</v>
      </c>
    </row>
    <row r="1866" spans="1:30">
      <c r="A1866" t="str">
        <f>CONCATENATE(I1866,J1866)</f>
        <v>LCCINFOTECEQ</v>
      </c>
      <c r="B1866" s="34">
        <v>46273</v>
      </c>
      <c r="C1866" s="34">
        <v>46273</v>
      </c>
      <c r="D1866" t="s">
        <v>35</v>
      </c>
      <c r="E1866" t="s">
        <v>36</v>
      </c>
      <c r="F1866" t="s">
        <v>37</v>
      </c>
      <c r="G1866">
        <v>7529</v>
      </c>
      <c r="H1866" t="s">
        <v>5656</v>
      </c>
      <c r="I1866" t="s">
        <v>5657</v>
      </c>
      <c r="J1866" t="s">
        <v>161</v>
      </c>
      <c r="O1866" t="s">
        <v>5658</v>
      </c>
      <c r="P1866">
        <v>3.7</v>
      </c>
      <c r="Q1866">
        <v>3.98</v>
      </c>
      <c r="R1866">
        <v>3.6</v>
      </c>
      <c r="S1866">
        <v>3.73</v>
      </c>
      <c r="T1866">
        <v>3.74</v>
      </c>
      <c r="U1866">
        <v>3.79</v>
      </c>
      <c r="W1866">
        <v>3.73</v>
      </c>
      <c r="Z1866">
        <v>60140</v>
      </c>
      <c r="AA1866">
        <v>226740.67</v>
      </c>
      <c r="AB1866">
        <v>276</v>
      </c>
      <c r="AC1866" t="s">
        <v>42</v>
      </c>
      <c r="AD1866">
        <v>1</v>
      </c>
    </row>
    <row r="1867" spans="1:30">
      <c r="A1867" t="str">
        <f>CONCATENATE(I1867,J1867)</f>
        <v>LEMERITEEQ</v>
      </c>
      <c r="B1867" s="34">
        <v>46273</v>
      </c>
      <c r="C1867" s="34">
        <v>46273</v>
      </c>
      <c r="D1867" t="s">
        <v>35</v>
      </c>
      <c r="E1867" t="s">
        <v>36</v>
      </c>
      <c r="F1867" t="s">
        <v>37</v>
      </c>
      <c r="G1867">
        <v>760300</v>
      </c>
      <c r="H1867" t="s">
        <v>5659</v>
      </c>
      <c r="I1867" t="s">
        <v>5660</v>
      </c>
      <c r="J1867" t="s">
        <v>161</v>
      </c>
      <c r="O1867" t="s">
        <v>5661</v>
      </c>
      <c r="P1867">
        <v>20.7</v>
      </c>
      <c r="Q1867">
        <v>21</v>
      </c>
      <c r="R1867">
        <v>20.399999999999999</v>
      </c>
      <c r="S1867">
        <v>20.67</v>
      </c>
      <c r="T1867">
        <v>20.399999999999999</v>
      </c>
      <c r="U1867">
        <v>20.72</v>
      </c>
      <c r="W1867">
        <v>20.67</v>
      </c>
      <c r="Z1867">
        <v>159644</v>
      </c>
      <c r="AA1867">
        <v>3297805.24</v>
      </c>
      <c r="AB1867">
        <v>391</v>
      </c>
      <c r="AC1867" t="s">
        <v>42</v>
      </c>
      <c r="AD1867">
        <v>1</v>
      </c>
    </row>
    <row r="1868" spans="1:30">
      <c r="A1868" t="str">
        <f>CONCATENATE(I1868,J1868)</f>
        <v>IXIGOEQ</v>
      </c>
      <c r="B1868" s="34">
        <v>46273</v>
      </c>
      <c r="C1868" s="34">
        <v>46273</v>
      </c>
      <c r="D1868" t="s">
        <v>35</v>
      </c>
      <c r="E1868" t="s">
        <v>36</v>
      </c>
      <c r="F1868" t="s">
        <v>37</v>
      </c>
      <c r="G1868">
        <v>24067</v>
      </c>
      <c r="H1868" t="s">
        <v>5662</v>
      </c>
      <c r="I1868" t="s">
        <v>5663</v>
      </c>
      <c r="J1868" t="s">
        <v>161</v>
      </c>
      <c r="O1868" t="s">
        <v>5664</v>
      </c>
      <c r="P1868">
        <v>166.04</v>
      </c>
      <c r="Q1868">
        <v>171.42</v>
      </c>
      <c r="R1868">
        <v>165.89</v>
      </c>
      <c r="S1868">
        <v>169.96</v>
      </c>
      <c r="T1868">
        <v>170.25</v>
      </c>
      <c r="U1868">
        <v>167.39</v>
      </c>
      <c r="W1868">
        <v>169.96</v>
      </c>
      <c r="Z1868">
        <v>914622</v>
      </c>
      <c r="AA1868">
        <v>154668401.25</v>
      </c>
      <c r="AB1868">
        <v>18319</v>
      </c>
      <c r="AC1868" t="s">
        <v>42</v>
      </c>
      <c r="AD1868">
        <v>1</v>
      </c>
    </row>
    <row r="1869" spans="1:30">
      <c r="A1869" t="str">
        <f>CONCATENATE(I1869,J1869)</f>
        <v>LRRPLSM</v>
      </c>
      <c r="B1869" s="34">
        <v>46273</v>
      </c>
      <c r="C1869" s="34">
        <v>46273</v>
      </c>
      <c r="D1869" t="s">
        <v>35</v>
      </c>
      <c r="E1869" t="s">
        <v>36</v>
      </c>
      <c r="F1869" t="s">
        <v>37</v>
      </c>
      <c r="G1869">
        <v>14204</v>
      </c>
      <c r="H1869" t="s">
        <v>5665</v>
      </c>
      <c r="I1869" t="s">
        <v>5666</v>
      </c>
      <c r="J1869" t="s">
        <v>267</v>
      </c>
      <c r="O1869" t="s">
        <v>5667</v>
      </c>
      <c r="P1869">
        <v>88</v>
      </c>
      <c r="Q1869">
        <v>91.85</v>
      </c>
      <c r="R1869">
        <v>88</v>
      </c>
      <c r="S1869">
        <v>91.85</v>
      </c>
      <c r="T1869">
        <v>91.85</v>
      </c>
      <c r="U1869">
        <v>88</v>
      </c>
      <c r="W1869">
        <v>91.85</v>
      </c>
      <c r="Z1869">
        <v>6000</v>
      </c>
      <c r="AA1869">
        <v>535275</v>
      </c>
      <c r="AB1869">
        <v>4</v>
      </c>
      <c r="AC1869" t="s">
        <v>42</v>
      </c>
      <c r="AD1869">
        <v>1500</v>
      </c>
    </row>
    <row r="1870" spans="1:30">
      <c r="A1870" t="str">
        <f>CONCATENATE(I1870,J1870)</f>
        <v>LEAPINDEQ</v>
      </c>
      <c r="B1870" s="34">
        <v>46273</v>
      </c>
      <c r="C1870" s="34">
        <v>46273</v>
      </c>
      <c r="D1870" t="s">
        <v>35</v>
      </c>
      <c r="E1870" t="s">
        <v>36</v>
      </c>
      <c r="F1870" t="s">
        <v>37</v>
      </c>
      <c r="G1870">
        <v>764523</v>
      </c>
      <c r="H1870" t="s">
        <v>5668</v>
      </c>
      <c r="I1870" t="s">
        <v>5669</v>
      </c>
      <c r="J1870" t="s">
        <v>161</v>
      </c>
      <c r="O1870" t="s">
        <v>5670</v>
      </c>
      <c r="P1870">
        <v>147</v>
      </c>
      <c r="Q1870">
        <v>149.16</v>
      </c>
      <c r="R1870">
        <v>143.68</v>
      </c>
      <c r="S1870">
        <v>148.26</v>
      </c>
      <c r="T1870">
        <v>148.6</v>
      </c>
      <c r="U1870">
        <v>146.28</v>
      </c>
      <c r="W1870">
        <v>148.26</v>
      </c>
      <c r="Z1870">
        <v>3493046</v>
      </c>
      <c r="AA1870">
        <v>513808657.54000002</v>
      </c>
      <c r="AB1870">
        <v>27915</v>
      </c>
      <c r="AC1870" t="s">
        <v>42</v>
      </c>
      <c r="AD1870">
        <v>1</v>
      </c>
    </row>
    <row r="1871" spans="1:30">
      <c r="A1871" t="str">
        <f>CONCATENATE(I1871,J1871)</f>
        <v>LEENEEBE</v>
      </c>
      <c r="B1871" s="34">
        <v>46273</v>
      </c>
      <c r="C1871" s="34">
        <v>46273</v>
      </c>
      <c r="D1871" t="s">
        <v>35</v>
      </c>
      <c r="E1871" t="s">
        <v>36</v>
      </c>
      <c r="F1871" t="s">
        <v>37</v>
      </c>
      <c r="G1871">
        <v>765098</v>
      </c>
      <c r="H1871" t="s">
        <v>5671</v>
      </c>
      <c r="I1871" t="s">
        <v>5672</v>
      </c>
      <c r="J1871" t="s">
        <v>183</v>
      </c>
      <c r="O1871" t="s">
        <v>5673</v>
      </c>
      <c r="P1871">
        <v>8.1999999999999993</v>
      </c>
      <c r="Q1871">
        <v>8.39</v>
      </c>
      <c r="R1871">
        <v>7.88</v>
      </c>
      <c r="S1871">
        <v>8</v>
      </c>
      <c r="T1871">
        <v>8</v>
      </c>
      <c r="U1871">
        <v>8.2899999999999991</v>
      </c>
      <c r="W1871">
        <v>8.09</v>
      </c>
      <c r="Z1871">
        <v>4060</v>
      </c>
      <c r="AA1871">
        <v>32524.76</v>
      </c>
      <c r="AB1871">
        <v>30</v>
      </c>
      <c r="AC1871" t="s">
        <v>42</v>
      </c>
      <c r="AD1871">
        <v>1</v>
      </c>
    </row>
    <row r="1872" spans="1:30">
      <c r="A1872" t="str">
        <f>CONCATENATE(I1872,J1872)</f>
        <v>THELEELAEQ</v>
      </c>
      <c r="B1872" s="34">
        <v>46273</v>
      </c>
      <c r="C1872" s="34">
        <v>46273</v>
      </c>
      <c r="D1872" t="s">
        <v>35</v>
      </c>
      <c r="E1872" t="s">
        <v>36</v>
      </c>
      <c r="F1872" t="s">
        <v>37</v>
      </c>
      <c r="G1872">
        <v>757014</v>
      </c>
      <c r="H1872" t="s">
        <v>5674</v>
      </c>
      <c r="I1872" t="s">
        <v>5675</v>
      </c>
      <c r="J1872" t="s">
        <v>161</v>
      </c>
      <c r="O1872" t="s">
        <v>5676</v>
      </c>
      <c r="P1872">
        <v>550</v>
      </c>
      <c r="Q1872">
        <v>550.4</v>
      </c>
      <c r="R1872">
        <v>538.54999999999995</v>
      </c>
      <c r="S1872">
        <v>542.5</v>
      </c>
      <c r="T1872">
        <v>543.65</v>
      </c>
      <c r="U1872">
        <v>543.5</v>
      </c>
      <c r="W1872">
        <v>542.48</v>
      </c>
      <c r="Z1872">
        <v>367701</v>
      </c>
      <c r="AA1872">
        <v>199588998.44999999</v>
      </c>
      <c r="AB1872">
        <v>15013</v>
      </c>
      <c r="AC1872" t="s">
        <v>42</v>
      </c>
      <c r="AD1872">
        <v>1</v>
      </c>
    </row>
    <row r="1873" spans="1:30">
      <c r="A1873" t="str">
        <f>CONCATENATE(I1873,J1873)</f>
        <v>LEMONTREEEQ</v>
      </c>
      <c r="B1873" s="34">
        <v>46273</v>
      </c>
      <c r="C1873" s="34">
        <v>46273</v>
      </c>
      <c r="D1873" t="s">
        <v>35</v>
      </c>
      <c r="E1873" t="s">
        <v>36</v>
      </c>
      <c r="F1873" t="s">
        <v>37</v>
      </c>
      <c r="G1873">
        <v>2606</v>
      </c>
      <c r="H1873" t="s">
        <v>5677</v>
      </c>
      <c r="I1873" t="s">
        <v>5678</v>
      </c>
      <c r="J1873" t="s">
        <v>161</v>
      </c>
      <c r="O1873" t="s">
        <v>5679</v>
      </c>
      <c r="P1873">
        <v>106.7</v>
      </c>
      <c r="Q1873">
        <v>107.32</v>
      </c>
      <c r="R1873">
        <v>105.39</v>
      </c>
      <c r="S1873">
        <v>105.73</v>
      </c>
      <c r="T1873">
        <v>105.88</v>
      </c>
      <c r="U1873">
        <v>107.28</v>
      </c>
      <c r="W1873">
        <v>105.73</v>
      </c>
      <c r="Z1873">
        <v>2549945</v>
      </c>
      <c r="AA1873">
        <v>269851437.70999998</v>
      </c>
      <c r="AB1873">
        <v>21277</v>
      </c>
      <c r="AC1873" t="s">
        <v>42</v>
      </c>
      <c r="AD1873">
        <v>1</v>
      </c>
    </row>
    <row r="1874" spans="1:30">
      <c r="A1874" t="str">
        <f>CONCATENATE(I1874,J1874)</f>
        <v>LENSKARTEQ</v>
      </c>
      <c r="B1874" s="34">
        <v>46273</v>
      </c>
      <c r="C1874" s="34">
        <v>46273</v>
      </c>
      <c r="D1874" t="s">
        <v>35</v>
      </c>
      <c r="E1874" t="s">
        <v>36</v>
      </c>
      <c r="F1874" t="s">
        <v>37</v>
      </c>
      <c r="G1874">
        <v>759605</v>
      </c>
      <c r="H1874" t="s">
        <v>5680</v>
      </c>
      <c r="I1874" t="s">
        <v>5681</v>
      </c>
      <c r="J1874" t="s">
        <v>161</v>
      </c>
      <c r="O1874" t="s">
        <v>5682</v>
      </c>
      <c r="P1874">
        <v>688</v>
      </c>
      <c r="Q1874">
        <v>697.6</v>
      </c>
      <c r="R1874">
        <v>682.85</v>
      </c>
      <c r="S1874">
        <v>695.75</v>
      </c>
      <c r="T1874">
        <v>694.7</v>
      </c>
      <c r="U1874">
        <v>688</v>
      </c>
      <c r="W1874">
        <v>695.75</v>
      </c>
      <c r="Z1874">
        <v>3755569</v>
      </c>
      <c r="AA1874">
        <v>2599649023.4499998</v>
      </c>
      <c r="AB1874">
        <v>78884</v>
      </c>
      <c r="AC1874" t="s">
        <v>42</v>
      </c>
      <c r="AD1874">
        <v>1</v>
      </c>
    </row>
    <row r="1875" spans="1:30">
      <c r="A1875" t="str">
        <f>CONCATENATE(I1875,J1875)</f>
        <v>LEXUSEQ</v>
      </c>
      <c r="B1875" s="34">
        <v>46273</v>
      </c>
      <c r="C1875" s="34">
        <v>46273</v>
      </c>
      <c r="D1875" t="s">
        <v>35</v>
      </c>
      <c r="E1875" t="s">
        <v>36</v>
      </c>
      <c r="F1875" t="s">
        <v>37</v>
      </c>
      <c r="G1875">
        <v>14459</v>
      </c>
      <c r="H1875" t="s">
        <v>5683</v>
      </c>
      <c r="I1875" t="s">
        <v>5684</v>
      </c>
      <c r="J1875" t="s">
        <v>161</v>
      </c>
      <c r="O1875" t="s">
        <v>5685</v>
      </c>
      <c r="P1875">
        <v>13.58</v>
      </c>
      <c r="Q1875">
        <v>13.7</v>
      </c>
      <c r="R1875">
        <v>13.03</v>
      </c>
      <c r="S1875">
        <v>13.47</v>
      </c>
      <c r="T1875">
        <v>13.55</v>
      </c>
      <c r="U1875">
        <v>13.38</v>
      </c>
      <c r="W1875">
        <v>13.47</v>
      </c>
      <c r="Z1875">
        <v>5389</v>
      </c>
      <c r="AA1875">
        <v>72321.61</v>
      </c>
      <c r="AB1875">
        <v>77</v>
      </c>
      <c r="AC1875" t="s">
        <v>42</v>
      </c>
      <c r="AD1875">
        <v>1</v>
      </c>
    </row>
    <row r="1876" spans="1:30">
      <c r="A1876" t="str">
        <f>CONCATENATE(I1876,J1876)</f>
        <v>LGBBROSLTDEQ</v>
      </c>
      <c r="B1876" s="34">
        <v>46273</v>
      </c>
      <c r="C1876" s="34">
        <v>46273</v>
      </c>
      <c r="D1876" t="s">
        <v>35</v>
      </c>
      <c r="E1876" t="s">
        <v>36</v>
      </c>
      <c r="F1876" t="s">
        <v>37</v>
      </c>
      <c r="G1876">
        <v>18321</v>
      </c>
      <c r="H1876" t="s">
        <v>5686</v>
      </c>
      <c r="I1876" t="s">
        <v>5687</v>
      </c>
      <c r="J1876" t="s">
        <v>161</v>
      </c>
      <c r="O1876" t="s">
        <v>5688</v>
      </c>
      <c r="P1876">
        <v>1735.4</v>
      </c>
      <c r="Q1876">
        <v>1749.9</v>
      </c>
      <c r="R1876">
        <v>1698.4</v>
      </c>
      <c r="S1876">
        <v>1736.7</v>
      </c>
      <c r="T1876">
        <v>1732.8</v>
      </c>
      <c r="U1876">
        <v>1731.7</v>
      </c>
      <c r="W1876">
        <v>1736.77</v>
      </c>
      <c r="Z1876">
        <v>28138</v>
      </c>
      <c r="AA1876">
        <v>48490161.100000001</v>
      </c>
      <c r="AB1876">
        <v>4247</v>
      </c>
      <c r="AC1876" t="s">
        <v>42</v>
      </c>
      <c r="AD1876">
        <v>1</v>
      </c>
    </row>
    <row r="1877" spans="1:30">
      <c r="A1877" t="str">
        <f>CONCATENATE(I1877,J1877)</f>
        <v>LGEINDIAEQ</v>
      </c>
      <c r="B1877" s="34">
        <v>46273</v>
      </c>
      <c r="C1877" s="34">
        <v>46273</v>
      </c>
      <c r="D1877" t="s">
        <v>35</v>
      </c>
      <c r="E1877" t="s">
        <v>36</v>
      </c>
      <c r="F1877" t="s">
        <v>37</v>
      </c>
      <c r="G1877">
        <v>760213</v>
      </c>
      <c r="H1877" t="s">
        <v>5689</v>
      </c>
      <c r="I1877" t="s">
        <v>5690</v>
      </c>
      <c r="J1877" t="s">
        <v>161</v>
      </c>
      <c r="O1877" t="s">
        <v>5691</v>
      </c>
      <c r="P1877">
        <v>1647.8</v>
      </c>
      <c r="Q1877">
        <v>1680</v>
      </c>
      <c r="R1877">
        <v>1639.7</v>
      </c>
      <c r="S1877">
        <v>1672.2</v>
      </c>
      <c r="T1877">
        <v>1671</v>
      </c>
      <c r="U1877">
        <v>1647.8</v>
      </c>
      <c r="W1877">
        <v>1672.25</v>
      </c>
      <c r="Z1877">
        <v>665219</v>
      </c>
      <c r="AA1877">
        <v>1103999117.5999999</v>
      </c>
      <c r="AB1877">
        <v>35494</v>
      </c>
      <c r="AC1877" t="s">
        <v>42</v>
      </c>
      <c r="AD1877">
        <v>1</v>
      </c>
    </row>
    <row r="1878" spans="1:30">
      <c r="A1878" t="str">
        <f>CONCATENATE(I1878,J1878)</f>
        <v>LIBASEQ</v>
      </c>
      <c r="B1878" s="34">
        <v>46273</v>
      </c>
      <c r="C1878" s="34">
        <v>46273</v>
      </c>
      <c r="D1878" t="s">
        <v>35</v>
      </c>
      <c r="E1878" t="s">
        <v>36</v>
      </c>
      <c r="F1878" t="s">
        <v>37</v>
      </c>
      <c r="G1878">
        <v>11082</v>
      </c>
      <c r="H1878" t="s">
        <v>5692</v>
      </c>
      <c r="I1878" t="s">
        <v>5693</v>
      </c>
      <c r="J1878" t="s">
        <v>161</v>
      </c>
      <c r="O1878" t="s">
        <v>5694</v>
      </c>
      <c r="P1878">
        <v>10.38</v>
      </c>
      <c r="Q1878">
        <v>10.4</v>
      </c>
      <c r="R1878">
        <v>9.6999999999999993</v>
      </c>
      <c r="S1878">
        <v>9.99</v>
      </c>
      <c r="T1878">
        <v>10</v>
      </c>
      <c r="U1878">
        <v>9.99</v>
      </c>
      <c r="W1878">
        <v>9.99</v>
      </c>
      <c r="Z1878">
        <v>41124</v>
      </c>
      <c r="AA1878">
        <v>409325.11</v>
      </c>
      <c r="AB1878">
        <v>178</v>
      </c>
      <c r="AC1878" t="s">
        <v>42</v>
      </c>
      <c r="AD1878">
        <v>1</v>
      </c>
    </row>
    <row r="1879" spans="1:30">
      <c r="A1879" t="str">
        <f>CONCATENATE(I1879,J1879)</f>
        <v>LIBERTSHOEEQ</v>
      </c>
      <c r="B1879" s="34">
        <v>46273</v>
      </c>
      <c r="C1879" s="34">
        <v>46273</v>
      </c>
      <c r="D1879" t="s">
        <v>35</v>
      </c>
      <c r="E1879" t="s">
        <v>36</v>
      </c>
      <c r="F1879" t="s">
        <v>37</v>
      </c>
      <c r="G1879">
        <v>1994</v>
      </c>
      <c r="H1879" t="s">
        <v>5695</v>
      </c>
      <c r="I1879" t="s">
        <v>5696</v>
      </c>
      <c r="J1879" t="s">
        <v>161</v>
      </c>
      <c r="O1879" t="s">
        <v>5697</v>
      </c>
      <c r="P1879">
        <v>234.97</v>
      </c>
      <c r="Q1879">
        <v>234.97</v>
      </c>
      <c r="R1879">
        <v>225.3</v>
      </c>
      <c r="S1879">
        <v>226.85</v>
      </c>
      <c r="T1879">
        <v>228.84</v>
      </c>
      <c r="U1879">
        <v>231.37</v>
      </c>
      <c r="W1879">
        <v>226.73</v>
      </c>
      <c r="Z1879">
        <v>18116</v>
      </c>
      <c r="AA1879">
        <v>4137545.98</v>
      </c>
      <c r="AB1879">
        <v>743</v>
      </c>
      <c r="AC1879" t="s">
        <v>42</v>
      </c>
      <c r="AD1879">
        <v>1</v>
      </c>
    </row>
    <row r="1880" spans="1:30">
      <c r="A1880" t="str">
        <f>CONCATENATE(I1880,J1880)</f>
        <v>LICHSGFINEQ</v>
      </c>
      <c r="B1880" s="34">
        <v>46273</v>
      </c>
      <c r="C1880" s="34">
        <v>46273</v>
      </c>
      <c r="D1880" t="s">
        <v>35</v>
      </c>
      <c r="E1880" t="s">
        <v>36</v>
      </c>
      <c r="F1880" t="s">
        <v>37</v>
      </c>
      <c r="G1880">
        <v>1997</v>
      </c>
      <c r="H1880" t="s">
        <v>5698</v>
      </c>
      <c r="I1880" t="s">
        <v>5699</v>
      </c>
      <c r="J1880" t="s">
        <v>161</v>
      </c>
      <c r="O1880" t="s">
        <v>5700</v>
      </c>
      <c r="P1880">
        <v>551</v>
      </c>
      <c r="Q1880">
        <v>563</v>
      </c>
      <c r="R1880">
        <v>545.4</v>
      </c>
      <c r="S1880">
        <v>563</v>
      </c>
      <c r="T1880">
        <v>563</v>
      </c>
      <c r="U1880">
        <v>552</v>
      </c>
      <c r="W1880">
        <v>562.98</v>
      </c>
      <c r="Z1880">
        <v>2858992</v>
      </c>
      <c r="AA1880">
        <v>1584167438.1500001</v>
      </c>
      <c r="AB1880">
        <v>38554</v>
      </c>
      <c r="AC1880" t="s">
        <v>42</v>
      </c>
      <c r="AD1880">
        <v>1</v>
      </c>
    </row>
    <row r="1881" spans="1:30">
      <c r="A1881" t="str">
        <f>CONCATENATE(I1881,J1881)</f>
        <v>LICMFGOLDEQ</v>
      </c>
      <c r="B1881" s="34">
        <v>46273</v>
      </c>
      <c r="C1881" s="34">
        <v>46273</v>
      </c>
      <c r="D1881" t="s">
        <v>35</v>
      </c>
      <c r="E1881" t="s">
        <v>36</v>
      </c>
      <c r="F1881" t="s">
        <v>37</v>
      </c>
      <c r="G1881">
        <v>25640</v>
      </c>
      <c r="H1881" t="s">
        <v>5701</v>
      </c>
      <c r="I1881" t="s">
        <v>5702</v>
      </c>
      <c r="J1881" t="s">
        <v>161</v>
      </c>
      <c r="O1881" t="s">
        <v>5703</v>
      </c>
      <c r="P1881">
        <v>138.4</v>
      </c>
      <c r="Q1881">
        <v>138.5</v>
      </c>
      <c r="R1881">
        <v>136.65</v>
      </c>
      <c r="S1881">
        <v>137.19999999999999</v>
      </c>
      <c r="T1881">
        <v>136.65</v>
      </c>
      <c r="U1881">
        <v>137.1</v>
      </c>
      <c r="W1881">
        <v>137.22</v>
      </c>
      <c r="Z1881">
        <v>23699</v>
      </c>
      <c r="AA1881">
        <v>3260895.05</v>
      </c>
      <c r="AB1881">
        <v>486</v>
      </c>
      <c r="AC1881" t="s">
        <v>42</v>
      </c>
      <c r="AD1881">
        <v>1</v>
      </c>
    </row>
    <row r="1882" spans="1:30">
      <c r="A1882" t="str">
        <f>CONCATENATE(I1882,J1882)</f>
        <v>LICNETFN50EQ</v>
      </c>
      <c r="B1882" s="34">
        <v>46273</v>
      </c>
      <c r="C1882" s="34">
        <v>46273</v>
      </c>
      <c r="D1882" t="s">
        <v>35</v>
      </c>
      <c r="E1882" t="s">
        <v>36</v>
      </c>
      <c r="F1882" t="s">
        <v>37</v>
      </c>
      <c r="G1882">
        <v>11319</v>
      </c>
      <c r="H1882" t="s">
        <v>5704</v>
      </c>
      <c r="I1882" t="s">
        <v>5705</v>
      </c>
      <c r="J1882" t="s">
        <v>161</v>
      </c>
      <c r="O1882" t="s">
        <v>5706</v>
      </c>
      <c r="P1882">
        <v>266.72000000000003</v>
      </c>
      <c r="Q1882">
        <v>266.99</v>
      </c>
      <c r="R1882">
        <v>264.8</v>
      </c>
      <c r="S1882">
        <v>266.60000000000002</v>
      </c>
      <c r="T1882">
        <v>264.86</v>
      </c>
      <c r="U1882">
        <v>266.10000000000002</v>
      </c>
      <c r="W1882">
        <v>266.60000000000002</v>
      </c>
      <c r="Z1882">
        <v>1157</v>
      </c>
      <c r="AA1882">
        <v>308422.27</v>
      </c>
      <c r="AB1882">
        <v>25</v>
      </c>
      <c r="AC1882" t="s">
        <v>42</v>
      </c>
      <c r="AD1882">
        <v>1</v>
      </c>
    </row>
    <row r="1883" spans="1:30">
      <c r="A1883" t="str">
        <f>CONCATENATE(I1883,J1883)</f>
        <v>LICNETFSENEQ</v>
      </c>
      <c r="B1883" s="34">
        <v>46273</v>
      </c>
      <c r="C1883" s="34">
        <v>46273</v>
      </c>
      <c r="D1883" t="s">
        <v>35</v>
      </c>
      <c r="E1883" t="s">
        <v>36</v>
      </c>
      <c r="F1883" t="s">
        <v>37</v>
      </c>
      <c r="G1883">
        <v>11441</v>
      </c>
      <c r="H1883" t="s">
        <v>5707</v>
      </c>
      <c r="I1883" t="s">
        <v>5708</v>
      </c>
      <c r="J1883" t="s">
        <v>161</v>
      </c>
      <c r="O1883" t="s">
        <v>5709</v>
      </c>
      <c r="P1883">
        <v>859</v>
      </c>
      <c r="Q1883">
        <v>859</v>
      </c>
      <c r="R1883">
        <v>854.06</v>
      </c>
      <c r="S1883">
        <v>858.9</v>
      </c>
      <c r="T1883">
        <v>858.9</v>
      </c>
      <c r="U1883">
        <v>858.02</v>
      </c>
      <c r="W1883">
        <v>858.9</v>
      </c>
      <c r="Z1883">
        <v>28</v>
      </c>
      <c r="AA1883">
        <v>24042.06</v>
      </c>
      <c r="AB1883">
        <v>8</v>
      </c>
      <c r="AC1883" t="s">
        <v>42</v>
      </c>
      <c r="AD1883">
        <v>1</v>
      </c>
    </row>
    <row r="1884" spans="1:30">
      <c r="A1884" t="str">
        <f>CONCATENATE(I1884,J1884)</f>
        <v>LICNFNHGPEQ</v>
      </c>
      <c r="B1884" s="34">
        <v>46273</v>
      </c>
      <c r="C1884" s="34">
        <v>46273</v>
      </c>
      <c r="D1884" t="s">
        <v>35</v>
      </c>
      <c r="E1884" t="s">
        <v>36</v>
      </c>
      <c r="F1884" t="s">
        <v>37</v>
      </c>
      <c r="G1884">
        <v>15229</v>
      </c>
      <c r="H1884" t="s">
        <v>5710</v>
      </c>
      <c r="I1884" t="s">
        <v>5711</v>
      </c>
      <c r="J1884" t="s">
        <v>161</v>
      </c>
      <c r="O1884" t="s">
        <v>5712</v>
      </c>
      <c r="P1884">
        <v>271.43</v>
      </c>
      <c r="Q1884">
        <v>272.42</v>
      </c>
      <c r="R1884">
        <v>271.43</v>
      </c>
      <c r="S1884">
        <v>272.42</v>
      </c>
      <c r="T1884">
        <v>272.42</v>
      </c>
      <c r="U1884">
        <v>270.76</v>
      </c>
      <c r="W1884">
        <v>272.82</v>
      </c>
      <c r="Z1884">
        <v>244</v>
      </c>
      <c r="AA1884">
        <v>66244.13</v>
      </c>
      <c r="AB1884">
        <v>9</v>
      </c>
      <c r="AC1884" t="s">
        <v>42</v>
      </c>
      <c r="AD1884">
        <v>1</v>
      </c>
    </row>
    <row r="1885" spans="1:30">
      <c r="A1885" t="str">
        <f>CONCATENATE(I1885,J1885)</f>
        <v>LICNETFGSCEQ</v>
      </c>
      <c r="B1885" s="34">
        <v>46273</v>
      </c>
      <c r="C1885" s="34">
        <v>46273</v>
      </c>
      <c r="D1885" t="s">
        <v>35</v>
      </c>
      <c r="E1885" t="s">
        <v>36</v>
      </c>
      <c r="F1885" t="s">
        <v>37</v>
      </c>
      <c r="G1885">
        <v>6062</v>
      </c>
      <c r="H1885" t="s">
        <v>5713</v>
      </c>
      <c r="I1885" t="s">
        <v>5714</v>
      </c>
      <c r="J1885" t="s">
        <v>161</v>
      </c>
      <c r="O1885" t="s">
        <v>5715</v>
      </c>
      <c r="P1885">
        <v>29.45</v>
      </c>
      <c r="Q1885">
        <v>29.61</v>
      </c>
      <c r="R1885">
        <v>29.2</v>
      </c>
      <c r="S1885">
        <v>29.38</v>
      </c>
      <c r="T1885">
        <v>29.39</v>
      </c>
      <c r="U1885">
        <v>29.4</v>
      </c>
      <c r="W1885">
        <v>29.38</v>
      </c>
      <c r="Z1885">
        <v>20294</v>
      </c>
      <c r="AA1885">
        <v>596888.34</v>
      </c>
      <c r="AB1885">
        <v>78</v>
      </c>
      <c r="AC1885" t="s">
        <v>42</v>
      </c>
      <c r="AD1885">
        <v>1</v>
      </c>
    </row>
    <row r="1886" spans="1:30">
      <c r="A1886" t="str">
        <f>CONCATENATE(I1886,J1886)</f>
        <v>LICNMID100EQ</v>
      </c>
      <c r="B1886" s="34">
        <v>46273</v>
      </c>
      <c r="C1886" s="34">
        <v>46273</v>
      </c>
      <c r="D1886" t="s">
        <v>35</v>
      </c>
      <c r="E1886" t="s">
        <v>36</v>
      </c>
      <c r="F1886" t="s">
        <v>37</v>
      </c>
      <c r="G1886">
        <v>22722</v>
      </c>
      <c r="H1886" t="s">
        <v>5716</v>
      </c>
      <c r="I1886" t="s">
        <v>5717</v>
      </c>
      <c r="J1886" t="s">
        <v>161</v>
      </c>
      <c r="O1886" t="s">
        <v>5718</v>
      </c>
      <c r="P1886">
        <v>63.39</v>
      </c>
      <c r="Q1886">
        <v>63.95</v>
      </c>
      <c r="R1886">
        <v>62.9</v>
      </c>
      <c r="S1886">
        <v>63.65</v>
      </c>
      <c r="T1886">
        <v>63.12</v>
      </c>
      <c r="U1886">
        <v>63.32</v>
      </c>
      <c r="W1886">
        <v>63.65</v>
      </c>
      <c r="Z1886">
        <v>3570</v>
      </c>
      <c r="AA1886">
        <v>226864.16</v>
      </c>
      <c r="AB1886">
        <v>66</v>
      </c>
      <c r="AC1886" t="s">
        <v>42</v>
      </c>
      <c r="AD1886">
        <v>1</v>
      </c>
    </row>
    <row r="1887" spans="1:30">
      <c r="A1887" t="str">
        <f>CONCATENATE(I1887,J1887)</f>
        <v>LICIEQ</v>
      </c>
      <c r="B1887" s="34">
        <v>46273</v>
      </c>
      <c r="C1887" s="34">
        <v>46273</v>
      </c>
      <c r="D1887" t="s">
        <v>35</v>
      </c>
      <c r="E1887" t="s">
        <v>36</v>
      </c>
      <c r="F1887" t="s">
        <v>37</v>
      </c>
      <c r="G1887">
        <v>9480</v>
      </c>
      <c r="H1887" t="s">
        <v>5719</v>
      </c>
      <c r="I1887" t="s">
        <v>5720</v>
      </c>
      <c r="J1887" t="s">
        <v>161</v>
      </c>
      <c r="O1887" t="s">
        <v>5721</v>
      </c>
      <c r="P1887">
        <v>414.1</v>
      </c>
      <c r="Q1887">
        <v>416.25</v>
      </c>
      <c r="R1887">
        <v>409.75</v>
      </c>
      <c r="S1887">
        <v>410.75</v>
      </c>
      <c r="T1887">
        <v>410.75</v>
      </c>
      <c r="U1887">
        <v>411.5</v>
      </c>
      <c r="W1887">
        <v>410.74</v>
      </c>
      <c r="Z1887">
        <v>6844270</v>
      </c>
      <c r="AA1887">
        <v>2822902045.3000002</v>
      </c>
      <c r="AB1887">
        <v>76733</v>
      </c>
      <c r="AC1887" t="s">
        <v>42</v>
      </c>
      <c r="AD1887">
        <v>1</v>
      </c>
    </row>
    <row r="1888" spans="1:30">
      <c r="A1888" t="str">
        <f>CONCATENATE(I1888,J1888)</f>
        <v>LIKHITHAEQ</v>
      </c>
      <c r="B1888" s="34">
        <v>46273</v>
      </c>
      <c r="C1888" s="34">
        <v>46273</v>
      </c>
      <c r="D1888" t="s">
        <v>35</v>
      </c>
      <c r="E1888" t="s">
        <v>36</v>
      </c>
      <c r="F1888" t="s">
        <v>37</v>
      </c>
      <c r="G1888">
        <v>578</v>
      </c>
      <c r="H1888" t="s">
        <v>5722</v>
      </c>
      <c r="I1888" t="s">
        <v>5723</v>
      </c>
      <c r="J1888" t="s">
        <v>161</v>
      </c>
      <c r="O1888" t="s">
        <v>5724</v>
      </c>
      <c r="P1888">
        <v>205.16</v>
      </c>
      <c r="Q1888">
        <v>206.86</v>
      </c>
      <c r="R1888">
        <v>202.09</v>
      </c>
      <c r="S1888">
        <v>203.77</v>
      </c>
      <c r="T1888">
        <v>205</v>
      </c>
      <c r="U1888">
        <v>205.16</v>
      </c>
      <c r="W1888">
        <v>203.69</v>
      </c>
      <c r="Z1888">
        <v>29995</v>
      </c>
      <c r="AA1888">
        <v>6113126.4199999999</v>
      </c>
      <c r="AB1888">
        <v>650</v>
      </c>
      <c r="AC1888" t="s">
        <v>42</v>
      </c>
      <c r="AD1888">
        <v>1</v>
      </c>
    </row>
    <row r="1889" spans="1:30">
      <c r="A1889" t="str">
        <f>CONCATENATE(I1889,J1889)</f>
        <v>LINCEQ</v>
      </c>
      <c r="B1889" s="34">
        <v>46273</v>
      </c>
      <c r="C1889" s="34">
        <v>46273</v>
      </c>
      <c r="D1889" t="s">
        <v>35</v>
      </c>
      <c r="E1889" t="s">
        <v>36</v>
      </c>
      <c r="F1889" t="s">
        <v>37</v>
      </c>
      <c r="G1889">
        <v>6951</v>
      </c>
      <c r="H1889" t="s">
        <v>5725</v>
      </c>
      <c r="I1889" t="s">
        <v>5726</v>
      </c>
      <c r="J1889" t="s">
        <v>161</v>
      </c>
      <c r="O1889" t="s">
        <v>5727</v>
      </c>
      <c r="P1889">
        <v>96.8</v>
      </c>
      <c r="Q1889">
        <v>99.8</v>
      </c>
      <c r="R1889">
        <v>96.8</v>
      </c>
      <c r="S1889">
        <v>98.31</v>
      </c>
      <c r="T1889">
        <v>98</v>
      </c>
      <c r="U1889">
        <v>96.8</v>
      </c>
      <c r="W1889">
        <v>98.3</v>
      </c>
      <c r="Z1889">
        <v>34538</v>
      </c>
      <c r="AA1889">
        <v>3408337.09</v>
      </c>
      <c r="AB1889">
        <v>390</v>
      </c>
      <c r="AC1889" t="s">
        <v>42</v>
      </c>
      <c r="AD1889">
        <v>1</v>
      </c>
    </row>
    <row r="1890" spans="1:30">
      <c r="A1890" t="str">
        <f>CONCATENATE(I1890,J1890)</f>
        <v>LINCOLNEQ</v>
      </c>
      <c r="B1890" s="34">
        <v>46273</v>
      </c>
      <c r="C1890" s="34">
        <v>46273</v>
      </c>
      <c r="D1890" t="s">
        <v>35</v>
      </c>
      <c r="E1890" t="s">
        <v>36</v>
      </c>
      <c r="F1890" t="s">
        <v>37</v>
      </c>
      <c r="G1890">
        <v>11596</v>
      </c>
      <c r="H1890" t="s">
        <v>5728</v>
      </c>
      <c r="I1890" t="s">
        <v>5729</v>
      </c>
      <c r="J1890" t="s">
        <v>161</v>
      </c>
      <c r="O1890" t="s">
        <v>5730</v>
      </c>
      <c r="P1890">
        <v>637.35</v>
      </c>
      <c r="Q1890">
        <v>648.4</v>
      </c>
      <c r="R1890">
        <v>633.45000000000005</v>
      </c>
      <c r="S1890">
        <v>639.79999999999995</v>
      </c>
      <c r="T1890">
        <v>639.20000000000005</v>
      </c>
      <c r="U1890">
        <v>632.35</v>
      </c>
      <c r="W1890">
        <v>639.83000000000004</v>
      </c>
      <c r="Z1890">
        <v>110673</v>
      </c>
      <c r="AA1890">
        <v>70931611.650000006</v>
      </c>
      <c r="AB1890">
        <v>4967</v>
      </c>
      <c r="AC1890" t="s">
        <v>42</v>
      </c>
      <c r="AD1890">
        <v>1</v>
      </c>
    </row>
    <row r="1891" spans="1:30">
      <c r="A1891" t="str">
        <f>CONCATENATE(I1891,J1891)</f>
        <v>LINDEINDIAEQ</v>
      </c>
      <c r="B1891" s="34">
        <v>46273</v>
      </c>
      <c r="C1891" s="34">
        <v>46273</v>
      </c>
      <c r="D1891" t="s">
        <v>35</v>
      </c>
      <c r="E1891" t="s">
        <v>36</v>
      </c>
      <c r="F1891" t="s">
        <v>37</v>
      </c>
      <c r="G1891">
        <v>1627</v>
      </c>
      <c r="H1891" t="s">
        <v>5731</v>
      </c>
      <c r="I1891" t="s">
        <v>5732</v>
      </c>
      <c r="J1891" t="s">
        <v>161</v>
      </c>
      <c r="O1891" t="s">
        <v>5733</v>
      </c>
      <c r="P1891">
        <v>6367</v>
      </c>
      <c r="Q1891">
        <v>6490.5</v>
      </c>
      <c r="R1891">
        <v>6330.5</v>
      </c>
      <c r="S1891">
        <v>6380</v>
      </c>
      <c r="T1891">
        <v>6441</v>
      </c>
      <c r="U1891">
        <v>6372.5</v>
      </c>
      <c r="W1891">
        <v>6378.98</v>
      </c>
      <c r="Z1891">
        <v>90218</v>
      </c>
      <c r="AA1891">
        <v>574066016</v>
      </c>
      <c r="AB1891">
        <v>8950</v>
      </c>
      <c r="AC1891" t="s">
        <v>42</v>
      </c>
      <c r="AD1891">
        <v>1</v>
      </c>
    </row>
    <row r="1892" spans="1:30">
      <c r="A1892" t="str">
        <f>CONCATENATE(I1892,J1892)</f>
        <v>LLOYDSENGGEQ</v>
      </c>
      <c r="B1892" s="34">
        <v>46273</v>
      </c>
      <c r="C1892" s="34">
        <v>46273</v>
      </c>
      <c r="D1892" t="s">
        <v>35</v>
      </c>
      <c r="E1892" t="s">
        <v>36</v>
      </c>
      <c r="F1892" t="s">
        <v>37</v>
      </c>
      <c r="G1892">
        <v>17801</v>
      </c>
      <c r="H1892" t="s">
        <v>5734</v>
      </c>
      <c r="I1892" t="s">
        <v>5735</v>
      </c>
      <c r="J1892" t="s">
        <v>161</v>
      </c>
      <c r="O1892" t="s">
        <v>5736</v>
      </c>
      <c r="P1892">
        <v>83.11</v>
      </c>
      <c r="Q1892">
        <v>83.6</v>
      </c>
      <c r="R1892">
        <v>81.48</v>
      </c>
      <c r="S1892">
        <v>81.81</v>
      </c>
      <c r="T1892">
        <v>81.599999999999994</v>
      </c>
      <c r="U1892">
        <v>83.19</v>
      </c>
      <c r="W1892">
        <v>81.81</v>
      </c>
      <c r="Z1892">
        <v>3398406</v>
      </c>
      <c r="AA1892">
        <v>279806970.86000001</v>
      </c>
      <c r="AB1892">
        <v>16396</v>
      </c>
      <c r="AC1892" t="s">
        <v>42</v>
      </c>
      <c r="AD1892">
        <v>1</v>
      </c>
    </row>
    <row r="1893" spans="1:30">
      <c r="A1893" t="str">
        <f>CONCATENATE(I1893,J1893)</f>
        <v>LLOYDSENTEQ</v>
      </c>
      <c r="B1893" s="34">
        <v>46273</v>
      </c>
      <c r="C1893" s="34">
        <v>46273</v>
      </c>
      <c r="D1893" t="s">
        <v>35</v>
      </c>
      <c r="E1893" t="s">
        <v>36</v>
      </c>
      <c r="F1893" t="s">
        <v>37</v>
      </c>
      <c r="G1893">
        <v>25807</v>
      </c>
      <c r="H1893" t="s">
        <v>5737</v>
      </c>
      <c r="I1893" t="s">
        <v>5738</v>
      </c>
      <c r="J1893" t="s">
        <v>161</v>
      </c>
      <c r="O1893" t="s">
        <v>5739</v>
      </c>
      <c r="P1893">
        <v>71.989999999999995</v>
      </c>
      <c r="Q1893">
        <v>72.55</v>
      </c>
      <c r="R1893">
        <v>70.5</v>
      </c>
      <c r="S1893">
        <v>71.05</v>
      </c>
      <c r="T1893">
        <v>71.400000000000006</v>
      </c>
      <c r="U1893">
        <v>72.28</v>
      </c>
      <c r="W1893">
        <v>71.05</v>
      </c>
      <c r="Z1893">
        <v>1174168</v>
      </c>
      <c r="AA1893">
        <v>83937759.25</v>
      </c>
      <c r="AB1893">
        <v>6920</v>
      </c>
      <c r="AC1893" t="s">
        <v>42</v>
      </c>
      <c r="AD1893">
        <v>1</v>
      </c>
    </row>
    <row r="1894" spans="1:30">
      <c r="A1894" t="str">
        <f>CONCATENATE(I1894,J1894)</f>
        <v>LLOYDSSM</v>
      </c>
      <c r="B1894" s="34">
        <v>46273</v>
      </c>
      <c r="C1894" s="34">
        <v>46273</v>
      </c>
      <c r="D1894" t="s">
        <v>35</v>
      </c>
      <c r="E1894" t="s">
        <v>36</v>
      </c>
      <c r="F1894" t="s">
        <v>37</v>
      </c>
      <c r="G1894">
        <v>11472</v>
      </c>
      <c r="H1894" t="s">
        <v>5740</v>
      </c>
      <c r="I1894" t="s">
        <v>5741</v>
      </c>
      <c r="J1894" t="s">
        <v>267</v>
      </c>
      <c r="O1894" t="s">
        <v>5742</v>
      </c>
      <c r="P1894">
        <v>60</v>
      </c>
      <c r="Q1894">
        <v>60</v>
      </c>
      <c r="R1894">
        <v>60</v>
      </c>
      <c r="S1894">
        <v>60</v>
      </c>
      <c r="T1894">
        <v>60</v>
      </c>
      <c r="U1894">
        <v>57.9</v>
      </c>
      <c r="W1894">
        <v>60</v>
      </c>
      <c r="Z1894">
        <v>2000</v>
      </c>
      <c r="AA1894">
        <v>120000</v>
      </c>
      <c r="AB1894">
        <v>2</v>
      </c>
      <c r="AC1894" t="s">
        <v>42</v>
      </c>
      <c r="AD1894">
        <v>1000</v>
      </c>
    </row>
    <row r="1895" spans="1:30">
      <c r="A1895" t="str">
        <f>CONCATENATE(I1895,J1895)</f>
        <v>LLOYDSMEEQ</v>
      </c>
      <c r="B1895" s="34">
        <v>46273</v>
      </c>
      <c r="C1895" s="34">
        <v>46273</v>
      </c>
      <c r="D1895" t="s">
        <v>35</v>
      </c>
      <c r="E1895" t="s">
        <v>36</v>
      </c>
      <c r="F1895" t="s">
        <v>37</v>
      </c>
      <c r="G1895">
        <v>17313</v>
      </c>
      <c r="H1895" t="s">
        <v>5743</v>
      </c>
      <c r="I1895" t="s">
        <v>5744</v>
      </c>
      <c r="J1895" t="s">
        <v>161</v>
      </c>
      <c r="O1895" t="s">
        <v>5745</v>
      </c>
      <c r="P1895">
        <v>1803</v>
      </c>
      <c r="Q1895">
        <v>1821</v>
      </c>
      <c r="R1895">
        <v>1780</v>
      </c>
      <c r="S1895">
        <v>1799.3</v>
      </c>
      <c r="T1895">
        <v>1800</v>
      </c>
      <c r="U1895">
        <v>1803</v>
      </c>
      <c r="W1895">
        <v>1799.29</v>
      </c>
      <c r="Z1895">
        <v>432002</v>
      </c>
      <c r="AA1895">
        <v>775932062.89999998</v>
      </c>
      <c r="AB1895">
        <v>26038</v>
      </c>
      <c r="AC1895" t="s">
        <v>42</v>
      </c>
      <c r="AD1895">
        <v>1</v>
      </c>
    </row>
    <row r="1896" spans="1:30">
      <c r="A1896" t="str">
        <f>CONCATENATE(I1896,J1896)</f>
        <v>LMWEQ</v>
      </c>
      <c r="B1896" s="34">
        <v>46273</v>
      </c>
      <c r="C1896" s="34">
        <v>46273</v>
      </c>
      <c r="D1896" t="s">
        <v>35</v>
      </c>
      <c r="E1896" t="s">
        <v>36</v>
      </c>
      <c r="F1896" t="s">
        <v>37</v>
      </c>
      <c r="G1896">
        <v>1979</v>
      </c>
      <c r="H1896" t="s">
        <v>5746</v>
      </c>
      <c r="I1896" t="s">
        <v>5747</v>
      </c>
      <c r="J1896" t="s">
        <v>161</v>
      </c>
      <c r="O1896" t="s">
        <v>5748</v>
      </c>
      <c r="P1896">
        <v>18670</v>
      </c>
      <c r="Q1896">
        <v>18734</v>
      </c>
      <c r="R1896">
        <v>18400</v>
      </c>
      <c r="S1896">
        <v>18603</v>
      </c>
      <c r="T1896">
        <v>18600</v>
      </c>
      <c r="U1896">
        <v>18551</v>
      </c>
      <c r="W1896">
        <v>18599.03</v>
      </c>
      <c r="Z1896">
        <v>3287</v>
      </c>
      <c r="AA1896">
        <v>61044781</v>
      </c>
      <c r="AB1896">
        <v>1819</v>
      </c>
      <c r="AC1896" t="s">
        <v>42</v>
      </c>
      <c r="AD1896">
        <v>1</v>
      </c>
    </row>
    <row r="1897" spans="1:30">
      <c r="A1897" t="str">
        <f>CONCATENATE(I1897,J1897)</f>
        <v>LODHAEQ</v>
      </c>
      <c r="B1897" s="34">
        <v>46273</v>
      </c>
      <c r="C1897" s="34">
        <v>46273</v>
      </c>
      <c r="D1897" t="s">
        <v>35</v>
      </c>
      <c r="E1897" t="s">
        <v>36</v>
      </c>
      <c r="F1897" t="s">
        <v>37</v>
      </c>
      <c r="G1897">
        <v>3220</v>
      </c>
      <c r="H1897" t="s">
        <v>5749</v>
      </c>
      <c r="I1897" t="s">
        <v>5750</v>
      </c>
      <c r="J1897" t="s">
        <v>161</v>
      </c>
      <c r="O1897" t="s">
        <v>5751</v>
      </c>
      <c r="P1897">
        <v>1195</v>
      </c>
      <c r="Q1897">
        <v>1226.2</v>
      </c>
      <c r="R1897">
        <v>1175.0999999999999</v>
      </c>
      <c r="S1897">
        <v>1212</v>
      </c>
      <c r="T1897">
        <v>1212</v>
      </c>
      <c r="U1897">
        <v>1200</v>
      </c>
      <c r="W1897">
        <v>1211.98</v>
      </c>
      <c r="Z1897">
        <v>1308433</v>
      </c>
      <c r="AA1897">
        <v>1573220558.0999999</v>
      </c>
      <c r="AB1897">
        <v>36026</v>
      </c>
      <c r="AC1897" t="s">
        <v>42</v>
      </c>
      <c r="AD1897">
        <v>1</v>
      </c>
    </row>
    <row r="1898" spans="1:30">
      <c r="A1898" t="str">
        <f>CONCATENATE(I1898,J1898)</f>
        <v>LCLEQ</v>
      </c>
      <c r="B1898" s="34">
        <v>46273</v>
      </c>
      <c r="C1898" s="34">
        <v>46273</v>
      </c>
      <c r="D1898" t="s">
        <v>35</v>
      </c>
      <c r="E1898" t="s">
        <v>36</v>
      </c>
      <c r="F1898" t="s">
        <v>37</v>
      </c>
      <c r="G1898">
        <v>764296</v>
      </c>
      <c r="H1898" t="s">
        <v>5752</v>
      </c>
      <c r="I1898" t="s">
        <v>5753</v>
      </c>
      <c r="J1898" t="s">
        <v>161</v>
      </c>
      <c r="O1898" t="s">
        <v>5754</v>
      </c>
      <c r="P1898">
        <v>565</v>
      </c>
      <c r="Q1898">
        <v>571.5</v>
      </c>
      <c r="R1898">
        <v>546</v>
      </c>
      <c r="S1898">
        <v>555.79999999999995</v>
      </c>
      <c r="T1898">
        <v>555</v>
      </c>
      <c r="U1898">
        <v>565.5</v>
      </c>
      <c r="W1898">
        <v>555.79</v>
      </c>
      <c r="Z1898">
        <v>429052</v>
      </c>
      <c r="AA1898">
        <v>238110944.65000001</v>
      </c>
      <c r="AB1898">
        <v>17179</v>
      </c>
      <c r="AC1898" t="s">
        <v>42</v>
      </c>
      <c r="AD1898">
        <v>1</v>
      </c>
    </row>
    <row r="1899" spans="1:30">
      <c r="A1899" t="str">
        <f>CONCATENATE(I1899,J1899)</f>
        <v>LOKESHMACHEQ</v>
      </c>
      <c r="B1899" s="34">
        <v>46273</v>
      </c>
      <c r="C1899" s="34">
        <v>46273</v>
      </c>
      <c r="D1899" t="s">
        <v>35</v>
      </c>
      <c r="E1899" t="s">
        <v>36</v>
      </c>
      <c r="F1899" t="s">
        <v>37</v>
      </c>
      <c r="G1899">
        <v>13436</v>
      </c>
      <c r="H1899" t="s">
        <v>5755</v>
      </c>
      <c r="I1899" t="s">
        <v>5756</v>
      </c>
      <c r="J1899" t="s">
        <v>161</v>
      </c>
      <c r="O1899" t="s">
        <v>5757</v>
      </c>
      <c r="P1899">
        <v>359.85</v>
      </c>
      <c r="Q1899">
        <v>371.6</v>
      </c>
      <c r="R1899">
        <v>348.45</v>
      </c>
      <c r="S1899">
        <v>363.5</v>
      </c>
      <c r="T1899">
        <v>362.4</v>
      </c>
      <c r="U1899">
        <v>357.7</v>
      </c>
      <c r="W1899">
        <v>363.53</v>
      </c>
      <c r="Z1899">
        <v>66524</v>
      </c>
      <c r="AA1899">
        <v>23911666.850000001</v>
      </c>
      <c r="AB1899">
        <v>1844</v>
      </c>
      <c r="AC1899" t="s">
        <v>42</v>
      </c>
      <c r="AD1899">
        <v>1</v>
      </c>
    </row>
    <row r="1900" spans="1:30">
      <c r="A1900" t="str">
        <f>CONCATENATE(I1900,J1900)</f>
        <v>LORDSCHLOEQ</v>
      </c>
      <c r="B1900" s="34">
        <v>46273</v>
      </c>
      <c r="C1900" s="34">
        <v>46273</v>
      </c>
      <c r="D1900" t="s">
        <v>35</v>
      </c>
      <c r="E1900" t="s">
        <v>36</v>
      </c>
      <c r="F1900" t="s">
        <v>37</v>
      </c>
      <c r="G1900">
        <v>18232</v>
      </c>
      <c r="H1900" t="s">
        <v>5758</v>
      </c>
      <c r="I1900" t="s">
        <v>5759</v>
      </c>
      <c r="J1900" t="s">
        <v>161</v>
      </c>
      <c r="O1900" t="s">
        <v>5760</v>
      </c>
      <c r="P1900">
        <v>141</v>
      </c>
      <c r="Q1900">
        <v>141</v>
      </c>
      <c r="R1900">
        <v>137.5</v>
      </c>
      <c r="S1900">
        <v>138.22999999999999</v>
      </c>
      <c r="T1900">
        <v>138.83000000000001</v>
      </c>
      <c r="U1900">
        <v>138.93</v>
      </c>
      <c r="W1900">
        <v>138.31</v>
      </c>
      <c r="Z1900">
        <v>9111</v>
      </c>
      <c r="AA1900">
        <v>1259341.6299999999</v>
      </c>
      <c r="AB1900">
        <v>437</v>
      </c>
      <c r="AC1900" t="s">
        <v>42</v>
      </c>
      <c r="AD1900">
        <v>1</v>
      </c>
    </row>
    <row r="1901" spans="1:30">
      <c r="A1901" t="str">
        <f>CONCATENATE(I1901,J1901)</f>
        <v>LALEQ</v>
      </c>
      <c r="B1901" s="34">
        <v>46273</v>
      </c>
      <c r="C1901" s="34">
        <v>46273</v>
      </c>
      <c r="D1901" t="s">
        <v>35</v>
      </c>
      <c r="E1901" t="s">
        <v>36</v>
      </c>
      <c r="F1901" t="s">
        <v>37</v>
      </c>
      <c r="G1901">
        <v>14924</v>
      </c>
      <c r="H1901" t="s">
        <v>5761</v>
      </c>
      <c r="I1901" t="s">
        <v>5762</v>
      </c>
      <c r="J1901" t="s">
        <v>161</v>
      </c>
      <c r="O1901" t="s">
        <v>5763</v>
      </c>
      <c r="P1901">
        <v>8.8800000000000008</v>
      </c>
      <c r="Q1901">
        <v>8.99</v>
      </c>
      <c r="R1901">
        <v>8.8800000000000008</v>
      </c>
      <c r="S1901">
        <v>8.93</v>
      </c>
      <c r="T1901">
        <v>8.94</v>
      </c>
      <c r="U1901">
        <v>8.86</v>
      </c>
      <c r="W1901">
        <v>8.93</v>
      </c>
      <c r="Z1901">
        <v>8099</v>
      </c>
      <c r="AA1901">
        <v>72299.37</v>
      </c>
      <c r="AB1901">
        <v>52</v>
      </c>
      <c r="AC1901" t="s">
        <v>42</v>
      </c>
      <c r="AD1901">
        <v>1</v>
      </c>
    </row>
    <row r="1902" spans="1:30">
      <c r="A1902" t="str">
        <f>CONCATENATE(I1902,J1902)</f>
        <v>LOTUSCHOEQ</v>
      </c>
      <c r="B1902" s="34">
        <v>46273</v>
      </c>
      <c r="C1902" s="34">
        <v>46273</v>
      </c>
      <c r="D1902" t="s">
        <v>35</v>
      </c>
      <c r="E1902" t="s">
        <v>36</v>
      </c>
      <c r="F1902" t="s">
        <v>37</v>
      </c>
      <c r="G1902">
        <v>764768</v>
      </c>
      <c r="H1902" t="s">
        <v>5764</v>
      </c>
      <c r="I1902" t="s">
        <v>5765</v>
      </c>
      <c r="J1902" t="s">
        <v>161</v>
      </c>
      <c r="O1902" t="s">
        <v>5766</v>
      </c>
      <c r="P1902">
        <v>596.45000000000005</v>
      </c>
      <c r="Q1902">
        <v>613.95000000000005</v>
      </c>
      <c r="R1902">
        <v>580</v>
      </c>
      <c r="S1902">
        <v>590.1</v>
      </c>
      <c r="T1902">
        <v>590</v>
      </c>
      <c r="U1902">
        <v>596.45000000000005</v>
      </c>
      <c r="W1902">
        <v>590.45000000000005</v>
      </c>
      <c r="Z1902">
        <v>8090</v>
      </c>
      <c r="AA1902">
        <v>4819361.95</v>
      </c>
      <c r="AB1902">
        <v>543</v>
      </c>
      <c r="AC1902" t="s">
        <v>42</v>
      </c>
      <c r="AD1902">
        <v>1</v>
      </c>
    </row>
    <row r="1903" spans="1:30">
      <c r="A1903" t="str">
        <f>CONCATENATE(I1903,J1903)</f>
        <v>LOTUSEYEEQ</v>
      </c>
      <c r="B1903" s="34">
        <v>46273</v>
      </c>
      <c r="C1903" s="34">
        <v>46273</v>
      </c>
      <c r="D1903" t="s">
        <v>35</v>
      </c>
      <c r="E1903" t="s">
        <v>36</v>
      </c>
      <c r="F1903" t="s">
        <v>37</v>
      </c>
      <c r="G1903">
        <v>16807</v>
      </c>
      <c r="H1903" t="s">
        <v>5767</v>
      </c>
      <c r="I1903" t="s">
        <v>5768</v>
      </c>
      <c r="J1903" t="s">
        <v>161</v>
      </c>
      <c r="O1903" t="s">
        <v>5769</v>
      </c>
      <c r="P1903">
        <v>110.04</v>
      </c>
      <c r="Q1903">
        <v>112.6</v>
      </c>
      <c r="R1903">
        <v>107.1</v>
      </c>
      <c r="S1903">
        <v>110.66</v>
      </c>
      <c r="T1903">
        <v>112.6</v>
      </c>
      <c r="U1903">
        <v>109.06</v>
      </c>
      <c r="W1903">
        <v>110.64</v>
      </c>
      <c r="Z1903">
        <v>20174</v>
      </c>
      <c r="AA1903">
        <v>2222527.02</v>
      </c>
      <c r="AB1903">
        <v>189</v>
      </c>
      <c r="AC1903" t="s">
        <v>42</v>
      </c>
      <c r="AD1903">
        <v>1</v>
      </c>
    </row>
    <row r="1904" spans="1:30">
      <c r="A1904" t="str">
        <f>CONCATENATE(I1904,J1904)</f>
        <v>LOVABLEEQ</v>
      </c>
      <c r="B1904" s="34">
        <v>46273</v>
      </c>
      <c r="C1904" s="34">
        <v>46273</v>
      </c>
      <c r="D1904" t="s">
        <v>35</v>
      </c>
      <c r="E1904" t="s">
        <v>36</v>
      </c>
      <c r="F1904" t="s">
        <v>37</v>
      </c>
      <c r="G1904">
        <v>22415</v>
      </c>
      <c r="H1904" t="s">
        <v>5770</v>
      </c>
      <c r="I1904" t="s">
        <v>5771</v>
      </c>
      <c r="J1904" t="s">
        <v>161</v>
      </c>
      <c r="O1904" t="s">
        <v>5772</v>
      </c>
      <c r="P1904">
        <v>72</v>
      </c>
      <c r="Q1904">
        <v>72</v>
      </c>
      <c r="R1904">
        <v>70.02</v>
      </c>
      <c r="S1904">
        <v>70.41</v>
      </c>
      <c r="T1904">
        <v>70.2</v>
      </c>
      <c r="U1904">
        <v>70.959999999999994</v>
      </c>
      <c r="W1904">
        <v>70.41</v>
      </c>
      <c r="Z1904">
        <v>8793</v>
      </c>
      <c r="AA1904">
        <v>619954.85</v>
      </c>
      <c r="AB1904">
        <v>154</v>
      </c>
      <c r="AC1904" t="s">
        <v>42</v>
      </c>
      <c r="AD1904">
        <v>1</v>
      </c>
    </row>
    <row r="1905" spans="1:30">
      <c r="A1905" t="str">
        <f>CONCATENATE(I1905,J1905)</f>
        <v>LOYALTEXEQ</v>
      </c>
      <c r="B1905" s="34">
        <v>46273</v>
      </c>
      <c r="C1905" s="34">
        <v>46273</v>
      </c>
      <c r="D1905" t="s">
        <v>35</v>
      </c>
      <c r="E1905" t="s">
        <v>36</v>
      </c>
      <c r="F1905" t="s">
        <v>37</v>
      </c>
      <c r="G1905">
        <v>10590</v>
      </c>
      <c r="H1905" t="s">
        <v>5773</v>
      </c>
      <c r="I1905" t="s">
        <v>5774</v>
      </c>
      <c r="J1905" t="s">
        <v>161</v>
      </c>
      <c r="O1905" t="s">
        <v>5775</v>
      </c>
      <c r="P1905">
        <v>227.21</v>
      </c>
      <c r="Q1905">
        <v>236</v>
      </c>
      <c r="R1905">
        <v>215</v>
      </c>
      <c r="S1905">
        <v>225.39</v>
      </c>
      <c r="T1905">
        <v>217</v>
      </c>
      <c r="U1905">
        <v>217.32</v>
      </c>
      <c r="W1905">
        <v>225.39</v>
      </c>
      <c r="Z1905">
        <v>2534</v>
      </c>
      <c r="AA1905">
        <v>573420.80000000005</v>
      </c>
      <c r="AB1905">
        <v>78</v>
      </c>
      <c r="AC1905" t="s">
        <v>42</v>
      </c>
      <c r="AD1905">
        <v>1</v>
      </c>
    </row>
    <row r="1906" spans="1:30">
      <c r="A1906" t="str">
        <f>CONCATENATE(I1906,J1906)</f>
        <v>LTFOODSEQ</v>
      </c>
      <c r="B1906" s="34">
        <v>46273</v>
      </c>
      <c r="C1906" s="34">
        <v>46273</v>
      </c>
      <c r="D1906" t="s">
        <v>35</v>
      </c>
      <c r="E1906" t="s">
        <v>36</v>
      </c>
      <c r="F1906" t="s">
        <v>37</v>
      </c>
      <c r="G1906">
        <v>13816</v>
      </c>
      <c r="H1906" t="s">
        <v>5776</v>
      </c>
      <c r="I1906" t="s">
        <v>5777</v>
      </c>
      <c r="J1906" t="s">
        <v>161</v>
      </c>
      <c r="O1906" t="s">
        <v>5778</v>
      </c>
      <c r="P1906">
        <v>449.55</v>
      </c>
      <c r="Q1906">
        <v>466.8</v>
      </c>
      <c r="R1906">
        <v>447</v>
      </c>
      <c r="S1906">
        <v>455.25</v>
      </c>
      <c r="T1906">
        <v>453.8</v>
      </c>
      <c r="U1906">
        <v>448.95</v>
      </c>
      <c r="W1906">
        <v>455.27</v>
      </c>
      <c r="Z1906">
        <v>1285427</v>
      </c>
      <c r="AA1906">
        <v>590284891.45000005</v>
      </c>
      <c r="AB1906">
        <v>35143</v>
      </c>
      <c r="AC1906" t="s">
        <v>42</v>
      </c>
      <c r="AD1906">
        <v>1</v>
      </c>
    </row>
    <row r="1907" spans="1:30">
      <c r="A1907" t="str">
        <f>CONCATENATE(I1907,J1907)</f>
        <v>LTMEQ</v>
      </c>
      <c r="B1907" s="34">
        <v>46273</v>
      </c>
      <c r="C1907" s="34">
        <v>46273</v>
      </c>
      <c r="D1907" t="s">
        <v>35</v>
      </c>
      <c r="E1907" t="s">
        <v>36</v>
      </c>
      <c r="F1907" t="s">
        <v>37</v>
      </c>
      <c r="G1907">
        <v>17818</v>
      </c>
      <c r="H1907" t="s">
        <v>5779</v>
      </c>
      <c r="I1907" t="s">
        <v>5780</v>
      </c>
      <c r="J1907" t="s">
        <v>161</v>
      </c>
      <c r="O1907" t="s">
        <v>5781</v>
      </c>
      <c r="P1907">
        <v>4445</v>
      </c>
      <c r="Q1907">
        <v>4489.1000000000004</v>
      </c>
      <c r="R1907">
        <v>4405</v>
      </c>
      <c r="S1907">
        <v>4430</v>
      </c>
      <c r="T1907">
        <v>4430</v>
      </c>
      <c r="U1907">
        <v>4448</v>
      </c>
      <c r="W1907">
        <v>4429.9799999999996</v>
      </c>
      <c r="Z1907">
        <v>167610</v>
      </c>
      <c r="AA1907">
        <v>746113028.89999998</v>
      </c>
      <c r="AB1907">
        <v>16907</v>
      </c>
      <c r="AC1907" t="s">
        <v>42</v>
      </c>
      <c r="AD1907">
        <v>1</v>
      </c>
    </row>
    <row r="1908" spans="1:30">
      <c r="A1908" t="str">
        <f>CONCATENATE(I1908,J1908)</f>
        <v>LUMAXTECHEQ</v>
      </c>
      <c r="B1908" s="34">
        <v>46273</v>
      </c>
      <c r="C1908" s="34">
        <v>46273</v>
      </c>
      <c r="D1908" t="s">
        <v>35</v>
      </c>
      <c r="E1908" t="s">
        <v>36</v>
      </c>
      <c r="F1908" t="s">
        <v>37</v>
      </c>
      <c r="G1908">
        <v>14014</v>
      </c>
      <c r="H1908" t="s">
        <v>5782</v>
      </c>
      <c r="I1908" t="s">
        <v>5783</v>
      </c>
      <c r="J1908" t="s">
        <v>161</v>
      </c>
      <c r="O1908" t="s">
        <v>5784</v>
      </c>
      <c r="P1908">
        <v>1935.5</v>
      </c>
      <c r="Q1908">
        <v>1965</v>
      </c>
      <c r="R1908">
        <v>1910</v>
      </c>
      <c r="S1908">
        <v>1955.9</v>
      </c>
      <c r="T1908">
        <v>1963</v>
      </c>
      <c r="U1908">
        <v>1935.5</v>
      </c>
      <c r="W1908">
        <v>1955.87</v>
      </c>
      <c r="Z1908">
        <v>105255</v>
      </c>
      <c r="AA1908">
        <v>204244873.80000001</v>
      </c>
      <c r="AB1908">
        <v>16260</v>
      </c>
      <c r="AC1908" t="s">
        <v>42</v>
      </c>
      <c r="AD1908">
        <v>1</v>
      </c>
    </row>
    <row r="1909" spans="1:30">
      <c r="A1909" t="str">
        <f>CONCATENATE(I1909,J1909)</f>
        <v>LUMAXINDEQ</v>
      </c>
      <c r="B1909" s="34">
        <v>46273</v>
      </c>
      <c r="C1909" s="34">
        <v>46273</v>
      </c>
      <c r="D1909" t="s">
        <v>35</v>
      </c>
      <c r="E1909" t="s">
        <v>36</v>
      </c>
      <c r="F1909" t="s">
        <v>37</v>
      </c>
      <c r="G1909">
        <v>2018</v>
      </c>
      <c r="H1909" t="s">
        <v>5785</v>
      </c>
      <c r="I1909" t="s">
        <v>5786</v>
      </c>
      <c r="J1909" t="s">
        <v>161</v>
      </c>
      <c r="O1909" t="s">
        <v>5787</v>
      </c>
      <c r="P1909">
        <v>6104.5</v>
      </c>
      <c r="Q1909">
        <v>6199</v>
      </c>
      <c r="R1909">
        <v>6080.5</v>
      </c>
      <c r="S1909">
        <v>6133</v>
      </c>
      <c r="T1909">
        <v>6197</v>
      </c>
      <c r="U1909">
        <v>6139.5</v>
      </c>
      <c r="W1909">
        <v>6133.31</v>
      </c>
      <c r="Z1909">
        <v>8457</v>
      </c>
      <c r="AA1909">
        <v>51940375</v>
      </c>
      <c r="AB1909">
        <v>2574</v>
      </c>
      <c r="AC1909" t="s">
        <v>42</v>
      </c>
      <c r="AD1909">
        <v>1</v>
      </c>
    </row>
    <row r="1910" spans="1:30">
      <c r="A1910" t="str">
        <f>CONCATENATE(I1910,J1910)</f>
        <v>LUMINOEQ</v>
      </c>
      <c r="B1910" s="34">
        <v>46273</v>
      </c>
      <c r="C1910" s="34">
        <v>46273</v>
      </c>
      <c r="D1910" t="s">
        <v>35</v>
      </c>
      <c r="E1910" t="s">
        <v>36</v>
      </c>
      <c r="F1910" t="s">
        <v>37</v>
      </c>
      <c r="G1910">
        <v>765524</v>
      </c>
      <c r="H1910" t="s">
        <v>5788</v>
      </c>
      <c r="I1910" t="s">
        <v>5789</v>
      </c>
      <c r="J1910" t="s">
        <v>161</v>
      </c>
      <c r="O1910" t="s">
        <v>5790</v>
      </c>
      <c r="P1910">
        <v>116.23</v>
      </c>
      <c r="Q1910">
        <v>118</v>
      </c>
      <c r="R1910">
        <v>107.2</v>
      </c>
      <c r="S1910">
        <v>108.12</v>
      </c>
      <c r="T1910">
        <v>108.21</v>
      </c>
      <c r="U1910">
        <v>114.82</v>
      </c>
      <c r="W1910">
        <v>108.12</v>
      </c>
      <c r="Z1910">
        <v>21758832</v>
      </c>
      <c r="AA1910">
        <v>2453182743.04</v>
      </c>
      <c r="AB1910">
        <v>98468</v>
      </c>
      <c r="AC1910" t="s">
        <v>42</v>
      </c>
      <c r="AD1910">
        <v>1</v>
      </c>
    </row>
    <row r="1911" spans="1:30">
      <c r="A1911" t="str">
        <f>CONCATENATE(I1911,J1911)</f>
        <v>LUPINEQ</v>
      </c>
      <c r="B1911" s="34">
        <v>46273</v>
      </c>
      <c r="C1911" s="34">
        <v>46273</v>
      </c>
      <c r="D1911" t="s">
        <v>35</v>
      </c>
      <c r="E1911" t="s">
        <v>36</v>
      </c>
      <c r="F1911" t="s">
        <v>37</v>
      </c>
      <c r="G1911">
        <v>10440</v>
      </c>
      <c r="H1911" t="s">
        <v>5791</v>
      </c>
      <c r="I1911" t="s">
        <v>5792</v>
      </c>
      <c r="J1911" t="s">
        <v>161</v>
      </c>
      <c r="O1911" t="s">
        <v>5793</v>
      </c>
      <c r="P1911">
        <v>2114.6999999999998</v>
      </c>
      <c r="Q1911">
        <v>2116</v>
      </c>
      <c r="R1911">
        <v>2094.6</v>
      </c>
      <c r="S1911">
        <v>2104.6999999999998</v>
      </c>
      <c r="T1911">
        <v>2104.6999999999998</v>
      </c>
      <c r="U1911">
        <v>2105</v>
      </c>
      <c r="W1911">
        <v>2104.73</v>
      </c>
      <c r="Z1911">
        <v>713131</v>
      </c>
      <c r="AA1911">
        <v>1500362264.5</v>
      </c>
      <c r="AB1911">
        <v>34829</v>
      </c>
      <c r="AC1911" t="s">
        <v>42</v>
      </c>
      <c r="AD1911">
        <v>1</v>
      </c>
    </row>
    <row r="1912" spans="1:30">
      <c r="A1912" t="str">
        <f>CONCATENATE(I1912,J1912)</f>
        <v>LUXINDEQ</v>
      </c>
      <c r="B1912" s="34">
        <v>46273</v>
      </c>
      <c r="C1912" s="34">
        <v>46273</v>
      </c>
      <c r="D1912" t="s">
        <v>35</v>
      </c>
      <c r="E1912" t="s">
        <v>36</v>
      </c>
      <c r="F1912" t="s">
        <v>37</v>
      </c>
      <c r="G1912">
        <v>11301</v>
      </c>
      <c r="H1912" t="s">
        <v>5794</v>
      </c>
      <c r="I1912" t="s">
        <v>5795</v>
      </c>
      <c r="J1912" t="s">
        <v>161</v>
      </c>
      <c r="O1912" t="s">
        <v>5796</v>
      </c>
      <c r="P1912">
        <v>1159.4000000000001</v>
      </c>
      <c r="Q1912">
        <v>1169.9000000000001</v>
      </c>
      <c r="R1912">
        <v>1121.0999999999999</v>
      </c>
      <c r="S1912">
        <v>1128.4000000000001</v>
      </c>
      <c r="T1912">
        <v>1130</v>
      </c>
      <c r="U1912">
        <v>1159.4000000000001</v>
      </c>
      <c r="W1912">
        <v>1128.4000000000001</v>
      </c>
      <c r="Z1912">
        <v>28385</v>
      </c>
      <c r="AA1912">
        <v>32249945.5</v>
      </c>
      <c r="AB1912">
        <v>2768</v>
      </c>
      <c r="AC1912" t="s">
        <v>42</v>
      </c>
      <c r="AD1912">
        <v>1</v>
      </c>
    </row>
    <row r="1913" spans="1:30">
      <c r="A1913" t="str">
        <f>CONCATENATE(I1913,J1913)</f>
        <v>LYKALABSBE</v>
      </c>
      <c r="B1913" s="34">
        <v>46273</v>
      </c>
      <c r="C1913" s="34">
        <v>46273</v>
      </c>
      <c r="D1913" t="s">
        <v>35</v>
      </c>
      <c r="E1913" t="s">
        <v>36</v>
      </c>
      <c r="F1913" t="s">
        <v>37</v>
      </c>
      <c r="G1913">
        <v>7248</v>
      </c>
      <c r="H1913" t="s">
        <v>5797</v>
      </c>
      <c r="I1913" t="s">
        <v>5798</v>
      </c>
      <c r="J1913" t="s">
        <v>183</v>
      </c>
      <c r="O1913" t="s">
        <v>5799</v>
      </c>
      <c r="P1913">
        <v>81.510000000000005</v>
      </c>
      <c r="Q1913">
        <v>81.510000000000005</v>
      </c>
      <c r="R1913">
        <v>81.5</v>
      </c>
      <c r="S1913">
        <v>81.510000000000005</v>
      </c>
      <c r="T1913">
        <v>81.510000000000005</v>
      </c>
      <c r="U1913">
        <v>79.92</v>
      </c>
      <c r="W1913">
        <v>81.5</v>
      </c>
      <c r="Z1913">
        <v>45246</v>
      </c>
      <c r="AA1913">
        <v>3687866.95</v>
      </c>
      <c r="AB1913">
        <v>121</v>
      </c>
      <c r="AC1913" t="s">
        <v>42</v>
      </c>
      <c r="AD1913">
        <v>1</v>
      </c>
    </row>
    <row r="1914" spans="1:30">
      <c r="A1914" t="str">
        <f>CONCATENATE(I1914,J1914)</f>
        <v>MBELEQ</v>
      </c>
      <c r="B1914" s="34">
        <v>46273</v>
      </c>
      <c r="C1914" s="34">
        <v>46273</v>
      </c>
      <c r="D1914" t="s">
        <v>35</v>
      </c>
      <c r="E1914" t="s">
        <v>36</v>
      </c>
      <c r="F1914" t="s">
        <v>37</v>
      </c>
      <c r="G1914">
        <v>758150</v>
      </c>
      <c r="H1914" t="s">
        <v>5800</v>
      </c>
      <c r="I1914" t="s">
        <v>5801</v>
      </c>
      <c r="J1914" t="s">
        <v>161</v>
      </c>
      <c r="O1914" t="s">
        <v>5802</v>
      </c>
      <c r="P1914">
        <v>271.75</v>
      </c>
      <c r="Q1914">
        <v>272.39999999999998</v>
      </c>
      <c r="R1914">
        <v>261.75</v>
      </c>
      <c r="S1914">
        <v>267.7</v>
      </c>
      <c r="T1914">
        <v>265.60000000000002</v>
      </c>
      <c r="U1914">
        <v>268.05</v>
      </c>
      <c r="W1914">
        <v>267.67</v>
      </c>
      <c r="Z1914">
        <v>199642</v>
      </c>
      <c r="AA1914">
        <v>53309313.75</v>
      </c>
      <c r="AB1914">
        <v>5567</v>
      </c>
      <c r="AC1914" t="s">
        <v>42</v>
      </c>
      <c r="AD1914">
        <v>1</v>
      </c>
    </row>
    <row r="1915" spans="1:30">
      <c r="A1915" t="str">
        <f>CONCATENATE(I1915,J1915)</f>
        <v>MKEXIMEQ</v>
      </c>
      <c r="B1915" s="34">
        <v>46273</v>
      </c>
      <c r="C1915" s="34">
        <v>46273</v>
      </c>
      <c r="D1915" t="s">
        <v>35</v>
      </c>
      <c r="E1915" t="s">
        <v>36</v>
      </c>
      <c r="F1915" t="s">
        <v>37</v>
      </c>
      <c r="G1915">
        <v>765120</v>
      </c>
      <c r="H1915" t="s">
        <v>5803</v>
      </c>
      <c r="I1915" t="s">
        <v>5804</v>
      </c>
      <c r="J1915" t="s">
        <v>161</v>
      </c>
      <c r="O1915" t="s">
        <v>5805</v>
      </c>
      <c r="P1915">
        <v>60.2</v>
      </c>
      <c r="Q1915">
        <v>66</v>
      </c>
      <c r="R1915">
        <v>60.2</v>
      </c>
      <c r="S1915">
        <v>64.010000000000005</v>
      </c>
      <c r="T1915">
        <v>66</v>
      </c>
      <c r="U1915">
        <v>61.35</v>
      </c>
      <c r="W1915">
        <v>64.17</v>
      </c>
      <c r="Z1915">
        <v>15243</v>
      </c>
      <c r="AA1915">
        <v>968323.22</v>
      </c>
      <c r="AB1915">
        <v>159</v>
      </c>
      <c r="AC1915" t="s">
        <v>42</v>
      </c>
      <c r="AD1915">
        <v>1</v>
      </c>
    </row>
    <row r="1916" spans="1:30">
      <c r="A1916" t="str">
        <f>CONCATENATE(I1916,J1916)</f>
        <v>MKPLEQ</v>
      </c>
      <c r="B1916" s="34">
        <v>46273</v>
      </c>
      <c r="C1916" s="34">
        <v>46273</v>
      </c>
      <c r="D1916" t="s">
        <v>35</v>
      </c>
      <c r="E1916" t="s">
        <v>36</v>
      </c>
      <c r="F1916" t="s">
        <v>37</v>
      </c>
      <c r="G1916">
        <v>16736</v>
      </c>
      <c r="H1916" t="s">
        <v>5806</v>
      </c>
      <c r="I1916" t="s">
        <v>5807</v>
      </c>
      <c r="J1916" t="s">
        <v>161</v>
      </c>
      <c r="O1916" t="s">
        <v>5808</v>
      </c>
      <c r="P1916">
        <v>4.04</v>
      </c>
      <c r="Q1916">
        <v>4.0599999999999996</v>
      </c>
      <c r="R1916">
        <v>3.98</v>
      </c>
      <c r="S1916">
        <v>3.99</v>
      </c>
      <c r="T1916">
        <v>3.99</v>
      </c>
      <c r="U1916">
        <v>4.03</v>
      </c>
      <c r="W1916">
        <v>3.99</v>
      </c>
      <c r="Z1916">
        <v>93480</v>
      </c>
      <c r="AA1916">
        <v>374768.94</v>
      </c>
      <c r="AB1916">
        <v>306</v>
      </c>
      <c r="AC1916" t="s">
        <v>42</v>
      </c>
      <c r="AD1916">
        <v>1</v>
      </c>
    </row>
    <row r="1917" spans="1:30">
      <c r="A1917" t="str">
        <f>CONCATENATE(I1917,J1917)</f>
        <v>MCLEQ</v>
      </c>
      <c r="B1917" s="34">
        <v>46273</v>
      </c>
      <c r="C1917" s="34">
        <v>46273</v>
      </c>
      <c r="D1917" t="s">
        <v>35</v>
      </c>
      <c r="E1917" t="s">
        <v>36</v>
      </c>
      <c r="F1917" t="s">
        <v>37</v>
      </c>
      <c r="G1917">
        <v>22360</v>
      </c>
      <c r="H1917" t="s">
        <v>5809</v>
      </c>
      <c r="I1917" t="s">
        <v>5810</v>
      </c>
      <c r="J1917" t="s">
        <v>161</v>
      </c>
      <c r="O1917" t="s">
        <v>5811</v>
      </c>
      <c r="P1917">
        <v>58</v>
      </c>
      <c r="Q1917">
        <v>59.95</v>
      </c>
      <c r="R1917">
        <v>58</v>
      </c>
      <c r="S1917">
        <v>59.35</v>
      </c>
      <c r="T1917">
        <v>59.7</v>
      </c>
      <c r="U1917">
        <v>57.02</v>
      </c>
      <c r="W1917">
        <v>59.35</v>
      </c>
      <c r="Z1917">
        <v>108593</v>
      </c>
      <c r="AA1917">
        <v>6399771.2599999998</v>
      </c>
      <c r="AB1917">
        <v>1861</v>
      </c>
      <c r="AC1917" t="s">
        <v>42</v>
      </c>
      <c r="AD1917">
        <v>1</v>
      </c>
    </row>
    <row r="1918" spans="1:30">
      <c r="A1918" t="str">
        <f>CONCATENATE(I1918,J1918)</f>
        <v>M&amp;MFINEQ</v>
      </c>
      <c r="B1918" s="34">
        <v>46273</v>
      </c>
      <c r="C1918" s="34">
        <v>46273</v>
      </c>
      <c r="D1918" t="s">
        <v>35</v>
      </c>
      <c r="E1918" t="s">
        <v>36</v>
      </c>
      <c r="F1918" t="s">
        <v>37</v>
      </c>
      <c r="G1918">
        <v>13285</v>
      </c>
      <c r="H1918" t="s">
        <v>5812</v>
      </c>
      <c r="I1918" t="s">
        <v>5813</v>
      </c>
      <c r="J1918" t="s">
        <v>161</v>
      </c>
      <c r="O1918" t="s">
        <v>5814</v>
      </c>
      <c r="P1918">
        <v>373</v>
      </c>
      <c r="Q1918">
        <v>381.45</v>
      </c>
      <c r="R1918">
        <v>368.75</v>
      </c>
      <c r="S1918">
        <v>374.35</v>
      </c>
      <c r="T1918">
        <v>374.4</v>
      </c>
      <c r="U1918">
        <v>372.35</v>
      </c>
      <c r="W1918">
        <v>374.35</v>
      </c>
      <c r="Z1918">
        <v>2955284</v>
      </c>
      <c r="AA1918">
        <v>1104184310.25</v>
      </c>
      <c r="AB1918">
        <v>35199</v>
      </c>
      <c r="AC1918" t="s">
        <v>42</v>
      </c>
      <c r="AD1918">
        <v>1</v>
      </c>
    </row>
    <row r="1919" spans="1:30">
      <c r="A1919" t="str">
        <f>CONCATENATE(I1919,J1919)</f>
        <v>MVKAGROSM</v>
      </c>
      <c r="B1919" s="34">
        <v>46273</v>
      </c>
      <c r="C1919" s="34">
        <v>46273</v>
      </c>
      <c r="D1919" t="s">
        <v>35</v>
      </c>
      <c r="E1919" t="s">
        <v>36</v>
      </c>
      <c r="F1919" t="s">
        <v>37</v>
      </c>
      <c r="G1919">
        <v>22976</v>
      </c>
      <c r="H1919" t="s">
        <v>5815</v>
      </c>
      <c r="I1919" t="s">
        <v>5816</v>
      </c>
      <c r="J1919" t="s">
        <v>267</v>
      </c>
      <c r="O1919" t="s">
        <v>5817</v>
      </c>
      <c r="P1919">
        <v>260.55</v>
      </c>
      <c r="Q1919">
        <v>260.55</v>
      </c>
      <c r="R1919">
        <v>260.55</v>
      </c>
      <c r="S1919">
        <v>260.55</v>
      </c>
      <c r="T1919">
        <v>260.55</v>
      </c>
      <c r="U1919">
        <v>248.15</v>
      </c>
      <c r="W1919">
        <v>260.55</v>
      </c>
      <c r="Z1919">
        <v>5400</v>
      </c>
      <c r="AA1919">
        <v>1406970</v>
      </c>
      <c r="AB1919">
        <v>9</v>
      </c>
      <c r="AC1919" t="s">
        <v>42</v>
      </c>
      <c r="AD1919">
        <v>300</v>
      </c>
    </row>
    <row r="1920" spans="1:30">
      <c r="A1920" t="str">
        <f>CONCATENATE(I1920,J1920)</f>
        <v>MAANALUEQ</v>
      </c>
      <c r="B1920" s="34">
        <v>46273</v>
      </c>
      <c r="C1920" s="34">
        <v>46273</v>
      </c>
      <c r="D1920" t="s">
        <v>35</v>
      </c>
      <c r="E1920" t="s">
        <v>36</v>
      </c>
      <c r="F1920" t="s">
        <v>37</v>
      </c>
      <c r="G1920">
        <v>15017</v>
      </c>
      <c r="H1920" t="s">
        <v>5818</v>
      </c>
      <c r="I1920" t="s">
        <v>5819</v>
      </c>
      <c r="J1920" t="s">
        <v>161</v>
      </c>
      <c r="O1920" t="s">
        <v>5820</v>
      </c>
      <c r="P1920">
        <v>116.5</v>
      </c>
      <c r="Q1920">
        <v>119.78</v>
      </c>
      <c r="R1920">
        <v>113.3</v>
      </c>
      <c r="S1920">
        <v>114.34</v>
      </c>
      <c r="T1920">
        <v>114</v>
      </c>
      <c r="U1920">
        <v>115.27</v>
      </c>
      <c r="W1920">
        <v>114.48</v>
      </c>
      <c r="Z1920">
        <v>54608</v>
      </c>
      <c r="AA1920">
        <v>6278218.7599999998</v>
      </c>
      <c r="AB1920">
        <v>760</v>
      </c>
      <c r="AC1920" t="s">
        <v>42</v>
      </c>
      <c r="AD1920">
        <v>1</v>
      </c>
    </row>
    <row r="1921" spans="1:30">
      <c r="A1921" t="str">
        <f>CONCATENATE(I1921,J1921)</f>
        <v>MCCHRLS-BEQ</v>
      </c>
      <c r="B1921" s="34">
        <v>46273</v>
      </c>
      <c r="C1921" s="34">
        <v>46273</v>
      </c>
      <c r="D1921" t="s">
        <v>35</v>
      </c>
      <c r="E1921" t="s">
        <v>36</v>
      </c>
      <c r="F1921" t="s">
        <v>37</v>
      </c>
      <c r="G1921">
        <v>762782</v>
      </c>
      <c r="H1921" t="s">
        <v>5821</v>
      </c>
      <c r="I1921" t="s">
        <v>5822</v>
      </c>
      <c r="J1921" t="s">
        <v>161</v>
      </c>
      <c r="O1921" t="s">
        <v>5823</v>
      </c>
      <c r="P1921">
        <v>684.45</v>
      </c>
      <c r="Q1921">
        <v>684.45</v>
      </c>
      <c r="R1921">
        <v>659</v>
      </c>
      <c r="S1921">
        <v>670</v>
      </c>
      <c r="T1921">
        <v>670</v>
      </c>
      <c r="U1921">
        <v>679.9</v>
      </c>
      <c r="W1921">
        <v>672.15</v>
      </c>
      <c r="Z1921">
        <v>165</v>
      </c>
      <c r="AA1921">
        <v>110147.3</v>
      </c>
      <c r="AB1921">
        <v>35</v>
      </c>
      <c r="AC1921" t="s">
        <v>42</v>
      </c>
      <c r="AD1921">
        <v>1</v>
      </c>
    </row>
    <row r="1922" spans="1:30">
      <c r="A1922" t="str">
        <f>CONCATENATE(I1922,J1922)</f>
        <v>MACOBSTECHSM</v>
      </c>
      <c r="B1922" s="34">
        <v>46273</v>
      </c>
      <c r="C1922" s="34">
        <v>46273</v>
      </c>
      <c r="D1922" t="s">
        <v>35</v>
      </c>
      <c r="E1922" t="s">
        <v>36</v>
      </c>
      <c r="F1922" t="s">
        <v>37</v>
      </c>
      <c r="G1922">
        <v>24545</v>
      </c>
      <c r="H1922" t="s">
        <v>5824</v>
      </c>
      <c r="I1922" t="s">
        <v>5825</v>
      </c>
      <c r="J1922" t="s">
        <v>267</v>
      </c>
      <c r="O1922" t="s">
        <v>5826</v>
      </c>
      <c r="P1922">
        <v>197</v>
      </c>
      <c r="Q1922">
        <v>197</v>
      </c>
      <c r="R1922">
        <v>195</v>
      </c>
      <c r="S1922">
        <v>195</v>
      </c>
      <c r="T1922">
        <v>195</v>
      </c>
      <c r="U1922">
        <v>195.1</v>
      </c>
      <c r="W1922">
        <v>195</v>
      </c>
      <c r="Z1922">
        <v>3200</v>
      </c>
      <c r="AA1922">
        <v>626400</v>
      </c>
      <c r="AB1922">
        <v>4</v>
      </c>
      <c r="AC1922" t="s">
        <v>42</v>
      </c>
      <c r="AD1922">
        <v>800</v>
      </c>
    </row>
    <row r="1923" spans="1:30">
      <c r="A1923" t="str">
        <f>CONCATENATE(I1923,J1923)</f>
        <v>MACPOWEREQ</v>
      </c>
      <c r="B1923" s="34">
        <v>46273</v>
      </c>
      <c r="C1923" s="34">
        <v>46273</v>
      </c>
      <c r="D1923" t="s">
        <v>35</v>
      </c>
      <c r="E1923" t="s">
        <v>36</v>
      </c>
      <c r="F1923" t="s">
        <v>37</v>
      </c>
      <c r="G1923">
        <v>22347</v>
      </c>
      <c r="H1923" t="s">
        <v>5827</v>
      </c>
      <c r="I1923" t="s">
        <v>5828</v>
      </c>
      <c r="J1923" t="s">
        <v>161</v>
      </c>
      <c r="O1923" t="s">
        <v>5829</v>
      </c>
      <c r="P1923">
        <v>1808.8</v>
      </c>
      <c r="Q1923">
        <v>1890</v>
      </c>
      <c r="R1923">
        <v>1808.8</v>
      </c>
      <c r="S1923">
        <v>1874.1</v>
      </c>
      <c r="T1923">
        <v>1890</v>
      </c>
      <c r="U1923">
        <v>1813.7</v>
      </c>
      <c r="W1923">
        <v>1874.1</v>
      </c>
      <c r="Z1923">
        <v>25766</v>
      </c>
      <c r="AA1923">
        <v>48017098.100000001</v>
      </c>
      <c r="AB1923">
        <v>4201</v>
      </c>
      <c r="AC1923" t="s">
        <v>42</v>
      </c>
      <c r="AD1923">
        <v>1</v>
      </c>
    </row>
    <row r="1924" spans="1:30">
      <c r="A1924" t="str">
        <f>CONCATENATE(I1924,J1924)</f>
        <v>MADHAVIPLEQ</v>
      </c>
      <c r="B1924" s="34">
        <v>46273</v>
      </c>
      <c r="C1924" s="34">
        <v>46273</v>
      </c>
      <c r="D1924" t="s">
        <v>35</v>
      </c>
      <c r="E1924" t="s">
        <v>36</v>
      </c>
      <c r="F1924" t="s">
        <v>37</v>
      </c>
      <c r="G1924">
        <v>762767</v>
      </c>
      <c r="H1924" t="s">
        <v>5830</v>
      </c>
      <c r="I1924" t="s">
        <v>5831</v>
      </c>
      <c r="J1924" t="s">
        <v>161</v>
      </c>
      <c r="O1924" t="s">
        <v>5832</v>
      </c>
      <c r="P1924">
        <v>7.91</v>
      </c>
      <c r="Q1924">
        <v>8.07</v>
      </c>
      <c r="R1924">
        <v>7.86</v>
      </c>
      <c r="S1924">
        <v>8.0299999999999994</v>
      </c>
      <c r="T1924">
        <v>8.06</v>
      </c>
      <c r="U1924">
        <v>7.91</v>
      </c>
      <c r="W1924">
        <v>8.0299999999999994</v>
      </c>
      <c r="Z1924">
        <v>95079</v>
      </c>
      <c r="AA1924">
        <v>759935.16</v>
      </c>
      <c r="AB1924">
        <v>319</v>
      </c>
      <c r="AC1924" t="s">
        <v>42</v>
      </c>
      <c r="AD1924">
        <v>1</v>
      </c>
    </row>
    <row r="1925" spans="1:30">
      <c r="A1925" t="str">
        <f>CONCATENATE(I1925,J1925)</f>
        <v>MADHAVEQ</v>
      </c>
      <c r="B1925" s="34">
        <v>46273</v>
      </c>
      <c r="C1925" s="34">
        <v>46273</v>
      </c>
      <c r="D1925" t="s">
        <v>35</v>
      </c>
      <c r="E1925" t="s">
        <v>36</v>
      </c>
      <c r="F1925" t="s">
        <v>37</v>
      </c>
      <c r="G1925">
        <v>15151</v>
      </c>
      <c r="H1925" t="s">
        <v>5833</v>
      </c>
      <c r="I1925" t="s">
        <v>5834</v>
      </c>
      <c r="J1925" t="s">
        <v>161</v>
      </c>
      <c r="O1925" t="s">
        <v>5835</v>
      </c>
      <c r="P1925">
        <v>36.200000000000003</v>
      </c>
      <c r="Q1925">
        <v>36.200000000000003</v>
      </c>
      <c r="R1925">
        <v>35.01</v>
      </c>
      <c r="S1925">
        <v>35.840000000000003</v>
      </c>
      <c r="T1925">
        <v>35.85</v>
      </c>
      <c r="U1925">
        <v>35</v>
      </c>
      <c r="W1925">
        <v>35.840000000000003</v>
      </c>
      <c r="Z1925">
        <v>147</v>
      </c>
      <c r="AA1925">
        <v>5263.25</v>
      </c>
      <c r="AB1925">
        <v>15</v>
      </c>
      <c r="AC1925" t="s">
        <v>42</v>
      </c>
      <c r="AD1925">
        <v>1</v>
      </c>
    </row>
    <row r="1926" spans="1:30">
      <c r="A1926" t="str">
        <f>CONCATENATE(I1926,J1926)</f>
        <v>MADHUCONBE</v>
      </c>
      <c r="B1926" s="34">
        <v>46273</v>
      </c>
      <c r="C1926" s="34">
        <v>46273</v>
      </c>
      <c r="D1926" t="s">
        <v>35</v>
      </c>
      <c r="E1926" t="s">
        <v>36</v>
      </c>
      <c r="F1926" t="s">
        <v>37</v>
      </c>
      <c r="G1926">
        <v>13668</v>
      </c>
      <c r="H1926" t="s">
        <v>5836</v>
      </c>
      <c r="I1926" t="s">
        <v>5837</v>
      </c>
      <c r="J1926" t="s">
        <v>183</v>
      </c>
      <c r="O1926" t="s">
        <v>5838</v>
      </c>
      <c r="P1926">
        <v>4.5</v>
      </c>
      <c r="Q1926">
        <v>4.8</v>
      </c>
      <c r="R1926">
        <v>4.4400000000000004</v>
      </c>
      <c r="S1926">
        <v>4.59</v>
      </c>
      <c r="T1926">
        <v>4.5999999999999996</v>
      </c>
      <c r="U1926">
        <v>4.67</v>
      </c>
      <c r="W1926">
        <v>4.59</v>
      </c>
      <c r="Z1926">
        <v>65837</v>
      </c>
      <c r="AA1926">
        <v>299878.84000000003</v>
      </c>
      <c r="AB1926">
        <v>92</v>
      </c>
      <c r="AC1926" t="s">
        <v>42</v>
      </c>
      <c r="AD1926">
        <v>1</v>
      </c>
    </row>
    <row r="1927" spans="1:30">
      <c r="A1927" t="str">
        <f>CONCATENATE(I1927,J1927)</f>
        <v>MADHUSUDANST</v>
      </c>
      <c r="B1927" s="34">
        <v>46273</v>
      </c>
      <c r="C1927" s="34">
        <v>46273</v>
      </c>
      <c r="D1927" t="s">
        <v>35</v>
      </c>
      <c r="E1927" t="s">
        <v>36</v>
      </c>
      <c r="F1927" t="s">
        <v>37</v>
      </c>
      <c r="G1927">
        <v>18738</v>
      </c>
      <c r="H1927" t="s">
        <v>5839</v>
      </c>
      <c r="I1927" t="s">
        <v>5840</v>
      </c>
      <c r="J1927" t="s">
        <v>328</v>
      </c>
      <c r="O1927" t="s">
        <v>5841</v>
      </c>
      <c r="P1927">
        <v>236</v>
      </c>
      <c r="Q1927">
        <v>242.65</v>
      </c>
      <c r="R1927">
        <v>234.05</v>
      </c>
      <c r="S1927">
        <v>238.55</v>
      </c>
      <c r="T1927">
        <v>242.65</v>
      </c>
      <c r="U1927">
        <v>232.7</v>
      </c>
      <c r="W1927">
        <v>238.55</v>
      </c>
      <c r="Z1927">
        <v>20000</v>
      </c>
      <c r="AA1927">
        <v>4743100</v>
      </c>
      <c r="AB1927">
        <v>19</v>
      </c>
      <c r="AC1927" t="s">
        <v>42</v>
      </c>
      <c r="AD1927">
        <v>1000</v>
      </c>
    </row>
    <row r="1928" spans="1:30">
      <c r="A1928" t="str">
        <f>CONCATENATE(I1928,J1928)</f>
        <v>MBAPLEQ</v>
      </c>
      <c r="B1928" s="34">
        <v>46273</v>
      </c>
      <c r="C1928" s="34">
        <v>46273</v>
      </c>
      <c r="D1928" t="s">
        <v>35</v>
      </c>
      <c r="E1928" t="s">
        <v>36</v>
      </c>
      <c r="F1928" t="s">
        <v>37</v>
      </c>
      <c r="G1928">
        <v>12686</v>
      </c>
      <c r="H1928" t="s">
        <v>5842</v>
      </c>
      <c r="I1928" t="s">
        <v>5843</v>
      </c>
      <c r="J1928" t="s">
        <v>161</v>
      </c>
      <c r="O1928" t="s">
        <v>5844</v>
      </c>
      <c r="P1928">
        <v>163</v>
      </c>
      <c r="Q1928">
        <v>168.48</v>
      </c>
      <c r="R1928">
        <v>161.5</v>
      </c>
      <c r="S1928">
        <v>164.37</v>
      </c>
      <c r="T1928">
        <v>164.3</v>
      </c>
      <c r="U1928">
        <v>163.01</v>
      </c>
      <c r="W1928">
        <v>164.37</v>
      </c>
      <c r="Z1928">
        <v>1449405</v>
      </c>
      <c r="AA1928">
        <v>240515288.75</v>
      </c>
      <c r="AB1928">
        <v>11766</v>
      </c>
      <c r="AC1928" t="s">
        <v>42</v>
      </c>
      <c r="AD1928">
        <v>1</v>
      </c>
    </row>
    <row r="1929" spans="1:30">
      <c r="A1929" t="str">
        <f>CONCATENATE(I1929,J1929)</f>
        <v>MADRASFERTEQ</v>
      </c>
      <c r="B1929" s="34">
        <v>46273</v>
      </c>
      <c r="C1929" s="34">
        <v>46273</v>
      </c>
      <c r="D1929" t="s">
        <v>35</v>
      </c>
      <c r="E1929" t="s">
        <v>36</v>
      </c>
      <c r="F1929" t="s">
        <v>37</v>
      </c>
      <c r="G1929">
        <v>4911</v>
      </c>
      <c r="H1929" t="s">
        <v>5845</v>
      </c>
      <c r="I1929" t="s">
        <v>5846</v>
      </c>
      <c r="J1929" t="s">
        <v>161</v>
      </c>
      <c r="O1929" t="s">
        <v>5847</v>
      </c>
      <c r="P1929">
        <v>65</v>
      </c>
      <c r="Q1929">
        <v>66.2</v>
      </c>
      <c r="R1929">
        <v>64.16</v>
      </c>
      <c r="S1929">
        <v>64.37</v>
      </c>
      <c r="T1929">
        <v>64.3</v>
      </c>
      <c r="U1929">
        <v>64.56</v>
      </c>
      <c r="W1929">
        <v>64.37</v>
      </c>
      <c r="Z1929">
        <v>63088</v>
      </c>
      <c r="AA1929">
        <v>4096224.1</v>
      </c>
      <c r="AB1929">
        <v>932</v>
      </c>
      <c r="AC1929" t="s">
        <v>42</v>
      </c>
      <c r="AD1929">
        <v>1</v>
      </c>
    </row>
    <row r="1930" spans="1:30">
      <c r="A1930" t="str">
        <f>CONCATENATE(I1930,J1930)</f>
        <v>MAFATINDEQ</v>
      </c>
      <c r="B1930" s="34">
        <v>46273</v>
      </c>
      <c r="C1930" s="34">
        <v>46273</v>
      </c>
      <c r="D1930" t="s">
        <v>35</v>
      </c>
      <c r="E1930" t="s">
        <v>36</v>
      </c>
      <c r="F1930" t="s">
        <v>37</v>
      </c>
      <c r="G1930">
        <v>762772</v>
      </c>
      <c r="H1930" t="s">
        <v>5848</v>
      </c>
      <c r="I1930" t="s">
        <v>5849</v>
      </c>
      <c r="J1930" t="s">
        <v>161</v>
      </c>
      <c r="O1930" t="s">
        <v>5850</v>
      </c>
      <c r="P1930">
        <v>121</v>
      </c>
      <c r="Q1930">
        <v>122.28</v>
      </c>
      <c r="R1930">
        <v>119.41</v>
      </c>
      <c r="S1930">
        <v>120.56</v>
      </c>
      <c r="T1930">
        <v>120.26</v>
      </c>
      <c r="U1930">
        <v>121.83</v>
      </c>
      <c r="W1930">
        <v>120.55</v>
      </c>
      <c r="Z1930">
        <v>51795</v>
      </c>
      <c r="AA1930">
        <v>6260580.6600000001</v>
      </c>
      <c r="AB1930">
        <v>1028</v>
      </c>
      <c r="AC1930" t="s">
        <v>42</v>
      </c>
      <c r="AD1930">
        <v>1</v>
      </c>
    </row>
    <row r="1931" spans="1:30">
      <c r="A1931" t="str">
        <f>CONCATENATE(I1931,J1931)</f>
        <v>MAGADSUGAREQ</v>
      </c>
      <c r="B1931" s="34">
        <v>46273</v>
      </c>
      <c r="C1931" s="34">
        <v>46273</v>
      </c>
      <c r="D1931" t="s">
        <v>35</v>
      </c>
      <c r="E1931" t="s">
        <v>36</v>
      </c>
      <c r="F1931" t="s">
        <v>37</v>
      </c>
      <c r="G1931">
        <v>21392</v>
      </c>
      <c r="H1931" t="s">
        <v>5851</v>
      </c>
      <c r="I1931" t="s">
        <v>5852</v>
      </c>
      <c r="J1931" t="s">
        <v>161</v>
      </c>
      <c r="O1931" t="s">
        <v>5853</v>
      </c>
      <c r="P1931">
        <v>573.95000000000005</v>
      </c>
      <c r="Q1931">
        <v>578.04999999999995</v>
      </c>
      <c r="R1931">
        <v>559.75</v>
      </c>
      <c r="S1931">
        <v>563.79999999999995</v>
      </c>
      <c r="T1931">
        <v>566.95000000000005</v>
      </c>
      <c r="U1931">
        <v>573.95000000000005</v>
      </c>
      <c r="W1931">
        <v>563.79999999999995</v>
      </c>
      <c r="Z1931">
        <v>15988</v>
      </c>
      <c r="AA1931">
        <v>9042082.25</v>
      </c>
      <c r="AB1931">
        <v>1225</v>
      </c>
      <c r="AC1931" t="s">
        <v>42</v>
      </c>
      <c r="AD1931">
        <v>1</v>
      </c>
    </row>
    <row r="1932" spans="1:30">
      <c r="A1932" t="str">
        <f>CONCATENATE(I1932,J1932)</f>
        <v>MCLOUDEQ</v>
      </c>
      <c r="B1932" s="34">
        <v>46273</v>
      </c>
      <c r="C1932" s="34">
        <v>46273</v>
      </c>
      <c r="D1932" t="s">
        <v>35</v>
      </c>
      <c r="E1932" t="s">
        <v>36</v>
      </c>
      <c r="F1932" t="s">
        <v>37</v>
      </c>
      <c r="G1932">
        <v>29482</v>
      </c>
      <c r="H1932" t="s">
        <v>5854</v>
      </c>
      <c r="I1932" t="s">
        <v>5855</v>
      </c>
      <c r="J1932" t="s">
        <v>161</v>
      </c>
      <c r="O1932" t="s">
        <v>5856</v>
      </c>
      <c r="P1932">
        <v>26.08</v>
      </c>
      <c r="Q1932">
        <v>26.2</v>
      </c>
      <c r="R1932">
        <v>25.81</v>
      </c>
      <c r="S1932">
        <v>25.92</v>
      </c>
      <c r="T1932">
        <v>25.89</v>
      </c>
      <c r="U1932">
        <v>25.97</v>
      </c>
      <c r="W1932">
        <v>25.92</v>
      </c>
      <c r="Z1932">
        <v>1633160</v>
      </c>
      <c r="AA1932">
        <v>42371063.960000001</v>
      </c>
      <c r="AB1932">
        <v>3060</v>
      </c>
      <c r="AC1932" t="s">
        <v>42</v>
      </c>
      <c r="AD1932">
        <v>1</v>
      </c>
    </row>
    <row r="1933" spans="1:30">
      <c r="A1933" t="str">
        <f>CONCATENATE(I1933,J1933)</f>
        <v>MAGNUMEQ</v>
      </c>
      <c r="B1933" s="34">
        <v>46273</v>
      </c>
      <c r="C1933" s="34">
        <v>46273</v>
      </c>
      <c r="D1933" t="s">
        <v>35</v>
      </c>
      <c r="E1933" t="s">
        <v>36</v>
      </c>
      <c r="F1933" t="s">
        <v>37</v>
      </c>
      <c r="G1933">
        <v>14957</v>
      </c>
      <c r="H1933" t="s">
        <v>5857</v>
      </c>
      <c r="I1933" t="s">
        <v>5858</v>
      </c>
      <c r="J1933" t="s">
        <v>161</v>
      </c>
      <c r="O1933" t="s">
        <v>5859</v>
      </c>
      <c r="P1933">
        <v>18.8</v>
      </c>
      <c r="Q1933">
        <v>19.39</v>
      </c>
      <c r="R1933">
        <v>18.510000000000002</v>
      </c>
      <c r="S1933">
        <v>18.989999999999998</v>
      </c>
      <c r="T1933">
        <v>19</v>
      </c>
      <c r="U1933">
        <v>19.12</v>
      </c>
      <c r="W1933">
        <v>18.989999999999998</v>
      </c>
      <c r="Z1933">
        <v>51361</v>
      </c>
      <c r="AA1933">
        <v>974289.37</v>
      </c>
      <c r="AB1933">
        <v>108</v>
      </c>
      <c r="AC1933" t="s">
        <v>42</v>
      </c>
      <c r="AD1933">
        <v>1</v>
      </c>
    </row>
    <row r="1934" spans="1:30">
      <c r="A1934" t="str">
        <f>CONCATENATE(I1934,J1934)</f>
        <v>MAGSONSM</v>
      </c>
      <c r="B1934" s="34">
        <v>46273</v>
      </c>
      <c r="C1934" s="34">
        <v>46273</v>
      </c>
      <c r="D1934" t="s">
        <v>35</v>
      </c>
      <c r="E1934" t="s">
        <v>36</v>
      </c>
      <c r="F1934" t="s">
        <v>37</v>
      </c>
      <c r="G1934">
        <v>17088</v>
      </c>
      <c r="H1934" t="s">
        <v>5860</v>
      </c>
      <c r="I1934" t="s">
        <v>5861</v>
      </c>
      <c r="J1934" t="s">
        <v>267</v>
      </c>
      <c r="O1934" t="s">
        <v>5862</v>
      </c>
      <c r="P1934">
        <v>183</v>
      </c>
      <c r="Q1934">
        <v>183</v>
      </c>
      <c r="R1934">
        <v>174</v>
      </c>
      <c r="S1934">
        <v>178</v>
      </c>
      <c r="T1934">
        <v>178</v>
      </c>
      <c r="U1934">
        <v>185.45</v>
      </c>
      <c r="W1934">
        <v>178</v>
      </c>
      <c r="Z1934">
        <v>13000</v>
      </c>
      <c r="AA1934">
        <v>2307000</v>
      </c>
      <c r="AB1934">
        <v>13</v>
      </c>
      <c r="AC1934" t="s">
        <v>42</v>
      </c>
      <c r="AD1934">
        <v>1000</v>
      </c>
    </row>
    <row r="1935" spans="1:30">
      <c r="A1935" t="str">
        <f>CONCATENATE(I1935,J1935)</f>
        <v>MAHAPEXLTDEQ</v>
      </c>
      <c r="B1935" s="34">
        <v>46273</v>
      </c>
      <c r="C1935" s="34">
        <v>46273</v>
      </c>
      <c r="D1935" t="s">
        <v>35</v>
      </c>
      <c r="E1935" t="s">
        <v>36</v>
      </c>
      <c r="F1935" t="s">
        <v>37</v>
      </c>
      <c r="G1935">
        <v>5239</v>
      </c>
      <c r="H1935" t="s">
        <v>5863</v>
      </c>
      <c r="I1935" t="s">
        <v>5864</v>
      </c>
      <c r="J1935" t="s">
        <v>161</v>
      </c>
      <c r="O1935" t="s">
        <v>5865</v>
      </c>
      <c r="P1935">
        <v>55.98</v>
      </c>
      <c r="Q1935">
        <v>57.6</v>
      </c>
      <c r="R1935">
        <v>54.5</v>
      </c>
      <c r="S1935">
        <v>55.41</v>
      </c>
      <c r="T1935">
        <v>55</v>
      </c>
      <c r="U1935">
        <v>55.94</v>
      </c>
      <c r="W1935">
        <v>55.41</v>
      </c>
      <c r="Z1935">
        <v>13567</v>
      </c>
      <c r="AA1935">
        <v>750831.75</v>
      </c>
      <c r="AB1935">
        <v>248</v>
      </c>
      <c r="AC1935" t="s">
        <v>42</v>
      </c>
      <c r="AD1935">
        <v>1</v>
      </c>
    </row>
    <row r="1936" spans="1:30">
      <c r="A1936" t="str">
        <f>CONCATENATE(I1936,J1936)</f>
        <v>MFMLEQ</v>
      </c>
      <c r="B1936" s="34">
        <v>46273</v>
      </c>
      <c r="C1936" s="34">
        <v>46273</v>
      </c>
      <c r="D1936" t="s">
        <v>35</v>
      </c>
      <c r="E1936" t="s">
        <v>36</v>
      </c>
      <c r="F1936" t="s">
        <v>37</v>
      </c>
      <c r="G1936">
        <v>24937</v>
      </c>
      <c r="H1936" t="s">
        <v>5866</v>
      </c>
      <c r="I1936" t="s">
        <v>5867</v>
      </c>
      <c r="J1936" t="s">
        <v>161</v>
      </c>
      <c r="O1936" t="s">
        <v>5868</v>
      </c>
      <c r="P1936">
        <v>19</v>
      </c>
      <c r="Q1936">
        <v>19.7</v>
      </c>
      <c r="R1936">
        <v>18.62</v>
      </c>
      <c r="S1936">
        <v>18.690000000000001</v>
      </c>
      <c r="T1936">
        <v>19.3</v>
      </c>
      <c r="U1936">
        <v>18.62</v>
      </c>
      <c r="W1936">
        <v>18.690000000000001</v>
      </c>
      <c r="Z1936">
        <v>4416</v>
      </c>
      <c r="AA1936">
        <v>84392.77</v>
      </c>
      <c r="AB1936">
        <v>46</v>
      </c>
      <c r="AC1936" t="s">
        <v>42</v>
      </c>
      <c r="AD1936">
        <v>1</v>
      </c>
    </row>
    <row r="1937" spans="1:30">
      <c r="A1937" t="str">
        <f>CONCATENATE(I1937,J1937)</f>
        <v>MHLXMIRUBE</v>
      </c>
      <c r="B1937" s="34">
        <v>46273</v>
      </c>
      <c r="C1937" s="34">
        <v>46273</v>
      </c>
      <c r="D1937" t="s">
        <v>35</v>
      </c>
      <c r="E1937" t="s">
        <v>36</v>
      </c>
      <c r="F1937" t="s">
        <v>37</v>
      </c>
      <c r="G1937">
        <v>7889</v>
      </c>
      <c r="H1937" t="s">
        <v>5869</v>
      </c>
      <c r="I1937" t="s">
        <v>5870</v>
      </c>
      <c r="J1937" t="s">
        <v>183</v>
      </c>
      <c r="O1937" t="s">
        <v>5871</v>
      </c>
      <c r="P1937">
        <v>174</v>
      </c>
      <c r="Q1937">
        <v>174</v>
      </c>
      <c r="R1937">
        <v>166.25</v>
      </c>
      <c r="S1937">
        <v>166.25</v>
      </c>
      <c r="T1937">
        <v>166.25</v>
      </c>
      <c r="U1937">
        <v>175</v>
      </c>
      <c r="W1937">
        <v>166.25</v>
      </c>
      <c r="Z1937">
        <v>13897</v>
      </c>
      <c r="AA1937">
        <v>2317244.65</v>
      </c>
      <c r="AB1937">
        <v>147</v>
      </c>
      <c r="AC1937" t="s">
        <v>42</v>
      </c>
      <c r="AD1937">
        <v>1</v>
      </c>
    </row>
    <row r="1938" spans="1:30">
      <c r="A1938" t="str">
        <f>CONCATENATE(I1938,J1938)</f>
        <v>MAHASTEELBE</v>
      </c>
      <c r="B1938" s="34">
        <v>46273</v>
      </c>
      <c r="C1938" s="34">
        <v>46273</v>
      </c>
      <c r="D1938" t="s">
        <v>35</v>
      </c>
      <c r="E1938" t="s">
        <v>36</v>
      </c>
      <c r="F1938" t="s">
        <v>37</v>
      </c>
      <c r="G1938">
        <v>17531</v>
      </c>
      <c r="H1938" t="s">
        <v>5872</v>
      </c>
      <c r="I1938" t="s">
        <v>5873</v>
      </c>
      <c r="J1938" t="s">
        <v>183</v>
      </c>
      <c r="O1938" t="s">
        <v>5874</v>
      </c>
      <c r="P1938">
        <v>1343.4</v>
      </c>
      <c r="Q1938">
        <v>1343.4</v>
      </c>
      <c r="R1938">
        <v>1255</v>
      </c>
      <c r="S1938">
        <v>1291.4000000000001</v>
      </c>
      <c r="T1938">
        <v>1265</v>
      </c>
      <c r="U1938">
        <v>1294.4000000000001</v>
      </c>
      <c r="W1938">
        <v>1291.48</v>
      </c>
      <c r="Z1938">
        <v>2908</v>
      </c>
      <c r="AA1938">
        <v>3774761.4</v>
      </c>
      <c r="AB1938">
        <v>348</v>
      </c>
      <c r="AC1938" t="s">
        <v>42</v>
      </c>
      <c r="AD1938">
        <v>1</v>
      </c>
    </row>
    <row r="1939" spans="1:30">
      <c r="A1939" t="str">
        <f>CONCATENATE(I1939,J1939)</f>
        <v>MGLEQ</v>
      </c>
      <c r="B1939" s="34">
        <v>46273</v>
      </c>
      <c r="C1939" s="34">
        <v>46273</v>
      </c>
      <c r="D1939" t="s">
        <v>35</v>
      </c>
      <c r="E1939" t="s">
        <v>36</v>
      </c>
      <c r="F1939" t="s">
        <v>37</v>
      </c>
      <c r="G1939">
        <v>17534</v>
      </c>
      <c r="H1939" t="s">
        <v>5875</v>
      </c>
      <c r="I1939" t="s">
        <v>5876</v>
      </c>
      <c r="J1939" t="s">
        <v>161</v>
      </c>
      <c r="O1939" t="s">
        <v>5877</v>
      </c>
      <c r="P1939">
        <v>1088</v>
      </c>
      <c r="Q1939">
        <v>1105</v>
      </c>
      <c r="R1939">
        <v>1088</v>
      </c>
      <c r="S1939">
        <v>1103.2</v>
      </c>
      <c r="T1939">
        <v>1103</v>
      </c>
      <c r="U1939">
        <v>1092.0999999999999</v>
      </c>
      <c r="W1939">
        <v>1103.2</v>
      </c>
      <c r="Z1939">
        <v>89561</v>
      </c>
      <c r="AA1939">
        <v>98588785.200000003</v>
      </c>
      <c r="AB1939">
        <v>10433</v>
      </c>
      <c r="AC1939" t="s">
        <v>42</v>
      </c>
      <c r="AD1939">
        <v>1</v>
      </c>
    </row>
    <row r="1940" spans="1:30">
      <c r="A1940" t="str">
        <f>CONCATENATE(I1940,J1940)</f>
        <v>MTNLEQ</v>
      </c>
      <c r="B1940" s="34">
        <v>46273</v>
      </c>
      <c r="C1940" s="34">
        <v>46273</v>
      </c>
      <c r="D1940" t="s">
        <v>35</v>
      </c>
      <c r="E1940" t="s">
        <v>36</v>
      </c>
      <c r="F1940" t="s">
        <v>37</v>
      </c>
      <c r="G1940">
        <v>2294</v>
      </c>
      <c r="H1940" t="s">
        <v>5878</v>
      </c>
      <c r="I1940" t="s">
        <v>5879</v>
      </c>
      <c r="J1940" t="s">
        <v>161</v>
      </c>
      <c r="O1940" t="s">
        <v>5880</v>
      </c>
      <c r="P1940">
        <v>26.14</v>
      </c>
      <c r="Q1940">
        <v>26.14</v>
      </c>
      <c r="R1940">
        <v>25.3</v>
      </c>
      <c r="S1940">
        <v>25.35</v>
      </c>
      <c r="T1940">
        <v>25.4</v>
      </c>
      <c r="U1940">
        <v>26.05</v>
      </c>
      <c r="W1940">
        <v>25.35</v>
      </c>
      <c r="Z1940">
        <v>971725</v>
      </c>
      <c r="AA1940">
        <v>24806859.91</v>
      </c>
      <c r="AB1940">
        <v>3449</v>
      </c>
      <c r="AC1940" t="s">
        <v>42</v>
      </c>
      <c r="AD1940">
        <v>1</v>
      </c>
    </row>
    <row r="1941" spans="1:30">
      <c r="A1941" t="str">
        <f>CONCATENATE(I1941,J1941)</f>
        <v>MAHSCOOTEREQ</v>
      </c>
      <c r="B1941" s="34">
        <v>46273</v>
      </c>
      <c r="C1941" s="34">
        <v>46273</v>
      </c>
      <c r="D1941" t="s">
        <v>35</v>
      </c>
      <c r="E1941" t="s">
        <v>36</v>
      </c>
      <c r="F1941" t="s">
        <v>37</v>
      </c>
      <c r="G1941">
        <v>2085</v>
      </c>
      <c r="H1941" t="s">
        <v>5881</v>
      </c>
      <c r="I1941" t="s">
        <v>5882</v>
      </c>
      <c r="J1941" t="s">
        <v>161</v>
      </c>
      <c r="O1941" t="s">
        <v>5883</v>
      </c>
      <c r="P1941">
        <v>13493</v>
      </c>
      <c r="Q1941">
        <v>13493</v>
      </c>
      <c r="R1941">
        <v>13203</v>
      </c>
      <c r="S1941">
        <v>13267</v>
      </c>
      <c r="T1941">
        <v>13207</v>
      </c>
      <c r="U1941">
        <v>13493</v>
      </c>
      <c r="W1941">
        <v>13268.38</v>
      </c>
      <c r="Z1941">
        <v>2328</v>
      </c>
      <c r="AA1941">
        <v>30952412</v>
      </c>
      <c r="AB1941">
        <v>989</v>
      </c>
      <c r="AC1941" t="s">
        <v>42</v>
      </c>
      <c r="AD1941">
        <v>1</v>
      </c>
    </row>
    <row r="1942" spans="1:30">
      <c r="A1942" t="str">
        <f>CONCATENATE(I1942,J1942)</f>
        <v>MAHSEAMLESEQ</v>
      </c>
      <c r="B1942" s="34">
        <v>46273</v>
      </c>
      <c r="C1942" s="34">
        <v>46273</v>
      </c>
      <c r="D1942" t="s">
        <v>35</v>
      </c>
      <c r="E1942" t="s">
        <v>36</v>
      </c>
      <c r="F1942" t="s">
        <v>37</v>
      </c>
      <c r="G1942">
        <v>2088</v>
      </c>
      <c r="H1942" t="s">
        <v>5884</v>
      </c>
      <c r="I1942" t="s">
        <v>5885</v>
      </c>
      <c r="J1942" t="s">
        <v>161</v>
      </c>
      <c r="O1942" t="s">
        <v>5886</v>
      </c>
      <c r="P1942">
        <v>690.35</v>
      </c>
      <c r="Q1942">
        <v>694.85</v>
      </c>
      <c r="R1942">
        <v>676.05</v>
      </c>
      <c r="S1942">
        <v>680.65</v>
      </c>
      <c r="T1942">
        <v>681</v>
      </c>
      <c r="U1942">
        <v>688.95</v>
      </c>
      <c r="W1942">
        <v>680.66</v>
      </c>
      <c r="Z1942">
        <v>209156</v>
      </c>
      <c r="AA1942">
        <v>143099529.44999999</v>
      </c>
      <c r="AB1942">
        <v>13044</v>
      </c>
      <c r="AC1942" t="s">
        <v>42</v>
      </c>
      <c r="AD1942">
        <v>1</v>
      </c>
    </row>
    <row r="1943" spans="1:30">
      <c r="A1943" t="str">
        <f>CONCATENATE(I1943,J1943)</f>
        <v>MRILST</v>
      </c>
      <c r="B1943" s="34">
        <v>46273</v>
      </c>
      <c r="C1943" s="34">
        <v>46273</v>
      </c>
      <c r="D1943" t="s">
        <v>35</v>
      </c>
      <c r="E1943" t="s">
        <v>36</v>
      </c>
      <c r="F1943" t="s">
        <v>37</v>
      </c>
      <c r="G1943">
        <v>758688</v>
      </c>
      <c r="H1943" t="s">
        <v>5887</v>
      </c>
      <c r="I1943" t="s">
        <v>5888</v>
      </c>
      <c r="J1943" t="s">
        <v>328</v>
      </c>
      <c r="O1943" t="s">
        <v>5889</v>
      </c>
      <c r="P1943">
        <v>60.15</v>
      </c>
      <c r="Q1943">
        <v>63.15</v>
      </c>
      <c r="R1943">
        <v>60.1</v>
      </c>
      <c r="S1943">
        <v>63.15</v>
      </c>
      <c r="T1943">
        <v>63.15</v>
      </c>
      <c r="U1943">
        <v>60.15</v>
      </c>
      <c r="W1943">
        <v>63.15</v>
      </c>
      <c r="Z1943">
        <v>16000</v>
      </c>
      <c r="AA1943">
        <v>990160</v>
      </c>
      <c r="AB1943">
        <v>8</v>
      </c>
      <c r="AC1943" t="s">
        <v>42</v>
      </c>
      <c r="AD1943">
        <v>1600</v>
      </c>
    </row>
    <row r="1944" spans="1:30">
      <c r="A1944" t="str">
        <f>CONCATENATE(I1944,J1944)</f>
        <v>MAHESHWARIBE</v>
      </c>
      <c r="B1944" s="34">
        <v>46273</v>
      </c>
      <c r="C1944" s="34">
        <v>46273</v>
      </c>
      <c r="D1944" t="s">
        <v>35</v>
      </c>
      <c r="E1944" t="s">
        <v>36</v>
      </c>
      <c r="F1944" t="s">
        <v>37</v>
      </c>
      <c r="G1944">
        <v>9577</v>
      </c>
      <c r="H1944" t="s">
        <v>5890</v>
      </c>
      <c r="I1944" t="s">
        <v>5891</v>
      </c>
      <c r="J1944" t="s">
        <v>183</v>
      </c>
      <c r="O1944" t="s">
        <v>5892</v>
      </c>
      <c r="P1944">
        <v>70.36</v>
      </c>
      <c r="Q1944">
        <v>72.89</v>
      </c>
      <c r="R1944">
        <v>70.36</v>
      </c>
      <c r="S1944">
        <v>72.489999999999995</v>
      </c>
      <c r="T1944">
        <v>72.489999999999995</v>
      </c>
      <c r="U1944">
        <v>71.05</v>
      </c>
      <c r="W1944">
        <v>72.489999999999995</v>
      </c>
      <c r="Z1944">
        <v>3129</v>
      </c>
      <c r="AA1944">
        <v>223677.46</v>
      </c>
      <c r="AB1944">
        <v>20</v>
      </c>
      <c r="AC1944" t="s">
        <v>42</v>
      </c>
      <c r="AD1944">
        <v>1</v>
      </c>
    </row>
    <row r="1945" spans="1:30">
      <c r="A1945" t="str">
        <f>CONCATENATE(I1945,J1945)</f>
        <v>MAHICKRASM</v>
      </c>
      <c r="B1945" s="34">
        <v>46273</v>
      </c>
      <c r="C1945" s="34">
        <v>46273</v>
      </c>
      <c r="D1945" t="s">
        <v>35</v>
      </c>
      <c r="E1945" t="s">
        <v>36</v>
      </c>
      <c r="F1945" t="s">
        <v>37</v>
      </c>
      <c r="G1945">
        <v>2839</v>
      </c>
      <c r="H1945" t="s">
        <v>5893</v>
      </c>
      <c r="I1945" t="s">
        <v>5894</v>
      </c>
      <c r="J1945" t="s">
        <v>267</v>
      </c>
      <c r="O1945" t="s">
        <v>5895</v>
      </c>
      <c r="P1945">
        <v>300</v>
      </c>
      <c r="Q1945">
        <v>300</v>
      </c>
      <c r="R1945">
        <v>300</v>
      </c>
      <c r="S1945">
        <v>300</v>
      </c>
      <c r="T1945">
        <v>300</v>
      </c>
      <c r="U1945">
        <v>292</v>
      </c>
      <c r="W1945">
        <v>300</v>
      </c>
      <c r="Z1945">
        <v>1500</v>
      </c>
      <c r="AA1945">
        <v>450000</v>
      </c>
      <c r="AB1945">
        <v>2</v>
      </c>
      <c r="AC1945" t="s">
        <v>42</v>
      </c>
      <c r="AD1945">
        <v>750</v>
      </c>
    </row>
    <row r="1946" spans="1:30">
      <c r="A1946" t="str">
        <f>CONCATENATE(I1946,J1946)</f>
        <v>M&amp;MEQ</v>
      </c>
      <c r="B1946" s="34">
        <v>46273</v>
      </c>
      <c r="C1946" s="34">
        <v>46273</v>
      </c>
      <c r="D1946" t="s">
        <v>35</v>
      </c>
      <c r="E1946" t="s">
        <v>36</v>
      </c>
      <c r="F1946" t="s">
        <v>37</v>
      </c>
      <c r="G1946">
        <v>2031</v>
      </c>
      <c r="H1946" t="s">
        <v>5896</v>
      </c>
      <c r="I1946" t="s">
        <v>5897</v>
      </c>
      <c r="J1946" t="s">
        <v>161</v>
      </c>
      <c r="O1946" t="s">
        <v>5898</v>
      </c>
      <c r="P1946">
        <v>3145</v>
      </c>
      <c r="Q1946">
        <v>3163</v>
      </c>
      <c r="R1946">
        <v>3096.3</v>
      </c>
      <c r="S1946">
        <v>3160</v>
      </c>
      <c r="T1946">
        <v>3160</v>
      </c>
      <c r="U1946">
        <v>3160</v>
      </c>
      <c r="W1946">
        <v>3160</v>
      </c>
      <c r="Z1946">
        <v>1784671</v>
      </c>
      <c r="AA1946">
        <v>5594761036.3999996</v>
      </c>
      <c r="AB1946">
        <v>155121</v>
      </c>
      <c r="AC1946" t="s">
        <v>42</v>
      </c>
      <c r="AD1946">
        <v>1</v>
      </c>
    </row>
    <row r="1947" spans="1:30">
      <c r="A1947" t="str">
        <f>CONCATENATE(I1947,J1947)</f>
        <v>MAHEPCEQ</v>
      </c>
      <c r="B1947" s="34">
        <v>46273</v>
      </c>
      <c r="C1947" s="34">
        <v>46273</v>
      </c>
      <c r="D1947" t="s">
        <v>35</v>
      </c>
      <c r="E1947" t="s">
        <v>36</v>
      </c>
      <c r="F1947" t="s">
        <v>37</v>
      </c>
      <c r="G1947">
        <v>17603</v>
      </c>
      <c r="H1947" t="s">
        <v>5899</v>
      </c>
      <c r="I1947" t="s">
        <v>5900</v>
      </c>
      <c r="J1947" t="s">
        <v>161</v>
      </c>
      <c r="O1947" t="s">
        <v>5901</v>
      </c>
      <c r="P1947">
        <v>105</v>
      </c>
      <c r="Q1947">
        <v>105</v>
      </c>
      <c r="R1947">
        <v>102</v>
      </c>
      <c r="S1947">
        <v>102.75</v>
      </c>
      <c r="T1947">
        <v>103.39</v>
      </c>
      <c r="U1947">
        <v>103.17</v>
      </c>
      <c r="W1947">
        <v>102.8</v>
      </c>
      <c r="Z1947">
        <v>10915</v>
      </c>
      <c r="AA1947">
        <v>1125381.18</v>
      </c>
      <c r="AB1947">
        <v>209</v>
      </c>
      <c r="AC1947" t="s">
        <v>42</v>
      </c>
      <c r="AD1947">
        <v>1</v>
      </c>
    </row>
    <row r="1948" spans="1:30">
      <c r="A1948" t="str">
        <f>CONCATENATE(I1948,J1948)</f>
        <v>MHRILEQ</v>
      </c>
      <c r="B1948" s="34">
        <v>46273</v>
      </c>
      <c r="C1948" s="34">
        <v>46273</v>
      </c>
      <c r="D1948" t="s">
        <v>35</v>
      </c>
      <c r="E1948" t="s">
        <v>36</v>
      </c>
      <c r="F1948" t="s">
        <v>37</v>
      </c>
      <c r="G1948">
        <v>17333</v>
      </c>
      <c r="H1948" t="s">
        <v>5902</v>
      </c>
      <c r="I1948" t="s">
        <v>5903</v>
      </c>
      <c r="J1948" t="s">
        <v>161</v>
      </c>
      <c r="O1948" t="s">
        <v>5904</v>
      </c>
      <c r="P1948">
        <v>205</v>
      </c>
      <c r="Q1948">
        <v>208.04</v>
      </c>
      <c r="R1948">
        <v>204.7</v>
      </c>
      <c r="S1948">
        <v>205.71</v>
      </c>
      <c r="T1948">
        <v>205.8</v>
      </c>
      <c r="U1948">
        <v>205.53</v>
      </c>
      <c r="W1948">
        <v>205.71</v>
      </c>
      <c r="Z1948">
        <v>94722</v>
      </c>
      <c r="AA1948">
        <v>19516020.210000001</v>
      </c>
      <c r="AB1948">
        <v>2455</v>
      </c>
      <c r="AC1948" t="s">
        <v>42</v>
      </c>
      <c r="AD1948">
        <v>1</v>
      </c>
    </row>
    <row r="1949" spans="1:30">
      <c r="A1949" t="str">
        <f>CONCATENATE(I1949,J1949)</f>
        <v>MAHLIFEEQ</v>
      </c>
      <c r="B1949" s="34">
        <v>46273</v>
      </c>
      <c r="C1949" s="34">
        <v>46273</v>
      </c>
      <c r="D1949" t="s">
        <v>35</v>
      </c>
      <c r="E1949" t="s">
        <v>36</v>
      </c>
      <c r="F1949" t="s">
        <v>37</v>
      </c>
      <c r="G1949">
        <v>8050</v>
      </c>
      <c r="H1949" t="s">
        <v>5905</v>
      </c>
      <c r="I1949" t="s">
        <v>5906</v>
      </c>
      <c r="J1949" t="s">
        <v>161</v>
      </c>
      <c r="O1949" t="s">
        <v>5907</v>
      </c>
      <c r="P1949">
        <v>360.25</v>
      </c>
      <c r="Q1949">
        <v>368.95</v>
      </c>
      <c r="R1949">
        <v>356.3</v>
      </c>
      <c r="S1949">
        <v>366.15</v>
      </c>
      <c r="T1949">
        <v>363.75</v>
      </c>
      <c r="U1949">
        <v>360.15</v>
      </c>
      <c r="W1949">
        <v>366.11</v>
      </c>
      <c r="Z1949">
        <v>64994</v>
      </c>
      <c r="AA1949">
        <v>23576277.699999999</v>
      </c>
      <c r="AB1949">
        <v>6155</v>
      </c>
      <c r="AC1949" t="s">
        <v>42</v>
      </c>
      <c r="AD1949">
        <v>1</v>
      </c>
    </row>
    <row r="1950" spans="1:30">
      <c r="A1950" t="str">
        <f>CONCATENATE(I1950,J1950)</f>
        <v>MAHLOGEQ</v>
      </c>
      <c r="B1950" s="34">
        <v>46273</v>
      </c>
      <c r="C1950" s="34">
        <v>46273</v>
      </c>
      <c r="D1950" t="s">
        <v>35</v>
      </c>
      <c r="E1950" t="s">
        <v>36</v>
      </c>
      <c r="F1950" t="s">
        <v>37</v>
      </c>
      <c r="G1950">
        <v>385</v>
      </c>
      <c r="H1950" t="s">
        <v>5908</v>
      </c>
      <c r="I1950" t="s">
        <v>5909</v>
      </c>
      <c r="J1950" t="s">
        <v>161</v>
      </c>
      <c r="O1950" t="s">
        <v>5910</v>
      </c>
      <c r="P1950">
        <v>401</v>
      </c>
      <c r="Q1950">
        <v>409.8</v>
      </c>
      <c r="R1950">
        <v>401</v>
      </c>
      <c r="S1950">
        <v>408.85</v>
      </c>
      <c r="T1950">
        <v>408.9</v>
      </c>
      <c r="U1950">
        <v>403.2</v>
      </c>
      <c r="W1950">
        <v>408.86</v>
      </c>
      <c r="Z1950">
        <v>124819</v>
      </c>
      <c r="AA1950">
        <v>50637470.600000001</v>
      </c>
      <c r="AB1950">
        <v>8167</v>
      </c>
      <c r="AC1950" t="s">
        <v>42</v>
      </c>
      <c r="AD1950">
        <v>1</v>
      </c>
    </row>
    <row r="1951" spans="1:30">
      <c r="A1951" t="str">
        <f>CONCATENATE(I1951,J1951)</f>
        <v>MAITHANALLEQ</v>
      </c>
      <c r="B1951" s="34">
        <v>46273</v>
      </c>
      <c r="C1951" s="34">
        <v>46273</v>
      </c>
      <c r="D1951" t="s">
        <v>35</v>
      </c>
      <c r="E1951" t="s">
        <v>36</v>
      </c>
      <c r="F1951" t="s">
        <v>37</v>
      </c>
      <c r="G1951">
        <v>24538</v>
      </c>
      <c r="H1951" t="s">
        <v>5911</v>
      </c>
      <c r="I1951" t="s">
        <v>5912</v>
      </c>
      <c r="J1951" t="s">
        <v>161</v>
      </c>
      <c r="O1951" t="s">
        <v>5913</v>
      </c>
      <c r="P1951">
        <v>1119.4000000000001</v>
      </c>
      <c r="Q1951">
        <v>1119.4000000000001</v>
      </c>
      <c r="R1951">
        <v>1058.45</v>
      </c>
      <c r="S1951">
        <v>1061.2</v>
      </c>
      <c r="T1951">
        <v>1065</v>
      </c>
      <c r="U1951">
        <v>1103.8499999999999</v>
      </c>
      <c r="W1951">
        <v>1061.21</v>
      </c>
      <c r="Z1951">
        <v>147472</v>
      </c>
      <c r="AA1951">
        <v>158661442.15000001</v>
      </c>
      <c r="AB1951">
        <v>8755</v>
      </c>
      <c r="AC1951" t="s">
        <v>42</v>
      </c>
      <c r="AD1951">
        <v>1</v>
      </c>
    </row>
    <row r="1952" spans="1:30">
      <c r="A1952" t="str">
        <f>CONCATENATE(I1952,J1952)</f>
        <v>MAITREYASM</v>
      </c>
      <c r="B1952" s="34">
        <v>46273</v>
      </c>
      <c r="C1952" s="34">
        <v>46273</v>
      </c>
      <c r="D1952" t="s">
        <v>35</v>
      </c>
      <c r="E1952" t="s">
        <v>36</v>
      </c>
      <c r="F1952" t="s">
        <v>37</v>
      </c>
      <c r="G1952">
        <v>19809</v>
      </c>
      <c r="H1952" t="s">
        <v>5914</v>
      </c>
      <c r="I1952" t="s">
        <v>5915</v>
      </c>
      <c r="J1952" t="s">
        <v>267</v>
      </c>
      <c r="O1952" t="s">
        <v>5916</v>
      </c>
      <c r="P1952">
        <v>116</v>
      </c>
      <c r="Q1952">
        <v>121</v>
      </c>
      <c r="R1952">
        <v>116</v>
      </c>
      <c r="S1952">
        <v>121</v>
      </c>
      <c r="T1952">
        <v>121</v>
      </c>
      <c r="U1952">
        <v>116</v>
      </c>
      <c r="W1952">
        <v>121</v>
      </c>
      <c r="Z1952">
        <v>1600</v>
      </c>
      <c r="AA1952">
        <v>189960</v>
      </c>
      <c r="AB1952">
        <v>4</v>
      </c>
      <c r="AC1952" t="s">
        <v>42</v>
      </c>
      <c r="AD1952">
        <v>400</v>
      </c>
    </row>
    <row r="1953" spans="1:30">
      <c r="A1953" t="str">
        <f>CONCATENATE(I1953,J1953)</f>
        <v>MAJESAUTBE</v>
      </c>
      <c r="B1953" s="34">
        <v>46273</v>
      </c>
      <c r="C1953" s="34">
        <v>46273</v>
      </c>
      <c r="D1953" t="s">
        <v>35</v>
      </c>
      <c r="E1953" t="s">
        <v>36</v>
      </c>
      <c r="F1953" t="s">
        <v>37</v>
      </c>
      <c r="G1953">
        <v>762780</v>
      </c>
      <c r="H1953" t="s">
        <v>5917</v>
      </c>
      <c r="I1953" t="s">
        <v>5918</v>
      </c>
      <c r="J1953" t="s">
        <v>183</v>
      </c>
      <c r="O1953" t="s">
        <v>5919</v>
      </c>
      <c r="P1953">
        <v>359</v>
      </c>
      <c r="Q1953">
        <v>359.95</v>
      </c>
      <c r="R1953">
        <v>351.15</v>
      </c>
      <c r="S1953">
        <v>355.9</v>
      </c>
      <c r="T1953">
        <v>354.05</v>
      </c>
      <c r="U1953">
        <v>352.15</v>
      </c>
      <c r="W1953">
        <v>355.05</v>
      </c>
      <c r="Z1953">
        <v>2616</v>
      </c>
      <c r="AA1953">
        <v>933551.5</v>
      </c>
      <c r="AB1953">
        <v>135</v>
      </c>
      <c r="AC1953" t="s">
        <v>42</v>
      </c>
      <c r="AD1953">
        <v>1</v>
      </c>
    </row>
    <row r="1954" spans="1:30">
      <c r="A1954" t="str">
        <f>CONCATENATE(I1954,J1954)</f>
        <v>MAKERSLEQ</v>
      </c>
      <c r="B1954" s="34">
        <v>46273</v>
      </c>
      <c r="C1954" s="34">
        <v>46273</v>
      </c>
      <c r="D1954" t="s">
        <v>35</v>
      </c>
      <c r="E1954" t="s">
        <v>36</v>
      </c>
      <c r="F1954" t="s">
        <v>37</v>
      </c>
      <c r="G1954">
        <v>764773</v>
      </c>
      <c r="H1954" t="s">
        <v>5920</v>
      </c>
      <c r="I1954" t="s">
        <v>5921</v>
      </c>
      <c r="J1954" t="s">
        <v>161</v>
      </c>
      <c r="O1954" t="s">
        <v>5922</v>
      </c>
      <c r="P1954">
        <v>191</v>
      </c>
      <c r="Q1954">
        <v>191</v>
      </c>
      <c r="R1954">
        <v>182.01</v>
      </c>
      <c r="S1954">
        <v>184.63</v>
      </c>
      <c r="T1954">
        <v>182.01</v>
      </c>
      <c r="U1954">
        <v>186.75</v>
      </c>
      <c r="W1954">
        <v>184.63</v>
      </c>
      <c r="Z1954">
        <v>1226</v>
      </c>
      <c r="AA1954">
        <v>230514.22</v>
      </c>
      <c r="AB1954">
        <v>60</v>
      </c>
      <c r="AC1954" t="s">
        <v>42</v>
      </c>
      <c r="AD1954">
        <v>1</v>
      </c>
    </row>
    <row r="1955" spans="1:30">
      <c r="A1955" t="str">
        <f>CONCATENATE(I1955,J1955)</f>
        <v>MAKSSM</v>
      </c>
      <c r="B1955" s="34">
        <v>46273</v>
      </c>
      <c r="C1955" s="34">
        <v>46273</v>
      </c>
      <c r="D1955" t="s">
        <v>35</v>
      </c>
      <c r="E1955" t="s">
        <v>36</v>
      </c>
      <c r="F1955" t="s">
        <v>37</v>
      </c>
      <c r="G1955">
        <v>11218</v>
      </c>
      <c r="H1955" t="s">
        <v>5923</v>
      </c>
      <c r="I1955" t="s">
        <v>5924</v>
      </c>
      <c r="J1955" t="s">
        <v>267</v>
      </c>
      <c r="O1955" t="s">
        <v>5925</v>
      </c>
      <c r="P1955">
        <v>16.600000000000001</v>
      </c>
      <c r="Q1955">
        <v>16.600000000000001</v>
      </c>
      <c r="R1955">
        <v>16.600000000000001</v>
      </c>
      <c r="S1955">
        <v>16.600000000000001</v>
      </c>
      <c r="T1955">
        <v>16.600000000000001</v>
      </c>
      <c r="U1955">
        <v>15.85</v>
      </c>
      <c r="W1955">
        <v>16.600000000000001</v>
      </c>
      <c r="Z1955">
        <v>6000</v>
      </c>
      <c r="AA1955">
        <v>99600</v>
      </c>
      <c r="AB1955">
        <v>4</v>
      </c>
      <c r="AC1955" t="s">
        <v>42</v>
      </c>
      <c r="AD1955">
        <v>1500</v>
      </c>
    </row>
    <row r="1956" spans="1:30">
      <c r="A1956" t="str">
        <f>CONCATENATE(I1956,J1956)</f>
        <v>MALLCOMEQ</v>
      </c>
      <c r="B1956" s="34">
        <v>46273</v>
      </c>
      <c r="C1956" s="34">
        <v>46273</v>
      </c>
      <c r="D1956" t="s">
        <v>35</v>
      </c>
      <c r="E1956" t="s">
        <v>36</v>
      </c>
      <c r="F1956" t="s">
        <v>37</v>
      </c>
      <c r="G1956">
        <v>7965</v>
      </c>
      <c r="H1956" t="s">
        <v>5926</v>
      </c>
      <c r="I1956" t="s">
        <v>5927</v>
      </c>
      <c r="J1956" t="s">
        <v>161</v>
      </c>
      <c r="O1956" t="s">
        <v>5928</v>
      </c>
      <c r="P1956">
        <v>962.55</v>
      </c>
      <c r="Q1956">
        <v>999.9</v>
      </c>
      <c r="R1956">
        <v>962.55</v>
      </c>
      <c r="S1956">
        <v>981.65</v>
      </c>
      <c r="T1956">
        <v>977.65</v>
      </c>
      <c r="U1956">
        <v>977.3</v>
      </c>
      <c r="W1956">
        <v>981.44</v>
      </c>
      <c r="Z1956">
        <v>3595</v>
      </c>
      <c r="AA1956">
        <v>3543411.55</v>
      </c>
      <c r="AB1956">
        <v>406</v>
      </c>
      <c r="AC1956" t="s">
        <v>42</v>
      </c>
      <c r="AD1956">
        <v>1</v>
      </c>
    </row>
    <row r="1957" spans="1:30">
      <c r="A1957" t="str">
        <f>CONCATENATE(I1957,J1957)</f>
        <v>MALUPAPEREQ</v>
      </c>
      <c r="B1957" s="34">
        <v>46273</v>
      </c>
      <c r="C1957" s="34">
        <v>46273</v>
      </c>
      <c r="D1957" t="s">
        <v>35</v>
      </c>
      <c r="E1957" t="s">
        <v>36</v>
      </c>
      <c r="F1957" t="s">
        <v>37</v>
      </c>
      <c r="G1957">
        <v>13352</v>
      </c>
      <c r="H1957" t="s">
        <v>5929</v>
      </c>
      <c r="I1957" t="s">
        <v>5930</v>
      </c>
      <c r="J1957" t="s">
        <v>161</v>
      </c>
      <c r="O1957" t="s">
        <v>5931</v>
      </c>
      <c r="P1957">
        <v>33.44</v>
      </c>
      <c r="Q1957">
        <v>34.770000000000003</v>
      </c>
      <c r="R1957">
        <v>33.1</v>
      </c>
      <c r="S1957">
        <v>34.590000000000003</v>
      </c>
      <c r="T1957">
        <v>34.74</v>
      </c>
      <c r="U1957">
        <v>33.07</v>
      </c>
      <c r="W1957">
        <v>34.590000000000003</v>
      </c>
      <c r="Z1957">
        <v>95722</v>
      </c>
      <c r="AA1957">
        <v>3288097.54</v>
      </c>
      <c r="AB1957">
        <v>817</v>
      </c>
      <c r="AC1957" t="s">
        <v>42</v>
      </c>
      <c r="AD1957">
        <v>1</v>
      </c>
    </row>
    <row r="1958" spans="1:30">
      <c r="A1958" t="str">
        <f>CONCATENATE(I1958,J1958)</f>
        <v>MAMATAEQ</v>
      </c>
      <c r="B1958" s="34">
        <v>46273</v>
      </c>
      <c r="C1958" s="34">
        <v>46273</v>
      </c>
      <c r="D1958" t="s">
        <v>35</v>
      </c>
      <c r="E1958" t="s">
        <v>36</v>
      </c>
      <c r="F1958" t="s">
        <v>37</v>
      </c>
      <c r="G1958">
        <v>28687</v>
      </c>
      <c r="H1958" t="s">
        <v>5932</v>
      </c>
      <c r="I1958" t="s">
        <v>5933</v>
      </c>
      <c r="J1958" t="s">
        <v>161</v>
      </c>
      <c r="O1958" t="s">
        <v>5934</v>
      </c>
      <c r="P1958">
        <v>410.45</v>
      </c>
      <c r="Q1958">
        <v>428.9</v>
      </c>
      <c r="R1958">
        <v>410</v>
      </c>
      <c r="S1958">
        <v>425.7</v>
      </c>
      <c r="T1958">
        <v>425</v>
      </c>
      <c r="U1958">
        <v>413.5</v>
      </c>
      <c r="W1958">
        <v>425.72</v>
      </c>
      <c r="Z1958">
        <v>107076</v>
      </c>
      <c r="AA1958">
        <v>45087677.5</v>
      </c>
      <c r="AB1958">
        <v>4132</v>
      </c>
      <c r="AC1958" t="s">
        <v>42</v>
      </c>
      <c r="AD1958">
        <v>1</v>
      </c>
    </row>
    <row r="1959" spans="1:30">
      <c r="A1959" t="str">
        <f>CONCATENATE(I1959,J1959)</f>
        <v>MANAKCOATEQ</v>
      </c>
      <c r="B1959" s="34">
        <v>46273</v>
      </c>
      <c r="C1959" s="34">
        <v>46273</v>
      </c>
      <c r="D1959" t="s">
        <v>35</v>
      </c>
      <c r="E1959" t="s">
        <v>36</v>
      </c>
      <c r="F1959" t="s">
        <v>37</v>
      </c>
      <c r="G1959">
        <v>7413</v>
      </c>
      <c r="H1959" t="s">
        <v>5935</v>
      </c>
      <c r="I1959" t="s">
        <v>5936</v>
      </c>
      <c r="J1959" t="s">
        <v>161</v>
      </c>
      <c r="O1959" t="s">
        <v>5937</v>
      </c>
      <c r="P1959">
        <v>120.8</v>
      </c>
      <c r="Q1959">
        <v>124</v>
      </c>
      <c r="R1959">
        <v>118.15</v>
      </c>
      <c r="S1959">
        <v>122.93</v>
      </c>
      <c r="T1959">
        <v>123.8</v>
      </c>
      <c r="U1959">
        <v>121.15</v>
      </c>
      <c r="W1959">
        <v>122.9</v>
      </c>
      <c r="Z1959">
        <v>184446</v>
      </c>
      <c r="AA1959">
        <v>22451982.579999998</v>
      </c>
      <c r="AB1959">
        <v>1896</v>
      </c>
      <c r="AC1959" t="s">
        <v>42</v>
      </c>
      <c r="AD1959">
        <v>1</v>
      </c>
    </row>
    <row r="1960" spans="1:30">
      <c r="A1960" t="str">
        <f>CONCATENATE(I1960,J1960)</f>
        <v>MANINDSEQ</v>
      </c>
      <c r="B1960" s="34">
        <v>46273</v>
      </c>
      <c r="C1960" s="34">
        <v>46273</v>
      </c>
      <c r="D1960" t="s">
        <v>35</v>
      </c>
      <c r="E1960" t="s">
        <v>36</v>
      </c>
      <c r="F1960" t="s">
        <v>37</v>
      </c>
      <c r="G1960">
        <v>11884</v>
      </c>
      <c r="H1960" t="s">
        <v>5938</v>
      </c>
      <c r="I1960" t="s">
        <v>5939</v>
      </c>
      <c r="J1960" t="s">
        <v>161</v>
      </c>
      <c r="O1960" t="s">
        <v>5940</v>
      </c>
      <c r="P1960">
        <v>829.4</v>
      </c>
      <c r="Q1960">
        <v>844.4</v>
      </c>
      <c r="R1960">
        <v>809.5</v>
      </c>
      <c r="S1960">
        <v>821.7</v>
      </c>
      <c r="T1960">
        <v>817.1</v>
      </c>
      <c r="U1960">
        <v>819.4</v>
      </c>
      <c r="W1960">
        <v>821.74</v>
      </c>
      <c r="Z1960">
        <v>728342</v>
      </c>
      <c r="AA1960">
        <v>602633385.75</v>
      </c>
      <c r="AB1960">
        <v>29918</v>
      </c>
      <c r="AC1960" t="s">
        <v>42</v>
      </c>
      <c r="AD1960">
        <v>1</v>
      </c>
    </row>
    <row r="1961" spans="1:30">
      <c r="A1961" t="str">
        <f>CONCATENATE(I1961,J1961)</f>
        <v>MANINFRAEQ</v>
      </c>
      <c r="B1961" s="34">
        <v>46273</v>
      </c>
      <c r="C1961" s="34">
        <v>46273</v>
      </c>
      <c r="D1961" t="s">
        <v>35</v>
      </c>
      <c r="E1961" t="s">
        <v>36</v>
      </c>
      <c r="F1961" t="s">
        <v>37</v>
      </c>
      <c r="G1961">
        <v>18226</v>
      </c>
      <c r="H1961" t="s">
        <v>5941</v>
      </c>
      <c r="I1961" t="s">
        <v>5942</v>
      </c>
      <c r="J1961" t="s">
        <v>161</v>
      </c>
      <c r="O1961" t="s">
        <v>5943</v>
      </c>
      <c r="P1961">
        <v>124.75</v>
      </c>
      <c r="Q1961">
        <v>131</v>
      </c>
      <c r="R1961">
        <v>123.15</v>
      </c>
      <c r="S1961">
        <v>127.75</v>
      </c>
      <c r="T1961">
        <v>127.8</v>
      </c>
      <c r="U1961">
        <v>124.42</v>
      </c>
      <c r="W1961">
        <v>127.75</v>
      </c>
      <c r="Z1961">
        <v>4913934</v>
      </c>
      <c r="AA1961">
        <v>632976143.25</v>
      </c>
      <c r="AB1961">
        <v>23159</v>
      </c>
      <c r="AC1961" t="s">
        <v>42</v>
      </c>
      <c r="AD1961">
        <v>1</v>
      </c>
    </row>
    <row r="1962" spans="1:30">
      <c r="A1962" t="str">
        <f>CONCATENATE(I1962,J1962)</f>
        <v>MANAKALUCOEQ</v>
      </c>
      <c r="B1962" s="34">
        <v>46273</v>
      </c>
      <c r="C1962" s="34">
        <v>46273</v>
      </c>
      <c r="D1962" t="s">
        <v>35</v>
      </c>
      <c r="E1962" t="s">
        <v>36</v>
      </c>
      <c r="F1962" t="s">
        <v>37</v>
      </c>
      <c r="G1962">
        <v>7420</v>
      </c>
      <c r="H1962" t="s">
        <v>5944</v>
      </c>
      <c r="I1962" t="s">
        <v>5945</v>
      </c>
      <c r="J1962" t="s">
        <v>161</v>
      </c>
      <c r="O1962" t="s">
        <v>5946</v>
      </c>
      <c r="P1962">
        <v>39.65</v>
      </c>
      <c r="Q1962">
        <v>41.8</v>
      </c>
      <c r="R1962">
        <v>38.11</v>
      </c>
      <c r="S1962">
        <v>39.22</v>
      </c>
      <c r="T1962">
        <v>39.39</v>
      </c>
      <c r="U1962">
        <v>39.44</v>
      </c>
      <c r="W1962">
        <v>39.29</v>
      </c>
      <c r="Z1962">
        <v>260095</v>
      </c>
      <c r="AA1962">
        <v>10420117.65</v>
      </c>
      <c r="AB1962">
        <v>2114</v>
      </c>
      <c r="AC1962" t="s">
        <v>42</v>
      </c>
      <c r="AD1962">
        <v>1</v>
      </c>
    </row>
    <row r="1963" spans="1:30">
      <c r="A1963" t="str">
        <f>CONCATENATE(I1963,J1963)</f>
        <v>MANAKSIAEQ</v>
      </c>
      <c r="B1963" s="34">
        <v>46273</v>
      </c>
      <c r="C1963" s="34">
        <v>46273</v>
      </c>
      <c r="D1963" t="s">
        <v>35</v>
      </c>
      <c r="E1963" t="s">
        <v>36</v>
      </c>
      <c r="F1963" t="s">
        <v>37</v>
      </c>
      <c r="G1963">
        <v>15199</v>
      </c>
      <c r="H1963" t="s">
        <v>5947</v>
      </c>
      <c r="I1963" t="s">
        <v>5948</v>
      </c>
      <c r="J1963" t="s">
        <v>161</v>
      </c>
      <c r="O1963" t="s">
        <v>5949</v>
      </c>
      <c r="P1963">
        <v>67.900000000000006</v>
      </c>
      <c r="Q1963">
        <v>70</v>
      </c>
      <c r="R1963">
        <v>65.010000000000005</v>
      </c>
      <c r="S1963">
        <v>67.72</v>
      </c>
      <c r="T1963">
        <v>67.989999999999995</v>
      </c>
      <c r="U1963">
        <v>66.36</v>
      </c>
      <c r="W1963">
        <v>67.77</v>
      </c>
      <c r="Z1963">
        <v>256172</v>
      </c>
      <c r="AA1963">
        <v>17494743.210000001</v>
      </c>
      <c r="AB1963">
        <v>2102</v>
      </c>
      <c r="AC1963" t="s">
        <v>42</v>
      </c>
      <c r="AD1963">
        <v>1</v>
      </c>
    </row>
    <row r="1964" spans="1:30">
      <c r="A1964" t="str">
        <f>CONCATENATE(I1964,J1964)</f>
        <v>MANAKSTEELBE</v>
      </c>
      <c r="B1964" s="34">
        <v>46273</v>
      </c>
      <c r="C1964" s="34">
        <v>46273</v>
      </c>
      <c r="D1964" t="s">
        <v>35</v>
      </c>
      <c r="E1964" t="s">
        <v>36</v>
      </c>
      <c r="F1964" t="s">
        <v>37</v>
      </c>
      <c r="G1964">
        <v>7482</v>
      </c>
      <c r="H1964" t="s">
        <v>5950</v>
      </c>
      <c r="I1964" t="s">
        <v>5951</v>
      </c>
      <c r="J1964" t="s">
        <v>183</v>
      </c>
      <c r="O1964" t="s">
        <v>5952</v>
      </c>
      <c r="P1964">
        <v>106.41</v>
      </c>
      <c r="Q1964">
        <v>107.5</v>
      </c>
      <c r="R1964">
        <v>104</v>
      </c>
      <c r="S1964">
        <v>104.33</v>
      </c>
      <c r="T1964">
        <v>105</v>
      </c>
      <c r="U1964">
        <v>106.41</v>
      </c>
      <c r="W1964">
        <v>104.57</v>
      </c>
      <c r="Z1964">
        <v>47505</v>
      </c>
      <c r="AA1964">
        <v>5013731</v>
      </c>
      <c r="AB1964">
        <v>256</v>
      </c>
      <c r="AC1964" t="s">
        <v>42</v>
      </c>
      <c r="AD1964">
        <v>1</v>
      </c>
    </row>
    <row r="1965" spans="1:30">
      <c r="A1965" t="str">
        <f>CONCATENATE(I1965,J1965)</f>
        <v>MANALIPETCEQ</v>
      </c>
      <c r="B1965" s="34">
        <v>46273</v>
      </c>
      <c r="C1965" s="34">
        <v>46273</v>
      </c>
      <c r="D1965" t="s">
        <v>35</v>
      </c>
      <c r="E1965" t="s">
        <v>36</v>
      </c>
      <c r="F1965" t="s">
        <v>37</v>
      </c>
      <c r="G1965">
        <v>13796</v>
      </c>
      <c r="H1965" t="s">
        <v>5953</v>
      </c>
      <c r="I1965" t="s">
        <v>5954</v>
      </c>
      <c r="J1965" t="s">
        <v>161</v>
      </c>
      <c r="O1965" t="s">
        <v>5955</v>
      </c>
      <c r="P1965">
        <v>86</v>
      </c>
      <c r="Q1965">
        <v>93</v>
      </c>
      <c r="R1965">
        <v>85</v>
      </c>
      <c r="S1965">
        <v>90.08</v>
      </c>
      <c r="T1965">
        <v>89.8</v>
      </c>
      <c r="U1965">
        <v>86.16</v>
      </c>
      <c r="W1965">
        <v>90.08</v>
      </c>
      <c r="Z1965">
        <v>8519441</v>
      </c>
      <c r="AA1965">
        <v>766286767.61000001</v>
      </c>
      <c r="AB1965">
        <v>42146</v>
      </c>
      <c r="AC1965" t="s">
        <v>42</v>
      </c>
      <c r="AD1965">
        <v>1</v>
      </c>
    </row>
    <row r="1966" spans="1:30">
      <c r="A1966" t="str">
        <f>CONCATENATE(I1966,J1966)</f>
        <v>MANAPPURAMEQ</v>
      </c>
      <c r="B1966" s="34">
        <v>46273</v>
      </c>
      <c r="C1966" s="34">
        <v>46273</v>
      </c>
      <c r="D1966" t="s">
        <v>35</v>
      </c>
      <c r="E1966" t="s">
        <v>36</v>
      </c>
      <c r="F1966" t="s">
        <v>37</v>
      </c>
      <c r="G1966">
        <v>19061</v>
      </c>
      <c r="H1966" t="s">
        <v>5956</v>
      </c>
      <c r="I1966" t="s">
        <v>5957</v>
      </c>
      <c r="J1966" t="s">
        <v>161</v>
      </c>
      <c r="O1966" t="s">
        <v>5958</v>
      </c>
      <c r="P1966">
        <v>328.05</v>
      </c>
      <c r="Q1966">
        <v>329</v>
      </c>
      <c r="R1966">
        <v>323.39999999999998</v>
      </c>
      <c r="S1966">
        <v>325</v>
      </c>
      <c r="T1966">
        <v>325</v>
      </c>
      <c r="U1966">
        <v>325.60000000000002</v>
      </c>
      <c r="W1966">
        <v>325.01</v>
      </c>
      <c r="Z1966">
        <v>2253307</v>
      </c>
      <c r="AA1966">
        <v>734464560.70000005</v>
      </c>
      <c r="AB1966">
        <v>23830</v>
      </c>
      <c r="AC1966" t="s">
        <v>42</v>
      </c>
      <c r="AD1966">
        <v>1</v>
      </c>
    </row>
    <row r="1967" spans="1:30">
      <c r="A1967" t="str">
        <f>CONCATENATE(I1967,J1967)</f>
        <v>MPEL-REST</v>
      </c>
      <c r="B1967" s="34">
        <v>46273</v>
      </c>
      <c r="C1967" s="34">
        <v>46273</v>
      </c>
      <c r="D1967" t="s">
        <v>35</v>
      </c>
      <c r="E1967" t="s">
        <v>36</v>
      </c>
      <c r="F1967" t="s">
        <v>37</v>
      </c>
      <c r="G1967">
        <v>765927</v>
      </c>
      <c r="H1967" t="s">
        <v>5959</v>
      </c>
      <c r="I1967" t="s">
        <v>5960</v>
      </c>
      <c r="J1967" t="s">
        <v>328</v>
      </c>
      <c r="O1967" t="s">
        <v>5961</v>
      </c>
      <c r="P1967">
        <v>6.85</v>
      </c>
      <c r="Q1967">
        <v>7</v>
      </c>
      <c r="R1967">
        <v>6.85</v>
      </c>
      <c r="S1967">
        <v>6.85</v>
      </c>
      <c r="T1967">
        <v>6.85</v>
      </c>
      <c r="U1967">
        <v>11.35</v>
      </c>
      <c r="W1967">
        <v>6.85</v>
      </c>
      <c r="Z1967">
        <v>35200</v>
      </c>
      <c r="AA1967">
        <v>241600</v>
      </c>
      <c r="AB1967">
        <v>10</v>
      </c>
      <c r="AC1967" t="s">
        <v>42</v>
      </c>
      <c r="AD1967">
        <v>3200</v>
      </c>
    </row>
    <row r="1968" spans="1:30">
      <c r="A1968" t="str">
        <f>CONCATENATE(I1968,J1968)</f>
        <v>MPELST</v>
      </c>
      <c r="B1968" s="34">
        <v>46273</v>
      </c>
      <c r="C1968" s="34">
        <v>46273</v>
      </c>
      <c r="D1968" t="s">
        <v>35</v>
      </c>
      <c r="E1968" t="s">
        <v>36</v>
      </c>
      <c r="F1968" t="s">
        <v>37</v>
      </c>
      <c r="G1968">
        <v>759354</v>
      </c>
      <c r="H1968" t="s">
        <v>5962</v>
      </c>
      <c r="I1968" t="s">
        <v>5963</v>
      </c>
      <c r="J1968" t="s">
        <v>328</v>
      </c>
      <c r="O1968" t="s">
        <v>5964</v>
      </c>
      <c r="P1968">
        <v>26.05</v>
      </c>
      <c r="Q1968">
        <v>26.05</v>
      </c>
      <c r="R1968">
        <v>26</v>
      </c>
      <c r="S1968">
        <v>26</v>
      </c>
      <c r="T1968">
        <v>26</v>
      </c>
      <c r="U1968">
        <v>27.35</v>
      </c>
      <c r="W1968">
        <v>26</v>
      </c>
      <c r="Z1968">
        <v>9600</v>
      </c>
      <c r="AA1968">
        <v>249680</v>
      </c>
      <c r="AB1968">
        <v>6</v>
      </c>
      <c r="AC1968" t="s">
        <v>42</v>
      </c>
      <c r="AD1968">
        <v>1600</v>
      </c>
    </row>
    <row r="1969" spans="1:30">
      <c r="A1969" t="str">
        <f>CONCATENATE(I1969,J1969)</f>
        <v>MANBAEQ</v>
      </c>
      <c r="B1969" s="34">
        <v>46273</v>
      </c>
      <c r="C1969" s="34">
        <v>46273</v>
      </c>
      <c r="D1969" t="s">
        <v>35</v>
      </c>
      <c r="E1969" t="s">
        <v>36</v>
      </c>
      <c r="F1969" t="s">
        <v>37</v>
      </c>
      <c r="G1969">
        <v>25597</v>
      </c>
      <c r="H1969" t="s">
        <v>5965</v>
      </c>
      <c r="I1969" t="s">
        <v>5966</v>
      </c>
      <c r="J1969" t="s">
        <v>161</v>
      </c>
      <c r="O1969" t="s">
        <v>5967</v>
      </c>
      <c r="P1969">
        <v>132</v>
      </c>
      <c r="Q1969">
        <v>134.38</v>
      </c>
      <c r="R1969">
        <v>129.5</v>
      </c>
      <c r="S1969">
        <v>130.66999999999999</v>
      </c>
      <c r="T1969">
        <v>129.5</v>
      </c>
      <c r="U1969">
        <v>130.79</v>
      </c>
      <c r="W1969">
        <v>130.66999999999999</v>
      </c>
      <c r="Z1969">
        <v>73039</v>
      </c>
      <c r="AA1969">
        <v>9567454.0199999996</v>
      </c>
      <c r="AB1969">
        <v>446</v>
      </c>
      <c r="AC1969" t="s">
        <v>42</v>
      </c>
      <c r="AD1969">
        <v>1</v>
      </c>
    </row>
    <row r="1970" spans="1:30">
      <c r="A1970" t="str">
        <f>CONCATENATE(I1970,J1970)</f>
        <v>MANDEEPSM</v>
      </c>
      <c r="B1970" s="34">
        <v>46273</v>
      </c>
      <c r="C1970" s="34">
        <v>46273</v>
      </c>
      <c r="D1970" t="s">
        <v>35</v>
      </c>
      <c r="E1970" t="s">
        <v>36</v>
      </c>
      <c r="F1970" t="s">
        <v>37</v>
      </c>
      <c r="G1970">
        <v>23779</v>
      </c>
      <c r="H1970" t="s">
        <v>5968</v>
      </c>
      <c r="I1970" t="s">
        <v>5969</v>
      </c>
      <c r="J1970" t="s">
        <v>267</v>
      </c>
      <c r="O1970" t="s">
        <v>5970</v>
      </c>
      <c r="P1970">
        <v>17.3</v>
      </c>
      <c r="Q1970">
        <v>17.3</v>
      </c>
      <c r="R1970">
        <v>17.2</v>
      </c>
      <c r="S1970">
        <v>17.2</v>
      </c>
      <c r="T1970">
        <v>17.2</v>
      </c>
      <c r="U1970">
        <v>18</v>
      </c>
      <c r="W1970">
        <v>17.2</v>
      </c>
      <c r="Z1970">
        <v>4000</v>
      </c>
      <c r="AA1970">
        <v>69000</v>
      </c>
      <c r="AB1970">
        <v>2</v>
      </c>
      <c r="AC1970" t="s">
        <v>42</v>
      </c>
      <c r="AD1970">
        <v>2000</v>
      </c>
    </row>
    <row r="1971" spans="1:30">
      <c r="A1971" t="str">
        <f>CONCATENATE(I1971,J1971)</f>
        <v>MANCREDITEQ</v>
      </c>
      <c r="B1971" s="34">
        <v>46273</v>
      </c>
      <c r="C1971" s="34">
        <v>46273</v>
      </c>
      <c r="D1971" t="s">
        <v>35</v>
      </c>
      <c r="E1971" t="s">
        <v>36</v>
      </c>
      <c r="F1971" t="s">
        <v>37</v>
      </c>
      <c r="G1971">
        <v>24823</v>
      </c>
      <c r="H1971" t="s">
        <v>5971</v>
      </c>
      <c r="I1971" t="s">
        <v>5972</v>
      </c>
      <c r="J1971" t="s">
        <v>161</v>
      </c>
      <c r="O1971" t="s">
        <v>5973</v>
      </c>
      <c r="P1971">
        <v>225.96</v>
      </c>
      <c r="Q1971">
        <v>227.39</v>
      </c>
      <c r="R1971">
        <v>218.1</v>
      </c>
      <c r="S1971">
        <v>221.22</v>
      </c>
      <c r="T1971">
        <v>221.1</v>
      </c>
      <c r="U1971">
        <v>226.94</v>
      </c>
      <c r="W1971">
        <v>221.27</v>
      </c>
      <c r="Z1971">
        <v>142107</v>
      </c>
      <c r="AA1971">
        <v>31856127.5</v>
      </c>
      <c r="AB1971">
        <v>1491</v>
      </c>
      <c r="AC1971" t="s">
        <v>42</v>
      </c>
      <c r="AD1971">
        <v>1</v>
      </c>
    </row>
    <row r="1972" spans="1:30">
      <c r="A1972" t="str">
        <f>CONCATENATE(I1972,J1972)</f>
        <v>MEILEQ</v>
      </c>
      <c r="B1972" s="34">
        <v>46273</v>
      </c>
      <c r="C1972" s="34">
        <v>46273</v>
      </c>
      <c r="D1972" t="s">
        <v>35</v>
      </c>
      <c r="E1972" t="s">
        <v>36</v>
      </c>
      <c r="F1972" t="s">
        <v>37</v>
      </c>
      <c r="G1972">
        <v>758748</v>
      </c>
      <c r="H1972" t="s">
        <v>5974</v>
      </c>
      <c r="I1972" t="s">
        <v>5975</v>
      </c>
      <c r="J1972" t="s">
        <v>161</v>
      </c>
      <c r="O1972" t="s">
        <v>5976</v>
      </c>
      <c r="P1972">
        <v>276.95</v>
      </c>
      <c r="Q1972">
        <v>290</v>
      </c>
      <c r="R1972">
        <v>276.95</v>
      </c>
      <c r="S1972">
        <v>286.7</v>
      </c>
      <c r="T1972">
        <v>283.35000000000002</v>
      </c>
      <c r="U1972">
        <v>279.25</v>
      </c>
      <c r="W1972">
        <v>286.54000000000002</v>
      </c>
      <c r="Z1972">
        <v>58432</v>
      </c>
      <c r="AA1972">
        <v>16590840.800000001</v>
      </c>
      <c r="AB1972">
        <v>1075</v>
      </c>
      <c r="AC1972" t="s">
        <v>42</v>
      </c>
      <c r="AD1972">
        <v>1</v>
      </c>
    </row>
    <row r="1973" spans="1:30">
      <c r="A1973" t="str">
        <f>CONCATENATE(I1973,J1973)</f>
        <v>MALSM</v>
      </c>
      <c r="B1973" s="34">
        <v>46273</v>
      </c>
      <c r="C1973" s="34">
        <v>46273</v>
      </c>
      <c r="D1973" t="s">
        <v>35</v>
      </c>
      <c r="E1973" t="s">
        <v>36</v>
      </c>
      <c r="F1973" t="s">
        <v>37</v>
      </c>
      <c r="G1973">
        <v>19134</v>
      </c>
      <c r="H1973" t="s">
        <v>5977</v>
      </c>
      <c r="I1973" t="s">
        <v>5978</v>
      </c>
      <c r="J1973" t="s">
        <v>267</v>
      </c>
      <c r="O1973" t="s">
        <v>5979</v>
      </c>
      <c r="P1973">
        <v>42.1</v>
      </c>
      <c r="Q1973">
        <v>42.1</v>
      </c>
      <c r="R1973">
        <v>42.1</v>
      </c>
      <c r="S1973">
        <v>42.1</v>
      </c>
      <c r="T1973">
        <v>42.1</v>
      </c>
      <c r="U1973">
        <v>40.1</v>
      </c>
      <c r="W1973">
        <v>42.1</v>
      </c>
      <c r="Z1973">
        <v>54400</v>
      </c>
      <c r="AA1973">
        <v>2290240</v>
      </c>
      <c r="AB1973">
        <v>15</v>
      </c>
      <c r="AC1973" t="s">
        <v>42</v>
      </c>
      <c r="AD1973">
        <v>1600</v>
      </c>
    </row>
    <row r="1974" spans="1:30">
      <c r="A1974" t="str">
        <f>CONCATENATE(I1974,J1974)</f>
        <v>MANGLMCEMEQ</v>
      </c>
      <c r="B1974" s="34">
        <v>46273</v>
      </c>
      <c r="C1974" s="34">
        <v>46273</v>
      </c>
      <c r="D1974" t="s">
        <v>35</v>
      </c>
      <c r="E1974" t="s">
        <v>36</v>
      </c>
      <c r="F1974" t="s">
        <v>37</v>
      </c>
      <c r="G1974">
        <v>2106</v>
      </c>
      <c r="H1974" t="s">
        <v>5980</v>
      </c>
      <c r="I1974" t="s">
        <v>5981</v>
      </c>
      <c r="J1974" t="s">
        <v>161</v>
      </c>
      <c r="O1974" t="s">
        <v>5982</v>
      </c>
      <c r="P1974">
        <v>1084.5999999999999</v>
      </c>
      <c r="Q1974">
        <v>1095</v>
      </c>
      <c r="R1974">
        <v>1054</v>
      </c>
      <c r="S1974">
        <v>1062.5</v>
      </c>
      <c r="T1974">
        <v>1065</v>
      </c>
      <c r="U1974">
        <v>1090.2</v>
      </c>
      <c r="W1974">
        <v>1062.58</v>
      </c>
      <c r="Z1974">
        <v>72542</v>
      </c>
      <c r="AA1974">
        <v>77839495.900000006</v>
      </c>
      <c r="AB1974">
        <v>2750</v>
      </c>
      <c r="AC1974" t="s">
        <v>42</v>
      </c>
      <c r="AD1974">
        <v>1</v>
      </c>
    </row>
    <row r="1975" spans="1:30">
      <c r="A1975" t="str">
        <f>CONCATENATE(I1975,J1975)</f>
        <v>MANGALAMEQ</v>
      </c>
      <c r="B1975" s="34">
        <v>46273</v>
      </c>
      <c r="C1975" s="34">
        <v>46273</v>
      </c>
      <c r="D1975" t="s">
        <v>35</v>
      </c>
      <c r="E1975" t="s">
        <v>36</v>
      </c>
      <c r="F1975" t="s">
        <v>37</v>
      </c>
      <c r="G1975">
        <v>11817</v>
      </c>
      <c r="H1975" t="s">
        <v>5983</v>
      </c>
      <c r="I1975" t="s">
        <v>5984</v>
      </c>
      <c r="J1975" t="s">
        <v>161</v>
      </c>
      <c r="O1975" t="s">
        <v>5985</v>
      </c>
      <c r="P1975">
        <v>30.1</v>
      </c>
      <c r="Q1975">
        <v>30.1</v>
      </c>
      <c r="R1975">
        <v>28.83</v>
      </c>
      <c r="S1975">
        <v>29.33</v>
      </c>
      <c r="T1975">
        <v>29.22</v>
      </c>
      <c r="U1975">
        <v>29.57</v>
      </c>
      <c r="W1975">
        <v>29.33</v>
      </c>
      <c r="Z1975">
        <v>14010</v>
      </c>
      <c r="AA1975">
        <v>412391.52</v>
      </c>
      <c r="AB1975">
        <v>167</v>
      </c>
      <c r="AC1975" t="s">
        <v>42</v>
      </c>
      <c r="AD1975">
        <v>1</v>
      </c>
    </row>
    <row r="1976" spans="1:30">
      <c r="A1976" t="str">
        <f>CONCATENATE(I1976,J1976)</f>
        <v>MGELEQ</v>
      </c>
      <c r="B1976" s="34">
        <v>46273</v>
      </c>
      <c r="C1976" s="34">
        <v>46273</v>
      </c>
      <c r="D1976" t="s">
        <v>35</v>
      </c>
      <c r="E1976" t="s">
        <v>36</v>
      </c>
      <c r="F1976" t="s">
        <v>37</v>
      </c>
      <c r="G1976">
        <v>1593</v>
      </c>
      <c r="H1976" t="s">
        <v>5986</v>
      </c>
      <c r="I1976" t="s">
        <v>5987</v>
      </c>
      <c r="J1976" t="s">
        <v>161</v>
      </c>
      <c r="O1976" t="s">
        <v>5988</v>
      </c>
      <c r="P1976">
        <v>15.9</v>
      </c>
      <c r="Q1976">
        <v>16.2</v>
      </c>
      <c r="R1976">
        <v>15.41</v>
      </c>
      <c r="S1976">
        <v>15.5</v>
      </c>
      <c r="T1976">
        <v>15.5</v>
      </c>
      <c r="U1976">
        <v>15.72</v>
      </c>
      <c r="W1976">
        <v>15.5</v>
      </c>
      <c r="Z1976">
        <v>5958460</v>
      </c>
      <c r="AA1976">
        <v>92401884.840000004</v>
      </c>
      <c r="AB1976">
        <v>1142</v>
      </c>
      <c r="AC1976" t="s">
        <v>42</v>
      </c>
      <c r="AD1976">
        <v>1</v>
      </c>
    </row>
    <row r="1977" spans="1:30">
      <c r="A1977" t="str">
        <f>CONCATENATE(I1977,J1977)</f>
        <v>MANORGEQ</v>
      </c>
      <c r="B1977" s="34">
        <v>46273</v>
      </c>
      <c r="C1977" s="34">
        <v>46273</v>
      </c>
      <c r="D1977" t="s">
        <v>35</v>
      </c>
      <c r="E1977" t="s">
        <v>36</v>
      </c>
      <c r="F1977" t="s">
        <v>37</v>
      </c>
      <c r="G1977">
        <v>6422</v>
      </c>
      <c r="H1977" t="s">
        <v>5989</v>
      </c>
      <c r="I1977" t="s">
        <v>5990</v>
      </c>
      <c r="J1977" t="s">
        <v>161</v>
      </c>
      <c r="O1977" t="s">
        <v>5991</v>
      </c>
      <c r="P1977">
        <v>498.65</v>
      </c>
      <c r="Q1977">
        <v>505.45</v>
      </c>
      <c r="R1977">
        <v>476.15</v>
      </c>
      <c r="S1977">
        <v>496.75</v>
      </c>
      <c r="T1977">
        <v>498.9</v>
      </c>
      <c r="U1977">
        <v>494.7</v>
      </c>
      <c r="W1977">
        <v>496.75</v>
      </c>
      <c r="Z1977">
        <v>10371</v>
      </c>
      <c r="AA1977">
        <v>5091371</v>
      </c>
      <c r="AB1977">
        <v>466</v>
      </c>
      <c r="AC1977" t="s">
        <v>42</v>
      </c>
      <c r="AD1977">
        <v>1</v>
      </c>
    </row>
    <row r="1978" spans="1:30">
      <c r="A1978" t="str">
        <f>CONCATENATE(I1978,J1978)</f>
        <v>MSLEQ</v>
      </c>
      <c r="B1978" s="34">
        <v>46273</v>
      </c>
      <c r="C1978" s="34">
        <v>46273</v>
      </c>
      <c r="D1978" t="s">
        <v>35</v>
      </c>
      <c r="E1978" t="s">
        <v>36</v>
      </c>
      <c r="F1978" t="s">
        <v>37</v>
      </c>
      <c r="G1978">
        <v>764783</v>
      </c>
      <c r="H1978" t="s">
        <v>5992</v>
      </c>
      <c r="I1978" t="s">
        <v>5993</v>
      </c>
      <c r="J1978" t="s">
        <v>161</v>
      </c>
      <c r="O1978" t="s">
        <v>5994</v>
      </c>
      <c r="P1978">
        <v>149</v>
      </c>
      <c r="Q1978">
        <v>150</v>
      </c>
      <c r="R1978">
        <v>140</v>
      </c>
      <c r="S1978">
        <v>140.1</v>
      </c>
      <c r="T1978">
        <v>140.1</v>
      </c>
      <c r="U1978">
        <v>144</v>
      </c>
      <c r="W1978">
        <v>139.05000000000001</v>
      </c>
      <c r="Z1978">
        <v>616</v>
      </c>
      <c r="AA1978">
        <v>91723.45</v>
      </c>
      <c r="AB1978">
        <v>19</v>
      </c>
      <c r="AC1978" t="s">
        <v>42</v>
      </c>
      <c r="AD1978">
        <v>1</v>
      </c>
    </row>
    <row r="1979" spans="1:30">
      <c r="A1979" t="str">
        <f>CONCATENATE(I1979,J1979)</f>
        <v>MWLEQ</v>
      </c>
      <c r="B1979" s="34">
        <v>46273</v>
      </c>
      <c r="C1979" s="34">
        <v>46273</v>
      </c>
      <c r="D1979" t="s">
        <v>35</v>
      </c>
      <c r="E1979" t="s">
        <v>36</v>
      </c>
      <c r="F1979" t="s">
        <v>37</v>
      </c>
      <c r="G1979">
        <v>759169</v>
      </c>
      <c r="H1979" t="s">
        <v>5995</v>
      </c>
      <c r="I1979" t="s">
        <v>5996</v>
      </c>
      <c r="J1979" t="s">
        <v>161</v>
      </c>
      <c r="O1979" t="s">
        <v>5997</v>
      </c>
      <c r="P1979">
        <v>38.93</v>
      </c>
      <c r="Q1979">
        <v>39.35</v>
      </c>
      <c r="R1979">
        <v>37.51</v>
      </c>
      <c r="S1979">
        <v>37.65</v>
      </c>
      <c r="T1979">
        <v>38</v>
      </c>
      <c r="U1979">
        <v>38.5</v>
      </c>
      <c r="W1979">
        <v>37.65</v>
      </c>
      <c r="Z1979">
        <v>242086</v>
      </c>
      <c r="AA1979">
        <v>9220586.6799999997</v>
      </c>
      <c r="AB1979">
        <v>1413</v>
      </c>
      <c r="AC1979" t="s">
        <v>42</v>
      </c>
      <c r="AD1979">
        <v>1</v>
      </c>
    </row>
    <row r="1980" spans="1:30">
      <c r="A1980" t="str">
        <f>CONCATENATE(I1980,J1980)</f>
        <v>MANILAMSM</v>
      </c>
      <c r="B1980" s="34">
        <v>46273</v>
      </c>
      <c r="C1980" s="34">
        <v>46273</v>
      </c>
      <c r="D1980" t="s">
        <v>35</v>
      </c>
      <c r="E1980" t="s">
        <v>36</v>
      </c>
      <c r="F1980" t="s">
        <v>37</v>
      </c>
      <c r="G1980">
        <v>760174</v>
      </c>
      <c r="H1980" t="s">
        <v>5998</v>
      </c>
      <c r="I1980" t="s">
        <v>5999</v>
      </c>
      <c r="J1980" t="s">
        <v>267</v>
      </c>
      <c r="O1980" t="s">
        <v>6000</v>
      </c>
      <c r="P1980">
        <v>46</v>
      </c>
      <c r="Q1980">
        <v>46</v>
      </c>
      <c r="R1980">
        <v>45.95</v>
      </c>
      <c r="S1980">
        <v>46</v>
      </c>
      <c r="T1980">
        <v>46</v>
      </c>
      <c r="U1980">
        <v>46</v>
      </c>
      <c r="W1980">
        <v>46</v>
      </c>
      <c r="Z1980">
        <v>6000</v>
      </c>
      <c r="AA1980">
        <v>275900</v>
      </c>
      <c r="AB1980">
        <v>3</v>
      </c>
      <c r="AC1980" t="s">
        <v>42</v>
      </c>
      <c r="AD1980">
        <v>2000</v>
      </c>
    </row>
    <row r="1981" spans="1:30">
      <c r="A1981" t="str">
        <f>CONCATENATE(I1981,J1981)</f>
        <v>MANIPALHOSEQ</v>
      </c>
      <c r="B1981" s="34">
        <v>46273</v>
      </c>
      <c r="C1981" s="34">
        <v>46273</v>
      </c>
      <c r="D1981" t="s">
        <v>35</v>
      </c>
      <c r="E1981" t="s">
        <v>36</v>
      </c>
      <c r="F1981" t="s">
        <v>37</v>
      </c>
      <c r="G1981">
        <v>764357</v>
      </c>
      <c r="H1981" t="s">
        <v>6001</v>
      </c>
      <c r="I1981" t="s">
        <v>6002</v>
      </c>
      <c r="J1981" t="s">
        <v>161</v>
      </c>
      <c r="O1981" t="s">
        <v>6003</v>
      </c>
      <c r="P1981">
        <v>729.75</v>
      </c>
      <c r="Q1981">
        <v>729.95</v>
      </c>
      <c r="R1981">
        <v>710.3</v>
      </c>
      <c r="S1981">
        <v>718.95</v>
      </c>
      <c r="T1981">
        <v>717.8</v>
      </c>
      <c r="U1981">
        <v>727.25</v>
      </c>
      <c r="W1981">
        <v>718.91</v>
      </c>
      <c r="Z1981">
        <v>1687125</v>
      </c>
      <c r="AA1981">
        <v>1213312960.9000001</v>
      </c>
      <c r="AB1981">
        <v>48049</v>
      </c>
      <c r="AC1981" t="s">
        <v>42</v>
      </c>
      <c r="AD1981">
        <v>1</v>
      </c>
    </row>
    <row r="1982" spans="1:30">
      <c r="A1982" t="str">
        <f>CONCATENATE(I1982,J1982)</f>
        <v>MANKINDEQ</v>
      </c>
      <c r="B1982" s="34">
        <v>46273</v>
      </c>
      <c r="C1982" s="34">
        <v>46273</v>
      </c>
      <c r="D1982" t="s">
        <v>35</v>
      </c>
      <c r="E1982" t="s">
        <v>36</v>
      </c>
      <c r="F1982" t="s">
        <v>37</v>
      </c>
      <c r="G1982">
        <v>15380</v>
      </c>
      <c r="H1982" t="s">
        <v>6004</v>
      </c>
      <c r="I1982" t="s">
        <v>6005</v>
      </c>
      <c r="J1982" t="s">
        <v>161</v>
      </c>
      <c r="O1982" t="s">
        <v>6006</v>
      </c>
      <c r="P1982">
        <v>2318</v>
      </c>
      <c r="Q1982">
        <v>2330.8000000000002</v>
      </c>
      <c r="R1982">
        <v>2301</v>
      </c>
      <c r="S1982">
        <v>2309</v>
      </c>
      <c r="T1982">
        <v>2309</v>
      </c>
      <c r="U1982">
        <v>2318</v>
      </c>
      <c r="W1982">
        <v>2308.94</v>
      </c>
      <c r="Z1982">
        <v>186335</v>
      </c>
      <c r="AA1982">
        <v>430348005.69999999</v>
      </c>
      <c r="AB1982">
        <v>18108</v>
      </c>
      <c r="AC1982" t="s">
        <v>42</v>
      </c>
      <c r="AD1982">
        <v>1</v>
      </c>
    </row>
    <row r="1983" spans="1:30">
      <c r="A1983" t="str">
        <f>CONCATENATE(I1983,J1983)</f>
        <v>MVGJLEQ</v>
      </c>
      <c r="B1983" s="34">
        <v>46273</v>
      </c>
      <c r="C1983" s="34">
        <v>46273</v>
      </c>
      <c r="D1983" t="s">
        <v>35</v>
      </c>
      <c r="E1983" t="s">
        <v>36</v>
      </c>
      <c r="F1983" t="s">
        <v>37</v>
      </c>
      <c r="G1983">
        <v>19015</v>
      </c>
      <c r="H1983" t="s">
        <v>6007</v>
      </c>
      <c r="I1983" t="s">
        <v>6008</v>
      </c>
      <c r="J1983" t="s">
        <v>161</v>
      </c>
      <c r="O1983" t="s">
        <v>6009</v>
      </c>
      <c r="P1983">
        <v>233.99</v>
      </c>
      <c r="Q1983">
        <v>233.99</v>
      </c>
      <c r="R1983">
        <v>205.25</v>
      </c>
      <c r="S1983">
        <v>210.72</v>
      </c>
      <c r="T1983">
        <v>208.3</v>
      </c>
      <c r="U1983">
        <v>215.88</v>
      </c>
      <c r="W1983">
        <v>210.52</v>
      </c>
      <c r="Z1983">
        <v>3734364</v>
      </c>
      <c r="AA1983">
        <v>819817952.23000002</v>
      </c>
      <c r="AB1983">
        <v>69756</v>
      </c>
      <c r="AC1983" t="s">
        <v>42</v>
      </c>
      <c r="AD1983">
        <v>1</v>
      </c>
    </row>
    <row r="1984" spans="1:30">
      <c r="A1984" t="str">
        <f>CONCATENATE(I1984,J1984)</f>
        <v>MANOMAYEQ</v>
      </c>
      <c r="B1984" s="34">
        <v>46273</v>
      </c>
      <c r="C1984" s="34">
        <v>46273</v>
      </c>
      <c r="D1984" t="s">
        <v>35</v>
      </c>
      <c r="E1984" t="s">
        <v>36</v>
      </c>
      <c r="F1984" t="s">
        <v>37</v>
      </c>
      <c r="G1984">
        <v>13753</v>
      </c>
      <c r="H1984" t="s">
        <v>6010</v>
      </c>
      <c r="I1984" t="s">
        <v>6011</v>
      </c>
      <c r="J1984" t="s">
        <v>161</v>
      </c>
      <c r="O1984" t="s">
        <v>6012</v>
      </c>
      <c r="P1984">
        <v>238.49</v>
      </c>
      <c r="Q1984">
        <v>240</v>
      </c>
      <c r="R1984">
        <v>223</v>
      </c>
      <c r="S1984">
        <v>232.8</v>
      </c>
      <c r="T1984">
        <v>232.98</v>
      </c>
      <c r="U1984">
        <v>234.48</v>
      </c>
      <c r="W1984">
        <v>232.81</v>
      </c>
      <c r="Z1984">
        <v>157491</v>
      </c>
      <c r="AA1984">
        <v>36709417.329999998</v>
      </c>
      <c r="AB1984">
        <v>3561</v>
      </c>
      <c r="AC1984" t="s">
        <v>42</v>
      </c>
      <c r="AD1984">
        <v>1</v>
      </c>
    </row>
    <row r="1985" spans="1:30">
      <c r="A1985" t="str">
        <f>CONCATENATE(I1985,J1985)</f>
        <v>MANORAMAEQ</v>
      </c>
      <c r="B1985" s="34">
        <v>46273</v>
      </c>
      <c r="C1985" s="34">
        <v>46273</v>
      </c>
      <c r="D1985" t="s">
        <v>35</v>
      </c>
      <c r="E1985" t="s">
        <v>36</v>
      </c>
      <c r="F1985" t="s">
        <v>37</v>
      </c>
      <c r="G1985">
        <v>10227</v>
      </c>
      <c r="H1985" t="s">
        <v>6013</v>
      </c>
      <c r="I1985" t="s">
        <v>6014</v>
      </c>
      <c r="J1985" t="s">
        <v>161</v>
      </c>
      <c r="O1985" t="s">
        <v>6015</v>
      </c>
      <c r="P1985">
        <v>2003.6</v>
      </c>
      <c r="Q1985">
        <v>2149.5</v>
      </c>
      <c r="R1985">
        <v>1986.1</v>
      </c>
      <c r="S1985">
        <v>2132.9</v>
      </c>
      <c r="T1985">
        <v>2128.5</v>
      </c>
      <c r="U1985">
        <v>2003.6</v>
      </c>
      <c r="W1985">
        <v>2132.81</v>
      </c>
      <c r="Z1985">
        <v>623511</v>
      </c>
      <c r="AA1985">
        <v>1309505592.0999999</v>
      </c>
      <c r="AB1985">
        <v>46648</v>
      </c>
      <c r="AC1985" t="s">
        <v>42</v>
      </c>
      <c r="AD1985">
        <v>1</v>
      </c>
    </row>
    <row r="1986" spans="1:30">
      <c r="A1986" t="str">
        <f>CONCATENATE(I1986,J1986)</f>
        <v>MANUGRAPHBE</v>
      </c>
      <c r="B1986" s="34">
        <v>46273</v>
      </c>
      <c r="C1986" s="34">
        <v>46273</v>
      </c>
      <c r="D1986" t="s">
        <v>35</v>
      </c>
      <c r="E1986" t="s">
        <v>36</v>
      </c>
      <c r="F1986" t="s">
        <v>37</v>
      </c>
      <c r="G1986">
        <v>13575</v>
      </c>
      <c r="H1986" t="s">
        <v>6016</v>
      </c>
      <c r="I1986" t="s">
        <v>6017</v>
      </c>
      <c r="J1986" t="s">
        <v>183</v>
      </c>
      <c r="O1986" t="s">
        <v>6018</v>
      </c>
      <c r="P1986">
        <v>14.8</v>
      </c>
      <c r="Q1986">
        <v>15.3</v>
      </c>
      <c r="R1986">
        <v>14.55</v>
      </c>
      <c r="S1986">
        <v>15</v>
      </c>
      <c r="T1986">
        <v>15</v>
      </c>
      <c r="U1986">
        <v>14.87</v>
      </c>
      <c r="W1986">
        <v>15.03</v>
      </c>
      <c r="Z1986">
        <v>1507</v>
      </c>
      <c r="AA1986">
        <v>22389.15</v>
      </c>
      <c r="AB1986">
        <v>17</v>
      </c>
      <c r="AC1986" t="s">
        <v>42</v>
      </c>
      <c r="AD1986">
        <v>1</v>
      </c>
    </row>
    <row r="1987" spans="1:30">
      <c r="A1987" t="str">
        <f>CONCATENATE(I1987,J1987)</f>
        <v>MARALOVEREQ</v>
      </c>
      <c r="B1987" s="34">
        <v>46273</v>
      </c>
      <c r="C1987" s="34">
        <v>46273</v>
      </c>
      <c r="D1987" t="s">
        <v>35</v>
      </c>
      <c r="E1987" t="s">
        <v>36</v>
      </c>
      <c r="F1987" t="s">
        <v>37</v>
      </c>
      <c r="G1987">
        <v>2112</v>
      </c>
      <c r="H1987" t="s">
        <v>6019</v>
      </c>
      <c r="I1987" t="s">
        <v>6020</v>
      </c>
      <c r="J1987" t="s">
        <v>161</v>
      </c>
      <c r="O1987" t="s">
        <v>6021</v>
      </c>
      <c r="P1987">
        <v>65.5</v>
      </c>
      <c r="Q1987">
        <v>68.89</v>
      </c>
      <c r="R1987">
        <v>64</v>
      </c>
      <c r="S1987">
        <v>65.83</v>
      </c>
      <c r="T1987">
        <v>66</v>
      </c>
      <c r="U1987">
        <v>64.260000000000005</v>
      </c>
      <c r="W1987">
        <v>65.7</v>
      </c>
      <c r="Z1987">
        <v>144795</v>
      </c>
      <c r="AA1987">
        <v>9702223.6099999994</v>
      </c>
      <c r="AB1987">
        <v>929</v>
      </c>
      <c r="AC1987" t="s">
        <v>42</v>
      </c>
      <c r="AD1987">
        <v>1</v>
      </c>
    </row>
    <row r="1988" spans="1:30">
      <c r="A1988" t="str">
        <f>CONCATENATE(I1988,J1988)</f>
        <v>MARATHONEQ</v>
      </c>
      <c r="B1988" s="34">
        <v>46273</v>
      </c>
      <c r="C1988" s="34">
        <v>46273</v>
      </c>
      <c r="D1988" t="s">
        <v>35</v>
      </c>
      <c r="E1988" t="s">
        <v>36</v>
      </c>
      <c r="F1988" t="s">
        <v>37</v>
      </c>
      <c r="G1988">
        <v>18659</v>
      </c>
      <c r="H1988" t="s">
        <v>6022</v>
      </c>
      <c r="I1988" t="s">
        <v>6023</v>
      </c>
      <c r="J1988" t="s">
        <v>161</v>
      </c>
      <c r="O1988" t="s">
        <v>6024</v>
      </c>
      <c r="P1988">
        <v>463.95</v>
      </c>
      <c r="Q1988">
        <v>467.4</v>
      </c>
      <c r="R1988">
        <v>443.65</v>
      </c>
      <c r="S1988">
        <v>446.35</v>
      </c>
      <c r="T1988">
        <v>446.8</v>
      </c>
      <c r="U1988">
        <v>459.5</v>
      </c>
      <c r="W1988">
        <v>446.36</v>
      </c>
      <c r="Z1988">
        <v>161308</v>
      </c>
      <c r="AA1988">
        <v>72999049.900000006</v>
      </c>
      <c r="AB1988">
        <v>5774</v>
      </c>
      <c r="AC1988" t="s">
        <v>42</v>
      </c>
      <c r="AD1988">
        <v>1</v>
      </c>
    </row>
    <row r="1989" spans="1:30">
      <c r="A1989" t="str">
        <f>CONCATENATE(I1989,J1989)</f>
        <v>MARCSM</v>
      </c>
      <c r="B1989" s="34">
        <v>46273</v>
      </c>
      <c r="C1989" s="34">
        <v>46273</v>
      </c>
      <c r="D1989" t="s">
        <v>35</v>
      </c>
      <c r="E1989" t="s">
        <v>36</v>
      </c>
      <c r="F1989" t="s">
        <v>37</v>
      </c>
      <c r="G1989">
        <v>760453</v>
      </c>
      <c r="H1989" t="s">
        <v>6025</v>
      </c>
      <c r="I1989" t="s">
        <v>6026</v>
      </c>
      <c r="J1989" t="s">
        <v>267</v>
      </c>
      <c r="O1989" t="s">
        <v>6027</v>
      </c>
      <c r="P1989">
        <v>137</v>
      </c>
      <c r="Q1989">
        <v>150</v>
      </c>
      <c r="R1989">
        <v>136.5</v>
      </c>
      <c r="S1989">
        <v>140</v>
      </c>
      <c r="T1989">
        <v>140</v>
      </c>
      <c r="U1989">
        <v>148.6</v>
      </c>
      <c r="W1989">
        <v>140</v>
      </c>
      <c r="Z1989">
        <v>25200</v>
      </c>
      <c r="AA1989">
        <v>3611160</v>
      </c>
      <c r="AB1989">
        <v>21</v>
      </c>
      <c r="AC1989" t="s">
        <v>42</v>
      </c>
      <c r="AD1989">
        <v>1200</v>
      </c>
    </row>
    <row r="1990" spans="1:30">
      <c r="A1990" t="str">
        <f>CONCATENATE(I1990,J1990)</f>
        <v>MARCOSM</v>
      </c>
      <c r="B1990" s="34">
        <v>46273</v>
      </c>
      <c r="C1990" s="34">
        <v>46273</v>
      </c>
      <c r="D1990" t="s">
        <v>35</v>
      </c>
      <c r="E1990" t="s">
        <v>36</v>
      </c>
      <c r="F1990" t="s">
        <v>37</v>
      </c>
      <c r="G1990">
        <v>18773</v>
      </c>
      <c r="H1990" t="s">
        <v>6028</v>
      </c>
      <c r="I1990" t="s">
        <v>6029</v>
      </c>
      <c r="J1990" t="s">
        <v>267</v>
      </c>
      <c r="O1990" t="s">
        <v>6030</v>
      </c>
      <c r="P1990">
        <v>30.8</v>
      </c>
      <c r="Q1990">
        <v>31.65</v>
      </c>
      <c r="R1990">
        <v>30.8</v>
      </c>
      <c r="S1990">
        <v>31.5</v>
      </c>
      <c r="T1990">
        <v>31.5</v>
      </c>
      <c r="U1990">
        <v>30.95</v>
      </c>
      <c r="W1990">
        <v>31.5</v>
      </c>
      <c r="Z1990">
        <v>12000</v>
      </c>
      <c r="AA1990">
        <v>376575</v>
      </c>
      <c r="AB1990">
        <v>7</v>
      </c>
      <c r="AC1990" t="s">
        <v>42</v>
      </c>
      <c r="AD1990">
        <v>1500</v>
      </c>
    </row>
    <row r="1991" spans="1:30">
      <c r="A1991" t="str">
        <f>CONCATENATE(I1991,J1991)</f>
        <v>MARICOEQ</v>
      </c>
      <c r="B1991" s="34">
        <v>46273</v>
      </c>
      <c r="C1991" s="34">
        <v>46273</v>
      </c>
      <c r="D1991" t="s">
        <v>35</v>
      </c>
      <c r="E1991" t="s">
        <v>36</v>
      </c>
      <c r="F1991" t="s">
        <v>37</v>
      </c>
      <c r="G1991">
        <v>4067</v>
      </c>
      <c r="H1991" t="s">
        <v>6031</v>
      </c>
      <c r="I1991" t="s">
        <v>6032</v>
      </c>
      <c r="J1991" t="s">
        <v>161</v>
      </c>
      <c r="O1991" t="s">
        <v>6033</v>
      </c>
      <c r="P1991">
        <v>806.55</v>
      </c>
      <c r="Q1991">
        <v>825.45</v>
      </c>
      <c r="R1991">
        <v>801.35</v>
      </c>
      <c r="S1991">
        <v>823.9</v>
      </c>
      <c r="T1991">
        <v>823.9</v>
      </c>
      <c r="U1991">
        <v>806</v>
      </c>
      <c r="W1991">
        <v>823.88</v>
      </c>
      <c r="Z1991">
        <v>1525669</v>
      </c>
      <c r="AA1991">
        <v>1245115808.7</v>
      </c>
      <c r="AB1991">
        <v>51014</v>
      </c>
      <c r="AC1991" t="s">
        <v>42</v>
      </c>
      <c r="AD1991">
        <v>1</v>
      </c>
    </row>
    <row r="1992" spans="1:30">
      <c r="A1992" t="str">
        <f>CONCATENATE(I1992,J1992)</f>
        <v>MARINEEQ</v>
      </c>
      <c r="B1992" s="34">
        <v>46273</v>
      </c>
      <c r="C1992" s="34">
        <v>46273</v>
      </c>
      <c r="D1992" t="s">
        <v>35</v>
      </c>
      <c r="E1992" t="s">
        <v>36</v>
      </c>
      <c r="F1992" t="s">
        <v>37</v>
      </c>
      <c r="G1992">
        <v>1328</v>
      </c>
      <c r="H1992" t="s">
        <v>6034</v>
      </c>
      <c r="I1992" t="s">
        <v>6035</v>
      </c>
      <c r="J1992" t="s">
        <v>161</v>
      </c>
      <c r="O1992" t="s">
        <v>6036</v>
      </c>
      <c r="P1992">
        <v>415.5</v>
      </c>
      <c r="Q1992">
        <v>432.3</v>
      </c>
      <c r="R1992">
        <v>413.8</v>
      </c>
      <c r="S1992">
        <v>416.45</v>
      </c>
      <c r="T1992">
        <v>415.7</v>
      </c>
      <c r="U1992">
        <v>419.95</v>
      </c>
      <c r="W1992">
        <v>416.45</v>
      </c>
      <c r="Z1992">
        <v>520027</v>
      </c>
      <c r="AA1992">
        <v>219236498.19999999</v>
      </c>
      <c r="AB1992">
        <v>18781</v>
      </c>
      <c r="AC1992" t="s">
        <v>42</v>
      </c>
      <c r="AD1992">
        <v>1</v>
      </c>
    </row>
    <row r="1993" spans="1:30">
      <c r="A1993" t="str">
        <f>CONCATENATE(I1993,J1993)</f>
        <v>MARKOLINESEQ</v>
      </c>
      <c r="B1993" s="34">
        <v>46273</v>
      </c>
      <c r="C1993" s="34">
        <v>46273</v>
      </c>
      <c r="D1993" t="s">
        <v>35</v>
      </c>
      <c r="E1993" t="s">
        <v>36</v>
      </c>
      <c r="F1993" t="s">
        <v>37</v>
      </c>
      <c r="G1993">
        <v>760204</v>
      </c>
      <c r="H1993" t="s">
        <v>6037</v>
      </c>
      <c r="I1993" t="s">
        <v>6038</v>
      </c>
      <c r="J1993" t="s">
        <v>161</v>
      </c>
      <c r="O1993" t="s">
        <v>6039</v>
      </c>
      <c r="P1993">
        <v>174.9</v>
      </c>
      <c r="Q1993">
        <v>178.25</v>
      </c>
      <c r="R1993">
        <v>172.96</v>
      </c>
      <c r="S1993">
        <v>177.17</v>
      </c>
      <c r="T1993">
        <v>177.45</v>
      </c>
      <c r="U1993">
        <v>175.36</v>
      </c>
      <c r="W1993">
        <v>177.17</v>
      </c>
      <c r="Z1993">
        <v>335864</v>
      </c>
      <c r="AA1993">
        <v>59282520</v>
      </c>
      <c r="AB1993">
        <v>1856</v>
      </c>
      <c r="AC1993" t="s">
        <v>42</v>
      </c>
      <c r="AD1993">
        <v>1</v>
      </c>
    </row>
    <row r="1994" spans="1:30">
      <c r="A1994" t="str">
        <f>CONCATENATE(I1994,J1994)</f>
        <v>MARKSANSEQ</v>
      </c>
      <c r="B1994" s="34">
        <v>46273</v>
      </c>
      <c r="C1994" s="34">
        <v>46273</v>
      </c>
      <c r="D1994" t="s">
        <v>35</v>
      </c>
      <c r="E1994" t="s">
        <v>36</v>
      </c>
      <c r="F1994" t="s">
        <v>37</v>
      </c>
      <c r="G1994">
        <v>10579</v>
      </c>
      <c r="H1994" t="s">
        <v>6040</v>
      </c>
      <c r="I1994" t="s">
        <v>6041</v>
      </c>
      <c r="J1994" t="s">
        <v>161</v>
      </c>
      <c r="O1994" t="s">
        <v>6042</v>
      </c>
      <c r="P1994">
        <v>337.5</v>
      </c>
      <c r="Q1994">
        <v>349.95</v>
      </c>
      <c r="R1994">
        <v>331.6</v>
      </c>
      <c r="S1994">
        <v>335.9</v>
      </c>
      <c r="T1994">
        <v>335</v>
      </c>
      <c r="U1994">
        <v>335.05</v>
      </c>
      <c r="W1994">
        <v>335.9</v>
      </c>
      <c r="Z1994">
        <v>5090238</v>
      </c>
      <c r="AA1994">
        <v>1726619431.5999999</v>
      </c>
      <c r="AB1994">
        <v>70950</v>
      </c>
      <c r="AC1994" t="s">
        <v>42</v>
      </c>
      <c r="AD1994">
        <v>1</v>
      </c>
    </row>
    <row r="1995" spans="1:30">
      <c r="A1995" t="str">
        <f>CONCATENATE(I1995,J1995)</f>
        <v>MARSONSEQ</v>
      </c>
      <c r="B1995" s="34">
        <v>46273</v>
      </c>
      <c r="C1995" s="34">
        <v>46273</v>
      </c>
      <c r="D1995" t="s">
        <v>35</v>
      </c>
      <c r="E1995" t="s">
        <v>36</v>
      </c>
      <c r="F1995" t="s">
        <v>37</v>
      </c>
      <c r="G1995">
        <v>761386</v>
      </c>
      <c r="H1995" t="s">
        <v>6043</v>
      </c>
      <c r="I1995" t="s">
        <v>6044</v>
      </c>
      <c r="J1995" t="s">
        <v>161</v>
      </c>
      <c r="O1995" t="s">
        <v>6045</v>
      </c>
      <c r="P1995">
        <v>129</v>
      </c>
      <c r="Q1995">
        <v>133.88999999999999</v>
      </c>
      <c r="R1995">
        <v>128.5</v>
      </c>
      <c r="S1995">
        <v>131.07</v>
      </c>
      <c r="T1995">
        <v>130.5</v>
      </c>
      <c r="U1995">
        <v>128.83000000000001</v>
      </c>
      <c r="W1995">
        <v>131.08000000000001</v>
      </c>
      <c r="Z1995">
        <v>4113139</v>
      </c>
      <c r="AA1995">
        <v>541996564.27999997</v>
      </c>
      <c r="AB1995">
        <v>25253</v>
      </c>
      <c r="AC1995" t="s">
        <v>42</v>
      </c>
      <c r="AD1995">
        <v>1</v>
      </c>
    </row>
    <row r="1996" spans="1:30">
      <c r="A1996" t="str">
        <f>CONCATENATE(I1996,J1996)</f>
        <v>MARUSHIKASM</v>
      </c>
      <c r="B1996" s="34">
        <v>46273</v>
      </c>
      <c r="C1996" s="34">
        <v>46273</v>
      </c>
      <c r="D1996" t="s">
        <v>35</v>
      </c>
      <c r="E1996" t="s">
        <v>36</v>
      </c>
      <c r="F1996" t="s">
        <v>37</v>
      </c>
      <c r="G1996">
        <v>761042</v>
      </c>
      <c r="H1996" t="s">
        <v>6046</v>
      </c>
      <c r="I1996" t="s">
        <v>6047</v>
      </c>
      <c r="J1996" t="s">
        <v>267</v>
      </c>
      <c r="O1996" t="s">
        <v>6048</v>
      </c>
      <c r="P1996">
        <v>110</v>
      </c>
      <c r="Q1996">
        <v>113</v>
      </c>
      <c r="R1996">
        <v>110</v>
      </c>
      <c r="S1996">
        <v>113</v>
      </c>
      <c r="T1996">
        <v>113</v>
      </c>
      <c r="U1996">
        <v>109.6</v>
      </c>
      <c r="W1996">
        <v>113</v>
      </c>
      <c r="Z1996">
        <v>4800</v>
      </c>
      <c r="AA1996">
        <v>537600</v>
      </c>
      <c r="AB1996">
        <v>4</v>
      </c>
      <c r="AC1996" t="s">
        <v>42</v>
      </c>
      <c r="AD1996">
        <v>1200</v>
      </c>
    </row>
    <row r="1997" spans="1:30">
      <c r="A1997" t="str">
        <f>CONCATENATE(I1997,J1997)</f>
        <v>MARUTIEQ</v>
      </c>
      <c r="B1997" s="34">
        <v>46273</v>
      </c>
      <c r="C1997" s="34">
        <v>46273</v>
      </c>
      <c r="D1997" t="s">
        <v>35</v>
      </c>
      <c r="E1997" t="s">
        <v>36</v>
      </c>
      <c r="F1997" t="s">
        <v>37</v>
      </c>
      <c r="G1997">
        <v>10999</v>
      </c>
      <c r="H1997" t="s">
        <v>6049</v>
      </c>
      <c r="I1997" t="s">
        <v>6050</v>
      </c>
      <c r="J1997" t="s">
        <v>161</v>
      </c>
      <c r="O1997" t="s">
        <v>6051</v>
      </c>
      <c r="P1997">
        <v>12758</v>
      </c>
      <c r="Q1997">
        <v>12758</v>
      </c>
      <c r="R1997">
        <v>12582</v>
      </c>
      <c r="S1997">
        <v>12641</v>
      </c>
      <c r="T1997">
        <v>12641</v>
      </c>
      <c r="U1997">
        <v>12760</v>
      </c>
      <c r="W1997">
        <v>12640.98</v>
      </c>
      <c r="Z1997">
        <v>356860</v>
      </c>
      <c r="AA1997">
        <v>4512237813</v>
      </c>
      <c r="AB1997">
        <v>58012</v>
      </c>
      <c r="AC1997" t="s">
        <v>42</v>
      </c>
      <c r="AD1997">
        <v>1</v>
      </c>
    </row>
    <row r="1998" spans="1:30">
      <c r="A1998" t="str">
        <f>CONCATENATE(I1998,J1998)</f>
        <v>MASFINEQ</v>
      </c>
      <c r="B1998" s="34">
        <v>46273</v>
      </c>
      <c r="C1998" s="34">
        <v>46273</v>
      </c>
      <c r="D1998" t="s">
        <v>35</v>
      </c>
      <c r="E1998" t="s">
        <v>36</v>
      </c>
      <c r="F1998" t="s">
        <v>37</v>
      </c>
      <c r="G1998">
        <v>199</v>
      </c>
      <c r="H1998" t="s">
        <v>6052</v>
      </c>
      <c r="I1998" t="s">
        <v>6053</v>
      </c>
      <c r="J1998" t="s">
        <v>161</v>
      </c>
      <c r="O1998" t="s">
        <v>6054</v>
      </c>
      <c r="P1998">
        <v>293.05</v>
      </c>
      <c r="Q1998">
        <v>297.10000000000002</v>
      </c>
      <c r="R1998">
        <v>289.3</v>
      </c>
      <c r="S1998">
        <v>290.14999999999998</v>
      </c>
      <c r="T1998">
        <v>290.5</v>
      </c>
      <c r="U1998">
        <v>295.25</v>
      </c>
      <c r="W1998">
        <v>290.14999999999998</v>
      </c>
      <c r="Z1998">
        <v>252561</v>
      </c>
      <c r="AA1998">
        <v>73471673.049999997</v>
      </c>
      <c r="AB1998">
        <v>8935</v>
      </c>
      <c r="AC1998" t="s">
        <v>42</v>
      </c>
      <c r="AD1998">
        <v>1</v>
      </c>
    </row>
    <row r="1999" spans="1:30">
      <c r="A1999" t="str">
        <f>CONCATENATE(I1999,J1999)</f>
        <v>MASONSM</v>
      </c>
      <c r="B1999" s="34">
        <v>46273</v>
      </c>
      <c r="C1999" s="34">
        <v>46273</v>
      </c>
      <c r="D1999" t="s">
        <v>35</v>
      </c>
      <c r="E1999" t="s">
        <v>36</v>
      </c>
      <c r="F1999" t="s">
        <v>37</v>
      </c>
      <c r="G1999">
        <v>24278</v>
      </c>
      <c r="H1999" t="s">
        <v>6055</v>
      </c>
      <c r="I1999" t="s">
        <v>6056</v>
      </c>
      <c r="J1999" t="s">
        <v>267</v>
      </c>
      <c r="O1999" t="s">
        <v>6057</v>
      </c>
      <c r="P1999">
        <v>114</v>
      </c>
      <c r="Q1999">
        <v>114</v>
      </c>
      <c r="R1999">
        <v>111.1</v>
      </c>
      <c r="S1999">
        <v>112.05</v>
      </c>
      <c r="T1999">
        <v>112.05</v>
      </c>
      <c r="U1999">
        <v>114.3</v>
      </c>
      <c r="W1999">
        <v>112.05</v>
      </c>
      <c r="Z1999">
        <v>15000</v>
      </c>
      <c r="AA1999">
        <v>1683125</v>
      </c>
      <c r="AB1999">
        <v>14</v>
      </c>
      <c r="AC1999" t="s">
        <v>42</v>
      </c>
      <c r="AD1999">
        <v>500</v>
      </c>
    </row>
    <row r="2000" spans="1:30">
      <c r="A2000" t="str">
        <f>CONCATENATE(I2000,J2000)</f>
        <v>MASTEKEQ</v>
      </c>
      <c r="B2000" s="34">
        <v>46273</v>
      </c>
      <c r="C2000" s="34">
        <v>46273</v>
      </c>
      <c r="D2000" t="s">
        <v>35</v>
      </c>
      <c r="E2000" t="s">
        <v>36</v>
      </c>
      <c r="F2000" t="s">
        <v>37</v>
      </c>
      <c r="G2000">
        <v>2124</v>
      </c>
      <c r="H2000" t="s">
        <v>6058</v>
      </c>
      <c r="I2000" t="s">
        <v>6059</v>
      </c>
      <c r="J2000" t="s">
        <v>161</v>
      </c>
      <c r="O2000" t="s">
        <v>6060</v>
      </c>
      <c r="P2000">
        <v>1691.7</v>
      </c>
      <c r="Q2000">
        <v>1703.9</v>
      </c>
      <c r="R2000">
        <v>1647.9</v>
      </c>
      <c r="S2000">
        <v>1654.2</v>
      </c>
      <c r="T2000">
        <v>1655</v>
      </c>
      <c r="U2000">
        <v>1691.7</v>
      </c>
      <c r="W2000">
        <v>1654.08</v>
      </c>
      <c r="Z2000">
        <v>82667</v>
      </c>
      <c r="AA2000">
        <v>137511719.09999999</v>
      </c>
      <c r="AB2000">
        <v>12086</v>
      </c>
      <c r="AC2000" t="s">
        <v>42</v>
      </c>
      <c r="AD2000">
        <v>1</v>
      </c>
    </row>
    <row r="2001" spans="1:30">
      <c r="A2001" t="str">
        <f>CONCATENATE(I2001,J2001)</f>
        <v>MASTERSM</v>
      </c>
      <c r="B2001" s="34">
        <v>46273</v>
      </c>
      <c r="C2001" s="34">
        <v>46273</v>
      </c>
      <c r="D2001" t="s">
        <v>35</v>
      </c>
      <c r="E2001" t="s">
        <v>36</v>
      </c>
      <c r="F2001" t="s">
        <v>37</v>
      </c>
      <c r="G2001">
        <v>19011</v>
      </c>
      <c r="H2001" t="s">
        <v>6061</v>
      </c>
      <c r="I2001" t="s">
        <v>6062</v>
      </c>
      <c r="J2001" t="s">
        <v>267</v>
      </c>
      <c r="O2001" t="s">
        <v>6063</v>
      </c>
      <c r="P2001">
        <v>423</v>
      </c>
      <c r="Q2001">
        <v>423</v>
      </c>
      <c r="R2001">
        <v>423</v>
      </c>
      <c r="S2001">
        <v>423</v>
      </c>
      <c r="T2001">
        <v>423</v>
      </c>
      <c r="U2001">
        <v>424</v>
      </c>
      <c r="W2001">
        <v>423</v>
      </c>
      <c r="Z2001">
        <v>500</v>
      </c>
      <c r="AA2001">
        <v>211500</v>
      </c>
      <c r="AB2001">
        <v>1</v>
      </c>
      <c r="AC2001" t="s">
        <v>42</v>
      </c>
      <c r="AD2001">
        <v>500</v>
      </c>
    </row>
    <row r="2002" spans="1:30">
      <c r="A2002" t="str">
        <f>CONCATENATE(I2002,J2002)</f>
        <v>MASTERTREQ</v>
      </c>
      <c r="B2002" s="34">
        <v>46273</v>
      </c>
      <c r="C2002" s="34">
        <v>46273</v>
      </c>
      <c r="D2002" t="s">
        <v>35</v>
      </c>
      <c r="E2002" t="s">
        <v>36</v>
      </c>
      <c r="F2002" t="s">
        <v>37</v>
      </c>
      <c r="G2002">
        <v>27047</v>
      </c>
      <c r="H2002" t="s">
        <v>6064</v>
      </c>
      <c r="I2002" t="s">
        <v>6065</v>
      </c>
      <c r="J2002" t="s">
        <v>161</v>
      </c>
      <c r="O2002" t="s">
        <v>6066</v>
      </c>
      <c r="P2002">
        <v>88</v>
      </c>
      <c r="Q2002">
        <v>100</v>
      </c>
      <c r="R2002">
        <v>87.79</v>
      </c>
      <c r="S2002">
        <v>92.09</v>
      </c>
      <c r="T2002">
        <v>91.5</v>
      </c>
      <c r="U2002">
        <v>88.86</v>
      </c>
      <c r="W2002">
        <v>92.09</v>
      </c>
      <c r="Z2002">
        <v>4022552</v>
      </c>
      <c r="AA2002">
        <v>381963555.44999999</v>
      </c>
      <c r="AB2002">
        <v>31434</v>
      </c>
      <c r="AC2002" t="s">
        <v>42</v>
      </c>
      <c r="AD2002">
        <v>1</v>
      </c>
    </row>
    <row r="2003" spans="1:30">
      <c r="A2003" t="str">
        <f>CONCATENATE(I2003,J2003)</f>
        <v>MATRIMONYEQ</v>
      </c>
      <c r="B2003" s="34">
        <v>46273</v>
      </c>
      <c r="C2003" s="34">
        <v>46273</v>
      </c>
      <c r="D2003" t="s">
        <v>35</v>
      </c>
      <c r="E2003" t="s">
        <v>36</v>
      </c>
      <c r="F2003" t="s">
        <v>37</v>
      </c>
      <c r="G2003">
        <v>21726</v>
      </c>
      <c r="H2003" t="s">
        <v>6067</v>
      </c>
      <c r="I2003" t="s">
        <v>6068</v>
      </c>
      <c r="J2003" t="s">
        <v>161</v>
      </c>
      <c r="O2003" t="s">
        <v>6069</v>
      </c>
      <c r="P2003">
        <v>519.4</v>
      </c>
      <c r="Q2003">
        <v>522.45000000000005</v>
      </c>
      <c r="R2003">
        <v>514</v>
      </c>
      <c r="S2003">
        <v>516.04999999999995</v>
      </c>
      <c r="T2003">
        <v>514.29999999999995</v>
      </c>
      <c r="U2003">
        <v>521.45000000000005</v>
      </c>
      <c r="W2003">
        <v>516.04999999999995</v>
      </c>
      <c r="Z2003">
        <v>13400</v>
      </c>
      <c r="AA2003">
        <v>6929076</v>
      </c>
      <c r="AB2003">
        <v>776</v>
      </c>
      <c r="AC2003" t="s">
        <v>42</v>
      </c>
      <c r="AD2003">
        <v>1</v>
      </c>
    </row>
    <row r="2004" spans="1:30">
      <c r="A2004" t="str">
        <f>CONCATENATE(I2004,J2004)</f>
        <v>MGSLSM</v>
      </c>
      <c r="B2004" s="34">
        <v>46273</v>
      </c>
      <c r="C2004" s="34">
        <v>46273</v>
      </c>
      <c r="D2004" t="s">
        <v>35</v>
      </c>
      <c r="E2004" t="s">
        <v>36</v>
      </c>
      <c r="F2004" t="s">
        <v>37</v>
      </c>
      <c r="G2004">
        <v>759945</v>
      </c>
      <c r="H2004" t="s">
        <v>6070</v>
      </c>
      <c r="I2004" t="s">
        <v>6071</v>
      </c>
      <c r="J2004" t="s">
        <v>267</v>
      </c>
      <c r="O2004" t="s">
        <v>6072</v>
      </c>
      <c r="P2004">
        <v>73.5</v>
      </c>
      <c r="Q2004">
        <v>73.5</v>
      </c>
      <c r="R2004">
        <v>71.05</v>
      </c>
      <c r="S2004">
        <v>72.5</v>
      </c>
      <c r="T2004">
        <v>72.5</v>
      </c>
      <c r="U2004">
        <v>73</v>
      </c>
      <c r="W2004">
        <v>72.5</v>
      </c>
      <c r="Z2004">
        <v>9600</v>
      </c>
      <c r="AA2004">
        <v>695580</v>
      </c>
      <c r="AB2004">
        <v>7</v>
      </c>
      <c r="AC2004" t="s">
        <v>42</v>
      </c>
      <c r="AD2004">
        <v>1200</v>
      </c>
    </row>
    <row r="2005" spans="1:30">
      <c r="A2005" t="str">
        <f>CONCATENATE(I2005,J2005)</f>
        <v>MAWANASUGEQ</v>
      </c>
      <c r="B2005" s="34">
        <v>46273</v>
      </c>
      <c r="C2005" s="34">
        <v>46273</v>
      </c>
      <c r="D2005" t="s">
        <v>35</v>
      </c>
      <c r="E2005" t="s">
        <v>36</v>
      </c>
      <c r="F2005" t="s">
        <v>37</v>
      </c>
      <c r="G2005">
        <v>17022</v>
      </c>
      <c r="H2005" t="s">
        <v>6073</v>
      </c>
      <c r="I2005" t="s">
        <v>6074</v>
      </c>
      <c r="J2005" t="s">
        <v>161</v>
      </c>
      <c r="O2005" t="s">
        <v>6075</v>
      </c>
      <c r="P2005">
        <v>143.22999999999999</v>
      </c>
      <c r="Q2005">
        <v>146.11000000000001</v>
      </c>
      <c r="R2005">
        <v>142.11000000000001</v>
      </c>
      <c r="S2005">
        <v>142.51</v>
      </c>
      <c r="T2005">
        <v>142.22</v>
      </c>
      <c r="U2005">
        <v>145.11000000000001</v>
      </c>
      <c r="W2005">
        <v>142.51</v>
      </c>
      <c r="Z2005">
        <v>122119</v>
      </c>
      <c r="AA2005">
        <v>17502098.960000001</v>
      </c>
      <c r="AB2005">
        <v>2498</v>
      </c>
      <c r="AC2005" t="s">
        <v>42</v>
      </c>
      <c r="AD2005">
        <v>1</v>
      </c>
    </row>
    <row r="2006" spans="1:30">
      <c r="A2006" t="str">
        <f>CONCATENATE(I2006,J2006)</f>
        <v>MAXESTATESEQ</v>
      </c>
      <c r="B2006" s="34">
        <v>46273</v>
      </c>
      <c r="C2006" s="34">
        <v>46273</v>
      </c>
      <c r="D2006" t="s">
        <v>35</v>
      </c>
      <c r="E2006" t="s">
        <v>36</v>
      </c>
      <c r="F2006" t="s">
        <v>37</v>
      </c>
      <c r="G2006">
        <v>19646</v>
      </c>
      <c r="H2006" t="s">
        <v>6076</v>
      </c>
      <c r="I2006" t="s">
        <v>6077</v>
      </c>
      <c r="J2006" t="s">
        <v>161</v>
      </c>
      <c r="O2006" t="s">
        <v>6078</v>
      </c>
      <c r="P2006">
        <v>539</v>
      </c>
      <c r="Q2006">
        <v>545</v>
      </c>
      <c r="R2006">
        <v>534</v>
      </c>
      <c r="S2006">
        <v>538.15</v>
      </c>
      <c r="T2006">
        <v>535.70000000000005</v>
      </c>
      <c r="U2006">
        <v>543.20000000000005</v>
      </c>
      <c r="W2006">
        <v>538.19000000000005</v>
      </c>
      <c r="Z2006">
        <v>63067</v>
      </c>
      <c r="AA2006">
        <v>33971623.549999997</v>
      </c>
      <c r="AB2006">
        <v>2433</v>
      </c>
      <c r="AC2006" t="s">
        <v>42</v>
      </c>
      <c r="AD2006">
        <v>1</v>
      </c>
    </row>
    <row r="2007" spans="1:30">
      <c r="A2007" t="str">
        <f>CONCATENATE(I2007,J2007)</f>
        <v>MFSLEQ</v>
      </c>
      <c r="B2007" s="34">
        <v>46273</v>
      </c>
      <c r="C2007" s="34">
        <v>46273</v>
      </c>
      <c r="D2007" t="s">
        <v>35</v>
      </c>
      <c r="E2007" t="s">
        <v>36</v>
      </c>
      <c r="F2007" t="s">
        <v>37</v>
      </c>
      <c r="G2007">
        <v>2142</v>
      </c>
      <c r="H2007" t="s">
        <v>6079</v>
      </c>
      <c r="I2007" t="s">
        <v>6080</v>
      </c>
      <c r="J2007" t="s">
        <v>161</v>
      </c>
      <c r="O2007" t="s">
        <v>6081</v>
      </c>
      <c r="P2007">
        <v>1511</v>
      </c>
      <c r="Q2007">
        <v>1527</v>
      </c>
      <c r="R2007">
        <v>1485</v>
      </c>
      <c r="S2007">
        <v>1498.7</v>
      </c>
      <c r="T2007">
        <v>1498.7</v>
      </c>
      <c r="U2007">
        <v>1520</v>
      </c>
      <c r="W2007">
        <v>1498.73</v>
      </c>
      <c r="Z2007">
        <v>589318</v>
      </c>
      <c r="AA2007">
        <v>883572130.70000005</v>
      </c>
      <c r="AB2007">
        <v>35576</v>
      </c>
      <c r="AC2007" t="s">
        <v>42</v>
      </c>
      <c r="AD2007">
        <v>1</v>
      </c>
    </row>
    <row r="2008" spans="1:30">
      <c r="A2008" t="str">
        <f>CONCATENATE(I2008,J2008)</f>
        <v>MAXHEALTHEQ</v>
      </c>
      <c r="B2008" s="34">
        <v>46273</v>
      </c>
      <c r="C2008" s="34">
        <v>46273</v>
      </c>
      <c r="D2008" t="s">
        <v>35</v>
      </c>
      <c r="E2008" t="s">
        <v>36</v>
      </c>
      <c r="F2008" t="s">
        <v>37</v>
      </c>
      <c r="G2008">
        <v>22377</v>
      </c>
      <c r="H2008" t="s">
        <v>6082</v>
      </c>
      <c r="I2008" t="s">
        <v>6083</v>
      </c>
      <c r="J2008" t="s">
        <v>161</v>
      </c>
      <c r="O2008" t="s">
        <v>6084</v>
      </c>
      <c r="P2008">
        <v>992.5</v>
      </c>
      <c r="Q2008">
        <v>996.9</v>
      </c>
      <c r="R2008">
        <v>982.4</v>
      </c>
      <c r="S2008">
        <v>993</v>
      </c>
      <c r="T2008">
        <v>993</v>
      </c>
      <c r="U2008">
        <v>992</v>
      </c>
      <c r="W2008">
        <v>992.99</v>
      </c>
      <c r="Z2008">
        <v>1922846</v>
      </c>
      <c r="AA2008">
        <v>1906796941.3</v>
      </c>
      <c r="AB2008">
        <v>42371</v>
      </c>
      <c r="AC2008" t="s">
        <v>42</v>
      </c>
      <c r="AD2008">
        <v>1</v>
      </c>
    </row>
    <row r="2009" spans="1:30">
      <c r="A2009" t="str">
        <f>CONCATENATE(I2009,J2009)</f>
        <v>MAXINDEQ</v>
      </c>
      <c r="B2009" s="34">
        <v>46273</v>
      </c>
      <c r="C2009" s="34">
        <v>46273</v>
      </c>
      <c r="D2009" t="s">
        <v>35</v>
      </c>
      <c r="E2009" t="s">
        <v>36</v>
      </c>
      <c r="F2009" t="s">
        <v>37</v>
      </c>
      <c r="G2009">
        <v>22428</v>
      </c>
      <c r="H2009" t="s">
        <v>6085</v>
      </c>
      <c r="I2009" t="s">
        <v>6086</v>
      </c>
      <c r="J2009" t="s">
        <v>161</v>
      </c>
      <c r="O2009" t="s">
        <v>6087</v>
      </c>
      <c r="P2009">
        <v>147.18</v>
      </c>
      <c r="Q2009">
        <v>150.72999999999999</v>
      </c>
      <c r="R2009">
        <v>147</v>
      </c>
      <c r="S2009">
        <v>147.22</v>
      </c>
      <c r="T2009">
        <v>147.03</v>
      </c>
      <c r="U2009">
        <v>147.69</v>
      </c>
      <c r="W2009">
        <v>147.22</v>
      </c>
      <c r="Z2009">
        <v>38514</v>
      </c>
      <c r="AA2009">
        <v>5702414.4400000004</v>
      </c>
      <c r="AB2009">
        <v>899</v>
      </c>
      <c r="AC2009" t="s">
        <v>42</v>
      </c>
      <c r="AD2009">
        <v>1</v>
      </c>
    </row>
    <row r="2010" spans="1:30">
      <c r="A2010" t="str">
        <f>CONCATENATE(I2010,J2010)</f>
        <v>MAXPOSURESM</v>
      </c>
      <c r="B2010" s="34">
        <v>46273</v>
      </c>
      <c r="C2010" s="34">
        <v>46273</v>
      </c>
      <c r="D2010" t="s">
        <v>35</v>
      </c>
      <c r="E2010" t="s">
        <v>36</v>
      </c>
      <c r="F2010" t="s">
        <v>37</v>
      </c>
      <c r="G2010">
        <v>21691</v>
      </c>
      <c r="H2010" t="s">
        <v>6088</v>
      </c>
      <c r="I2010" t="s">
        <v>6089</v>
      </c>
      <c r="J2010" t="s">
        <v>267</v>
      </c>
      <c r="O2010" t="s">
        <v>6090</v>
      </c>
      <c r="P2010">
        <v>30.5</v>
      </c>
      <c r="Q2010">
        <v>30.5</v>
      </c>
      <c r="R2010">
        <v>30</v>
      </c>
      <c r="S2010">
        <v>30</v>
      </c>
      <c r="T2010">
        <v>30</v>
      </c>
      <c r="U2010">
        <v>30.45</v>
      </c>
      <c r="W2010">
        <v>30</v>
      </c>
      <c r="Z2010">
        <v>8000</v>
      </c>
      <c r="AA2010">
        <v>241250</v>
      </c>
      <c r="AB2010">
        <v>6</v>
      </c>
      <c r="AC2010" t="s">
        <v>42</v>
      </c>
      <c r="AD2010">
        <v>1000</v>
      </c>
    </row>
    <row r="2011" spans="1:30">
      <c r="A2011" t="str">
        <f>CONCATENATE(I2011,J2011)</f>
        <v>MAXVOLTSM</v>
      </c>
      <c r="B2011" s="34">
        <v>46273</v>
      </c>
      <c r="C2011" s="34">
        <v>46273</v>
      </c>
      <c r="D2011" t="s">
        <v>35</v>
      </c>
      <c r="E2011" t="s">
        <v>36</v>
      </c>
      <c r="F2011" t="s">
        <v>37</v>
      </c>
      <c r="G2011">
        <v>29645</v>
      </c>
      <c r="H2011" t="s">
        <v>6091</v>
      </c>
      <c r="I2011" t="s">
        <v>6092</v>
      </c>
      <c r="J2011" t="s">
        <v>267</v>
      </c>
      <c r="O2011" t="s">
        <v>6093</v>
      </c>
      <c r="P2011">
        <v>335</v>
      </c>
      <c r="Q2011">
        <v>335</v>
      </c>
      <c r="R2011">
        <v>319</v>
      </c>
      <c r="S2011">
        <v>320.05</v>
      </c>
      <c r="T2011">
        <v>320</v>
      </c>
      <c r="U2011">
        <v>324.89999999999998</v>
      </c>
      <c r="W2011">
        <v>320.05</v>
      </c>
      <c r="Z2011">
        <v>31600</v>
      </c>
      <c r="AA2011">
        <v>10217840</v>
      </c>
      <c r="AB2011">
        <v>74</v>
      </c>
      <c r="AC2011" t="s">
        <v>42</v>
      </c>
      <c r="AD2011">
        <v>400</v>
      </c>
    </row>
    <row r="2012" spans="1:30">
      <c r="A2012" t="str">
        <f>CONCATENATE(I2012,J2012)</f>
        <v>MAYASHEELSM</v>
      </c>
      <c r="B2012" s="34">
        <v>46273</v>
      </c>
      <c r="C2012" s="34">
        <v>46273</v>
      </c>
      <c r="D2012" t="s">
        <v>35</v>
      </c>
      <c r="E2012" t="s">
        <v>36</v>
      </c>
      <c r="F2012" t="s">
        <v>37</v>
      </c>
      <c r="G2012">
        <v>757587</v>
      </c>
      <c r="H2012" t="s">
        <v>6094</v>
      </c>
      <c r="I2012" t="s">
        <v>6095</v>
      </c>
      <c r="J2012" t="s">
        <v>267</v>
      </c>
      <c r="O2012" t="s">
        <v>6096</v>
      </c>
      <c r="P2012">
        <v>36.4</v>
      </c>
      <c r="Q2012">
        <v>37.5</v>
      </c>
      <c r="R2012">
        <v>34</v>
      </c>
      <c r="S2012">
        <v>36.15</v>
      </c>
      <c r="T2012">
        <v>36.4</v>
      </c>
      <c r="U2012">
        <v>37.9</v>
      </c>
      <c r="W2012">
        <v>36.15</v>
      </c>
      <c r="Z2012">
        <v>60000</v>
      </c>
      <c r="AA2012">
        <v>2148750</v>
      </c>
      <c r="AB2012">
        <v>19</v>
      </c>
      <c r="AC2012" t="s">
        <v>42</v>
      </c>
      <c r="AD2012">
        <v>3000</v>
      </c>
    </row>
    <row r="2013" spans="1:30">
      <c r="A2013" t="str">
        <f>CONCATENATE(I2013,J2013)</f>
        <v>MAYURUNIQEQ</v>
      </c>
      <c r="B2013" s="34">
        <v>46273</v>
      </c>
      <c r="C2013" s="34">
        <v>46273</v>
      </c>
      <c r="D2013" t="s">
        <v>35</v>
      </c>
      <c r="E2013" t="s">
        <v>36</v>
      </c>
      <c r="F2013" t="s">
        <v>37</v>
      </c>
      <c r="G2013">
        <v>28906</v>
      </c>
      <c r="H2013" t="s">
        <v>6097</v>
      </c>
      <c r="I2013" t="s">
        <v>6098</v>
      </c>
      <c r="J2013" t="s">
        <v>161</v>
      </c>
      <c r="O2013" t="s">
        <v>6099</v>
      </c>
      <c r="P2013">
        <v>709.05</v>
      </c>
      <c r="Q2013">
        <v>752.35</v>
      </c>
      <c r="R2013">
        <v>702</v>
      </c>
      <c r="S2013">
        <v>740.55</v>
      </c>
      <c r="T2013">
        <v>739.35</v>
      </c>
      <c r="U2013">
        <v>712.4</v>
      </c>
      <c r="W2013">
        <v>740.54</v>
      </c>
      <c r="Z2013">
        <v>248868</v>
      </c>
      <c r="AA2013">
        <v>182290200.90000001</v>
      </c>
      <c r="AB2013">
        <v>12245</v>
      </c>
      <c r="AC2013" t="s">
        <v>42</v>
      </c>
      <c r="AD2013">
        <v>1</v>
      </c>
    </row>
    <row r="2014" spans="1:30">
      <c r="A2014" t="str">
        <f>CONCATENATE(I2014,J2014)</f>
        <v>MAZDOCKEQ</v>
      </c>
      <c r="B2014" s="34">
        <v>46273</v>
      </c>
      <c r="C2014" s="34">
        <v>46273</v>
      </c>
      <c r="D2014" t="s">
        <v>35</v>
      </c>
      <c r="E2014" t="s">
        <v>36</v>
      </c>
      <c r="F2014" t="s">
        <v>37</v>
      </c>
      <c r="G2014">
        <v>509</v>
      </c>
      <c r="H2014" t="s">
        <v>6100</v>
      </c>
      <c r="I2014" t="s">
        <v>6101</v>
      </c>
      <c r="J2014" t="s">
        <v>161</v>
      </c>
      <c r="O2014" t="s">
        <v>6102</v>
      </c>
      <c r="P2014">
        <v>2454.1999999999998</v>
      </c>
      <c r="Q2014">
        <v>2479.5</v>
      </c>
      <c r="R2014">
        <v>2435.6</v>
      </c>
      <c r="S2014">
        <v>2466.4</v>
      </c>
      <c r="T2014">
        <v>2466.4</v>
      </c>
      <c r="U2014">
        <v>2454.1999999999998</v>
      </c>
      <c r="W2014">
        <v>2466.33</v>
      </c>
      <c r="Z2014">
        <v>588746</v>
      </c>
      <c r="AA2014">
        <v>1449048843.0999999</v>
      </c>
      <c r="AB2014">
        <v>26281</v>
      </c>
      <c r="AC2014" t="s">
        <v>42</v>
      </c>
      <c r="AD2014">
        <v>1</v>
      </c>
    </row>
    <row r="2015" spans="1:30">
      <c r="A2015" t="str">
        <f>CONCATENATE(I2015,J2015)</f>
        <v>MAZDABE</v>
      </c>
      <c r="B2015" s="34">
        <v>46273</v>
      </c>
      <c r="C2015" s="34">
        <v>46273</v>
      </c>
      <c r="D2015" t="s">
        <v>35</v>
      </c>
      <c r="E2015" t="s">
        <v>36</v>
      </c>
      <c r="F2015" t="s">
        <v>37</v>
      </c>
      <c r="G2015">
        <v>18870</v>
      </c>
      <c r="H2015" t="s">
        <v>6103</v>
      </c>
      <c r="I2015" t="s">
        <v>6104</v>
      </c>
      <c r="J2015" t="s">
        <v>183</v>
      </c>
      <c r="O2015" t="s">
        <v>6105</v>
      </c>
      <c r="P2015">
        <v>272</v>
      </c>
      <c r="Q2015">
        <v>278</v>
      </c>
      <c r="R2015">
        <v>262</v>
      </c>
      <c r="S2015">
        <v>271.75</v>
      </c>
      <c r="T2015">
        <v>270</v>
      </c>
      <c r="U2015">
        <v>274.2</v>
      </c>
      <c r="W2015">
        <v>266.72000000000003</v>
      </c>
      <c r="Z2015">
        <v>21694</v>
      </c>
      <c r="AA2015">
        <v>5896069.75</v>
      </c>
      <c r="AB2015">
        <v>284</v>
      </c>
      <c r="AC2015" t="s">
        <v>42</v>
      </c>
      <c r="AD2015">
        <v>1</v>
      </c>
    </row>
    <row r="2016" spans="1:30">
      <c r="A2016" t="str">
        <f>CONCATENATE(I2016,J2016)</f>
        <v>MBLINFRAEQ</v>
      </c>
      <c r="B2016" s="34">
        <v>46273</v>
      </c>
      <c r="C2016" s="34">
        <v>46273</v>
      </c>
      <c r="D2016" t="s">
        <v>35</v>
      </c>
      <c r="E2016" t="s">
        <v>36</v>
      </c>
      <c r="F2016" t="s">
        <v>37</v>
      </c>
      <c r="G2016">
        <v>18029</v>
      </c>
      <c r="H2016" t="s">
        <v>6106</v>
      </c>
      <c r="I2016" t="s">
        <v>6107</v>
      </c>
      <c r="J2016" t="s">
        <v>161</v>
      </c>
      <c r="O2016" t="s">
        <v>6108</v>
      </c>
      <c r="P2016">
        <v>22.85</v>
      </c>
      <c r="Q2016">
        <v>24.25</v>
      </c>
      <c r="R2016">
        <v>22.84</v>
      </c>
      <c r="S2016">
        <v>23.97</v>
      </c>
      <c r="T2016">
        <v>23.98</v>
      </c>
      <c r="U2016">
        <v>23.35</v>
      </c>
      <c r="W2016">
        <v>23.97</v>
      </c>
      <c r="Z2016">
        <v>57023</v>
      </c>
      <c r="AA2016">
        <v>1345236.44</v>
      </c>
      <c r="AB2016">
        <v>195</v>
      </c>
      <c r="AC2016" t="s">
        <v>42</v>
      </c>
      <c r="AD2016">
        <v>1</v>
      </c>
    </row>
    <row r="2017" spans="1:30">
      <c r="A2017" t="str">
        <f>CONCATENATE(I2017,J2017)</f>
        <v>MCLEODRUSSEQ</v>
      </c>
      <c r="B2017" s="34">
        <v>46273</v>
      </c>
      <c r="C2017" s="34">
        <v>46273</v>
      </c>
      <c r="D2017" t="s">
        <v>35</v>
      </c>
      <c r="E2017" t="s">
        <v>36</v>
      </c>
      <c r="F2017" t="s">
        <v>37</v>
      </c>
      <c r="G2017">
        <v>11943</v>
      </c>
      <c r="H2017" t="s">
        <v>6109</v>
      </c>
      <c r="I2017" t="s">
        <v>6110</v>
      </c>
      <c r="J2017" t="s">
        <v>161</v>
      </c>
      <c r="O2017" t="s">
        <v>6111</v>
      </c>
      <c r="P2017">
        <v>45.26</v>
      </c>
      <c r="Q2017">
        <v>45.9</v>
      </c>
      <c r="R2017">
        <v>44.7</v>
      </c>
      <c r="S2017">
        <v>44.96</v>
      </c>
      <c r="T2017">
        <v>44.91</v>
      </c>
      <c r="U2017">
        <v>45.17</v>
      </c>
      <c r="W2017">
        <v>44.97</v>
      </c>
      <c r="Z2017">
        <v>241071</v>
      </c>
      <c r="AA2017">
        <v>10917796.710000001</v>
      </c>
      <c r="AB2017">
        <v>1178</v>
      </c>
      <c r="AC2017" t="s">
        <v>42</v>
      </c>
      <c r="AD2017">
        <v>1</v>
      </c>
    </row>
    <row r="2018" spans="1:30">
      <c r="A2018" t="str">
        <f>CONCATENATE(I2018,J2018)</f>
        <v>MBECLBE</v>
      </c>
      <c r="B2018" s="34">
        <v>46273</v>
      </c>
      <c r="C2018" s="34">
        <v>46273</v>
      </c>
      <c r="D2018" t="s">
        <v>35</v>
      </c>
      <c r="E2018" t="s">
        <v>36</v>
      </c>
      <c r="F2018" t="s">
        <v>37</v>
      </c>
      <c r="G2018">
        <v>13687</v>
      </c>
      <c r="H2018" t="s">
        <v>6112</v>
      </c>
      <c r="I2018" t="s">
        <v>6113</v>
      </c>
      <c r="J2018" t="s">
        <v>183</v>
      </c>
      <c r="O2018" t="s">
        <v>6114</v>
      </c>
      <c r="P2018">
        <v>285.42</v>
      </c>
      <c r="Q2018">
        <v>285.42</v>
      </c>
      <c r="R2018">
        <v>285.42</v>
      </c>
      <c r="S2018">
        <v>285.42</v>
      </c>
      <c r="T2018">
        <v>285.42</v>
      </c>
      <c r="U2018">
        <v>271.83</v>
      </c>
      <c r="W2018">
        <v>285.42</v>
      </c>
      <c r="Z2018">
        <v>870</v>
      </c>
      <c r="AA2018">
        <v>248315.4</v>
      </c>
      <c r="AB2018">
        <v>60</v>
      </c>
      <c r="AC2018" t="s">
        <v>42</v>
      </c>
      <c r="AD2018">
        <v>1</v>
      </c>
    </row>
    <row r="2019" spans="1:30">
      <c r="A2019" t="str">
        <f>CONCATENATE(I2019,J2019)</f>
        <v>MCONSM</v>
      </c>
      <c r="B2019" s="34">
        <v>46273</v>
      </c>
      <c r="C2019" s="34">
        <v>46273</v>
      </c>
      <c r="D2019" t="s">
        <v>35</v>
      </c>
      <c r="E2019" t="s">
        <v>36</v>
      </c>
      <c r="F2019" t="s">
        <v>37</v>
      </c>
      <c r="G2019">
        <v>14574</v>
      </c>
      <c r="H2019" t="s">
        <v>6115</v>
      </c>
      <c r="I2019" t="s">
        <v>6116</v>
      </c>
      <c r="J2019" t="s">
        <v>267</v>
      </c>
      <c r="O2019" t="s">
        <v>6117</v>
      </c>
      <c r="P2019">
        <v>42.55</v>
      </c>
      <c r="Q2019">
        <v>42.55</v>
      </c>
      <c r="R2019">
        <v>42.5</v>
      </c>
      <c r="S2019">
        <v>42.5</v>
      </c>
      <c r="T2019">
        <v>42.5</v>
      </c>
      <c r="U2019">
        <v>42.55</v>
      </c>
      <c r="W2019">
        <v>42.5</v>
      </c>
      <c r="Z2019">
        <v>2000</v>
      </c>
      <c r="AA2019">
        <v>85050</v>
      </c>
      <c r="AB2019">
        <v>2</v>
      </c>
      <c r="AC2019" t="s">
        <v>42</v>
      </c>
      <c r="AD2019">
        <v>1000</v>
      </c>
    </row>
    <row r="2020" spans="1:30">
      <c r="A2020" t="str">
        <f>CONCATENATE(I2020,J2020)</f>
        <v>MEDIASSISTEQ</v>
      </c>
      <c r="B2020" s="34">
        <v>46273</v>
      </c>
      <c r="C2020" s="34">
        <v>46273</v>
      </c>
      <c r="D2020" t="s">
        <v>35</v>
      </c>
      <c r="E2020" t="s">
        <v>36</v>
      </c>
      <c r="F2020" t="s">
        <v>37</v>
      </c>
      <c r="G2020">
        <v>21705</v>
      </c>
      <c r="H2020" t="s">
        <v>6118</v>
      </c>
      <c r="I2020" t="s">
        <v>6119</v>
      </c>
      <c r="J2020" t="s">
        <v>161</v>
      </c>
      <c r="O2020" t="s">
        <v>6120</v>
      </c>
      <c r="P2020">
        <v>336.5</v>
      </c>
      <c r="Q2020">
        <v>338.9</v>
      </c>
      <c r="R2020">
        <v>330</v>
      </c>
      <c r="S2020">
        <v>331.25</v>
      </c>
      <c r="T2020">
        <v>330.9</v>
      </c>
      <c r="U2020">
        <v>336.5</v>
      </c>
      <c r="W2020">
        <v>331.33</v>
      </c>
      <c r="Z2020">
        <v>123852</v>
      </c>
      <c r="AA2020">
        <v>41139401.700000003</v>
      </c>
      <c r="AB2020">
        <v>6296</v>
      </c>
      <c r="AC2020" t="s">
        <v>42</v>
      </c>
      <c r="AD2020">
        <v>1</v>
      </c>
    </row>
    <row r="2021" spans="1:30">
      <c r="A2021" t="str">
        <f>CONCATENATE(I2021,J2021)</f>
        <v>MEDICAPQEQ</v>
      </c>
      <c r="B2021" s="34">
        <v>46273</v>
      </c>
      <c r="C2021" s="34">
        <v>46273</v>
      </c>
      <c r="D2021" t="s">
        <v>35</v>
      </c>
      <c r="E2021" t="s">
        <v>36</v>
      </c>
      <c r="F2021" t="s">
        <v>37</v>
      </c>
      <c r="G2021">
        <v>765110</v>
      </c>
      <c r="H2021" t="s">
        <v>6121</v>
      </c>
      <c r="I2021" t="s">
        <v>6122</v>
      </c>
      <c r="J2021" t="s">
        <v>161</v>
      </c>
      <c r="O2021" t="s">
        <v>6123</v>
      </c>
      <c r="P2021">
        <v>27</v>
      </c>
      <c r="Q2021">
        <v>27.9</v>
      </c>
      <c r="R2021">
        <v>25</v>
      </c>
      <c r="S2021">
        <v>25.62</v>
      </c>
      <c r="T2021">
        <v>26.5</v>
      </c>
      <c r="U2021">
        <v>26.9</v>
      </c>
      <c r="W2021">
        <v>25.62</v>
      </c>
      <c r="Z2021">
        <v>772</v>
      </c>
      <c r="AA2021">
        <v>20652.48</v>
      </c>
      <c r="AB2021">
        <v>39</v>
      </c>
      <c r="AC2021" t="s">
        <v>42</v>
      </c>
      <c r="AD2021">
        <v>1</v>
      </c>
    </row>
    <row r="2022" spans="1:30">
      <c r="A2022" t="str">
        <f>CONCATENATE(I2022,J2022)</f>
        <v>MMWLEQ</v>
      </c>
      <c r="B2022" s="34">
        <v>46273</v>
      </c>
      <c r="C2022" s="34">
        <v>46273</v>
      </c>
      <c r="D2022" t="s">
        <v>35</v>
      </c>
      <c r="E2022" t="s">
        <v>36</v>
      </c>
      <c r="F2022" t="s">
        <v>37</v>
      </c>
      <c r="G2022">
        <v>762802</v>
      </c>
      <c r="H2022" t="s">
        <v>6124</v>
      </c>
      <c r="I2022" t="s">
        <v>6125</v>
      </c>
      <c r="J2022" t="s">
        <v>161</v>
      </c>
      <c r="O2022" t="s">
        <v>6126</v>
      </c>
      <c r="P2022">
        <v>14.63</v>
      </c>
      <c r="Q2022">
        <v>14.99</v>
      </c>
      <c r="R2022">
        <v>13.77</v>
      </c>
      <c r="S2022">
        <v>13.99</v>
      </c>
      <c r="T2022">
        <v>13.77</v>
      </c>
      <c r="U2022">
        <v>14.34</v>
      </c>
      <c r="W2022">
        <v>14</v>
      </c>
      <c r="Z2022">
        <v>57368</v>
      </c>
      <c r="AA2022">
        <v>807740.66</v>
      </c>
      <c r="AB2022">
        <v>310</v>
      </c>
      <c r="AC2022" t="s">
        <v>42</v>
      </c>
      <c r="AD2022">
        <v>1</v>
      </c>
    </row>
    <row r="2023" spans="1:30">
      <c r="A2023" t="str">
        <f>CONCATENATE(I2023,J2023)</f>
        <v>MEDICAMEQEQ</v>
      </c>
      <c r="B2023" s="34">
        <v>46273</v>
      </c>
      <c r="C2023" s="34">
        <v>46273</v>
      </c>
      <c r="D2023" t="s">
        <v>35</v>
      </c>
      <c r="E2023" t="s">
        <v>36</v>
      </c>
      <c r="F2023" t="s">
        <v>37</v>
      </c>
      <c r="G2023">
        <v>6278</v>
      </c>
      <c r="H2023" t="s">
        <v>6127</v>
      </c>
      <c r="I2023" t="s">
        <v>6128</v>
      </c>
      <c r="J2023" t="s">
        <v>161</v>
      </c>
      <c r="O2023" t="s">
        <v>6129</v>
      </c>
      <c r="P2023">
        <v>282</v>
      </c>
      <c r="Q2023">
        <v>287.8</v>
      </c>
      <c r="R2023">
        <v>275</v>
      </c>
      <c r="S2023">
        <v>285.75</v>
      </c>
      <c r="T2023">
        <v>286</v>
      </c>
      <c r="U2023">
        <v>279.25</v>
      </c>
      <c r="W2023">
        <v>285.74</v>
      </c>
      <c r="Z2023">
        <v>60359</v>
      </c>
      <c r="AA2023">
        <v>16979244.350000001</v>
      </c>
      <c r="AB2023">
        <v>1753</v>
      </c>
      <c r="AC2023" t="s">
        <v>42</v>
      </c>
      <c r="AD2023">
        <v>1</v>
      </c>
    </row>
    <row r="2024" spans="1:30">
      <c r="A2024" t="str">
        <f>CONCATENATE(I2024,J2024)</f>
        <v>MEDICOEQ</v>
      </c>
      <c r="B2024" s="34">
        <v>46273</v>
      </c>
      <c r="C2024" s="34">
        <v>46273</v>
      </c>
      <c r="D2024" t="s">
        <v>35</v>
      </c>
      <c r="E2024" t="s">
        <v>36</v>
      </c>
      <c r="F2024" t="s">
        <v>37</v>
      </c>
      <c r="G2024">
        <v>9667</v>
      </c>
      <c r="H2024" t="s">
        <v>6130</v>
      </c>
      <c r="I2024" t="s">
        <v>6131</v>
      </c>
      <c r="J2024" t="s">
        <v>161</v>
      </c>
      <c r="O2024" t="s">
        <v>6132</v>
      </c>
      <c r="P2024">
        <v>41.11</v>
      </c>
      <c r="Q2024">
        <v>41.11</v>
      </c>
      <c r="R2024">
        <v>39.03</v>
      </c>
      <c r="S2024">
        <v>39.28</v>
      </c>
      <c r="T2024">
        <v>39.36</v>
      </c>
      <c r="U2024">
        <v>40.770000000000003</v>
      </c>
      <c r="W2024">
        <v>39.29</v>
      </c>
      <c r="Z2024">
        <v>200705</v>
      </c>
      <c r="AA2024">
        <v>7944977.8200000003</v>
      </c>
      <c r="AB2024">
        <v>1638</v>
      </c>
      <c r="AC2024" t="s">
        <v>42</v>
      </c>
      <c r="AD2024">
        <v>1</v>
      </c>
    </row>
    <row r="2025" spans="1:30">
      <c r="A2025" t="str">
        <f>CONCATENATE(I2025,J2025)</f>
        <v>MEDPLUSEQ</v>
      </c>
      <c r="B2025" s="34">
        <v>46273</v>
      </c>
      <c r="C2025" s="34">
        <v>46273</v>
      </c>
      <c r="D2025" t="s">
        <v>35</v>
      </c>
      <c r="E2025" t="s">
        <v>36</v>
      </c>
      <c r="F2025" t="s">
        <v>37</v>
      </c>
      <c r="G2025">
        <v>7254</v>
      </c>
      <c r="H2025" t="s">
        <v>6133</v>
      </c>
      <c r="I2025" t="s">
        <v>6134</v>
      </c>
      <c r="J2025" t="s">
        <v>161</v>
      </c>
      <c r="O2025" t="s">
        <v>6135</v>
      </c>
      <c r="P2025">
        <v>656</v>
      </c>
      <c r="Q2025">
        <v>667</v>
      </c>
      <c r="R2025">
        <v>655.8</v>
      </c>
      <c r="S2025">
        <v>663.45</v>
      </c>
      <c r="T2025">
        <v>660.15</v>
      </c>
      <c r="U2025">
        <v>659.7</v>
      </c>
      <c r="W2025">
        <v>663.39</v>
      </c>
      <c r="Z2025">
        <v>76126</v>
      </c>
      <c r="AA2025">
        <v>50431426.450000003</v>
      </c>
      <c r="AB2025">
        <v>6903</v>
      </c>
      <c r="AC2025" t="s">
        <v>42</v>
      </c>
      <c r="AD2025">
        <v>1</v>
      </c>
    </row>
    <row r="2026" spans="1:30">
      <c r="A2026" t="str">
        <f>CONCATENATE(I2026,J2026)</f>
        <v>MEESHOEQ</v>
      </c>
      <c r="B2026" s="34">
        <v>46273</v>
      </c>
      <c r="C2026" s="34">
        <v>46273</v>
      </c>
      <c r="D2026" t="s">
        <v>35</v>
      </c>
      <c r="E2026" t="s">
        <v>36</v>
      </c>
      <c r="F2026" t="s">
        <v>37</v>
      </c>
      <c r="G2026">
        <v>760229</v>
      </c>
      <c r="H2026" t="s">
        <v>6136</v>
      </c>
      <c r="I2026" t="s">
        <v>6137</v>
      </c>
      <c r="J2026" t="s">
        <v>161</v>
      </c>
      <c r="O2026" t="s">
        <v>6138</v>
      </c>
      <c r="P2026">
        <v>210.3</v>
      </c>
      <c r="Q2026">
        <v>213.9</v>
      </c>
      <c r="R2026">
        <v>208.71</v>
      </c>
      <c r="S2026">
        <v>211.06</v>
      </c>
      <c r="T2026">
        <v>210.6</v>
      </c>
      <c r="U2026">
        <v>210.3</v>
      </c>
      <c r="W2026">
        <v>211.06</v>
      </c>
      <c r="Z2026">
        <v>18323130</v>
      </c>
      <c r="AA2026">
        <v>3876744340.27</v>
      </c>
      <c r="AB2026">
        <v>94734</v>
      </c>
      <c r="AC2026" t="s">
        <v>42</v>
      </c>
      <c r="AD2026">
        <v>1</v>
      </c>
    </row>
    <row r="2027" spans="1:30">
      <c r="A2027" t="str">
        <f>CONCATENATE(I2027,J2027)</f>
        <v>MEGASTAREQ</v>
      </c>
      <c r="B2027" s="34">
        <v>46273</v>
      </c>
      <c r="C2027" s="34">
        <v>46273</v>
      </c>
      <c r="D2027" t="s">
        <v>35</v>
      </c>
      <c r="E2027" t="s">
        <v>36</v>
      </c>
      <c r="F2027" t="s">
        <v>37</v>
      </c>
      <c r="G2027">
        <v>8153</v>
      </c>
      <c r="H2027" t="s">
        <v>6139</v>
      </c>
      <c r="I2027" t="s">
        <v>6140</v>
      </c>
      <c r="J2027" t="s">
        <v>161</v>
      </c>
      <c r="O2027" t="s">
        <v>6141</v>
      </c>
      <c r="P2027">
        <v>309</v>
      </c>
      <c r="Q2027">
        <v>309</v>
      </c>
      <c r="R2027">
        <v>287.25</v>
      </c>
      <c r="S2027">
        <v>288.85000000000002</v>
      </c>
      <c r="T2027">
        <v>289.75</v>
      </c>
      <c r="U2027">
        <v>300.10000000000002</v>
      </c>
      <c r="W2027">
        <v>288.83999999999997</v>
      </c>
      <c r="Z2027">
        <v>5602</v>
      </c>
      <c r="AA2027">
        <v>1637765.4</v>
      </c>
      <c r="AB2027">
        <v>212</v>
      </c>
      <c r="AC2027" t="s">
        <v>42</v>
      </c>
      <c r="AD2027">
        <v>1</v>
      </c>
    </row>
    <row r="2028" spans="1:30">
      <c r="A2028" t="str">
        <f>CONCATENATE(I2028,J2028)</f>
        <v>MEGATHERMSM</v>
      </c>
      <c r="B2028" s="34">
        <v>46273</v>
      </c>
      <c r="C2028" s="34">
        <v>46273</v>
      </c>
      <c r="D2028" t="s">
        <v>35</v>
      </c>
      <c r="E2028" t="s">
        <v>36</v>
      </c>
      <c r="F2028" t="s">
        <v>37</v>
      </c>
      <c r="G2028">
        <v>22560</v>
      </c>
      <c r="H2028" t="s">
        <v>6142</v>
      </c>
      <c r="I2028" t="s">
        <v>6143</v>
      </c>
      <c r="J2028" t="s">
        <v>267</v>
      </c>
      <c r="O2028" t="s">
        <v>6144</v>
      </c>
      <c r="P2028">
        <v>221</v>
      </c>
      <c r="Q2028">
        <v>237.4</v>
      </c>
      <c r="R2028">
        <v>220</v>
      </c>
      <c r="S2028">
        <v>227.75</v>
      </c>
      <c r="T2028">
        <v>229.2</v>
      </c>
      <c r="U2028">
        <v>220.5</v>
      </c>
      <c r="W2028">
        <v>227.75</v>
      </c>
      <c r="Z2028">
        <v>34000</v>
      </c>
      <c r="AA2028">
        <v>7844160</v>
      </c>
      <c r="AB2028">
        <v>76</v>
      </c>
      <c r="AC2028" t="s">
        <v>42</v>
      </c>
      <c r="AD2028">
        <v>400</v>
      </c>
    </row>
    <row r="2029" spans="1:30">
      <c r="A2029" t="str">
        <f>CONCATENATE(I2029,J2029)</f>
        <v>MOLEQ</v>
      </c>
      <c r="B2029" s="34">
        <v>46273</v>
      </c>
      <c r="C2029" s="34">
        <v>46273</v>
      </c>
      <c r="D2029" t="s">
        <v>35</v>
      </c>
      <c r="E2029" t="s">
        <v>36</v>
      </c>
      <c r="F2029" t="s">
        <v>37</v>
      </c>
      <c r="G2029">
        <v>5394</v>
      </c>
      <c r="H2029" t="s">
        <v>6145</v>
      </c>
      <c r="I2029" t="s">
        <v>6146</v>
      </c>
      <c r="J2029" t="s">
        <v>161</v>
      </c>
      <c r="O2029" t="s">
        <v>6147</v>
      </c>
      <c r="P2029">
        <v>65.75</v>
      </c>
      <c r="Q2029">
        <v>67.680000000000007</v>
      </c>
      <c r="R2029">
        <v>64.849999999999994</v>
      </c>
      <c r="S2029">
        <v>65.819999999999993</v>
      </c>
      <c r="T2029">
        <v>66.069999999999993</v>
      </c>
      <c r="U2029">
        <v>65.73</v>
      </c>
      <c r="W2029">
        <v>65.819999999999993</v>
      </c>
      <c r="Z2029">
        <v>1508309</v>
      </c>
      <c r="AA2029">
        <v>100134427.45</v>
      </c>
      <c r="AB2029">
        <v>9474</v>
      </c>
      <c r="AC2029" t="s">
        <v>42</v>
      </c>
      <c r="AD2029">
        <v>1</v>
      </c>
    </row>
    <row r="2030" spans="1:30">
      <c r="A2030" t="str">
        <f>CONCATENATE(I2030,J2030)</f>
        <v>MIILEQ</v>
      </c>
      <c r="B2030" s="34">
        <v>46273</v>
      </c>
      <c r="C2030" s="34">
        <v>46273</v>
      </c>
      <c r="D2030" t="s">
        <v>35</v>
      </c>
      <c r="E2030" t="s">
        <v>36</v>
      </c>
      <c r="F2030" t="s">
        <v>37</v>
      </c>
      <c r="G2030">
        <v>764778</v>
      </c>
      <c r="H2030" t="s">
        <v>6148</v>
      </c>
      <c r="I2030" t="s">
        <v>6149</v>
      </c>
      <c r="J2030" t="s">
        <v>161</v>
      </c>
      <c r="O2030" t="s">
        <v>6150</v>
      </c>
      <c r="P2030">
        <v>719</v>
      </c>
      <c r="Q2030">
        <v>725.85</v>
      </c>
      <c r="R2030">
        <v>700.5</v>
      </c>
      <c r="S2030">
        <v>704.6</v>
      </c>
      <c r="T2030">
        <v>707.65</v>
      </c>
      <c r="U2030">
        <v>710.15</v>
      </c>
      <c r="W2030">
        <v>704.65</v>
      </c>
      <c r="Z2030">
        <v>68291</v>
      </c>
      <c r="AA2030">
        <v>48693268</v>
      </c>
      <c r="AB2030">
        <v>1403</v>
      </c>
      <c r="AC2030" t="s">
        <v>42</v>
      </c>
      <c r="AD2030">
        <v>1</v>
      </c>
    </row>
    <row r="2031" spans="1:30">
      <c r="A2031" t="str">
        <f>CONCATENATE(I2031,J2031)</f>
        <v>MENONBEBE</v>
      </c>
      <c r="B2031" s="34">
        <v>46273</v>
      </c>
      <c r="C2031" s="34">
        <v>46273</v>
      </c>
      <c r="D2031" t="s">
        <v>35</v>
      </c>
      <c r="E2031" t="s">
        <v>36</v>
      </c>
      <c r="F2031" t="s">
        <v>37</v>
      </c>
      <c r="G2031">
        <v>6971</v>
      </c>
      <c r="H2031" t="s">
        <v>6151</v>
      </c>
      <c r="I2031" t="s">
        <v>6152</v>
      </c>
      <c r="J2031" t="s">
        <v>183</v>
      </c>
      <c r="O2031" t="s">
        <v>6153</v>
      </c>
      <c r="P2031">
        <v>312.8</v>
      </c>
      <c r="Q2031">
        <v>319.2</v>
      </c>
      <c r="R2031">
        <v>291.05</v>
      </c>
      <c r="S2031">
        <v>291.05</v>
      </c>
      <c r="T2031">
        <v>291.05</v>
      </c>
      <c r="U2031">
        <v>306.35000000000002</v>
      </c>
      <c r="W2031">
        <v>291.08</v>
      </c>
      <c r="Z2031">
        <v>71699</v>
      </c>
      <c r="AA2031">
        <v>21473290.149999999</v>
      </c>
      <c r="AB2031">
        <v>1289</v>
      </c>
      <c r="AC2031" t="s">
        <v>42</v>
      </c>
      <c r="AD2031">
        <v>1</v>
      </c>
    </row>
    <row r="2032" spans="1:30">
      <c r="A2032" t="str">
        <f>CONCATENATE(I2032,J2032)</f>
        <v>MENNPISEQ</v>
      </c>
      <c r="B2032" s="34">
        <v>46273</v>
      </c>
      <c r="C2032" s="34">
        <v>46273</v>
      </c>
      <c r="D2032" t="s">
        <v>35</v>
      </c>
      <c r="E2032" t="s">
        <v>36</v>
      </c>
      <c r="F2032" t="s">
        <v>37</v>
      </c>
      <c r="G2032">
        <v>762787</v>
      </c>
      <c r="H2032" t="s">
        <v>6154</v>
      </c>
      <c r="I2032" t="s">
        <v>6155</v>
      </c>
      <c r="J2032" t="s">
        <v>161</v>
      </c>
      <c r="O2032" t="s">
        <v>6156</v>
      </c>
      <c r="P2032">
        <v>82.99</v>
      </c>
      <c r="Q2032">
        <v>85.8</v>
      </c>
      <c r="R2032">
        <v>82.24</v>
      </c>
      <c r="S2032">
        <v>84.28</v>
      </c>
      <c r="T2032">
        <v>84.05</v>
      </c>
      <c r="U2032">
        <v>81.72</v>
      </c>
      <c r="W2032">
        <v>84.27</v>
      </c>
      <c r="Z2032">
        <v>357684</v>
      </c>
      <c r="AA2032">
        <v>30148482.949999999</v>
      </c>
      <c r="AB2032">
        <v>4376</v>
      </c>
      <c r="AC2032" t="s">
        <v>42</v>
      </c>
      <c r="AD2032">
        <v>1</v>
      </c>
    </row>
    <row r="2033" spans="1:30">
      <c r="A2033" t="str">
        <f>CONCATENATE(I2033,J2033)</f>
        <v>MEPBZ</v>
      </c>
      <c r="B2033" s="34">
        <v>46273</v>
      </c>
      <c r="C2033" s="34">
        <v>46273</v>
      </c>
      <c r="D2033" t="s">
        <v>35</v>
      </c>
      <c r="E2033" t="s">
        <v>36</v>
      </c>
      <c r="F2033" t="s">
        <v>37</v>
      </c>
      <c r="G2033">
        <v>25882</v>
      </c>
      <c r="H2033" t="s">
        <v>6157</v>
      </c>
      <c r="I2033" t="s">
        <v>6158</v>
      </c>
      <c r="J2033" t="s">
        <v>551</v>
      </c>
      <c r="O2033" t="s">
        <v>6159</v>
      </c>
      <c r="P2033">
        <v>0.69</v>
      </c>
      <c r="Q2033">
        <v>0.69</v>
      </c>
      <c r="R2033">
        <v>0.69</v>
      </c>
      <c r="S2033">
        <v>0.69</v>
      </c>
      <c r="T2033">
        <v>0.69</v>
      </c>
      <c r="U2033">
        <v>0.7</v>
      </c>
      <c r="W2033">
        <v>0.69</v>
      </c>
      <c r="Z2033">
        <v>25945</v>
      </c>
      <c r="AA2033">
        <v>17902.05</v>
      </c>
      <c r="AB2033">
        <v>31</v>
      </c>
      <c r="AC2033" t="s">
        <v>42</v>
      </c>
      <c r="AD2033">
        <v>1</v>
      </c>
    </row>
    <row r="2034" spans="1:30">
      <c r="A2034" t="str">
        <f>CONCATENATE(I2034,J2034)</f>
        <v>MERCANTILEEQ</v>
      </c>
      <c r="B2034" s="34">
        <v>46273</v>
      </c>
      <c r="C2034" s="34">
        <v>46273</v>
      </c>
      <c r="D2034" t="s">
        <v>35</v>
      </c>
      <c r="E2034" t="s">
        <v>36</v>
      </c>
      <c r="F2034" t="s">
        <v>37</v>
      </c>
      <c r="G2034">
        <v>762792</v>
      </c>
      <c r="H2034" t="s">
        <v>6160</v>
      </c>
      <c r="I2034" t="s">
        <v>6161</v>
      </c>
      <c r="J2034" t="s">
        <v>161</v>
      </c>
      <c r="O2034" t="s">
        <v>6162</v>
      </c>
      <c r="P2034">
        <v>24.92</v>
      </c>
      <c r="Q2034">
        <v>27.2</v>
      </c>
      <c r="R2034">
        <v>23.73</v>
      </c>
      <c r="S2034">
        <v>24.72</v>
      </c>
      <c r="T2034">
        <v>24.67</v>
      </c>
      <c r="U2034">
        <v>24.43</v>
      </c>
      <c r="W2034">
        <v>24.78</v>
      </c>
      <c r="Z2034">
        <v>327810</v>
      </c>
      <c r="AA2034">
        <v>8208211.0199999996</v>
      </c>
      <c r="AB2034">
        <v>1253</v>
      </c>
      <c r="AC2034" t="s">
        <v>42</v>
      </c>
      <c r="AD2034">
        <v>1</v>
      </c>
    </row>
    <row r="2035" spans="1:30">
      <c r="A2035" t="str">
        <f>CONCATENATE(I2035,J2035)</f>
        <v>MERCURYEVEQ</v>
      </c>
      <c r="B2035" s="34">
        <v>46273</v>
      </c>
      <c r="C2035" s="34">
        <v>46273</v>
      </c>
      <c r="D2035" t="s">
        <v>35</v>
      </c>
      <c r="E2035" t="s">
        <v>36</v>
      </c>
      <c r="F2035" t="s">
        <v>37</v>
      </c>
      <c r="G2035">
        <v>763663</v>
      </c>
      <c r="H2035" t="s">
        <v>6163</v>
      </c>
      <c r="I2035" t="s">
        <v>6164</v>
      </c>
      <c r="J2035" t="s">
        <v>161</v>
      </c>
      <c r="O2035" t="s">
        <v>6165</v>
      </c>
      <c r="P2035">
        <v>37.68</v>
      </c>
      <c r="Q2035">
        <v>38.75</v>
      </c>
      <c r="R2035">
        <v>36.75</v>
      </c>
      <c r="S2035">
        <v>38.380000000000003</v>
      </c>
      <c r="T2035">
        <v>38.4</v>
      </c>
      <c r="U2035">
        <v>37.4</v>
      </c>
      <c r="W2035">
        <v>38.369999999999997</v>
      </c>
      <c r="Z2035">
        <v>1533143</v>
      </c>
      <c r="AA2035">
        <v>58966498.93</v>
      </c>
      <c r="AB2035">
        <v>2248</v>
      </c>
      <c r="AC2035" t="s">
        <v>42</v>
      </c>
      <c r="AD2035">
        <v>1</v>
      </c>
    </row>
    <row r="2036" spans="1:30">
      <c r="A2036" t="str">
        <f>CONCATENATE(I2036,J2036)</f>
        <v>METALICST</v>
      </c>
      <c r="B2036" s="34">
        <v>46273</v>
      </c>
      <c r="C2036" s="34">
        <v>46273</v>
      </c>
      <c r="D2036" t="s">
        <v>35</v>
      </c>
      <c r="E2036" t="s">
        <v>36</v>
      </c>
      <c r="F2036" t="s">
        <v>37</v>
      </c>
      <c r="G2036">
        <v>764278</v>
      </c>
      <c r="H2036" t="s">
        <v>6166</v>
      </c>
      <c r="I2036" t="s">
        <v>6167</v>
      </c>
      <c r="J2036" t="s">
        <v>328</v>
      </c>
      <c r="O2036" t="s">
        <v>6168</v>
      </c>
      <c r="P2036">
        <v>133.25</v>
      </c>
      <c r="Q2036">
        <v>137</v>
      </c>
      <c r="R2036">
        <v>130.75</v>
      </c>
      <c r="S2036">
        <v>136.94999999999999</v>
      </c>
      <c r="T2036">
        <v>136.94999999999999</v>
      </c>
      <c r="U2036">
        <v>137.6</v>
      </c>
      <c r="W2036">
        <v>136.94999999999999</v>
      </c>
      <c r="Z2036">
        <v>54400</v>
      </c>
      <c r="AA2036">
        <v>7265040</v>
      </c>
      <c r="AB2036">
        <v>28</v>
      </c>
      <c r="AC2036" t="s">
        <v>42</v>
      </c>
      <c r="AD2036">
        <v>1600</v>
      </c>
    </row>
    <row r="2037" spans="1:30">
      <c r="A2037" t="str">
        <f>CONCATENATE(I2037,J2037)</f>
        <v>METROBRANDEQ</v>
      </c>
      <c r="B2037" s="34">
        <v>46273</v>
      </c>
      <c r="C2037" s="34">
        <v>46273</v>
      </c>
      <c r="D2037" t="s">
        <v>35</v>
      </c>
      <c r="E2037" t="s">
        <v>36</v>
      </c>
      <c r="F2037" t="s">
        <v>37</v>
      </c>
      <c r="G2037">
        <v>7242</v>
      </c>
      <c r="H2037" t="s">
        <v>6169</v>
      </c>
      <c r="I2037" t="s">
        <v>6170</v>
      </c>
      <c r="J2037" t="s">
        <v>161</v>
      </c>
      <c r="O2037" t="s">
        <v>6171</v>
      </c>
      <c r="P2037">
        <v>934.55</v>
      </c>
      <c r="Q2037">
        <v>952</v>
      </c>
      <c r="R2037">
        <v>926.2</v>
      </c>
      <c r="S2037">
        <v>948.55</v>
      </c>
      <c r="T2037">
        <v>950</v>
      </c>
      <c r="U2037">
        <v>934.5</v>
      </c>
      <c r="W2037">
        <v>948.43</v>
      </c>
      <c r="Z2037">
        <v>29527</v>
      </c>
      <c r="AA2037">
        <v>27903748</v>
      </c>
      <c r="AB2037">
        <v>8056</v>
      </c>
      <c r="AC2037" t="s">
        <v>42</v>
      </c>
      <c r="AD2037">
        <v>1</v>
      </c>
    </row>
    <row r="2038" spans="1:30">
      <c r="A2038" t="str">
        <f>CONCATENATE(I2038,J2038)</f>
        <v>METROGLOBLEQ</v>
      </c>
      <c r="B2038" s="34">
        <v>46273</v>
      </c>
      <c r="C2038" s="34">
        <v>46273</v>
      </c>
      <c r="D2038" t="s">
        <v>35</v>
      </c>
      <c r="E2038" t="s">
        <v>36</v>
      </c>
      <c r="F2038" t="s">
        <v>37</v>
      </c>
      <c r="G2038">
        <v>762797</v>
      </c>
      <c r="H2038" t="s">
        <v>6172</v>
      </c>
      <c r="I2038" t="s">
        <v>6173</v>
      </c>
      <c r="J2038" t="s">
        <v>161</v>
      </c>
      <c r="O2038" t="s">
        <v>6174</v>
      </c>
      <c r="P2038">
        <v>140</v>
      </c>
      <c r="Q2038">
        <v>140</v>
      </c>
      <c r="R2038">
        <v>138</v>
      </c>
      <c r="S2038">
        <v>139.9</v>
      </c>
      <c r="T2038">
        <v>139.9</v>
      </c>
      <c r="U2038">
        <v>140</v>
      </c>
      <c r="W2038">
        <v>140</v>
      </c>
      <c r="Z2038">
        <v>220</v>
      </c>
      <c r="AA2038">
        <v>30687.200000000001</v>
      </c>
      <c r="AB2038">
        <v>27</v>
      </c>
      <c r="AC2038" t="s">
        <v>42</v>
      </c>
      <c r="AD2038">
        <v>1</v>
      </c>
    </row>
    <row r="2039" spans="1:30">
      <c r="A2039" t="str">
        <f>CONCATENATE(I2039,J2039)</f>
        <v>METROPOLISEQ</v>
      </c>
      <c r="B2039" s="34">
        <v>46273</v>
      </c>
      <c r="C2039" s="34">
        <v>46273</v>
      </c>
      <c r="D2039" t="s">
        <v>35</v>
      </c>
      <c r="E2039" t="s">
        <v>36</v>
      </c>
      <c r="F2039" t="s">
        <v>37</v>
      </c>
      <c r="G2039">
        <v>9581</v>
      </c>
      <c r="H2039" t="s">
        <v>6175</v>
      </c>
      <c r="I2039" t="s">
        <v>6176</v>
      </c>
      <c r="J2039" t="s">
        <v>161</v>
      </c>
      <c r="O2039" t="s">
        <v>6177</v>
      </c>
      <c r="P2039">
        <v>578</v>
      </c>
      <c r="Q2039">
        <v>588.75</v>
      </c>
      <c r="R2039">
        <v>577.29999999999995</v>
      </c>
      <c r="S2039">
        <v>582.20000000000005</v>
      </c>
      <c r="T2039">
        <v>582.54999999999995</v>
      </c>
      <c r="U2039">
        <v>577.75</v>
      </c>
      <c r="W2039">
        <v>582.19000000000005</v>
      </c>
      <c r="Z2039">
        <v>280010</v>
      </c>
      <c r="AA2039">
        <v>163913202.90000001</v>
      </c>
      <c r="AB2039">
        <v>7051</v>
      </c>
      <c r="AC2039" t="s">
        <v>42</v>
      </c>
      <c r="AD2039">
        <v>1</v>
      </c>
    </row>
    <row r="2040" spans="1:30">
      <c r="A2040" t="str">
        <f>CONCATENATE(I2040,J2040)</f>
        <v>MICELBE</v>
      </c>
      <c r="B2040" s="34">
        <v>46273</v>
      </c>
      <c r="C2040" s="34">
        <v>46273</v>
      </c>
      <c r="D2040" t="s">
        <v>35</v>
      </c>
      <c r="E2040" t="s">
        <v>36</v>
      </c>
      <c r="F2040" t="s">
        <v>37</v>
      </c>
      <c r="G2040">
        <v>7165</v>
      </c>
      <c r="H2040" t="s">
        <v>6178</v>
      </c>
      <c r="I2040" t="s">
        <v>6179</v>
      </c>
      <c r="J2040" t="s">
        <v>183</v>
      </c>
      <c r="O2040" t="s">
        <v>6180</v>
      </c>
      <c r="P2040">
        <v>37</v>
      </c>
      <c r="Q2040">
        <v>37</v>
      </c>
      <c r="R2040">
        <v>36.299999999999997</v>
      </c>
      <c r="S2040">
        <v>36.32</v>
      </c>
      <c r="T2040">
        <v>36.32</v>
      </c>
      <c r="U2040">
        <v>37</v>
      </c>
      <c r="W2040">
        <v>36.56</v>
      </c>
      <c r="Z2040">
        <v>92604</v>
      </c>
      <c r="AA2040">
        <v>3373176.06</v>
      </c>
      <c r="AB2040">
        <v>476</v>
      </c>
      <c r="AC2040" t="s">
        <v>42</v>
      </c>
      <c r="AD2040">
        <v>1</v>
      </c>
    </row>
    <row r="2041" spans="1:30">
      <c r="A2041" t="str">
        <f>CONCATENATE(I2041,J2041)</f>
        <v>MICROPROSM</v>
      </c>
      <c r="B2041" s="34">
        <v>46273</v>
      </c>
      <c r="C2041" s="34">
        <v>46273</v>
      </c>
      <c r="D2041" t="s">
        <v>35</v>
      </c>
      <c r="E2041" t="s">
        <v>36</v>
      </c>
      <c r="F2041" t="s">
        <v>37</v>
      </c>
      <c r="G2041">
        <v>19887</v>
      </c>
      <c r="H2041" t="s">
        <v>6181</v>
      </c>
      <c r="I2041" t="s">
        <v>6182</v>
      </c>
      <c r="J2041" t="s">
        <v>267</v>
      </c>
      <c r="O2041" t="s">
        <v>6183</v>
      </c>
      <c r="P2041">
        <v>18.3</v>
      </c>
      <c r="Q2041">
        <v>18.899999999999999</v>
      </c>
      <c r="R2041">
        <v>18.3</v>
      </c>
      <c r="S2041">
        <v>18.899999999999999</v>
      </c>
      <c r="T2041">
        <v>18.899999999999999</v>
      </c>
      <c r="U2041">
        <v>19.399999999999999</v>
      </c>
      <c r="W2041">
        <v>18.899999999999999</v>
      </c>
      <c r="Z2041">
        <v>3200</v>
      </c>
      <c r="AA2041">
        <v>59520</v>
      </c>
      <c r="AB2041">
        <v>2</v>
      </c>
      <c r="AC2041" t="s">
        <v>42</v>
      </c>
      <c r="AD2041">
        <v>1600</v>
      </c>
    </row>
    <row r="2042" spans="1:30">
      <c r="A2042" t="str">
        <f>CONCATENATE(I2042,J2042)</f>
        <v>MIDWESTLTDEQ</v>
      </c>
      <c r="B2042" s="34">
        <v>46273</v>
      </c>
      <c r="C2042" s="34">
        <v>46273</v>
      </c>
      <c r="D2042" t="s">
        <v>35</v>
      </c>
      <c r="E2042" t="s">
        <v>36</v>
      </c>
      <c r="F2042" t="s">
        <v>37</v>
      </c>
      <c r="G2042">
        <v>759517</v>
      </c>
      <c r="H2042" t="s">
        <v>6184</v>
      </c>
      <c r="I2042" t="s">
        <v>6185</v>
      </c>
      <c r="J2042" t="s">
        <v>161</v>
      </c>
      <c r="O2042" t="s">
        <v>6186</v>
      </c>
      <c r="P2042">
        <v>1066.5</v>
      </c>
      <c r="Q2042">
        <v>1093</v>
      </c>
      <c r="R2042">
        <v>1058.0999999999999</v>
      </c>
      <c r="S2042">
        <v>1078.4000000000001</v>
      </c>
      <c r="T2042">
        <v>1080</v>
      </c>
      <c r="U2042">
        <v>1062.5999999999999</v>
      </c>
      <c r="W2042">
        <v>1078.3900000000001</v>
      </c>
      <c r="Z2042">
        <v>11134</v>
      </c>
      <c r="AA2042">
        <v>11945097</v>
      </c>
      <c r="AB2042">
        <v>1261</v>
      </c>
      <c r="AC2042" t="s">
        <v>42</v>
      </c>
      <c r="AD2042">
        <v>1</v>
      </c>
    </row>
    <row r="2043" spans="1:30">
      <c r="A2043" t="str">
        <f>CONCATENATE(I2043,J2043)</f>
        <v>MLKFOODEQ</v>
      </c>
      <c r="B2043" s="34">
        <v>46273</v>
      </c>
      <c r="C2043" s="34">
        <v>46273</v>
      </c>
      <c r="D2043" t="s">
        <v>35</v>
      </c>
      <c r="E2043" t="s">
        <v>36</v>
      </c>
      <c r="F2043" t="s">
        <v>37</v>
      </c>
      <c r="G2043">
        <v>765125</v>
      </c>
      <c r="H2043" t="s">
        <v>6187</v>
      </c>
      <c r="I2043" t="s">
        <v>6188</v>
      </c>
      <c r="J2043" t="s">
        <v>161</v>
      </c>
      <c r="O2043" t="s">
        <v>6189</v>
      </c>
      <c r="P2043">
        <v>85.8</v>
      </c>
      <c r="Q2043">
        <v>87.99</v>
      </c>
      <c r="R2043">
        <v>82.1</v>
      </c>
      <c r="S2043">
        <v>84.87</v>
      </c>
      <c r="T2043">
        <v>84.98</v>
      </c>
      <c r="U2043">
        <v>85.8</v>
      </c>
      <c r="W2043">
        <v>84.87</v>
      </c>
      <c r="Z2043">
        <v>2618</v>
      </c>
      <c r="AA2043">
        <v>221010.19</v>
      </c>
      <c r="AB2043">
        <v>129</v>
      </c>
      <c r="AC2043" t="s">
        <v>42</v>
      </c>
      <c r="AD2043">
        <v>1</v>
      </c>
    </row>
    <row r="2044" spans="1:30">
      <c r="A2044" t="str">
        <f>CONCATENATE(I2044,J2044)</f>
        <v>MILKYMISTEQ</v>
      </c>
      <c r="B2044" s="34">
        <v>46273</v>
      </c>
      <c r="C2044" s="34">
        <v>46273</v>
      </c>
      <c r="D2044" t="s">
        <v>35</v>
      </c>
      <c r="E2044" t="s">
        <v>36</v>
      </c>
      <c r="F2044" t="s">
        <v>37</v>
      </c>
      <c r="G2044">
        <v>765272</v>
      </c>
      <c r="H2044" t="s">
        <v>6190</v>
      </c>
      <c r="I2044" t="s">
        <v>6191</v>
      </c>
      <c r="J2044" t="s">
        <v>161</v>
      </c>
      <c r="O2044" t="s">
        <v>6192</v>
      </c>
      <c r="P2044">
        <v>278</v>
      </c>
      <c r="Q2044">
        <v>288.45</v>
      </c>
      <c r="R2044">
        <v>270.64999999999998</v>
      </c>
      <c r="S2044">
        <v>275.97000000000003</v>
      </c>
      <c r="T2044">
        <v>275.7</v>
      </c>
      <c r="U2044">
        <v>276.01</v>
      </c>
      <c r="W2044">
        <v>275.95</v>
      </c>
      <c r="Z2044">
        <v>15671478</v>
      </c>
      <c r="AA2044">
        <v>4378563548.3900003</v>
      </c>
      <c r="AB2044">
        <v>152614</v>
      </c>
      <c r="AC2044" t="s">
        <v>42</v>
      </c>
      <c r="AD2044">
        <v>1</v>
      </c>
    </row>
    <row r="2045" spans="1:30">
      <c r="A2045" t="str">
        <f>CONCATENATE(I2045,J2045)</f>
        <v>MILTONSM</v>
      </c>
      <c r="B2045" s="34">
        <v>46273</v>
      </c>
      <c r="C2045" s="34">
        <v>46273</v>
      </c>
      <c r="D2045" t="s">
        <v>35</v>
      </c>
      <c r="E2045" t="s">
        <v>36</v>
      </c>
      <c r="F2045" t="s">
        <v>37</v>
      </c>
      <c r="G2045">
        <v>159</v>
      </c>
      <c r="H2045" t="s">
        <v>6193</v>
      </c>
      <c r="I2045" t="s">
        <v>6194</v>
      </c>
      <c r="J2045" t="s">
        <v>267</v>
      </c>
      <c r="O2045" t="s">
        <v>6195</v>
      </c>
      <c r="P2045">
        <v>36.35</v>
      </c>
      <c r="Q2045">
        <v>38</v>
      </c>
      <c r="R2045">
        <v>36.35</v>
      </c>
      <c r="S2045">
        <v>38</v>
      </c>
      <c r="T2045">
        <v>38</v>
      </c>
      <c r="U2045">
        <v>36.200000000000003</v>
      </c>
      <c r="W2045">
        <v>38</v>
      </c>
      <c r="Z2045">
        <v>6600</v>
      </c>
      <c r="AA2045">
        <v>247170</v>
      </c>
      <c r="AB2045">
        <v>3</v>
      </c>
      <c r="AC2045" t="s">
        <v>42</v>
      </c>
      <c r="AD2045">
        <v>2200</v>
      </c>
    </row>
    <row r="2046" spans="1:30">
      <c r="A2046" t="str">
        <f>CONCATENATE(I2046,J2046)</f>
        <v>MINALINDBE</v>
      </c>
      <c r="B2046" s="34">
        <v>46273</v>
      </c>
      <c r="C2046" s="34">
        <v>46273</v>
      </c>
      <c r="D2046" t="s">
        <v>35</v>
      </c>
      <c r="E2046" t="s">
        <v>36</v>
      </c>
      <c r="F2046" t="s">
        <v>37</v>
      </c>
      <c r="G2046">
        <v>765118</v>
      </c>
      <c r="H2046" t="s">
        <v>6196</v>
      </c>
      <c r="I2046" t="s">
        <v>6197</v>
      </c>
      <c r="J2046" t="s">
        <v>183</v>
      </c>
      <c r="O2046" t="s">
        <v>6198</v>
      </c>
      <c r="P2046">
        <v>5.89</v>
      </c>
      <c r="Q2046">
        <v>5.89</v>
      </c>
      <c r="R2046">
        <v>5.89</v>
      </c>
      <c r="S2046">
        <v>5.89</v>
      </c>
      <c r="T2046">
        <v>5.89</v>
      </c>
      <c r="U2046">
        <v>5.61</v>
      </c>
      <c r="W2046">
        <v>5.89</v>
      </c>
      <c r="Z2046">
        <v>55821</v>
      </c>
      <c r="AA2046">
        <v>328785.69</v>
      </c>
      <c r="AB2046">
        <v>117</v>
      </c>
      <c r="AC2046" t="s">
        <v>42</v>
      </c>
      <c r="AD2046">
        <v>1</v>
      </c>
    </row>
    <row r="2047" spans="1:30">
      <c r="A2047" t="str">
        <f>CONCATENATE(I2047,J2047)</f>
        <v>MINDACORPEQ</v>
      </c>
      <c r="B2047" s="34">
        <v>46273</v>
      </c>
      <c r="C2047" s="34">
        <v>46273</v>
      </c>
      <c r="D2047" t="s">
        <v>35</v>
      </c>
      <c r="E2047" t="s">
        <v>36</v>
      </c>
      <c r="F2047" t="s">
        <v>37</v>
      </c>
      <c r="G2047">
        <v>25897</v>
      </c>
      <c r="H2047" t="s">
        <v>6199</v>
      </c>
      <c r="I2047" t="s">
        <v>6200</v>
      </c>
      <c r="J2047" t="s">
        <v>161</v>
      </c>
      <c r="O2047" t="s">
        <v>6201</v>
      </c>
      <c r="P2047">
        <v>692</v>
      </c>
      <c r="Q2047">
        <v>711</v>
      </c>
      <c r="R2047">
        <v>690.05</v>
      </c>
      <c r="S2047">
        <v>708.3</v>
      </c>
      <c r="T2047">
        <v>710.5</v>
      </c>
      <c r="U2047">
        <v>695.55</v>
      </c>
      <c r="W2047">
        <v>708.29</v>
      </c>
      <c r="Z2047">
        <v>176980</v>
      </c>
      <c r="AA2047">
        <v>124385826.7</v>
      </c>
      <c r="AB2047">
        <v>9628</v>
      </c>
      <c r="AC2047" t="s">
        <v>42</v>
      </c>
      <c r="AD2047">
        <v>1</v>
      </c>
    </row>
    <row r="2048" spans="1:30">
      <c r="A2048" t="str">
        <f>CONCATENATE(I2048,J2048)</f>
        <v>MINDSPACERR</v>
      </c>
      <c r="B2048" s="34">
        <v>46273</v>
      </c>
      <c r="C2048" s="34">
        <v>46273</v>
      </c>
      <c r="D2048" t="s">
        <v>35</v>
      </c>
      <c r="E2048" t="s">
        <v>36</v>
      </c>
      <c r="F2048" t="s">
        <v>37</v>
      </c>
      <c r="G2048">
        <v>22308</v>
      </c>
      <c r="H2048" t="s">
        <v>6202</v>
      </c>
      <c r="I2048" t="s">
        <v>6203</v>
      </c>
      <c r="J2048" t="s">
        <v>1301</v>
      </c>
      <c r="O2048" t="s">
        <v>6204</v>
      </c>
      <c r="P2048">
        <v>497.63</v>
      </c>
      <c r="Q2048">
        <v>501</v>
      </c>
      <c r="R2048">
        <v>497.02</v>
      </c>
      <c r="S2048">
        <v>497.67</v>
      </c>
      <c r="T2048">
        <v>497.99</v>
      </c>
      <c r="U2048">
        <v>497.82</v>
      </c>
      <c r="W2048">
        <v>497.66</v>
      </c>
      <c r="Z2048">
        <v>297703</v>
      </c>
      <c r="AA2048">
        <v>148458712.02000001</v>
      </c>
      <c r="AB2048">
        <v>8374</v>
      </c>
      <c r="AC2048" t="s">
        <v>42</v>
      </c>
      <c r="AD2048">
        <v>1</v>
      </c>
    </row>
    <row r="2049" spans="1:30">
      <c r="A2049" t="str">
        <f>CONCATENATE(I2049,J2049)</f>
        <v>MINDTECKEQ</v>
      </c>
      <c r="B2049" s="34">
        <v>46273</v>
      </c>
      <c r="C2049" s="34">
        <v>46273</v>
      </c>
      <c r="D2049" t="s">
        <v>35</v>
      </c>
      <c r="E2049" t="s">
        <v>36</v>
      </c>
      <c r="F2049" t="s">
        <v>37</v>
      </c>
      <c r="G2049">
        <v>18049</v>
      </c>
      <c r="H2049" t="s">
        <v>6205</v>
      </c>
      <c r="I2049" t="s">
        <v>6206</v>
      </c>
      <c r="J2049" t="s">
        <v>161</v>
      </c>
      <c r="O2049" t="s">
        <v>6207</v>
      </c>
      <c r="P2049">
        <v>168.74</v>
      </c>
      <c r="Q2049">
        <v>171.97</v>
      </c>
      <c r="R2049">
        <v>160.1</v>
      </c>
      <c r="S2049">
        <v>165</v>
      </c>
      <c r="T2049">
        <v>162.30000000000001</v>
      </c>
      <c r="U2049">
        <v>168.74</v>
      </c>
      <c r="W2049">
        <v>165.03</v>
      </c>
      <c r="Z2049">
        <v>59413</v>
      </c>
      <c r="AA2049">
        <v>9795126.4000000004</v>
      </c>
      <c r="AB2049">
        <v>1508</v>
      </c>
      <c r="AC2049" t="s">
        <v>42</v>
      </c>
      <c r="AD2049">
        <v>1</v>
      </c>
    </row>
    <row r="2050" spans="1:30">
      <c r="A2050" t="str">
        <f>CONCATENATE(I2050,J2050)</f>
        <v>ALPHAETFEQ</v>
      </c>
      <c r="B2050" s="34">
        <v>46273</v>
      </c>
      <c r="C2050" s="34">
        <v>46273</v>
      </c>
      <c r="D2050" t="s">
        <v>35</v>
      </c>
      <c r="E2050" t="s">
        <v>36</v>
      </c>
      <c r="F2050" t="s">
        <v>37</v>
      </c>
      <c r="G2050">
        <v>19640</v>
      </c>
      <c r="H2050" t="s">
        <v>6208</v>
      </c>
      <c r="I2050" t="s">
        <v>6209</v>
      </c>
      <c r="J2050" t="s">
        <v>161</v>
      </c>
      <c r="O2050" t="s">
        <v>6210</v>
      </c>
      <c r="P2050">
        <v>26.5</v>
      </c>
      <c r="Q2050">
        <v>26.8</v>
      </c>
      <c r="R2050">
        <v>26.5</v>
      </c>
      <c r="S2050">
        <v>26.71</v>
      </c>
      <c r="T2050">
        <v>26.71</v>
      </c>
      <c r="U2050">
        <v>26.57</v>
      </c>
      <c r="W2050">
        <v>26.71</v>
      </c>
      <c r="Z2050">
        <v>826651</v>
      </c>
      <c r="AA2050">
        <v>22077560.350000001</v>
      </c>
      <c r="AB2050">
        <v>767</v>
      </c>
      <c r="AC2050" t="s">
        <v>42</v>
      </c>
      <c r="AD2050">
        <v>1</v>
      </c>
    </row>
    <row r="2051" spans="1:30">
      <c r="A2051" t="str">
        <f>CONCATENATE(I2051,J2051)</f>
        <v>BANKETFEQ</v>
      </c>
      <c r="B2051" s="34">
        <v>46273</v>
      </c>
      <c r="C2051" s="34">
        <v>46273</v>
      </c>
      <c r="D2051" t="s">
        <v>35</v>
      </c>
      <c r="E2051" t="s">
        <v>36</v>
      </c>
      <c r="F2051" t="s">
        <v>37</v>
      </c>
      <c r="G2051">
        <v>17419</v>
      </c>
      <c r="H2051" t="s">
        <v>6211</v>
      </c>
      <c r="I2051" t="s">
        <v>6212</v>
      </c>
      <c r="J2051" t="s">
        <v>161</v>
      </c>
      <c r="O2051" t="s">
        <v>6213</v>
      </c>
      <c r="P2051">
        <v>582.09</v>
      </c>
      <c r="Q2051">
        <v>582.09</v>
      </c>
      <c r="R2051">
        <v>578.45000000000005</v>
      </c>
      <c r="S2051">
        <v>579.02</v>
      </c>
      <c r="T2051">
        <v>578.53</v>
      </c>
      <c r="U2051">
        <v>581.69000000000005</v>
      </c>
      <c r="W2051">
        <v>579.03</v>
      </c>
      <c r="Z2051">
        <v>11089</v>
      </c>
      <c r="AA2051">
        <v>6432158.1799999997</v>
      </c>
      <c r="AB2051">
        <v>264</v>
      </c>
      <c r="AC2051" t="s">
        <v>42</v>
      </c>
      <c r="AD2051">
        <v>1</v>
      </c>
    </row>
    <row r="2052" spans="1:30">
      <c r="A2052" t="str">
        <f>CONCATENATE(I2052,J2052)</f>
        <v>BANKPSUEQ</v>
      </c>
      <c r="B2052" s="34">
        <v>46273</v>
      </c>
      <c r="C2052" s="34">
        <v>46273</v>
      </c>
      <c r="D2052" t="s">
        <v>35</v>
      </c>
      <c r="E2052" t="s">
        <v>36</v>
      </c>
      <c r="F2052" t="s">
        <v>37</v>
      </c>
      <c r="G2052">
        <v>25725</v>
      </c>
      <c r="H2052" t="s">
        <v>6214</v>
      </c>
      <c r="I2052" t="s">
        <v>6215</v>
      </c>
      <c r="J2052" t="s">
        <v>161</v>
      </c>
      <c r="O2052" t="s">
        <v>6216</v>
      </c>
      <c r="P2052">
        <v>84.94</v>
      </c>
      <c r="Q2052">
        <v>85.14</v>
      </c>
      <c r="R2052">
        <v>84.6</v>
      </c>
      <c r="S2052">
        <v>84.89</v>
      </c>
      <c r="T2052">
        <v>84.69</v>
      </c>
      <c r="U2052">
        <v>84.91</v>
      </c>
      <c r="W2052">
        <v>84.89</v>
      </c>
      <c r="Z2052">
        <v>13314</v>
      </c>
      <c r="AA2052">
        <v>1129824.69</v>
      </c>
      <c r="AB2052">
        <v>89</v>
      </c>
      <c r="AC2052" t="s">
        <v>42</v>
      </c>
      <c r="AD2052">
        <v>1</v>
      </c>
    </row>
    <row r="2053" spans="1:30">
      <c r="A2053" t="str">
        <f>CONCATENATE(I2053,J2053)</f>
        <v>CONSUMEREQ</v>
      </c>
      <c r="B2053" s="34">
        <v>46273</v>
      </c>
      <c r="C2053" s="34">
        <v>46273</v>
      </c>
      <c r="D2053" t="s">
        <v>35</v>
      </c>
      <c r="E2053" t="s">
        <v>36</v>
      </c>
      <c r="F2053" t="s">
        <v>37</v>
      </c>
      <c r="G2053">
        <v>28969</v>
      </c>
      <c r="H2053" t="s">
        <v>6217</v>
      </c>
      <c r="I2053" t="s">
        <v>6218</v>
      </c>
      <c r="J2053" t="s">
        <v>161</v>
      </c>
      <c r="O2053" t="s">
        <v>6219</v>
      </c>
      <c r="P2053">
        <v>11.97</v>
      </c>
      <c r="Q2053">
        <v>11.99</v>
      </c>
      <c r="R2053">
        <v>11.89</v>
      </c>
      <c r="S2053">
        <v>11.98</v>
      </c>
      <c r="T2053">
        <v>11.95</v>
      </c>
      <c r="U2053">
        <v>11.95</v>
      </c>
      <c r="W2053">
        <v>11.98</v>
      </c>
      <c r="Z2053">
        <v>353916</v>
      </c>
      <c r="AA2053">
        <v>4233754.09</v>
      </c>
      <c r="AB2053">
        <v>297</v>
      </c>
      <c r="AC2053" t="s">
        <v>42</v>
      </c>
      <c r="AD2053">
        <v>1</v>
      </c>
    </row>
    <row r="2054" spans="1:30">
      <c r="A2054" t="str">
        <f>CONCATENATE(I2054,J2054)</f>
        <v>DEFENCEEQ</v>
      </c>
      <c r="B2054" s="34">
        <v>46273</v>
      </c>
      <c r="C2054" s="34">
        <v>46273</v>
      </c>
      <c r="D2054" t="s">
        <v>35</v>
      </c>
      <c r="E2054" t="s">
        <v>36</v>
      </c>
      <c r="F2054" t="s">
        <v>37</v>
      </c>
      <c r="G2054">
        <v>761046</v>
      </c>
      <c r="H2054" t="s">
        <v>6220</v>
      </c>
      <c r="I2054" t="s">
        <v>6221</v>
      </c>
      <c r="J2054" t="s">
        <v>161</v>
      </c>
      <c r="O2054" t="s">
        <v>6222</v>
      </c>
      <c r="P2054">
        <v>82.51</v>
      </c>
      <c r="Q2054">
        <v>83.9</v>
      </c>
      <c r="R2054">
        <v>82.5</v>
      </c>
      <c r="S2054">
        <v>83.81</v>
      </c>
      <c r="T2054">
        <v>83.9</v>
      </c>
      <c r="U2054">
        <v>82.04</v>
      </c>
      <c r="W2054">
        <v>83.81</v>
      </c>
      <c r="Z2054">
        <v>281076</v>
      </c>
      <c r="AA2054">
        <v>23491501.960000001</v>
      </c>
      <c r="AB2054">
        <v>1064</v>
      </c>
      <c r="AC2054" t="s">
        <v>42</v>
      </c>
      <c r="AD2054">
        <v>1</v>
      </c>
    </row>
    <row r="2055" spans="1:30">
      <c r="A2055" t="str">
        <f>CONCATENATE(I2055,J2055)</f>
        <v>DIVIDENDEQ</v>
      </c>
      <c r="B2055" s="34">
        <v>46273</v>
      </c>
      <c r="C2055" s="34">
        <v>46273</v>
      </c>
      <c r="D2055" t="s">
        <v>35</v>
      </c>
      <c r="E2055" t="s">
        <v>36</v>
      </c>
      <c r="F2055" t="s">
        <v>37</v>
      </c>
      <c r="G2055">
        <v>760412</v>
      </c>
      <c r="H2055" t="s">
        <v>6223</v>
      </c>
      <c r="I2055" t="s">
        <v>6224</v>
      </c>
      <c r="J2055" t="s">
        <v>161</v>
      </c>
      <c r="O2055" t="s">
        <v>6225</v>
      </c>
      <c r="P2055">
        <v>35.17</v>
      </c>
      <c r="Q2055">
        <v>35.369999999999997</v>
      </c>
      <c r="R2055">
        <v>35.14</v>
      </c>
      <c r="S2055">
        <v>35.24</v>
      </c>
      <c r="T2055">
        <v>35.24</v>
      </c>
      <c r="U2055">
        <v>35.32</v>
      </c>
      <c r="W2055">
        <v>35.24</v>
      </c>
      <c r="Z2055">
        <v>3316</v>
      </c>
      <c r="AA2055">
        <v>116771.62</v>
      </c>
      <c r="AB2055">
        <v>67</v>
      </c>
      <c r="AC2055" t="s">
        <v>42</v>
      </c>
      <c r="AD2055">
        <v>1</v>
      </c>
    </row>
    <row r="2056" spans="1:30">
      <c r="A2056" t="str">
        <f>CONCATENATE(I2056,J2056)</f>
        <v>ENERGYEQ</v>
      </c>
      <c r="B2056" s="34">
        <v>46273</v>
      </c>
      <c r="C2056" s="34">
        <v>46273</v>
      </c>
      <c r="D2056" t="s">
        <v>35</v>
      </c>
      <c r="E2056" t="s">
        <v>36</v>
      </c>
      <c r="F2056" t="s">
        <v>37</v>
      </c>
      <c r="G2056">
        <v>759780</v>
      </c>
      <c r="H2056" t="s">
        <v>6226</v>
      </c>
      <c r="I2056" t="s">
        <v>6227</v>
      </c>
      <c r="J2056" t="s">
        <v>161</v>
      </c>
      <c r="O2056" t="s">
        <v>6228</v>
      </c>
      <c r="P2056">
        <v>38.22</v>
      </c>
      <c r="Q2056">
        <v>38.5</v>
      </c>
      <c r="R2056">
        <v>38.17</v>
      </c>
      <c r="S2056">
        <v>38.450000000000003</v>
      </c>
      <c r="T2056">
        <v>38.47</v>
      </c>
      <c r="U2056">
        <v>38.15</v>
      </c>
      <c r="W2056">
        <v>38.43</v>
      </c>
      <c r="Z2056">
        <v>383910</v>
      </c>
      <c r="AA2056">
        <v>14739358.779999999</v>
      </c>
      <c r="AB2056">
        <v>697</v>
      </c>
      <c r="AC2056" t="s">
        <v>42</v>
      </c>
      <c r="AD2056">
        <v>1</v>
      </c>
    </row>
    <row r="2057" spans="1:30">
      <c r="A2057" t="str">
        <f>CONCATENATE(I2057,J2057)</f>
        <v>EQUAL200EQ</v>
      </c>
      <c r="B2057" s="34">
        <v>46273</v>
      </c>
      <c r="C2057" s="34">
        <v>46273</v>
      </c>
      <c r="D2057" t="s">
        <v>35</v>
      </c>
      <c r="E2057" t="s">
        <v>36</v>
      </c>
      <c r="F2057" t="s">
        <v>37</v>
      </c>
      <c r="G2057">
        <v>30121</v>
      </c>
      <c r="H2057" t="s">
        <v>6229</v>
      </c>
      <c r="I2057" t="s">
        <v>6230</v>
      </c>
      <c r="J2057" t="s">
        <v>161</v>
      </c>
      <c r="O2057" t="s">
        <v>6231</v>
      </c>
      <c r="P2057">
        <v>14.06</v>
      </c>
      <c r="Q2057">
        <v>14.06</v>
      </c>
      <c r="R2057">
        <v>13.69</v>
      </c>
      <c r="S2057">
        <v>13.74</v>
      </c>
      <c r="T2057">
        <v>13.74</v>
      </c>
      <c r="U2057">
        <v>13.72</v>
      </c>
      <c r="W2057">
        <v>13.74</v>
      </c>
      <c r="Z2057">
        <v>23344</v>
      </c>
      <c r="AA2057">
        <v>320598.53000000003</v>
      </c>
      <c r="AB2057">
        <v>49</v>
      </c>
      <c r="AC2057" t="s">
        <v>42</v>
      </c>
      <c r="AD2057">
        <v>1</v>
      </c>
    </row>
    <row r="2058" spans="1:30">
      <c r="A2058" t="str">
        <f>CONCATENATE(I2058,J2058)</f>
        <v>EQUAL50EQ</v>
      </c>
      <c r="B2058" s="34">
        <v>46273</v>
      </c>
      <c r="C2058" s="34">
        <v>46273</v>
      </c>
      <c r="D2058" t="s">
        <v>35</v>
      </c>
      <c r="E2058" t="s">
        <v>36</v>
      </c>
      <c r="F2058" t="s">
        <v>37</v>
      </c>
      <c r="G2058">
        <v>757142</v>
      </c>
      <c r="H2058" t="s">
        <v>6232</v>
      </c>
      <c r="I2058" t="s">
        <v>6233</v>
      </c>
      <c r="J2058" t="s">
        <v>161</v>
      </c>
      <c r="O2058" t="s">
        <v>6234</v>
      </c>
      <c r="P2058">
        <v>327.10000000000002</v>
      </c>
      <c r="Q2058">
        <v>327.47000000000003</v>
      </c>
      <c r="R2058">
        <v>326.45999999999998</v>
      </c>
      <c r="S2058">
        <v>327.02999999999997</v>
      </c>
      <c r="T2058">
        <v>327.02999999999997</v>
      </c>
      <c r="U2058">
        <v>327.67</v>
      </c>
      <c r="W2058">
        <v>327.02999999999997</v>
      </c>
      <c r="Z2058">
        <v>3692</v>
      </c>
      <c r="AA2058">
        <v>1206981.6200000001</v>
      </c>
      <c r="AB2058">
        <v>31</v>
      </c>
      <c r="AC2058" t="s">
        <v>42</v>
      </c>
      <c r="AD2058">
        <v>1</v>
      </c>
    </row>
    <row r="2059" spans="1:30">
      <c r="A2059" t="str">
        <f>CONCATENATE(I2059,J2059)</f>
        <v>EVINDIAEQ</v>
      </c>
      <c r="B2059" s="34">
        <v>46273</v>
      </c>
      <c r="C2059" s="34">
        <v>46273</v>
      </c>
      <c r="D2059" t="s">
        <v>35</v>
      </c>
      <c r="E2059" t="s">
        <v>36</v>
      </c>
      <c r="F2059" t="s">
        <v>37</v>
      </c>
      <c r="G2059">
        <v>24461</v>
      </c>
      <c r="H2059" t="s">
        <v>6235</v>
      </c>
      <c r="I2059" t="s">
        <v>6236</v>
      </c>
      <c r="J2059" t="s">
        <v>161</v>
      </c>
      <c r="O2059" t="s">
        <v>6237</v>
      </c>
      <c r="P2059">
        <v>32.64</v>
      </c>
      <c r="Q2059">
        <v>32.64</v>
      </c>
      <c r="R2059">
        <v>32.15</v>
      </c>
      <c r="S2059">
        <v>32.4</v>
      </c>
      <c r="T2059">
        <v>32.380000000000003</v>
      </c>
      <c r="U2059">
        <v>32.380000000000003</v>
      </c>
      <c r="W2059">
        <v>32.380000000000003</v>
      </c>
      <c r="Z2059">
        <v>176645</v>
      </c>
      <c r="AA2059">
        <v>5706678.1299999999</v>
      </c>
      <c r="AB2059">
        <v>1586</v>
      </c>
      <c r="AC2059" t="s">
        <v>42</v>
      </c>
      <c r="AD2059">
        <v>1</v>
      </c>
    </row>
    <row r="2060" spans="1:30">
      <c r="A2060" t="str">
        <f>CONCATENATE(I2060,J2060)</f>
        <v>HEALTHCAREEQ</v>
      </c>
      <c r="B2060" s="34">
        <v>46273</v>
      </c>
      <c r="C2060" s="34">
        <v>46273</v>
      </c>
      <c r="D2060" t="s">
        <v>35</v>
      </c>
      <c r="E2060" t="s">
        <v>36</v>
      </c>
      <c r="F2060" t="s">
        <v>37</v>
      </c>
      <c r="G2060">
        <v>760986</v>
      </c>
      <c r="H2060" t="s">
        <v>6238</v>
      </c>
      <c r="I2060" t="s">
        <v>6239</v>
      </c>
      <c r="J2060" t="s">
        <v>161</v>
      </c>
      <c r="O2060" t="s">
        <v>6240</v>
      </c>
      <c r="P2060">
        <v>21.67</v>
      </c>
      <c r="Q2060">
        <v>21.88</v>
      </c>
      <c r="R2060">
        <v>21.62</v>
      </c>
      <c r="S2060">
        <v>21.82</v>
      </c>
      <c r="T2060">
        <v>21.82</v>
      </c>
      <c r="U2060">
        <v>21.64</v>
      </c>
      <c r="W2060">
        <v>21.79</v>
      </c>
      <c r="Z2060">
        <v>25981</v>
      </c>
      <c r="AA2060">
        <v>565096.52</v>
      </c>
      <c r="AB2060">
        <v>138</v>
      </c>
      <c r="AC2060" t="s">
        <v>42</v>
      </c>
      <c r="AD2060">
        <v>1</v>
      </c>
    </row>
    <row r="2061" spans="1:30">
      <c r="A2061" t="str">
        <f>CONCATENATE(I2061,J2061)</f>
        <v>HYBRIDETFEQ</v>
      </c>
      <c r="B2061" s="34">
        <v>46273</v>
      </c>
      <c r="C2061" s="34">
        <v>46273</v>
      </c>
      <c r="D2061" t="s">
        <v>35</v>
      </c>
      <c r="E2061" t="s">
        <v>36</v>
      </c>
      <c r="F2061" t="s">
        <v>37</v>
      </c>
      <c r="G2061">
        <v>764333</v>
      </c>
      <c r="H2061" t="s">
        <v>6241</v>
      </c>
      <c r="I2061" t="s">
        <v>6242</v>
      </c>
      <c r="J2061" t="s">
        <v>161</v>
      </c>
      <c r="O2061" t="s">
        <v>6243</v>
      </c>
      <c r="P2061">
        <v>10.08</v>
      </c>
      <c r="Q2061">
        <v>10.1</v>
      </c>
      <c r="R2061">
        <v>10.050000000000001</v>
      </c>
      <c r="S2061">
        <v>10.07</v>
      </c>
      <c r="T2061">
        <v>10.1</v>
      </c>
      <c r="U2061">
        <v>10.050000000000001</v>
      </c>
      <c r="W2061">
        <v>10.07</v>
      </c>
      <c r="Z2061">
        <v>7198</v>
      </c>
      <c r="AA2061">
        <v>72549.59</v>
      </c>
      <c r="AB2061">
        <v>43</v>
      </c>
      <c r="AC2061" t="s">
        <v>42</v>
      </c>
      <c r="AD2061">
        <v>1</v>
      </c>
    </row>
    <row r="2062" spans="1:30">
      <c r="A2062" t="str">
        <f>CONCATENATE(I2062,J2062)</f>
        <v>INFRAEQ</v>
      </c>
      <c r="B2062" s="34">
        <v>46273</v>
      </c>
      <c r="C2062" s="34">
        <v>46273</v>
      </c>
      <c r="D2062" t="s">
        <v>35</v>
      </c>
      <c r="E2062" t="s">
        <v>36</v>
      </c>
      <c r="F2062" t="s">
        <v>37</v>
      </c>
      <c r="G2062">
        <v>761030</v>
      </c>
      <c r="H2062" t="s">
        <v>6244</v>
      </c>
      <c r="I2062" t="s">
        <v>6245</v>
      </c>
      <c r="J2062" t="s">
        <v>161</v>
      </c>
      <c r="O2062" t="s">
        <v>6246</v>
      </c>
      <c r="P2062">
        <v>11.97</v>
      </c>
      <c r="Q2062">
        <v>12.04</v>
      </c>
      <c r="R2062">
        <v>11.95</v>
      </c>
      <c r="S2062">
        <v>12.01</v>
      </c>
      <c r="T2062">
        <v>12.03</v>
      </c>
      <c r="U2062">
        <v>11.98</v>
      </c>
      <c r="W2062">
        <v>12.01</v>
      </c>
      <c r="Z2062">
        <v>31381</v>
      </c>
      <c r="AA2062">
        <v>375663.47</v>
      </c>
      <c r="AB2062">
        <v>123</v>
      </c>
      <c r="AC2062" t="s">
        <v>42</v>
      </c>
      <c r="AD2062">
        <v>1</v>
      </c>
    </row>
    <row r="2063" spans="1:30">
      <c r="A2063" t="str">
        <f>CONCATENATE(I2063,J2063)</f>
        <v>INTERNETEQ</v>
      </c>
      <c r="B2063" s="34">
        <v>46273</v>
      </c>
      <c r="C2063" s="34">
        <v>46273</v>
      </c>
      <c r="D2063" t="s">
        <v>35</v>
      </c>
      <c r="E2063" t="s">
        <v>36</v>
      </c>
      <c r="F2063" t="s">
        <v>37</v>
      </c>
      <c r="G2063">
        <v>758595</v>
      </c>
      <c r="H2063" t="s">
        <v>6247</v>
      </c>
      <c r="I2063" t="s">
        <v>6248</v>
      </c>
      <c r="J2063" t="s">
        <v>161</v>
      </c>
      <c r="O2063" t="s">
        <v>6249</v>
      </c>
      <c r="P2063">
        <v>14.24</v>
      </c>
      <c r="Q2063">
        <v>14.79</v>
      </c>
      <c r="R2063">
        <v>14.24</v>
      </c>
      <c r="S2063">
        <v>14.6</v>
      </c>
      <c r="T2063">
        <v>14.62</v>
      </c>
      <c r="U2063">
        <v>14.53</v>
      </c>
      <c r="W2063">
        <v>14.6</v>
      </c>
      <c r="Z2063">
        <v>103946</v>
      </c>
      <c r="AA2063">
        <v>1513109.21</v>
      </c>
      <c r="AB2063">
        <v>165</v>
      </c>
      <c r="AC2063" t="s">
        <v>42</v>
      </c>
      <c r="AD2063">
        <v>1</v>
      </c>
    </row>
    <row r="2064" spans="1:30">
      <c r="A2064" t="str">
        <f>CONCATENATE(I2064,J2064)</f>
        <v>ITETFEQ</v>
      </c>
      <c r="B2064" s="34">
        <v>46273</v>
      </c>
      <c r="C2064" s="34">
        <v>46273</v>
      </c>
      <c r="D2064" t="s">
        <v>35</v>
      </c>
      <c r="E2064" t="s">
        <v>36</v>
      </c>
      <c r="F2064" t="s">
        <v>37</v>
      </c>
      <c r="G2064">
        <v>19633</v>
      </c>
      <c r="H2064" t="s">
        <v>6250</v>
      </c>
      <c r="I2064" t="s">
        <v>6251</v>
      </c>
      <c r="J2064" t="s">
        <v>161</v>
      </c>
      <c r="O2064" t="s">
        <v>6252</v>
      </c>
      <c r="P2064">
        <v>31.93</v>
      </c>
      <c r="Q2064">
        <v>31.94</v>
      </c>
      <c r="R2064">
        <v>31.52</v>
      </c>
      <c r="S2064">
        <v>31.7</v>
      </c>
      <c r="T2064">
        <v>31.73</v>
      </c>
      <c r="U2064">
        <v>31.78</v>
      </c>
      <c r="W2064">
        <v>31.69</v>
      </c>
      <c r="Z2064">
        <v>127960</v>
      </c>
      <c r="AA2064">
        <v>4057801.64</v>
      </c>
      <c r="AB2064">
        <v>493</v>
      </c>
      <c r="AC2064" t="s">
        <v>42</v>
      </c>
      <c r="AD2064">
        <v>1</v>
      </c>
    </row>
    <row r="2065" spans="1:30">
      <c r="A2065" t="str">
        <f>CONCATENATE(I2065,J2065)</f>
        <v>LARGEMID50EQ</v>
      </c>
      <c r="B2065" s="34">
        <v>46273</v>
      </c>
      <c r="C2065" s="34">
        <v>46273</v>
      </c>
      <c r="D2065" t="s">
        <v>35</v>
      </c>
      <c r="E2065" t="s">
        <v>36</v>
      </c>
      <c r="F2065" t="s">
        <v>37</v>
      </c>
      <c r="G2065">
        <v>765313</v>
      </c>
      <c r="H2065" t="s">
        <v>6253</v>
      </c>
      <c r="I2065" t="s">
        <v>6254</v>
      </c>
      <c r="J2065" t="s">
        <v>161</v>
      </c>
      <c r="O2065" t="s">
        <v>6255</v>
      </c>
      <c r="P2065">
        <v>36.08</v>
      </c>
      <c r="Q2065">
        <v>36.15</v>
      </c>
      <c r="R2065">
        <v>35.97</v>
      </c>
      <c r="S2065">
        <v>36.14</v>
      </c>
      <c r="T2065">
        <v>36.14</v>
      </c>
      <c r="U2065">
        <v>36.15</v>
      </c>
      <c r="W2065">
        <v>36.14</v>
      </c>
      <c r="Z2065">
        <v>1390</v>
      </c>
      <c r="AA2065">
        <v>50147.38</v>
      </c>
      <c r="AB2065">
        <v>18</v>
      </c>
      <c r="AC2065" t="s">
        <v>42</v>
      </c>
      <c r="AD2065">
        <v>1</v>
      </c>
    </row>
    <row r="2066" spans="1:30">
      <c r="A2066" t="str">
        <f>CONCATENATE(I2066,J2066)</f>
        <v>LIQUIDEQ</v>
      </c>
      <c r="B2066" s="34">
        <v>46273</v>
      </c>
      <c r="C2066" s="34">
        <v>46273</v>
      </c>
      <c r="D2066" t="s">
        <v>35</v>
      </c>
      <c r="E2066" t="s">
        <v>36</v>
      </c>
      <c r="F2066" t="s">
        <v>37</v>
      </c>
      <c r="G2066">
        <v>17572</v>
      </c>
      <c r="H2066" t="s">
        <v>6256</v>
      </c>
      <c r="I2066" t="s">
        <v>6257</v>
      </c>
      <c r="J2066" t="s">
        <v>161</v>
      </c>
      <c r="O2066" t="s">
        <v>6258</v>
      </c>
      <c r="P2066">
        <v>999.99</v>
      </c>
      <c r="Q2066">
        <v>1000</v>
      </c>
      <c r="R2066">
        <v>999.99</v>
      </c>
      <c r="S2066">
        <v>999.99</v>
      </c>
      <c r="T2066">
        <v>999.99</v>
      </c>
      <c r="U2066">
        <v>999.99</v>
      </c>
      <c r="W2066">
        <v>1000</v>
      </c>
      <c r="Z2066">
        <v>89026</v>
      </c>
      <c r="AA2066">
        <v>89025435.650000006</v>
      </c>
      <c r="AB2066">
        <v>189</v>
      </c>
      <c r="AC2066" t="s">
        <v>42</v>
      </c>
      <c r="AD2066">
        <v>1</v>
      </c>
    </row>
    <row r="2067" spans="1:30">
      <c r="A2067" t="str">
        <f>CONCATENATE(I2067,J2067)</f>
        <v>LIQUIDPLUSEQ</v>
      </c>
      <c r="B2067" s="34">
        <v>46273</v>
      </c>
      <c r="C2067" s="34">
        <v>46273</v>
      </c>
      <c r="D2067" t="s">
        <v>35</v>
      </c>
      <c r="E2067" t="s">
        <v>36</v>
      </c>
      <c r="F2067" t="s">
        <v>37</v>
      </c>
      <c r="G2067">
        <v>27075</v>
      </c>
      <c r="H2067" t="s">
        <v>6259</v>
      </c>
      <c r="I2067" t="s">
        <v>6260</v>
      </c>
      <c r="J2067" t="s">
        <v>161</v>
      </c>
      <c r="O2067" t="s">
        <v>6261</v>
      </c>
      <c r="P2067">
        <v>1102.27</v>
      </c>
      <c r="Q2067">
        <v>1102.27</v>
      </c>
      <c r="R2067">
        <v>1102.25</v>
      </c>
      <c r="S2067">
        <v>1102.26</v>
      </c>
      <c r="T2067">
        <v>1102.27</v>
      </c>
      <c r="U2067">
        <v>1102.1300000000001</v>
      </c>
      <c r="W2067">
        <v>1102.26</v>
      </c>
      <c r="Z2067">
        <v>523752</v>
      </c>
      <c r="AA2067">
        <v>577315372.54999995</v>
      </c>
      <c r="AB2067">
        <v>347</v>
      </c>
      <c r="AC2067" t="s">
        <v>42</v>
      </c>
      <c r="AD2067">
        <v>1</v>
      </c>
    </row>
    <row r="2068" spans="1:30">
      <c r="A2068" t="str">
        <f>CONCATENATE(I2068,J2068)</f>
        <v>ESGEQ</v>
      </c>
      <c r="B2068" s="34">
        <v>46273</v>
      </c>
      <c r="C2068" s="34">
        <v>46273</v>
      </c>
      <c r="D2068" t="s">
        <v>35</v>
      </c>
      <c r="E2068" t="s">
        <v>36</v>
      </c>
      <c r="F2068" t="s">
        <v>37</v>
      </c>
      <c r="G2068">
        <v>1200</v>
      </c>
      <c r="H2068" t="s">
        <v>6262</v>
      </c>
      <c r="I2068" t="s">
        <v>6263</v>
      </c>
      <c r="J2068" t="s">
        <v>161</v>
      </c>
      <c r="O2068" t="s">
        <v>6264</v>
      </c>
      <c r="P2068">
        <v>41.66</v>
      </c>
      <c r="Q2068">
        <v>41.66</v>
      </c>
      <c r="R2068">
        <v>40.53</v>
      </c>
      <c r="S2068">
        <v>40.54</v>
      </c>
      <c r="T2068">
        <v>40.53</v>
      </c>
      <c r="U2068">
        <v>40.840000000000003</v>
      </c>
      <c r="W2068">
        <v>40.54</v>
      </c>
      <c r="Z2068">
        <v>34414</v>
      </c>
      <c r="AA2068">
        <v>1395670.16</v>
      </c>
      <c r="AB2068">
        <v>106</v>
      </c>
      <c r="AC2068" t="s">
        <v>42</v>
      </c>
      <c r="AD2068">
        <v>1</v>
      </c>
    </row>
    <row r="2069" spans="1:30">
      <c r="A2069" t="str">
        <f>CONCATENATE(I2069,J2069)</f>
        <v>MAFANGEQ</v>
      </c>
      <c r="B2069" s="34">
        <v>46273</v>
      </c>
      <c r="C2069" s="34">
        <v>46273</v>
      </c>
      <c r="D2069" t="s">
        <v>35</v>
      </c>
      <c r="E2069" t="s">
        <v>36</v>
      </c>
      <c r="F2069" t="s">
        <v>37</v>
      </c>
      <c r="G2069">
        <v>3507</v>
      </c>
      <c r="H2069" t="s">
        <v>6265</v>
      </c>
      <c r="I2069" t="s">
        <v>6266</v>
      </c>
      <c r="J2069" t="s">
        <v>161</v>
      </c>
      <c r="O2069" t="s">
        <v>6267</v>
      </c>
      <c r="P2069">
        <v>221.6</v>
      </c>
      <c r="Q2069">
        <v>240</v>
      </c>
      <c r="R2069">
        <v>219.6</v>
      </c>
      <c r="S2069">
        <v>234.98</v>
      </c>
      <c r="T2069">
        <v>235</v>
      </c>
      <c r="U2069">
        <v>219.37</v>
      </c>
      <c r="W2069">
        <v>234.97</v>
      </c>
      <c r="Z2069">
        <v>1170160</v>
      </c>
      <c r="AA2069">
        <v>272797507.29000002</v>
      </c>
      <c r="AB2069">
        <v>20377</v>
      </c>
      <c r="AC2069" t="s">
        <v>42</v>
      </c>
      <c r="AD2069">
        <v>1</v>
      </c>
    </row>
    <row r="2070" spans="1:30">
      <c r="A2070" t="str">
        <f>CONCATENATE(I2070,J2070)</f>
        <v>BFSIEQ</v>
      </c>
      <c r="B2070" s="34">
        <v>46273</v>
      </c>
      <c r="C2070" s="34">
        <v>46273</v>
      </c>
      <c r="D2070" t="s">
        <v>35</v>
      </c>
      <c r="E2070" t="s">
        <v>36</v>
      </c>
      <c r="F2070" t="s">
        <v>37</v>
      </c>
      <c r="G2070">
        <v>5220</v>
      </c>
      <c r="H2070" t="s">
        <v>6268</v>
      </c>
      <c r="I2070" t="s">
        <v>6269</v>
      </c>
      <c r="J2070" t="s">
        <v>161</v>
      </c>
      <c r="O2070" t="s">
        <v>6270</v>
      </c>
      <c r="P2070">
        <v>26.29</v>
      </c>
      <c r="Q2070">
        <v>27.04</v>
      </c>
      <c r="R2070">
        <v>26.29</v>
      </c>
      <c r="S2070">
        <v>26.78</v>
      </c>
      <c r="T2070">
        <v>26.78</v>
      </c>
      <c r="U2070">
        <v>26.97</v>
      </c>
      <c r="W2070">
        <v>26.78</v>
      </c>
      <c r="Z2070">
        <v>94175</v>
      </c>
      <c r="AA2070">
        <v>2524356.13</v>
      </c>
      <c r="AB2070">
        <v>1034</v>
      </c>
      <c r="AC2070" t="s">
        <v>42</v>
      </c>
      <c r="AD2070">
        <v>1</v>
      </c>
    </row>
    <row r="2071" spans="1:30">
      <c r="A2071" t="str">
        <f>CONCATENATE(I2071,J2071)</f>
        <v>GOLDETFEQ</v>
      </c>
      <c r="B2071" s="34">
        <v>46273</v>
      </c>
      <c r="C2071" s="34">
        <v>46273</v>
      </c>
      <c r="D2071" t="s">
        <v>35</v>
      </c>
      <c r="E2071" t="s">
        <v>36</v>
      </c>
      <c r="F2071" t="s">
        <v>37</v>
      </c>
      <c r="G2071">
        <v>14286</v>
      </c>
      <c r="H2071" t="s">
        <v>6271</v>
      </c>
      <c r="I2071" t="s">
        <v>6272</v>
      </c>
      <c r="J2071" t="s">
        <v>161</v>
      </c>
      <c r="O2071" t="s">
        <v>6273</v>
      </c>
      <c r="P2071">
        <v>149.44</v>
      </c>
      <c r="Q2071">
        <v>149.44</v>
      </c>
      <c r="R2071">
        <v>147.36000000000001</v>
      </c>
      <c r="S2071">
        <v>147.88</v>
      </c>
      <c r="T2071">
        <v>147.96</v>
      </c>
      <c r="U2071">
        <v>147.84</v>
      </c>
      <c r="W2071">
        <v>147.88</v>
      </c>
      <c r="Z2071">
        <v>1246818</v>
      </c>
      <c r="AA2071">
        <v>184448096.47999999</v>
      </c>
      <c r="AB2071">
        <v>8511</v>
      </c>
      <c r="AC2071" t="s">
        <v>42</v>
      </c>
      <c r="AD2071">
        <v>1</v>
      </c>
    </row>
    <row r="2072" spans="1:30">
      <c r="A2072" t="str">
        <f>CONCATENATE(I2072,J2072)</f>
        <v>GSEC10YEAREQ</v>
      </c>
      <c r="B2072" s="34">
        <v>46273</v>
      </c>
      <c r="C2072" s="34">
        <v>46273</v>
      </c>
      <c r="D2072" t="s">
        <v>35</v>
      </c>
      <c r="E2072" t="s">
        <v>36</v>
      </c>
      <c r="F2072" t="s">
        <v>37</v>
      </c>
      <c r="G2072">
        <v>14938</v>
      </c>
      <c r="H2072" t="s">
        <v>6274</v>
      </c>
      <c r="I2072" t="s">
        <v>6275</v>
      </c>
      <c r="J2072" t="s">
        <v>161</v>
      </c>
      <c r="O2072" t="s">
        <v>6276</v>
      </c>
      <c r="P2072">
        <v>30.49</v>
      </c>
      <c r="Q2072">
        <v>30.51</v>
      </c>
      <c r="R2072">
        <v>30.29</v>
      </c>
      <c r="S2072">
        <v>30.3</v>
      </c>
      <c r="T2072">
        <v>30.3</v>
      </c>
      <c r="U2072">
        <v>30.35</v>
      </c>
      <c r="W2072">
        <v>30.3</v>
      </c>
      <c r="Z2072">
        <v>3501</v>
      </c>
      <c r="AA2072">
        <v>106436.75</v>
      </c>
      <c r="AB2072">
        <v>17</v>
      </c>
      <c r="AC2072" t="s">
        <v>42</v>
      </c>
      <c r="AD2072">
        <v>1</v>
      </c>
    </row>
    <row r="2073" spans="1:30">
      <c r="A2073" t="str">
        <f>CONCATENATE(I2073,J2073)</f>
        <v>MAHKTECHEQ</v>
      </c>
      <c r="B2073" s="34">
        <v>46273</v>
      </c>
      <c r="C2073" s="34">
        <v>46273</v>
      </c>
      <c r="D2073" t="s">
        <v>35</v>
      </c>
      <c r="E2073" t="s">
        <v>36</v>
      </c>
      <c r="F2073" t="s">
        <v>37</v>
      </c>
      <c r="G2073">
        <v>7074</v>
      </c>
      <c r="H2073" t="s">
        <v>6277</v>
      </c>
      <c r="I2073" t="s">
        <v>6278</v>
      </c>
      <c r="J2073" t="s">
        <v>161</v>
      </c>
      <c r="O2073" t="s">
        <v>6279</v>
      </c>
      <c r="P2073">
        <v>23.61</v>
      </c>
      <c r="Q2073">
        <v>23.61</v>
      </c>
      <c r="R2073">
        <v>23.01</v>
      </c>
      <c r="S2073">
        <v>23.09</v>
      </c>
      <c r="T2073">
        <v>23.11</v>
      </c>
      <c r="U2073">
        <v>23.04</v>
      </c>
      <c r="W2073">
        <v>23.1</v>
      </c>
      <c r="Z2073">
        <v>801802</v>
      </c>
      <c r="AA2073">
        <v>18622122.829999998</v>
      </c>
      <c r="AB2073">
        <v>5291</v>
      </c>
      <c r="AC2073" t="s">
        <v>42</v>
      </c>
      <c r="AD2073">
        <v>1</v>
      </c>
    </row>
    <row r="2074" spans="1:30">
      <c r="A2074" t="str">
        <f>CONCATENATE(I2074,J2074)</f>
        <v>MIDCAPETFEQ</v>
      </c>
      <c r="B2074" s="34">
        <v>46273</v>
      </c>
      <c r="C2074" s="34">
        <v>46273</v>
      </c>
      <c r="D2074" t="s">
        <v>35</v>
      </c>
      <c r="E2074" t="s">
        <v>36</v>
      </c>
      <c r="F2074" t="s">
        <v>37</v>
      </c>
      <c r="G2074">
        <v>8413</v>
      </c>
      <c r="H2074" t="s">
        <v>6280</v>
      </c>
      <c r="I2074" t="s">
        <v>6281</v>
      </c>
      <c r="J2074" t="s">
        <v>161</v>
      </c>
      <c r="O2074" t="s">
        <v>6282</v>
      </c>
      <c r="P2074">
        <v>24.2</v>
      </c>
      <c r="Q2074">
        <v>24.2</v>
      </c>
      <c r="R2074">
        <v>23.53</v>
      </c>
      <c r="S2074">
        <v>23.63</v>
      </c>
      <c r="T2074">
        <v>23.65</v>
      </c>
      <c r="U2074">
        <v>23.61</v>
      </c>
      <c r="W2074">
        <v>23.63</v>
      </c>
      <c r="Z2074">
        <v>1090161</v>
      </c>
      <c r="AA2074">
        <v>25737713.440000001</v>
      </c>
      <c r="AB2074">
        <v>5145</v>
      </c>
      <c r="AC2074" t="s">
        <v>42</v>
      </c>
      <c r="AD2074">
        <v>1</v>
      </c>
    </row>
    <row r="2075" spans="1:30">
      <c r="A2075" t="str">
        <f>CONCATENATE(I2075,J2075)</f>
        <v>MAKEINDIAEQ</v>
      </c>
      <c r="B2075" s="34">
        <v>46273</v>
      </c>
      <c r="C2075" s="34">
        <v>46273</v>
      </c>
      <c r="D2075" t="s">
        <v>35</v>
      </c>
      <c r="E2075" t="s">
        <v>36</v>
      </c>
      <c r="F2075" t="s">
        <v>37</v>
      </c>
      <c r="G2075">
        <v>7979</v>
      </c>
      <c r="H2075" t="s">
        <v>6283</v>
      </c>
      <c r="I2075" t="s">
        <v>6284</v>
      </c>
      <c r="J2075" t="s">
        <v>161</v>
      </c>
      <c r="O2075" t="s">
        <v>6285</v>
      </c>
      <c r="P2075">
        <v>167.84</v>
      </c>
      <c r="Q2075">
        <v>167.84</v>
      </c>
      <c r="R2075">
        <v>164.6</v>
      </c>
      <c r="S2075">
        <v>165.46</v>
      </c>
      <c r="T2075">
        <v>165.35</v>
      </c>
      <c r="U2075">
        <v>164.92</v>
      </c>
      <c r="W2075">
        <v>165.46</v>
      </c>
      <c r="Z2075">
        <v>31695</v>
      </c>
      <c r="AA2075">
        <v>5232701.2300000004</v>
      </c>
      <c r="AB2075">
        <v>419</v>
      </c>
      <c r="AC2075" t="s">
        <v>42</v>
      </c>
      <c r="AD2075">
        <v>1</v>
      </c>
    </row>
    <row r="2076" spans="1:30">
      <c r="A2076" t="str">
        <f>CONCATENATE(I2076,J2076)</f>
        <v>NIFTYETFEQ</v>
      </c>
      <c r="B2076" s="34">
        <v>46273</v>
      </c>
      <c r="C2076" s="34">
        <v>46273</v>
      </c>
      <c r="D2076" t="s">
        <v>35</v>
      </c>
      <c r="E2076" t="s">
        <v>36</v>
      </c>
      <c r="F2076" t="s">
        <v>37</v>
      </c>
      <c r="G2076">
        <v>6353</v>
      </c>
      <c r="H2076" t="s">
        <v>6286</v>
      </c>
      <c r="I2076" t="s">
        <v>6287</v>
      </c>
      <c r="J2076" t="s">
        <v>161</v>
      </c>
      <c r="O2076" t="s">
        <v>6288</v>
      </c>
      <c r="P2076">
        <v>258.47000000000003</v>
      </c>
      <c r="Q2076">
        <v>259.33</v>
      </c>
      <c r="R2076">
        <v>257.10000000000002</v>
      </c>
      <c r="S2076">
        <v>257.52999999999997</v>
      </c>
      <c r="T2076">
        <v>257.75</v>
      </c>
      <c r="U2076">
        <v>258.42</v>
      </c>
      <c r="W2076">
        <v>257.54000000000002</v>
      </c>
      <c r="Z2076">
        <v>278731</v>
      </c>
      <c r="AA2076">
        <v>71893263.959999993</v>
      </c>
      <c r="AB2076">
        <v>1036</v>
      </c>
      <c r="AC2076" t="s">
        <v>42</v>
      </c>
      <c r="AD2076">
        <v>1</v>
      </c>
    </row>
    <row r="2077" spans="1:30">
      <c r="A2077" t="str">
        <f>CONCATENATE(I2077,J2077)</f>
        <v>LOWVOLEQ</v>
      </c>
      <c r="B2077" s="34">
        <v>46273</v>
      </c>
      <c r="C2077" s="34">
        <v>46273</v>
      </c>
      <c r="D2077" t="s">
        <v>35</v>
      </c>
      <c r="E2077" t="s">
        <v>36</v>
      </c>
      <c r="F2077" t="s">
        <v>37</v>
      </c>
      <c r="G2077">
        <v>14786</v>
      </c>
      <c r="H2077" t="s">
        <v>6289</v>
      </c>
      <c r="I2077" t="s">
        <v>6290</v>
      </c>
      <c r="J2077" t="s">
        <v>161</v>
      </c>
      <c r="O2077" t="s">
        <v>6291</v>
      </c>
      <c r="P2077">
        <v>202.74</v>
      </c>
      <c r="Q2077">
        <v>203.13</v>
      </c>
      <c r="R2077">
        <v>202.55</v>
      </c>
      <c r="S2077">
        <v>202.55</v>
      </c>
      <c r="T2077">
        <v>202.55</v>
      </c>
      <c r="U2077">
        <v>203.84</v>
      </c>
      <c r="W2077">
        <v>202.55</v>
      </c>
      <c r="Z2077">
        <v>274</v>
      </c>
      <c r="AA2077">
        <v>55597.94</v>
      </c>
      <c r="AB2077">
        <v>13</v>
      </c>
      <c r="AC2077" t="s">
        <v>42</v>
      </c>
      <c r="AD2077">
        <v>1</v>
      </c>
    </row>
    <row r="2078" spans="1:30">
      <c r="A2078" t="str">
        <f>CONCATENATE(I2078,J2078)</f>
        <v>NEXT50EQ</v>
      </c>
      <c r="B2078" s="34">
        <v>46273</v>
      </c>
      <c r="C2078" s="34">
        <v>46273</v>
      </c>
      <c r="D2078" t="s">
        <v>35</v>
      </c>
      <c r="E2078" t="s">
        <v>36</v>
      </c>
      <c r="F2078" t="s">
        <v>37</v>
      </c>
      <c r="G2078">
        <v>17181</v>
      </c>
      <c r="H2078" t="s">
        <v>6292</v>
      </c>
      <c r="I2078" t="s">
        <v>6293</v>
      </c>
      <c r="J2078" t="s">
        <v>161</v>
      </c>
      <c r="O2078" t="s">
        <v>6294</v>
      </c>
      <c r="P2078">
        <v>749</v>
      </c>
      <c r="Q2078">
        <v>755.16</v>
      </c>
      <c r="R2078">
        <v>749</v>
      </c>
      <c r="S2078">
        <v>753.77</v>
      </c>
      <c r="T2078">
        <v>755.15</v>
      </c>
      <c r="U2078">
        <v>748.99</v>
      </c>
      <c r="W2078">
        <v>753.79</v>
      </c>
      <c r="Z2078">
        <v>16777</v>
      </c>
      <c r="AA2078">
        <v>12618061.470000001</v>
      </c>
      <c r="AB2078">
        <v>1721</v>
      </c>
      <c r="AC2078" t="s">
        <v>42</v>
      </c>
      <c r="AD2078">
        <v>1</v>
      </c>
    </row>
    <row r="2079" spans="1:30">
      <c r="A2079" t="str">
        <f>CONCATENATE(I2079,J2079)</f>
        <v>SILVERAGEQ</v>
      </c>
      <c r="B2079" s="34">
        <v>46273</v>
      </c>
      <c r="C2079" s="34">
        <v>46273</v>
      </c>
      <c r="D2079" t="s">
        <v>35</v>
      </c>
      <c r="E2079" t="s">
        <v>36</v>
      </c>
      <c r="F2079" t="s">
        <v>37</v>
      </c>
      <c r="G2079">
        <v>16777</v>
      </c>
      <c r="H2079" t="s">
        <v>6295</v>
      </c>
      <c r="I2079" t="s">
        <v>6296</v>
      </c>
      <c r="J2079" t="s">
        <v>161</v>
      </c>
      <c r="O2079" t="s">
        <v>6297</v>
      </c>
      <c r="P2079">
        <v>227.9</v>
      </c>
      <c r="Q2079">
        <v>227.9</v>
      </c>
      <c r="R2079">
        <v>224.11</v>
      </c>
      <c r="S2079">
        <v>225.22</v>
      </c>
      <c r="T2079">
        <v>225.47</v>
      </c>
      <c r="U2079">
        <v>223.98</v>
      </c>
      <c r="W2079">
        <v>225.22</v>
      </c>
      <c r="Z2079">
        <v>218393</v>
      </c>
      <c r="AA2079">
        <v>49393600.049999997</v>
      </c>
      <c r="AB2079">
        <v>2388</v>
      </c>
      <c r="AC2079" t="s">
        <v>42</v>
      </c>
      <c r="AD2079">
        <v>1</v>
      </c>
    </row>
    <row r="2080" spans="1:30">
      <c r="A2080" t="str">
        <f>CONCATENATE(I2080,J2080)</f>
        <v>MASPTOP50EQ</v>
      </c>
      <c r="B2080" s="34">
        <v>46273</v>
      </c>
      <c r="C2080" s="34">
        <v>46273</v>
      </c>
      <c r="D2080" t="s">
        <v>35</v>
      </c>
      <c r="E2080" t="s">
        <v>36</v>
      </c>
      <c r="F2080" t="s">
        <v>37</v>
      </c>
      <c r="G2080">
        <v>5782</v>
      </c>
      <c r="H2080" t="s">
        <v>6298</v>
      </c>
      <c r="I2080" t="s">
        <v>6299</v>
      </c>
      <c r="J2080" t="s">
        <v>161</v>
      </c>
      <c r="O2080" t="s">
        <v>6300</v>
      </c>
      <c r="P2080">
        <v>85.9</v>
      </c>
      <c r="Q2080">
        <v>98.78</v>
      </c>
      <c r="R2080">
        <v>85</v>
      </c>
      <c r="S2080">
        <v>97.01</v>
      </c>
      <c r="T2080">
        <v>97</v>
      </c>
      <c r="U2080">
        <v>85.9</v>
      </c>
      <c r="W2080">
        <v>96.99</v>
      </c>
      <c r="Z2080">
        <v>1379821</v>
      </c>
      <c r="AA2080">
        <v>131627562.93000001</v>
      </c>
      <c r="AB2080">
        <v>11800</v>
      </c>
      <c r="AC2080" t="s">
        <v>42</v>
      </c>
      <c r="AD2080">
        <v>1</v>
      </c>
    </row>
    <row r="2081" spans="1:30">
      <c r="A2081" t="str">
        <f>CONCATENATE(I2081,J2081)</f>
        <v>METALEQ</v>
      </c>
      <c r="B2081" s="34">
        <v>46273</v>
      </c>
      <c r="C2081" s="34">
        <v>46273</v>
      </c>
      <c r="D2081" t="s">
        <v>35</v>
      </c>
      <c r="E2081" t="s">
        <v>36</v>
      </c>
      <c r="F2081" t="s">
        <v>37</v>
      </c>
      <c r="G2081">
        <v>25744</v>
      </c>
      <c r="H2081" t="s">
        <v>6301</v>
      </c>
      <c r="I2081" t="s">
        <v>6302</v>
      </c>
      <c r="J2081" t="s">
        <v>161</v>
      </c>
      <c r="O2081" t="s">
        <v>6303</v>
      </c>
      <c r="P2081">
        <v>13.61</v>
      </c>
      <c r="Q2081">
        <v>13.61</v>
      </c>
      <c r="R2081">
        <v>13.1</v>
      </c>
      <c r="S2081">
        <v>13.28</v>
      </c>
      <c r="T2081">
        <v>13.27</v>
      </c>
      <c r="U2081">
        <v>13.28</v>
      </c>
      <c r="W2081">
        <v>13.28</v>
      </c>
      <c r="Z2081">
        <v>1452499</v>
      </c>
      <c r="AA2081">
        <v>19352919.739999998</v>
      </c>
      <c r="AB2081">
        <v>4329</v>
      </c>
      <c r="AC2081" t="s">
        <v>42</v>
      </c>
      <c r="AD2081">
        <v>1</v>
      </c>
    </row>
    <row r="2082" spans="1:30">
      <c r="A2082" t="str">
        <f>CONCATENATE(I2082,J2082)</f>
        <v>MIDSMALLEQ</v>
      </c>
      <c r="B2082" s="34">
        <v>46273</v>
      </c>
      <c r="C2082" s="34">
        <v>46273</v>
      </c>
      <c r="D2082" t="s">
        <v>35</v>
      </c>
      <c r="E2082" t="s">
        <v>36</v>
      </c>
      <c r="F2082" t="s">
        <v>37</v>
      </c>
      <c r="G2082">
        <v>23855</v>
      </c>
      <c r="H2082" t="s">
        <v>6304</v>
      </c>
      <c r="I2082" t="s">
        <v>6305</v>
      </c>
      <c r="J2082" t="s">
        <v>161</v>
      </c>
      <c r="O2082" t="s">
        <v>6306</v>
      </c>
      <c r="P2082">
        <v>52.26</v>
      </c>
      <c r="Q2082">
        <v>52.26</v>
      </c>
      <c r="R2082">
        <v>51.69</v>
      </c>
      <c r="S2082">
        <v>51.97</v>
      </c>
      <c r="T2082">
        <v>52.09</v>
      </c>
      <c r="U2082">
        <v>51.74</v>
      </c>
      <c r="W2082">
        <v>51.97</v>
      </c>
      <c r="Z2082">
        <v>150944</v>
      </c>
      <c r="AA2082">
        <v>7836851.25</v>
      </c>
      <c r="AB2082">
        <v>537</v>
      </c>
      <c r="AC2082" t="s">
        <v>42</v>
      </c>
      <c r="AD2082">
        <v>1</v>
      </c>
    </row>
    <row r="2083" spans="1:30">
      <c r="A2083" t="str">
        <f>CONCATENATE(I2083,J2083)</f>
        <v>MOMMIDCAPEQ</v>
      </c>
      <c r="B2083" s="34">
        <v>46273</v>
      </c>
      <c r="C2083" s="34">
        <v>46273</v>
      </c>
      <c r="D2083" t="s">
        <v>35</v>
      </c>
      <c r="E2083" t="s">
        <v>36</v>
      </c>
      <c r="F2083" t="s">
        <v>37</v>
      </c>
      <c r="G2083">
        <v>764198</v>
      </c>
      <c r="H2083" t="s">
        <v>6307</v>
      </c>
      <c r="I2083" t="s">
        <v>6308</v>
      </c>
      <c r="J2083" t="s">
        <v>161</v>
      </c>
      <c r="O2083" t="s">
        <v>6309</v>
      </c>
      <c r="P2083">
        <v>13</v>
      </c>
      <c r="Q2083">
        <v>13.11</v>
      </c>
      <c r="R2083">
        <v>12.97</v>
      </c>
      <c r="S2083">
        <v>13.09</v>
      </c>
      <c r="T2083">
        <v>13.11</v>
      </c>
      <c r="U2083">
        <v>12.96</v>
      </c>
      <c r="W2083">
        <v>13.09</v>
      </c>
      <c r="Z2083">
        <v>923584</v>
      </c>
      <c r="AA2083">
        <v>12084939.75</v>
      </c>
      <c r="AB2083">
        <v>368</v>
      </c>
      <c r="AC2083" t="s">
        <v>42</v>
      </c>
      <c r="AD2083">
        <v>1</v>
      </c>
    </row>
    <row r="2084" spans="1:30">
      <c r="A2084" t="str">
        <f>CONCATENATE(I2084,J2084)</f>
        <v>MULTICAPEQ</v>
      </c>
      <c r="B2084" s="34">
        <v>46273</v>
      </c>
      <c r="C2084" s="34">
        <v>46273</v>
      </c>
      <c r="D2084" t="s">
        <v>35</v>
      </c>
      <c r="E2084" t="s">
        <v>36</v>
      </c>
      <c r="F2084" t="s">
        <v>37</v>
      </c>
      <c r="G2084">
        <v>25080</v>
      </c>
      <c r="H2084" t="s">
        <v>6310</v>
      </c>
      <c r="I2084" t="s">
        <v>6311</v>
      </c>
      <c r="J2084" t="s">
        <v>161</v>
      </c>
      <c r="O2084" t="s">
        <v>6312</v>
      </c>
      <c r="P2084">
        <v>16.75</v>
      </c>
      <c r="Q2084">
        <v>16.8</v>
      </c>
      <c r="R2084">
        <v>16.649999999999999</v>
      </c>
      <c r="S2084">
        <v>16.690000000000001</v>
      </c>
      <c r="T2084">
        <v>16.71</v>
      </c>
      <c r="U2084">
        <v>16.690000000000001</v>
      </c>
      <c r="W2084">
        <v>16.690000000000001</v>
      </c>
      <c r="Z2084">
        <v>59576</v>
      </c>
      <c r="AA2084">
        <v>994193.63</v>
      </c>
      <c r="AB2084">
        <v>404</v>
      </c>
      <c r="AC2084" t="s">
        <v>42</v>
      </c>
      <c r="AD2084">
        <v>1</v>
      </c>
    </row>
    <row r="2085" spans="1:30">
      <c r="A2085" t="str">
        <f>CONCATENATE(I2085,J2085)</f>
        <v>SELECTIPOEQ</v>
      </c>
      <c r="B2085" s="34">
        <v>46273</v>
      </c>
      <c r="C2085" s="34">
        <v>46273</v>
      </c>
      <c r="D2085" t="s">
        <v>35</v>
      </c>
      <c r="E2085" t="s">
        <v>36</v>
      </c>
      <c r="F2085" t="s">
        <v>37</v>
      </c>
      <c r="G2085">
        <v>30109</v>
      </c>
      <c r="H2085" t="s">
        <v>6313</v>
      </c>
      <c r="I2085" t="s">
        <v>6314</v>
      </c>
      <c r="J2085" t="s">
        <v>161</v>
      </c>
      <c r="O2085" t="s">
        <v>6315</v>
      </c>
      <c r="P2085">
        <v>48.59</v>
      </c>
      <c r="Q2085">
        <v>48.9</v>
      </c>
      <c r="R2085">
        <v>48.39</v>
      </c>
      <c r="S2085">
        <v>48.88</v>
      </c>
      <c r="T2085">
        <v>48.84</v>
      </c>
      <c r="U2085">
        <v>48.47</v>
      </c>
      <c r="W2085">
        <v>48.88</v>
      </c>
      <c r="Z2085">
        <v>44164</v>
      </c>
      <c r="AA2085">
        <v>2152312.7000000002</v>
      </c>
      <c r="AB2085">
        <v>116</v>
      </c>
      <c r="AC2085" t="s">
        <v>42</v>
      </c>
      <c r="AD2085">
        <v>1</v>
      </c>
    </row>
    <row r="2086" spans="1:30">
      <c r="A2086" t="str">
        <f>CONCATENATE(I2086,J2086)</f>
        <v>SENSEXETFEQ</v>
      </c>
      <c r="B2086" s="34">
        <v>46273</v>
      </c>
      <c r="C2086" s="34">
        <v>46273</v>
      </c>
      <c r="D2086" t="s">
        <v>35</v>
      </c>
      <c r="E2086" t="s">
        <v>36</v>
      </c>
      <c r="F2086" t="s">
        <v>37</v>
      </c>
      <c r="G2086">
        <v>19224</v>
      </c>
      <c r="H2086" t="s">
        <v>6316</v>
      </c>
      <c r="I2086" t="s">
        <v>6317</v>
      </c>
      <c r="J2086" t="s">
        <v>161</v>
      </c>
      <c r="O2086" t="s">
        <v>6318</v>
      </c>
      <c r="P2086">
        <v>78.98</v>
      </c>
      <c r="Q2086">
        <v>78.98</v>
      </c>
      <c r="R2086">
        <v>78</v>
      </c>
      <c r="S2086">
        <v>78.19</v>
      </c>
      <c r="T2086">
        <v>78.17</v>
      </c>
      <c r="U2086">
        <v>78.59</v>
      </c>
      <c r="W2086">
        <v>78.19</v>
      </c>
      <c r="Z2086">
        <v>39123</v>
      </c>
      <c r="AA2086">
        <v>3058989.5</v>
      </c>
      <c r="AB2086">
        <v>373</v>
      </c>
      <c r="AC2086" t="s">
        <v>42</v>
      </c>
      <c r="AD2086">
        <v>1</v>
      </c>
    </row>
    <row r="2087" spans="1:30">
      <c r="A2087" t="str">
        <f>CONCATENATE(I2087,J2087)</f>
        <v>SMALL250EQ</v>
      </c>
      <c r="B2087" s="34">
        <v>46273</v>
      </c>
      <c r="C2087" s="34">
        <v>46273</v>
      </c>
      <c r="D2087" t="s">
        <v>35</v>
      </c>
      <c r="E2087" t="s">
        <v>36</v>
      </c>
      <c r="F2087" t="s">
        <v>37</v>
      </c>
      <c r="G2087">
        <v>759814</v>
      </c>
      <c r="H2087" t="s">
        <v>6319</v>
      </c>
      <c r="I2087" t="s">
        <v>6320</v>
      </c>
      <c r="J2087" t="s">
        <v>161</v>
      </c>
      <c r="O2087" t="s">
        <v>6321</v>
      </c>
      <c r="P2087">
        <v>18.600000000000001</v>
      </c>
      <c r="Q2087">
        <v>18.62</v>
      </c>
      <c r="R2087">
        <v>18.48</v>
      </c>
      <c r="S2087">
        <v>18.579999999999998</v>
      </c>
      <c r="T2087">
        <v>18.62</v>
      </c>
      <c r="U2087">
        <v>18.559999999999999</v>
      </c>
      <c r="W2087">
        <v>18.59</v>
      </c>
      <c r="Z2087">
        <v>253505</v>
      </c>
      <c r="AA2087">
        <v>4706444.7699999996</v>
      </c>
      <c r="AB2087">
        <v>666</v>
      </c>
      <c r="AC2087" t="s">
        <v>42</v>
      </c>
      <c r="AD2087">
        <v>1</v>
      </c>
    </row>
    <row r="2088" spans="1:30">
      <c r="A2088" t="str">
        <f>CONCATENATE(I2088,J2088)</f>
        <v>SMALLCAPEQ</v>
      </c>
      <c r="B2088" s="34">
        <v>46273</v>
      </c>
      <c r="C2088" s="34">
        <v>46273</v>
      </c>
      <c r="D2088" t="s">
        <v>35</v>
      </c>
      <c r="E2088" t="s">
        <v>36</v>
      </c>
      <c r="F2088" t="s">
        <v>37</v>
      </c>
      <c r="G2088">
        <v>22832</v>
      </c>
      <c r="H2088" t="s">
        <v>6322</v>
      </c>
      <c r="I2088" t="s">
        <v>6323</v>
      </c>
      <c r="J2088" t="s">
        <v>161</v>
      </c>
      <c r="O2088" t="s">
        <v>6324</v>
      </c>
      <c r="P2088">
        <v>49.49</v>
      </c>
      <c r="Q2088">
        <v>49.49</v>
      </c>
      <c r="R2088">
        <v>49.17</v>
      </c>
      <c r="S2088">
        <v>49.45</v>
      </c>
      <c r="T2088">
        <v>49.45</v>
      </c>
      <c r="U2088">
        <v>49.27</v>
      </c>
      <c r="W2088">
        <v>49.45</v>
      </c>
      <c r="Z2088">
        <v>1556365</v>
      </c>
      <c r="AA2088">
        <v>76811941.989999995</v>
      </c>
      <c r="AB2088">
        <v>2749</v>
      </c>
      <c r="AC2088" t="s">
        <v>42</v>
      </c>
      <c r="AD2088">
        <v>1</v>
      </c>
    </row>
    <row r="2089" spans="1:30">
      <c r="A2089" t="str">
        <f>CONCATENATE(I2089,J2089)</f>
        <v>TOP20EQ</v>
      </c>
      <c r="B2089" s="34">
        <v>46273</v>
      </c>
      <c r="C2089" s="34">
        <v>46273</v>
      </c>
      <c r="D2089" t="s">
        <v>35</v>
      </c>
      <c r="E2089" t="s">
        <v>36</v>
      </c>
      <c r="F2089" t="s">
        <v>37</v>
      </c>
      <c r="G2089">
        <v>760415</v>
      </c>
      <c r="H2089" t="s">
        <v>6325</v>
      </c>
      <c r="I2089" t="s">
        <v>6326</v>
      </c>
      <c r="J2089" t="s">
        <v>161</v>
      </c>
      <c r="O2089" t="s">
        <v>6327</v>
      </c>
      <c r="P2089">
        <v>8.81</v>
      </c>
      <c r="Q2089">
        <v>8.81</v>
      </c>
      <c r="R2089">
        <v>8.77</v>
      </c>
      <c r="S2089">
        <v>8.7799999999999994</v>
      </c>
      <c r="T2089">
        <v>8.7799999999999994</v>
      </c>
      <c r="U2089">
        <v>8.83</v>
      </c>
      <c r="W2089">
        <v>8.7799999999999994</v>
      </c>
      <c r="Z2089">
        <v>36389</v>
      </c>
      <c r="AA2089">
        <v>319552.43</v>
      </c>
      <c r="AB2089">
        <v>160</v>
      </c>
      <c r="AC2089" t="s">
        <v>42</v>
      </c>
      <c r="AD2089">
        <v>1</v>
      </c>
    </row>
    <row r="2090" spans="1:30">
      <c r="A2090" t="str">
        <f>CONCATENATE(I2090,J2090)</f>
        <v>VALUEEQ</v>
      </c>
      <c r="B2090" s="34">
        <v>46273</v>
      </c>
      <c r="C2090" s="34">
        <v>46273</v>
      </c>
      <c r="D2090" t="s">
        <v>35</v>
      </c>
      <c r="E2090" t="s">
        <v>36</v>
      </c>
      <c r="F2090" t="s">
        <v>37</v>
      </c>
      <c r="G2090">
        <v>761511</v>
      </c>
      <c r="H2090" t="s">
        <v>6328</v>
      </c>
      <c r="I2090" t="s">
        <v>6329</v>
      </c>
      <c r="J2090" t="s">
        <v>161</v>
      </c>
      <c r="O2090" t="s">
        <v>6330</v>
      </c>
      <c r="P2090">
        <v>16.04</v>
      </c>
      <c r="Q2090">
        <v>16.059999999999999</v>
      </c>
      <c r="R2090">
        <v>15.96</v>
      </c>
      <c r="S2090">
        <v>15.98</v>
      </c>
      <c r="T2090">
        <v>16</v>
      </c>
      <c r="U2090">
        <v>16.04</v>
      </c>
      <c r="W2090">
        <v>15.98</v>
      </c>
      <c r="Z2090">
        <v>5909</v>
      </c>
      <c r="AA2090">
        <v>94597.45</v>
      </c>
      <c r="AB2090">
        <v>70</v>
      </c>
      <c r="AC2090" t="s">
        <v>42</v>
      </c>
      <c r="AD2090">
        <v>1</v>
      </c>
    </row>
    <row r="2091" spans="1:30">
      <c r="A2091" t="str">
        <f>CONCATENATE(I2091,J2091)</f>
        <v>MIRZAINTEQ</v>
      </c>
      <c r="B2091" s="34">
        <v>46273</v>
      </c>
      <c r="C2091" s="34">
        <v>46273</v>
      </c>
      <c r="D2091" t="s">
        <v>35</v>
      </c>
      <c r="E2091" t="s">
        <v>36</v>
      </c>
      <c r="F2091" t="s">
        <v>37</v>
      </c>
      <c r="G2091">
        <v>4394</v>
      </c>
      <c r="H2091" t="s">
        <v>6331</v>
      </c>
      <c r="I2091" t="s">
        <v>6332</v>
      </c>
      <c r="J2091" t="s">
        <v>161</v>
      </c>
      <c r="O2091" t="s">
        <v>6333</v>
      </c>
      <c r="P2091">
        <v>31.05</v>
      </c>
      <c r="Q2091">
        <v>31.4</v>
      </c>
      <c r="R2091">
        <v>30.5</v>
      </c>
      <c r="S2091">
        <v>30.73</v>
      </c>
      <c r="T2091">
        <v>30.5</v>
      </c>
      <c r="U2091">
        <v>31.01</v>
      </c>
      <c r="W2091">
        <v>30.73</v>
      </c>
      <c r="Z2091">
        <v>63648</v>
      </c>
      <c r="AA2091">
        <v>1963338.41</v>
      </c>
      <c r="AB2091">
        <v>611</v>
      </c>
      <c r="AC2091" t="s">
        <v>42</v>
      </c>
      <c r="AD2091">
        <v>1</v>
      </c>
    </row>
    <row r="2092" spans="1:30">
      <c r="A2092" t="str">
        <f>CONCATENATE(I2092,J2092)</f>
        <v>MIDHANIEQ</v>
      </c>
      <c r="B2092" s="34">
        <v>46273</v>
      </c>
      <c r="C2092" s="34">
        <v>46273</v>
      </c>
      <c r="D2092" t="s">
        <v>35</v>
      </c>
      <c r="E2092" t="s">
        <v>36</v>
      </c>
      <c r="F2092" t="s">
        <v>37</v>
      </c>
      <c r="G2092">
        <v>2463</v>
      </c>
      <c r="H2092" t="s">
        <v>6334</v>
      </c>
      <c r="I2092" t="s">
        <v>6335</v>
      </c>
      <c r="J2092" t="s">
        <v>161</v>
      </c>
      <c r="O2092" t="s">
        <v>6336</v>
      </c>
      <c r="P2092">
        <v>422.5</v>
      </c>
      <c r="Q2092">
        <v>482.4</v>
      </c>
      <c r="R2092">
        <v>421</v>
      </c>
      <c r="S2092">
        <v>477</v>
      </c>
      <c r="T2092">
        <v>470.9</v>
      </c>
      <c r="U2092">
        <v>419.9</v>
      </c>
      <c r="W2092">
        <v>476.97</v>
      </c>
      <c r="Z2092">
        <v>36384306</v>
      </c>
      <c r="AA2092">
        <v>17083438755.65</v>
      </c>
      <c r="AB2092">
        <v>451955</v>
      </c>
      <c r="AC2092" t="s">
        <v>42</v>
      </c>
      <c r="AD2092">
        <v>1</v>
      </c>
    </row>
    <row r="2093" spans="1:30">
      <c r="A2093" t="str">
        <f>CONCATENATE(I2093,J2093)</f>
        <v>MITCONEQ</v>
      </c>
      <c r="B2093" s="34">
        <v>46273</v>
      </c>
      <c r="C2093" s="34">
        <v>46273</v>
      </c>
      <c r="D2093" t="s">
        <v>35</v>
      </c>
      <c r="E2093" t="s">
        <v>36</v>
      </c>
      <c r="F2093" t="s">
        <v>37</v>
      </c>
      <c r="G2093">
        <v>8469</v>
      </c>
      <c r="H2093" t="s">
        <v>6337</v>
      </c>
      <c r="I2093" t="s">
        <v>6338</v>
      </c>
      <c r="J2093" t="s">
        <v>161</v>
      </c>
      <c r="O2093" t="s">
        <v>6339</v>
      </c>
      <c r="P2093">
        <v>81.5</v>
      </c>
      <c r="Q2093">
        <v>84.99</v>
      </c>
      <c r="R2093">
        <v>79.03</v>
      </c>
      <c r="S2093">
        <v>80.739999999999995</v>
      </c>
      <c r="T2093">
        <v>80</v>
      </c>
      <c r="U2093">
        <v>80.58</v>
      </c>
      <c r="W2093">
        <v>80.739999999999995</v>
      </c>
      <c r="Z2093">
        <v>7581</v>
      </c>
      <c r="AA2093">
        <v>613801.36</v>
      </c>
      <c r="AB2093">
        <v>97</v>
      </c>
      <c r="AC2093" t="s">
        <v>42</v>
      </c>
      <c r="AD2093">
        <v>1</v>
      </c>
    </row>
    <row r="2094" spans="1:30">
      <c r="A2094" t="str">
        <f>CONCATENATE(I2094,J2094)</f>
        <v>MITTALEQ</v>
      </c>
      <c r="B2094" s="34">
        <v>46273</v>
      </c>
      <c r="C2094" s="34">
        <v>46273</v>
      </c>
      <c r="D2094" t="s">
        <v>35</v>
      </c>
      <c r="E2094" t="s">
        <v>36</v>
      </c>
      <c r="F2094" t="s">
        <v>37</v>
      </c>
      <c r="G2094">
        <v>18562</v>
      </c>
      <c r="H2094" t="s">
        <v>6340</v>
      </c>
      <c r="I2094" t="s">
        <v>6341</v>
      </c>
      <c r="J2094" t="s">
        <v>161</v>
      </c>
      <c r="O2094" t="s">
        <v>6342</v>
      </c>
      <c r="P2094">
        <v>0.95</v>
      </c>
      <c r="Q2094">
        <v>1.05</v>
      </c>
      <c r="R2094">
        <v>0.85</v>
      </c>
      <c r="S2094">
        <v>0.86</v>
      </c>
      <c r="T2094">
        <v>0.87</v>
      </c>
      <c r="U2094">
        <v>0.92</v>
      </c>
      <c r="W2094">
        <v>0.86</v>
      </c>
      <c r="Z2094">
        <v>5554006</v>
      </c>
      <c r="AA2094">
        <v>5332011.93</v>
      </c>
      <c r="AB2094">
        <v>1839</v>
      </c>
      <c r="AC2094" t="s">
        <v>42</v>
      </c>
      <c r="AD2094">
        <v>1</v>
      </c>
    </row>
    <row r="2095" spans="1:30">
      <c r="A2095" t="str">
        <f>CONCATENATE(I2095,J2095)</f>
        <v>MMFLEQ</v>
      </c>
      <c r="B2095" s="34">
        <v>46273</v>
      </c>
      <c r="C2095" s="34">
        <v>46273</v>
      </c>
      <c r="D2095" t="s">
        <v>35</v>
      </c>
      <c r="E2095" t="s">
        <v>36</v>
      </c>
      <c r="F2095" t="s">
        <v>37</v>
      </c>
      <c r="G2095">
        <v>13844</v>
      </c>
      <c r="H2095" t="s">
        <v>6343</v>
      </c>
      <c r="I2095" t="s">
        <v>6344</v>
      </c>
      <c r="J2095" t="s">
        <v>161</v>
      </c>
      <c r="O2095" t="s">
        <v>6345</v>
      </c>
      <c r="P2095">
        <v>615</v>
      </c>
      <c r="Q2095">
        <v>623.04999999999995</v>
      </c>
      <c r="R2095">
        <v>603.29999999999995</v>
      </c>
      <c r="S2095">
        <v>615.85</v>
      </c>
      <c r="T2095">
        <v>612.1</v>
      </c>
      <c r="U2095">
        <v>618.1</v>
      </c>
      <c r="W2095">
        <v>615.77</v>
      </c>
      <c r="Z2095">
        <v>85647</v>
      </c>
      <c r="AA2095">
        <v>52733540.549999997</v>
      </c>
      <c r="AB2095">
        <v>5288</v>
      </c>
      <c r="AC2095" t="s">
        <v>42</v>
      </c>
      <c r="AD2095">
        <v>1</v>
      </c>
    </row>
    <row r="2096" spans="1:30">
      <c r="A2096" t="str">
        <f>CONCATENATE(I2096,J2096)</f>
        <v>MMPEQ</v>
      </c>
      <c r="B2096" s="34">
        <v>46273</v>
      </c>
      <c r="C2096" s="34">
        <v>46273</v>
      </c>
      <c r="D2096" t="s">
        <v>35</v>
      </c>
      <c r="E2096" t="s">
        <v>36</v>
      </c>
      <c r="F2096" t="s">
        <v>37</v>
      </c>
      <c r="G2096">
        <v>16395</v>
      </c>
      <c r="H2096" t="s">
        <v>6346</v>
      </c>
      <c r="I2096" t="s">
        <v>6347</v>
      </c>
      <c r="J2096" t="s">
        <v>161</v>
      </c>
      <c r="O2096" t="s">
        <v>6348</v>
      </c>
      <c r="P2096">
        <v>454.75</v>
      </c>
      <c r="Q2096">
        <v>485</v>
      </c>
      <c r="R2096">
        <v>449.5</v>
      </c>
      <c r="S2096">
        <v>478.5</v>
      </c>
      <c r="T2096">
        <v>477</v>
      </c>
      <c r="U2096">
        <v>444.95</v>
      </c>
      <c r="W2096">
        <v>478.5</v>
      </c>
      <c r="Z2096">
        <v>482392</v>
      </c>
      <c r="AA2096">
        <v>229614006.80000001</v>
      </c>
      <c r="AB2096">
        <v>15023</v>
      </c>
      <c r="AC2096" t="s">
        <v>42</v>
      </c>
      <c r="AD2096">
        <v>1</v>
      </c>
    </row>
    <row r="2097" spans="1:30">
      <c r="A2097" t="str">
        <f>CONCATENATE(I2097,J2097)</f>
        <v>MMTCEQ</v>
      </c>
      <c r="B2097" s="34">
        <v>46273</v>
      </c>
      <c r="C2097" s="34">
        <v>46273</v>
      </c>
      <c r="D2097" t="s">
        <v>35</v>
      </c>
      <c r="E2097" t="s">
        <v>36</v>
      </c>
      <c r="F2097" t="s">
        <v>37</v>
      </c>
      <c r="G2097">
        <v>17957</v>
      </c>
      <c r="H2097" t="s">
        <v>6349</v>
      </c>
      <c r="I2097" t="s">
        <v>6350</v>
      </c>
      <c r="J2097" t="s">
        <v>161</v>
      </c>
      <c r="O2097" t="s">
        <v>6351</v>
      </c>
      <c r="P2097">
        <v>63.95</v>
      </c>
      <c r="Q2097">
        <v>64.349999999999994</v>
      </c>
      <c r="R2097">
        <v>62.95</v>
      </c>
      <c r="S2097">
        <v>63.19</v>
      </c>
      <c r="T2097">
        <v>63</v>
      </c>
      <c r="U2097">
        <v>63.82</v>
      </c>
      <c r="W2097">
        <v>63.19</v>
      </c>
      <c r="Z2097">
        <v>1051849</v>
      </c>
      <c r="AA2097">
        <v>66861233.880000003</v>
      </c>
      <c r="AB2097">
        <v>6644</v>
      </c>
      <c r="AC2097" t="s">
        <v>42</v>
      </c>
      <c r="AD2097">
        <v>1</v>
      </c>
    </row>
    <row r="2098" spans="1:30">
      <c r="A2098" t="str">
        <f>CONCATENATE(I2098,J2098)</f>
        <v>MODTHREADEQ</v>
      </c>
      <c r="B2098" s="34">
        <v>46273</v>
      </c>
      <c r="C2098" s="34">
        <v>46273</v>
      </c>
      <c r="D2098" t="s">
        <v>35</v>
      </c>
      <c r="E2098" t="s">
        <v>36</v>
      </c>
      <c r="F2098" t="s">
        <v>37</v>
      </c>
      <c r="G2098">
        <v>2241</v>
      </c>
      <c r="H2098" t="s">
        <v>6352</v>
      </c>
      <c r="I2098" t="s">
        <v>6353</v>
      </c>
      <c r="J2098" t="s">
        <v>161</v>
      </c>
      <c r="O2098" t="s">
        <v>6354</v>
      </c>
      <c r="P2098">
        <v>54.7</v>
      </c>
      <c r="Q2098">
        <v>56.6</v>
      </c>
      <c r="R2098">
        <v>52.7</v>
      </c>
      <c r="S2098">
        <v>52.96</v>
      </c>
      <c r="T2098">
        <v>52.9</v>
      </c>
      <c r="U2098">
        <v>54.7</v>
      </c>
      <c r="W2098">
        <v>52.85</v>
      </c>
      <c r="Z2098">
        <v>10826</v>
      </c>
      <c r="AA2098">
        <v>585359.30000000005</v>
      </c>
      <c r="AB2098">
        <v>145</v>
      </c>
      <c r="AC2098" t="s">
        <v>42</v>
      </c>
      <c r="AD2098">
        <v>1</v>
      </c>
    </row>
    <row r="2099" spans="1:30">
      <c r="A2099" t="str">
        <f>CONCATENATE(I2099,J2099)</f>
        <v>MODINATUREQ</v>
      </c>
      <c r="B2099" s="34">
        <v>46273</v>
      </c>
      <c r="C2099" s="34">
        <v>46273</v>
      </c>
      <c r="D2099" t="s">
        <v>35</v>
      </c>
      <c r="E2099" t="s">
        <v>36</v>
      </c>
      <c r="F2099" t="s">
        <v>37</v>
      </c>
      <c r="G2099">
        <v>760277</v>
      </c>
      <c r="H2099" t="s">
        <v>6355</v>
      </c>
      <c r="I2099" t="s">
        <v>6356</v>
      </c>
      <c r="J2099" t="s">
        <v>161</v>
      </c>
      <c r="O2099" t="s">
        <v>6357</v>
      </c>
      <c r="P2099">
        <v>345.95</v>
      </c>
      <c r="Q2099">
        <v>358</v>
      </c>
      <c r="R2099">
        <v>340.35</v>
      </c>
      <c r="S2099">
        <v>353.6</v>
      </c>
      <c r="T2099">
        <v>352.25</v>
      </c>
      <c r="U2099">
        <v>344.8</v>
      </c>
      <c r="W2099">
        <v>353.6</v>
      </c>
      <c r="Z2099">
        <v>9512</v>
      </c>
      <c r="AA2099">
        <v>3314597.4</v>
      </c>
      <c r="AB2099">
        <v>214</v>
      </c>
      <c r="AC2099" t="s">
        <v>42</v>
      </c>
      <c r="AD2099">
        <v>1</v>
      </c>
    </row>
    <row r="2100" spans="1:30">
      <c r="A2100" t="str">
        <f>CONCATENATE(I2100,J2100)</f>
        <v>MODIRUBBEREQ</v>
      </c>
      <c r="B2100" s="34">
        <v>46273</v>
      </c>
      <c r="C2100" s="34">
        <v>46273</v>
      </c>
      <c r="D2100" t="s">
        <v>35</v>
      </c>
      <c r="E2100" t="s">
        <v>36</v>
      </c>
      <c r="F2100" t="s">
        <v>37</v>
      </c>
      <c r="G2100">
        <v>2229</v>
      </c>
      <c r="H2100" t="s">
        <v>6358</v>
      </c>
      <c r="I2100" t="s">
        <v>6359</v>
      </c>
      <c r="J2100" t="s">
        <v>161</v>
      </c>
      <c r="O2100" t="s">
        <v>6360</v>
      </c>
      <c r="P2100">
        <v>128.15</v>
      </c>
      <c r="Q2100">
        <v>133</v>
      </c>
      <c r="R2100">
        <v>117.31</v>
      </c>
      <c r="S2100">
        <v>124.72</v>
      </c>
      <c r="T2100">
        <v>126.89</v>
      </c>
      <c r="U2100">
        <v>128.99</v>
      </c>
      <c r="W2100">
        <v>125.82</v>
      </c>
      <c r="Z2100">
        <v>6704</v>
      </c>
      <c r="AA2100">
        <v>829120.54</v>
      </c>
      <c r="AB2100">
        <v>265</v>
      </c>
      <c r="AC2100" t="s">
        <v>42</v>
      </c>
      <c r="AD2100">
        <v>1</v>
      </c>
    </row>
    <row r="2101" spans="1:30">
      <c r="A2101" t="str">
        <f>CONCATENATE(I2101,J2101)</f>
        <v>MODISEQ</v>
      </c>
      <c r="B2101" s="34">
        <v>46273</v>
      </c>
      <c r="C2101" s="34">
        <v>46273</v>
      </c>
      <c r="D2101" t="s">
        <v>35</v>
      </c>
      <c r="E2101" t="s">
        <v>36</v>
      </c>
      <c r="F2101" t="s">
        <v>37</v>
      </c>
      <c r="G2101">
        <v>759752</v>
      </c>
      <c r="H2101" t="s">
        <v>6361</v>
      </c>
      <c r="I2101" t="s">
        <v>6362</v>
      </c>
      <c r="J2101" t="s">
        <v>161</v>
      </c>
      <c r="O2101" t="s">
        <v>6363</v>
      </c>
      <c r="P2101">
        <v>383</v>
      </c>
      <c r="Q2101">
        <v>387.55</v>
      </c>
      <c r="R2101">
        <v>369.5</v>
      </c>
      <c r="S2101">
        <v>376</v>
      </c>
      <c r="T2101">
        <v>373</v>
      </c>
      <c r="U2101">
        <v>383.05</v>
      </c>
      <c r="W2101">
        <v>375.99</v>
      </c>
      <c r="Z2101">
        <v>38222</v>
      </c>
      <c r="AA2101">
        <v>14556383.85</v>
      </c>
      <c r="AB2101">
        <v>1594</v>
      </c>
      <c r="AC2101" t="s">
        <v>42</v>
      </c>
      <c r="AD2101">
        <v>1</v>
      </c>
    </row>
    <row r="2102" spans="1:30">
      <c r="A2102" t="str">
        <f>CONCATENATE(I2102,J2102)</f>
        <v>MODISONLTDEQ</v>
      </c>
      <c r="B2102" s="34">
        <v>46273</v>
      </c>
      <c r="C2102" s="34">
        <v>46273</v>
      </c>
      <c r="D2102" t="s">
        <v>35</v>
      </c>
      <c r="E2102" t="s">
        <v>36</v>
      </c>
      <c r="F2102" t="s">
        <v>37</v>
      </c>
      <c r="G2102">
        <v>3316</v>
      </c>
      <c r="H2102" t="s">
        <v>6364</v>
      </c>
      <c r="I2102" t="s">
        <v>6365</v>
      </c>
      <c r="J2102" t="s">
        <v>161</v>
      </c>
      <c r="O2102" t="s">
        <v>6366</v>
      </c>
      <c r="P2102">
        <v>481.75</v>
      </c>
      <c r="Q2102">
        <v>499.35</v>
      </c>
      <c r="R2102">
        <v>475.05</v>
      </c>
      <c r="S2102">
        <v>499.35</v>
      </c>
      <c r="T2102">
        <v>499.35</v>
      </c>
      <c r="U2102">
        <v>475.6</v>
      </c>
      <c r="W2102">
        <v>500.08</v>
      </c>
      <c r="Z2102">
        <v>243641</v>
      </c>
      <c r="AA2102">
        <v>119756419</v>
      </c>
      <c r="AB2102">
        <v>5249</v>
      </c>
      <c r="AC2102" t="s">
        <v>42</v>
      </c>
      <c r="AD2102">
        <v>1</v>
      </c>
    </row>
    <row r="2103" spans="1:30">
      <c r="A2103" t="str">
        <f>CONCATENATE(I2103,J2103)</f>
        <v>MHHLSM</v>
      </c>
      <c r="B2103" s="34">
        <v>46273</v>
      </c>
      <c r="C2103" s="34">
        <v>46273</v>
      </c>
      <c r="D2103" t="s">
        <v>35</v>
      </c>
      <c r="E2103" t="s">
        <v>36</v>
      </c>
      <c r="F2103" t="s">
        <v>37</v>
      </c>
      <c r="G2103">
        <v>1426</v>
      </c>
      <c r="H2103" t="s">
        <v>6367</v>
      </c>
      <c r="I2103" t="s">
        <v>6368</v>
      </c>
      <c r="J2103" t="s">
        <v>267</v>
      </c>
      <c r="O2103" t="s">
        <v>6369</v>
      </c>
      <c r="P2103">
        <v>32.4</v>
      </c>
      <c r="Q2103">
        <v>32.4</v>
      </c>
      <c r="R2103">
        <v>30.8</v>
      </c>
      <c r="S2103">
        <v>30.8</v>
      </c>
      <c r="T2103">
        <v>30.8</v>
      </c>
      <c r="U2103">
        <v>32.4</v>
      </c>
      <c r="W2103">
        <v>30.8</v>
      </c>
      <c r="Z2103">
        <v>6000</v>
      </c>
      <c r="AA2103">
        <v>187500</v>
      </c>
      <c r="AB2103">
        <v>4</v>
      </c>
      <c r="AC2103" t="s">
        <v>42</v>
      </c>
      <c r="AD2103">
        <v>1500</v>
      </c>
    </row>
    <row r="2104" spans="1:30">
      <c r="A2104" t="str">
        <f>CONCATENATE(I2104,J2104)</f>
        <v>MOHITINDEQ</v>
      </c>
      <c r="B2104" s="34">
        <v>46273</v>
      </c>
      <c r="C2104" s="34">
        <v>46273</v>
      </c>
      <c r="D2104" t="s">
        <v>35</v>
      </c>
      <c r="E2104" t="s">
        <v>36</v>
      </c>
      <c r="F2104" t="s">
        <v>37</v>
      </c>
      <c r="G2104">
        <v>29423</v>
      </c>
      <c r="H2104" t="s">
        <v>6370</v>
      </c>
      <c r="I2104" t="s">
        <v>6371</v>
      </c>
      <c r="J2104" t="s">
        <v>161</v>
      </c>
      <c r="O2104" t="s">
        <v>6372</v>
      </c>
      <c r="P2104">
        <v>23.58</v>
      </c>
      <c r="Q2104">
        <v>24.85</v>
      </c>
      <c r="R2104">
        <v>23.5</v>
      </c>
      <c r="S2104">
        <v>23.5</v>
      </c>
      <c r="T2104">
        <v>23.5</v>
      </c>
      <c r="U2104">
        <v>23.73</v>
      </c>
      <c r="W2104">
        <v>23.5</v>
      </c>
      <c r="Z2104">
        <v>10507</v>
      </c>
      <c r="AA2104">
        <v>248727.35</v>
      </c>
      <c r="AB2104">
        <v>98</v>
      </c>
      <c r="AC2104" t="s">
        <v>42</v>
      </c>
      <c r="AD2104">
        <v>1</v>
      </c>
    </row>
    <row r="2105" spans="1:30">
      <c r="A2105" t="str">
        <f>CONCATENATE(I2105,J2105)</f>
        <v>MOHITEEQ</v>
      </c>
      <c r="B2105" s="34">
        <v>46273</v>
      </c>
      <c r="C2105" s="34">
        <v>46273</v>
      </c>
      <c r="D2105" t="s">
        <v>35</v>
      </c>
      <c r="E2105" t="s">
        <v>36</v>
      </c>
      <c r="F2105" t="s">
        <v>37</v>
      </c>
      <c r="G2105">
        <v>765130</v>
      </c>
      <c r="H2105" t="s">
        <v>6373</v>
      </c>
      <c r="I2105" t="s">
        <v>6374</v>
      </c>
      <c r="J2105" t="s">
        <v>161</v>
      </c>
      <c r="O2105" t="s">
        <v>6375</v>
      </c>
      <c r="P2105">
        <v>2.84</v>
      </c>
      <c r="Q2105">
        <v>2.84</v>
      </c>
      <c r="R2105">
        <v>2.71</v>
      </c>
      <c r="S2105">
        <v>2.71</v>
      </c>
      <c r="T2105">
        <v>2.71</v>
      </c>
      <c r="U2105">
        <v>2.81</v>
      </c>
      <c r="W2105">
        <v>2.71</v>
      </c>
      <c r="Z2105">
        <v>31496</v>
      </c>
      <c r="AA2105">
        <v>86520.08</v>
      </c>
      <c r="AB2105">
        <v>78</v>
      </c>
      <c r="AC2105" t="s">
        <v>42</v>
      </c>
      <c r="AD2105">
        <v>1</v>
      </c>
    </row>
    <row r="2106" spans="1:30">
      <c r="A2106" t="str">
        <f>CONCATENATE(I2106,J2106)</f>
        <v>MOILEQ</v>
      </c>
      <c r="B2106" s="34">
        <v>46273</v>
      </c>
      <c r="C2106" s="34">
        <v>46273</v>
      </c>
      <c r="D2106" t="s">
        <v>35</v>
      </c>
      <c r="E2106" t="s">
        <v>36</v>
      </c>
      <c r="F2106" t="s">
        <v>37</v>
      </c>
      <c r="G2106">
        <v>20830</v>
      </c>
      <c r="H2106" t="s">
        <v>6376</v>
      </c>
      <c r="I2106" t="s">
        <v>6377</v>
      </c>
      <c r="J2106" t="s">
        <v>161</v>
      </c>
      <c r="O2106" t="s">
        <v>6378</v>
      </c>
      <c r="P2106">
        <v>247.51</v>
      </c>
      <c r="Q2106">
        <v>253.3</v>
      </c>
      <c r="R2106">
        <v>247</v>
      </c>
      <c r="S2106">
        <v>251.49</v>
      </c>
      <c r="T2106">
        <v>251.78</v>
      </c>
      <c r="U2106">
        <v>247.22</v>
      </c>
      <c r="W2106">
        <v>251.49</v>
      </c>
      <c r="Z2106">
        <v>793529</v>
      </c>
      <c r="AA2106">
        <v>199037695.94</v>
      </c>
      <c r="AB2106">
        <v>12430</v>
      </c>
      <c r="AC2106" t="s">
        <v>42</v>
      </c>
      <c r="AD2106">
        <v>1</v>
      </c>
    </row>
    <row r="2107" spans="1:30">
      <c r="A2107" t="str">
        <f>CONCATENATE(I2107,J2107)</f>
        <v>MOKSHEQ</v>
      </c>
      <c r="B2107" s="34">
        <v>46273</v>
      </c>
      <c r="C2107" s="34">
        <v>46273</v>
      </c>
      <c r="D2107" t="s">
        <v>35</v>
      </c>
      <c r="E2107" t="s">
        <v>36</v>
      </c>
      <c r="F2107" t="s">
        <v>37</v>
      </c>
      <c r="G2107">
        <v>3586</v>
      </c>
      <c r="H2107" t="s">
        <v>6379</v>
      </c>
      <c r="I2107" t="s">
        <v>6380</v>
      </c>
      <c r="J2107" t="s">
        <v>161</v>
      </c>
      <c r="O2107" t="s">
        <v>6381</v>
      </c>
      <c r="P2107">
        <v>10.01</v>
      </c>
      <c r="Q2107">
        <v>10.28</v>
      </c>
      <c r="R2107">
        <v>9.66</v>
      </c>
      <c r="S2107">
        <v>10</v>
      </c>
      <c r="T2107">
        <v>10</v>
      </c>
      <c r="U2107">
        <v>10.130000000000001</v>
      </c>
      <c r="W2107">
        <v>10</v>
      </c>
      <c r="Z2107">
        <v>105124</v>
      </c>
      <c r="AA2107">
        <v>1058057.8700000001</v>
      </c>
      <c r="AB2107">
        <v>380</v>
      </c>
      <c r="AC2107" t="s">
        <v>42</v>
      </c>
      <c r="AD2107">
        <v>1</v>
      </c>
    </row>
    <row r="2108" spans="1:30">
      <c r="A2108" t="str">
        <f>CONCATENATE(I2108,J2108)</f>
        <v>MOLBIOEQ</v>
      </c>
      <c r="B2108" s="34">
        <v>46273</v>
      </c>
      <c r="C2108" s="34">
        <v>46273</v>
      </c>
      <c r="D2108" t="s">
        <v>35</v>
      </c>
      <c r="E2108" t="s">
        <v>36</v>
      </c>
      <c r="F2108" t="s">
        <v>37</v>
      </c>
      <c r="G2108">
        <v>764548</v>
      </c>
      <c r="H2108" t="s">
        <v>6382</v>
      </c>
      <c r="I2108" t="s">
        <v>6383</v>
      </c>
      <c r="J2108" t="s">
        <v>161</v>
      </c>
      <c r="O2108" t="s">
        <v>6384</v>
      </c>
      <c r="P2108">
        <v>1127.2</v>
      </c>
      <c r="Q2108">
        <v>1155</v>
      </c>
      <c r="R2108">
        <v>1110.2</v>
      </c>
      <c r="S2108">
        <v>1117.5</v>
      </c>
      <c r="T2108">
        <v>1118</v>
      </c>
      <c r="U2108">
        <v>1127.2</v>
      </c>
      <c r="W2108">
        <v>1117.75</v>
      </c>
      <c r="Z2108">
        <v>322070</v>
      </c>
      <c r="AA2108">
        <v>361872571.60000002</v>
      </c>
      <c r="AB2108">
        <v>14267</v>
      </c>
      <c r="AC2108" t="s">
        <v>42</v>
      </c>
      <c r="AD2108">
        <v>1</v>
      </c>
    </row>
    <row r="2109" spans="1:30">
      <c r="A2109" t="str">
        <f>CONCATENATE(I2109,J2109)</f>
        <v>MOLDTKPACEQ</v>
      </c>
      <c r="B2109" s="34">
        <v>46273</v>
      </c>
      <c r="C2109" s="34">
        <v>46273</v>
      </c>
      <c r="D2109" t="s">
        <v>35</v>
      </c>
      <c r="E2109" t="s">
        <v>36</v>
      </c>
      <c r="F2109" t="s">
        <v>37</v>
      </c>
      <c r="G2109">
        <v>6713</v>
      </c>
      <c r="H2109" t="s">
        <v>6385</v>
      </c>
      <c r="I2109" t="s">
        <v>6386</v>
      </c>
      <c r="J2109" t="s">
        <v>161</v>
      </c>
      <c r="O2109" t="s">
        <v>6387</v>
      </c>
      <c r="P2109">
        <v>695</v>
      </c>
      <c r="Q2109">
        <v>708.95</v>
      </c>
      <c r="R2109">
        <v>694</v>
      </c>
      <c r="S2109">
        <v>697.55</v>
      </c>
      <c r="T2109">
        <v>695</v>
      </c>
      <c r="U2109">
        <v>697.6</v>
      </c>
      <c r="W2109">
        <v>697.62</v>
      </c>
      <c r="Z2109">
        <v>30371</v>
      </c>
      <c r="AA2109">
        <v>21229395.149999999</v>
      </c>
      <c r="AB2109">
        <v>2860</v>
      </c>
      <c r="AC2109" t="s">
        <v>42</v>
      </c>
      <c r="AD2109">
        <v>1</v>
      </c>
    </row>
    <row r="2110" spans="1:30">
      <c r="A2110" t="str">
        <f>CONCATENATE(I2110,J2110)</f>
        <v>MOLDTECHBE</v>
      </c>
      <c r="B2110" s="34">
        <v>46273</v>
      </c>
      <c r="C2110" s="34">
        <v>46273</v>
      </c>
      <c r="D2110" t="s">
        <v>35</v>
      </c>
      <c r="E2110" t="s">
        <v>36</v>
      </c>
      <c r="F2110" t="s">
        <v>37</v>
      </c>
      <c r="G2110">
        <v>17629</v>
      </c>
      <c r="H2110" t="s">
        <v>6388</v>
      </c>
      <c r="I2110" t="s">
        <v>6389</v>
      </c>
      <c r="J2110" t="s">
        <v>183</v>
      </c>
      <c r="O2110" t="s">
        <v>6390</v>
      </c>
      <c r="P2110">
        <v>225</v>
      </c>
      <c r="Q2110">
        <v>227</v>
      </c>
      <c r="R2110">
        <v>213</v>
      </c>
      <c r="S2110">
        <v>218.27</v>
      </c>
      <c r="T2110">
        <v>219</v>
      </c>
      <c r="U2110">
        <v>219.18</v>
      </c>
      <c r="W2110">
        <v>218.27</v>
      </c>
      <c r="Z2110">
        <v>86969</v>
      </c>
      <c r="AA2110">
        <v>19112005.059999999</v>
      </c>
      <c r="AB2110">
        <v>833</v>
      </c>
      <c r="AC2110" t="s">
        <v>42</v>
      </c>
      <c r="AD2110">
        <v>1</v>
      </c>
    </row>
    <row r="2111" spans="1:30">
      <c r="A2111" t="str">
        <f>CONCATENATE(I2111,J2111)</f>
        <v>MONARCHEQ</v>
      </c>
      <c r="B2111" s="34">
        <v>46273</v>
      </c>
      <c r="C2111" s="34">
        <v>46273</v>
      </c>
      <c r="D2111" t="s">
        <v>35</v>
      </c>
      <c r="E2111" t="s">
        <v>36</v>
      </c>
      <c r="F2111" t="s">
        <v>37</v>
      </c>
      <c r="G2111">
        <v>7679</v>
      </c>
      <c r="H2111" t="s">
        <v>6391</v>
      </c>
      <c r="I2111" t="s">
        <v>6392</v>
      </c>
      <c r="J2111" t="s">
        <v>161</v>
      </c>
      <c r="O2111" t="s">
        <v>6393</v>
      </c>
      <c r="P2111">
        <v>382.9</v>
      </c>
      <c r="Q2111">
        <v>385.05</v>
      </c>
      <c r="R2111">
        <v>378.65</v>
      </c>
      <c r="S2111">
        <v>382.45</v>
      </c>
      <c r="T2111">
        <v>382</v>
      </c>
      <c r="U2111">
        <v>383.25</v>
      </c>
      <c r="W2111">
        <v>382.45</v>
      </c>
      <c r="Z2111">
        <v>164913</v>
      </c>
      <c r="AA2111">
        <v>63185933.600000001</v>
      </c>
      <c r="AB2111">
        <v>1354</v>
      </c>
      <c r="AC2111" t="s">
        <v>42</v>
      </c>
      <c r="AD2111">
        <v>1</v>
      </c>
    </row>
    <row r="2112" spans="1:30">
      <c r="A2112" t="str">
        <f>CONCATENATE(I2112,J2112)</f>
        <v>MONEYBOXXEQ</v>
      </c>
      <c r="B2112" s="34">
        <v>46273</v>
      </c>
      <c r="C2112" s="34">
        <v>46273</v>
      </c>
      <c r="D2112" t="s">
        <v>35</v>
      </c>
      <c r="E2112" t="s">
        <v>36</v>
      </c>
      <c r="F2112" t="s">
        <v>37</v>
      </c>
      <c r="G2112">
        <v>759381</v>
      </c>
      <c r="H2112" t="s">
        <v>6394</v>
      </c>
      <c r="I2112" t="s">
        <v>6395</v>
      </c>
      <c r="J2112" t="s">
        <v>161</v>
      </c>
      <c r="O2112" t="s">
        <v>6396</v>
      </c>
      <c r="P2112">
        <v>59</v>
      </c>
      <c r="Q2112">
        <v>59</v>
      </c>
      <c r="R2112">
        <v>56</v>
      </c>
      <c r="S2112">
        <v>56.01</v>
      </c>
      <c r="T2112">
        <v>56</v>
      </c>
      <c r="U2112">
        <v>56.83</v>
      </c>
      <c r="W2112">
        <v>56.04</v>
      </c>
      <c r="Z2112">
        <v>8469</v>
      </c>
      <c r="AA2112">
        <v>477444.78</v>
      </c>
      <c r="AB2112">
        <v>109</v>
      </c>
      <c r="AC2112" t="s">
        <v>42</v>
      </c>
      <c r="AD2112">
        <v>1</v>
      </c>
    </row>
    <row r="2113" spans="1:30">
      <c r="A2113" t="str">
        <f>CONCATENATE(I2113,J2113)</f>
        <v>MONOLITHSM</v>
      </c>
      <c r="B2113" s="34">
        <v>46273</v>
      </c>
      <c r="C2113" s="34">
        <v>46273</v>
      </c>
      <c r="D2113" t="s">
        <v>35</v>
      </c>
      <c r="E2113" t="s">
        <v>36</v>
      </c>
      <c r="F2113" t="s">
        <v>37</v>
      </c>
      <c r="G2113">
        <v>756958</v>
      </c>
      <c r="H2113" t="s">
        <v>6397</v>
      </c>
      <c r="I2113" t="s">
        <v>6398</v>
      </c>
      <c r="J2113" t="s">
        <v>267</v>
      </c>
      <c r="O2113" t="s">
        <v>6399</v>
      </c>
      <c r="P2113">
        <v>1328</v>
      </c>
      <c r="Q2113">
        <v>1360</v>
      </c>
      <c r="R2113">
        <v>1290.05</v>
      </c>
      <c r="S2113">
        <v>1320.35</v>
      </c>
      <c r="T2113">
        <v>1325</v>
      </c>
      <c r="U2113">
        <v>1312.5</v>
      </c>
      <c r="W2113">
        <v>1320.35</v>
      </c>
      <c r="Z2113">
        <v>66500</v>
      </c>
      <c r="AA2113">
        <v>87940187.5</v>
      </c>
      <c r="AB2113">
        <v>229</v>
      </c>
      <c r="AC2113" t="s">
        <v>42</v>
      </c>
      <c r="AD2113">
        <v>250</v>
      </c>
    </row>
    <row r="2114" spans="1:30">
      <c r="A2114" t="str">
        <f>CONCATENATE(I2114,J2114)</f>
        <v>MONTECARLOEQ</v>
      </c>
      <c r="B2114" s="34">
        <v>46273</v>
      </c>
      <c r="C2114" s="34">
        <v>46273</v>
      </c>
      <c r="D2114" t="s">
        <v>35</v>
      </c>
      <c r="E2114" t="s">
        <v>36</v>
      </c>
      <c r="F2114" t="s">
        <v>37</v>
      </c>
      <c r="G2114">
        <v>5938</v>
      </c>
      <c r="H2114" t="s">
        <v>6400</v>
      </c>
      <c r="I2114" t="s">
        <v>6401</v>
      </c>
      <c r="J2114" t="s">
        <v>161</v>
      </c>
      <c r="O2114" t="s">
        <v>6402</v>
      </c>
      <c r="P2114">
        <v>576.70000000000005</v>
      </c>
      <c r="Q2114">
        <v>576.70000000000005</v>
      </c>
      <c r="R2114">
        <v>554.79999999999995</v>
      </c>
      <c r="S2114">
        <v>558.5</v>
      </c>
      <c r="T2114">
        <v>558.04999999999995</v>
      </c>
      <c r="U2114">
        <v>575.45000000000005</v>
      </c>
      <c r="W2114">
        <v>558.45000000000005</v>
      </c>
      <c r="Z2114">
        <v>99569</v>
      </c>
      <c r="AA2114">
        <v>56164119.700000003</v>
      </c>
      <c r="AB2114">
        <v>3651</v>
      </c>
      <c r="AC2114" t="s">
        <v>42</v>
      </c>
      <c r="AD2114">
        <v>1</v>
      </c>
    </row>
    <row r="2115" spans="1:30">
      <c r="A2115" t="str">
        <f>CONCATENATE(I2115,J2115)</f>
        <v>MOREPENLABEQ</v>
      </c>
      <c r="B2115" s="34">
        <v>46273</v>
      </c>
      <c r="C2115" s="34">
        <v>46273</v>
      </c>
      <c r="D2115" t="s">
        <v>35</v>
      </c>
      <c r="E2115" t="s">
        <v>36</v>
      </c>
      <c r="F2115" t="s">
        <v>37</v>
      </c>
      <c r="G2115">
        <v>2259</v>
      </c>
      <c r="H2115" t="s">
        <v>6403</v>
      </c>
      <c r="I2115" t="s">
        <v>6404</v>
      </c>
      <c r="J2115" t="s">
        <v>161</v>
      </c>
      <c r="O2115" t="s">
        <v>6405</v>
      </c>
      <c r="P2115">
        <v>119.5</v>
      </c>
      <c r="Q2115">
        <v>122.55</v>
      </c>
      <c r="R2115">
        <v>116</v>
      </c>
      <c r="S2115">
        <v>117.16</v>
      </c>
      <c r="T2115">
        <v>116.92</v>
      </c>
      <c r="U2115">
        <v>118.88</v>
      </c>
      <c r="W2115">
        <v>117.15</v>
      </c>
      <c r="Z2115">
        <v>18553011</v>
      </c>
      <c r="AA2115">
        <v>2209929392.1700001</v>
      </c>
      <c r="AB2115">
        <v>73371</v>
      </c>
      <c r="AC2115" t="s">
        <v>42</v>
      </c>
      <c r="AD2115">
        <v>1</v>
      </c>
    </row>
    <row r="2116" spans="1:30">
      <c r="A2116" t="str">
        <f>CONCATENATE(I2116,J2116)</f>
        <v>MOSST</v>
      </c>
      <c r="B2116" s="34">
        <v>46273</v>
      </c>
      <c r="C2116" s="34">
        <v>46273</v>
      </c>
      <c r="D2116" t="s">
        <v>35</v>
      </c>
      <c r="E2116" t="s">
        <v>36</v>
      </c>
      <c r="F2116" t="s">
        <v>37</v>
      </c>
      <c r="G2116">
        <v>15057</v>
      </c>
      <c r="H2116" t="s">
        <v>6406</v>
      </c>
      <c r="I2116" t="s">
        <v>6407</v>
      </c>
      <c r="J2116" t="s">
        <v>328</v>
      </c>
      <c r="O2116" t="s">
        <v>6408</v>
      </c>
      <c r="P2116">
        <v>6.9</v>
      </c>
      <c r="Q2116">
        <v>7.5</v>
      </c>
      <c r="R2116">
        <v>6.9</v>
      </c>
      <c r="S2116">
        <v>6.9</v>
      </c>
      <c r="T2116">
        <v>6.9</v>
      </c>
      <c r="U2116">
        <v>7.25</v>
      </c>
      <c r="W2116">
        <v>6.9</v>
      </c>
      <c r="Z2116">
        <v>752000</v>
      </c>
      <c r="AA2116">
        <v>5253200</v>
      </c>
      <c r="AB2116">
        <v>145</v>
      </c>
      <c r="AC2116" t="s">
        <v>42</v>
      </c>
      <c r="AD2116">
        <v>4000</v>
      </c>
    </row>
    <row r="2117" spans="1:30">
      <c r="A2117" t="str">
        <f>CONCATENATE(I2117,J2117)</f>
        <v>MOSCHIPEQ</v>
      </c>
      <c r="B2117" s="34">
        <v>46273</v>
      </c>
      <c r="C2117" s="34">
        <v>46273</v>
      </c>
      <c r="D2117" t="s">
        <v>35</v>
      </c>
      <c r="E2117" t="s">
        <v>36</v>
      </c>
      <c r="F2117" t="s">
        <v>37</v>
      </c>
      <c r="G2117">
        <v>29459</v>
      </c>
      <c r="H2117" t="s">
        <v>6409</v>
      </c>
      <c r="I2117" t="s">
        <v>6410</v>
      </c>
      <c r="J2117" t="s">
        <v>161</v>
      </c>
      <c r="O2117" t="s">
        <v>6411</v>
      </c>
      <c r="P2117">
        <v>212.8</v>
      </c>
      <c r="Q2117">
        <v>217.74</v>
      </c>
      <c r="R2117">
        <v>212.66</v>
      </c>
      <c r="S2117">
        <v>214.26</v>
      </c>
      <c r="T2117">
        <v>216</v>
      </c>
      <c r="U2117">
        <v>212.6</v>
      </c>
      <c r="W2117">
        <v>214.26</v>
      </c>
      <c r="Z2117">
        <v>1305405</v>
      </c>
      <c r="AA2117">
        <v>280598441.75</v>
      </c>
      <c r="AB2117">
        <v>17705</v>
      </c>
      <c r="AC2117" t="s">
        <v>42</v>
      </c>
      <c r="AD2117">
        <v>1</v>
      </c>
    </row>
    <row r="2118" spans="1:30">
      <c r="A2118" t="str">
        <f>CONCATENATE(I2118,J2118)</f>
        <v>MSUMIEQ</v>
      </c>
      <c r="B2118" s="34">
        <v>46273</v>
      </c>
      <c r="C2118" s="34">
        <v>46273</v>
      </c>
      <c r="D2118" t="s">
        <v>35</v>
      </c>
      <c r="E2118" t="s">
        <v>36</v>
      </c>
      <c r="F2118" t="s">
        <v>37</v>
      </c>
      <c r="G2118">
        <v>8596</v>
      </c>
      <c r="H2118" t="s">
        <v>6412</v>
      </c>
      <c r="I2118" t="s">
        <v>6413</v>
      </c>
      <c r="J2118" t="s">
        <v>161</v>
      </c>
      <c r="O2118" t="s">
        <v>6414</v>
      </c>
      <c r="P2118">
        <v>36.65</v>
      </c>
      <c r="Q2118">
        <v>36.770000000000003</v>
      </c>
      <c r="R2118">
        <v>36.340000000000003</v>
      </c>
      <c r="S2118">
        <v>36.61</v>
      </c>
      <c r="T2118">
        <v>36.700000000000003</v>
      </c>
      <c r="U2118">
        <v>36.9</v>
      </c>
      <c r="W2118">
        <v>36.61</v>
      </c>
      <c r="Z2118">
        <v>5851346</v>
      </c>
      <c r="AA2118">
        <v>213959422.80000001</v>
      </c>
      <c r="AB2118">
        <v>33131</v>
      </c>
      <c r="AC2118" t="s">
        <v>42</v>
      </c>
      <c r="AD2118">
        <v>1</v>
      </c>
    </row>
    <row r="2119" spans="1:30">
      <c r="A2119" t="str">
        <f>CONCATENATE(I2119,J2119)</f>
        <v>MOM100EQ</v>
      </c>
      <c r="B2119" s="34">
        <v>46273</v>
      </c>
      <c r="C2119" s="34">
        <v>46273</v>
      </c>
      <c r="D2119" t="s">
        <v>35</v>
      </c>
      <c r="E2119" t="s">
        <v>36</v>
      </c>
      <c r="F2119" t="s">
        <v>37</v>
      </c>
      <c r="G2119">
        <v>21423</v>
      </c>
      <c r="H2119" t="s">
        <v>6415</v>
      </c>
      <c r="I2119" t="s">
        <v>6416</v>
      </c>
      <c r="J2119" t="s">
        <v>161</v>
      </c>
      <c r="O2119" t="s">
        <v>6417</v>
      </c>
      <c r="P2119">
        <v>67.83</v>
      </c>
      <c r="Q2119">
        <v>68.11</v>
      </c>
      <c r="R2119">
        <v>67.62</v>
      </c>
      <c r="S2119">
        <v>67.91</v>
      </c>
      <c r="T2119">
        <v>68.010000000000005</v>
      </c>
      <c r="U2119">
        <v>67.83</v>
      </c>
      <c r="W2119">
        <v>67.900000000000006</v>
      </c>
      <c r="Z2119">
        <v>202648</v>
      </c>
      <c r="AA2119">
        <v>13750304.279999999</v>
      </c>
      <c r="AB2119">
        <v>2194</v>
      </c>
      <c r="AC2119" t="s">
        <v>42</v>
      </c>
      <c r="AD2119">
        <v>1</v>
      </c>
    </row>
    <row r="2120" spans="1:30">
      <c r="A2120" t="str">
        <f>CONCATENATE(I2120,J2120)</f>
        <v>MON100EQ</v>
      </c>
      <c r="B2120" s="34">
        <v>46273</v>
      </c>
      <c r="C2120" s="34">
        <v>46273</v>
      </c>
      <c r="D2120" t="s">
        <v>35</v>
      </c>
      <c r="E2120" t="s">
        <v>36</v>
      </c>
      <c r="F2120" t="s">
        <v>37</v>
      </c>
      <c r="G2120">
        <v>22739</v>
      </c>
      <c r="H2120" t="s">
        <v>6418</v>
      </c>
      <c r="I2120" t="s">
        <v>6419</v>
      </c>
      <c r="J2120" t="s">
        <v>161</v>
      </c>
      <c r="O2120" t="s">
        <v>6420</v>
      </c>
      <c r="P2120">
        <v>339.71</v>
      </c>
      <c r="Q2120">
        <v>349</v>
      </c>
      <c r="R2120">
        <v>331.4</v>
      </c>
      <c r="S2120">
        <v>344.7</v>
      </c>
      <c r="T2120">
        <v>344.18</v>
      </c>
      <c r="U2120">
        <v>336.35</v>
      </c>
      <c r="W2120">
        <v>344.7</v>
      </c>
      <c r="Z2120">
        <v>1241705</v>
      </c>
      <c r="AA2120">
        <v>426422252.97000003</v>
      </c>
      <c r="AB2120">
        <v>26926</v>
      </c>
      <c r="AC2120" t="s">
        <v>42</v>
      </c>
      <c r="AD2120">
        <v>1</v>
      </c>
    </row>
    <row r="2121" spans="1:30">
      <c r="A2121" t="str">
        <f>CONCATENATE(I2121,J2121)</f>
        <v>MOTILALOFSEQ</v>
      </c>
      <c r="B2121" s="34">
        <v>46273</v>
      </c>
      <c r="C2121" s="34">
        <v>46273</v>
      </c>
      <c r="D2121" t="s">
        <v>35</v>
      </c>
      <c r="E2121" t="s">
        <v>36</v>
      </c>
      <c r="F2121" t="s">
        <v>37</v>
      </c>
      <c r="G2121">
        <v>14947</v>
      </c>
      <c r="H2121" t="s">
        <v>6421</v>
      </c>
      <c r="I2121" t="s">
        <v>6422</v>
      </c>
      <c r="J2121" t="s">
        <v>161</v>
      </c>
      <c r="O2121" t="s">
        <v>6423</v>
      </c>
      <c r="P2121">
        <v>1060</v>
      </c>
      <c r="Q2121">
        <v>1060.2</v>
      </c>
      <c r="R2121">
        <v>1035.2</v>
      </c>
      <c r="S2121">
        <v>1051.5</v>
      </c>
      <c r="T2121">
        <v>1051.5</v>
      </c>
      <c r="U2121">
        <v>1055</v>
      </c>
      <c r="W2121">
        <v>1051.51</v>
      </c>
      <c r="Z2121">
        <v>940774</v>
      </c>
      <c r="AA2121">
        <v>986749089.60000002</v>
      </c>
      <c r="AB2121">
        <v>18910</v>
      </c>
      <c r="AC2121" t="s">
        <v>42</v>
      </c>
      <c r="AD2121">
        <v>1</v>
      </c>
    </row>
    <row r="2122" spans="1:30">
      <c r="A2122" t="str">
        <f>CONCATENATE(I2122,J2122)</f>
        <v>MOM50EQ</v>
      </c>
      <c r="B2122" s="34">
        <v>46273</v>
      </c>
      <c r="C2122" s="34">
        <v>46273</v>
      </c>
      <c r="D2122" t="s">
        <v>35</v>
      </c>
      <c r="E2122" t="s">
        <v>36</v>
      </c>
      <c r="F2122" t="s">
        <v>37</v>
      </c>
      <c r="G2122">
        <v>19289</v>
      </c>
      <c r="H2122" t="s">
        <v>6424</v>
      </c>
      <c r="I2122" t="s">
        <v>6425</v>
      </c>
      <c r="J2122" t="s">
        <v>161</v>
      </c>
      <c r="O2122" t="s">
        <v>6426</v>
      </c>
      <c r="P2122">
        <v>246.55</v>
      </c>
      <c r="Q2122">
        <v>248.82</v>
      </c>
      <c r="R2122">
        <v>246.55</v>
      </c>
      <c r="S2122">
        <v>247.72</v>
      </c>
      <c r="T2122">
        <v>248.5</v>
      </c>
      <c r="U2122">
        <v>249.1</v>
      </c>
      <c r="W2122">
        <v>247.72</v>
      </c>
      <c r="Z2122">
        <v>4005</v>
      </c>
      <c r="AA2122">
        <v>993329.63</v>
      </c>
      <c r="AB2122">
        <v>134</v>
      </c>
      <c r="AC2122" t="s">
        <v>42</v>
      </c>
      <c r="AD2122">
        <v>1</v>
      </c>
    </row>
    <row r="2123" spans="1:30">
      <c r="A2123" t="str">
        <f>CONCATENATE(I2123,J2123)</f>
        <v>MOGSECEQ</v>
      </c>
      <c r="B2123" s="34">
        <v>46273</v>
      </c>
      <c r="C2123" s="34">
        <v>46273</v>
      </c>
      <c r="D2123" t="s">
        <v>35</v>
      </c>
      <c r="E2123" t="s">
        <v>36</v>
      </c>
      <c r="F2123" t="s">
        <v>37</v>
      </c>
      <c r="G2123">
        <v>1507</v>
      </c>
      <c r="H2123" t="s">
        <v>6427</v>
      </c>
      <c r="I2123" t="s">
        <v>6428</v>
      </c>
      <c r="J2123" t="s">
        <v>161</v>
      </c>
      <c r="O2123" t="s">
        <v>6429</v>
      </c>
      <c r="P2123">
        <v>65.67</v>
      </c>
      <c r="Q2123">
        <v>65.67</v>
      </c>
      <c r="R2123">
        <v>65.400000000000006</v>
      </c>
      <c r="S2123">
        <v>65.400000000000006</v>
      </c>
      <c r="T2123">
        <v>65.400000000000006</v>
      </c>
      <c r="U2123">
        <v>65.2</v>
      </c>
      <c r="W2123">
        <v>65.400000000000006</v>
      </c>
      <c r="Z2123">
        <v>10746</v>
      </c>
      <c r="AA2123">
        <v>702885.95</v>
      </c>
      <c r="AB2123">
        <v>18</v>
      </c>
      <c r="AC2123" t="s">
        <v>42</v>
      </c>
      <c r="AD2123">
        <v>1</v>
      </c>
    </row>
    <row r="2124" spans="1:30">
      <c r="A2124" t="str">
        <f>CONCATENATE(I2124,J2124)</f>
        <v>MOALPHA50EQ</v>
      </c>
      <c r="B2124" s="34">
        <v>46273</v>
      </c>
      <c r="C2124" s="34">
        <v>46273</v>
      </c>
      <c r="D2124" t="s">
        <v>35</v>
      </c>
      <c r="E2124" t="s">
        <v>36</v>
      </c>
      <c r="F2124" t="s">
        <v>37</v>
      </c>
      <c r="G2124">
        <v>757669</v>
      </c>
      <c r="H2124" t="s">
        <v>6430</v>
      </c>
      <c r="I2124" t="s">
        <v>6431</v>
      </c>
      <c r="J2124" t="s">
        <v>161</v>
      </c>
      <c r="O2124" t="s">
        <v>6432</v>
      </c>
      <c r="P2124">
        <v>55.91</v>
      </c>
      <c r="Q2124">
        <v>56.37</v>
      </c>
      <c r="R2124">
        <v>55.91</v>
      </c>
      <c r="S2124">
        <v>56.34</v>
      </c>
      <c r="T2124">
        <v>56.34</v>
      </c>
      <c r="U2124">
        <v>56.19</v>
      </c>
      <c r="W2124">
        <v>56.34</v>
      </c>
      <c r="Z2124">
        <v>14388</v>
      </c>
      <c r="AA2124">
        <v>809953.59</v>
      </c>
      <c r="AB2124">
        <v>50</v>
      </c>
      <c r="AC2124" t="s">
        <v>42</v>
      </c>
      <c r="AD2124">
        <v>1</v>
      </c>
    </row>
    <row r="2125" spans="1:30">
      <c r="A2125" t="str">
        <f>CONCATENATE(I2125,J2125)</f>
        <v>MOBANK10EQ</v>
      </c>
      <c r="B2125" s="34">
        <v>46273</v>
      </c>
      <c r="C2125" s="34">
        <v>46273</v>
      </c>
      <c r="D2125" t="s">
        <v>35</v>
      </c>
      <c r="E2125" t="s">
        <v>36</v>
      </c>
      <c r="F2125" t="s">
        <v>37</v>
      </c>
      <c r="G2125">
        <v>761693</v>
      </c>
      <c r="H2125" t="s">
        <v>6433</v>
      </c>
      <c r="I2125" t="s">
        <v>6434</v>
      </c>
      <c r="J2125" t="s">
        <v>161</v>
      </c>
      <c r="O2125" t="s">
        <v>6435</v>
      </c>
      <c r="P2125">
        <v>16.940000000000001</v>
      </c>
      <c r="Q2125">
        <v>16.940000000000001</v>
      </c>
      <c r="R2125">
        <v>16.64</v>
      </c>
      <c r="S2125">
        <v>16.649999999999999</v>
      </c>
      <c r="T2125">
        <v>16.760000000000002</v>
      </c>
      <c r="U2125">
        <v>16.78</v>
      </c>
      <c r="W2125">
        <v>16.649999999999999</v>
      </c>
      <c r="Z2125">
        <v>5927</v>
      </c>
      <c r="AA2125">
        <v>99209.62</v>
      </c>
      <c r="AB2125">
        <v>64</v>
      </c>
      <c r="AC2125" t="s">
        <v>42</v>
      </c>
      <c r="AD2125">
        <v>1</v>
      </c>
    </row>
    <row r="2126" spans="1:30">
      <c r="A2126" t="str">
        <f>CONCATENATE(I2126,J2126)</f>
        <v>MOCAPITALEQ</v>
      </c>
      <c r="B2126" s="34">
        <v>46273</v>
      </c>
      <c r="C2126" s="34">
        <v>46273</v>
      </c>
      <c r="D2126" t="s">
        <v>35</v>
      </c>
      <c r="E2126" t="s">
        <v>36</v>
      </c>
      <c r="F2126" t="s">
        <v>37</v>
      </c>
      <c r="G2126">
        <v>30065</v>
      </c>
      <c r="H2126" t="s">
        <v>6436</v>
      </c>
      <c r="I2126" t="s">
        <v>6437</v>
      </c>
      <c r="J2126" t="s">
        <v>161</v>
      </c>
      <c r="O2126" t="s">
        <v>6438</v>
      </c>
      <c r="P2126">
        <v>55.48</v>
      </c>
      <c r="Q2126">
        <v>55.51</v>
      </c>
      <c r="R2126">
        <v>54.27</v>
      </c>
      <c r="S2126">
        <v>54.52</v>
      </c>
      <c r="T2126">
        <v>54.62</v>
      </c>
      <c r="U2126">
        <v>54.82</v>
      </c>
      <c r="W2126">
        <v>54.52</v>
      </c>
      <c r="Z2126">
        <v>486310</v>
      </c>
      <c r="AA2126">
        <v>26514951.350000001</v>
      </c>
      <c r="AB2126">
        <v>2567</v>
      </c>
      <c r="AC2126" t="s">
        <v>42</v>
      </c>
      <c r="AD2126">
        <v>1</v>
      </c>
    </row>
    <row r="2127" spans="1:30">
      <c r="A2127" t="str">
        <f>CONCATENATE(I2127,J2127)</f>
        <v>MODEFENCEEQ</v>
      </c>
      <c r="B2127" s="34">
        <v>46273</v>
      </c>
      <c r="C2127" s="34">
        <v>46273</v>
      </c>
      <c r="D2127" t="s">
        <v>35</v>
      </c>
      <c r="E2127" t="s">
        <v>36</v>
      </c>
      <c r="F2127" t="s">
        <v>37</v>
      </c>
      <c r="G2127">
        <v>24944</v>
      </c>
      <c r="H2127" t="s">
        <v>6439</v>
      </c>
      <c r="I2127" t="s">
        <v>6440</v>
      </c>
      <c r="J2127" t="s">
        <v>161</v>
      </c>
      <c r="O2127" t="s">
        <v>6441</v>
      </c>
      <c r="P2127">
        <v>110</v>
      </c>
      <c r="Q2127">
        <v>110</v>
      </c>
      <c r="R2127">
        <v>107.24</v>
      </c>
      <c r="S2127">
        <v>109.72</v>
      </c>
      <c r="T2127">
        <v>109.9</v>
      </c>
      <c r="U2127">
        <v>107.24</v>
      </c>
      <c r="W2127">
        <v>109.72</v>
      </c>
      <c r="Z2127">
        <v>2477617</v>
      </c>
      <c r="AA2127">
        <v>270762939.08999997</v>
      </c>
      <c r="AB2127">
        <v>9906</v>
      </c>
      <c r="AC2127" t="s">
        <v>42</v>
      </c>
      <c r="AD2127">
        <v>1</v>
      </c>
    </row>
    <row r="2128" spans="1:30">
      <c r="A2128" t="str">
        <f>CONCATENATE(I2128,J2128)</f>
        <v>MOENERGYEQ</v>
      </c>
      <c r="B2128" s="34">
        <v>46273</v>
      </c>
      <c r="C2128" s="34">
        <v>46273</v>
      </c>
      <c r="D2128" t="s">
        <v>35</v>
      </c>
      <c r="E2128" t="s">
        <v>36</v>
      </c>
      <c r="F2128" t="s">
        <v>37</v>
      </c>
      <c r="G2128">
        <v>759374</v>
      </c>
      <c r="H2128" t="s">
        <v>6442</v>
      </c>
      <c r="I2128" t="s">
        <v>6443</v>
      </c>
      <c r="J2128" t="s">
        <v>161</v>
      </c>
      <c r="O2128" t="s">
        <v>6444</v>
      </c>
      <c r="P2128">
        <v>38.07</v>
      </c>
      <c r="Q2128">
        <v>38.520000000000003</v>
      </c>
      <c r="R2128">
        <v>37.65</v>
      </c>
      <c r="S2128">
        <v>38.4</v>
      </c>
      <c r="T2128">
        <v>38.520000000000003</v>
      </c>
      <c r="U2128">
        <v>37.89</v>
      </c>
      <c r="W2128">
        <v>38.4</v>
      </c>
      <c r="Z2128">
        <v>203649</v>
      </c>
      <c r="AA2128">
        <v>7793235.7699999996</v>
      </c>
      <c r="AB2128">
        <v>536</v>
      </c>
      <c r="AC2128" t="s">
        <v>42</v>
      </c>
      <c r="AD2128">
        <v>1</v>
      </c>
    </row>
    <row r="2129" spans="1:30">
      <c r="A2129" t="str">
        <f>CONCATENATE(I2129,J2129)</f>
        <v>MOGOLDEQ</v>
      </c>
      <c r="B2129" s="34">
        <v>46273</v>
      </c>
      <c r="C2129" s="34">
        <v>46273</v>
      </c>
      <c r="D2129" t="s">
        <v>35</v>
      </c>
      <c r="E2129" t="s">
        <v>36</v>
      </c>
      <c r="F2129" t="s">
        <v>37</v>
      </c>
      <c r="G2129">
        <v>757791</v>
      </c>
      <c r="H2129" t="s">
        <v>6445</v>
      </c>
      <c r="I2129" t="s">
        <v>6446</v>
      </c>
      <c r="J2129" t="s">
        <v>161</v>
      </c>
      <c r="O2129" t="s">
        <v>6447</v>
      </c>
      <c r="P2129">
        <v>152.35</v>
      </c>
      <c r="Q2129">
        <v>152.35</v>
      </c>
      <c r="R2129">
        <v>148.5</v>
      </c>
      <c r="S2129">
        <v>150.6</v>
      </c>
      <c r="T2129">
        <v>150.80000000000001</v>
      </c>
      <c r="U2129">
        <v>150.25</v>
      </c>
      <c r="W2129">
        <v>150.61000000000001</v>
      </c>
      <c r="Z2129">
        <v>25620</v>
      </c>
      <c r="AA2129">
        <v>3873151.25</v>
      </c>
      <c r="AB2129">
        <v>278</v>
      </c>
      <c r="AC2129" t="s">
        <v>42</v>
      </c>
      <c r="AD2129">
        <v>1</v>
      </c>
    </row>
    <row r="2130" spans="1:30">
      <c r="A2130" t="str">
        <f>CONCATENATE(I2130,J2130)</f>
        <v>MOHEALTHEQ</v>
      </c>
      <c r="B2130" s="34">
        <v>46273</v>
      </c>
      <c r="C2130" s="34">
        <v>46273</v>
      </c>
      <c r="D2130" t="s">
        <v>35</v>
      </c>
      <c r="E2130" t="s">
        <v>36</v>
      </c>
      <c r="F2130" t="s">
        <v>37</v>
      </c>
      <c r="G2130">
        <v>10508</v>
      </c>
      <c r="H2130" t="s">
        <v>6448</v>
      </c>
      <c r="I2130" t="s">
        <v>6449</v>
      </c>
      <c r="J2130" t="s">
        <v>161</v>
      </c>
      <c r="O2130" t="s">
        <v>6450</v>
      </c>
      <c r="P2130">
        <v>51.89</v>
      </c>
      <c r="Q2130">
        <v>52.65</v>
      </c>
      <c r="R2130">
        <v>51.53</v>
      </c>
      <c r="S2130">
        <v>52.6</v>
      </c>
      <c r="T2130">
        <v>52.65</v>
      </c>
      <c r="U2130">
        <v>51.89</v>
      </c>
      <c r="W2130">
        <v>52.6</v>
      </c>
      <c r="Z2130">
        <v>44974</v>
      </c>
      <c r="AA2130">
        <v>2355217.5</v>
      </c>
      <c r="AB2130">
        <v>456</v>
      </c>
      <c r="AC2130" t="s">
        <v>42</v>
      </c>
      <c r="AD2130">
        <v>1</v>
      </c>
    </row>
    <row r="2131" spans="1:30">
      <c r="A2131" t="str">
        <f>CONCATENATE(I2131,J2131)</f>
        <v>MOINFRAEQ</v>
      </c>
      <c r="B2131" s="34">
        <v>46273</v>
      </c>
      <c r="C2131" s="34">
        <v>46273</v>
      </c>
      <c r="D2131" t="s">
        <v>35</v>
      </c>
      <c r="E2131" t="s">
        <v>36</v>
      </c>
      <c r="F2131" t="s">
        <v>37</v>
      </c>
      <c r="G2131">
        <v>757031</v>
      </c>
      <c r="H2131" t="s">
        <v>6451</v>
      </c>
      <c r="I2131" t="s">
        <v>6452</v>
      </c>
      <c r="J2131" t="s">
        <v>161</v>
      </c>
      <c r="O2131" t="s">
        <v>6453</v>
      </c>
      <c r="P2131">
        <v>58.51</v>
      </c>
      <c r="Q2131">
        <v>58.58</v>
      </c>
      <c r="R2131">
        <v>58.21</v>
      </c>
      <c r="S2131">
        <v>58.5</v>
      </c>
      <c r="T2131">
        <v>58.5</v>
      </c>
      <c r="U2131">
        <v>58.51</v>
      </c>
      <c r="W2131">
        <v>58.5</v>
      </c>
      <c r="Z2131">
        <v>1767</v>
      </c>
      <c r="AA2131">
        <v>103247.67999999999</v>
      </c>
      <c r="AB2131">
        <v>44</v>
      </c>
      <c r="AC2131" t="s">
        <v>42</v>
      </c>
      <c r="AD2131">
        <v>1</v>
      </c>
    </row>
    <row r="2132" spans="1:30">
      <c r="A2132" t="str">
        <f>CONCATENATE(I2132,J2132)</f>
        <v>MOIPOEQ</v>
      </c>
      <c r="B2132" s="34">
        <v>46273</v>
      </c>
      <c r="C2132" s="34">
        <v>46273</v>
      </c>
      <c r="D2132" t="s">
        <v>35</v>
      </c>
      <c r="E2132" t="s">
        <v>36</v>
      </c>
      <c r="F2132" t="s">
        <v>37</v>
      </c>
      <c r="G2132">
        <v>759891</v>
      </c>
      <c r="H2132" t="s">
        <v>6454</v>
      </c>
      <c r="I2132" t="s">
        <v>6455</v>
      </c>
      <c r="J2132" t="s">
        <v>161</v>
      </c>
      <c r="O2132" t="s">
        <v>6456</v>
      </c>
      <c r="P2132">
        <v>48.66</v>
      </c>
      <c r="Q2132">
        <v>48.95</v>
      </c>
      <c r="R2132">
        <v>48.4</v>
      </c>
      <c r="S2132">
        <v>48.7</v>
      </c>
      <c r="T2132">
        <v>48.7</v>
      </c>
      <c r="U2132">
        <v>48.66</v>
      </c>
      <c r="W2132">
        <v>48.7</v>
      </c>
      <c r="Z2132">
        <v>31298</v>
      </c>
      <c r="AA2132">
        <v>1530953.13</v>
      </c>
      <c r="AB2132">
        <v>57</v>
      </c>
      <c r="AC2132" t="s">
        <v>42</v>
      </c>
      <c r="AD2132">
        <v>1</v>
      </c>
    </row>
    <row r="2133" spans="1:30">
      <c r="A2133" t="str">
        <f>CONCATENATE(I2133,J2133)</f>
        <v>MOLOWVOLEQ</v>
      </c>
      <c r="B2133" s="34">
        <v>46273</v>
      </c>
      <c r="C2133" s="34">
        <v>46273</v>
      </c>
      <c r="D2133" t="s">
        <v>35</v>
      </c>
      <c r="E2133" t="s">
        <v>36</v>
      </c>
      <c r="F2133" t="s">
        <v>37</v>
      </c>
      <c r="G2133">
        <v>8654</v>
      </c>
      <c r="H2133" t="s">
        <v>6457</v>
      </c>
      <c r="I2133" t="s">
        <v>6458</v>
      </c>
      <c r="J2133" t="s">
        <v>161</v>
      </c>
      <c r="O2133" t="s">
        <v>6459</v>
      </c>
      <c r="P2133">
        <v>35.93</v>
      </c>
      <c r="Q2133">
        <v>35.93</v>
      </c>
      <c r="R2133">
        <v>35.57</v>
      </c>
      <c r="S2133">
        <v>35.67</v>
      </c>
      <c r="T2133">
        <v>35.700000000000003</v>
      </c>
      <c r="U2133">
        <v>35.93</v>
      </c>
      <c r="W2133">
        <v>35.67</v>
      </c>
      <c r="Z2133">
        <v>9592</v>
      </c>
      <c r="AA2133">
        <v>341901.88</v>
      </c>
      <c r="AB2133">
        <v>78</v>
      </c>
      <c r="AC2133" t="s">
        <v>42</v>
      </c>
      <c r="AD2133">
        <v>1</v>
      </c>
    </row>
    <row r="2134" spans="1:30">
      <c r="A2134" t="str">
        <f>CONCATENATE(I2134,J2134)</f>
        <v>MOMENTUM50EQ</v>
      </c>
      <c r="B2134" s="34">
        <v>46273</v>
      </c>
      <c r="C2134" s="34">
        <v>46273</v>
      </c>
      <c r="D2134" t="s">
        <v>35</v>
      </c>
      <c r="E2134" t="s">
        <v>36</v>
      </c>
      <c r="F2134" t="s">
        <v>37</v>
      </c>
      <c r="G2134">
        <v>25606</v>
      </c>
      <c r="H2134" t="s">
        <v>6460</v>
      </c>
      <c r="I2134" t="s">
        <v>6461</v>
      </c>
      <c r="J2134" t="s">
        <v>161</v>
      </c>
      <c r="O2134" t="s">
        <v>6462</v>
      </c>
      <c r="P2134">
        <v>54.87</v>
      </c>
      <c r="Q2134">
        <v>55.03</v>
      </c>
      <c r="R2134">
        <v>53.85</v>
      </c>
      <c r="S2134">
        <v>54.92</v>
      </c>
      <c r="T2134">
        <v>55.02</v>
      </c>
      <c r="U2134">
        <v>54.33</v>
      </c>
      <c r="W2134">
        <v>54.92</v>
      </c>
      <c r="Z2134">
        <v>461988</v>
      </c>
      <c r="AA2134">
        <v>25304155.27</v>
      </c>
      <c r="AB2134">
        <v>1306</v>
      </c>
      <c r="AC2134" t="s">
        <v>42</v>
      </c>
      <c r="AD2134">
        <v>1</v>
      </c>
    </row>
    <row r="2135" spans="1:30">
      <c r="A2135" t="str">
        <f>CONCATENATE(I2135,J2135)</f>
        <v>MOMETALEQ</v>
      </c>
      <c r="B2135" s="34">
        <v>46273</v>
      </c>
      <c r="C2135" s="34">
        <v>46273</v>
      </c>
      <c r="D2135" t="s">
        <v>35</v>
      </c>
      <c r="E2135" t="s">
        <v>36</v>
      </c>
      <c r="F2135" t="s">
        <v>37</v>
      </c>
      <c r="G2135">
        <v>764402</v>
      </c>
      <c r="H2135" t="s">
        <v>6463</v>
      </c>
      <c r="I2135" t="s">
        <v>6464</v>
      </c>
      <c r="J2135" t="s">
        <v>161</v>
      </c>
      <c r="O2135" t="s">
        <v>6465</v>
      </c>
      <c r="P2135">
        <v>13.24</v>
      </c>
      <c r="Q2135">
        <v>14.49</v>
      </c>
      <c r="R2135">
        <v>12.97</v>
      </c>
      <c r="S2135">
        <v>13.18</v>
      </c>
      <c r="T2135">
        <v>13.1</v>
      </c>
      <c r="U2135">
        <v>13.2</v>
      </c>
      <c r="W2135">
        <v>13.18</v>
      </c>
      <c r="Z2135">
        <v>11452</v>
      </c>
      <c r="AA2135">
        <v>150872.97</v>
      </c>
      <c r="AB2135">
        <v>51</v>
      </c>
      <c r="AC2135" t="s">
        <v>42</v>
      </c>
      <c r="AD2135">
        <v>1</v>
      </c>
    </row>
    <row r="2136" spans="1:30">
      <c r="A2136" t="str">
        <f>CONCATENATE(I2136,J2136)</f>
        <v>MOMGFEQ</v>
      </c>
      <c r="B2136" s="34">
        <v>46273</v>
      </c>
      <c r="C2136" s="34">
        <v>46273</v>
      </c>
      <c r="D2136" t="s">
        <v>35</v>
      </c>
      <c r="E2136" t="s">
        <v>36</v>
      </c>
      <c r="F2136" t="s">
        <v>37</v>
      </c>
      <c r="G2136">
        <v>757099</v>
      </c>
      <c r="H2136" t="s">
        <v>6466</v>
      </c>
      <c r="I2136" t="s">
        <v>6467</v>
      </c>
      <c r="J2136" t="s">
        <v>161</v>
      </c>
      <c r="O2136" t="s">
        <v>6468</v>
      </c>
      <c r="P2136">
        <v>162.05000000000001</v>
      </c>
      <c r="Q2136">
        <v>162.65</v>
      </c>
      <c r="R2136">
        <v>161.24</v>
      </c>
      <c r="S2136">
        <v>161.24</v>
      </c>
      <c r="T2136">
        <v>161.24</v>
      </c>
      <c r="U2136">
        <v>161.86000000000001</v>
      </c>
      <c r="W2136">
        <v>161.24</v>
      </c>
      <c r="Z2136">
        <v>1441</v>
      </c>
      <c r="AA2136">
        <v>233329.17</v>
      </c>
      <c r="AB2136">
        <v>19</v>
      </c>
      <c r="AC2136" t="s">
        <v>42</v>
      </c>
      <c r="AD2136">
        <v>1</v>
      </c>
    </row>
    <row r="2137" spans="1:30">
      <c r="A2137" t="str">
        <f>CONCATENATE(I2137,J2137)</f>
        <v>MOMIDMTMEQ</v>
      </c>
      <c r="B2137" s="34">
        <v>46273</v>
      </c>
      <c r="C2137" s="34">
        <v>46273</v>
      </c>
      <c r="D2137" t="s">
        <v>35</v>
      </c>
      <c r="E2137" t="s">
        <v>36</v>
      </c>
      <c r="F2137" t="s">
        <v>37</v>
      </c>
      <c r="G2137">
        <v>757817</v>
      </c>
      <c r="H2137" t="s">
        <v>6469</v>
      </c>
      <c r="I2137" t="s">
        <v>6470</v>
      </c>
      <c r="J2137" t="s">
        <v>161</v>
      </c>
      <c r="O2137" t="s">
        <v>6471</v>
      </c>
      <c r="P2137">
        <v>64.930000000000007</v>
      </c>
      <c r="Q2137">
        <v>64.989999999999995</v>
      </c>
      <c r="R2137">
        <v>64.12</v>
      </c>
      <c r="S2137">
        <v>64.87</v>
      </c>
      <c r="T2137">
        <v>64.95</v>
      </c>
      <c r="U2137">
        <v>64.44</v>
      </c>
      <c r="W2137">
        <v>64.87</v>
      </c>
      <c r="Z2137">
        <v>57210</v>
      </c>
      <c r="AA2137">
        <v>3703496.22</v>
      </c>
      <c r="AB2137">
        <v>262</v>
      </c>
      <c r="AC2137" t="s">
        <v>42</v>
      </c>
      <c r="AD2137">
        <v>1</v>
      </c>
    </row>
    <row r="2138" spans="1:30">
      <c r="A2138" t="str">
        <f>CONCATENATE(I2138,J2138)</f>
        <v>MOMNCEQ</v>
      </c>
      <c r="B2138" s="34">
        <v>46273</v>
      </c>
      <c r="C2138" s="34">
        <v>46273</v>
      </c>
      <c r="D2138" t="s">
        <v>35</v>
      </c>
      <c r="E2138" t="s">
        <v>36</v>
      </c>
      <c r="F2138" t="s">
        <v>37</v>
      </c>
      <c r="G2138">
        <v>760054</v>
      </c>
      <c r="H2138" t="s">
        <v>6472</v>
      </c>
      <c r="I2138" t="s">
        <v>6473</v>
      </c>
      <c r="J2138" t="s">
        <v>161</v>
      </c>
      <c r="O2138" t="s">
        <v>6474</v>
      </c>
      <c r="P2138">
        <v>32</v>
      </c>
      <c r="Q2138">
        <v>32.1</v>
      </c>
      <c r="R2138">
        <v>31.97</v>
      </c>
      <c r="S2138">
        <v>32.1</v>
      </c>
      <c r="T2138">
        <v>32.1</v>
      </c>
      <c r="U2138">
        <v>32.020000000000003</v>
      </c>
      <c r="W2138">
        <v>32.1</v>
      </c>
      <c r="Z2138">
        <v>1922</v>
      </c>
      <c r="AA2138">
        <v>61495.06</v>
      </c>
      <c r="AB2138">
        <v>8</v>
      </c>
      <c r="AC2138" t="s">
        <v>42</v>
      </c>
      <c r="AD2138">
        <v>1</v>
      </c>
    </row>
    <row r="2139" spans="1:30">
      <c r="A2139" t="str">
        <f>CONCATENATE(I2139,J2139)</f>
        <v>MOMOMENTUMEQ</v>
      </c>
      <c r="B2139" s="34">
        <v>46273</v>
      </c>
      <c r="C2139" s="34">
        <v>46273</v>
      </c>
      <c r="D2139" t="s">
        <v>35</v>
      </c>
      <c r="E2139" t="s">
        <v>36</v>
      </c>
      <c r="F2139" t="s">
        <v>37</v>
      </c>
      <c r="G2139">
        <v>8182</v>
      </c>
      <c r="H2139" t="s">
        <v>6475</v>
      </c>
      <c r="I2139" t="s">
        <v>6476</v>
      </c>
      <c r="J2139" t="s">
        <v>161</v>
      </c>
      <c r="O2139" t="s">
        <v>6477</v>
      </c>
      <c r="P2139">
        <v>63.3</v>
      </c>
      <c r="Q2139">
        <v>63.3</v>
      </c>
      <c r="R2139">
        <v>62.06</v>
      </c>
      <c r="S2139">
        <v>62.43</v>
      </c>
      <c r="T2139">
        <v>62.37</v>
      </c>
      <c r="U2139">
        <v>62.06</v>
      </c>
      <c r="W2139">
        <v>62.43</v>
      </c>
      <c r="Z2139">
        <v>72915</v>
      </c>
      <c r="AA2139">
        <v>4554125.17</v>
      </c>
      <c r="AB2139">
        <v>321</v>
      </c>
      <c r="AC2139" t="s">
        <v>42</v>
      </c>
      <c r="AD2139">
        <v>1</v>
      </c>
    </row>
    <row r="2140" spans="1:30">
      <c r="A2140" t="str">
        <f>CONCATENATE(I2140,J2140)</f>
        <v>MON50EQUALEQ</v>
      </c>
      <c r="B2140" s="34">
        <v>46273</v>
      </c>
      <c r="C2140" s="34">
        <v>46273</v>
      </c>
      <c r="D2140" t="s">
        <v>35</v>
      </c>
      <c r="E2140" t="s">
        <v>36</v>
      </c>
      <c r="F2140" t="s">
        <v>37</v>
      </c>
      <c r="G2140">
        <v>756900</v>
      </c>
      <c r="H2140" t="s">
        <v>6478</v>
      </c>
      <c r="I2140" t="s">
        <v>6479</v>
      </c>
      <c r="J2140" t="s">
        <v>161</v>
      </c>
      <c r="O2140" t="s">
        <v>6480</v>
      </c>
      <c r="P2140">
        <v>32.85</v>
      </c>
      <c r="Q2140">
        <v>32.9</v>
      </c>
      <c r="R2140">
        <v>32.700000000000003</v>
      </c>
      <c r="S2140">
        <v>32.840000000000003</v>
      </c>
      <c r="T2140">
        <v>32.9</v>
      </c>
      <c r="U2140">
        <v>33.08</v>
      </c>
      <c r="W2140">
        <v>32.840000000000003</v>
      </c>
      <c r="Z2140">
        <v>2791</v>
      </c>
      <c r="AA2140">
        <v>91654.15</v>
      </c>
      <c r="AB2140">
        <v>64</v>
      </c>
      <c r="AC2140" t="s">
        <v>42</v>
      </c>
      <c r="AD2140">
        <v>1</v>
      </c>
    </row>
    <row r="2141" spans="1:30">
      <c r="A2141" t="str">
        <f>CONCATENATE(I2141,J2141)</f>
        <v>MONEXT50EQ</v>
      </c>
      <c r="B2141" s="34">
        <v>46273</v>
      </c>
      <c r="C2141" s="34">
        <v>46273</v>
      </c>
      <c r="D2141" t="s">
        <v>35</v>
      </c>
      <c r="E2141" t="s">
        <v>36</v>
      </c>
      <c r="F2141" t="s">
        <v>37</v>
      </c>
      <c r="G2141">
        <v>757167</v>
      </c>
      <c r="H2141" t="s">
        <v>6481</v>
      </c>
      <c r="I2141" t="s">
        <v>6482</v>
      </c>
      <c r="J2141" t="s">
        <v>161</v>
      </c>
      <c r="O2141" t="s">
        <v>6483</v>
      </c>
      <c r="P2141">
        <v>72.69</v>
      </c>
      <c r="Q2141">
        <v>72.88</v>
      </c>
      <c r="R2141">
        <v>72.39</v>
      </c>
      <c r="S2141">
        <v>72.83</v>
      </c>
      <c r="T2141">
        <v>72.88</v>
      </c>
      <c r="U2141">
        <v>72.41</v>
      </c>
      <c r="W2141">
        <v>72.83</v>
      </c>
      <c r="Z2141">
        <v>3270</v>
      </c>
      <c r="AA2141">
        <v>237090.77</v>
      </c>
      <c r="AB2141">
        <v>54</v>
      </c>
      <c r="AC2141" t="s">
        <v>42</v>
      </c>
      <c r="AD2141">
        <v>1</v>
      </c>
    </row>
    <row r="2142" spans="1:30">
      <c r="A2142" t="str">
        <f>CONCATENATE(I2142,J2142)</f>
        <v>MONIFTY100EQ</v>
      </c>
      <c r="B2142" s="34">
        <v>46273</v>
      </c>
      <c r="C2142" s="34">
        <v>46273</v>
      </c>
      <c r="D2142" t="s">
        <v>35</v>
      </c>
      <c r="E2142" t="s">
        <v>36</v>
      </c>
      <c r="F2142" t="s">
        <v>37</v>
      </c>
      <c r="G2142">
        <v>759371</v>
      </c>
      <c r="H2142" t="s">
        <v>6484</v>
      </c>
      <c r="I2142" t="s">
        <v>6485</v>
      </c>
      <c r="J2142" t="s">
        <v>161</v>
      </c>
      <c r="O2142" t="s">
        <v>6486</v>
      </c>
      <c r="P2142">
        <v>25.04</v>
      </c>
      <c r="Q2142">
        <v>25.06</v>
      </c>
      <c r="R2142">
        <v>24.9</v>
      </c>
      <c r="S2142">
        <v>24.94</v>
      </c>
      <c r="T2142">
        <v>25</v>
      </c>
      <c r="U2142">
        <v>25.15</v>
      </c>
      <c r="W2142">
        <v>24.94</v>
      </c>
      <c r="Z2142">
        <v>9124</v>
      </c>
      <c r="AA2142">
        <v>228098.55</v>
      </c>
      <c r="AB2142">
        <v>90</v>
      </c>
      <c r="AC2142" t="s">
        <v>42</v>
      </c>
      <c r="AD2142">
        <v>1</v>
      </c>
    </row>
    <row r="2143" spans="1:30">
      <c r="A2143" t="str">
        <f>CONCATENATE(I2143,J2143)</f>
        <v>MONIFTY500EQ</v>
      </c>
      <c r="B2143" s="34">
        <v>46273</v>
      </c>
      <c r="C2143" s="34">
        <v>46273</v>
      </c>
      <c r="D2143" t="s">
        <v>35</v>
      </c>
      <c r="E2143" t="s">
        <v>36</v>
      </c>
      <c r="F2143" t="s">
        <v>37</v>
      </c>
      <c r="G2143">
        <v>19237</v>
      </c>
      <c r="H2143" t="s">
        <v>6487</v>
      </c>
      <c r="I2143" t="s">
        <v>6488</v>
      </c>
      <c r="J2143" t="s">
        <v>161</v>
      </c>
      <c r="O2143" t="s">
        <v>6489</v>
      </c>
      <c r="P2143">
        <v>23.83</v>
      </c>
      <c r="Q2143">
        <v>23.83</v>
      </c>
      <c r="R2143">
        <v>23.65</v>
      </c>
      <c r="S2143">
        <v>23.72</v>
      </c>
      <c r="T2143">
        <v>23.69</v>
      </c>
      <c r="U2143">
        <v>23.78</v>
      </c>
      <c r="W2143">
        <v>23.72</v>
      </c>
      <c r="Z2143">
        <v>1370066</v>
      </c>
      <c r="AA2143">
        <v>32489417.02</v>
      </c>
      <c r="AB2143">
        <v>1770</v>
      </c>
      <c r="AC2143" t="s">
        <v>42</v>
      </c>
      <c r="AD2143">
        <v>1</v>
      </c>
    </row>
    <row r="2144" spans="1:30">
      <c r="A2144" t="str">
        <f>CONCATENATE(I2144,J2144)</f>
        <v>MONQ50EQ</v>
      </c>
      <c r="B2144" s="34">
        <v>46273</v>
      </c>
      <c r="C2144" s="34">
        <v>46273</v>
      </c>
      <c r="D2144" t="s">
        <v>35</v>
      </c>
      <c r="E2144" t="s">
        <v>36</v>
      </c>
      <c r="F2144" t="s">
        <v>37</v>
      </c>
      <c r="G2144">
        <v>7422</v>
      </c>
      <c r="H2144" t="s">
        <v>6490</v>
      </c>
      <c r="I2144" t="s">
        <v>6491</v>
      </c>
      <c r="J2144" t="s">
        <v>161</v>
      </c>
      <c r="O2144" t="s">
        <v>6492</v>
      </c>
      <c r="P2144">
        <v>168.19</v>
      </c>
      <c r="Q2144">
        <v>196.9</v>
      </c>
      <c r="R2144">
        <v>164</v>
      </c>
      <c r="S2144">
        <v>195.77</v>
      </c>
      <c r="T2144">
        <v>196</v>
      </c>
      <c r="U2144">
        <v>164.09</v>
      </c>
      <c r="W2144">
        <v>195.76</v>
      </c>
      <c r="Z2144">
        <v>1072859</v>
      </c>
      <c r="AA2144">
        <v>202990496.27000001</v>
      </c>
      <c r="AB2144">
        <v>14480</v>
      </c>
      <c r="AC2144" t="s">
        <v>42</v>
      </c>
      <c r="AD2144">
        <v>1</v>
      </c>
    </row>
    <row r="2145" spans="1:30">
      <c r="A2145" t="str">
        <f>CONCATENATE(I2145,J2145)</f>
        <v>MOOILGASEQ</v>
      </c>
      <c r="B2145" s="34">
        <v>46273</v>
      </c>
      <c r="C2145" s="34">
        <v>46273</v>
      </c>
      <c r="D2145" t="s">
        <v>35</v>
      </c>
      <c r="E2145" t="s">
        <v>36</v>
      </c>
      <c r="F2145" t="s">
        <v>37</v>
      </c>
      <c r="G2145">
        <v>764405</v>
      </c>
      <c r="H2145" t="s">
        <v>6493</v>
      </c>
      <c r="I2145" t="s">
        <v>6494</v>
      </c>
      <c r="J2145" t="s">
        <v>161</v>
      </c>
      <c r="O2145" t="s">
        <v>6495</v>
      </c>
      <c r="P2145">
        <v>11.11</v>
      </c>
      <c r="Q2145">
        <v>11.13</v>
      </c>
      <c r="R2145">
        <v>11.02</v>
      </c>
      <c r="S2145">
        <v>11.05</v>
      </c>
      <c r="T2145">
        <v>11.03</v>
      </c>
      <c r="U2145">
        <v>11.12</v>
      </c>
      <c r="W2145">
        <v>11.05</v>
      </c>
      <c r="Z2145">
        <v>5658</v>
      </c>
      <c r="AA2145">
        <v>62546.73</v>
      </c>
      <c r="AB2145">
        <v>44</v>
      </c>
      <c r="AC2145" t="s">
        <v>42</v>
      </c>
      <c r="AD2145">
        <v>1</v>
      </c>
    </row>
    <row r="2146" spans="1:30">
      <c r="A2146" t="str">
        <f>CONCATENATE(I2146,J2146)</f>
        <v>MOPSEEQ</v>
      </c>
      <c r="B2146" s="34">
        <v>46273</v>
      </c>
      <c r="C2146" s="34">
        <v>46273</v>
      </c>
      <c r="D2146" t="s">
        <v>35</v>
      </c>
      <c r="E2146" t="s">
        <v>36</v>
      </c>
      <c r="F2146" t="s">
        <v>37</v>
      </c>
      <c r="G2146">
        <v>757431</v>
      </c>
      <c r="H2146" t="s">
        <v>6496</v>
      </c>
      <c r="I2146" t="s">
        <v>6497</v>
      </c>
      <c r="J2146" t="s">
        <v>161</v>
      </c>
      <c r="O2146" t="s">
        <v>6498</v>
      </c>
      <c r="P2146">
        <v>99</v>
      </c>
      <c r="Q2146">
        <v>99.46</v>
      </c>
      <c r="R2146">
        <v>98.92</v>
      </c>
      <c r="S2146">
        <v>99.46</v>
      </c>
      <c r="T2146">
        <v>99.46</v>
      </c>
      <c r="U2146">
        <v>99.05</v>
      </c>
      <c r="W2146">
        <v>99.46</v>
      </c>
      <c r="Z2146">
        <v>158</v>
      </c>
      <c r="AA2146">
        <v>15673.75</v>
      </c>
      <c r="AB2146">
        <v>7</v>
      </c>
      <c r="AC2146" t="s">
        <v>42</v>
      </c>
      <c r="AD2146">
        <v>1</v>
      </c>
    </row>
    <row r="2147" spans="1:30">
      <c r="A2147" t="str">
        <f>CONCATENATE(I2147,J2147)</f>
        <v>MOQUALITYEQ</v>
      </c>
      <c r="B2147" s="34">
        <v>46273</v>
      </c>
      <c r="C2147" s="34">
        <v>46273</v>
      </c>
      <c r="D2147" t="s">
        <v>35</v>
      </c>
      <c r="E2147" t="s">
        <v>36</v>
      </c>
      <c r="F2147" t="s">
        <v>37</v>
      </c>
      <c r="G2147">
        <v>10822</v>
      </c>
      <c r="H2147" t="s">
        <v>6499</v>
      </c>
      <c r="I2147" t="s">
        <v>6500</v>
      </c>
      <c r="J2147" t="s">
        <v>161</v>
      </c>
      <c r="O2147" t="s">
        <v>6501</v>
      </c>
      <c r="P2147">
        <v>198.72</v>
      </c>
      <c r="Q2147">
        <v>199.75</v>
      </c>
      <c r="R2147">
        <v>197.98</v>
      </c>
      <c r="S2147">
        <v>199.27</v>
      </c>
      <c r="T2147">
        <v>199.27</v>
      </c>
      <c r="U2147">
        <v>197.14</v>
      </c>
      <c r="W2147">
        <v>199.27</v>
      </c>
      <c r="Z2147">
        <v>227</v>
      </c>
      <c r="AA2147">
        <v>45171.69</v>
      </c>
      <c r="AB2147">
        <v>17</v>
      </c>
      <c r="AC2147" t="s">
        <v>42</v>
      </c>
      <c r="AD2147">
        <v>1</v>
      </c>
    </row>
    <row r="2148" spans="1:30">
      <c r="A2148" t="str">
        <f>CONCATENATE(I2148,J2148)</f>
        <v>MOREALTYEQ</v>
      </c>
      <c r="B2148" s="34">
        <v>46273</v>
      </c>
      <c r="C2148" s="34">
        <v>46273</v>
      </c>
      <c r="D2148" t="s">
        <v>35</v>
      </c>
      <c r="E2148" t="s">
        <v>36</v>
      </c>
      <c r="F2148" t="s">
        <v>37</v>
      </c>
      <c r="G2148">
        <v>23184</v>
      </c>
      <c r="H2148" t="s">
        <v>6502</v>
      </c>
      <c r="I2148" t="s">
        <v>6503</v>
      </c>
      <c r="J2148" t="s">
        <v>161</v>
      </c>
      <c r="O2148" t="s">
        <v>6504</v>
      </c>
      <c r="P2148">
        <v>96</v>
      </c>
      <c r="Q2148">
        <v>96</v>
      </c>
      <c r="R2148">
        <v>88.63</v>
      </c>
      <c r="S2148">
        <v>89.78</v>
      </c>
      <c r="T2148">
        <v>89.84</v>
      </c>
      <c r="U2148">
        <v>89.89</v>
      </c>
      <c r="W2148">
        <v>89.78</v>
      </c>
      <c r="Z2148">
        <v>721102</v>
      </c>
      <c r="AA2148">
        <v>64469766.710000001</v>
      </c>
      <c r="AB2148">
        <v>2037</v>
      </c>
      <c r="AC2148" t="s">
        <v>42</v>
      </c>
      <c r="AD2148">
        <v>1</v>
      </c>
    </row>
    <row r="2149" spans="1:30">
      <c r="A2149" t="str">
        <f>CONCATENATE(I2149,J2149)</f>
        <v>MOSERVICEEQ</v>
      </c>
      <c r="B2149" s="34">
        <v>46273</v>
      </c>
      <c r="C2149" s="34">
        <v>46273</v>
      </c>
      <c r="D2149" t="s">
        <v>35</v>
      </c>
      <c r="E2149" t="s">
        <v>36</v>
      </c>
      <c r="F2149" t="s">
        <v>37</v>
      </c>
      <c r="G2149">
        <v>760001</v>
      </c>
      <c r="H2149" t="s">
        <v>6505</v>
      </c>
      <c r="I2149" t="s">
        <v>6506</v>
      </c>
      <c r="J2149" t="s">
        <v>161</v>
      </c>
      <c r="O2149" t="s">
        <v>6507</v>
      </c>
      <c r="P2149">
        <v>30.96</v>
      </c>
      <c r="Q2149">
        <v>30.96</v>
      </c>
      <c r="R2149">
        <v>30.4</v>
      </c>
      <c r="S2149">
        <v>30.45</v>
      </c>
      <c r="T2149">
        <v>30.45</v>
      </c>
      <c r="U2149">
        <v>30.65</v>
      </c>
      <c r="W2149">
        <v>30.45</v>
      </c>
      <c r="Z2149">
        <v>4837</v>
      </c>
      <c r="AA2149">
        <v>147391.98000000001</v>
      </c>
      <c r="AB2149">
        <v>76</v>
      </c>
      <c r="AC2149" t="s">
        <v>42</v>
      </c>
      <c r="AD2149">
        <v>1</v>
      </c>
    </row>
    <row r="2150" spans="1:30">
      <c r="A2150" t="str">
        <f>CONCATENATE(I2150,J2150)</f>
        <v>MOSILVEREQ</v>
      </c>
      <c r="B2150" s="34">
        <v>46273</v>
      </c>
      <c r="C2150" s="34">
        <v>46273</v>
      </c>
      <c r="D2150" t="s">
        <v>35</v>
      </c>
      <c r="E2150" t="s">
        <v>36</v>
      </c>
      <c r="F2150" t="s">
        <v>37</v>
      </c>
      <c r="G2150">
        <v>758457</v>
      </c>
      <c r="H2150" t="s">
        <v>6508</v>
      </c>
      <c r="I2150" t="s">
        <v>6509</v>
      </c>
      <c r="J2150" t="s">
        <v>161</v>
      </c>
      <c r="O2150" t="s">
        <v>6510</v>
      </c>
      <c r="P2150">
        <v>229</v>
      </c>
      <c r="Q2150">
        <v>231.19</v>
      </c>
      <c r="R2150">
        <v>227.43</v>
      </c>
      <c r="S2150">
        <v>229.24</v>
      </c>
      <c r="T2150">
        <v>229.55</v>
      </c>
      <c r="U2150">
        <v>227.8</v>
      </c>
      <c r="W2150">
        <v>229.42</v>
      </c>
      <c r="Z2150">
        <v>21905</v>
      </c>
      <c r="AA2150">
        <v>5025224.63</v>
      </c>
      <c r="AB2150">
        <v>632</v>
      </c>
      <c r="AC2150" t="s">
        <v>42</v>
      </c>
      <c r="AD2150">
        <v>1</v>
      </c>
    </row>
    <row r="2151" spans="1:30">
      <c r="A2151" t="str">
        <f>CONCATENATE(I2151,J2151)</f>
        <v>MOSMALL250EQ</v>
      </c>
      <c r="B2151" s="34">
        <v>46273</v>
      </c>
      <c r="C2151" s="34">
        <v>46273</v>
      </c>
      <c r="D2151" t="s">
        <v>35</v>
      </c>
      <c r="E2151" t="s">
        <v>36</v>
      </c>
      <c r="F2151" t="s">
        <v>37</v>
      </c>
      <c r="G2151">
        <v>23181</v>
      </c>
      <c r="H2151" t="s">
        <v>6511</v>
      </c>
      <c r="I2151" t="s">
        <v>6512</v>
      </c>
      <c r="J2151" t="s">
        <v>161</v>
      </c>
      <c r="O2151" t="s">
        <v>6513</v>
      </c>
      <c r="P2151">
        <v>18.079999999999998</v>
      </c>
      <c r="Q2151">
        <v>18.670000000000002</v>
      </c>
      <c r="R2151">
        <v>18.079999999999998</v>
      </c>
      <c r="S2151">
        <v>18.579999999999998</v>
      </c>
      <c r="T2151">
        <v>18.59</v>
      </c>
      <c r="U2151">
        <v>18.55</v>
      </c>
      <c r="W2151">
        <v>18.579999999999998</v>
      </c>
      <c r="Z2151">
        <v>921584</v>
      </c>
      <c r="AA2151">
        <v>17123421.739999998</v>
      </c>
      <c r="AB2151">
        <v>1778</v>
      </c>
      <c r="AC2151" t="s">
        <v>42</v>
      </c>
      <c r="AD2151">
        <v>1</v>
      </c>
    </row>
    <row r="2152" spans="1:30">
      <c r="A2152" t="str">
        <f>CONCATENATE(I2152,J2152)</f>
        <v>MOTOUREQ</v>
      </c>
      <c r="B2152" s="34">
        <v>46273</v>
      </c>
      <c r="C2152" s="34">
        <v>46273</v>
      </c>
      <c r="D2152" t="s">
        <v>35</v>
      </c>
      <c r="E2152" t="s">
        <v>36</v>
      </c>
      <c r="F2152" t="s">
        <v>37</v>
      </c>
      <c r="G2152">
        <v>757443</v>
      </c>
      <c r="H2152" t="s">
        <v>6514</v>
      </c>
      <c r="I2152" t="s">
        <v>6515</v>
      </c>
      <c r="J2152" t="s">
        <v>161</v>
      </c>
      <c r="O2152" t="s">
        <v>6516</v>
      </c>
      <c r="P2152">
        <v>77.010000000000005</v>
      </c>
      <c r="Q2152">
        <v>77.5</v>
      </c>
      <c r="R2152">
        <v>76.86</v>
      </c>
      <c r="S2152">
        <v>77.489999999999995</v>
      </c>
      <c r="T2152">
        <v>77.3</v>
      </c>
      <c r="U2152">
        <v>77.37</v>
      </c>
      <c r="W2152">
        <v>77.489999999999995</v>
      </c>
      <c r="Z2152">
        <v>7406</v>
      </c>
      <c r="AA2152">
        <v>571887.64</v>
      </c>
      <c r="AB2152">
        <v>135</v>
      </c>
      <c r="AC2152" t="s">
        <v>42</v>
      </c>
      <c r="AD2152">
        <v>1</v>
      </c>
    </row>
    <row r="2153" spans="1:30">
      <c r="A2153" t="str">
        <f>CONCATENATE(I2153,J2153)</f>
        <v>MOVALUEEQ</v>
      </c>
      <c r="B2153" s="34">
        <v>46273</v>
      </c>
      <c r="C2153" s="34">
        <v>46273</v>
      </c>
      <c r="D2153" t="s">
        <v>35</v>
      </c>
      <c r="E2153" t="s">
        <v>36</v>
      </c>
      <c r="F2153" t="s">
        <v>37</v>
      </c>
      <c r="G2153">
        <v>10825</v>
      </c>
      <c r="H2153" t="s">
        <v>6517</v>
      </c>
      <c r="I2153" t="s">
        <v>6518</v>
      </c>
      <c r="J2153" t="s">
        <v>161</v>
      </c>
      <c r="O2153" t="s">
        <v>6519</v>
      </c>
      <c r="P2153">
        <v>112.5</v>
      </c>
      <c r="Q2153">
        <v>112.61</v>
      </c>
      <c r="R2153">
        <v>111.5</v>
      </c>
      <c r="S2153">
        <v>111.69</v>
      </c>
      <c r="T2153">
        <v>111.9</v>
      </c>
      <c r="U2153">
        <v>112.05</v>
      </c>
      <c r="W2153">
        <v>111.73</v>
      </c>
      <c r="Z2153">
        <v>38358</v>
      </c>
      <c r="AA2153">
        <v>4287024.57</v>
      </c>
      <c r="AB2153">
        <v>699</v>
      </c>
      <c r="AC2153" t="s">
        <v>42</v>
      </c>
      <c r="AD2153">
        <v>1</v>
      </c>
    </row>
    <row r="2154" spans="1:30">
      <c r="A2154" t="str">
        <f>CONCATENATE(I2154,J2154)</f>
        <v>MOTISONSEQ</v>
      </c>
      <c r="B2154" s="34">
        <v>46273</v>
      </c>
      <c r="C2154" s="34">
        <v>46273</v>
      </c>
      <c r="D2154" t="s">
        <v>35</v>
      </c>
      <c r="E2154" t="s">
        <v>36</v>
      </c>
      <c r="F2154" t="s">
        <v>37</v>
      </c>
      <c r="G2154">
        <v>20788</v>
      </c>
      <c r="H2154" t="s">
        <v>6520</v>
      </c>
      <c r="I2154" t="s">
        <v>6521</v>
      </c>
      <c r="J2154" t="s">
        <v>161</v>
      </c>
      <c r="O2154" t="s">
        <v>6522</v>
      </c>
      <c r="P2154">
        <v>16.8</v>
      </c>
      <c r="Q2154">
        <v>16.86</v>
      </c>
      <c r="R2154">
        <v>15.83</v>
      </c>
      <c r="S2154">
        <v>16.13</v>
      </c>
      <c r="T2154">
        <v>16.23</v>
      </c>
      <c r="U2154">
        <v>16.77</v>
      </c>
      <c r="W2154">
        <v>16.13</v>
      </c>
      <c r="Z2154">
        <v>23666142</v>
      </c>
      <c r="AA2154">
        <v>384726949.44</v>
      </c>
      <c r="AB2154">
        <v>23243</v>
      </c>
      <c r="AC2154" t="s">
        <v>42</v>
      </c>
      <c r="AD2154">
        <v>1</v>
      </c>
    </row>
    <row r="2155" spans="1:30">
      <c r="A2155" t="str">
        <f>CONCATENATE(I2155,J2155)</f>
        <v>MOTOGENFINEQ</v>
      </c>
      <c r="B2155" s="34">
        <v>46273</v>
      </c>
      <c r="C2155" s="34">
        <v>46273</v>
      </c>
      <c r="D2155" t="s">
        <v>35</v>
      </c>
      <c r="E2155" t="s">
        <v>36</v>
      </c>
      <c r="F2155" t="s">
        <v>37</v>
      </c>
      <c r="G2155">
        <v>2268</v>
      </c>
      <c r="H2155" t="s">
        <v>6523</v>
      </c>
      <c r="I2155" t="s">
        <v>6524</v>
      </c>
      <c r="J2155" t="s">
        <v>161</v>
      </c>
      <c r="O2155" t="s">
        <v>6525</v>
      </c>
      <c r="P2155">
        <v>32.229999999999997</v>
      </c>
      <c r="Q2155">
        <v>32.25</v>
      </c>
      <c r="R2155">
        <v>25.3</v>
      </c>
      <c r="S2155">
        <v>27.45</v>
      </c>
      <c r="T2155">
        <v>27.29</v>
      </c>
      <c r="U2155">
        <v>31.37</v>
      </c>
      <c r="W2155">
        <v>27.44</v>
      </c>
      <c r="Z2155">
        <v>337537</v>
      </c>
      <c r="AA2155">
        <v>9304785.1199999992</v>
      </c>
      <c r="AB2155">
        <v>1729</v>
      </c>
      <c r="AC2155" t="s">
        <v>42</v>
      </c>
      <c r="AD2155">
        <v>1</v>
      </c>
    </row>
    <row r="2156" spans="1:30">
      <c r="A2156" t="str">
        <f>CONCATENATE(I2156,J2156)</f>
        <v>MMELSM</v>
      </c>
      <c r="B2156" s="34">
        <v>46273</v>
      </c>
      <c r="C2156" s="34">
        <v>46273</v>
      </c>
      <c r="D2156" t="s">
        <v>35</v>
      </c>
      <c r="E2156" t="s">
        <v>36</v>
      </c>
      <c r="F2156" t="s">
        <v>37</v>
      </c>
      <c r="G2156">
        <v>757810</v>
      </c>
      <c r="H2156" t="s">
        <v>6526</v>
      </c>
      <c r="I2156" t="s">
        <v>6527</v>
      </c>
      <c r="J2156" t="s">
        <v>267</v>
      </c>
      <c r="O2156" t="s">
        <v>6528</v>
      </c>
      <c r="P2156">
        <v>26</v>
      </c>
      <c r="Q2156">
        <v>26.3</v>
      </c>
      <c r="R2156">
        <v>26</v>
      </c>
      <c r="S2156">
        <v>26.3</v>
      </c>
      <c r="T2156">
        <v>26.3</v>
      </c>
      <c r="U2156">
        <v>25.25</v>
      </c>
      <c r="W2156">
        <v>26.3</v>
      </c>
      <c r="Z2156">
        <v>10000</v>
      </c>
      <c r="AA2156">
        <v>260600</v>
      </c>
      <c r="AB2156">
        <v>4</v>
      </c>
      <c r="AC2156" t="s">
        <v>42</v>
      </c>
      <c r="AD2156">
        <v>2000</v>
      </c>
    </row>
    <row r="2157" spans="1:30">
      <c r="A2157" t="str">
        <f>CONCATENATE(I2157,J2157)</f>
        <v>MOXSHSM</v>
      </c>
      <c r="B2157" s="34">
        <v>46273</v>
      </c>
      <c r="C2157" s="34">
        <v>46273</v>
      </c>
      <c r="D2157" t="s">
        <v>35</v>
      </c>
      <c r="E2157" t="s">
        <v>36</v>
      </c>
      <c r="F2157" t="s">
        <v>37</v>
      </c>
      <c r="G2157">
        <v>13502</v>
      </c>
      <c r="H2157" t="s">
        <v>6529</v>
      </c>
      <c r="I2157" t="s">
        <v>6530</v>
      </c>
      <c r="J2157" t="s">
        <v>267</v>
      </c>
      <c r="O2157" t="s">
        <v>6531</v>
      </c>
      <c r="P2157">
        <v>90.5</v>
      </c>
      <c r="Q2157">
        <v>90.5</v>
      </c>
      <c r="R2157">
        <v>90.5</v>
      </c>
      <c r="S2157">
        <v>90.5</v>
      </c>
      <c r="T2157">
        <v>90.5</v>
      </c>
      <c r="U2157">
        <v>94.5</v>
      </c>
      <c r="W2157">
        <v>90.5</v>
      </c>
      <c r="Z2157">
        <v>1600</v>
      </c>
      <c r="AA2157">
        <v>144800</v>
      </c>
      <c r="AB2157">
        <v>1</v>
      </c>
      <c r="AC2157" t="s">
        <v>42</v>
      </c>
      <c r="AD2157">
        <v>1600</v>
      </c>
    </row>
    <row r="2158" spans="1:30">
      <c r="A2158" t="str">
        <f>CONCATENATE(I2158,J2158)</f>
        <v>MPDLBE</v>
      </c>
      <c r="B2158" s="34">
        <v>46273</v>
      </c>
      <c r="C2158" s="34">
        <v>46273</v>
      </c>
      <c r="D2158" t="s">
        <v>35</v>
      </c>
      <c r="E2158" t="s">
        <v>36</v>
      </c>
      <c r="F2158" t="s">
        <v>37</v>
      </c>
      <c r="G2158">
        <v>765138</v>
      </c>
      <c r="H2158" t="s">
        <v>6532</v>
      </c>
      <c r="I2158" t="s">
        <v>6533</v>
      </c>
      <c r="J2158" t="s">
        <v>183</v>
      </c>
      <c r="O2158" t="s">
        <v>6534</v>
      </c>
      <c r="P2158">
        <v>32.11</v>
      </c>
      <c r="Q2158">
        <v>33.39</v>
      </c>
      <c r="R2158">
        <v>32.11</v>
      </c>
      <c r="S2158">
        <v>32.200000000000003</v>
      </c>
      <c r="T2158">
        <v>32.200000000000003</v>
      </c>
      <c r="U2158">
        <v>33.69</v>
      </c>
      <c r="W2158">
        <v>32.200000000000003</v>
      </c>
      <c r="Z2158">
        <v>400</v>
      </c>
      <c r="AA2158">
        <v>12995</v>
      </c>
      <c r="AB2158">
        <v>7</v>
      </c>
      <c r="AC2158" t="s">
        <v>42</v>
      </c>
      <c r="AD2158">
        <v>1</v>
      </c>
    </row>
    <row r="2159" spans="1:30">
      <c r="A2159" t="str">
        <f>CONCATENATE(I2159,J2159)</f>
        <v>MPHASISEQ</v>
      </c>
      <c r="B2159" s="34">
        <v>46273</v>
      </c>
      <c r="C2159" s="34">
        <v>46273</v>
      </c>
      <c r="D2159" t="s">
        <v>35</v>
      </c>
      <c r="E2159" t="s">
        <v>36</v>
      </c>
      <c r="F2159" t="s">
        <v>37</v>
      </c>
      <c r="G2159">
        <v>4503</v>
      </c>
      <c r="H2159" t="s">
        <v>6535</v>
      </c>
      <c r="I2159" t="s">
        <v>6536</v>
      </c>
      <c r="J2159" t="s">
        <v>161</v>
      </c>
      <c r="O2159" t="s">
        <v>6537</v>
      </c>
      <c r="P2159">
        <v>2374</v>
      </c>
      <c r="Q2159">
        <v>2374</v>
      </c>
      <c r="R2159">
        <v>2335.1</v>
      </c>
      <c r="S2159">
        <v>2355</v>
      </c>
      <c r="T2159">
        <v>2355</v>
      </c>
      <c r="U2159">
        <v>2369.1</v>
      </c>
      <c r="W2159">
        <v>2354.91</v>
      </c>
      <c r="Z2159">
        <v>346120</v>
      </c>
      <c r="AA2159">
        <v>814509270.39999998</v>
      </c>
      <c r="AB2159">
        <v>18558</v>
      </c>
      <c r="AC2159" t="s">
        <v>42</v>
      </c>
      <c r="AD2159">
        <v>1</v>
      </c>
    </row>
    <row r="2160" spans="1:30">
      <c r="A2160" t="str">
        <f>CONCATENATE(I2160,J2160)</f>
        <v>MPSLTDEQ</v>
      </c>
      <c r="B2160" s="34">
        <v>46273</v>
      </c>
      <c r="C2160" s="34">
        <v>46273</v>
      </c>
      <c r="D2160" t="s">
        <v>35</v>
      </c>
      <c r="E2160" t="s">
        <v>36</v>
      </c>
      <c r="F2160" t="s">
        <v>37</v>
      </c>
      <c r="G2160">
        <v>10578</v>
      </c>
      <c r="H2160" t="s">
        <v>6538</v>
      </c>
      <c r="I2160" t="s">
        <v>6539</v>
      </c>
      <c r="J2160" t="s">
        <v>161</v>
      </c>
      <c r="O2160" t="s">
        <v>6540</v>
      </c>
      <c r="P2160">
        <v>2625</v>
      </c>
      <c r="Q2160">
        <v>2759.6</v>
      </c>
      <c r="R2160">
        <v>2606</v>
      </c>
      <c r="S2160">
        <v>2749.1</v>
      </c>
      <c r="T2160">
        <v>2750.2</v>
      </c>
      <c r="U2160">
        <v>2635.7</v>
      </c>
      <c r="W2160">
        <v>2749.11</v>
      </c>
      <c r="Z2160">
        <v>16092</v>
      </c>
      <c r="AA2160">
        <v>43711114.799999997</v>
      </c>
      <c r="AB2160">
        <v>2988</v>
      </c>
      <c r="AC2160" t="s">
        <v>42</v>
      </c>
      <c r="AD2160">
        <v>1</v>
      </c>
    </row>
    <row r="2161" spans="1:30">
      <c r="A2161" t="str">
        <f>CONCATENATE(I2161,J2161)</f>
        <v>MRFEQ</v>
      </c>
      <c r="B2161" s="34">
        <v>46273</v>
      </c>
      <c r="C2161" s="34">
        <v>46273</v>
      </c>
      <c r="D2161" t="s">
        <v>35</v>
      </c>
      <c r="E2161" t="s">
        <v>36</v>
      </c>
      <c r="F2161" t="s">
        <v>37</v>
      </c>
      <c r="G2161">
        <v>2277</v>
      </c>
      <c r="H2161" t="s">
        <v>6541</v>
      </c>
      <c r="I2161" t="s">
        <v>6542</v>
      </c>
      <c r="J2161" t="s">
        <v>161</v>
      </c>
      <c r="O2161" t="s">
        <v>6543</v>
      </c>
      <c r="P2161">
        <v>128750</v>
      </c>
      <c r="Q2161">
        <v>129290</v>
      </c>
      <c r="R2161">
        <v>128000</v>
      </c>
      <c r="S2161">
        <v>128245</v>
      </c>
      <c r="T2161">
        <v>128400</v>
      </c>
      <c r="U2161">
        <v>128890</v>
      </c>
      <c r="W2161">
        <v>128248.25</v>
      </c>
      <c r="Z2161">
        <v>2712</v>
      </c>
      <c r="AA2161">
        <v>348489020</v>
      </c>
      <c r="AB2161">
        <v>2177</v>
      </c>
      <c r="AC2161" t="s">
        <v>42</v>
      </c>
      <c r="AD2161">
        <v>1</v>
      </c>
    </row>
    <row r="2162" spans="1:30">
      <c r="A2162" t="str">
        <f>CONCATENATE(I2162,J2162)</f>
        <v>MRPLEQ</v>
      </c>
      <c r="B2162" s="34">
        <v>46273</v>
      </c>
      <c r="C2162" s="34">
        <v>46273</v>
      </c>
      <c r="D2162" t="s">
        <v>35</v>
      </c>
      <c r="E2162" t="s">
        <v>36</v>
      </c>
      <c r="F2162" t="s">
        <v>37</v>
      </c>
      <c r="G2162">
        <v>2283</v>
      </c>
      <c r="H2162" t="s">
        <v>6544</v>
      </c>
      <c r="I2162" t="s">
        <v>6545</v>
      </c>
      <c r="J2162" t="s">
        <v>161</v>
      </c>
      <c r="O2162" t="s">
        <v>6545</v>
      </c>
      <c r="P2162">
        <v>174.43</v>
      </c>
      <c r="Q2162">
        <v>176.26</v>
      </c>
      <c r="R2162">
        <v>170.75</v>
      </c>
      <c r="S2162">
        <v>172.96</v>
      </c>
      <c r="T2162">
        <v>173.8</v>
      </c>
      <c r="U2162">
        <v>173.19</v>
      </c>
      <c r="W2162">
        <v>172.96</v>
      </c>
      <c r="Z2162">
        <v>5180617</v>
      </c>
      <c r="AA2162">
        <v>898493588.53999996</v>
      </c>
      <c r="AB2162">
        <v>28298</v>
      </c>
      <c r="AC2162" t="s">
        <v>42</v>
      </c>
      <c r="AD2162">
        <v>1</v>
      </c>
    </row>
    <row r="2163" spans="1:30">
      <c r="A2163" t="str">
        <f>CONCATENATE(I2163,J2163)</f>
        <v>BECTORFOODEQ</v>
      </c>
      <c r="B2163" s="34">
        <v>46273</v>
      </c>
      <c r="C2163" s="34">
        <v>46273</v>
      </c>
      <c r="D2163" t="s">
        <v>35</v>
      </c>
      <c r="E2163" t="s">
        <v>36</v>
      </c>
      <c r="F2163" t="s">
        <v>37</v>
      </c>
      <c r="G2163">
        <v>1628</v>
      </c>
      <c r="H2163" t="s">
        <v>6546</v>
      </c>
      <c r="I2163" t="s">
        <v>6547</v>
      </c>
      <c r="J2163" t="s">
        <v>161</v>
      </c>
      <c r="O2163" t="s">
        <v>6548</v>
      </c>
      <c r="P2163">
        <v>230.69</v>
      </c>
      <c r="Q2163">
        <v>232.65</v>
      </c>
      <c r="R2163">
        <v>227.93</v>
      </c>
      <c r="S2163">
        <v>230.35</v>
      </c>
      <c r="T2163">
        <v>230</v>
      </c>
      <c r="U2163">
        <v>230.65</v>
      </c>
      <c r="W2163">
        <v>230.35</v>
      </c>
      <c r="Z2163">
        <v>650239</v>
      </c>
      <c r="AA2163">
        <v>149875354.38</v>
      </c>
      <c r="AB2163">
        <v>17503</v>
      </c>
      <c r="AC2163" t="s">
        <v>42</v>
      </c>
      <c r="AD2163">
        <v>1</v>
      </c>
    </row>
    <row r="2164" spans="1:30">
      <c r="A2164" t="str">
        <f>CONCATENATE(I2164,J2164)</f>
        <v>MSPLEQ</v>
      </c>
      <c r="B2164" s="34">
        <v>46273</v>
      </c>
      <c r="C2164" s="34">
        <v>46273</v>
      </c>
      <c r="D2164" t="s">
        <v>35</v>
      </c>
      <c r="E2164" t="s">
        <v>36</v>
      </c>
      <c r="F2164" t="s">
        <v>37</v>
      </c>
      <c r="G2164">
        <v>11919</v>
      </c>
      <c r="H2164" t="s">
        <v>6549</v>
      </c>
      <c r="I2164" t="s">
        <v>6550</v>
      </c>
      <c r="J2164" t="s">
        <v>161</v>
      </c>
      <c r="O2164" t="s">
        <v>6551</v>
      </c>
      <c r="P2164">
        <v>34.78</v>
      </c>
      <c r="Q2164">
        <v>35.200000000000003</v>
      </c>
      <c r="R2164">
        <v>34.53</v>
      </c>
      <c r="S2164">
        <v>34.950000000000003</v>
      </c>
      <c r="T2164">
        <v>35.090000000000003</v>
      </c>
      <c r="U2164">
        <v>34.78</v>
      </c>
      <c r="W2164">
        <v>34.950000000000003</v>
      </c>
      <c r="Z2164">
        <v>279294</v>
      </c>
      <c r="AA2164">
        <v>9721159.9100000001</v>
      </c>
      <c r="AB2164">
        <v>1779</v>
      </c>
      <c r="AC2164" t="s">
        <v>42</v>
      </c>
      <c r="AD2164">
        <v>1</v>
      </c>
    </row>
    <row r="2165" spans="1:30">
      <c r="A2165" t="str">
        <f>CONCATENATE(I2165,J2165)</f>
        <v>MSTCLTDEQ</v>
      </c>
      <c r="B2165" s="34">
        <v>46273</v>
      </c>
      <c r="C2165" s="34">
        <v>46273</v>
      </c>
      <c r="D2165" t="s">
        <v>35</v>
      </c>
      <c r="E2165" t="s">
        <v>36</v>
      </c>
      <c r="F2165" t="s">
        <v>37</v>
      </c>
      <c r="G2165">
        <v>9356</v>
      </c>
      <c r="H2165" t="s">
        <v>6552</v>
      </c>
      <c r="I2165" t="s">
        <v>6553</v>
      </c>
      <c r="J2165" t="s">
        <v>161</v>
      </c>
      <c r="O2165" t="s">
        <v>6554</v>
      </c>
      <c r="P2165">
        <v>790.7</v>
      </c>
      <c r="Q2165">
        <v>805</v>
      </c>
      <c r="R2165">
        <v>754.35</v>
      </c>
      <c r="S2165">
        <v>778.55</v>
      </c>
      <c r="T2165">
        <v>771.5</v>
      </c>
      <c r="U2165">
        <v>785.65</v>
      </c>
      <c r="W2165">
        <v>778.59</v>
      </c>
      <c r="Z2165">
        <v>557776</v>
      </c>
      <c r="AA2165">
        <v>431963233.10000002</v>
      </c>
      <c r="AB2165">
        <v>20162</v>
      </c>
      <c r="AC2165" t="s">
        <v>42</v>
      </c>
      <c r="AD2165">
        <v>1</v>
      </c>
    </row>
    <row r="2166" spans="1:30">
      <c r="A2166" t="str">
        <f>CONCATENATE(I2166,J2166)</f>
        <v>MTEDUCAREBE</v>
      </c>
      <c r="B2166" s="34">
        <v>46273</v>
      </c>
      <c r="C2166" s="34">
        <v>46273</v>
      </c>
      <c r="D2166" t="s">
        <v>35</v>
      </c>
      <c r="E2166" t="s">
        <v>36</v>
      </c>
      <c r="F2166" t="s">
        <v>37</v>
      </c>
      <c r="G2166">
        <v>31413</v>
      </c>
      <c r="H2166" t="s">
        <v>6555</v>
      </c>
      <c r="I2166" t="s">
        <v>6556</v>
      </c>
      <c r="J2166" t="s">
        <v>183</v>
      </c>
      <c r="O2166" t="s">
        <v>6557</v>
      </c>
      <c r="P2166">
        <v>1.94</v>
      </c>
      <c r="Q2166">
        <v>1.94</v>
      </c>
      <c r="R2166">
        <v>1.78</v>
      </c>
      <c r="S2166">
        <v>1.87</v>
      </c>
      <c r="T2166">
        <v>1.88</v>
      </c>
      <c r="U2166">
        <v>1.85</v>
      </c>
      <c r="W2166">
        <v>1.87</v>
      </c>
      <c r="Z2166">
        <v>41845</v>
      </c>
      <c r="AA2166">
        <v>77224.13</v>
      </c>
      <c r="AB2166">
        <v>121</v>
      </c>
      <c r="AC2166" t="s">
        <v>42</v>
      </c>
      <c r="AD2166">
        <v>1</v>
      </c>
    </row>
    <row r="2167" spans="1:30">
      <c r="A2167" t="str">
        <f>CONCATENATE(I2167,J2167)</f>
        <v>MTARTECHBE</v>
      </c>
      <c r="B2167" s="34">
        <v>46273</v>
      </c>
      <c r="C2167" s="34">
        <v>46273</v>
      </c>
      <c r="D2167" t="s">
        <v>35</v>
      </c>
      <c r="E2167" t="s">
        <v>36</v>
      </c>
      <c r="F2167" t="s">
        <v>37</v>
      </c>
      <c r="G2167">
        <v>2715</v>
      </c>
      <c r="H2167" t="s">
        <v>6558</v>
      </c>
      <c r="I2167" t="s">
        <v>6559</v>
      </c>
      <c r="J2167" t="s">
        <v>183</v>
      </c>
      <c r="O2167" t="s">
        <v>6560</v>
      </c>
      <c r="P2167">
        <v>7594</v>
      </c>
      <c r="Q2167">
        <v>7866.5</v>
      </c>
      <c r="R2167">
        <v>7425.5</v>
      </c>
      <c r="S2167">
        <v>7799.5</v>
      </c>
      <c r="T2167">
        <v>7790</v>
      </c>
      <c r="U2167">
        <v>7519</v>
      </c>
      <c r="W2167">
        <v>7798.68</v>
      </c>
      <c r="Z2167">
        <v>197236</v>
      </c>
      <c r="AA2167">
        <v>1524401312</v>
      </c>
      <c r="AB2167">
        <v>23167</v>
      </c>
      <c r="AC2167" t="s">
        <v>42</v>
      </c>
      <c r="AD2167">
        <v>1</v>
      </c>
    </row>
    <row r="2168" spans="1:30">
      <c r="A2168" t="str">
        <f>CONCATENATE(I2168,J2168)</f>
        <v>MUFINEQ</v>
      </c>
      <c r="B2168" s="34">
        <v>46273</v>
      </c>
      <c r="C2168" s="34">
        <v>46273</v>
      </c>
      <c r="D2168" t="s">
        <v>35</v>
      </c>
      <c r="E2168" t="s">
        <v>36</v>
      </c>
      <c r="F2168" t="s">
        <v>37</v>
      </c>
      <c r="G2168">
        <v>19783</v>
      </c>
      <c r="H2168" t="s">
        <v>6561</v>
      </c>
      <c r="I2168" t="s">
        <v>6562</v>
      </c>
      <c r="J2168" t="s">
        <v>161</v>
      </c>
      <c r="O2168" t="s">
        <v>6563</v>
      </c>
      <c r="P2168">
        <v>136.24</v>
      </c>
      <c r="Q2168">
        <v>138.33000000000001</v>
      </c>
      <c r="R2168">
        <v>135</v>
      </c>
      <c r="S2168">
        <v>135.35</v>
      </c>
      <c r="T2168">
        <v>135</v>
      </c>
      <c r="U2168">
        <v>136.16999999999999</v>
      </c>
      <c r="W2168">
        <v>135.35</v>
      </c>
      <c r="Z2168">
        <v>616664</v>
      </c>
      <c r="AA2168">
        <v>84207105.650000006</v>
      </c>
      <c r="AB2168">
        <v>3100</v>
      </c>
      <c r="AC2168" t="s">
        <v>42</v>
      </c>
      <c r="AD2168">
        <v>1</v>
      </c>
    </row>
    <row r="2169" spans="1:30">
      <c r="A2169" t="str">
        <f>CONCATENATE(I2169,J2169)</f>
        <v>MUKANDLTDEQ</v>
      </c>
      <c r="B2169" s="34">
        <v>46273</v>
      </c>
      <c r="C2169" s="34">
        <v>46273</v>
      </c>
      <c r="D2169" t="s">
        <v>35</v>
      </c>
      <c r="E2169" t="s">
        <v>36</v>
      </c>
      <c r="F2169" t="s">
        <v>37</v>
      </c>
      <c r="G2169">
        <v>11325</v>
      </c>
      <c r="H2169" t="s">
        <v>6564</v>
      </c>
      <c r="I2169" t="s">
        <v>6565</v>
      </c>
      <c r="J2169" t="s">
        <v>161</v>
      </c>
      <c r="O2169" t="s">
        <v>6566</v>
      </c>
      <c r="P2169">
        <v>136.41999999999999</v>
      </c>
      <c r="Q2169">
        <v>138.19999999999999</v>
      </c>
      <c r="R2169">
        <v>135.44999999999999</v>
      </c>
      <c r="S2169">
        <v>137.66</v>
      </c>
      <c r="T2169">
        <v>137.25</v>
      </c>
      <c r="U2169">
        <v>136.9</v>
      </c>
      <c r="W2169">
        <v>137.65</v>
      </c>
      <c r="Z2169">
        <v>72527</v>
      </c>
      <c r="AA2169">
        <v>9937764.4800000004</v>
      </c>
      <c r="AB2169">
        <v>1016</v>
      </c>
      <c r="AC2169" t="s">
        <v>42</v>
      </c>
      <c r="AD2169">
        <v>1</v>
      </c>
    </row>
    <row r="2170" spans="1:30">
      <c r="A2170" t="str">
        <f>CONCATENATE(I2170,J2170)</f>
        <v>MUKESHBEQ</v>
      </c>
      <c r="B2170" s="34">
        <v>46273</v>
      </c>
      <c r="C2170" s="34">
        <v>46273</v>
      </c>
      <c r="D2170" t="s">
        <v>35</v>
      </c>
      <c r="E2170" t="s">
        <v>36</v>
      </c>
      <c r="F2170" t="s">
        <v>37</v>
      </c>
      <c r="G2170">
        <v>764788</v>
      </c>
      <c r="H2170" t="s">
        <v>6567</v>
      </c>
      <c r="I2170" t="s">
        <v>6568</v>
      </c>
      <c r="J2170" t="s">
        <v>161</v>
      </c>
      <c r="O2170" t="s">
        <v>6569</v>
      </c>
      <c r="P2170">
        <v>133.44999999999999</v>
      </c>
      <c r="Q2170">
        <v>135</v>
      </c>
      <c r="R2170">
        <v>133.44999999999999</v>
      </c>
      <c r="S2170">
        <v>133.44999999999999</v>
      </c>
      <c r="T2170">
        <v>133.44999999999999</v>
      </c>
      <c r="U2170">
        <v>133.84</v>
      </c>
      <c r="W2170">
        <v>134.99</v>
      </c>
      <c r="Z2170">
        <v>1371</v>
      </c>
      <c r="AA2170">
        <v>184999.75</v>
      </c>
      <c r="AB2170">
        <v>6</v>
      </c>
      <c r="AC2170" t="s">
        <v>42</v>
      </c>
      <c r="AD2170">
        <v>1</v>
      </c>
    </row>
    <row r="2171" spans="1:30">
      <c r="A2171" t="str">
        <f>CONCATENATE(I2171,J2171)</f>
        <v>MUKKAEQ</v>
      </c>
      <c r="B2171" s="34">
        <v>46273</v>
      </c>
      <c r="C2171" s="34">
        <v>46273</v>
      </c>
      <c r="D2171" t="s">
        <v>35</v>
      </c>
      <c r="E2171" t="s">
        <v>36</v>
      </c>
      <c r="F2171" t="s">
        <v>37</v>
      </c>
      <c r="G2171">
        <v>22980</v>
      </c>
      <c r="H2171" t="s">
        <v>6570</v>
      </c>
      <c r="I2171" t="s">
        <v>6571</v>
      </c>
      <c r="J2171" t="s">
        <v>161</v>
      </c>
      <c r="O2171" t="s">
        <v>6572</v>
      </c>
      <c r="P2171">
        <v>32.53</v>
      </c>
      <c r="Q2171">
        <v>32.78</v>
      </c>
      <c r="R2171">
        <v>30.34</v>
      </c>
      <c r="S2171">
        <v>30.72</v>
      </c>
      <c r="T2171">
        <v>30.7</v>
      </c>
      <c r="U2171">
        <v>32.15</v>
      </c>
      <c r="W2171">
        <v>30.72</v>
      </c>
      <c r="Z2171">
        <v>1863127</v>
      </c>
      <c r="AA2171">
        <v>57742586.479999997</v>
      </c>
      <c r="AB2171">
        <v>6366</v>
      </c>
      <c r="AC2171" t="s">
        <v>42</v>
      </c>
      <c r="AD2171">
        <v>1</v>
      </c>
    </row>
    <row r="2172" spans="1:30">
      <c r="A2172" t="str">
        <f>CONCATENATE(I2172,J2172)</f>
        <v>MUKTAARTSBE</v>
      </c>
      <c r="B2172" s="34">
        <v>46273</v>
      </c>
      <c r="C2172" s="34">
        <v>46273</v>
      </c>
      <c r="D2172" t="s">
        <v>35</v>
      </c>
      <c r="E2172" t="s">
        <v>36</v>
      </c>
      <c r="F2172" t="s">
        <v>37</v>
      </c>
      <c r="G2172">
        <v>8691</v>
      </c>
      <c r="H2172" t="s">
        <v>6573</v>
      </c>
      <c r="I2172" t="s">
        <v>6574</v>
      </c>
      <c r="J2172" t="s">
        <v>183</v>
      </c>
      <c r="O2172" t="s">
        <v>6575</v>
      </c>
      <c r="P2172">
        <v>58</v>
      </c>
      <c r="Q2172">
        <v>58.5</v>
      </c>
      <c r="R2172">
        <v>57.02</v>
      </c>
      <c r="S2172">
        <v>57.05</v>
      </c>
      <c r="T2172">
        <v>57.05</v>
      </c>
      <c r="U2172">
        <v>59.83</v>
      </c>
      <c r="W2172">
        <v>57.05</v>
      </c>
      <c r="Z2172">
        <v>376</v>
      </c>
      <c r="AA2172">
        <v>21488.5</v>
      </c>
      <c r="AB2172">
        <v>9</v>
      </c>
      <c r="AC2172" t="s">
        <v>42</v>
      </c>
      <c r="AD2172">
        <v>1</v>
      </c>
    </row>
    <row r="2173" spans="1:30">
      <c r="A2173" t="str">
        <f>CONCATENATE(I2173,J2173)</f>
        <v>MCXEQ</v>
      </c>
      <c r="B2173" s="34">
        <v>46273</v>
      </c>
      <c r="C2173" s="34">
        <v>46273</v>
      </c>
      <c r="D2173" t="s">
        <v>35</v>
      </c>
      <c r="E2173" t="s">
        <v>36</v>
      </c>
      <c r="F2173" t="s">
        <v>37</v>
      </c>
      <c r="G2173">
        <v>31181</v>
      </c>
      <c r="H2173" t="s">
        <v>6576</v>
      </c>
      <c r="I2173" t="s">
        <v>6577</v>
      </c>
      <c r="J2173" t="s">
        <v>161</v>
      </c>
      <c r="O2173" t="s">
        <v>6578</v>
      </c>
      <c r="P2173">
        <v>3350</v>
      </c>
      <c r="Q2173">
        <v>3366.4</v>
      </c>
      <c r="R2173">
        <v>3279.9</v>
      </c>
      <c r="S2173">
        <v>3342</v>
      </c>
      <c r="T2173">
        <v>3342</v>
      </c>
      <c r="U2173">
        <v>3330.2</v>
      </c>
      <c r="W2173">
        <v>3341.99</v>
      </c>
      <c r="Z2173">
        <v>1433417</v>
      </c>
      <c r="AA2173">
        <v>4765731731.3999996</v>
      </c>
      <c r="AB2173">
        <v>89842</v>
      </c>
      <c r="AC2173" t="s">
        <v>42</v>
      </c>
      <c r="AD2173">
        <v>1</v>
      </c>
    </row>
    <row r="2174" spans="1:30">
      <c r="A2174" t="str">
        <f>CONCATENATE(I2174,J2174)</f>
        <v>MUNISHSM</v>
      </c>
      <c r="B2174" s="34">
        <v>46273</v>
      </c>
      <c r="C2174" s="34">
        <v>46273</v>
      </c>
      <c r="D2174" t="s">
        <v>35</v>
      </c>
      <c r="E2174" t="s">
        <v>36</v>
      </c>
      <c r="F2174" t="s">
        <v>37</v>
      </c>
      <c r="G2174">
        <v>759416</v>
      </c>
      <c r="H2174" t="s">
        <v>6579</v>
      </c>
      <c r="I2174" t="s">
        <v>6580</v>
      </c>
      <c r="J2174" t="s">
        <v>267</v>
      </c>
      <c r="O2174" t="s">
        <v>6581</v>
      </c>
      <c r="P2174">
        <v>83.2</v>
      </c>
      <c r="Q2174">
        <v>87</v>
      </c>
      <c r="R2174">
        <v>81</v>
      </c>
      <c r="S2174">
        <v>85.4</v>
      </c>
      <c r="T2174">
        <v>87</v>
      </c>
      <c r="U2174">
        <v>83</v>
      </c>
      <c r="W2174">
        <v>85.4</v>
      </c>
      <c r="Z2174">
        <v>97200</v>
      </c>
      <c r="AA2174">
        <v>8099100</v>
      </c>
      <c r="AB2174">
        <v>51</v>
      </c>
      <c r="AC2174" t="s">
        <v>42</v>
      </c>
      <c r="AD2174">
        <v>1200</v>
      </c>
    </row>
    <row r="2175" spans="1:30">
      <c r="A2175" t="str">
        <f>CONCATENATE(I2175,J2175)</f>
        <v>MUNJALAUEQ</v>
      </c>
      <c r="B2175" s="34">
        <v>46273</v>
      </c>
      <c r="C2175" s="34">
        <v>46273</v>
      </c>
      <c r="D2175" t="s">
        <v>35</v>
      </c>
      <c r="E2175" t="s">
        <v>36</v>
      </c>
      <c r="F2175" t="s">
        <v>37</v>
      </c>
      <c r="G2175">
        <v>13511</v>
      </c>
      <c r="H2175" t="s">
        <v>6582</v>
      </c>
      <c r="I2175" t="s">
        <v>6583</v>
      </c>
      <c r="J2175" t="s">
        <v>161</v>
      </c>
      <c r="O2175" t="s">
        <v>6584</v>
      </c>
      <c r="P2175">
        <v>115.99</v>
      </c>
      <c r="Q2175">
        <v>115.99</v>
      </c>
      <c r="R2175">
        <v>112.3</v>
      </c>
      <c r="S2175">
        <v>112.8</v>
      </c>
      <c r="T2175">
        <v>112.77</v>
      </c>
      <c r="U2175">
        <v>116.04</v>
      </c>
      <c r="W2175">
        <v>112.79</v>
      </c>
      <c r="Z2175">
        <v>319567</v>
      </c>
      <c r="AA2175">
        <v>36235333.649999999</v>
      </c>
      <c r="AB2175">
        <v>4051</v>
      </c>
      <c r="AC2175" t="s">
        <v>42</v>
      </c>
      <c r="AD2175">
        <v>1</v>
      </c>
    </row>
    <row r="2176" spans="1:30">
      <c r="A2176" t="str">
        <f>CONCATENATE(I2176,J2176)</f>
        <v>MUNJALSHOWEQ</v>
      </c>
      <c r="B2176" s="34">
        <v>46273</v>
      </c>
      <c r="C2176" s="34">
        <v>46273</v>
      </c>
      <c r="D2176" t="s">
        <v>35</v>
      </c>
      <c r="E2176" t="s">
        <v>36</v>
      </c>
      <c r="F2176" t="s">
        <v>37</v>
      </c>
      <c r="G2176">
        <v>2307</v>
      </c>
      <c r="H2176" t="s">
        <v>6585</v>
      </c>
      <c r="I2176" t="s">
        <v>6586</v>
      </c>
      <c r="J2176" t="s">
        <v>161</v>
      </c>
      <c r="O2176" t="s">
        <v>6587</v>
      </c>
      <c r="P2176">
        <v>128.12</v>
      </c>
      <c r="Q2176">
        <v>130.59</v>
      </c>
      <c r="R2176">
        <v>126</v>
      </c>
      <c r="S2176">
        <v>128.75</v>
      </c>
      <c r="T2176">
        <v>128.9</v>
      </c>
      <c r="U2176">
        <v>129.21</v>
      </c>
      <c r="W2176">
        <v>128.75</v>
      </c>
      <c r="Z2176">
        <v>35204</v>
      </c>
      <c r="AA2176">
        <v>4528367.4000000004</v>
      </c>
      <c r="AB2176">
        <v>490</v>
      </c>
      <c r="AC2176" t="s">
        <v>42</v>
      </c>
      <c r="AD2176">
        <v>1</v>
      </c>
    </row>
    <row r="2177" spans="1:30">
      <c r="A2177" t="str">
        <f>CONCATENATE(I2177,J2177)</f>
        <v>MURUDCERAEQ</v>
      </c>
      <c r="B2177" s="34">
        <v>46273</v>
      </c>
      <c r="C2177" s="34">
        <v>46273</v>
      </c>
      <c r="D2177" t="s">
        <v>35</v>
      </c>
      <c r="E2177" t="s">
        <v>36</v>
      </c>
      <c r="F2177" t="s">
        <v>37</v>
      </c>
      <c r="G2177">
        <v>2313</v>
      </c>
      <c r="H2177" t="s">
        <v>6588</v>
      </c>
      <c r="I2177" t="s">
        <v>6589</v>
      </c>
      <c r="J2177" t="s">
        <v>161</v>
      </c>
      <c r="O2177" t="s">
        <v>6590</v>
      </c>
      <c r="P2177">
        <v>29.02</v>
      </c>
      <c r="Q2177">
        <v>29.93</v>
      </c>
      <c r="R2177">
        <v>28</v>
      </c>
      <c r="S2177">
        <v>29.08</v>
      </c>
      <c r="T2177">
        <v>29.28</v>
      </c>
      <c r="U2177">
        <v>29.33</v>
      </c>
      <c r="W2177">
        <v>29.08</v>
      </c>
      <c r="Z2177">
        <v>26685</v>
      </c>
      <c r="AA2177">
        <v>767758.06</v>
      </c>
      <c r="AB2177">
        <v>262</v>
      </c>
      <c r="AC2177" t="s">
        <v>42</v>
      </c>
      <c r="AD2177">
        <v>1</v>
      </c>
    </row>
    <row r="2178" spans="1:30">
      <c r="A2178" t="str">
        <f>CONCATENATE(I2178,J2178)</f>
        <v>RADIOCITYEQ</v>
      </c>
      <c r="B2178" s="34">
        <v>46273</v>
      </c>
      <c r="C2178" s="34">
        <v>46273</v>
      </c>
      <c r="D2178" t="s">
        <v>35</v>
      </c>
      <c r="E2178" t="s">
        <v>36</v>
      </c>
      <c r="F2178" t="s">
        <v>37</v>
      </c>
      <c r="G2178">
        <v>19877</v>
      </c>
      <c r="H2178" t="s">
        <v>6591</v>
      </c>
      <c r="I2178" t="s">
        <v>6592</v>
      </c>
      <c r="J2178" t="s">
        <v>161</v>
      </c>
      <c r="O2178" t="s">
        <v>6593</v>
      </c>
      <c r="P2178">
        <v>6.25</v>
      </c>
      <c r="Q2178">
        <v>6.25</v>
      </c>
      <c r="R2178">
        <v>6</v>
      </c>
      <c r="S2178">
        <v>6.11</v>
      </c>
      <c r="T2178">
        <v>6.17</v>
      </c>
      <c r="U2178">
        <v>6.23</v>
      </c>
      <c r="W2178">
        <v>6.09</v>
      </c>
      <c r="Z2178">
        <v>55539</v>
      </c>
      <c r="AA2178">
        <v>341317.24</v>
      </c>
      <c r="AB2178">
        <v>190</v>
      </c>
      <c r="AC2178" t="s">
        <v>42</v>
      </c>
      <c r="AD2178">
        <v>1</v>
      </c>
    </row>
    <row r="2179" spans="1:30">
      <c r="A2179" t="str">
        <f>CONCATENATE(I2179,J2179)</f>
        <v>MUTHOOTCAPEQ</v>
      </c>
      <c r="B2179" s="34">
        <v>46273</v>
      </c>
      <c r="C2179" s="34">
        <v>46273</v>
      </c>
      <c r="D2179" t="s">
        <v>35</v>
      </c>
      <c r="E2179" t="s">
        <v>36</v>
      </c>
      <c r="F2179" t="s">
        <v>37</v>
      </c>
      <c r="G2179">
        <v>10415</v>
      </c>
      <c r="H2179" t="s">
        <v>6594</v>
      </c>
      <c r="I2179" t="s">
        <v>6595</v>
      </c>
      <c r="J2179" t="s">
        <v>161</v>
      </c>
      <c r="O2179" t="s">
        <v>6596</v>
      </c>
      <c r="P2179">
        <v>244.8</v>
      </c>
      <c r="Q2179">
        <v>244.8</v>
      </c>
      <c r="R2179">
        <v>231.1</v>
      </c>
      <c r="S2179">
        <v>234.39</v>
      </c>
      <c r="T2179">
        <v>234.1</v>
      </c>
      <c r="U2179">
        <v>239.07</v>
      </c>
      <c r="W2179">
        <v>234.45</v>
      </c>
      <c r="Z2179">
        <v>12823</v>
      </c>
      <c r="AA2179">
        <v>3014664.85</v>
      </c>
      <c r="AB2179">
        <v>909</v>
      </c>
      <c r="AC2179" t="s">
        <v>42</v>
      </c>
      <c r="AD2179">
        <v>1</v>
      </c>
    </row>
    <row r="2180" spans="1:30">
      <c r="A2180" t="str">
        <f>CONCATENATE(I2180,J2180)</f>
        <v>MUTHOOTFINEQ</v>
      </c>
      <c r="B2180" s="34">
        <v>46273</v>
      </c>
      <c r="C2180" s="34">
        <v>46273</v>
      </c>
      <c r="D2180" t="s">
        <v>35</v>
      </c>
      <c r="E2180" t="s">
        <v>36</v>
      </c>
      <c r="F2180" t="s">
        <v>37</v>
      </c>
      <c r="G2180">
        <v>23650</v>
      </c>
      <c r="H2180" t="s">
        <v>6597</v>
      </c>
      <c r="I2180" t="s">
        <v>6598</v>
      </c>
      <c r="J2180" t="s">
        <v>161</v>
      </c>
      <c r="O2180" t="s">
        <v>6599</v>
      </c>
      <c r="P2180">
        <v>2890</v>
      </c>
      <c r="Q2180">
        <v>2899.7</v>
      </c>
      <c r="R2180">
        <v>2868.8</v>
      </c>
      <c r="S2180">
        <v>2899.7</v>
      </c>
      <c r="T2180">
        <v>2899.7</v>
      </c>
      <c r="U2180">
        <v>2880</v>
      </c>
      <c r="W2180">
        <v>2899.64</v>
      </c>
      <c r="Z2180">
        <v>560448</v>
      </c>
      <c r="AA2180">
        <v>1616092237.3</v>
      </c>
      <c r="AB2180">
        <v>36432</v>
      </c>
      <c r="AC2180" t="s">
        <v>42</v>
      </c>
      <c r="AD2180">
        <v>1</v>
      </c>
    </row>
    <row r="2181" spans="1:30">
      <c r="A2181" t="str">
        <f>CONCATENATE(I2181,J2181)</f>
        <v>MUTHOOTMFEQ</v>
      </c>
      <c r="B2181" s="34">
        <v>46273</v>
      </c>
      <c r="C2181" s="34">
        <v>46273</v>
      </c>
      <c r="D2181" t="s">
        <v>35</v>
      </c>
      <c r="E2181" t="s">
        <v>36</v>
      </c>
      <c r="F2181" t="s">
        <v>37</v>
      </c>
      <c r="G2181">
        <v>20831</v>
      </c>
      <c r="H2181" t="s">
        <v>6600</v>
      </c>
      <c r="I2181" t="s">
        <v>6601</v>
      </c>
      <c r="J2181" t="s">
        <v>161</v>
      </c>
      <c r="O2181" t="s">
        <v>6602</v>
      </c>
      <c r="P2181">
        <v>196.54</v>
      </c>
      <c r="Q2181">
        <v>202.45</v>
      </c>
      <c r="R2181">
        <v>196.2</v>
      </c>
      <c r="S2181">
        <v>201.57</v>
      </c>
      <c r="T2181">
        <v>201</v>
      </c>
      <c r="U2181">
        <v>197.93</v>
      </c>
      <c r="W2181">
        <v>201.57</v>
      </c>
      <c r="Z2181">
        <v>146026</v>
      </c>
      <c r="AA2181">
        <v>29149983.190000001</v>
      </c>
      <c r="AB2181">
        <v>3287</v>
      </c>
      <c r="AC2181" t="s">
        <v>42</v>
      </c>
      <c r="AD2181">
        <v>1</v>
      </c>
    </row>
    <row r="2182" spans="1:30">
      <c r="A2182" t="str">
        <f>CONCATENATE(I2182,J2182)</f>
        <v>MVELECTROEQ</v>
      </c>
      <c r="B2182" s="34">
        <v>46273</v>
      </c>
      <c r="C2182" s="34">
        <v>46273</v>
      </c>
      <c r="D2182" t="s">
        <v>35</v>
      </c>
      <c r="E2182" t="s">
        <v>36</v>
      </c>
      <c r="F2182" t="s">
        <v>37</v>
      </c>
      <c r="G2182">
        <v>764397</v>
      </c>
      <c r="H2182" t="s">
        <v>6603</v>
      </c>
      <c r="I2182" t="s">
        <v>6604</v>
      </c>
      <c r="J2182" t="s">
        <v>161</v>
      </c>
      <c r="O2182" t="s">
        <v>6605</v>
      </c>
      <c r="P2182">
        <v>820</v>
      </c>
      <c r="Q2182">
        <v>917.8</v>
      </c>
      <c r="R2182">
        <v>815.2</v>
      </c>
      <c r="S2182">
        <v>883.25</v>
      </c>
      <c r="T2182">
        <v>905</v>
      </c>
      <c r="U2182">
        <v>806.45</v>
      </c>
      <c r="W2182">
        <v>883.33</v>
      </c>
      <c r="Z2182">
        <v>18775267</v>
      </c>
      <c r="AA2182">
        <v>16088327026.15</v>
      </c>
      <c r="AB2182">
        <v>375829</v>
      </c>
      <c r="AC2182" t="s">
        <v>42</v>
      </c>
      <c r="AD2182">
        <v>1</v>
      </c>
    </row>
    <row r="2183" spans="1:30">
      <c r="A2183" t="str">
        <f>CONCATENATE(I2183,J2183)</f>
        <v>10MWL29N0</v>
      </c>
      <c r="B2183" s="34">
        <v>46273</v>
      </c>
      <c r="C2183" s="34">
        <v>46273</v>
      </c>
      <c r="D2183" t="s">
        <v>35</v>
      </c>
      <c r="E2183" t="s">
        <v>36</v>
      </c>
      <c r="F2183" t="s">
        <v>37</v>
      </c>
      <c r="G2183">
        <v>763206</v>
      </c>
      <c r="H2183" t="s">
        <v>6606</v>
      </c>
      <c r="I2183" t="s">
        <v>6607</v>
      </c>
      <c r="J2183" t="s">
        <v>514</v>
      </c>
      <c r="O2183" t="s">
        <v>6608</v>
      </c>
      <c r="P2183">
        <v>99439.28</v>
      </c>
      <c r="Q2183">
        <v>99439.28</v>
      </c>
      <c r="R2183">
        <v>99439.28</v>
      </c>
      <c r="S2183">
        <v>99439.28</v>
      </c>
      <c r="T2183">
        <v>99439.28</v>
      </c>
      <c r="U2183">
        <v>99500</v>
      </c>
      <c r="W2183">
        <v>99439.28</v>
      </c>
      <c r="Z2183">
        <v>10</v>
      </c>
      <c r="AA2183">
        <v>994392.8</v>
      </c>
      <c r="AB2183">
        <v>1</v>
      </c>
      <c r="AC2183" t="s">
        <v>42</v>
      </c>
      <c r="AD2183">
        <v>1</v>
      </c>
    </row>
    <row r="2184" spans="1:30">
      <c r="A2184" t="str">
        <f>CONCATENATE(I2184,J2184)</f>
        <v>MYMUDRASM</v>
      </c>
      <c r="B2184" s="34">
        <v>46273</v>
      </c>
      <c r="C2184" s="34">
        <v>46273</v>
      </c>
      <c r="D2184" t="s">
        <v>35</v>
      </c>
      <c r="E2184" t="s">
        <v>36</v>
      </c>
      <c r="F2184" t="s">
        <v>37</v>
      </c>
      <c r="G2184">
        <v>25208</v>
      </c>
      <c r="H2184" t="s">
        <v>6609</v>
      </c>
      <c r="I2184" t="s">
        <v>6610</v>
      </c>
      <c r="J2184" t="s">
        <v>267</v>
      </c>
      <c r="O2184" t="s">
        <v>6611</v>
      </c>
      <c r="P2184">
        <v>68.099999999999994</v>
      </c>
      <c r="Q2184">
        <v>69.7</v>
      </c>
      <c r="R2184">
        <v>67.099999999999994</v>
      </c>
      <c r="S2184">
        <v>69.7</v>
      </c>
      <c r="T2184">
        <v>69.7</v>
      </c>
      <c r="U2184">
        <v>69</v>
      </c>
      <c r="W2184">
        <v>69.7</v>
      </c>
      <c r="Z2184">
        <v>13200</v>
      </c>
      <c r="AA2184">
        <v>897540</v>
      </c>
      <c r="AB2184">
        <v>10</v>
      </c>
      <c r="AC2184" t="s">
        <v>42</v>
      </c>
      <c r="AD2184">
        <v>1200</v>
      </c>
    </row>
    <row r="2185" spans="1:30">
      <c r="A2185" t="str">
        <f>CONCATENATE(I2185,J2185)</f>
        <v>MYSORPETROBE</v>
      </c>
      <c r="B2185" s="34">
        <v>46273</v>
      </c>
      <c r="C2185" s="34">
        <v>46273</v>
      </c>
      <c r="D2185" t="s">
        <v>35</v>
      </c>
      <c r="E2185" t="s">
        <v>36</v>
      </c>
      <c r="F2185" t="s">
        <v>37</v>
      </c>
      <c r="G2185">
        <v>8220</v>
      </c>
      <c r="H2185" t="s">
        <v>6612</v>
      </c>
      <c r="I2185" t="s">
        <v>6613</v>
      </c>
      <c r="J2185" t="s">
        <v>183</v>
      </c>
      <c r="O2185" t="s">
        <v>6614</v>
      </c>
      <c r="P2185">
        <v>135</v>
      </c>
      <c r="Q2185">
        <v>140.09</v>
      </c>
      <c r="R2185">
        <v>135</v>
      </c>
      <c r="S2185">
        <v>140.09</v>
      </c>
      <c r="T2185">
        <v>140.09</v>
      </c>
      <c r="U2185">
        <v>133.41999999999999</v>
      </c>
      <c r="W2185">
        <v>140.5</v>
      </c>
      <c r="Z2185">
        <v>5237</v>
      </c>
      <c r="AA2185">
        <v>731264.88</v>
      </c>
      <c r="AB2185">
        <v>98</v>
      </c>
      <c r="AC2185" t="s">
        <v>42</v>
      </c>
      <c r="AD2185">
        <v>1</v>
      </c>
    </row>
    <row r="2186" spans="1:30">
      <c r="A2186" t="str">
        <f>CONCATENATE(I2186,J2186)</f>
        <v>NRAILEQ</v>
      </c>
      <c r="B2186" s="34">
        <v>46273</v>
      </c>
      <c r="C2186" s="34">
        <v>46273</v>
      </c>
      <c r="D2186" t="s">
        <v>35</v>
      </c>
      <c r="E2186" t="s">
        <v>36</v>
      </c>
      <c r="F2186" t="s">
        <v>37</v>
      </c>
      <c r="G2186">
        <v>20314</v>
      </c>
      <c r="H2186" t="s">
        <v>6615</v>
      </c>
      <c r="I2186" t="s">
        <v>6616</v>
      </c>
      <c r="J2186" t="s">
        <v>161</v>
      </c>
      <c r="O2186" t="s">
        <v>6617</v>
      </c>
      <c r="P2186">
        <v>599.9</v>
      </c>
      <c r="Q2186">
        <v>648.29999999999995</v>
      </c>
      <c r="R2186">
        <v>589.95000000000005</v>
      </c>
      <c r="S2186">
        <v>644.35</v>
      </c>
      <c r="T2186">
        <v>640</v>
      </c>
      <c r="U2186">
        <v>589.95000000000005</v>
      </c>
      <c r="W2186">
        <v>644.27</v>
      </c>
      <c r="Z2186">
        <v>144623</v>
      </c>
      <c r="AA2186">
        <v>91431541</v>
      </c>
      <c r="AB2186">
        <v>9201</v>
      </c>
      <c r="AC2186" t="s">
        <v>42</v>
      </c>
      <c r="AD2186">
        <v>1</v>
      </c>
    </row>
    <row r="2187" spans="1:30">
      <c r="A2187" t="str">
        <f>CONCATENATE(I2187,J2187)</f>
        <v>NRVANDANASM</v>
      </c>
      <c r="B2187" s="34">
        <v>46273</v>
      </c>
      <c r="C2187" s="34">
        <v>46273</v>
      </c>
      <c r="D2187" t="s">
        <v>35</v>
      </c>
      <c r="E2187" t="s">
        <v>36</v>
      </c>
      <c r="F2187" t="s">
        <v>37</v>
      </c>
      <c r="G2187">
        <v>757489</v>
      </c>
      <c r="H2187" t="s">
        <v>6618</v>
      </c>
      <c r="I2187" t="s">
        <v>6619</v>
      </c>
      <c r="J2187" t="s">
        <v>267</v>
      </c>
      <c r="O2187" t="s">
        <v>6620</v>
      </c>
      <c r="P2187">
        <v>69</v>
      </c>
      <c r="Q2187">
        <v>69.2</v>
      </c>
      <c r="R2187">
        <v>69</v>
      </c>
      <c r="S2187">
        <v>69.099999999999994</v>
      </c>
      <c r="T2187">
        <v>69.2</v>
      </c>
      <c r="U2187">
        <v>68.5</v>
      </c>
      <c r="W2187">
        <v>69.099999999999994</v>
      </c>
      <c r="Z2187">
        <v>6000</v>
      </c>
      <c r="AA2187">
        <v>414600</v>
      </c>
      <c r="AB2187">
        <v>2</v>
      </c>
      <c r="AC2187" t="s">
        <v>42</v>
      </c>
      <c r="AD2187">
        <v>3000</v>
      </c>
    </row>
    <row r="2188" spans="1:30">
      <c r="A2188" t="str">
        <f>CONCATENATE(I2188,J2188)</f>
        <v>NTCINDEQ</v>
      </c>
      <c r="B2188" s="34">
        <v>46273</v>
      </c>
      <c r="C2188" s="34">
        <v>46273</v>
      </c>
      <c r="D2188" t="s">
        <v>35</v>
      </c>
      <c r="E2188" t="s">
        <v>36</v>
      </c>
      <c r="F2188" t="s">
        <v>37</v>
      </c>
      <c r="G2188">
        <v>764798</v>
      </c>
      <c r="H2188" t="s">
        <v>6621</v>
      </c>
      <c r="I2188" t="s">
        <v>6622</v>
      </c>
      <c r="J2188" t="s">
        <v>161</v>
      </c>
      <c r="O2188" t="s">
        <v>6623</v>
      </c>
      <c r="P2188">
        <v>139</v>
      </c>
      <c r="Q2188">
        <v>139</v>
      </c>
      <c r="R2188">
        <v>133.32</v>
      </c>
      <c r="S2188">
        <v>136.80000000000001</v>
      </c>
      <c r="T2188">
        <v>136.80000000000001</v>
      </c>
      <c r="U2188">
        <v>134.57</v>
      </c>
      <c r="W2188">
        <v>135.06</v>
      </c>
      <c r="Z2188">
        <v>3656</v>
      </c>
      <c r="AA2188">
        <v>494178.61</v>
      </c>
      <c r="AB2188">
        <v>176</v>
      </c>
      <c r="AC2188" t="s">
        <v>42</v>
      </c>
      <c r="AD2188">
        <v>1</v>
      </c>
    </row>
    <row r="2189" spans="1:30">
      <c r="A2189" t="str">
        <f>CONCATENATE(I2189,J2189)</f>
        <v>NBIFINEQ</v>
      </c>
      <c r="B2189" s="34">
        <v>46273</v>
      </c>
      <c r="C2189" s="34">
        <v>46273</v>
      </c>
      <c r="D2189" t="s">
        <v>35</v>
      </c>
      <c r="E2189" t="s">
        <v>36</v>
      </c>
      <c r="F2189" t="s">
        <v>37</v>
      </c>
      <c r="G2189">
        <v>19111</v>
      </c>
      <c r="H2189" t="s">
        <v>6624</v>
      </c>
      <c r="I2189" t="s">
        <v>6625</v>
      </c>
      <c r="J2189" t="s">
        <v>161</v>
      </c>
      <c r="O2189" t="s">
        <v>6626</v>
      </c>
      <c r="P2189">
        <v>2000</v>
      </c>
      <c r="Q2189">
        <v>2024</v>
      </c>
      <c r="R2189">
        <v>1962</v>
      </c>
      <c r="S2189">
        <v>1970</v>
      </c>
      <c r="T2189">
        <v>1970</v>
      </c>
      <c r="U2189">
        <v>1967.7</v>
      </c>
      <c r="W2189">
        <v>1970</v>
      </c>
      <c r="Z2189">
        <v>5642</v>
      </c>
      <c r="AA2189">
        <v>11111256.4</v>
      </c>
      <c r="AB2189">
        <v>52</v>
      </c>
      <c r="AC2189" t="s">
        <v>42</v>
      </c>
      <c r="AD2189">
        <v>1</v>
      </c>
    </row>
    <row r="2190" spans="1:30">
      <c r="A2190" t="str">
        <f>CONCATENATE(I2190,J2190)</f>
        <v>NACLINDEQ</v>
      </c>
      <c r="B2190" s="34">
        <v>46273</v>
      </c>
      <c r="C2190" s="34">
        <v>46273</v>
      </c>
      <c r="D2190" t="s">
        <v>35</v>
      </c>
      <c r="E2190" t="s">
        <v>36</v>
      </c>
      <c r="F2190" t="s">
        <v>37</v>
      </c>
      <c r="G2190">
        <v>20425</v>
      </c>
      <c r="H2190" t="s">
        <v>6627</v>
      </c>
      <c r="I2190" t="s">
        <v>6628</v>
      </c>
      <c r="J2190" t="s">
        <v>161</v>
      </c>
      <c r="O2190" t="s">
        <v>6629</v>
      </c>
      <c r="P2190">
        <v>164.6</v>
      </c>
      <c r="Q2190">
        <v>164.99</v>
      </c>
      <c r="R2190">
        <v>160</v>
      </c>
      <c r="S2190">
        <v>161</v>
      </c>
      <c r="T2190">
        <v>161.05000000000001</v>
      </c>
      <c r="U2190">
        <v>164.58</v>
      </c>
      <c r="W2190">
        <v>161.01</v>
      </c>
      <c r="Z2190">
        <v>314539</v>
      </c>
      <c r="AA2190">
        <v>50989121.119999997</v>
      </c>
      <c r="AB2190">
        <v>6007</v>
      </c>
      <c r="AC2190" t="s">
        <v>42</v>
      </c>
      <c r="AD2190">
        <v>1</v>
      </c>
    </row>
    <row r="2191" spans="1:30">
      <c r="A2191" t="str">
        <f>CONCATENATE(I2191,J2191)</f>
        <v>NDGLEQ</v>
      </c>
      <c r="B2191" s="34">
        <v>46273</v>
      </c>
      <c r="C2191" s="34">
        <v>46273</v>
      </c>
      <c r="D2191" t="s">
        <v>35</v>
      </c>
      <c r="E2191" t="s">
        <v>36</v>
      </c>
      <c r="F2191" t="s">
        <v>37</v>
      </c>
      <c r="G2191">
        <v>18371</v>
      </c>
      <c r="H2191" t="s">
        <v>6630</v>
      </c>
      <c r="I2191" t="s">
        <v>6631</v>
      </c>
      <c r="J2191" t="s">
        <v>161</v>
      </c>
      <c r="O2191" t="s">
        <v>6632</v>
      </c>
      <c r="P2191">
        <v>2820</v>
      </c>
      <c r="Q2191">
        <v>2849</v>
      </c>
      <c r="R2191">
        <v>2775</v>
      </c>
      <c r="S2191">
        <v>2775</v>
      </c>
      <c r="T2191">
        <v>2775</v>
      </c>
      <c r="U2191">
        <v>2790</v>
      </c>
      <c r="W2191">
        <v>2775</v>
      </c>
      <c r="Z2191">
        <v>230</v>
      </c>
      <c r="AA2191">
        <v>644407</v>
      </c>
      <c r="AB2191">
        <v>31</v>
      </c>
      <c r="AC2191" t="s">
        <v>42</v>
      </c>
      <c r="AD2191">
        <v>1</v>
      </c>
    </row>
    <row r="2192" spans="1:30">
      <c r="A2192" t="str">
        <f>CONCATENATE(I2192,J2192)</f>
        <v>NAGREEKCAPEQ</v>
      </c>
      <c r="B2192" s="34">
        <v>46273</v>
      </c>
      <c r="C2192" s="34">
        <v>46273</v>
      </c>
      <c r="D2192" t="s">
        <v>35</v>
      </c>
      <c r="E2192" t="s">
        <v>36</v>
      </c>
      <c r="F2192" t="s">
        <v>37</v>
      </c>
      <c r="G2192">
        <v>14942</v>
      </c>
      <c r="H2192" t="s">
        <v>6633</v>
      </c>
      <c r="I2192" t="s">
        <v>6634</v>
      </c>
      <c r="J2192" t="s">
        <v>161</v>
      </c>
      <c r="O2192" t="s">
        <v>6635</v>
      </c>
      <c r="P2192">
        <v>23.25</v>
      </c>
      <c r="Q2192">
        <v>24.29</v>
      </c>
      <c r="R2192">
        <v>22.31</v>
      </c>
      <c r="S2192">
        <v>23.38</v>
      </c>
      <c r="T2192">
        <v>22.8</v>
      </c>
      <c r="U2192">
        <v>23.75</v>
      </c>
      <c r="W2192">
        <v>23.38</v>
      </c>
      <c r="Z2192">
        <v>3780</v>
      </c>
      <c r="AA2192">
        <v>87493.54</v>
      </c>
      <c r="AB2192">
        <v>111</v>
      </c>
      <c r="AC2192" t="s">
        <v>42</v>
      </c>
      <c r="AD2192">
        <v>1</v>
      </c>
    </row>
    <row r="2193" spans="1:30">
      <c r="A2193" t="str">
        <f>CONCATENATE(I2193,J2193)</f>
        <v>NAGREEKEXPEQ</v>
      </c>
      <c r="B2193" s="34">
        <v>46273</v>
      </c>
      <c r="C2193" s="34">
        <v>46273</v>
      </c>
      <c r="D2193" t="s">
        <v>35</v>
      </c>
      <c r="E2193" t="s">
        <v>36</v>
      </c>
      <c r="F2193" t="s">
        <v>37</v>
      </c>
      <c r="G2193">
        <v>14702</v>
      </c>
      <c r="H2193" t="s">
        <v>6636</v>
      </c>
      <c r="I2193" t="s">
        <v>6637</v>
      </c>
      <c r="J2193" t="s">
        <v>161</v>
      </c>
      <c r="O2193" t="s">
        <v>6638</v>
      </c>
      <c r="P2193">
        <v>22.5</v>
      </c>
      <c r="Q2193">
        <v>22.87</v>
      </c>
      <c r="R2193">
        <v>22.05</v>
      </c>
      <c r="S2193">
        <v>22.39</v>
      </c>
      <c r="T2193">
        <v>22.21</v>
      </c>
      <c r="U2193">
        <v>22.31</v>
      </c>
      <c r="W2193">
        <v>22.54</v>
      </c>
      <c r="Z2193">
        <v>12111</v>
      </c>
      <c r="AA2193">
        <v>272177.07</v>
      </c>
      <c r="AB2193">
        <v>167</v>
      </c>
      <c r="AC2193" t="s">
        <v>42</v>
      </c>
      <c r="AD2193">
        <v>1</v>
      </c>
    </row>
    <row r="2194" spans="1:30">
      <c r="A2194" t="str">
        <f>CONCATENATE(I2194,J2194)</f>
        <v>NAHARCAPEQ</v>
      </c>
      <c r="B2194" s="34">
        <v>46273</v>
      </c>
      <c r="C2194" s="34">
        <v>46273</v>
      </c>
      <c r="D2194" t="s">
        <v>35</v>
      </c>
      <c r="E2194" t="s">
        <v>36</v>
      </c>
      <c r="F2194" t="s">
        <v>37</v>
      </c>
      <c r="G2194">
        <v>15360</v>
      </c>
      <c r="H2194" t="s">
        <v>6639</v>
      </c>
      <c r="I2194" t="s">
        <v>6640</v>
      </c>
      <c r="J2194" t="s">
        <v>161</v>
      </c>
      <c r="O2194" t="s">
        <v>6641</v>
      </c>
      <c r="P2194">
        <v>255.25</v>
      </c>
      <c r="Q2194">
        <v>259.85000000000002</v>
      </c>
      <c r="R2194">
        <v>255.2</v>
      </c>
      <c r="S2194">
        <v>258.89999999999998</v>
      </c>
      <c r="T2194">
        <v>258.8</v>
      </c>
      <c r="U2194">
        <v>257.85000000000002</v>
      </c>
      <c r="W2194">
        <v>258.89</v>
      </c>
      <c r="Z2194">
        <v>1771</v>
      </c>
      <c r="AA2194">
        <v>456129.15</v>
      </c>
      <c r="AB2194">
        <v>52</v>
      </c>
      <c r="AC2194" t="s">
        <v>42</v>
      </c>
      <c r="AD2194">
        <v>1</v>
      </c>
    </row>
    <row r="2195" spans="1:30">
      <c r="A2195" t="str">
        <f>CONCATENATE(I2195,J2195)</f>
        <v>NAHARINDUSEQ</v>
      </c>
      <c r="B2195" s="34">
        <v>46273</v>
      </c>
      <c r="C2195" s="34">
        <v>46273</v>
      </c>
      <c r="D2195" t="s">
        <v>35</v>
      </c>
      <c r="E2195" t="s">
        <v>36</v>
      </c>
      <c r="F2195" t="s">
        <v>37</v>
      </c>
      <c r="G2195">
        <v>13106</v>
      </c>
      <c r="H2195" t="s">
        <v>6642</v>
      </c>
      <c r="I2195" t="s">
        <v>6643</v>
      </c>
      <c r="J2195" t="s">
        <v>161</v>
      </c>
      <c r="O2195" t="s">
        <v>6644</v>
      </c>
      <c r="P2195">
        <v>140.80000000000001</v>
      </c>
      <c r="Q2195">
        <v>140.80000000000001</v>
      </c>
      <c r="R2195">
        <v>135.72999999999999</v>
      </c>
      <c r="S2195">
        <v>137.43</v>
      </c>
      <c r="T2195">
        <v>136.6</v>
      </c>
      <c r="U2195">
        <v>139.05000000000001</v>
      </c>
      <c r="W2195">
        <v>137.43</v>
      </c>
      <c r="Z2195">
        <v>13028</v>
      </c>
      <c r="AA2195">
        <v>1790155.96</v>
      </c>
      <c r="AB2195">
        <v>397</v>
      </c>
      <c r="AC2195" t="s">
        <v>42</v>
      </c>
      <c r="AD2195">
        <v>1</v>
      </c>
    </row>
    <row r="2196" spans="1:30">
      <c r="A2196" t="str">
        <f>CONCATENATE(I2196,J2196)</f>
        <v>NAHARPOLYEQ</v>
      </c>
      <c r="B2196" s="34">
        <v>46273</v>
      </c>
      <c r="C2196" s="34">
        <v>46273</v>
      </c>
      <c r="D2196" t="s">
        <v>35</v>
      </c>
      <c r="E2196" t="s">
        <v>36</v>
      </c>
      <c r="F2196" t="s">
        <v>37</v>
      </c>
      <c r="G2196">
        <v>14445</v>
      </c>
      <c r="H2196" t="s">
        <v>6645</v>
      </c>
      <c r="I2196" t="s">
        <v>6646</v>
      </c>
      <c r="J2196" t="s">
        <v>161</v>
      </c>
      <c r="O2196" t="s">
        <v>6647</v>
      </c>
      <c r="P2196">
        <v>238.02</v>
      </c>
      <c r="Q2196">
        <v>244.9</v>
      </c>
      <c r="R2196">
        <v>234</v>
      </c>
      <c r="S2196">
        <v>243.18</v>
      </c>
      <c r="T2196">
        <v>243.94</v>
      </c>
      <c r="U2196">
        <v>238.38</v>
      </c>
      <c r="W2196">
        <v>243.12</v>
      </c>
      <c r="Z2196">
        <v>11880</v>
      </c>
      <c r="AA2196">
        <v>2839610.07</v>
      </c>
      <c r="AB2196">
        <v>419</v>
      </c>
      <c r="AC2196" t="s">
        <v>42</v>
      </c>
      <c r="AD2196">
        <v>1</v>
      </c>
    </row>
    <row r="2197" spans="1:30">
      <c r="A2197" t="str">
        <f>CONCATENATE(I2197,J2197)</f>
        <v>NAHARSPINGEQ</v>
      </c>
      <c r="B2197" s="34">
        <v>46273</v>
      </c>
      <c r="C2197" s="34">
        <v>46273</v>
      </c>
      <c r="D2197" t="s">
        <v>35</v>
      </c>
      <c r="E2197" t="s">
        <v>36</v>
      </c>
      <c r="F2197" t="s">
        <v>37</v>
      </c>
      <c r="G2197">
        <v>14440</v>
      </c>
      <c r="H2197" t="s">
        <v>6648</v>
      </c>
      <c r="I2197" t="s">
        <v>6649</v>
      </c>
      <c r="J2197" t="s">
        <v>161</v>
      </c>
      <c r="O2197" t="s">
        <v>6650</v>
      </c>
      <c r="P2197">
        <v>285</v>
      </c>
      <c r="Q2197">
        <v>294.5</v>
      </c>
      <c r="R2197">
        <v>276</v>
      </c>
      <c r="S2197">
        <v>277.55</v>
      </c>
      <c r="T2197">
        <v>279</v>
      </c>
      <c r="U2197">
        <v>286.14999999999998</v>
      </c>
      <c r="W2197">
        <v>277.56</v>
      </c>
      <c r="Z2197">
        <v>100649</v>
      </c>
      <c r="AA2197">
        <v>28088690.199999999</v>
      </c>
      <c r="AB2197">
        <v>2095</v>
      </c>
      <c r="AC2197" t="s">
        <v>42</v>
      </c>
      <c r="AD2197">
        <v>1</v>
      </c>
    </row>
    <row r="2198" spans="1:30">
      <c r="A2198" t="str">
        <f>CONCATENATE(I2198,J2198)</f>
        <v>NGILEQ</v>
      </c>
      <c r="B2198" s="34">
        <v>46273</v>
      </c>
      <c r="C2198" s="34">
        <v>46273</v>
      </c>
      <c r="D2198" t="s">
        <v>35</v>
      </c>
      <c r="E2198" t="s">
        <v>36</v>
      </c>
      <c r="F2198" t="s">
        <v>37</v>
      </c>
      <c r="G2198">
        <v>5401</v>
      </c>
      <c r="H2198" t="s">
        <v>6651</v>
      </c>
      <c r="I2198" t="s">
        <v>6652</v>
      </c>
      <c r="J2198" t="s">
        <v>161</v>
      </c>
      <c r="O2198" t="s">
        <v>6653</v>
      </c>
      <c r="P2198">
        <v>40.11</v>
      </c>
      <c r="Q2198">
        <v>40.11</v>
      </c>
      <c r="R2198">
        <v>36.909999999999997</v>
      </c>
      <c r="S2198">
        <v>37.729999999999997</v>
      </c>
      <c r="T2198">
        <v>38.97</v>
      </c>
      <c r="U2198">
        <v>40.11</v>
      </c>
      <c r="W2198">
        <v>37.729999999999997</v>
      </c>
      <c r="Z2198">
        <v>37163</v>
      </c>
      <c r="AA2198">
        <v>1415723.7</v>
      </c>
      <c r="AB2198">
        <v>209</v>
      </c>
      <c r="AC2198" t="s">
        <v>42</v>
      </c>
      <c r="AD2198">
        <v>1</v>
      </c>
    </row>
    <row r="2199" spans="1:30">
      <c r="A2199" t="str">
        <f>CONCATENATE(I2199,J2199)</f>
        <v>NSILEQ</v>
      </c>
      <c r="B2199" s="34">
        <v>46273</v>
      </c>
      <c r="C2199" s="34">
        <v>46273</v>
      </c>
      <c r="D2199" t="s">
        <v>35</v>
      </c>
      <c r="E2199" t="s">
        <v>36</v>
      </c>
      <c r="F2199" t="s">
        <v>37</v>
      </c>
      <c r="G2199">
        <v>11239</v>
      </c>
      <c r="H2199" t="s">
        <v>6654</v>
      </c>
      <c r="I2199" t="s">
        <v>6655</v>
      </c>
      <c r="J2199" t="s">
        <v>161</v>
      </c>
      <c r="O2199" t="s">
        <v>6656</v>
      </c>
      <c r="P2199">
        <v>5656</v>
      </c>
      <c r="Q2199">
        <v>5723</v>
      </c>
      <c r="R2199">
        <v>5650</v>
      </c>
      <c r="S2199">
        <v>5660</v>
      </c>
      <c r="T2199">
        <v>5650</v>
      </c>
      <c r="U2199">
        <v>5677</v>
      </c>
      <c r="W2199">
        <v>5660</v>
      </c>
      <c r="Z2199">
        <v>973</v>
      </c>
      <c r="AA2199">
        <v>5523401</v>
      </c>
      <c r="AB2199">
        <v>226</v>
      </c>
      <c r="AC2199" t="s">
        <v>42</v>
      </c>
      <c r="AD2199">
        <v>1</v>
      </c>
    </row>
    <row r="2200" spans="1:30">
      <c r="A2200" t="str">
        <f>CONCATENATE(I2200,J2200)</f>
        <v>NAMOEWASTEST</v>
      </c>
      <c r="B2200" s="34">
        <v>46273</v>
      </c>
      <c r="C2200" s="34">
        <v>46273</v>
      </c>
      <c r="D2200" t="s">
        <v>35</v>
      </c>
      <c r="E2200" t="s">
        <v>36</v>
      </c>
      <c r="F2200" t="s">
        <v>37</v>
      </c>
      <c r="G2200">
        <v>25170</v>
      </c>
      <c r="H2200" t="s">
        <v>6657</v>
      </c>
      <c r="I2200" t="s">
        <v>6658</v>
      </c>
      <c r="J2200" t="s">
        <v>328</v>
      </c>
      <c r="O2200" t="s">
        <v>6659</v>
      </c>
      <c r="P2200">
        <v>284.5</v>
      </c>
      <c r="Q2200">
        <v>289.95</v>
      </c>
      <c r="R2200">
        <v>280.3</v>
      </c>
      <c r="S2200">
        <v>281.25</v>
      </c>
      <c r="T2200">
        <v>280.3</v>
      </c>
      <c r="U2200">
        <v>284</v>
      </c>
      <c r="W2200">
        <v>281.25</v>
      </c>
      <c r="Z2200">
        <v>14400</v>
      </c>
      <c r="AA2200">
        <v>4091040</v>
      </c>
      <c r="AB2200">
        <v>18</v>
      </c>
      <c r="AC2200" t="s">
        <v>42</v>
      </c>
      <c r="AD2200">
        <v>800</v>
      </c>
    </row>
    <row r="2201" spans="1:30">
      <c r="A2201" t="str">
        <f>CONCATENATE(I2201,J2201)</f>
        <v>NDLEQ</v>
      </c>
      <c r="B2201" s="34">
        <v>46273</v>
      </c>
      <c r="C2201" s="34">
        <v>46273</v>
      </c>
      <c r="D2201" t="s">
        <v>35</v>
      </c>
      <c r="E2201" t="s">
        <v>36</v>
      </c>
      <c r="F2201" t="s">
        <v>37</v>
      </c>
      <c r="G2201">
        <v>31258</v>
      </c>
      <c r="H2201" t="s">
        <v>6660</v>
      </c>
      <c r="I2201" t="s">
        <v>6661</v>
      </c>
      <c r="J2201" t="s">
        <v>161</v>
      </c>
      <c r="O2201" t="s">
        <v>6662</v>
      </c>
      <c r="P2201">
        <v>3.02</v>
      </c>
      <c r="Q2201">
        <v>3.03</v>
      </c>
      <c r="R2201">
        <v>2.91</v>
      </c>
      <c r="S2201">
        <v>2.92</v>
      </c>
      <c r="T2201">
        <v>2.92</v>
      </c>
      <c r="U2201">
        <v>2.98</v>
      </c>
      <c r="W2201">
        <v>2.92</v>
      </c>
      <c r="Z2201">
        <v>1104958</v>
      </c>
      <c r="AA2201">
        <v>3275389.48</v>
      </c>
      <c r="AB2201">
        <v>1448</v>
      </c>
      <c r="AC2201" t="s">
        <v>42</v>
      </c>
      <c r="AD2201">
        <v>1</v>
      </c>
    </row>
    <row r="2202" spans="1:30">
      <c r="A2202" t="str">
        <f>CONCATENATE(I2202,J2202)</f>
        <v>JAIPURKURTEQ</v>
      </c>
      <c r="B2202" s="34">
        <v>46273</v>
      </c>
      <c r="C2202" s="34">
        <v>46273</v>
      </c>
      <c r="D2202" t="s">
        <v>35</v>
      </c>
      <c r="E2202" t="s">
        <v>36</v>
      </c>
      <c r="F2202" t="s">
        <v>37</v>
      </c>
      <c r="G2202">
        <v>5516</v>
      </c>
      <c r="H2202" t="s">
        <v>6663</v>
      </c>
      <c r="I2202" t="s">
        <v>6664</v>
      </c>
      <c r="J2202" t="s">
        <v>161</v>
      </c>
      <c r="O2202" t="s">
        <v>6665</v>
      </c>
      <c r="P2202">
        <v>25.09</v>
      </c>
      <c r="Q2202">
        <v>25.97</v>
      </c>
      <c r="R2202">
        <v>25.09</v>
      </c>
      <c r="S2202">
        <v>25.71</v>
      </c>
      <c r="T2202">
        <v>25.75</v>
      </c>
      <c r="U2202">
        <v>25.49</v>
      </c>
      <c r="W2202">
        <v>25.71</v>
      </c>
      <c r="Z2202">
        <v>7292</v>
      </c>
      <c r="AA2202">
        <v>186501.56</v>
      </c>
      <c r="AB2202">
        <v>90</v>
      </c>
      <c r="AC2202" t="s">
        <v>42</v>
      </c>
      <c r="AD2202">
        <v>1</v>
      </c>
    </row>
    <row r="2203" spans="1:30">
      <c r="A2203" t="str">
        <f>CONCATENATE(I2203,J2203)</f>
        <v>NHEQ</v>
      </c>
      <c r="B2203" s="34">
        <v>46273</v>
      </c>
      <c r="C2203" s="34">
        <v>46273</v>
      </c>
      <c r="D2203" t="s">
        <v>35</v>
      </c>
      <c r="E2203" t="s">
        <v>36</v>
      </c>
      <c r="F2203" t="s">
        <v>37</v>
      </c>
      <c r="G2203">
        <v>11840</v>
      </c>
      <c r="H2203" t="s">
        <v>6666</v>
      </c>
      <c r="I2203" t="s">
        <v>468</v>
      </c>
      <c r="J2203" t="s">
        <v>161</v>
      </c>
      <c r="O2203" t="s">
        <v>6667</v>
      </c>
      <c r="P2203">
        <v>1910</v>
      </c>
      <c r="Q2203">
        <v>1924</v>
      </c>
      <c r="R2203">
        <v>1887</v>
      </c>
      <c r="S2203">
        <v>1897.4</v>
      </c>
      <c r="T2203">
        <v>1899.8</v>
      </c>
      <c r="U2203">
        <v>1911.8</v>
      </c>
      <c r="W2203">
        <v>1897.35</v>
      </c>
      <c r="Z2203">
        <v>126279</v>
      </c>
      <c r="AA2203">
        <v>239875745</v>
      </c>
      <c r="AB2203">
        <v>16557</v>
      </c>
      <c r="AC2203" t="s">
        <v>42</v>
      </c>
      <c r="AD2203">
        <v>1</v>
      </c>
    </row>
    <row r="2204" spans="1:30">
      <c r="A2204" t="str">
        <f>CONCATENATE(I2204,J2204)</f>
        <v>NARMADAEQ</v>
      </c>
      <c r="B2204" s="34">
        <v>46273</v>
      </c>
      <c r="C2204" s="34">
        <v>46273</v>
      </c>
      <c r="D2204" t="s">
        <v>35</v>
      </c>
      <c r="E2204" t="s">
        <v>36</v>
      </c>
      <c r="F2204" t="s">
        <v>37</v>
      </c>
      <c r="G2204">
        <v>11627</v>
      </c>
      <c r="H2204" t="s">
        <v>6668</v>
      </c>
      <c r="I2204" t="s">
        <v>6669</v>
      </c>
      <c r="J2204" t="s">
        <v>161</v>
      </c>
      <c r="O2204" t="s">
        <v>6670</v>
      </c>
      <c r="P2204">
        <v>14.38</v>
      </c>
      <c r="Q2204">
        <v>14.99</v>
      </c>
      <c r="R2204">
        <v>13.96</v>
      </c>
      <c r="S2204">
        <v>14.78</v>
      </c>
      <c r="T2204">
        <v>14.71</v>
      </c>
      <c r="U2204">
        <v>14.39</v>
      </c>
      <c r="W2204">
        <v>14.78</v>
      </c>
      <c r="Z2204">
        <v>852012</v>
      </c>
      <c r="AA2204">
        <v>12414508.33</v>
      </c>
      <c r="AB2204">
        <v>1220</v>
      </c>
      <c r="AC2204" t="s">
        <v>42</v>
      </c>
      <c r="AD2204">
        <v>1</v>
      </c>
    </row>
    <row r="2205" spans="1:30">
      <c r="A2205" t="str">
        <f>CONCATENATE(I2205,J2205)</f>
        <v>NATCOPHARMEQ</v>
      </c>
      <c r="B2205" s="34">
        <v>46273</v>
      </c>
      <c r="C2205" s="34">
        <v>46273</v>
      </c>
      <c r="D2205" t="s">
        <v>35</v>
      </c>
      <c r="E2205" t="s">
        <v>36</v>
      </c>
      <c r="F2205" t="s">
        <v>37</v>
      </c>
      <c r="G2205">
        <v>3918</v>
      </c>
      <c r="H2205" t="s">
        <v>6671</v>
      </c>
      <c r="I2205" t="s">
        <v>6672</v>
      </c>
      <c r="J2205" t="s">
        <v>161</v>
      </c>
      <c r="O2205" t="s">
        <v>6673</v>
      </c>
      <c r="P2205">
        <v>838.3</v>
      </c>
      <c r="Q2205">
        <v>846.85</v>
      </c>
      <c r="R2205">
        <v>823.4</v>
      </c>
      <c r="S2205">
        <v>825.75</v>
      </c>
      <c r="T2205">
        <v>825</v>
      </c>
      <c r="U2205">
        <v>838.3</v>
      </c>
      <c r="W2205">
        <v>825.78</v>
      </c>
      <c r="Z2205">
        <v>302502</v>
      </c>
      <c r="AA2205">
        <v>251451242.94999999</v>
      </c>
      <c r="AB2205">
        <v>25938</v>
      </c>
      <c r="AC2205" t="s">
        <v>42</v>
      </c>
      <c r="AD2205">
        <v>1</v>
      </c>
    </row>
    <row r="2206" spans="1:30">
      <c r="A2206" t="str">
        <f>CONCATENATE(I2206,J2206)</f>
        <v>NATHBIOGENEQ</v>
      </c>
      <c r="B2206" s="34">
        <v>46273</v>
      </c>
      <c r="C2206" s="34">
        <v>46273</v>
      </c>
      <c r="D2206" t="s">
        <v>35</v>
      </c>
      <c r="E2206" t="s">
        <v>36</v>
      </c>
      <c r="F2206" t="s">
        <v>37</v>
      </c>
      <c r="G2206">
        <v>11065</v>
      </c>
      <c r="H2206" t="s">
        <v>6674</v>
      </c>
      <c r="I2206" t="s">
        <v>6675</v>
      </c>
      <c r="J2206" t="s">
        <v>161</v>
      </c>
      <c r="O2206" t="s">
        <v>6676</v>
      </c>
      <c r="P2206">
        <v>152.27000000000001</v>
      </c>
      <c r="Q2206">
        <v>153.94999999999999</v>
      </c>
      <c r="R2206">
        <v>149.97999999999999</v>
      </c>
      <c r="S2206">
        <v>152.01</v>
      </c>
      <c r="T2206">
        <v>152.02000000000001</v>
      </c>
      <c r="U2206">
        <v>152.65</v>
      </c>
      <c r="W2206">
        <v>152.01</v>
      </c>
      <c r="Z2206">
        <v>17414</v>
      </c>
      <c r="AA2206">
        <v>2643639.59</v>
      </c>
      <c r="AB2206">
        <v>169</v>
      </c>
      <c r="AC2206" t="s">
        <v>42</v>
      </c>
      <c r="AD2206">
        <v>1</v>
      </c>
    </row>
    <row r="2207" spans="1:30">
      <c r="A2207" t="str">
        <f>CONCATENATE(I2207,J2207)</f>
        <v>NATIONALUMEQ</v>
      </c>
      <c r="B2207" s="34">
        <v>46273</v>
      </c>
      <c r="C2207" s="34">
        <v>46273</v>
      </c>
      <c r="D2207" t="s">
        <v>35</v>
      </c>
      <c r="E2207" t="s">
        <v>36</v>
      </c>
      <c r="F2207" t="s">
        <v>37</v>
      </c>
      <c r="G2207">
        <v>6364</v>
      </c>
      <c r="H2207" t="s">
        <v>6677</v>
      </c>
      <c r="I2207" t="s">
        <v>6678</v>
      </c>
      <c r="J2207" t="s">
        <v>161</v>
      </c>
      <c r="O2207" t="s">
        <v>6679</v>
      </c>
      <c r="P2207">
        <v>370.7</v>
      </c>
      <c r="Q2207">
        <v>378.3</v>
      </c>
      <c r="R2207">
        <v>367.8</v>
      </c>
      <c r="S2207">
        <v>371.05</v>
      </c>
      <c r="T2207">
        <v>371.05</v>
      </c>
      <c r="U2207">
        <v>365.9</v>
      </c>
      <c r="W2207">
        <v>371.05</v>
      </c>
      <c r="Z2207">
        <v>5469151</v>
      </c>
      <c r="AA2207">
        <v>2040211050.3499999</v>
      </c>
      <c r="AB2207">
        <v>60372</v>
      </c>
      <c r="AC2207" t="s">
        <v>42</v>
      </c>
      <c r="AD2207">
        <v>1</v>
      </c>
    </row>
    <row r="2208" spans="1:30">
      <c r="A2208" t="str">
        <f>CONCATENATE(I2208,J2208)</f>
        <v>NFLEQ</v>
      </c>
      <c r="B2208" s="34">
        <v>46273</v>
      </c>
      <c r="C2208" s="34">
        <v>46273</v>
      </c>
      <c r="D2208" t="s">
        <v>35</v>
      </c>
      <c r="E2208" t="s">
        <v>36</v>
      </c>
      <c r="F2208" t="s">
        <v>37</v>
      </c>
      <c r="G2208">
        <v>13925</v>
      </c>
      <c r="H2208" t="s">
        <v>6680</v>
      </c>
      <c r="I2208" t="s">
        <v>6681</v>
      </c>
      <c r="J2208" t="s">
        <v>161</v>
      </c>
      <c r="O2208" t="s">
        <v>6682</v>
      </c>
      <c r="P2208">
        <v>70.2</v>
      </c>
      <c r="Q2208">
        <v>71.28</v>
      </c>
      <c r="R2208">
        <v>70.11</v>
      </c>
      <c r="S2208">
        <v>70.349999999999994</v>
      </c>
      <c r="T2208">
        <v>70.16</v>
      </c>
      <c r="U2208">
        <v>70.319999999999993</v>
      </c>
      <c r="W2208">
        <v>70.349999999999994</v>
      </c>
      <c r="Z2208">
        <v>444515</v>
      </c>
      <c r="AA2208">
        <v>31321301.32</v>
      </c>
      <c r="AB2208">
        <v>2939</v>
      </c>
      <c r="AC2208" t="s">
        <v>42</v>
      </c>
      <c r="AD2208">
        <v>1</v>
      </c>
    </row>
    <row r="2209" spans="1:30">
      <c r="A2209" t="str">
        <f>CONCATENATE(I2209,J2209)</f>
        <v>NHITIV</v>
      </c>
      <c r="B2209" s="34">
        <v>46273</v>
      </c>
      <c r="C2209" s="34">
        <v>46273</v>
      </c>
      <c r="D2209" t="s">
        <v>35</v>
      </c>
      <c r="E2209" t="s">
        <v>36</v>
      </c>
      <c r="F2209" t="s">
        <v>37</v>
      </c>
      <c r="G2209">
        <v>6531</v>
      </c>
      <c r="H2209" t="s">
        <v>6683</v>
      </c>
      <c r="I2209" t="s">
        <v>6684</v>
      </c>
      <c r="J2209" t="s">
        <v>759</v>
      </c>
      <c r="O2209" t="s">
        <v>6685</v>
      </c>
      <c r="P2209">
        <v>169.95</v>
      </c>
      <c r="Q2209">
        <v>169.95</v>
      </c>
      <c r="R2209">
        <v>169.95</v>
      </c>
      <c r="S2209">
        <v>169.95</v>
      </c>
      <c r="T2209">
        <v>169.95</v>
      </c>
      <c r="U2209">
        <v>171</v>
      </c>
      <c r="W2209">
        <v>169.95</v>
      </c>
      <c r="Z2209">
        <v>25000</v>
      </c>
      <c r="AA2209">
        <v>4248750</v>
      </c>
      <c r="AB2209">
        <v>1</v>
      </c>
      <c r="AC2209" t="s">
        <v>42</v>
      </c>
      <c r="AD2209">
        <v>25000</v>
      </c>
    </row>
    <row r="2210" spans="1:30">
      <c r="A2210" t="str">
        <f>CONCATENATE(I2210,J2210)</f>
        <v>NATIONSTDEQ</v>
      </c>
      <c r="B2210" s="34">
        <v>46273</v>
      </c>
      <c r="C2210" s="34">
        <v>46273</v>
      </c>
      <c r="D2210" t="s">
        <v>35</v>
      </c>
      <c r="E2210" t="s">
        <v>36</v>
      </c>
      <c r="F2210" t="s">
        <v>37</v>
      </c>
      <c r="G2210">
        <v>762807</v>
      </c>
      <c r="H2210" t="s">
        <v>6686</v>
      </c>
      <c r="I2210" t="s">
        <v>6687</v>
      </c>
      <c r="J2210" t="s">
        <v>161</v>
      </c>
      <c r="O2210" t="s">
        <v>6688</v>
      </c>
      <c r="P2210">
        <v>106</v>
      </c>
      <c r="Q2210">
        <v>109.96</v>
      </c>
      <c r="R2210">
        <v>104.82</v>
      </c>
      <c r="S2210">
        <v>109.95</v>
      </c>
      <c r="T2210">
        <v>109.96</v>
      </c>
      <c r="U2210">
        <v>104.73</v>
      </c>
      <c r="W2210">
        <v>109.94</v>
      </c>
      <c r="Z2210">
        <v>18469</v>
      </c>
      <c r="AA2210">
        <v>1995196.36</v>
      </c>
      <c r="AB2210">
        <v>593</v>
      </c>
      <c r="AC2210" t="s">
        <v>42</v>
      </c>
      <c r="AD2210">
        <v>1</v>
      </c>
    </row>
    <row r="2211" spans="1:30">
      <c r="A2211" t="str">
        <f>CONCATENATE(I2211,J2211)</f>
        <v>NATCAPSUQBE</v>
      </c>
      <c r="B2211" s="34">
        <v>46273</v>
      </c>
      <c r="C2211" s="34">
        <v>46273</v>
      </c>
      <c r="D2211" t="s">
        <v>35</v>
      </c>
      <c r="E2211" t="s">
        <v>36</v>
      </c>
      <c r="F2211" t="s">
        <v>37</v>
      </c>
      <c r="G2211">
        <v>29588</v>
      </c>
      <c r="H2211" t="s">
        <v>6689</v>
      </c>
      <c r="I2211" t="s">
        <v>6690</v>
      </c>
      <c r="J2211" t="s">
        <v>183</v>
      </c>
      <c r="O2211" t="s">
        <v>6691</v>
      </c>
      <c r="P2211">
        <v>206</v>
      </c>
      <c r="Q2211">
        <v>206</v>
      </c>
      <c r="R2211">
        <v>195.64</v>
      </c>
      <c r="S2211">
        <v>196.19</v>
      </c>
      <c r="T2211">
        <v>195.86</v>
      </c>
      <c r="U2211">
        <v>205.93</v>
      </c>
      <c r="W2211">
        <v>198.45</v>
      </c>
      <c r="Z2211">
        <v>35188</v>
      </c>
      <c r="AA2211">
        <v>6931817.1900000004</v>
      </c>
      <c r="AB2211">
        <v>304</v>
      </c>
      <c r="AC2211" t="s">
        <v>42</v>
      </c>
      <c r="AD2211">
        <v>1</v>
      </c>
    </row>
    <row r="2212" spans="1:30">
      <c r="A2212" t="str">
        <f>CONCATENATE(I2212,J2212)</f>
        <v>NAVAEQ</v>
      </c>
      <c r="B2212" s="34">
        <v>46273</v>
      </c>
      <c r="C2212" s="34">
        <v>46273</v>
      </c>
      <c r="D2212" t="s">
        <v>35</v>
      </c>
      <c r="E2212" t="s">
        <v>36</v>
      </c>
      <c r="F2212" t="s">
        <v>37</v>
      </c>
      <c r="G2212">
        <v>4014</v>
      </c>
      <c r="H2212" t="s">
        <v>6692</v>
      </c>
      <c r="I2212" t="s">
        <v>6693</v>
      </c>
      <c r="J2212" t="s">
        <v>161</v>
      </c>
      <c r="O2212" t="s">
        <v>6694</v>
      </c>
      <c r="P2212">
        <v>559.95000000000005</v>
      </c>
      <c r="Q2212">
        <v>559.95000000000005</v>
      </c>
      <c r="R2212">
        <v>551</v>
      </c>
      <c r="S2212">
        <v>554.54999999999995</v>
      </c>
      <c r="T2212">
        <v>556.95000000000005</v>
      </c>
      <c r="U2212">
        <v>556.25</v>
      </c>
      <c r="W2212">
        <v>554.54999999999995</v>
      </c>
      <c r="Z2212">
        <v>133022</v>
      </c>
      <c r="AA2212">
        <v>73812128.75</v>
      </c>
      <c r="AB2212">
        <v>5198</v>
      </c>
      <c r="AC2212" t="s">
        <v>42</v>
      </c>
      <c r="AD2212">
        <v>1</v>
      </c>
    </row>
    <row r="2213" spans="1:30">
      <c r="A2213" t="str">
        <f>CONCATENATE(I2213,J2213)</f>
        <v>NAVINFLUOREQ</v>
      </c>
      <c r="B2213" s="34">
        <v>46273</v>
      </c>
      <c r="C2213" s="34">
        <v>46273</v>
      </c>
      <c r="D2213" t="s">
        <v>35</v>
      </c>
      <c r="E2213" t="s">
        <v>36</v>
      </c>
      <c r="F2213" t="s">
        <v>37</v>
      </c>
      <c r="G2213">
        <v>14672</v>
      </c>
      <c r="H2213" t="s">
        <v>6695</v>
      </c>
      <c r="I2213" t="s">
        <v>6696</v>
      </c>
      <c r="J2213" t="s">
        <v>161</v>
      </c>
      <c r="O2213" t="s">
        <v>6697</v>
      </c>
      <c r="P2213">
        <v>8552</v>
      </c>
      <c r="Q2213">
        <v>8754</v>
      </c>
      <c r="R2213">
        <v>8505.5</v>
      </c>
      <c r="S2213">
        <v>8731</v>
      </c>
      <c r="T2213">
        <v>8740</v>
      </c>
      <c r="U2213">
        <v>8603.5</v>
      </c>
      <c r="W2213">
        <v>8730.81</v>
      </c>
      <c r="Z2213">
        <v>118511</v>
      </c>
      <c r="AA2213">
        <v>1028578037</v>
      </c>
      <c r="AB2213">
        <v>24456</v>
      </c>
      <c r="AC2213" t="s">
        <v>42</v>
      </c>
      <c r="AD2213">
        <v>1</v>
      </c>
    </row>
    <row r="2214" spans="1:30">
      <c r="A2214" t="str">
        <f>CONCATENATE(I2214,J2214)</f>
        <v>NAVKARCORPEQ</v>
      </c>
      <c r="B2214" s="34">
        <v>46273</v>
      </c>
      <c r="C2214" s="34">
        <v>46273</v>
      </c>
      <c r="D2214" t="s">
        <v>35</v>
      </c>
      <c r="E2214" t="s">
        <v>36</v>
      </c>
      <c r="F2214" t="s">
        <v>37</v>
      </c>
      <c r="G2214">
        <v>10557</v>
      </c>
      <c r="H2214" t="s">
        <v>6698</v>
      </c>
      <c r="I2214" t="s">
        <v>6699</v>
      </c>
      <c r="J2214" t="s">
        <v>161</v>
      </c>
      <c r="O2214" t="s">
        <v>6700</v>
      </c>
      <c r="P2214">
        <v>95.5</v>
      </c>
      <c r="Q2214">
        <v>96.97</v>
      </c>
      <c r="R2214">
        <v>94.11</v>
      </c>
      <c r="S2214">
        <v>94.75</v>
      </c>
      <c r="T2214">
        <v>95</v>
      </c>
      <c r="U2214">
        <v>96.02</v>
      </c>
      <c r="W2214">
        <v>94.75</v>
      </c>
      <c r="Z2214">
        <v>224450</v>
      </c>
      <c r="AA2214">
        <v>21351642.09</v>
      </c>
      <c r="AB2214">
        <v>2449</v>
      </c>
      <c r="AC2214" t="s">
        <v>42</v>
      </c>
      <c r="AD2214">
        <v>1</v>
      </c>
    </row>
    <row r="2215" spans="1:30">
      <c r="A2215" t="str">
        <f>CONCATENATE(I2215,J2215)</f>
        <v>NAVKARURBBE</v>
      </c>
      <c r="B2215" s="34">
        <v>46273</v>
      </c>
      <c r="C2215" s="34">
        <v>46273</v>
      </c>
      <c r="D2215" t="s">
        <v>35</v>
      </c>
      <c r="E2215" t="s">
        <v>36</v>
      </c>
      <c r="F2215" t="s">
        <v>37</v>
      </c>
      <c r="G2215">
        <v>29149</v>
      </c>
      <c r="H2215" t="s">
        <v>6701</v>
      </c>
      <c r="I2215" t="s">
        <v>6702</v>
      </c>
      <c r="J2215" t="s">
        <v>183</v>
      </c>
      <c r="O2215" t="s">
        <v>6703</v>
      </c>
      <c r="P2215">
        <v>0.91</v>
      </c>
      <c r="Q2215">
        <v>0.92</v>
      </c>
      <c r="R2215">
        <v>0.88</v>
      </c>
      <c r="S2215">
        <v>0.89</v>
      </c>
      <c r="T2215">
        <v>0.89</v>
      </c>
      <c r="U2215">
        <v>0.92</v>
      </c>
      <c r="W2215">
        <v>0.89</v>
      </c>
      <c r="Z2215">
        <v>5351448</v>
      </c>
      <c r="AA2215">
        <v>4867743.96</v>
      </c>
      <c r="AB2215">
        <v>295</v>
      </c>
      <c r="AC2215" t="s">
        <v>42</v>
      </c>
      <c r="AD2215">
        <v>1</v>
      </c>
    </row>
    <row r="2216" spans="1:30">
      <c r="A2216" t="str">
        <f>CONCATENATE(I2216,J2216)</f>
        <v>NAVNETEDULEQ</v>
      </c>
      <c r="B2216" s="34">
        <v>46273</v>
      </c>
      <c r="C2216" s="34">
        <v>46273</v>
      </c>
      <c r="D2216" t="s">
        <v>35</v>
      </c>
      <c r="E2216" t="s">
        <v>36</v>
      </c>
      <c r="F2216" t="s">
        <v>37</v>
      </c>
      <c r="G2216">
        <v>2385</v>
      </c>
      <c r="H2216" t="s">
        <v>6704</v>
      </c>
      <c r="I2216" t="s">
        <v>6705</v>
      </c>
      <c r="J2216" t="s">
        <v>161</v>
      </c>
      <c r="O2216" t="s">
        <v>6706</v>
      </c>
      <c r="P2216">
        <v>131.6</v>
      </c>
      <c r="Q2216">
        <v>131.6</v>
      </c>
      <c r="R2216">
        <v>130</v>
      </c>
      <c r="S2216">
        <v>130.16</v>
      </c>
      <c r="T2216">
        <v>130.19</v>
      </c>
      <c r="U2216">
        <v>131.84</v>
      </c>
      <c r="W2216">
        <v>130.16</v>
      </c>
      <c r="Z2216">
        <v>32431</v>
      </c>
      <c r="AA2216">
        <v>4229048.96</v>
      </c>
      <c r="AB2216">
        <v>887</v>
      </c>
      <c r="AC2216" t="s">
        <v>42</v>
      </c>
      <c r="AD2216">
        <v>1</v>
      </c>
    </row>
    <row r="2217" spans="1:30">
      <c r="A2217" t="str">
        <f>CONCATENATE(I2217,J2217)</f>
        <v>NAZARAEQ</v>
      </c>
      <c r="B2217" s="34">
        <v>46273</v>
      </c>
      <c r="C2217" s="34">
        <v>46273</v>
      </c>
      <c r="D2217" t="s">
        <v>35</v>
      </c>
      <c r="E2217" t="s">
        <v>36</v>
      </c>
      <c r="F2217" t="s">
        <v>37</v>
      </c>
      <c r="G2217">
        <v>2987</v>
      </c>
      <c r="H2217" t="s">
        <v>6707</v>
      </c>
      <c r="I2217" t="s">
        <v>6708</v>
      </c>
      <c r="J2217" t="s">
        <v>161</v>
      </c>
      <c r="O2217" t="s">
        <v>6709</v>
      </c>
      <c r="P2217">
        <v>368</v>
      </c>
      <c r="Q2217">
        <v>370.7</v>
      </c>
      <c r="R2217">
        <v>366</v>
      </c>
      <c r="S2217">
        <v>368.4</v>
      </c>
      <c r="T2217">
        <v>368.1</v>
      </c>
      <c r="U2217">
        <v>370.3</v>
      </c>
      <c r="W2217">
        <v>368.4</v>
      </c>
      <c r="Z2217">
        <v>510005</v>
      </c>
      <c r="AA2217">
        <v>187930199.34999999</v>
      </c>
      <c r="AB2217">
        <v>11742</v>
      </c>
      <c r="AC2217" t="s">
        <v>42</v>
      </c>
      <c r="AD2217">
        <v>1</v>
      </c>
    </row>
    <row r="2218" spans="1:30">
      <c r="A2218" t="str">
        <f>CONCATENATE(I2218,J2218)</f>
        <v>NBCCEQ</v>
      </c>
      <c r="B2218" s="34">
        <v>46273</v>
      </c>
      <c r="C2218" s="34">
        <v>46273</v>
      </c>
      <c r="D2218" t="s">
        <v>35</v>
      </c>
      <c r="E2218" t="s">
        <v>36</v>
      </c>
      <c r="F2218" t="s">
        <v>37</v>
      </c>
      <c r="G2218">
        <v>31415</v>
      </c>
      <c r="H2218" t="s">
        <v>6710</v>
      </c>
      <c r="I2218" t="s">
        <v>6711</v>
      </c>
      <c r="J2218" t="s">
        <v>161</v>
      </c>
      <c r="O2218" t="s">
        <v>6712</v>
      </c>
      <c r="P2218">
        <v>85.54</v>
      </c>
      <c r="Q2218">
        <v>86.1</v>
      </c>
      <c r="R2218">
        <v>84.88</v>
      </c>
      <c r="S2218">
        <v>86</v>
      </c>
      <c r="T2218">
        <v>86</v>
      </c>
      <c r="U2218">
        <v>86</v>
      </c>
      <c r="W2218">
        <v>86</v>
      </c>
      <c r="Z2218">
        <v>4783728</v>
      </c>
      <c r="AA2218">
        <v>408746998.72000003</v>
      </c>
      <c r="AB2218">
        <v>26177</v>
      </c>
      <c r="AC2218" t="s">
        <v>42</v>
      </c>
      <c r="AD2218">
        <v>1</v>
      </c>
    </row>
    <row r="2219" spans="1:30">
      <c r="A2219" t="str">
        <f>CONCATENATE(I2219,J2219)</f>
        <v>NCCEQ</v>
      </c>
      <c r="B2219" s="34">
        <v>46273</v>
      </c>
      <c r="C2219" s="34">
        <v>46273</v>
      </c>
      <c r="D2219" t="s">
        <v>35</v>
      </c>
      <c r="E2219" t="s">
        <v>36</v>
      </c>
      <c r="F2219" t="s">
        <v>37</v>
      </c>
      <c r="G2219">
        <v>2319</v>
      </c>
      <c r="H2219" t="s">
        <v>6713</v>
      </c>
      <c r="I2219" t="s">
        <v>6714</v>
      </c>
      <c r="J2219" t="s">
        <v>161</v>
      </c>
      <c r="O2219" t="s">
        <v>6715</v>
      </c>
      <c r="P2219">
        <v>150.6</v>
      </c>
      <c r="Q2219">
        <v>152.5</v>
      </c>
      <c r="R2219">
        <v>147.55000000000001</v>
      </c>
      <c r="S2219">
        <v>148.65</v>
      </c>
      <c r="T2219">
        <v>148.4</v>
      </c>
      <c r="U2219">
        <v>150.66999999999999</v>
      </c>
      <c r="W2219">
        <v>148.66</v>
      </c>
      <c r="Z2219">
        <v>3150554</v>
      </c>
      <c r="AA2219">
        <v>473276097.06999999</v>
      </c>
      <c r="AB2219">
        <v>24910</v>
      </c>
      <c r="AC2219" t="s">
        <v>42</v>
      </c>
      <c r="AD2219">
        <v>1</v>
      </c>
    </row>
    <row r="2220" spans="1:30">
      <c r="A2220" t="str">
        <f>CONCATENATE(I2220,J2220)</f>
        <v>NCLINDEQ</v>
      </c>
      <c r="B2220" s="34">
        <v>46273</v>
      </c>
      <c r="C2220" s="34">
        <v>46273</v>
      </c>
      <c r="D2220" t="s">
        <v>35</v>
      </c>
      <c r="E2220" t="s">
        <v>36</v>
      </c>
      <c r="F2220" t="s">
        <v>37</v>
      </c>
      <c r="G2220">
        <v>14490</v>
      </c>
      <c r="H2220" t="s">
        <v>6716</v>
      </c>
      <c r="I2220" t="s">
        <v>6717</v>
      </c>
      <c r="J2220" t="s">
        <v>161</v>
      </c>
      <c r="O2220" t="s">
        <v>6718</v>
      </c>
      <c r="P2220">
        <v>177.65</v>
      </c>
      <c r="Q2220">
        <v>177.65</v>
      </c>
      <c r="R2220">
        <v>175.82</v>
      </c>
      <c r="S2220">
        <v>176.65</v>
      </c>
      <c r="T2220">
        <v>176.05</v>
      </c>
      <c r="U2220">
        <v>178.3</v>
      </c>
      <c r="W2220">
        <v>176.66</v>
      </c>
      <c r="Z2220">
        <v>11552</v>
      </c>
      <c r="AA2220">
        <v>2040337.35</v>
      </c>
      <c r="AB2220">
        <v>421</v>
      </c>
      <c r="AC2220" t="s">
        <v>42</v>
      </c>
      <c r="AD2220">
        <v>1</v>
      </c>
    </row>
    <row r="2221" spans="1:30">
      <c r="A2221" t="str">
        <f>CONCATENATE(I2221,J2221)</f>
        <v>NDLVENTUREEQ</v>
      </c>
      <c r="B2221" s="34">
        <v>46273</v>
      </c>
      <c r="C2221" s="34">
        <v>46273</v>
      </c>
      <c r="D2221" t="s">
        <v>35</v>
      </c>
      <c r="E2221" t="s">
        <v>36</v>
      </c>
      <c r="F2221" t="s">
        <v>37</v>
      </c>
      <c r="G2221">
        <v>14547</v>
      </c>
      <c r="H2221" t="s">
        <v>6719</v>
      </c>
      <c r="I2221" t="s">
        <v>6720</v>
      </c>
      <c r="J2221" t="s">
        <v>161</v>
      </c>
      <c r="O2221" t="s">
        <v>6721</v>
      </c>
      <c r="P2221">
        <v>121.1</v>
      </c>
      <c r="Q2221">
        <v>128.80000000000001</v>
      </c>
      <c r="R2221">
        <v>121.1</v>
      </c>
      <c r="S2221">
        <v>126.18</v>
      </c>
      <c r="T2221">
        <v>128.80000000000001</v>
      </c>
      <c r="U2221">
        <v>120.57</v>
      </c>
      <c r="W2221">
        <v>126.42</v>
      </c>
      <c r="Z2221">
        <v>23689</v>
      </c>
      <c r="AA2221">
        <v>2962994.29</v>
      </c>
      <c r="AB2221">
        <v>139</v>
      </c>
      <c r="AC2221" t="s">
        <v>42</v>
      </c>
      <c r="AD2221">
        <v>1</v>
      </c>
    </row>
    <row r="2222" spans="1:30">
      <c r="A2222" t="str">
        <f>CONCATENATE(I2222,J2222)</f>
        <v>NDRAUTOEQ</v>
      </c>
      <c r="B2222" s="34">
        <v>46273</v>
      </c>
      <c r="C2222" s="34">
        <v>46273</v>
      </c>
      <c r="D2222" t="s">
        <v>35</v>
      </c>
      <c r="E2222" t="s">
        <v>36</v>
      </c>
      <c r="F2222" t="s">
        <v>37</v>
      </c>
      <c r="G2222">
        <v>22255</v>
      </c>
      <c r="H2222" t="s">
        <v>6722</v>
      </c>
      <c r="I2222" t="s">
        <v>6723</v>
      </c>
      <c r="J2222" t="s">
        <v>161</v>
      </c>
      <c r="O2222" t="s">
        <v>6724</v>
      </c>
      <c r="P2222">
        <v>717.1</v>
      </c>
      <c r="Q2222">
        <v>727.15</v>
      </c>
      <c r="R2222">
        <v>710.05</v>
      </c>
      <c r="S2222">
        <v>717.65</v>
      </c>
      <c r="T2222">
        <v>718.6</v>
      </c>
      <c r="U2222">
        <v>721.45</v>
      </c>
      <c r="W2222">
        <v>717.67</v>
      </c>
      <c r="Z2222">
        <v>10845</v>
      </c>
      <c r="AA2222">
        <v>7792191.2999999998</v>
      </c>
      <c r="AB2222">
        <v>1262</v>
      </c>
      <c r="AC2222" t="s">
        <v>42</v>
      </c>
      <c r="AD2222">
        <v>1</v>
      </c>
    </row>
    <row r="2223" spans="1:30">
      <c r="A2223" t="str">
        <f>CONCATENATE(I2223,J2223)</f>
        <v>NDTVEQ</v>
      </c>
      <c r="B2223" s="34">
        <v>46273</v>
      </c>
      <c r="C2223" s="34">
        <v>46273</v>
      </c>
      <c r="D2223" t="s">
        <v>35</v>
      </c>
      <c r="E2223" t="s">
        <v>36</v>
      </c>
      <c r="F2223" t="s">
        <v>37</v>
      </c>
      <c r="G2223">
        <v>11427</v>
      </c>
      <c r="H2223" t="s">
        <v>6725</v>
      </c>
      <c r="I2223" t="s">
        <v>6726</v>
      </c>
      <c r="J2223" t="s">
        <v>161</v>
      </c>
      <c r="O2223" t="s">
        <v>6727</v>
      </c>
      <c r="P2223">
        <v>73.8</v>
      </c>
      <c r="Q2223">
        <v>74.8</v>
      </c>
      <c r="R2223">
        <v>72.150000000000006</v>
      </c>
      <c r="S2223">
        <v>73.03</v>
      </c>
      <c r="T2223">
        <v>74.8</v>
      </c>
      <c r="U2223">
        <v>72.87</v>
      </c>
      <c r="W2223">
        <v>73.02</v>
      </c>
      <c r="Z2223">
        <v>43052</v>
      </c>
      <c r="AA2223">
        <v>3135191.29</v>
      </c>
      <c r="AB2223">
        <v>932</v>
      </c>
      <c r="AC2223" t="s">
        <v>42</v>
      </c>
      <c r="AD2223">
        <v>1</v>
      </c>
    </row>
    <row r="2224" spans="1:30">
      <c r="A2224" t="str">
        <f>CONCATENATE(I2224,J2224)</f>
        <v>NECLIFEEQ</v>
      </c>
      <c r="B2224" s="34">
        <v>46273</v>
      </c>
      <c r="C2224" s="34">
        <v>46273</v>
      </c>
      <c r="D2224" t="s">
        <v>35</v>
      </c>
      <c r="E2224" t="s">
        <v>36</v>
      </c>
      <c r="F2224" t="s">
        <v>37</v>
      </c>
      <c r="G2224">
        <v>11927</v>
      </c>
      <c r="H2224" t="s">
        <v>6728</v>
      </c>
      <c r="I2224" t="s">
        <v>6729</v>
      </c>
      <c r="J2224" t="s">
        <v>161</v>
      </c>
      <c r="O2224" t="s">
        <v>6730</v>
      </c>
      <c r="P2224">
        <v>12.2</v>
      </c>
      <c r="Q2224">
        <v>12.45</v>
      </c>
      <c r="R2224">
        <v>12.08</v>
      </c>
      <c r="S2224">
        <v>12.15</v>
      </c>
      <c r="T2224">
        <v>12.1</v>
      </c>
      <c r="U2224">
        <v>12.07</v>
      </c>
      <c r="W2224">
        <v>12.15</v>
      </c>
      <c r="Z2224">
        <v>240705</v>
      </c>
      <c r="AA2224">
        <v>2946700.16</v>
      </c>
      <c r="AB2224">
        <v>390</v>
      </c>
      <c r="AC2224" t="s">
        <v>42</v>
      </c>
      <c r="AD2224">
        <v>1</v>
      </c>
    </row>
    <row r="2225" spans="1:30">
      <c r="A2225" t="str">
        <f>CONCATENATE(I2225,J2225)</f>
        <v>NEAGIEQ</v>
      </c>
      <c r="B2225" s="34">
        <v>46273</v>
      </c>
      <c r="C2225" s="34">
        <v>46273</v>
      </c>
      <c r="D2225" t="s">
        <v>35</v>
      </c>
      <c r="E2225" t="s">
        <v>36</v>
      </c>
      <c r="F2225" t="s">
        <v>37</v>
      </c>
      <c r="G2225">
        <v>762812</v>
      </c>
      <c r="H2225" t="s">
        <v>6731</v>
      </c>
      <c r="I2225" t="s">
        <v>6732</v>
      </c>
      <c r="J2225" t="s">
        <v>161</v>
      </c>
      <c r="O2225" t="s">
        <v>6733</v>
      </c>
      <c r="P2225">
        <v>3449</v>
      </c>
      <c r="Q2225">
        <v>3470</v>
      </c>
      <c r="R2225">
        <v>3449</v>
      </c>
      <c r="S2225">
        <v>3470</v>
      </c>
      <c r="T2225">
        <v>3470</v>
      </c>
      <c r="U2225">
        <v>3449</v>
      </c>
      <c r="W2225">
        <v>3445.4</v>
      </c>
      <c r="Z2225">
        <v>10</v>
      </c>
      <c r="AA2225">
        <v>34619</v>
      </c>
      <c r="AB2225">
        <v>8</v>
      </c>
      <c r="AC2225" t="s">
        <v>42</v>
      </c>
      <c r="AD2225">
        <v>1</v>
      </c>
    </row>
    <row r="2226" spans="1:30">
      <c r="A2226" t="str">
        <f>CONCATENATE(I2226,J2226)</f>
        <v>NELCASTEQ</v>
      </c>
      <c r="B2226" s="34">
        <v>46273</v>
      </c>
      <c r="C2226" s="34">
        <v>46273</v>
      </c>
      <c r="D2226" t="s">
        <v>35</v>
      </c>
      <c r="E2226" t="s">
        <v>36</v>
      </c>
      <c r="F2226" t="s">
        <v>37</v>
      </c>
      <c r="G2226">
        <v>14761</v>
      </c>
      <c r="H2226" t="s">
        <v>6734</v>
      </c>
      <c r="I2226" t="s">
        <v>6735</v>
      </c>
      <c r="J2226" t="s">
        <v>161</v>
      </c>
      <c r="O2226" t="s">
        <v>6736</v>
      </c>
      <c r="P2226">
        <v>114.8</v>
      </c>
      <c r="Q2226">
        <v>115.9</v>
      </c>
      <c r="R2226">
        <v>113</v>
      </c>
      <c r="S2226">
        <v>114.18</v>
      </c>
      <c r="T2226">
        <v>114.9</v>
      </c>
      <c r="U2226">
        <v>114.77</v>
      </c>
      <c r="W2226">
        <v>114.17</v>
      </c>
      <c r="Z2226">
        <v>53757</v>
      </c>
      <c r="AA2226">
        <v>6146561.6100000003</v>
      </c>
      <c r="AB2226">
        <v>1702</v>
      </c>
      <c r="AC2226" t="s">
        <v>42</v>
      </c>
      <c r="AD2226">
        <v>1</v>
      </c>
    </row>
    <row r="2227" spans="1:30">
      <c r="A2227" t="str">
        <f>CONCATENATE(I2227,J2227)</f>
        <v>NELCOEQ</v>
      </c>
      <c r="B2227" s="34">
        <v>46273</v>
      </c>
      <c r="C2227" s="34">
        <v>46273</v>
      </c>
      <c r="D2227" t="s">
        <v>35</v>
      </c>
      <c r="E2227" t="s">
        <v>36</v>
      </c>
      <c r="F2227" t="s">
        <v>37</v>
      </c>
      <c r="G2227">
        <v>2388</v>
      </c>
      <c r="H2227" t="s">
        <v>6737</v>
      </c>
      <c r="I2227" t="s">
        <v>6738</v>
      </c>
      <c r="J2227" t="s">
        <v>161</v>
      </c>
      <c r="O2227" t="s">
        <v>6739</v>
      </c>
      <c r="P2227">
        <v>933</v>
      </c>
      <c r="Q2227">
        <v>1019</v>
      </c>
      <c r="R2227">
        <v>917.6</v>
      </c>
      <c r="S2227">
        <v>973.1</v>
      </c>
      <c r="T2227">
        <v>971.7</v>
      </c>
      <c r="U2227">
        <v>933.2</v>
      </c>
      <c r="W2227">
        <v>973.05</v>
      </c>
      <c r="Z2227">
        <v>1910138</v>
      </c>
      <c r="AA2227">
        <v>1881564728.2</v>
      </c>
      <c r="AB2227">
        <v>78453</v>
      </c>
      <c r="AC2227" t="s">
        <v>42</v>
      </c>
      <c r="AD2227">
        <v>1</v>
      </c>
    </row>
    <row r="2228" spans="1:30">
      <c r="A2228" t="str">
        <f>CONCATENATE(I2228,J2228)</f>
        <v>NEOCHEMSM</v>
      </c>
      <c r="B2228" s="34">
        <v>46273</v>
      </c>
      <c r="C2228" s="34">
        <v>46273</v>
      </c>
      <c r="D2228" t="s">
        <v>35</v>
      </c>
      <c r="E2228" t="s">
        <v>36</v>
      </c>
      <c r="F2228" t="s">
        <v>37</v>
      </c>
      <c r="G2228">
        <v>760928</v>
      </c>
      <c r="H2228" t="s">
        <v>6740</v>
      </c>
      <c r="I2228" t="s">
        <v>6741</v>
      </c>
      <c r="J2228" t="s">
        <v>267</v>
      </c>
      <c r="O2228" t="s">
        <v>6742</v>
      </c>
      <c r="P2228">
        <v>90.2</v>
      </c>
      <c r="Q2228">
        <v>102.45</v>
      </c>
      <c r="R2228">
        <v>89.95</v>
      </c>
      <c r="S2228">
        <v>97.3</v>
      </c>
      <c r="T2228">
        <v>97.25</v>
      </c>
      <c r="U2228">
        <v>93.9</v>
      </c>
      <c r="W2228">
        <v>97.3</v>
      </c>
      <c r="Z2228">
        <v>148800</v>
      </c>
      <c r="AA2228">
        <v>14679000</v>
      </c>
      <c r="AB2228">
        <v>97</v>
      </c>
      <c r="AC2228" t="s">
        <v>42</v>
      </c>
      <c r="AD2228">
        <v>1200</v>
      </c>
    </row>
    <row r="2229" spans="1:30">
      <c r="A2229" t="str">
        <f>CONCATENATE(I2229,J2229)</f>
        <v>NEOGENEQ</v>
      </c>
      <c r="B2229" s="34">
        <v>46273</v>
      </c>
      <c r="C2229" s="34">
        <v>46273</v>
      </c>
      <c r="D2229" t="s">
        <v>35</v>
      </c>
      <c r="E2229" t="s">
        <v>36</v>
      </c>
      <c r="F2229" t="s">
        <v>37</v>
      </c>
      <c r="G2229">
        <v>9917</v>
      </c>
      <c r="H2229" t="s">
        <v>6743</v>
      </c>
      <c r="I2229" t="s">
        <v>6744</v>
      </c>
      <c r="J2229" t="s">
        <v>161</v>
      </c>
      <c r="O2229" t="s">
        <v>6745</v>
      </c>
      <c r="P2229">
        <v>2223.1999999999998</v>
      </c>
      <c r="Q2229">
        <v>2250</v>
      </c>
      <c r="R2229">
        <v>2175.6999999999998</v>
      </c>
      <c r="S2229">
        <v>2213</v>
      </c>
      <c r="T2229">
        <v>2216</v>
      </c>
      <c r="U2229">
        <v>2207.1</v>
      </c>
      <c r="W2229">
        <v>2213.12</v>
      </c>
      <c r="Z2229">
        <v>88409</v>
      </c>
      <c r="AA2229">
        <v>195095914.5</v>
      </c>
      <c r="AB2229">
        <v>14157</v>
      </c>
      <c r="AC2229" t="s">
        <v>42</v>
      </c>
      <c r="AD2229">
        <v>1</v>
      </c>
    </row>
    <row r="2230" spans="1:30">
      <c r="A2230" t="str">
        <f>CONCATENATE(I2230,J2230)</f>
        <v>NEPHROCARESM</v>
      </c>
      <c r="B2230" s="34">
        <v>46273</v>
      </c>
      <c r="C2230" s="34">
        <v>46273</v>
      </c>
      <c r="D2230" t="s">
        <v>35</v>
      </c>
      <c r="E2230" t="s">
        <v>36</v>
      </c>
      <c r="F2230" t="s">
        <v>37</v>
      </c>
      <c r="G2230">
        <v>24350</v>
      </c>
      <c r="H2230" t="s">
        <v>6746</v>
      </c>
      <c r="I2230" t="s">
        <v>6747</v>
      </c>
      <c r="J2230" t="s">
        <v>267</v>
      </c>
      <c r="O2230" t="s">
        <v>6748</v>
      </c>
      <c r="P2230">
        <v>82.25</v>
      </c>
      <c r="Q2230">
        <v>86</v>
      </c>
      <c r="R2230">
        <v>79.05</v>
      </c>
      <c r="S2230">
        <v>80</v>
      </c>
      <c r="T2230">
        <v>80</v>
      </c>
      <c r="U2230">
        <v>82.1</v>
      </c>
      <c r="W2230">
        <v>80</v>
      </c>
      <c r="Z2230">
        <v>74400</v>
      </c>
      <c r="AA2230">
        <v>6033300</v>
      </c>
      <c r="AB2230">
        <v>141</v>
      </c>
      <c r="AC2230" t="s">
        <v>42</v>
      </c>
      <c r="AD2230">
        <v>400</v>
      </c>
    </row>
    <row r="2231" spans="1:30">
      <c r="A2231" t="str">
        <f>CONCATENATE(I2231,J2231)</f>
        <v>NEPHROPLUSEQ</v>
      </c>
      <c r="B2231" s="34">
        <v>46273</v>
      </c>
      <c r="C2231" s="34">
        <v>46273</v>
      </c>
      <c r="D2231" t="s">
        <v>35</v>
      </c>
      <c r="E2231" t="s">
        <v>36</v>
      </c>
      <c r="F2231" t="s">
        <v>37</v>
      </c>
      <c r="G2231">
        <v>760346</v>
      </c>
      <c r="H2231" t="s">
        <v>6749</v>
      </c>
      <c r="I2231" t="s">
        <v>6750</v>
      </c>
      <c r="J2231" t="s">
        <v>161</v>
      </c>
      <c r="O2231" t="s">
        <v>6751</v>
      </c>
      <c r="P2231">
        <v>713</v>
      </c>
      <c r="Q2231">
        <v>748.6</v>
      </c>
      <c r="R2231">
        <v>707.1</v>
      </c>
      <c r="S2231">
        <v>744.1</v>
      </c>
      <c r="T2231">
        <v>743</v>
      </c>
      <c r="U2231">
        <v>710.85</v>
      </c>
      <c r="W2231">
        <v>744.01</v>
      </c>
      <c r="Z2231">
        <v>659007</v>
      </c>
      <c r="AA2231">
        <v>483795174.55000001</v>
      </c>
      <c r="AB2231">
        <v>31824</v>
      </c>
      <c r="AC2231" t="s">
        <v>42</v>
      </c>
      <c r="AD2231">
        <v>1</v>
      </c>
    </row>
    <row r="2232" spans="1:30">
      <c r="A2232" t="str">
        <f>CONCATENATE(I2232,J2232)</f>
        <v>NEPTUNESM</v>
      </c>
      <c r="B2232" s="34">
        <v>46273</v>
      </c>
      <c r="C2232" s="34">
        <v>46273</v>
      </c>
      <c r="D2232" t="s">
        <v>35</v>
      </c>
      <c r="E2232" t="s">
        <v>36</v>
      </c>
      <c r="F2232" t="s">
        <v>37</v>
      </c>
      <c r="G2232">
        <v>757493</v>
      </c>
      <c r="H2232" t="s">
        <v>6752</v>
      </c>
      <c r="I2232" t="s">
        <v>6753</v>
      </c>
      <c r="J2232" t="s">
        <v>267</v>
      </c>
      <c r="O2232" t="s">
        <v>6754</v>
      </c>
      <c r="P2232">
        <v>175.2</v>
      </c>
      <c r="Q2232">
        <v>178.95</v>
      </c>
      <c r="R2232">
        <v>175.1</v>
      </c>
      <c r="S2232">
        <v>178.95</v>
      </c>
      <c r="T2232">
        <v>178.95</v>
      </c>
      <c r="U2232">
        <v>180</v>
      </c>
      <c r="W2232">
        <v>178.95</v>
      </c>
      <c r="Z2232">
        <v>1500</v>
      </c>
      <c r="AA2232">
        <v>264625</v>
      </c>
      <c r="AB2232">
        <v>3</v>
      </c>
      <c r="AC2232" t="s">
        <v>42</v>
      </c>
      <c r="AD2232">
        <v>500</v>
      </c>
    </row>
    <row r="2233" spans="1:30">
      <c r="A2233" t="str">
        <f>CONCATENATE(I2233,J2233)</f>
        <v>NESCOEQ</v>
      </c>
      <c r="B2233" s="34">
        <v>46273</v>
      </c>
      <c r="C2233" s="34">
        <v>46273</v>
      </c>
      <c r="D2233" t="s">
        <v>35</v>
      </c>
      <c r="E2233" t="s">
        <v>36</v>
      </c>
      <c r="F2233" t="s">
        <v>37</v>
      </c>
      <c r="G2233">
        <v>15409</v>
      </c>
      <c r="H2233" t="s">
        <v>6755</v>
      </c>
      <c r="I2233" t="s">
        <v>6756</v>
      </c>
      <c r="J2233" t="s">
        <v>161</v>
      </c>
      <c r="O2233" t="s">
        <v>6757</v>
      </c>
      <c r="P2233">
        <v>1085</v>
      </c>
      <c r="Q2233">
        <v>1140</v>
      </c>
      <c r="R2233">
        <v>1072.5999999999999</v>
      </c>
      <c r="S2233">
        <v>1117.0999999999999</v>
      </c>
      <c r="T2233">
        <v>1120.3</v>
      </c>
      <c r="U2233">
        <v>1076</v>
      </c>
      <c r="W2233">
        <v>1117.1400000000001</v>
      </c>
      <c r="Z2233">
        <v>221569</v>
      </c>
      <c r="AA2233">
        <v>247037429.40000001</v>
      </c>
      <c r="AB2233">
        <v>19878</v>
      </c>
      <c r="AC2233" t="s">
        <v>42</v>
      </c>
      <c r="AD2233">
        <v>1</v>
      </c>
    </row>
    <row r="2234" spans="1:30">
      <c r="A2234" t="str">
        <f>CONCATENATE(I2234,J2234)</f>
        <v>NESTLEINDEQ</v>
      </c>
      <c r="B2234" s="34">
        <v>46273</v>
      </c>
      <c r="C2234" s="34">
        <v>46273</v>
      </c>
      <c r="D2234" t="s">
        <v>35</v>
      </c>
      <c r="E2234" t="s">
        <v>36</v>
      </c>
      <c r="F2234" t="s">
        <v>37</v>
      </c>
      <c r="G2234">
        <v>17963</v>
      </c>
      <c r="H2234" t="s">
        <v>6758</v>
      </c>
      <c r="I2234" t="s">
        <v>6759</v>
      </c>
      <c r="J2234" t="s">
        <v>161</v>
      </c>
      <c r="O2234" t="s">
        <v>6760</v>
      </c>
      <c r="P2234">
        <v>1397.4</v>
      </c>
      <c r="Q2234">
        <v>1415.1</v>
      </c>
      <c r="R2234">
        <v>1392.9</v>
      </c>
      <c r="S2234">
        <v>1400.5</v>
      </c>
      <c r="T2234">
        <v>1400.5</v>
      </c>
      <c r="U2234">
        <v>1398</v>
      </c>
      <c r="W2234">
        <v>1400.51</v>
      </c>
      <c r="Z2234">
        <v>1260068</v>
      </c>
      <c r="AA2234">
        <v>1768724500.9000001</v>
      </c>
      <c r="AB2234">
        <v>51403</v>
      </c>
      <c r="AC2234" t="s">
        <v>42</v>
      </c>
      <c r="AD2234">
        <v>1</v>
      </c>
    </row>
    <row r="2235" spans="1:30">
      <c r="A2235" t="str">
        <f>CONCATENATE(I2235,J2235)</f>
        <v>NETWEBEQ</v>
      </c>
      <c r="B2235" s="34">
        <v>46273</v>
      </c>
      <c r="C2235" s="34">
        <v>46273</v>
      </c>
      <c r="D2235" t="s">
        <v>35</v>
      </c>
      <c r="E2235" t="s">
        <v>36</v>
      </c>
      <c r="F2235" t="s">
        <v>37</v>
      </c>
      <c r="G2235">
        <v>17433</v>
      </c>
      <c r="H2235" t="s">
        <v>6761</v>
      </c>
      <c r="I2235" t="s">
        <v>6762</v>
      </c>
      <c r="J2235" t="s">
        <v>161</v>
      </c>
      <c r="O2235" t="s">
        <v>6763</v>
      </c>
      <c r="P2235">
        <v>5186</v>
      </c>
      <c r="Q2235">
        <v>5228.5</v>
      </c>
      <c r="R2235">
        <v>5071.5</v>
      </c>
      <c r="S2235">
        <v>5087.5</v>
      </c>
      <c r="T2235">
        <v>5101</v>
      </c>
      <c r="U2235">
        <v>5157</v>
      </c>
      <c r="W2235">
        <v>5087.5</v>
      </c>
      <c r="Z2235">
        <v>812405</v>
      </c>
      <c r="AA2235">
        <v>4160019750</v>
      </c>
      <c r="AB2235">
        <v>61851</v>
      </c>
      <c r="AC2235" t="s">
        <v>42</v>
      </c>
      <c r="AD2235">
        <v>1</v>
      </c>
    </row>
    <row r="2236" spans="1:30">
      <c r="A2236" t="str">
        <f>CONCATENATE(I2236,J2236)</f>
        <v>NPSTEQ</v>
      </c>
      <c r="B2236" s="34">
        <v>46273</v>
      </c>
      <c r="C2236" s="34">
        <v>46273</v>
      </c>
      <c r="D2236" t="s">
        <v>35</v>
      </c>
      <c r="E2236" t="s">
        <v>36</v>
      </c>
      <c r="F2236" t="s">
        <v>37</v>
      </c>
      <c r="G2236">
        <v>756324</v>
      </c>
      <c r="H2236" t="s">
        <v>6764</v>
      </c>
      <c r="I2236" t="s">
        <v>6765</v>
      </c>
      <c r="J2236" t="s">
        <v>161</v>
      </c>
      <c r="O2236" t="s">
        <v>6766</v>
      </c>
      <c r="P2236">
        <v>1748.3</v>
      </c>
      <c r="Q2236">
        <v>1753.5</v>
      </c>
      <c r="R2236">
        <v>1692.2</v>
      </c>
      <c r="S2236">
        <v>1716.5</v>
      </c>
      <c r="T2236">
        <v>1719.9</v>
      </c>
      <c r="U2236">
        <v>1740.4</v>
      </c>
      <c r="W2236">
        <v>1716.49</v>
      </c>
      <c r="Z2236">
        <v>22167</v>
      </c>
      <c r="AA2236">
        <v>38069555.200000003</v>
      </c>
      <c r="AB2236">
        <v>3033</v>
      </c>
      <c r="AC2236" t="s">
        <v>42</v>
      </c>
      <c r="AD2236">
        <v>1</v>
      </c>
    </row>
    <row r="2237" spans="1:30">
      <c r="A2237" t="str">
        <f>CONCATENATE(I2237,J2237)</f>
        <v>NETWORK18EQ</v>
      </c>
      <c r="B2237" s="34">
        <v>46273</v>
      </c>
      <c r="C2237" s="34">
        <v>46273</v>
      </c>
      <c r="D2237" t="s">
        <v>35</v>
      </c>
      <c r="E2237" t="s">
        <v>36</v>
      </c>
      <c r="F2237" t="s">
        <v>37</v>
      </c>
      <c r="G2237">
        <v>14111</v>
      </c>
      <c r="H2237" t="s">
        <v>6767</v>
      </c>
      <c r="I2237" t="s">
        <v>6768</v>
      </c>
      <c r="J2237" t="s">
        <v>161</v>
      </c>
      <c r="O2237" t="s">
        <v>6769</v>
      </c>
      <c r="P2237">
        <v>27.5</v>
      </c>
      <c r="Q2237">
        <v>27.63</v>
      </c>
      <c r="R2237">
        <v>27.18</v>
      </c>
      <c r="S2237">
        <v>27.3</v>
      </c>
      <c r="T2237">
        <v>27.29</v>
      </c>
      <c r="U2237">
        <v>27.64</v>
      </c>
      <c r="W2237">
        <v>27.3</v>
      </c>
      <c r="Z2237">
        <v>3399137</v>
      </c>
      <c r="AA2237">
        <v>93205604.519999996</v>
      </c>
      <c r="AB2237">
        <v>7132</v>
      </c>
      <c r="AC2237" t="s">
        <v>42</v>
      </c>
      <c r="AD2237">
        <v>1</v>
      </c>
    </row>
    <row r="2238" spans="1:30">
      <c r="A2238" t="str">
        <f>CONCATENATE(I2238,J2238)</f>
        <v>NEUEONBE</v>
      </c>
      <c r="B2238" s="34">
        <v>46273</v>
      </c>
      <c r="C2238" s="34">
        <v>46273</v>
      </c>
      <c r="D2238" t="s">
        <v>35</v>
      </c>
      <c r="E2238" t="s">
        <v>36</v>
      </c>
      <c r="F2238" t="s">
        <v>37</v>
      </c>
      <c r="G2238">
        <v>30554</v>
      </c>
      <c r="H2238" t="s">
        <v>6770</v>
      </c>
      <c r="I2238" t="s">
        <v>6771</v>
      </c>
      <c r="J2238" t="s">
        <v>183</v>
      </c>
      <c r="O2238" t="s">
        <v>6772</v>
      </c>
      <c r="P2238">
        <v>11.8</v>
      </c>
      <c r="Q2238">
        <v>12.36</v>
      </c>
      <c r="R2238">
        <v>11.57</v>
      </c>
      <c r="S2238">
        <v>12.03</v>
      </c>
      <c r="T2238">
        <v>11.97</v>
      </c>
      <c r="U2238">
        <v>11.78</v>
      </c>
      <c r="W2238">
        <v>12.02</v>
      </c>
      <c r="Z2238">
        <v>37465</v>
      </c>
      <c r="AA2238">
        <v>458858.1</v>
      </c>
      <c r="AB2238">
        <v>114</v>
      </c>
      <c r="AC2238" t="s">
        <v>42</v>
      </c>
      <c r="AD2238">
        <v>1</v>
      </c>
    </row>
    <row r="2239" spans="1:30">
      <c r="A2239" t="str">
        <f>CONCATENATE(I2239,J2239)</f>
        <v>NEULANDLABEQ</v>
      </c>
      <c r="B2239" s="34">
        <v>46273</v>
      </c>
      <c r="C2239" s="34">
        <v>46273</v>
      </c>
      <c r="D2239" t="s">
        <v>35</v>
      </c>
      <c r="E2239" t="s">
        <v>36</v>
      </c>
      <c r="F2239" t="s">
        <v>37</v>
      </c>
      <c r="G2239">
        <v>2406</v>
      </c>
      <c r="H2239" t="s">
        <v>6773</v>
      </c>
      <c r="I2239" t="s">
        <v>6774</v>
      </c>
      <c r="J2239" t="s">
        <v>161</v>
      </c>
      <c r="O2239" t="s">
        <v>6775</v>
      </c>
      <c r="P2239">
        <v>23010</v>
      </c>
      <c r="Q2239">
        <v>24100</v>
      </c>
      <c r="R2239">
        <v>23010</v>
      </c>
      <c r="S2239">
        <v>23995</v>
      </c>
      <c r="T2239">
        <v>23970</v>
      </c>
      <c r="U2239">
        <v>22870</v>
      </c>
      <c r="W2239">
        <v>23993.78</v>
      </c>
      <c r="Z2239">
        <v>82211</v>
      </c>
      <c r="AA2239">
        <v>1948684705</v>
      </c>
      <c r="AB2239">
        <v>26795</v>
      </c>
      <c r="AC2239" t="s">
        <v>42</v>
      </c>
      <c r="AD2239">
        <v>1</v>
      </c>
    </row>
    <row r="2240" spans="1:30">
      <c r="A2240" t="str">
        <f>CONCATENATE(I2240,J2240)</f>
        <v>NEWGENEQ</v>
      </c>
      <c r="B2240" s="34">
        <v>46273</v>
      </c>
      <c r="C2240" s="34">
        <v>46273</v>
      </c>
      <c r="D2240" t="s">
        <v>35</v>
      </c>
      <c r="E2240" t="s">
        <v>36</v>
      </c>
      <c r="F2240" t="s">
        <v>37</v>
      </c>
      <c r="G2240">
        <v>1164</v>
      </c>
      <c r="H2240" t="s">
        <v>6776</v>
      </c>
      <c r="I2240" t="s">
        <v>6777</v>
      </c>
      <c r="J2240" t="s">
        <v>161</v>
      </c>
      <c r="O2240" t="s">
        <v>6778</v>
      </c>
      <c r="P2240">
        <v>519</v>
      </c>
      <c r="Q2240">
        <v>520.4</v>
      </c>
      <c r="R2240">
        <v>513</v>
      </c>
      <c r="S2240">
        <v>514</v>
      </c>
      <c r="T2240">
        <v>514</v>
      </c>
      <c r="U2240">
        <v>520.70000000000005</v>
      </c>
      <c r="W2240">
        <v>514</v>
      </c>
      <c r="Z2240">
        <v>474948</v>
      </c>
      <c r="AA2240">
        <v>245000954.80000001</v>
      </c>
      <c r="AB2240">
        <v>14351</v>
      </c>
      <c r="AC2240" t="s">
        <v>42</v>
      </c>
      <c r="AD2240">
        <v>1</v>
      </c>
    </row>
    <row r="2241" spans="1:30">
      <c r="A2241" t="str">
        <f>CONCATENATE(I2241,J2241)</f>
        <v>NEWJAISAST</v>
      </c>
      <c r="B2241" s="34">
        <v>46273</v>
      </c>
      <c r="C2241" s="34">
        <v>46273</v>
      </c>
      <c r="D2241" t="s">
        <v>35</v>
      </c>
      <c r="E2241" t="s">
        <v>36</v>
      </c>
      <c r="F2241" t="s">
        <v>37</v>
      </c>
      <c r="G2241">
        <v>19161</v>
      </c>
      <c r="H2241" t="s">
        <v>6779</v>
      </c>
      <c r="I2241" t="s">
        <v>6780</v>
      </c>
      <c r="J2241" t="s">
        <v>328</v>
      </c>
      <c r="O2241" t="s">
        <v>6781</v>
      </c>
      <c r="P2241">
        <v>17.2</v>
      </c>
      <c r="Q2241">
        <v>17.2</v>
      </c>
      <c r="R2241">
        <v>17.149999999999999</v>
      </c>
      <c r="S2241">
        <v>17.149999999999999</v>
      </c>
      <c r="T2241">
        <v>17.149999999999999</v>
      </c>
      <c r="U2241">
        <v>17.45</v>
      </c>
      <c r="W2241">
        <v>17.149999999999999</v>
      </c>
      <c r="Z2241">
        <v>4500</v>
      </c>
      <c r="AA2241">
        <v>77325</v>
      </c>
      <c r="AB2241">
        <v>3</v>
      </c>
      <c r="AC2241" t="s">
        <v>42</v>
      </c>
      <c r="AD2241">
        <v>1500</v>
      </c>
    </row>
    <row r="2242" spans="1:30">
      <c r="A2242" t="str">
        <f>CONCATENATE(I2242,J2242)</f>
        <v>NMSTEELSM</v>
      </c>
      <c r="B2242" s="34">
        <v>46273</v>
      </c>
      <c r="C2242" s="34">
        <v>46273</v>
      </c>
      <c r="D2242" t="s">
        <v>35</v>
      </c>
      <c r="E2242" t="s">
        <v>36</v>
      </c>
      <c r="F2242" t="s">
        <v>37</v>
      </c>
      <c r="G2242">
        <v>28801</v>
      </c>
      <c r="H2242" t="s">
        <v>6782</v>
      </c>
      <c r="I2242" t="s">
        <v>6783</v>
      </c>
      <c r="J2242" t="s">
        <v>267</v>
      </c>
      <c r="O2242" t="s">
        <v>6784</v>
      </c>
      <c r="P2242">
        <v>23.1</v>
      </c>
      <c r="Q2242">
        <v>23.1</v>
      </c>
      <c r="R2242">
        <v>23</v>
      </c>
      <c r="S2242">
        <v>23.1</v>
      </c>
      <c r="T2242">
        <v>23.1</v>
      </c>
      <c r="U2242">
        <v>23</v>
      </c>
      <c r="W2242">
        <v>23.1</v>
      </c>
      <c r="Z2242">
        <v>6400</v>
      </c>
      <c r="AA2242">
        <v>147680</v>
      </c>
      <c r="AB2242">
        <v>4</v>
      </c>
      <c r="AC2242" t="s">
        <v>42</v>
      </c>
      <c r="AD2242">
        <v>1600</v>
      </c>
    </row>
    <row r="2243" spans="1:30">
      <c r="A2243" t="str">
        <f>CONCATENATE(I2243,J2243)</f>
        <v>NEXTMEDIAEQ</v>
      </c>
      <c r="B2243" s="34">
        <v>46273</v>
      </c>
      <c r="C2243" s="34">
        <v>46273</v>
      </c>
      <c r="D2243" t="s">
        <v>35</v>
      </c>
      <c r="E2243" t="s">
        <v>36</v>
      </c>
      <c r="F2243" t="s">
        <v>37</v>
      </c>
      <c r="G2243">
        <v>9867</v>
      </c>
      <c r="H2243" t="s">
        <v>6785</v>
      </c>
      <c r="I2243" t="s">
        <v>6786</v>
      </c>
      <c r="J2243" t="s">
        <v>161</v>
      </c>
      <c r="O2243" t="s">
        <v>6787</v>
      </c>
      <c r="P2243">
        <v>3.76</v>
      </c>
      <c r="Q2243">
        <v>3.91</v>
      </c>
      <c r="R2243">
        <v>3.72</v>
      </c>
      <c r="S2243">
        <v>3.86</v>
      </c>
      <c r="T2243">
        <v>3.89</v>
      </c>
      <c r="U2243">
        <v>3.76</v>
      </c>
      <c r="W2243">
        <v>3.83</v>
      </c>
      <c r="Z2243">
        <v>31530</v>
      </c>
      <c r="AA2243">
        <v>119963.45</v>
      </c>
      <c r="AB2243">
        <v>89</v>
      </c>
      <c r="AC2243" t="s">
        <v>42</v>
      </c>
      <c r="AD2243">
        <v>1</v>
      </c>
    </row>
    <row r="2244" spans="1:30">
      <c r="A2244" t="str">
        <f>CONCATENATE(I2244,J2244)</f>
        <v>NXSTRR</v>
      </c>
      <c r="B2244" s="34">
        <v>46273</v>
      </c>
      <c r="C2244" s="34">
        <v>46273</v>
      </c>
      <c r="D2244" t="s">
        <v>35</v>
      </c>
      <c r="E2244" t="s">
        <v>36</v>
      </c>
      <c r="F2244" t="s">
        <v>37</v>
      </c>
      <c r="G2244">
        <v>15815</v>
      </c>
      <c r="H2244" t="s">
        <v>6788</v>
      </c>
      <c r="I2244" t="s">
        <v>6789</v>
      </c>
      <c r="J2244" t="s">
        <v>1301</v>
      </c>
      <c r="O2244" t="s">
        <v>6790</v>
      </c>
      <c r="P2244">
        <v>167.6</v>
      </c>
      <c r="Q2244">
        <v>167.6</v>
      </c>
      <c r="R2244">
        <v>166.43</v>
      </c>
      <c r="S2244">
        <v>167.46</v>
      </c>
      <c r="T2244">
        <v>167.26</v>
      </c>
      <c r="U2244">
        <v>167.04</v>
      </c>
      <c r="W2244">
        <v>167.46</v>
      </c>
      <c r="Z2244">
        <v>611482</v>
      </c>
      <c r="AA2244">
        <v>102320120.81</v>
      </c>
      <c r="AB2244">
        <v>4970</v>
      </c>
      <c r="AC2244" t="s">
        <v>42</v>
      </c>
      <c r="AD2244">
        <v>1</v>
      </c>
    </row>
    <row r="2245" spans="1:30">
      <c r="A2245" t="str">
        <f>CONCATENATE(I2245,J2245)</f>
        <v>NFPSAMPOORSM</v>
      </c>
      <c r="B2245" s="34">
        <v>46273</v>
      </c>
      <c r="C2245" s="34">
        <v>46273</v>
      </c>
      <c r="D2245" t="s">
        <v>35</v>
      </c>
      <c r="E2245" t="s">
        <v>36</v>
      </c>
      <c r="F2245" t="s">
        <v>37</v>
      </c>
      <c r="G2245">
        <v>763536</v>
      </c>
      <c r="H2245" t="s">
        <v>6791</v>
      </c>
      <c r="I2245" t="s">
        <v>6792</v>
      </c>
      <c r="J2245" t="s">
        <v>267</v>
      </c>
      <c r="O2245" t="s">
        <v>6793</v>
      </c>
      <c r="P2245">
        <v>21</v>
      </c>
      <c r="Q2245">
        <v>21</v>
      </c>
      <c r="R2245">
        <v>20</v>
      </c>
      <c r="S2245">
        <v>20.65</v>
      </c>
      <c r="T2245">
        <v>21</v>
      </c>
      <c r="U2245">
        <v>20.7</v>
      </c>
      <c r="W2245">
        <v>20.65</v>
      </c>
      <c r="Z2245">
        <v>18000</v>
      </c>
      <c r="AA2245">
        <v>368500</v>
      </c>
      <c r="AB2245">
        <v>8</v>
      </c>
      <c r="AC2245" t="s">
        <v>42</v>
      </c>
      <c r="AD2245">
        <v>2000</v>
      </c>
    </row>
    <row r="2246" spans="1:30">
      <c r="A2246" t="str">
        <f>CONCATENATE(I2246,J2246)</f>
        <v>NGLFINEEQ</v>
      </c>
      <c r="B2246" s="34">
        <v>46273</v>
      </c>
      <c r="C2246" s="34">
        <v>46273</v>
      </c>
      <c r="D2246" t="s">
        <v>35</v>
      </c>
      <c r="E2246" t="s">
        <v>36</v>
      </c>
      <c r="F2246" t="s">
        <v>37</v>
      </c>
      <c r="G2246">
        <v>10277</v>
      </c>
      <c r="H2246" t="s">
        <v>6794</v>
      </c>
      <c r="I2246" t="s">
        <v>6795</v>
      </c>
      <c r="J2246" t="s">
        <v>161</v>
      </c>
      <c r="O2246" t="s">
        <v>6796</v>
      </c>
      <c r="P2246">
        <v>2887.3</v>
      </c>
      <c r="Q2246">
        <v>2911.8</v>
      </c>
      <c r="R2246">
        <v>2736.6</v>
      </c>
      <c r="S2246">
        <v>2811.6</v>
      </c>
      <c r="T2246">
        <v>2787</v>
      </c>
      <c r="U2246">
        <v>2873</v>
      </c>
      <c r="W2246">
        <v>2811.25</v>
      </c>
      <c r="Z2246">
        <v>9484</v>
      </c>
      <c r="AA2246">
        <v>26628661.600000001</v>
      </c>
      <c r="AB2246">
        <v>1839</v>
      </c>
      <c r="AC2246" t="s">
        <v>42</v>
      </c>
      <c r="AD2246">
        <v>1</v>
      </c>
    </row>
    <row r="2247" spans="1:30">
      <c r="A2247" t="str">
        <f>CONCATENATE(I2247,J2247)</f>
        <v>NHPCEQ</v>
      </c>
      <c r="B2247" s="34">
        <v>46273</v>
      </c>
      <c r="C2247" s="34">
        <v>46273</v>
      </c>
      <c r="D2247" t="s">
        <v>35</v>
      </c>
      <c r="E2247" t="s">
        <v>36</v>
      </c>
      <c r="F2247" t="s">
        <v>37</v>
      </c>
      <c r="G2247">
        <v>17400</v>
      </c>
      <c r="H2247" t="s">
        <v>6797</v>
      </c>
      <c r="I2247" t="s">
        <v>6798</v>
      </c>
      <c r="J2247" t="s">
        <v>161</v>
      </c>
      <c r="O2247" t="s">
        <v>6799</v>
      </c>
      <c r="P2247">
        <v>75.760000000000005</v>
      </c>
      <c r="Q2247">
        <v>76</v>
      </c>
      <c r="R2247">
        <v>74.900000000000006</v>
      </c>
      <c r="S2247">
        <v>75.900000000000006</v>
      </c>
      <c r="T2247">
        <v>75.900000000000006</v>
      </c>
      <c r="U2247">
        <v>76</v>
      </c>
      <c r="W2247">
        <v>75.900000000000006</v>
      </c>
      <c r="Z2247">
        <v>10135531</v>
      </c>
      <c r="AA2247">
        <v>764899500.87</v>
      </c>
      <c r="AB2247">
        <v>30888</v>
      </c>
      <c r="AC2247" t="s">
        <v>42</v>
      </c>
      <c r="AD2247">
        <v>1</v>
      </c>
    </row>
    <row r="2248" spans="1:30">
      <c r="A2248" t="str">
        <f>CONCATENATE(I2248,J2248)</f>
        <v>NIBEEQ</v>
      </c>
      <c r="B2248" s="34">
        <v>46273</v>
      </c>
      <c r="C2248" s="34">
        <v>46273</v>
      </c>
      <c r="D2248" t="s">
        <v>35</v>
      </c>
      <c r="E2248" t="s">
        <v>36</v>
      </c>
      <c r="F2248" t="s">
        <v>37</v>
      </c>
      <c r="G2248">
        <v>29487</v>
      </c>
      <c r="H2248" t="s">
        <v>6800</v>
      </c>
      <c r="I2248" t="s">
        <v>6801</v>
      </c>
      <c r="J2248" t="s">
        <v>161</v>
      </c>
      <c r="O2248" t="s">
        <v>6802</v>
      </c>
      <c r="P2248">
        <v>1310</v>
      </c>
      <c r="Q2248">
        <v>1357.8</v>
      </c>
      <c r="R2248">
        <v>1310</v>
      </c>
      <c r="S2248">
        <v>1331.5</v>
      </c>
      <c r="T2248">
        <v>1328</v>
      </c>
      <c r="U2248">
        <v>1318</v>
      </c>
      <c r="W2248">
        <v>1331.44</v>
      </c>
      <c r="Z2248">
        <v>44934</v>
      </c>
      <c r="AA2248">
        <v>60052994.399999999</v>
      </c>
      <c r="AB2248">
        <v>4630</v>
      </c>
      <c r="AC2248" t="s">
        <v>42</v>
      </c>
      <c r="AD2248">
        <v>1</v>
      </c>
    </row>
    <row r="2249" spans="1:30">
      <c r="A2249" t="str">
        <f>CONCATENATE(I2249,J2249)</f>
        <v>NICCOPAREQ</v>
      </c>
      <c r="B2249" s="34">
        <v>46273</v>
      </c>
      <c r="C2249" s="34">
        <v>46273</v>
      </c>
      <c r="D2249" t="s">
        <v>35</v>
      </c>
      <c r="E2249" t="s">
        <v>36</v>
      </c>
      <c r="F2249" t="s">
        <v>37</v>
      </c>
      <c r="G2249">
        <v>764793</v>
      </c>
      <c r="H2249" t="s">
        <v>6803</v>
      </c>
      <c r="I2249" t="s">
        <v>6804</v>
      </c>
      <c r="J2249" t="s">
        <v>161</v>
      </c>
      <c r="O2249" t="s">
        <v>6805</v>
      </c>
      <c r="P2249">
        <v>81.25</v>
      </c>
      <c r="Q2249">
        <v>83</v>
      </c>
      <c r="R2249">
        <v>80.11</v>
      </c>
      <c r="S2249">
        <v>80.33</v>
      </c>
      <c r="T2249">
        <v>80.33</v>
      </c>
      <c r="U2249">
        <v>79.27</v>
      </c>
      <c r="W2249">
        <v>80.33</v>
      </c>
      <c r="Z2249">
        <v>1268</v>
      </c>
      <c r="AA2249">
        <v>103005.87</v>
      </c>
      <c r="AB2249">
        <v>38</v>
      </c>
      <c r="AC2249" t="s">
        <v>42</v>
      </c>
      <c r="AD2249">
        <v>1</v>
      </c>
    </row>
    <row r="2250" spans="1:30">
      <c r="A2250" t="str">
        <f>CONCATENATE(I2250,J2250)</f>
        <v>NIDANSM</v>
      </c>
      <c r="B2250" s="34">
        <v>46273</v>
      </c>
      <c r="C2250" s="34">
        <v>46273</v>
      </c>
      <c r="D2250" t="s">
        <v>35</v>
      </c>
      <c r="E2250" t="s">
        <v>36</v>
      </c>
      <c r="F2250" t="s">
        <v>37</v>
      </c>
      <c r="G2250">
        <v>6592</v>
      </c>
      <c r="H2250" t="s">
        <v>6806</v>
      </c>
      <c r="I2250" t="s">
        <v>6807</v>
      </c>
      <c r="J2250" t="s">
        <v>267</v>
      </c>
      <c r="O2250" t="s">
        <v>6808</v>
      </c>
      <c r="P2250">
        <v>14.85</v>
      </c>
      <c r="Q2250">
        <v>14.85</v>
      </c>
      <c r="R2250">
        <v>13.4</v>
      </c>
      <c r="S2250">
        <v>13.5</v>
      </c>
      <c r="T2250">
        <v>13.4</v>
      </c>
      <c r="U2250">
        <v>14.8</v>
      </c>
      <c r="W2250">
        <v>13.5</v>
      </c>
      <c r="Z2250">
        <v>25000</v>
      </c>
      <c r="AA2250">
        <v>343900</v>
      </c>
      <c r="AB2250">
        <v>21</v>
      </c>
      <c r="AC2250" t="s">
        <v>42</v>
      </c>
      <c r="AD2250">
        <v>1000</v>
      </c>
    </row>
    <row r="2251" spans="1:30">
      <c r="A2251" t="str">
        <f>CONCATENATE(I2251,J2251)</f>
        <v>NIITMTSEQ</v>
      </c>
      <c r="B2251" s="34">
        <v>46273</v>
      </c>
      <c r="C2251" s="34">
        <v>46273</v>
      </c>
      <c r="D2251" t="s">
        <v>35</v>
      </c>
      <c r="E2251" t="s">
        <v>36</v>
      </c>
      <c r="F2251" t="s">
        <v>37</v>
      </c>
      <c r="G2251">
        <v>17747</v>
      </c>
      <c r="H2251" t="s">
        <v>6809</v>
      </c>
      <c r="I2251" t="s">
        <v>6810</v>
      </c>
      <c r="J2251" t="s">
        <v>161</v>
      </c>
      <c r="O2251" t="s">
        <v>6811</v>
      </c>
      <c r="P2251">
        <v>221</v>
      </c>
      <c r="Q2251">
        <v>225</v>
      </c>
      <c r="R2251">
        <v>220.21</v>
      </c>
      <c r="S2251">
        <v>223.51</v>
      </c>
      <c r="T2251">
        <v>222.24</v>
      </c>
      <c r="U2251">
        <v>220.72</v>
      </c>
      <c r="W2251">
        <v>223.53</v>
      </c>
      <c r="Z2251">
        <v>89450</v>
      </c>
      <c r="AA2251">
        <v>19965014.550000001</v>
      </c>
      <c r="AB2251">
        <v>3698</v>
      </c>
      <c r="AC2251" t="s">
        <v>42</v>
      </c>
      <c r="AD2251">
        <v>1</v>
      </c>
    </row>
    <row r="2252" spans="1:30">
      <c r="A2252" t="str">
        <f>CONCATENATE(I2252,J2252)</f>
        <v>NIITLTDEQ</v>
      </c>
      <c r="B2252" s="34">
        <v>46273</v>
      </c>
      <c r="C2252" s="34">
        <v>46273</v>
      </c>
      <c r="D2252" t="s">
        <v>35</v>
      </c>
      <c r="E2252" t="s">
        <v>36</v>
      </c>
      <c r="F2252" t="s">
        <v>37</v>
      </c>
      <c r="G2252">
        <v>11522</v>
      </c>
      <c r="H2252" t="s">
        <v>6812</v>
      </c>
      <c r="I2252" t="s">
        <v>6813</v>
      </c>
      <c r="J2252" t="s">
        <v>161</v>
      </c>
      <c r="O2252" t="s">
        <v>6814</v>
      </c>
      <c r="P2252">
        <v>97.02</v>
      </c>
      <c r="Q2252">
        <v>99.37</v>
      </c>
      <c r="R2252">
        <v>95.01</v>
      </c>
      <c r="S2252">
        <v>95.34</v>
      </c>
      <c r="T2252">
        <v>95.29</v>
      </c>
      <c r="U2252">
        <v>97.22</v>
      </c>
      <c r="W2252">
        <v>95.34</v>
      </c>
      <c r="Z2252">
        <v>233060</v>
      </c>
      <c r="AA2252">
        <v>22414558.719999999</v>
      </c>
      <c r="AB2252">
        <v>3011</v>
      </c>
      <c r="AC2252" t="s">
        <v>42</v>
      </c>
      <c r="AD2252">
        <v>1</v>
      </c>
    </row>
    <row r="2253" spans="1:30">
      <c r="A2253" t="str">
        <f>CONCATENATE(I2253,J2253)</f>
        <v>NIKITASM</v>
      </c>
      <c r="B2253" s="34">
        <v>46273</v>
      </c>
      <c r="C2253" s="34">
        <v>46273</v>
      </c>
      <c r="D2253" t="s">
        <v>35</v>
      </c>
      <c r="E2253" t="s">
        <v>36</v>
      </c>
      <c r="F2253" t="s">
        <v>37</v>
      </c>
      <c r="G2253">
        <v>758178</v>
      </c>
      <c r="H2253" t="s">
        <v>6815</v>
      </c>
      <c r="I2253" t="s">
        <v>6816</v>
      </c>
      <c r="J2253" t="s">
        <v>267</v>
      </c>
      <c r="O2253" t="s">
        <v>6817</v>
      </c>
      <c r="P2253">
        <v>78</v>
      </c>
      <c r="Q2253">
        <v>78</v>
      </c>
      <c r="R2253">
        <v>76.2</v>
      </c>
      <c r="S2253">
        <v>76.2</v>
      </c>
      <c r="T2253">
        <v>76.2</v>
      </c>
      <c r="U2253">
        <v>72.5</v>
      </c>
      <c r="W2253">
        <v>76.2</v>
      </c>
      <c r="Z2253">
        <v>2400</v>
      </c>
      <c r="AA2253">
        <v>185040</v>
      </c>
      <c r="AB2253">
        <v>2</v>
      </c>
      <c r="AC2253" t="s">
        <v>42</v>
      </c>
      <c r="AD2253">
        <v>1200</v>
      </c>
    </row>
    <row r="2254" spans="1:30">
      <c r="A2254" t="str">
        <f>CONCATENATE(I2254,J2254)</f>
        <v>NILAINFRAEQ</v>
      </c>
      <c r="B2254" s="34">
        <v>46273</v>
      </c>
      <c r="C2254" s="34">
        <v>46273</v>
      </c>
      <c r="D2254" t="s">
        <v>35</v>
      </c>
      <c r="E2254" t="s">
        <v>36</v>
      </c>
      <c r="F2254" t="s">
        <v>37</v>
      </c>
      <c r="G2254">
        <v>9253</v>
      </c>
      <c r="H2254" t="s">
        <v>6818</v>
      </c>
      <c r="I2254" t="s">
        <v>6819</v>
      </c>
      <c r="J2254" t="s">
        <v>161</v>
      </c>
      <c r="O2254" t="s">
        <v>6820</v>
      </c>
      <c r="P2254">
        <v>6.67</v>
      </c>
      <c r="Q2254">
        <v>7</v>
      </c>
      <c r="R2254">
        <v>6.4</v>
      </c>
      <c r="S2254">
        <v>6.62</v>
      </c>
      <c r="T2254">
        <v>6.66</v>
      </c>
      <c r="U2254">
        <v>6.71</v>
      </c>
      <c r="W2254">
        <v>6.63</v>
      </c>
      <c r="Z2254">
        <v>372115</v>
      </c>
      <c r="AA2254">
        <v>2508760.69</v>
      </c>
      <c r="AB2254">
        <v>876</v>
      </c>
      <c r="AC2254" t="s">
        <v>42</v>
      </c>
      <c r="AD2254">
        <v>1</v>
      </c>
    </row>
    <row r="2255" spans="1:30">
      <c r="A2255" t="str">
        <f>CONCATENATE(I2255,J2255)</f>
        <v>NILASPACESEQ</v>
      </c>
      <c r="B2255" s="34">
        <v>46273</v>
      </c>
      <c r="C2255" s="34">
        <v>46273</v>
      </c>
      <c r="D2255" t="s">
        <v>35</v>
      </c>
      <c r="E2255" t="s">
        <v>36</v>
      </c>
      <c r="F2255" t="s">
        <v>37</v>
      </c>
      <c r="G2255">
        <v>7411</v>
      </c>
      <c r="H2255" t="s">
        <v>6821</v>
      </c>
      <c r="I2255" t="s">
        <v>6822</v>
      </c>
      <c r="J2255" t="s">
        <v>161</v>
      </c>
      <c r="O2255" t="s">
        <v>6823</v>
      </c>
      <c r="P2255">
        <v>12.23</v>
      </c>
      <c r="Q2255">
        <v>13.2</v>
      </c>
      <c r="R2255">
        <v>12.18</v>
      </c>
      <c r="S2255">
        <v>12.78</v>
      </c>
      <c r="T2255">
        <v>12.7</v>
      </c>
      <c r="U2255">
        <v>12.23</v>
      </c>
      <c r="W2255">
        <v>12.78</v>
      </c>
      <c r="Z2255">
        <v>3152074</v>
      </c>
      <c r="AA2255">
        <v>40190435.090000004</v>
      </c>
      <c r="AB2255">
        <v>5023</v>
      </c>
      <c r="AC2255" t="s">
        <v>42</v>
      </c>
      <c r="AD2255">
        <v>1</v>
      </c>
    </row>
    <row r="2256" spans="1:30">
      <c r="A2256" t="str">
        <f>CONCATENATE(I2256,J2256)</f>
        <v>NILEEQ</v>
      </c>
      <c r="B2256" s="34">
        <v>46273</v>
      </c>
      <c r="C2256" s="34">
        <v>46273</v>
      </c>
      <c r="D2256" t="s">
        <v>35</v>
      </c>
      <c r="E2256" t="s">
        <v>36</v>
      </c>
      <c r="F2256" t="s">
        <v>37</v>
      </c>
      <c r="G2256">
        <v>762817</v>
      </c>
      <c r="H2256" t="s">
        <v>6824</v>
      </c>
      <c r="I2256" t="s">
        <v>6825</v>
      </c>
      <c r="J2256" t="s">
        <v>161</v>
      </c>
      <c r="O2256" t="s">
        <v>6826</v>
      </c>
      <c r="P2256">
        <v>1478</v>
      </c>
      <c r="Q2256">
        <v>1491</v>
      </c>
      <c r="R2256">
        <v>1460.5</v>
      </c>
      <c r="S2256">
        <v>1471.7</v>
      </c>
      <c r="T2256">
        <v>1479.8</v>
      </c>
      <c r="U2256">
        <v>1459</v>
      </c>
      <c r="W2256">
        <v>1473.1</v>
      </c>
      <c r="Z2256">
        <v>2585</v>
      </c>
      <c r="AA2256">
        <v>3821649.4</v>
      </c>
      <c r="AB2256">
        <v>441</v>
      </c>
      <c r="AC2256" t="s">
        <v>42</v>
      </c>
      <c r="AD2256">
        <v>1</v>
      </c>
    </row>
    <row r="2257" spans="1:30">
      <c r="A2257" t="str">
        <f>CONCATENATE(I2257,J2257)</f>
        <v>NILKAMALEQ</v>
      </c>
      <c r="B2257" s="34">
        <v>46273</v>
      </c>
      <c r="C2257" s="34">
        <v>46273</v>
      </c>
      <c r="D2257" t="s">
        <v>35</v>
      </c>
      <c r="E2257" t="s">
        <v>36</v>
      </c>
      <c r="F2257" t="s">
        <v>37</v>
      </c>
      <c r="G2257">
        <v>2421</v>
      </c>
      <c r="H2257" t="s">
        <v>6827</v>
      </c>
      <c r="I2257" t="s">
        <v>6828</v>
      </c>
      <c r="J2257" t="s">
        <v>161</v>
      </c>
      <c r="O2257" t="s">
        <v>6829</v>
      </c>
      <c r="P2257">
        <v>2060</v>
      </c>
      <c r="Q2257">
        <v>2134</v>
      </c>
      <c r="R2257">
        <v>2060</v>
      </c>
      <c r="S2257">
        <v>2112</v>
      </c>
      <c r="T2257">
        <v>2121.1</v>
      </c>
      <c r="U2257">
        <v>2063.1999999999998</v>
      </c>
      <c r="W2257">
        <v>2112.33</v>
      </c>
      <c r="Z2257">
        <v>26213</v>
      </c>
      <c r="AA2257">
        <v>55264350.700000003</v>
      </c>
      <c r="AB2257">
        <v>4080</v>
      </c>
      <c r="AC2257" t="s">
        <v>42</v>
      </c>
      <c r="AD2257">
        <v>1</v>
      </c>
    </row>
    <row r="2258" spans="1:30">
      <c r="A2258" t="str">
        <f>CONCATENATE(I2258,J2258)</f>
        <v>NIMBSPROJEQ</v>
      </c>
      <c r="B2258" s="34">
        <v>46273</v>
      </c>
      <c r="C2258" s="34">
        <v>46273</v>
      </c>
      <c r="D2258" t="s">
        <v>35</v>
      </c>
      <c r="E2258" t="s">
        <v>36</v>
      </c>
      <c r="F2258" t="s">
        <v>37</v>
      </c>
      <c r="G2258">
        <v>761720</v>
      </c>
      <c r="H2258" t="s">
        <v>6830</v>
      </c>
      <c r="I2258" t="s">
        <v>6831</v>
      </c>
      <c r="J2258" t="s">
        <v>161</v>
      </c>
      <c r="O2258" t="s">
        <v>6832</v>
      </c>
      <c r="P2258">
        <v>150</v>
      </c>
      <c r="Q2258">
        <v>150.68</v>
      </c>
      <c r="R2258">
        <v>147.41</v>
      </c>
      <c r="S2258">
        <v>148.46</v>
      </c>
      <c r="T2258">
        <v>148.46</v>
      </c>
      <c r="U2258">
        <v>143.51</v>
      </c>
      <c r="W2258">
        <v>148.46</v>
      </c>
      <c r="Z2258">
        <v>763</v>
      </c>
      <c r="AA2258">
        <v>113737.49</v>
      </c>
      <c r="AB2258">
        <v>28</v>
      </c>
      <c r="AC2258" t="s">
        <v>42</v>
      </c>
      <c r="AD2258">
        <v>1</v>
      </c>
    </row>
    <row r="2259" spans="1:30">
      <c r="A2259" t="str">
        <f>CONCATENATE(I2259,J2259)</f>
        <v>NINSYSEQ</v>
      </c>
      <c r="B2259" s="34">
        <v>46273</v>
      </c>
      <c r="C2259" s="34">
        <v>46273</v>
      </c>
      <c r="D2259" t="s">
        <v>35</v>
      </c>
      <c r="E2259" t="s">
        <v>36</v>
      </c>
      <c r="F2259" t="s">
        <v>37</v>
      </c>
      <c r="G2259">
        <v>14194</v>
      </c>
      <c r="H2259" t="s">
        <v>6833</v>
      </c>
      <c r="I2259" t="s">
        <v>6834</v>
      </c>
      <c r="J2259" t="s">
        <v>161</v>
      </c>
      <c r="O2259" t="s">
        <v>6835</v>
      </c>
      <c r="P2259">
        <v>715</v>
      </c>
      <c r="Q2259">
        <v>715</v>
      </c>
      <c r="R2259">
        <v>703.2</v>
      </c>
      <c r="S2259">
        <v>709.1</v>
      </c>
      <c r="T2259">
        <v>710.3</v>
      </c>
      <c r="U2259">
        <v>705.85</v>
      </c>
      <c r="W2259">
        <v>709.1</v>
      </c>
      <c r="Z2259">
        <v>3691</v>
      </c>
      <c r="AA2259">
        <v>2616030.25</v>
      </c>
      <c r="AB2259">
        <v>540</v>
      </c>
      <c r="AC2259" t="s">
        <v>42</v>
      </c>
      <c r="AD2259">
        <v>1</v>
      </c>
    </row>
    <row r="2260" spans="1:30">
      <c r="A2260" t="str">
        <f>CONCATENATE(I2260,J2260)</f>
        <v>BANKBEESEQ</v>
      </c>
      <c r="B2260" s="34">
        <v>46273</v>
      </c>
      <c r="C2260" s="34">
        <v>46273</v>
      </c>
      <c r="D2260" t="s">
        <v>35</v>
      </c>
      <c r="E2260" t="s">
        <v>36</v>
      </c>
      <c r="F2260" t="s">
        <v>37</v>
      </c>
      <c r="G2260">
        <v>11439</v>
      </c>
      <c r="H2260" t="s">
        <v>6836</v>
      </c>
      <c r="I2260" t="s">
        <v>6837</v>
      </c>
      <c r="J2260" t="s">
        <v>161</v>
      </c>
      <c r="O2260" t="s">
        <v>6838</v>
      </c>
      <c r="P2260">
        <v>593.70000000000005</v>
      </c>
      <c r="Q2260">
        <v>593.77</v>
      </c>
      <c r="R2260">
        <v>588.29999999999995</v>
      </c>
      <c r="S2260">
        <v>589.09</v>
      </c>
      <c r="T2260">
        <v>589.20000000000005</v>
      </c>
      <c r="U2260">
        <v>591.58000000000004</v>
      </c>
      <c r="W2260">
        <v>589.09</v>
      </c>
      <c r="Z2260">
        <v>329432</v>
      </c>
      <c r="AA2260">
        <v>194276582.94999999</v>
      </c>
      <c r="AB2260">
        <v>6826</v>
      </c>
      <c r="AC2260" t="s">
        <v>42</v>
      </c>
      <c r="AD2260">
        <v>1</v>
      </c>
    </row>
    <row r="2261" spans="1:30">
      <c r="A2261" t="str">
        <f>CONCATENATE(I2261,J2261)</f>
        <v>CONSUMBEESEQ</v>
      </c>
      <c r="B2261" s="34">
        <v>46273</v>
      </c>
      <c r="C2261" s="34">
        <v>46273</v>
      </c>
      <c r="D2261" t="s">
        <v>35</v>
      </c>
      <c r="E2261" t="s">
        <v>36</v>
      </c>
      <c r="F2261" t="s">
        <v>37</v>
      </c>
      <c r="G2261">
        <v>2435</v>
      </c>
      <c r="H2261" t="s">
        <v>6839</v>
      </c>
      <c r="I2261" t="s">
        <v>6840</v>
      </c>
      <c r="J2261" t="s">
        <v>161</v>
      </c>
      <c r="O2261" t="s">
        <v>6841</v>
      </c>
      <c r="P2261">
        <v>128.41999999999999</v>
      </c>
      <c r="Q2261">
        <v>129.68</v>
      </c>
      <c r="R2261">
        <v>127.83</v>
      </c>
      <c r="S2261">
        <v>129.15</v>
      </c>
      <c r="T2261">
        <v>129.5</v>
      </c>
      <c r="U2261">
        <v>129.07</v>
      </c>
      <c r="W2261">
        <v>129.15</v>
      </c>
      <c r="Z2261">
        <v>78677</v>
      </c>
      <c r="AA2261">
        <v>10143252.880000001</v>
      </c>
      <c r="AB2261">
        <v>1199</v>
      </c>
      <c r="AC2261" t="s">
        <v>42</v>
      </c>
      <c r="AD2261">
        <v>1</v>
      </c>
    </row>
    <row r="2262" spans="1:30">
      <c r="A2262" t="str">
        <f>CONCATENATE(I2262,J2262)</f>
        <v>DIVOPPBEESEQ</v>
      </c>
      <c r="B2262" s="34">
        <v>46273</v>
      </c>
      <c r="C2262" s="34">
        <v>46273</v>
      </c>
      <c r="D2262" t="s">
        <v>35</v>
      </c>
      <c r="E2262" t="s">
        <v>36</v>
      </c>
      <c r="F2262" t="s">
        <v>37</v>
      </c>
      <c r="G2262">
        <v>2636</v>
      </c>
      <c r="H2262" t="s">
        <v>6842</v>
      </c>
      <c r="I2262" t="s">
        <v>6843</v>
      </c>
      <c r="J2262" t="s">
        <v>161</v>
      </c>
      <c r="O2262" t="s">
        <v>6844</v>
      </c>
      <c r="P2262">
        <v>76.36</v>
      </c>
      <c r="Q2262">
        <v>76.36</v>
      </c>
      <c r="R2262">
        <v>75.61</v>
      </c>
      <c r="S2262">
        <v>75.739999999999995</v>
      </c>
      <c r="T2262">
        <v>75.87</v>
      </c>
      <c r="U2262">
        <v>76.06</v>
      </c>
      <c r="W2262">
        <v>75.739999999999995</v>
      </c>
      <c r="Z2262">
        <v>60917</v>
      </c>
      <c r="AA2262">
        <v>4617123.01</v>
      </c>
      <c r="AB2262">
        <v>828</v>
      </c>
      <c r="AC2262" t="s">
        <v>42</v>
      </c>
      <c r="AD2262">
        <v>1</v>
      </c>
    </row>
    <row r="2263" spans="1:30">
      <c r="A2263" t="str">
        <f>CONCATENATE(I2263,J2263)</f>
        <v>NV20BEESEQ</v>
      </c>
      <c r="B2263" s="34">
        <v>46273</v>
      </c>
      <c r="C2263" s="34">
        <v>46273</v>
      </c>
      <c r="D2263" t="s">
        <v>35</v>
      </c>
      <c r="E2263" t="s">
        <v>36</v>
      </c>
      <c r="F2263" t="s">
        <v>37</v>
      </c>
      <c r="G2263">
        <v>9847</v>
      </c>
      <c r="H2263" t="s">
        <v>6845</v>
      </c>
      <c r="I2263" t="s">
        <v>6846</v>
      </c>
      <c r="J2263" t="s">
        <v>161</v>
      </c>
      <c r="O2263" t="s">
        <v>6847</v>
      </c>
      <c r="P2263">
        <v>138.43</v>
      </c>
      <c r="Q2263">
        <v>138.43</v>
      </c>
      <c r="R2263">
        <v>137.26</v>
      </c>
      <c r="S2263">
        <v>137.75</v>
      </c>
      <c r="T2263">
        <v>137.47</v>
      </c>
      <c r="U2263">
        <v>138.43</v>
      </c>
      <c r="W2263">
        <v>137.75</v>
      </c>
      <c r="Z2263">
        <v>14767</v>
      </c>
      <c r="AA2263">
        <v>2034601.72</v>
      </c>
      <c r="AB2263">
        <v>296</v>
      </c>
      <c r="AC2263" t="s">
        <v>42</v>
      </c>
      <c r="AD2263">
        <v>1</v>
      </c>
    </row>
    <row r="2264" spans="1:30">
      <c r="A2264" t="str">
        <f>CONCATENATE(I2264,J2264)</f>
        <v>GOLDBEESEQ</v>
      </c>
      <c r="B2264" s="34">
        <v>46273</v>
      </c>
      <c r="C2264" s="34">
        <v>46273</v>
      </c>
      <c r="D2264" t="s">
        <v>35</v>
      </c>
      <c r="E2264" t="s">
        <v>36</v>
      </c>
      <c r="F2264" t="s">
        <v>37</v>
      </c>
      <c r="G2264">
        <v>14428</v>
      </c>
      <c r="H2264" t="s">
        <v>6848</v>
      </c>
      <c r="I2264" t="s">
        <v>6849</v>
      </c>
      <c r="J2264" t="s">
        <v>161</v>
      </c>
      <c r="O2264" t="s">
        <v>6850</v>
      </c>
      <c r="P2264">
        <v>126</v>
      </c>
      <c r="Q2264">
        <v>126.7</v>
      </c>
      <c r="R2264">
        <v>125.29</v>
      </c>
      <c r="S2264">
        <v>125.84</v>
      </c>
      <c r="T2264">
        <v>125.88</v>
      </c>
      <c r="U2264">
        <v>125.58</v>
      </c>
      <c r="W2264">
        <v>125.84</v>
      </c>
      <c r="Z2264">
        <v>19795291</v>
      </c>
      <c r="AA2264">
        <v>2494760616.6300001</v>
      </c>
      <c r="AB2264">
        <v>70620</v>
      </c>
      <c r="AC2264" t="s">
        <v>42</v>
      </c>
      <c r="AD2264">
        <v>1</v>
      </c>
    </row>
    <row r="2265" spans="1:30">
      <c r="A2265" t="str">
        <f>CONCATENATE(I2265,J2265)</f>
        <v>HNGSNGBEESEQ</v>
      </c>
      <c r="B2265" s="34">
        <v>46273</v>
      </c>
      <c r="C2265" s="34">
        <v>46273</v>
      </c>
      <c r="D2265" t="s">
        <v>35</v>
      </c>
      <c r="E2265" t="s">
        <v>36</v>
      </c>
      <c r="F2265" t="s">
        <v>37</v>
      </c>
      <c r="G2265">
        <v>18284</v>
      </c>
      <c r="H2265" t="s">
        <v>6851</v>
      </c>
      <c r="I2265" t="s">
        <v>6852</v>
      </c>
      <c r="J2265" t="s">
        <v>161</v>
      </c>
      <c r="O2265" t="s">
        <v>6853</v>
      </c>
      <c r="P2265">
        <v>477.51</v>
      </c>
      <c r="Q2265">
        <v>477.51</v>
      </c>
      <c r="R2265">
        <v>466</v>
      </c>
      <c r="S2265">
        <v>466.97</v>
      </c>
      <c r="T2265">
        <v>467.48</v>
      </c>
      <c r="U2265">
        <v>469.32</v>
      </c>
      <c r="W2265">
        <v>466.96</v>
      </c>
      <c r="Z2265">
        <v>66894</v>
      </c>
      <c r="AA2265">
        <v>31277657.710000001</v>
      </c>
      <c r="AB2265">
        <v>4133</v>
      </c>
      <c r="AC2265" t="s">
        <v>42</v>
      </c>
      <c r="AD2265">
        <v>1</v>
      </c>
    </row>
    <row r="2266" spans="1:30">
      <c r="A2266" t="str">
        <f>CONCATENATE(I2266,J2266)</f>
        <v>INFRABEESEQ</v>
      </c>
      <c r="B2266" s="34">
        <v>46273</v>
      </c>
      <c r="C2266" s="34">
        <v>46273</v>
      </c>
      <c r="D2266" t="s">
        <v>35</v>
      </c>
      <c r="E2266" t="s">
        <v>36</v>
      </c>
      <c r="F2266" t="s">
        <v>37</v>
      </c>
      <c r="G2266">
        <v>20072</v>
      </c>
      <c r="H2266" t="s">
        <v>6854</v>
      </c>
      <c r="I2266" t="s">
        <v>6855</v>
      </c>
      <c r="J2266" t="s">
        <v>161</v>
      </c>
      <c r="O2266" t="s">
        <v>6856</v>
      </c>
      <c r="P2266">
        <v>949.48</v>
      </c>
      <c r="Q2266">
        <v>951.07</v>
      </c>
      <c r="R2266">
        <v>943.89</v>
      </c>
      <c r="S2266">
        <v>947.27</v>
      </c>
      <c r="T2266">
        <v>951.07</v>
      </c>
      <c r="U2266">
        <v>949.48</v>
      </c>
      <c r="W2266">
        <v>947.24</v>
      </c>
      <c r="Z2266">
        <v>5487</v>
      </c>
      <c r="AA2266">
        <v>5188477.41</v>
      </c>
      <c r="AB2266">
        <v>511</v>
      </c>
      <c r="AC2266" t="s">
        <v>42</v>
      </c>
      <c r="AD2266">
        <v>1</v>
      </c>
    </row>
    <row r="2267" spans="1:30">
      <c r="A2267" t="str">
        <f>CONCATENATE(I2267,J2267)</f>
        <v>ITBEESEQ</v>
      </c>
      <c r="B2267" s="34">
        <v>46273</v>
      </c>
      <c r="C2267" s="34">
        <v>46273</v>
      </c>
      <c r="D2267" t="s">
        <v>35</v>
      </c>
      <c r="E2267" t="s">
        <v>36</v>
      </c>
      <c r="F2267" t="s">
        <v>37</v>
      </c>
      <c r="G2267">
        <v>19084</v>
      </c>
      <c r="H2267" t="s">
        <v>6857</v>
      </c>
      <c r="I2267" t="s">
        <v>6858</v>
      </c>
      <c r="J2267" t="s">
        <v>161</v>
      </c>
      <c r="O2267" t="s">
        <v>6859</v>
      </c>
      <c r="P2267">
        <v>33.64</v>
      </c>
      <c r="Q2267">
        <v>33.64</v>
      </c>
      <c r="R2267">
        <v>33.01</v>
      </c>
      <c r="S2267">
        <v>33.270000000000003</v>
      </c>
      <c r="T2267">
        <v>33.31</v>
      </c>
      <c r="U2267">
        <v>33.33</v>
      </c>
      <c r="W2267">
        <v>33.270000000000003</v>
      </c>
      <c r="Z2267">
        <v>5640650</v>
      </c>
      <c r="AA2267">
        <v>187399406.28</v>
      </c>
      <c r="AB2267">
        <v>13359</v>
      </c>
      <c r="AC2267" t="s">
        <v>42</v>
      </c>
      <c r="AD2267">
        <v>1</v>
      </c>
    </row>
    <row r="2268" spans="1:30">
      <c r="A2268" t="str">
        <f>CONCATENATE(I2268,J2268)</f>
        <v>JUNIORBEESEQ</v>
      </c>
      <c r="B2268" s="34">
        <v>46273</v>
      </c>
      <c r="C2268" s="34">
        <v>46273</v>
      </c>
      <c r="D2268" t="s">
        <v>35</v>
      </c>
      <c r="E2268" t="s">
        <v>36</v>
      </c>
      <c r="F2268" t="s">
        <v>37</v>
      </c>
      <c r="G2268">
        <v>10939</v>
      </c>
      <c r="H2268" t="s">
        <v>6860</v>
      </c>
      <c r="I2268" t="s">
        <v>6861</v>
      </c>
      <c r="J2268" t="s">
        <v>161</v>
      </c>
      <c r="O2268" t="s">
        <v>6862</v>
      </c>
      <c r="P2268">
        <v>788.78</v>
      </c>
      <c r="Q2268">
        <v>790</v>
      </c>
      <c r="R2268">
        <v>783.46</v>
      </c>
      <c r="S2268">
        <v>787.59</v>
      </c>
      <c r="T2268">
        <v>787.87</v>
      </c>
      <c r="U2268">
        <v>786.26</v>
      </c>
      <c r="W2268">
        <v>787.64</v>
      </c>
      <c r="Z2268">
        <v>233675</v>
      </c>
      <c r="AA2268">
        <v>184170912.22</v>
      </c>
      <c r="AB2268">
        <v>8196</v>
      </c>
      <c r="AC2268" t="s">
        <v>42</v>
      </c>
      <c r="AD2268">
        <v>1</v>
      </c>
    </row>
    <row r="2269" spans="1:30">
      <c r="A2269" t="str">
        <f>CONCATENATE(I2269,J2269)</f>
        <v>LIQUIDBEESEQ</v>
      </c>
      <c r="B2269" s="34">
        <v>46273</v>
      </c>
      <c r="C2269" s="34">
        <v>46273</v>
      </c>
      <c r="D2269" t="s">
        <v>35</v>
      </c>
      <c r="E2269" t="s">
        <v>36</v>
      </c>
      <c r="F2269" t="s">
        <v>37</v>
      </c>
      <c r="G2269">
        <v>11006</v>
      </c>
      <c r="H2269" t="s">
        <v>6863</v>
      </c>
      <c r="I2269" t="s">
        <v>6864</v>
      </c>
      <c r="J2269" t="s">
        <v>161</v>
      </c>
      <c r="O2269" t="s">
        <v>6865</v>
      </c>
      <c r="P2269">
        <v>1000</v>
      </c>
      <c r="Q2269">
        <v>1000.02</v>
      </c>
      <c r="R2269">
        <v>999.99</v>
      </c>
      <c r="S2269">
        <v>1000</v>
      </c>
      <c r="T2269">
        <v>1000</v>
      </c>
      <c r="U2269">
        <v>999.99</v>
      </c>
      <c r="W2269">
        <v>1000</v>
      </c>
      <c r="Z2269">
        <v>2577615</v>
      </c>
      <c r="AA2269">
        <v>2577613451.5300002</v>
      </c>
      <c r="AB2269">
        <v>4951</v>
      </c>
      <c r="AC2269" t="s">
        <v>42</v>
      </c>
      <c r="AD2269">
        <v>1</v>
      </c>
    </row>
    <row r="2270" spans="1:30">
      <c r="A2270" t="str">
        <f>CONCATENATE(I2270,J2270)</f>
        <v>LTGILTBEESEQ</v>
      </c>
      <c r="B2270" s="34">
        <v>46273</v>
      </c>
      <c r="C2270" s="34">
        <v>46273</v>
      </c>
      <c r="D2270" t="s">
        <v>35</v>
      </c>
      <c r="E2270" t="s">
        <v>36</v>
      </c>
      <c r="F2270" t="s">
        <v>37</v>
      </c>
      <c r="G2270">
        <v>17700</v>
      </c>
      <c r="H2270" t="s">
        <v>6866</v>
      </c>
      <c r="I2270" t="s">
        <v>6867</v>
      </c>
      <c r="J2270" t="s">
        <v>161</v>
      </c>
      <c r="O2270" t="s">
        <v>6868</v>
      </c>
      <c r="P2270">
        <v>30.61</v>
      </c>
      <c r="Q2270">
        <v>30.61</v>
      </c>
      <c r="R2270">
        <v>29.86</v>
      </c>
      <c r="S2270">
        <v>29.89</v>
      </c>
      <c r="T2270">
        <v>29.9</v>
      </c>
      <c r="U2270">
        <v>29.87</v>
      </c>
      <c r="W2270">
        <v>29.89</v>
      </c>
      <c r="Z2270">
        <v>907482</v>
      </c>
      <c r="AA2270">
        <v>27118545.09</v>
      </c>
      <c r="AB2270">
        <v>571</v>
      </c>
      <c r="AC2270" t="s">
        <v>42</v>
      </c>
      <c r="AD2270">
        <v>1</v>
      </c>
    </row>
    <row r="2271" spans="1:30">
      <c r="A2271" t="str">
        <f>CONCATENATE(I2271,J2271)</f>
        <v>MID150BEESEQ</v>
      </c>
      <c r="B2271" s="34">
        <v>46273</v>
      </c>
      <c r="C2271" s="34">
        <v>46273</v>
      </c>
      <c r="D2271" t="s">
        <v>35</v>
      </c>
      <c r="E2271" t="s">
        <v>36</v>
      </c>
      <c r="F2271" t="s">
        <v>37</v>
      </c>
      <c r="G2271">
        <v>8506</v>
      </c>
      <c r="H2271" t="s">
        <v>6869</v>
      </c>
      <c r="I2271" t="s">
        <v>6870</v>
      </c>
      <c r="J2271" t="s">
        <v>161</v>
      </c>
      <c r="O2271" t="s">
        <v>6871</v>
      </c>
      <c r="P2271">
        <v>242.99</v>
      </c>
      <c r="Q2271">
        <v>242.99</v>
      </c>
      <c r="R2271">
        <v>237.91</v>
      </c>
      <c r="S2271">
        <v>239.02</v>
      </c>
      <c r="T2271">
        <v>238.11</v>
      </c>
      <c r="U2271">
        <v>239.11</v>
      </c>
      <c r="W2271">
        <v>239.02</v>
      </c>
      <c r="Z2271">
        <v>441323</v>
      </c>
      <c r="AA2271">
        <v>105433213.44</v>
      </c>
      <c r="AB2271">
        <v>6863</v>
      </c>
      <c r="AC2271" t="s">
        <v>42</v>
      </c>
      <c r="AD2271">
        <v>1</v>
      </c>
    </row>
    <row r="2272" spans="1:30">
      <c r="A2272" t="str">
        <f>CONCATENATE(I2272,J2272)</f>
        <v>NIF100BEESEQ</v>
      </c>
      <c r="B2272" s="34">
        <v>46273</v>
      </c>
      <c r="C2272" s="34">
        <v>46273</v>
      </c>
      <c r="D2272" t="s">
        <v>35</v>
      </c>
      <c r="E2272" t="s">
        <v>36</v>
      </c>
      <c r="F2272" t="s">
        <v>37</v>
      </c>
      <c r="G2272">
        <v>29577</v>
      </c>
      <c r="H2272" t="s">
        <v>6872</v>
      </c>
      <c r="I2272" t="s">
        <v>6873</v>
      </c>
      <c r="J2272" t="s">
        <v>161</v>
      </c>
      <c r="O2272" t="s">
        <v>6874</v>
      </c>
      <c r="P2272">
        <v>265.38</v>
      </c>
      <c r="Q2272">
        <v>265.38</v>
      </c>
      <c r="R2272">
        <v>262.92</v>
      </c>
      <c r="S2272">
        <v>263.3</v>
      </c>
      <c r="T2272">
        <v>263.7</v>
      </c>
      <c r="U2272">
        <v>264.60000000000002</v>
      </c>
      <c r="W2272">
        <v>263.2</v>
      </c>
      <c r="Z2272">
        <v>36800</v>
      </c>
      <c r="AA2272">
        <v>9697042.6899999995</v>
      </c>
      <c r="AB2272">
        <v>650</v>
      </c>
      <c r="AC2272" t="s">
        <v>42</v>
      </c>
      <c r="AD2272">
        <v>1</v>
      </c>
    </row>
    <row r="2273" spans="1:30">
      <c r="A2273" t="str">
        <f>CONCATENATE(I2273,J2273)</f>
        <v>NIFTYBEESEQ</v>
      </c>
      <c r="B2273" s="34">
        <v>46273</v>
      </c>
      <c r="C2273" s="34">
        <v>46273</v>
      </c>
      <c r="D2273" t="s">
        <v>35</v>
      </c>
      <c r="E2273" t="s">
        <v>36</v>
      </c>
      <c r="F2273" t="s">
        <v>37</v>
      </c>
      <c r="G2273">
        <v>10576</v>
      </c>
      <c r="H2273" t="s">
        <v>6875</v>
      </c>
      <c r="I2273" t="s">
        <v>6876</v>
      </c>
      <c r="J2273" t="s">
        <v>161</v>
      </c>
      <c r="O2273" t="s">
        <v>6877</v>
      </c>
      <c r="P2273">
        <v>271.64</v>
      </c>
      <c r="Q2273">
        <v>271.64</v>
      </c>
      <c r="R2273">
        <v>269.79000000000002</v>
      </c>
      <c r="S2273">
        <v>270.05</v>
      </c>
      <c r="T2273">
        <v>270.12</v>
      </c>
      <c r="U2273">
        <v>271.20999999999998</v>
      </c>
      <c r="W2273">
        <v>270.05</v>
      </c>
      <c r="Z2273">
        <v>6629541</v>
      </c>
      <c r="AA2273">
        <v>1791748625.5799999</v>
      </c>
      <c r="AB2273">
        <v>62191</v>
      </c>
      <c r="AC2273" t="s">
        <v>42</v>
      </c>
      <c r="AD2273">
        <v>1</v>
      </c>
    </row>
    <row r="2274" spans="1:30">
      <c r="A2274" t="str">
        <f>CONCATENATE(I2274,J2274)</f>
        <v>PSUBNKBEESEQ</v>
      </c>
      <c r="B2274" s="34">
        <v>46273</v>
      </c>
      <c r="C2274" s="34">
        <v>46273</v>
      </c>
      <c r="D2274" t="s">
        <v>35</v>
      </c>
      <c r="E2274" t="s">
        <v>36</v>
      </c>
      <c r="F2274" t="s">
        <v>37</v>
      </c>
      <c r="G2274">
        <v>15032</v>
      </c>
      <c r="H2274" t="s">
        <v>6878</v>
      </c>
      <c r="I2274" t="s">
        <v>6879</v>
      </c>
      <c r="J2274" t="s">
        <v>161</v>
      </c>
      <c r="O2274" t="s">
        <v>6880</v>
      </c>
      <c r="P2274">
        <v>95.6</v>
      </c>
      <c r="Q2274">
        <v>95.6</v>
      </c>
      <c r="R2274">
        <v>93.71</v>
      </c>
      <c r="S2274">
        <v>93.97</v>
      </c>
      <c r="T2274">
        <v>93.98</v>
      </c>
      <c r="U2274">
        <v>94.21</v>
      </c>
      <c r="W2274">
        <v>93.97</v>
      </c>
      <c r="Z2274">
        <v>1124101</v>
      </c>
      <c r="AA2274">
        <v>105661455.28</v>
      </c>
      <c r="AB2274">
        <v>4693</v>
      </c>
      <c r="AC2274" t="s">
        <v>42</v>
      </c>
      <c r="AD2274">
        <v>1</v>
      </c>
    </row>
    <row r="2275" spans="1:30">
      <c r="A2275" t="str">
        <f>CONCATENATE(I2275,J2275)</f>
        <v>SHARIABEESEQ</v>
      </c>
      <c r="B2275" s="34">
        <v>46273</v>
      </c>
      <c r="C2275" s="34">
        <v>46273</v>
      </c>
      <c r="D2275" t="s">
        <v>35</v>
      </c>
      <c r="E2275" t="s">
        <v>36</v>
      </c>
      <c r="F2275" t="s">
        <v>37</v>
      </c>
      <c r="G2275">
        <v>17044</v>
      </c>
      <c r="H2275" t="s">
        <v>6881</v>
      </c>
      <c r="I2275" t="s">
        <v>6882</v>
      </c>
      <c r="J2275" t="s">
        <v>161</v>
      </c>
      <c r="O2275" t="s">
        <v>6883</v>
      </c>
      <c r="P2275">
        <v>447.05</v>
      </c>
      <c r="Q2275">
        <v>447.05</v>
      </c>
      <c r="R2275">
        <v>444.41</v>
      </c>
      <c r="S2275">
        <v>446.23</v>
      </c>
      <c r="T2275">
        <v>447</v>
      </c>
      <c r="U2275">
        <v>447.05</v>
      </c>
      <c r="W2275">
        <v>446.23</v>
      </c>
      <c r="Z2275">
        <v>6020</v>
      </c>
      <c r="AA2275">
        <v>2686438.54</v>
      </c>
      <c r="AB2275">
        <v>407</v>
      </c>
      <c r="AC2275" t="s">
        <v>42</v>
      </c>
      <c r="AD2275">
        <v>1</v>
      </c>
    </row>
    <row r="2276" spans="1:30">
      <c r="A2276" t="str">
        <f>CONCATENATE(I2276,J2276)</f>
        <v>NAM-INDIAEQ</v>
      </c>
      <c r="B2276" s="34">
        <v>46273</v>
      </c>
      <c r="C2276" s="34">
        <v>46273</v>
      </c>
      <c r="D2276" t="s">
        <v>35</v>
      </c>
      <c r="E2276" t="s">
        <v>36</v>
      </c>
      <c r="F2276" t="s">
        <v>37</v>
      </c>
      <c r="G2276">
        <v>357</v>
      </c>
      <c r="H2276" t="s">
        <v>6884</v>
      </c>
      <c r="I2276" t="s">
        <v>6885</v>
      </c>
      <c r="J2276" t="s">
        <v>161</v>
      </c>
      <c r="O2276" t="s">
        <v>6886</v>
      </c>
      <c r="P2276">
        <v>1194</v>
      </c>
      <c r="Q2276">
        <v>1195</v>
      </c>
      <c r="R2276">
        <v>1180</v>
      </c>
      <c r="S2276">
        <v>1188.9000000000001</v>
      </c>
      <c r="T2276">
        <v>1188.9000000000001</v>
      </c>
      <c r="U2276">
        <v>1195</v>
      </c>
      <c r="W2276">
        <v>1188.9000000000001</v>
      </c>
      <c r="Z2276">
        <v>664071</v>
      </c>
      <c r="AA2276">
        <v>788872016.10000002</v>
      </c>
      <c r="AB2276">
        <v>32924</v>
      </c>
      <c r="AC2276" t="s">
        <v>42</v>
      </c>
      <c r="AD2276">
        <v>1</v>
      </c>
    </row>
    <row r="2277" spans="1:30">
      <c r="A2277" t="str">
        <f>CONCATENATE(I2277,J2277)</f>
        <v>LIQGRWBEESEQ</v>
      </c>
      <c r="B2277" s="34">
        <v>46273</v>
      </c>
      <c r="C2277" s="34">
        <v>46273</v>
      </c>
      <c r="D2277" t="s">
        <v>35</v>
      </c>
      <c r="E2277" t="s">
        <v>36</v>
      </c>
      <c r="F2277" t="s">
        <v>37</v>
      </c>
      <c r="G2277">
        <v>757725</v>
      </c>
      <c r="H2277" t="s">
        <v>6887</v>
      </c>
      <c r="I2277" t="s">
        <v>6888</v>
      </c>
      <c r="J2277" t="s">
        <v>161</v>
      </c>
      <c r="O2277" t="s">
        <v>6889</v>
      </c>
      <c r="P2277">
        <v>1054.68</v>
      </c>
      <c r="Q2277">
        <v>1054.7</v>
      </c>
      <c r="R2277">
        <v>1054.68</v>
      </c>
      <c r="S2277">
        <v>1054.68</v>
      </c>
      <c r="T2277">
        <v>1054.68</v>
      </c>
      <c r="U2277">
        <v>1054.56</v>
      </c>
      <c r="W2277">
        <v>1054.68</v>
      </c>
      <c r="Z2277">
        <v>35963</v>
      </c>
      <c r="AA2277">
        <v>37929572.270000003</v>
      </c>
      <c r="AB2277">
        <v>165</v>
      </c>
      <c r="AC2277" t="s">
        <v>42</v>
      </c>
      <c r="AD2277">
        <v>1</v>
      </c>
    </row>
    <row r="2278" spans="1:30">
      <c r="A2278" t="str">
        <f>CONCATENATE(I2278,J2278)</f>
        <v>MANUFGBEESEQ</v>
      </c>
      <c r="B2278" s="34">
        <v>46273</v>
      </c>
      <c r="C2278" s="34">
        <v>46273</v>
      </c>
      <c r="D2278" t="s">
        <v>35</v>
      </c>
      <c r="E2278" t="s">
        <v>36</v>
      </c>
      <c r="F2278" t="s">
        <v>37</v>
      </c>
      <c r="G2278">
        <v>758667</v>
      </c>
      <c r="H2278" t="s">
        <v>6890</v>
      </c>
      <c r="I2278" t="s">
        <v>6891</v>
      </c>
      <c r="J2278" t="s">
        <v>161</v>
      </c>
      <c r="O2278" t="s">
        <v>6892</v>
      </c>
      <c r="P2278">
        <v>163.16</v>
      </c>
      <c r="Q2278">
        <v>163.65</v>
      </c>
      <c r="R2278">
        <v>162.43</v>
      </c>
      <c r="S2278">
        <v>162.66</v>
      </c>
      <c r="T2278">
        <v>163.47</v>
      </c>
      <c r="U2278">
        <v>162.77000000000001</v>
      </c>
      <c r="W2278">
        <v>162.69</v>
      </c>
      <c r="Z2278">
        <v>8323</v>
      </c>
      <c r="AA2278">
        <v>1356860.53</v>
      </c>
      <c r="AB2278">
        <v>88</v>
      </c>
      <c r="AC2278" t="s">
        <v>42</v>
      </c>
      <c r="AD2278">
        <v>1</v>
      </c>
    </row>
    <row r="2279" spans="1:30">
      <c r="A2279" t="str">
        <f>CONCATENATE(I2279,J2279)</f>
        <v>AUTOBEESEQ</v>
      </c>
      <c r="B2279" s="34">
        <v>46273</v>
      </c>
      <c r="C2279" s="34">
        <v>46273</v>
      </c>
      <c r="D2279" t="s">
        <v>35</v>
      </c>
      <c r="E2279" t="s">
        <v>36</v>
      </c>
      <c r="F2279" t="s">
        <v>37</v>
      </c>
      <c r="G2279">
        <v>7880</v>
      </c>
      <c r="H2279" t="s">
        <v>6893</v>
      </c>
      <c r="I2279" t="s">
        <v>6894</v>
      </c>
      <c r="J2279" t="s">
        <v>161</v>
      </c>
      <c r="O2279" t="s">
        <v>6895</v>
      </c>
      <c r="P2279">
        <v>286.69</v>
      </c>
      <c r="Q2279">
        <v>288</v>
      </c>
      <c r="R2279">
        <v>284.05</v>
      </c>
      <c r="S2279">
        <v>286.83</v>
      </c>
      <c r="T2279">
        <v>288</v>
      </c>
      <c r="U2279">
        <v>286.85000000000002</v>
      </c>
      <c r="W2279">
        <v>286.83</v>
      </c>
      <c r="Z2279">
        <v>187168</v>
      </c>
      <c r="AA2279">
        <v>53457222.170000002</v>
      </c>
      <c r="AB2279">
        <v>3051</v>
      </c>
      <c r="AC2279" t="s">
        <v>42</v>
      </c>
      <c r="AD2279">
        <v>1</v>
      </c>
    </row>
    <row r="2280" spans="1:30">
      <c r="A2280" t="str">
        <f>CONCATENATE(I2280,J2280)</f>
        <v>PHARMABEESEQ</v>
      </c>
      <c r="B2280" s="34">
        <v>46273</v>
      </c>
      <c r="C2280" s="34">
        <v>46273</v>
      </c>
      <c r="D2280" t="s">
        <v>35</v>
      </c>
      <c r="E2280" t="s">
        <v>36</v>
      </c>
      <c r="F2280" t="s">
        <v>37</v>
      </c>
      <c r="G2280">
        <v>4973</v>
      </c>
      <c r="H2280" t="s">
        <v>6896</v>
      </c>
      <c r="I2280" t="s">
        <v>6897</v>
      </c>
      <c r="J2280" t="s">
        <v>161</v>
      </c>
      <c r="O2280" t="s">
        <v>6898</v>
      </c>
      <c r="P2280">
        <v>28.08</v>
      </c>
      <c r="Q2280">
        <v>28.08</v>
      </c>
      <c r="R2280">
        <v>27.34</v>
      </c>
      <c r="S2280">
        <v>27.66</v>
      </c>
      <c r="T2280">
        <v>27.7</v>
      </c>
      <c r="U2280">
        <v>27.4</v>
      </c>
      <c r="W2280">
        <v>27.66</v>
      </c>
      <c r="Z2280">
        <v>4041902</v>
      </c>
      <c r="AA2280">
        <v>111523049</v>
      </c>
      <c r="AB2280">
        <v>9136</v>
      </c>
      <c r="AC2280" t="s">
        <v>42</v>
      </c>
      <c r="AD2280">
        <v>1</v>
      </c>
    </row>
    <row r="2281" spans="1:30">
      <c r="A2281" t="str">
        <f>CONCATENATE(I2281,J2281)</f>
        <v>SILVERBEESEQ</v>
      </c>
      <c r="B2281" s="34">
        <v>46273</v>
      </c>
      <c r="C2281" s="34">
        <v>46273</v>
      </c>
      <c r="D2281" t="s">
        <v>35</v>
      </c>
      <c r="E2281" t="s">
        <v>36</v>
      </c>
      <c r="F2281" t="s">
        <v>37</v>
      </c>
      <c r="G2281">
        <v>8080</v>
      </c>
      <c r="H2281" t="s">
        <v>6899</v>
      </c>
      <c r="I2281" t="s">
        <v>6900</v>
      </c>
      <c r="J2281" t="s">
        <v>161</v>
      </c>
      <c r="O2281" t="s">
        <v>6901</v>
      </c>
      <c r="P2281">
        <v>222.3</v>
      </c>
      <c r="Q2281">
        <v>223.65</v>
      </c>
      <c r="R2281">
        <v>220.01</v>
      </c>
      <c r="S2281">
        <v>221.17</v>
      </c>
      <c r="T2281">
        <v>221.31</v>
      </c>
      <c r="U2281">
        <v>219.96</v>
      </c>
      <c r="W2281">
        <v>221.17</v>
      </c>
      <c r="Z2281">
        <v>16238547</v>
      </c>
      <c r="AA2281">
        <v>3602928229.1100001</v>
      </c>
      <c r="AB2281">
        <v>51463</v>
      </c>
      <c r="AC2281" t="s">
        <v>42</v>
      </c>
      <c r="AD2281">
        <v>1</v>
      </c>
    </row>
    <row r="2282" spans="1:30">
      <c r="A2282" t="str">
        <f>CONCATENATE(I2282,J2282)</f>
        <v>SNXT30BEESEQ</v>
      </c>
      <c r="B2282" s="34">
        <v>46273</v>
      </c>
      <c r="C2282" s="34">
        <v>46273</v>
      </c>
      <c r="D2282" t="s">
        <v>35</v>
      </c>
      <c r="E2282" t="s">
        <v>36</v>
      </c>
      <c r="F2282" t="s">
        <v>37</v>
      </c>
      <c r="G2282">
        <v>757455</v>
      </c>
      <c r="H2282" t="s">
        <v>6902</v>
      </c>
      <c r="I2282" t="s">
        <v>6903</v>
      </c>
      <c r="J2282" t="s">
        <v>161</v>
      </c>
      <c r="O2282" t="s">
        <v>6904</v>
      </c>
      <c r="P2282">
        <v>42.35</v>
      </c>
      <c r="Q2282">
        <v>42.48</v>
      </c>
      <c r="R2282">
        <v>42.22</v>
      </c>
      <c r="S2282">
        <v>42.25</v>
      </c>
      <c r="T2282">
        <v>42.22</v>
      </c>
      <c r="U2282">
        <v>42.36</v>
      </c>
      <c r="W2282">
        <v>42.25</v>
      </c>
      <c r="Z2282">
        <v>5301</v>
      </c>
      <c r="AA2282">
        <v>224592.79</v>
      </c>
      <c r="AB2282">
        <v>42</v>
      </c>
      <c r="AC2282" t="s">
        <v>42</v>
      </c>
      <c r="AD2282">
        <v>1</v>
      </c>
    </row>
    <row r="2283" spans="1:30">
      <c r="A2283" t="str">
        <f>CONCATENATE(I2283,J2283)</f>
        <v>NIRAJEQ</v>
      </c>
      <c r="B2283" s="34">
        <v>46273</v>
      </c>
      <c r="C2283" s="34">
        <v>46273</v>
      </c>
      <c r="D2283" t="s">
        <v>35</v>
      </c>
      <c r="E2283" t="s">
        <v>36</v>
      </c>
      <c r="F2283" t="s">
        <v>37</v>
      </c>
      <c r="G2283">
        <v>255</v>
      </c>
      <c r="H2283" t="s">
        <v>6905</v>
      </c>
      <c r="I2283" t="s">
        <v>6906</v>
      </c>
      <c r="J2283" t="s">
        <v>161</v>
      </c>
      <c r="O2283" t="s">
        <v>6907</v>
      </c>
      <c r="P2283">
        <v>29.55</v>
      </c>
      <c r="Q2283">
        <v>29.55</v>
      </c>
      <c r="R2283">
        <v>28</v>
      </c>
      <c r="S2283">
        <v>28.18</v>
      </c>
      <c r="T2283">
        <v>28.12</v>
      </c>
      <c r="U2283">
        <v>28.88</v>
      </c>
      <c r="W2283">
        <v>28.18</v>
      </c>
      <c r="Z2283">
        <v>31085</v>
      </c>
      <c r="AA2283">
        <v>887200.78</v>
      </c>
      <c r="AB2283">
        <v>157</v>
      </c>
      <c r="AC2283" t="s">
        <v>42</v>
      </c>
      <c r="AD2283">
        <v>1</v>
      </c>
    </row>
    <row r="2284" spans="1:30">
      <c r="A2284" t="str">
        <f>CONCATENATE(I2284,J2284)</f>
        <v>NIRAJISPATBE</v>
      </c>
      <c r="B2284" s="34">
        <v>46273</v>
      </c>
      <c r="C2284" s="34">
        <v>46273</v>
      </c>
      <c r="D2284" t="s">
        <v>35</v>
      </c>
      <c r="E2284" t="s">
        <v>36</v>
      </c>
      <c r="F2284" t="s">
        <v>37</v>
      </c>
      <c r="G2284">
        <v>18844</v>
      </c>
      <c r="H2284" t="s">
        <v>6908</v>
      </c>
      <c r="I2284" t="s">
        <v>6909</v>
      </c>
      <c r="J2284" t="s">
        <v>183</v>
      </c>
      <c r="O2284" t="s">
        <v>6910</v>
      </c>
      <c r="P2284">
        <v>350.05</v>
      </c>
      <c r="Q2284">
        <v>350.05</v>
      </c>
      <c r="R2284">
        <v>350.05</v>
      </c>
      <c r="S2284">
        <v>350.05</v>
      </c>
      <c r="T2284">
        <v>350.05</v>
      </c>
      <c r="U2284">
        <v>368.45</v>
      </c>
      <c r="W2284">
        <v>350.05</v>
      </c>
      <c r="Z2284">
        <v>132</v>
      </c>
      <c r="AA2284">
        <v>46206.6</v>
      </c>
      <c r="AB2284">
        <v>9</v>
      </c>
      <c r="AC2284" t="s">
        <v>42</v>
      </c>
      <c r="AD2284">
        <v>1</v>
      </c>
    </row>
    <row r="2285" spans="1:30">
      <c r="A2285" t="str">
        <f>CONCATENATE(I2285,J2285)</f>
        <v>NIRLONEQ</v>
      </c>
      <c r="B2285" s="34">
        <v>46273</v>
      </c>
      <c r="C2285" s="34">
        <v>46273</v>
      </c>
      <c r="D2285" t="s">
        <v>35</v>
      </c>
      <c r="E2285" t="s">
        <v>36</v>
      </c>
      <c r="F2285" t="s">
        <v>37</v>
      </c>
      <c r="G2285">
        <v>2433</v>
      </c>
      <c r="H2285" t="s">
        <v>6911</v>
      </c>
      <c r="I2285" t="s">
        <v>6912</v>
      </c>
      <c r="J2285" t="s">
        <v>161</v>
      </c>
      <c r="O2285" t="s">
        <v>6913</v>
      </c>
      <c r="P2285">
        <v>624.54999999999995</v>
      </c>
      <c r="Q2285">
        <v>628.85</v>
      </c>
      <c r="R2285">
        <v>619.04999999999995</v>
      </c>
      <c r="S2285">
        <v>619.65</v>
      </c>
      <c r="T2285">
        <v>619.1</v>
      </c>
      <c r="U2285">
        <v>615.15</v>
      </c>
      <c r="W2285">
        <v>619.41</v>
      </c>
      <c r="Z2285">
        <v>10847</v>
      </c>
      <c r="AA2285">
        <v>6727878.0499999998</v>
      </c>
      <c r="AB2285">
        <v>1485</v>
      </c>
      <c r="AC2285" t="s">
        <v>42</v>
      </c>
      <c r="AD2285">
        <v>1</v>
      </c>
    </row>
    <row r="2286" spans="1:30">
      <c r="A2286" t="str">
        <f>CONCATENATE(I2286,J2286)</f>
        <v>NIRMANSM</v>
      </c>
      <c r="B2286" s="34">
        <v>46273</v>
      </c>
      <c r="C2286" s="34">
        <v>46273</v>
      </c>
      <c r="D2286" t="s">
        <v>35</v>
      </c>
      <c r="E2286" t="s">
        <v>36</v>
      </c>
      <c r="F2286" t="s">
        <v>37</v>
      </c>
      <c r="G2286">
        <v>14722</v>
      </c>
      <c r="H2286" t="s">
        <v>6914</v>
      </c>
      <c r="I2286" t="s">
        <v>6915</v>
      </c>
      <c r="J2286" t="s">
        <v>267</v>
      </c>
      <c r="O2286" t="s">
        <v>6916</v>
      </c>
      <c r="P2286">
        <v>27.5</v>
      </c>
      <c r="Q2286">
        <v>27.9</v>
      </c>
      <c r="R2286">
        <v>27.05</v>
      </c>
      <c r="S2286">
        <v>27.3</v>
      </c>
      <c r="T2286">
        <v>27.25</v>
      </c>
      <c r="U2286">
        <v>28.45</v>
      </c>
      <c r="W2286">
        <v>27.3</v>
      </c>
      <c r="Z2286">
        <v>12000</v>
      </c>
      <c r="AA2286">
        <v>329325</v>
      </c>
      <c r="AB2286">
        <v>38</v>
      </c>
      <c r="AC2286" t="s">
        <v>42</v>
      </c>
      <c r="AD2286">
        <v>300</v>
      </c>
    </row>
    <row r="2287" spans="1:30">
      <c r="A2287" t="str">
        <f>CONCATENATE(I2287,J2287)</f>
        <v>NITCOEQ</v>
      </c>
      <c r="B2287" s="34">
        <v>46273</v>
      </c>
      <c r="C2287" s="34">
        <v>46273</v>
      </c>
      <c r="D2287" t="s">
        <v>35</v>
      </c>
      <c r="E2287" t="s">
        <v>36</v>
      </c>
      <c r="F2287" t="s">
        <v>37</v>
      </c>
      <c r="G2287">
        <v>13300</v>
      </c>
      <c r="H2287" t="s">
        <v>6917</v>
      </c>
      <c r="I2287" t="s">
        <v>6918</v>
      </c>
      <c r="J2287" t="s">
        <v>161</v>
      </c>
      <c r="O2287" t="s">
        <v>6919</v>
      </c>
      <c r="P2287">
        <v>93.85</v>
      </c>
      <c r="Q2287">
        <v>94.39</v>
      </c>
      <c r="R2287">
        <v>92.46</v>
      </c>
      <c r="S2287">
        <v>93.46</v>
      </c>
      <c r="T2287">
        <v>94</v>
      </c>
      <c r="U2287">
        <v>93.84</v>
      </c>
      <c r="W2287">
        <v>93.45</v>
      </c>
      <c r="Z2287">
        <v>414124</v>
      </c>
      <c r="AA2287">
        <v>38610020.619999997</v>
      </c>
      <c r="AB2287">
        <v>2813</v>
      </c>
      <c r="AC2287" t="s">
        <v>42</v>
      </c>
      <c r="AD2287">
        <v>1</v>
      </c>
    </row>
    <row r="2288" spans="1:30">
      <c r="A2288" t="str">
        <f>CONCATENATE(I2288,J2288)</f>
        <v>NITINSPINEQ</v>
      </c>
      <c r="B2288" s="34">
        <v>46273</v>
      </c>
      <c r="C2288" s="34">
        <v>46273</v>
      </c>
      <c r="D2288" t="s">
        <v>35</v>
      </c>
      <c r="E2288" t="s">
        <v>36</v>
      </c>
      <c r="F2288" t="s">
        <v>37</v>
      </c>
      <c r="G2288">
        <v>13175</v>
      </c>
      <c r="H2288" t="s">
        <v>6920</v>
      </c>
      <c r="I2288" t="s">
        <v>6921</v>
      </c>
      <c r="J2288" t="s">
        <v>161</v>
      </c>
      <c r="O2288" t="s">
        <v>6922</v>
      </c>
      <c r="P2288">
        <v>628</v>
      </c>
      <c r="Q2288">
        <v>664.4</v>
      </c>
      <c r="R2288">
        <v>619.79999999999995</v>
      </c>
      <c r="S2288">
        <v>655.1</v>
      </c>
      <c r="T2288">
        <v>654</v>
      </c>
      <c r="U2288">
        <v>627.45000000000005</v>
      </c>
      <c r="W2288">
        <v>655.16999999999996</v>
      </c>
      <c r="Z2288">
        <v>527875</v>
      </c>
      <c r="AA2288">
        <v>343124948.10000002</v>
      </c>
      <c r="AB2288">
        <v>18747</v>
      </c>
      <c r="AC2288" t="s">
        <v>42</v>
      </c>
      <c r="AD2288">
        <v>1</v>
      </c>
    </row>
    <row r="2289" spans="1:30">
      <c r="A2289" t="str">
        <f>CONCATENATE(I2289,J2289)</f>
        <v>NITIRAJEQ</v>
      </c>
      <c r="B2289" s="34">
        <v>46273</v>
      </c>
      <c r="C2289" s="34">
        <v>46273</v>
      </c>
      <c r="D2289" t="s">
        <v>35</v>
      </c>
      <c r="E2289" t="s">
        <v>36</v>
      </c>
      <c r="F2289" t="s">
        <v>37</v>
      </c>
      <c r="G2289">
        <v>3247</v>
      </c>
      <c r="H2289" t="s">
        <v>6923</v>
      </c>
      <c r="I2289" t="s">
        <v>6924</v>
      </c>
      <c r="J2289" t="s">
        <v>161</v>
      </c>
      <c r="O2289" t="s">
        <v>6925</v>
      </c>
      <c r="P2289">
        <v>235.95</v>
      </c>
      <c r="Q2289">
        <v>235.95</v>
      </c>
      <c r="R2289">
        <v>224</v>
      </c>
      <c r="S2289">
        <v>230.92</v>
      </c>
      <c r="T2289">
        <v>229.96</v>
      </c>
      <c r="U2289">
        <v>231.04</v>
      </c>
      <c r="W2289">
        <v>230.92</v>
      </c>
      <c r="Z2289">
        <v>8585</v>
      </c>
      <c r="AA2289">
        <v>1966086.32</v>
      </c>
      <c r="AB2289">
        <v>206</v>
      </c>
      <c r="AC2289" t="s">
        <v>42</v>
      </c>
      <c r="AD2289">
        <v>1</v>
      </c>
    </row>
    <row r="2290" spans="1:30">
      <c r="A2290" t="str">
        <f>CONCATENATE(I2290,J2290)</f>
        <v>NITTAGELAEQ</v>
      </c>
      <c r="B2290" s="34">
        <v>46273</v>
      </c>
      <c r="C2290" s="34">
        <v>46273</v>
      </c>
      <c r="D2290" t="s">
        <v>35</v>
      </c>
      <c r="E2290" t="s">
        <v>36</v>
      </c>
      <c r="F2290" t="s">
        <v>37</v>
      </c>
      <c r="G2290">
        <v>762824</v>
      </c>
      <c r="H2290" t="s">
        <v>6926</v>
      </c>
      <c r="I2290" t="s">
        <v>6927</v>
      </c>
      <c r="J2290" t="s">
        <v>161</v>
      </c>
      <c r="O2290" t="s">
        <v>6928</v>
      </c>
      <c r="P2290">
        <v>1703</v>
      </c>
      <c r="Q2290">
        <v>1706</v>
      </c>
      <c r="R2290">
        <v>1654.2</v>
      </c>
      <c r="S2290">
        <v>1670.5</v>
      </c>
      <c r="T2290">
        <v>1666.8</v>
      </c>
      <c r="U2290">
        <v>1677.8</v>
      </c>
      <c r="W2290">
        <v>1670.89</v>
      </c>
      <c r="Z2290">
        <v>3735</v>
      </c>
      <c r="AA2290">
        <v>6279999.7999999998</v>
      </c>
      <c r="AB2290">
        <v>562</v>
      </c>
      <c r="AC2290" t="s">
        <v>42</v>
      </c>
      <c r="AD2290">
        <v>1</v>
      </c>
    </row>
    <row r="2291" spans="1:30">
      <c r="A2291" t="str">
        <f>CONCATENATE(I2291,J2291)</f>
        <v>NIVABUPAEQ</v>
      </c>
      <c r="B2291" s="34">
        <v>46273</v>
      </c>
      <c r="C2291" s="34">
        <v>46273</v>
      </c>
      <c r="D2291" t="s">
        <v>35</v>
      </c>
      <c r="E2291" t="s">
        <v>36</v>
      </c>
      <c r="F2291" t="s">
        <v>37</v>
      </c>
      <c r="G2291">
        <v>27097</v>
      </c>
      <c r="H2291" t="s">
        <v>6929</v>
      </c>
      <c r="I2291" t="s">
        <v>6930</v>
      </c>
      <c r="J2291" t="s">
        <v>161</v>
      </c>
      <c r="O2291" t="s">
        <v>6931</v>
      </c>
      <c r="P2291">
        <v>81.09</v>
      </c>
      <c r="Q2291">
        <v>81.099999999999994</v>
      </c>
      <c r="R2291">
        <v>80.010000000000005</v>
      </c>
      <c r="S2291">
        <v>80.55</v>
      </c>
      <c r="T2291">
        <v>80.569999999999993</v>
      </c>
      <c r="U2291">
        <v>80.67</v>
      </c>
      <c r="W2291">
        <v>80.55</v>
      </c>
      <c r="Z2291">
        <v>309739</v>
      </c>
      <c r="AA2291">
        <v>24926480.190000001</v>
      </c>
      <c r="AB2291">
        <v>12208</v>
      </c>
      <c r="AC2291" t="s">
        <v>42</v>
      </c>
      <c r="AD2291">
        <v>1</v>
      </c>
    </row>
    <row r="2292" spans="1:30">
      <c r="A2292" t="str">
        <f>CONCATENATE(I2292,J2292)</f>
        <v>NKINDEQ</v>
      </c>
      <c r="B2292" s="34">
        <v>46273</v>
      </c>
      <c r="C2292" s="34">
        <v>46273</v>
      </c>
      <c r="D2292" t="s">
        <v>35</v>
      </c>
      <c r="E2292" t="s">
        <v>36</v>
      </c>
      <c r="F2292" t="s">
        <v>37</v>
      </c>
      <c r="G2292">
        <v>2439</v>
      </c>
      <c r="H2292" t="s">
        <v>6932</v>
      </c>
      <c r="I2292" t="s">
        <v>6933</v>
      </c>
      <c r="J2292" t="s">
        <v>161</v>
      </c>
      <c r="O2292" t="s">
        <v>6934</v>
      </c>
      <c r="P2292">
        <v>65.8</v>
      </c>
      <c r="Q2292">
        <v>65.8</v>
      </c>
      <c r="R2292">
        <v>58.65</v>
      </c>
      <c r="S2292">
        <v>61.05</v>
      </c>
      <c r="T2292">
        <v>61.09</v>
      </c>
      <c r="U2292">
        <v>57.21</v>
      </c>
      <c r="W2292">
        <v>61.05</v>
      </c>
      <c r="Z2292">
        <v>3020</v>
      </c>
      <c r="AA2292">
        <v>184316.43</v>
      </c>
      <c r="AB2292">
        <v>76</v>
      </c>
      <c r="AC2292" t="s">
        <v>42</v>
      </c>
      <c r="AD2292">
        <v>1</v>
      </c>
    </row>
    <row r="2293" spans="1:30">
      <c r="A2293" t="str">
        <f>CONCATENATE(I2293,J2293)</f>
        <v>NLCINDIAEQ</v>
      </c>
      <c r="B2293" s="34">
        <v>46273</v>
      </c>
      <c r="C2293" s="34">
        <v>46273</v>
      </c>
      <c r="D2293" t="s">
        <v>35</v>
      </c>
      <c r="E2293" t="s">
        <v>36</v>
      </c>
      <c r="F2293" t="s">
        <v>37</v>
      </c>
      <c r="G2293">
        <v>8585</v>
      </c>
      <c r="H2293" t="s">
        <v>6935</v>
      </c>
      <c r="I2293" t="s">
        <v>6936</v>
      </c>
      <c r="J2293" t="s">
        <v>161</v>
      </c>
      <c r="O2293" t="s">
        <v>6937</v>
      </c>
      <c r="P2293">
        <v>269.3</v>
      </c>
      <c r="Q2293">
        <v>272.7</v>
      </c>
      <c r="R2293">
        <v>268.35000000000002</v>
      </c>
      <c r="S2293">
        <v>272.25</v>
      </c>
      <c r="T2293">
        <v>272</v>
      </c>
      <c r="U2293">
        <v>269.3</v>
      </c>
      <c r="W2293">
        <v>272.25</v>
      </c>
      <c r="Z2293">
        <v>725528</v>
      </c>
      <c r="AA2293">
        <v>196427799.34999999</v>
      </c>
      <c r="AB2293">
        <v>20948</v>
      </c>
      <c r="AC2293" t="s">
        <v>42</v>
      </c>
      <c r="AD2293">
        <v>1</v>
      </c>
    </row>
    <row r="2294" spans="1:30">
      <c r="A2294" t="str">
        <f>CONCATENATE(I2294,J2294)</f>
        <v>NMDCEQ</v>
      </c>
      <c r="B2294" s="34">
        <v>46273</v>
      </c>
      <c r="C2294" s="34">
        <v>46273</v>
      </c>
      <c r="D2294" t="s">
        <v>35</v>
      </c>
      <c r="E2294" t="s">
        <v>36</v>
      </c>
      <c r="F2294" t="s">
        <v>37</v>
      </c>
      <c r="G2294">
        <v>15332</v>
      </c>
      <c r="H2294" t="s">
        <v>6938</v>
      </c>
      <c r="I2294" t="s">
        <v>6939</v>
      </c>
      <c r="J2294" t="s">
        <v>161</v>
      </c>
      <c r="O2294" t="s">
        <v>6940</v>
      </c>
      <c r="P2294">
        <v>84.06</v>
      </c>
      <c r="Q2294">
        <v>84.78</v>
      </c>
      <c r="R2294">
        <v>83.74</v>
      </c>
      <c r="S2294">
        <v>84.71</v>
      </c>
      <c r="T2294">
        <v>84.71</v>
      </c>
      <c r="U2294">
        <v>83.85</v>
      </c>
      <c r="W2294">
        <v>84.7</v>
      </c>
      <c r="Z2294">
        <v>12129471</v>
      </c>
      <c r="AA2294">
        <v>1022519375.74</v>
      </c>
      <c r="AB2294">
        <v>40830</v>
      </c>
      <c r="AC2294" t="s">
        <v>42</v>
      </c>
      <c r="AD2294">
        <v>1</v>
      </c>
    </row>
    <row r="2295" spans="1:30">
      <c r="A2295" t="str">
        <f>CONCATENATE(I2295,J2295)</f>
        <v>NSLNISPEQ</v>
      </c>
      <c r="B2295" s="34">
        <v>46273</v>
      </c>
      <c r="C2295" s="34">
        <v>46273</v>
      </c>
      <c r="D2295" t="s">
        <v>35</v>
      </c>
      <c r="E2295" t="s">
        <v>36</v>
      </c>
      <c r="F2295" t="s">
        <v>37</v>
      </c>
      <c r="G2295">
        <v>14180</v>
      </c>
      <c r="H2295" t="s">
        <v>6941</v>
      </c>
      <c r="I2295" t="s">
        <v>6942</v>
      </c>
      <c r="J2295" t="s">
        <v>161</v>
      </c>
      <c r="O2295" t="s">
        <v>6943</v>
      </c>
      <c r="P2295">
        <v>46.19</v>
      </c>
      <c r="Q2295">
        <v>46.25</v>
      </c>
      <c r="R2295">
        <v>44.81</v>
      </c>
      <c r="S2295">
        <v>45.02</v>
      </c>
      <c r="T2295">
        <v>45.05</v>
      </c>
      <c r="U2295">
        <v>45.87</v>
      </c>
      <c r="W2295">
        <v>45.02</v>
      </c>
      <c r="Z2295">
        <v>4004951</v>
      </c>
      <c r="AA2295">
        <v>182772217.75</v>
      </c>
      <c r="AB2295">
        <v>15816</v>
      </c>
      <c r="AC2295" t="s">
        <v>42</v>
      </c>
      <c r="AD2295">
        <v>1</v>
      </c>
    </row>
    <row r="2296" spans="1:30">
      <c r="A2296" t="str">
        <f>CONCATENATE(I2296,J2296)</f>
        <v>NOCILEQ</v>
      </c>
      <c r="B2296" s="34">
        <v>46273</v>
      </c>
      <c r="C2296" s="34">
        <v>46273</v>
      </c>
      <c r="D2296" t="s">
        <v>35</v>
      </c>
      <c r="E2296" t="s">
        <v>36</v>
      </c>
      <c r="F2296" t="s">
        <v>37</v>
      </c>
      <c r="G2296">
        <v>2442</v>
      </c>
      <c r="H2296" t="s">
        <v>6944</v>
      </c>
      <c r="I2296" t="s">
        <v>6945</v>
      </c>
      <c r="J2296" t="s">
        <v>161</v>
      </c>
      <c r="O2296" t="s">
        <v>6946</v>
      </c>
      <c r="P2296">
        <v>172</v>
      </c>
      <c r="Q2296">
        <v>186.8</v>
      </c>
      <c r="R2296">
        <v>171.35</v>
      </c>
      <c r="S2296">
        <v>185.07</v>
      </c>
      <c r="T2296">
        <v>184.5</v>
      </c>
      <c r="U2296">
        <v>172.23</v>
      </c>
      <c r="W2296">
        <v>185.07</v>
      </c>
      <c r="Z2296">
        <v>6480440</v>
      </c>
      <c r="AA2296">
        <v>1182403336.3299999</v>
      </c>
      <c r="AB2296">
        <v>51155</v>
      </c>
      <c r="AC2296" t="s">
        <v>42</v>
      </c>
      <c r="AD2296">
        <v>1</v>
      </c>
    </row>
    <row r="2297" spans="1:30">
      <c r="A2297" t="str">
        <f>CONCATENATE(I2297,J2297)</f>
        <v>NOIDATOLLEQ</v>
      </c>
      <c r="B2297" s="34">
        <v>46273</v>
      </c>
      <c r="C2297" s="34">
        <v>46273</v>
      </c>
      <c r="D2297" t="s">
        <v>35</v>
      </c>
      <c r="E2297" t="s">
        <v>36</v>
      </c>
      <c r="F2297" t="s">
        <v>37</v>
      </c>
      <c r="G2297">
        <v>10786</v>
      </c>
      <c r="H2297" t="s">
        <v>6947</v>
      </c>
      <c r="I2297" t="s">
        <v>6948</v>
      </c>
      <c r="J2297" t="s">
        <v>161</v>
      </c>
      <c r="O2297" t="s">
        <v>6949</v>
      </c>
      <c r="P2297">
        <v>4.0199999999999996</v>
      </c>
      <c r="Q2297">
        <v>4.05</v>
      </c>
      <c r="R2297">
        <v>3.93</v>
      </c>
      <c r="S2297">
        <v>3.99</v>
      </c>
      <c r="T2297">
        <v>4</v>
      </c>
      <c r="U2297">
        <v>4.0199999999999996</v>
      </c>
      <c r="W2297">
        <v>4.01</v>
      </c>
      <c r="Z2297">
        <v>39452</v>
      </c>
      <c r="AA2297">
        <v>157351.45000000001</v>
      </c>
      <c r="AB2297">
        <v>236</v>
      </c>
      <c r="AC2297" t="s">
        <v>42</v>
      </c>
      <c r="AD2297">
        <v>1</v>
      </c>
    </row>
    <row r="2298" spans="1:30">
      <c r="A2298" t="str">
        <f>CONCATENATE(I2298,J2298)</f>
        <v>NORBTEAEXPEQ</v>
      </c>
      <c r="B2298" s="34">
        <v>46273</v>
      </c>
      <c r="C2298" s="34">
        <v>46273</v>
      </c>
      <c r="D2298" t="s">
        <v>35</v>
      </c>
      <c r="E2298" t="s">
        <v>36</v>
      </c>
      <c r="F2298" t="s">
        <v>37</v>
      </c>
      <c r="G2298">
        <v>4160</v>
      </c>
      <c r="H2298" t="s">
        <v>6950</v>
      </c>
      <c r="I2298" t="s">
        <v>6951</v>
      </c>
      <c r="J2298" t="s">
        <v>161</v>
      </c>
      <c r="O2298" t="s">
        <v>6952</v>
      </c>
      <c r="P2298">
        <v>67.8</v>
      </c>
      <c r="Q2298">
        <v>69.86</v>
      </c>
      <c r="R2298">
        <v>66.12</v>
      </c>
      <c r="S2298">
        <v>69.75</v>
      </c>
      <c r="T2298">
        <v>67.05</v>
      </c>
      <c r="U2298">
        <v>67.709999999999994</v>
      </c>
      <c r="W2298">
        <v>69.75</v>
      </c>
      <c r="Z2298">
        <v>1346</v>
      </c>
      <c r="AA2298">
        <v>90142.13</v>
      </c>
      <c r="AB2298">
        <v>21</v>
      </c>
      <c r="AC2298" t="s">
        <v>42</v>
      </c>
      <c r="AD2298">
        <v>1</v>
      </c>
    </row>
    <row r="2299" spans="1:30">
      <c r="A2299" t="str">
        <f>CONCATENATE(I2299,J2299)</f>
        <v>NECCLTDBE</v>
      </c>
      <c r="B2299" s="34">
        <v>46273</v>
      </c>
      <c r="C2299" s="34">
        <v>46273</v>
      </c>
      <c r="D2299" t="s">
        <v>35</v>
      </c>
      <c r="E2299" t="s">
        <v>36</v>
      </c>
      <c r="F2299" t="s">
        <v>37</v>
      </c>
      <c r="G2299">
        <v>13533</v>
      </c>
      <c r="H2299" t="s">
        <v>6953</v>
      </c>
      <c r="I2299" t="s">
        <v>6954</v>
      </c>
      <c r="J2299" t="s">
        <v>183</v>
      </c>
      <c r="O2299" t="s">
        <v>6955</v>
      </c>
      <c r="P2299">
        <v>19.95</v>
      </c>
      <c r="Q2299">
        <v>19.95</v>
      </c>
      <c r="R2299">
        <v>18.600000000000001</v>
      </c>
      <c r="S2299">
        <v>19.649999999999999</v>
      </c>
      <c r="T2299">
        <v>19.7</v>
      </c>
      <c r="U2299">
        <v>19.420000000000002</v>
      </c>
      <c r="W2299">
        <v>19.64</v>
      </c>
      <c r="Z2299">
        <v>248003</v>
      </c>
      <c r="AA2299">
        <v>4842990.32</v>
      </c>
      <c r="AB2299">
        <v>272</v>
      </c>
      <c r="AC2299" t="s">
        <v>42</v>
      </c>
      <c r="AD2299">
        <v>1</v>
      </c>
    </row>
    <row r="2300" spans="1:30">
      <c r="A2300" t="str">
        <f>CONCATENATE(I2300,J2300)</f>
        <v>NORTHARCEQ</v>
      </c>
      <c r="B2300" s="34">
        <v>46273</v>
      </c>
      <c r="C2300" s="34">
        <v>46273</v>
      </c>
      <c r="D2300" t="s">
        <v>35</v>
      </c>
      <c r="E2300" t="s">
        <v>36</v>
      </c>
      <c r="F2300" t="s">
        <v>37</v>
      </c>
      <c r="G2300">
        <v>25426</v>
      </c>
      <c r="H2300" t="s">
        <v>6956</v>
      </c>
      <c r="I2300" t="s">
        <v>6957</v>
      </c>
      <c r="J2300" t="s">
        <v>161</v>
      </c>
      <c r="O2300" t="s">
        <v>6958</v>
      </c>
      <c r="P2300">
        <v>307.89999999999998</v>
      </c>
      <c r="Q2300">
        <v>313.89999999999998</v>
      </c>
      <c r="R2300">
        <v>302.85000000000002</v>
      </c>
      <c r="S2300">
        <v>310.85000000000002</v>
      </c>
      <c r="T2300">
        <v>310.35000000000002</v>
      </c>
      <c r="U2300">
        <v>306</v>
      </c>
      <c r="W2300">
        <v>310.85000000000002</v>
      </c>
      <c r="Z2300">
        <v>1487186</v>
      </c>
      <c r="AA2300">
        <v>460962946.30000001</v>
      </c>
      <c r="AB2300">
        <v>20198</v>
      </c>
      <c r="AC2300" t="s">
        <v>42</v>
      </c>
      <c r="AD2300">
        <v>1</v>
      </c>
    </row>
    <row r="2301" spans="1:30">
      <c r="A2301" t="str">
        <f>CONCATENATE(I2301,J2301)</f>
        <v>NOVAAGRIBE</v>
      </c>
      <c r="B2301" s="34">
        <v>46273</v>
      </c>
      <c r="C2301" s="34">
        <v>46273</v>
      </c>
      <c r="D2301" t="s">
        <v>35</v>
      </c>
      <c r="E2301" t="s">
        <v>36</v>
      </c>
      <c r="F2301" t="s">
        <v>37</v>
      </c>
      <c r="G2301">
        <v>22478</v>
      </c>
      <c r="H2301" t="s">
        <v>6959</v>
      </c>
      <c r="I2301" t="s">
        <v>6960</v>
      </c>
      <c r="J2301" t="s">
        <v>183</v>
      </c>
      <c r="O2301" t="s">
        <v>6961</v>
      </c>
      <c r="P2301">
        <v>23.31</v>
      </c>
      <c r="Q2301">
        <v>23.44</v>
      </c>
      <c r="R2301">
        <v>23</v>
      </c>
      <c r="S2301">
        <v>23.15</v>
      </c>
      <c r="T2301">
        <v>23.15</v>
      </c>
      <c r="U2301">
        <v>23.31</v>
      </c>
      <c r="W2301">
        <v>23.16</v>
      </c>
      <c r="Z2301">
        <v>34166</v>
      </c>
      <c r="AA2301">
        <v>790682.94</v>
      </c>
      <c r="AB2301">
        <v>200</v>
      </c>
      <c r="AC2301" t="s">
        <v>42</v>
      </c>
      <c r="AD2301">
        <v>1</v>
      </c>
    </row>
    <row r="2302" spans="1:30">
      <c r="A2302" t="str">
        <f>CONCATENATE(I2302,J2302)</f>
        <v>NOVARTINDEQ</v>
      </c>
      <c r="B2302" s="34">
        <v>46273</v>
      </c>
      <c r="C2302" s="34">
        <v>46273</v>
      </c>
      <c r="D2302" t="s">
        <v>35</v>
      </c>
      <c r="E2302" t="s">
        <v>36</v>
      </c>
      <c r="F2302" t="s">
        <v>37</v>
      </c>
      <c r="G2302">
        <v>9007</v>
      </c>
      <c r="H2302" t="s">
        <v>6962</v>
      </c>
      <c r="I2302" t="s">
        <v>6963</v>
      </c>
      <c r="J2302" t="s">
        <v>161</v>
      </c>
      <c r="O2302" t="s">
        <v>6964</v>
      </c>
      <c r="P2302">
        <v>1659</v>
      </c>
      <c r="Q2302">
        <v>1856</v>
      </c>
      <c r="R2302">
        <v>1640.1</v>
      </c>
      <c r="S2302">
        <v>1822</v>
      </c>
      <c r="T2302">
        <v>1834</v>
      </c>
      <c r="U2302">
        <v>1639.6</v>
      </c>
      <c r="W2302">
        <v>1822.08</v>
      </c>
      <c r="Z2302">
        <v>551700</v>
      </c>
      <c r="AA2302">
        <v>993639770.39999998</v>
      </c>
      <c r="AB2302">
        <v>46307</v>
      </c>
      <c r="AC2302" t="s">
        <v>42</v>
      </c>
      <c r="AD2302">
        <v>1</v>
      </c>
    </row>
    <row r="2303" spans="1:30">
      <c r="A2303" t="str">
        <f>CONCATENATE(I2303,J2303)</f>
        <v>NRBBEARINGEQ</v>
      </c>
      <c r="B2303" s="34">
        <v>46273</v>
      </c>
      <c r="C2303" s="34">
        <v>46273</v>
      </c>
      <c r="D2303" t="s">
        <v>35</v>
      </c>
      <c r="E2303" t="s">
        <v>36</v>
      </c>
      <c r="F2303" t="s">
        <v>37</v>
      </c>
      <c r="G2303">
        <v>7553</v>
      </c>
      <c r="H2303" t="s">
        <v>6965</v>
      </c>
      <c r="I2303" t="s">
        <v>6966</v>
      </c>
      <c r="J2303" t="s">
        <v>161</v>
      </c>
      <c r="O2303" t="s">
        <v>6967</v>
      </c>
      <c r="P2303">
        <v>484</v>
      </c>
      <c r="Q2303">
        <v>492</v>
      </c>
      <c r="R2303">
        <v>475</v>
      </c>
      <c r="S2303">
        <v>489.6</v>
      </c>
      <c r="T2303">
        <v>488.7</v>
      </c>
      <c r="U2303">
        <v>483</v>
      </c>
      <c r="W2303">
        <v>489.59</v>
      </c>
      <c r="Z2303">
        <v>360511</v>
      </c>
      <c r="AA2303">
        <v>174670094.84999999</v>
      </c>
      <c r="AB2303">
        <v>14170</v>
      </c>
      <c r="AC2303" t="s">
        <v>42</v>
      </c>
      <c r="AD2303">
        <v>1</v>
      </c>
    </row>
    <row r="2304" spans="1:30">
      <c r="A2304" t="str">
        <f>CONCATENATE(I2304,J2304)</f>
        <v>NIBLEQ</v>
      </c>
      <c r="B2304" s="34">
        <v>46273</v>
      </c>
      <c r="C2304" s="34">
        <v>46273</v>
      </c>
      <c r="D2304" t="s">
        <v>35</v>
      </c>
      <c r="E2304" t="s">
        <v>36</v>
      </c>
      <c r="F2304" t="s">
        <v>37</v>
      </c>
      <c r="G2304">
        <v>29733</v>
      </c>
      <c r="H2304" t="s">
        <v>6968</v>
      </c>
      <c r="I2304" t="s">
        <v>6969</v>
      </c>
      <c r="J2304" t="s">
        <v>161</v>
      </c>
      <c r="O2304" t="s">
        <v>6970</v>
      </c>
      <c r="P2304">
        <v>31</v>
      </c>
      <c r="Q2304">
        <v>31.85</v>
      </c>
      <c r="R2304">
        <v>30.3</v>
      </c>
      <c r="S2304">
        <v>30.36</v>
      </c>
      <c r="T2304">
        <v>30.35</v>
      </c>
      <c r="U2304">
        <v>30.71</v>
      </c>
      <c r="W2304">
        <v>30.4</v>
      </c>
      <c r="Z2304">
        <v>21715</v>
      </c>
      <c r="AA2304">
        <v>664939.53</v>
      </c>
      <c r="AB2304">
        <v>551</v>
      </c>
      <c r="AC2304" t="s">
        <v>42</v>
      </c>
      <c r="AD2304">
        <v>1</v>
      </c>
    </row>
    <row r="2305" spans="1:30">
      <c r="A2305" t="str">
        <f>CONCATENATE(I2305,J2305)</f>
        <v>NTPCGREENEQ</v>
      </c>
      <c r="B2305" s="34">
        <v>46273</v>
      </c>
      <c r="C2305" s="34">
        <v>46273</v>
      </c>
      <c r="D2305" t="s">
        <v>35</v>
      </c>
      <c r="E2305" t="s">
        <v>36</v>
      </c>
      <c r="F2305" t="s">
        <v>37</v>
      </c>
      <c r="G2305">
        <v>27176</v>
      </c>
      <c r="H2305" t="s">
        <v>6971</v>
      </c>
      <c r="I2305" t="s">
        <v>6972</v>
      </c>
      <c r="J2305" t="s">
        <v>161</v>
      </c>
      <c r="O2305" t="s">
        <v>6973</v>
      </c>
      <c r="P2305">
        <v>88.16</v>
      </c>
      <c r="Q2305">
        <v>88.6</v>
      </c>
      <c r="R2305">
        <v>87.5</v>
      </c>
      <c r="S2305">
        <v>88.44</v>
      </c>
      <c r="T2305">
        <v>88.5</v>
      </c>
      <c r="U2305">
        <v>88.16</v>
      </c>
      <c r="W2305">
        <v>88.44</v>
      </c>
      <c r="Z2305">
        <v>1452819</v>
      </c>
      <c r="AA2305">
        <v>127937184.41</v>
      </c>
      <c r="AB2305">
        <v>15357</v>
      </c>
      <c r="AC2305" t="s">
        <v>42</v>
      </c>
      <c r="AD2305">
        <v>1</v>
      </c>
    </row>
    <row r="2306" spans="1:30">
      <c r="A2306" t="str">
        <f>CONCATENATE(I2306,J2306)</f>
        <v>NTPCEQ</v>
      </c>
      <c r="B2306" s="34">
        <v>46273</v>
      </c>
      <c r="C2306" s="34">
        <v>46273</v>
      </c>
      <c r="D2306" t="s">
        <v>35</v>
      </c>
      <c r="E2306" t="s">
        <v>36</v>
      </c>
      <c r="F2306" t="s">
        <v>37</v>
      </c>
      <c r="G2306">
        <v>11630</v>
      </c>
      <c r="H2306" t="s">
        <v>6974</v>
      </c>
      <c r="I2306" t="s">
        <v>6975</v>
      </c>
      <c r="J2306" t="s">
        <v>161</v>
      </c>
      <c r="O2306" t="s">
        <v>6976</v>
      </c>
      <c r="P2306">
        <v>330</v>
      </c>
      <c r="Q2306">
        <v>333.2</v>
      </c>
      <c r="R2306">
        <v>328.65</v>
      </c>
      <c r="S2306">
        <v>330.8</v>
      </c>
      <c r="T2306">
        <v>330.8</v>
      </c>
      <c r="U2306">
        <v>332</v>
      </c>
      <c r="W2306">
        <v>330.8</v>
      </c>
      <c r="Z2306">
        <v>7351373</v>
      </c>
      <c r="AA2306">
        <v>2434778736.1500001</v>
      </c>
      <c r="AB2306">
        <v>80637</v>
      </c>
      <c r="AC2306" t="s">
        <v>42</v>
      </c>
      <c r="AD2306">
        <v>1</v>
      </c>
    </row>
    <row r="2307" spans="1:30">
      <c r="A2307" t="str">
        <f>CONCATENATE(I2307,J2307)</f>
        <v>NUCLEUSEQ</v>
      </c>
      <c r="B2307" s="34">
        <v>46273</v>
      </c>
      <c r="C2307" s="34">
        <v>46273</v>
      </c>
      <c r="D2307" t="s">
        <v>35</v>
      </c>
      <c r="E2307" t="s">
        <v>36</v>
      </c>
      <c r="F2307" t="s">
        <v>37</v>
      </c>
      <c r="G2307">
        <v>10791</v>
      </c>
      <c r="H2307" t="s">
        <v>6977</v>
      </c>
      <c r="I2307" t="s">
        <v>6978</v>
      </c>
      <c r="J2307" t="s">
        <v>161</v>
      </c>
      <c r="O2307" t="s">
        <v>6979</v>
      </c>
      <c r="P2307">
        <v>712.3</v>
      </c>
      <c r="Q2307">
        <v>720.45</v>
      </c>
      <c r="R2307">
        <v>712.3</v>
      </c>
      <c r="S2307">
        <v>717.45</v>
      </c>
      <c r="T2307">
        <v>716</v>
      </c>
      <c r="U2307">
        <v>718.4</v>
      </c>
      <c r="W2307">
        <v>717.43</v>
      </c>
      <c r="Z2307">
        <v>8575</v>
      </c>
      <c r="AA2307">
        <v>6153446.6500000004</v>
      </c>
      <c r="AB2307">
        <v>631</v>
      </c>
      <c r="AC2307" t="s">
        <v>42</v>
      </c>
      <c r="AD2307">
        <v>1</v>
      </c>
    </row>
    <row r="2308" spans="1:30">
      <c r="A2308" t="str">
        <f>CONCATENATE(I2308,J2308)</f>
        <v>NRLBE</v>
      </c>
      <c r="B2308" s="34">
        <v>46273</v>
      </c>
      <c r="C2308" s="34">
        <v>46273</v>
      </c>
      <c r="D2308" t="s">
        <v>35</v>
      </c>
      <c r="E2308" t="s">
        <v>36</v>
      </c>
      <c r="F2308" t="s">
        <v>37</v>
      </c>
      <c r="G2308">
        <v>13680</v>
      </c>
      <c r="H2308" t="s">
        <v>6980</v>
      </c>
      <c r="I2308" t="s">
        <v>6981</v>
      </c>
      <c r="J2308" t="s">
        <v>183</v>
      </c>
      <c r="O2308" t="s">
        <v>6982</v>
      </c>
      <c r="P2308">
        <v>135.5</v>
      </c>
      <c r="Q2308">
        <v>137.79</v>
      </c>
      <c r="R2308">
        <v>126.15</v>
      </c>
      <c r="S2308">
        <v>130.46</v>
      </c>
      <c r="T2308">
        <v>130.19999999999999</v>
      </c>
      <c r="U2308">
        <v>132.78</v>
      </c>
      <c r="W2308">
        <v>130.46</v>
      </c>
      <c r="Z2308">
        <v>112645</v>
      </c>
      <c r="AA2308">
        <v>14589353.91</v>
      </c>
      <c r="AB2308">
        <v>741</v>
      </c>
      <c r="AC2308" t="s">
        <v>42</v>
      </c>
      <c r="AD2308">
        <v>1</v>
      </c>
    </row>
    <row r="2309" spans="1:30">
      <c r="A2309" t="str">
        <f>CONCATENATE(I2309,J2309)</f>
        <v>NURECABE</v>
      </c>
      <c r="B2309" s="34">
        <v>46273</v>
      </c>
      <c r="C2309" s="34">
        <v>46273</v>
      </c>
      <c r="D2309" t="s">
        <v>35</v>
      </c>
      <c r="E2309" t="s">
        <v>36</v>
      </c>
      <c r="F2309" t="s">
        <v>37</v>
      </c>
      <c r="G2309">
        <v>2353</v>
      </c>
      <c r="H2309" t="s">
        <v>6983</v>
      </c>
      <c r="I2309" t="s">
        <v>6984</v>
      </c>
      <c r="J2309" t="s">
        <v>183</v>
      </c>
      <c r="O2309" t="s">
        <v>6985</v>
      </c>
      <c r="P2309">
        <v>320</v>
      </c>
      <c r="Q2309">
        <v>324.89999999999998</v>
      </c>
      <c r="R2309">
        <v>311</v>
      </c>
      <c r="S2309">
        <v>318.10000000000002</v>
      </c>
      <c r="T2309">
        <v>317</v>
      </c>
      <c r="U2309">
        <v>319.2</v>
      </c>
      <c r="W2309">
        <v>317.60000000000002</v>
      </c>
      <c r="Z2309">
        <v>3400</v>
      </c>
      <c r="AA2309">
        <v>1088224.2</v>
      </c>
      <c r="AB2309">
        <v>95</v>
      </c>
      <c r="AC2309" t="s">
        <v>42</v>
      </c>
      <c r="AD2309">
        <v>1</v>
      </c>
    </row>
    <row r="2310" spans="1:30">
      <c r="A2310" t="str">
        <f>CONCATENATE(I2310,J2310)</f>
        <v>NUVAMAEQ</v>
      </c>
      <c r="B2310" s="34">
        <v>46273</v>
      </c>
      <c r="C2310" s="34">
        <v>46273</v>
      </c>
      <c r="D2310" t="s">
        <v>35</v>
      </c>
      <c r="E2310" t="s">
        <v>36</v>
      </c>
      <c r="F2310" t="s">
        <v>37</v>
      </c>
      <c r="G2310">
        <v>18721</v>
      </c>
      <c r="H2310" t="s">
        <v>6986</v>
      </c>
      <c r="I2310" t="s">
        <v>6987</v>
      </c>
      <c r="J2310" t="s">
        <v>161</v>
      </c>
      <c r="O2310" t="s">
        <v>6988</v>
      </c>
      <c r="P2310">
        <v>1832.5</v>
      </c>
      <c r="Q2310">
        <v>1849.9</v>
      </c>
      <c r="R2310">
        <v>1786.7</v>
      </c>
      <c r="S2310">
        <v>1836.4</v>
      </c>
      <c r="T2310">
        <v>1837.8</v>
      </c>
      <c r="U2310">
        <v>1832.4</v>
      </c>
      <c r="W2310">
        <v>1836.39</v>
      </c>
      <c r="Z2310">
        <v>249041</v>
      </c>
      <c r="AA2310">
        <v>454266871.19999999</v>
      </c>
      <c r="AB2310">
        <v>19804</v>
      </c>
      <c r="AC2310" t="s">
        <v>42</v>
      </c>
      <c r="AD2310">
        <v>1</v>
      </c>
    </row>
    <row r="2311" spans="1:30">
      <c r="A2311" t="str">
        <f>CONCATENATE(I2311,J2311)</f>
        <v>NUVOCOEQ</v>
      </c>
      <c r="B2311" s="34">
        <v>46273</v>
      </c>
      <c r="C2311" s="34">
        <v>46273</v>
      </c>
      <c r="D2311" t="s">
        <v>35</v>
      </c>
      <c r="E2311" t="s">
        <v>36</v>
      </c>
      <c r="F2311" t="s">
        <v>37</v>
      </c>
      <c r="G2311">
        <v>5426</v>
      </c>
      <c r="H2311" t="s">
        <v>6989</v>
      </c>
      <c r="I2311" t="s">
        <v>6990</v>
      </c>
      <c r="J2311" t="s">
        <v>161</v>
      </c>
      <c r="O2311" t="s">
        <v>6991</v>
      </c>
      <c r="P2311">
        <v>347.9</v>
      </c>
      <c r="Q2311">
        <v>347.9</v>
      </c>
      <c r="R2311">
        <v>339.1</v>
      </c>
      <c r="S2311">
        <v>339.85</v>
      </c>
      <c r="T2311">
        <v>339.3</v>
      </c>
      <c r="U2311">
        <v>345.1</v>
      </c>
      <c r="W2311">
        <v>339.85</v>
      </c>
      <c r="Z2311">
        <v>115833</v>
      </c>
      <c r="AA2311">
        <v>39696765.600000001</v>
      </c>
      <c r="AB2311">
        <v>6683</v>
      </c>
      <c r="AC2311" t="s">
        <v>42</v>
      </c>
      <c r="AD2311">
        <v>1</v>
      </c>
    </row>
    <row r="2312" spans="1:30">
      <c r="A2312" t="str">
        <f>CONCATENATE(I2312,J2312)</f>
        <v>NXT-INFRAIV</v>
      </c>
      <c r="B2312" s="34">
        <v>46273</v>
      </c>
      <c r="C2312" s="34">
        <v>46273</v>
      </c>
      <c r="D2312" t="s">
        <v>35</v>
      </c>
      <c r="E2312" t="s">
        <v>36</v>
      </c>
      <c r="F2312" t="s">
        <v>37</v>
      </c>
      <c r="G2312">
        <v>24298</v>
      </c>
      <c r="H2312" t="s">
        <v>6992</v>
      </c>
      <c r="I2312" t="s">
        <v>6993</v>
      </c>
      <c r="J2312" t="s">
        <v>759</v>
      </c>
      <c r="O2312" t="s">
        <v>6994</v>
      </c>
      <c r="P2312">
        <v>97</v>
      </c>
      <c r="Q2312">
        <v>97</v>
      </c>
      <c r="R2312">
        <v>97</v>
      </c>
      <c r="S2312">
        <v>97</v>
      </c>
      <c r="T2312">
        <v>97</v>
      </c>
      <c r="U2312">
        <v>97</v>
      </c>
      <c r="W2312">
        <v>97</v>
      </c>
      <c r="Z2312">
        <v>175000</v>
      </c>
      <c r="AA2312">
        <v>16975000</v>
      </c>
      <c r="AB2312">
        <v>7</v>
      </c>
      <c r="AC2312" t="s">
        <v>42</v>
      </c>
      <c r="AD2312">
        <v>25000</v>
      </c>
    </row>
    <row r="2313" spans="1:30">
      <c r="A2313" t="str">
        <f>CONCATENATE(I2313,J2313)</f>
        <v>OBCLEQ</v>
      </c>
      <c r="B2313" s="34">
        <v>46273</v>
      </c>
      <c r="C2313" s="34">
        <v>46273</v>
      </c>
      <c r="D2313" t="s">
        <v>35</v>
      </c>
      <c r="E2313" t="s">
        <v>36</v>
      </c>
      <c r="F2313" t="s">
        <v>37</v>
      </c>
      <c r="G2313">
        <v>8797</v>
      </c>
      <c r="H2313" t="s">
        <v>6995</v>
      </c>
      <c r="I2313" t="s">
        <v>6996</v>
      </c>
      <c r="J2313" t="s">
        <v>161</v>
      </c>
      <c r="O2313" t="s">
        <v>6997</v>
      </c>
      <c r="P2313">
        <v>55.26</v>
      </c>
      <c r="Q2313">
        <v>56.5</v>
      </c>
      <c r="R2313">
        <v>55.05</v>
      </c>
      <c r="S2313">
        <v>55.63</v>
      </c>
      <c r="T2313">
        <v>56.06</v>
      </c>
      <c r="U2313">
        <v>55.03</v>
      </c>
      <c r="W2313">
        <v>55.63</v>
      </c>
      <c r="Z2313">
        <v>4553</v>
      </c>
      <c r="AA2313">
        <v>253285.07</v>
      </c>
      <c r="AB2313">
        <v>59</v>
      </c>
      <c r="AC2313" t="s">
        <v>42</v>
      </c>
      <c r="AD2313">
        <v>1</v>
      </c>
    </row>
    <row r="2314" spans="1:30">
      <c r="A2314" t="str">
        <f>CONCATENATE(I2314,J2314)</f>
        <v>OBEROIRLTYEQ</v>
      </c>
      <c r="B2314" s="34">
        <v>46273</v>
      </c>
      <c r="C2314" s="34">
        <v>46273</v>
      </c>
      <c r="D2314" t="s">
        <v>35</v>
      </c>
      <c r="E2314" t="s">
        <v>36</v>
      </c>
      <c r="F2314" t="s">
        <v>37</v>
      </c>
      <c r="G2314">
        <v>20242</v>
      </c>
      <c r="H2314" t="s">
        <v>6998</v>
      </c>
      <c r="I2314" t="s">
        <v>6999</v>
      </c>
      <c r="J2314" t="s">
        <v>161</v>
      </c>
      <c r="O2314" t="s">
        <v>7000</v>
      </c>
      <c r="P2314">
        <v>1852</v>
      </c>
      <c r="Q2314">
        <v>1857.2</v>
      </c>
      <c r="R2314">
        <v>1820.4</v>
      </c>
      <c r="S2314">
        <v>1833.8</v>
      </c>
      <c r="T2314">
        <v>1833.8</v>
      </c>
      <c r="U2314">
        <v>1847.5</v>
      </c>
      <c r="W2314">
        <v>1833.83</v>
      </c>
      <c r="Z2314">
        <v>261690</v>
      </c>
      <c r="AA2314">
        <v>480877483.5</v>
      </c>
      <c r="AB2314">
        <v>21440</v>
      </c>
      <c r="AC2314" t="s">
        <v>42</v>
      </c>
      <c r="AD2314">
        <v>1</v>
      </c>
    </row>
    <row r="2315" spans="1:30">
      <c r="A2315" t="str">
        <f>CONCATENATE(I2315,J2315)</f>
        <v>OBSCPSM</v>
      </c>
      <c r="B2315" s="34">
        <v>46273</v>
      </c>
      <c r="C2315" s="34">
        <v>46273</v>
      </c>
      <c r="D2315" t="s">
        <v>35</v>
      </c>
      <c r="E2315" t="s">
        <v>36</v>
      </c>
      <c r="F2315" t="s">
        <v>37</v>
      </c>
      <c r="G2315">
        <v>25923</v>
      </c>
      <c r="H2315" t="s">
        <v>7001</v>
      </c>
      <c r="I2315" t="s">
        <v>7002</v>
      </c>
      <c r="J2315" t="s">
        <v>267</v>
      </c>
      <c r="O2315" t="s">
        <v>7003</v>
      </c>
      <c r="P2315">
        <v>844.95</v>
      </c>
      <c r="Q2315">
        <v>877</v>
      </c>
      <c r="R2315">
        <v>815.05</v>
      </c>
      <c r="S2315">
        <v>869.05</v>
      </c>
      <c r="T2315">
        <v>877</v>
      </c>
      <c r="U2315">
        <v>838.25</v>
      </c>
      <c r="W2315">
        <v>869.05</v>
      </c>
      <c r="Z2315">
        <v>58400</v>
      </c>
      <c r="AA2315">
        <v>50070620</v>
      </c>
      <c r="AB2315">
        <v>142</v>
      </c>
      <c r="AC2315" t="s">
        <v>42</v>
      </c>
      <c r="AD2315">
        <v>400</v>
      </c>
    </row>
    <row r="2316" spans="1:30">
      <c r="A2316" t="str">
        <f>CONCATENATE(I2316,J2316)</f>
        <v>OCCLLTDBE</v>
      </c>
      <c r="B2316" s="34">
        <v>46273</v>
      </c>
      <c r="C2316" s="34">
        <v>46273</v>
      </c>
      <c r="D2316" t="s">
        <v>35</v>
      </c>
      <c r="E2316" t="s">
        <v>36</v>
      </c>
      <c r="F2316" t="s">
        <v>37</v>
      </c>
      <c r="G2316">
        <v>25920</v>
      </c>
      <c r="H2316" t="s">
        <v>7004</v>
      </c>
      <c r="I2316" t="s">
        <v>7005</v>
      </c>
      <c r="J2316" t="s">
        <v>183</v>
      </c>
      <c r="O2316" t="s">
        <v>7006</v>
      </c>
      <c r="P2316">
        <v>165</v>
      </c>
      <c r="Q2316">
        <v>166</v>
      </c>
      <c r="R2316">
        <v>163.02000000000001</v>
      </c>
      <c r="S2316">
        <v>164.84</v>
      </c>
      <c r="T2316">
        <v>165</v>
      </c>
      <c r="U2316">
        <v>164.42</v>
      </c>
      <c r="W2316">
        <v>164.83</v>
      </c>
      <c r="Z2316">
        <v>43831</v>
      </c>
      <c r="AA2316">
        <v>7211219.2400000002</v>
      </c>
      <c r="AB2316">
        <v>248</v>
      </c>
      <c r="AC2316" t="s">
        <v>42</v>
      </c>
      <c r="AD2316">
        <v>1</v>
      </c>
    </row>
    <row r="2317" spans="1:30">
      <c r="A2317" t="str">
        <f>CONCATENATE(I2317,J2317)</f>
        <v>ODIGMAEQ</v>
      </c>
      <c r="B2317" s="34">
        <v>46273</v>
      </c>
      <c r="C2317" s="34">
        <v>46273</v>
      </c>
      <c r="D2317" t="s">
        <v>35</v>
      </c>
      <c r="E2317" t="s">
        <v>36</v>
      </c>
      <c r="F2317" t="s">
        <v>37</v>
      </c>
      <c r="G2317">
        <v>27571</v>
      </c>
      <c r="H2317" t="s">
        <v>7007</v>
      </c>
      <c r="I2317" t="s">
        <v>7008</v>
      </c>
      <c r="J2317" t="s">
        <v>161</v>
      </c>
      <c r="O2317" t="s">
        <v>7009</v>
      </c>
      <c r="P2317">
        <v>22.98</v>
      </c>
      <c r="Q2317">
        <v>22.98</v>
      </c>
      <c r="R2317">
        <v>21.41</v>
      </c>
      <c r="S2317">
        <v>21.99</v>
      </c>
      <c r="T2317">
        <v>21.9</v>
      </c>
      <c r="U2317">
        <v>22.46</v>
      </c>
      <c r="W2317">
        <v>22</v>
      </c>
      <c r="Z2317">
        <v>18658</v>
      </c>
      <c r="AA2317">
        <v>411999.04</v>
      </c>
      <c r="AB2317">
        <v>709</v>
      </c>
      <c r="AC2317" t="s">
        <v>42</v>
      </c>
      <c r="AD2317">
        <v>1</v>
      </c>
    </row>
    <row r="2318" spans="1:30">
      <c r="A2318" t="str">
        <f>CONCATENATE(I2318,J2318)</f>
        <v>ODYCORPEQ</v>
      </c>
      <c r="B2318" s="34">
        <v>46273</v>
      </c>
      <c r="C2318" s="34">
        <v>46273</v>
      </c>
      <c r="D2318" t="s">
        <v>35</v>
      </c>
      <c r="E2318" t="s">
        <v>36</v>
      </c>
      <c r="F2318" t="s">
        <v>37</v>
      </c>
      <c r="G2318">
        <v>764803</v>
      </c>
      <c r="H2318" t="s">
        <v>7010</v>
      </c>
      <c r="I2318" t="s">
        <v>7011</v>
      </c>
      <c r="J2318" t="s">
        <v>161</v>
      </c>
      <c r="O2318" t="s">
        <v>7012</v>
      </c>
      <c r="P2318">
        <v>7.1</v>
      </c>
      <c r="Q2318">
        <v>7.45</v>
      </c>
      <c r="R2318">
        <v>7.1</v>
      </c>
      <c r="S2318">
        <v>7.27</v>
      </c>
      <c r="T2318">
        <v>7.18</v>
      </c>
      <c r="U2318">
        <v>7.26</v>
      </c>
      <c r="W2318">
        <v>7.27</v>
      </c>
      <c r="Z2318">
        <v>3697</v>
      </c>
      <c r="AA2318">
        <v>26673.8</v>
      </c>
      <c r="AB2318">
        <v>61</v>
      </c>
      <c r="AC2318" t="s">
        <v>42</v>
      </c>
      <c r="AD2318">
        <v>1</v>
      </c>
    </row>
    <row r="2319" spans="1:30">
      <c r="A2319" t="str">
        <f>CONCATENATE(I2319,J2319)</f>
        <v>ONGCEQ</v>
      </c>
      <c r="B2319" s="34">
        <v>46273</v>
      </c>
      <c r="C2319" s="34">
        <v>46273</v>
      </c>
      <c r="D2319" t="s">
        <v>35</v>
      </c>
      <c r="E2319" t="s">
        <v>36</v>
      </c>
      <c r="F2319" t="s">
        <v>37</v>
      </c>
      <c r="G2319">
        <v>2475</v>
      </c>
      <c r="H2319" t="s">
        <v>7013</v>
      </c>
      <c r="I2319" t="s">
        <v>7014</v>
      </c>
      <c r="J2319" t="s">
        <v>161</v>
      </c>
      <c r="O2319" t="s">
        <v>7015</v>
      </c>
      <c r="P2319">
        <v>234.8</v>
      </c>
      <c r="Q2319">
        <v>238</v>
      </c>
      <c r="R2319">
        <v>232.22</v>
      </c>
      <c r="S2319">
        <v>236</v>
      </c>
      <c r="T2319">
        <v>236</v>
      </c>
      <c r="U2319">
        <v>233.7</v>
      </c>
      <c r="W2319">
        <v>236</v>
      </c>
      <c r="Z2319">
        <v>7965065</v>
      </c>
      <c r="AA2319">
        <v>1870925002.76</v>
      </c>
      <c r="AB2319">
        <v>72920</v>
      </c>
      <c r="AC2319" t="s">
        <v>42</v>
      </c>
      <c r="AD2319">
        <v>1</v>
      </c>
    </row>
    <row r="2320" spans="1:30">
      <c r="A2320" t="str">
        <f>CONCATENATE(I2320,J2320)</f>
        <v>OILCOUNTUBBE</v>
      </c>
      <c r="B2320" s="34">
        <v>46273</v>
      </c>
      <c r="C2320" s="34">
        <v>46273</v>
      </c>
      <c r="D2320" t="s">
        <v>35</v>
      </c>
      <c r="E2320" t="s">
        <v>36</v>
      </c>
      <c r="F2320" t="s">
        <v>37</v>
      </c>
      <c r="G2320">
        <v>8109</v>
      </c>
      <c r="H2320" t="s">
        <v>7016</v>
      </c>
      <c r="I2320" t="s">
        <v>7017</v>
      </c>
      <c r="J2320" t="s">
        <v>183</v>
      </c>
      <c r="O2320" t="s">
        <v>7018</v>
      </c>
      <c r="P2320">
        <v>63.7</v>
      </c>
      <c r="Q2320">
        <v>63.7</v>
      </c>
      <c r="R2320">
        <v>63</v>
      </c>
      <c r="S2320">
        <v>63</v>
      </c>
      <c r="T2320">
        <v>63</v>
      </c>
      <c r="U2320">
        <v>63.75</v>
      </c>
      <c r="W2320">
        <v>63.37</v>
      </c>
      <c r="Z2320">
        <v>11913</v>
      </c>
      <c r="AA2320">
        <v>754443.9</v>
      </c>
      <c r="AB2320">
        <v>67</v>
      </c>
      <c r="AC2320" t="s">
        <v>42</v>
      </c>
      <c r="AD2320">
        <v>1</v>
      </c>
    </row>
    <row r="2321" spans="1:30">
      <c r="A2321" t="str">
        <f>CONCATENATE(I2321,J2321)</f>
        <v>OILEQ</v>
      </c>
      <c r="B2321" s="34">
        <v>46273</v>
      </c>
      <c r="C2321" s="34">
        <v>46273</v>
      </c>
      <c r="D2321" t="s">
        <v>35</v>
      </c>
      <c r="E2321" t="s">
        <v>36</v>
      </c>
      <c r="F2321" t="s">
        <v>37</v>
      </c>
      <c r="G2321">
        <v>17438</v>
      </c>
      <c r="H2321" t="s">
        <v>7019</v>
      </c>
      <c r="I2321" t="s">
        <v>7020</v>
      </c>
      <c r="J2321" t="s">
        <v>161</v>
      </c>
      <c r="O2321" t="s">
        <v>7021</v>
      </c>
      <c r="P2321">
        <v>486.4</v>
      </c>
      <c r="Q2321">
        <v>501.3</v>
      </c>
      <c r="R2321">
        <v>482.8</v>
      </c>
      <c r="S2321">
        <v>495.4</v>
      </c>
      <c r="T2321">
        <v>495.4</v>
      </c>
      <c r="U2321">
        <v>487</v>
      </c>
      <c r="W2321">
        <v>495.39</v>
      </c>
      <c r="Z2321">
        <v>2619912</v>
      </c>
      <c r="AA2321">
        <v>1293665531.5999999</v>
      </c>
      <c r="AB2321">
        <v>34427</v>
      </c>
      <c r="AC2321" t="s">
        <v>42</v>
      </c>
      <c r="AD2321">
        <v>1</v>
      </c>
    </row>
    <row r="2322" spans="1:30">
      <c r="A2322" t="str">
        <f>CONCATENATE(I2322,J2322)</f>
        <v>OLAELECEQ</v>
      </c>
      <c r="B2322" s="34">
        <v>46273</v>
      </c>
      <c r="C2322" s="34">
        <v>46273</v>
      </c>
      <c r="D2322" t="s">
        <v>35</v>
      </c>
      <c r="E2322" t="s">
        <v>36</v>
      </c>
      <c r="F2322" t="s">
        <v>37</v>
      </c>
      <c r="G2322">
        <v>24777</v>
      </c>
      <c r="H2322" t="s">
        <v>7022</v>
      </c>
      <c r="I2322" t="s">
        <v>7023</v>
      </c>
      <c r="J2322" t="s">
        <v>161</v>
      </c>
      <c r="O2322" t="s">
        <v>7024</v>
      </c>
      <c r="P2322">
        <v>37.96</v>
      </c>
      <c r="Q2322">
        <v>38</v>
      </c>
      <c r="R2322">
        <v>37.380000000000003</v>
      </c>
      <c r="S2322">
        <v>37.630000000000003</v>
      </c>
      <c r="T2322">
        <v>37.61</v>
      </c>
      <c r="U2322">
        <v>37.96</v>
      </c>
      <c r="W2322">
        <v>37.630000000000003</v>
      </c>
      <c r="Z2322">
        <v>20686084</v>
      </c>
      <c r="AA2322">
        <v>778134031.85000002</v>
      </c>
      <c r="AB2322">
        <v>51439</v>
      </c>
      <c r="AC2322" t="s">
        <v>42</v>
      </c>
      <c r="AD2322">
        <v>1</v>
      </c>
    </row>
    <row r="2323" spans="1:30">
      <c r="A2323" t="str">
        <f>CONCATENATE(I2323,J2323)</f>
        <v>OLECTRAEQ</v>
      </c>
      <c r="B2323" s="34">
        <v>46273</v>
      </c>
      <c r="C2323" s="34">
        <v>46273</v>
      </c>
      <c r="D2323" t="s">
        <v>35</v>
      </c>
      <c r="E2323" t="s">
        <v>36</v>
      </c>
      <c r="F2323" t="s">
        <v>37</v>
      </c>
      <c r="G2323">
        <v>10637</v>
      </c>
      <c r="H2323" t="s">
        <v>7025</v>
      </c>
      <c r="I2323" t="s">
        <v>7026</v>
      </c>
      <c r="J2323" t="s">
        <v>161</v>
      </c>
      <c r="O2323" t="s">
        <v>7027</v>
      </c>
      <c r="P2323">
        <v>1215.7</v>
      </c>
      <c r="Q2323">
        <v>1224</v>
      </c>
      <c r="R2323">
        <v>1200</v>
      </c>
      <c r="S2323">
        <v>1213.7</v>
      </c>
      <c r="T2323">
        <v>1218.5</v>
      </c>
      <c r="U2323">
        <v>1207.4000000000001</v>
      </c>
      <c r="W2323">
        <v>1213.77</v>
      </c>
      <c r="Z2323">
        <v>234825</v>
      </c>
      <c r="AA2323">
        <v>283964105.89999998</v>
      </c>
      <c r="AB2323">
        <v>16578</v>
      </c>
      <c r="AC2323" t="s">
        <v>42</v>
      </c>
      <c r="AD2323">
        <v>1</v>
      </c>
    </row>
    <row r="2324" spans="1:30">
      <c r="A2324" t="str">
        <f>CONCATENATE(I2324,J2324)</f>
        <v>OMFREIGHTBE</v>
      </c>
      <c r="B2324" s="34">
        <v>46273</v>
      </c>
      <c r="C2324" s="34">
        <v>46273</v>
      </c>
      <c r="D2324" t="s">
        <v>35</v>
      </c>
      <c r="E2324" t="s">
        <v>36</v>
      </c>
      <c r="F2324" t="s">
        <v>37</v>
      </c>
      <c r="G2324">
        <v>759412</v>
      </c>
      <c r="H2324" t="s">
        <v>7028</v>
      </c>
      <c r="I2324" t="s">
        <v>7029</v>
      </c>
      <c r="J2324" t="s">
        <v>183</v>
      </c>
      <c r="O2324" t="s">
        <v>7030</v>
      </c>
      <c r="P2324">
        <v>88.03</v>
      </c>
      <c r="Q2324">
        <v>89.8</v>
      </c>
      <c r="R2324">
        <v>87.5</v>
      </c>
      <c r="S2324">
        <v>87.51</v>
      </c>
      <c r="T2324">
        <v>87.52</v>
      </c>
      <c r="U2324">
        <v>88.03</v>
      </c>
      <c r="W2324">
        <v>87.51</v>
      </c>
      <c r="Z2324">
        <v>2765</v>
      </c>
      <c r="AA2324">
        <v>243027.74</v>
      </c>
      <c r="AB2324">
        <v>54</v>
      </c>
      <c r="AC2324" t="s">
        <v>42</v>
      </c>
      <c r="AD2324">
        <v>1</v>
      </c>
    </row>
    <row r="2325" spans="1:30">
      <c r="A2325" t="str">
        <f>CONCATENATE(I2325,J2325)</f>
        <v>OMINFRALEQ</v>
      </c>
      <c r="B2325" s="34">
        <v>46273</v>
      </c>
      <c r="C2325" s="34">
        <v>46273</v>
      </c>
      <c r="D2325" t="s">
        <v>35</v>
      </c>
      <c r="E2325" t="s">
        <v>36</v>
      </c>
      <c r="F2325" t="s">
        <v>37</v>
      </c>
      <c r="G2325">
        <v>24231</v>
      </c>
      <c r="H2325" t="s">
        <v>7031</v>
      </c>
      <c r="I2325" t="s">
        <v>7032</v>
      </c>
      <c r="J2325" t="s">
        <v>161</v>
      </c>
      <c r="O2325" t="s">
        <v>7033</v>
      </c>
      <c r="P2325">
        <v>84.8</v>
      </c>
      <c r="Q2325">
        <v>84.8</v>
      </c>
      <c r="R2325">
        <v>80.75</v>
      </c>
      <c r="S2325">
        <v>81.96</v>
      </c>
      <c r="T2325">
        <v>81.55</v>
      </c>
      <c r="U2325">
        <v>83.64</v>
      </c>
      <c r="W2325">
        <v>81.96</v>
      </c>
      <c r="Z2325">
        <v>46884</v>
      </c>
      <c r="AA2325">
        <v>3877910.01</v>
      </c>
      <c r="AB2325">
        <v>924</v>
      </c>
      <c r="AC2325" t="s">
        <v>42</v>
      </c>
      <c r="AD2325">
        <v>1</v>
      </c>
    </row>
    <row r="2326" spans="1:30">
      <c r="A2326" t="str">
        <f>CONCATENATE(I2326,J2326)</f>
        <v>OMPOWEREQ</v>
      </c>
      <c r="B2326" s="34">
        <v>46273</v>
      </c>
      <c r="C2326" s="34">
        <v>46273</v>
      </c>
      <c r="D2326" t="s">
        <v>35</v>
      </c>
      <c r="E2326" t="s">
        <v>36</v>
      </c>
      <c r="F2326" t="s">
        <v>37</v>
      </c>
      <c r="G2326">
        <v>762432</v>
      </c>
      <c r="H2326" t="s">
        <v>7034</v>
      </c>
      <c r="I2326" t="s">
        <v>7035</v>
      </c>
      <c r="J2326" t="s">
        <v>161</v>
      </c>
      <c r="O2326" t="s">
        <v>7036</v>
      </c>
      <c r="P2326">
        <v>171.73</v>
      </c>
      <c r="Q2326">
        <v>171.73</v>
      </c>
      <c r="R2326">
        <v>168.31</v>
      </c>
      <c r="S2326">
        <v>170</v>
      </c>
      <c r="T2326">
        <v>170.9</v>
      </c>
      <c r="U2326">
        <v>170.31</v>
      </c>
      <c r="W2326">
        <v>169.98</v>
      </c>
      <c r="Z2326">
        <v>34886</v>
      </c>
      <c r="AA2326">
        <v>5918811.8700000001</v>
      </c>
      <c r="AB2326">
        <v>762</v>
      </c>
      <c r="AC2326" t="s">
        <v>42</v>
      </c>
      <c r="AD2326">
        <v>1</v>
      </c>
    </row>
    <row r="2327" spans="1:30">
      <c r="A2327" t="str">
        <f>CONCATENATE(I2327,J2327)</f>
        <v>OMAXAUTOEQ</v>
      </c>
      <c r="B2327" s="34">
        <v>46273</v>
      </c>
      <c r="C2327" s="34">
        <v>46273</v>
      </c>
      <c r="D2327" t="s">
        <v>35</v>
      </c>
      <c r="E2327" t="s">
        <v>36</v>
      </c>
      <c r="F2327" t="s">
        <v>37</v>
      </c>
      <c r="G2327">
        <v>10922</v>
      </c>
      <c r="H2327" t="s">
        <v>7037</v>
      </c>
      <c r="I2327" t="s">
        <v>7038</v>
      </c>
      <c r="J2327" t="s">
        <v>161</v>
      </c>
      <c r="O2327" t="s">
        <v>7039</v>
      </c>
      <c r="P2327">
        <v>177.63</v>
      </c>
      <c r="Q2327">
        <v>178.86</v>
      </c>
      <c r="R2327">
        <v>167.35</v>
      </c>
      <c r="S2327">
        <v>170.75</v>
      </c>
      <c r="T2327">
        <v>173.99</v>
      </c>
      <c r="U2327">
        <v>177.63</v>
      </c>
      <c r="W2327">
        <v>170.1</v>
      </c>
      <c r="Z2327">
        <v>109441</v>
      </c>
      <c r="AA2327">
        <v>18961565.969999999</v>
      </c>
      <c r="AB2327">
        <v>2024</v>
      </c>
      <c r="AC2327" t="s">
        <v>42</v>
      </c>
      <c r="AD2327">
        <v>1</v>
      </c>
    </row>
    <row r="2328" spans="1:30">
      <c r="A2328" t="str">
        <f>CONCATENATE(I2328,J2328)</f>
        <v>OMAXEEQ</v>
      </c>
      <c r="B2328" s="34">
        <v>46273</v>
      </c>
      <c r="C2328" s="34">
        <v>46273</v>
      </c>
      <c r="D2328" t="s">
        <v>35</v>
      </c>
      <c r="E2328" t="s">
        <v>36</v>
      </c>
      <c r="F2328" t="s">
        <v>37</v>
      </c>
      <c r="G2328">
        <v>14853</v>
      </c>
      <c r="H2328" t="s">
        <v>7040</v>
      </c>
      <c r="I2328" t="s">
        <v>7041</v>
      </c>
      <c r="J2328" t="s">
        <v>161</v>
      </c>
      <c r="O2328" t="s">
        <v>7042</v>
      </c>
      <c r="P2328">
        <v>129.11000000000001</v>
      </c>
      <c r="Q2328">
        <v>131.85</v>
      </c>
      <c r="R2328">
        <v>126.2</v>
      </c>
      <c r="S2328">
        <v>127.58</v>
      </c>
      <c r="T2328">
        <v>127.55</v>
      </c>
      <c r="U2328">
        <v>129.82</v>
      </c>
      <c r="W2328">
        <v>127.57</v>
      </c>
      <c r="Z2328">
        <v>799127</v>
      </c>
      <c r="AA2328">
        <v>102542609.20999999</v>
      </c>
      <c r="AB2328">
        <v>8160</v>
      </c>
      <c r="AC2328" t="s">
        <v>42</v>
      </c>
      <c r="AD2328">
        <v>1</v>
      </c>
    </row>
    <row r="2329" spans="1:30">
      <c r="A2329" t="str">
        <f>CONCATENATE(I2329,J2329)</f>
        <v>OMFURNSM</v>
      </c>
      <c r="B2329" s="34">
        <v>46273</v>
      </c>
      <c r="C2329" s="34">
        <v>46273</v>
      </c>
      <c r="D2329" t="s">
        <v>35</v>
      </c>
      <c r="E2329" t="s">
        <v>36</v>
      </c>
      <c r="F2329" t="s">
        <v>37</v>
      </c>
      <c r="G2329">
        <v>117</v>
      </c>
      <c r="H2329" t="s">
        <v>7043</v>
      </c>
      <c r="I2329" t="s">
        <v>7044</v>
      </c>
      <c r="J2329" t="s">
        <v>267</v>
      </c>
      <c r="O2329" t="s">
        <v>7045</v>
      </c>
      <c r="P2329">
        <v>53.85</v>
      </c>
      <c r="Q2329">
        <v>56.5</v>
      </c>
      <c r="R2329">
        <v>53.85</v>
      </c>
      <c r="S2329">
        <v>56.5</v>
      </c>
      <c r="T2329">
        <v>56.5</v>
      </c>
      <c r="U2329">
        <v>53.85</v>
      </c>
      <c r="W2329">
        <v>56.5</v>
      </c>
      <c r="Z2329">
        <v>10800</v>
      </c>
      <c r="AA2329">
        <v>591960</v>
      </c>
      <c r="AB2329">
        <v>7</v>
      </c>
      <c r="AC2329" t="s">
        <v>42</v>
      </c>
      <c r="AD2329">
        <v>1200</v>
      </c>
    </row>
    <row r="2330" spans="1:30">
      <c r="A2330" t="str">
        <f>CONCATENATE(I2330,J2330)</f>
        <v>OMNIEQ</v>
      </c>
      <c r="B2330" s="34">
        <v>46273</v>
      </c>
      <c r="C2330" s="34">
        <v>46273</v>
      </c>
      <c r="D2330" t="s">
        <v>35</v>
      </c>
      <c r="E2330" t="s">
        <v>36</v>
      </c>
      <c r="F2330" t="s">
        <v>37</v>
      </c>
      <c r="G2330">
        <v>760865</v>
      </c>
      <c r="H2330" t="s">
        <v>7046</v>
      </c>
      <c r="I2330" t="s">
        <v>7047</v>
      </c>
      <c r="J2330" t="s">
        <v>161</v>
      </c>
      <c r="O2330" t="s">
        <v>7048</v>
      </c>
      <c r="P2330">
        <v>524.95000000000005</v>
      </c>
      <c r="Q2330">
        <v>539.75</v>
      </c>
      <c r="R2330">
        <v>518.54999999999995</v>
      </c>
      <c r="S2330">
        <v>525.9</v>
      </c>
      <c r="T2330">
        <v>526</v>
      </c>
      <c r="U2330">
        <v>519.54999999999995</v>
      </c>
      <c r="W2330">
        <v>525.87</v>
      </c>
      <c r="Z2330">
        <v>328386</v>
      </c>
      <c r="AA2330">
        <v>172840647.94999999</v>
      </c>
      <c r="AB2330">
        <v>11927</v>
      </c>
      <c r="AC2330" t="s">
        <v>42</v>
      </c>
      <c r="AD2330">
        <v>1</v>
      </c>
    </row>
    <row r="2331" spans="1:30">
      <c r="A2331" t="str">
        <f>CONCATENATE(I2331,J2331)</f>
        <v>ONDOORSM</v>
      </c>
      <c r="B2331" s="34">
        <v>46273</v>
      </c>
      <c r="C2331" s="34">
        <v>46273</v>
      </c>
      <c r="D2331" t="s">
        <v>35</v>
      </c>
      <c r="E2331" t="s">
        <v>36</v>
      </c>
      <c r="F2331" t="s">
        <v>37</v>
      </c>
      <c r="G2331">
        <v>19692</v>
      </c>
      <c r="H2331" t="s">
        <v>7049</v>
      </c>
      <c r="I2331" t="s">
        <v>7050</v>
      </c>
      <c r="J2331" t="s">
        <v>267</v>
      </c>
      <c r="O2331" t="s">
        <v>7051</v>
      </c>
      <c r="P2331">
        <v>299.89999999999998</v>
      </c>
      <c r="Q2331">
        <v>299.89999999999998</v>
      </c>
      <c r="R2331">
        <v>288.5</v>
      </c>
      <c r="S2331">
        <v>294.5</v>
      </c>
      <c r="T2331">
        <v>294.5</v>
      </c>
      <c r="U2331">
        <v>295.10000000000002</v>
      </c>
      <c r="W2331">
        <v>294.5</v>
      </c>
      <c r="Z2331">
        <v>900</v>
      </c>
      <c r="AA2331">
        <v>264870</v>
      </c>
      <c r="AB2331">
        <v>3</v>
      </c>
      <c r="AC2331" t="s">
        <v>42</v>
      </c>
      <c r="AD2331">
        <v>300</v>
      </c>
    </row>
    <row r="2332" spans="1:30">
      <c r="A2332" t="str">
        <f>CONCATENATE(I2332,J2332)</f>
        <v>PAYTMEQ</v>
      </c>
      <c r="B2332" s="34">
        <v>46273</v>
      </c>
      <c r="C2332" s="34">
        <v>46273</v>
      </c>
      <c r="D2332" t="s">
        <v>35</v>
      </c>
      <c r="E2332" t="s">
        <v>36</v>
      </c>
      <c r="F2332" t="s">
        <v>37</v>
      </c>
      <c r="G2332">
        <v>6705</v>
      </c>
      <c r="H2332" t="s">
        <v>7052</v>
      </c>
      <c r="I2332" t="s">
        <v>7053</v>
      </c>
      <c r="J2332" t="s">
        <v>161</v>
      </c>
      <c r="O2332" t="s">
        <v>7054</v>
      </c>
      <c r="P2332">
        <v>1654.5</v>
      </c>
      <c r="Q2332">
        <v>1676.7</v>
      </c>
      <c r="R2332">
        <v>1636</v>
      </c>
      <c r="S2332">
        <v>1670</v>
      </c>
      <c r="T2332">
        <v>1670</v>
      </c>
      <c r="U2332">
        <v>1664</v>
      </c>
      <c r="W2332">
        <v>1669.99</v>
      </c>
      <c r="Z2332">
        <v>2338072</v>
      </c>
      <c r="AA2332">
        <v>3888424458.1999998</v>
      </c>
      <c r="AB2332">
        <v>67018</v>
      </c>
      <c r="AC2332" t="s">
        <v>42</v>
      </c>
      <c r="AD2332">
        <v>1</v>
      </c>
    </row>
    <row r="2333" spans="1:30">
      <c r="A2333" t="str">
        <f>CONCATENATE(I2333,J2333)</f>
        <v>ONEGLOBALEQ</v>
      </c>
      <c r="B2333" s="34">
        <v>46273</v>
      </c>
      <c r="C2333" s="34">
        <v>46273</v>
      </c>
      <c r="D2333" t="s">
        <v>35</v>
      </c>
      <c r="E2333" t="s">
        <v>36</v>
      </c>
      <c r="F2333" t="s">
        <v>37</v>
      </c>
      <c r="G2333">
        <v>765242</v>
      </c>
      <c r="H2333" t="s">
        <v>7055</v>
      </c>
      <c r="I2333" t="s">
        <v>7056</v>
      </c>
      <c r="J2333" t="s">
        <v>161</v>
      </c>
      <c r="O2333" t="s">
        <v>7057</v>
      </c>
      <c r="P2333">
        <v>522</v>
      </c>
      <c r="Q2333">
        <v>537.65</v>
      </c>
      <c r="R2333">
        <v>513.04999999999995</v>
      </c>
      <c r="S2333">
        <v>531.20000000000005</v>
      </c>
      <c r="T2333">
        <v>531</v>
      </c>
      <c r="U2333">
        <v>522</v>
      </c>
      <c r="W2333">
        <v>531.54999999999995</v>
      </c>
      <c r="Z2333">
        <v>23535</v>
      </c>
      <c r="AA2333">
        <v>12314363.1</v>
      </c>
      <c r="AB2333">
        <v>722</v>
      </c>
      <c r="AC2333" t="s">
        <v>42</v>
      </c>
      <c r="AD2333">
        <v>1</v>
      </c>
    </row>
    <row r="2334" spans="1:30">
      <c r="A2334" t="str">
        <f>CONCATENATE(I2334,J2334)</f>
        <v>MOBIKWIKEQ</v>
      </c>
      <c r="B2334" s="34">
        <v>46273</v>
      </c>
      <c r="C2334" s="34">
        <v>46273</v>
      </c>
      <c r="D2334" t="s">
        <v>35</v>
      </c>
      <c r="E2334" t="s">
        <v>36</v>
      </c>
      <c r="F2334" t="s">
        <v>37</v>
      </c>
      <c r="G2334">
        <v>28046</v>
      </c>
      <c r="H2334" t="s">
        <v>7058</v>
      </c>
      <c r="I2334" t="s">
        <v>7059</v>
      </c>
      <c r="J2334" t="s">
        <v>161</v>
      </c>
      <c r="O2334" t="s">
        <v>7060</v>
      </c>
      <c r="P2334">
        <v>193.61</v>
      </c>
      <c r="Q2334">
        <v>197.8</v>
      </c>
      <c r="R2334">
        <v>191.9</v>
      </c>
      <c r="S2334">
        <v>194.14</v>
      </c>
      <c r="T2334">
        <v>193.2</v>
      </c>
      <c r="U2334">
        <v>194.24</v>
      </c>
      <c r="W2334">
        <v>194.16</v>
      </c>
      <c r="Z2334">
        <v>670210</v>
      </c>
      <c r="AA2334">
        <v>130563685.23</v>
      </c>
      <c r="AB2334">
        <v>9059</v>
      </c>
      <c r="AC2334" t="s">
        <v>42</v>
      </c>
      <c r="AD2334">
        <v>1</v>
      </c>
    </row>
    <row r="2335" spans="1:30">
      <c r="A2335" t="str">
        <f>CONCATENATE(I2335,J2335)</f>
        <v>ONEPOINTEQ</v>
      </c>
      <c r="B2335" s="34">
        <v>46273</v>
      </c>
      <c r="C2335" s="34">
        <v>46273</v>
      </c>
      <c r="D2335" t="s">
        <v>35</v>
      </c>
      <c r="E2335" t="s">
        <v>36</v>
      </c>
      <c r="F2335" t="s">
        <v>37</v>
      </c>
      <c r="G2335">
        <v>9939</v>
      </c>
      <c r="H2335" t="s">
        <v>7061</v>
      </c>
      <c r="I2335" t="s">
        <v>7062</v>
      </c>
      <c r="J2335" t="s">
        <v>161</v>
      </c>
      <c r="O2335" t="s">
        <v>7063</v>
      </c>
      <c r="P2335">
        <v>57.83</v>
      </c>
      <c r="Q2335">
        <v>58.25</v>
      </c>
      <c r="R2335">
        <v>56.07</v>
      </c>
      <c r="S2335">
        <v>56.36</v>
      </c>
      <c r="T2335">
        <v>56.38</v>
      </c>
      <c r="U2335">
        <v>57.73</v>
      </c>
      <c r="W2335">
        <v>56.36</v>
      </c>
      <c r="Z2335">
        <v>279089</v>
      </c>
      <c r="AA2335">
        <v>15930037.76</v>
      </c>
      <c r="AB2335">
        <v>1710</v>
      </c>
      <c r="AC2335" t="s">
        <v>42</v>
      </c>
      <c r="AD2335">
        <v>1</v>
      </c>
    </row>
    <row r="2336" spans="1:30">
      <c r="A2336" t="str">
        <f>CONCATENATE(I2336,J2336)</f>
        <v>OLILSM</v>
      </c>
      <c r="B2336" s="34">
        <v>46273</v>
      </c>
      <c r="C2336" s="34">
        <v>46273</v>
      </c>
      <c r="D2336" t="s">
        <v>35</v>
      </c>
      <c r="E2336" t="s">
        <v>36</v>
      </c>
      <c r="F2336" t="s">
        <v>37</v>
      </c>
      <c r="G2336">
        <v>19386</v>
      </c>
      <c r="H2336" t="s">
        <v>7064</v>
      </c>
      <c r="I2336" t="s">
        <v>7065</v>
      </c>
      <c r="J2336" t="s">
        <v>267</v>
      </c>
      <c r="O2336" t="s">
        <v>7066</v>
      </c>
      <c r="P2336">
        <v>409.15</v>
      </c>
      <c r="Q2336">
        <v>428</v>
      </c>
      <c r="R2336">
        <v>408</v>
      </c>
      <c r="S2336">
        <v>428</v>
      </c>
      <c r="T2336">
        <v>428</v>
      </c>
      <c r="U2336">
        <v>427.6</v>
      </c>
      <c r="W2336">
        <v>428</v>
      </c>
      <c r="Z2336">
        <v>86000</v>
      </c>
      <c r="AA2336">
        <v>35557840</v>
      </c>
      <c r="AB2336">
        <v>58</v>
      </c>
      <c r="AC2336" t="s">
        <v>42</v>
      </c>
      <c r="AD2336">
        <v>400</v>
      </c>
    </row>
    <row r="2337" spans="1:30">
      <c r="A2337" t="str">
        <f>CONCATENATE(I2337,J2337)</f>
        <v>ONELIFECAPBE</v>
      </c>
      <c r="B2337" s="34">
        <v>46273</v>
      </c>
      <c r="C2337" s="34">
        <v>46273</v>
      </c>
      <c r="D2337" t="s">
        <v>35</v>
      </c>
      <c r="E2337" t="s">
        <v>36</v>
      </c>
      <c r="F2337" t="s">
        <v>37</v>
      </c>
      <c r="G2337">
        <v>25496</v>
      </c>
      <c r="H2337" t="s">
        <v>7067</v>
      </c>
      <c r="I2337" t="s">
        <v>7068</v>
      </c>
      <c r="J2337" t="s">
        <v>183</v>
      </c>
      <c r="O2337" t="s">
        <v>7069</v>
      </c>
      <c r="P2337">
        <v>31.35</v>
      </c>
      <c r="Q2337">
        <v>31.35</v>
      </c>
      <c r="R2337">
        <v>30.53</v>
      </c>
      <c r="S2337">
        <v>30.7</v>
      </c>
      <c r="T2337">
        <v>30.6</v>
      </c>
      <c r="U2337">
        <v>31.99</v>
      </c>
      <c r="W2337">
        <v>30.7</v>
      </c>
      <c r="Z2337">
        <v>24493</v>
      </c>
      <c r="AA2337">
        <v>754368.74</v>
      </c>
      <c r="AB2337">
        <v>77</v>
      </c>
      <c r="AC2337" t="s">
        <v>42</v>
      </c>
      <c r="AD2337">
        <v>1</v>
      </c>
    </row>
    <row r="2338" spans="1:30">
      <c r="A2338" t="str">
        <f>CONCATENATE(I2338,J2338)</f>
        <v>KISSHTEQ</v>
      </c>
      <c r="B2338" s="34">
        <v>46273</v>
      </c>
      <c r="C2338" s="34">
        <v>46273</v>
      </c>
      <c r="D2338" t="s">
        <v>35</v>
      </c>
      <c r="E2338" t="s">
        <v>36</v>
      </c>
      <c r="F2338" t="s">
        <v>37</v>
      </c>
      <c r="G2338">
        <v>763294</v>
      </c>
      <c r="H2338" t="s">
        <v>7070</v>
      </c>
      <c r="I2338" t="s">
        <v>7071</v>
      </c>
      <c r="J2338" t="s">
        <v>161</v>
      </c>
      <c r="O2338" t="s">
        <v>7072</v>
      </c>
      <c r="P2338">
        <v>320.8</v>
      </c>
      <c r="Q2338">
        <v>334.5</v>
      </c>
      <c r="R2338">
        <v>313.95</v>
      </c>
      <c r="S2338">
        <v>331</v>
      </c>
      <c r="T2338">
        <v>330.7</v>
      </c>
      <c r="U2338">
        <v>320.95</v>
      </c>
      <c r="W2338">
        <v>331.01</v>
      </c>
      <c r="Z2338">
        <v>2316438</v>
      </c>
      <c r="AA2338">
        <v>758430724.29999995</v>
      </c>
      <c r="AB2338">
        <v>36887</v>
      </c>
      <c r="AC2338" t="s">
        <v>42</v>
      </c>
      <c r="AD2338">
        <v>1</v>
      </c>
    </row>
    <row r="2339" spans="1:30">
      <c r="A2339" t="str">
        <f>CONCATENATE(I2339,J2339)</f>
        <v>ONESOURCEEQ</v>
      </c>
      <c r="B2339" s="34">
        <v>46273</v>
      </c>
      <c r="C2339" s="34">
        <v>46273</v>
      </c>
      <c r="D2339" t="s">
        <v>35</v>
      </c>
      <c r="E2339" t="s">
        <v>36</v>
      </c>
      <c r="F2339" t="s">
        <v>37</v>
      </c>
      <c r="G2339">
        <v>29224</v>
      </c>
      <c r="H2339" t="s">
        <v>7073</v>
      </c>
      <c r="I2339" t="s">
        <v>7074</v>
      </c>
      <c r="J2339" t="s">
        <v>161</v>
      </c>
      <c r="O2339" t="s">
        <v>7075</v>
      </c>
      <c r="P2339">
        <v>1560</v>
      </c>
      <c r="Q2339">
        <v>1645.7</v>
      </c>
      <c r="R2339">
        <v>1557.5</v>
      </c>
      <c r="S2339">
        <v>1579.5</v>
      </c>
      <c r="T2339">
        <v>1583.4</v>
      </c>
      <c r="U2339">
        <v>1552.3</v>
      </c>
      <c r="W2339">
        <v>1580.81</v>
      </c>
      <c r="Z2339">
        <v>707456</v>
      </c>
      <c r="AA2339">
        <v>1137492013.7</v>
      </c>
      <c r="AB2339">
        <v>49761</v>
      </c>
      <c r="AC2339" t="s">
        <v>42</v>
      </c>
      <c r="AD2339">
        <v>1</v>
      </c>
    </row>
    <row r="2340" spans="1:30">
      <c r="A2340" t="str">
        <f>CONCATENATE(I2340,J2340)</f>
        <v>ONIDAEQ</v>
      </c>
      <c r="B2340" s="34">
        <v>46273</v>
      </c>
      <c r="C2340" s="34">
        <v>46273</v>
      </c>
      <c r="D2340" t="s">
        <v>35</v>
      </c>
      <c r="E2340" t="s">
        <v>36</v>
      </c>
      <c r="F2340" t="s">
        <v>37</v>
      </c>
      <c r="G2340">
        <v>2202</v>
      </c>
      <c r="H2340" t="s">
        <v>7076</v>
      </c>
      <c r="I2340" t="s">
        <v>7077</v>
      </c>
      <c r="J2340" t="s">
        <v>161</v>
      </c>
      <c r="O2340" t="s">
        <v>7078</v>
      </c>
      <c r="P2340">
        <v>34.85</v>
      </c>
      <c r="Q2340">
        <v>35.74</v>
      </c>
      <c r="R2340">
        <v>34.119999999999997</v>
      </c>
      <c r="S2340">
        <v>34.76</v>
      </c>
      <c r="T2340">
        <v>34.75</v>
      </c>
      <c r="U2340">
        <v>34.81</v>
      </c>
      <c r="W2340">
        <v>34.76</v>
      </c>
      <c r="Z2340">
        <v>340380</v>
      </c>
      <c r="AA2340">
        <v>11885037.42</v>
      </c>
      <c r="AB2340">
        <v>1343</v>
      </c>
      <c r="AC2340" t="s">
        <v>42</v>
      </c>
      <c r="AD2340">
        <v>1</v>
      </c>
    </row>
    <row r="2341" spans="1:30">
      <c r="A2341" t="str">
        <f>CONCATENATE(I2341,J2341)</f>
        <v>ONIXSOLAREQ</v>
      </c>
      <c r="B2341" s="34">
        <v>46273</v>
      </c>
      <c r="C2341" s="34">
        <v>46273</v>
      </c>
      <c r="D2341" t="s">
        <v>35</v>
      </c>
      <c r="E2341" t="s">
        <v>36</v>
      </c>
      <c r="F2341" t="s">
        <v>37</v>
      </c>
      <c r="G2341">
        <v>764808</v>
      </c>
      <c r="H2341" t="s">
        <v>7079</v>
      </c>
      <c r="I2341" t="s">
        <v>7080</v>
      </c>
      <c r="J2341" t="s">
        <v>161</v>
      </c>
      <c r="O2341" t="s">
        <v>7081</v>
      </c>
      <c r="P2341">
        <v>434</v>
      </c>
      <c r="Q2341">
        <v>444.35</v>
      </c>
      <c r="R2341">
        <v>425</v>
      </c>
      <c r="S2341">
        <v>444.3</v>
      </c>
      <c r="T2341">
        <v>444.35</v>
      </c>
      <c r="U2341">
        <v>423.2</v>
      </c>
      <c r="W2341">
        <v>444.3</v>
      </c>
      <c r="Z2341">
        <v>435163</v>
      </c>
      <c r="AA2341">
        <v>191502093.69999999</v>
      </c>
      <c r="AB2341">
        <v>5060</v>
      </c>
      <c r="AC2341" t="s">
        <v>42</v>
      </c>
      <c r="AD2341">
        <v>1</v>
      </c>
    </row>
    <row r="2342" spans="1:30">
      <c r="A2342" t="str">
        <f>CONCATENATE(I2342,J2342)</f>
        <v>ONMOBILEBE</v>
      </c>
      <c r="B2342" s="34">
        <v>46273</v>
      </c>
      <c r="C2342" s="34">
        <v>46273</v>
      </c>
      <c r="D2342" t="s">
        <v>35</v>
      </c>
      <c r="E2342" t="s">
        <v>36</v>
      </c>
      <c r="F2342" t="s">
        <v>37</v>
      </c>
      <c r="G2342">
        <v>15282</v>
      </c>
      <c r="H2342" t="s">
        <v>7082</v>
      </c>
      <c r="I2342" t="s">
        <v>7083</v>
      </c>
      <c r="J2342" t="s">
        <v>183</v>
      </c>
      <c r="O2342" t="s">
        <v>7084</v>
      </c>
      <c r="P2342">
        <v>49.15</v>
      </c>
      <c r="Q2342">
        <v>49.15</v>
      </c>
      <c r="R2342">
        <v>48.25</v>
      </c>
      <c r="S2342">
        <v>48.25</v>
      </c>
      <c r="T2342">
        <v>48.25</v>
      </c>
      <c r="U2342">
        <v>49.15</v>
      </c>
      <c r="W2342">
        <v>48.31</v>
      </c>
      <c r="Z2342">
        <v>28804</v>
      </c>
      <c r="AA2342">
        <v>1409460.3</v>
      </c>
      <c r="AB2342">
        <v>174</v>
      </c>
      <c r="AC2342" t="s">
        <v>42</v>
      </c>
      <c r="AD2342">
        <v>1</v>
      </c>
    </row>
    <row r="2343" spans="1:30">
      <c r="A2343" t="str">
        <f>CONCATENATE(I2343,J2343)</f>
        <v>ONWARDTECEQ</v>
      </c>
      <c r="B2343" s="34">
        <v>46273</v>
      </c>
      <c r="C2343" s="34">
        <v>46273</v>
      </c>
      <c r="D2343" t="s">
        <v>35</v>
      </c>
      <c r="E2343" t="s">
        <v>36</v>
      </c>
      <c r="F2343" t="s">
        <v>37</v>
      </c>
      <c r="G2343">
        <v>2481</v>
      </c>
      <c r="H2343" t="s">
        <v>7085</v>
      </c>
      <c r="I2343" t="s">
        <v>7086</v>
      </c>
      <c r="J2343" t="s">
        <v>161</v>
      </c>
      <c r="O2343" t="s">
        <v>7087</v>
      </c>
      <c r="P2343">
        <v>283.85000000000002</v>
      </c>
      <c r="Q2343">
        <v>292</v>
      </c>
      <c r="R2343">
        <v>282.35000000000002</v>
      </c>
      <c r="S2343">
        <v>286.3</v>
      </c>
      <c r="T2343">
        <v>286</v>
      </c>
      <c r="U2343">
        <v>283.85000000000002</v>
      </c>
      <c r="W2343">
        <v>286.25</v>
      </c>
      <c r="Z2343">
        <v>48760</v>
      </c>
      <c r="AA2343">
        <v>14021436.050000001</v>
      </c>
      <c r="AB2343">
        <v>1170</v>
      </c>
      <c r="AC2343" t="s">
        <v>42</v>
      </c>
      <c r="AD2343">
        <v>1</v>
      </c>
    </row>
    <row r="2344" spans="1:30">
      <c r="A2344" t="str">
        <f>CONCATENATE(I2344,J2344)</f>
        <v>ONYXST</v>
      </c>
      <c r="B2344" s="34">
        <v>46273</v>
      </c>
      <c r="C2344" s="34">
        <v>46273</v>
      </c>
      <c r="D2344" t="s">
        <v>35</v>
      </c>
      <c r="E2344" t="s">
        <v>36</v>
      </c>
      <c r="F2344" t="s">
        <v>37</v>
      </c>
      <c r="G2344">
        <v>27143</v>
      </c>
      <c r="H2344" t="s">
        <v>7088</v>
      </c>
      <c r="I2344" t="s">
        <v>7089</v>
      </c>
      <c r="J2344" t="s">
        <v>328</v>
      </c>
      <c r="O2344" t="s">
        <v>7090</v>
      </c>
      <c r="P2344">
        <v>39.950000000000003</v>
      </c>
      <c r="Q2344">
        <v>39.950000000000003</v>
      </c>
      <c r="R2344">
        <v>37.549999999999997</v>
      </c>
      <c r="S2344">
        <v>37.549999999999997</v>
      </c>
      <c r="T2344">
        <v>37.549999999999997</v>
      </c>
      <c r="U2344">
        <v>39.35</v>
      </c>
      <c r="W2344">
        <v>37.549999999999997</v>
      </c>
      <c r="Z2344">
        <v>34000</v>
      </c>
      <c r="AA2344">
        <v>1292600</v>
      </c>
      <c r="AB2344">
        <v>12</v>
      </c>
      <c r="AC2344" t="s">
        <v>42</v>
      </c>
      <c r="AD2344">
        <v>2000</v>
      </c>
    </row>
    <row r="2345" spans="1:30">
      <c r="A2345" t="str">
        <f>CONCATENATE(I2345,J2345)</f>
        <v>OPTIEMUSEQ</v>
      </c>
      <c r="B2345" s="34">
        <v>46273</v>
      </c>
      <c r="C2345" s="34">
        <v>46273</v>
      </c>
      <c r="D2345" t="s">
        <v>35</v>
      </c>
      <c r="E2345" t="s">
        <v>36</v>
      </c>
      <c r="F2345" t="s">
        <v>37</v>
      </c>
      <c r="G2345">
        <v>21469</v>
      </c>
      <c r="H2345" t="s">
        <v>7091</v>
      </c>
      <c r="I2345" t="s">
        <v>7092</v>
      </c>
      <c r="J2345" t="s">
        <v>161</v>
      </c>
      <c r="O2345" t="s">
        <v>7093</v>
      </c>
      <c r="P2345">
        <v>562.9</v>
      </c>
      <c r="Q2345">
        <v>569.4</v>
      </c>
      <c r="R2345">
        <v>552.4</v>
      </c>
      <c r="S2345">
        <v>556.35</v>
      </c>
      <c r="T2345">
        <v>552.5</v>
      </c>
      <c r="U2345">
        <v>560.45000000000005</v>
      </c>
      <c r="W2345">
        <v>556.35</v>
      </c>
      <c r="Z2345">
        <v>75184</v>
      </c>
      <c r="AA2345">
        <v>41870758</v>
      </c>
      <c r="AB2345">
        <v>2757</v>
      </c>
      <c r="AC2345" t="s">
        <v>42</v>
      </c>
      <c r="AD2345">
        <v>1</v>
      </c>
    </row>
    <row r="2346" spans="1:30">
      <c r="A2346" t="str">
        <f>CONCATENATE(I2346,J2346)</f>
        <v>OPTIFINEQ</v>
      </c>
      <c r="B2346" s="34">
        <v>46273</v>
      </c>
      <c r="C2346" s="34">
        <v>46273</v>
      </c>
      <c r="D2346" t="s">
        <v>35</v>
      </c>
      <c r="E2346" t="s">
        <v>36</v>
      </c>
      <c r="F2346" t="s">
        <v>37</v>
      </c>
      <c r="G2346">
        <v>764813</v>
      </c>
      <c r="H2346" t="s">
        <v>7094</v>
      </c>
      <c r="I2346" t="s">
        <v>7095</v>
      </c>
      <c r="J2346" t="s">
        <v>161</v>
      </c>
      <c r="O2346" t="s">
        <v>7096</v>
      </c>
      <c r="P2346">
        <v>14.43</v>
      </c>
      <c r="Q2346">
        <v>15.15</v>
      </c>
      <c r="R2346">
        <v>14.36</v>
      </c>
      <c r="S2346">
        <v>14.52</v>
      </c>
      <c r="T2346">
        <v>14.5</v>
      </c>
      <c r="U2346">
        <v>14.43</v>
      </c>
      <c r="W2346">
        <v>14.48</v>
      </c>
      <c r="Z2346">
        <v>56239</v>
      </c>
      <c r="AA2346">
        <v>825248.35</v>
      </c>
      <c r="AB2346">
        <v>124</v>
      </c>
      <c r="AC2346" t="s">
        <v>42</v>
      </c>
      <c r="AD2346">
        <v>1</v>
      </c>
    </row>
    <row r="2347" spans="1:30">
      <c r="A2347" t="str">
        <f>CONCATENATE(I2347,J2347)</f>
        <v>OPTIMYSTIXSM</v>
      </c>
      <c r="B2347" s="34">
        <v>46273</v>
      </c>
      <c r="C2347" s="34">
        <v>46273</v>
      </c>
      <c r="D2347" t="s">
        <v>35</v>
      </c>
      <c r="E2347" t="s">
        <v>36</v>
      </c>
      <c r="F2347" t="s">
        <v>37</v>
      </c>
      <c r="G2347">
        <v>764528</v>
      </c>
      <c r="H2347" t="s">
        <v>7097</v>
      </c>
      <c r="I2347" t="s">
        <v>7098</v>
      </c>
      <c r="J2347" t="s">
        <v>267</v>
      </c>
      <c r="O2347" t="s">
        <v>7099</v>
      </c>
      <c r="P2347">
        <v>158.94999999999999</v>
      </c>
      <c r="Q2347">
        <v>158.94999999999999</v>
      </c>
      <c r="R2347">
        <v>141.30000000000001</v>
      </c>
      <c r="S2347">
        <v>150.5</v>
      </c>
      <c r="T2347">
        <v>153.5</v>
      </c>
      <c r="U2347">
        <v>150</v>
      </c>
      <c r="W2347">
        <v>150.5</v>
      </c>
      <c r="Z2347">
        <v>159200</v>
      </c>
      <c r="AA2347">
        <v>23632520</v>
      </c>
      <c r="AB2347">
        <v>108</v>
      </c>
      <c r="AC2347" t="s">
        <v>42</v>
      </c>
      <c r="AD2347">
        <v>800</v>
      </c>
    </row>
    <row r="2348" spans="1:30">
      <c r="A2348" t="str">
        <f>CONCATENATE(I2348,J2348)</f>
        <v>OPTIVALUEST</v>
      </c>
      <c r="B2348" s="34">
        <v>46273</v>
      </c>
      <c r="C2348" s="34">
        <v>46273</v>
      </c>
      <c r="D2348" t="s">
        <v>35</v>
      </c>
      <c r="E2348" t="s">
        <v>36</v>
      </c>
      <c r="F2348" t="s">
        <v>37</v>
      </c>
      <c r="G2348">
        <v>758903</v>
      </c>
      <c r="H2348" t="s">
        <v>7100</v>
      </c>
      <c r="I2348" t="s">
        <v>7101</v>
      </c>
      <c r="J2348" t="s">
        <v>328</v>
      </c>
      <c r="O2348" t="s">
        <v>7102</v>
      </c>
      <c r="P2348">
        <v>165</v>
      </c>
      <c r="Q2348">
        <v>167.95</v>
      </c>
      <c r="R2348">
        <v>158.9</v>
      </c>
      <c r="S2348">
        <v>164.5</v>
      </c>
      <c r="T2348">
        <v>167.95</v>
      </c>
      <c r="U2348">
        <v>167.25</v>
      </c>
      <c r="W2348">
        <v>164.5</v>
      </c>
      <c r="Z2348">
        <v>35200</v>
      </c>
      <c r="AA2348">
        <v>5697520</v>
      </c>
      <c r="AB2348">
        <v>21</v>
      </c>
      <c r="AC2348" t="s">
        <v>42</v>
      </c>
      <c r="AD2348">
        <v>1600</v>
      </c>
    </row>
    <row r="2349" spans="1:30">
      <c r="A2349" t="str">
        <f>CONCATENATE(I2349,J2349)</f>
        <v>OFSSEQ</v>
      </c>
      <c r="B2349" s="34">
        <v>46273</v>
      </c>
      <c r="C2349" s="34">
        <v>46273</v>
      </c>
      <c r="D2349" t="s">
        <v>35</v>
      </c>
      <c r="E2349" t="s">
        <v>36</v>
      </c>
      <c r="F2349" t="s">
        <v>37</v>
      </c>
      <c r="G2349">
        <v>10738</v>
      </c>
      <c r="H2349" t="s">
        <v>7103</v>
      </c>
      <c r="I2349" t="s">
        <v>7104</v>
      </c>
      <c r="J2349" t="s">
        <v>161</v>
      </c>
      <c r="O2349" t="s">
        <v>7105</v>
      </c>
      <c r="P2349">
        <v>11750</v>
      </c>
      <c r="Q2349">
        <v>11815</v>
      </c>
      <c r="R2349">
        <v>11636</v>
      </c>
      <c r="S2349">
        <v>11780</v>
      </c>
      <c r="T2349">
        <v>11780</v>
      </c>
      <c r="U2349">
        <v>11847</v>
      </c>
      <c r="W2349">
        <v>11780.14</v>
      </c>
      <c r="Z2349">
        <v>101559</v>
      </c>
      <c r="AA2349">
        <v>1191237294</v>
      </c>
      <c r="AB2349">
        <v>20073</v>
      </c>
      <c r="AC2349" t="s">
        <v>42</v>
      </c>
      <c r="AD2349">
        <v>1</v>
      </c>
    </row>
    <row r="2350" spans="1:30">
      <c r="A2350" t="str">
        <f>CONCATENATE(I2350,J2350)</f>
        <v>ORBTEXPBE</v>
      </c>
      <c r="B2350" s="34">
        <v>46273</v>
      </c>
      <c r="C2350" s="34">
        <v>46273</v>
      </c>
      <c r="D2350" t="s">
        <v>35</v>
      </c>
      <c r="E2350" t="s">
        <v>36</v>
      </c>
      <c r="F2350" t="s">
        <v>37</v>
      </c>
      <c r="G2350">
        <v>31479</v>
      </c>
      <c r="H2350" t="s">
        <v>7106</v>
      </c>
      <c r="I2350" t="s">
        <v>7107</v>
      </c>
      <c r="J2350" t="s">
        <v>183</v>
      </c>
      <c r="O2350" t="s">
        <v>7108</v>
      </c>
      <c r="P2350">
        <v>239</v>
      </c>
      <c r="Q2350">
        <v>240.97</v>
      </c>
      <c r="R2350">
        <v>233.2</v>
      </c>
      <c r="S2350">
        <v>239.43</v>
      </c>
      <c r="T2350">
        <v>239.98</v>
      </c>
      <c r="U2350">
        <v>239</v>
      </c>
      <c r="W2350">
        <v>239.43</v>
      </c>
      <c r="Z2350">
        <v>2784</v>
      </c>
      <c r="AA2350">
        <v>657341.52</v>
      </c>
      <c r="AB2350">
        <v>50</v>
      </c>
      <c r="AC2350" t="s">
        <v>42</v>
      </c>
      <c r="AD2350">
        <v>1</v>
      </c>
    </row>
    <row r="2351" spans="1:30">
      <c r="A2351" t="str">
        <f>CONCATENATE(I2351,J2351)</f>
        <v>ORCHASPEQ</v>
      </c>
      <c r="B2351" s="34">
        <v>46273</v>
      </c>
      <c r="C2351" s="34">
        <v>46273</v>
      </c>
      <c r="D2351" t="s">
        <v>35</v>
      </c>
      <c r="E2351" t="s">
        <v>36</v>
      </c>
      <c r="F2351" t="s">
        <v>37</v>
      </c>
      <c r="G2351">
        <v>29492</v>
      </c>
      <c r="H2351" t="s">
        <v>7109</v>
      </c>
      <c r="I2351" t="s">
        <v>7110</v>
      </c>
      <c r="J2351" t="s">
        <v>161</v>
      </c>
      <c r="O2351" t="s">
        <v>7111</v>
      </c>
      <c r="P2351">
        <v>1.32</v>
      </c>
      <c r="Q2351">
        <v>1.38</v>
      </c>
      <c r="R2351">
        <v>1.29</v>
      </c>
      <c r="S2351">
        <v>1.36</v>
      </c>
      <c r="T2351">
        <v>1.38</v>
      </c>
      <c r="U2351">
        <v>1.29</v>
      </c>
      <c r="W2351">
        <v>1.37</v>
      </c>
      <c r="Z2351">
        <v>185912</v>
      </c>
      <c r="AA2351">
        <v>250087.83</v>
      </c>
      <c r="AB2351">
        <v>237</v>
      </c>
      <c r="AC2351" t="s">
        <v>42</v>
      </c>
      <c r="AD2351">
        <v>1</v>
      </c>
    </row>
    <row r="2352" spans="1:30">
      <c r="A2352" t="str">
        <f>CONCATENATE(I2352,J2352)</f>
        <v>ORCHPHARMAEQ</v>
      </c>
      <c r="B2352" s="34">
        <v>46273</v>
      </c>
      <c r="C2352" s="34">
        <v>46273</v>
      </c>
      <c r="D2352" t="s">
        <v>35</v>
      </c>
      <c r="E2352" t="s">
        <v>36</v>
      </c>
      <c r="F2352" t="s">
        <v>37</v>
      </c>
      <c r="G2352">
        <v>926</v>
      </c>
      <c r="H2352" t="s">
        <v>7112</v>
      </c>
      <c r="I2352" t="s">
        <v>7113</v>
      </c>
      <c r="J2352" t="s">
        <v>161</v>
      </c>
      <c r="O2352" t="s">
        <v>7114</v>
      </c>
      <c r="P2352">
        <v>945</v>
      </c>
      <c r="Q2352">
        <v>968.5</v>
      </c>
      <c r="R2352">
        <v>937.35</v>
      </c>
      <c r="S2352">
        <v>965.8</v>
      </c>
      <c r="T2352">
        <v>967.85</v>
      </c>
      <c r="U2352">
        <v>947.1</v>
      </c>
      <c r="W2352">
        <v>965.82</v>
      </c>
      <c r="Z2352">
        <v>26453</v>
      </c>
      <c r="AA2352">
        <v>25431927.5</v>
      </c>
      <c r="AB2352">
        <v>2104</v>
      </c>
      <c r="AC2352" t="s">
        <v>42</v>
      </c>
      <c r="AD2352">
        <v>1</v>
      </c>
    </row>
    <row r="2353" spans="1:30">
      <c r="A2353" t="str">
        <f>CONCATENATE(I2353,J2353)</f>
        <v>ORIANASM</v>
      </c>
      <c r="B2353" s="34">
        <v>46273</v>
      </c>
      <c r="C2353" s="34">
        <v>46273</v>
      </c>
      <c r="D2353" t="s">
        <v>35</v>
      </c>
      <c r="E2353" t="s">
        <v>36</v>
      </c>
      <c r="F2353" t="s">
        <v>37</v>
      </c>
      <c r="G2353">
        <v>17882</v>
      </c>
      <c r="H2353" t="s">
        <v>7115</v>
      </c>
      <c r="I2353" t="s">
        <v>7116</v>
      </c>
      <c r="J2353" t="s">
        <v>267</v>
      </c>
      <c r="O2353" t="s">
        <v>7117</v>
      </c>
      <c r="P2353">
        <v>1216.8499999999999</v>
      </c>
      <c r="Q2353">
        <v>1230</v>
      </c>
      <c r="R2353">
        <v>1210</v>
      </c>
      <c r="S2353">
        <v>1217.6500000000001</v>
      </c>
      <c r="T2353">
        <v>1222</v>
      </c>
      <c r="U2353">
        <v>1216.8499999999999</v>
      </c>
      <c r="W2353">
        <v>1217.6500000000001</v>
      </c>
      <c r="Z2353">
        <v>33300</v>
      </c>
      <c r="AA2353">
        <v>40658748.75</v>
      </c>
      <c r="AB2353">
        <v>314</v>
      </c>
      <c r="AC2353" t="s">
        <v>42</v>
      </c>
      <c r="AD2353">
        <v>75</v>
      </c>
    </row>
    <row r="2354" spans="1:30">
      <c r="A2354" t="str">
        <f>CONCATENATE(I2354,J2354)</f>
        <v>ORICONENTEQ</v>
      </c>
      <c r="B2354" s="34">
        <v>46273</v>
      </c>
      <c r="C2354" s="34">
        <v>46273</v>
      </c>
      <c r="D2354" t="s">
        <v>35</v>
      </c>
      <c r="E2354" t="s">
        <v>36</v>
      </c>
      <c r="F2354" t="s">
        <v>37</v>
      </c>
      <c r="G2354">
        <v>10159</v>
      </c>
      <c r="H2354" t="s">
        <v>7118</v>
      </c>
      <c r="I2354" t="s">
        <v>7119</v>
      </c>
      <c r="J2354" t="s">
        <v>161</v>
      </c>
      <c r="O2354" t="s">
        <v>7120</v>
      </c>
      <c r="P2354">
        <v>52.25</v>
      </c>
      <c r="Q2354">
        <v>55.48</v>
      </c>
      <c r="R2354">
        <v>52.25</v>
      </c>
      <c r="S2354">
        <v>53.16</v>
      </c>
      <c r="T2354">
        <v>52.92</v>
      </c>
      <c r="U2354">
        <v>52.92</v>
      </c>
      <c r="W2354">
        <v>53.16</v>
      </c>
      <c r="Z2354">
        <v>38106</v>
      </c>
      <c r="AA2354">
        <v>2050340.04</v>
      </c>
      <c r="AB2354">
        <v>555</v>
      </c>
      <c r="AC2354" t="s">
        <v>42</v>
      </c>
      <c r="AD2354">
        <v>1</v>
      </c>
    </row>
    <row r="2355" spans="1:30">
      <c r="A2355" t="str">
        <f>CONCATENATE(I2355,J2355)</f>
        <v>ORIENTBELLEQ</v>
      </c>
      <c r="B2355" s="34">
        <v>46273</v>
      </c>
      <c r="C2355" s="34">
        <v>46273</v>
      </c>
      <c r="D2355" t="s">
        <v>35</v>
      </c>
      <c r="E2355" t="s">
        <v>36</v>
      </c>
      <c r="F2355" t="s">
        <v>37</v>
      </c>
      <c r="G2355">
        <v>14278</v>
      </c>
      <c r="H2355" t="s">
        <v>7121</v>
      </c>
      <c r="I2355" t="s">
        <v>7122</v>
      </c>
      <c r="J2355" t="s">
        <v>161</v>
      </c>
      <c r="O2355" t="s">
        <v>7123</v>
      </c>
      <c r="P2355">
        <v>415.15</v>
      </c>
      <c r="Q2355">
        <v>424.95</v>
      </c>
      <c r="R2355">
        <v>407</v>
      </c>
      <c r="S2355">
        <v>410.3</v>
      </c>
      <c r="T2355">
        <v>411.9</v>
      </c>
      <c r="U2355">
        <v>415.1</v>
      </c>
      <c r="W2355">
        <v>410.31</v>
      </c>
      <c r="Z2355">
        <v>37419</v>
      </c>
      <c r="AA2355">
        <v>15604907.25</v>
      </c>
      <c r="AB2355">
        <v>2168</v>
      </c>
      <c r="AC2355" t="s">
        <v>42</v>
      </c>
      <c r="AD2355">
        <v>1</v>
      </c>
    </row>
    <row r="2356" spans="1:30">
      <c r="A2356" t="str">
        <f>CONCATENATE(I2356,J2356)</f>
        <v>ORIENTCEMEQ</v>
      </c>
      <c r="B2356" s="34">
        <v>46273</v>
      </c>
      <c r="C2356" s="34">
        <v>46273</v>
      </c>
      <c r="D2356" t="s">
        <v>35</v>
      </c>
      <c r="E2356" t="s">
        <v>36</v>
      </c>
      <c r="F2356" t="s">
        <v>37</v>
      </c>
      <c r="G2356">
        <v>30089</v>
      </c>
      <c r="H2356" t="s">
        <v>7124</v>
      </c>
      <c r="I2356" t="s">
        <v>7125</v>
      </c>
      <c r="J2356" t="s">
        <v>161</v>
      </c>
      <c r="O2356" t="s">
        <v>7126</v>
      </c>
      <c r="P2356">
        <v>126.8</v>
      </c>
      <c r="Q2356">
        <v>127.59</v>
      </c>
      <c r="R2356">
        <v>125.01</v>
      </c>
      <c r="S2356">
        <v>126.42</v>
      </c>
      <c r="T2356">
        <v>126.75</v>
      </c>
      <c r="U2356">
        <v>126.56</v>
      </c>
      <c r="W2356">
        <v>126.42</v>
      </c>
      <c r="Z2356">
        <v>378422</v>
      </c>
      <c r="AA2356">
        <v>47909481.380000003</v>
      </c>
      <c r="AB2356">
        <v>3392</v>
      </c>
      <c r="AC2356" t="s">
        <v>42</v>
      </c>
      <c r="AD2356">
        <v>1</v>
      </c>
    </row>
    <row r="2357" spans="1:30">
      <c r="A2357" t="str">
        <f>CONCATENATE(I2357,J2357)</f>
        <v>ORIENTCEREQ</v>
      </c>
      <c r="B2357" s="34">
        <v>46273</v>
      </c>
      <c r="C2357" s="34">
        <v>46273</v>
      </c>
      <c r="D2357" t="s">
        <v>35</v>
      </c>
      <c r="E2357" t="s">
        <v>36</v>
      </c>
      <c r="F2357" t="s">
        <v>37</v>
      </c>
      <c r="G2357">
        <v>13111</v>
      </c>
      <c r="H2357" t="s">
        <v>7127</v>
      </c>
      <c r="I2357" t="s">
        <v>7128</v>
      </c>
      <c r="J2357" t="s">
        <v>161</v>
      </c>
      <c r="O2357" t="s">
        <v>7129</v>
      </c>
      <c r="P2357">
        <v>44.9</v>
      </c>
      <c r="Q2357">
        <v>45.9</v>
      </c>
      <c r="R2357">
        <v>43.86</v>
      </c>
      <c r="S2357">
        <v>45</v>
      </c>
      <c r="T2357">
        <v>44.98</v>
      </c>
      <c r="U2357">
        <v>44.6</v>
      </c>
      <c r="W2357">
        <v>45</v>
      </c>
      <c r="Z2357">
        <v>68672</v>
      </c>
      <c r="AA2357">
        <v>3058988.65</v>
      </c>
      <c r="AB2357">
        <v>1632</v>
      </c>
      <c r="AC2357" t="s">
        <v>42</v>
      </c>
      <c r="AD2357">
        <v>1</v>
      </c>
    </row>
    <row r="2358" spans="1:30">
      <c r="A2358" t="str">
        <f>CONCATENATE(I2358,J2358)</f>
        <v>ORIENTELECEQ</v>
      </c>
      <c r="B2358" s="34">
        <v>46273</v>
      </c>
      <c r="C2358" s="34">
        <v>46273</v>
      </c>
      <c r="D2358" t="s">
        <v>35</v>
      </c>
      <c r="E2358" t="s">
        <v>36</v>
      </c>
      <c r="F2358" t="s">
        <v>37</v>
      </c>
      <c r="G2358">
        <v>2972</v>
      </c>
      <c r="H2358" t="s">
        <v>7130</v>
      </c>
      <c r="I2358" t="s">
        <v>7131</v>
      </c>
      <c r="J2358" t="s">
        <v>161</v>
      </c>
      <c r="O2358" t="s">
        <v>7132</v>
      </c>
      <c r="P2358">
        <v>177.84</v>
      </c>
      <c r="Q2358">
        <v>177.84</v>
      </c>
      <c r="R2358">
        <v>174.5</v>
      </c>
      <c r="S2358">
        <v>175.54</v>
      </c>
      <c r="T2358">
        <v>175.45</v>
      </c>
      <c r="U2358">
        <v>176.38</v>
      </c>
      <c r="W2358">
        <v>175.57</v>
      </c>
      <c r="Z2358">
        <v>83726</v>
      </c>
      <c r="AA2358">
        <v>14681848.35</v>
      </c>
      <c r="AB2358">
        <v>2336</v>
      </c>
      <c r="AC2358" t="s">
        <v>42</v>
      </c>
      <c r="AD2358">
        <v>1</v>
      </c>
    </row>
    <row r="2359" spans="1:30">
      <c r="A2359" t="str">
        <f>CONCATENATE(I2359,J2359)</f>
        <v>GREENPOWEREQ</v>
      </c>
      <c r="B2359" s="34">
        <v>46273</v>
      </c>
      <c r="C2359" s="34">
        <v>46273</v>
      </c>
      <c r="D2359" t="s">
        <v>35</v>
      </c>
      <c r="E2359" t="s">
        <v>36</v>
      </c>
      <c r="F2359" t="s">
        <v>37</v>
      </c>
      <c r="G2359">
        <v>20110</v>
      </c>
      <c r="H2359" t="s">
        <v>7133</v>
      </c>
      <c r="I2359" t="s">
        <v>7134</v>
      </c>
      <c r="J2359" t="s">
        <v>161</v>
      </c>
      <c r="O2359" t="s">
        <v>7135</v>
      </c>
      <c r="P2359">
        <v>9.19</v>
      </c>
      <c r="Q2359">
        <v>9.2899999999999991</v>
      </c>
      <c r="R2359">
        <v>9.1</v>
      </c>
      <c r="S2359">
        <v>9.14</v>
      </c>
      <c r="T2359">
        <v>9.15</v>
      </c>
      <c r="U2359">
        <v>9.23</v>
      </c>
      <c r="W2359">
        <v>9.14</v>
      </c>
      <c r="Z2359">
        <v>2268132</v>
      </c>
      <c r="AA2359">
        <v>20783089.559999999</v>
      </c>
      <c r="AB2359">
        <v>4417</v>
      </c>
      <c r="AC2359" t="s">
        <v>42</v>
      </c>
      <c r="AD2359">
        <v>1</v>
      </c>
    </row>
    <row r="2360" spans="1:30">
      <c r="A2360" t="str">
        <f>CONCATENATE(I2360,J2360)</f>
        <v>ORIENTHOTEQ</v>
      </c>
      <c r="B2360" s="34">
        <v>46273</v>
      </c>
      <c r="C2360" s="34">
        <v>46273</v>
      </c>
      <c r="D2360" t="s">
        <v>35</v>
      </c>
      <c r="E2360" t="s">
        <v>36</v>
      </c>
      <c r="F2360" t="s">
        <v>37</v>
      </c>
      <c r="G2360">
        <v>2493</v>
      </c>
      <c r="H2360" t="s">
        <v>7136</v>
      </c>
      <c r="I2360" t="s">
        <v>7137</v>
      </c>
      <c r="J2360" t="s">
        <v>161</v>
      </c>
      <c r="O2360" t="s">
        <v>7138</v>
      </c>
      <c r="P2360">
        <v>139</v>
      </c>
      <c r="Q2360">
        <v>141.68</v>
      </c>
      <c r="R2360">
        <v>138.37</v>
      </c>
      <c r="S2360">
        <v>140.54</v>
      </c>
      <c r="T2360">
        <v>141</v>
      </c>
      <c r="U2360">
        <v>139.11000000000001</v>
      </c>
      <c r="W2360">
        <v>140.54</v>
      </c>
      <c r="Z2360">
        <v>428985</v>
      </c>
      <c r="AA2360">
        <v>60297917.18</v>
      </c>
      <c r="AB2360">
        <v>2378</v>
      </c>
      <c r="AC2360" t="s">
        <v>42</v>
      </c>
      <c r="AD2360">
        <v>1</v>
      </c>
    </row>
    <row r="2361" spans="1:30">
      <c r="A2361" t="str">
        <f>CONCATENATE(I2361,J2361)</f>
        <v>ORIENTPPREQ</v>
      </c>
      <c r="B2361" s="34">
        <v>46273</v>
      </c>
      <c r="C2361" s="34">
        <v>46273</v>
      </c>
      <c r="D2361" t="s">
        <v>35</v>
      </c>
      <c r="E2361" t="s">
        <v>36</v>
      </c>
      <c r="F2361" t="s">
        <v>37</v>
      </c>
      <c r="G2361">
        <v>2496</v>
      </c>
      <c r="H2361" t="s">
        <v>7139</v>
      </c>
      <c r="I2361" t="s">
        <v>7140</v>
      </c>
      <c r="J2361" t="s">
        <v>161</v>
      </c>
      <c r="O2361" t="s">
        <v>7141</v>
      </c>
      <c r="P2361">
        <v>18.96</v>
      </c>
      <c r="Q2361">
        <v>18.989999999999998</v>
      </c>
      <c r="R2361">
        <v>18.09</v>
      </c>
      <c r="S2361">
        <v>18.29</v>
      </c>
      <c r="T2361">
        <v>18.45</v>
      </c>
      <c r="U2361">
        <v>18.809999999999999</v>
      </c>
      <c r="W2361">
        <v>18.29</v>
      </c>
      <c r="Z2361">
        <v>387404</v>
      </c>
      <c r="AA2361">
        <v>7190636.4199999999</v>
      </c>
      <c r="AB2361">
        <v>1383</v>
      </c>
      <c r="AC2361" t="s">
        <v>42</v>
      </c>
      <c r="AD2361">
        <v>1</v>
      </c>
    </row>
    <row r="2362" spans="1:30">
      <c r="A2362" t="str">
        <f>CONCATENATE(I2362,J2362)</f>
        <v>ORIENTLTDBE</v>
      </c>
      <c r="B2362" s="34">
        <v>46273</v>
      </c>
      <c r="C2362" s="34">
        <v>46273</v>
      </c>
      <c r="D2362" t="s">
        <v>35</v>
      </c>
      <c r="E2362" t="s">
        <v>36</v>
      </c>
      <c r="F2362" t="s">
        <v>37</v>
      </c>
      <c r="G2362">
        <v>18211</v>
      </c>
      <c r="H2362" t="s">
        <v>7142</v>
      </c>
      <c r="I2362" t="s">
        <v>7143</v>
      </c>
      <c r="J2362" t="s">
        <v>183</v>
      </c>
      <c r="O2362" t="s">
        <v>7144</v>
      </c>
      <c r="P2362">
        <v>78.510000000000005</v>
      </c>
      <c r="Q2362">
        <v>82.79</v>
      </c>
      <c r="R2362">
        <v>78.25</v>
      </c>
      <c r="S2362">
        <v>82.5</v>
      </c>
      <c r="T2362">
        <v>82.5</v>
      </c>
      <c r="U2362">
        <v>81.489999999999995</v>
      </c>
      <c r="W2362">
        <v>82.5</v>
      </c>
      <c r="Z2362">
        <v>2361</v>
      </c>
      <c r="AA2362">
        <v>189506.12</v>
      </c>
      <c r="AB2362">
        <v>25</v>
      </c>
      <c r="AC2362" t="s">
        <v>42</v>
      </c>
      <c r="AD2362">
        <v>1</v>
      </c>
    </row>
    <row r="2363" spans="1:30">
      <c r="A2363" t="str">
        <f>CONCATENATE(I2363,J2363)</f>
        <v>ORIENTTECHEQ</v>
      </c>
      <c r="B2363" s="34">
        <v>46273</v>
      </c>
      <c r="C2363" s="34">
        <v>46273</v>
      </c>
      <c r="D2363" t="s">
        <v>35</v>
      </c>
      <c r="E2363" t="s">
        <v>36</v>
      </c>
      <c r="F2363" t="s">
        <v>37</v>
      </c>
      <c r="G2363">
        <v>24961</v>
      </c>
      <c r="H2363" t="s">
        <v>7145</v>
      </c>
      <c r="I2363" t="s">
        <v>7146</v>
      </c>
      <c r="J2363" t="s">
        <v>161</v>
      </c>
      <c r="O2363" t="s">
        <v>7147</v>
      </c>
      <c r="P2363">
        <v>235.16</v>
      </c>
      <c r="Q2363">
        <v>237</v>
      </c>
      <c r="R2363">
        <v>232</v>
      </c>
      <c r="S2363">
        <v>233.43</v>
      </c>
      <c r="T2363">
        <v>234</v>
      </c>
      <c r="U2363">
        <v>235.16</v>
      </c>
      <c r="W2363">
        <v>233.43</v>
      </c>
      <c r="Z2363">
        <v>60257</v>
      </c>
      <c r="AA2363">
        <v>14065389.060000001</v>
      </c>
      <c r="AB2363">
        <v>2248</v>
      </c>
      <c r="AC2363" t="s">
        <v>42</v>
      </c>
      <c r="AD2363">
        <v>1</v>
      </c>
    </row>
    <row r="2364" spans="1:30">
      <c r="A2364" t="str">
        <f>CONCATENATE(I2364,J2364)</f>
        <v>OALEQ</v>
      </c>
      <c r="B2364" s="34">
        <v>46273</v>
      </c>
      <c r="C2364" s="34">
        <v>46273</v>
      </c>
      <c r="D2364" t="s">
        <v>35</v>
      </c>
      <c r="E2364" t="s">
        <v>36</v>
      </c>
      <c r="F2364" t="s">
        <v>37</v>
      </c>
      <c r="G2364">
        <v>10768</v>
      </c>
      <c r="H2364" t="s">
        <v>7148</v>
      </c>
      <c r="I2364" t="s">
        <v>7149</v>
      </c>
      <c r="J2364" t="s">
        <v>161</v>
      </c>
      <c r="O2364" t="s">
        <v>7150</v>
      </c>
      <c r="P2364">
        <v>530.25</v>
      </c>
      <c r="Q2364">
        <v>545.95000000000005</v>
      </c>
      <c r="R2364">
        <v>500</v>
      </c>
      <c r="S2364">
        <v>530.95000000000005</v>
      </c>
      <c r="T2364">
        <v>538</v>
      </c>
      <c r="U2364">
        <v>537.35</v>
      </c>
      <c r="W2364">
        <v>531.13</v>
      </c>
      <c r="Z2364">
        <v>79913</v>
      </c>
      <c r="AA2364">
        <v>41410147.950000003</v>
      </c>
      <c r="AB2364">
        <v>4193</v>
      </c>
      <c r="AC2364" t="s">
        <v>42</v>
      </c>
      <c r="AD2364">
        <v>1</v>
      </c>
    </row>
    <row r="2365" spans="1:30">
      <c r="A2365" t="str">
        <f>CONCATENATE(I2365,J2365)</f>
        <v>ORIRAILEQ</v>
      </c>
      <c r="B2365" s="34">
        <v>46273</v>
      </c>
      <c r="C2365" s="34">
        <v>46273</v>
      </c>
      <c r="D2365" t="s">
        <v>35</v>
      </c>
      <c r="E2365" t="s">
        <v>36</v>
      </c>
      <c r="F2365" t="s">
        <v>37</v>
      </c>
      <c r="G2365">
        <v>764818</v>
      </c>
      <c r="H2365" t="s">
        <v>7151</v>
      </c>
      <c r="I2365" t="s">
        <v>7152</v>
      </c>
      <c r="J2365" t="s">
        <v>161</v>
      </c>
      <c r="O2365" t="s">
        <v>7153</v>
      </c>
      <c r="P2365">
        <v>127.28</v>
      </c>
      <c r="Q2365">
        <v>130.99</v>
      </c>
      <c r="R2365">
        <v>126.7</v>
      </c>
      <c r="S2365">
        <v>128.38</v>
      </c>
      <c r="T2365">
        <v>129.5</v>
      </c>
      <c r="U2365">
        <v>127.28</v>
      </c>
      <c r="W2365">
        <v>128.22</v>
      </c>
      <c r="Z2365">
        <v>67864</v>
      </c>
      <c r="AA2365">
        <v>8731630.4199999999</v>
      </c>
      <c r="AB2365">
        <v>1212</v>
      </c>
      <c r="AC2365" t="s">
        <v>42</v>
      </c>
      <c r="AD2365">
        <v>1</v>
      </c>
    </row>
    <row r="2366" spans="1:30">
      <c r="A2366" t="str">
        <f>CONCATENATE(I2366,J2366)</f>
        <v>ORIENTALTLEQ</v>
      </c>
      <c r="B2366" s="34">
        <v>46273</v>
      </c>
      <c r="C2366" s="34">
        <v>46273</v>
      </c>
      <c r="D2366" t="s">
        <v>35</v>
      </c>
      <c r="E2366" t="s">
        <v>36</v>
      </c>
      <c r="F2366" t="s">
        <v>37</v>
      </c>
      <c r="G2366">
        <v>14346</v>
      </c>
      <c r="H2366" t="s">
        <v>7154</v>
      </c>
      <c r="I2366" t="s">
        <v>7155</v>
      </c>
      <c r="J2366" t="s">
        <v>161</v>
      </c>
      <c r="O2366" t="s">
        <v>7156</v>
      </c>
      <c r="P2366">
        <v>5.21</v>
      </c>
      <c r="Q2366">
        <v>5.21</v>
      </c>
      <c r="R2366">
        <v>5.03</v>
      </c>
      <c r="S2366">
        <v>5.1100000000000003</v>
      </c>
      <c r="T2366">
        <v>5.13</v>
      </c>
      <c r="U2366">
        <v>5.12</v>
      </c>
      <c r="W2366">
        <v>5.0999999999999996</v>
      </c>
      <c r="Z2366">
        <v>86230</v>
      </c>
      <c r="AA2366">
        <v>441169.5</v>
      </c>
      <c r="AB2366">
        <v>292</v>
      </c>
      <c r="AC2366" t="s">
        <v>42</v>
      </c>
      <c r="AD2366">
        <v>1</v>
      </c>
    </row>
    <row r="2367" spans="1:30">
      <c r="A2367" t="str">
        <f>CONCATENATE(I2367,J2367)</f>
        <v>ORISSAMINEEQ</v>
      </c>
      <c r="B2367" s="34">
        <v>46273</v>
      </c>
      <c r="C2367" s="34">
        <v>46273</v>
      </c>
      <c r="D2367" t="s">
        <v>35</v>
      </c>
      <c r="E2367" t="s">
        <v>36</v>
      </c>
      <c r="F2367" t="s">
        <v>37</v>
      </c>
      <c r="G2367">
        <v>19931</v>
      </c>
      <c r="H2367" t="s">
        <v>7157</v>
      </c>
      <c r="I2367" t="s">
        <v>7158</v>
      </c>
      <c r="J2367" t="s">
        <v>161</v>
      </c>
      <c r="O2367" t="s">
        <v>7159</v>
      </c>
      <c r="P2367">
        <v>4197.8999999999996</v>
      </c>
      <c r="Q2367">
        <v>4260</v>
      </c>
      <c r="R2367">
        <v>4178</v>
      </c>
      <c r="S2367">
        <v>4198.7</v>
      </c>
      <c r="T2367">
        <v>4191.3</v>
      </c>
      <c r="U2367">
        <v>4189.8999999999996</v>
      </c>
      <c r="W2367">
        <v>4198.9399999999996</v>
      </c>
      <c r="Z2367">
        <v>4495</v>
      </c>
      <c r="AA2367">
        <v>18968131.800000001</v>
      </c>
      <c r="AB2367">
        <v>1198</v>
      </c>
      <c r="AC2367" t="s">
        <v>42</v>
      </c>
      <c r="AD2367">
        <v>1</v>
      </c>
    </row>
    <row r="2368" spans="1:30">
      <c r="A2368" t="str">
        <f>CONCATENATE(I2368,J2368)</f>
        <v>ORKLAINDIAEQ</v>
      </c>
      <c r="B2368" s="34">
        <v>46273</v>
      </c>
      <c r="C2368" s="34">
        <v>46273</v>
      </c>
      <c r="D2368" t="s">
        <v>35</v>
      </c>
      <c r="E2368" t="s">
        <v>36</v>
      </c>
      <c r="F2368" t="s">
        <v>37</v>
      </c>
      <c r="G2368">
        <v>759569</v>
      </c>
      <c r="H2368" t="s">
        <v>7160</v>
      </c>
      <c r="I2368" t="s">
        <v>7161</v>
      </c>
      <c r="J2368" t="s">
        <v>161</v>
      </c>
      <c r="O2368" t="s">
        <v>7162</v>
      </c>
      <c r="P2368">
        <v>593</v>
      </c>
      <c r="Q2368">
        <v>597.54999999999995</v>
      </c>
      <c r="R2368">
        <v>588.04999999999995</v>
      </c>
      <c r="S2368">
        <v>589.85</v>
      </c>
      <c r="T2368">
        <v>588.65</v>
      </c>
      <c r="U2368">
        <v>590.70000000000005</v>
      </c>
      <c r="W2368">
        <v>589.80999999999995</v>
      </c>
      <c r="Z2368">
        <v>48821</v>
      </c>
      <c r="AA2368">
        <v>28995903.899999999</v>
      </c>
      <c r="AB2368">
        <v>4545</v>
      </c>
      <c r="AC2368" t="s">
        <v>42</v>
      </c>
      <c r="AD2368">
        <v>1</v>
      </c>
    </row>
    <row r="2369" spans="1:30">
      <c r="A2369" t="str">
        <f>CONCATENATE(I2369,J2369)</f>
        <v>ORTINGLOBEEQ</v>
      </c>
      <c r="B2369" s="34">
        <v>46273</v>
      </c>
      <c r="C2369" s="34">
        <v>46273</v>
      </c>
      <c r="D2369" t="s">
        <v>35</v>
      </c>
      <c r="E2369" t="s">
        <v>36</v>
      </c>
      <c r="F2369" t="s">
        <v>37</v>
      </c>
      <c r="G2369">
        <v>2979</v>
      </c>
      <c r="H2369" t="s">
        <v>7163</v>
      </c>
      <c r="I2369" t="s">
        <v>7164</v>
      </c>
      <c r="J2369" t="s">
        <v>161</v>
      </c>
      <c r="O2369" t="s">
        <v>7165</v>
      </c>
      <c r="P2369">
        <v>16.2</v>
      </c>
      <c r="Q2369">
        <v>16.2</v>
      </c>
      <c r="R2369">
        <v>15.32</v>
      </c>
      <c r="S2369">
        <v>15.93</v>
      </c>
      <c r="T2369">
        <v>16.100000000000001</v>
      </c>
      <c r="U2369">
        <v>15.44</v>
      </c>
      <c r="W2369">
        <v>15.93</v>
      </c>
      <c r="Z2369">
        <v>57526</v>
      </c>
      <c r="AA2369">
        <v>925640.11</v>
      </c>
      <c r="AB2369">
        <v>95</v>
      </c>
      <c r="AC2369" t="s">
        <v>42</v>
      </c>
      <c r="AD2369">
        <v>1</v>
      </c>
    </row>
    <row r="2370" spans="1:30">
      <c r="A2370" t="str">
        <f>CONCATENATE(I2370,J2370)</f>
        <v>OSELDEVICESM</v>
      </c>
      <c r="B2370" s="34">
        <v>46273</v>
      </c>
      <c r="C2370" s="34">
        <v>46273</v>
      </c>
      <c r="D2370" t="s">
        <v>35</v>
      </c>
      <c r="E2370" t="s">
        <v>36</v>
      </c>
      <c r="F2370" t="s">
        <v>37</v>
      </c>
      <c r="G2370">
        <v>25386</v>
      </c>
      <c r="H2370" t="s">
        <v>7166</v>
      </c>
      <c r="I2370" t="s">
        <v>7167</v>
      </c>
      <c r="J2370" t="s">
        <v>267</v>
      </c>
      <c r="O2370" t="s">
        <v>7168</v>
      </c>
      <c r="P2370">
        <v>367</v>
      </c>
      <c r="Q2370">
        <v>375</v>
      </c>
      <c r="R2370">
        <v>367</v>
      </c>
      <c r="S2370">
        <v>369.9</v>
      </c>
      <c r="T2370">
        <v>368.25</v>
      </c>
      <c r="U2370">
        <v>371.15</v>
      </c>
      <c r="W2370">
        <v>369.9</v>
      </c>
      <c r="Z2370">
        <v>22600</v>
      </c>
      <c r="AA2370">
        <v>8386720</v>
      </c>
      <c r="AB2370">
        <v>109</v>
      </c>
      <c r="AC2370" t="s">
        <v>42</v>
      </c>
      <c r="AD2370">
        <v>200</v>
      </c>
    </row>
    <row r="2371" spans="1:30">
      <c r="A2371" t="str">
        <f>CONCATENATE(I2371,J2371)</f>
        <v>OSIAHYPERBE</v>
      </c>
      <c r="B2371" s="34">
        <v>46273</v>
      </c>
      <c r="C2371" s="34">
        <v>46273</v>
      </c>
      <c r="D2371" t="s">
        <v>35</v>
      </c>
      <c r="E2371" t="s">
        <v>36</v>
      </c>
      <c r="F2371" t="s">
        <v>37</v>
      </c>
      <c r="G2371">
        <v>12643</v>
      </c>
      <c r="H2371" t="s">
        <v>7169</v>
      </c>
      <c r="I2371" t="s">
        <v>7170</v>
      </c>
      <c r="J2371" t="s">
        <v>183</v>
      </c>
      <c r="O2371" t="s">
        <v>7171</v>
      </c>
      <c r="P2371">
        <v>2.54</v>
      </c>
      <c r="Q2371">
        <v>2.54</v>
      </c>
      <c r="R2371">
        <v>2.39</v>
      </c>
      <c r="S2371">
        <v>2.44</v>
      </c>
      <c r="T2371">
        <v>2.4900000000000002</v>
      </c>
      <c r="U2371">
        <v>2.4500000000000002</v>
      </c>
      <c r="W2371">
        <v>2.44</v>
      </c>
      <c r="Z2371">
        <v>521891</v>
      </c>
      <c r="AA2371">
        <v>1281819.6000000001</v>
      </c>
      <c r="AB2371">
        <v>290</v>
      </c>
      <c r="AC2371" t="s">
        <v>42</v>
      </c>
      <c r="AD2371">
        <v>1</v>
      </c>
    </row>
    <row r="2372" spans="1:30">
      <c r="A2372" t="str">
        <f>CONCATENATE(I2372,J2372)</f>
        <v>OSWALAGROEQ</v>
      </c>
      <c r="B2372" s="34">
        <v>46273</v>
      </c>
      <c r="C2372" s="34">
        <v>46273</v>
      </c>
      <c r="D2372" t="s">
        <v>35</v>
      </c>
      <c r="E2372" t="s">
        <v>36</v>
      </c>
      <c r="F2372" t="s">
        <v>37</v>
      </c>
      <c r="G2372">
        <v>2514</v>
      </c>
      <c r="H2372" t="s">
        <v>7172</v>
      </c>
      <c r="I2372" t="s">
        <v>7173</v>
      </c>
      <c r="J2372" t="s">
        <v>161</v>
      </c>
      <c r="O2372" t="s">
        <v>7174</v>
      </c>
      <c r="P2372">
        <v>36.130000000000003</v>
      </c>
      <c r="Q2372">
        <v>36.85</v>
      </c>
      <c r="R2372">
        <v>35.64</v>
      </c>
      <c r="S2372">
        <v>36.21</v>
      </c>
      <c r="T2372">
        <v>36.4</v>
      </c>
      <c r="U2372">
        <v>36.61</v>
      </c>
      <c r="W2372">
        <v>36.21</v>
      </c>
      <c r="Z2372">
        <v>70117</v>
      </c>
      <c r="AA2372">
        <v>2530043.9300000002</v>
      </c>
      <c r="AB2372">
        <v>330</v>
      </c>
      <c r="AC2372" t="s">
        <v>42</v>
      </c>
      <c r="AD2372">
        <v>1</v>
      </c>
    </row>
    <row r="2373" spans="1:30">
      <c r="A2373" t="str">
        <f>CONCATENATE(I2373,J2373)</f>
        <v>OSWALGREENEQ</v>
      </c>
      <c r="B2373" s="34">
        <v>46273</v>
      </c>
      <c r="C2373" s="34">
        <v>46273</v>
      </c>
      <c r="D2373" t="s">
        <v>35</v>
      </c>
      <c r="E2373" t="s">
        <v>36</v>
      </c>
      <c r="F2373" t="s">
        <v>37</v>
      </c>
      <c r="G2373">
        <v>471</v>
      </c>
      <c r="H2373" t="s">
        <v>7175</v>
      </c>
      <c r="I2373" t="s">
        <v>7176</v>
      </c>
      <c r="J2373" t="s">
        <v>161</v>
      </c>
      <c r="O2373" t="s">
        <v>7177</v>
      </c>
      <c r="P2373">
        <v>20.38</v>
      </c>
      <c r="Q2373">
        <v>20.440000000000001</v>
      </c>
      <c r="R2373">
        <v>20.010000000000002</v>
      </c>
      <c r="S2373">
        <v>20.29</v>
      </c>
      <c r="T2373">
        <v>20.36</v>
      </c>
      <c r="U2373">
        <v>20.27</v>
      </c>
      <c r="W2373">
        <v>20.29</v>
      </c>
      <c r="Z2373">
        <v>100368</v>
      </c>
      <c r="AA2373">
        <v>2031894.93</v>
      </c>
      <c r="AB2373">
        <v>850</v>
      </c>
      <c r="AC2373" t="s">
        <v>42</v>
      </c>
      <c r="AD2373">
        <v>1</v>
      </c>
    </row>
    <row r="2374" spans="1:30">
      <c r="A2374" t="str">
        <f>CONCATENATE(I2374,J2374)</f>
        <v>OSWALPUMPSEQ</v>
      </c>
      <c r="B2374" s="34">
        <v>46273</v>
      </c>
      <c r="C2374" s="34">
        <v>46273</v>
      </c>
      <c r="D2374" t="s">
        <v>35</v>
      </c>
      <c r="E2374" t="s">
        <v>36</v>
      </c>
      <c r="F2374" t="s">
        <v>37</v>
      </c>
      <c r="G2374">
        <v>756802</v>
      </c>
      <c r="H2374" t="s">
        <v>7178</v>
      </c>
      <c r="I2374" t="s">
        <v>7179</v>
      </c>
      <c r="J2374" t="s">
        <v>161</v>
      </c>
      <c r="O2374" t="s">
        <v>7180</v>
      </c>
      <c r="P2374">
        <v>274</v>
      </c>
      <c r="Q2374">
        <v>277.7</v>
      </c>
      <c r="R2374">
        <v>272.05</v>
      </c>
      <c r="S2374">
        <v>274.8</v>
      </c>
      <c r="T2374">
        <v>276.45</v>
      </c>
      <c r="U2374">
        <v>274.39999999999998</v>
      </c>
      <c r="W2374">
        <v>274.79000000000002</v>
      </c>
      <c r="Z2374">
        <v>394684</v>
      </c>
      <c r="AA2374">
        <v>108372254.09999999</v>
      </c>
      <c r="AB2374">
        <v>6800</v>
      </c>
      <c r="AC2374" t="s">
        <v>42</v>
      </c>
      <c r="AD2374">
        <v>1</v>
      </c>
    </row>
    <row r="2375" spans="1:30">
      <c r="A2375" t="str">
        <f>CONCATENATE(I2375,J2375)</f>
        <v>OWAISST</v>
      </c>
      <c r="B2375" s="34">
        <v>46273</v>
      </c>
      <c r="C2375" s="34">
        <v>46273</v>
      </c>
      <c r="D2375" t="s">
        <v>35</v>
      </c>
      <c r="E2375" t="s">
        <v>36</v>
      </c>
      <c r="F2375" t="s">
        <v>37</v>
      </c>
      <c r="G2375">
        <v>22914</v>
      </c>
      <c r="H2375" t="s">
        <v>7181</v>
      </c>
      <c r="I2375" t="s">
        <v>7182</v>
      </c>
      <c r="J2375" t="s">
        <v>328</v>
      </c>
      <c r="O2375" t="s">
        <v>7183</v>
      </c>
      <c r="P2375">
        <v>79.45</v>
      </c>
      <c r="Q2375">
        <v>80.95</v>
      </c>
      <c r="R2375">
        <v>79.45</v>
      </c>
      <c r="S2375">
        <v>79.5</v>
      </c>
      <c r="T2375">
        <v>80.95</v>
      </c>
      <c r="U2375">
        <v>81.05</v>
      </c>
      <c r="W2375">
        <v>79.5</v>
      </c>
      <c r="Z2375">
        <v>12800</v>
      </c>
      <c r="AA2375">
        <v>1017210</v>
      </c>
      <c r="AB2375">
        <v>40</v>
      </c>
      <c r="AC2375" t="s">
        <v>42</v>
      </c>
      <c r="AD2375">
        <v>100</v>
      </c>
    </row>
    <row r="2376" spans="1:30">
      <c r="A2376" t="str">
        <f>CONCATENATE(I2376,J2376)</f>
        <v>PNGJLEQ</v>
      </c>
      <c r="B2376" s="34">
        <v>46273</v>
      </c>
      <c r="C2376" s="34">
        <v>46273</v>
      </c>
      <c r="D2376" t="s">
        <v>35</v>
      </c>
      <c r="E2376" t="s">
        <v>36</v>
      </c>
      <c r="F2376" t="s">
        <v>37</v>
      </c>
      <c r="G2376">
        <v>25312</v>
      </c>
      <c r="H2376" t="s">
        <v>7184</v>
      </c>
      <c r="I2376" t="s">
        <v>7185</v>
      </c>
      <c r="J2376" t="s">
        <v>161</v>
      </c>
      <c r="O2376" t="s">
        <v>7186</v>
      </c>
      <c r="P2376">
        <v>621.9</v>
      </c>
      <c r="Q2376">
        <v>632.45000000000005</v>
      </c>
      <c r="R2376">
        <v>615</v>
      </c>
      <c r="S2376">
        <v>627.45000000000005</v>
      </c>
      <c r="T2376">
        <v>627</v>
      </c>
      <c r="U2376">
        <v>618.95000000000005</v>
      </c>
      <c r="W2376">
        <v>627.47</v>
      </c>
      <c r="Z2376">
        <v>958774</v>
      </c>
      <c r="AA2376">
        <v>602016992</v>
      </c>
      <c r="AB2376">
        <v>77589</v>
      </c>
      <c r="AC2376" t="s">
        <v>42</v>
      </c>
      <c r="AD2376">
        <v>1</v>
      </c>
    </row>
    <row r="2377" spans="1:30">
      <c r="A2377" t="str">
        <f>CONCATENATE(I2377,J2377)</f>
        <v>POELEQ</v>
      </c>
      <c r="B2377" s="34">
        <v>46273</v>
      </c>
      <c r="C2377" s="34">
        <v>46273</v>
      </c>
      <c r="D2377" t="s">
        <v>35</v>
      </c>
      <c r="E2377" t="s">
        <v>36</v>
      </c>
      <c r="F2377" t="s">
        <v>37</v>
      </c>
      <c r="G2377">
        <v>764845</v>
      </c>
      <c r="H2377" t="s">
        <v>7187</v>
      </c>
      <c r="I2377" t="s">
        <v>7188</v>
      </c>
      <c r="J2377" t="s">
        <v>161</v>
      </c>
      <c r="O2377" t="s">
        <v>7189</v>
      </c>
      <c r="P2377">
        <v>149.5</v>
      </c>
      <c r="Q2377">
        <v>149.5</v>
      </c>
      <c r="R2377">
        <v>143.52000000000001</v>
      </c>
      <c r="S2377">
        <v>144.12</v>
      </c>
      <c r="T2377">
        <v>143.62</v>
      </c>
      <c r="U2377">
        <v>145.38999999999999</v>
      </c>
      <c r="W2377">
        <v>144.21</v>
      </c>
      <c r="Z2377">
        <v>16681</v>
      </c>
      <c r="AA2377">
        <v>2422465.4700000002</v>
      </c>
      <c r="AB2377">
        <v>443</v>
      </c>
      <c r="AC2377" t="s">
        <v>42</v>
      </c>
      <c r="AD2377">
        <v>1</v>
      </c>
    </row>
    <row r="2378" spans="1:30">
      <c r="A2378" t="str">
        <f>CONCATENATE(I2378,J2378)</f>
        <v>PSRAJST</v>
      </c>
      <c r="B2378" s="34">
        <v>46273</v>
      </c>
      <c r="C2378" s="34">
        <v>46273</v>
      </c>
      <c r="D2378" t="s">
        <v>35</v>
      </c>
      <c r="E2378" t="s">
        <v>36</v>
      </c>
      <c r="F2378" t="s">
        <v>37</v>
      </c>
      <c r="G2378">
        <v>29665</v>
      </c>
      <c r="H2378" t="s">
        <v>7190</v>
      </c>
      <c r="I2378" t="s">
        <v>7191</v>
      </c>
      <c r="J2378" t="s">
        <v>328</v>
      </c>
      <c r="O2378" t="s">
        <v>7192</v>
      </c>
      <c r="P2378">
        <v>85.85</v>
      </c>
      <c r="Q2378">
        <v>86.95</v>
      </c>
      <c r="R2378">
        <v>85.85</v>
      </c>
      <c r="S2378">
        <v>86.95</v>
      </c>
      <c r="T2378">
        <v>86.95</v>
      </c>
      <c r="U2378">
        <v>85.85</v>
      </c>
      <c r="W2378">
        <v>86.95</v>
      </c>
      <c r="Z2378">
        <v>7500</v>
      </c>
      <c r="AA2378">
        <v>646625</v>
      </c>
      <c r="AB2378">
        <v>3</v>
      </c>
      <c r="AC2378" t="s">
        <v>42</v>
      </c>
      <c r="AD2378">
        <v>2500</v>
      </c>
    </row>
    <row r="2379" spans="1:30">
      <c r="A2379" t="str">
        <f>CONCATENATE(I2379,J2379)</f>
        <v>PGHHEQ</v>
      </c>
      <c r="B2379" s="34">
        <v>46273</v>
      </c>
      <c r="C2379" s="34">
        <v>46273</v>
      </c>
      <c r="D2379" t="s">
        <v>35</v>
      </c>
      <c r="E2379" t="s">
        <v>36</v>
      </c>
      <c r="F2379" t="s">
        <v>37</v>
      </c>
      <c r="G2379">
        <v>2535</v>
      </c>
      <c r="H2379" t="s">
        <v>7193</v>
      </c>
      <c r="I2379" t="s">
        <v>7194</v>
      </c>
      <c r="J2379" t="s">
        <v>161</v>
      </c>
      <c r="O2379" t="s">
        <v>7195</v>
      </c>
      <c r="P2379">
        <v>7635</v>
      </c>
      <c r="Q2379">
        <v>7848</v>
      </c>
      <c r="R2379">
        <v>7562</v>
      </c>
      <c r="S2379">
        <v>7736</v>
      </c>
      <c r="T2379">
        <v>7749</v>
      </c>
      <c r="U2379">
        <v>7634.5</v>
      </c>
      <c r="W2379">
        <v>7736.49</v>
      </c>
      <c r="Z2379">
        <v>28369</v>
      </c>
      <c r="AA2379">
        <v>218464022.5</v>
      </c>
      <c r="AB2379">
        <v>6904</v>
      </c>
      <c r="AC2379" t="s">
        <v>42</v>
      </c>
      <c r="AD2379">
        <v>1</v>
      </c>
    </row>
    <row r="2380" spans="1:30">
      <c r="A2380" t="str">
        <f>CONCATENATE(I2380,J2380)</f>
        <v>PROPEQUITYSM</v>
      </c>
      <c r="B2380" s="34">
        <v>46273</v>
      </c>
      <c r="C2380" s="34">
        <v>46273</v>
      </c>
      <c r="D2380" t="s">
        <v>35</v>
      </c>
      <c r="E2380" t="s">
        <v>36</v>
      </c>
      <c r="F2380" t="s">
        <v>37</v>
      </c>
      <c r="G2380">
        <v>8735</v>
      </c>
      <c r="H2380" t="s">
        <v>7196</v>
      </c>
      <c r="I2380" t="s">
        <v>7197</v>
      </c>
      <c r="J2380" t="s">
        <v>267</v>
      </c>
      <c r="O2380" t="s">
        <v>7198</v>
      </c>
      <c r="P2380">
        <v>228.65</v>
      </c>
      <c r="Q2380">
        <v>228.65</v>
      </c>
      <c r="R2380">
        <v>225</v>
      </c>
      <c r="S2380">
        <v>225</v>
      </c>
      <c r="T2380">
        <v>225</v>
      </c>
      <c r="U2380">
        <v>225</v>
      </c>
      <c r="W2380">
        <v>225</v>
      </c>
      <c r="Z2380">
        <v>7200</v>
      </c>
      <c r="AA2380">
        <v>1643700</v>
      </c>
      <c r="AB2380">
        <v>8</v>
      </c>
      <c r="AC2380" t="s">
        <v>42</v>
      </c>
      <c r="AD2380">
        <v>600</v>
      </c>
    </row>
    <row r="2381" spans="1:30">
      <c r="A2381" t="str">
        <f>CONCATENATE(I2381,J2381)</f>
        <v>PACEDIGITKEQ</v>
      </c>
      <c r="B2381" s="34">
        <v>46273</v>
      </c>
      <c r="C2381" s="34">
        <v>46273</v>
      </c>
      <c r="D2381" t="s">
        <v>35</v>
      </c>
      <c r="E2381" t="s">
        <v>36</v>
      </c>
      <c r="F2381" t="s">
        <v>37</v>
      </c>
      <c r="G2381">
        <v>759342</v>
      </c>
      <c r="H2381" t="s">
        <v>7199</v>
      </c>
      <c r="I2381" t="s">
        <v>7200</v>
      </c>
      <c r="J2381" t="s">
        <v>161</v>
      </c>
      <c r="O2381" t="s">
        <v>7201</v>
      </c>
      <c r="P2381">
        <v>162</v>
      </c>
      <c r="Q2381">
        <v>164</v>
      </c>
      <c r="R2381">
        <v>156.72999999999999</v>
      </c>
      <c r="S2381">
        <v>160.31</v>
      </c>
      <c r="T2381">
        <v>161.25</v>
      </c>
      <c r="U2381">
        <v>161.09</v>
      </c>
      <c r="W2381">
        <v>160.31</v>
      </c>
      <c r="Z2381">
        <v>946446</v>
      </c>
      <c r="AA2381">
        <v>153175754.46000001</v>
      </c>
      <c r="AB2381">
        <v>12349</v>
      </c>
      <c r="AC2381" t="s">
        <v>42</v>
      </c>
      <c r="AD2381">
        <v>1</v>
      </c>
    </row>
    <row r="2382" spans="1:30">
      <c r="A2382" t="str">
        <f>CONCATENATE(I2382,J2382)</f>
        <v>PACIFICIEQ</v>
      </c>
      <c r="B2382" s="34">
        <v>46273</v>
      </c>
      <c r="C2382" s="34">
        <v>46273</v>
      </c>
      <c r="D2382" t="s">
        <v>35</v>
      </c>
      <c r="E2382" t="s">
        <v>36</v>
      </c>
      <c r="F2382" t="s">
        <v>37</v>
      </c>
      <c r="G2382">
        <v>764823</v>
      </c>
      <c r="H2382" t="s">
        <v>7202</v>
      </c>
      <c r="I2382" t="s">
        <v>7203</v>
      </c>
      <c r="J2382" t="s">
        <v>161</v>
      </c>
      <c r="O2382" t="s">
        <v>7204</v>
      </c>
      <c r="P2382">
        <v>140</v>
      </c>
      <c r="Q2382">
        <v>140</v>
      </c>
      <c r="R2382">
        <v>140</v>
      </c>
      <c r="S2382">
        <v>140</v>
      </c>
      <c r="T2382">
        <v>140</v>
      </c>
      <c r="U2382">
        <v>140</v>
      </c>
      <c r="W2382">
        <v>139.69999999999999</v>
      </c>
      <c r="Z2382">
        <v>4</v>
      </c>
      <c r="AA2382">
        <v>560</v>
      </c>
      <c r="AB2382">
        <v>2</v>
      </c>
      <c r="AC2382" t="s">
        <v>42</v>
      </c>
      <c r="AD2382">
        <v>1</v>
      </c>
    </row>
    <row r="2383" spans="1:30">
      <c r="A2383" t="str">
        <f>CONCATENATE(I2383,J2383)</f>
        <v>PAGEINDEQ</v>
      </c>
      <c r="B2383" s="34">
        <v>46273</v>
      </c>
      <c r="C2383" s="34">
        <v>46273</v>
      </c>
      <c r="D2383" t="s">
        <v>35</v>
      </c>
      <c r="E2383" t="s">
        <v>36</v>
      </c>
      <c r="F2383" t="s">
        <v>37</v>
      </c>
      <c r="G2383">
        <v>14413</v>
      </c>
      <c r="H2383" t="s">
        <v>7205</v>
      </c>
      <c r="I2383" t="s">
        <v>7206</v>
      </c>
      <c r="J2383" t="s">
        <v>161</v>
      </c>
      <c r="O2383" t="s">
        <v>7207</v>
      </c>
      <c r="P2383">
        <v>35700</v>
      </c>
      <c r="Q2383">
        <v>36540</v>
      </c>
      <c r="R2383">
        <v>35505</v>
      </c>
      <c r="S2383">
        <v>35915</v>
      </c>
      <c r="T2383">
        <v>35915</v>
      </c>
      <c r="U2383">
        <v>35825</v>
      </c>
      <c r="W2383">
        <v>35915.99</v>
      </c>
      <c r="Z2383">
        <v>24215</v>
      </c>
      <c r="AA2383">
        <v>873196055</v>
      </c>
      <c r="AB2383">
        <v>8593</v>
      </c>
      <c r="AC2383" t="s">
        <v>42</v>
      </c>
      <c r="AD2383">
        <v>1</v>
      </c>
    </row>
    <row r="2384" spans="1:30">
      <c r="A2384" t="str">
        <f>CONCATENATE(I2384,J2384)</f>
        <v>PAISALOEQ</v>
      </c>
      <c r="B2384" s="34">
        <v>46273</v>
      </c>
      <c r="C2384" s="34">
        <v>46273</v>
      </c>
      <c r="D2384" t="s">
        <v>35</v>
      </c>
      <c r="E2384" t="s">
        <v>36</v>
      </c>
      <c r="F2384" t="s">
        <v>37</v>
      </c>
      <c r="G2384">
        <v>25468</v>
      </c>
      <c r="H2384" t="s">
        <v>7208</v>
      </c>
      <c r="I2384" t="s">
        <v>7209</v>
      </c>
      <c r="J2384" t="s">
        <v>161</v>
      </c>
      <c r="O2384" t="s">
        <v>7210</v>
      </c>
      <c r="P2384">
        <v>78.760000000000005</v>
      </c>
      <c r="Q2384">
        <v>78.849999999999994</v>
      </c>
      <c r="R2384">
        <v>76.709999999999994</v>
      </c>
      <c r="S2384">
        <v>77.72</v>
      </c>
      <c r="T2384">
        <v>77.22</v>
      </c>
      <c r="U2384">
        <v>79.41</v>
      </c>
      <c r="W2384">
        <v>77.72</v>
      </c>
      <c r="Z2384">
        <v>10883081</v>
      </c>
      <c r="AA2384">
        <v>846984966.09000003</v>
      </c>
      <c r="AB2384">
        <v>30017</v>
      </c>
      <c r="AC2384" t="s">
        <v>42</v>
      </c>
      <c r="AD2384">
        <v>1</v>
      </c>
    </row>
    <row r="2385" spans="1:30">
      <c r="A2385" t="str">
        <f>CONCATENATE(I2385,J2385)</f>
        <v>PAKKAEQ</v>
      </c>
      <c r="B2385" s="34">
        <v>46273</v>
      </c>
      <c r="C2385" s="34">
        <v>46273</v>
      </c>
      <c r="D2385" t="s">
        <v>35</v>
      </c>
      <c r="E2385" t="s">
        <v>36</v>
      </c>
      <c r="F2385" t="s">
        <v>37</v>
      </c>
      <c r="G2385">
        <v>17197</v>
      </c>
      <c r="H2385" t="s">
        <v>7211</v>
      </c>
      <c r="I2385" t="s">
        <v>7212</v>
      </c>
      <c r="J2385" t="s">
        <v>161</v>
      </c>
      <c r="O2385" t="s">
        <v>7213</v>
      </c>
      <c r="P2385">
        <v>77.010000000000005</v>
      </c>
      <c r="Q2385">
        <v>80.099999999999994</v>
      </c>
      <c r="R2385">
        <v>77.010000000000005</v>
      </c>
      <c r="S2385">
        <v>78.540000000000006</v>
      </c>
      <c r="T2385">
        <v>78.88</v>
      </c>
      <c r="U2385">
        <v>77.22</v>
      </c>
      <c r="W2385">
        <v>78.61</v>
      </c>
      <c r="Z2385">
        <v>229029</v>
      </c>
      <c r="AA2385">
        <v>17993058.219999999</v>
      </c>
      <c r="AB2385">
        <v>4255</v>
      </c>
      <c r="AC2385" t="s">
        <v>42</v>
      </c>
      <c r="AD2385">
        <v>1</v>
      </c>
    </row>
    <row r="2386" spans="1:30">
      <c r="A2386" t="str">
        <f>CONCATENATE(I2386,J2386)</f>
        <v>PALASHSECUEQ</v>
      </c>
      <c r="B2386" s="34">
        <v>46273</v>
      </c>
      <c r="C2386" s="34">
        <v>46273</v>
      </c>
      <c r="D2386" t="s">
        <v>35</v>
      </c>
      <c r="E2386" t="s">
        <v>36</v>
      </c>
      <c r="F2386" t="s">
        <v>37</v>
      </c>
      <c r="G2386">
        <v>21383</v>
      </c>
      <c r="H2386" t="s">
        <v>7214</v>
      </c>
      <c r="I2386" t="s">
        <v>7215</v>
      </c>
      <c r="J2386" t="s">
        <v>161</v>
      </c>
      <c r="O2386" t="s">
        <v>7216</v>
      </c>
      <c r="P2386">
        <v>90.98</v>
      </c>
      <c r="Q2386">
        <v>91.9</v>
      </c>
      <c r="R2386">
        <v>88</v>
      </c>
      <c r="S2386">
        <v>88.14</v>
      </c>
      <c r="T2386">
        <v>88</v>
      </c>
      <c r="U2386">
        <v>89.2</v>
      </c>
      <c r="W2386">
        <v>88.14</v>
      </c>
      <c r="Z2386">
        <v>285</v>
      </c>
      <c r="AA2386">
        <v>25688.01</v>
      </c>
      <c r="AB2386">
        <v>12</v>
      </c>
      <c r="AC2386" t="s">
        <v>42</v>
      </c>
      <c r="AD2386">
        <v>1</v>
      </c>
    </row>
    <row r="2387" spans="1:30">
      <c r="A2387" t="str">
        <f>CONCATENATE(I2387,J2387)</f>
        <v>PALREDTECEQ</v>
      </c>
      <c r="B2387" s="34">
        <v>46273</v>
      </c>
      <c r="C2387" s="34">
        <v>46273</v>
      </c>
      <c r="D2387" t="s">
        <v>35</v>
      </c>
      <c r="E2387" t="s">
        <v>36</v>
      </c>
      <c r="F2387" t="s">
        <v>37</v>
      </c>
      <c r="G2387">
        <v>17062</v>
      </c>
      <c r="H2387" t="s">
        <v>7217</v>
      </c>
      <c r="I2387" t="s">
        <v>7218</v>
      </c>
      <c r="J2387" t="s">
        <v>161</v>
      </c>
      <c r="O2387" t="s">
        <v>7219</v>
      </c>
      <c r="P2387">
        <v>55.84</v>
      </c>
      <c r="Q2387">
        <v>56</v>
      </c>
      <c r="R2387">
        <v>53.32</v>
      </c>
      <c r="S2387">
        <v>53.32</v>
      </c>
      <c r="T2387">
        <v>53.32</v>
      </c>
      <c r="U2387">
        <v>56.12</v>
      </c>
      <c r="W2387">
        <v>52.44</v>
      </c>
      <c r="Z2387">
        <v>6675</v>
      </c>
      <c r="AA2387">
        <v>371030.42</v>
      </c>
      <c r="AB2387">
        <v>35</v>
      </c>
      <c r="AC2387" t="s">
        <v>42</v>
      </c>
      <c r="AD2387">
        <v>1</v>
      </c>
    </row>
    <row r="2388" spans="1:30">
      <c r="A2388" t="str">
        <f>CONCATENATE(I2388,J2388)</f>
        <v>PANACEABIOEQ</v>
      </c>
      <c r="B2388" s="34">
        <v>46273</v>
      </c>
      <c r="C2388" s="34">
        <v>46273</v>
      </c>
      <c r="D2388" t="s">
        <v>35</v>
      </c>
      <c r="E2388" t="s">
        <v>36</v>
      </c>
      <c r="F2388" t="s">
        <v>37</v>
      </c>
      <c r="G2388">
        <v>4055</v>
      </c>
      <c r="H2388" t="s">
        <v>7220</v>
      </c>
      <c r="I2388" t="s">
        <v>7221</v>
      </c>
      <c r="J2388" t="s">
        <v>161</v>
      </c>
      <c r="O2388" t="s">
        <v>7222</v>
      </c>
      <c r="P2388">
        <v>379.1</v>
      </c>
      <c r="Q2388">
        <v>398</v>
      </c>
      <c r="R2388">
        <v>377.6</v>
      </c>
      <c r="S2388">
        <v>391.85</v>
      </c>
      <c r="T2388">
        <v>394</v>
      </c>
      <c r="U2388">
        <v>378.4</v>
      </c>
      <c r="W2388">
        <v>391.97</v>
      </c>
      <c r="Z2388">
        <v>101506</v>
      </c>
      <c r="AA2388">
        <v>39263557.450000003</v>
      </c>
      <c r="AB2388">
        <v>2819</v>
      </c>
      <c r="AC2388" t="s">
        <v>42</v>
      </c>
      <c r="AD2388">
        <v>1</v>
      </c>
    </row>
    <row r="2389" spans="1:30">
      <c r="A2389" t="str">
        <f>CONCATENATE(I2389,J2389)</f>
        <v>PANACHEBE</v>
      </c>
      <c r="B2389" s="34">
        <v>46273</v>
      </c>
      <c r="C2389" s="34">
        <v>46273</v>
      </c>
      <c r="D2389" t="s">
        <v>35</v>
      </c>
      <c r="E2389" t="s">
        <v>36</v>
      </c>
      <c r="F2389" t="s">
        <v>37</v>
      </c>
      <c r="G2389">
        <v>16355</v>
      </c>
      <c r="H2389" t="s">
        <v>7223</v>
      </c>
      <c r="I2389" t="s">
        <v>7224</v>
      </c>
      <c r="J2389" t="s">
        <v>183</v>
      </c>
      <c r="O2389" t="s">
        <v>7225</v>
      </c>
      <c r="P2389">
        <v>526</v>
      </c>
      <c r="Q2389">
        <v>526</v>
      </c>
      <c r="R2389">
        <v>515.6</v>
      </c>
      <c r="S2389">
        <v>515.6</v>
      </c>
      <c r="T2389">
        <v>515.6</v>
      </c>
      <c r="U2389">
        <v>526</v>
      </c>
      <c r="W2389">
        <v>515.6</v>
      </c>
      <c r="Z2389">
        <v>4808</v>
      </c>
      <c r="AA2389">
        <v>2515710.4</v>
      </c>
      <c r="AB2389">
        <v>54</v>
      </c>
      <c r="AC2389" t="s">
        <v>42</v>
      </c>
      <c r="AD2389">
        <v>1</v>
      </c>
    </row>
    <row r="2390" spans="1:30">
      <c r="A2390" t="str">
        <f>CONCATENATE(I2390,J2390)</f>
        <v>PANAMAPETEQ</v>
      </c>
      <c r="B2390" s="34">
        <v>46273</v>
      </c>
      <c r="C2390" s="34">
        <v>46273</v>
      </c>
      <c r="D2390" t="s">
        <v>35</v>
      </c>
      <c r="E2390" t="s">
        <v>36</v>
      </c>
      <c r="F2390" t="s">
        <v>37</v>
      </c>
      <c r="G2390">
        <v>25392</v>
      </c>
      <c r="H2390" t="s">
        <v>7226</v>
      </c>
      <c r="I2390" t="s">
        <v>7227</v>
      </c>
      <c r="J2390" t="s">
        <v>161</v>
      </c>
      <c r="O2390" t="s">
        <v>7228</v>
      </c>
      <c r="P2390">
        <v>481.2</v>
      </c>
      <c r="Q2390">
        <v>489.1</v>
      </c>
      <c r="R2390">
        <v>473</v>
      </c>
      <c r="S2390">
        <v>483.15</v>
      </c>
      <c r="T2390">
        <v>483.6</v>
      </c>
      <c r="U2390">
        <v>481.35</v>
      </c>
      <c r="W2390">
        <v>483.15</v>
      </c>
      <c r="Z2390">
        <v>160244</v>
      </c>
      <c r="AA2390">
        <v>77138678.950000003</v>
      </c>
      <c r="AB2390">
        <v>5078</v>
      </c>
      <c r="AC2390" t="s">
        <v>42</v>
      </c>
      <c r="AD2390">
        <v>1</v>
      </c>
    </row>
    <row r="2391" spans="1:30">
      <c r="A2391" t="str">
        <f>CONCATENATE(I2391,J2391)</f>
        <v>PANCHMAHQEQ</v>
      </c>
      <c r="B2391" s="34">
        <v>46273</v>
      </c>
      <c r="C2391" s="34">
        <v>46273</v>
      </c>
      <c r="D2391" t="s">
        <v>35</v>
      </c>
      <c r="E2391" t="s">
        <v>36</v>
      </c>
      <c r="F2391" t="s">
        <v>37</v>
      </c>
      <c r="G2391">
        <v>764828</v>
      </c>
      <c r="H2391" t="s">
        <v>7229</v>
      </c>
      <c r="I2391" t="s">
        <v>7230</v>
      </c>
      <c r="J2391" t="s">
        <v>161</v>
      </c>
      <c r="O2391" t="s">
        <v>7231</v>
      </c>
      <c r="P2391">
        <v>299.45</v>
      </c>
      <c r="Q2391">
        <v>318</v>
      </c>
      <c r="R2391">
        <v>253.95</v>
      </c>
      <c r="S2391">
        <v>290</v>
      </c>
      <c r="T2391">
        <v>290</v>
      </c>
      <c r="U2391">
        <v>296.85000000000002</v>
      </c>
      <c r="W2391">
        <v>290</v>
      </c>
      <c r="Z2391">
        <v>394</v>
      </c>
      <c r="AA2391">
        <v>112135.8</v>
      </c>
      <c r="AB2391">
        <v>44</v>
      </c>
      <c r="AC2391" t="s">
        <v>42</v>
      </c>
      <c r="AD2391">
        <v>1</v>
      </c>
    </row>
    <row r="2392" spans="1:30">
      <c r="A2392" t="str">
        <f>CONCATENATE(I2392,J2392)</f>
        <v>PANORAMAEQ</v>
      </c>
      <c r="B2392" s="34">
        <v>46273</v>
      </c>
      <c r="C2392" s="34">
        <v>46273</v>
      </c>
      <c r="D2392" t="s">
        <v>35</v>
      </c>
      <c r="E2392" t="s">
        <v>36</v>
      </c>
      <c r="F2392" t="s">
        <v>37</v>
      </c>
      <c r="G2392">
        <v>765140</v>
      </c>
      <c r="H2392" t="s">
        <v>7232</v>
      </c>
      <c r="I2392" t="s">
        <v>7233</v>
      </c>
      <c r="J2392" t="s">
        <v>161</v>
      </c>
      <c r="O2392" t="s">
        <v>7234</v>
      </c>
      <c r="P2392">
        <v>49.41</v>
      </c>
      <c r="Q2392">
        <v>50.04</v>
      </c>
      <c r="R2392">
        <v>46.26</v>
      </c>
      <c r="S2392">
        <v>48.38</v>
      </c>
      <c r="T2392">
        <v>48.2</v>
      </c>
      <c r="U2392">
        <v>48.87</v>
      </c>
      <c r="W2392">
        <v>48.35</v>
      </c>
      <c r="Z2392">
        <v>288476</v>
      </c>
      <c r="AA2392">
        <v>14183882.08</v>
      </c>
      <c r="AB2392">
        <v>967</v>
      </c>
      <c r="AC2392" t="s">
        <v>42</v>
      </c>
      <c r="AD2392">
        <v>1</v>
      </c>
    </row>
    <row r="2393" spans="1:30">
      <c r="A2393" t="str">
        <f>CONCATENATE(I2393,J2393)</f>
        <v>PANSARIEQ</v>
      </c>
      <c r="B2393" s="34">
        <v>46273</v>
      </c>
      <c r="C2393" s="34">
        <v>46273</v>
      </c>
      <c r="D2393" t="s">
        <v>35</v>
      </c>
      <c r="E2393" t="s">
        <v>36</v>
      </c>
      <c r="F2393" t="s">
        <v>37</v>
      </c>
      <c r="G2393">
        <v>6141</v>
      </c>
      <c r="H2393" t="s">
        <v>7235</v>
      </c>
      <c r="I2393" t="s">
        <v>7236</v>
      </c>
      <c r="J2393" t="s">
        <v>161</v>
      </c>
      <c r="O2393" t="s">
        <v>7237</v>
      </c>
      <c r="P2393">
        <v>301.2</v>
      </c>
      <c r="Q2393">
        <v>301.2</v>
      </c>
      <c r="R2393">
        <v>290</v>
      </c>
      <c r="S2393">
        <v>290.8</v>
      </c>
      <c r="T2393">
        <v>290.5</v>
      </c>
      <c r="U2393">
        <v>300.45</v>
      </c>
      <c r="W2393">
        <v>290.8</v>
      </c>
      <c r="Z2393">
        <v>2968</v>
      </c>
      <c r="AA2393">
        <v>886566.40000000002</v>
      </c>
      <c r="AB2393">
        <v>28</v>
      </c>
      <c r="AC2393" t="s">
        <v>42</v>
      </c>
      <c r="AD2393">
        <v>1</v>
      </c>
    </row>
    <row r="2394" spans="1:30">
      <c r="A2394" t="str">
        <f>CONCATENATE(I2394,J2394)</f>
        <v>PARBE</v>
      </c>
      <c r="B2394" s="34">
        <v>46273</v>
      </c>
      <c r="C2394" s="34">
        <v>46273</v>
      </c>
      <c r="D2394" t="s">
        <v>35</v>
      </c>
      <c r="E2394" t="s">
        <v>36</v>
      </c>
      <c r="F2394" t="s">
        <v>37</v>
      </c>
      <c r="G2394">
        <v>5637</v>
      </c>
      <c r="H2394" t="s">
        <v>7238</v>
      </c>
      <c r="I2394" t="s">
        <v>7239</v>
      </c>
      <c r="J2394" t="s">
        <v>183</v>
      </c>
      <c r="O2394" t="s">
        <v>7240</v>
      </c>
      <c r="P2394">
        <v>141.44</v>
      </c>
      <c r="Q2394">
        <v>141.44</v>
      </c>
      <c r="R2394">
        <v>141.44</v>
      </c>
      <c r="S2394">
        <v>141.44</v>
      </c>
      <c r="T2394">
        <v>141.44</v>
      </c>
      <c r="U2394">
        <v>148.88</v>
      </c>
      <c r="W2394">
        <v>141.44</v>
      </c>
      <c r="Z2394">
        <v>13695</v>
      </c>
      <c r="AA2394">
        <v>1937020.8</v>
      </c>
      <c r="AB2394">
        <v>133</v>
      </c>
      <c r="AC2394" t="s">
        <v>42</v>
      </c>
      <c r="AD2394">
        <v>1</v>
      </c>
    </row>
    <row r="2395" spans="1:30">
      <c r="A2395" t="str">
        <f>CONCATENATE(I2395,J2395)</f>
        <v>PARADEEPEQ</v>
      </c>
      <c r="B2395" s="34">
        <v>46273</v>
      </c>
      <c r="C2395" s="34">
        <v>46273</v>
      </c>
      <c r="D2395" t="s">
        <v>35</v>
      </c>
      <c r="E2395" t="s">
        <v>36</v>
      </c>
      <c r="F2395" t="s">
        <v>37</v>
      </c>
      <c r="G2395">
        <v>9741</v>
      </c>
      <c r="H2395" t="s">
        <v>7241</v>
      </c>
      <c r="I2395" t="s">
        <v>7242</v>
      </c>
      <c r="J2395" t="s">
        <v>161</v>
      </c>
      <c r="O2395" t="s">
        <v>7243</v>
      </c>
      <c r="P2395">
        <v>158.69</v>
      </c>
      <c r="Q2395">
        <v>166.5</v>
      </c>
      <c r="R2395">
        <v>157.97999999999999</v>
      </c>
      <c r="S2395">
        <v>159.79</v>
      </c>
      <c r="T2395">
        <v>160.1</v>
      </c>
      <c r="U2395">
        <v>157.97999999999999</v>
      </c>
      <c r="W2395">
        <v>159.78</v>
      </c>
      <c r="Z2395">
        <v>8713293</v>
      </c>
      <c r="AA2395">
        <v>1420094402.1600001</v>
      </c>
      <c r="AB2395">
        <v>83526</v>
      </c>
      <c r="AC2395" t="s">
        <v>42</v>
      </c>
      <c r="AD2395">
        <v>1</v>
      </c>
    </row>
    <row r="2396" spans="1:30">
      <c r="A2396" t="str">
        <f>CONCATENATE(I2396,J2396)</f>
        <v>PARAGMILKEQ</v>
      </c>
      <c r="B2396" s="34">
        <v>46273</v>
      </c>
      <c r="C2396" s="34">
        <v>46273</v>
      </c>
      <c r="D2396" t="s">
        <v>35</v>
      </c>
      <c r="E2396" t="s">
        <v>36</v>
      </c>
      <c r="F2396" t="s">
        <v>37</v>
      </c>
      <c r="G2396">
        <v>17130</v>
      </c>
      <c r="H2396" t="s">
        <v>7244</v>
      </c>
      <c r="I2396" t="s">
        <v>7245</v>
      </c>
      <c r="J2396" t="s">
        <v>161</v>
      </c>
      <c r="O2396" t="s">
        <v>7246</v>
      </c>
      <c r="P2396">
        <v>251.6</v>
      </c>
      <c r="Q2396">
        <v>256.5</v>
      </c>
      <c r="R2396">
        <v>246.3</v>
      </c>
      <c r="S2396">
        <v>254.4</v>
      </c>
      <c r="T2396">
        <v>255</v>
      </c>
      <c r="U2396">
        <v>250.25</v>
      </c>
      <c r="W2396">
        <v>254.41</v>
      </c>
      <c r="Z2396">
        <v>917296</v>
      </c>
      <c r="AA2396">
        <v>231924087.55000001</v>
      </c>
      <c r="AB2396">
        <v>14766</v>
      </c>
      <c r="AC2396" t="s">
        <v>42</v>
      </c>
      <c r="AD2396">
        <v>1</v>
      </c>
    </row>
    <row r="2397" spans="1:30">
      <c r="A2397" t="str">
        <f>CONCATENATE(I2397,J2397)</f>
        <v>PARAGONSM</v>
      </c>
      <c r="B2397" s="34">
        <v>46273</v>
      </c>
      <c r="C2397" s="34">
        <v>46273</v>
      </c>
      <c r="D2397" t="s">
        <v>35</v>
      </c>
      <c r="E2397" t="s">
        <v>36</v>
      </c>
      <c r="F2397" t="s">
        <v>37</v>
      </c>
      <c r="G2397">
        <v>19779</v>
      </c>
      <c r="H2397" t="s">
        <v>7247</v>
      </c>
      <c r="I2397" t="s">
        <v>7248</v>
      </c>
      <c r="J2397" t="s">
        <v>267</v>
      </c>
      <c r="O2397" t="s">
        <v>7249</v>
      </c>
      <c r="P2397">
        <v>57.05</v>
      </c>
      <c r="Q2397">
        <v>64.900000000000006</v>
      </c>
      <c r="R2397">
        <v>57.05</v>
      </c>
      <c r="S2397">
        <v>61.45</v>
      </c>
      <c r="T2397">
        <v>62</v>
      </c>
      <c r="U2397">
        <v>56.9</v>
      </c>
      <c r="W2397">
        <v>61.45</v>
      </c>
      <c r="Z2397">
        <v>142800</v>
      </c>
      <c r="AA2397">
        <v>8845140</v>
      </c>
      <c r="AB2397">
        <v>119</v>
      </c>
      <c r="AC2397" t="s">
        <v>42</v>
      </c>
      <c r="AD2397">
        <v>1200</v>
      </c>
    </row>
    <row r="2398" spans="1:30">
      <c r="A2398" t="str">
        <f>CONCATENATE(I2398,J2398)</f>
        <v>PARACABLESEQ</v>
      </c>
      <c r="B2398" s="34">
        <v>46273</v>
      </c>
      <c r="C2398" s="34">
        <v>46273</v>
      </c>
      <c r="D2398" t="s">
        <v>35</v>
      </c>
      <c r="E2398" t="s">
        <v>36</v>
      </c>
      <c r="F2398" t="s">
        <v>37</v>
      </c>
      <c r="G2398">
        <v>13951</v>
      </c>
      <c r="H2398" t="s">
        <v>7250</v>
      </c>
      <c r="I2398" t="s">
        <v>7251</v>
      </c>
      <c r="J2398" t="s">
        <v>161</v>
      </c>
      <c r="O2398" t="s">
        <v>7252</v>
      </c>
      <c r="P2398">
        <v>65.56</v>
      </c>
      <c r="Q2398">
        <v>69.5</v>
      </c>
      <c r="R2398">
        <v>64.849999999999994</v>
      </c>
      <c r="S2398">
        <v>69.05</v>
      </c>
      <c r="T2398">
        <v>69.2</v>
      </c>
      <c r="U2398">
        <v>65.61</v>
      </c>
      <c r="W2398">
        <v>69.05</v>
      </c>
      <c r="Z2398">
        <v>4828599</v>
      </c>
      <c r="AA2398">
        <v>329168779</v>
      </c>
      <c r="AB2398">
        <v>22412</v>
      </c>
      <c r="AC2398" t="s">
        <v>42</v>
      </c>
      <c r="AD2398">
        <v>1</v>
      </c>
    </row>
    <row r="2399" spans="1:30">
      <c r="A2399" t="str">
        <f>CONCATENATE(I2399,J2399)</f>
        <v>PARAMOUNTSM</v>
      </c>
      <c r="B2399" s="34">
        <v>46273</v>
      </c>
      <c r="C2399" s="34">
        <v>46273</v>
      </c>
      <c r="D2399" t="s">
        <v>35</v>
      </c>
      <c r="E2399" t="s">
        <v>36</v>
      </c>
      <c r="F2399" t="s">
        <v>37</v>
      </c>
      <c r="G2399">
        <v>25716</v>
      </c>
      <c r="H2399" t="s">
        <v>7253</v>
      </c>
      <c r="I2399" t="s">
        <v>7254</v>
      </c>
      <c r="J2399" t="s">
        <v>267</v>
      </c>
      <c r="O2399" t="s">
        <v>7255</v>
      </c>
      <c r="P2399">
        <v>40.549999999999997</v>
      </c>
      <c r="Q2399">
        <v>40.549999999999997</v>
      </c>
      <c r="R2399">
        <v>40.549999999999997</v>
      </c>
      <c r="S2399">
        <v>40.549999999999997</v>
      </c>
      <c r="T2399">
        <v>40.549999999999997</v>
      </c>
      <c r="U2399">
        <v>38.65</v>
      </c>
      <c r="W2399">
        <v>40.549999999999997</v>
      </c>
      <c r="Z2399">
        <v>2400</v>
      </c>
      <c r="AA2399">
        <v>97320</v>
      </c>
      <c r="AB2399">
        <v>2</v>
      </c>
      <c r="AC2399" t="s">
        <v>42</v>
      </c>
      <c r="AD2399">
        <v>1200</v>
      </c>
    </row>
    <row r="2400" spans="1:30">
      <c r="A2400" t="str">
        <f>CONCATENATE(I2400,J2400)</f>
        <v>PSFLSM</v>
      </c>
      <c r="B2400" s="34">
        <v>46273</v>
      </c>
      <c r="C2400" s="34">
        <v>46273</v>
      </c>
      <c r="D2400" t="s">
        <v>35</v>
      </c>
      <c r="E2400" t="s">
        <v>36</v>
      </c>
      <c r="F2400" t="s">
        <v>37</v>
      </c>
      <c r="G2400">
        <v>25431</v>
      </c>
      <c r="H2400" t="s">
        <v>7256</v>
      </c>
      <c r="I2400" t="s">
        <v>7257</v>
      </c>
      <c r="J2400" t="s">
        <v>267</v>
      </c>
      <c r="O2400" t="s">
        <v>7258</v>
      </c>
      <c r="P2400">
        <v>36.5</v>
      </c>
      <c r="Q2400">
        <v>37.4</v>
      </c>
      <c r="R2400">
        <v>36</v>
      </c>
      <c r="S2400">
        <v>37.4</v>
      </c>
      <c r="T2400">
        <v>37.4</v>
      </c>
      <c r="U2400">
        <v>38.6</v>
      </c>
      <c r="W2400">
        <v>37.4</v>
      </c>
      <c r="Z2400">
        <v>28000</v>
      </c>
      <c r="AA2400">
        <v>1020500</v>
      </c>
      <c r="AB2400">
        <v>8</v>
      </c>
      <c r="AC2400" t="s">
        <v>42</v>
      </c>
      <c r="AD2400">
        <v>2000</v>
      </c>
    </row>
    <row r="2401" spans="1:30">
      <c r="A2401" t="str">
        <f>CONCATENATE(I2401,J2401)</f>
        <v>PARASEQ</v>
      </c>
      <c r="B2401" s="34">
        <v>46273</v>
      </c>
      <c r="C2401" s="34">
        <v>46273</v>
      </c>
      <c r="D2401" t="s">
        <v>35</v>
      </c>
      <c r="E2401" t="s">
        <v>36</v>
      </c>
      <c r="F2401" t="s">
        <v>37</v>
      </c>
      <c r="G2401">
        <v>5911</v>
      </c>
      <c r="H2401" t="s">
        <v>7259</v>
      </c>
      <c r="I2401" t="s">
        <v>7260</v>
      </c>
      <c r="J2401" t="s">
        <v>161</v>
      </c>
      <c r="O2401" t="s">
        <v>7261</v>
      </c>
      <c r="P2401">
        <v>1496.5</v>
      </c>
      <c r="Q2401">
        <v>1563.9</v>
      </c>
      <c r="R2401">
        <v>1496</v>
      </c>
      <c r="S2401">
        <v>1504</v>
      </c>
      <c r="T2401">
        <v>1506.7</v>
      </c>
      <c r="U2401">
        <v>1489.4</v>
      </c>
      <c r="W2401">
        <v>1504</v>
      </c>
      <c r="Z2401">
        <v>2631639</v>
      </c>
      <c r="AA2401">
        <v>4031004559.0999999</v>
      </c>
      <c r="AB2401">
        <v>107851</v>
      </c>
      <c r="AC2401" t="s">
        <v>42</v>
      </c>
      <c r="AD2401">
        <v>1</v>
      </c>
    </row>
    <row r="2402" spans="1:30">
      <c r="A2402" t="str">
        <f>CONCATENATE(I2402,J2402)</f>
        <v>PARASPETROEQ</v>
      </c>
      <c r="B2402" s="34">
        <v>46273</v>
      </c>
      <c r="C2402" s="34">
        <v>46273</v>
      </c>
      <c r="D2402" t="s">
        <v>35</v>
      </c>
      <c r="E2402" t="s">
        <v>36</v>
      </c>
      <c r="F2402" t="s">
        <v>37</v>
      </c>
      <c r="G2402">
        <v>3972</v>
      </c>
      <c r="H2402" t="s">
        <v>7262</v>
      </c>
      <c r="I2402" t="s">
        <v>7263</v>
      </c>
      <c r="J2402" t="s">
        <v>161</v>
      </c>
      <c r="O2402" t="s">
        <v>7264</v>
      </c>
      <c r="P2402">
        <v>2.17</v>
      </c>
      <c r="Q2402">
        <v>2.17</v>
      </c>
      <c r="R2402">
        <v>2.1</v>
      </c>
      <c r="S2402">
        <v>2.13</v>
      </c>
      <c r="T2402">
        <v>2.13</v>
      </c>
      <c r="U2402">
        <v>2.15</v>
      </c>
      <c r="W2402">
        <v>2.13</v>
      </c>
      <c r="Z2402">
        <v>148151</v>
      </c>
      <c r="AA2402">
        <v>315529.38</v>
      </c>
      <c r="AB2402">
        <v>235</v>
      </c>
      <c r="AC2402" t="s">
        <v>42</v>
      </c>
      <c r="AD2402">
        <v>1</v>
      </c>
    </row>
    <row r="2403" spans="1:30">
      <c r="A2403" t="str">
        <f>CONCATENATE(I2403,J2403)</f>
        <v>PARINSM</v>
      </c>
      <c r="B2403" s="34">
        <v>46273</v>
      </c>
      <c r="C2403" s="34">
        <v>46273</v>
      </c>
      <c r="D2403" t="s">
        <v>35</v>
      </c>
      <c r="E2403" t="s">
        <v>36</v>
      </c>
      <c r="F2403" t="s">
        <v>37</v>
      </c>
      <c r="G2403">
        <v>5460</v>
      </c>
      <c r="H2403" t="s">
        <v>7265</v>
      </c>
      <c r="I2403" t="s">
        <v>7266</v>
      </c>
      <c r="J2403" t="s">
        <v>267</v>
      </c>
      <c r="O2403" t="s">
        <v>7267</v>
      </c>
      <c r="P2403">
        <v>725</v>
      </c>
      <c r="Q2403">
        <v>730</v>
      </c>
      <c r="R2403">
        <v>698</v>
      </c>
      <c r="S2403">
        <v>705.3</v>
      </c>
      <c r="T2403">
        <v>698</v>
      </c>
      <c r="U2403">
        <v>725</v>
      </c>
      <c r="W2403">
        <v>705.3</v>
      </c>
      <c r="Z2403">
        <v>12500</v>
      </c>
      <c r="AA2403">
        <v>8849087.5</v>
      </c>
      <c r="AB2403">
        <v>46</v>
      </c>
      <c r="AC2403" t="s">
        <v>42</v>
      </c>
      <c r="AD2403">
        <v>250</v>
      </c>
    </row>
    <row r="2404" spans="1:30">
      <c r="A2404" t="str">
        <f>CONCATENATE(I2404,J2404)</f>
        <v>PARKHOSPSEQ</v>
      </c>
      <c r="B2404" s="34">
        <v>46273</v>
      </c>
      <c r="C2404" s="34">
        <v>46273</v>
      </c>
      <c r="D2404" t="s">
        <v>35</v>
      </c>
      <c r="E2404" t="s">
        <v>36</v>
      </c>
      <c r="F2404" t="s">
        <v>37</v>
      </c>
      <c r="G2404">
        <v>760351</v>
      </c>
      <c r="H2404" t="s">
        <v>7268</v>
      </c>
      <c r="I2404" t="s">
        <v>7269</v>
      </c>
      <c r="J2404" t="s">
        <v>161</v>
      </c>
      <c r="O2404" t="s">
        <v>7270</v>
      </c>
      <c r="P2404">
        <v>286.89999999999998</v>
      </c>
      <c r="Q2404">
        <v>286.89999999999998</v>
      </c>
      <c r="R2404">
        <v>281.7</v>
      </c>
      <c r="S2404">
        <v>282.25</v>
      </c>
      <c r="T2404">
        <v>282.55</v>
      </c>
      <c r="U2404">
        <v>286.8</v>
      </c>
      <c r="W2404">
        <v>282.23</v>
      </c>
      <c r="Z2404">
        <v>230408</v>
      </c>
      <c r="AA2404">
        <v>65425325.950000003</v>
      </c>
      <c r="AB2404">
        <v>7432</v>
      </c>
      <c r="AC2404" t="s">
        <v>42</v>
      </c>
      <c r="AD2404">
        <v>1</v>
      </c>
    </row>
    <row r="2405" spans="1:30">
      <c r="A2405" t="str">
        <f>CONCATENATE(I2405,J2405)</f>
        <v>PARKHOTELSEQ</v>
      </c>
      <c r="B2405" s="34">
        <v>46273</v>
      </c>
      <c r="C2405" s="34">
        <v>46273</v>
      </c>
      <c r="D2405" t="s">
        <v>35</v>
      </c>
      <c r="E2405" t="s">
        <v>36</v>
      </c>
      <c r="F2405" t="s">
        <v>37</v>
      </c>
      <c r="G2405">
        <v>22649</v>
      </c>
      <c r="H2405" t="s">
        <v>7271</v>
      </c>
      <c r="I2405" t="s">
        <v>7272</v>
      </c>
      <c r="J2405" t="s">
        <v>161</v>
      </c>
      <c r="O2405" t="s">
        <v>7272</v>
      </c>
      <c r="P2405">
        <v>112</v>
      </c>
      <c r="Q2405">
        <v>114.19</v>
      </c>
      <c r="R2405">
        <v>110.71</v>
      </c>
      <c r="S2405">
        <v>113.11</v>
      </c>
      <c r="T2405">
        <v>113.48</v>
      </c>
      <c r="U2405">
        <v>111.21</v>
      </c>
      <c r="W2405">
        <v>113.12</v>
      </c>
      <c r="Z2405">
        <v>228241</v>
      </c>
      <c r="AA2405">
        <v>25661029.82</v>
      </c>
      <c r="AB2405">
        <v>2813</v>
      </c>
      <c r="AC2405" t="s">
        <v>42</v>
      </c>
      <c r="AD2405">
        <v>1</v>
      </c>
    </row>
    <row r="2406" spans="1:30">
      <c r="A2406" t="str">
        <f>CONCATENATE(I2406,J2406)</f>
        <v>PARNAXLABEQ</v>
      </c>
      <c r="B2406" s="34">
        <v>46273</v>
      </c>
      <c r="C2406" s="34">
        <v>46273</v>
      </c>
      <c r="D2406" t="s">
        <v>35</v>
      </c>
      <c r="E2406" t="s">
        <v>36</v>
      </c>
      <c r="F2406" t="s">
        <v>37</v>
      </c>
      <c r="G2406">
        <v>764833</v>
      </c>
      <c r="H2406" t="s">
        <v>7273</v>
      </c>
      <c r="I2406" t="s">
        <v>7274</v>
      </c>
      <c r="J2406" t="s">
        <v>161</v>
      </c>
      <c r="O2406" t="s">
        <v>7275</v>
      </c>
      <c r="P2406">
        <v>126.73</v>
      </c>
      <c r="Q2406">
        <v>129.35</v>
      </c>
      <c r="R2406">
        <v>125.15</v>
      </c>
      <c r="S2406">
        <v>125.9</v>
      </c>
      <c r="T2406">
        <v>125.9</v>
      </c>
      <c r="U2406">
        <v>132.99</v>
      </c>
      <c r="W2406">
        <v>126.01</v>
      </c>
      <c r="Z2406">
        <v>2682</v>
      </c>
      <c r="AA2406">
        <v>339873.32</v>
      </c>
      <c r="AB2406">
        <v>175</v>
      </c>
      <c r="AC2406" t="s">
        <v>42</v>
      </c>
      <c r="AD2406">
        <v>1</v>
      </c>
    </row>
    <row r="2407" spans="1:30">
      <c r="A2407" t="str">
        <f>CONCATENATE(I2407,J2407)</f>
        <v>PARSVNATHBE</v>
      </c>
      <c r="B2407" s="34">
        <v>46273</v>
      </c>
      <c r="C2407" s="34">
        <v>46273</v>
      </c>
      <c r="D2407" t="s">
        <v>35</v>
      </c>
      <c r="E2407" t="s">
        <v>36</v>
      </c>
      <c r="F2407" t="s">
        <v>37</v>
      </c>
      <c r="G2407">
        <v>13795</v>
      </c>
      <c r="H2407" t="s">
        <v>7276</v>
      </c>
      <c r="I2407" t="s">
        <v>7277</v>
      </c>
      <c r="J2407" t="s">
        <v>183</v>
      </c>
      <c r="O2407" t="s">
        <v>7278</v>
      </c>
      <c r="P2407">
        <v>1.63</v>
      </c>
      <c r="Q2407">
        <v>1.63</v>
      </c>
      <c r="R2407">
        <v>1.63</v>
      </c>
      <c r="S2407">
        <v>1.63</v>
      </c>
      <c r="T2407">
        <v>1.63</v>
      </c>
      <c r="U2407">
        <v>1.6</v>
      </c>
      <c r="W2407">
        <v>1.63</v>
      </c>
      <c r="Z2407">
        <v>1847451</v>
      </c>
      <c r="AA2407">
        <v>3011345.13</v>
      </c>
      <c r="AB2407">
        <v>105</v>
      </c>
      <c r="AC2407" t="s">
        <v>42</v>
      </c>
      <c r="AD2407">
        <v>1</v>
      </c>
    </row>
    <row r="2408" spans="1:30">
      <c r="A2408" t="str">
        <f>CONCATENATE(I2408,J2408)</f>
        <v>PARTHSM</v>
      </c>
      <c r="B2408" s="34">
        <v>46273</v>
      </c>
      <c r="C2408" s="34">
        <v>46273</v>
      </c>
      <c r="D2408" t="s">
        <v>35</v>
      </c>
      <c r="E2408" t="s">
        <v>36</v>
      </c>
      <c r="F2408" t="s">
        <v>37</v>
      </c>
      <c r="G2408">
        <v>758217</v>
      </c>
      <c r="H2408" t="s">
        <v>7279</v>
      </c>
      <c r="I2408" t="s">
        <v>7280</v>
      </c>
      <c r="J2408" t="s">
        <v>267</v>
      </c>
      <c r="O2408" t="s">
        <v>7281</v>
      </c>
      <c r="P2408">
        <v>526.15</v>
      </c>
      <c r="Q2408">
        <v>546.9</v>
      </c>
      <c r="R2408">
        <v>526.15</v>
      </c>
      <c r="S2408">
        <v>545</v>
      </c>
      <c r="T2408">
        <v>545</v>
      </c>
      <c r="U2408">
        <v>536.5</v>
      </c>
      <c r="W2408">
        <v>545</v>
      </c>
      <c r="Z2408">
        <v>3600</v>
      </c>
      <c r="AA2408">
        <v>1935420</v>
      </c>
      <c r="AB2408">
        <v>9</v>
      </c>
      <c r="AC2408" t="s">
        <v>42</v>
      </c>
      <c r="AD2408">
        <v>400</v>
      </c>
    </row>
    <row r="2409" spans="1:30">
      <c r="A2409" t="str">
        <f>CONCATENATE(I2409,J2409)</f>
        <v>PARTYCRUSSM</v>
      </c>
      <c r="B2409" s="34">
        <v>46273</v>
      </c>
      <c r="C2409" s="34">
        <v>46273</v>
      </c>
      <c r="D2409" t="s">
        <v>35</v>
      </c>
      <c r="E2409" t="s">
        <v>36</v>
      </c>
      <c r="F2409" t="s">
        <v>37</v>
      </c>
      <c r="G2409">
        <v>2599</v>
      </c>
      <c r="H2409" t="s">
        <v>7282</v>
      </c>
      <c r="I2409" t="s">
        <v>7283</v>
      </c>
      <c r="J2409" t="s">
        <v>267</v>
      </c>
      <c r="O2409" t="s">
        <v>7284</v>
      </c>
      <c r="P2409">
        <v>86.35</v>
      </c>
      <c r="Q2409">
        <v>88.95</v>
      </c>
      <c r="R2409">
        <v>83.55</v>
      </c>
      <c r="S2409">
        <v>86</v>
      </c>
      <c r="T2409">
        <v>86</v>
      </c>
      <c r="U2409">
        <v>86.35</v>
      </c>
      <c r="W2409">
        <v>86</v>
      </c>
      <c r="Z2409">
        <v>4000</v>
      </c>
      <c r="AA2409">
        <v>344850</v>
      </c>
      <c r="AB2409">
        <v>4</v>
      </c>
      <c r="AC2409" t="s">
        <v>42</v>
      </c>
      <c r="AD2409">
        <v>1000</v>
      </c>
    </row>
    <row r="2410" spans="1:30">
      <c r="A2410" t="str">
        <f>CONCATENATE(I2410,J2410)</f>
        <v>PASHUPATIEQ</v>
      </c>
      <c r="B2410" s="34">
        <v>46273</v>
      </c>
      <c r="C2410" s="34">
        <v>46273</v>
      </c>
      <c r="D2410" t="s">
        <v>35</v>
      </c>
      <c r="E2410" t="s">
        <v>36</v>
      </c>
      <c r="F2410" t="s">
        <v>37</v>
      </c>
      <c r="G2410">
        <v>757955</v>
      </c>
      <c r="H2410" t="s">
        <v>7285</v>
      </c>
      <c r="I2410" t="s">
        <v>7286</v>
      </c>
      <c r="J2410" t="s">
        <v>161</v>
      </c>
      <c r="O2410" t="s">
        <v>7287</v>
      </c>
      <c r="P2410">
        <v>82.5</v>
      </c>
      <c r="Q2410">
        <v>87</v>
      </c>
      <c r="R2410">
        <v>79.2</v>
      </c>
      <c r="S2410">
        <v>81.02</v>
      </c>
      <c r="T2410">
        <v>81.5</v>
      </c>
      <c r="U2410">
        <v>81.34</v>
      </c>
      <c r="W2410">
        <v>81.06</v>
      </c>
      <c r="Z2410">
        <v>227818</v>
      </c>
      <c r="AA2410">
        <v>18793460.600000001</v>
      </c>
      <c r="AB2410">
        <v>2729</v>
      </c>
      <c r="AC2410" t="s">
        <v>42</v>
      </c>
      <c r="AD2410">
        <v>1</v>
      </c>
    </row>
    <row r="2411" spans="1:30">
      <c r="A2411" t="str">
        <f>CONCATENATE(I2411,J2411)</f>
        <v>PASUPTACBE</v>
      </c>
      <c r="B2411" s="34">
        <v>46273</v>
      </c>
      <c r="C2411" s="34">
        <v>46273</v>
      </c>
      <c r="D2411" t="s">
        <v>35</v>
      </c>
      <c r="E2411" t="s">
        <v>36</v>
      </c>
      <c r="F2411" t="s">
        <v>37</v>
      </c>
      <c r="G2411">
        <v>6048</v>
      </c>
      <c r="H2411" t="s">
        <v>7288</v>
      </c>
      <c r="I2411" t="s">
        <v>7289</v>
      </c>
      <c r="J2411" t="s">
        <v>183</v>
      </c>
      <c r="O2411" t="s">
        <v>7290</v>
      </c>
      <c r="P2411">
        <v>66.75</v>
      </c>
      <c r="Q2411">
        <v>68.34</v>
      </c>
      <c r="R2411">
        <v>66.3</v>
      </c>
      <c r="S2411">
        <v>67.12</v>
      </c>
      <c r="T2411">
        <v>67.25</v>
      </c>
      <c r="U2411">
        <v>67.319999999999993</v>
      </c>
      <c r="W2411">
        <v>67.099999999999994</v>
      </c>
      <c r="Z2411">
        <v>46773</v>
      </c>
      <c r="AA2411">
        <v>3138053.31</v>
      </c>
      <c r="AB2411">
        <v>325</v>
      </c>
      <c r="AC2411" t="s">
        <v>42</v>
      </c>
      <c r="AD2411">
        <v>1</v>
      </c>
    </row>
    <row r="2412" spans="1:30">
      <c r="A2412" t="str">
        <f>CONCATENATE(I2412,J2412)</f>
        <v>PATANJALIEQ</v>
      </c>
      <c r="B2412" s="34">
        <v>46273</v>
      </c>
      <c r="C2412" s="34">
        <v>46273</v>
      </c>
      <c r="D2412" t="s">
        <v>35</v>
      </c>
      <c r="E2412" t="s">
        <v>36</v>
      </c>
      <c r="F2412" t="s">
        <v>37</v>
      </c>
      <c r="G2412">
        <v>17029</v>
      </c>
      <c r="H2412" t="s">
        <v>7291</v>
      </c>
      <c r="I2412" t="s">
        <v>7292</v>
      </c>
      <c r="J2412" t="s">
        <v>161</v>
      </c>
      <c r="O2412" t="s">
        <v>7293</v>
      </c>
      <c r="P2412">
        <v>342</v>
      </c>
      <c r="Q2412">
        <v>342.8</v>
      </c>
      <c r="R2412">
        <v>339</v>
      </c>
      <c r="S2412">
        <v>342</v>
      </c>
      <c r="T2412">
        <v>342</v>
      </c>
      <c r="U2412">
        <v>340.9</v>
      </c>
      <c r="W2412">
        <v>342.2</v>
      </c>
      <c r="Z2412">
        <v>1412377</v>
      </c>
      <c r="AA2412">
        <v>481801451.19999999</v>
      </c>
      <c r="AB2412">
        <v>16423</v>
      </c>
      <c r="AC2412" t="s">
        <v>42</v>
      </c>
      <c r="AD2412">
        <v>1</v>
      </c>
    </row>
    <row r="2413" spans="1:30">
      <c r="A2413" t="str">
        <f>CONCATENATE(I2413,J2413)</f>
        <v>PATELENGEQ</v>
      </c>
      <c r="B2413" s="34">
        <v>46273</v>
      </c>
      <c r="C2413" s="34">
        <v>46273</v>
      </c>
      <c r="D2413" t="s">
        <v>35</v>
      </c>
      <c r="E2413" t="s">
        <v>36</v>
      </c>
      <c r="F2413" t="s">
        <v>37</v>
      </c>
      <c r="G2413">
        <v>11699</v>
      </c>
      <c r="H2413" t="s">
        <v>7294</v>
      </c>
      <c r="I2413" t="s">
        <v>7295</v>
      </c>
      <c r="J2413" t="s">
        <v>161</v>
      </c>
      <c r="O2413" t="s">
        <v>7296</v>
      </c>
      <c r="P2413">
        <v>27</v>
      </c>
      <c r="Q2413">
        <v>27.22</v>
      </c>
      <c r="R2413">
        <v>26.72</v>
      </c>
      <c r="S2413">
        <v>26.93</v>
      </c>
      <c r="T2413">
        <v>26.94</v>
      </c>
      <c r="U2413">
        <v>27.1</v>
      </c>
      <c r="W2413">
        <v>26.93</v>
      </c>
      <c r="Z2413">
        <v>1875076</v>
      </c>
      <c r="AA2413">
        <v>50521460.25</v>
      </c>
      <c r="AB2413">
        <v>7835</v>
      </c>
      <c r="AC2413" t="s">
        <v>42</v>
      </c>
      <c r="AD2413">
        <v>1</v>
      </c>
    </row>
    <row r="2414" spans="1:30">
      <c r="A2414" t="str">
        <f>CONCATENATE(I2414,J2414)</f>
        <v>PATINTLOGBE</v>
      </c>
      <c r="B2414" s="34">
        <v>46273</v>
      </c>
      <c r="C2414" s="34">
        <v>46273</v>
      </c>
      <c r="D2414" t="s">
        <v>35</v>
      </c>
      <c r="E2414" t="s">
        <v>36</v>
      </c>
      <c r="F2414" t="s">
        <v>37</v>
      </c>
      <c r="G2414">
        <v>15223</v>
      </c>
      <c r="H2414" t="s">
        <v>7297</v>
      </c>
      <c r="I2414" t="s">
        <v>7298</v>
      </c>
      <c r="J2414" t="s">
        <v>183</v>
      </c>
      <c r="O2414" t="s">
        <v>7299</v>
      </c>
      <c r="P2414">
        <v>13.14</v>
      </c>
      <c r="Q2414">
        <v>13.45</v>
      </c>
      <c r="R2414">
        <v>13.02</v>
      </c>
      <c r="S2414">
        <v>13.3</v>
      </c>
      <c r="T2414">
        <v>13.4</v>
      </c>
      <c r="U2414">
        <v>13.41</v>
      </c>
      <c r="W2414">
        <v>13.3</v>
      </c>
      <c r="Z2414">
        <v>41274</v>
      </c>
      <c r="AA2414">
        <v>544359.19999999995</v>
      </c>
      <c r="AB2414">
        <v>129</v>
      </c>
      <c r="AC2414" t="s">
        <v>42</v>
      </c>
      <c r="AD2414">
        <v>1</v>
      </c>
    </row>
    <row r="2415" spans="1:30">
      <c r="A2415" t="str">
        <f>CONCATENATE(I2415,J2415)</f>
        <v>PATELRMARTEQ</v>
      </c>
      <c r="B2415" s="34">
        <v>46273</v>
      </c>
      <c r="C2415" s="34">
        <v>46273</v>
      </c>
      <c r="D2415" t="s">
        <v>35</v>
      </c>
      <c r="E2415" t="s">
        <v>36</v>
      </c>
      <c r="F2415" t="s">
        <v>37</v>
      </c>
      <c r="G2415">
        <v>759439</v>
      </c>
      <c r="H2415" t="s">
        <v>7300</v>
      </c>
      <c r="I2415" t="s">
        <v>7301</v>
      </c>
      <c r="J2415" t="s">
        <v>161</v>
      </c>
      <c r="O2415" t="s">
        <v>7302</v>
      </c>
      <c r="P2415">
        <v>217.8</v>
      </c>
      <c r="Q2415">
        <v>218.79</v>
      </c>
      <c r="R2415">
        <v>214.17</v>
      </c>
      <c r="S2415">
        <v>215.2</v>
      </c>
      <c r="T2415">
        <v>215.18</v>
      </c>
      <c r="U2415">
        <v>217.99</v>
      </c>
      <c r="W2415">
        <v>215.19</v>
      </c>
      <c r="Z2415">
        <v>90636</v>
      </c>
      <c r="AA2415">
        <v>19605262.149999999</v>
      </c>
      <c r="AB2415">
        <v>1697</v>
      </c>
      <c r="AC2415" t="s">
        <v>42</v>
      </c>
      <c r="AD2415">
        <v>1</v>
      </c>
    </row>
    <row r="2416" spans="1:30">
      <c r="A2416" t="str">
        <f>CONCATENATE(I2416,J2416)</f>
        <v>PATILAUTOMSM</v>
      </c>
      <c r="B2416" s="34">
        <v>46273</v>
      </c>
      <c r="C2416" s="34">
        <v>46273</v>
      </c>
      <c r="D2416" t="s">
        <v>35</v>
      </c>
      <c r="E2416" t="s">
        <v>36</v>
      </c>
      <c r="F2416" t="s">
        <v>37</v>
      </c>
      <c r="G2416">
        <v>756963</v>
      </c>
      <c r="H2416" t="s">
        <v>7303</v>
      </c>
      <c r="I2416" t="s">
        <v>7304</v>
      </c>
      <c r="J2416" t="s">
        <v>267</v>
      </c>
      <c r="O2416" t="s">
        <v>7305</v>
      </c>
      <c r="P2416">
        <v>302.10000000000002</v>
      </c>
      <c r="Q2416">
        <v>306</v>
      </c>
      <c r="R2416">
        <v>275.3</v>
      </c>
      <c r="S2416">
        <v>301.85000000000002</v>
      </c>
      <c r="T2416">
        <v>304</v>
      </c>
      <c r="U2416">
        <v>296.75</v>
      </c>
      <c r="W2416">
        <v>301.85000000000002</v>
      </c>
      <c r="Z2416">
        <v>507600</v>
      </c>
      <c r="AA2416">
        <v>146546490</v>
      </c>
      <c r="AB2416">
        <v>556</v>
      </c>
      <c r="AC2416" t="s">
        <v>42</v>
      </c>
      <c r="AD2416">
        <v>600</v>
      </c>
    </row>
    <row r="2417" spans="1:30">
      <c r="A2417" t="str">
        <f>CONCATENATE(I2417,J2417)</f>
        <v>PMLEQ</v>
      </c>
      <c r="B2417" s="34">
        <v>46273</v>
      </c>
      <c r="C2417" s="34">
        <v>46273</v>
      </c>
      <c r="D2417" t="s">
        <v>35</v>
      </c>
      <c r="E2417" t="s">
        <v>36</v>
      </c>
      <c r="F2417" t="s">
        <v>37</v>
      </c>
      <c r="G2417">
        <v>762834</v>
      </c>
      <c r="H2417" t="s">
        <v>7306</v>
      </c>
      <c r="I2417" t="s">
        <v>7307</v>
      </c>
      <c r="J2417" t="s">
        <v>161</v>
      </c>
      <c r="O2417" t="s">
        <v>7308</v>
      </c>
      <c r="P2417">
        <v>505</v>
      </c>
      <c r="Q2417">
        <v>505</v>
      </c>
      <c r="R2417">
        <v>480.05</v>
      </c>
      <c r="S2417">
        <v>482.15</v>
      </c>
      <c r="T2417">
        <v>480.7</v>
      </c>
      <c r="U2417">
        <v>489.75</v>
      </c>
      <c r="W2417">
        <v>479.65</v>
      </c>
      <c r="Z2417">
        <v>105</v>
      </c>
      <c r="AA2417">
        <v>51222.8</v>
      </c>
      <c r="AB2417">
        <v>18</v>
      </c>
      <c r="AC2417" t="s">
        <v>42</v>
      </c>
      <c r="AD2417">
        <v>1</v>
      </c>
    </row>
    <row r="2418" spans="1:30">
      <c r="A2418" t="str">
        <f>CONCATENATE(I2418,J2418)</f>
        <v>PAUSHAKLTDEQ</v>
      </c>
      <c r="B2418" s="34">
        <v>46273</v>
      </c>
      <c r="C2418" s="34">
        <v>46273</v>
      </c>
      <c r="D2418" t="s">
        <v>35</v>
      </c>
      <c r="E2418" t="s">
        <v>36</v>
      </c>
      <c r="F2418" t="s">
        <v>37</v>
      </c>
      <c r="G2418">
        <v>759969</v>
      </c>
      <c r="H2418" t="s">
        <v>7309</v>
      </c>
      <c r="I2418" t="s">
        <v>7310</v>
      </c>
      <c r="J2418" t="s">
        <v>161</v>
      </c>
      <c r="O2418" t="s">
        <v>7311</v>
      </c>
      <c r="P2418">
        <v>767</v>
      </c>
      <c r="Q2418">
        <v>780.95</v>
      </c>
      <c r="R2418">
        <v>744.35</v>
      </c>
      <c r="S2418">
        <v>770.7</v>
      </c>
      <c r="T2418">
        <v>777.5</v>
      </c>
      <c r="U2418">
        <v>763.1</v>
      </c>
      <c r="W2418">
        <v>770.89</v>
      </c>
      <c r="Z2418">
        <v>36424</v>
      </c>
      <c r="AA2418">
        <v>27577786</v>
      </c>
      <c r="AB2418">
        <v>3593</v>
      </c>
      <c r="AC2418" t="s">
        <v>42</v>
      </c>
      <c r="AD2418">
        <v>1</v>
      </c>
    </row>
    <row r="2419" spans="1:30">
      <c r="A2419" t="str">
        <f>CONCATENATE(I2419,J2419)</f>
        <v>PAVNAINDEQ</v>
      </c>
      <c r="B2419" s="34">
        <v>46273</v>
      </c>
      <c r="C2419" s="34">
        <v>46273</v>
      </c>
      <c r="D2419" t="s">
        <v>35</v>
      </c>
      <c r="E2419" t="s">
        <v>36</v>
      </c>
      <c r="F2419" t="s">
        <v>37</v>
      </c>
      <c r="G2419">
        <v>16192</v>
      </c>
      <c r="H2419" t="s">
        <v>7312</v>
      </c>
      <c r="I2419" t="s">
        <v>7313</v>
      </c>
      <c r="J2419" t="s">
        <v>161</v>
      </c>
      <c r="O2419" t="s">
        <v>7314</v>
      </c>
      <c r="P2419">
        <v>16.25</v>
      </c>
      <c r="Q2419">
        <v>16.68</v>
      </c>
      <c r="R2419">
        <v>16.100000000000001</v>
      </c>
      <c r="S2419">
        <v>16.18</v>
      </c>
      <c r="T2419">
        <v>16.13</v>
      </c>
      <c r="U2419">
        <v>16.09</v>
      </c>
      <c r="W2419">
        <v>16.16</v>
      </c>
      <c r="Z2419">
        <v>26923</v>
      </c>
      <c r="AA2419">
        <v>438456.1</v>
      </c>
      <c r="AB2419">
        <v>236</v>
      </c>
      <c r="AC2419" t="s">
        <v>42</v>
      </c>
      <c r="AD2419">
        <v>1</v>
      </c>
    </row>
    <row r="2420" spans="1:30">
      <c r="A2420" t="str">
        <f>CONCATENATE(I2420,J2420)</f>
        <v>POLICYBZREQ</v>
      </c>
      <c r="B2420" s="34">
        <v>46273</v>
      </c>
      <c r="C2420" s="34">
        <v>46273</v>
      </c>
      <c r="D2420" t="s">
        <v>35</v>
      </c>
      <c r="E2420" t="s">
        <v>36</v>
      </c>
      <c r="F2420" t="s">
        <v>37</v>
      </c>
      <c r="G2420">
        <v>6656</v>
      </c>
      <c r="H2420" t="s">
        <v>7315</v>
      </c>
      <c r="I2420" t="s">
        <v>7316</v>
      </c>
      <c r="J2420" t="s">
        <v>161</v>
      </c>
      <c r="O2420" t="s">
        <v>7317</v>
      </c>
      <c r="P2420">
        <v>1787</v>
      </c>
      <c r="Q2420">
        <v>1827.9</v>
      </c>
      <c r="R2420">
        <v>1775.9</v>
      </c>
      <c r="S2420">
        <v>1826</v>
      </c>
      <c r="T2420">
        <v>1826</v>
      </c>
      <c r="U2420">
        <v>1792</v>
      </c>
      <c r="W2420">
        <v>1825.98</v>
      </c>
      <c r="Z2420">
        <v>1108483</v>
      </c>
      <c r="AA2420">
        <v>2016470336.9000001</v>
      </c>
      <c r="AB2420">
        <v>46394</v>
      </c>
      <c r="AC2420" t="s">
        <v>42</v>
      </c>
      <c r="AD2420">
        <v>1</v>
      </c>
    </row>
    <row r="2421" spans="1:30">
      <c r="A2421" t="str">
        <f>CONCATENATE(I2421,J2421)</f>
        <v>PCJEWELLEREQ</v>
      </c>
      <c r="B2421" s="34">
        <v>46273</v>
      </c>
      <c r="C2421" s="34">
        <v>46273</v>
      </c>
      <c r="D2421" t="s">
        <v>35</v>
      </c>
      <c r="E2421" t="s">
        <v>36</v>
      </c>
      <c r="F2421" t="s">
        <v>37</v>
      </c>
      <c r="G2421">
        <v>29124</v>
      </c>
      <c r="H2421" t="s">
        <v>7318</v>
      </c>
      <c r="I2421" t="s">
        <v>7319</v>
      </c>
      <c r="J2421" t="s">
        <v>161</v>
      </c>
      <c r="O2421" t="s">
        <v>7320</v>
      </c>
      <c r="P2421">
        <v>14.23</v>
      </c>
      <c r="Q2421">
        <v>14.44</v>
      </c>
      <c r="R2421">
        <v>13.18</v>
      </c>
      <c r="S2421">
        <v>13.52</v>
      </c>
      <c r="T2421">
        <v>13.55</v>
      </c>
      <c r="U2421">
        <v>13.93</v>
      </c>
      <c r="W2421">
        <v>13.52</v>
      </c>
      <c r="Z2421">
        <v>1114322441</v>
      </c>
      <c r="AA2421">
        <v>15175371351.549999</v>
      </c>
      <c r="AB2421">
        <v>346274</v>
      </c>
      <c r="AC2421" t="s">
        <v>42</v>
      </c>
      <c r="AD2421">
        <v>1</v>
      </c>
    </row>
    <row r="2422" spans="1:30">
      <c r="A2422" t="str">
        <f>CONCATENATE(I2422,J2422)</f>
        <v>PCBLEQ</v>
      </c>
      <c r="B2422" s="34">
        <v>46273</v>
      </c>
      <c r="C2422" s="34">
        <v>46273</v>
      </c>
      <c r="D2422" t="s">
        <v>35</v>
      </c>
      <c r="E2422" t="s">
        <v>36</v>
      </c>
      <c r="F2422" t="s">
        <v>37</v>
      </c>
      <c r="G2422">
        <v>2649</v>
      </c>
      <c r="H2422" t="s">
        <v>7321</v>
      </c>
      <c r="I2422" t="s">
        <v>7322</v>
      </c>
      <c r="J2422" t="s">
        <v>161</v>
      </c>
      <c r="O2422" t="s">
        <v>7323</v>
      </c>
      <c r="P2422">
        <v>325</v>
      </c>
      <c r="Q2422">
        <v>334.7</v>
      </c>
      <c r="R2422">
        <v>321.89999999999998</v>
      </c>
      <c r="S2422">
        <v>328.8</v>
      </c>
      <c r="T2422">
        <v>329.95</v>
      </c>
      <c r="U2422">
        <v>317.45</v>
      </c>
      <c r="W2422">
        <v>328.81</v>
      </c>
      <c r="Z2422">
        <v>6607816</v>
      </c>
      <c r="AA2422">
        <v>2164254745.4000001</v>
      </c>
      <c r="AB2422">
        <v>88091</v>
      </c>
      <c r="AC2422" t="s">
        <v>42</v>
      </c>
      <c r="AD2422">
        <v>1</v>
      </c>
    </row>
    <row r="2423" spans="1:30">
      <c r="A2423" t="str">
        <f>CONCATENATE(I2423,J2423)</f>
        <v>PDSLEQ</v>
      </c>
      <c r="B2423" s="34">
        <v>46273</v>
      </c>
      <c r="C2423" s="34">
        <v>46273</v>
      </c>
      <c r="D2423" t="s">
        <v>35</v>
      </c>
      <c r="E2423" t="s">
        <v>36</v>
      </c>
      <c r="F2423" t="s">
        <v>37</v>
      </c>
      <c r="G2423">
        <v>5264</v>
      </c>
      <c r="H2423" t="s">
        <v>7324</v>
      </c>
      <c r="I2423" t="s">
        <v>7325</v>
      </c>
      <c r="J2423" t="s">
        <v>161</v>
      </c>
      <c r="O2423" t="s">
        <v>7326</v>
      </c>
      <c r="P2423">
        <v>351.15</v>
      </c>
      <c r="Q2423">
        <v>351.6</v>
      </c>
      <c r="R2423">
        <v>344.25</v>
      </c>
      <c r="S2423">
        <v>346.2</v>
      </c>
      <c r="T2423">
        <v>348</v>
      </c>
      <c r="U2423">
        <v>349.6</v>
      </c>
      <c r="W2423">
        <v>346.2</v>
      </c>
      <c r="Z2423">
        <v>91940</v>
      </c>
      <c r="AA2423">
        <v>31958222.399999999</v>
      </c>
      <c r="AB2423">
        <v>3386</v>
      </c>
      <c r="AC2423" t="s">
        <v>42</v>
      </c>
      <c r="AD2423">
        <v>1</v>
      </c>
    </row>
    <row r="2424" spans="1:30">
      <c r="A2424" t="str">
        <f>CONCATENATE(I2424,J2424)</f>
        <v>PGILEQ</v>
      </c>
      <c r="B2424" s="34">
        <v>46273</v>
      </c>
      <c r="C2424" s="34">
        <v>46273</v>
      </c>
      <c r="D2424" t="s">
        <v>35</v>
      </c>
      <c r="E2424" t="s">
        <v>36</v>
      </c>
      <c r="F2424" t="s">
        <v>37</v>
      </c>
      <c r="G2424">
        <v>14260</v>
      </c>
      <c r="H2424" t="s">
        <v>7327</v>
      </c>
      <c r="I2424" t="s">
        <v>7328</v>
      </c>
      <c r="J2424" t="s">
        <v>161</v>
      </c>
      <c r="O2424" t="s">
        <v>7329</v>
      </c>
      <c r="P2424">
        <v>2285</v>
      </c>
      <c r="Q2424">
        <v>2389.9</v>
      </c>
      <c r="R2424">
        <v>2270.1</v>
      </c>
      <c r="S2424">
        <v>2366.8000000000002</v>
      </c>
      <c r="T2424">
        <v>2355</v>
      </c>
      <c r="U2424">
        <v>2257.1999999999998</v>
      </c>
      <c r="W2424">
        <v>2366.79</v>
      </c>
      <c r="Z2424">
        <v>107491</v>
      </c>
      <c r="AA2424">
        <v>252304947.40000001</v>
      </c>
      <c r="AB2424">
        <v>15872</v>
      </c>
      <c r="AC2424" t="s">
        <v>42</v>
      </c>
      <c r="AD2424">
        <v>1</v>
      </c>
    </row>
    <row r="2425" spans="1:30">
      <c r="A2425" t="str">
        <f>CONCATENATE(I2425,J2425)</f>
        <v>PEARLPOLYEQ</v>
      </c>
      <c r="B2425" s="34">
        <v>46273</v>
      </c>
      <c r="C2425" s="34">
        <v>46273</v>
      </c>
      <c r="D2425" t="s">
        <v>35</v>
      </c>
      <c r="E2425" t="s">
        <v>36</v>
      </c>
      <c r="F2425" t="s">
        <v>37</v>
      </c>
      <c r="G2425">
        <v>2610</v>
      </c>
      <c r="H2425" t="s">
        <v>7330</v>
      </c>
      <c r="I2425" t="s">
        <v>7331</v>
      </c>
      <c r="J2425" t="s">
        <v>161</v>
      </c>
      <c r="O2425" t="s">
        <v>7332</v>
      </c>
      <c r="P2425">
        <v>15.69</v>
      </c>
      <c r="Q2425">
        <v>15.87</v>
      </c>
      <c r="R2425">
        <v>15.52</v>
      </c>
      <c r="S2425">
        <v>15.64</v>
      </c>
      <c r="T2425">
        <v>15.55</v>
      </c>
      <c r="U2425">
        <v>15.3</v>
      </c>
      <c r="W2425">
        <v>15.64</v>
      </c>
      <c r="Z2425">
        <v>3250</v>
      </c>
      <c r="AA2425">
        <v>51147.96</v>
      </c>
      <c r="AB2425">
        <v>49</v>
      </c>
      <c r="AC2425" t="s">
        <v>42</v>
      </c>
      <c r="AD2425">
        <v>1</v>
      </c>
    </row>
    <row r="2426" spans="1:30">
      <c r="A2426" t="str">
        <f>CONCATENATE(I2426,J2426)</f>
        <v>PELATROSM</v>
      </c>
      <c r="B2426" s="34">
        <v>46273</v>
      </c>
      <c r="C2426" s="34">
        <v>46273</v>
      </c>
      <c r="D2426" t="s">
        <v>35</v>
      </c>
      <c r="E2426" t="s">
        <v>36</v>
      </c>
      <c r="F2426" t="s">
        <v>37</v>
      </c>
      <c r="G2426">
        <v>25408</v>
      </c>
      <c r="H2426" t="s">
        <v>7333</v>
      </c>
      <c r="I2426" t="s">
        <v>7334</v>
      </c>
      <c r="J2426" t="s">
        <v>267</v>
      </c>
      <c r="O2426" t="s">
        <v>7335</v>
      </c>
      <c r="P2426">
        <v>388.5</v>
      </c>
      <c r="Q2426">
        <v>397.9</v>
      </c>
      <c r="R2426">
        <v>372.25</v>
      </c>
      <c r="S2426">
        <v>390.2</v>
      </c>
      <c r="T2426">
        <v>396.9</v>
      </c>
      <c r="U2426">
        <v>387.5</v>
      </c>
      <c r="W2426">
        <v>390.2</v>
      </c>
      <c r="Z2426">
        <v>30600</v>
      </c>
      <c r="AA2426">
        <v>11723040</v>
      </c>
      <c r="AB2426">
        <v>63</v>
      </c>
      <c r="AC2426" t="s">
        <v>42</v>
      </c>
      <c r="AD2426">
        <v>300</v>
      </c>
    </row>
    <row r="2427" spans="1:30">
      <c r="A2427" t="str">
        <f>CONCATENATE(I2427,J2427)</f>
        <v>PENINLANDEQ</v>
      </c>
      <c r="B2427" s="34">
        <v>46273</v>
      </c>
      <c r="C2427" s="34">
        <v>46273</v>
      </c>
      <c r="D2427" t="s">
        <v>35</v>
      </c>
      <c r="E2427" t="s">
        <v>36</v>
      </c>
      <c r="F2427" t="s">
        <v>37</v>
      </c>
      <c r="G2427">
        <v>2256</v>
      </c>
      <c r="H2427" t="s">
        <v>7336</v>
      </c>
      <c r="I2427" t="s">
        <v>7337</v>
      </c>
      <c r="J2427" t="s">
        <v>161</v>
      </c>
      <c r="O2427" t="s">
        <v>7338</v>
      </c>
      <c r="P2427">
        <v>16.059999999999999</v>
      </c>
      <c r="Q2427">
        <v>16.28</v>
      </c>
      <c r="R2427">
        <v>15.3</v>
      </c>
      <c r="S2427">
        <v>15.67</v>
      </c>
      <c r="T2427">
        <v>15.93</v>
      </c>
      <c r="U2427">
        <v>16.170000000000002</v>
      </c>
      <c r="W2427">
        <v>15.68</v>
      </c>
      <c r="Z2427">
        <v>117089</v>
      </c>
      <c r="AA2427">
        <v>1859316.69</v>
      </c>
      <c r="AB2427">
        <v>452</v>
      </c>
      <c r="AC2427" t="s">
        <v>42</v>
      </c>
      <c r="AD2427">
        <v>1</v>
      </c>
    </row>
    <row r="2428" spans="1:30">
      <c r="A2428" t="str">
        <f>CONCATENATE(I2428,J2428)</f>
        <v>PENINDEQ</v>
      </c>
      <c r="B2428" s="34">
        <v>46273</v>
      </c>
      <c r="C2428" s="34">
        <v>46273</v>
      </c>
      <c r="D2428" t="s">
        <v>35</v>
      </c>
      <c r="E2428" t="s">
        <v>36</v>
      </c>
      <c r="F2428" t="s">
        <v>37</v>
      </c>
      <c r="G2428">
        <v>20621</v>
      </c>
      <c r="H2428" t="s">
        <v>7339</v>
      </c>
      <c r="I2428" t="s">
        <v>7340</v>
      </c>
      <c r="J2428" t="s">
        <v>161</v>
      </c>
      <c r="O2428" t="s">
        <v>7341</v>
      </c>
      <c r="P2428">
        <v>176</v>
      </c>
      <c r="Q2428">
        <v>182.5</v>
      </c>
      <c r="R2428">
        <v>175.5</v>
      </c>
      <c r="S2428">
        <v>180.62</v>
      </c>
      <c r="T2428">
        <v>179.1</v>
      </c>
      <c r="U2428">
        <v>175.96</v>
      </c>
      <c r="W2428">
        <v>180.64</v>
      </c>
      <c r="Z2428">
        <v>1266398</v>
      </c>
      <c r="AA2428">
        <v>227823682.38999999</v>
      </c>
      <c r="AB2428">
        <v>16174</v>
      </c>
      <c r="AC2428" t="s">
        <v>42</v>
      </c>
      <c r="AD2428">
        <v>1</v>
      </c>
    </row>
    <row r="2429" spans="1:30">
      <c r="A2429" t="str">
        <f>CONCATENATE(I2429,J2429)</f>
        <v>PENTAGONSM</v>
      </c>
      <c r="B2429" s="34">
        <v>46273</v>
      </c>
      <c r="C2429" s="34">
        <v>46273</v>
      </c>
      <c r="D2429" t="s">
        <v>35</v>
      </c>
      <c r="E2429" t="s">
        <v>36</v>
      </c>
      <c r="F2429" t="s">
        <v>37</v>
      </c>
      <c r="G2429">
        <v>17132</v>
      </c>
      <c r="H2429" t="s">
        <v>7342</v>
      </c>
      <c r="I2429" t="s">
        <v>7343</v>
      </c>
      <c r="J2429" t="s">
        <v>267</v>
      </c>
      <c r="O2429" t="s">
        <v>7344</v>
      </c>
      <c r="P2429">
        <v>99</v>
      </c>
      <c r="Q2429">
        <v>99.55</v>
      </c>
      <c r="R2429">
        <v>85</v>
      </c>
      <c r="S2429">
        <v>96</v>
      </c>
      <c r="T2429">
        <v>95</v>
      </c>
      <c r="U2429">
        <v>90.5</v>
      </c>
      <c r="W2429">
        <v>96</v>
      </c>
      <c r="Z2429">
        <v>102000</v>
      </c>
      <c r="AA2429">
        <v>9700300</v>
      </c>
      <c r="AB2429">
        <v>77</v>
      </c>
      <c r="AC2429" t="s">
        <v>42</v>
      </c>
      <c r="AD2429">
        <v>1000</v>
      </c>
    </row>
    <row r="2430" spans="1:30">
      <c r="A2430" t="str">
        <f>CONCATENATE(I2430,J2430)</f>
        <v>PERFECTSZ</v>
      </c>
      <c r="B2430" s="34">
        <v>46273</v>
      </c>
      <c r="C2430" s="34">
        <v>46273</v>
      </c>
      <c r="D2430" t="s">
        <v>35</v>
      </c>
      <c r="E2430" t="s">
        <v>36</v>
      </c>
      <c r="F2430" t="s">
        <v>37</v>
      </c>
      <c r="G2430">
        <v>758121</v>
      </c>
      <c r="H2430" t="s">
        <v>7345</v>
      </c>
      <c r="I2430" t="s">
        <v>7346</v>
      </c>
      <c r="J2430" t="s">
        <v>7347</v>
      </c>
      <c r="O2430" t="s">
        <v>7348</v>
      </c>
      <c r="P2430">
        <v>1.9</v>
      </c>
      <c r="Q2430">
        <v>1.9</v>
      </c>
      <c r="R2430">
        <v>1.85</v>
      </c>
      <c r="S2430">
        <v>1.85</v>
      </c>
      <c r="T2430">
        <v>1.85</v>
      </c>
      <c r="U2430">
        <v>1.9</v>
      </c>
      <c r="W2430">
        <v>1.85</v>
      </c>
      <c r="Z2430">
        <v>9000</v>
      </c>
      <c r="AA2430">
        <v>16950</v>
      </c>
      <c r="AB2430">
        <v>3</v>
      </c>
      <c r="AC2430" t="s">
        <v>42</v>
      </c>
      <c r="AD2430">
        <v>3000</v>
      </c>
    </row>
    <row r="2431" spans="1:30">
      <c r="A2431" t="str">
        <f>CONCATENATE(I2431,J2431)</f>
        <v>PERMAGNEQ</v>
      </c>
      <c r="B2431" s="34">
        <v>46273</v>
      </c>
      <c r="C2431" s="34">
        <v>46273</v>
      </c>
      <c r="D2431" t="s">
        <v>35</v>
      </c>
      <c r="E2431" t="s">
        <v>36</v>
      </c>
      <c r="F2431" t="s">
        <v>37</v>
      </c>
      <c r="G2431">
        <v>764838</v>
      </c>
      <c r="H2431" t="s">
        <v>7349</v>
      </c>
      <c r="I2431" t="s">
        <v>7350</v>
      </c>
      <c r="J2431" t="s">
        <v>161</v>
      </c>
      <c r="O2431" t="s">
        <v>7351</v>
      </c>
      <c r="P2431">
        <v>874.8</v>
      </c>
      <c r="Q2431">
        <v>900</v>
      </c>
      <c r="R2431">
        <v>856.2</v>
      </c>
      <c r="S2431">
        <v>863.1</v>
      </c>
      <c r="T2431">
        <v>860.15</v>
      </c>
      <c r="U2431">
        <v>872</v>
      </c>
      <c r="W2431">
        <v>863.09</v>
      </c>
      <c r="Z2431">
        <v>3734</v>
      </c>
      <c r="AA2431">
        <v>3267821.85</v>
      </c>
      <c r="AB2431">
        <v>496</v>
      </c>
      <c r="AC2431" t="s">
        <v>42</v>
      </c>
      <c r="AD2431">
        <v>1</v>
      </c>
    </row>
    <row r="2432" spans="1:30">
      <c r="A2432" t="str">
        <f>CONCATENATE(I2432,J2432)</f>
        <v>PERSISTENTEQ</v>
      </c>
      <c r="B2432" s="34">
        <v>46273</v>
      </c>
      <c r="C2432" s="34">
        <v>46273</v>
      </c>
      <c r="D2432" t="s">
        <v>35</v>
      </c>
      <c r="E2432" t="s">
        <v>36</v>
      </c>
      <c r="F2432" t="s">
        <v>37</v>
      </c>
      <c r="G2432">
        <v>18365</v>
      </c>
      <c r="H2432" t="s">
        <v>7352</v>
      </c>
      <c r="I2432" t="s">
        <v>7353</v>
      </c>
      <c r="J2432" t="s">
        <v>161</v>
      </c>
      <c r="O2432" t="s">
        <v>7354</v>
      </c>
      <c r="P2432">
        <v>5550</v>
      </c>
      <c r="Q2432">
        <v>5600</v>
      </c>
      <c r="R2432">
        <v>5491</v>
      </c>
      <c r="S2432">
        <v>5560</v>
      </c>
      <c r="T2432">
        <v>5560</v>
      </c>
      <c r="U2432">
        <v>5540</v>
      </c>
      <c r="W2432">
        <v>5559.91</v>
      </c>
      <c r="Z2432">
        <v>330550</v>
      </c>
      <c r="AA2432">
        <v>1838584110</v>
      </c>
      <c r="AB2432">
        <v>24111</v>
      </c>
      <c r="AC2432" t="s">
        <v>42</v>
      </c>
      <c r="AD2432">
        <v>1</v>
      </c>
    </row>
    <row r="2433" spans="1:30">
      <c r="A2433" t="str">
        <f>CONCATENATE(I2433,J2433)</f>
        <v>PCCLSM</v>
      </c>
      <c r="B2433" s="34">
        <v>46273</v>
      </c>
      <c r="C2433" s="34">
        <v>46273</v>
      </c>
      <c r="D2433" t="s">
        <v>35</v>
      </c>
      <c r="E2433" t="s">
        <v>36</v>
      </c>
      <c r="F2433" t="s">
        <v>37</v>
      </c>
      <c r="G2433">
        <v>24290</v>
      </c>
      <c r="H2433" t="s">
        <v>7355</v>
      </c>
      <c r="I2433" t="s">
        <v>7356</v>
      </c>
      <c r="J2433" t="s">
        <v>267</v>
      </c>
      <c r="O2433" t="s">
        <v>7357</v>
      </c>
      <c r="P2433">
        <v>442.2</v>
      </c>
      <c r="Q2433">
        <v>451.05</v>
      </c>
      <c r="R2433">
        <v>410.05</v>
      </c>
      <c r="S2433">
        <v>427.2</v>
      </c>
      <c r="T2433">
        <v>431.2</v>
      </c>
      <c r="U2433">
        <v>430.35</v>
      </c>
      <c r="W2433">
        <v>427.2</v>
      </c>
      <c r="Z2433">
        <v>32000</v>
      </c>
      <c r="AA2433">
        <v>13649460</v>
      </c>
      <c r="AB2433">
        <v>60</v>
      </c>
      <c r="AC2433" t="s">
        <v>42</v>
      </c>
      <c r="AD2433">
        <v>400</v>
      </c>
    </row>
    <row r="2434" spans="1:30">
      <c r="A2434" t="str">
        <f>CONCATENATE(I2434,J2434)</f>
        <v>PETRONETEQ</v>
      </c>
      <c r="B2434" s="34">
        <v>46273</v>
      </c>
      <c r="C2434" s="34">
        <v>46273</v>
      </c>
      <c r="D2434" t="s">
        <v>35</v>
      </c>
      <c r="E2434" t="s">
        <v>36</v>
      </c>
      <c r="F2434" t="s">
        <v>37</v>
      </c>
      <c r="G2434">
        <v>11351</v>
      </c>
      <c r="H2434" t="s">
        <v>7358</v>
      </c>
      <c r="I2434" t="s">
        <v>7359</v>
      </c>
      <c r="J2434" t="s">
        <v>161</v>
      </c>
      <c r="O2434" t="s">
        <v>7360</v>
      </c>
      <c r="P2434">
        <v>290.95</v>
      </c>
      <c r="Q2434">
        <v>291</v>
      </c>
      <c r="R2434">
        <v>285</v>
      </c>
      <c r="S2434">
        <v>285.8</v>
      </c>
      <c r="T2434">
        <v>285.8</v>
      </c>
      <c r="U2434">
        <v>290.95</v>
      </c>
      <c r="W2434">
        <v>285.81</v>
      </c>
      <c r="Z2434">
        <v>1543809</v>
      </c>
      <c r="AA2434">
        <v>443083993</v>
      </c>
      <c r="AB2434">
        <v>25170</v>
      </c>
      <c r="AC2434" t="s">
        <v>42</v>
      </c>
      <c r="AD2434">
        <v>1</v>
      </c>
    </row>
    <row r="2435" spans="1:30">
      <c r="A2435" t="str">
        <f>CONCATENATE(I2435,J2435)</f>
        <v>PFCL41ANE</v>
      </c>
      <c r="B2435" s="34">
        <v>46273</v>
      </c>
      <c r="C2435" s="34">
        <v>46273</v>
      </c>
      <c r="D2435" t="s">
        <v>35</v>
      </c>
      <c r="E2435" t="s">
        <v>36</v>
      </c>
      <c r="F2435" t="s">
        <v>37</v>
      </c>
      <c r="G2435">
        <v>760824</v>
      </c>
      <c r="H2435" t="s">
        <v>7361</v>
      </c>
      <c r="I2435" t="s">
        <v>7362</v>
      </c>
      <c r="J2435" t="s">
        <v>239</v>
      </c>
      <c r="O2435" t="s">
        <v>7363</v>
      </c>
      <c r="P2435">
        <v>1000</v>
      </c>
      <c r="Q2435">
        <v>1000</v>
      </c>
      <c r="R2435">
        <v>1000</v>
      </c>
      <c r="S2435">
        <v>1000</v>
      </c>
      <c r="T2435">
        <v>1000</v>
      </c>
      <c r="U2435">
        <v>1000</v>
      </c>
      <c r="W2435">
        <v>1000</v>
      </c>
      <c r="Z2435">
        <v>15</v>
      </c>
      <c r="AA2435">
        <v>15000</v>
      </c>
      <c r="AB2435">
        <v>1</v>
      </c>
      <c r="AC2435" t="s">
        <v>42</v>
      </c>
      <c r="AD2435">
        <v>1</v>
      </c>
    </row>
    <row r="2436" spans="1:30">
      <c r="A2436" t="str">
        <f>CONCATENATE(I2436,J2436)</f>
        <v>730PFCL41NC</v>
      </c>
      <c r="B2436" s="34">
        <v>46273</v>
      </c>
      <c r="C2436" s="34">
        <v>46273</v>
      </c>
      <c r="D2436" t="s">
        <v>35</v>
      </c>
      <c r="E2436" t="s">
        <v>36</v>
      </c>
      <c r="F2436" t="s">
        <v>37</v>
      </c>
      <c r="G2436">
        <v>760810</v>
      </c>
      <c r="H2436" t="s">
        <v>7364</v>
      </c>
      <c r="I2436" t="s">
        <v>7365</v>
      </c>
      <c r="J2436" t="s">
        <v>1760</v>
      </c>
      <c r="O2436" t="s">
        <v>7366</v>
      </c>
      <c r="P2436">
        <v>1010</v>
      </c>
      <c r="Q2436">
        <v>1010.01</v>
      </c>
      <c r="R2436">
        <v>1010</v>
      </c>
      <c r="S2436">
        <v>1010.01</v>
      </c>
      <c r="T2436">
        <v>1010.01</v>
      </c>
      <c r="U2436">
        <v>1010.01</v>
      </c>
      <c r="W2436">
        <v>1010.01</v>
      </c>
      <c r="Z2436">
        <v>12</v>
      </c>
      <c r="AA2436">
        <v>12120.02</v>
      </c>
      <c r="AB2436">
        <v>2</v>
      </c>
      <c r="AC2436" t="s">
        <v>42</v>
      </c>
      <c r="AD2436">
        <v>1</v>
      </c>
    </row>
    <row r="2437" spans="1:30">
      <c r="A2437" t="str">
        <f>CONCATENATE(I2437,J2437)</f>
        <v>PFIZEREQ</v>
      </c>
      <c r="B2437" s="34">
        <v>46273</v>
      </c>
      <c r="C2437" s="34">
        <v>46273</v>
      </c>
      <c r="D2437" t="s">
        <v>35</v>
      </c>
      <c r="E2437" t="s">
        <v>36</v>
      </c>
      <c r="F2437" t="s">
        <v>37</v>
      </c>
      <c r="G2437">
        <v>2643</v>
      </c>
      <c r="H2437" t="s">
        <v>7367</v>
      </c>
      <c r="I2437" t="s">
        <v>7368</v>
      </c>
      <c r="J2437" t="s">
        <v>161</v>
      </c>
      <c r="O2437" t="s">
        <v>7369</v>
      </c>
      <c r="P2437">
        <v>4530</v>
      </c>
      <c r="Q2437">
        <v>4580.8</v>
      </c>
      <c r="R2437">
        <v>4300</v>
      </c>
      <c r="S2437">
        <v>4310.7</v>
      </c>
      <c r="T2437">
        <v>4305</v>
      </c>
      <c r="U2437">
        <v>4596.5</v>
      </c>
      <c r="W2437">
        <v>4310.76</v>
      </c>
      <c r="Z2437">
        <v>186580</v>
      </c>
      <c r="AA2437">
        <v>815924626.29999995</v>
      </c>
      <c r="AB2437">
        <v>34698</v>
      </c>
      <c r="AC2437" t="s">
        <v>42</v>
      </c>
      <c r="AD2437">
        <v>1</v>
      </c>
    </row>
    <row r="2438" spans="1:30">
      <c r="A2438" t="str">
        <f>CONCATENATE(I2438,J2438)</f>
        <v>935PFL33N3</v>
      </c>
      <c r="B2438" s="34">
        <v>46273</v>
      </c>
      <c r="C2438" s="34">
        <v>46273</v>
      </c>
      <c r="D2438" t="s">
        <v>35</v>
      </c>
      <c r="E2438" t="s">
        <v>36</v>
      </c>
      <c r="F2438" t="s">
        <v>37</v>
      </c>
      <c r="G2438">
        <v>759564</v>
      </c>
      <c r="H2438" t="s">
        <v>7370</v>
      </c>
      <c r="I2438" t="s">
        <v>7371</v>
      </c>
      <c r="J2438" t="s">
        <v>7372</v>
      </c>
      <c r="O2438" t="s">
        <v>7373</v>
      </c>
      <c r="P2438">
        <v>1112.9000000000001</v>
      </c>
      <c r="Q2438">
        <v>1112.9000000000001</v>
      </c>
      <c r="R2438">
        <v>1110.5</v>
      </c>
      <c r="S2438">
        <v>1110.5</v>
      </c>
      <c r="T2438">
        <v>1110.5</v>
      </c>
      <c r="U2438">
        <v>1115</v>
      </c>
      <c r="W2438">
        <v>1110.44</v>
      </c>
      <c r="Z2438">
        <v>110</v>
      </c>
      <c r="AA2438">
        <v>122325</v>
      </c>
      <c r="AB2438">
        <v>4</v>
      </c>
      <c r="AC2438" t="s">
        <v>42</v>
      </c>
      <c r="AD2438">
        <v>1</v>
      </c>
    </row>
    <row r="2439" spans="1:30">
      <c r="A2439" t="str">
        <f>CONCATENATE(I2439,J2439)</f>
        <v>PGELEQ</v>
      </c>
      <c r="B2439" s="34">
        <v>46273</v>
      </c>
      <c r="C2439" s="34">
        <v>46273</v>
      </c>
      <c r="D2439" t="s">
        <v>35</v>
      </c>
      <c r="E2439" t="s">
        <v>36</v>
      </c>
      <c r="F2439" t="s">
        <v>37</v>
      </c>
      <c r="G2439">
        <v>25358</v>
      </c>
      <c r="H2439" t="s">
        <v>7374</v>
      </c>
      <c r="I2439" t="s">
        <v>7375</v>
      </c>
      <c r="J2439" t="s">
        <v>161</v>
      </c>
      <c r="O2439" t="s">
        <v>7376</v>
      </c>
      <c r="P2439">
        <v>557.85</v>
      </c>
      <c r="Q2439">
        <v>562</v>
      </c>
      <c r="R2439">
        <v>551.04999999999995</v>
      </c>
      <c r="S2439">
        <v>553.70000000000005</v>
      </c>
      <c r="T2439">
        <v>553.70000000000005</v>
      </c>
      <c r="U2439">
        <v>559.54999999999995</v>
      </c>
      <c r="W2439">
        <v>553.67999999999995</v>
      </c>
      <c r="Z2439">
        <v>1171922</v>
      </c>
      <c r="AA2439">
        <v>650465778.29999995</v>
      </c>
      <c r="AB2439">
        <v>23634</v>
      </c>
      <c r="AC2439" t="s">
        <v>42</v>
      </c>
      <c r="AD2439">
        <v>1</v>
      </c>
    </row>
    <row r="2440" spans="1:30">
      <c r="A2440" t="str">
        <f>CONCATENATE(I2440,J2440)</f>
        <v>PHANTOMFXSM</v>
      </c>
      <c r="B2440" s="34">
        <v>46273</v>
      </c>
      <c r="C2440" s="34">
        <v>46273</v>
      </c>
      <c r="D2440" t="s">
        <v>35</v>
      </c>
      <c r="E2440" t="s">
        <v>36</v>
      </c>
      <c r="F2440" t="s">
        <v>37</v>
      </c>
      <c r="G2440">
        <v>11612</v>
      </c>
      <c r="H2440" t="s">
        <v>7377</v>
      </c>
      <c r="I2440" t="s">
        <v>7378</v>
      </c>
      <c r="J2440" t="s">
        <v>267</v>
      </c>
      <c r="O2440" t="s">
        <v>7379</v>
      </c>
      <c r="P2440">
        <v>115</v>
      </c>
      <c r="Q2440">
        <v>117</v>
      </c>
      <c r="R2440">
        <v>114.5</v>
      </c>
      <c r="S2440">
        <v>115.95</v>
      </c>
      <c r="T2440">
        <v>115.95</v>
      </c>
      <c r="U2440">
        <v>116</v>
      </c>
      <c r="W2440">
        <v>115.95</v>
      </c>
      <c r="Z2440">
        <v>3000</v>
      </c>
      <c r="AA2440">
        <v>347535</v>
      </c>
      <c r="AB2440">
        <v>10</v>
      </c>
      <c r="AC2440" t="s">
        <v>42</v>
      </c>
      <c r="AD2440">
        <v>300</v>
      </c>
    </row>
    <row r="2441" spans="1:30">
      <c r="A2441" t="str">
        <f>CONCATENATE(I2441,J2441)</f>
        <v>PHOENXINTLEQ</v>
      </c>
      <c r="B2441" s="34">
        <v>46273</v>
      </c>
      <c r="C2441" s="34">
        <v>46273</v>
      </c>
      <c r="D2441" t="s">
        <v>35</v>
      </c>
      <c r="E2441" t="s">
        <v>36</v>
      </c>
      <c r="F2441" t="s">
        <v>37</v>
      </c>
      <c r="G2441">
        <v>2658</v>
      </c>
      <c r="H2441" t="s">
        <v>7380</v>
      </c>
      <c r="I2441" t="s">
        <v>7381</v>
      </c>
      <c r="J2441" t="s">
        <v>161</v>
      </c>
      <c r="O2441" t="s">
        <v>7382</v>
      </c>
      <c r="P2441">
        <v>30</v>
      </c>
      <c r="Q2441">
        <v>30.8</v>
      </c>
      <c r="R2441">
        <v>29.15</v>
      </c>
      <c r="S2441">
        <v>29.81</v>
      </c>
      <c r="T2441">
        <v>29.81</v>
      </c>
      <c r="U2441">
        <v>29.68</v>
      </c>
      <c r="W2441">
        <v>29.72</v>
      </c>
      <c r="Z2441">
        <v>2165</v>
      </c>
      <c r="AA2441">
        <v>64692.61</v>
      </c>
      <c r="AB2441">
        <v>46</v>
      </c>
      <c r="AC2441" t="s">
        <v>42</v>
      </c>
      <c r="AD2441">
        <v>1</v>
      </c>
    </row>
    <row r="2442" spans="1:30">
      <c r="A2442" t="str">
        <f>CONCATENATE(I2442,J2442)</f>
        <v>PHOGLOBALSM</v>
      </c>
      <c r="B2442" s="34">
        <v>46273</v>
      </c>
      <c r="C2442" s="34">
        <v>46273</v>
      </c>
      <c r="D2442" t="s">
        <v>35</v>
      </c>
      <c r="E2442" t="s">
        <v>36</v>
      </c>
      <c r="F2442" t="s">
        <v>37</v>
      </c>
      <c r="G2442">
        <v>25513</v>
      </c>
      <c r="H2442" t="s">
        <v>7383</v>
      </c>
      <c r="I2442" t="s">
        <v>7384</v>
      </c>
      <c r="J2442" t="s">
        <v>267</v>
      </c>
      <c r="O2442" t="s">
        <v>7385</v>
      </c>
      <c r="P2442">
        <v>14.25</v>
      </c>
      <c r="Q2442">
        <v>14.25</v>
      </c>
      <c r="R2442">
        <v>14.15</v>
      </c>
      <c r="S2442">
        <v>14.15</v>
      </c>
      <c r="T2442">
        <v>14.15</v>
      </c>
      <c r="U2442">
        <v>14.25</v>
      </c>
      <c r="W2442">
        <v>14.15</v>
      </c>
      <c r="Z2442">
        <v>6000</v>
      </c>
      <c r="AA2442">
        <v>85100</v>
      </c>
      <c r="AB2442">
        <v>3</v>
      </c>
      <c r="AC2442" t="s">
        <v>42</v>
      </c>
      <c r="AD2442">
        <v>2000</v>
      </c>
    </row>
    <row r="2443" spans="1:30">
      <c r="A2443" t="str">
        <f>CONCATENATE(I2443,J2443)</f>
        <v>PWLEQ</v>
      </c>
      <c r="B2443" s="34">
        <v>46273</v>
      </c>
      <c r="C2443" s="34">
        <v>46273</v>
      </c>
      <c r="D2443" t="s">
        <v>35</v>
      </c>
      <c r="E2443" t="s">
        <v>36</v>
      </c>
      <c r="F2443" t="s">
        <v>37</v>
      </c>
      <c r="G2443">
        <v>759723</v>
      </c>
      <c r="H2443" t="s">
        <v>7386</v>
      </c>
      <c r="I2443" t="s">
        <v>7387</v>
      </c>
      <c r="J2443" t="s">
        <v>161</v>
      </c>
      <c r="O2443" t="s">
        <v>7388</v>
      </c>
      <c r="P2443">
        <v>129.66999999999999</v>
      </c>
      <c r="Q2443">
        <v>129.66999999999999</v>
      </c>
      <c r="R2443">
        <v>126.16</v>
      </c>
      <c r="S2443">
        <v>126.63</v>
      </c>
      <c r="T2443">
        <v>126.42</v>
      </c>
      <c r="U2443">
        <v>129.66999999999999</v>
      </c>
      <c r="W2443">
        <v>126.63</v>
      </c>
      <c r="Z2443">
        <v>5315731</v>
      </c>
      <c r="AA2443">
        <v>676222256.35000002</v>
      </c>
      <c r="AB2443">
        <v>32324</v>
      </c>
      <c r="AC2443" t="s">
        <v>42</v>
      </c>
      <c r="AD2443">
        <v>1</v>
      </c>
    </row>
    <row r="2444" spans="1:30">
      <c r="A2444" t="str">
        <f>CONCATENATE(I2444,J2444)</f>
        <v>PIINDEQ</v>
      </c>
      <c r="B2444" s="34">
        <v>46273</v>
      </c>
      <c r="C2444" s="34">
        <v>46273</v>
      </c>
      <c r="D2444" t="s">
        <v>35</v>
      </c>
      <c r="E2444" t="s">
        <v>36</v>
      </c>
      <c r="F2444" t="s">
        <v>37</v>
      </c>
      <c r="G2444">
        <v>24184</v>
      </c>
      <c r="H2444" t="s">
        <v>7389</v>
      </c>
      <c r="I2444" t="s">
        <v>7390</v>
      </c>
      <c r="J2444" t="s">
        <v>161</v>
      </c>
      <c r="O2444" t="s">
        <v>7391</v>
      </c>
      <c r="P2444">
        <v>2416.4</v>
      </c>
      <c r="Q2444">
        <v>2428.4</v>
      </c>
      <c r="R2444">
        <v>2390.1</v>
      </c>
      <c r="S2444">
        <v>2395</v>
      </c>
      <c r="T2444">
        <v>2395</v>
      </c>
      <c r="U2444">
        <v>2430</v>
      </c>
      <c r="W2444">
        <v>2394.8000000000002</v>
      </c>
      <c r="Z2444">
        <v>98267</v>
      </c>
      <c r="AA2444">
        <v>235974544.19999999</v>
      </c>
      <c r="AB2444">
        <v>10769</v>
      </c>
      <c r="AC2444" t="s">
        <v>42</v>
      </c>
      <c r="AD2444">
        <v>1</v>
      </c>
    </row>
    <row r="2445" spans="1:30">
      <c r="A2445" t="str">
        <f>CONCATENATE(I2445,J2445)</f>
        <v>PICCADILEQ</v>
      </c>
      <c r="B2445" s="34">
        <v>46273</v>
      </c>
      <c r="C2445" s="34">
        <v>46273</v>
      </c>
      <c r="D2445" t="s">
        <v>35</v>
      </c>
      <c r="E2445" t="s">
        <v>36</v>
      </c>
      <c r="F2445" t="s">
        <v>37</v>
      </c>
      <c r="G2445">
        <v>757754</v>
      </c>
      <c r="H2445" t="s">
        <v>7392</v>
      </c>
      <c r="I2445" t="s">
        <v>7393</v>
      </c>
      <c r="J2445" t="s">
        <v>161</v>
      </c>
      <c r="O2445" t="s">
        <v>7394</v>
      </c>
      <c r="P2445">
        <v>618</v>
      </c>
      <c r="Q2445">
        <v>623.85</v>
      </c>
      <c r="R2445">
        <v>605.1</v>
      </c>
      <c r="S2445">
        <v>608.29999999999995</v>
      </c>
      <c r="T2445">
        <v>609.79999999999995</v>
      </c>
      <c r="U2445">
        <v>617.95000000000005</v>
      </c>
      <c r="W2445">
        <v>608.34</v>
      </c>
      <c r="Z2445">
        <v>114816</v>
      </c>
      <c r="AA2445">
        <v>70572248.200000003</v>
      </c>
      <c r="AB2445">
        <v>6726</v>
      </c>
      <c r="AC2445" t="s">
        <v>42</v>
      </c>
      <c r="AD2445">
        <v>1</v>
      </c>
    </row>
    <row r="2446" spans="1:30">
      <c r="A2446" t="str">
        <f>CONCATENATE(I2446,J2446)</f>
        <v>PPSLSM</v>
      </c>
      <c r="B2446" s="34">
        <v>46273</v>
      </c>
      <c r="C2446" s="34">
        <v>46273</v>
      </c>
      <c r="D2446" t="s">
        <v>35</v>
      </c>
      <c r="E2446" t="s">
        <v>36</v>
      </c>
      <c r="F2446" t="s">
        <v>37</v>
      </c>
      <c r="G2446">
        <v>24785</v>
      </c>
      <c r="H2446" t="s">
        <v>7395</v>
      </c>
      <c r="I2446" t="s">
        <v>7396</v>
      </c>
      <c r="J2446" t="s">
        <v>267</v>
      </c>
      <c r="O2446" t="s">
        <v>7397</v>
      </c>
      <c r="P2446">
        <v>2.8</v>
      </c>
      <c r="Q2446">
        <v>2.95</v>
      </c>
      <c r="R2446">
        <v>2.8</v>
      </c>
      <c r="S2446">
        <v>2.85</v>
      </c>
      <c r="T2446">
        <v>2.85</v>
      </c>
      <c r="U2446">
        <v>2.85</v>
      </c>
      <c r="W2446">
        <v>2.85</v>
      </c>
      <c r="Z2446">
        <v>69000</v>
      </c>
      <c r="AA2446">
        <v>201450</v>
      </c>
      <c r="AB2446">
        <v>15</v>
      </c>
      <c r="AC2446" t="s">
        <v>42</v>
      </c>
      <c r="AD2446">
        <v>3000</v>
      </c>
    </row>
    <row r="2447" spans="1:30">
      <c r="A2447" t="str">
        <f>CONCATENATE(I2447,J2447)</f>
        <v>PIDILITINDEQ</v>
      </c>
      <c r="B2447" s="34">
        <v>46273</v>
      </c>
      <c r="C2447" s="34">
        <v>46273</v>
      </c>
      <c r="D2447" t="s">
        <v>35</v>
      </c>
      <c r="E2447" t="s">
        <v>36</v>
      </c>
      <c r="F2447" t="s">
        <v>37</v>
      </c>
      <c r="G2447">
        <v>2664</v>
      </c>
      <c r="H2447" t="s">
        <v>7398</v>
      </c>
      <c r="I2447" t="s">
        <v>7399</v>
      </c>
      <c r="J2447" t="s">
        <v>161</v>
      </c>
      <c r="O2447" t="s">
        <v>7400</v>
      </c>
      <c r="P2447">
        <v>1579.8</v>
      </c>
      <c r="Q2447">
        <v>1593</v>
      </c>
      <c r="R2447">
        <v>1565</v>
      </c>
      <c r="S2447">
        <v>1593</v>
      </c>
      <c r="T2447">
        <v>1593</v>
      </c>
      <c r="U2447">
        <v>1575</v>
      </c>
      <c r="W2447">
        <v>1592.97</v>
      </c>
      <c r="Z2447">
        <v>738063</v>
      </c>
      <c r="AA2447">
        <v>1163904980.9000001</v>
      </c>
      <c r="AB2447">
        <v>30238</v>
      </c>
      <c r="AC2447" t="s">
        <v>42</v>
      </c>
      <c r="AD2447">
        <v>1</v>
      </c>
    </row>
    <row r="2448" spans="1:30">
      <c r="A2448" t="str">
        <f>CONCATENATE(I2448,J2448)</f>
        <v>PILITAEQ</v>
      </c>
      <c r="B2448" s="34">
        <v>46273</v>
      </c>
      <c r="C2448" s="34">
        <v>46273</v>
      </c>
      <c r="D2448" t="s">
        <v>35</v>
      </c>
      <c r="E2448" t="s">
        <v>36</v>
      </c>
      <c r="F2448" t="s">
        <v>37</v>
      </c>
      <c r="G2448">
        <v>30835</v>
      </c>
      <c r="H2448" t="s">
        <v>7401</v>
      </c>
      <c r="I2448" t="s">
        <v>7402</v>
      </c>
      <c r="J2448" t="s">
        <v>161</v>
      </c>
      <c r="O2448" t="s">
        <v>7403</v>
      </c>
      <c r="P2448">
        <v>7.85</v>
      </c>
      <c r="Q2448">
        <v>7.97</v>
      </c>
      <c r="R2448">
        <v>7.56</v>
      </c>
      <c r="S2448">
        <v>7.75</v>
      </c>
      <c r="T2448">
        <v>7.78</v>
      </c>
      <c r="U2448">
        <v>7.85</v>
      </c>
      <c r="W2448">
        <v>7.75</v>
      </c>
      <c r="Z2448">
        <v>89087</v>
      </c>
      <c r="AA2448">
        <v>690641.96</v>
      </c>
      <c r="AB2448">
        <v>269</v>
      </c>
      <c r="AC2448" t="s">
        <v>42</v>
      </c>
      <c r="AD2448">
        <v>1</v>
      </c>
    </row>
    <row r="2449" spans="1:30">
      <c r="A2449" t="str">
        <f>CONCATENATE(I2449,J2449)</f>
        <v>PILANIINVSEQ</v>
      </c>
      <c r="B2449" s="34">
        <v>46273</v>
      </c>
      <c r="C2449" s="34">
        <v>46273</v>
      </c>
      <c r="D2449" t="s">
        <v>35</v>
      </c>
      <c r="E2449" t="s">
        <v>36</v>
      </c>
      <c r="F2449" t="s">
        <v>37</v>
      </c>
      <c r="G2449">
        <v>11445</v>
      </c>
      <c r="H2449" t="s">
        <v>7404</v>
      </c>
      <c r="I2449" t="s">
        <v>7405</v>
      </c>
      <c r="J2449" t="s">
        <v>161</v>
      </c>
      <c r="O2449" t="s">
        <v>7406</v>
      </c>
      <c r="P2449">
        <v>4335.8999999999996</v>
      </c>
      <c r="Q2449">
        <v>4369</v>
      </c>
      <c r="R2449">
        <v>4250.1000000000004</v>
      </c>
      <c r="S2449">
        <v>4261.7</v>
      </c>
      <c r="T2449">
        <v>4293.3999999999996</v>
      </c>
      <c r="U2449">
        <v>4298.7</v>
      </c>
      <c r="W2449">
        <v>4262.93</v>
      </c>
      <c r="Z2449">
        <v>1047</v>
      </c>
      <c r="AA2449">
        <v>4502452.4000000004</v>
      </c>
      <c r="AB2449">
        <v>283</v>
      </c>
      <c r="AC2449" t="s">
        <v>42</v>
      </c>
      <c r="AD2449">
        <v>1</v>
      </c>
    </row>
    <row r="2450" spans="1:30">
      <c r="A2450" t="str">
        <f>CONCATENATE(I2450,J2450)</f>
        <v>PINELABSEQ</v>
      </c>
      <c r="B2450" s="34">
        <v>46273</v>
      </c>
      <c r="C2450" s="34">
        <v>46273</v>
      </c>
      <c r="D2450" t="s">
        <v>35</v>
      </c>
      <c r="E2450" t="s">
        <v>36</v>
      </c>
      <c r="F2450" t="s">
        <v>37</v>
      </c>
      <c r="G2450">
        <v>759820</v>
      </c>
      <c r="H2450" t="s">
        <v>7407</v>
      </c>
      <c r="I2450" t="s">
        <v>7408</v>
      </c>
      <c r="J2450" t="s">
        <v>161</v>
      </c>
      <c r="O2450" t="s">
        <v>7409</v>
      </c>
      <c r="P2450">
        <v>163.99</v>
      </c>
      <c r="Q2450">
        <v>173.94</v>
      </c>
      <c r="R2450">
        <v>162.35</v>
      </c>
      <c r="S2450">
        <v>169.55</v>
      </c>
      <c r="T2450">
        <v>169.97</v>
      </c>
      <c r="U2450">
        <v>164.49</v>
      </c>
      <c r="W2450">
        <v>169.55</v>
      </c>
      <c r="Z2450">
        <v>38342385</v>
      </c>
      <c r="AA2450">
        <v>6543371152.3900003</v>
      </c>
      <c r="AB2450">
        <v>194084</v>
      </c>
      <c r="AC2450" t="s">
        <v>42</v>
      </c>
      <c r="AD2450">
        <v>1</v>
      </c>
    </row>
    <row r="2451" spans="1:30">
      <c r="A2451" t="str">
        <f>CONCATENATE(I2451,J2451)</f>
        <v>PIONEEREMBEQ</v>
      </c>
      <c r="B2451" s="34">
        <v>46273</v>
      </c>
      <c r="C2451" s="34">
        <v>46273</v>
      </c>
      <c r="D2451" t="s">
        <v>35</v>
      </c>
      <c r="E2451" t="s">
        <v>36</v>
      </c>
      <c r="F2451" t="s">
        <v>37</v>
      </c>
      <c r="G2451">
        <v>13463</v>
      </c>
      <c r="H2451" t="s">
        <v>7410</v>
      </c>
      <c r="I2451" t="s">
        <v>7411</v>
      </c>
      <c r="J2451" t="s">
        <v>161</v>
      </c>
      <c r="O2451" t="s">
        <v>7412</v>
      </c>
      <c r="P2451">
        <v>21.64</v>
      </c>
      <c r="Q2451">
        <v>21.89</v>
      </c>
      <c r="R2451">
        <v>20.36</v>
      </c>
      <c r="S2451">
        <v>21.02</v>
      </c>
      <c r="T2451">
        <v>21</v>
      </c>
      <c r="U2451">
        <v>21.74</v>
      </c>
      <c r="W2451">
        <v>21.02</v>
      </c>
      <c r="Z2451">
        <v>23006</v>
      </c>
      <c r="AA2451">
        <v>484364.49</v>
      </c>
      <c r="AB2451">
        <v>166</v>
      </c>
      <c r="AC2451" t="s">
        <v>42</v>
      </c>
      <c r="AD2451">
        <v>1</v>
      </c>
    </row>
    <row r="2452" spans="1:30">
      <c r="A2452" t="str">
        <f>CONCATENATE(I2452,J2452)</f>
        <v>PIONRINVBE</v>
      </c>
      <c r="B2452" s="34">
        <v>46273</v>
      </c>
      <c r="C2452" s="34">
        <v>46273</v>
      </c>
      <c r="D2452" t="s">
        <v>35</v>
      </c>
      <c r="E2452" t="s">
        <v>36</v>
      </c>
      <c r="F2452" t="s">
        <v>37</v>
      </c>
      <c r="G2452">
        <v>762832</v>
      </c>
      <c r="H2452" t="s">
        <v>7413</v>
      </c>
      <c r="I2452" t="s">
        <v>7414</v>
      </c>
      <c r="J2452" t="s">
        <v>183</v>
      </c>
      <c r="O2452" t="s">
        <v>7415</v>
      </c>
      <c r="P2452">
        <v>84</v>
      </c>
      <c r="Q2452">
        <v>84</v>
      </c>
      <c r="R2452">
        <v>83.85</v>
      </c>
      <c r="S2452">
        <v>83.85</v>
      </c>
      <c r="T2452">
        <v>83.85</v>
      </c>
      <c r="U2452">
        <v>80.05</v>
      </c>
      <c r="W2452">
        <v>83.93</v>
      </c>
      <c r="Z2452">
        <v>571</v>
      </c>
      <c r="AA2452">
        <v>47956.35</v>
      </c>
      <c r="AB2452">
        <v>10</v>
      </c>
      <c r="AC2452" t="s">
        <v>42</v>
      </c>
      <c r="AD2452">
        <v>1</v>
      </c>
    </row>
    <row r="2453" spans="1:30">
      <c r="A2453" t="str">
        <f>CONCATENATE(I2453,J2453)</f>
        <v>PIRAMALFINEQ</v>
      </c>
      <c r="B2453" s="34">
        <v>46273</v>
      </c>
      <c r="C2453" s="34">
        <v>46273</v>
      </c>
      <c r="D2453" t="s">
        <v>35</v>
      </c>
      <c r="E2453" t="s">
        <v>36</v>
      </c>
      <c r="F2453" t="s">
        <v>37</v>
      </c>
      <c r="G2453">
        <v>759551</v>
      </c>
      <c r="H2453" t="s">
        <v>7416</v>
      </c>
      <c r="I2453" t="s">
        <v>7417</v>
      </c>
      <c r="J2453" t="s">
        <v>161</v>
      </c>
      <c r="O2453" t="s">
        <v>7418</v>
      </c>
      <c r="P2453">
        <v>2285</v>
      </c>
      <c r="Q2453">
        <v>2309.9</v>
      </c>
      <c r="R2453">
        <v>2236.6</v>
      </c>
      <c r="S2453">
        <v>2298.5</v>
      </c>
      <c r="T2453">
        <v>2300</v>
      </c>
      <c r="U2453">
        <v>2261</v>
      </c>
      <c r="W2453">
        <v>2298.4899999999998</v>
      </c>
      <c r="Z2453">
        <v>481431</v>
      </c>
      <c r="AA2453">
        <v>1102182352.7</v>
      </c>
      <c r="AB2453">
        <v>39053</v>
      </c>
      <c r="AC2453" t="s">
        <v>42</v>
      </c>
      <c r="AD2453">
        <v>1</v>
      </c>
    </row>
    <row r="2454" spans="1:30">
      <c r="A2454" t="str">
        <f>CONCATENATE(I2454,J2454)</f>
        <v>PPLPHARMAEQ</v>
      </c>
      <c r="B2454" s="34">
        <v>46273</v>
      </c>
      <c r="C2454" s="34">
        <v>46273</v>
      </c>
      <c r="D2454" t="s">
        <v>35</v>
      </c>
      <c r="E2454" t="s">
        <v>36</v>
      </c>
      <c r="F2454" t="s">
        <v>37</v>
      </c>
      <c r="G2454">
        <v>11571</v>
      </c>
      <c r="H2454" t="s">
        <v>7419</v>
      </c>
      <c r="I2454" t="s">
        <v>7420</v>
      </c>
      <c r="J2454" t="s">
        <v>161</v>
      </c>
      <c r="O2454" t="s">
        <v>7421</v>
      </c>
      <c r="P2454">
        <v>220.65</v>
      </c>
      <c r="Q2454">
        <v>231.93</v>
      </c>
      <c r="R2454">
        <v>220.37</v>
      </c>
      <c r="S2454">
        <v>226.62</v>
      </c>
      <c r="T2454">
        <v>226</v>
      </c>
      <c r="U2454">
        <v>219.66</v>
      </c>
      <c r="W2454">
        <v>226.62</v>
      </c>
      <c r="Z2454">
        <v>21040344</v>
      </c>
      <c r="AA2454">
        <v>4759484893.7299995</v>
      </c>
      <c r="AB2454">
        <v>152215</v>
      </c>
      <c r="AC2454" t="s">
        <v>42</v>
      </c>
      <c r="AD2454">
        <v>1</v>
      </c>
    </row>
    <row r="2455" spans="1:30">
      <c r="A2455" t="str">
        <f>CONCATENATE(I2455,J2455)</f>
        <v>PITTIENGEQ</v>
      </c>
      <c r="B2455" s="34">
        <v>46273</v>
      </c>
      <c r="C2455" s="34">
        <v>46273</v>
      </c>
      <c r="D2455" t="s">
        <v>35</v>
      </c>
      <c r="E2455" t="s">
        <v>36</v>
      </c>
      <c r="F2455" t="s">
        <v>37</v>
      </c>
      <c r="G2455">
        <v>14134</v>
      </c>
      <c r="H2455" t="s">
        <v>7422</v>
      </c>
      <c r="I2455" t="s">
        <v>7423</v>
      </c>
      <c r="J2455" t="s">
        <v>161</v>
      </c>
      <c r="O2455" t="s">
        <v>7424</v>
      </c>
      <c r="P2455">
        <v>1199.9000000000001</v>
      </c>
      <c r="Q2455">
        <v>1199.9000000000001</v>
      </c>
      <c r="R2455">
        <v>1135.5999999999999</v>
      </c>
      <c r="S2455">
        <v>1171.3</v>
      </c>
      <c r="T2455">
        <v>1169.8</v>
      </c>
      <c r="U2455">
        <v>1176.2</v>
      </c>
      <c r="W2455">
        <v>1171.31</v>
      </c>
      <c r="Z2455">
        <v>219301</v>
      </c>
      <c r="AA2455">
        <v>255060838</v>
      </c>
      <c r="AB2455">
        <v>16312</v>
      </c>
      <c r="AC2455" t="s">
        <v>42</v>
      </c>
      <c r="AD2455">
        <v>1</v>
      </c>
    </row>
    <row r="2456" spans="1:30">
      <c r="A2456" t="str">
        <f>CONCATENATE(I2456,J2456)</f>
        <v>PIXTRANSEQ</v>
      </c>
      <c r="B2456" s="34">
        <v>46273</v>
      </c>
      <c r="C2456" s="34">
        <v>46273</v>
      </c>
      <c r="D2456" t="s">
        <v>35</v>
      </c>
      <c r="E2456" t="s">
        <v>36</v>
      </c>
      <c r="F2456" t="s">
        <v>37</v>
      </c>
      <c r="G2456">
        <v>9087</v>
      </c>
      <c r="H2456" t="s">
        <v>7425</v>
      </c>
      <c r="I2456" t="s">
        <v>7426</v>
      </c>
      <c r="J2456" t="s">
        <v>161</v>
      </c>
      <c r="O2456" t="s">
        <v>7427</v>
      </c>
      <c r="P2456">
        <v>1754.8</v>
      </c>
      <c r="Q2456">
        <v>1754.8</v>
      </c>
      <c r="R2456">
        <v>1710</v>
      </c>
      <c r="S2456">
        <v>1722</v>
      </c>
      <c r="T2456">
        <v>1710.6</v>
      </c>
      <c r="U2456">
        <v>1754.9</v>
      </c>
      <c r="W2456">
        <v>1722.25</v>
      </c>
      <c r="Z2456">
        <v>16266</v>
      </c>
      <c r="AA2456">
        <v>28150610.800000001</v>
      </c>
      <c r="AB2456">
        <v>1813</v>
      </c>
      <c r="AC2456" t="s">
        <v>42</v>
      </c>
      <c r="AD2456">
        <v>1</v>
      </c>
    </row>
    <row r="2457" spans="1:30">
      <c r="A2457" t="str">
        <f>CONCATENATE(I2457,J2457)</f>
        <v>PLASTIBLENEQ</v>
      </c>
      <c r="B2457" s="34">
        <v>46273</v>
      </c>
      <c r="C2457" s="34">
        <v>46273</v>
      </c>
      <c r="D2457" t="s">
        <v>35</v>
      </c>
      <c r="E2457" t="s">
        <v>36</v>
      </c>
      <c r="F2457" t="s">
        <v>37</v>
      </c>
      <c r="G2457">
        <v>13920</v>
      </c>
      <c r="H2457" t="s">
        <v>7428</v>
      </c>
      <c r="I2457" t="s">
        <v>7429</v>
      </c>
      <c r="J2457" t="s">
        <v>161</v>
      </c>
      <c r="O2457" t="s">
        <v>7430</v>
      </c>
      <c r="P2457">
        <v>196.78</v>
      </c>
      <c r="Q2457">
        <v>196.78</v>
      </c>
      <c r="R2457">
        <v>190</v>
      </c>
      <c r="S2457">
        <v>191.23</v>
      </c>
      <c r="T2457">
        <v>191</v>
      </c>
      <c r="U2457">
        <v>193.14</v>
      </c>
      <c r="W2457">
        <v>191.25</v>
      </c>
      <c r="Z2457">
        <v>26956</v>
      </c>
      <c r="AA2457">
        <v>5199352.83</v>
      </c>
      <c r="AB2457">
        <v>751</v>
      </c>
      <c r="AC2457" t="s">
        <v>42</v>
      </c>
      <c r="AD2457">
        <v>1</v>
      </c>
    </row>
    <row r="2458" spans="1:30">
      <c r="A2458" t="str">
        <f>CONCATENATE(I2458,J2458)</f>
        <v>PLATINDEQ</v>
      </c>
      <c r="B2458" s="34">
        <v>46273</v>
      </c>
      <c r="C2458" s="34">
        <v>46273</v>
      </c>
      <c r="D2458" t="s">
        <v>35</v>
      </c>
      <c r="E2458" t="s">
        <v>36</v>
      </c>
      <c r="F2458" t="s">
        <v>37</v>
      </c>
      <c r="G2458">
        <v>22930</v>
      </c>
      <c r="H2458" t="s">
        <v>7431</v>
      </c>
      <c r="I2458" t="s">
        <v>7432</v>
      </c>
      <c r="J2458" t="s">
        <v>161</v>
      </c>
      <c r="O2458" t="s">
        <v>7433</v>
      </c>
      <c r="P2458">
        <v>233.01</v>
      </c>
      <c r="Q2458">
        <v>235.93</v>
      </c>
      <c r="R2458">
        <v>230.3</v>
      </c>
      <c r="S2458">
        <v>232.47</v>
      </c>
      <c r="T2458">
        <v>230.5</v>
      </c>
      <c r="U2458">
        <v>233.73</v>
      </c>
      <c r="W2458">
        <v>232.18</v>
      </c>
      <c r="Z2458">
        <v>52015</v>
      </c>
      <c r="AA2458">
        <v>12117672.42</v>
      </c>
      <c r="AB2458">
        <v>1876</v>
      </c>
      <c r="AC2458" t="s">
        <v>42</v>
      </c>
      <c r="AD2458">
        <v>1</v>
      </c>
    </row>
    <row r="2459" spans="1:30">
      <c r="A2459" t="str">
        <f>CONCATENATE(I2459,J2459)</f>
        <v>PLAZACABLEEQ</v>
      </c>
      <c r="B2459" s="34">
        <v>46273</v>
      </c>
      <c r="C2459" s="34">
        <v>46273</v>
      </c>
      <c r="D2459" t="s">
        <v>35</v>
      </c>
      <c r="E2459" t="s">
        <v>36</v>
      </c>
      <c r="F2459" t="s">
        <v>37</v>
      </c>
      <c r="G2459">
        <v>19458</v>
      </c>
      <c r="H2459" t="s">
        <v>7434</v>
      </c>
      <c r="I2459" t="s">
        <v>7435</v>
      </c>
      <c r="J2459" t="s">
        <v>161</v>
      </c>
      <c r="O2459" t="s">
        <v>7436</v>
      </c>
      <c r="P2459">
        <v>58.3</v>
      </c>
      <c r="Q2459">
        <v>59.98</v>
      </c>
      <c r="R2459">
        <v>56.1</v>
      </c>
      <c r="S2459">
        <v>56.84</v>
      </c>
      <c r="T2459">
        <v>56.31</v>
      </c>
      <c r="U2459">
        <v>59.05</v>
      </c>
      <c r="W2459">
        <v>56.85</v>
      </c>
      <c r="Z2459">
        <v>245887</v>
      </c>
      <c r="AA2459">
        <v>14087441.18</v>
      </c>
      <c r="AB2459">
        <v>1867</v>
      </c>
      <c r="AC2459" t="s">
        <v>42</v>
      </c>
      <c r="AD2459">
        <v>1</v>
      </c>
    </row>
    <row r="2460" spans="1:30">
      <c r="A2460" t="str">
        <f>CONCATENATE(I2460,J2460)</f>
        <v>PNBGILTSEQ</v>
      </c>
      <c r="B2460" s="34">
        <v>46273</v>
      </c>
      <c r="C2460" s="34">
        <v>46273</v>
      </c>
      <c r="D2460" t="s">
        <v>35</v>
      </c>
      <c r="E2460" t="s">
        <v>36</v>
      </c>
      <c r="F2460" t="s">
        <v>37</v>
      </c>
      <c r="G2460">
        <v>8736</v>
      </c>
      <c r="H2460" t="s">
        <v>7437</v>
      </c>
      <c r="I2460" t="s">
        <v>7438</v>
      </c>
      <c r="J2460" t="s">
        <v>161</v>
      </c>
      <c r="O2460" t="s">
        <v>7439</v>
      </c>
      <c r="P2460">
        <v>83</v>
      </c>
      <c r="Q2460">
        <v>84.98</v>
      </c>
      <c r="R2460">
        <v>80.75</v>
      </c>
      <c r="S2460">
        <v>81.260000000000005</v>
      </c>
      <c r="T2460">
        <v>81.489999999999995</v>
      </c>
      <c r="U2460">
        <v>81.87</v>
      </c>
      <c r="W2460">
        <v>81.260000000000005</v>
      </c>
      <c r="Z2460">
        <v>596996</v>
      </c>
      <c r="AA2460">
        <v>49109091.969999999</v>
      </c>
      <c r="AB2460">
        <v>5283</v>
      </c>
      <c r="AC2460" t="s">
        <v>42</v>
      </c>
      <c r="AD2460">
        <v>1</v>
      </c>
    </row>
    <row r="2461" spans="1:30">
      <c r="A2461" t="str">
        <f>CONCATENATE(I2461,J2461)</f>
        <v>PNBHOUSINGEQ</v>
      </c>
      <c r="B2461" s="34">
        <v>46273</v>
      </c>
      <c r="C2461" s="34">
        <v>46273</v>
      </c>
      <c r="D2461" t="s">
        <v>35</v>
      </c>
      <c r="E2461" t="s">
        <v>36</v>
      </c>
      <c r="F2461" t="s">
        <v>37</v>
      </c>
      <c r="G2461">
        <v>18908</v>
      </c>
      <c r="H2461" t="s">
        <v>7440</v>
      </c>
      <c r="I2461" t="s">
        <v>7441</v>
      </c>
      <c r="J2461" t="s">
        <v>161</v>
      </c>
      <c r="O2461" t="s">
        <v>7442</v>
      </c>
      <c r="P2461">
        <v>1182</v>
      </c>
      <c r="Q2461">
        <v>1185</v>
      </c>
      <c r="R2461">
        <v>1166.5</v>
      </c>
      <c r="S2461">
        <v>1167.0999999999999</v>
      </c>
      <c r="T2461">
        <v>1167.0999999999999</v>
      </c>
      <c r="U2461">
        <v>1182.0999999999999</v>
      </c>
      <c r="W2461">
        <v>1167.6099999999999</v>
      </c>
      <c r="Z2461">
        <v>524914</v>
      </c>
      <c r="AA2461">
        <v>616809686.60000002</v>
      </c>
      <c r="AB2461">
        <v>30111</v>
      </c>
      <c r="AC2461" t="s">
        <v>42</v>
      </c>
      <c r="AD2461">
        <v>1</v>
      </c>
    </row>
    <row r="2462" spans="1:30">
      <c r="A2462" t="str">
        <f>CONCATENATE(I2462,J2462)</f>
        <v>PNCINFRAEQ</v>
      </c>
      <c r="B2462" s="34">
        <v>46273</v>
      </c>
      <c r="C2462" s="34">
        <v>46273</v>
      </c>
      <c r="D2462" t="s">
        <v>35</v>
      </c>
      <c r="E2462" t="s">
        <v>36</v>
      </c>
      <c r="F2462" t="s">
        <v>37</v>
      </c>
      <c r="G2462">
        <v>9385</v>
      </c>
      <c r="H2462" t="s">
        <v>7443</v>
      </c>
      <c r="I2462" t="s">
        <v>7444</v>
      </c>
      <c r="J2462" t="s">
        <v>161</v>
      </c>
      <c r="O2462" t="s">
        <v>7445</v>
      </c>
      <c r="P2462">
        <v>181.9</v>
      </c>
      <c r="Q2462">
        <v>182.05</v>
      </c>
      <c r="R2462">
        <v>175.6</v>
      </c>
      <c r="S2462">
        <v>177.06</v>
      </c>
      <c r="T2462">
        <v>177</v>
      </c>
      <c r="U2462">
        <v>181.71</v>
      </c>
      <c r="W2462">
        <v>177.06</v>
      </c>
      <c r="Z2462">
        <v>585027</v>
      </c>
      <c r="AA2462">
        <v>103856909.43000001</v>
      </c>
      <c r="AB2462">
        <v>12216</v>
      </c>
      <c r="AC2462" t="s">
        <v>42</v>
      </c>
      <c r="AD2462">
        <v>1</v>
      </c>
    </row>
    <row r="2463" spans="1:30">
      <c r="A2463" t="str">
        <f>CONCATENATE(I2463,J2463)</f>
        <v>PNGSREVAEQ</v>
      </c>
      <c r="B2463" s="34">
        <v>46273</v>
      </c>
      <c r="C2463" s="34">
        <v>46273</v>
      </c>
      <c r="D2463" t="s">
        <v>35</v>
      </c>
      <c r="E2463" t="s">
        <v>36</v>
      </c>
      <c r="F2463" t="s">
        <v>37</v>
      </c>
      <c r="G2463">
        <v>760242</v>
      </c>
      <c r="H2463" t="s">
        <v>7446</v>
      </c>
      <c r="I2463" t="s">
        <v>7447</v>
      </c>
      <c r="J2463" t="s">
        <v>161</v>
      </c>
      <c r="O2463" t="s">
        <v>7448</v>
      </c>
      <c r="P2463">
        <v>540.85</v>
      </c>
      <c r="Q2463">
        <v>554.70000000000005</v>
      </c>
      <c r="R2463">
        <v>530.25</v>
      </c>
      <c r="S2463">
        <v>546.54999999999995</v>
      </c>
      <c r="T2463">
        <v>545</v>
      </c>
      <c r="U2463">
        <v>540.15</v>
      </c>
      <c r="W2463">
        <v>546.54</v>
      </c>
      <c r="Z2463">
        <v>252382</v>
      </c>
      <c r="AA2463">
        <v>137125812.94999999</v>
      </c>
      <c r="AB2463">
        <v>9668</v>
      </c>
      <c r="AC2463" t="s">
        <v>42</v>
      </c>
      <c r="AD2463">
        <v>1</v>
      </c>
    </row>
    <row r="2464" spans="1:30">
      <c r="A2464" t="str">
        <f>CONCATENATE(I2464,J2464)</f>
        <v>PODDARMENTEQ</v>
      </c>
      <c r="B2464" s="34">
        <v>46273</v>
      </c>
      <c r="C2464" s="34">
        <v>46273</v>
      </c>
      <c r="D2464" t="s">
        <v>35</v>
      </c>
      <c r="E2464" t="s">
        <v>36</v>
      </c>
      <c r="F2464" t="s">
        <v>37</v>
      </c>
      <c r="G2464">
        <v>19036</v>
      </c>
      <c r="H2464" t="s">
        <v>7449</v>
      </c>
      <c r="I2464" t="s">
        <v>7450</v>
      </c>
      <c r="J2464" t="s">
        <v>161</v>
      </c>
      <c r="O2464" t="s">
        <v>7451</v>
      </c>
      <c r="P2464">
        <v>280</v>
      </c>
      <c r="Q2464">
        <v>333.4</v>
      </c>
      <c r="R2464">
        <v>280</v>
      </c>
      <c r="S2464">
        <v>311.45</v>
      </c>
      <c r="T2464">
        <v>313.89999999999998</v>
      </c>
      <c r="U2464">
        <v>277.85000000000002</v>
      </c>
      <c r="W2464">
        <v>311.44</v>
      </c>
      <c r="Z2464">
        <v>276944</v>
      </c>
      <c r="AA2464">
        <v>88369851.75</v>
      </c>
      <c r="AB2464">
        <v>6973</v>
      </c>
      <c r="AC2464" t="s">
        <v>42</v>
      </c>
      <c r="AD2464">
        <v>1</v>
      </c>
    </row>
    <row r="2465" spans="1:30">
      <c r="A2465" t="str">
        <f>CONCATENATE(I2465,J2465)</f>
        <v>POKARNAEQ</v>
      </c>
      <c r="B2465" s="34">
        <v>46273</v>
      </c>
      <c r="C2465" s="34">
        <v>46273</v>
      </c>
      <c r="D2465" t="s">
        <v>35</v>
      </c>
      <c r="E2465" t="s">
        <v>36</v>
      </c>
      <c r="F2465" t="s">
        <v>37</v>
      </c>
      <c r="G2465">
        <v>17651</v>
      </c>
      <c r="H2465" t="s">
        <v>7452</v>
      </c>
      <c r="I2465" t="s">
        <v>7453</v>
      </c>
      <c r="J2465" t="s">
        <v>161</v>
      </c>
      <c r="O2465" t="s">
        <v>7454</v>
      </c>
      <c r="P2465">
        <v>806</v>
      </c>
      <c r="Q2465">
        <v>814.9</v>
      </c>
      <c r="R2465">
        <v>782</v>
      </c>
      <c r="S2465">
        <v>786.65</v>
      </c>
      <c r="T2465">
        <v>790</v>
      </c>
      <c r="U2465">
        <v>803</v>
      </c>
      <c r="W2465">
        <v>786.64</v>
      </c>
      <c r="Z2465">
        <v>161959</v>
      </c>
      <c r="AA2465">
        <v>128252252.75</v>
      </c>
      <c r="AB2465">
        <v>5381</v>
      </c>
      <c r="AC2465" t="s">
        <v>42</v>
      </c>
      <c r="AD2465">
        <v>1</v>
      </c>
    </row>
    <row r="2466" spans="1:30">
      <c r="A2466" t="str">
        <f>CONCATENATE(I2466,J2466)</f>
        <v>POLYMEDEQ</v>
      </c>
      <c r="B2466" s="34">
        <v>46273</v>
      </c>
      <c r="C2466" s="34">
        <v>46273</v>
      </c>
      <c r="D2466" t="s">
        <v>35</v>
      </c>
      <c r="E2466" t="s">
        <v>36</v>
      </c>
      <c r="F2466" t="s">
        <v>37</v>
      </c>
      <c r="G2466">
        <v>25718</v>
      </c>
      <c r="H2466" t="s">
        <v>7455</v>
      </c>
      <c r="I2466" t="s">
        <v>7456</v>
      </c>
      <c r="J2466" t="s">
        <v>161</v>
      </c>
      <c r="O2466" t="s">
        <v>7457</v>
      </c>
      <c r="P2466">
        <v>1700.3</v>
      </c>
      <c r="Q2466">
        <v>1751</v>
      </c>
      <c r="R2466">
        <v>1682.3</v>
      </c>
      <c r="S2466">
        <v>1730.1</v>
      </c>
      <c r="T2466">
        <v>1728.3</v>
      </c>
      <c r="U2466">
        <v>1701.1</v>
      </c>
      <c r="W2466">
        <v>1730.1</v>
      </c>
      <c r="Z2466">
        <v>127092</v>
      </c>
      <c r="AA2466">
        <v>219658918.69999999</v>
      </c>
      <c r="AB2466">
        <v>13443</v>
      </c>
      <c r="AC2466" t="s">
        <v>42</v>
      </c>
      <c r="AD2466">
        <v>1</v>
      </c>
    </row>
    <row r="2467" spans="1:30">
      <c r="A2467" t="str">
        <f>CONCATENATE(I2467,J2467)</f>
        <v>POLYCABEQ</v>
      </c>
      <c r="B2467" s="34">
        <v>46273</v>
      </c>
      <c r="C2467" s="34">
        <v>46273</v>
      </c>
      <c r="D2467" t="s">
        <v>35</v>
      </c>
      <c r="E2467" t="s">
        <v>36</v>
      </c>
      <c r="F2467" t="s">
        <v>37</v>
      </c>
      <c r="G2467">
        <v>9590</v>
      </c>
      <c r="H2467" t="s">
        <v>7458</v>
      </c>
      <c r="I2467" t="s">
        <v>7459</v>
      </c>
      <c r="J2467" t="s">
        <v>161</v>
      </c>
      <c r="O2467" t="s">
        <v>7460</v>
      </c>
      <c r="P2467">
        <v>8301</v>
      </c>
      <c r="Q2467">
        <v>8433</v>
      </c>
      <c r="R2467">
        <v>8301</v>
      </c>
      <c r="S2467">
        <v>8373.5</v>
      </c>
      <c r="T2467">
        <v>8373.5</v>
      </c>
      <c r="U2467">
        <v>8261</v>
      </c>
      <c r="W2467">
        <v>8373.4500000000007</v>
      </c>
      <c r="Z2467">
        <v>604579</v>
      </c>
      <c r="AA2467">
        <v>5065367673.5</v>
      </c>
      <c r="AB2467">
        <v>66238</v>
      </c>
      <c r="AC2467" t="s">
        <v>42</v>
      </c>
      <c r="AD2467">
        <v>1</v>
      </c>
    </row>
    <row r="2468" spans="1:30">
      <c r="A2468" t="str">
        <f>CONCATENATE(I2468,J2468)</f>
        <v>POLYPLEXEQ</v>
      </c>
      <c r="B2468" s="34">
        <v>46273</v>
      </c>
      <c r="C2468" s="34">
        <v>46273</v>
      </c>
      <c r="D2468" t="s">
        <v>35</v>
      </c>
      <c r="E2468" t="s">
        <v>36</v>
      </c>
      <c r="F2468" t="s">
        <v>37</v>
      </c>
      <c r="G2468">
        <v>2687</v>
      </c>
      <c r="H2468" t="s">
        <v>7461</v>
      </c>
      <c r="I2468" t="s">
        <v>7462</v>
      </c>
      <c r="J2468" t="s">
        <v>161</v>
      </c>
      <c r="O2468" t="s">
        <v>7463</v>
      </c>
      <c r="P2468">
        <v>1175</v>
      </c>
      <c r="Q2468">
        <v>1177.5999999999999</v>
      </c>
      <c r="R2468">
        <v>1141.5</v>
      </c>
      <c r="S2468">
        <v>1149.5999999999999</v>
      </c>
      <c r="T2468">
        <v>1146</v>
      </c>
      <c r="U2468">
        <v>1180</v>
      </c>
      <c r="W2468">
        <v>1149.55</v>
      </c>
      <c r="Z2468">
        <v>51471</v>
      </c>
      <c r="AA2468">
        <v>59424013.5</v>
      </c>
      <c r="AB2468">
        <v>3662</v>
      </c>
      <c r="AC2468" t="s">
        <v>42</v>
      </c>
      <c r="AD2468">
        <v>1</v>
      </c>
    </row>
    <row r="2469" spans="1:30">
      <c r="A2469" t="str">
        <f>CONCATENATE(I2469,J2469)</f>
        <v>POLYSILSM</v>
      </c>
      <c r="B2469" s="34">
        <v>46273</v>
      </c>
      <c r="C2469" s="34">
        <v>46273</v>
      </c>
      <c r="D2469" t="s">
        <v>35</v>
      </c>
      <c r="E2469" t="s">
        <v>36</v>
      </c>
      <c r="F2469" t="s">
        <v>37</v>
      </c>
      <c r="G2469">
        <v>22711</v>
      </c>
      <c r="H2469" t="s">
        <v>7464</v>
      </c>
      <c r="I2469" t="s">
        <v>7465</v>
      </c>
      <c r="J2469" t="s">
        <v>267</v>
      </c>
      <c r="O2469" t="s">
        <v>7466</v>
      </c>
      <c r="P2469">
        <v>73</v>
      </c>
      <c r="Q2469">
        <v>77.5</v>
      </c>
      <c r="R2469">
        <v>73</v>
      </c>
      <c r="S2469">
        <v>77.5</v>
      </c>
      <c r="T2469">
        <v>77.5</v>
      </c>
      <c r="U2469">
        <v>73.849999999999994</v>
      </c>
      <c r="W2469">
        <v>77.5</v>
      </c>
      <c r="Z2469">
        <v>146000</v>
      </c>
      <c r="AA2469">
        <v>11051850</v>
      </c>
      <c r="AB2469">
        <v>131</v>
      </c>
      <c r="AC2469" t="s">
        <v>42</v>
      </c>
      <c r="AD2469">
        <v>500</v>
      </c>
    </row>
    <row r="2470" spans="1:30">
      <c r="A2470" t="str">
        <f>CONCATENATE(I2470,J2470)</f>
        <v>POLYSPINEQ</v>
      </c>
      <c r="B2470" s="34">
        <v>46273</v>
      </c>
      <c r="C2470" s="34">
        <v>46273</v>
      </c>
      <c r="D2470" t="s">
        <v>35</v>
      </c>
      <c r="E2470" t="s">
        <v>36</v>
      </c>
      <c r="F2470" t="s">
        <v>37</v>
      </c>
      <c r="G2470">
        <v>765150</v>
      </c>
      <c r="H2470" t="s">
        <v>7467</v>
      </c>
      <c r="I2470" t="s">
        <v>7468</v>
      </c>
      <c r="J2470" t="s">
        <v>161</v>
      </c>
      <c r="O2470" t="s">
        <v>7469</v>
      </c>
      <c r="P2470">
        <v>29.28</v>
      </c>
      <c r="Q2470">
        <v>29.28</v>
      </c>
      <c r="R2470">
        <v>28.99</v>
      </c>
      <c r="S2470">
        <v>29</v>
      </c>
      <c r="T2470">
        <v>29</v>
      </c>
      <c r="U2470">
        <v>29.42</v>
      </c>
      <c r="W2470">
        <v>29.38</v>
      </c>
      <c r="Z2470">
        <v>683</v>
      </c>
      <c r="AA2470">
        <v>19894.37</v>
      </c>
      <c r="AB2470">
        <v>12</v>
      </c>
      <c r="AC2470" t="s">
        <v>42</v>
      </c>
      <c r="AD2470">
        <v>1</v>
      </c>
    </row>
    <row r="2471" spans="1:30">
      <c r="A2471" t="str">
        <f>CONCATENATE(I2471,J2471)</f>
        <v>POCLEQ</v>
      </c>
      <c r="B2471" s="34">
        <v>46273</v>
      </c>
      <c r="C2471" s="34">
        <v>46273</v>
      </c>
      <c r="D2471" t="s">
        <v>35</v>
      </c>
      <c r="E2471" t="s">
        <v>36</v>
      </c>
      <c r="F2471" t="s">
        <v>37</v>
      </c>
      <c r="G2471">
        <v>14385</v>
      </c>
      <c r="H2471" t="s">
        <v>7470</v>
      </c>
      <c r="I2471" t="s">
        <v>7471</v>
      </c>
      <c r="J2471" t="s">
        <v>161</v>
      </c>
      <c r="O2471" t="s">
        <v>7472</v>
      </c>
      <c r="P2471">
        <v>472.4</v>
      </c>
      <c r="Q2471">
        <v>477.35</v>
      </c>
      <c r="R2471">
        <v>466.5</v>
      </c>
      <c r="S2471">
        <v>469.45</v>
      </c>
      <c r="T2471">
        <v>471.5</v>
      </c>
      <c r="U2471">
        <v>467.95</v>
      </c>
      <c r="W2471">
        <v>469.46</v>
      </c>
      <c r="Z2471">
        <v>198450</v>
      </c>
      <c r="AA2471">
        <v>93368230.349999994</v>
      </c>
      <c r="AB2471">
        <v>7257</v>
      </c>
      <c r="AC2471" t="s">
        <v>42</v>
      </c>
      <c r="AD2471">
        <v>1</v>
      </c>
    </row>
    <row r="2472" spans="1:30">
      <c r="A2472" t="str">
        <f>CONCATENATE(I2472,J2472)</f>
        <v>PONNIERODEEQ</v>
      </c>
      <c r="B2472" s="34">
        <v>46273</v>
      </c>
      <c r="C2472" s="34">
        <v>46273</v>
      </c>
      <c r="D2472" t="s">
        <v>35</v>
      </c>
      <c r="E2472" t="s">
        <v>36</v>
      </c>
      <c r="F2472" t="s">
        <v>37</v>
      </c>
      <c r="G2472">
        <v>10661</v>
      </c>
      <c r="H2472" t="s">
        <v>7473</v>
      </c>
      <c r="I2472" t="s">
        <v>7474</v>
      </c>
      <c r="J2472" t="s">
        <v>161</v>
      </c>
      <c r="O2472" t="s">
        <v>7475</v>
      </c>
      <c r="P2472">
        <v>387.95</v>
      </c>
      <c r="Q2472">
        <v>387.95</v>
      </c>
      <c r="R2472">
        <v>376</v>
      </c>
      <c r="S2472">
        <v>378.55</v>
      </c>
      <c r="T2472">
        <v>377</v>
      </c>
      <c r="U2472">
        <v>386.85</v>
      </c>
      <c r="W2472">
        <v>378.48</v>
      </c>
      <c r="Z2472">
        <v>14432</v>
      </c>
      <c r="AA2472">
        <v>5480810</v>
      </c>
      <c r="AB2472">
        <v>1264</v>
      </c>
      <c r="AC2472" t="s">
        <v>42</v>
      </c>
      <c r="AD2472">
        <v>1</v>
      </c>
    </row>
    <row r="2473" spans="1:30">
      <c r="A2473" t="str">
        <f>CONCATENATE(I2473,J2473)</f>
        <v>POONAWALLAEQ</v>
      </c>
      <c r="B2473" s="34">
        <v>46273</v>
      </c>
      <c r="C2473" s="34">
        <v>46273</v>
      </c>
      <c r="D2473" t="s">
        <v>35</v>
      </c>
      <c r="E2473" t="s">
        <v>36</v>
      </c>
      <c r="F2473" t="s">
        <v>37</v>
      </c>
      <c r="G2473">
        <v>11403</v>
      </c>
      <c r="H2473" t="s">
        <v>7476</v>
      </c>
      <c r="I2473" t="s">
        <v>7477</v>
      </c>
      <c r="J2473" t="s">
        <v>161</v>
      </c>
      <c r="O2473" t="s">
        <v>7478</v>
      </c>
      <c r="P2473">
        <v>460</v>
      </c>
      <c r="Q2473">
        <v>460</v>
      </c>
      <c r="R2473">
        <v>452.35</v>
      </c>
      <c r="S2473">
        <v>455.25</v>
      </c>
      <c r="T2473">
        <v>454.5</v>
      </c>
      <c r="U2473">
        <v>459.15</v>
      </c>
      <c r="W2473">
        <v>455.22</v>
      </c>
      <c r="Z2473">
        <v>418071</v>
      </c>
      <c r="AA2473">
        <v>190308601.69999999</v>
      </c>
      <c r="AB2473">
        <v>19051</v>
      </c>
      <c r="AC2473" t="s">
        <v>42</v>
      </c>
      <c r="AD2473">
        <v>1</v>
      </c>
    </row>
    <row r="2474" spans="1:30">
      <c r="A2474" t="str">
        <f>CONCATENATE(I2474,J2474)</f>
        <v>PVSLEQ</v>
      </c>
      <c r="B2474" s="34">
        <v>46273</v>
      </c>
      <c r="C2474" s="34">
        <v>46273</v>
      </c>
      <c r="D2474" t="s">
        <v>35</v>
      </c>
      <c r="E2474" t="s">
        <v>36</v>
      </c>
      <c r="F2474" t="s">
        <v>37</v>
      </c>
      <c r="G2474">
        <v>23142</v>
      </c>
      <c r="H2474" t="s">
        <v>7479</v>
      </c>
      <c r="I2474" t="s">
        <v>7480</v>
      </c>
      <c r="J2474" t="s">
        <v>161</v>
      </c>
      <c r="O2474" t="s">
        <v>7481</v>
      </c>
      <c r="P2474">
        <v>100.54</v>
      </c>
      <c r="Q2474">
        <v>103.93</v>
      </c>
      <c r="R2474">
        <v>99.52</v>
      </c>
      <c r="S2474">
        <v>101.63</v>
      </c>
      <c r="T2474">
        <v>101.99</v>
      </c>
      <c r="U2474">
        <v>100.54</v>
      </c>
      <c r="W2474">
        <v>101.61</v>
      </c>
      <c r="Z2474">
        <v>25283</v>
      </c>
      <c r="AA2474">
        <v>2550657.69</v>
      </c>
      <c r="AB2474">
        <v>681</v>
      </c>
      <c r="AC2474" t="s">
        <v>42</v>
      </c>
      <c r="AD2474">
        <v>1</v>
      </c>
    </row>
    <row r="2475" spans="1:30">
      <c r="A2475" t="str">
        <f>CONCATENATE(I2475,J2475)</f>
        <v>POSITRONSM</v>
      </c>
      <c r="B2475" s="34">
        <v>46273</v>
      </c>
      <c r="C2475" s="34">
        <v>46273</v>
      </c>
      <c r="D2475" t="s">
        <v>35</v>
      </c>
      <c r="E2475" t="s">
        <v>36</v>
      </c>
      <c r="F2475" t="s">
        <v>37</v>
      </c>
      <c r="G2475">
        <v>24864</v>
      </c>
      <c r="H2475" t="s">
        <v>7482</v>
      </c>
      <c r="I2475" t="s">
        <v>7483</v>
      </c>
      <c r="J2475" t="s">
        <v>267</v>
      </c>
      <c r="O2475" t="s">
        <v>7484</v>
      </c>
      <c r="P2475">
        <v>184.25</v>
      </c>
      <c r="Q2475">
        <v>185</v>
      </c>
      <c r="R2475">
        <v>178</v>
      </c>
      <c r="S2475">
        <v>178.85</v>
      </c>
      <c r="T2475">
        <v>178</v>
      </c>
      <c r="U2475">
        <v>183.35</v>
      </c>
      <c r="W2475">
        <v>178.85</v>
      </c>
      <c r="Z2475">
        <v>8400</v>
      </c>
      <c r="AA2475">
        <v>1526190</v>
      </c>
      <c r="AB2475">
        <v>27</v>
      </c>
      <c r="AC2475" t="s">
        <v>42</v>
      </c>
      <c r="AD2475">
        <v>300</v>
      </c>
    </row>
    <row r="2476" spans="1:30">
      <c r="A2476" t="str">
        <f>CONCATENATE(I2476,J2476)</f>
        <v>PFCEQ</v>
      </c>
      <c r="B2476" s="34">
        <v>46273</v>
      </c>
      <c r="C2476" s="34">
        <v>46273</v>
      </c>
      <c r="D2476" t="s">
        <v>35</v>
      </c>
      <c r="E2476" t="s">
        <v>36</v>
      </c>
      <c r="F2476" t="s">
        <v>37</v>
      </c>
      <c r="G2476">
        <v>14299</v>
      </c>
      <c r="H2476" t="s">
        <v>7485</v>
      </c>
      <c r="I2476" t="s">
        <v>7486</v>
      </c>
      <c r="J2476" t="s">
        <v>161</v>
      </c>
      <c r="O2476" t="s">
        <v>7487</v>
      </c>
      <c r="P2476">
        <v>352.05</v>
      </c>
      <c r="Q2476">
        <v>356.5</v>
      </c>
      <c r="R2476">
        <v>351.15</v>
      </c>
      <c r="S2476">
        <v>355.9</v>
      </c>
      <c r="T2476">
        <v>355.9</v>
      </c>
      <c r="U2476">
        <v>353.1</v>
      </c>
      <c r="W2476">
        <v>355.9</v>
      </c>
      <c r="Z2476">
        <v>6879445</v>
      </c>
      <c r="AA2476">
        <v>2437706981</v>
      </c>
      <c r="AB2476">
        <v>58663</v>
      </c>
      <c r="AC2476" t="s">
        <v>42</v>
      </c>
      <c r="AD2476">
        <v>1</v>
      </c>
    </row>
    <row r="2477" spans="1:30">
      <c r="A2477" t="str">
        <f>CONCATENATE(I2477,J2477)</f>
        <v>POWERGRIDEQ</v>
      </c>
      <c r="B2477" s="34">
        <v>46273</v>
      </c>
      <c r="C2477" s="34">
        <v>46273</v>
      </c>
      <c r="D2477" t="s">
        <v>35</v>
      </c>
      <c r="E2477" t="s">
        <v>36</v>
      </c>
      <c r="F2477" t="s">
        <v>37</v>
      </c>
      <c r="G2477">
        <v>14977</v>
      </c>
      <c r="H2477" t="s">
        <v>7488</v>
      </c>
      <c r="I2477" t="s">
        <v>7489</v>
      </c>
      <c r="J2477" t="s">
        <v>161</v>
      </c>
      <c r="O2477" t="s">
        <v>7490</v>
      </c>
      <c r="P2477">
        <v>265.64999999999998</v>
      </c>
      <c r="Q2477">
        <v>267.25</v>
      </c>
      <c r="R2477">
        <v>263</v>
      </c>
      <c r="S2477">
        <v>265.75</v>
      </c>
      <c r="T2477">
        <v>265.75</v>
      </c>
      <c r="U2477">
        <v>266.45</v>
      </c>
      <c r="W2477">
        <v>265.75</v>
      </c>
      <c r="Z2477">
        <v>7385483</v>
      </c>
      <c r="AA2477">
        <v>1959695910.25</v>
      </c>
      <c r="AB2477">
        <v>75340</v>
      </c>
      <c r="AC2477" t="s">
        <v>42</v>
      </c>
      <c r="AD2477">
        <v>1</v>
      </c>
    </row>
    <row r="2478" spans="1:30">
      <c r="A2478" t="str">
        <f>CONCATENATE(I2478,J2478)</f>
        <v>PIGLEQ</v>
      </c>
      <c r="B2478" s="34">
        <v>46273</v>
      </c>
      <c r="C2478" s="34">
        <v>46273</v>
      </c>
      <c r="D2478" t="s">
        <v>35</v>
      </c>
      <c r="E2478" t="s">
        <v>36</v>
      </c>
      <c r="F2478" t="s">
        <v>37</v>
      </c>
      <c r="G2478">
        <v>15716</v>
      </c>
      <c r="H2478" t="s">
        <v>7491</v>
      </c>
      <c r="I2478" t="s">
        <v>7492</v>
      </c>
      <c r="J2478" t="s">
        <v>161</v>
      </c>
      <c r="O2478" t="s">
        <v>7493</v>
      </c>
      <c r="P2478">
        <v>98.35</v>
      </c>
      <c r="Q2478">
        <v>98.58</v>
      </c>
      <c r="R2478">
        <v>95.5</v>
      </c>
      <c r="S2478">
        <v>96.13</v>
      </c>
      <c r="T2478">
        <v>97.8</v>
      </c>
      <c r="U2478">
        <v>98.35</v>
      </c>
      <c r="W2478">
        <v>96.15</v>
      </c>
      <c r="Z2478">
        <v>44872</v>
      </c>
      <c r="AA2478">
        <v>4342211.83</v>
      </c>
      <c r="AB2478">
        <v>694</v>
      </c>
      <c r="AC2478" t="s">
        <v>42</v>
      </c>
      <c r="AD2478">
        <v>1</v>
      </c>
    </row>
    <row r="2479" spans="1:30">
      <c r="A2479" t="str">
        <f>CONCATENATE(I2479,J2479)</f>
        <v>POWERMECHEQ</v>
      </c>
      <c r="B2479" s="34">
        <v>46273</v>
      </c>
      <c r="C2479" s="34">
        <v>46273</v>
      </c>
      <c r="D2479" t="s">
        <v>35</v>
      </c>
      <c r="E2479" t="s">
        <v>36</v>
      </c>
      <c r="F2479" t="s">
        <v>37</v>
      </c>
      <c r="G2479">
        <v>10473</v>
      </c>
      <c r="H2479" t="s">
        <v>7494</v>
      </c>
      <c r="I2479" t="s">
        <v>7495</v>
      </c>
      <c r="J2479" t="s">
        <v>161</v>
      </c>
      <c r="O2479" t="s">
        <v>7496</v>
      </c>
      <c r="P2479">
        <v>2359.8000000000002</v>
      </c>
      <c r="Q2479">
        <v>2443.4</v>
      </c>
      <c r="R2479">
        <v>2351</v>
      </c>
      <c r="S2479">
        <v>2415.1</v>
      </c>
      <c r="T2479">
        <v>2429</v>
      </c>
      <c r="U2479">
        <v>2359.8000000000002</v>
      </c>
      <c r="W2479">
        <v>2415.0100000000002</v>
      </c>
      <c r="Z2479">
        <v>50094</v>
      </c>
      <c r="AA2479">
        <v>120518815.09999999</v>
      </c>
      <c r="AB2479">
        <v>8981</v>
      </c>
      <c r="AC2479" t="s">
        <v>42</v>
      </c>
      <c r="AD2479">
        <v>1</v>
      </c>
    </row>
    <row r="2480" spans="1:30">
      <c r="A2480" t="str">
        <f>CONCATENATE(I2480,J2480)</f>
        <v>PGINVITIV</v>
      </c>
      <c r="B2480" s="34">
        <v>46273</v>
      </c>
      <c r="C2480" s="34">
        <v>46273</v>
      </c>
      <c r="D2480" t="s">
        <v>35</v>
      </c>
      <c r="E2480" t="s">
        <v>36</v>
      </c>
      <c r="F2480" t="s">
        <v>37</v>
      </c>
      <c r="G2480">
        <v>3494</v>
      </c>
      <c r="H2480" t="s">
        <v>7497</v>
      </c>
      <c r="I2480" t="s">
        <v>7498</v>
      </c>
      <c r="J2480" t="s">
        <v>759</v>
      </c>
      <c r="O2480" t="s">
        <v>7499</v>
      </c>
      <c r="P2480">
        <v>102.51</v>
      </c>
      <c r="Q2480">
        <v>103.6</v>
      </c>
      <c r="R2480">
        <v>102.51</v>
      </c>
      <c r="S2480">
        <v>102.87</v>
      </c>
      <c r="T2480">
        <v>102.9</v>
      </c>
      <c r="U2480">
        <v>102.51</v>
      </c>
      <c r="W2480">
        <v>102.87</v>
      </c>
      <c r="Z2480">
        <v>1046836</v>
      </c>
      <c r="AA2480">
        <v>107709735.67</v>
      </c>
      <c r="AB2480">
        <v>5436</v>
      </c>
      <c r="AC2480" t="s">
        <v>42</v>
      </c>
      <c r="AD2480">
        <v>1</v>
      </c>
    </row>
    <row r="2481" spans="1:30">
      <c r="A2481" t="str">
        <f>CONCATENATE(I2481,J2481)</f>
        <v>POWERICAEQ</v>
      </c>
      <c r="B2481" s="34">
        <v>46273</v>
      </c>
      <c r="C2481" s="34">
        <v>46273</v>
      </c>
      <c r="D2481" t="s">
        <v>35</v>
      </c>
      <c r="E2481" t="s">
        <v>36</v>
      </c>
      <c r="F2481" t="s">
        <v>37</v>
      </c>
      <c r="G2481">
        <v>761680</v>
      </c>
      <c r="H2481" t="s">
        <v>7500</v>
      </c>
      <c r="I2481" t="s">
        <v>7501</v>
      </c>
      <c r="J2481" t="s">
        <v>161</v>
      </c>
      <c r="O2481" t="s">
        <v>7502</v>
      </c>
      <c r="P2481">
        <v>512.1</v>
      </c>
      <c r="Q2481">
        <v>533.1</v>
      </c>
      <c r="R2481">
        <v>509</v>
      </c>
      <c r="S2481">
        <v>530.70000000000005</v>
      </c>
      <c r="T2481">
        <v>530</v>
      </c>
      <c r="U2481">
        <v>512.1</v>
      </c>
      <c r="W2481">
        <v>530.72</v>
      </c>
      <c r="Z2481">
        <v>111394</v>
      </c>
      <c r="AA2481">
        <v>58386453.899999999</v>
      </c>
      <c r="AB2481">
        <v>4023</v>
      </c>
      <c r="AC2481" t="s">
        <v>42</v>
      </c>
      <c r="AD2481">
        <v>1</v>
      </c>
    </row>
    <row r="2482" spans="1:30">
      <c r="A2482" t="str">
        <f>CONCATENATE(I2482,J2482)</f>
        <v>PPAPBE</v>
      </c>
      <c r="B2482" s="34">
        <v>46273</v>
      </c>
      <c r="C2482" s="34">
        <v>46273</v>
      </c>
      <c r="D2482" t="s">
        <v>35</v>
      </c>
      <c r="E2482" t="s">
        <v>36</v>
      </c>
      <c r="F2482" t="s">
        <v>37</v>
      </c>
      <c r="G2482">
        <v>15213</v>
      </c>
      <c r="H2482" t="s">
        <v>7503</v>
      </c>
      <c r="I2482" t="s">
        <v>7504</v>
      </c>
      <c r="J2482" t="s">
        <v>183</v>
      </c>
      <c r="O2482" t="s">
        <v>7505</v>
      </c>
      <c r="P2482">
        <v>258.7</v>
      </c>
      <c r="Q2482">
        <v>258.7</v>
      </c>
      <c r="R2482">
        <v>248</v>
      </c>
      <c r="S2482">
        <v>249.8</v>
      </c>
      <c r="T2482">
        <v>249.95</v>
      </c>
      <c r="U2482">
        <v>256.14999999999998</v>
      </c>
      <c r="W2482">
        <v>249.79</v>
      </c>
      <c r="Z2482">
        <v>27214</v>
      </c>
      <c r="AA2482">
        <v>6827985.8499999996</v>
      </c>
      <c r="AB2482">
        <v>341</v>
      </c>
      <c r="AC2482" t="s">
        <v>42</v>
      </c>
      <c r="AD2482">
        <v>1</v>
      </c>
    </row>
    <row r="2483" spans="1:30">
      <c r="A2483" t="str">
        <f>CONCATENATE(I2483,J2483)</f>
        <v>PRABHAEQ</v>
      </c>
      <c r="B2483" s="34">
        <v>46273</v>
      </c>
      <c r="C2483" s="34">
        <v>46273</v>
      </c>
      <c r="D2483" t="s">
        <v>35</v>
      </c>
      <c r="E2483" t="s">
        <v>36</v>
      </c>
      <c r="F2483" t="s">
        <v>37</v>
      </c>
      <c r="G2483">
        <v>30134</v>
      </c>
      <c r="H2483" t="s">
        <v>7506</v>
      </c>
      <c r="I2483" t="s">
        <v>7507</v>
      </c>
      <c r="J2483" t="s">
        <v>161</v>
      </c>
      <c r="O2483" t="s">
        <v>7508</v>
      </c>
      <c r="P2483">
        <v>244.8</v>
      </c>
      <c r="Q2483">
        <v>260</v>
      </c>
      <c r="R2483">
        <v>244.05</v>
      </c>
      <c r="S2483">
        <v>253.55</v>
      </c>
      <c r="T2483">
        <v>253</v>
      </c>
      <c r="U2483">
        <v>243.39</v>
      </c>
      <c r="W2483">
        <v>253.55</v>
      </c>
      <c r="Z2483">
        <v>1160678</v>
      </c>
      <c r="AA2483">
        <v>293742696.62</v>
      </c>
      <c r="AB2483">
        <v>14118</v>
      </c>
      <c r="AC2483" t="s">
        <v>42</v>
      </c>
      <c r="AD2483">
        <v>1</v>
      </c>
    </row>
    <row r="2484" spans="1:30">
      <c r="A2484" t="str">
        <f>CONCATENATE(I2484,J2484)</f>
        <v>PRADPMEBE</v>
      </c>
      <c r="B2484" s="34">
        <v>46273</v>
      </c>
      <c r="C2484" s="34">
        <v>46273</v>
      </c>
      <c r="D2484" t="s">
        <v>35</v>
      </c>
      <c r="E2484" t="s">
        <v>36</v>
      </c>
      <c r="F2484" t="s">
        <v>37</v>
      </c>
      <c r="G2484">
        <v>762842</v>
      </c>
      <c r="H2484" t="s">
        <v>7509</v>
      </c>
      <c r="I2484" t="s">
        <v>7510</v>
      </c>
      <c r="J2484" t="s">
        <v>183</v>
      </c>
      <c r="O2484" t="s">
        <v>7511</v>
      </c>
      <c r="P2484">
        <v>486</v>
      </c>
      <c r="Q2484">
        <v>498.9</v>
      </c>
      <c r="R2484">
        <v>486</v>
      </c>
      <c r="S2484">
        <v>489.1</v>
      </c>
      <c r="T2484">
        <v>494.8</v>
      </c>
      <c r="U2484">
        <v>490.75</v>
      </c>
      <c r="W2484">
        <v>489.1</v>
      </c>
      <c r="Z2484">
        <v>6186</v>
      </c>
      <c r="AA2484">
        <v>3030869.8</v>
      </c>
      <c r="AB2484">
        <v>43</v>
      </c>
      <c r="AC2484" t="s">
        <v>42</v>
      </c>
      <c r="AD2484">
        <v>1</v>
      </c>
    </row>
    <row r="2485" spans="1:30">
      <c r="A2485" t="str">
        <f>CONCATENATE(I2485,J2485)</f>
        <v>PRAJINDEQ</v>
      </c>
      <c r="B2485" s="34">
        <v>46273</v>
      </c>
      <c r="C2485" s="34">
        <v>46273</v>
      </c>
      <c r="D2485" t="s">
        <v>35</v>
      </c>
      <c r="E2485" t="s">
        <v>36</v>
      </c>
      <c r="F2485" t="s">
        <v>37</v>
      </c>
      <c r="G2485">
        <v>2705</v>
      </c>
      <c r="H2485" t="s">
        <v>7512</v>
      </c>
      <c r="I2485" t="s">
        <v>7513</v>
      </c>
      <c r="J2485" t="s">
        <v>161</v>
      </c>
      <c r="O2485" t="s">
        <v>7514</v>
      </c>
      <c r="P2485">
        <v>336.5</v>
      </c>
      <c r="Q2485">
        <v>340</v>
      </c>
      <c r="R2485">
        <v>334</v>
      </c>
      <c r="S2485">
        <v>338.85</v>
      </c>
      <c r="T2485">
        <v>340</v>
      </c>
      <c r="U2485">
        <v>336.55</v>
      </c>
      <c r="W2485">
        <v>338.85</v>
      </c>
      <c r="Z2485">
        <v>279523</v>
      </c>
      <c r="AA2485">
        <v>94149793.700000003</v>
      </c>
      <c r="AB2485">
        <v>10095</v>
      </c>
      <c r="AC2485" t="s">
        <v>42</v>
      </c>
      <c r="AD2485">
        <v>1</v>
      </c>
    </row>
    <row r="2486" spans="1:30">
      <c r="A2486" t="str">
        <f>CONCATENATE(I2486,J2486)</f>
        <v>PRAENGEQ</v>
      </c>
      <c r="B2486" s="34">
        <v>46273</v>
      </c>
      <c r="C2486" s="34">
        <v>46273</v>
      </c>
      <c r="D2486" t="s">
        <v>35</v>
      </c>
      <c r="E2486" t="s">
        <v>36</v>
      </c>
      <c r="F2486" t="s">
        <v>37</v>
      </c>
      <c r="G2486">
        <v>13941</v>
      </c>
      <c r="H2486" t="s">
        <v>7515</v>
      </c>
      <c r="I2486" t="s">
        <v>7516</v>
      </c>
      <c r="J2486" t="s">
        <v>161</v>
      </c>
      <c r="O2486" t="s">
        <v>7517</v>
      </c>
      <c r="P2486">
        <v>24.74</v>
      </c>
      <c r="Q2486">
        <v>24.74</v>
      </c>
      <c r="R2486">
        <v>22.5</v>
      </c>
      <c r="S2486">
        <v>22.69</v>
      </c>
      <c r="T2486">
        <v>22.7</v>
      </c>
      <c r="U2486">
        <v>24.25</v>
      </c>
      <c r="W2486">
        <v>22.68</v>
      </c>
      <c r="Z2486">
        <v>88785</v>
      </c>
      <c r="AA2486">
        <v>2074285.99</v>
      </c>
      <c r="AB2486">
        <v>571</v>
      </c>
      <c r="AC2486" t="s">
        <v>42</v>
      </c>
      <c r="AD2486">
        <v>1</v>
      </c>
    </row>
    <row r="2487" spans="1:30">
      <c r="A2487" t="str">
        <f>CONCATENATE(I2487,J2487)</f>
        <v>PRAKASHEQ</v>
      </c>
      <c r="B2487" s="34">
        <v>46273</v>
      </c>
      <c r="C2487" s="34">
        <v>46273</v>
      </c>
      <c r="D2487" t="s">
        <v>35</v>
      </c>
      <c r="E2487" t="s">
        <v>36</v>
      </c>
      <c r="F2487" t="s">
        <v>37</v>
      </c>
      <c r="G2487">
        <v>2708</v>
      </c>
      <c r="H2487" t="s">
        <v>7518</v>
      </c>
      <c r="I2487" t="s">
        <v>7519</v>
      </c>
      <c r="J2487" t="s">
        <v>161</v>
      </c>
      <c r="O2487" t="s">
        <v>7520</v>
      </c>
      <c r="P2487">
        <v>125.99</v>
      </c>
      <c r="Q2487">
        <v>129.88999999999999</v>
      </c>
      <c r="R2487">
        <v>125.11</v>
      </c>
      <c r="S2487">
        <v>127.3</v>
      </c>
      <c r="T2487">
        <v>127.9</v>
      </c>
      <c r="U2487">
        <v>125.08</v>
      </c>
      <c r="W2487">
        <v>127.3</v>
      </c>
      <c r="Z2487">
        <v>682134</v>
      </c>
      <c r="AA2487">
        <v>86937815.069999993</v>
      </c>
      <c r="AB2487">
        <v>5517</v>
      </c>
      <c r="AC2487" t="s">
        <v>42</v>
      </c>
      <c r="AD2487">
        <v>1</v>
      </c>
    </row>
    <row r="2488" spans="1:30">
      <c r="A2488" t="str">
        <f>CONCATENATE(I2488,J2488)</f>
        <v>PPLBE</v>
      </c>
      <c r="B2488" s="34">
        <v>46273</v>
      </c>
      <c r="C2488" s="34">
        <v>46273</v>
      </c>
      <c r="D2488" t="s">
        <v>35</v>
      </c>
      <c r="E2488" t="s">
        <v>36</v>
      </c>
      <c r="F2488" t="s">
        <v>37</v>
      </c>
      <c r="G2488">
        <v>10299</v>
      </c>
      <c r="H2488" t="s">
        <v>7521</v>
      </c>
      <c r="I2488" t="s">
        <v>7522</v>
      </c>
      <c r="J2488" t="s">
        <v>183</v>
      </c>
      <c r="O2488" t="s">
        <v>7523</v>
      </c>
      <c r="P2488">
        <v>271.95</v>
      </c>
      <c r="Q2488">
        <v>276.5</v>
      </c>
      <c r="R2488">
        <v>266.64999999999998</v>
      </c>
      <c r="S2488">
        <v>274.05</v>
      </c>
      <c r="T2488">
        <v>276</v>
      </c>
      <c r="U2488">
        <v>270.05</v>
      </c>
      <c r="W2488">
        <v>274.10000000000002</v>
      </c>
      <c r="Z2488">
        <v>23357</v>
      </c>
      <c r="AA2488">
        <v>6372287.2999999998</v>
      </c>
      <c r="AB2488">
        <v>394</v>
      </c>
      <c r="AC2488" t="s">
        <v>42</v>
      </c>
      <c r="AD2488">
        <v>1</v>
      </c>
    </row>
    <row r="2489" spans="1:30">
      <c r="A2489" t="str">
        <f>CONCATENATE(I2489,J2489)</f>
        <v>PRAKASHSTLEQ</v>
      </c>
      <c r="B2489" s="34">
        <v>46273</v>
      </c>
      <c r="C2489" s="34">
        <v>46273</v>
      </c>
      <c r="D2489" t="s">
        <v>35</v>
      </c>
      <c r="E2489" t="s">
        <v>36</v>
      </c>
      <c r="F2489" t="s">
        <v>37</v>
      </c>
      <c r="G2489">
        <v>19599</v>
      </c>
      <c r="H2489" t="s">
        <v>7524</v>
      </c>
      <c r="I2489" t="s">
        <v>7525</v>
      </c>
      <c r="J2489" t="s">
        <v>161</v>
      </c>
      <c r="O2489" t="s">
        <v>7526</v>
      </c>
      <c r="P2489">
        <v>3.83</v>
      </c>
      <c r="Q2489">
        <v>3.94</v>
      </c>
      <c r="R2489">
        <v>3.68</v>
      </c>
      <c r="S2489">
        <v>3.75</v>
      </c>
      <c r="T2489">
        <v>3.79</v>
      </c>
      <c r="U2489">
        <v>3.75</v>
      </c>
      <c r="W2489">
        <v>3.76</v>
      </c>
      <c r="Z2489">
        <v>174917</v>
      </c>
      <c r="AA2489">
        <v>665312.12</v>
      </c>
      <c r="AB2489">
        <v>462</v>
      </c>
      <c r="AC2489" t="s">
        <v>42</v>
      </c>
      <c r="AD2489">
        <v>1</v>
      </c>
    </row>
    <row r="2490" spans="1:30">
      <c r="A2490" t="str">
        <f>CONCATENATE(I2490,J2490)</f>
        <v>PRAMARASM</v>
      </c>
      <c r="B2490" s="34">
        <v>46273</v>
      </c>
      <c r="C2490" s="34">
        <v>46273</v>
      </c>
      <c r="D2490" t="s">
        <v>35</v>
      </c>
      <c r="E2490" t="s">
        <v>36</v>
      </c>
      <c r="F2490" t="s">
        <v>37</v>
      </c>
      <c r="G2490">
        <v>18514</v>
      </c>
      <c r="H2490" t="s">
        <v>7527</v>
      </c>
      <c r="I2490" t="s">
        <v>7528</v>
      </c>
      <c r="J2490" t="s">
        <v>267</v>
      </c>
      <c r="O2490" t="s">
        <v>7529</v>
      </c>
      <c r="P2490">
        <v>106.8</v>
      </c>
      <c r="Q2490">
        <v>106.8</v>
      </c>
      <c r="R2490">
        <v>100</v>
      </c>
      <c r="S2490">
        <v>100</v>
      </c>
      <c r="T2490">
        <v>100</v>
      </c>
      <c r="U2490">
        <v>101</v>
      </c>
      <c r="W2490">
        <v>100</v>
      </c>
      <c r="Z2490">
        <v>11000</v>
      </c>
      <c r="AA2490">
        <v>1112775</v>
      </c>
      <c r="AB2490">
        <v>14</v>
      </c>
      <c r="AC2490" t="s">
        <v>42</v>
      </c>
      <c r="AD2490">
        <v>500</v>
      </c>
    </row>
    <row r="2491" spans="1:30">
      <c r="A2491" t="str">
        <f>CONCATENATE(I2491,J2491)</f>
        <v>PRAMODINISM</v>
      </c>
      <c r="B2491" s="34">
        <v>46273</v>
      </c>
      <c r="C2491" s="34">
        <v>46273</v>
      </c>
      <c r="D2491" t="s">
        <v>35</v>
      </c>
      <c r="E2491" t="s">
        <v>36</v>
      </c>
      <c r="F2491" t="s">
        <v>37</v>
      </c>
      <c r="G2491">
        <v>765287</v>
      </c>
      <c r="H2491" t="s">
        <v>7530</v>
      </c>
      <c r="I2491" t="s">
        <v>7531</v>
      </c>
      <c r="J2491" t="s">
        <v>267</v>
      </c>
      <c r="O2491" t="s">
        <v>7532</v>
      </c>
      <c r="P2491">
        <v>115</v>
      </c>
      <c r="Q2491">
        <v>137</v>
      </c>
      <c r="R2491">
        <v>114.6</v>
      </c>
      <c r="S2491">
        <v>129.55000000000001</v>
      </c>
      <c r="T2491">
        <v>128</v>
      </c>
      <c r="U2491">
        <v>114.6</v>
      </c>
      <c r="W2491">
        <v>129.55000000000001</v>
      </c>
      <c r="Z2491">
        <v>662400</v>
      </c>
      <c r="AA2491">
        <v>84804540</v>
      </c>
      <c r="AB2491">
        <v>502</v>
      </c>
      <c r="AC2491" t="s">
        <v>42</v>
      </c>
      <c r="AD2491">
        <v>1200</v>
      </c>
    </row>
    <row r="2492" spans="1:30">
      <c r="A2492" t="str">
        <f>CONCATENATE(I2492,J2492)</f>
        <v>DIAMONDYDEQ</v>
      </c>
      <c r="B2492" s="34">
        <v>46273</v>
      </c>
      <c r="C2492" s="34">
        <v>46273</v>
      </c>
      <c r="D2492" t="s">
        <v>35</v>
      </c>
      <c r="E2492" t="s">
        <v>36</v>
      </c>
      <c r="F2492" t="s">
        <v>37</v>
      </c>
      <c r="G2492">
        <v>21840</v>
      </c>
      <c r="H2492" t="s">
        <v>7533</v>
      </c>
      <c r="I2492" t="s">
        <v>7534</v>
      </c>
      <c r="J2492" t="s">
        <v>161</v>
      </c>
      <c r="O2492" t="s">
        <v>7535</v>
      </c>
      <c r="P2492">
        <v>1148.7</v>
      </c>
      <c r="Q2492">
        <v>1168.3</v>
      </c>
      <c r="R2492">
        <v>1125</v>
      </c>
      <c r="S2492">
        <v>1129.3</v>
      </c>
      <c r="T2492">
        <v>1129.9000000000001</v>
      </c>
      <c r="U2492">
        <v>1142.2</v>
      </c>
      <c r="W2492">
        <v>1129.71</v>
      </c>
      <c r="Z2492">
        <v>30348</v>
      </c>
      <c r="AA2492">
        <v>34306979</v>
      </c>
      <c r="AB2492">
        <v>1638</v>
      </c>
      <c r="AC2492" t="s">
        <v>42</v>
      </c>
      <c r="AD2492">
        <v>1</v>
      </c>
    </row>
    <row r="2493" spans="1:30">
      <c r="A2493" t="str">
        <f>CONCATENATE(I2493,J2493)</f>
        <v>PRATHAMSM</v>
      </c>
      <c r="B2493" s="34">
        <v>46273</v>
      </c>
      <c r="C2493" s="34">
        <v>46273</v>
      </c>
      <c r="D2493" t="s">
        <v>35</v>
      </c>
      <c r="E2493" t="s">
        <v>36</v>
      </c>
      <c r="F2493" t="s">
        <v>37</v>
      </c>
      <c r="G2493">
        <v>23113</v>
      </c>
      <c r="H2493" t="s">
        <v>7536</v>
      </c>
      <c r="I2493" t="s">
        <v>7537</v>
      </c>
      <c r="J2493" t="s">
        <v>267</v>
      </c>
      <c r="O2493" t="s">
        <v>7538</v>
      </c>
      <c r="P2493">
        <v>120.5</v>
      </c>
      <c r="Q2493">
        <v>120.5</v>
      </c>
      <c r="R2493">
        <v>117.5</v>
      </c>
      <c r="S2493">
        <v>119.65</v>
      </c>
      <c r="T2493">
        <v>119.65</v>
      </c>
      <c r="U2493">
        <v>120.05</v>
      </c>
      <c r="W2493">
        <v>119.65</v>
      </c>
      <c r="Z2493">
        <v>7200</v>
      </c>
      <c r="AA2493">
        <v>860660</v>
      </c>
      <c r="AB2493">
        <v>12</v>
      </c>
      <c r="AC2493" t="s">
        <v>42</v>
      </c>
      <c r="AD2493">
        <v>400</v>
      </c>
    </row>
    <row r="2494" spans="1:30">
      <c r="A2494" t="str">
        <f>CONCATENATE(I2494,J2494)</f>
        <v>PRAVEGEQ</v>
      </c>
      <c r="B2494" s="34">
        <v>46273</v>
      </c>
      <c r="C2494" s="34">
        <v>46273</v>
      </c>
      <c r="D2494" t="s">
        <v>35</v>
      </c>
      <c r="E2494" t="s">
        <v>36</v>
      </c>
      <c r="F2494" t="s">
        <v>37</v>
      </c>
      <c r="G2494">
        <v>762844</v>
      </c>
      <c r="H2494" t="s">
        <v>7539</v>
      </c>
      <c r="I2494" t="s">
        <v>7540</v>
      </c>
      <c r="J2494" t="s">
        <v>161</v>
      </c>
      <c r="O2494" t="s">
        <v>7541</v>
      </c>
      <c r="P2494">
        <v>264.55</v>
      </c>
      <c r="Q2494">
        <v>279</v>
      </c>
      <c r="R2494">
        <v>259.2</v>
      </c>
      <c r="S2494">
        <v>270.75</v>
      </c>
      <c r="T2494">
        <v>272</v>
      </c>
      <c r="U2494">
        <v>264.55</v>
      </c>
      <c r="W2494">
        <v>270.81</v>
      </c>
      <c r="Z2494">
        <v>122995</v>
      </c>
      <c r="AA2494">
        <v>33264494.75</v>
      </c>
      <c r="AB2494">
        <v>4406</v>
      </c>
      <c r="AC2494" t="s">
        <v>42</v>
      </c>
      <c r="AD2494">
        <v>1</v>
      </c>
    </row>
    <row r="2495" spans="1:30">
      <c r="A2495" t="str">
        <f>CONCATENATE(I2495,J2495)</f>
        <v>PRAXISEQ</v>
      </c>
      <c r="B2495" s="34">
        <v>46273</v>
      </c>
      <c r="C2495" s="34">
        <v>46273</v>
      </c>
      <c r="D2495" t="s">
        <v>35</v>
      </c>
      <c r="E2495" t="s">
        <v>36</v>
      </c>
      <c r="F2495" t="s">
        <v>37</v>
      </c>
      <c r="G2495">
        <v>1204</v>
      </c>
      <c r="H2495" t="s">
        <v>7542</v>
      </c>
      <c r="I2495" t="s">
        <v>7543</v>
      </c>
      <c r="J2495" t="s">
        <v>161</v>
      </c>
      <c r="O2495" t="s">
        <v>7544</v>
      </c>
      <c r="P2495">
        <v>4.74</v>
      </c>
      <c r="Q2495">
        <v>4.84</v>
      </c>
      <c r="R2495">
        <v>4.6500000000000004</v>
      </c>
      <c r="S2495">
        <v>4.6900000000000004</v>
      </c>
      <c r="T2495">
        <v>4.68</v>
      </c>
      <c r="U2495">
        <v>4.66</v>
      </c>
      <c r="W2495">
        <v>4.6900000000000004</v>
      </c>
      <c r="Z2495">
        <v>112712</v>
      </c>
      <c r="AA2495">
        <v>533666.1</v>
      </c>
      <c r="AB2495">
        <v>129</v>
      </c>
      <c r="AC2495" t="s">
        <v>42</v>
      </c>
      <c r="AD2495">
        <v>1</v>
      </c>
    </row>
    <row r="2496" spans="1:30">
      <c r="A2496" t="str">
        <f>CONCATENATE(I2496,J2496)</f>
        <v>PRECAMEQ</v>
      </c>
      <c r="B2496" s="34">
        <v>46273</v>
      </c>
      <c r="C2496" s="34">
        <v>46273</v>
      </c>
      <c r="D2496" t="s">
        <v>35</v>
      </c>
      <c r="E2496" t="s">
        <v>36</v>
      </c>
      <c r="F2496" t="s">
        <v>37</v>
      </c>
      <c r="G2496">
        <v>12603</v>
      </c>
      <c r="H2496" t="s">
        <v>7545</v>
      </c>
      <c r="I2496" t="s">
        <v>7546</v>
      </c>
      <c r="J2496" t="s">
        <v>161</v>
      </c>
      <c r="O2496" t="s">
        <v>7547</v>
      </c>
      <c r="P2496">
        <v>123.96</v>
      </c>
      <c r="Q2496">
        <v>124.39</v>
      </c>
      <c r="R2496">
        <v>121.1</v>
      </c>
      <c r="S2496">
        <v>121.71</v>
      </c>
      <c r="T2496">
        <v>121.9</v>
      </c>
      <c r="U2496">
        <v>123.98</v>
      </c>
      <c r="W2496">
        <v>121.71</v>
      </c>
      <c r="Z2496">
        <v>137481</v>
      </c>
      <c r="AA2496">
        <v>16797839.809999999</v>
      </c>
      <c r="AB2496">
        <v>2629</v>
      </c>
      <c r="AC2496" t="s">
        <v>42</v>
      </c>
      <c r="AD2496">
        <v>1</v>
      </c>
    </row>
    <row r="2497" spans="1:30">
      <c r="A2497" t="str">
        <f>CONCATENATE(I2497,J2497)</f>
        <v>PRECISIONST</v>
      </c>
      <c r="B2497" s="34">
        <v>46273</v>
      </c>
      <c r="C2497" s="34">
        <v>46273</v>
      </c>
      <c r="D2497" t="s">
        <v>35</v>
      </c>
      <c r="E2497" t="s">
        <v>36</v>
      </c>
      <c r="F2497" t="s">
        <v>37</v>
      </c>
      <c r="G2497">
        <v>7963</v>
      </c>
      <c r="H2497" t="s">
        <v>7548</v>
      </c>
      <c r="I2497" t="s">
        <v>7549</v>
      </c>
      <c r="J2497" t="s">
        <v>328</v>
      </c>
      <c r="O2497" t="s">
        <v>7550</v>
      </c>
      <c r="P2497">
        <v>6.5</v>
      </c>
      <c r="Q2497">
        <v>7.1</v>
      </c>
      <c r="R2497">
        <v>6.5</v>
      </c>
      <c r="S2497">
        <v>7.1</v>
      </c>
      <c r="T2497">
        <v>7.1</v>
      </c>
      <c r="U2497">
        <v>6.8</v>
      </c>
      <c r="W2497">
        <v>7.1</v>
      </c>
      <c r="Z2497">
        <v>146000</v>
      </c>
      <c r="AA2497">
        <v>1020900</v>
      </c>
      <c r="AB2497">
        <v>33</v>
      </c>
      <c r="AC2497" t="s">
        <v>42</v>
      </c>
      <c r="AD2497">
        <v>2000</v>
      </c>
    </row>
    <row r="2498" spans="1:30">
      <c r="A2498" t="str">
        <f>CONCATENATE(I2498,J2498)</f>
        <v>PRECWIREEQ</v>
      </c>
      <c r="B2498" s="34">
        <v>46273</v>
      </c>
      <c r="C2498" s="34">
        <v>46273</v>
      </c>
      <c r="D2498" t="s">
        <v>35</v>
      </c>
      <c r="E2498" t="s">
        <v>36</v>
      </c>
      <c r="F2498" t="s">
        <v>37</v>
      </c>
      <c r="G2498">
        <v>2717</v>
      </c>
      <c r="H2498" t="s">
        <v>7551</v>
      </c>
      <c r="I2498" t="s">
        <v>7552</v>
      </c>
      <c r="J2498" t="s">
        <v>161</v>
      </c>
      <c r="O2498" t="s">
        <v>7553</v>
      </c>
      <c r="P2498">
        <v>462</v>
      </c>
      <c r="Q2498">
        <v>489.6</v>
      </c>
      <c r="R2498">
        <v>460.95</v>
      </c>
      <c r="S2498">
        <v>480.2</v>
      </c>
      <c r="T2498">
        <v>480.15</v>
      </c>
      <c r="U2498">
        <v>460.95</v>
      </c>
      <c r="W2498">
        <v>480.19</v>
      </c>
      <c r="Z2498">
        <v>1098914</v>
      </c>
      <c r="AA2498">
        <v>527592178.64999998</v>
      </c>
      <c r="AB2498">
        <v>35005</v>
      </c>
      <c r="AC2498" t="s">
        <v>42</v>
      </c>
      <c r="AD2498">
        <v>1</v>
      </c>
    </row>
    <row r="2499" spans="1:30">
      <c r="A2499" t="str">
        <f>CONCATENATE(I2499,J2499)</f>
        <v>PRECOTEQ</v>
      </c>
      <c r="B2499" s="34">
        <v>46273</v>
      </c>
      <c r="C2499" s="34">
        <v>46273</v>
      </c>
      <c r="D2499" t="s">
        <v>35</v>
      </c>
      <c r="E2499" t="s">
        <v>36</v>
      </c>
      <c r="F2499" t="s">
        <v>37</v>
      </c>
      <c r="G2499">
        <v>2711</v>
      </c>
      <c r="H2499" t="s">
        <v>7554</v>
      </c>
      <c r="I2499" t="s">
        <v>7555</v>
      </c>
      <c r="J2499" t="s">
        <v>161</v>
      </c>
      <c r="O2499" t="s">
        <v>7556</v>
      </c>
      <c r="P2499">
        <v>693</v>
      </c>
      <c r="Q2499">
        <v>702.45</v>
      </c>
      <c r="R2499">
        <v>676.05</v>
      </c>
      <c r="S2499">
        <v>682.9</v>
      </c>
      <c r="T2499">
        <v>678.25</v>
      </c>
      <c r="U2499">
        <v>693.9</v>
      </c>
      <c r="W2499">
        <v>682.9</v>
      </c>
      <c r="Z2499">
        <v>4798</v>
      </c>
      <c r="AA2499">
        <v>3290932.85</v>
      </c>
      <c r="AB2499">
        <v>294</v>
      </c>
      <c r="AC2499" t="s">
        <v>42</v>
      </c>
      <c r="AD2499">
        <v>1</v>
      </c>
    </row>
    <row r="2500" spans="1:30">
      <c r="A2500" t="str">
        <f>CONCATENATE(I2500,J2500)</f>
        <v>PREMCOEQ</v>
      </c>
      <c r="B2500" s="34">
        <v>46273</v>
      </c>
      <c r="C2500" s="34">
        <v>46273</v>
      </c>
      <c r="D2500" t="s">
        <v>35</v>
      </c>
      <c r="E2500" t="s">
        <v>36</v>
      </c>
      <c r="F2500" t="s">
        <v>37</v>
      </c>
      <c r="G2500">
        <v>762849</v>
      </c>
      <c r="H2500" t="s">
        <v>7557</v>
      </c>
      <c r="I2500" t="s">
        <v>7558</v>
      </c>
      <c r="J2500" t="s">
        <v>161</v>
      </c>
      <c r="O2500" t="s">
        <v>7559</v>
      </c>
      <c r="P2500">
        <v>391.95</v>
      </c>
      <c r="Q2500">
        <v>392.9</v>
      </c>
      <c r="R2500">
        <v>385.1</v>
      </c>
      <c r="S2500">
        <v>392</v>
      </c>
      <c r="T2500">
        <v>392</v>
      </c>
      <c r="U2500">
        <v>391.95</v>
      </c>
      <c r="W2500">
        <v>394</v>
      </c>
      <c r="Z2500">
        <v>212</v>
      </c>
      <c r="AA2500">
        <v>82222.850000000006</v>
      </c>
      <c r="AB2500">
        <v>28</v>
      </c>
      <c r="AC2500" t="s">
        <v>42</v>
      </c>
      <c r="AD2500">
        <v>1</v>
      </c>
    </row>
    <row r="2501" spans="1:30">
      <c r="A2501" t="str">
        <f>CONCATENATE(I2501,J2501)</f>
        <v>PREMIERENEEQ</v>
      </c>
      <c r="B2501" s="34">
        <v>46273</v>
      </c>
      <c r="C2501" s="34">
        <v>46273</v>
      </c>
      <c r="D2501" t="s">
        <v>35</v>
      </c>
      <c r="E2501" t="s">
        <v>36</v>
      </c>
      <c r="F2501" t="s">
        <v>37</v>
      </c>
      <c r="G2501">
        <v>25049</v>
      </c>
      <c r="H2501" t="s">
        <v>7560</v>
      </c>
      <c r="I2501" t="s">
        <v>7561</v>
      </c>
      <c r="J2501" t="s">
        <v>161</v>
      </c>
      <c r="O2501" t="s">
        <v>7562</v>
      </c>
      <c r="P2501">
        <v>990</v>
      </c>
      <c r="Q2501">
        <v>998</v>
      </c>
      <c r="R2501">
        <v>982.3</v>
      </c>
      <c r="S2501">
        <v>988.8</v>
      </c>
      <c r="T2501">
        <v>988.8</v>
      </c>
      <c r="U2501">
        <v>990</v>
      </c>
      <c r="W2501">
        <v>988.77</v>
      </c>
      <c r="Z2501">
        <v>355380</v>
      </c>
      <c r="AA2501">
        <v>351219759.10000002</v>
      </c>
      <c r="AB2501">
        <v>13163</v>
      </c>
      <c r="AC2501" t="s">
        <v>42</v>
      </c>
      <c r="AD2501">
        <v>1</v>
      </c>
    </row>
    <row r="2502" spans="1:30">
      <c r="A2502" t="str">
        <f>CONCATENATE(I2502,J2502)</f>
        <v>PREMEXPLNEQ</v>
      </c>
      <c r="B2502" s="34">
        <v>46273</v>
      </c>
      <c r="C2502" s="34">
        <v>46273</v>
      </c>
      <c r="D2502" t="s">
        <v>35</v>
      </c>
      <c r="E2502" t="s">
        <v>36</v>
      </c>
      <c r="F2502" t="s">
        <v>37</v>
      </c>
      <c r="G2502">
        <v>17397</v>
      </c>
      <c r="H2502" t="s">
        <v>7563</v>
      </c>
      <c r="I2502" t="s">
        <v>7564</v>
      </c>
      <c r="J2502" t="s">
        <v>161</v>
      </c>
      <c r="O2502" t="s">
        <v>7565</v>
      </c>
      <c r="P2502">
        <v>663.1</v>
      </c>
      <c r="Q2502">
        <v>678.8</v>
      </c>
      <c r="R2502">
        <v>663.1</v>
      </c>
      <c r="S2502">
        <v>677.7</v>
      </c>
      <c r="T2502">
        <v>678.35</v>
      </c>
      <c r="U2502">
        <v>663.25</v>
      </c>
      <c r="W2502">
        <v>677.7</v>
      </c>
      <c r="Z2502">
        <v>317368</v>
      </c>
      <c r="AA2502">
        <v>214029026.84999999</v>
      </c>
      <c r="AB2502">
        <v>6176</v>
      </c>
      <c r="AC2502" t="s">
        <v>42</v>
      </c>
      <c r="AD2502">
        <v>1</v>
      </c>
    </row>
    <row r="2503" spans="1:30">
      <c r="A2503" t="str">
        <f>CONCATENATE(I2503,J2503)</f>
        <v>PREMIERBE</v>
      </c>
      <c r="B2503" s="34">
        <v>46273</v>
      </c>
      <c r="C2503" s="34">
        <v>46273</v>
      </c>
      <c r="D2503" t="s">
        <v>35</v>
      </c>
      <c r="E2503" t="s">
        <v>36</v>
      </c>
      <c r="F2503" t="s">
        <v>37</v>
      </c>
      <c r="G2503">
        <v>6248</v>
      </c>
      <c r="H2503" t="s">
        <v>7566</v>
      </c>
      <c r="I2503" t="s">
        <v>7567</v>
      </c>
      <c r="J2503" t="s">
        <v>183</v>
      </c>
      <c r="O2503" t="s">
        <v>7568</v>
      </c>
      <c r="P2503">
        <v>2.85</v>
      </c>
      <c r="Q2503">
        <v>2.85</v>
      </c>
      <c r="R2503">
        <v>2.62</v>
      </c>
      <c r="S2503">
        <v>2.78</v>
      </c>
      <c r="T2503">
        <v>2.78</v>
      </c>
      <c r="U2503">
        <v>2.74</v>
      </c>
      <c r="W2503">
        <v>2.78</v>
      </c>
      <c r="Z2503">
        <v>3319</v>
      </c>
      <c r="AA2503">
        <v>9303.61</v>
      </c>
      <c r="AB2503">
        <v>23</v>
      </c>
      <c r="AC2503" t="s">
        <v>42</v>
      </c>
      <c r="AD2503">
        <v>1</v>
      </c>
    </row>
    <row r="2504" spans="1:30">
      <c r="A2504" t="str">
        <f>CONCATENATE(I2504,J2504)</f>
        <v>PREMIERPOLEQ</v>
      </c>
      <c r="B2504" s="34">
        <v>46273</v>
      </c>
      <c r="C2504" s="34">
        <v>46273</v>
      </c>
      <c r="D2504" t="s">
        <v>35</v>
      </c>
      <c r="E2504" t="s">
        <v>36</v>
      </c>
      <c r="F2504" t="s">
        <v>37</v>
      </c>
      <c r="G2504">
        <v>3908</v>
      </c>
      <c r="H2504" t="s">
        <v>7569</v>
      </c>
      <c r="I2504" t="s">
        <v>7570</v>
      </c>
      <c r="J2504" t="s">
        <v>161</v>
      </c>
      <c r="O2504" t="s">
        <v>7571</v>
      </c>
      <c r="P2504">
        <v>90.9</v>
      </c>
      <c r="Q2504">
        <v>92.89</v>
      </c>
      <c r="R2504">
        <v>89.9</v>
      </c>
      <c r="S2504">
        <v>90.56</v>
      </c>
      <c r="T2504">
        <v>91.52</v>
      </c>
      <c r="U2504">
        <v>91.45</v>
      </c>
      <c r="W2504">
        <v>90.54</v>
      </c>
      <c r="Z2504">
        <v>184768</v>
      </c>
      <c r="AA2504">
        <v>16849335.09</v>
      </c>
      <c r="AB2504">
        <v>2690</v>
      </c>
      <c r="AC2504" t="s">
        <v>42</v>
      </c>
      <c r="AD2504">
        <v>1</v>
      </c>
    </row>
    <row r="2505" spans="1:30">
      <c r="A2505" t="str">
        <f>CONCATENATE(I2505,J2505)</f>
        <v>PRLINDSM</v>
      </c>
      <c r="B2505" s="34">
        <v>46273</v>
      </c>
      <c r="C2505" s="34">
        <v>46273</v>
      </c>
      <c r="D2505" t="s">
        <v>35</v>
      </c>
      <c r="E2505" t="s">
        <v>36</v>
      </c>
      <c r="F2505" t="s">
        <v>37</v>
      </c>
      <c r="G2505">
        <v>23764</v>
      </c>
      <c r="H2505" t="s">
        <v>7572</v>
      </c>
      <c r="I2505" t="s">
        <v>7573</v>
      </c>
      <c r="J2505" t="s">
        <v>267</v>
      </c>
      <c r="O2505" t="s">
        <v>7574</v>
      </c>
      <c r="P2505">
        <v>45.6</v>
      </c>
      <c r="Q2505">
        <v>45.6</v>
      </c>
      <c r="R2505">
        <v>42.15</v>
      </c>
      <c r="S2505">
        <v>42.6</v>
      </c>
      <c r="T2505">
        <v>42.45</v>
      </c>
      <c r="U2505">
        <v>45.55</v>
      </c>
      <c r="W2505">
        <v>42.6</v>
      </c>
      <c r="Z2505">
        <v>39000</v>
      </c>
      <c r="AA2505">
        <v>1691200</v>
      </c>
      <c r="AB2505">
        <v>30</v>
      </c>
      <c r="AC2505" t="s">
        <v>42</v>
      </c>
      <c r="AD2505">
        <v>1000</v>
      </c>
    </row>
    <row r="2506" spans="1:30">
      <c r="A2506" t="str">
        <f>CONCATENATE(I2506,J2506)</f>
        <v>PREMIUMSM</v>
      </c>
      <c r="B2506" s="34">
        <v>46273</v>
      </c>
      <c r="C2506" s="34">
        <v>46273</v>
      </c>
      <c r="D2506" t="s">
        <v>35</v>
      </c>
      <c r="E2506" t="s">
        <v>36</v>
      </c>
      <c r="F2506" t="s">
        <v>37</v>
      </c>
      <c r="G2506">
        <v>25898</v>
      </c>
      <c r="H2506" t="s">
        <v>7575</v>
      </c>
      <c r="I2506" t="s">
        <v>7576</v>
      </c>
      <c r="J2506" t="s">
        <v>267</v>
      </c>
      <c r="O2506" t="s">
        <v>7577</v>
      </c>
      <c r="P2506">
        <v>39.950000000000003</v>
      </c>
      <c r="Q2506">
        <v>40</v>
      </c>
      <c r="R2506">
        <v>38</v>
      </c>
      <c r="S2506">
        <v>39.950000000000003</v>
      </c>
      <c r="T2506">
        <v>39.950000000000003</v>
      </c>
      <c r="U2506">
        <v>38</v>
      </c>
      <c r="W2506">
        <v>39.950000000000003</v>
      </c>
      <c r="Z2506">
        <v>36000</v>
      </c>
      <c r="AA2506">
        <v>1430550</v>
      </c>
      <c r="AB2506">
        <v>12</v>
      </c>
      <c r="AC2506" t="s">
        <v>42</v>
      </c>
      <c r="AD2506">
        <v>3000</v>
      </c>
    </row>
    <row r="2507" spans="1:30">
      <c r="A2507" t="str">
        <f>CONCATENATE(I2507,J2507)</f>
        <v>PRESSTONICSM</v>
      </c>
      <c r="B2507" s="34">
        <v>46273</v>
      </c>
      <c r="C2507" s="34">
        <v>46273</v>
      </c>
      <c r="D2507" t="s">
        <v>35</v>
      </c>
      <c r="E2507" t="s">
        <v>36</v>
      </c>
      <c r="F2507" t="s">
        <v>37</v>
      </c>
      <c r="G2507">
        <v>20498</v>
      </c>
      <c r="H2507" t="s">
        <v>7578</v>
      </c>
      <c r="I2507" t="s">
        <v>7579</v>
      </c>
      <c r="J2507" t="s">
        <v>267</v>
      </c>
      <c r="O2507" t="s">
        <v>7580</v>
      </c>
      <c r="P2507">
        <v>30.75</v>
      </c>
      <c r="Q2507">
        <v>32.4</v>
      </c>
      <c r="R2507">
        <v>29.95</v>
      </c>
      <c r="S2507">
        <v>30.1</v>
      </c>
      <c r="T2507">
        <v>30</v>
      </c>
      <c r="U2507">
        <v>30.8</v>
      </c>
      <c r="W2507">
        <v>30.1</v>
      </c>
      <c r="Z2507">
        <v>70400</v>
      </c>
      <c r="AA2507">
        <v>2153960</v>
      </c>
      <c r="AB2507">
        <v>64</v>
      </c>
      <c r="AC2507" t="s">
        <v>42</v>
      </c>
      <c r="AD2507">
        <v>800</v>
      </c>
    </row>
    <row r="2508" spans="1:30">
      <c r="A2508" t="str">
        <f>CONCATENATE(I2508,J2508)</f>
        <v>PRESTIGEEQ</v>
      </c>
      <c r="B2508" s="34">
        <v>46273</v>
      </c>
      <c r="C2508" s="34">
        <v>46273</v>
      </c>
      <c r="D2508" t="s">
        <v>35</v>
      </c>
      <c r="E2508" t="s">
        <v>36</v>
      </c>
      <c r="F2508" t="s">
        <v>37</v>
      </c>
      <c r="G2508">
        <v>20302</v>
      </c>
      <c r="H2508" t="s">
        <v>7581</v>
      </c>
      <c r="I2508" t="s">
        <v>7582</v>
      </c>
      <c r="J2508" t="s">
        <v>161</v>
      </c>
      <c r="O2508" t="s">
        <v>7583</v>
      </c>
      <c r="P2508">
        <v>1549.1</v>
      </c>
      <c r="Q2508">
        <v>1566</v>
      </c>
      <c r="R2508">
        <v>1532</v>
      </c>
      <c r="S2508">
        <v>1561.6</v>
      </c>
      <c r="T2508">
        <v>1561.6</v>
      </c>
      <c r="U2508">
        <v>1550</v>
      </c>
      <c r="W2508">
        <v>1561.61</v>
      </c>
      <c r="Z2508">
        <v>505136</v>
      </c>
      <c r="AA2508">
        <v>784698013.60000002</v>
      </c>
      <c r="AB2508">
        <v>21788</v>
      </c>
      <c r="AC2508" t="s">
        <v>42</v>
      </c>
      <c r="AD2508">
        <v>1</v>
      </c>
    </row>
    <row r="2509" spans="1:30">
      <c r="A2509" t="str">
        <f>CONCATENATE(I2509,J2509)</f>
        <v>PRICOLLTDEQ</v>
      </c>
      <c r="B2509" s="34">
        <v>46273</v>
      </c>
      <c r="C2509" s="34">
        <v>46273</v>
      </c>
      <c r="D2509" t="s">
        <v>35</v>
      </c>
      <c r="E2509" t="s">
        <v>36</v>
      </c>
      <c r="F2509" t="s">
        <v>37</v>
      </c>
      <c r="G2509">
        <v>19631</v>
      </c>
      <c r="H2509" t="s">
        <v>7584</v>
      </c>
      <c r="I2509" t="s">
        <v>7585</v>
      </c>
      <c r="J2509" t="s">
        <v>161</v>
      </c>
      <c r="O2509" t="s">
        <v>7586</v>
      </c>
      <c r="P2509">
        <v>782</v>
      </c>
      <c r="Q2509">
        <v>782.2</v>
      </c>
      <c r="R2509">
        <v>755.05</v>
      </c>
      <c r="S2509">
        <v>758.6</v>
      </c>
      <c r="T2509">
        <v>760</v>
      </c>
      <c r="U2509">
        <v>779.35</v>
      </c>
      <c r="W2509">
        <v>758.59</v>
      </c>
      <c r="Z2509">
        <v>294938</v>
      </c>
      <c r="AA2509">
        <v>224213166.5</v>
      </c>
      <c r="AB2509">
        <v>16165</v>
      </c>
      <c r="AC2509" t="s">
        <v>42</v>
      </c>
      <c r="AD2509">
        <v>1</v>
      </c>
    </row>
    <row r="2510" spans="1:30">
      <c r="A2510" t="str">
        <f>CONCATENATE(I2510,J2510)</f>
        <v>PRIMECABST</v>
      </c>
      <c r="B2510" s="34">
        <v>46273</v>
      </c>
      <c r="C2510" s="34">
        <v>46273</v>
      </c>
      <c r="D2510" t="s">
        <v>35</v>
      </c>
      <c r="E2510" t="s">
        <v>36</v>
      </c>
      <c r="F2510" t="s">
        <v>37</v>
      </c>
      <c r="G2510">
        <v>759075</v>
      </c>
      <c r="H2510" t="s">
        <v>7587</v>
      </c>
      <c r="I2510" t="s">
        <v>7588</v>
      </c>
      <c r="J2510" t="s">
        <v>328</v>
      </c>
      <c r="O2510" t="s">
        <v>7589</v>
      </c>
      <c r="P2510">
        <v>178.3</v>
      </c>
      <c r="Q2510">
        <v>178.3</v>
      </c>
      <c r="R2510">
        <v>178.3</v>
      </c>
      <c r="S2510">
        <v>178.3</v>
      </c>
      <c r="T2510">
        <v>178.3</v>
      </c>
      <c r="U2510">
        <v>187.65</v>
      </c>
      <c r="W2510">
        <v>178.3</v>
      </c>
      <c r="Z2510">
        <v>16000</v>
      </c>
      <c r="AA2510">
        <v>2852800</v>
      </c>
      <c r="AB2510">
        <v>10</v>
      </c>
      <c r="AC2510" t="s">
        <v>42</v>
      </c>
      <c r="AD2510">
        <v>1600</v>
      </c>
    </row>
    <row r="2511" spans="1:30">
      <c r="A2511" t="str">
        <f>CONCATENATE(I2511,J2511)</f>
        <v>PFOCUSEQ</v>
      </c>
      <c r="B2511" s="34">
        <v>46273</v>
      </c>
      <c r="C2511" s="34">
        <v>46273</v>
      </c>
      <c r="D2511" t="s">
        <v>35</v>
      </c>
      <c r="E2511" t="s">
        <v>36</v>
      </c>
      <c r="F2511" t="s">
        <v>37</v>
      </c>
      <c r="G2511">
        <v>13496</v>
      </c>
      <c r="H2511" t="s">
        <v>7590</v>
      </c>
      <c r="I2511" t="s">
        <v>7591</v>
      </c>
      <c r="J2511" t="s">
        <v>161</v>
      </c>
      <c r="O2511" t="s">
        <v>7592</v>
      </c>
      <c r="P2511">
        <v>315</v>
      </c>
      <c r="Q2511">
        <v>324.89999999999998</v>
      </c>
      <c r="R2511">
        <v>309.3</v>
      </c>
      <c r="S2511">
        <v>313.14999999999998</v>
      </c>
      <c r="T2511">
        <v>312.75</v>
      </c>
      <c r="U2511">
        <v>311.75</v>
      </c>
      <c r="W2511">
        <v>313.14999999999998</v>
      </c>
      <c r="Z2511">
        <v>2434717</v>
      </c>
      <c r="AA2511">
        <v>776173957.25</v>
      </c>
      <c r="AB2511">
        <v>44978</v>
      </c>
      <c r="AC2511" t="s">
        <v>42</v>
      </c>
      <c r="AD2511">
        <v>1</v>
      </c>
    </row>
    <row r="2512" spans="1:30">
      <c r="A2512" t="str">
        <f>CONCATENATE(I2512,J2512)</f>
        <v>PRIMESECUEQ</v>
      </c>
      <c r="B2512" s="34">
        <v>46273</v>
      </c>
      <c r="C2512" s="34">
        <v>46273</v>
      </c>
      <c r="D2512" t="s">
        <v>35</v>
      </c>
      <c r="E2512" t="s">
        <v>36</v>
      </c>
      <c r="F2512" t="s">
        <v>37</v>
      </c>
      <c r="G2512">
        <v>11864</v>
      </c>
      <c r="H2512" t="s">
        <v>7593</v>
      </c>
      <c r="I2512" t="s">
        <v>7594</v>
      </c>
      <c r="J2512" t="s">
        <v>161</v>
      </c>
      <c r="O2512" t="s">
        <v>7595</v>
      </c>
      <c r="P2512">
        <v>278.14999999999998</v>
      </c>
      <c r="Q2512">
        <v>286.2</v>
      </c>
      <c r="R2512">
        <v>276.35000000000002</v>
      </c>
      <c r="S2512">
        <v>279.45</v>
      </c>
      <c r="T2512">
        <v>276.35000000000002</v>
      </c>
      <c r="U2512">
        <v>278.89999999999998</v>
      </c>
      <c r="W2512">
        <v>279.44</v>
      </c>
      <c r="Z2512">
        <v>34338</v>
      </c>
      <c r="AA2512">
        <v>9693240.75</v>
      </c>
      <c r="AB2512">
        <v>520</v>
      </c>
      <c r="AC2512" t="s">
        <v>42</v>
      </c>
      <c r="AD2512">
        <v>1</v>
      </c>
    </row>
    <row r="2513" spans="1:30">
      <c r="A2513" t="str">
        <f>CONCATENATE(I2513,J2513)</f>
        <v>PRIMOEQ</v>
      </c>
      <c r="B2513" s="34">
        <v>46273</v>
      </c>
      <c r="C2513" s="34">
        <v>46273</v>
      </c>
      <c r="D2513" t="s">
        <v>35</v>
      </c>
      <c r="E2513" t="s">
        <v>36</v>
      </c>
      <c r="F2513" t="s">
        <v>37</v>
      </c>
      <c r="G2513">
        <v>756925</v>
      </c>
      <c r="H2513" t="s">
        <v>7596</v>
      </c>
      <c r="I2513" t="s">
        <v>7597</v>
      </c>
      <c r="J2513" t="s">
        <v>161</v>
      </c>
      <c r="O2513" t="s">
        <v>7598</v>
      </c>
      <c r="P2513">
        <v>20.88</v>
      </c>
      <c r="Q2513">
        <v>21.14</v>
      </c>
      <c r="R2513">
        <v>19.260000000000002</v>
      </c>
      <c r="S2513">
        <v>20.41</v>
      </c>
      <c r="T2513">
        <v>20.63</v>
      </c>
      <c r="U2513">
        <v>20.87</v>
      </c>
      <c r="W2513">
        <v>20.420000000000002</v>
      </c>
      <c r="Z2513">
        <v>198332</v>
      </c>
      <c r="AA2513">
        <v>4036930.38</v>
      </c>
      <c r="AB2513">
        <v>2716</v>
      </c>
      <c r="AC2513" t="s">
        <v>42</v>
      </c>
      <c r="AD2513">
        <v>1</v>
      </c>
    </row>
    <row r="2514" spans="1:30">
      <c r="A2514" t="str">
        <f>CONCATENATE(I2514,J2514)</f>
        <v>PRINCEPIPEEQ</v>
      </c>
      <c r="B2514" s="34">
        <v>46273</v>
      </c>
      <c r="C2514" s="34">
        <v>46273</v>
      </c>
      <c r="D2514" t="s">
        <v>35</v>
      </c>
      <c r="E2514" t="s">
        <v>36</v>
      </c>
      <c r="F2514" t="s">
        <v>37</v>
      </c>
      <c r="G2514">
        <v>16045</v>
      </c>
      <c r="H2514" t="s">
        <v>7599</v>
      </c>
      <c r="I2514" t="s">
        <v>7600</v>
      </c>
      <c r="J2514" t="s">
        <v>161</v>
      </c>
      <c r="O2514" t="s">
        <v>7601</v>
      </c>
      <c r="P2514">
        <v>284</v>
      </c>
      <c r="Q2514">
        <v>290</v>
      </c>
      <c r="R2514">
        <v>278.05</v>
      </c>
      <c r="S2514">
        <v>285.75</v>
      </c>
      <c r="T2514">
        <v>285</v>
      </c>
      <c r="U2514">
        <v>283.95</v>
      </c>
      <c r="W2514">
        <v>285.76</v>
      </c>
      <c r="Z2514">
        <v>329475</v>
      </c>
      <c r="AA2514">
        <v>93069499.25</v>
      </c>
      <c r="AB2514">
        <v>6608</v>
      </c>
      <c r="AC2514" t="s">
        <v>42</v>
      </c>
      <c r="AD2514">
        <v>1</v>
      </c>
    </row>
    <row r="2515" spans="1:30">
      <c r="A2515" t="str">
        <f>CONCATENATE(I2515,J2515)</f>
        <v>PRIORITYBE</v>
      </c>
      <c r="B2515" s="34">
        <v>46273</v>
      </c>
      <c r="C2515" s="34">
        <v>46273</v>
      </c>
      <c r="D2515" t="s">
        <v>35</v>
      </c>
      <c r="E2515" t="s">
        <v>36</v>
      </c>
      <c r="F2515" t="s">
        <v>37</v>
      </c>
      <c r="G2515">
        <v>765559</v>
      </c>
      <c r="H2515" t="s">
        <v>7602</v>
      </c>
      <c r="I2515" t="s">
        <v>7603</v>
      </c>
      <c r="J2515" t="s">
        <v>183</v>
      </c>
      <c r="O2515" t="s">
        <v>7604</v>
      </c>
      <c r="P2515">
        <v>218.43</v>
      </c>
      <c r="Q2515">
        <v>227.1</v>
      </c>
      <c r="R2515">
        <v>218.43</v>
      </c>
      <c r="S2515">
        <v>218.53</v>
      </c>
      <c r="T2515">
        <v>224</v>
      </c>
      <c r="U2515">
        <v>229.92</v>
      </c>
      <c r="W2515">
        <v>218.52</v>
      </c>
      <c r="Z2515">
        <v>428308</v>
      </c>
      <c r="AA2515">
        <v>94082531.129999995</v>
      </c>
      <c r="AB2515">
        <v>15836</v>
      </c>
      <c r="AC2515" t="s">
        <v>42</v>
      </c>
      <c r="AD2515">
        <v>1</v>
      </c>
    </row>
    <row r="2516" spans="1:30">
      <c r="A2516" t="str">
        <f>CONCATENATE(I2516,J2516)</f>
        <v>PRSMJOHNSNEQ</v>
      </c>
      <c r="B2516" s="34">
        <v>46273</v>
      </c>
      <c r="C2516" s="34">
        <v>46273</v>
      </c>
      <c r="D2516" t="s">
        <v>35</v>
      </c>
      <c r="E2516" t="s">
        <v>36</v>
      </c>
      <c r="F2516" t="s">
        <v>37</v>
      </c>
      <c r="G2516">
        <v>2739</v>
      </c>
      <c r="H2516" t="s">
        <v>7605</v>
      </c>
      <c r="I2516" t="s">
        <v>7606</v>
      </c>
      <c r="J2516" t="s">
        <v>161</v>
      </c>
      <c r="O2516" t="s">
        <v>7607</v>
      </c>
      <c r="P2516">
        <v>112.1</v>
      </c>
      <c r="Q2516">
        <v>113.99</v>
      </c>
      <c r="R2516">
        <v>111.35</v>
      </c>
      <c r="S2516">
        <v>112.27</v>
      </c>
      <c r="T2516">
        <v>112.5</v>
      </c>
      <c r="U2516">
        <v>112.21</v>
      </c>
      <c r="W2516">
        <v>112.27</v>
      </c>
      <c r="Z2516">
        <v>316056</v>
      </c>
      <c r="AA2516">
        <v>35613456.140000001</v>
      </c>
      <c r="AB2516">
        <v>3984</v>
      </c>
      <c r="AC2516" t="s">
        <v>42</v>
      </c>
      <c r="AD2516">
        <v>1</v>
      </c>
    </row>
    <row r="2517" spans="1:30">
      <c r="A2517" t="str">
        <f>CONCATENATE(I2517,J2517)</f>
        <v>PRISMXEQ</v>
      </c>
      <c r="B2517" s="34">
        <v>46273</v>
      </c>
      <c r="C2517" s="34">
        <v>46273</v>
      </c>
      <c r="D2517" t="s">
        <v>35</v>
      </c>
      <c r="E2517" t="s">
        <v>36</v>
      </c>
      <c r="F2517" t="s">
        <v>37</v>
      </c>
      <c r="G2517">
        <v>765155</v>
      </c>
      <c r="H2517" t="s">
        <v>7608</v>
      </c>
      <c r="I2517" t="s">
        <v>7609</v>
      </c>
      <c r="J2517" t="s">
        <v>161</v>
      </c>
      <c r="O2517" t="s">
        <v>7610</v>
      </c>
      <c r="P2517">
        <v>0.54</v>
      </c>
      <c r="Q2517">
        <v>0.56999999999999995</v>
      </c>
      <c r="R2517">
        <v>0.54</v>
      </c>
      <c r="S2517">
        <v>0.55000000000000004</v>
      </c>
      <c r="T2517">
        <v>0.56999999999999995</v>
      </c>
      <c r="U2517">
        <v>0.54</v>
      </c>
      <c r="W2517">
        <v>0.55000000000000004</v>
      </c>
      <c r="Z2517">
        <v>127960</v>
      </c>
      <c r="AA2517">
        <v>71060.12</v>
      </c>
      <c r="AB2517">
        <v>136</v>
      </c>
      <c r="AC2517" t="s">
        <v>42</v>
      </c>
      <c r="AD2517">
        <v>1</v>
      </c>
    </row>
    <row r="2518" spans="1:30">
      <c r="A2518" t="str">
        <f>CONCATENATE(I2518,J2518)</f>
        <v>PRITIBE</v>
      </c>
      <c r="B2518" s="34">
        <v>46273</v>
      </c>
      <c r="C2518" s="34">
        <v>46273</v>
      </c>
      <c r="D2518" t="s">
        <v>35</v>
      </c>
      <c r="E2518" t="s">
        <v>36</v>
      </c>
      <c r="F2518" t="s">
        <v>37</v>
      </c>
      <c r="G2518">
        <v>8310</v>
      </c>
      <c r="H2518" t="s">
        <v>7611</v>
      </c>
      <c r="I2518" t="s">
        <v>7612</v>
      </c>
      <c r="J2518" t="s">
        <v>183</v>
      </c>
      <c r="O2518" t="s">
        <v>7613</v>
      </c>
      <c r="P2518">
        <v>33.340000000000003</v>
      </c>
      <c r="Q2518">
        <v>33.5</v>
      </c>
      <c r="R2518">
        <v>33.340000000000003</v>
      </c>
      <c r="S2518">
        <v>33.35</v>
      </c>
      <c r="T2518">
        <v>33.35</v>
      </c>
      <c r="U2518">
        <v>33.340000000000003</v>
      </c>
      <c r="W2518">
        <v>33.35</v>
      </c>
      <c r="Z2518">
        <v>4635</v>
      </c>
      <c r="AA2518">
        <v>154707.38</v>
      </c>
      <c r="AB2518">
        <v>60</v>
      </c>
      <c r="AC2518" t="s">
        <v>42</v>
      </c>
      <c r="AD2518">
        <v>1</v>
      </c>
    </row>
    <row r="2519" spans="1:30">
      <c r="A2519" t="str">
        <f>CONCATENATE(I2519,J2519)</f>
        <v>PRITIKAUTOBE</v>
      </c>
      <c r="B2519" s="34">
        <v>46273</v>
      </c>
      <c r="C2519" s="34">
        <v>46273</v>
      </c>
      <c r="D2519" t="s">
        <v>35</v>
      </c>
      <c r="E2519" t="s">
        <v>36</v>
      </c>
      <c r="F2519" t="s">
        <v>37</v>
      </c>
      <c r="G2519">
        <v>5296</v>
      </c>
      <c r="H2519" t="s">
        <v>7614</v>
      </c>
      <c r="I2519" t="s">
        <v>7615</v>
      </c>
      <c r="J2519" t="s">
        <v>183</v>
      </c>
      <c r="O2519" t="s">
        <v>7616</v>
      </c>
      <c r="P2519">
        <v>15.63</v>
      </c>
      <c r="Q2519">
        <v>15.64</v>
      </c>
      <c r="R2519">
        <v>15</v>
      </c>
      <c r="S2519">
        <v>15.15</v>
      </c>
      <c r="T2519">
        <v>15.18</v>
      </c>
      <c r="U2519">
        <v>15.76</v>
      </c>
      <c r="W2519">
        <v>15.15</v>
      </c>
      <c r="Z2519">
        <v>414500</v>
      </c>
      <c r="AA2519">
        <v>6272467.1200000001</v>
      </c>
      <c r="AB2519">
        <v>863</v>
      </c>
      <c r="AC2519" t="s">
        <v>42</v>
      </c>
      <c r="AD2519">
        <v>1</v>
      </c>
    </row>
    <row r="2520" spans="1:30">
      <c r="A2520" t="str">
        <f>CONCATENATE(I2520,J2520)</f>
        <v>PNCEQ</v>
      </c>
      <c r="B2520" s="34">
        <v>46273</v>
      </c>
      <c r="C2520" s="34">
        <v>46273</v>
      </c>
      <c r="D2520" t="s">
        <v>35</v>
      </c>
      <c r="E2520" t="s">
        <v>36</v>
      </c>
      <c r="F2520" t="s">
        <v>37</v>
      </c>
      <c r="G2520">
        <v>9342</v>
      </c>
      <c r="H2520" t="s">
        <v>7617</v>
      </c>
      <c r="I2520" t="s">
        <v>7618</v>
      </c>
      <c r="J2520" t="s">
        <v>161</v>
      </c>
      <c r="O2520" t="s">
        <v>7619</v>
      </c>
      <c r="P2520">
        <v>16.3</v>
      </c>
      <c r="Q2520">
        <v>17.399999999999999</v>
      </c>
      <c r="R2520">
        <v>16.05</v>
      </c>
      <c r="S2520">
        <v>16.66</v>
      </c>
      <c r="T2520">
        <v>16.7</v>
      </c>
      <c r="U2520">
        <v>16.350000000000001</v>
      </c>
      <c r="W2520">
        <v>16.66</v>
      </c>
      <c r="Z2520">
        <v>4645</v>
      </c>
      <c r="AA2520">
        <v>77447.679999999993</v>
      </c>
      <c r="AB2520">
        <v>200</v>
      </c>
      <c r="AC2520" t="s">
        <v>42</v>
      </c>
      <c r="AD2520">
        <v>1</v>
      </c>
    </row>
    <row r="2521" spans="1:30">
      <c r="A2521" t="str">
        <f>CONCATENATE(I2521,J2521)</f>
        <v>PRIVISCLEQ</v>
      </c>
      <c r="B2521" s="34">
        <v>46273</v>
      </c>
      <c r="C2521" s="34">
        <v>46273</v>
      </c>
      <c r="D2521" t="s">
        <v>35</v>
      </c>
      <c r="E2521" t="s">
        <v>36</v>
      </c>
      <c r="F2521" t="s">
        <v>37</v>
      </c>
      <c r="G2521">
        <v>8825</v>
      </c>
      <c r="H2521" t="s">
        <v>7620</v>
      </c>
      <c r="I2521" t="s">
        <v>7621</v>
      </c>
      <c r="J2521" t="s">
        <v>161</v>
      </c>
      <c r="O2521" t="s">
        <v>7622</v>
      </c>
      <c r="P2521">
        <v>3382.6</v>
      </c>
      <c r="Q2521">
        <v>3497</v>
      </c>
      <c r="R2521">
        <v>3352.5</v>
      </c>
      <c r="S2521">
        <v>3469.6</v>
      </c>
      <c r="T2521">
        <v>3460</v>
      </c>
      <c r="U2521">
        <v>3382.6</v>
      </c>
      <c r="W2521">
        <v>3469.52</v>
      </c>
      <c r="Z2521">
        <v>101601</v>
      </c>
      <c r="AA2521">
        <v>347946368.69999999</v>
      </c>
      <c r="AB2521">
        <v>13090</v>
      </c>
      <c r="AC2521" t="s">
        <v>42</v>
      </c>
      <c r="AD2521">
        <v>1</v>
      </c>
    </row>
    <row r="2522" spans="1:30">
      <c r="A2522" t="str">
        <f>CONCATENATE(I2522,J2522)</f>
        <v>PRIZORST</v>
      </c>
      <c r="B2522" s="34">
        <v>46273</v>
      </c>
      <c r="C2522" s="34">
        <v>46273</v>
      </c>
      <c r="D2522" t="s">
        <v>35</v>
      </c>
      <c r="E2522" t="s">
        <v>36</v>
      </c>
      <c r="F2522" t="s">
        <v>37</v>
      </c>
      <c r="G2522">
        <v>24511</v>
      </c>
      <c r="H2522" t="s">
        <v>7623</v>
      </c>
      <c r="I2522" t="s">
        <v>7624</v>
      </c>
      <c r="J2522" t="s">
        <v>328</v>
      </c>
      <c r="O2522" t="s">
        <v>7625</v>
      </c>
      <c r="P2522">
        <v>1248.8499999999999</v>
      </c>
      <c r="Q2522">
        <v>1248.8499999999999</v>
      </c>
      <c r="R2522">
        <v>1248.8499999999999</v>
      </c>
      <c r="S2522">
        <v>1248.8499999999999</v>
      </c>
      <c r="T2522">
        <v>1248.8499999999999</v>
      </c>
      <c r="U2522">
        <v>1224.4000000000001</v>
      </c>
      <c r="W2522">
        <v>1248.8499999999999</v>
      </c>
      <c r="Z2522">
        <v>24400</v>
      </c>
      <c r="AA2522">
        <v>30471940</v>
      </c>
      <c r="AB2522">
        <v>37</v>
      </c>
      <c r="AC2522" t="s">
        <v>42</v>
      </c>
      <c r="AD2522">
        <v>400</v>
      </c>
    </row>
    <row r="2523" spans="1:30">
      <c r="A2523" t="str">
        <f>CONCATENATE(I2523,J2523)</f>
        <v>PROFXSM</v>
      </c>
      <c r="B2523" s="34">
        <v>46273</v>
      </c>
      <c r="C2523" s="34">
        <v>46273</v>
      </c>
      <c r="D2523" t="s">
        <v>35</v>
      </c>
      <c r="E2523" t="s">
        <v>36</v>
      </c>
      <c r="F2523" t="s">
        <v>37</v>
      </c>
      <c r="G2523">
        <v>757806</v>
      </c>
      <c r="H2523" t="s">
        <v>7626</v>
      </c>
      <c r="I2523" t="s">
        <v>7627</v>
      </c>
      <c r="J2523" t="s">
        <v>267</v>
      </c>
      <c r="O2523" t="s">
        <v>7628</v>
      </c>
      <c r="P2523">
        <v>73.150000000000006</v>
      </c>
      <c r="Q2523">
        <v>73.150000000000006</v>
      </c>
      <c r="R2523">
        <v>71</v>
      </c>
      <c r="S2523">
        <v>71</v>
      </c>
      <c r="T2523">
        <v>71</v>
      </c>
      <c r="U2523">
        <v>77</v>
      </c>
      <c r="W2523">
        <v>71</v>
      </c>
      <c r="Z2523">
        <v>11200</v>
      </c>
      <c r="AA2523">
        <v>812160</v>
      </c>
      <c r="AB2523">
        <v>6</v>
      </c>
      <c r="AC2523" t="s">
        <v>42</v>
      </c>
      <c r="AD2523">
        <v>1600</v>
      </c>
    </row>
    <row r="2524" spans="1:30">
      <c r="A2524" t="str">
        <f>CONCATENATE(I2524,J2524)</f>
        <v>PGHLEQ</v>
      </c>
      <c r="B2524" s="34">
        <v>46273</v>
      </c>
      <c r="C2524" s="34">
        <v>46273</v>
      </c>
      <c r="D2524" t="s">
        <v>35</v>
      </c>
      <c r="E2524" t="s">
        <v>36</v>
      </c>
      <c r="F2524" t="s">
        <v>37</v>
      </c>
      <c r="G2524">
        <v>940</v>
      </c>
      <c r="H2524" t="s">
        <v>7629</v>
      </c>
      <c r="I2524" t="s">
        <v>7630</v>
      </c>
      <c r="J2524" t="s">
        <v>161</v>
      </c>
      <c r="O2524" t="s">
        <v>7631</v>
      </c>
      <c r="P2524">
        <v>5675</v>
      </c>
      <c r="Q2524">
        <v>5675</v>
      </c>
      <c r="R2524">
        <v>5585.5</v>
      </c>
      <c r="S2524">
        <v>5603</v>
      </c>
      <c r="T2524">
        <v>5594</v>
      </c>
      <c r="U2524">
        <v>5667</v>
      </c>
      <c r="W2524">
        <v>5603.19</v>
      </c>
      <c r="Z2524">
        <v>4338</v>
      </c>
      <c r="AA2524">
        <v>24402654</v>
      </c>
      <c r="AB2524">
        <v>1772</v>
      </c>
      <c r="AC2524" t="s">
        <v>42</v>
      </c>
      <c r="AD2524">
        <v>1</v>
      </c>
    </row>
    <row r="2525" spans="1:30">
      <c r="A2525" t="str">
        <f>CONCATENATE(I2525,J2525)</f>
        <v>PROPSHOPSM</v>
      </c>
      <c r="B2525" s="34">
        <v>46273</v>
      </c>
      <c r="C2525" s="34">
        <v>46273</v>
      </c>
      <c r="D2525" t="s">
        <v>35</v>
      </c>
      <c r="E2525" t="s">
        <v>36</v>
      </c>
      <c r="F2525" t="s">
        <v>37</v>
      </c>
      <c r="G2525">
        <v>764345</v>
      </c>
      <c r="H2525" t="s">
        <v>7632</v>
      </c>
      <c r="I2525" t="s">
        <v>7633</v>
      </c>
      <c r="J2525" t="s">
        <v>267</v>
      </c>
      <c r="O2525" t="s">
        <v>7634</v>
      </c>
      <c r="P2525">
        <v>72</v>
      </c>
      <c r="Q2525">
        <v>74.349999999999994</v>
      </c>
      <c r="R2525">
        <v>70.099999999999994</v>
      </c>
      <c r="S2525">
        <v>73.150000000000006</v>
      </c>
      <c r="T2525">
        <v>73.5</v>
      </c>
      <c r="U2525">
        <v>71.400000000000006</v>
      </c>
      <c r="W2525">
        <v>73.150000000000006</v>
      </c>
      <c r="Z2525">
        <v>88000</v>
      </c>
      <c r="AA2525">
        <v>6370700</v>
      </c>
      <c r="AB2525">
        <v>35</v>
      </c>
      <c r="AC2525" t="s">
        <v>42</v>
      </c>
      <c r="AD2525">
        <v>2000</v>
      </c>
    </row>
    <row r="2526" spans="1:30">
      <c r="A2526" t="str">
        <f>CONCATENATE(I2526,J2526)</f>
        <v>PROSTARMEQ</v>
      </c>
      <c r="B2526" s="34">
        <v>46273</v>
      </c>
      <c r="C2526" s="34">
        <v>46273</v>
      </c>
      <c r="D2526" t="s">
        <v>35</v>
      </c>
      <c r="E2526" t="s">
        <v>36</v>
      </c>
      <c r="F2526" t="s">
        <v>37</v>
      </c>
      <c r="G2526">
        <v>758173</v>
      </c>
      <c r="H2526" t="s">
        <v>7635</v>
      </c>
      <c r="I2526" t="s">
        <v>7636</v>
      </c>
      <c r="J2526" t="s">
        <v>161</v>
      </c>
      <c r="O2526" t="s">
        <v>7637</v>
      </c>
      <c r="P2526">
        <v>138.80000000000001</v>
      </c>
      <c r="Q2526">
        <v>139.03</v>
      </c>
      <c r="R2526">
        <v>135</v>
      </c>
      <c r="S2526">
        <v>135.22999999999999</v>
      </c>
      <c r="T2526">
        <v>135.6</v>
      </c>
      <c r="U2526">
        <v>138.86000000000001</v>
      </c>
      <c r="W2526">
        <v>135.22999999999999</v>
      </c>
      <c r="Z2526">
        <v>122880</v>
      </c>
      <c r="AA2526">
        <v>16752888.66</v>
      </c>
      <c r="AB2526">
        <v>2337</v>
      </c>
      <c r="AC2526" t="s">
        <v>42</v>
      </c>
      <c r="AD2526">
        <v>1</v>
      </c>
    </row>
    <row r="2527" spans="1:30">
      <c r="A2527" t="str">
        <f>CONCATENATE(I2527,J2527)</f>
        <v>PROTEANEQ</v>
      </c>
      <c r="B2527" s="34">
        <v>46273</v>
      </c>
      <c r="C2527" s="34">
        <v>46273</v>
      </c>
      <c r="D2527" t="s">
        <v>35</v>
      </c>
      <c r="E2527" t="s">
        <v>36</v>
      </c>
      <c r="F2527" t="s">
        <v>37</v>
      </c>
      <c r="G2527">
        <v>29472</v>
      </c>
      <c r="H2527" t="s">
        <v>7638</v>
      </c>
      <c r="I2527" t="s">
        <v>7639</v>
      </c>
      <c r="J2527" t="s">
        <v>161</v>
      </c>
      <c r="O2527" t="s">
        <v>7640</v>
      </c>
      <c r="P2527">
        <v>513</v>
      </c>
      <c r="Q2527">
        <v>514.85</v>
      </c>
      <c r="R2527">
        <v>498</v>
      </c>
      <c r="S2527">
        <v>499.65</v>
      </c>
      <c r="T2527">
        <v>499.15</v>
      </c>
      <c r="U2527">
        <v>515.4</v>
      </c>
      <c r="W2527">
        <v>499.65</v>
      </c>
      <c r="Z2527">
        <v>211683</v>
      </c>
      <c r="AA2527">
        <v>106446812.8</v>
      </c>
      <c r="AB2527">
        <v>9325</v>
      </c>
      <c r="AC2527" t="s">
        <v>42</v>
      </c>
      <c r="AD2527">
        <v>1</v>
      </c>
    </row>
    <row r="2528" spans="1:30">
      <c r="A2528" t="str">
        <f>CONCATENATE(I2528,J2528)</f>
        <v>PROVSM</v>
      </c>
      <c r="B2528" s="34">
        <v>46273</v>
      </c>
      <c r="C2528" s="34">
        <v>46273</v>
      </c>
      <c r="D2528" t="s">
        <v>35</v>
      </c>
      <c r="E2528" t="s">
        <v>36</v>
      </c>
      <c r="F2528" t="s">
        <v>37</v>
      </c>
      <c r="G2528">
        <v>16483</v>
      </c>
      <c r="H2528" t="s">
        <v>7641</v>
      </c>
      <c r="I2528" t="s">
        <v>7642</v>
      </c>
      <c r="J2528" t="s">
        <v>267</v>
      </c>
      <c r="O2528" t="s">
        <v>7643</v>
      </c>
      <c r="P2528">
        <v>1800</v>
      </c>
      <c r="Q2528">
        <v>1800</v>
      </c>
      <c r="R2528">
        <v>1710</v>
      </c>
      <c r="S2528">
        <v>1760</v>
      </c>
      <c r="T2528">
        <v>1760</v>
      </c>
      <c r="U2528">
        <v>1860</v>
      </c>
      <c r="W2528">
        <v>1760</v>
      </c>
      <c r="Z2528">
        <v>720</v>
      </c>
      <c r="AA2528">
        <v>1274008</v>
      </c>
      <c r="AB2528">
        <v>9</v>
      </c>
      <c r="AC2528" t="s">
        <v>42</v>
      </c>
      <c r="AD2528">
        <v>80</v>
      </c>
    </row>
    <row r="2529" spans="1:30">
      <c r="A2529" t="str">
        <f>CONCATENATE(I2529,J2529)</f>
        <v>PROZONEREQ</v>
      </c>
      <c r="B2529" s="34">
        <v>46273</v>
      </c>
      <c r="C2529" s="34">
        <v>46273</v>
      </c>
      <c r="D2529" t="s">
        <v>35</v>
      </c>
      <c r="E2529" t="s">
        <v>36</v>
      </c>
      <c r="F2529" t="s">
        <v>37</v>
      </c>
      <c r="G2529">
        <v>28859</v>
      </c>
      <c r="H2529" t="s">
        <v>7644</v>
      </c>
      <c r="I2529" t="s">
        <v>7645</v>
      </c>
      <c r="J2529" t="s">
        <v>161</v>
      </c>
      <c r="O2529" t="s">
        <v>7646</v>
      </c>
      <c r="P2529">
        <v>48</v>
      </c>
      <c r="Q2529">
        <v>49.4</v>
      </c>
      <c r="R2529">
        <v>47.5</v>
      </c>
      <c r="S2529">
        <v>48.92</v>
      </c>
      <c r="T2529">
        <v>48.99</v>
      </c>
      <c r="U2529">
        <v>48.01</v>
      </c>
      <c r="W2529">
        <v>48.92</v>
      </c>
      <c r="Z2529">
        <v>189943</v>
      </c>
      <c r="AA2529">
        <v>9220960.1699999999</v>
      </c>
      <c r="AB2529">
        <v>2120</v>
      </c>
      <c r="AC2529" t="s">
        <v>42</v>
      </c>
      <c r="AD2529">
        <v>1</v>
      </c>
    </row>
    <row r="2530" spans="1:30">
      <c r="A2530" t="str">
        <f>CONCATENATE(I2530,J2530)</f>
        <v>PRUDENTEQ</v>
      </c>
      <c r="B2530" s="34">
        <v>46273</v>
      </c>
      <c r="C2530" s="34">
        <v>46273</v>
      </c>
      <c r="D2530" t="s">
        <v>35</v>
      </c>
      <c r="E2530" t="s">
        <v>36</v>
      </c>
      <c r="F2530" t="s">
        <v>37</v>
      </c>
      <c r="G2530">
        <v>9553</v>
      </c>
      <c r="H2530" t="s">
        <v>7647</v>
      </c>
      <c r="I2530" t="s">
        <v>7648</v>
      </c>
      <c r="J2530" t="s">
        <v>161</v>
      </c>
      <c r="O2530" t="s">
        <v>7649</v>
      </c>
      <c r="P2530">
        <v>3367.7</v>
      </c>
      <c r="Q2530">
        <v>3390</v>
      </c>
      <c r="R2530">
        <v>3255.1</v>
      </c>
      <c r="S2530">
        <v>3277.5</v>
      </c>
      <c r="T2530">
        <v>3275.2</v>
      </c>
      <c r="U2530">
        <v>3367.7</v>
      </c>
      <c r="W2530">
        <v>3277.61</v>
      </c>
      <c r="Z2530">
        <v>39653</v>
      </c>
      <c r="AA2530">
        <v>130750631.59999999</v>
      </c>
      <c r="AB2530">
        <v>5611</v>
      </c>
      <c r="AC2530" t="s">
        <v>42</v>
      </c>
      <c r="AD2530">
        <v>1</v>
      </c>
    </row>
    <row r="2531" spans="1:30">
      <c r="A2531" t="str">
        <f>CONCATENATE(I2531,J2531)</f>
        <v>PRUDMOULIBE</v>
      </c>
      <c r="B2531" s="34">
        <v>46273</v>
      </c>
      <c r="C2531" s="34">
        <v>46273</v>
      </c>
      <c r="D2531" t="s">
        <v>35</v>
      </c>
      <c r="E2531" t="s">
        <v>36</v>
      </c>
      <c r="F2531" t="s">
        <v>37</v>
      </c>
      <c r="G2531">
        <v>20528</v>
      </c>
      <c r="H2531" t="s">
        <v>7650</v>
      </c>
      <c r="I2531" t="s">
        <v>7651</v>
      </c>
      <c r="J2531" t="s">
        <v>183</v>
      </c>
      <c r="O2531" t="s">
        <v>7652</v>
      </c>
      <c r="P2531">
        <v>16.55</v>
      </c>
      <c r="Q2531">
        <v>17</v>
      </c>
      <c r="R2531">
        <v>16.12</v>
      </c>
      <c r="S2531">
        <v>16.79</v>
      </c>
      <c r="T2531">
        <v>16.8</v>
      </c>
      <c r="U2531">
        <v>16.88</v>
      </c>
      <c r="W2531">
        <v>16.760000000000002</v>
      </c>
      <c r="Z2531">
        <v>13163</v>
      </c>
      <c r="AA2531">
        <v>217618.31</v>
      </c>
      <c r="AB2531">
        <v>45</v>
      </c>
      <c r="AC2531" t="s">
        <v>42</v>
      </c>
      <c r="AD2531">
        <v>1</v>
      </c>
    </row>
    <row r="2532" spans="1:30">
      <c r="A2532" t="str">
        <f>CONCATENATE(I2532,J2532)</f>
        <v>PSPPROJECTEQ</v>
      </c>
      <c r="B2532" s="34">
        <v>46273</v>
      </c>
      <c r="C2532" s="34">
        <v>46273</v>
      </c>
      <c r="D2532" t="s">
        <v>35</v>
      </c>
      <c r="E2532" t="s">
        <v>36</v>
      </c>
      <c r="F2532" t="s">
        <v>37</v>
      </c>
      <c r="G2532">
        <v>20877</v>
      </c>
      <c r="H2532" t="s">
        <v>7653</v>
      </c>
      <c r="I2532" t="s">
        <v>7654</v>
      </c>
      <c r="J2532" t="s">
        <v>161</v>
      </c>
      <c r="O2532" t="s">
        <v>7655</v>
      </c>
      <c r="P2532">
        <v>870</v>
      </c>
      <c r="Q2532">
        <v>886.45</v>
      </c>
      <c r="R2532">
        <v>858.85</v>
      </c>
      <c r="S2532">
        <v>875.4</v>
      </c>
      <c r="T2532">
        <v>873.5</v>
      </c>
      <c r="U2532">
        <v>869.05</v>
      </c>
      <c r="W2532">
        <v>875.39</v>
      </c>
      <c r="Z2532">
        <v>37405</v>
      </c>
      <c r="AA2532">
        <v>32724480.050000001</v>
      </c>
      <c r="AB2532">
        <v>3008</v>
      </c>
      <c r="AC2532" t="s">
        <v>42</v>
      </c>
      <c r="AD2532">
        <v>1</v>
      </c>
    </row>
    <row r="2533" spans="1:30">
      <c r="A2533" t="str">
        <f>CONCATENATE(I2533,J2533)</f>
        <v>PFSEQ</v>
      </c>
      <c r="B2533" s="34">
        <v>46273</v>
      </c>
      <c r="C2533" s="34">
        <v>46273</v>
      </c>
      <c r="D2533" t="s">
        <v>35</v>
      </c>
      <c r="E2533" t="s">
        <v>36</v>
      </c>
      <c r="F2533" t="s">
        <v>37</v>
      </c>
      <c r="G2533">
        <v>22602</v>
      </c>
      <c r="H2533" t="s">
        <v>7656</v>
      </c>
      <c r="I2533" t="s">
        <v>7657</v>
      </c>
      <c r="J2533" t="s">
        <v>161</v>
      </c>
      <c r="O2533" t="s">
        <v>7658</v>
      </c>
      <c r="P2533">
        <v>27.4</v>
      </c>
      <c r="Q2533">
        <v>27.79</v>
      </c>
      <c r="R2533">
        <v>27.11</v>
      </c>
      <c r="S2533">
        <v>27.71</v>
      </c>
      <c r="T2533">
        <v>27.75</v>
      </c>
      <c r="U2533">
        <v>27.39</v>
      </c>
      <c r="W2533">
        <v>27.71</v>
      </c>
      <c r="Z2533">
        <v>1295363</v>
      </c>
      <c r="AA2533">
        <v>35810892.539999999</v>
      </c>
      <c r="AB2533">
        <v>1945</v>
      </c>
      <c r="AC2533" t="s">
        <v>42</v>
      </c>
      <c r="AD2533">
        <v>1</v>
      </c>
    </row>
    <row r="2534" spans="1:30">
      <c r="A2534" t="str">
        <f>CONCATENATE(I2534,J2534)</f>
        <v>PTCEQ</v>
      </c>
      <c r="B2534" s="34">
        <v>46273</v>
      </c>
      <c r="C2534" s="34">
        <v>46273</v>
      </c>
      <c r="D2534" t="s">
        <v>35</v>
      </c>
      <c r="E2534" t="s">
        <v>36</v>
      </c>
      <c r="F2534" t="s">
        <v>37</v>
      </c>
      <c r="G2534">
        <v>11355</v>
      </c>
      <c r="H2534" t="s">
        <v>7659</v>
      </c>
      <c r="I2534" t="s">
        <v>7660</v>
      </c>
      <c r="J2534" t="s">
        <v>161</v>
      </c>
      <c r="O2534" t="s">
        <v>7661</v>
      </c>
      <c r="P2534">
        <v>155.36000000000001</v>
      </c>
      <c r="Q2534">
        <v>155.44999999999999</v>
      </c>
      <c r="R2534">
        <v>153.33000000000001</v>
      </c>
      <c r="S2534">
        <v>154.19999999999999</v>
      </c>
      <c r="T2534">
        <v>154.35</v>
      </c>
      <c r="U2534">
        <v>154.78</v>
      </c>
      <c r="W2534">
        <v>154.19999999999999</v>
      </c>
      <c r="Z2534">
        <v>1017313</v>
      </c>
      <c r="AA2534">
        <v>156599233.13999999</v>
      </c>
      <c r="AB2534">
        <v>12484</v>
      </c>
      <c r="AC2534" t="s">
        <v>42</v>
      </c>
      <c r="AD2534">
        <v>1</v>
      </c>
    </row>
    <row r="2535" spans="1:30">
      <c r="A2535" t="str">
        <f>CONCATENATE(I2535,J2535)</f>
        <v>PTCILEQ</v>
      </c>
      <c r="B2535" s="34">
        <v>46273</v>
      </c>
      <c r="C2535" s="34">
        <v>46273</v>
      </c>
      <c r="D2535" t="s">
        <v>35</v>
      </c>
      <c r="E2535" t="s">
        <v>36</v>
      </c>
      <c r="F2535" t="s">
        <v>37</v>
      </c>
      <c r="G2535">
        <v>16682</v>
      </c>
      <c r="H2535" t="s">
        <v>7662</v>
      </c>
      <c r="I2535" t="s">
        <v>7663</v>
      </c>
      <c r="J2535" t="s">
        <v>161</v>
      </c>
      <c r="O2535" t="s">
        <v>7664</v>
      </c>
      <c r="P2535">
        <v>23760</v>
      </c>
      <c r="Q2535">
        <v>24085</v>
      </c>
      <c r="R2535">
        <v>23625</v>
      </c>
      <c r="S2535">
        <v>23730</v>
      </c>
      <c r="T2535">
        <v>23750</v>
      </c>
      <c r="U2535">
        <v>23755</v>
      </c>
      <c r="W2535">
        <v>23728.49</v>
      </c>
      <c r="Z2535">
        <v>23447</v>
      </c>
      <c r="AA2535">
        <v>559531815</v>
      </c>
      <c r="AB2535">
        <v>9097</v>
      </c>
      <c r="AC2535" t="s">
        <v>42</v>
      </c>
      <c r="AD2535">
        <v>1</v>
      </c>
    </row>
    <row r="2536" spans="1:30">
      <c r="A2536" t="str">
        <f>CONCATENATE(I2536,J2536)</f>
        <v>PTLEQ</v>
      </c>
      <c r="B2536" s="34">
        <v>46273</v>
      </c>
      <c r="C2536" s="34">
        <v>46273</v>
      </c>
      <c r="D2536" t="s">
        <v>35</v>
      </c>
      <c r="E2536" t="s">
        <v>36</v>
      </c>
      <c r="F2536" t="s">
        <v>37</v>
      </c>
      <c r="G2536">
        <v>14101</v>
      </c>
      <c r="H2536" t="s">
        <v>7665</v>
      </c>
      <c r="I2536" t="s">
        <v>7666</v>
      </c>
      <c r="J2536" t="s">
        <v>161</v>
      </c>
      <c r="O2536" t="s">
        <v>7667</v>
      </c>
      <c r="P2536">
        <v>38.82</v>
      </c>
      <c r="Q2536">
        <v>38.93</v>
      </c>
      <c r="R2536">
        <v>38.11</v>
      </c>
      <c r="S2536">
        <v>38.43</v>
      </c>
      <c r="T2536">
        <v>38.4</v>
      </c>
      <c r="U2536">
        <v>38.69</v>
      </c>
      <c r="W2536">
        <v>38.43</v>
      </c>
      <c r="Z2536">
        <v>65200</v>
      </c>
      <c r="AA2536">
        <v>2520134.65</v>
      </c>
      <c r="AB2536">
        <v>1073</v>
      </c>
      <c r="AC2536" t="s">
        <v>42</v>
      </c>
      <c r="AD2536">
        <v>1</v>
      </c>
    </row>
    <row r="2537" spans="1:30">
      <c r="A2537" t="str">
        <f>CONCATENATE(I2537,J2537)</f>
        <v>PDMJEPAPEREQ</v>
      </c>
      <c r="B2537" s="34">
        <v>46273</v>
      </c>
      <c r="C2537" s="34">
        <v>46273</v>
      </c>
      <c r="D2537" t="s">
        <v>35</v>
      </c>
      <c r="E2537" t="s">
        <v>36</v>
      </c>
      <c r="F2537" t="s">
        <v>37</v>
      </c>
      <c r="G2537">
        <v>15377</v>
      </c>
      <c r="H2537" t="s">
        <v>7668</v>
      </c>
      <c r="I2537" t="s">
        <v>7669</v>
      </c>
      <c r="J2537" t="s">
        <v>161</v>
      </c>
      <c r="O2537" t="s">
        <v>7670</v>
      </c>
      <c r="P2537">
        <v>102.4</v>
      </c>
      <c r="Q2537">
        <v>104.72</v>
      </c>
      <c r="R2537">
        <v>98.1</v>
      </c>
      <c r="S2537">
        <v>99.61</v>
      </c>
      <c r="T2537">
        <v>100.13</v>
      </c>
      <c r="U2537">
        <v>101.43</v>
      </c>
      <c r="W2537">
        <v>99.64</v>
      </c>
      <c r="Z2537">
        <v>699525</v>
      </c>
      <c r="AA2537">
        <v>70869110.129999995</v>
      </c>
      <c r="AB2537">
        <v>9811</v>
      </c>
      <c r="AC2537" t="s">
        <v>42</v>
      </c>
      <c r="AD2537">
        <v>1</v>
      </c>
    </row>
    <row r="2538" spans="1:30">
      <c r="A2538" t="str">
        <f>CONCATENATE(I2538,J2538)</f>
        <v>PULZSM</v>
      </c>
      <c r="B2538" s="34">
        <v>46273</v>
      </c>
      <c r="C2538" s="34">
        <v>46273</v>
      </c>
      <c r="D2538" t="s">
        <v>35</v>
      </c>
      <c r="E2538" t="s">
        <v>36</v>
      </c>
      <c r="F2538" t="s">
        <v>37</v>
      </c>
      <c r="G2538">
        <v>507</v>
      </c>
      <c r="H2538" t="s">
        <v>7671</v>
      </c>
      <c r="I2538" t="s">
        <v>7672</v>
      </c>
      <c r="J2538" t="s">
        <v>267</v>
      </c>
      <c r="O2538" t="s">
        <v>7673</v>
      </c>
      <c r="P2538">
        <v>22</v>
      </c>
      <c r="Q2538">
        <v>23.05</v>
      </c>
      <c r="R2538">
        <v>22</v>
      </c>
      <c r="S2538">
        <v>23.05</v>
      </c>
      <c r="T2538">
        <v>23.05</v>
      </c>
      <c r="U2538">
        <v>22.1</v>
      </c>
      <c r="W2538">
        <v>23.05</v>
      </c>
      <c r="Z2538">
        <v>6000</v>
      </c>
      <c r="AA2538">
        <v>135100</v>
      </c>
      <c r="AB2538">
        <v>3</v>
      </c>
      <c r="AC2538" t="s">
        <v>42</v>
      </c>
      <c r="AD2538">
        <v>2000</v>
      </c>
    </row>
    <row r="2539" spans="1:30">
      <c r="A2539" t="str">
        <f>CONCATENATE(I2539,J2539)</f>
        <v>PSBEQ</v>
      </c>
      <c r="B2539" s="34">
        <v>46273</v>
      </c>
      <c r="C2539" s="34">
        <v>46273</v>
      </c>
      <c r="D2539" t="s">
        <v>35</v>
      </c>
      <c r="E2539" t="s">
        <v>36</v>
      </c>
      <c r="F2539" t="s">
        <v>37</v>
      </c>
      <c r="G2539">
        <v>21001</v>
      </c>
      <c r="H2539" t="s">
        <v>7674</v>
      </c>
      <c r="I2539" t="s">
        <v>7675</v>
      </c>
      <c r="J2539" t="s">
        <v>161</v>
      </c>
      <c r="O2539" t="s">
        <v>7676</v>
      </c>
      <c r="P2539">
        <v>22.9</v>
      </c>
      <c r="Q2539">
        <v>23.01</v>
      </c>
      <c r="R2539">
        <v>22.77</v>
      </c>
      <c r="S2539">
        <v>22.86</v>
      </c>
      <c r="T2539">
        <v>22.86</v>
      </c>
      <c r="U2539">
        <v>22.98</v>
      </c>
      <c r="W2539">
        <v>22.86</v>
      </c>
      <c r="Z2539">
        <v>519212</v>
      </c>
      <c r="AA2539">
        <v>11873036.57</v>
      </c>
      <c r="AB2539">
        <v>2445</v>
      </c>
      <c r="AC2539" t="s">
        <v>42</v>
      </c>
      <c r="AD2539">
        <v>1</v>
      </c>
    </row>
    <row r="2540" spans="1:30">
      <c r="A2540" t="str">
        <f>CONCATENATE(I2540,J2540)</f>
        <v>PUNJABCHEMEQ</v>
      </c>
      <c r="B2540" s="34">
        <v>46273</v>
      </c>
      <c r="C2540" s="34">
        <v>46273</v>
      </c>
      <c r="D2540" t="s">
        <v>35</v>
      </c>
      <c r="E2540" t="s">
        <v>36</v>
      </c>
      <c r="F2540" t="s">
        <v>37</v>
      </c>
      <c r="G2540">
        <v>4344</v>
      </c>
      <c r="H2540" t="s">
        <v>7677</v>
      </c>
      <c r="I2540" t="s">
        <v>7678</v>
      </c>
      <c r="J2540" t="s">
        <v>161</v>
      </c>
      <c r="O2540" t="s">
        <v>7679</v>
      </c>
      <c r="P2540">
        <v>1090</v>
      </c>
      <c r="Q2540">
        <v>1105.8</v>
      </c>
      <c r="R2540">
        <v>1081.5</v>
      </c>
      <c r="S2540">
        <v>1094.9000000000001</v>
      </c>
      <c r="T2540">
        <v>1105</v>
      </c>
      <c r="U2540">
        <v>1098.4000000000001</v>
      </c>
      <c r="W2540">
        <v>1094.8399999999999</v>
      </c>
      <c r="Z2540">
        <v>2946</v>
      </c>
      <c r="AA2540">
        <v>3227216.8</v>
      </c>
      <c r="AB2540">
        <v>435</v>
      </c>
      <c r="AC2540" t="s">
        <v>42</v>
      </c>
      <c r="AD2540">
        <v>1</v>
      </c>
    </row>
    <row r="2541" spans="1:30">
      <c r="A2541" t="str">
        <f>CONCATENATE(I2541,J2541)</f>
        <v>PNBEQ</v>
      </c>
      <c r="B2541" s="34">
        <v>46273</v>
      </c>
      <c r="C2541" s="34">
        <v>46273</v>
      </c>
      <c r="D2541" t="s">
        <v>35</v>
      </c>
      <c r="E2541" t="s">
        <v>36</v>
      </c>
      <c r="F2541" t="s">
        <v>37</v>
      </c>
      <c r="G2541">
        <v>10666</v>
      </c>
      <c r="H2541" t="s">
        <v>7680</v>
      </c>
      <c r="I2541" t="s">
        <v>7681</v>
      </c>
      <c r="J2541" t="s">
        <v>161</v>
      </c>
      <c r="O2541" t="s">
        <v>7682</v>
      </c>
      <c r="P2541">
        <v>115.75</v>
      </c>
      <c r="Q2541">
        <v>116.68</v>
      </c>
      <c r="R2541">
        <v>114.95</v>
      </c>
      <c r="S2541">
        <v>116</v>
      </c>
      <c r="T2541">
        <v>116</v>
      </c>
      <c r="U2541">
        <v>115.6</v>
      </c>
      <c r="W2541">
        <v>116</v>
      </c>
      <c r="Z2541">
        <v>11972532</v>
      </c>
      <c r="AA2541">
        <v>1391671731.8099999</v>
      </c>
      <c r="AB2541">
        <v>37363</v>
      </c>
      <c r="AC2541" t="s">
        <v>42</v>
      </c>
      <c r="AD2541">
        <v>1</v>
      </c>
    </row>
    <row r="2542" spans="1:30">
      <c r="A2542" t="str">
        <f>CONCATENATE(I2542,J2542)</f>
        <v>PURVAEQ</v>
      </c>
      <c r="B2542" s="34">
        <v>46273</v>
      </c>
      <c r="C2542" s="34">
        <v>46273</v>
      </c>
      <c r="D2542" t="s">
        <v>35</v>
      </c>
      <c r="E2542" t="s">
        <v>36</v>
      </c>
      <c r="F2542" t="s">
        <v>37</v>
      </c>
      <c r="G2542">
        <v>14922</v>
      </c>
      <c r="H2542" t="s">
        <v>7683</v>
      </c>
      <c r="I2542" t="s">
        <v>7684</v>
      </c>
      <c r="J2542" t="s">
        <v>161</v>
      </c>
      <c r="O2542" t="s">
        <v>7685</v>
      </c>
      <c r="P2542">
        <v>223.02</v>
      </c>
      <c r="Q2542">
        <v>223.02</v>
      </c>
      <c r="R2542">
        <v>214.8</v>
      </c>
      <c r="S2542">
        <v>216.39</v>
      </c>
      <c r="T2542">
        <v>216.9</v>
      </c>
      <c r="U2542">
        <v>223.02</v>
      </c>
      <c r="W2542">
        <v>216.4</v>
      </c>
      <c r="Z2542">
        <v>301966</v>
      </c>
      <c r="AA2542">
        <v>65665306.340000004</v>
      </c>
      <c r="AB2542">
        <v>6395</v>
      </c>
      <c r="AC2542" t="s">
        <v>42</v>
      </c>
      <c r="AD2542">
        <v>1</v>
      </c>
    </row>
    <row r="2543" spans="1:30">
      <c r="A2543" t="str">
        <f>CONCATENATE(I2543,J2543)</f>
        <v>PERNIASPOPEQ</v>
      </c>
      <c r="B2543" s="34">
        <v>46273</v>
      </c>
      <c r="C2543" s="34">
        <v>46273</v>
      </c>
      <c r="D2543" t="s">
        <v>35</v>
      </c>
      <c r="E2543" t="s">
        <v>36</v>
      </c>
      <c r="F2543" t="s">
        <v>37</v>
      </c>
      <c r="G2543">
        <v>765568</v>
      </c>
      <c r="H2543" t="s">
        <v>7686</v>
      </c>
      <c r="I2543" t="s">
        <v>7687</v>
      </c>
      <c r="J2543" t="s">
        <v>161</v>
      </c>
      <c r="O2543" t="s">
        <v>7688</v>
      </c>
      <c r="P2543">
        <v>559.95000000000005</v>
      </c>
      <c r="Q2543">
        <v>566.9</v>
      </c>
      <c r="R2543">
        <v>540.5</v>
      </c>
      <c r="S2543">
        <v>557.29999999999995</v>
      </c>
      <c r="T2543">
        <v>557.5</v>
      </c>
      <c r="U2543">
        <v>568.54999999999995</v>
      </c>
      <c r="W2543">
        <v>557.28</v>
      </c>
      <c r="Z2543">
        <v>703695</v>
      </c>
      <c r="AA2543">
        <v>388510292.44999999</v>
      </c>
      <c r="AB2543">
        <v>17310</v>
      </c>
      <c r="AC2543" t="s">
        <v>42</v>
      </c>
      <c r="AD2543">
        <v>1</v>
      </c>
    </row>
    <row r="2544" spans="1:30">
      <c r="A2544" t="str">
        <f>CONCATENATE(I2544,J2544)</f>
        <v>PURPLEUTEDST</v>
      </c>
      <c r="B2544" s="34">
        <v>46273</v>
      </c>
      <c r="C2544" s="34">
        <v>46273</v>
      </c>
      <c r="D2544" t="s">
        <v>35</v>
      </c>
      <c r="E2544" t="s">
        <v>36</v>
      </c>
      <c r="F2544" t="s">
        <v>37</v>
      </c>
      <c r="G2544">
        <v>28044</v>
      </c>
      <c r="H2544" t="s">
        <v>7689</v>
      </c>
      <c r="I2544" t="s">
        <v>7690</v>
      </c>
      <c r="J2544" t="s">
        <v>328</v>
      </c>
      <c r="O2544" t="s">
        <v>7691</v>
      </c>
      <c r="P2544">
        <v>403</v>
      </c>
      <c r="Q2544">
        <v>407</v>
      </c>
      <c r="R2544">
        <v>385.1</v>
      </c>
      <c r="S2544">
        <v>402.35</v>
      </c>
      <c r="T2544">
        <v>396</v>
      </c>
      <c r="U2544">
        <v>404.15</v>
      </c>
      <c r="W2544">
        <v>402.35</v>
      </c>
      <c r="Z2544">
        <v>18750</v>
      </c>
      <c r="AA2544">
        <v>7406150</v>
      </c>
      <c r="AB2544">
        <v>63</v>
      </c>
      <c r="AC2544" t="s">
        <v>42</v>
      </c>
      <c r="AD2544">
        <v>250</v>
      </c>
    </row>
    <row r="2545" spans="1:30">
      <c r="A2545" t="str">
        <f>CONCATENATE(I2545,J2545)</f>
        <v>PUSHPASM</v>
      </c>
      <c r="B2545" s="34">
        <v>46273</v>
      </c>
      <c r="C2545" s="34">
        <v>46273</v>
      </c>
      <c r="D2545" t="s">
        <v>35</v>
      </c>
      <c r="E2545" t="s">
        <v>36</v>
      </c>
      <c r="F2545" t="s">
        <v>37</v>
      </c>
      <c r="G2545">
        <v>757683</v>
      </c>
      <c r="H2545" t="s">
        <v>7692</v>
      </c>
      <c r="I2545" t="s">
        <v>7693</v>
      </c>
      <c r="J2545" t="s">
        <v>267</v>
      </c>
      <c r="O2545" t="s">
        <v>7694</v>
      </c>
      <c r="P2545">
        <v>114.9</v>
      </c>
      <c r="Q2545">
        <v>117.4</v>
      </c>
      <c r="R2545">
        <v>110.1</v>
      </c>
      <c r="S2545">
        <v>113</v>
      </c>
      <c r="T2545">
        <v>113</v>
      </c>
      <c r="U2545">
        <v>113.95</v>
      </c>
      <c r="W2545">
        <v>113</v>
      </c>
      <c r="Z2545">
        <v>29000</v>
      </c>
      <c r="AA2545">
        <v>3298750</v>
      </c>
      <c r="AB2545">
        <v>28</v>
      </c>
      <c r="AC2545" t="s">
        <v>42</v>
      </c>
      <c r="AD2545">
        <v>1000</v>
      </c>
    </row>
    <row r="2546" spans="1:30">
      <c r="A2546" t="str">
        <f>CONCATENATE(I2546,J2546)</f>
        <v>PVPEQ</v>
      </c>
      <c r="B2546" s="34">
        <v>46273</v>
      </c>
      <c r="C2546" s="34">
        <v>46273</v>
      </c>
      <c r="D2546" t="s">
        <v>35</v>
      </c>
      <c r="E2546" t="s">
        <v>36</v>
      </c>
      <c r="F2546" t="s">
        <v>37</v>
      </c>
      <c r="G2546">
        <v>4010</v>
      </c>
      <c r="H2546" t="s">
        <v>7695</v>
      </c>
      <c r="I2546" t="s">
        <v>7696</v>
      </c>
      <c r="J2546" t="s">
        <v>161</v>
      </c>
      <c r="O2546" t="s">
        <v>7697</v>
      </c>
      <c r="P2546">
        <v>63.37</v>
      </c>
      <c r="Q2546">
        <v>67.22</v>
      </c>
      <c r="R2546">
        <v>62.51</v>
      </c>
      <c r="S2546">
        <v>64.069999999999993</v>
      </c>
      <c r="T2546">
        <v>64.099999999999994</v>
      </c>
      <c r="U2546">
        <v>65.16</v>
      </c>
      <c r="W2546">
        <v>64.05</v>
      </c>
      <c r="Z2546">
        <v>2145805</v>
      </c>
      <c r="AA2546">
        <v>138515145.86000001</v>
      </c>
      <c r="AB2546">
        <v>14361</v>
      </c>
      <c r="AC2546" t="s">
        <v>42</v>
      </c>
      <c r="AD2546">
        <v>1</v>
      </c>
    </row>
    <row r="2547" spans="1:30">
      <c r="A2547" t="str">
        <f>CONCATENATE(I2547,J2547)</f>
        <v>PVRINOXEQ</v>
      </c>
      <c r="B2547" s="34">
        <v>46273</v>
      </c>
      <c r="C2547" s="34">
        <v>46273</v>
      </c>
      <c r="D2547" t="s">
        <v>35</v>
      </c>
      <c r="E2547" t="s">
        <v>36</v>
      </c>
      <c r="F2547" t="s">
        <v>37</v>
      </c>
      <c r="G2547">
        <v>13147</v>
      </c>
      <c r="H2547" t="s">
        <v>7698</v>
      </c>
      <c r="I2547" t="s">
        <v>7699</v>
      </c>
      <c r="J2547" t="s">
        <v>161</v>
      </c>
      <c r="O2547" t="s">
        <v>7700</v>
      </c>
      <c r="P2547">
        <v>1161.5</v>
      </c>
      <c r="Q2547">
        <v>1243</v>
      </c>
      <c r="R2547">
        <v>1153.5999999999999</v>
      </c>
      <c r="S2547">
        <v>1231.3</v>
      </c>
      <c r="T2547">
        <v>1223.2</v>
      </c>
      <c r="U2547">
        <v>1156.5</v>
      </c>
      <c r="W2547">
        <v>1231.19</v>
      </c>
      <c r="Z2547">
        <v>1863426</v>
      </c>
      <c r="AA2547">
        <v>2269031442.4000001</v>
      </c>
      <c r="AB2547">
        <v>76808</v>
      </c>
      <c r="AC2547" t="s">
        <v>42</v>
      </c>
      <c r="AD2547">
        <v>1</v>
      </c>
    </row>
    <row r="2548" spans="1:30">
      <c r="A2548" t="str">
        <f>CONCATENATE(I2548,J2548)</f>
        <v>PYRAMIDEQ</v>
      </c>
      <c r="B2548" s="34">
        <v>46273</v>
      </c>
      <c r="C2548" s="34">
        <v>46273</v>
      </c>
      <c r="D2548" t="s">
        <v>35</v>
      </c>
      <c r="E2548" t="s">
        <v>36</v>
      </c>
      <c r="F2548" t="s">
        <v>37</v>
      </c>
      <c r="G2548">
        <v>18250</v>
      </c>
      <c r="H2548" t="s">
        <v>7701</v>
      </c>
      <c r="I2548" t="s">
        <v>7702</v>
      </c>
      <c r="J2548" t="s">
        <v>161</v>
      </c>
      <c r="O2548" t="s">
        <v>7703</v>
      </c>
      <c r="P2548">
        <v>151.63999999999999</v>
      </c>
      <c r="Q2548">
        <v>153.6</v>
      </c>
      <c r="R2548">
        <v>151</v>
      </c>
      <c r="S2548">
        <v>151.66999999999999</v>
      </c>
      <c r="T2548">
        <v>151.19999999999999</v>
      </c>
      <c r="U2548">
        <v>151.30000000000001</v>
      </c>
      <c r="W2548">
        <v>151.68</v>
      </c>
      <c r="Z2548">
        <v>26098</v>
      </c>
      <c r="AA2548">
        <v>3971520.64</v>
      </c>
      <c r="AB2548">
        <v>767</v>
      </c>
      <c r="AC2548" t="s">
        <v>42</v>
      </c>
      <c r="AD2548">
        <v>1</v>
      </c>
    </row>
    <row r="2549" spans="1:30">
      <c r="A2549" t="str">
        <f>CONCATENATE(I2549,J2549)</f>
        <v>QLINESM</v>
      </c>
      <c r="B2549" s="34">
        <v>46273</v>
      </c>
      <c r="C2549" s="34">
        <v>46273</v>
      </c>
      <c r="D2549" t="s">
        <v>35</v>
      </c>
      <c r="E2549" t="s">
        <v>36</v>
      </c>
      <c r="F2549" t="s">
        <v>37</v>
      </c>
      <c r="G2549">
        <v>763594</v>
      </c>
      <c r="H2549" t="s">
        <v>7704</v>
      </c>
      <c r="I2549" t="s">
        <v>7705</v>
      </c>
      <c r="J2549" t="s">
        <v>267</v>
      </c>
      <c r="O2549" t="s">
        <v>7706</v>
      </c>
      <c r="P2549">
        <v>634.9</v>
      </c>
      <c r="Q2549">
        <v>635</v>
      </c>
      <c r="R2549">
        <v>619</v>
      </c>
      <c r="S2549">
        <v>624.04999999999995</v>
      </c>
      <c r="T2549">
        <v>623</v>
      </c>
      <c r="U2549">
        <v>626.25</v>
      </c>
      <c r="W2549">
        <v>624.04999999999995</v>
      </c>
      <c r="Z2549">
        <v>94000</v>
      </c>
      <c r="AA2549">
        <v>58642260</v>
      </c>
      <c r="AB2549">
        <v>172</v>
      </c>
      <c r="AC2549" t="s">
        <v>42</v>
      </c>
      <c r="AD2549">
        <v>400</v>
      </c>
    </row>
    <row r="2550" spans="1:30">
      <c r="A2550" t="str">
        <f>CONCATENATE(I2550,J2550)</f>
        <v>QMSMEDIBE</v>
      </c>
      <c r="B2550" s="34">
        <v>46273</v>
      </c>
      <c r="C2550" s="34">
        <v>46273</v>
      </c>
      <c r="D2550" t="s">
        <v>35</v>
      </c>
      <c r="E2550" t="s">
        <v>36</v>
      </c>
      <c r="F2550" t="s">
        <v>37</v>
      </c>
      <c r="G2550">
        <v>751653</v>
      </c>
      <c r="H2550" t="s">
        <v>7707</v>
      </c>
      <c r="I2550" t="s">
        <v>7708</v>
      </c>
      <c r="J2550" t="s">
        <v>183</v>
      </c>
      <c r="O2550" t="s">
        <v>7709</v>
      </c>
      <c r="P2550">
        <v>162.97999999999999</v>
      </c>
      <c r="Q2550">
        <v>162.97999999999999</v>
      </c>
      <c r="R2550">
        <v>155</v>
      </c>
      <c r="S2550">
        <v>155.16999999999999</v>
      </c>
      <c r="T2550">
        <v>155</v>
      </c>
      <c r="U2550">
        <v>161.87</v>
      </c>
      <c r="W2550">
        <v>155.16999999999999</v>
      </c>
      <c r="Z2550">
        <v>19633</v>
      </c>
      <c r="AA2550">
        <v>3116740.12</v>
      </c>
      <c r="AB2550">
        <v>161</v>
      </c>
      <c r="AC2550" t="s">
        <v>42</v>
      </c>
      <c r="AD2550">
        <v>1</v>
      </c>
    </row>
    <row r="2551" spans="1:30">
      <c r="A2551" t="str">
        <f>CONCATENATE(I2551,J2551)</f>
        <v>QUADPROSM</v>
      </c>
      <c r="B2551" s="34">
        <v>46273</v>
      </c>
      <c r="C2551" s="34">
        <v>46273</v>
      </c>
      <c r="D2551" t="s">
        <v>35</v>
      </c>
      <c r="E2551" t="s">
        <v>36</v>
      </c>
      <c r="F2551" t="s">
        <v>37</v>
      </c>
      <c r="G2551">
        <v>5870</v>
      </c>
      <c r="H2551" t="s">
        <v>7710</v>
      </c>
      <c r="I2551" t="s">
        <v>7711</v>
      </c>
      <c r="J2551" t="s">
        <v>267</v>
      </c>
      <c r="O2551" t="s">
        <v>7712</v>
      </c>
      <c r="P2551">
        <v>2.7</v>
      </c>
      <c r="Q2551">
        <v>2.7</v>
      </c>
      <c r="R2551">
        <v>2.7</v>
      </c>
      <c r="S2551">
        <v>2.7</v>
      </c>
      <c r="T2551">
        <v>2.7</v>
      </c>
      <c r="U2551">
        <v>2.6</v>
      </c>
      <c r="W2551">
        <v>2.7</v>
      </c>
      <c r="Z2551">
        <v>12000</v>
      </c>
      <c r="AA2551">
        <v>32400</v>
      </c>
      <c r="AB2551">
        <v>1</v>
      </c>
      <c r="AC2551" t="s">
        <v>42</v>
      </c>
      <c r="AD2551">
        <v>12000</v>
      </c>
    </row>
    <row r="2552" spans="1:30">
      <c r="A2552" t="str">
        <f>CONCATENATE(I2552,J2552)</f>
        <v>QUADFUTUREEQ</v>
      </c>
      <c r="B2552" s="34">
        <v>46273</v>
      </c>
      <c r="C2552" s="34">
        <v>46273</v>
      </c>
      <c r="D2552" t="s">
        <v>35</v>
      </c>
      <c r="E2552" t="s">
        <v>36</v>
      </c>
      <c r="F2552" t="s">
        <v>37</v>
      </c>
      <c r="G2552">
        <v>29087</v>
      </c>
      <c r="H2552" t="s">
        <v>7713</v>
      </c>
      <c r="I2552" t="s">
        <v>7714</v>
      </c>
      <c r="J2552" t="s">
        <v>161</v>
      </c>
      <c r="O2552" t="s">
        <v>7715</v>
      </c>
      <c r="P2552">
        <v>418.9</v>
      </c>
      <c r="Q2552">
        <v>444</v>
      </c>
      <c r="R2552">
        <v>415</v>
      </c>
      <c r="S2552">
        <v>441</v>
      </c>
      <c r="T2552">
        <v>442.4</v>
      </c>
      <c r="U2552">
        <v>415.65</v>
      </c>
      <c r="W2552">
        <v>441.01</v>
      </c>
      <c r="Z2552">
        <v>1096145</v>
      </c>
      <c r="AA2552">
        <v>477910752.60000002</v>
      </c>
      <c r="AB2552">
        <v>30292</v>
      </c>
      <c r="AC2552" t="s">
        <v>42</v>
      </c>
      <c r="AD2552">
        <v>1</v>
      </c>
    </row>
    <row r="2553" spans="1:30">
      <c r="A2553" t="str">
        <f>CONCATENATE(I2553,J2553)</f>
        <v>QPOWEREQ</v>
      </c>
      <c r="B2553" s="34">
        <v>46273</v>
      </c>
      <c r="C2553" s="34">
        <v>46273</v>
      </c>
      <c r="D2553" t="s">
        <v>35</v>
      </c>
      <c r="E2553" t="s">
        <v>36</v>
      </c>
      <c r="F2553" t="s">
        <v>37</v>
      </c>
      <c r="G2553">
        <v>29711</v>
      </c>
      <c r="H2553" t="s">
        <v>7716</v>
      </c>
      <c r="I2553" t="s">
        <v>7717</v>
      </c>
      <c r="J2553" t="s">
        <v>161</v>
      </c>
      <c r="O2553" t="s">
        <v>7718</v>
      </c>
      <c r="P2553">
        <v>1500</v>
      </c>
      <c r="Q2553">
        <v>1525</v>
      </c>
      <c r="R2553">
        <v>1450.1</v>
      </c>
      <c r="S2553">
        <v>1519.7</v>
      </c>
      <c r="T2553">
        <v>1525</v>
      </c>
      <c r="U2553">
        <v>1482.5</v>
      </c>
      <c r="W2553">
        <v>1519.7</v>
      </c>
      <c r="Z2553">
        <v>292715</v>
      </c>
      <c r="AA2553">
        <v>436038660.60000002</v>
      </c>
      <c r="AB2553">
        <v>17947</v>
      </c>
      <c r="AC2553" t="s">
        <v>42</v>
      </c>
      <c r="AD2553">
        <v>1</v>
      </c>
    </row>
    <row r="2554" spans="1:30">
      <c r="A2554" t="str">
        <f>CONCATENATE(I2554,J2554)</f>
        <v>QGOLDHALFEQ</v>
      </c>
      <c r="B2554" s="34">
        <v>46273</v>
      </c>
      <c r="C2554" s="34">
        <v>46273</v>
      </c>
      <c r="D2554" t="s">
        <v>35</v>
      </c>
      <c r="E2554" t="s">
        <v>36</v>
      </c>
      <c r="F2554" t="s">
        <v>37</v>
      </c>
      <c r="G2554">
        <v>15330</v>
      </c>
      <c r="H2554" t="s">
        <v>7719</v>
      </c>
      <c r="I2554" t="s">
        <v>7720</v>
      </c>
      <c r="J2554" t="s">
        <v>161</v>
      </c>
      <c r="O2554" t="s">
        <v>7721</v>
      </c>
      <c r="P2554">
        <v>126</v>
      </c>
      <c r="Q2554">
        <v>127.47</v>
      </c>
      <c r="R2554">
        <v>125.79</v>
      </c>
      <c r="S2554">
        <v>126.09</v>
      </c>
      <c r="T2554">
        <v>126.1</v>
      </c>
      <c r="U2554">
        <v>125.79</v>
      </c>
      <c r="W2554">
        <v>126.09</v>
      </c>
      <c r="Z2554">
        <v>263070</v>
      </c>
      <c r="AA2554">
        <v>33204883.280000001</v>
      </c>
      <c r="AB2554">
        <v>948</v>
      </c>
      <c r="AC2554" t="s">
        <v>42</v>
      </c>
      <c r="AD2554">
        <v>1</v>
      </c>
    </row>
    <row r="2555" spans="1:30">
      <c r="A2555" t="str">
        <f>CONCATENATE(I2555,J2555)</f>
        <v>QNIFTYEQ</v>
      </c>
      <c r="B2555" s="34">
        <v>46273</v>
      </c>
      <c r="C2555" s="34">
        <v>46273</v>
      </c>
      <c r="D2555" t="s">
        <v>35</v>
      </c>
      <c r="E2555" t="s">
        <v>36</v>
      </c>
      <c r="F2555" t="s">
        <v>37</v>
      </c>
      <c r="G2555">
        <v>16819</v>
      </c>
      <c r="H2555" t="s">
        <v>7722</v>
      </c>
      <c r="I2555" t="s">
        <v>7723</v>
      </c>
      <c r="J2555" t="s">
        <v>161</v>
      </c>
      <c r="O2555" t="s">
        <v>7724</v>
      </c>
      <c r="P2555">
        <v>267</v>
      </c>
      <c r="Q2555">
        <v>267</v>
      </c>
      <c r="R2555">
        <v>258.51</v>
      </c>
      <c r="S2555">
        <v>261.76</v>
      </c>
      <c r="T2555">
        <v>261</v>
      </c>
      <c r="U2555">
        <v>262.18</v>
      </c>
      <c r="W2555">
        <v>261.76</v>
      </c>
      <c r="Z2555">
        <v>5892</v>
      </c>
      <c r="AA2555">
        <v>1538612.17</v>
      </c>
      <c r="AB2555">
        <v>121</v>
      </c>
      <c r="AC2555" t="s">
        <v>42</v>
      </c>
      <c r="AD2555">
        <v>1</v>
      </c>
    </row>
    <row r="2556" spans="1:30">
      <c r="A2556" t="str">
        <f>CONCATENATE(I2556,J2556)</f>
        <v>SILVER001EQ</v>
      </c>
      <c r="B2556" s="34">
        <v>46273</v>
      </c>
      <c r="C2556" s="34">
        <v>46273</v>
      </c>
      <c r="D2556" t="s">
        <v>35</v>
      </c>
      <c r="E2556" t="s">
        <v>36</v>
      </c>
      <c r="F2556" t="s">
        <v>37</v>
      </c>
      <c r="G2556">
        <v>765392</v>
      </c>
      <c r="H2556" t="s">
        <v>7725</v>
      </c>
      <c r="I2556" t="s">
        <v>7726</v>
      </c>
      <c r="J2556" t="s">
        <v>161</v>
      </c>
      <c r="O2556" t="s">
        <v>7727</v>
      </c>
      <c r="P2556">
        <v>23.8</v>
      </c>
      <c r="Q2556">
        <v>23.99</v>
      </c>
      <c r="R2556">
        <v>23.17</v>
      </c>
      <c r="S2556">
        <v>23.28</v>
      </c>
      <c r="T2556">
        <v>23.33</v>
      </c>
      <c r="U2556">
        <v>23.35</v>
      </c>
      <c r="W2556">
        <v>23.28</v>
      </c>
      <c r="Z2556">
        <v>15632</v>
      </c>
      <c r="AA2556">
        <v>367616.91</v>
      </c>
      <c r="AB2556">
        <v>100</v>
      </c>
      <c r="AC2556" t="s">
        <v>42</v>
      </c>
      <c r="AD2556">
        <v>1</v>
      </c>
    </row>
    <row r="2557" spans="1:30">
      <c r="A2557" t="str">
        <f>CONCATENATE(I2557,J2557)</f>
        <v>QUESSEQ</v>
      </c>
      <c r="B2557" s="34">
        <v>46273</v>
      </c>
      <c r="C2557" s="34">
        <v>46273</v>
      </c>
      <c r="D2557" t="s">
        <v>35</v>
      </c>
      <c r="E2557" t="s">
        <v>36</v>
      </c>
      <c r="F2557" t="s">
        <v>37</v>
      </c>
      <c r="G2557">
        <v>17704</v>
      </c>
      <c r="H2557" t="s">
        <v>7728</v>
      </c>
      <c r="I2557" t="s">
        <v>7729</v>
      </c>
      <c r="J2557" t="s">
        <v>161</v>
      </c>
      <c r="O2557" t="s">
        <v>7730</v>
      </c>
      <c r="P2557">
        <v>340</v>
      </c>
      <c r="Q2557">
        <v>347.9</v>
      </c>
      <c r="R2557">
        <v>324</v>
      </c>
      <c r="S2557">
        <v>337.5</v>
      </c>
      <c r="T2557">
        <v>337.05</v>
      </c>
      <c r="U2557">
        <v>339.6</v>
      </c>
      <c r="W2557">
        <v>337.46</v>
      </c>
      <c r="Z2557">
        <v>850090</v>
      </c>
      <c r="AA2557">
        <v>283201614.94999999</v>
      </c>
      <c r="AB2557">
        <v>27467</v>
      </c>
      <c r="AC2557" t="s">
        <v>42</v>
      </c>
      <c r="AD2557">
        <v>1</v>
      </c>
    </row>
    <row r="2558" spans="1:30">
      <c r="A2558" t="str">
        <f>CONCATENATE(I2558,J2558)</f>
        <v>QUESTLABSM</v>
      </c>
      <c r="B2558" s="34">
        <v>46273</v>
      </c>
      <c r="C2558" s="34">
        <v>46273</v>
      </c>
      <c r="D2558" t="s">
        <v>35</v>
      </c>
      <c r="E2558" t="s">
        <v>36</v>
      </c>
      <c r="F2558" t="s">
        <v>37</v>
      </c>
      <c r="G2558">
        <v>23793</v>
      </c>
      <c r="H2558" t="s">
        <v>7731</v>
      </c>
      <c r="I2558" t="s">
        <v>7732</v>
      </c>
      <c r="J2558" t="s">
        <v>267</v>
      </c>
      <c r="O2558" t="s">
        <v>7733</v>
      </c>
      <c r="P2558">
        <v>83</v>
      </c>
      <c r="Q2558">
        <v>83</v>
      </c>
      <c r="R2558">
        <v>82</v>
      </c>
      <c r="S2558">
        <v>82</v>
      </c>
      <c r="T2558">
        <v>82</v>
      </c>
      <c r="U2558">
        <v>82</v>
      </c>
      <c r="W2558">
        <v>82</v>
      </c>
      <c r="Z2558">
        <v>3600</v>
      </c>
      <c r="AA2558">
        <v>296400</v>
      </c>
      <c r="AB2558">
        <v>3</v>
      </c>
      <c r="AC2558" t="s">
        <v>42</v>
      </c>
      <c r="AD2558">
        <v>1200</v>
      </c>
    </row>
    <row r="2559" spans="1:30">
      <c r="A2559" t="str">
        <f>CONCATENATE(I2559,J2559)</f>
        <v>QUICKHEALEQ</v>
      </c>
      <c r="B2559" s="34">
        <v>46273</v>
      </c>
      <c r="C2559" s="34">
        <v>46273</v>
      </c>
      <c r="D2559" t="s">
        <v>35</v>
      </c>
      <c r="E2559" t="s">
        <v>36</v>
      </c>
      <c r="F2559" t="s">
        <v>37</v>
      </c>
      <c r="G2559">
        <v>13116</v>
      </c>
      <c r="H2559" t="s">
        <v>7734</v>
      </c>
      <c r="I2559" t="s">
        <v>7735</v>
      </c>
      <c r="J2559" t="s">
        <v>161</v>
      </c>
      <c r="O2559" t="s">
        <v>7736</v>
      </c>
      <c r="P2559">
        <v>154.49</v>
      </c>
      <c r="Q2559">
        <v>161</v>
      </c>
      <c r="R2559">
        <v>152.80000000000001</v>
      </c>
      <c r="S2559">
        <v>153.44</v>
      </c>
      <c r="T2559">
        <v>153</v>
      </c>
      <c r="U2559">
        <v>153.16</v>
      </c>
      <c r="W2559">
        <v>153.44999999999999</v>
      </c>
      <c r="Z2559">
        <v>147505</v>
      </c>
      <c r="AA2559">
        <v>22896904.879999999</v>
      </c>
      <c r="AB2559">
        <v>2276</v>
      </c>
      <c r="AC2559" t="s">
        <v>42</v>
      </c>
      <c r="AD2559">
        <v>1</v>
      </c>
    </row>
    <row r="2560" spans="1:30">
      <c r="A2560" t="str">
        <f>CONCATENATE(I2560,J2560)</f>
        <v>QUICKTOUCHSM</v>
      </c>
      <c r="B2560" s="34">
        <v>46273</v>
      </c>
      <c r="C2560" s="34">
        <v>46273</v>
      </c>
      <c r="D2560" t="s">
        <v>35</v>
      </c>
      <c r="E2560" t="s">
        <v>36</v>
      </c>
      <c r="F2560" t="s">
        <v>37</v>
      </c>
      <c r="G2560">
        <v>15285</v>
      </c>
      <c r="H2560" t="s">
        <v>7737</v>
      </c>
      <c r="I2560" t="s">
        <v>7738</v>
      </c>
      <c r="J2560" t="s">
        <v>267</v>
      </c>
      <c r="O2560" t="s">
        <v>7739</v>
      </c>
      <c r="P2560">
        <v>17</v>
      </c>
      <c r="Q2560">
        <v>17</v>
      </c>
      <c r="R2560">
        <v>17</v>
      </c>
      <c r="S2560">
        <v>17</v>
      </c>
      <c r="T2560">
        <v>17</v>
      </c>
      <c r="U2560">
        <v>16.8</v>
      </c>
      <c r="W2560">
        <v>17</v>
      </c>
      <c r="Z2560">
        <v>1000</v>
      </c>
      <c r="AA2560">
        <v>17000</v>
      </c>
      <c r="AB2560">
        <v>2</v>
      </c>
      <c r="AC2560" t="s">
        <v>42</v>
      </c>
      <c r="AD2560">
        <v>500</v>
      </c>
    </row>
    <row r="2561" spans="1:30">
      <c r="A2561" t="str">
        <f>CONCATENATE(I2561,J2561)</f>
        <v>QUINTEQ</v>
      </c>
      <c r="B2561" s="34">
        <v>46273</v>
      </c>
      <c r="C2561" s="34">
        <v>46273</v>
      </c>
      <c r="D2561" t="s">
        <v>35</v>
      </c>
      <c r="E2561" t="s">
        <v>36</v>
      </c>
      <c r="F2561" t="s">
        <v>37</v>
      </c>
      <c r="G2561">
        <v>762854</v>
      </c>
      <c r="H2561" t="s">
        <v>7740</v>
      </c>
      <c r="I2561" t="s">
        <v>7741</v>
      </c>
      <c r="J2561" t="s">
        <v>161</v>
      </c>
      <c r="O2561" t="s">
        <v>7742</v>
      </c>
      <c r="P2561">
        <v>39.01</v>
      </c>
      <c r="Q2561">
        <v>41</v>
      </c>
      <c r="R2561">
        <v>39.01</v>
      </c>
      <c r="S2561">
        <v>39.85</v>
      </c>
      <c r="T2561">
        <v>40.29</v>
      </c>
      <c r="U2561">
        <v>39.299999999999997</v>
      </c>
      <c r="W2561">
        <v>39.840000000000003</v>
      </c>
      <c r="Z2561">
        <v>7175</v>
      </c>
      <c r="AA2561">
        <v>285778.59000000003</v>
      </c>
      <c r="AB2561">
        <v>72</v>
      </c>
      <c r="AC2561" t="s">
        <v>42</v>
      </c>
      <c r="AD2561">
        <v>1</v>
      </c>
    </row>
    <row r="2562" spans="1:30">
      <c r="A2562" t="str">
        <f>CONCATENATE(I2562,J2562)</f>
        <v>QVCELSM</v>
      </c>
      <c r="B2562" s="34">
        <v>46273</v>
      </c>
      <c r="C2562" s="34">
        <v>46273</v>
      </c>
      <c r="D2562" t="s">
        <v>35</v>
      </c>
      <c r="E2562" t="s">
        <v>36</v>
      </c>
      <c r="F2562" t="s">
        <v>37</v>
      </c>
      <c r="G2562">
        <v>24957</v>
      </c>
      <c r="H2562" t="s">
        <v>7743</v>
      </c>
      <c r="I2562" t="s">
        <v>7744</v>
      </c>
      <c r="J2562" t="s">
        <v>267</v>
      </c>
      <c r="O2562" t="s">
        <v>7745</v>
      </c>
      <c r="P2562">
        <v>22.8</v>
      </c>
      <c r="Q2562">
        <v>22.8</v>
      </c>
      <c r="R2562">
        <v>22.8</v>
      </c>
      <c r="S2562">
        <v>22.8</v>
      </c>
      <c r="T2562">
        <v>22.8</v>
      </c>
      <c r="U2562">
        <v>23.6</v>
      </c>
      <c r="W2562">
        <v>22.8</v>
      </c>
      <c r="Z2562">
        <v>1600</v>
      </c>
      <c r="AA2562">
        <v>36480</v>
      </c>
      <c r="AB2562">
        <v>1</v>
      </c>
      <c r="AC2562" t="s">
        <v>42</v>
      </c>
      <c r="AD2562">
        <v>1600</v>
      </c>
    </row>
    <row r="2563" spans="1:30">
      <c r="A2563" t="str">
        <f>CONCATENATE(I2563,J2563)</f>
        <v>RKSWAMYEQ</v>
      </c>
      <c r="B2563" s="34">
        <v>46273</v>
      </c>
      <c r="C2563" s="34">
        <v>46273</v>
      </c>
      <c r="D2563" t="s">
        <v>35</v>
      </c>
      <c r="E2563" t="s">
        <v>36</v>
      </c>
      <c r="F2563" t="s">
        <v>37</v>
      </c>
      <c r="G2563">
        <v>23043</v>
      </c>
      <c r="H2563" t="s">
        <v>7746</v>
      </c>
      <c r="I2563" t="s">
        <v>7747</v>
      </c>
      <c r="J2563" t="s">
        <v>161</v>
      </c>
      <c r="O2563" t="s">
        <v>7748</v>
      </c>
      <c r="P2563">
        <v>93.57</v>
      </c>
      <c r="Q2563">
        <v>96</v>
      </c>
      <c r="R2563">
        <v>93.21</v>
      </c>
      <c r="S2563">
        <v>94.34</v>
      </c>
      <c r="T2563">
        <v>95.96</v>
      </c>
      <c r="U2563">
        <v>93.66</v>
      </c>
      <c r="W2563">
        <v>94.31</v>
      </c>
      <c r="Z2563">
        <v>19078</v>
      </c>
      <c r="AA2563">
        <v>1795967</v>
      </c>
      <c r="AB2563">
        <v>313</v>
      </c>
      <c r="AC2563" t="s">
        <v>42</v>
      </c>
      <c r="AD2563">
        <v>1</v>
      </c>
    </row>
    <row r="2564" spans="1:30">
      <c r="A2564" t="str">
        <f>CONCATENATE(I2564,J2564)</f>
        <v>RMDRIPBE</v>
      </c>
      <c r="B2564" s="34">
        <v>46273</v>
      </c>
      <c r="C2564" s="34">
        <v>46273</v>
      </c>
      <c r="D2564" t="s">
        <v>35</v>
      </c>
      <c r="E2564" t="s">
        <v>36</v>
      </c>
      <c r="F2564" t="s">
        <v>37</v>
      </c>
      <c r="G2564">
        <v>757836</v>
      </c>
      <c r="H2564" t="s">
        <v>7749</v>
      </c>
      <c r="I2564" t="s">
        <v>7750</v>
      </c>
      <c r="J2564" t="s">
        <v>183</v>
      </c>
      <c r="O2564" t="s">
        <v>7751</v>
      </c>
      <c r="P2564">
        <v>22.5</v>
      </c>
      <c r="Q2564">
        <v>22.93</v>
      </c>
      <c r="R2564">
        <v>22</v>
      </c>
      <c r="S2564">
        <v>22.91</v>
      </c>
      <c r="T2564">
        <v>22.93</v>
      </c>
      <c r="U2564">
        <v>21.84</v>
      </c>
      <c r="W2564">
        <v>22.97</v>
      </c>
      <c r="Z2564">
        <v>556873</v>
      </c>
      <c r="AA2564">
        <v>12605117.140000001</v>
      </c>
      <c r="AB2564">
        <v>1138</v>
      </c>
      <c r="AC2564" t="s">
        <v>42</v>
      </c>
      <c r="AD2564">
        <v>1</v>
      </c>
    </row>
    <row r="2565" spans="1:30">
      <c r="A2565" t="str">
        <f>CONCATENATE(I2565,J2565)</f>
        <v>RRILEQ</v>
      </c>
      <c r="B2565" s="34">
        <v>46273</v>
      </c>
      <c r="C2565" s="34">
        <v>46273</v>
      </c>
      <c r="D2565" t="s">
        <v>35</v>
      </c>
      <c r="E2565" t="s">
        <v>36</v>
      </c>
      <c r="F2565" t="s">
        <v>37</v>
      </c>
      <c r="G2565">
        <v>762864</v>
      </c>
      <c r="H2565" t="s">
        <v>7752</v>
      </c>
      <c r="I2565" t="s">
        <v>7753</v>
      </c>
      <c r="J2565" t="s">
        <v>161</v>
      </c>
      <c r="O2565" t="s">
        <v>7754</v>
      </c>
      <c r="P2565">
        <v>16.79</v>
      </c>
      <c r="Q2565">
        <v>17.29</v>
      </c>
      <c r="R2565">
        <v>15.61</v>
      </c>
      <c r="S2565">
        <v>16.12</v>
      </c>
      <c r="T2565">
        <v>16.2</v>
      </c>
      <c r="U2565">
        <v>16.54</v>
      </c>
      <c r="W2565">
        <v>16.149999999999999</v>
      </c>
      <c r="Z2565">
        <v>75307</v>
      </c>
      <c r="AA2565">
        <v>1233113.3899999999</v>
      </c>
      <c r="AB2565">
        <v>256</v>
      </c>
      <c r="AC2565" t="s">
        <v>42</v>
      </c>
      <c r="AD2565">
        <v>1</v>
      </c>
    </row>
    <row r="2566" spans="1:30">
      <c r="A2566" t="str">
        <f>CONCATENATE(I2566,J2566)</f>
        <v>RRKABELEQ</v>
      </c>
      <c r="B2566" s="34">
        <v>46273</v>
      </c>
      <c r="C2566" s="34">
        <v>46273</v>
      </c>
      <c r="D2566" t="s">
        <v>35</v>
      </c>
      <c r="E2566" t="s">
        <v>36</v>
      </c>
      <c r="F2566" t="s">
        <v>37</v>
      </c>
      <c r="G2566">
        <v>18566</v>
      </c>
      <c r="H2566" t="s">
        <v>7755</v>
      </c>
      <c r="I2566" t="s">
        <v>7756</v>
      </c>
      <c r="J2566" t="s">
        <v>161</v>
      </c>
      <c r="O2566" t="s">
        <v>7757</v>
      </c>
      <c r="P2566">
        <v>2388.1</v>
      </c>
      <c r="Q2566">
        <v>2468</v>
      </c>
      <c r="R2566">
        <v>2388.1</v>
      </c>
      <c r="S2566">
        <v>2448.5</v>
      </c>
      <c r="T2566">
        <v>2450</v>
      </c>
      <c r="U2566">
        <v>2387.1</v>
      </c>
      <c r="W2566">
        <v>2448.4899999999998</v>
      </c>
      <c r="Z2566">
        <v>665066</v>
      </c>
      <c r="AA2566">
        <v>1625582594.2</v>
      </c>
      <c r="AB2566">
        <v>40736</v>
      </c>
      <c r="AC2566" t="s">
        <v>42</v>
      </c>
      <c r="AD2566">
        <v>1</v>
      </c>
    </row>
    <row r="2567" spans="1:30">
      <c r="A2567" t="str">
        <f>CONCATENATE(I2567,J2567)</f>
        <v>RSDFINBE</v>
      </c>
      <c r="B2567" s="34">
        <v>46273</v>
      </c>
      <c r="C2567" s="34">
        <v>46273</v>
      </c>
      <c r="D2567" t="s">
        <v>35</v>
      </c>
      <c r="E2567" t="s">
        <v>36</v>
      </c>
      <c r="F2567" t="s">
        <v>37</v>
      </c>
      <c r="G2567">
        <v>762872</v>
      </c>
      <c r="H2567" t="s">
        <v>7758</v>
      </c>
      <c r="I2567" t="s">
        <v>7759</v>
      </c>
      <c r="J2567" t="s">
        <v>183</v>
      </c>
      <c r="O2567" t="s">
        <v>7760</v>
      </c>
      <c r="P2567">
        <v>98.6</v>
      </c>
      <c r="Q2567">
        <v>98.84</v>
      </c>
      <c r="R2567">
        <v>93</v>
      </c>
      <c r="S2567">
        <v>98</v>
      </c>
      <c r="T2567">
        <v>98</v>
      </c>
      <c r="U2567">
        <v>96.94</v>
      </c>
      <c r="W2567">
        <v>96.73</v>
      </c>
      <c r="Z2567">
        <v>211</v>
      </c>
      <c r="AA2567">
        <v>19798.82</v>
      </c>
      <c r="AB2567">
        <v>12</v>
      </c>
      <c r="AC2567" t="s">
        <v>42</v>
      </c>
      <c r="AD2567">
        <v>1</v>
      </c>
    </row>
    <row r="2568" spans="1:30">
      <c r="A2568" t="str">
        <f>CONCATENATE(I2568,J2568)</f>
        <v>RSYSTEMSEQ</v>
      </c>
      <c r="B2568" s="34">
        <v>46273</v>
      </c>
      <c r="C2568" s="34">
        <v>46273</v>
      </c>
      <c r="D2568" t="s">
        <v>35</v>
      </c>
      <c r="E2568" t="s">
        <v>36</v>
      </c>
      <c r="F2568" t="s">
        <v>37</v>
      </c>
      <c r="G2568">
        <v>13414</v>
      </c>
      <c r="H2568" t="s">
        <v>7761</v>
      </c>
      <c r="I2568" t="s">
        <v>7762</v>
      </c>
      <c r="J2568" t="s">
        <v>161</v>
      </c>
      <c r="O2568" t="s">
        <v>7763</v>
      </c>
      <c r="P2568">
        <v>251.44</v>
      </c>
      <c r="Q2568">
        <v>251.44</v>
      </c>
      <c r="R2568">
        <v>245</v>
      </c>
      <c r="S2568">
        <v>245.89</v>
      </c>
      <c r="T2568">
        <v>245.3</v>
      </c>
      <c r="U2568">
        <v>250.72</v>
      </c>
      <c r="W2568">
        <v>245.86</v>
      </c>
      <c r="Z2568">
        <v>82877</v>
      </c>
      <c r="AA2568">
        <v>20467480.649999999</v>
      </c>
      <c r="AB2568">
        <v>2400</v>
      </c>
      <c r="AC2568" t="s">
        <v>42</v>
      </c>
      <c r="AD2568">
        <v>1</v>
      </c>
    </row>
    <row r="2569" spans="1:30">
      <c r="A2569" t="str">
        <f>CONCATENATE(I2569,J2569)</f>
        <v>RTSPOWREQ</v>
      </c>
      <c r="B2569" s="34">
        <v>46273</v>
      </c>
      <c r="C2569" s="34">
        <v>46273</v>
      </c>
      <c r="D2569" t="s">
        <v>35</v>
      </c>
      <c r="E2569" t="s">
        <v>36</v>
      </c>
      <c r="F2569" t="s">
        <v>37</v>
      </c>
      <c r="G2569">
        <v>764855</v>
      </c>
      <c r="H2569" t="s">
        <v>7764</v>
      </c>
      <c r="I2569" t="s">
        <v>7765</v>
      </c>
      <c r="J2569" t="s">
        <v>161</v>
      </c>
      <c r="O2569" t="s">
        <v>7766</v>
      </c>
      <c r="P2569">
        <v>93</v>
      </c>
      <c r="Q2569">
        <v>93</v>
      </c>
      <c r="R2569">
        <v>87.31</v>
      </c>
      <c r="S2569">
        <v>88.17</v>
      </c>
      <c r="T2569">
        <v>90.99</v>
      </c>
      <c r="U2569">
        <v>89.68</v>
      </c>
      <c r="W2569">
        <v>88.29</v>
      </c>
      <c r="Z2569">
        <v>1123</v>
      </c>
      <c r="AA2569">
        <v>99334.5</v>
      </c>
      <c r="AB2569">
        <v>54</v>
      </c>
      <c r="AC2569" t="s">
        <v>42</v>
      </c>
      <c r="AD2569">
        <v>1</v>
      </c>
    </row>
    <row r="2570" spans="1:30">
      <c r="A2570" t="str">
        <f>CONCATENATE(I2570,J2570)</f>
        <v>RNBDENIMSBE</v>
      </c>
      <c r="B2570" s="34">
        <v>46273</v>
      </c>
      <c r="C2570" s="34">
        <v>46273</v>
      </c>
      <c r="D2570" t="s">
        <v>35</v>
      </c>
      <c r="E2570" t="s">
        <v>36</v>
      </c>
      <c r="F2570" t="s">
        <v>37</v>
      </c>
      <c r="G2570">
        <v>758984</v>
      </c>
      <c r="H2570" t="s">
        <v>7767</v>
      </c>
      <c r="I2570" t="s">
        <v>7768</v>
      </c>
      <c r="J2570" t="s">
        <v>183</v>
      </c>
      <c r="O2570" t="s">
        <v>7769</v>
      </c>
      <c r="P2570">
        <v>10.11</v>
      </c>
      <c r="Q2570">
        <v>10.49</v>
      </c>
      <c r="R2570">
        <v>9.9700000000000006</v>
      </c>
      <c r="S2570">
        <v>10.09</v>
      </c>
      <c r="T2570">
        <v>10.15</v>
      </c>
      <c r="U2570">
        <v>10.49</v>
      </c>
      <c r="W2570">
        <v>10.09</v>
      </c>
      <c r="Z2570">
        <v>202421</v>
      </c>
      <c r="AA2570">
        <v>2059874.31</v>
      </c>
      <c r="AB2570">
        <v>768</v>
      </c>
      <c r="AC2570" t="s">
        <v>42</v>
      </c>
      <c r="AD2570">
        <v>1</v>
      </c>
    </row>
    <row r="2571" spans="1:30">
      <c r="A2571" t="str">
        <f>CONCATENATE(I2571,J2571)</f>
        <v>RSSOFTWAREEQ</v>
      </c>
      <c r="B2571" s="34">
        <v>46273</v>
      </c>
      <c r="C2571" s="34">
        <v>46273</v>
      </c>
      <c r="D2571" t="s">
        <v>35</v>
      </c>
      <c r="E2571" t="s">
        <v>36</v>
      </c>
      <c r="F2571" t="s">
        <v>37</v>
      </c>
      <c r="G2571">
        <v>6429</v>
      </c>
      <c r="H2571" t="s">
        <v>7770</v>
      </c>
      <c r="I2571" t="s">
        <v>7771</v>
      </c>
      <c r="J2571" t="s">
        <v>161</v>
      </c>
      <c r="O2571" t="s">
        <v>7772</v>
      </c>
      <c r="P2571">
        <v>29.59</v>
      </c>
      <c r="Q2571">
        <v>29.93</v>
      </c>
      <c r="R2571">
        <v>29</v>
      </c>
      <c r="S2571">
        <v>29.09</v>
      </c>
      <c r="T2571">
        <v>29.68</v>
      </c>
      <c r="U2571">
        <v>29.59</v>
      </c>
      <c r="W2571">
        <v>29.1</v>
      </c>
      <c r="Z2571">
        <v>31601</v>
      </c>
      <c r="AA2571">
        <v>928549.01</v>
      </c>
      <c r="AB2571">
        <v>221</v>
      </c>
      <c r="AC2571" t="s">
        <v>42</v>
      </c>
      <c r="AD2571">
        <v>1</v>
      </c>
    </row>
    <row r="2572" spans="1:30">
      <c r="A2572" t="str">
        <f>CONCATENATE(I2572,J2572)</f>
        <v>RPPINFRAEQ</v>
      </c>
      <c r="B2572" s="34">
        <v>46273</v>
      </c>
      <c r="C2572" s="34">
        <v>46273</v>
      </c>
      <c r="D2572" t="s">
        <v>35</v>
      </c>
      <c r="E2572" t="s">
        <v>36</v>
      </c>
      <c r="F2572" t="s">
        <v>37</v>
      </c>
      <c r="G2572">
        <v>20760</v>
      </c>
      <c r="H2572" t="s">
        <v>7773</v>
      </c>
      <c r="I2572" t="s">
        <v>7774</v>
      </c>
      <c r="J2572" t="s">
        <v>161</v>
      </c>
      <c r="O2572" t="s">
        <v>7775</v>
      </c>
      <c r="P2572">
        <v>54.2</v>
      </c>
      <c r="Q2572">
        <v>55.86</v>
      </c>
      <c r="R2572">
        <v>53.5</v>
      </c>
      <c r="S2572">
        <v>53.68</v>
      </c>
      <c r="T2572">
        <v>53.5</v>
      </c>
      <c r="U2572">
        <v>54.28</v>
      </c>
      <c r="W2572">
        <v>53.68</v>
      </c>
      <c r="Z2572">
        <v>31611</v>
      </c>
      <c r="AA2572">
        <v>1716198.31</v>
      </c>
      <c r="AB2572">
        <v>817</v>
      </c>
      <c r="AC2572" t="s">
        <v>42</v>
      </c>
      <c r="AD2572">
        <v>1</v>
      </c>
    </row>
    <row r="2573" spans="1:30">
      <c r="A2573" t="str">
        <f>CONCATENATE(I2573,J2573)</f>
        <v>RIITIV</v>
      </c>
      <c r="B2573" s="34">
        <v>46273</v>
      </c>
      <c r="C2573" s="34">
        <v>46273</v>
      </c>
      <c r="D2573" t="s">
        <v>35</v>
      </c>
      <c r="E2573" t="s">
        <v>36</v>
      </c>
      <c r="F2573" t="s">
        <v>37</v>
      </c>
      <c r="G2573">
        <v>762244</v>
      </c>
      <c r="H2573" t="s">
        <v>7776</v>
      </c>
      <c r="I2573" t="s">
        <v>7777</v>
      </c>
      <c r="J2573" t="s">
        <v>759</v>
      </c>
      <c r="O2573" t="s">
        <v>7778</v>
      </c>
      <c r="P2573">
        <v>121.75</v>
      </c>
      <c r="Q2573">
        <v>121.75</v>
      </c>
      <c r="R2573">
        <v>117.88</v>
      </c>
      <c r="S2573">
        <v>120.79</v>
      </c>
      <c r="T2573">
        <v>121</v>
      </c>
      <c r="U2573">
        <v>121.44</v>
      </c>
      <c r="W2573">
        <v>120.86</v>
      </c>
      <c r="Z2573">
        <v>130588</v>
      </c>
      <c r="AA2573">
        <v>15604152.41</v>
      </c>
      <c r="AB2573">
        <v>1941</v>
      </c>
      <c r="AC2573" t="s">
        <v>42</v>
      </c>
      <c r="AD2573">
        <v>1</v>
      </c>
    </row>
    <row r="2574" spans="1:30">
      <c r="A2574" t="str">
        <f>CONCATENATE(I2574,J2574)</f>
        <v>RACEEQ</v>
      </c>
      <c r="B2574" s="34">
        <v>46273</v>
      </c>
      <c r="C2574" s="34">
        <v>46273</v>
      </c>
      <c r="D2574" t="s">
        <v>35</v>
      </c>
      <c r="E2574" t="s">
        <v>36</v>
      </c>
      <c r="F2574" t="s">
        <v>37</v>
      </c>
      <c r="G2574">
        <v>15391</v>
      </c>
      <c r="H2574" t="s">
        <v>7779</v>
      </c>
      <c r="I2574" t="s">
        <v>7780</v>
      </c>
      <c r="J2574" t="s">
        <v>161</v>
      </c>
      <c r="O2574" t="s">
        <v>7781</v>
      </c>
      <c r="P2574">
        <v>101.92</v>
      </c>
      <c r="Q2574">
        <v>101.92</v>
      </c>
      <c r="R2574">
        <v>96.25</v>
      </c>
      <c r="S2574">
        <v>97.5</v>
      </c>
      <c r="T2574">
        <v>98</v>
      </c>
      <c r="U2574">
        <v>99.92</v>
      </c>
      <c r="W2574">
        <v>97.65</v>
      </c>
      <c r="Z2574">
        <v>4268</v>
      </c>
      <c r="AA2574">
        <v>418640.64000000001</v>
      </c>
      <c r="AB2574">
        <v>94</v>
      </c>
      <c r="AC2574" t="s">
        <v>42</v>
      </c>
      <c r="AD2574">
        <v>1</v>
      </c>
    </row>
    <row r="2575" spans="1:30">
      <c r="A2575" t="str">
        <f>CONCATENATE(I2575,J2575)</f>
        <v>RILINFRASM</v>
      </c>
      <c r="B2575" s="34">
        <v>46273</v>
      </c>
      <c r="C2575" s="34">
        <v>46273</v>
      </c>
      <c r="D2575" t="s">
        <v>35</v>
      </c>
      <c r="E2575" t="s">
        <v>36</v>
      </c>
      <c r="F2575" t="s">
        <v>37</v>
      </c>
      <c r="G2575">
        <v>9854</v>
      </c>
      <c r="H2575" t="s">
        <v>7782</v>
      </c>
      <c r="I2575" t="s">
        <v>7783</v>
      </c>
      <c r="J2575" t="s">
        <v>267</v>
      </c>
      <c r="O2575" t="s">
        <v>7784</v>
      </c>
      <c r="P2575">
        <v>32.4</v>
      </c>
      <c r="Q2575">
        <v>33.5</v>
      </c>
      <c r="R2575">
        <v>31</v>
      </c>
      <c r="S2575">
        <v>31.75</v>
      </c>
      <c r="T2575">
        <v>31.7</v>
      </c>
      <c r="U2575">
        <v>33.15</v>
      </c>
      <c r="W2575">
        <v>31.75</v>
      </c>
      <c r="Z2575">
        <v>51400</v>
      </c>
      <c r="AA2575">
        <v>1638170</v>
      </c>
      <c r="AB2575">
        <v>195</v>
      </c>
      <c r="AC2575" t="s">
        <v>42</v>
      </c>
      <c r="AD2575">
        <v>100</v>
      </c>
    </row>
    <row r="2576" spans="1:30">
      <c r="A2576" t="str">
        <f>CONCATENATE(I2576,J2576)</f>
        <v>RACLGEAREQ</v>
      </c>
      <c r="B2576" s="34">
        <v>46273</v>
      </c>
      <c r="C2576" s="34">
        <v>46273</v>
      </c>
      <c r="D2576" t="s">
        <v>35</v>
      </c>
      <c r="E2576" t="s">
        <v>36</v>
      </c>
      <c r="F2576" t="s">
        <v>37</v>
      </c>
      <c r="G2576">
        <v>27171</v>
      </c>
      <c r="H2576" t="s">
        <v>7785</v>
      </c>
      <c r="I2576" t="s">
        <v>7786</v>
      </c>
      <c r="J2576" t="s">
        <v>161</v>
      </c>
      <c r="O2576" t="s">
        <v>7787</v>
      </c>
      <c r="P2576">
        <v>1575</v>
      </c>
      <c r="Q2576">
        <v>1580.8</v>
      </c>
      <c r="R2576">
        <v>1527.2</v>
      </c>
      <c r="S2576">
        <v>1540.2</v>
      </c>
      <c r="T2576">
        <v>1547.8</v>
      </c>
      <c r="U2576">
        <v>1573.7</v>
      </c>
      <c r="W2576">
        <v>1540.16</v>
      </c>
      <c r="Z2576">
        <v>21693</v>
      </c>
      <c r="AA2576">
        <v>33512760.699999999</v>
      </c>
      <c r="AB2576">
        <v>3236</v>
      </c>
      <c r="AC2576" t="s">
        <v>42</v>
      </c>
      <c r="AD2576">
        <v>1</v>
      </c>
    </row>
    <row r="2577" spans="1:30">
      <c r="A2577" t="str">
        <f>CONCATENATE(I2577,J2577)</f>
        <v>RADAANEQ</v>
      </c>
      <c r="B2577" s="34">
        <v>46273</v>
      </c>
      <c r="C2577" s="34">
        <v>46273</v>
      </c>
      <c r="D2577" t="s">
        <v>35</v>
      </c>
      <c r="E2577" t="s">
        <v>36</v>
      </c>
      <c r="F2577" t="s">
        <v>37</v>
      </c>
      <c r="G2577">
        <v>10932</v>
      </c>
      <c r="H2577" t="s">
        <v>7788</v>
      </c>
      <c r="I2577" t="s">
        <v>7789</v>
      </c>
      <c r="J2577" t="s">
        <v>161</v>
      </c>
      <c r="O2577" t="s">
        <v>7790</v>
      </c>
      <c r="P2577">
        <v>3</v>
      </c>
      <c r="Q2577">
        <v>3.03</v>
      </c>
      <c r="R2577">
        <v>2.92</v>
      </c>
      <c r="S2577">
        <v>2.98</v>
      </c>
      <c r="T2577">
        <v>2.97</v>
      </c>
      <c r="U2577">
        <v>3</v>
      </c>
      <c r="W2577">
        <v>2.98</v>
      </c>
      <c r="Z2577">
        <v>17012</v>
      </c>
      <c r="AA2577">
        <v>50629.4</v>
      </c>
      <c r="AB2577">
        <v>90</v>
      </c>
      <c r="AC2577" t="s">
        <v>42</v>
      </c>
      <c r="AD2577">
        <v>1</v>
      </c>
    </row>
    <row r="2578" spans="1:30">
      <c r="A2578" t="str">
        <f>CONCATENATE(I2578,J2578)</f>
        <v>RADHIKAJWEEQ</v>
      </c>
      <c r="B2578" s="34">
        <v>46273</v>
      </c>
      <c r="C2578" s="34">
        <v>46273</v>
      </c>
      <c r="D2578" t="s">
        <v>35</v>
      </c>
      <c r="E2578" t="s">
        <v>36</v>
      </c>
      <c r="F2578" t="s">
        <v>37</v>
      </c>
      <c r="G2578">
        <v>10343</v>
      </c>
      <c r="H2578" t="s">
        <v>7791</v>
      </c>
      <c r="I2578" t="s">
        <v>7792</v>
      </c>
      <c r="J2578" t="s">
        <v>161</v>
      </c>
      <c r="O2578" t="s">
        <v>7793</v>
      </c>
      <c r="P2578">
        <v>94.21</v>
      </c>
      <c r="Q2578">
        <v>97.5</v>
      </c>
      <c r="R2578">
        <v>86.37</v>
      </c>
      <c r="S2578">
        <v>87.96</v>
      </c>
      <c r="T2578">
        <v>88</v>
      </c>
      <c r="U2578">
        <v>94.28</v>
      </c>
      <c r="W2578">
        <v>87.97</v>
      </c>
      <c r="Z2578">
        <v>8196082</v>
      </c>
      <c r="AA2578">
        <v>741037743.03999996</v>
      </c>
      <c r="AB2578">
        <v>48330</v>
      </c>
      <c r="AC2578" t="s">
        <v>42</v>
      </c>
      <c r="AD2578">
        <v>1</v>
      </c>
    </row>
    <row r="2579" spans="1:30">
      <c r="A2579" t="str">
        <f>CONCATENATE(I2579,J2579)</f>
        <v>RADIANTCMSEQ</v>
      </c>
      <c r="B2579" s="34">
        <v>46273</v>
      </c>
      <c r="C2579" s="34">
        <v>46273</v>
      </c>
      <c r="D2579" t="s">
        <v>35</v>
      </c>
      <c r="E2579" t="s">
        <v>36</v>
      </c>
      <c r="F2579" t="s">
        <v>37</v>
      </c>
      <c r="G2579">
        <v>13580</v>
      </c>
      <c r="H2579" t="s">
        <v>7794</v>
      </c>
      <c r="I2579" t="s">
        <v>7795</v>
      </c>
      <c r="J2579" t="s">
        <v>161</v>
      </c>
      <c r="O2579" t="s">
        <v>7796</v>
      </c>
      <c r="P2579">
        <v>43</v>
      </c>
      <c r="Q2579">
        <v>43.39</v>
      </c>
      <c r="R2579">
        <v>41.03</v>
      </c>
      <c r="S2579">
        <v>41.24</v>
      </c>
      <c r="T2579">
        <v>41.3</v>
      </c>
      <c r="U2579">
        <v>42.72</v>
      </c>
      <c r="W2579">
        <v>41.24</v>
      </c>
      <c r="Z2579">
        <v>426592</v>
      </c>
      <c r="AA2579">
        <v>17843146.719999999</v>
      </c>
      <c r="AB2579">
        <v>2580</v>
      </c>
      <c r="AC2579" t="s">
        <v>42</v>
      </c>
      <c r="AD2579">
        <v>1</v>
      </c>
    </row>
    <row r="2580" spans="1:30">
      <c r="A2580" t="str">
        <f>CONCATENATE(I2580,J2580)</f>
        <v>RADICOEQ</v>
      </c>
      <c r="B2580" s="34">
        <v>46273</v>
      </c>
      <c r="C2580" s="34">
        <v>46273</v>
      </c>
      <c r="D2580" t="s">
        <v>35</v>
      </c>
      <c r="E2580" t="s">
        <v>36</v>
      </c>
      <c r="F2580" t="s">
        <v>37</v>
      </c>
      <c r="G2580">
        <v>10990</v>
      </c>
      <c r="H2580" t="s">
        <v>7797</v>
      </c>
      <c r="I2580" t="s">
        <v>7798</v>
      </c>
      <c r="J2580" t="s">
        <v>161</v>
      </c>
      <c r="O2580" t="s">
        <v>7799</v>
      </c>
      <c r="P2580">
        <v>4450.1000000000004</v>
      </c>
      <c r="Q2580">
        <v>4497.6000000000004</v>
      </c>
      <c r="R2580">
        <v>4424</v>
      </c>
      <c r="S2580">
        <v>4485</v>
      </c>
      <c r="T2580">
        <v>4485</v>
      </c>
      <c r="U2580">
        <v>4444</v>
      </c>
      <c r="W2580">
        <v>4484.78</v>
      </c>
      <c r="Z2580">
        <v>139858</v>
      </c>
      <c r="AA2580">
        <v>623079457.60000002</v>
      </c>
      <c r="AB2580">
        <v>18881</v>
      </c>
      <c r="AC2580" t="s">
        <v>42</v>
      </c>
      <c r="AD2580">
        <v>1</v>
      </c>
    </row>
    <row r="2581" spans="1:30">
      <c r="A2581" t="str">
        <f>CONCATENATE(I2581,J2581)</f>
        <v>RPELEQ</v>
      </c>
      <c r="B2581" s="34">
        <v>46273</v>
      </c>
      <c r="C2581" s="34">
        <v>46273</v>
      </c>
      <c r="D2581" t="s">
        <v>35</v>
      </c>
      <c r="E2581" t="s">
        <v>36</v>
      </c>
      <c r="F2581" t="s">
        <v>37</v>
      </c>
      <c r="G2581">
        <v>24735</v>
      </c>
      <c r="H2581" t="s">
        <v>7800</v>
      </c>
      <c r="I2581" t="s">
        <v>7801</v>
      </c>
      <c r="J2581" t="s">
        <v>161</v>
      </c>
      <c r="O2581" t="s">
        <v>7802</v>
      </c>
      <c r="P2581">
        <v>1689</v>
      </c>
      <c r="Q2581">
        <v>1719</v>
      </c>
      <c r="R2581">
        <v>1679.1</v>
      </c>
      <c r="S2581">
        <v>1692.6</v>
      </c>
      <c r="T2581">
        <v>1692.3</v>
      </c>
      <c r="U2581">
        <v>1681.2</v>
      </c>
      <c r="W2581">
        <v>1692.55</v>
      </c>
      <c r="Z2581">
        <v>101435</v>
      </c>
      <c r="AA2581">
        <v>172350017.59999999</v>
      </c>
      <c r="AB2581">
        <v>11891</v>
      </c>
      <c r="AC2581" t="s">
        <v>42</v>
      </c>
      <c r="AD2581">
        <v>1</v>
      </c>
    </row>
    <row r="2582" spans="1:30">
      <c r="A2582" t="str">
        <f>CONCATENATE(I2582,J2582)</f>
        <v>RVNLEQ</v>
      </c>
      <c r="B2582" s="34">
        <v>46273</v>
      </c>
      <c r="C2582" s="34">
        <v>46273</v>
      </c>
      <c r="D2582" t="s">
        <v>35</v>
      </c>
      <c r="E2582" t="s">
        <v>36</v>
      </c>
      <c r="F2582" t="s">
        <v>37</v>
      </c>
      <c r="G2582">
        <v>9552</v>
      </c>
      <c r="H2582" t="s">
        <v>7803</v>
      </c>
      <c r="I2582" t="s">
        <v>7804</v>
      </c>
      <c r="J2582" t="s">
        <v>161</v>
      </c>
      <c r="O2582" t="s">
        <v>7805</v>
      </c>
      <c r="P2582">
        <v>210.05</v>
      </c>
      <c r="Q2582">
        <v>211.3</v>
      </c>
      <c r="R2582">
        <v>207</v>
      </c>
      <c r="S2582">
        <v>207.5</v>
      </c>
      <c r="T2582">
        <v>207.5</v>
      </c>
      <c r="U2582">
        <v>210.05</v>
      </c>
      <c r="W2582">
        <v>207.49</v>
      </c>
      <c r="Z2582">
        <v>2884655</v>
      </c>
      <c r="AA2582">
        <v>602714811.14999998</v>
      </c>
      <c r="AB2582">
        <v>29400</v>
      </c>
      <c r="AC2582" t="s">
        <v>42</v>
      </c>
      <c r="AD2582">
        <v>1</v>
      </c>
    </row>
    <row r="2583" spans="1:30">
      <c r="A2583" t="str">
        <f>CONCATENATE(I2583,J2583)</f>
        <v>RAILTELEQ</v>
      </c>
      <c r="B2583" s="34">
        <v>46273</v>
      </c>
      <c r="C2583" s="34">
        <v>46273</v>
      </c>
      <c r="D2583" t="s">
        <v>35</v>
      </c>
      <c r="E2583" t="s">
        <v>36</v>
      </c>
      <c r="F2583" t="s">
        <v>37</v>
      </c>
      <c r="G2583">
        <v>2431</v>
      </c>
      <c r="H2583" t="s">
        <v>7806</v>
      </c>
      <c r="I2583" t="s">
        <v>7807</v>
      </c>
      <c r="J2583" t="s">
        <v>161</v>
      </c>
      <c r="O2583" t="s">
        <v>7808</v>
      </c>
      <c r="P2583">
        <v>270</v>
      </c>
      <c r="Q2583">
        <v>271</v>
      </c>
      <c r="R2583">
        <v>264.75</v>
      </c>
      <c r="S2583">
        <v>266.3</v>
      </c>
      <c r="T2583">
        <v>267.55</v>
      </c>
      <c r="U2583">
        <v>270.05</v>
      </c>
      <c r="W2583">
        <v>266.31</v>
      </c>
      <c r="Z2583">
        <v>456353</v>
      </c>
      <c r="AA2583">
        <v>121810562.8</v>
      </c>
      <c r="AB2583">
        <v>12805</v>
      </c>
      <c r="AC2583" t="s">
        <v>42</v>
      </c>
      <c r="AD2583">
        <v>1</v>
      </c>
    </row>
    <row r="2584" spans="1:30">
      <c r="A2584" t="str">
        <f>CONCATENATE(I2584,J2584)</f>
        <v>RAINEQ</v>
      </c>
      <c r="B2584" s="34">
        <v>46273</v>
      </c>
      <c r="C2584" s="34">
        <v>46273</v>
      </c>
      <c r="D2584" t="s">
        <v>35</v>
      </c>
      <c r="E2584" t="s">
        <v>36</v>
      </c>
      <c r="F2584" t="s">
        <v>37</v>
      </c>
      <c r="G2584">
        <v>15337</v>
      </c>
      <c r="H2584" t="s">
        <v>7809</v>
      </c>
      <c r="I2584" t="s">
        <v>7810</v>
      </c>
      <c r="J2584" t="s">
        <v>161</v>
      </c>
      <c r="O2584" t="s">
        <v>7811</v>
      </c>
      <c r="P2584">
        <v>212.9</v>
      </c>
      <c r="Q2584">
        <v>222.35</v>
      </c>
      <c r="R2584">
        <v>212.42</v>
      </c>
      <c r="S2584">
        <v>217.81</v>
      </c>
      <c r="T2584">
        <v>218</v>
      </c>
      <c r="U2584">
        <v>211.38</v>
      </c>
      <c r="W2584">
        <v>217.8</v>
      </c>
      <c r="Z2584">
        <v>6812552</v>
      </c>
      <c r="AA2584">
        <v>1485489862.3900001</v>
      </c>
      <c r="AB2584">
        <v>49592</v>
      </c>
      <c r="AC2584" t="s">
        <v>42</v>
      </c>
      <c r="AD2584">
        <v>1</v>
      </c>
    </row>
    <row r="2585" spans="1:30">
      <c r="A2585" t="str">
        <f>CONCATENATE(I2585,J2585)</f>
        <v>RAINBOWEQ</v>
      </c>
      <c r="B2585" s="34">
        <v>46273</v>
      </c>
      <c r="C2585" s="34">
        <v>46273</v>
      </c>
      <c r="D2585" t="s">
        <v>35</v>
      </c>
      <c r="E2585" t="s">
        <v>36</v>
      </c>
      <c r="F2585" t="s">
        <v>37</v>
      </c>
      <c r="G2585">
        <v>9408</v>
      </c>
      <c r="H2585" t="s">
        <v>7812</v>
      </c>
      <c r="I2585" t="s">
        <v>7813</v>
      </c>
      <c r="J2585" t="s">
        <v>161</v>
      </c>
      <c r="O2585" t="s">
        <v>7814</v>
      </c>
      <c r="P2585">
        <v>1469.9</v>
      </c>
      <c r="Q2585">
        <v>1479</v>
      </c>
      <c r="R2585">
        <v>1444.7</v>
      </c>
      <c r="S2585">
        <v>1449.9</v>
      </c>
      <c r="T2585">
        <v>1450</v>
      </c>
      <c r="U2585">
        <v>1469.9</v>
      </c>
      <c r="W2585">
        <v>1449.89</v>
      </c>
      <c r="Z2585">
        <v>65166</v>
      </c>
      <c r="AA2585">
        <v>94661022.700000003</v>
      </c>
      <c r="AB2585">
        <v>8527</v>
      </c>
      <c r="AC2585" t="s">
        <v>42</v>
      </c>
      <c r="AD2585">
        <v>1</v>
      </c>
    </row>
    <row r="2586" spans="1:30">
      <c r="A2586" t="str">
        <f>CONCATENATE(I2586,J2586)</f>
        <v>ROMLEQ</v>
      </c>
      <c r="B2586" s="34">
        <v>46273</v>
      </c>
      <c r="C2586" s="34">
        <v>46273</v>
      </c>
      <c r="D2586" t="s">
        <v>35</v>
      </c>
      <c r="E2586" t="s">
        <v>36</v>
      </c>
      <c r="F2586" t="s">
        <v>37</v>
      </c>
      <c r="G2586">
        <v>359</v>
      </c>
      <c r="H2586" t="s">
        <v>7815</v>
      </c>
      <c r="I2586" t="s">
        <v>7816</v>
      </c>
      <c r="J2586" t="s">
        <v>161</v>
      </c>
      <c r="O2586" t="s">
        <v>7817</v>
      </c>
      <c r="P2586">
        <v>42.5</v>
      </c>
      <c r="Q2586">
        <v>43.6</v>
      </c>
      <c r="R2586">
        <v>42</v>
      </c>
      <c r="S2586">
        <v>42.26</v>
      </c>
      <c r="T2586">
        <v>42.35</v>
      </c>
      <c r="U2586">
        <v>43.01</v>
      </c>
      <c r="W2586">
        <v>42.27</v>
      </c>
      <c r="Z2586">
        <v>2078</v>
      </c>
      <c r="AA2586">
        <v>88033.83</v>
      </c>
      <c r="AB2586">
        <v>48</v>
      </c>
      <c r="AC2586" t="s">
        <v>42</v>
      </c>
      <c r="AD2586">
        <v>1</v>
      </c>
    </row>
    <row r="2587" spans="1:30">
      <c r="A2587" t="str">
        <f>CONCATENATE(I2587,J2587)</f>
        <v>RAJRILTDBE</v>
      </c>
      <c r="B2587" s="34">
        <v>46273</v>
      </c>
      <c r="C2587" s="34">
        <v>46273</v>
      </c>
      <c r="D2587" t="s">
        <v>35</v>
      </c>
      <c r="E2587" t="s">
        <v>36</v>
      </c>
      <c r="F2587" t="s">
        <v>37</v>
      </c>
      <c r="G2587">
        <v>8428</v>
      </c>
      <c r="H2587" t="s">
        <v>7818</v>
      </c>
      <c r="I2587" t="s">
        <v>7819</v>
      </c>
      <c r="J2587" t="s">
        <v>183</v>
      </c>
      <c r="O2587" t="s">
        <v>7820</v>
      </c>
      <c r="P2587">
        <v>21.65</v>
      </c>
      <c r="Q2587">
        <v>21.9</v>
      </c>
      <c r="R2587">
        <v>21.22</v>
      </c>
      <c r="S2587">
        <v>21.34</v>
      </c>
      <c r="T2587">
        <v>21.22</v>
      </c>
      <c r="U2587">
        <v>21.65</v>
      </c>
      <c r="W2587">
        <v>21.38</v>
      </c>
      <c r="Z2587">
        <v>2147</v>
      </c>
      <c r="AA2587">
        <v>46123.73</v>
      </c>
      <c r="AB2587">
        <v>53</v>
      </c>
      <c r="AC2587" t="s">
        <v>42</v>
      </c>
      <c r="AD2587">
        <v>1</v>
      </c>
    </row>
    <row r="2588" spans="1:30">
      <c r="A2588" t="str">
        <f>CONCATENATE(I2588,J2588)</f>
        <v>RAJTVEQ</v>
      </c>
      <c r="B2588" s="34">
        <v>46273</v>
      </c>
      <c r="C2588" s="34">
        <v>46273</v>
      </c>
      <c r="D2588" t="s">
        <v>35</v>
      </c>
      <c r="E2588" t="s">
        <v>36</v>
      </c>
      <c r="F2588" t="s">
        <v>37</v>
      </c>
      <c r="G2588">
        <v>14403</v>
      </c>
      <c r="H2588" t="s">
        <v>7821</v>
      </c>
      <c r="I2588" t="s">
        <v>7822</v>
      </c>
      <c r="J2588" t="s">
        <v>161</v>
      </c>
      <c r="O2588" t="s">
        <v>7823</v>
      </c>
      <c r="P2588">
        <v>8.83</v>
      </c>
      <c r="Q2588">
        <v>8.84</v>
      </c>
      <c r="R2588">
        <v>8.36</v>
      </c>
      <c r="S2588">
        <v>8.64</v>
      </c>
      <c r="T2588">
        <v>8.69</v>
      </c>
      <c r="U2588">
        <v>8.4700000000000006</v>
      </c>
      <c r="W2588">
        <v>8.64</v>
      </c>
      <c r="Z2588">
        <v>56918</v>
      </c>
      <c r="AA2588">
        <v>484967.6</v>
      </c>
      <c r="AB2588">
        <v>190</v>
      </c>
      <c r="AC2588" t="s">
        <v>42</v>
      </c>
      <c r="AD2588">
        <v>1</v>
      </c>
    </row>
    <row r="2589" spans="1:30">
      <c r="A2589" t="str">
        <f>CONCATENATE(I2589,J2589)</f>
        <v>RAJPALAYAMEQ</v>
      </c>
      <c r="B2589" s="34">
        <v>46273</v>
      </c>
      <c r="C2589" s="34">
        <v>46273</v>
      </c>
      <c r="D2589" t="s">
        <v>35</v>
      </c>
      <c r="E2589" t="s">
        <v>36</v>
      </c>
      <c r="F2589" t="s">
        <v>37</v>
      </c>
      <c r="G2589">
        <v>762859</v>
      </c>
      <c r="H2589" t="s">
        <v>7824</v>
      </c>
      <c r="I2589" t="s">
        <v>7825</v>
      </c>
      <c r="J2589" t="s">
        <v>161</v>
      </c>
      <c r="O2589" t="s">
        <v>7826</v>
      </c>
      <c r="P2589">
        <v>779.5</v>
      </c>
      <c r="Q2589">
        <v>786</v>
      </c>
      <c r="R2589">
        <v>770.4</v>
      </c>
      <c r="S2589">
        <v>785</v>
      </c>
      <c r="T2589">
        <v>785</v>
      </c>
      <c r="U2589">
        <v>775.65</v>
      </c>
      <c r="W2589">
        <v>785</v>
      </c>
      <c r="Z2589">
        <v>468</v>
      </c>
      <c r="AA2589">
        <v>365946.85</v>
      </c>
      <c r="AB2589">
        <v>28</v>
      </c>
      <c r="AC2589" t="s">
        <v>42</v>
      </c>
      <c r="AD2589">
        <v>1</v>
      </c>
    </row>
    <row r="2590" spans="1:30">
      <c r="A2590" t="str">
        <f>CONCATENATE(I2590,J2590)</f>
        <v>ARENTERPEQ</v>
      </c>
      <c r="B2590" s="34">
        <v>46273</v>
      </c>
      <c r="C2590" s="34">
        <v>46273</v>
      </c>
      <c r="D2590" t="s">
        <v>35</v>
      </c>
      <c r="E2590" t="s">
        <v>36</v>
      </c>
      <c r="F2590" t="s">
        <v>37</v>
      </c>
      <c r="G2590">
        <v>181</v>
      </c>
      <c r="H2590" t="s">
        <v>7827</v>
      </c>
      <c r="I2590" t="s">
        <v>7828</v>
      </c>
      <c r="J2590" t="s">
        <v>161</v>
      </c>
      <c r="O2590" t="s">
        <v>7829</v>
      </c>
      <c r="P2590">
        <v>34.700000000000003</v>
      </c>
      <c r="Q2590">
        <v>36</v>
      </c>
      <c r="R2590">
        <v>32.299999999999997</v>
      </c>
      <c r="S2590">
        <v>33.340000000000003</v>
      </c>
      <c r="T2590">
        <v>34.99</v>
      </c>
      <c r="U2590">
        <v>34.76</v>
      </c>
      <c r="W2590">
        <v>33.340000000000003</v>
      </c>
      <c r="Z2590">
        <v>1192</v>
      </c>
      <c r="AA2590">
        <v>40379.620000000003</v>
      </c>
      <c r="AB2590">
        <v>64</v>
      </c>
      <c r="AC2590" t="s">
        <v>42</v>
      </c>
      <c r="AD2590">
        <v>1</v>
      </c>
    </row>
    <row r="2591" spans="1:30">
      <c r="A2591" t="str">
        <f>CONCATENATE(I2591,J2591)</f>
        <v>RAJESHEXPOBZ</v>
      </c>
      <c r="B2591" s="34">
        <v>46273</v>
      </c>
      <c r="C2591" s="34">
        <v>46273</v>
      </c>
      <c r="D2591" t="s">
        <v>35</v>
      </c>
      <c r="E2591" t="s">
        <v>36</v>
      </c>
      <c r="F2591" t="s">
        <v>37</v>
      </c>
      <c r="G2591">
        <v>760461</v>
      </c>
      <c r="H2591" t="s">
        <v>7830</v>
      </c>
      <c r="I2591" t="s">
        <v>7831</v>
      </c>
      <c r="J2591" t="s">
        <v>551</v>
      </c>
      <c r="O2591" t="s">
        <v>7832</v>
      </c>
      <c r="P2591">
        <v>79.72</v>
      </c>
      <c r="Q2591">
        <v>80.959999999999994</v>
      </c>
      <c r="R2591">
        <v>76.78</v>
      </c>
      <c r="S2591">
        <v>79.61</v>
      </c>
      <c r="T2591">
        <v>79.989999999999995</v>
      </c>
      <c r="U2591">
        <v>79.72</v>
      </c>
      <c r="W2591">
        <v>79.66</v>
      </c>
      <c r="Z2591">
        <v>106273</v>
      </c>
      <c r="AA2591">
        <v>8376598.9699999997</v>
      </c>
      <c r="AB2591">
        <v>1193</v>
      </c>
      <c r="AC2591" t="s">
        <v>42</v>
      </c>
      <c r="AD2591">
        <v>1</v>
      </c>
    </row>
    <row r="2592" spans="1:30">
      <c r="A2592" t="str">
        <f>CONCATENATE(I2592,J2592)</f>
        <v>RCDL-REST</v>
      </c>
      <c r="B2592" s="34">
        <v>46273</v>
      </c>
      <c r="C2592" s="34">
        <v>46273</v>
      </c>
      <c r="D2592" t="s">
        <v>35</v>
      </c>
      <c r="E2592" t="s">
        <v>36</v>
      </c>
      <c r="F2592" t="s">
        <v>37</v>
      </c>
      <c r="G2592">
        <v>765445</v>
      </c>
      <c r="H2592" t="s">
        <v>7833</v>
      </c>
      <c r="I2592" t="s">
        <v>7834</v>
      </c>
      <c r="J2592" t="s">
        <v>328</v>
      </c>
      <c r="O2592" t="s">
        <v>7835</v>
      </c>
      <c r="P2592">
        <v>3.2</v>
      </c>
      <c r="Q2592">
        <v>3.2</v>
      </c>
      <c r="R2592">
        <v>2.2000000000000002</v>
      </c>
      <c r="S2592">
        <v>3</v>
      </c>
      <c r="T2592">
        <v>3</v>
      </c>
      <c r="U2592">
        <v>2.7</v>
      </c>
      <c r="W2592">
        <v>3</v>
      </c>
      <c r="Z2592">
        <v>243000</v>
      </c>
      <c r="AA2592">
        <v>604500</v>
      </c>
      <c r="AB2592">
        <v>58</v>
      </c>
      <c r="AC2592" t="s">
        <v>42</v>
      </c>
      <c r="AD2592">
        <v>3000</v>
      </c>
    </row>
    <row r="2593" spans="1:30">
      <c r="A2593" t="str">
        <f>CONCATENATE(I2593,J2593)</f>
        <v>RCDLSM</v>
      </c>
      <c r="B2593" s="34">
        <v>46273</v>
      </c>
      <c r="C2593" s="34">
        <v>46273</v>
      </c>
      <c r="D2593" t="s">
        <v>35</v>
      </c>
      <c r="E2593" t="s">
        <v>36</v>
      </c>
      <c r="F2593" t="s">
        <v>37</v>
      </c>
      <c r="G2593">
        <v>19681</v>
      </c>
      <c r="H2593" t="s">
        <v>7836</v>
      </c>
      <c r="I2593" t="s">
        <v>7837</v>
      </c>
      <c r="J2593" t="s">
        <v>267</v>
      </c>
      <c r="O2593" t="s">
        <v>7838</v>
      </c>
      <c r="P2593">
        <v>14.15</v>
      </c>
      <c r="Q2593">
        <v>14.15</v>
      </c>
      <c r="R2593">
        <v>14.05</v>
      </c>
      <c r="S2593">
        <v>14.1</v>
      </c>
      <c r="T2593">
        <v>14.1</v>
      </c>
      <c r="U2593">
        <v>14.3</v>
      </c>
      <c r="W2593">
        <v>14.1</v>
      </c>
      <c r="Z2593">
        <v>15000</v>
      </c>
      <c r="AA2593">
        <v>211800</v>
      </c>
      <c r="AB2593">
        <v>5</v>
      </c>
      <c r="AC2593" t="s">
        <v>42</v>
      </c>
      <c r="AD2593">
        <v>3000</v>
      </c>
    </row>
    <row r="2594" spans="1:30">
      <c r="A2594" t="str">
        <f>CONCATENATE(I2594,J2594)</f>
        <v>RAJMETEQ</v>
      </c>
      <c r="B2594" s="34">
        <v>46273</v>
      </c>
      <c r="C2594" s="34">
        <v>46273</v>
      </c>
      <c r="D2594" t="s">
        <v>35</v>
      </c>
      <c r="E2594" t="s">
        <v>36</v>
      </c>
      <c r="F2594" t="s">
        <v>37</v>
      </c>
      <c r="G2594">
        <v>2168</v>
      </c>
      <c r="H2594" t="s">
        <v>7839</v>
      </c>
      <c r="I2594" t="s">
        <v>7840</v>
      </c>
      <c r="J2594" t="s">
        <v>161</v>
      </c>
      <c r="O2594" t="s">
        <v>7841</v>
      </c>
      <c r="P2594">
        <v>3.16</v>
      </c>
      <c r="Q2594">
        <v>3.3</v>
      </c>
      <c r="R2594">
        <v>3.1</v>
      </c>
      <c r="S2594">
        <v>3.25</v>
      </c>
      <c r="T2594">
        <v>3.29</v>
      </c>
      <c r="U2594">
        <v>3.15</v>
      </c>
      <c r="W2594">
        <v>3.25</v>
      </c>
      <c r="Z2594">
        <v>595934</v>
      </c>
      <c r="AA2594">
        <v>1915378.61</v>
      </c>
      <c r="AB2594">
        <v>924</v>
      </c>
      <c r="AC2594" t="s">
        <v>42</v>
      </c>
      <c r="AD2594">
        <v>1</v>
      </c>
    </row>
    <row r="2595" spans="1:30">
      <c r="A2595" t="str">
        <f>CONCATENATE(I2595,J2595)</f>
        <v>RAJOOENGBE</v>
      </c>
      <c r="B2595" s="34">
        <v>46273</v>
      </c>
      <c r="C2595" s="34">
        <v>46273</v>
      </c>
      <c r="D2595" t="s">
        <v>35</v>
      </c>
      <c r="E2595" t="s">
        <v>36</v>
      </c>
      <c r="F2595" t="s">
        <v>37</v>
      </c>
      <c r="G2595">
        <v>757052</v>
      </c>
      <c r="H2595" t="s">
        <v>7842</v>
      </c>
      <c r="I2595" t="s">
        <v>7843</v>
      </c>
      <c r="J2595" t="s">
        <v>183</v>
      </c>
      <c r="O2595" t="s">
        <v>7844</v>
      </c>
      <c r="P2595">
        <v>56</v>
      </c>
      <c r="Q2595">
        <v>56.8</v>
      </c>
      <c r="R2595">
        <v>52</v>
      </c>
      <c r="S2595">
        <v>53.7</v>
      </c>
      <c r="T2595">
        <v>53.64</v>
      </c>
      <c r="U2595">
        <v>54.16</v>
      </c>
      <c r="W2595">
        <v>53.7</v>
      </c>
      <c r="Z2595">
        <v>403364</v>
      </c>
      <c r="AA2595">
        <v>22267358.870000001</v>
      </c>
      <c r="AB2595">
        <v>1720</v>
      </c>
      <c r="AC2595" t="s">
        <v>42</v>
      </c>
      <c r="AD2595">
        <v>1</v>
      </c>
    </row>
    <row r="2596" spans="1:30">
      <c r="A2596" t="str">
        <f>CONCATENATE(I2596,J2596)</f>
        <v>RAJPUTANASM</v>
      </c>
      <c r="B2596" s="34">
        <v>46273</v>
      </c>
      <c r="C2596" s="34">
        <v>46273</v>
      </c>
      <c r="D2596" t="s">
        <v>35</v>
      </c>
      <c r="E2596" t="s">
        <v>36</v>
      </c>
      <c r="F2596" t="s">
        <v>37</v>
      </c>
      <c r="G2596">
        <v>27269</v>
      </c>
      <c r="H2596" t="s">
        <v>7845</v>
      </c>
      <c r="I2596" t="s">
        <v>7846</v>
      </c>
      <c r="J2596" t="s">
        <v>267</v>
      </c>
      <c r="O2596" t="s">
        <v>7847</v>
      </c>
      <c r="P2596">
        <v>205.6</v>
      </c>
      <c r="Q2596">
        <v>205.6</v>
      </c>
      <c r="R2596">
        <v>204</v>
      </c>
      <c r="S2596">
        <v>204</v>
      </c>
      <c r="T2596">
        <v>204</v>
      </c>
      <c r="U2596">
        <v>205.6</v>
      </c>
      <c r="W2596">
        <v>204</v>
      </c>
      <c r="Z2596">
        <v>2000</v>
      </c>
      <c r="AA2596">
        <v>410400</v>
      </c>
      <c r="AB2596">
        <v>3</v>
      </c>
      <c r="AC2596" t="s">
        <v>42</v>
      </c>
      <c r="AD2596">
        <v>500</v>
      </c>
    </row>
    <row r="2597" spans="1:30">
      <c r="A2597" t="str">
        <f>CONCATENATE(I2597,J2597)</f>
        <v>RAJINDLTDSM</v>
      </c>
      <c r="B2597" s="34">
        <v>46273</v>
      </c>
      <c r="C2597" s="34">
        <v>46273</v>
      </c>
      <c r="D2597" t="s">
        <v>35</v>
      </c>
      <c r="E2597" t="s">
        <v>36</v>
      </c>
      <c r="F2597" t="s">
        <v>37</v>
      </c>
      <c r="G2597">
        <v>24707</v>
      </c>
      <c r="H2597" t="s">
        <v>7848</v>
      </c>
      <c r="I2597" t="s">
        <v>7849</v>
      </c>
      <c r="J2597" t="s">
        <v>267</v>
      </c>
      <c r="O2597" t="s">
        <v>7850</v>
      </c>
      <c r="P2597">
        <v>62.9</v>
      </c>
      <c r="Q2597">
        <v>62.9</v>
      </c>
      <c r="R2597">
        <v>62.9</v>
      </c>
      <c r="S2597">
        <v>62.9</v>
      </c>
      <c r="T2597">
        <v>62.9</v>
      </c>
      <c r="U2597">
        <v>62.9</v>
      </c>
      <c r="W2597">
        <v>62.9</v>
      </c>
      <c r="Z2597">
        <v>1500</v>
      </c>
      <c r="AA2597">
        <v>94350</v>
      </c>
      <c r="AB2597">
        <v>1</v>
      </c>
      <c r="AC2597" t="s">
        <v>42</v>
      </c>
      <c r="AD2597">
        <v>1500</v>
      </c>
    </row>
    <row r="2598" spans="1:30">
      <c r="A2598" t="str">
        <f>CONCATENATE(I2598,J2598)</f>
        <v>RSLEQ</v>
      </c>
      <c r="B2598" s="34">
        <v>46273</v>
      </c>
      <c r="C2598" s="34">
        <v>46273</v>
      </c>
      <c r="D2598" t="s">
        <v>35</v>
      </c>
      <c r="E2598" t="s">
        <v>36</v>
      </c>
      <c r="F2598" t="s">
        <v>37</v>
      </c>
      <c r="G2598">
        <v>761439</v>
      </c>
      <c r="H2598" t="s">
        <v>7851</v>
      </c>
      <c r="I2598" t="s">
        <v>7852</v>
      </c>
      <c r="J2598" t="s">
        <v>161</v>
      </c>
      <c r="O2598" t="s">
        <v>7853</v>
      </c>
      <c r="P2598">
        <v>187.69</v>
      </c>
      <c r="Q2598">
        <v>192</v>
      </c>
      <c r="R2598">
        <v>186.05</v>
      </c>
      <c r="S2598">
        <v>190.21</v>
      </c>
      <c r="T2598">
        <v>191</v>
      </c>
      <c r="U2598">
        <v>186.05</v>
      </c>
      <c r="W2598">
        <v>190.22</v>
      </c>
      <c r="Z2598">
        <v>297716</v>
      </c>
      <c r="AA2598">
        <v>56369369.390000001</v>
      </c>
      <c r="AB2598">
        <v>4587</v>
      </c>
      <c r="AC2598" t="s">
        <v>42</v>
      </c>
      <c r="AD2598">
        <v>1</v>
      </c>
    </row>
    <row r="2599" spans="1:30">
      <c r="A2599" t="str">
        <f>CONCATENATE(I2599,J2599)</f>
        <v>RAJRATANEQ</v>
      </c>
      <c r="B2599" s="34">
        <v>46273</v>
      </c>
      <c r="C2599" s="34">
        <v>46273</v>
      </c>
      <c r="D2599" t="s">
        <v>35</v>
      </c>
      <c r="E2599" t="s">
        <v>36</v>
      </c>
      <c r="F2599" t="s">
        <v>37</v>
      </c>
      <c r="G2599">
        <v>18962</v>
      </c>
      <c r="H2599" t="s">
        <v>7854</v>
      </c>
      <c r="I2599" t="s">
        <v>7855</v>
      </c>
      <c r="J2599" t="s">
        <v>161</v>
      </c>
      <c r="O2599" t="s">
        <v>7856</v>
      </c>
      <c r="P2599">
        <v>491.7</v>
      </c>
      <c r="Q2599">
        <v>499.8</v>
      </c>
      <c r="R2599">
        <v>486.3</v>
      </c>
      <c r="S2599">
        <v>496.8</v>
      </c>
      <c r="T2599">
        <v>499.8</v>
      </c>
      <c r="U2599">
        <v>488.8</v>
      </c>
      <c r="W2599">
        <v>496.82</v>
      </c>
      <c r="Z2599">
        <v>73019</v>
      </c>
      <c r="AA2599">
        <v>36035345.799999997</v>
      </c>
      <c r="AB2599">
        <v>2671</v>
      </c>
      <c r="AC2599" t="s">
        <v>42</v>
      </c>
      <c r="AD2599">
        <v>1</v>
      </c>
    </row>
    <row r="2600" spans="1:30">
      <c r="A2600" t="str">
        <f>CONCATENATE(I2600,J2600)</f>
        <v>RPPLBE</v>
      </c>
      <c r="B2600" s="34">
        <v>46273</v>
      </c>
      <c r="C2600" s="34">
        <v>46273</v>
      </c>
      <c r="D2600" t="s">
        <v>35</v>
      </c>
      <c r="E2600" t="s">
        <v>36</v>
      </c>
      <c r="F2600" t="s">
        <v>37</v>
      </c>
      <c r="G2600">
        <v>6915</v>
      </c>
      <c r="H2600" t="s">
        <v>7857</v>
      </c>
      <c r="I2600" t="s">
        <v>7858</v>
      </c>
      <c r="J2600" t="s">
        <v>183</v>
      </c>
      <c r="O2600" t="s">
        <v>7859</v>
      </c>
      <c r="P2600">
        <v>23.15</v>
      </c>
      <c r="Q2600">
        <v>23.15</v>
      </c>
      <c r="R2600">
        <v>22.26</v>
      </c>
      <c r="S2600">
        <v>22.52</v>
      </c>
      <c r="T2600">
        <v>22.81</v>
      </c>
      <c r="U2600">
        <v>23.32</v>
      </c>
      <c r="W2600">
        <v>22.52</v>
      </c>
      <c r="Z2600">
        <v>33764</v>
      </c>
      <c r="AA2600">
        <v>758045</v>
      </c>
      <c r="AB2600">
        <v>136</v>
      </c>
      <c r="AC2600" t="s">
        <v>42</v>
      </c>
      <c r="AD2600">
        <v>1</v>
      </c>
    </row>
    <row r="2601" spans="1:30">
      <c r="A2601" t="str">
        <f>CONCATENATE(I2601,J2601)</f>
        <v>RAJSREESUGEQ</v>
      </c>
      <c r="B2601" s="34">
        <v>46273</v>
      </c>
      <c r="C2601" s="34">
        <v>46273</v>
      </c>
      <c r="D2601" t="s">
        <v>35</v>
      </c>
      <c r="E2601" t="s">
        <v>36</v>
      </c>
      <c r="F2601" t="s">
        <v>37</v>
      </c>
      <c r="G2601">
        <v>2809</v>
      </c>
      <c r="H2601" t="s">
        <v>7860</v>
      </c>
      <c r="I2601" t="s">
        <v>7861</v>
      </c>
      <c r="J2601" t="s">
        <v>161</v>
      </c>
      <c r="O2601" t="s">
        <v>7862</v>
      </c>
      <c r="P2601">
        <v>35.5</v>
      </c>
      <c r="Q2601">
        <v>36.299999999999997</v>
      </c>
      <c r="R2601">
        <v>35.03</v>
      </c>
      <c r="S2601">
        <v>35.49</v>
      </c>
      <c r="T2601">
        <v>35.51</v>
      </c>
      <c r="U2601">
        <v>35.68</v>
      </c>
      <c r="W2601">
        <v>35.49</v>
      </c>
      <c r="Z2601">
        <v>19238</v>
      </c>
      <c r="AA2601">
        <v>682267.06</v>
      </c>
      <c r="AB2601">
        <v>392</v>
      </c>
      <c r="AC2601" t="s">
        <v>42</v>
      </c>
      <c r="AD2601">
        <v>1</v>
      </c>
    </row>
    <row r="2602" spans="1:30">
      <c r="A2602" t="str">
        <f>CONCATENATE(I2602,J2602)</f>
        <v>RALLISEQ</v>
      </c>
      <c r="B2602" s="34">
        <v>46273</v>
      </c>
      <c r="C2602" s="34">
        <v>46273</v>
      </c>
      <c r="D2602" t="s">
        <v>35</v>
      </c>
      <c r="E2602" t="s">
        <v>36</v>
      </c>
      <c r="F2602" t="s">
        <v>37</v>
      </c>
      <c r="G2602">
        <v>2816</v>
      </c>
      <c r="H2602" t="s">
        <v>7863</v>
      </c>
      <c r="I2602" t="s">
        <v>7864</v>
      </c>
      <c r="J2602" t="s">
        <v>161</v>
      </c>
      <c r="O2602" t="s">
        <v>7865</v>
      </c>
      <c r="P2602">
        <v>206.2</v>
      </c>
      <c r="Q2602">
        <v>206.91</v>
      </c>
      <c r="R2602">
        <v>204.68</v>
      </c>
      <c r="S2602">
        <v>205.29</v>
      </c>
      <c r="T2602">
        <v>204.7</v>
      </c>
      <c r="U2602">
        <v>206.15</v>
      </c>
      <c r="W2602">
        <v>205.3</v>
      </c>
      <c r="Z2602">
        <v>425909</v>
      </c>
      <c r="AA2602">
        <v>87647225.200000003</v>
      </c>
      <c r="AB2602">
        <v>11376</v>
      </c>
      <c r="AC2602" t="s">
        <v>42</v>
      </c>
      <c r="AD2602">
        <v>1</v>
      </c>
    </row>
    <row r="2603" spans="1:30">
      <c r="A2603" t="str">
        <f>CONCATENATE(I2603,J2603)</f>
        <v>RAMRATEQ</v>
      </c>
      <c r="B2603" s="34">
        <v>46273</v>
      </c>
      <c r="C2603" s="34">
        <v>46273</v>
      </c>
      <c r="D2603" t="s">
        <v>35</v>
      </c>
      <c r="E2603" t="s">
        <v>36</v>
      </c>
      <c r="F2603" t="s">
        <v>37</v>
      </c>
      <c r="G2603">
        <v>10485</v>
      </c>
      <c r="H2603" t="s">
        <v>7866</v>
      </c>
      <c r="I2603" t="s">
        <v>7867</v>
      </c>
      <c r="J2603" t="s">
        <v>161</v>
      </c>
      <c r="O2603" t="s">
        <v>7868</v>
      </c>
      <c r="P2603">
        <v>527.65</v>
      </c>
      <c r="Q2603">
        <v>536.9</v>
      </c>
      <c r="R2603">
        <v>509.1</v>
      </c>
      <c r="S2603">
        <v>531.25</v>
      </c>
      <c r="T2603">
        <v>530</v>
      </c>
      <c r="U2603">
        <v>527.20000000000005</v>
      </c>
      <c r="W2603">
        <v>531.25</v>
      </c>
      <c r="Z2603">
        <v>272615</v>
      </c>
      <c r="AA2603">
        <v>143108448.65000001</v>
      </c>
      <c r="AB2603">
        <v>11649</v>
      </c>
      <c r="AC2603" t="s">
        <v>42</v>
      </c>
      <c r="AD2603">
        <v>1</v>
      </c>
    </row>
    <row r="2604" spans="1:30">
      <c r="A2604" t="str">
        <f>CONCATENATE(I2604,J2604)</f>
        <v>RAMAPHOEQ</v>
      </c>
      <c r="B2604" s="34">
        <v>46273</v>
      </c>
      <c r="C2604" s="34">
        <v>46273</v>
      </c>
      <c r="D2604" t="s">
        <v>35</v>
      </c>
      <c r="E2604" t="s">
        <v>36</v>
      </c>
      <c r="F2604" t="s">
        <v>37</v>
      </c>
      <c r="G2604">
        <v>10568</v>
      </c>
      <c r="H2604" t="s">
        <v>7869</v>
      </c>
      <c r="I2604" t="s">
        <v>7870</v>
      </c>
      <c r="J2604" t="s">
        <v>161</v>
      </c>
      <c r="O2604" t="s">
        <v>7871</v>
      </c>
      <c r="P2604">
        <v>125.88</v>
      </c>
      <c r="Q2604">
        <v>125.88</v>
      </c>
      <c r="R2604">
        <v>124</v>
      </c>
      <c r="S2604">
        <v>124.74</v>
      </c>
      <c r="T2604">
        <v>125.6</v>
      </c>
      <c r="U2604">
        <v>124.2</v>
      </c>
      <c r="W2604">
        <v>124.73</v>
      </c>
      <c r="Z2604">
        <v>14324</v>
      </c>
      <c r="AA2604">
        <v>1789978</v>
      </c>
      <c r="AB2604">
        <v>322</v>
      </c>
      <c r="AC2604" t="s">
        <v>42</v>
      </c>
      <c r="AD2604">
        <v>1</v>
      </c>
    </row>
    <row r="2605" spans="1:30">
      <c r="A2605" t="str">
        <f>CONCATENATE(I2605,J2605)</f>
        <v>RAMASTEELBE</v>
      </c>
      <c r="B2605" s="34">
        <v>46273</v>
      </c>
      <c r="C2605" s="34">
        <v>46273</v>
      </c>
      <c r="D2605" t="s">
        <v>35</v>
      </c>
      <c r="E2605" t="s">
        <v>36</v>
      </c>
      <c r="F2605" t="s">
        <v>37</v>
      </c>
      <c r="G2605">
        <v>10304</v>
      </c>
      <c r="H2605" t="s">
        <v>7872</v>
      </c>
      <c r="I2605" t="s">
        <v>7873</v>
      </c>
      <c r="J2605" t="s">
        <v>183</v>
      </c>
      <c r="O2605" t="s">
        <v>7874</v>
      </c>
      <c r="P2605">
        <v>4.18</v>
      </c>
      <c r="Q2605">
        <v>4.18</v>
      </c>
      <c r="R2605">
        <v>4.17</v>
      </c>
      <c r="S2605">
        <v>4.17</v>
      </c>
      <c r="T2605">
        <v>4.17</v>
      </c>
      <c r="U2605">
        <v>4.0999999999999996</v>
      </c>
      <c r="W2605">
        <v>4.17</v>
      </c>
      <c r="Z2605">
        <v>1166637</v>
      </c>
      <c r="AA2605">
        <v>4872813.74</v>
      </c>
      <c r="AB2605">
        <v>1543</v>
      </c>
      <c r="AC2605" t="s">
        <v>42</v>
      </c>
      <c r="AD2605">
        <v>1</v>
      </c>
    </row>
    <row r="2606" spans="1:30">
      <c r="A2606" t="str">
        <f>CONCATENATE(I2606,J2606)</f>
        <v>RTLSM</v>
      </c>
      <c r="B2606" s="34">
        <v>46273</v>
      </c>
      <c r="C2606" s="34">
        <v>46273</v>
      </c>
      <c r="D2606" t="s">
        <v>35</v>
      </c>
      <c r="E2606" t="s">
        <v>36</v>
      </c>
      <c r="F2606" t="s">
        <v>37</v>
      </c>
      <c r="G2606">
        <v>757777</v>
      </c>
      <c r="H2606" t="s">
        <v>7875</v>
      </c>
      <c r="I2606" t="s">
        <v>7876</v>
      </c>
      <c r="J2606" t="s">
        <v>267</v>
      </c>
      <c r="O2606" t="s">
        <v>7877</v>
      </c>
      <c r="P2606">
        <v>85.8</v>
      </c>
      <c r="Q2606">
        <v>85.8</v>
      </c>
      <c r="R2606">
        <v>80.05</v>
      </c>
      <c r="S2606">
        <v>80.05</v>
      </c>
      <c r="T2606">
        <v>80.05</v>
      </c>
      <c r="U2606">
        <v>83.25</v>
      </c>
      <c r="W2606">
        <v>80.05</v>
      </c>
      <c r="Z2606">
        <v>4000</v>
      </c>
      <c r="AA2606">
        <v>331700</v>
      </c>
      <c r="AB2606">
        <v>2</v>
      </c>
      <c r="AC2606" t="s">
        <v>42</v>
      </c>
      <c r="AD2606">
        <v>2000</v>
      </c>
    </row>
    <row r="2607" spans="1:30">
      <c r="A2607" t="str">
        <f>CONCATENATE(I2607,J2607)</f>
        <v>RAMCOINDEQ</v>
      </c>
      <c r="B2607" s="34">
        <v>46273</v>
      </c>
      <c r="C2607" s="34">
        <v>46273</v>
      </c>
      <c r="D2607" t="s">
        <v>35</v>
      </c>
      <c r="E2607" t="s">
        <v>36</v>
      </c>
      <c r="F2607" t="s">
        <v>37</v>
      </c>
      <c r="G2607">
        <v>4587</v>
      </c>
      <c r="H2607" t="s">
        <v>7878</v>
      </c>
      <c r="I2607" t="s">
        <v>7879</v>
      </c>
      <c r="J2607" t="s">
        <v>161</v>
      </c>
      <c r="O2607" t="s">
        <v>7880</v>
      </c>
      <c r="P2607">
        <v>322</v>
      </c>
      <c r="Q2607">
        <v>324.35000000000002</v>
      </c>
      <c r="R2607">
        <v>318.75</v>
      </c>
      <c r="S2607">
        <v>321.5</v>
      </c>
      <c r="T2607">
        <v>320</v>
      </c>
      <c r="U2607">
        <v>323.05</v>
      </c>
      <c r="W2607">
        <v>321.5</v>
      </c>
      <c r="Z2607">
        <v>73261</v>
      </c>
      <c r="AA2607">
        <v>23527233.550000001</v>
      </c>
      <c r="AB2607">
        <v>2089</v>
      </c>
      <c r="AC2607" t="s">
        <v>42</v>
      </c>
      <c r="AD2607">
        <v>1</v>
      </c>
    </row>
    <row r="2608" spans="1:30">
      <c r="A2608" t="str">
        <f>CONCATENATE(I2608,J2608)</f>
        <v>RAMCOSYSEQ</v>
      </c>
      <c r="B2608" s="34">
        <v>46273</v>
      </c>
      <c r="C2608" s="34">
        <v>46273</v>
      </c>
      <c r="D2608" t="s">
        <v>35</v>
      </c>
      <c r="E2608" t="s">
        <v>36</v>
      </c>
      <c r="F2608" t="s">
        <v>37</v>
      </c>
      <c r="G2608">
        <v>7851</v>
      </c>
      <c r="H2608" t="s">
        <v>7881</v>
      </c>
      <c r="I2608" t="s">
        <v>7882</v>
      </c>
      <c r="J2608" t="s">
        <v>161</v>
      </c>
      <c r="O2608" t="s">
        <v>7883</v>
      </c>
      <c r="P2608">
        <v>605</v>
      </c>
      <c r="Q2608">
        <v>616</v>
      </c>
      <c r="R2608">
        <v>589.75</v>
      </c>
      <c r="S2608">
        <v>609.15</v>
      </c>
      <c r="T2608">
        <v>612.5</v>
      </c>
      <c r="U2608">
        <v>604.35</v>
      </c>
      <c r="W2608">
        <v>609.17999999999995</v>
      </c>
      <c r="Z2608">
        <v>99742</v>
      </c>
      <c r="AA2608">
        <v>60289085.899999999</v>
      </c>
      <c r="AB2608">
        <v>5001</v>
      </c>
      <c r="AC2608" t="s">
        <v>42</v>
      </c>
      <c r="AD2608">
        <v>1</v>
      </c>
    </row>
    <row r="2609" spans="1:30">
      <c r="A2609" t="str">
        <f>CONCATENATE(I2609,J2609)</f>
        <v>RBSSM</v>
      </c>
      <c r="B2609" s="34">
        <v>46273</v>
      </c>
      <c r="C2609" s="34">
        <v>46273</v>
      </c>
      <c r="D2609" t="s">
        <v>35</v>
      </c>
      <c r="E2609" t="s">
        <v>36</v>
      </c>
      <c r="F2609" t="s">
        <v>37</v>
      </c>
      <c r="G2609">
        <v>23565</v>
      </c>
      <c r="H2609" t="s">
        <v>7884</v>
      </c>
      <c r="I2609" t="s">
        <v>7885</v>
      </c>
      <c r="J2609" t="s">
        <v>267</v>
      </c>
      <c r="O2609" t="s">
        <v>7886</v>
      </c>
      <c r="P2609">
        <v>89</v>
      </c>
      <c r="Q2609">
        <v>89</v>
      </c>
      <c r="R2609">
        <v>88</v>
      </c>
      <c r="S2609">
        <v>88</v>
      </c>
      <c r="T2609">
        <v>88</v>
      </c>
      <c r="U2609">
        <v>89</v>
      </c>
      <c r="W2609">
        <v>88</v>
      </c>
      <c r="Z2609">
        <v>1600</v>
      </c>
      <c r="AA2609">
        <v>141600</v>
      </c>
      <c r="AB2609">
        <v>2</v>
      </c>
      <c r="AC2609" t="s">
        <v>42</v>
      </c>
      <c r="AD2609">
        <v>800</v>
      </c>
    </row>
    <row r="2610" spans="1:30">
      <c r="A2610" t="str">
        <f>CONCATENATE(I2610,J2610)</f>
        <v>RKFORGEEQ</v>
      </c>
      <c r="B2610" s="34">
        <v>46273</v>
      </c>
      <c r="C2610" s="34">
        <v>46273</v>
      </c>
      <c r="D2610" t="s">
        <v>35</v>
      </c>
      <c r="E2610" t="s">
        <v>36</v>
      </c>
      <c r="F2610" t="s">
        <v>37</v>
      </c>
      <c r="G2610">
        <v>11411</v>
      </c>
      <c r="H2610" t="s">
        <v>7887</v>
      </c>
      <c r="I2610" t="s">
        <v>7888</v>
      </c>
      <c r="J2610" t="s">
        <v>161</v>
      </c>
      <c r="O2610" t="s">
        <v>7889</v>
      </c>
      <c r="P2610">
        <v>706.25</v>
      </c>
      <c r="Q2610">
        <v>709.8</v>
      </c>
      <c r="R2610">
        <v>695.1</v>
      </c>
      <c r="S2610">
        <v>701.3</v>
      </c>
      <c r="T2610">
        <v>701.3</v>
      </c>
      <c r="U2610">
        <v>706.25</v>
      </c>
      <c r="W2610">
        <v>701.29</v>
      </c>
      <c r="Z2610">
        <v>527188</v>
      </c>
      <c r="AA2610">
        <v>369876711.05000001</v>
      </c>
      <c r="AB2610">
        <v>17305</v>
      </c>
      <c r="AC2610" t="s">
        <v>42</v>
      </c>
      <c r="AD2610">
        <v>1</v>
      </c>
    </row>
    <row r="2611" spans="1:30">
      <c r="A2611" t="str">
        <f>CONCATENATE(I2611,J2611)</f>
        <v>RAMKYEQ</v>
      </c>
      <c r="B2611" s="34">
        <v>46273</v>
      </c>
      <c r="C2611" s="34">
        <v>46273</v>
      </c>
      <c r="D2611" t="s">
        <v>35</v>
      </c>
      <c r="E2611" t="s">
        <v>36</v>
      </c>
      <c r="F2611" t="s">
        <v>37</v>
      </c>
      <c r="G2611">
        <v>20134</v>
      </c>
      <c r="H2611" t="s">
        <v>7890</v>
      </c>
      <c r="I2611" t="s">
        <v>7891</v>
      </c>
      <c r="J2611" t="s">
        <v>161</v>
      </c>
      <c r="O2611" t="s">
        <v>7892</v>
      </c>
      <c r="P2611">
        <v>337.15</v>
      </c>
      <c r="Q2611">
        <v>340.65</v>
      </c>
      <c r="R2611">
        <v>335.2</v>
      </c>
      <c r="S2611">
        <v>337.6</v>
      </c>
      <c r="T2611">
        <v>338.8</v>
      </c>
      <c r="U2611">
        <v>339.6</v>
      </c>
      <c r="W2611">
        <v>337.6</v>
      </c>
      <c r="Z2611">
        <v>21327</v>
      </c>
      <c r="AA2611">
        <v>7206845.5499999998</v>
      </c>
      <c r="AB2611">
        <v>877</v>
      </c>
      <c r="AC2611" t="s">
        <v>42</v>
      </c>
      <c r="AD2611">
        <v>1</v>
      </c>
    </row>
    <row r="2612" spans="1:30">
      <c r="A2612" t="str">
        <f>CONCATENATE(I2612,J2612)</f>
        <v>RANASUGEQ</v>
      </c>
      <c r="B2612" s="34">
        <v>46273</v>
      </c>
      <c r="C2612" s="34">
        <v>46273</v>
      </c>
      <c r="D2612" t="s">
        <v>35</v>
      </c>
      <c r="E2612" t="s">
        <v>36</v>
      </c>
      <c r="F2612" t="s">
        <v>37</v>
      </c>
      <c r="G2612">
        <v>2837</v>
      </c>
      <c r="H2612" t="s">
        <v>7893</v>
      </c>
      <c r="I2612" t="s">
        <v>7894</v>
      </c>
      <c r="J2612" t="s">
        <v>161</v>
      </c>
      <c r="O2612" t="s">
        <v>7895</v>
      </c>
      <c r="P2612">
        <v>15.1</v>
      </c>
      <c r="Q2612">
        <v>15.15</v>
      </c>
      <c r="R2612">
        <v>14.9</v>
      </c>
      <c r="S2612">
        <v>14.9</v>
      </c>
      <c r="T2612">
        <v>14.94</v>
      </c>
      <c r="U2612">
        <v>14.99</v>
      </c>
      <c r="W2612">
        <v>14.91</v>
      </c>
      <c r="Z2612">
        <v>228040</v>
      </c>
      <c r="AA2612">
        <v>3419180.44</v>
      </c>
      <c r="AB2612">
        <v>834</v>
      </c>
      <c r="AC2612" t="s">
        <v>42</v>
      </c>
      <c r="AD2612">
        <v>1</v>
      </c>
    </row>
    <row r="2613" spans="1:30">
      <c r="A2613" t="str">
        <f>CONCATENATE(I2613,J2613)</f>
        <v>RMLEQ</v>
      </c>
      <c r="B2613" s="34">
        <v>46273</v>
      </c>
      <c r="C2613" s="34">
        <v>46273</v>
      </c>
      <c r="D2613" t="s">
        <v>35</v>
      </c>
      <c r="E2613" t="s">
        <v>36</v>
      </c>
      <c r="F2613" t="s">
        <v>37</v>
      </c>
      <c r="G2613">
        <v>11975</v>
      </c>
      <c r="H2613" t="s">
        <v>7896</v>
      </c>
      <c r="I2613" t="s">
        <v>7897</v>
      </c>
      <c r="J2613" t="s">
        <v>161</v>
      </c>
      <c r="O2613" t="s">
        <v>7898</v>
      </c>
      <c r="P2613">
        <v>1351</v>
      </c>
      <c r="Q2613">
        <v>1423.5</v>
      </c>
      <c r="R2613">
        <v>1350.9</v>
      </c>
      <c r="S2613">
        <v>1390</v>
      </c>
      <c r="T2613">
        <v>1395</v>
      </c>
      <c r="U2613">
        <v>1388.2</v>
      </c>
      <c r="W2613">
        <v>1389.92</v>
      </c>
      <c r="Z2613">
        <v>207077</v>
      </c>
      <c r="AA2613">
        <v>287810599.10000002</v>
      </c>
      <c r="AB2613">
        <v>15753</v>
      </c>
      <c r="AC2613" t="s">
        <v>42</v>
      </c>
      <c r="AD2613">
        <v>1</v>
      </c>
    </row>
    <row r="2614" spans="1:30">
      <c r="A2614" t="str">
        <f>CONCATENATE(I2614,J2614)</f>
        <v>RANEHOLDINEQ</v>
      </c>
      <c r="B2614" s="34">
        <v>46273</v>
      </c>
      <c r="C2614" s="34">
        <v>46273</v>
      </c>
      <c r="D2614" t="s">
        <v>35</v>
      </c>
      <c r="E2614" t="s">
        <v>36</v>
      </c>
      <c r="F2614" t="s">
        <v>37</v>
      </c>
      <c r="G2614">
        <v>2844</v>
      </c>
      <c r="H2614" t="s">
        <v>7899</v>
      </c>
      <c r="I2614" t="s">
        <v>7900</v>
      </c>
      <c r="J2614" t="s">
        <v>161</v>
      </c>
      <c r="O2614" t="s">
        <v>7901</v>
      </c>
      <c r="P2614">
        <v>1669.8</v>
      </c>
      <c r="Q2614">
        <v>1738</v>
      </c>
      <c r="R2614">
        <v>1657.8</v>
      </c>
      <c r="S2614">
        <v>1691.8</v>
      </c>
      <c r="T2614">
        <v>1675.5</v>
      </c>
      <c r="U2614">
        <v>1673</v>
      </c>
      <c r="W2614">
        <v>1691.79</v>
      </c>
      <c r="Z2614">
        <v>23261</v>
      </c>
      <c r="AA2614">
        <v>39619965.799999997</v>
      </c>
      <c r="AB2614">
        <v>2490</v>
      </c>
      <c r="AC2614" t="s">
        <v>42</v>
      </c>
      <c r="AD2614">
        <v>1</v>
      </c>
    </row>
    <row r="2615" spans="1:30">
      <c r="A2615" t="str">
        <f>CONCATENATE(I2615,J2615)</f>
        <v>RAPIDFLEETSM</v>
      </c>
      <c r="B2615" s="34">
        <v>46273</v>
      </c>
      <c r="C2615" s="34">
        <v>46273</v>
      </c>
      <c r="D2615" t="s">
        <v>35</v>
      </c>
      <c r="E2615" t="s">
        <v>36</v>
      </c>
      <c r="F2615" t="s">
        <v>37</v>
      </c>
      <c r="G2615">
        <v>30460</v>
      </c>
      <c r="H2615" t="s">
        <v>7902</v>
      </c>
      <c r="I2615" t="s">
        <v>7903</v>
      </c>
      <c r="J2615" t="s">
        <v>267</v>
      </c>
      <c r="O2615" t="s">
        <v>7904</v>
      </c>
      <c r="P2615">
        <v>240</v>
      </c>
      <c r="Q2615">
        <v>240.05</v>
      </c>
      <c r="R2615">
        <v>235</v>
      </c>
      <c r="S2615">
        <v>236.7</v>
      </c>
      <c r="T2615">
        <v>237</v>
      </c>
      <c r="U2615">
        <v>232</v>
      </c>
      <c r="W2615">
        <v>236.7</v>
      </c>
      <c r="Z2615">
        <v>15000</v>
      </c>
      <c r="AA2615">
        <v>3560730</v>
      </c>
      <c r="AB2615">
        <v>24</v>
      </c>
      <c r="AC2615" t="s">
        <v>42</v>
      </c>
      <c r="AD2615">
        <v>600</v>
      </c>
    </row>
    <row r="2616" spans="1:30">
      <c r="A2616" t="str">
        <f>CONCATENATE(I2616,J2616)</f>
        <v>RAPPIDSM</v>
      </c>
      <c r="B2616" s="34">
        <v>46273</v>
      </c>
      <c r="C2616" s="34">
        <v>46273</v>
      </c>
      <c r="D2616" t="s">
        <v>35</v>
      </c>
      <c r="E2616" t="s">
        <v>36</v>
      </c>
      <c r="F2616" t="s">
        <v>37</v>
      </c>
      <c r="G2616">
        <v>25610</v>
      </c>
      <c r="H2616" t="s">
        <v>7905</v>
      </c>
      <c r="I2616" t="s">
        <v>7906</v>
      </c>
      <c r="J2616" t="s">
        <v>267</v>
      </c>
      <c r="O2616" t="s">
        <v>7907</v>
      </c>
      <c r="P2616">
        <v>306</v>
      </c>
      <c r="Q2616">
        <v>306</v>
      </c>
      <c r="R2616">
        <v>298</v>
      </c>
      <c r="S2616">
        <v>303.75</v>
      </c>
      <c r="T2616">
        <v>305.89999999999998</v>
      </c>
      <c r="U2616">
        <v>306.2</v>
      </c>
      <c r="W2616">
        <v>303.75</v>
      </c>
      <c r="Z2616">
        <v>10200</v>
      </c>
      <c r="AA2616">
        <v>3077130</v>
      </c>
      <c r="AB2616">
        <v>14</v>
      </c>
      <c r="AC2616" t="s">
        <v>42</v>
      </c>
      <c r="AD2616">
        <v>600</v>
      </c>
    </row>
    <row r="2617" spans="1:30">
      <c r="A2617" t="str">
        <f>CONCATENATE(I2617,J2617)</f>
        <v>RPTECHEQ</v>
      </c>
      <c r="B2617" s="34">
        <v>46273</v>
      </c>
      <c r="C2617" s="34">
        <v>46273</v>
      </c>
      <c r="D2617" t="s">
        <v>35</v>
      </c>
      <c r="E2617" t="s">
        <v>36</v>
      </c>
      <c r="F2617" t="s">
        <v>37</v>
      </c>
      <c r="G2617">
        <v>22670</v>
      </c>
      <c r="H2617" t="s">
        <v>7908</v>
      </c>
      <c r="I2617" t="s">
        <v>7909</v>
      </c>
      <c r="J2617" t="s">
        <v>161</v>
      </c>
      <c r="O2617" t="s">
        <v>7910</v>
      </c>
      <c r="P2617">
        <v>854.95</v>
      </c>
      <c r="Q2617">
        <v>864.8</v>
      </c>
      <c r="R2617">
        <v>791.45</v>
      </c>
      <c r="S2617">
        <v>817.95</v>
      </c>
      <c r="T2617">
        <v>814.75</v>
      </c>
      <c r="U2617">
        <v>853.4</v>
      </c>
      <c r="W2617">
        <v>817.97</v>
      </c>
      <c r="Z2617">
        <v>737587</v>
      </c>
      <c r="AA2617">
        <v>602790157.75</v>
      </c>
      <c r="AB2617">
        <v>33424</v>
      </c>
      <c r="AC2617" t="s">
        <v>42</v>
      </c>
      <c r="AD2617">
        <v>1</v>
      </c>
    </row>
    <row r="2618" spans="1:30">
      <c r="A2618" t="str">
        <f>CONCATENATE(I2618,J2618)</f>
        <v>RCFEQ</v>
      </c>
      <c r="B2618" s="34">
        <v>46273</v>
      </c>
      <c r="C2618" s="34">
        <v>46273</v>
      </c>
      <c r="D2618" t="s">
        <v>35</v>
      </c>
      <c r="E2618" t="s">
        <v>36</v>
      </c>
      <c r="F2618" t="s">
        <v>37</v>
      </c>
      <c r="G2618">
        <v>2866</v>
      </c>
      <c r="H2618" t="s">
        <v>7911</v>
      </c>
      <c r="I2618" t="s">
        <v>7912</v>
      </c>
      <c r="J2618" t="s">
        <v>161</v>
      </c>
      <c r="O2618" t="s">
        <v>7913</v>
      </c>
      <c r="P2618">
        <v>113.9</v>
      </c>
      <c r="Q2618">
        <v>115.74</v>
      </c>
      <c r="R2618">
        <v>113.25</v>
      </c>
      <c r="S2618">
        <v>113.73</v>
      </c>
      <c r="T2618">
        <v>113.9</v>
      </c>
      <c r="U2618">
        <v>113.92</v>
      </c>
      <c r="W2618">
        <v>113.73</v>
      </c>
      <c r="Z2618">
        <v>863763</v>
      </c>
      <c r="AA2618">
        <v>98595319.840000004</v>
      </c>
      <c r="AB2618">
        <v>9756</v>
      </c>
      <c r="AC2618" t="s">
        <v>42</v>
      </c>
      <c r="AD2618">
        <v>1</v>
      </c>
    </row>
    <row r="2619" spans="1:30">
      <c r="A2619" t="str">
        <f>CONCATENATE(I2619,J2619)</f>
        <v>RATEGAINEQ</v>
      </c>
      <c r="B2619" s="34">
        <v>46273</v>
      </c>
      <c r="C2619" s="34">
        <v>46273</v>
      </c>
      <c r="D2619" t="s">
        <v>35</v>
      </c>
      <c r="E2619" t="s">
        <v>36</v>
      </c>
      <c r="F2619" t="s">
        <v>37</v>
      </c>
      <c r="G2619">
        <v>7177</v>
      </c>
      <c r="H2619" t="s">
        <v>7914</v>
      </c>
      <c r="I2619" t="s">
        <v>7915</v>
      </c>
      <c r="J2619" t="s">
        <v>161</v>
      </c>
      <c r="O2619" t="s">
        <v>7916</v>
      </c>
      <c r="P2619">
        <v>858.4</v>
      </c>
      <c r="Q2619">
        <v>871</v>
      </c>
      <c r="R2619">
        <v>847</v>
      </c>
      <c r="S2619">
        <v>862.7</v>
      </c>
      <c r="T2619">
        <v>862.25</v>
      </c>
      <c r="U2619">
        <v>856.5</v>
      </c>
      <c r="W2619">
        <v>862.65</v>
      </c>
      <c r="Z2619">
        <v>295189</v>
      </c>
      <c r="AA2619">
        <v>254177389.09999999</v>
      </c>
      <c r="AB2619">
        <v>14267</v>
      </c>
      <c r="AC2619" t="s">
        <v>42</v>
      </c>
      <c r="AD2619">
        <v>1</v>
      </c>
    </row>
    <row r="2620" spans="1:30">
      <c r="A2620" t="str">
        <f>CONCATENATE(I2620,J2620)</f>
        <v>RATNAMANIEQ</v>
      </c>
      <c r="B2620" s="34">
        <v>46273</v>
      </c>
      <c r="C2620" s="34">
        <v>46273</v>
      </c>
      <c r="D2620" t="s">
        <v>35</v>
      </c>
      <c r="E2620" t="s">
        <v>36</v>
      </c>
      <c r="F2620" t="s">
        <v>37</v>
      </c>
      <c r="G2620">
        <v>13451</v>
      </c>
      <c r="H2620" t="s">
        <v>7917</v>
      </c>
      <c r="I2620" t="s">
        <v>7918</v>
      </c>
      <c r="J2620" t="s">
        <v>161</v>
      </c>
      <c r="O2620" t="s">
        <v>7919</v>
      </c>
      <c r="P2620">
        <v>2680</v>
      </c>
      <c r="Q2620">
        <v>2819</v>
      </c>
      <c r="R2620">
        <v>2640</v>
      </c>
      <c r="S2620">
        <v>2803.8</v>
      </c>
      <c r="T2620">
        <v>2815</v>
      </c>
      <c r="U2620">
        <v>2658.5</v>
      </c>
      <c r="W2620">
        <v>2803.78</v>
      </c>
      <c r="Z2620">
        <v>145586</v>
      </c>
      <c r="AA2620">
        <v>403450008.89999998</v>
      </c>
      <c r="AB2620">
        <v>18758</v>
      </c>
      <c r="AC2620" t="s">
        <v>42</v>
      </c>
      <c r="AD2620">
        <v>1</v>
      </c>
    </row>
    <row r="2621" spans="1:30">
      <c r="A2621" t="str">
        <f>CONCATENATE(I2621,J2621)</f>
        <v>RATNAVEEREQ</v>
      </c>
      <c r="B2621" s="34">
        <v>46273</v>
      </c>
      <c r="C2621" s="34">
        <v>46273</v>
      </c>
      <c r="D2621" t="s">
        <v>35</v>
      </c>
      <c r="E2621" t="s">
        <v>36</v>
      </c>
      <c r="F2621" t="s">
        <v>37</v>
      </c>
      <c r="G2621">
        <v>18423</v>
      </c>
      <c r="H2621" t="s">
        <v>7920</v>
      </c>
      <c r="I2621" t="s">
        <v>7921</v>
      </c>
      <c r="J2621" t="s">
        <v>161</v>
      </c>
      <c r="O2621" t="s">
        <v>7922</v>
      </c>
      <c r="P2621">
        <v>309.35000000000002</v>
      </c>
      <c r="Q2621">
        <v>309.35000000000002</v>
      </c>
      <c r="R2621">
        <v>295.05</v>
      </c>
      <c r="S2621">
        <v>297.8</v>
      </c>
      <c r="T2621">
        <v>297.89999999999998</v>
      </c>
      <c r="U2621">
        <v>306.45</v>
      </c>
      <c r="W2621">
        <v>297.8</v>
      </c>
      <c r="Z2621">
        <v>2092906</v>
      </c>
      <c r="AA2621">
        <v>627683318.95000005</v>
      </c>
      <c r="AB2621">
        <v>16847</v>
      </c>
      <c r="AC2621" t="s">
        <v>42</v>
      </c>
      <c r="AD2621">
        <v>1</v>
      </c>
    </row>
    <row r="2622" spans="1:30">
      <c r="A2622" t="str">
        <f>CONCATENATE(I2622,J2622)</f>
        <v>RTNINDIAEQ</v>
      </c>
      <c r="B2622" s="34">
        <v>46273</v>
      </c>
      <c r="C2622" s="34">
        <v>46273</v>
      </c>
      <c r="D2622" t="s">
        <v>35</v>
      </c>
      <c r="E2622" t="s">
        <v>36</v>
      </c>
      <c r="F2622" t="s">
        <v>37</v>
      </c>
      <c r="G2622">
        <v>27297</v>
      </c>
      <c r="H2622" t="s">
        <v>7923</v>
      </c>
      <c r="I2622" t="s">
        <v>7924</v>
      </c>
      <c r="J2622" t="s">
        <v>161</v>
      </c>
      <c r="O2622" t="s">
        <v>7925</v>
      </c>
      <c r="P2622">
        <v>28.14</v>
      </c>
      <c r="Q2622">
        <v>28.3</v>
      </c>
      <c r="R2622">
        <v>27.62</v>
      </c>
      <c r="S2622">
        <v>28.05</v>
      </c>
      <c r="T2622">
        <v>28.13</v>
      </c>
      <c r="U2622">
        <v>28.14</v>
      </c>
      <c r="W2622">
        <v>28.05</v>
      </c>
      <c r="Z2622">
        <v>1114969</v>
      </c>
      <c r="AA2622">
        <v>31185475.190000001</v>
      </c>
      <c r="AB2622">
        <v>5288</v>
      </c>
      <c r="AC2622" t="s">
        <v>42</v>
      </c>
      <c r="AD2622">
        <v>1</v>
      </c>
    </row>
    <row r="2623" spans="1:30">
      <c r="A2623" t="str">
        <f>CONCATENATE(I2623,J2623)</f>
        <v>RTNPOWEREQ</v>
      </c>
      <c r="B2623" s="34">
        <v>46273</v>
      </c>
      <c r="C2623" s="34">
        <v>46273</v>
      </c>
      <c r="D2623" t="s">
        <v>35</v>
      </c>
      <c r="E2623" t="s">
        <v>36</v>
      </c>
      <c r="F2623" t="s">
        <v>37</v>
      </c>
      <c r="G2623">
        <v>17520</v>
      </c>
      <c r="H2623" t="s">
        <v>7926</v>
      </c>
      <c r="I2623" t="s">
        <v>7927</v>
      </c>
      <c r="J2623" t="s">
        <v>161</v>
      </c>
      <c r="O2623" t="s">
        <v>7928</v>
      </c>
      <c r="P2623">
        <v>7.3</v>
      </c>
      <c r="Q2623">
        <v>7.31</v>
      </c>
      <c r="R2623">
        <v>7.22</v>
      </c>
      <c r="S2623">
        <v>7.28</v>
      </c>
      <c r="T2623">
        <v>7.28</v>
      </c>
      <c r="U2623">
        <v>7.32</v>
      </c>
      <c r="W2623">
        <v>7.28</v>
      </c>
      <c r="Z2623">
        <v>12658598</v>
      </c>
      <c r="AA2623">
        <v>91917880.989999995</v>
      </c>
      <c r="AB2623">
        <v>13911</v>
      </c>
      <c r="AC2623" t="s">
        <v>42</v>
      </c>
      <c r="AD2623">
        <v>1</v>
      </c>
    </row>
    <row r="2624" spans="1:30">
      <c r="A2624" t="str">
        <f>CONCATENATE(I2624,J2624)</f>
        <v>RKDLEQ</v>
      </c>
      <c r="B2624" s="34">
        <v>46273</v>
      </c>
      <c r="C2624" s="34">
        <v>46273</v>
      </c>
      <c r="D2624" t="s">
        <v>35</v>
      </c>
      <c r="E2624" t="s">
        <v>36</v>
      </c>
      <c r="F2624" t="s">
        <v>37</v>
      </c>
      <c r="G2624">
        <v>20950</v>
      </c>
      <c r="H2624" t="s">
        <v>7929</v>
      </c>
      <c r="I2624" t="s">
        <v>7930</v>
      </c>
      <c r="J2624" t="s">
        <v>161</v>
      </c>
      <c r="O2624" t="s">
        <v>7931</v>
      </c>
      <c r="P2624">
        <v>18.78</v>
      </c>
      <c r="Q2624">
        <v>18.78</v>
      </c>
      <c r="R2624">
        <v>18.28</v>
      </c>
      <c r="S2624">
        <v>18.36</v>
      </c>
      <c r="T2624">
        <v>18.36</v>
      </c>
      <c r="U2624">
        <v>18.25</v>
      </c>
      <c r="W2624">
        <v>18.36</v>
      </c>
      <c r="Z2624">
        <v>7175</v>
      </c>
      <c r="AA2624">
        <v>132559.53</v>
      </c>
      <c r="AB2624">
        <v>54</v>
      </c>
      <c r="AC2624" t="s">
        <v>42</v>
      </c>
      <c r="AD2624">
        <v>1</v>
      </c>
    </row>
    <row r="2625" spans="1:30">
      <c r="A2625" t="str">
        <f>CONCATENATE(I2625,J2625)</f>
        <v>RVHLEQ</v>
      </c>
      <c r="B2625" s="34">
        <v>46273</v>
      </c>
      <c r="C2625" s="34">
        <v>46273</v>
      </c>
      <c r="D2625" t="s">
        <v>35</v>
      </c>
      <c r="E2625" t="s">
        <v>36</v>
      </c>
      <c r="F2625" t="s">
        <v>37</v>
      </c>
      <c r="G2625">
        <v>1565</v>
      </c>
      <c r="H2625" t="s">
        <v>7932</v>
      </c>
      <c r="I2625" t="s">
        <v>7933</v>
      </c>
      <c r="J2625" t="s">
        <v>161</v>
      </c>
      <c r="O2625" t="s">
        <v>7934</v>
      </c>
      <c r="P2625">
        <v>40.799999999999997</v>
      </c>
      <c r="Q2625">
        <v>40.799999999999997</v>
      </c>
      <c r="R2625">
        <v>39.6</v>
      </c>
      <c r="S2625">
        <v>39.99</v>
      </c>
      <c r="T2625">
        <v>39.9</v>
      </c>
      <c r="U2625">
        <v>40.200000000000003</v>
      </c>
      <c r="W2625">
        <v>39.99</v>
      </c>
      <c r="Z2625">
        <v>5622</v>
      </c>
      <c r="AA2625">
        <v>224894.7</v>
      </c>
      <c r="AB2625">
        <v>43</v>
      </c>
      <c r="AC2625" t="s">
        <v>42</v>
      </c>
      <c r="AD2625">
        <v>1</v>
      </c>
    </row>
    <row r="2626" spans="1:30">
      <c r="A2626" t="str">
        <f>CONCATENATE(I2626,J2626)</f>
        <v>RELTDEQ</v>
      </c>
      <c r="B2626" s="34">
        <v>46273</v>
      </c>
      <c r="C2626" s="34">
        <v>46273</v>
      </c>
      <c r="D2626" t="s">
        <v>35</v>
      </c>
      <c r="E2626" t="s">
        <v>36</v>
      </c>
      <c r="F2626" t="s">
        <v>37</v>
      </c>
      <c r="G2626">
        <v>24596</v>
      </c>
      <c r="H2626" t="s">
        <v>7935</v>
      </c>
      <c r="I2626" t="s">
        <v>7936</v>
      </c>
      <c r="J2626" t="s">
        <v>161</v>
      </c>
      <c r="O2626" t="s">
        <v>7937</v>
      </c>
      <c r="P2626">
        <v>158.38999999999999</v>
      </c>
      <c r="Q2626">
        <v>160.58000000000001</v>
      </c>
      <c r="R2626">
        <v>154.26</v>
      </c>
      <c r="S2626">
        <v>155.38999999999999</v>
      </c>
      <c r="T2626">
        <v>154.35</v>
      </c>
      <c r="U2626">
        <v>159.21</v>
      </c>
      <c r="W2626">
        <v>155.41</v>
      </c>
      <c r="Z2626">
        <v>109145</v>
      </c>
      <c r="AA2626">
        <v>17210575.100000001</v>
      </c>
      <c r="AB2626">
        <v>2456</v>
      </c>
      <c r="AC2626" t="s">
        <v>42</v>
      </c>
      <c r="AD2626">
        <v>1</v>
      </c>
    </row>
    <row r="2627" spans="1:30">
      <c r="A2627" t="str">
        <f>CONCATENATE(I2627,J2627)</f>
        <v>RAYMONDLSLEQ</v>
      </c>
      <c r="B2627" s="34">
        <v>46273</v>
      </c>
      <c r="C2627" s="34">
        <v>46273</v>
      </c>
      <c r="D2627" t="s">
        <v>35</v>
      </c>
      <c r="E2627" t="s">
        <v>36</v>
      </c>
      <c r="F2627" t="s">
        <v>37</v>
      </c>
      <c r="G2627">
        <v>25073</v>
      </c>
      <c r="H2627" t="s">
        <v>7938</v>
      </c>
      <c r="I2627" t="s">
        <v>7939</v>
      </c>
      <c r="J2627" t="s">
        <v>161</v>
      </c>
      <c r="O2627" t="s">
        <v>7940</v>
      </c>
      <c r="P2627">
        <v>672</v>
      </c>
      <c r="Q2627">
        <v>727.7</v>
      </c>
      <c r="R2627">
        <v>667.85</v>
      </c>
      <c r="S2627">
        <v>696.85</v>
      </c>
      <c r="T2627">
        <v>697</v>
      </c>
      <c r="U2627">
        <v>672.9</v>
      </c>
      <c r="W2627">
        <v>696.82</v>
      </c>
      <c r="Z2627">
        <v>990648</v>
      </c>
      <c r="AA2627">
        <v>701090678.64999998</v>
      </c>
      <c r="AB2627">
        <v>35552</v>
      </c>
      <c r="AC2627" t="s">
        <v>42</v>
      </c>
      <c r="AD2627">
        <v>1</v>
      </c>
    </row>
    <row r="2628" spans="1:30">
      <c r="A2628" t="str">
        <f>CONCATENATE(I2628,J2628)</f>
        <v>RAYMONDEQ</v>
      </c>
      <c r="B2628" s="34">
        <v>46273</v>
      </c>
      <c r="C2628" s="34">
        <v>46273</v>
      </c>
      <c r="D2628" t="s">
        <v>35</v>
      </c>
      <c r="E2628" t="s">
        <v>36</v>
      </c>
      <c r="F2628" t="s">
        <v>37</v>
      </c>
      <c r="G2628">
        <v>2859</v>
      </c>
      <c r="H2628" t="s">
        <v>7941</v>
      </c>
      <c r="I2628" t="s">
        <v>7942</v>
      </c>
      <c r="J2628" t="s">
        <v>161</v>
      </c>
      <c r="O2628" t="s">
        <v>7943</v>
      </c>
      <c r="P2628">
        <v>775</v>
      </c>
      <c r="Q2628">
        <v>869</v>
      </c>
      <c r="R2628">
        <v>775</v>
      </c>
      <c r="S2628">
        <v>857.8</v>
      </c>
      <c r="T2628">
        <v>856.85</v>
      </c>
      <c r="U2628">
        <v>772.4</v>
      </c>
      <c r="W2628">
        <v>857.84</v>
      </c>
      <c r="Z2628">
        <v>13357784</v>
      </c>
      <c r="AA2628">
        <v>11272017696.75</v>
      </c>
      <c r="AB2628">
        <v>300884</v>
      </c>
      <c r="AC2628" t="s">
        <v>42</v>
      </c>
      <c r="AD2628">
        <v>1</v>
      </c>
    </row>
    <row r="2629" spans="1:30">
      <c r="A2629" t="str">
        <f>CONCATENATE(I2629,J2629)</f>
        <v>RAYMONDRELEQ</v>
      </c>
      <c r="B2629" s="34">
        <v>46273</v>
      </c>
      <c r="C2629" s="34">
        <v>46273</v>
      </c>
      <c r="D2629" t="s">
        <v>35</v>
      </c>
      <c r="E2629" t="s">
        <v>36</v>
      </c>
      <c r="F2629" t="s">
        <v>37</v>
      </c>
      <c r="G2629">
        <v>758551</v>
      </c>
      <c r="H2629" t="s">
        <v>7944</v>
      </c>
      <c r="I2629" t="s">
        <v>7945</v>
      </c>
      <c r="J2629" t="s">
        <v>161</v>
      </c>
      <c r="O2629" t="s">
        <v>7946</v>
      </c>
      <c r="P2629">
        <v>554.29999999999995</v>
      </c>
      <c r="Q2629">
        <v>592.20000000000005</v>
      </c>
      <c r="R2629">
        <v>549.29999999999995</v>
      </c>
      <c r="S2629">
        <v>582.5</v>
      </c>
      <c r="T2629">
        <v>583.5</v>
      </c>
      <c r="U2629">
        <v>553.70000000000005</v>
      </c>
      <c r="W2629">
        <v>582.4</v>
      </c>
      <c r="Z2629">
        <v>872805</v>
      </c>
      <c r="AA2629">
        <v>502947232.10000002</v>
      </c>
      <c r="AB2629">
        <v>25851</v>
      </c>
      <c r="AC2629" t="s">
        <v>42</v>
      </c>
      <c r="AD2629">
        <v>1</v>
      </c>
    </row>
    <row r="2630" spans="1:30">
      <c r="A2630" t="str">
        <f>CONCATENATE(I2630,J2630)</f>
        <v>MOMSBELIEFBE</v>
      </c>
      <c r="B2630" s="34">
        <v>46273</v>
      </c>
      <c r="C2630" s="34">
        <v>46273</v>
      </c>
      <c r="D2630" t="s">
        <v>35</v>
      </c>
      <c r="E2630" t="s">
        <v>36</v>
      </c>
      <c r="F2630" t="s">
        <v>37</v>
      </c>
      <c r="G2630">
        <v>765937</v>
      </c>
      <c r="H2630" t="s">
        <v>7947</v>
      </c>
      <c r="I2630" t="s">
        <v>7948</v>
      </c>
      <c r="J2630" t="s">
        <v>183</v>
      </c>
      <c r="O2630" t="s">
        <v>7949</v>
      </c>
      <c r="P2630">
        <v>239</v>
      </c>
      <c r="Q2630">
        <v>239</v>
      </c>
      <c r="R2630">
        <v>227.32</v>
      </c>
      <c r="S2630">
        <v>228.34</v>
      </c>
      <c r="T2630">
        <v>228.75</v>
      </c>
      <c r="U2630">
        <v>239</v>
      </c>
      <c r="W2630">
        <v>228.33</v>
      </c>
      <c r="Z2630">
        <v>1823943</v>
      </c>
      <c r="AA2630">
        <v>432898246.67000002</v>
      </c>
      <c r="AB2630">
        <v>11074</v>
      </c>
      <c r="AC2630" t="s">
        <v>42</v>
      </c>
      <c r="AD2630">
        <v>1</v>
      </c>
    </row>
    <row r="2631" spans="1:30">
      <c r="A2631" t="str">
        <f>CONCATENATE(I2631,J2631)</f>
        <v>RBLBANKEQ</v>
      </c>
      <c r="B2631" s="34">
        <v>46273</v>
      </c>
      <c r="C2631" s="34">
        <v>46273</v>
      </c>
      <c r="D2631" t="s">
        <v>35</v>
      </c>
      <c r="E2631" t="s">
        <v>36</v>
      </c>
      <c r="F2631" t="s">
        <v>37</v>
      </c>
      <c r="G2631">
        <v>18391</v>
      </c>
      <c r="H2631" t="s">
        <v>7950</v>
      </c>
      <c r="I2631" t="s">
        <v>7951</v>
      </c>
      <c r="J2631" t="s">
        <v>161</v>
      </c>
      <c r="O2631" t="s">
        <v>7952</v>
      </c>
      <c r="P2631">
        <v>413</v>
      </c>
      <c r="Q2631">
        <v>419.1</v>
      </c>
      <c r="R2631">
        <v>413</v>
      </c>
      <c r="S2631">
        <v>418.5</v>
      </c>
      <c r="T2631">
        <v>418.5</v>
      </c>
      <c r="U2631">
        <v>415</v>
      </c>
      <c r="W2631">
        <v>418.5</v>
      </c>
      <c r="Z2631">
        <v>1994199</v>
      </c>
      <c r="AA2631">
        <v>832150985.25</v>
      </c>
      <c r="AB2631">
        <v>30498</v>
      </c>
      <c r="AC2631" t="s">
        <v>42</v>
      </c>
      <c r="AD2631">
        <v>1</v>
      </c>
    </row>
    <row r="2632" spans="1:30">
      <c r="A2632" t="str">
        <f>CONCATENATE(I2632,J2632)</f>
        <v>RBMINFRASM</v>
      </c>
      <c r="B2632" s="34">
        <v>46273</v>
      </c>
      <c r="C2632" s="34">
        <v>46273</v>
      </c>
      <c r="D2632" t="s">
        <v>35</v>
      </c>
      <c r="E2632" t="s">
        <v>36</v>
      </c>
      <c r="F2632" t="s">
        <v>37</v>
      </c>
      <c r="G2632">
        <v>13570</v>
      </c>
      <c r="H2632" t="s">
        <v>7953</v>
      </c>
      <c r="I2632" t="s">
        <v>7954</v>
      </c>
      <c r="J2632" t="s">
        <v>267</v>
      </c>
      <c r="O2632" t="s">
        <v>7955</v>
      </c>
      <c r="P2632">
        <v>231</v>
      </c>
      <c r="Q2632">
        <v>275.75</v>
      </c>
      <c r="R2632">
        <v>223.9</v>
      </c>
      <c r="S2632">
        <v>275.75</v>
      </c>
      <c r="T2632">
        <v>275.75</v>
      </c>
      <c r="U2632">
        <v>229.8</v>
      </c>
      <c r="W2632">
        <v>275.75</v>
      </c>
      <c r="Z2632">
        <v>85800</v>
      </c>
      <c r="AA2632">
        <v>22237560</v>
      </c>
      <c r="AB2632">
        <v>353</v>
      </c>
      <c r="AC2632" t="s">
        <v>42</v>
      </c>
      <c r="AD2632">
        <v>200</v>
      </c>
    </row>
    <row r="2633" spans="1:30">
      <c r="A2633" t="str">
        <f>CONCATENATE(I2633,J2633)</f>
        <v>RBZJEWELBE</v>
      </c>
      <c r="B2633" s="34">
        <v>46273</v>
      </c>
      <c r="C2633" s="34">
        <v>46273</v>
      </c>
      <c r="D2633" t="s">
        <v>35</v>
      </c>
      <c r="E2633" t="s">
        <v>36</v>
      </c>
      <c r="F2633" t="s">
        <v>37</v>
      </c>
      <c r="G2633">
        <v>20893</v>
      </c>
      <c r="H2633" t="s">
        <v>7956</v>
      </c>
      <c r="I2633" t="s">
        <v>7957</v>
      </c>
      <c r="J2633" t="s">
        <v>183</v>
      </c>
      <c r="O2633" t="s">
        <v>7958</v>
      </c>
      <c r="P2633">
        <v>182</v>
      </c>
      <c r="Q2633">
        <v>191.9</v>
      </c>
      <c r="R2633">
        <v>181.18</v>
      </c>
      <c r="S2633">
        <v>181.18</v>
      </c>
      <c r="T2633">
        <v>181.18</v>
      </c>
      <c r="U2633">
        <v>190.71</v>
      </c>
      <c r="W2633">
        <v>181.35</v>
      </c>
      <c r="Z2633">
        <v>173557</v>
      </c>
      <c r="AA2633">
        <v>31860569.41</v>
      </c>
      <c r="AB2633">
        <v>1566</v>
      </c>
      <c r="AC2633" t="s">
        <v>42</v>
      </c>
      <c r="AD2633">
        <v>1</v>
      </c>
    </row>
    <row r="2634" spans="1:30">
      <c r="A2634" t="str">
        <f>CONCATENATE(I2634,J2634)</f>
        <v>RRECLEQ</v>
      </c>
      <c r="B2634" s="34">
        <v>46273</v>
      </c>
      <c r="C2634" s="34">
        <v>46273</v>
      </c>
      <c r="D2634" t="s">
        <v>35</v>
      </c>
      <c r="E2634" t="s">
        <v>36</v>
      </c>
      <c r="F2634" t="s">
        <v>37</v>
      </c>
      <c r="G2634">
        <v>764850</v>
      </c>
      <c r="H2634" t="s">
        <v>7959</v>
      </c>
      <c r="I2634" t="s">
        <v>7960</v>
      </c>
      <c r="J2634" t="s">
        <v>161</v>
      </c>
      <c r="O2634" t="s">
        <v>7961</v>
      </c>
      <c r="P2634">
        <v>132.27000000000001</v>
      </c>
      <c r="Q2634">
        <v>133</v>
      </c>
      <c r="R2634">
        <v>127.05</v>
      </c>
      <c r="S2634">
        <v>130.01</v>
      </c>
      <c r="T2634">
        <v>132.1</v>
      </c>
      <c r="U2634">
        <v>132.27000000000001</v>
      </c>
      <c r="W2634">
        <v>130.03</v>
      </c>
      <c r="Z2634">
        <v>532</v>
      </c>
      <c r="AA2634">
        <v>68745.34</v>
      </c>
      <c r="AB2634">
        <v>16</v>
      </c>
      <c r="AC2634" t="s">
        <v>42</v>
      </c>
      <c r="AD2634">
        <v>1</v>
      </c>
    </row>
    <row r="2635" spans="1:30">
      <c r="A2635" t="str">
        <f>CONCATENATE(I2635,J2635)</f>
        <v>READYMIXSM</v>
      </c>
      <c r="B2635" s="34">
        <v>46273</v>
      </c>
      <c r="C2635" s="34">
        <v>46273</v>
      </c>
      <c r="D2635" t="s">
        <v>35</v>
      </c>
      <c r="E2635" t="s">
        <v>36</v>
      </c>
      <c r="F2635" t="s">
        <v>37</v>
      </c>
      <c r="G2635">
        <v>29561</v>
      </c>
      <c r="H2635" t="s">
        <v>7962</v>
      </c>
      <c r="I2635" t="s">
        <v>7963</v>
      </c>
      <c r="J2635" t="s">
        <v>267</v>
      </c>
      <c r="O2635" t="s">
        <v>7964</v>
      </c>
      <c r="P2635">
        <v>73.2</v>
      </c>
      <c r="Q2635">
        <v>75.400000000000006</v>
      </c>
      <c r="R2635">
        <v>69.95</v>
      </c>
      <c r="S2635">
        <v>73.099999999999994</v>
      </c>
      <c r="T2635">
        <v>73.95</v>
      </c>
      <c r="U2635">
        <v>74.25</v>
      </c>
      <c r="W2635">
        <v>73.099999999999994</v>
      </c>
      <c r="Z2635">
        <v>53000</v>
      </c>
      <c r="AA2635">
        <v>3850550</v>
      </c>
      <c r="AB2635">
        <v>51</v>
      </c>
      <c r="AC2635" t="s">
        <v>42</v>
      </c>
      <c r="AD2635">
        <v>1000</v>
      </c>
    </row>
    <row r="2636" spans="1:30">
      <c r="A2636" t="str">
        <f>CONCATENATE(I2636,J2636)</f>
        <v>RECLTDEQ</v>
      </c>
      <c r="B2636" s="34">
        <v>46273</v>
      </c>
      <c r="C2636" s="34">
        <v>46273</v>
      </c>
      <c r="D2636" t="s">
        <v>35</v>
      </c>
      <c r="E2636" t="s">
        <v>36</v>
      </c>
      <c r="F2636" t="s">
        <v>37</v>
      </c>
      <c r="G2636">
        <v>15355</v>
      </c>
      <c r="H2636" t="s">
        <v>7965</v>
      </c>
      <c r="I2636" t="s">
        <v>7966</v>
      </c>
      <c r="J2636" t="s">
        <v>161</v>
      </c>
      <c r="O2636" t="s">
        <v>7967</v>
      </c>
      <c r="P2636">
        <v>316.8</v>
      </c>
      <c r="Q2636">
        <v>318</v>
      </c>
      <c r="R2636">
        <v>314</v>
      </c>
      <c r="S2636">
        <v>317.85000000000002</v>
      </c>
      <c r="T2636">
        <v>317.85000000000002</v>
      </c>
      <c r="U2636">
        <v>316.39999999999998</v>
      </c>
      <c r="W2636">
        <v>317.83</v>
      </c>
      <c r="Z2636">
        <v>4604418</v>
      </c>
      <c r="AA2636">
        <v>1455204630.3499999</v>
      </c>
      <c r="AB2636">
        <v>31704</v>
      </c>
      <c r="AC2636" t="s">
        <v>42</v>
      </c>
      <c r="AD2636">
        <v>1</v>
      </c>
    </row>
    <row r="2637" spans="1:30">
      <c r="A2637" t="str">
        <f>CONCATENATE(I2637,J2637)</f>
        <v>REDINGTONEQ</v>
      </c>
      <c r="B2637" s="34">
        <v>46273</v>
      </c>
      <c r="C2637" s="34">
        <v>46273</v>
      </c>
      <c r="D2637" t="s">
        <v>35</v>
      </c>
      <c r="E2637" t="s">
        <v>36</v>
      </c>
      <c r="F2637" t="s">
        <v>37</v>
      </c>
      <c r="G2637">
        <v>14255</v>
      </c>
      <c r="H2637" t="s">
        <v>7968</v>
      </c>
      <c r="I2637" t="s">
        <v>7969</v>
      </c>
      <c r="J2637" t="s">
        <v>161</v>
      </c>
      <c r="O2637" t="s">
        <v>7970</v>
      </c>
      <c r="P2637">
        <v>379</v>
      </c>
      <c r="Q2637">
        <v>379.9</v>
      </c>
      <c r="R2637">
        <v>369.6</v>
      </c>
      <c r="S2637">
        <v>373.55</v>
      </c>
      <c r="T2637">
        <v>374</v>
      </c>
      <c r="U2637">
        <v>378.2</v>
      </c>
      <c r="W2637">
        <v>373.55</v>
      </c>
      <c r="Z2637">
        <v>3067237</v>
      </c>
      <c r="AA2637">
        <v>1149227241.8499999</v>
      </c>
      <c r="AB2637">
        <v>44973</v>
      </c>
      <c r="AC2637" t="s">
        <v>42</v>
      </c>
      <c r="AD2637">
        <v>1</v>
      </c>
    </row>
    <row r="2638" spans="1:30">
      <c r="A2638" t="str">
        <f>CONCATENATE(I2638,J2638)</f>
        <v>REDTAPEEQ</v>
      </c>
      <c r="B2638" s="34">
        <v>46273</v>
      </c>
      <c r="C2638" s="34">
        <v>46273</v>
      </c>
      <c r="D2638" t="s">
        <v>35</v>
      </c>
      <c r="E2638" t="s">
        <v>36</v>
      </c>
      <c r="F2638" t="s">
        <v>37</v>
      </c>
      <c r="G2638">
        <v>17859</v>
      </c>
      <c r="H2638" t="s">
        <v>7971</v>
      </c>
      <c r="I2638" t="s">
        <v>7972</v>
      </c>
      <c r="J2638" t="s">
        <v>161</v>
      </c>
      <c r="O2638" t="s">
        <v>7973</v>
      </c>
      <c r="P2638">
        <v>118.9</v>
      </c>
      <c r="Q2638">
        <v>118.9</v>
      </c>
      <c r="R2638">
        <v>115</v>
      </c>
      <c r="S2638">
        <v>115.58</v>
      </c>
      <c r="T2638">
        <v>115.8</v>
      </c>
      <c r="U2638">
        <v>118.81</v>
      </c>
      <c r="W2638">
        <v>115.58</v>
      </c>
      <c r="Z2638">
        <v>398356</v>
      </c>
      <c r="AA2638">
        <v>46360720.049999997</v>
      </c>
      <c r="AB2638">
        <v>7637</v>
      </c>
      <c r="AC2638" t="s">
        <v>42</v>
      </c>
      <c r="AD2638">
        <v>1</v>
      </c>
    </row>
    <row r="2639" spans="1:30">
      <c r="A2639" t="str">
        <f>CONCATENATE(I2639,J2639)</f>
        <v>REFEXEQ</v>
      </c>
      <c r="B2639" s="34">
        <v>46273</v>
      </c>
      <c r="C2639" s="34">
        <v>46273</v>
      </c>
      <c r="D2639" t="s">
        <v>35</v>
      </c>
      <c r="E2639" t="s">
        <v>36</v>
      </c>
      <c r="F2639" t="s">
        <v>37</v>
      </c>
      <c r="G2639">
        <v>17764</v>
      </c>
      <c r="H2639" t="s">
        <v>7974</v>
      </c>
      <c r="I2639" t="s">
        <v>7975</v>
      </c>
      <c r="J2639" t="s">
        <v>161</v>
      </c>
      <c r="O2639" t="s">
        <v>7976</v>
      </c>
      <c r="P2639">
        <v>278</v>
      </c>
      <c r="Q2639">
        <v>278.8</v>
      </c>
      <c r="R2639">
        <v>275</v>
      </c>
      <c r="S2639">
        <v>275.85000000000002</v>
      </c>
      <c r="T2639">
        <v>275.10000000000002</v>
      </c>
      <c r="U2639">
        <v>277.14999999999998</v>
      </c>
      <c r="W2639">
        <v>275.85000000000002</v>
      </c>
      <c r="Z2639">
        <v>155563</v>
      </c>
      <c r="AA2639">
        <v>43045458.799999997</v>
      </c>
      <c r="AB2639">
        <v>3749</v>
      </c>
      <c r="AC2639" t="s">
        <v>42</v>
      </c>
      <c r="AD2639">
        <v>1</v>
      </c>
    </row>
    <row r="2640" spans="1:30">
      <c r="A2640" t="str">
        <f>CONCATENATE(I2640,J2640)</f>
        <v>REFRACTORYSM</v>
      </c>
      <c r="B2640" s="34">
        <v>46273</v>
      </c>
      <c r="C2640" s="34">
        <v>46273</v>
      </c>
      <c r="D2640" t="s">
        <v>35</v>
      </c>
      <c r="E2640" t="s">
        <v>36</v>
      </c>
      <c r="F2640" t="s">
        <v>37</v>
      </c>
      <c r="G2640">
        <v>23718</v>
      </c>
      <c r="H2640" t="s">
        <v>7977</v>
      </c>
      <c r="I2640" t="s">
        <v>7978</v>
      </c>
      <c r="J2640" t="s">
        <v>267</v>
      </c>
      <c r="O2640" t="s">
        <v>7979</v>
      </c>
      <c r="P2640">
        <v>23.8</v>
      </c>
      <c r="Q2640">
        <v>24.35</v>
      </c>
      <c r="R2640">
        <v>23.15</v>
      </c>
      <c r="S2640">
        <v>24.1</v>
      </c>
      <c r="T2640">
        <v>24.1</v>
      </c>
      <c r="U2640">
        <v>24.35</v>
      </c>
      <c r="W2640">
        <v>24.1</v>
      </c>
      <c r="Z2640">
        <v>40000</v>
      </c>
      <c r="AA2640">
        <v>934850</v>
      </c>
      <c r="AB2640">
        <v>30</v>
      </c>
      <c r="AC2640" t="s">
        <v>42</v>
      </c>
      <c r="AD2640">
        <v>1000</v>
      </c>
    </row>
    <row r="2641" spans="1:30">
      <c r="A2641" t="str">
        <f>CONCATENATE(I2641,J2641)</f>
        <v>REGAALEQ</v>
      </c>
      <c r="B2641" s="34">
        <v>46273</v>
      </c>
      <c r="C2641" s="34">
        <v>46273</v>
      </c>
      <c r="D2641" t="s">
        <v>35</v>
      </c>
      <c r="E2641" t="s">
        <v>36</v>
      </c>
      <c r="F2641" t="s">
        <v>37</v>
      </c>
      <c r="G2641">
        <v>758680</v>
      </c>
      <c r="H2641" t="s">
        <v>7980</v>
      </c>
      <c r="I2641" t="s">
        <v>7981</v>
      </c>
      <c r="J2641" t="s">
        <v>161</v>
      </c>
      <c r="O2641" t="s">
        <v>7982</v>
      </c>
      <c r="P2641">
        <v>87.17</v>
      </c>
      <c r="Q2641">
        <v>88.69</v>
      </c>
      <c r="R2641">
        <v>87</v>
      </c>
      <c r="S2641">
        <v>87.3</v>
      </c>
      <c r="T2641">
        <v>87.05</v>
      </c>
      <c r="U2641">
        <v>88.16</v>
      </c>
      <c r="W2641">
        <v>87.27</v>
      </c>
      <c r="Z2641">
        <v>102928</v>
      </c>
      <c r="AA2641">
        <v>9017699.6300000008</v>
      </c>
      <c r="AB2641">
        <v>1229</v>
      </c>
      <c r="AC2641" t="s">
        <v>42</v>
      </c>
      <c r="AD2641">
        <v>1</v>
      </c>
    </row>
    <row r="2642" spans="1:30">
      <c r="A2642" t="str">
        <f>CONCATENATE(I2642,J2642)</f>
        <v>REGENCERAMEQ</v>
      </c>
      <c r="B2642" s="34">
        <v>46273</v>
      </c>
      <c r="C2642" s="34">
        <v>46273</v>
      </c>
      <c r="D2642" t="s">
        <v>35</v>
      </c>
      <c r="E2642" t="s">
        <v>36</v>
      </c>
      <c r="F2642" t="s">
        <v>37</v>
      </c>
      <c r="G2642">
        <v>4130</v>
      </c>
      <c r="H2642" t="s">
        <v>7983</v>
      </c>
      <c r="I2642" t="s">
        <v>7984</v>
      </c>
      <c r="J2642" t="s">
        <v>161</v>
      </c>
      <c r="O2642" t="s">
        <v>7985</v>
      </c>
      <c r="P2642">
        <v>34.46</v>
      </c>
      <c r="Q2642">
        <v>36.799999999999997</v>
      </c>
      <c r="R2642">
        <v>34.1</v>
      </c>
      <c r="S2642">
        <v>34.229999999999997</v>
      </c>
      <c r="T2642">
        <v>34.14</v>
      </c>
      <c r="U2642">
        <v>35</v>
      </c>
      <c r="W2642">
        <v>34.229999999999997</v>
      </c>
      <c r="Z2642">
        <v>880</v>
      </c>
      <c r="AA2642">
        <v>30773.52</v>
      </c>
      <c r="AB2642">
        <v>51</v>
      </c>
      <c r="AC2642" t="s">
        <v>42</v>
      </c>
      <c r="AD2642">
        <v>1</v>
      </c>
    </row>
    <row r="2643" spans="1:30">
      <c r="A2643" t="str">
        <f>CONCATENATE(I2643,J2643)</f>
        <v>RELAXOEQ</v>
      </c>
      <c r="B2643" s="34">
        <v>46273</v>
      </c>
      <c r="C2643" s="34">
        <v>46273</v>
      </c>
      <c r="D2643" t="s">
        <v>35</v>
      </c>
      <c r="E2643" t="s">
        <v>36</v>
      </c>
      <c r="F2643" t="s">
        <v>37</v>
      </c>
      <c r="G2643">
        <v>24225</v>
      </c>
      <c r="H2643" t="s">
        <v>7986</v>
      </c>
      <c r="I2643" t="s">
        <v>7987</v>
      </c>
      <c r="J2643" t="s">
        <v>161</v>
      </c>
      <c r="O2643" t="s">
        <v>7988</v>
      </c>
      <c r="P2643">
        <v>338</v>
      </c>
      <c r="Q2643">
        <v>341.9</v>
      </c>
      <c r="R2643">
        <v>331.15</v>
      </c>
      <c r="S2643">
        <v>333.7</v>
      </c>
      <c r="T2643">
        <v>335</v>
      </c>
      <c r="U2643">
        <v>338.05</v>
      </c>
      <c r="W2643">
        <v>333.71</v>
      </c>
      <c r="Z2643">
        <v>81314</v>
      </c>
      <c r="AA2643">
        <v>27166106.100000001</v>
      </c>
      <c r="AB2643">
        <v>5141</v>
      </c>
      <c r="AC2643" t="s">
        <v>42</v>
      </c>
      <c r="AD2643">
        <v>1</v>
      </c>
    </row>
    <row r="2644" spans="1:30">
      <c r="A2644" t="str">
        <f>CONCATENATE(I2644,J2644)</f>
        <v>GILT5YBEESEQ</v>
      </c>
      <c r="B2644" s="34">
        <v>46273</v>
      </c>
      <c r="C2644" s="34">
        <v>46273</v>
      </c>
      <c r="D2644" t="s">
        <v>35</v>
      </c>
      <c r="E2644" t="s">
        <v>36</v>
      </c>
      <c r="F2644" t="s">
        <v>37</v>
      </c>
      <c r="G2644">
        <v>3172</v>
      </c>
      <c r="H2644" t="s">
        <v>7989</v>
      </c>
      <c r="I2644" t="s">
        <v>7990</v>
      </c>
      <c r="J2644" t="s">
        <v>161</v>
      </c>
      <c r="O2644" t="s">
        <v>7991</v>
      </c>
      <c r="P2644">
        <v>67.66</v>
      </c>
      <c r="Q2644">
        <v>68.3</v>
      </c>
      <c r="R2644">
        <v>66.150000000000006</v>
      </c>
      <c r="S2644">
        <v>66.33</v>
      </c>
      <c r="T2644">
        <v>66.42</v>
      </c>
      <c r="U2644">
        <v>66.31</v>
      </c>
      <c r="W2644">
        <v>66.33</v>
      </c>
      <c r="Z2644">
        <v>124132</v>
      </c>
      <c r="AA2644">
        <v>8233075.6500000004</v>
      </c>
      <c r="AB2644">
        <v>363</v>
      </c>
      <c r="AC2644" t="s">
        <v>42</v>
      </c>
      <c r="AD2644">
        <v>1</v>
      </c>
    </row>
    <row r="2645" spans="1:30">
      <c r="A2645" t="str">
        <f>CONCATENATE(I2645,J2645)</f>
        <v>RELIABLEEQ</v>
      </c>
      <c r="B2645" s="34">
        <v>46273</v>
      </c>
      <c r="C2645" s="34">
        <v>46273</v>
      </c>
      <c r="D2645" t="s">
        <v>35</v>
      </c>
      <c r="E2645" t="s">
        <v>36</v>
      </c>
      <c r="F2645" t="s">
        <v>37</v>
      </c>
      <c r="G2645">
        <v>24378</v>
      </c>
      <c r="H2645" t="s">
        <v>7992</v>
      </c>
      <c r="I2645" t="s">
        <v>7993</v>
      </c>
      <c r="J2645" t="s">
        <v>161</v>
      </c>
      <c r="O2645" t="s">
        <v>7994</v>
      </c>
      <c r="P2645">
        <v>140.16</v>
      </c>
      <c r="Q2645">
        <v>142</v>
      </c>
      <c r="R2645">
        <v>134.93</v>
      </c>
      <c r="S2645">
        <v>140.66999999999999</v>
      </c>
      <c r="T2645">
        <v>140.85</v>
      </c>
      <c r="U2645">
        <v>138.12</v>
      </c>
      <c r="W2645">
        <v>140.66999999999999</v>
      </c>
      <c r="Z2645">
        <v>53257</v>
      </c>
      <c r="AA2645">
        <v>7372291.71</v>
      </c>
      <c r="AB2645">
        <v>1270</v>
      </c>
      <c r="AC2645" t="s">
        <v>42</v>
      </c>
      <c r="AD2645">
        <v>1</v>
      </c>
    </row>
    <row r="2646" spans="1:30">
      <c r="A2646" t="str">
        <f>CONCATENATE(I2646,J2646)</f>
        <v>RELCHEMQEQ</v>
      </c>
      <c r="B2646" s="34">
        <v>46273</v>
      </c>
      <c r="C2646" s="34">
        <v>46273</v>
      </c>
      <c r="D2646" t="s">
        <v>35</v>
      </c>
      <c r="E2646" t="s">
        <v>36</v>
      </c>
      <c r="F2646" t="s">
        <v>37</v>
      </c>
      <c r="G2646">
        <v>9652</v>
      </c>
      <c r="H2646" t="s">
        <v>7995</v>
      </c>
      <c r="I2646" t="s">
        <v>7996</v>
      </c>
      <c r="J2646" t="s">
        <v>161</v>
      </c>
      <c r="O2646" t="s">
        <v>7997</v>
      </c>
      <c r="P2646">
        <v>112.25</v>
      </c>
      <c r="Q2646">
        <v>116.99</v>
      </c>
      <c r="R2646">
        <v>112.25</v>
      </c>
      <c r="S2646">
        <v>114.09</v>
      </c>
      <c r="T2646">
        <v>113.5</v>
      </c>
      <c r="U2646">
        <v>113.33</v>
      </c>
      <c r="W2646">
        <v>113.91</v>
      </c>
      <c r="Z2646">
        <v>937</v>
      </c>
      <c r="AA2646">
        <v>106465.87</v>
      </c>
      <c r="AB2646">
        <v>86</v>
      </c>
      <c r="AC2646" t="s">
        <v>42</v>
      </c>
      <c r="AD2646">
        <v>1</v>
      </c>
    </row>
    <row r="2647" spans="1:30">
      <c r="A2647" t="str">
        <f>CONCATENATE(I2647,J2647)</f>
        <v>RCOMBE</v>
      </c>
      <c r="B2647" s="34">
        <v>46273</v>
      </c>
      <c r="C2647" s="34">
        <v>46273</v>
      </c>
      <c r="D2647" t="s">
        <v>35</v>
      </c>
      <c r="E2647" t="s">
        <v>36</v>
      </c>
      <c r="F2647" t="s">
        <v>37</v>
      </c>
      <c r="G2647">
        <v>13188</v>
      </c>
      <c r="H2647" t="s">
        <v>7998</v>
      </c>
      <c r="I2647" t="s">
        <v>7999</v>
      </c>
      <c r="J2647" t="s">
        <v>183</v>
      </c>
      <c r="O2647" t="s">
        <v>8000</v>
      </c>
      <c r="P2647">
        <v>0.87</v>
      </c>
      <c r="Q2647">
        <v>0.89</v>
      </c>
      <c r="R2647">
        <v>0.86</v>
      </c>
      <c r="S2647">
        <v>0.89</v>
      </c>
      <c r="T2647">
        <v>0.89</v>
      </c>
      <c r="U2647">
        <v>0.85</v>
      </c>
      <c r="W2647">
        <v>0.89</v>
      </c>
      <c r="Z2647">
        <v>4449294</v>
      </c>
      <c r="AA2647">
        <v>3940762.34</v>
      </c>
      <c r="AB2647">
        <v>2292</v>
      </c>
      <c r="AC2647" t="s">
        <v>42</v>
      </c>
      <c r="AD2647">
        <v>1</v>
      </c>
    </row>
    <row r="2648" spans="1:30">
      <c r="A2648" t="str">
        <f>CONCATENATE(I2648,J2648)</f>
        <v>RHFLBZ</v>
      </c>
      <c r="B2648" s="34">
        <v>46273</v>
      </c>
      <c r="C2648" s="34">
        <v>46273</v>
      </c>
      <c r="D2648" t="s">
        <v>35</v>
      </c>
      <c r="E2648" t="s">
        <v>36</v>
      </c>
      <c r="F2648" t="s">
        <v>37</v>
      </c>
      <c r="G2648">
        <v>759204</v>
      </c>
      <c r="H2648" t="s">
        <v>8001</v>
      </c>
      <c r="I2648" t="s">
        <v>8002</v>
      </c>
      <c r="J2648" t="s">
        <v>551</v>
      </c>
      <c r="O2648" t="s">
        <v>8003</v>
      </c>
      <c r="P2648">
        <v>1.85</v>
      </c>
      <c r="Q2648">
        <v>1.86</v>
      </c>
      <c r="R2648">
        <v>1.8</v>
      </c>
      <c r="S2648">
        <v>1.81</v>
      </c>
      <c r="T2648">
        <v>1.82</v>
      </c>
      <c r="U2648">
        <v>1.82</v>
      </c>
      <c r="W2648">
        <v>1.81</v>
      </c>
      <c r="Z2648">
        <v>386501</v>
      </c>
      <c r="AA2648">
        <v>707562.64</v>
      </c>
      <c r="AB2648">
        <v>781</v>
      </c>
      <c r="AC2648" t="s">
        <v>42</v>
      </c>
      <c r="AD2648">
        <v>1</v>
      </c>
    </row>
    <row r="2649" spans="1:30">
      <c r="A2649" t="str">
        <f>CONCATENATE(I2649,J2649)</f>
        <v>RIILEQ</v>
      </c>
      <c r="B2649" s="34">
        <v>46273</v>
      </c>
      <c r="C2649" s="34">
        <v>46273</v>
      </c>
      <c r="D2649" t="s">
        <v>35</v>
      </c>
      <c r="E2649" t="s">
        <v>36</v>
      </c>
      <c r="F2649" t="s">
        <v>37</v>
      </c>
      <c r="G2649">
        <v>2912</v>
      </c>
      <c r="H2649" t="s">
        <v>8004</v>
      </c>
      <c r="I2649" t="s">
        <v>8005</v>
      </c>
      <c r="J2649" t="s">
        <v>161</v>
      </c>
      <c r="O2649" t="s">
        <v>8006</v>
      </c>
      <c r="P2649">
        <v>732.95</v>
      </c>
      <c r="Q2649">
        <v>739.45</v>
      </c>
      <c r="R2649">
        <v>727.2</v>
      </c>
      <c r="S2649">
        <v>729.7</v>
      </c>
      <c r="T2649">
        <v>732</v>
      </c>
      <c r="U2649">
        <v>732.4</v>
      </c>
      <c r="W2649">
        <v>729.7</v>
      </c>
      <c r="Z2649">
        <v>35438</v>
      </c>
      <c r="AA2649">
        <v>25889454.449999999</v>
      </c>
      <c r="AB2649">
        <v>1908</v>
      </c>
      <c r="AC2649" t="s">
        <v>42</v>
      </c>
      <c r="AD2649">
        <v>1</v>
      </c>
    </row>
    <row r="2650" spans="1:30">
      <c r="A2650" t="str">
        <f>CONCATENATE(I2650,J2650)</f>
        <v>RELIANCEEQ</v>
      </c>
      <c r="B2650" s="34">
        <v>46273</v>
      </c>
      <c r="C2650" s="34">
        <v>46273</v>
      </c>
      <c r="D2650" t="s">
        <v>35</v>
      </c>
      <c r="E2650" t="s">
        <v>36</v>
      </c>
      <c r="F2650" t="s">
        <v>37</v>
      </c>
      <c r="G2650">
        <v>2885</v>
      </c>
      <c r="H2650" t="s">
        <v>8007</v>
      </c>
      <c r="I2650" t="s">
        <v>8008</v>
      </c>
      <c r="J2650" t="s">
        <v>161</v>
      </c>
      <c r="O2650" t="s">
        <v>8009</v>
      </c>
      <c r="P2650">
        <v>1304.0999999999999</v>
      </c>
      <c r="Q2650">
        <v>1306.8</v>
      </c>
      <c r="R2650">
        <v>1288</v>
      </c>
      <c r="S2650">
        <v>1294.9000000000001</v>
      </c>
      <c r="T2650">
        <v>1294.9000000000001</v>
      </c>
      <c r="U2650">
        <v>1309.5</v>
      </c>
      <c r="W2650">
        <v>1294.9000000000001</v>
      </c>
      <c r="Z2650">
        <v>9799528</v>
      </c>
      <c r="AA2650">
        <v>12682321399.5</v>
      </c>
      <c r="AB2650">
        <v>183733</v>
      </c>
      <c r="AC2650" t="s">
        <v>42</v>
      </c>
      <c r="AD2650">
        <v>1</v>
      </c>
    </row>
    <row r="2651" spans="1:30">
      <c r="A2651" t="str">
        <f>CONCATENATE(I2651,J2651)</f>
        <v>RELINFRABE</v>
      </c>
      <c r="B2651" s="34">
        <v>46273</v>
      </c>
      <c r="C2651" s="34">
        <v>46273</v>
      </c>
      <c r="D2651" t="s">
        <v>35</v>
      </c>
      <c r="E2651" t="s">
        <v>36</v>
      </c>
      <c r="F2651" t="s">
        <v>37</v>
      </c>
      <c r="G2651">
        <v>4791</v>
      </c>
      <c r="H2651" t="s">
        <v>8010</v>
      </c>
      <c r="I2651" t="s">
        <v>8011</v>
      </c>
      <c r="J2651" t="s">
        <v>183</v>
      </c>
      <c r="O2651" t="s">
        <v>8012</v>
      </c>
      <c r="P2651">
        <v>58.29</v>
      </c>
      <c r="Q2651">
        <v>58.7</v>
      </c>
      <c r="R2651">
        <v>57</v>
      </c>
      <c r="S2651">
        <v>57</v>
      </c>
      <c r="T2651">
        <v>57</v>
      </c>
      <c r="U2651">
        <v>58.16</v>
      </c>
      <c r="W2651">
        <v>57</v>
      </c>
      <c r="Z2651">
        <v>268676</v>
      </c>
      <c r="AA2651">
        <v>15361125.82</v>
      </c>
      <c r="AB2651">
        <v>1327</v>
      </c>
      <c r="AC2651" t="s">
        <v>42</v>
      </c>
      <c r="AD2651">
        <v>1</v>
      </c>
    </row>
    <row r="2652" spans="1:30">
      <c r="A2652" t="str">
        <f>CONCATENATE(I2652,J2652)</f>
        <v>RPOWEREQ</v>
      </c>
      <c r="B2652" s="34">
        <v>46273</v>
      </c>
      <c r="C2652" s="34">
        <v>46273</v>
      </c>
      <c r="D2652" t="s">
        <v>35</v>
      </c>
      <c r="E2652" t="s">
        <v>36</v>
      </c>
      <c r="F2652" t="s">
        <v>37</v>
      </c>
      <c r="G2652">
        <v>15259</v>
      </c>
      <c r="H2652" t="s">
        <v>8013</v>
      </c>
      <c r="I2652" t="s">
        <v>8014</v>
      </c>
      <c r="J2652" t="s">
        <v>161</v>
      </c>
      <c r="O2652" t="s">
        <v>8015</v>
      </c>
      <c r="P2652">
        <v>22.02</v>
      </c>
      <c r="Q2652">
        <v>22.04</v>
      </c>
      <c r="R2652">
        <v>21.57</v>
      </c>
      <c r="S2652">
        <v>21.71</v>
      </c>
      <c r="T2652">
        <v>21.71</v>
      </c>
      <c r="U2652">
        <v>21.94</v>
      </c>
      <c r="W2652">
        <v>21.71</v>
      </c>
      <c r="Z2652">
        <v>14966105</v>
      </c>
      <c r="AA2652">
        <v>325644881.79000002</v>
      </c>
      <c r="AB2652">
        <v>30359</v>
      </c>
      <c r="AC2652" t="s">
        <v>42</v>
      </c>
      <c r="AD2652">
        <v>1</v>
      </c>
    </row>
    <row r="2653" spans="1:30">
      <c r="A2653" t="str">
        <f>CONCATENATE(I2653,J2653)</f>
        <v>IVZBANKNFEQ</v>
      </c>
      <c r="B2653" s="34">
        <v>46273</v>
      </c>
      <c r="C2653" s="34">
        <v>46273</v>
      </c>
      <c r="D2653" t="s">
        <v>35</v>
      </c>
      <c r="E2653" t="s">
        <v>36</v>
      </c>
      <c r="F2653" t="s">
        <v>37</v>
      </c>
      <c r="G2653">
        <v>765330</v>
      </c>
      <c r="H2653" t="s">
        <v>8016</v>
      </c>
      <c r="I2653" t="s">
        <v>8017</v>
      </c>
      <c r="J2653" t="s">
        <v>161</v>
      </c>
      <c r="O2653" t="s">
        <v>8018</v>
      </c>
      <c r="P2653">
        <v>56.77</v>
      </c>
      <c r="Q2653">
        <v>56.95</v>
      </c>
      <c r="R2653">
        <v>56.7</v>
      </c>
      <c r="S2653">
        <v>56.8</v>
      </c>
      <c r="T2653">
        <v>56.8</v>
      </c>
      <c r="U2653">
        <v>57.05</v>
      </c>
      <c r="W2653">
        <v>56.8</v>
      </c>
      <c r="Z2653">
        <v>1774</v>
      </c>
      <c r="AA2653">
        <v>100723.6</v>
      </c>
      <c r="AB2653">
        <v>23</v>
      </c>
      <c r="AC2653" t="s">
        <v>42</v>
      </c>
      <c r="AD2653">
        <v>1</v>
      </c>
    </row>
    <row r="2654" spans="1:30">
      <c r="A2654" t="str">
        <f>CONCATENATE(I2654,J2654)</f>
        <v>IVZSENSEXEQ</v>
      </c>
      <c r="B2654" s="34">
        <v>46273</v>
      </c>
      <c r="C2654" s="34">
        <v>46273</v>
      </c>
      <c r="D2654" t="s">
        <v>35</v>
      </c>
      <c r="E2654" t="s">
        <v>36</v>
      </c>
      <c r="F2654" t="s">
        <v>37</v>
      </c>
      <c r="G2654">
        <v>765327</v>
      </c>
      <c r="H2654" t="s">
        <v>8019</v>
      </c>
      <c r="I2654" t="s">
        <v>8020</v>
      </c>
      <c r="J2654" t="s">
        <v>161</v>
      </c>
      <c r="O2654" t="s">
        <v>8021</v>
      </c>
      <c r="P2654">
        <v>75.900000000000006</v>
      </c>
      <c r="Q2654">
        <v>76.069999999999993</v>
      </c>
      <c r="R2654">
        <v>75.56</v>
      </c>
      <c r="S2654">
        <v>75.81</v>
      </c>
      <c r="T2654">
        <v>75.81</v>
      </c>
      <c r="U2654">
        <v>76.28</v>
      </c>
      <c r="W2654">
        <v>75.81</v>
      </c>
      <c r="Z2654">
        <v>1324</v>
      </c>
      <c r="AA2654">
        <v>100135.83</v>
      </c>
      <c r="AB2654">
        <v>27</v>
      </c>
      <c r="AC2654" t="s">
        <v>42</v>
      </c>
      <c r="AD2654">
        <v>1</v>
      </c>
    </row>
    <row r="2655" spans="1:30">
      <c r="A2655" t="str">
        <f>CONCATENATE(I2655,J2655)</f>
        <v>RELIGAREEQ</v>
      </c>
      <c r="B2655" s="34">
        <v>46273</v>
      </c>
      <c r="C2655" s="34">
        <v>46273</v>
      </c>
      <c r="D2655" t="s">
        <v>35</v>
      </c>
      <c r="E2655" t="s">
        <v>36</v>
      </c>
      <c r="F2655" t="s">
        <v>37</v>
      </c>
      <c r="G2655">
        <v>15068</v>
      </c>
      <c r="H2655" t="s">
        <v>8022</v>
      </c>
      <c r="I2655" t="s">
        <v>8023</v>
      </c>
      <c r="J2655" t="s">
        <v>161</v>
      </c>
      <c r="O2655" t="s">
        <v>8024</v>
      </c>
      <c r="P2655">
        <v>253.51</v>
      </c>
      <c r="Q2655">
        <v>256.54000000000002</v>
      </c>
      <c r="R2655">
        <v>252.4</v>
      </c>
      <c r="S2655">
        <v>254.61</v>
      </c>
      <c r="T2655">
        <v>255.04</v>
      </c>
      <c r="U2655">
        <v>255.45</v>
      </c>
      <c r="W2655">
        <v>254.61</v>
      </c>
      <c r="Z2655">
        <v>439324</v>
      </c>
      <c r="AA2655">
        <v>111712037.98999999</v>
      </c>
      <c r="AB2655">
        <v>14300</v>
      </c>
      <c r="AC2655" t="s">
        <v>42</v>
      </c>
      <c r="AD2655">
        <v>1</v>
      </c>
    </row>
    <row r="2656" spans="1:30">
      <c r="A2656" t="str">
        <f>CONCATENATE(I2656,J2656)</f>
        <v>REMSONSINDEQ</v>
      </c>
      <c r="B2656" s="34">
        <v>46273</v>
      </c>
      <c r="C2656" s="34">
        <v>46273</v>
      </c>
      <c r="D2656" t="s">
        <v>35</v>
      </c>
      <c r="E2656" t="s">
        <v>36</v>
      </c>
      <c r="F2656" t="s">
        <v>37</v>
      </c>
      <c r="G2656">
        <v>3965</v>
      </c>
      <c r="H2656" t="s">
        <v>8025</v>
      </c>
      <c r="I2656" t="s">
        <v>8026</v>
      </c>
      <c r="J2656" t="s">
        <v>161</v>
      </c>
      <c r="O2656" t="s">
        <v>8027</v>
      </c>
      <c r="P2656">
        <v>98.68</v>
      </c>
      <c r="Q2656">
        <v>102</v>
      </c>
      <c r="R2656">
        <v>96.25</v>
      </c>
      <c r="S2656">
        <v>97.26</v>
      </c>
      <c r="T2656">
        <v>97.22</v>
      </c>
      <c r="U2656">
        <v>97.86</v>
      </c>
      <c r="W2656">
        <v>97.24</v>
      </c>
      <c r="Z2656">
        <v>115898</v>
      </c>
      <c r="AA2656">
        <v>11457877.43</v>
      </c>
      <c r="AB2656">
        <v>3053</v>
      </c>
      <c r="AC2656" t="s">
        <v>42</v>
      </c>
      <c r="AD2656">
        <v>1</v>
      </c>
    </row>
    <row r="2657" spans="1:30">
      <c r="A2657" t="str">
        <f>CONCATENATE(I2657,J2657)</f>
        <v>REMUSSM</v>
      </c>
      <c r="B2657" s="34">
        <v>46273</v>
      </c>
      <c r="C2657" s="34">
        <v>46273</v>
      </c>
      <c r="D2657" t="s">
        <v>35</v>
      </c>
      <c r="E2657" t="s">
        <v>36</v>
      </c>
      <c r="F2657" t="s">
        <v>37</v>
      </c>
      <c r="G2657">
        <v>16154</v>
      </c>
      <c r="H2657" t="s">
        <v>8028</v>
      </c>
      <c r="I2657" t="s">
        <v>8029</v>
      </c>
      <c r="J2657" t="s">
        <v>267</v>
      </c>
      <c r="O2657" t="s">
        <v>8030</v>
      </c>
      <c r="P2657">
        <v>896.35</v>
      </c>
      <c r="Q2657">
        <v>916.6</v>
      </c>
      <c r="R2657">
        <v>884.85</v>
      </c>
      <c r="S2657">
        <v>912.75</v>
      </c>
      <c r="T2657">
        <v>909</v>
      </c>
      <c r="U2657">
        <v>878.75</v>
      </c>
      <c r="W2657">
        <v>912.75</v>
      </c>
      <c r="Z2657">
        <v>9500</v>
      </c>
      <c r="AA2657">
        <v>8585605</v>
      </c>
      <c r="AB2657">
        <v>55</v>
      </c>
      <c r="AC2657" t="s">
        <v>42</v>
      </c>
      <c r="AD2657">
        <v>100</v>
      </c>
    </row>
    <row r="2658" spans="1:30">
      <c r="A2658" t="str">
        <f>CONCATENATE(I2658,J2658)</f>
        <v>RGLEQ</v>
      </c>
      <c r="B2658" s="34">
        <v>46273</v>
      </c>
      <c r="C2658" s="34">
        <v>46273</v>
      </c>
      <c r="D2658" t="s">
        <v>35</v>
      </c>
      <c r="E2658" t="s">
        <v>36</v>
      </c>
      <c r="F2658" t="s">
        <v>37</v>
      </c>
      <c r="G2658">
        <v>15129</v>
      </c>
      <c r="H2658" t="s">
        <v>8031</v>
      </c>
      <c r="I2658" t="s">
        <v>8032</v>
      </c>
      <c r="J2658" t="s">
        <v>161</v>
      </c>
      <c r="O2658" t="s">
        <v>8033</v>
      </c>
      <c r="P2658">
        <v>151.61000000000001</v>
      </c>
      <c r="Q2658">
        <v>153.09</v>
      </c>
      <c r="R2658">
        <v>146.1</v>
      </c>
      <c r="S2658">
        <v>150</v>
      </c>
      <c r="T2658">
        <v>149.5</v>
      </c>
      <c r="U2658">
        <v>153.1</v>
      </c>
      <c r="W2658">
        <v>149.99</v>
      </c>
      <c r="Z2658">
        <v>854180</v>
      </c>
      <c r="AA2658">
        <v>127089666.06</v>
      </c>
      <c r="AB2658">
        <v>9851</v>
      </c>
      <c r="AC2658" t="s">
        <v>42</v>
      </c>
      <c r="AD2658">
        <v>1</v>
      </c>
    </row>
    <row r="2659" spans="1:30">
      <c r="A2659" t="str">
        <f>CONCATENATE(I2659,J2659)</f>
        <v>RNPLSM</v>
      </c>
      <c r="B2659" s="34">
        <v>46273</v>
      </c>
      <c r="C2659" s="34">
        <v>46273</v>
      </c>
      <c r="D2659" t="s">
        <v>35</v>
      </c>
      <c r="E2659" t="s">
        <v>36</v>
      </c>
      <c r="F2659" t="s">
        <v>37</v>
      </c>
      <c r="G2659">
        <v>758157</v>
      </c>
      <c r="H2659" t="s">
        <v>8034</v>
      </c>
      <c r="I2659" t="s">
        <v>8035</v>
      </c>
      <c r="J2659" t="s">
        <v>267</v>
      </c>
      <c r="O2659" t="s">
        <v>8036</v>
      </c>
      <c r="P2659">
        <v>75.900000000000006</v>
      </c>
      <c r="Q2659">
        <v>75.900000000000006</v>
      </c>
      <c r="R2659">
        <v>72.099999999999994</v>
      </c>
      <c r="S2659">
        <v>72.099999999999994</v>
      </c>
      <c r="T2659">
        <v>72.099999999999994</v>
      </c>
      <c r="U2659">
        <v>75.05</v>
      </c>
      <c r="W2659">
        <v>72.099999999999994</v>
      </c>
      <c r="Z2659">
        <v>3600</v>
      </c>
      <c r="AA2659">
        <v>268680</v>
      </c>
      <c r="AB2659">
        <v>2</v>
      </c>
      <c r="AC2659" t="s">
        <v>42</v>
      </c>
      <c r="AD2659">
        <v>1200</v>
      </c>
    </row>
    <row r="2660" spans="1:30">
      <c r="A2660" t="str">
        <f>CONCATENATE(I2660,J2660)</f>
        <v>REPCOHOMEEQ</v>
      </c>
      <c r="B2660" s="34">
        <v>46273</v>
      </c>
      <c r="C2660" s="34">
        <v>46273</v>
      </c>
      <c r="D2660" t="s">
        <v>35</v>
      </c>
      <c r="E2660" t="s">
        <v>36</v>
      </c>
      <c r="F2660" t="s">
        <v>37</v>
      </c>
      <c r="G2660">
        <v>29598</v>
      </c>
      <c r="H2660" t="s">
        <v>8037</v>
      </c>
      <c r="I2660" t="s">
        <v>8038</v>
      </c>
      <c r="J2660" t="s">
        <v>161</v>
      </c>
      <c r="O2660" t="s">
        <v>8039</v>
      </c>
      <c r="P2660">
        <v>356.8</v>
      </c>
      <c r="Q2660">
        <v>365.95</v>
      </c>
      <c r="R2660">
        <v>356.8</v>
      </c>
      <c r="S2660">
        <v>361.35</v>
      </c>
      <c r="T2660">
        <v>360.95</v>
      </c>
      <c r="U2660">
        <v>358.75</v>
      </c>
      <c r="W2660">
        <v>361.35</v>
      </c>
      <c r="Z2660">
        <v>64962</v>
      </c>
      <c r="AA2660">
        <v>23469792.25</v>
      </c>
      <c r="AB2660">
        <v>1978</v>
      </c>
      <c r="AC2660" t="s">
        <v>42</v>
      </c>
      <c r="AD2660">
        <v>1</v>
      </c>
    </row>
    <row r="2661" spans="1:30">
      <c r="A2661" t="str">
        <f>CONCATENATE(I2661,J2661)</f>
        <v>REPROEQ</v>
      </c>
      <c r="B2661" s="34">
        <v>46273</v>
      </c>
      <c r="C2661" s="34">
        <v>46273</v>
      </c>
      <c r="D2661" t="s">
        <v>35</v>
      </c>
      <c r="E2661" t="s">
        <v>36</v>
      </c>
      <c r="F2661" t="s">
        <v>37</v>
      </c>
      <c r="G2661">
        <v>13126</v>
      </c>
      <c r="H2661" t="s">
        <v>8040</v>
      </c>
      <c r="I2661" t="s">
        <v>8041</v>
      </c>
      <c r="J2661" t="s">
        <v>161</v>
      </c>
      <c r="O2661" t="s">
        <v>8042</v>
      </c>
      <c r="P2661">
        <v>325.10000000000002</v>
      </c>
      <c r="Q2661">
        <v>326.3</v>
      </c>
      <c r="R2661">
        <v>318</v>
      </c>
      <c r="S2661">
        <v>319.39999999999998</v>
      </c>
      <c r="T2661">
        <v>319.3</v>
      </c>
      <c r="U2661">
        <v>324.25</v>
      </c>
      <c r="W2661">
        <v>319.39999999999998</v>
      </c>
      <c r="Z2661">
        <v>4269</v>
      </c>
      <c r="AA2661">
        <v>1370441.15</v>
      </c>
      <c r="AB2661">
        <v>221</v>
      </c>
      <c r="AC2661" t="s">
        <v>42</v>
      </c>
      <c r="AD2661">
        <v>1</v>
      </c>
    </row>
    <row r="2662" spans="1:30">
      <c r="A2662" t="str">
        <f>CONCATENATE(I2662,J2662)</f>
        <v>RESPONINDEQ</v>
      </c>
      <c r="B2662" s="34">
        <v>46273</v>
      </c>
      <c r="C2662" s="34">
        <v>46273</v>
      </c>
      <c r="D2662" t="s">
        <v>35</v>
      </c>
      <c r="E2662" t="s">
        <v>36</v>
      </c>
      <c r="F2662" t="s">
        <v>37</v>
      </c>
      <c r="G2662">
        <v>20323</v>
      </c>
      <c r="H2662" t="s">
        <v>8043</v>
      </c>
      <c r="I2662" t="s">
        <v>8044</v>
      </c>
      <c r="J2662" t="s">
        <v>161</v>
      </c>
      <c r="O2662" t="s">
        <v>8045</v>
      </c>
      <c r="P2662">
        <v>147</v>
      </c>
      <c r="Q2662">
        <v>149.44999999999999</v>
      </c>
      <c r="R2662">
        <v>142.97999999999999</v>
      </c>
      <c r="S2662">
        <v>148.22999999999999</v>
      </c>
      <c r="T2662">
        <v>148.19999999999999</v>
      </c>
      <c r="U2662">
        <v>148.15</v>
      </c>
      <c r="W2662">
        <v>148.22</v>
      </c>
      <c r="Z2662">
        <v>474819</v>
      </c>
      <c r="AA2662">
        <v>69551431.870000005</v>
      </c>
      <c r="AB2662">
        <v>6323</v>
      </c>
      <c r="AC2662" t="s">
        <v>42</v>
      </c>
      <c r="AD2662">
        <v>1</v>
      </c>
    </row>
    <row r="2663" spans="1:30">
      <c r="A2663" t="str">
        <f>CONCATENATE(I2663,J2663)</f>
        <v>RBAEQ</v>
      </c>
      <c r="B2663" s="34">
        <v>46273</v>
      </c>
      <c r="C2663" s="34">
        <v>46273</v>
      </c>
      <c r="D2663" t="s">
        <v>35</v>
      </c>
      <c r="E2663" t="s">
        <v>36</v>
      </c>
      <c r="F2663" t="s">
        <v>37</v>
      </c>
      <c r="G2663">
        <v>1494</v>
      </c>
      <c r="H2663" t="s">
        <v>8046</v>
      </c>
      <c r="I2663" t="s">
        <v>8047</v>
      </c>
      <c r="J2663" t="s">
        <v>161</v>
      </c>
      <c r="O2663" t="s">
        <v>8048</v>
      </c>
      <c r="P2663">
        <v>96.41</v>
      </c>
      <c r="Q2663">
        <v>96.83</v>
      </c>
      <c r="R2663">
        <v>95.01</v>
      </c>
      <c r="S2663">
        <v>95.54</v>
      </c>
      <c r="T2663">
        <v>95.7</v>
      </c>
      <c r="U2663">
        <v>96.41</v>
      </c>
      <c r="W2663">
        <v>95.54</v>
      </c>
      <c r="Z2663">
        <v>2625931</v>
      </c>
      <c r="AA2663">
        <v>251273783.65000001</v>
      </c>
      <c r="AB2663">
        <v>18402</v>
      </c>
      <c r="AC2663" t="s">
        <v>42</v>
      </c>
      <c r="AD2663">
        <v>1</v>
      </c>
    </row>
    <row r="2664" spans="1:30">
      <c r="A2664" t="str">
        <f>CONCATENATE(I2664,J2664)</f>
        <v>RVTHEQ</v>
      </c>
      <c r="B2664" s="34">
        <v>46273</v>
      </c>
      <c r="C2664" s="34">
        <v>46273</v>
      </c>
      <c r="D2664" t="s">
        <v>35</v>
      </c>
      <c r="E2664" t="s">
        <v>36</v>
      </c>
      <c r="F2664" t="s">
        <v>37</v>
      </c>
      <c r="G2664">
        <v>25157</v>
      </c>
      <c r="H2664" t="s">
        <v>8049</v>
      </c>
      <c r="I2664" t="s">
        <v>8050</v>
      </c>
      <c r="J2664" t="s">
        <v>161</v>
      </c>
      <c r="O2664" t="s">
        <v>8051</v>
      </c>
      <c r="P2664">
        <v>713.95</v>
      </c>
      <c r="Q2664">
        <v>779</v>
      </c>
      <c r="R2664">
        <v>713</v>
      </c>
      <c r="S2664">
        <v>752.45</v>
      </c>
      <c r="T2664">
        <v>758</v>
      </c>
      <c r="U2664">
        <v>717.5</v>
      </c>
      <c r="W2664">
        <v>752.31</v>
      </c>
      <c r="Z2664">
        <v>5687</v>
      </c>
      <c r="AA2664">
        <v>4248299.05</v>
      </c>
      <c r="AB2664">
        <v>238</v>
      </c>
      <c r="AC2664" t="s">
        <v>42</v>
      </c>
      <c r="AD2664">
        <v>1</v>
      </c>
    </row>
    <row r="2665" spans="1:30">
      <c r="A2665" t="str">
        <f>CONCATENATE(I2665,J2665)</f>
        <v>REXPROSM</v>
      </c>
      <c r="B2665" s="34">
        <v>46273</v>
      </c>
      <c r="C2665" s="34">
        <v>46273</v>
      </c>
      <c r="D2665" t="s">
        <v>35</v>
      </c>
      <c r="E2665" t="s">
        <v>36</v>
      </c>
      <c r="F2665" t="s">
        <v>37</v>
      </c>
      <c r="G2665">
        <v>29270</v>
      </c>
      <c r="H2665" t="s">
        <v>8052</v>
      </c>
      <c r="I2665" t="s">
        <v>8053</v>
      </c>
      <c r="J2665" t="s">
        <v>267</v>
      </c>
      <c r="O2665" t="s">
        <v>8054</v>
      </c>
      <c r="P2665">
        <v>38.9</v>
      </c>
      <c r="Q2665">
        <v>38.9</v>
      </c>
      <c r="R2665">
        <v>37.450000000000003</v>
      </c>
      <c r="S2665">
        <v>37.450000000000003</v>
      </c>
      <c r="T2665">
        <v>37.450000000000003</v>
      </c>
      <c r="U2665">
        <v>37.450000000000003</v>
      </c>
      <c r="W2665">
        <v>37.450000000000003</v>
      </c>
      <c r="Z2665">
        <v>6000</v>
      </c>
      <c r="AA2665">
        <v>227050</v>
      </c>
      <c r="AB2665">
        <v>6</v>
      </c>
      <c r="AC2665" t="s">
        <v>42</v>
      </c>
      <c r="AD2665">
        <v>1000</v>
      </c>
    </row>
    <row r="2666" spans="1:30">
      <c r="A2666" t="str">
        <f>CONCATENATE(I2666,J2666)</f>
        <v>RFBLST</v>
      </c>
      <c r="B2666" s="34">
        <v>46273</v>
      </c>
      <c r="C2666" s="34">
        <v>46273</v>
      </c>
      <c r="D2666" t="s">
        <v>35</v>
      </c>
      <c r="E2666" t="s">
        <v>36</v>
      </c>
      <c r="F2666" t="s">
        <v>37</v>
      </c>
      <c r="G2666">
        <v>763468</v>
      </c>
      <c r="H2666" t="s">
        <v>8055</v>
      </c>
      <c r="I2666" t="s">
        <v>8056</v>
      </c>
      <c r="J2666" t="s">
        <v>328</v>
      </c>
      <c r="O2666" t="s">
        <v>8057</v>
      </c>
      <c r="P2666">
        <v>84.45</v>
      </c>
      <c r="Q2666">
        <v>87</v>
      </c>
      <c r="R2666">
        <v>84.45</v>
      </c>
      <c r="S2666">
        <v>87</v>
      </c>
      <c r="T2666">
        <v>87</v>
      </c>
      <c r="U2666">
        <v>88.85</v>
      </c>
      <c r="W2666">
        <v>87</v>
      </c>
      <c r="Z2666">
        <v>72000</v>
      </c>
      <c r="AA2666">
        <v>6184800</v>
      </c>
      <c r="AB2666">
        <v>6</v>
      </c>
      <c r="AC2666" t="s">
        <v>42</v>
      </c>
      <c r="AD2666">
        <v>3000</v>
      </c>
    </row>
    <row r="2667" spans="1:30">
      <c r="A2667" t="str">
        <f>CONCATENATE(I2667,J2667)</f>
        <v>RHETANEQ</v>
      </c>
      <c r="B2667" s="34">
        <v>46273</v>
      </c>
      <c r="C2667" s="34">
        <v>46273</v>
      </c>
      <c r="D2667" t="s">
        <v>35</v>
      </c>
      <c r="E2667" t="s">
        <v>36</v>
      </c>
      <c r="F2667" t="s">
        <v>37</v>
      </c>
      <c r="G2667">
        <v>759062</v>
      </c>
      <c r="H2667" t="s">
        <v>8058</v>
      </c>
      <c r="I2667" t="s">
        <v>8059</v>
      </c>
      <c r="J2667" t="s">
        <v>161</v>
      </c>
      <c r="O2667" t="s">
        <v>8060</v>
      </c>
      <c r="P2667">
        <v>28.01</v>
      </c>
      <c r="Q2667">
        <v>28.01</v>
      </c>
      <c r="R2667">
        <v>28</v>
      </c>
      <c r="S2667">
        <v>28</v>
      </c>
      <c r="T2667">
        <v>28.01</v>
      </c>
      <c r="U2667">
        <v>26.68</v>
      </c>
      <c r="W2667">
        <v>28</v>
      </c>
      <c r="Z2667">
        <v>9758911</v>
      </c>
      <c r="AA2667">
        <v>273327884.30000001</v>
      </c>
      <c r="AB2667">
        <v>5544</v>
      </c>
      <c r="AC2667" t="s">
        <v>42</v>
      </c>
      <c r="AD2667">
        <v>1</v>
      </c>
    </row>
    <row r="2668" spans="1:30">
      <c r="A2668" t="str">
        <f>CONCATENATE(I2668,J2668)</f>
        <v>RHIMEQ</v>
      </c>
      <c r="B2668" s="34">
        <v>46273</v>
      </c>
      <c r="C2668" s="34">
        <v>46273</v>
      </c>
      <c r="D2668" t="s">
        <v>35</v>
      </c>
      <c r="E2668" t="s">
        <v>36</v>
      </c>
      <c r="F2668" t="s">
        <v>37</v>
      </c>
      <c r="G2668">
        <v>31163</v>
      </c>
      <c r="H2668" t="s">
        <v>8061</v>
      </c>
      <c r="I2668" t="s">
        <v>8062</v>
      </c>
      <c r="J2668" t="s">
        <v>161</v>
      </c>
      <c r="O2668" t="s">
        <v>8063</v>
      </c>
      <c r="P2668">
        <v>372</v>
      </c>
      <c r="Q2668">
        <v>373.5</v>
      </c>
      <c r="R2668">
        <v>369.25</v>
      </c>
      <c r="S2668">
        <v>371.7</v>
      </c>
      <c r="T2668">
        <v>371.9</v>
      </c>
      <c r="U2668">
        <v>373.8</v>
      </c>
      <c r="W2668">
        <v>371.71</v>
      </c>
      <c r="Z2668">
        <v>98879</v>
      </c>
      <c r="AA2668">
        <v>36742720.700000003</v>
      </c>
      <c r="AB2668">
        <v>4077</v>
      </c>
      <c r="AC2668" t="s">
        <v>42</v>
      </c>
      <c r="AD2668">
        <v>1</v>
      </c>
    </row>
    <row r="2669" spans="1:30">
      <c r="A2669" t="str">
        <f>CONCATENATE(I2669,J2669)</f>
        <v>RICHAST</v>
      </c>
      <c r="B2669" s="34">
        <v>46273</v>
      </c>
      <c r="C2669" s="34">
        <v>46273</v>
      </c>
      <c r="D2669" t="s">
        <v>35</v>
      </c>
      <c r="E2669" t="s">
        <v>36</v>
      </c>
      <c r="F2669" t="s">
        <v>37</v>
      </c>
      <c r="G2669">
        <v>8212</v>
      </c>
      <c r="H2669" t="s">
        <v>8064</v>
      </c>
      <c r="I2669" t="s">
        <v>8065</v>
      </c>
      <c r="J2669" t="s">
        <v>328</v>
      </c>
      <c r="O2669" t="s">
        <v>8066</v>
      </c>
      <c r="P2669">
        <v>77.400000000000006</v>
      </c>
      <c r="Q2669">
        <v>77.400000000000006</v>
      </c>
      <c r="R2669">
        <v>71</v>
      </c>
      <c r="S2669">
        <v>71</v>
      </c>
      <c r="T2669">
        <v>71</v>
      </c>
      <c r="U2669">
        <v>74.400000000000006</v>
      </c>
      <c r="W2669">
        <v>71</v>
      </c>
      <c r="Z2669">
        <v>2000</v>
      </c>
      <c r="AA2669">
        <v>148400</v>
      </c>
      <c r="AB2669">
        <v>2</v>
      </c>
      <c r="AC2669" t="s">
        <v>42</v>
      </c>
      <c r="AD2669">
        <v>1000</v>
      </c>
    </row>
    <row r="2670" spans="1:30">
      <c r="A2670" t="str">
        <f>CONCATENATE(I2670,J2670)</f>
        <v>RICOAUTOEQ</v>
      </c>
      <c r="B2670" s="34">
        <v>46273</v>
      </c>
      <c r="C2670" s="34">
        <v>46273</v>
      </c>
      <c r="D2670" t="s">
        <v>35</v>
      </c>
      <c r="E2670" t="s">
        <v>36</v>
      </c>
      <c r="F2670" t="s">
        <v>37</v>
      </c>
      <c r="G2670">
        <v>2909</v>
      </c>
      <c r="H2670" t="s">
        <v>8067</v>
      </c>
      <c r="I2670" t="s">
        <v>8068</v>
      </c>
      <c r="J2670" t="s">
        <v>161</v>
      </c>
      <c r="O2670" t="s">
        <v>8069</v>
      </c>
      <c r="P2670">
        <v>135.6</v>
      </c>
      <c r="Q2670">
        <v>136.25</v>
      </c>
      <c r="R2670">
        <v>131.28</v>
      </c>
      <c r="S2670">
        <v>132.38</v>
      </c>
      <c r="T2670">
        <v>132.30000000000001</v>
      </c>
      <c r="U2670">
        <v>135.47</v>
      </c>
      <c r="W2670">
        <v>132.38</v>
      </c>
      <c r="Z2670">
        <v>670884</v>
      </c>
      <c r="AA2670">
        <v>88953952.170000002</v>
      </c>
      <c r="AB2670">
        <v>7019</v>
      </c>
      <c r="AC2670" t="s">
        <v>42</v>
      </c>
      <c r="AD2670">
        <v>1</v>
      </c>
    </row>
    <row r="2671" spans="1:30">
      <c r="A2671" t="str">
        <f>CONCATENATE(I2671,J2671)</f>
        <v>RIREQ</v>
      </c>
      <c r="B2671" s="34">
        <v>46273</v>
      </c>
      <c r="C2671" s="34">
        <v>46273</v>
      </c>
      <c r="D2671" t="s">
        <v>35</v>
      </c>
      <c r="E2671" t="s">
        <v>36</v>
      </c>
      <c r="F2671" t="s">
        <v>37</v>
      </c>
      <c r="G2671">
        <v>764121</v>
      </c>
      <c r="H2671" t="s">
        <v>8070</v>
      </c>
      <c r="I2671" t="s">
        <v>8071</v>
      </c>
      <c r="J2671" t="s">
        <v>161</v>
      </c>
      <c r="O2671" t="s">
        <v>8072</v>
      </c>
      <c r="P2671">
        <v>191.16</v>
      </c>
      <c r="Q2671">
        <v>193.01</v>
      </c>
      <c r="R2671">
        <v>179.07</v>
      </c>
      <c r="S2671">
        <v>183.84</v>
      </c>
      <c r="T2671">
        <v>183</v>
      </c>
      <c r="U2671">
        <v>191.95</v>
      </c>
      <c r="W2671">
        <v>183.84</v>
      </c>
      <c r="Z2671">
        <v>1449221</v>
      </c>
      <c r="AA2671">
        <v>268146116.78</v>
      </c>
      <c r="AB2671">
        <v>21939</v>
      </c>
      <c r="AC2671" t="s">
        <v>42</v>
      </c>
      <c r="AD2671">
        <v>1</v>
      </c>
    </row>
    <row r="2672" spans="1:30">
      <c r="A2672" t="str">
        <f>CONCATENATE(I2672,J2672)</f>
        <v>RISHABHEQ</v>
      </c>
      <c r="B2672" s="34">
        <v>46273</v>
      </c>
      <c r="C2672" s="34">
        <v>46273</v>
      </c>
      <c r="D2672" t="s">
        <v>35</v>
      </c>
      <c r="E2672" t="s">
        <v>36</v>
      </c>
      <c r="F2672" t="s">
        <v>37</v>
      </c>
      <c r="G2672">
        <v>18417</v>
      </c>
      <c r="H2672" t="s">
        <v>8073</v>
      </c>
      <c r="I2672" t="s">
        <v>8074</v>
      </c>
      <c r="J2672" t="s">
        <v>161</v>
      </c>
      <c r="O2672" t="s">
        <v>8075</v>
      </c>
      <c r="P2672">
        <v>803.9</v>
      </c>
      <c r="Q2672">
        <v>822.8</v>
      </c>
      <c r="R2672">
        <v>800.05</v>
      </c>
      <c r="S2672">
        <v>808.3</v>
      </c>
      <c r="T2672">
        <v>810</v>
      </c>
      <c r="U2672">
        <v>809.95</v>
      </c>
      <c r="W2672">
        <v>808.29</v>
      </c>
      <c r="Z2672">
        <v>227115</v>
      </c>
      <c r="AA2672">
        <v>184659210.55000001</v>
      </c>
      <c r="AB2672">
        <v>11429</v>
      </c>
      <c r="AC2672" t="s">
        <v>42</v>
      </c>
      <c r="AD2672">
        <v>1</v>
      </c>
    </row>
    <row r="2673" spans="1:30">
      <c r="A2673" t="str">
        <f>CONCATENATE(I2673,J2673)</f>
        <v>RITCOEQ</v>
      </c>
      <c r="B2673" s="34">
        <v>46273</v>
      </c>
      <c r="C2673" s="34">
        <v>46273</v>
      </c>
      <c r="D2673" t="s">
        <v>35</v>
      </c>
      <c r="E2673" t="s">
        <v>36</v>
      </c>
      <c r="F2673" t="s">
        <v>37</v>
      </c>
      <c r="G2673">
        <v>8944</v>
      </c>
      <c r="H2673" t="s">
        <v>8076</v>
      </c>
      <c r="I2673" t="s">
        <v>8077</v>
      </c>
      <c r="J2673" t="s">
        <v>161</v>
      </c>
      <c r="O2673" t="s">
        <v>8078</v>
      </c>
      <c r="P2673">
        <v>319.8</v>
      </c>
      <c r="Q2673">
        <v>328.15</v>
      </c>
      <c r="R2673">
        <v>315.39999999999998</v>
      </c>
      <c r="S2673">
        <v>318.45</v>
      </c>
      <c r="T2673">
        <v>318.05</v>
      </c>
      <c r="U2673">
        <v>319.8</v>
      </c>
      <c r="W2673">
        <v>318.5</v>
      </c>
      <c r="Z2673">
        <v>121488</v>
      </c>
      <c r="AA2673">
        <v>39244254.600000001</v>
      </c>
      <c r="AB2673">
        <v>3031</v>
      </c>
      <c r="AC2673" t="s">
        <v>42</v>
      </c>
      <c r="AD2673">
        <v>1</v>
      </c>
    </row>
    <row r="2674" spans="1:30">
      <c r="A2674" t="str">
        <f>CONCATENATE(I2674,J2674)</f>
        <v>RITEZONESM</v>
      </c>
      <c r="B2674" s="34">
        <v>46273</v>
      </c>
      <c r="C2674" s="34">
        <v>46273</v>
      </c>
      <c r="D2674" t="s">
        <v>35</v>
      </c>
      <c r="E2674" t="s">
        <v>36</v>
      </c>
      <c r="F2674" t="s">
        <v>37</v>
      </c>
      <c r="G2674">
        <v>11910</v>
      </c>
      <c r="H2674" t="s">
        <v>8079</v>
      </c>
      <c r="I2674" t="s">
        <v>8080</v>
      </c>
      <c r="J2674" t="s">
        <v>267</v>
      </c>
      <c r="O2674" t="s">
        <v>8081</v>
      </c>
      <c r="P2674">
        <v>22.5</v>
      </c>
      <c r="Q2674">
        <v>22.5</v>
      </c>
      <c r="R2674">
        <v>20.45</v>
      </c>
      <c r="S2674">
        <v>22.5</v>
      </c>
      <c r="T2674">
        <v>22.5</v>
      </c>
      <c r="U2674">
        <v>21.5</v>
      </c>
      <c r="W2674">
        <v>22.5</v>
      </c>
      <c r="Z2674">
        <v>16000</v>
      </c>
      <c r="AA2674">
        <v>352480</v>
      </c>
      <c r="AB2674">
        <v>6</v>
      </c>
      <c r="AC2674" t="s">
        <v>42</v>
      </c>
      <c r="AD2674">
        <v>1600</v>
      </c>
    </row>
    <row r="2675" spans="1:30">
      <c r="A2675" t="str">
        <f>CONCATENATE(I2675,J2675)</f>
        <v>RITESEQ</v>
      </c>
      <c r="B2675" s="34">
        <v>46273</v>
      </c>
      <c r="C2675" s="34">
        <v>46273</v>
      </c>
      <c r="D2675" t="s">
        <v>35</v>
      </c>
      <c r="E2675" t="s">
        <v>36</v>
      </c>
      <c r="F2675" t="s">
        <v>37</v>
      </c>
      <c r="G2675">
        <v>3761</v>
      </c>
      <c r="H2675" t="s">
        <v>8082</v>
      </c>
      <c r="I2675" t="s">
        <v>8083</v>
      </c>
      <c r="J2675" t="s">
        <v>161</v>
      </c>
      <c r="O2675" t="s">
        <v>8084</v>
      </c>
      <c r="P2675">
        <v>215</v>
      </c>
      <c r="Q2675">
        <v>215.8</v>
      </c>
      <c r="R2675">
        <v>212.75</v>
      </c>
      <c r="S2675">
        <v>212.97</v>
      </c>
      <c r="T2675">
        <v>213.14</v>
      </c>
      <c r="U2675">
        <v>215.8</v>
      </c>
      <c r="W2675">
        <v>212.97</v>
      </c>
      <c r="Z2675">
        <v>171667</v>
      </c>
      <c r="AA2675">
        <v>36682452.490000002</v>
      </c>
      <c r="AB2675">
        <v>6100</v>
      </c>
      <c r="AC2675" t="s">
        <v>42</v>
      </c>
      <c r="AD2675">
        <v>1</v>
      </c>
    </row>
    <row r="2676" spans="1:30">
      <c r="A2676" t="str">
        <f>CONCATENATE(I2676,J2676)</f>
        <v>RKECEQ</v>
      </c>
      <c r="B2676" s="34">
        <v>46273</v>
      </c>
      <c r="C2676" s="34">
        <v>46273</v>
      </c>
      <c r="D2676" t="s">
        <v>35</v>
      </c>
      <c r="E2676" t="s">
        <v>36</v>
      </c>
      <c r="F2676" t="s">
        <v>37</v>
      </c>
      <c r="G2676">
        <v>1547</v>
      </c>
      <c r="H2676" t="s">
        <v>8085</v>
      </c>
      <c r="I2676" t="s">
        <v>8086</v>
      </c>
      <c r="J2676" t="s">
        <v>161</v>
      </c>
      <c r="O2676" t="s">
        <v>8087</v>
      </c>
      <c r="P2676">
        <v>20.88</v>
      </c>
      <c r="Q2676">
        <v>20.88</v>
      </c>
      <c r="R2676">
        <v>19.55</v>
      </c>
      <c r="S2676">
        <v>20.45</v>
      </c>
      <c r="T2676">
        <v>19.96</v>
      </c>
      <c r="U2676">
        <v>20.3</v>
      </c>
      <c r="W2676">
        <v>20.45</v>
      </c>
      <c r="Z2676">
        <v>73451</v>
      </c>
      <c r="AA2676">
        <v>1490138.31</v>
      </c>
      <c r="AB2676">
        <v>597</v>
      </c>
      <c r="AC2676" t="s">
        <v>42</v>
      </c>
      <c r="AD2676">
        <v>1</v>
      </c>
    </row>
    <row r="2677" spans="1:30">
      <c r="A2677" t="str">
        <f>CONCATENATE(I2677,J2677)</f>
        <v>RMCEQ</v>
      </c>
      <c r="B2677" s="34">
        <v>46273</v>
      </c>
      <c r="C2677" s="34">
        <v>46273</v>
      </c>
      <c r="D2677" t="s">
        <v>35</v>
      </c>
      <c r="E2677" t="s">
        <v>36</v>
      </c>
      <c r="F2677" t="s">
        <v>37</v>
      </c>
      <c r="G2677">
        <v>762346</v>
      </c>
      <c r="H2677" t="s">
        <v>8088</v>
      </c>
      <c r="I2677" t="s">
        <v>8089</v>
      </c>
      <c r="J2677" t="s">
        <v>161</v>
      </c>
      <c r="O2677" t="s">
        <v>8090</v>
      </c>
      <c r="P2677">
        <v>233.55</v>
      </c>
      <c r="Q2677">
        <v>239.7</v>
      </c>
      <c r="R2677">
        <v>224.1</v>
      </c>
      <c r="S2677">
        <v>226.19</v>
      </c>
      <c r="T2677">
        <v>226.81</v>
      </c>
      <c r="U2677">
        <v>233.31</v>
      </c>
      <c r="W2677">
        <v>226.08</v>
      </c>
      <c r="Z2677">
        <v>94977</v>
      </c>
      <c r="AA2677">
        <v>21795554.390000001</v>
      </c>
      <c r="AB2677">
        <v>3234</v>
      </c>
      <c r="AC2677" t="s">
        <v>42</v>
      </c>
      <c r="AD2677">
        <v>1</v>
      </c>
    </row>
    <row r="2678" spans="1:30">
      <c r="A2678" t="str">
        <f>CONCATENATE(I2678,J2678)</f>
        <v>RNFISM</v>
      </c>
      <c r="B2678" s="34">
        <v>46273</v>
      </c>
      <c r="C2678" s="34">
        <v>46273</v>
      </c>
      <c r="D2678" t="s">
        <v>35</v>
      </c>
      <c r="E2678" t="s">
        <v>36</v>
      </c>
      <c r="F2678" t="s">
        <v>37</v>
      </c>
      <c r="G2678">
        <v>24589</v>
      </c>
      <c r="H2678" t="s">
        <v>8091</v>
      </c>
      <c r="I2678" t="s">
        <v>8092</v>
      </c>
      <c r="J2678" t="s">
        <v>267</v>
      </c>
      <c r="O2678" t="s">
        <v>8093</v>
      </c>
      <c r="P2678">
        <v>315</v>
      </c>
      <c r="Q2678">
        <v>324</v>
      </c>
      <c r="R2678">
        <v>315</v>
      </c>
      <c r="S2678">
        <v>322.55</v>
      </c>
      <c r="T2678">
        <v>320</v>
      </c>
      <c r="U2678">
        <v>317.14999999999998</v>
      </c>
      <c r="W2678">
        <v>322.55</v>
      </c>
      <c r="Z2678">
        <v>37200</v>
      </c>
      <c r="AA2678">
        <v>11938710</v>
      </c>
      <c r="AB2678">
        <v>56</v>
      </c>
      <c r="AC2678" t="s">
        <v>42</v>
      </c>
      <c r="AD2678">
        <v>600</v>
      </c>
    </row>
    <row r="2679" spans="1:30">
      <c r="A2679" t="str">
        <f>CONCATENATE(I2679,J2679)</f>
        <v>RHLEQ</v>
      </c>
      <c r="B2679" s="34">
        <v>46273</v>
      </c>
      <c r="C2679" s="34">
        <v>46273</v>
      </c>
      <c r="D2679" t="s">
        <v>35</v>
      </c>
      <c r="E2679" t="s">
        <v>36</v>
      </c>
      <c r="F2679" t="s">
        <v>37</v>
      </c>
      <c r="G2679">
        <v>15157</v>
      </c>
      <c r="H2679" t="s">
        <v>8094</v>
      </c>
      <c r="I2679" t="s">
        <v>8095</v>
      </c>
      <c r="J2679" t="s">
        <v>161</v>
      </c>
      <c r="O2679" t="s">
        <v>8096</v>
      </c>
      <c r="P2679">
        <v>166.16</v>
      </c>
      <c r="Q2679">
        <v>169.7</v>
      </c>
      <c r="R2679">
        <v>166</v>
      </c>
      <c r="S2679">
        <v>166.66</v>
      </c>
      <c r="T2679">
        <v>166.66</v>
      </c>
      <c r="U2679">
        <v>166.16</v>
      </c>
      <c r="W2679">
        <v>166.66</v>
      </c>
      <c r="Z2679">
        <v>116</v>
      </c>
      <c r="AA2679">
        <v>19515.05</v>
      </c>
      <c r="AB2679">
        <v>12</v>
      </c>
      <c r="AC2679" t="s">
        <v>42</v>
      </c>
      <c r="AD2679">
        <v>1</v>
      </c>
    </row>
    <row r="2680" spans="1:30">
      <c r="A2680" t="str">
        <f>CONCATENATE(I2680,J2680)</f>
        <v>ROCKINGDCESM</v>
      </c>
      <c r="B2680" s="34">
        <v>46273</v>
      </c>
      <c r="C2680" s="34">
        <v>46273</v>
      </c>
      <c r="D2680" t="s">
        <v>35</v>
      </c>
      <c r="E2680" t="s">
        <v>36</v>
      </c>
      <c r="F2680" t="s">
        <v>37</v>
      </c>
      <c r="G2680">
        <v>20289</v>
      </c>
      <c r="H2680" t="s">
        <v>8097</v>
      </c>
      <c r="I2680" t="s">
        <v>8098</v>
      </c>
      <c r="J2680" t="s">
        <v>267</v>
      </c>
      <c r="O2680" t="s">
        <v>8099</v>
      </c>
      <c r="P2680">
        <v>218.7</v>
      </c>
      <c r="Q2680">
        <v>224.85</v>
      </c>
      <c r="R2680">
        <v>209.95</v>
      </c>
      <c r="S2680">
        <v>218.4</v>
      </c>
      <c r="T2680">
        <v>222.75</v>
      </c>
      <c r="U2680">
        <v>229</v>
      </c>
      <c r="W2680">
        <v>218.4</v>
      </c>
      <c r="Z2680">
        <v>13250</v>
      </c>
      <c r="AA2680">
        <v>2846837.5</v>
      </c>
      <c r="AB2680">
        <v>45</v>
      </c>
      <c r="AC2680" t="s">
        <v>42</v>
      </c>
      <c r="AD2680">
        <v>250</v>
      </c>
    </row>
    <row r="2681" spans="1:30">
      <c r="A2681" t="str">
        <f>CONCATENATE(I2681,J2681)</f>
        <v>ROLEXRINGSEQ</v>
      </c>
      <c r="B2681" s="34">
        <v>46273</v>
      </c>
      <c r="C2681" s="34">
        <v>46273</v>
      </c>
      <c r="D2681" t="s">
        <v>35</v>
      </c>
      <c r="E2681" t="s">
        <v>36</v>
      </c>
      <c r="F2681" t="s">
        <v>37</v>
      </c>
      <c r="G2681">
        <v>5279</v>
      </c>
      <c r="H2681" t="s">
        <v>8100</v>
      </c>
      <c r="I2681" t="s">
        <v>8101</v>
      </c>
      <c r="J2681" t="s">
        <v>161</v>
      </c>
      <c r="O2681" t="s">
        <v>8102</v>
      </c>
      <c r="P2681">
        <v>177</v>
      </c>
      <c r="Q2681">
        <v>178</v>
      </c>
      <c r="R2681">
        <v>174.05</v>
      </c>
      <c r="S2681">
        <v>175.52</v>
      </c>
      <c r="T2681">
        <v>175</v>
      </c>
      <c r="U2681">
        <v>175.67</v>
      </c>
      <c r="W2681">
        <v>175.52</v>
      </c>
      <c r="Z2681">
        <v>831437</v>
      </c>
      <c r="AA2681">
        <v>146064830.28</v>
      </c>
      <c r="AB2681">
        <v>11492</v>
      </c>
      <c r="AC2681" t="s">
        <v>42</v>
      </c>
      <c r="AD2681">
        <v>1</v>
      </c>
    </row>
    <row r="2682" spans="1:30">
      <c r="A2682" t="str">
        <f>CONCATENATE(I2682,J2682)</f>
        <v>ROLLTBE</v>
      </c>
      <c r="B2682" s="34">
        <v>46273</v>
      </c>
      <c r="C2682" s="34">
        <v>46273</v>
      </c>
      <c r="D2682" t="s">
        <v>35</v>
      </c>
      <c r="E2682" t="s">
        <v>36</v>
      </c>
      <c r="F2682" t="s">
        <v>37</v>
      </c>
      <c r="G2682">
        <v>19108</v>
      </c>
      <c r="H2682" t="s">
        <v>8103</v>
      </c>
      <c r="I2682" t="s">
        <v>8104</v>
      </c>
      <c r="J2682" t="s">
        <v>183</v>
      </c>
      <c r="O2682" t="s">
        <v>8105</v>
      </c>
      <c r="P2682">
        <v>4.6500000000000004</v>
      </c>
      <c r="Q2682">
        <v>4.8</v>
      </c>
      <c r="R2682">
        <v>4.6500000000000004</v>
      </c>
      <c r="S2682">
        <v>4.8</v>
      </c>
      <c r="T2682">
        <v>4.8</v>
      </c>
      <c r="U2682">
        <v>4.58</v>
      </c>
      <c r="W2682">
        <v>4.8</v>
      </c>
      <c r="Z2682">
        <v>1019312</v>
      </c>
      <c r="AA2682">
        <v>4874866.95</v>
      </c>
      <c r="AB2682">
        <v>503</v>
      </c>
      <c r="AC2682" t="s">
        <v>42</v>
      </c>
      <c r="AD2682">
        <v>1</v>
      </c>
    </row>
    <row r="2683" spans="1:30">
      <c r="A2683" t="str">
        <f>CONCATENATE(I2683,J2683)</f>
        <v>ROSSARIEQ</v>
      </c>
      <c r="B2683" s="34">
        <v>46273</v>
      </c>
      <c r="C2683" s="34">
        <v>46273</v>
      </c>
      <c r="D2683" t="s">
        <v>35</v>
      </c>
      <c r="E2683" t="s">
        <v>36</v>
      </c>
      <c r="F2683" t="s">
        <v>37</v>
      </c>
      <c r="G2683">
        <v>19410</v>
      </c>
      <c r="H2683" t="s">
        <v>8106</v>
      </c>
      <c r="I2683" t="s">
        <v>8107</v>
      </c>
      <c r="J2683" t="s">
        <v>161</v>
      </c>
      <c r="O2683" t="s">
        <v>8108</v>
      </c>
      <c r="P2683">
        <v>458.55</v>
      </c>
      <c r="Q2683">
        <v>458.95</v>
      </c>
      <c r="R2683">
        <v>453.5</v>
      </c>
      <c r="S2683">
        <v>454.6</v>
      </c>
      <c r="T2683">
        <v>454.95</v>
      </c>
      <c r="U2683">
        <v>458.5</v>
      </c>
      <c r="W2683">
        <v>454.6</v>
      </c>
      <c r="Z2683">
        <v>48650</v>
      </c>
      <c r="AA2683">
        <v>22142300</v>
      </c>
      <c r="AB2683">
        <v>2870</v>
      </c>
      <c r="AC2683" t="s">
        <v>42</v>
      </c>
      <c r="AD2683">
        <v>1</v>
      </c>
    </row>
    <row r="2684" spans="1:30">
      <c r="A2684" t="str">
        <f>CONCATENATE(I2684,J2684)</f>
        <v>ROSSELLINDEQ</v>
      </c>
      <c r="B2684" s="34">
        <v>46273</v>
      </c>
      <c r="C2684" s="34">
        <v>46273</v>
      </c>
      <c r="D2684" t="s">
        <v>35</v>
      </c>
      <c r="E2684" t="s">
        <v>36</v>
      </c>
      <c r="F2684" t="s">
        <v>37</v>
      </c>
      <c r="G2684">
        <v>28913</v>
      </c>
      <c r="H2684" t="s">
        <v>8109</v>
      </c>
      <c r="I2684" t="s">
        <v>8110</v>
      </c>
      <c r="J2684" t="s">
        <v>161</v>
      </c>
      <c r="O2684" t="s">
        <v>8111</v>
      </c>
      <c r="P2684">
        <v>56.93</v>
      </c>
      <c r="Q2684">
        <v>57.6</v>
      </c>
      <c r="R2684">
        <v>56.15</v>
      </c>
      <c r="S2684">
        <v>56.51</v>
      </c>
      <c r="T2684">
        <v>56.65</v>
      </c>
      <c r="U2684">
        <v>56.92</v>
      </c>
      <c r="W2684">
        <v>56.52</v>
      </c>
      <c r="Z2684">
        <v>33600</v>
      </c>
      <c r="AA2684">
        <v>1908564.32</v>
      </c>
      <c r="AB2684">
        <v>638</v>
      </c>
      <c r="AC2684" t="s">
        <v>42</v>
      </c>
      <c r="AD2684">
        <v>1</v>
      </c>
    </row>
    <row r="2685" spans="1:30">
      <c r="A2685" t="str">
        <f>CONCATENATE(I2685,J2685)</f>
        <v>ROSSTECHEQ</v>
      </c>
      <c r="B2685" s="34">
        <v>46273</v>
      </c>
      <c r="C2685" s="34">
        <v>46273</v>
      </c>
      <c r="D2685" t="s">
        <v>35</v>
      </c>
      <c r="E2685" t="s">
        <v>36</v>
      </c>
      <c r="F2685" t="s">
        <v>37</v>
      </c>
      <c r="G2685">
        <v>27353</v>
      </c>
      <c r="H2685" t="s">
        <v>8112</v>
      </c>
      <c r="I2685" t="s">
        <v>8113</v>
      </c>
      <c r="J2685" t="s">
        <v>161</v>
      </c>
      <c r="O2685" t="s">
        <v>8114</v>
      </c>
      <c r="P2685">
        <v>1160</v>
      </c>
      <c r="Q2685">
        <v>1228.7</v>
      </c>
      <c r="R2685">
        <v>1151</v>
      </c>
      <c r="S2685">
        <v>1218</v>
      </c>
      <c r="T2685">
        <v>1213.7</v>
      </c>
      <c r="U2685">
        <v>1148.2</v>
      </c>
      <c r="W2685">
        <v>1217.99</v>
      </c>
      <c r="Z2685">
        <v>407001</v>
      </c>
      <c r="AA2685">
        <v>488130934.19999999</v>
      </c>
      <c r="AB2685">
        <v>25080</v>
      </c>
      <c r="AC2685" t="s">
        <v>42</v>
      </c>
      <c r="AD2685">
        <v>1</v>
      </c>
    </row>
    <row r="2686" spans="1:30">
      <c r="A2686" t="str">
        <f>CONCATENATE(I2686,J2686)</f>
        <v>ROTOEQ</v>
      </c>
      <c r="B2686" s="34">
        <v>46273</v>
      </c>
      <c r="C2686" s="34">
        <v>46273</v>
      </c>
      <c r="D2686" t="s">
        <v>35</v>
      </c>
      <c r="E2686" t="s">
        <v>36</v>
      </c>
      <c r="F2686" t="s">
        <v>37</v>
      </c>
      <c r="G2686">
        <v>9049</v>
      </c>
      <c r="H2686" t="s">
        <v>8115</v>
      </c>
      <c r="I2686" t="s">
        <v>8116</v>
      </c>
      <c r="J2686" t="s">
        <v>161</v>
      </c>
      <c r="O2686" t="s">
        <v>8117</v>
      </c>
      <c r="P2686">
        <v>63.8</v>
      </c>
      <c r="Q2686">
        <v>67.45</v>
      </c>
      <c r="R2686">
        <v>63.19</v>
      </c>
      <c r="S2686">
        <v>65.44</v>
      </c>
      <c r="T2686">
        <v>65.58</v>
      </c>
      <c r="U2686">
        <v>63.59</v>
      </c>
      <c r="W2686">
        <v>65.44</v>
      </c>
      <c r="Z2686">
        <v>1146304</v>
      </c>
      <c r="AA2686">
        <v>75560095.379999995</v>
      </c>
      <c r="AB2686">
        <v>9718</v>
      </c>
      <c r="AC2686" t="s">
        <v>42</v>
      </c>
      <c r="AD2686">
        <v>1</v>
      </c>
    </row>
    <row r="2687" spans="1:30">
      <c r="A2687" t="str">
        <f>CONCATENATE(I2687,J2687)</f>
        <v>ROUTEEQ</v>
      </c>
      <c r="B2687" s="34">
        <v>46273</v>
      </c>
      <c r="C2687" s="34">
        <v>46273</v>
      </c>
      <c r="D2687" t="s">
        <v>35</v>
      </c>
      <c r="E2687" t="s">
        <v>36</v>
      </c>
      <c r="F2687" t="s">
        <v>37</v>
      </c>
      <c r="G2687">
        <v>128</v>
      </c>
      <c r="H2687" t="s">
        <v>8118</v>
      </c>
      <c r="I2687" t="s">
        <v>8119</v>
      </c>
      <c r="J2687" t="s">
        <v>161</v>
      </c>
      <c r="O2687" t="s">
        <v>8120</v>
      </c>
      <c r="P2687">
        <v>512.04999999999995</v>
      </c>
      <c r="Q2687">
        <v>512.1</v>
      </c>
      <c r="R2687">
        <v>500.55</v>
      </c>
      <c r="S2687">
        <v>502.55</v>
      </c>
      <c r="T2687">
        <v>502.1</v>
      </c>
      <c r="U2687">
        <v>512.04999999999995</v>
      </c>
      <c r="W2687">
        <v>502.55</v>
      </c>
      <c r="Z2687">
        <v>56368</v>
      </c>
      <c r="AA2687">
        <v>28451219.050000001</v>
      </c>
      <c r="AB2687">
        <v>2624</v>
      </c>
      <c r="AC2687" t="s">
        <v>42</v>
      </c>
      <c r="AD2687">
        <v>1</v>
      </c>
    </row>
    <row r="2688" spans="1:30">
      <c r="A2688" t="str">
        <f>CONCATENATE(I2688,J2688)</f>
        <v>ROXHITECHSM</v>
      </c>
      <c r="B2688" s="34">
        <v>46273</v>
      </c>
      <c r="C2688" s="34">
        <v>46273</v>
      </c>
      <c r="D2688" t="s">
        <v>35</v>
      </c>
      <c r="E2688" t="s">
        <v>36</v>
      </c>
      <c r="F2688" t="s">
        <v>37</v>
      </c>
      <c r="G2688">
        <v>20167</v>
      </c>
      <c r="H2688" t="s">
        <v>8121</v>
      </c>
      <c r="I2688" t="s">
        <v>8122</v>
      </c>
      <c r="J2688" t="s">
        <v>267</v>
      </c>
      <c r="O2688" t="s">
        <v>8123</v>
      </c>
      <c r="P2688">
        <v>47.2</v>
      </c>
      <c r="Q2688">
        <v>47.55</v>
      </c>
      <c r="R2688">
        <v>46.7</v>
      </c>
      <c r="S2688">
        <v>47.55</v>
      </c>
      <c r="T2688">
        <v>47.55</v>
      </c>
      <c r="U2688">
        <v>47.2</v>
      </c>
      <c r="W2688">
        <v>47.55</v>
      </c>
      <c r="Z2688">
        <v>27200</v>
      </c>
      <c r="AA2688">
        <v>1286080</v>
      </c>
      <c r="AB2688">
        <v>14</v>
      </c>
      <c r="AC2688" t="s">
        <v>42</v>
      </c>
      <c r="AD2688">
        <v>1600</v>
      </c>
    </row>
    <row r="2689" spans="1:30">
      <c r="A2689" t="str">
        <f>CONCATENATE(I2689,J2689)</f>
        <v>ROYALARCSM</v>
      </c>
      <c r="B2689" s="34">
        <v>46273</v>
      </c>
      <c r="C2689" s="34">
        <v>46273</v>
      </c>
      <c r="D2689" t="s">
        <v>35</v>
      </c>
      <c r="E2689" t="s">
        <v>36</v>
      </c>
      <c r="F2689" t="s">
        <v>37</v>
      </c>
      <c r="G2689">
        <v>29727</v>
      </c>
      <c r="H2689" t="s">
        <v>8124</v>
      </c>
      <c r="I2689" t="s">
        <v>8125</v>
      </c>
      <c r="J2689" t="s">
        <v>267</v>
      </c>
      <c r="O2689" t="s">
        <v>8126</v>
      </c>
      <c r="P2689">
        <v>154.4</v>
      </c>
      <c r="Q2689">
        <v>154.4</v>
      </c>
      <c r="R2689">
        <v>154</v>
      </c>
      <c r="S2689">
        <v>154</v>
      </c>
      <c r="T2689">
        <v>154</v>
      </c>
      <c r="U2689">
        <v>159</v>
      </c>
      <c r="W2689">
        <v>154</v>
      </c>
      <c r="Z2689">
        <v>3600</v>
      </c>
      <c r="AA2689">
        <v>554880</v>
      </c>
      <c r="AB2689">
        <v>3</v>
      </c>
      <c r="AC2689" t="s">
        <v>42</v>
      </c>
      <c r="AD2689">
        <v>1200</v>
      </c>
    </row>
    <row r="2690" spans="1:30">
      <c r="A2690" t="str">
        <f>CONCATENATE(I2690,J2690)</f>
        <v>ROHLTDEQ</v>
      </c>
      <c r="B2690" s="34">
        <v>46273</v>
      </c>
      <c r="C2690" s="34">
        <v>46273</v>
      </c>
      <c r="D2690" t="s">
        <v>35</v>
      </c>
      <c r="E2690" t="s">
        <v>36</v>
      </c>
      <c r="F2690" t="s">
        <v>37</v>
      </c>
      <c r="G2690">
        <v>13182</v>
      </c>
      <c r="H2690" t="s">
        <v>8127</v>
      </c>
      <c r="I2690" t="s">
        <v>8128</v>
      </c>
      <c r="J2690" t="s">
        <v>161</v>
      </c>
      <c r="O2690" t="s">
        <v>8129</v>
      </c>
      <c r="P2690">
        <v>307</v>
      </c>
      <c r="Q2690">
        <v>310</v>
      </c>
      <c r="R2690">
        <v>298</v>
      </c>
      <c r="S2690">
        <v>308</v>
      </c>
      <c r="T2690">
        <v>309</v>
      </c>
      <c r="U2690">
        <v>303.89999999999998</v>
      </c>
      <c r="W2690">
        <v>308.11</v>
      </c>
      <c r="Z2690">
        <v>33605</v>
      </c>
      <c r="AA2690">
        <v>10256517.449999999</v>
      </c>
      <c r="AB2690">
        <v>1200</v>
      </c>
      <c r="AC2690" t="s">
        <v>42</v>
      </c>
      <c r="AD2690">
        <v>1</v>
      </c>
    </row>
    <row r="2691" spans="1:30">
      <c r="A2691" t="str">
        <f>CONCATENATE(I2691,J2691)</f>
        <v>RPGLIFEEQ</v>
      </c>
      <c r="B2691" s="34">
        <v>46273</v>
      </c>
      <c r="C2691" s="34">
        <v>46273</v>
      </c>
      <c r="D2691" t="s">
        <v>35</v>
      </c>
      <c r="E2691" t="s">
        <v>36</v>
      </c>
      <c r="F2691" t="s">
        <v>37</v>
      </c>
      <c r="G2691">
        <v>16725</v>
      </c>
      <c r="H2691" t="s">
        <v>8130</v>
      </c>
      <c r="I2691" t="s">
        <v>8131</v>
      </c>
      <c r="J2691" t="s">
        <v>161</v>
      </c>
      <c r="O2691" t="s">
        <v>8132</v>
      </c>
      <c r="P2691">
        <v>2673</v>
      </c>
      <c r="Q2691">
        <v>2870</v>
      </c>
      <c r="R2691">
        <v>2642.1</v>
      </c>
      <c r="S2691">
        <v>2802.6</v>
      </c>
      <c r="T2691">
        <v>2870</v>
      </c>
      <c r="U2691">
        <v>2673.4</v>
      </c>
      <c r="W2691">
        <v>2802.76</v>
      </c>
      <c r="Z2691">
        <v>28308</v>
      </c>
      <c r="AA2691">
        <v>78116853.400000006</v>
      </c>
      <c r="AB2691">
        <v>4101</v>
      </c>
      <c r="AC2691" t="s">
        <v>42</v>
      </c>
      <c r="AD2691">
        <v>1</v>
      </c>
    </row>
    <row r="2692" spans="1:30">
      <c r="A2692" t="str">
        <f>CONCATENATE(I2692,J2692)</f>
        <v>RPSGVENTEQ</v>
      </c>
      <c r="B2692" s="34">
        <v>46273</v>
      </c>
      <c r="C2692" s="34">
        <v>46273</v>
      </c>
      <c r="D2692" t="s">
        <v>35</v>
      </c>
      <c r="E2692" t="s">
        <v>36</v>
      </c>
      <c r="F2692" t="s">
        <v>37</v>
      </c>
      <c r="G2692">
        <v>8119</v>
      </c>
      <c r="H2692" t="s">
        <v>8133</v>
      </c>
      <c r="I2692" t="s">
        <v>8134</v>
      </c>
      <c r="J2692" t="s">
        <v>161</v>
      </c>
      <c r="O2692" t="s">
        <v>8135</v>
      </c>
      <c r="P2692">
        <v>803.4</v>
      </c>
      <c r="Q2692">
        <v>825.95</v>
      </c>
      <c r="R2692">
        <v>803.4</v>
      </c>
      <c r="S2692">
        <v>819.05</v>
      </c>
      <c r="T2692">
        <v>817</v>
      </c>
      <c r="U2692">
        <v>816.5</v>
      </c>
      <c r="W2692">
        <v>819.05</v>
      </c>
      <c r="Z2692">
        <v>13979</v>
      </c>
      <c r="AA2692">
        <v>11423478.65</v>
      </c>
      <c r="AB2692">
        <v>1090</v>
      </c>
      <c r="AC2692" t="s">
        <v>42</v>
      </c>
      <c r="AD2692">
        <v>1</v>
      </c>
    </row>
    <row r="2693" spans="1:30">
      <c r="A2693" t="str">
        <f>CONCATENATE(I2693,J2693)</f>
        <v>RSWMBE</v>
      </c>
      <c r="B2693" s="34">
        <v>46273</v>
      </c>
      <c r="C2693" s="34">
        <v>46273</v>
      </c>
      <c r="D2693" t="s">
        <v>35</v>
      </c>
      <c r="E2693" t="s">
        <v>36</v>
      </c>
      <c r="F2693" t="s">
        <v>37</v>
      </c>
      <c r="G2693">
        <v>7292</v>
      </c>
      <c r="H2693" t="s">
        <v>8136</v>
      </c>
      <c r="I2693" t="s">
        <v>8137</v>
      </c>
      <c r="J2693" t="s">
        <v>183</v>
      </c>
      <c r="O2693" t="s">
        <v>8138</v>
      </c>
      <c r="P2693">
        <v>221.7</v>
      </c>
      <c r="Q2693">
        <v>228.57</v>
      </c>
      <c r="R2693">
        <v>217.69</v>
      </c>
      <c r="S2693">
        <v>225.7</v>
      </c>
      <c r="T2693">
        <v>225</v>
      </c>
      <c r="U2693">
        <v>217.69</v>
      </c>
      <c r="W2693">
        <v>225.68</v>
      </c>
      <c r="Z2693">
        <v>109970</v>
      </c>
      <c r="AA2693">
        <v>24614866.829999998</v>
      </c>
      <c r="AB2693">
        <v>733</v>
      </c>
      <c r="AC2693" t="s">
        <v>42</v>
      </c>
      <c r="AD2693">
        <v>1</v>
      </c>
    </row>
    <row r="2694" spans="1:30">
      <c r="A2694" t="str">
        <f>CONCATENATE(I2694,J2694)</f>
        <v>RUBFILAEQ</v>
      </c>
      <c r="B2694" s="34">
        <v>46273</v>
      </c>
      <c r="C2694" s="34">
        <v>46273</v>
      </c>
      <c r="D2694" t="s">
        <v>35</v>
      </c>
      <c r="E2694" t="s">
        <v>36</v>
      </c>
      <c r="F2694" t="s">
        <v>37</v>
      </c>
      <c r="G2694">
        <v>24730</v>
      </c>
      <c r="H2694" t="s">
        <v>8139</v>
      </c>
      <c r="I2694" t="s">
        <v>8140</v>
      </c>
      <c r="J2694" t="s">
        <v>161</v>
      </c>
      <c r="O2694" t="s">
        <v>8141</v>
      </c>
      <c r="P2694">
        <v>70.959999999999994</v>
      </c>
      <c r="Q2694">
        <v>71.39</v>
      </c>
      <c r="R2694">
        <v>69.53</v>
      </c>
      <c r="S2694">
        <v>70.180000000000007</v>
      </c>
      <c r="T2694">
        <v>70</v>
      </c>
      <c r="U2694">
        <v>70.959999999999994</v>
      </c>
      <c r="W2694">
        <v>70.180000000000007</v>
      </c>
      <c r="Z2694">
        <v>91354</v>
      </c>
      <c r="AA2694">
        <v>6415454.8600000003</v>
      </c>
      <c r="AB2694">
        <v>539</v>
      </c>
      <c r="AC2694" t="s">
        <v>42</v>
      </c>
      <c r="AD2694">
        <v>1</v>
      </c>
    </row>
    <row r="2695" spans="1:30">
      <c r="A2695" t="str">
        <f>CONCATENATE(I2695,J2695)</f>
        <v>RUBICONEQ</v>
      </c>
      <c r="B2695" s="34">
        <v>46273</v>
      </c>
      <c r="C2695" s="34">
        <v>46273</v>
      </c>
      <c r="D2695" t="s">
        <v>35</v>
      </c>
      <c r="E2695" t="s">
        <v>36</v>
      </c>
      <c r="F2695" t="s">
        <v>37</v>
      </c>
      <c r="G2695">
        <v>759316</v>
      </c>
      <c r="H2695" t="s">
        <v>8142</v>
      </c>
      <c r="I2695" t="s">
        <v>8143</v>
      </c>
      <c r="J2695" t="s">
        <v>161</v>
      </c>
      <c r="O2695" t="s">
        <v>8144</v>
      </c>
      <c r="P2695">
        <v>1751</v>
      </c>
      <c r="Q2695">
        <v>1870</v>
      </c>
      <c r="R2695">
        <v>1741.9</v>
      </c>
      <c r="S2695">
        <v>1860.6</v>
      </c>
      <c r="T2695">
        <v>1856</v>
      </c>
      <c r="U2695">
        <v>1748.4</v>
      </c>
      <c r="W2695">
        <v>1860.63</v>
      </c>
      <c r="Z2695">
        <v>316261</v>
      </c>
      <c r="AA2695">
        <v>577928504.89999998</v>
      </c>
      <c r="AB2695">
        <v>24242</v>
      </c>
      <c r="AC2695" t="s">
        <v>42</v>
      </c>
      <c r="AD2695">
        <v>1</v>
      </c>
    </row>
    <row r="2696" spans="1:30">
      <c r="A2696" t="str">
        <f>CONCATENATE(I2696,J2696)</f>
        <v>RUCHINFRAEQ</v>
      </c>
      <c r="B2696" s="34">
        <v>46273</v>
      </c>
      <c r="C2696" s="34">
        <v>46273</v>
      </c>
      <c r="D2696" t="s">
        <v>35</v>
      </c>
      <c r="E2696" t="s">
        <v>36</v>
      </c>
      <c r="F2696" t="s">
        <v>37</v>
      </c>
      <c r="G2696">
        <v>4566</v>
      </c>
      <c r="H2696" t="s">
        <v>8145</v>
      </c>
      <c r="I2696" t="s">
        <v>8146</v>
      </c>
      <c r="J2696" t="s">
        <v>161</v>
      </c>
      <c r="O2696" t="s">
        <v>8147</v>
      </c>
      <c r="P2696">
        <v>5.71</v>
      </c>
      <c r="Q2696">
        <v>5.76</v>
      </c>
      <c r="R2696">
        <v>5.55</v>
      </c>
      <c r="S2696">
        <v>5.63</v>
      </c>
      <c r="T2696">
        <v>5.63</v>
      </c>
      <c r="U2696">
        <v>5.62</v>
      </c>
      <c r="W2696">
        <v>5.63</v>
      </c>
      <c r="Z2696">
        <v>35307</v>
      </c>
      <c r="AA2696">
        <v>198942.85</v>
      </c>
      <c r="AB2696">
        <v>266</v>
      </c>
      <c r="AC2696" t="s">
        <v>42</v>
      </c>
      <c r="AD2696">
        <v>1</v>
      </c>
    </row>
    <row r="2697" spans="1:30">
      <c r="A2697" t="str">
        <f>CONCATENATE(I2697,J2697)</f>
        <v>RUCHIRAEQ</v>
      </c>
      <c r="B2697" s="34">
        <v>46273</v>
      </c>
      <c r="C2697" s="34">
        <v>46273</v>
      </c>
      <c r="D2697" t="s">
        <v>35</v>
      </c>
      <c r="E2697" t="s">
        <v>36</v>
      </c>
      <c r="F2697" t="s">
        <v>37</v>
      </c>
      <c r="G2697">
        <v>13821</v>
      </c>
      <c r="H2697" t="s">
        <v>8148</v>
      </c>
      <c r="I2697" t="s">
        <v>8149</v>
      </c>
      <c r="J2697" t="s">
        <v>161</v>
      </c>
      <c r="O2697" t="s">
        <v>8150</v>
      </c>
      <c r="P2697">
        <v>108</v>
      </c>
      <c r="Q2697">
        <v>113.97</v>
      </c>
      <c r="R2697">
        <v>108</v>
      </c>
      <c r="S2697">
        <v>112.17</v>
      </c>
      <c r="T2697">
        <v>112.58</v>
      </c>
      <c r="U2697">
        <v>107.88</v>
      </c>
      <c r="W2697">
        <v>112.16</v>
      </c>
      <c r="Z2697">
        <v>233548</v>
      </c>
      <c r="AA2697">
        <v>26148192.82</v>
      </c>
      <c r="AB2697">
        <v>2663</v>
      </c>
      <c r="AC2697" t="s">
        <v>42</v>
      </c>
      <c r="AD2697">
        <v>1</v>
      </c>
    </row>
    <row r="2698" spans="1:30">
      <c r="A2698" t="str">
        <f>CONCATENATE(I2698,J2698)</f>
        <v>RUDRAEQ</v>
      </c>
      <c r="B2698" s="34">
        <v>46273</v>
      </c>
      <c r="C2698" s="34">
        <v>46273</v>
      </c>
      <c r="D2698" t="s">
        <v>35</v>
      </c>
      <c r="E2698" t="s">
        <v>36</v>
      </c>
      <c r="F2698" t="s">
        <v>37</v>
      </c>
      <c r="G2698">
        <v>760392</v>
      </c>
      <c r="H2698" t="s">
        <v>8151</v>
      </c>
      <c r="I2698" t="s">
        <v>8152</v>
      </c>
      <c r="J2698" t="s">
        <v>161</v>
      </c>
      <c r="O2698" t="s">
        <v>8153</v>
      </c>
      <c r="P2698">
        <v>20.04</v>
      </c>
      <c r="Q2698">
        <v>20.78</v>
      </c>
      <c r="R2698">
        <v>19.55</v>
      </c>
      <c r="S2698">
        <v>19.77</v>
      </c>
      <c r="T2698">
        <v>19.57</v>
      </c>
      <c r="U2698">
        <v>20.04</v>
      </c>
      <c r="W2698">
        <v>19.8</v>
      </c>
      <c r="Z2698">
        <v>44191</v>
      </c>
      <c r="AA2698">
        <v>886519.46</v>
      </c>
      <c r="AB2698">
        <v>216</v>
      </c>
      <c r="AC2698" t="s">
        <v>42</v>
      </c>
      <c r="AD2698">
        <v>1</v>
      </c>
    </row>
    <row r="2699" spans="1:30">
      <c r="A2699" t="str">
        <f>CONCATENATE(I2699,J2699)</f>
        <v>REPLBE</v>
      </c>
      <c r="B2699" s="34">
        <v>46273</v>
      </c>
      <c r="C2699" s="34">
        <v>46273</v>
      </c>
      <c r="D2699" t="s">
        <v>35</v>
      </c>
      <c r="E2699" t="s">
        <v>36</v>
      </c>
      <c r="F2699" t="s">
        <v>37</v>
      </c>
      <c r="G2699">
        <v>1486</v>
      </c>
      <c r="H2699" t="s">
        <v>8154</v>
      </c>
      <c r="I2699" t="s">
        <v>8155</v>
      </c>
      <c r="J2699" t="s">
        <v>183</v>
      </c>
      <c r="O2699" t="s">
        <v>8156</v>
      </c>
      <c r="P2699">
        <v>60.99</v>
      </c>
      <c r="Q2699">
        <v>62.45</v>
      </c>
      <c r="R2699">
        <v>60.1</v>
      </c>
      <c r="S2699">
        <v>61</v>
      </c>
      <c r="T2699">
        <v>61</v>
      </c>
      <c r="U2699">
        <v>60.99</v>
      </c>
      <c r="W2699">
        <v>61</v>
      </c>
      <c r="Z2699">
        <v>4142</v>
      </c>
      <c r="AA2699">
        <v>252155.03</v>
      </c>
      <c r="AB2699">
        <v>44</v>
      </c>
      <c r="AC2699" t="s">
        <v>42</v>
      </c>
      <c r="AD2699">
        <v>1</v>
      </c>
    </row>
    <row r="2700" spans="1:30">
      <c r="A2700" t="str">
        <f>CONCATENATE(I2700,J2700)</f>
        <v>RULKASM</v>
      </c>
      <c r="B2700" s="34">
        <v>46273</v>
      </c>
      <c r="C2700" s="34">
        <v>46273</v>
      </c>
      <c r="D2700" t="s">
        <v>35</v>
      </c>
      <c r="E2700" t="s">
        <v>36</v>
      </c>
      <c r="F2700" t="s">
        <v>37</v>
      </c>
      <c r="G2700">
        <v>23830</v>
      </c>
      <c r="H2700" t="s">
        <v>8157</v>
      </c>
      <c r="I2700" t="s">
        <v>8158</v>
      </c>
      <c r="J2700" t="s">
        <v>267</v>
      </c>
      <c r="O2700" t="s">
        <v>8159</v>
      </c>
      <c r="P2700">
        <v>109.7</v>
      </c>
      <c r="Q2700">
        <v>114.5</v>
      </c>
      <c r="R2700">
        <v>109.5</v>
      </c>
      <c r="S2700">
        <v>110</v>
      </c>
      <c r="T2700">
        <v>109.5</v>
      </c>
      <c r="U2700">
        <v>107.55</v>
      </c>
      <c r="W2700">
        <v>110</v>
      </c>
      <c r="Z2700">
        <v>18000</v>
      </c>
      <c r="AA2700">
        <v>2023995</v>
      </c>
      <c r="AB2700">
        <v>33</v>
      </c>
      <c r="AC2700" t="s">
        <v>42</v>
      </c>
      <c r="AD2700">
        <v>300</v>
      </c>
    </row>
    <row r="2701" spans="1:30">
      <c r="A2701" t="str">
        <f>CONCATENATE(I2701,J2701)</f>
        <v>RUPAEQ</v>
      </c>
      <c r="B2701" s="34">
        <v>46273</v>
      </c>
      <c r="C2701" s="34">
        <v>46273</v>
      </c>
      <c r="D2701" t="s">
        <v>35</v>
      </c>
      <c r="E2701" t="s">
        <v>36</v>
      </c>
      <c r="F2701" t="s">
        <v>37</v>
      </c>
      <c r="G2701">
        <v>25724</v>
      </c>
      <c r="H2701" t="s">
        <v>8160</v>
      </c>
      <c r="I2701" t="s">
        <v>8161</v>
      </c>
      <c r="J2701" t="s">
        <v>161</v>
      </c>
      <c r="O2701" t="s">
        <v>8162</v>
      </c>
      <c r="P2701">
        <v>142.91999999999999</v>
      </c>
      <c r="Q2701">
        <v>143</v>
      </c>
      <c r="R2701">
        <v>141.05000000000001</v>
      </c>
      <c r="S2701">
        <v>142.18</v>
      </c>
      <c r="T2701">
        <v>141.56</v>
      </c>
      <c r="U2701">
        <v>142.91999999999999</v>
      </c>
      <c r="W2701">
        <v>142.18</v>
      </c>
      <c r="Z2701">
        <v>68578</v>
      </c>
      <c r="AA2701">
        <v>9730332.1600000001</v>
      </c>
      <c r="AB2701">
        <v>2724</v>
      </c>
      <c r="AC2701" t="s">
        <v>42</v>
      </c>
      <c r="AD2701">
        <v>1</v>
      </c>
    </row>
    <row r="2702" spans="1:30">
      <c r="A2702" t="str">
        <f>CONCATENATE(I2702,J2702)</f>
        <v>RUSHILEQ</v>
      </c>
      <c r="B2702" s="34">
        <v>46273</v>
      </c>
      <c r="C2702" s="34">
        <v>46273</v>
      </c>
      <c r="D2702" t="s">
        <v>35</v>
      </c>
      <c r="E2702" t="s">
        <v>36</v>
      </c>
      <c r="F2702" t="s">
        <v>37</v>
      </c>
      <c r="G2702">
        <v>24595</v>
      </c>
      <c r="H2702" t="s">
        <v>8163</v>
      </c>
      <c r="I2702" t="s">
        <v>8164</v>
      </c>
      <c r="J2702" t="s">
        <v>161</v>
      </c>
      <c r="O2702" t="s">
        <v>8165</v>
      </c>
      <c r="P2702">
        <v>16</v>
      </c>
      <c r="Q2702">
        <v>16.34</v>
      </c>
      <c r="R2702">
        <v>15.67</v>
      </c>
      <c r="S2702">
        <v>16.07</v>
      </c>
      <c r="T2702">
        <v>16.100000000000001</v>
      </c>
      <c r="U2702">
        <v>16.04</v>
      </c>
      <c r="W2702">
        <v>16.07</v>
      </c>
      <c r="Z2702">
        <v>285323</v>
      </c>
      <c r="AA2702">
        <v>4581243.3099999996</v>
      </c>
      <c r="AB2702">
        <v>733</v>
      </c>
      <c r="AC2702" t="s">
        <v>42</v>
      </c>
      <c r="AD2702">
        <v>1</v>
      </c>
    </row>
    <row r="2703" spans="1:30">
      <c r="A2703" t="str">
        <f>CONCATENATE(I2703,J2703)</f>
        <v>SABEQ</v>
      </c>
      <c r="B2703" s="34">
        <v>46273</v>
      </c>
      <c r="C2703" s="34">
        <v>46273</v>
      </c>
      <c r="D2703" t="s">
        <v>35</v>
      </c>
      <c r="E2703" t="s">
        <v>36</v>
      </c>
      <c r="F2703" t="s">
        <v>37</v>
      </c>
      <c r="G2703">
        <v>764860</v>
      </c>
      <c r="H2703" t="s">
        <v>8166</v>
      </c>
      <c r="I2703" t="s">
        <v>8167</v>
      </c>
      <c r="J2703" t="s">
        <v>161</v>
      </c>
      <c r="O2703" t="s">
        <v>8168</v>
      </c>
      <c r="P2703">
        <v>192.6</v>
      </c>
      <c r="Q2703">
        <v>192.6</v>
      </c>
      <c r="R2703">
        <v>183</v>
      </c>
      <c r="S2703">
        <v>192.5</v>
      </c>
      <c r="T2703">
        <v>192.5</v>
      </c>
      <c r="U2703">
        <v>192.6</v>
      </c>
      <c r="W2703">
        <v>192.5</v>
      </c>
      <c r="Z2703">
        <v>169</v>
      </c>
      <c r="AA2703">
        <v>32035.8</v>
      </c>
      <c r="AB2703">
        <v>11</v>
      </c>
      <c r="AC2703" t="s">
        <v>42</v>
      </c>
      <c r="AD2703">
        <v>1</v>
      </c>
    </row>
    <row r="2704" spans="1:30">
      <c r="A2704" t="str">
        <f>CONCATENATE(I2704,J2704)</f>
        <v>SATECHSM</v>
      </c>
      <c r="B2704" s="34">
        <v>46273</v>
      </c>
      <c r="C2704" s="34">
        <v>46273</v>
      </c>
      <c r="D2704" t="s">
        <v>35</v>
      </c>
      <c r="E2704" t="s">
        <v>36</v>
      </c>
      <c r="F2704" t="s">
        <v>37</v>
      </c>
      <c r="G2704">
        <v>24674</v>
      </c>
      <c r="H2704" t="s">
        <v>8169</v>
      </c>
      <c r="I2704" t="s">
        <v>8170</v>
      </c>
      <c r="J2704" t="s">
        <v>267</v>
      </c>
      <c r="O2704" t="s">
        <v>8171</v>
      </c>
      <c r="P2704">
        <v>40.15</v>
      </c>
      <c r="Q2704">
        <v>40.25</v>
      </c>
      <c r="R2704">
        <v>38.6</v>
      </c>
      <c r="S2704">
        <v>38.9</v>
      </c>
      <c r="T2704">
        <v>38.6</v>
      </c>
      <c r="U2704">
        <v>40.049999999999997</v>
      </c>
      <c r="W2704">
        <v>38.9</v>
      </c>
      <c r="Z2704">
        <v>8000</v>
      </c>
      <c r="AA2704">
        <v>317650</v>
      </c>
      <c r="AB2704">
        <v>7</v>
      </c>
      <c r="AC2704" t="s">
        <v>42</v>
      </c>
      <c r="AD2704">
        <v>1000</v>
      </c>
    </row>
    <row r="2705" spans="1:30">
      <c r="A2705" t="str">
        <f>CONCATENATE(I2705,J2705)</f>
        <v>SCHANDEQ</v>
      </c>
      <c r="B2705" s="34">
        <v>46273</v>
      </c>
      <c r="C2705" s="34">
        <v>46273</v>
      </c>
      <c r="D2705" t="s">
        <v>35</v>
      </c>
      <c r="E2705" t="s">
        <v>36</v>
      </c>
      <c r="F2705" t="s">
        <v>37</v>
      </c>
      <c r="G2705">
        <v>20698</v>
      </c>
      <c r="H2705" t="s">
        <v>8172</v>
      </c>
      <c r="I2705" t="s">
        <v>8173</v>
      </c>
      <c r="J2705" t="s">
        <v>161</v>
      </c>
      <c r="O2705" t="s">
        <v>8174</v>
      </c>
      <c r="P2705">
        <v>133.94999999999999</v>
      </c>
      <c r="Q2705">
        <v>138</v>
      </c>
      <c r="R2705">
        <v>133.01</v>
      </c>
      <c r="S2705">
        <v>136.63999999999999</v>
      </c>
      <c r="T2705">
        <v>136</v>
      </c>
      <c r="U2705">
        <v>133.34</v>
      </c>
      <c r="W2705">
        <v>136.63999999999999</v>
      </c>
      <c r="Z2705">
        <v>21528</v>
      </c>
      <c r="AA2705">
        <v>2907449.36</v>
      </c>
      <c r="AB2705">
        <v>632</v>
      </c>
      <c r="AC2705" t="s">
        <v>42</v>
      </c>
      <c r="AD2705">
        <v>1</v>
      </c>
    </row>
    <row r="2706" spans="1:30">
      <c r="A2706" t="str">
        <f>CONCATENATE(I2706,J2706)</f>
        <v>SDREAMSSM</v>
      </c>
      <c r="B2706" s="34">
        <v>46273</v>
      </c>
      <c r="C2706" s="34">
        <v>46273</v>
      </c>
      <c r="D2706" t="s">
        <v>35</v>
      </c>
      <c r="E2706" t="s">
        <v>36</v>
      </c>
      <c r="F2706" t="s">
        <v>37</v>
      </c>
      <c r="G2706">
        <v>25528</v>
      </c>
      <c r="H2706" t="s">
        <v>8175</v>
      </c>
      <c r="I2706" t="s">
        <v>8176</v>
      </c>
      <c r="J2706" t="s">
        <v>267</v>
      </c>
      <c r="O2706" t="s">
        <v>8177</v>
      </c>
      <c r="P2706">
        <v>82.05</v>
      </c>
      <c r="Q2706">
        <v>83.5</v>
      </c>
      <c r="R2706">
        <v>77</v>
      </c>
      <c r="S2706">
        <v>83.5</v>
      </c>
      <c r="T2706">
        <v>83.5</v>
      </c>
      <c r="U2706">
        <v>83</v>
      </c>
      <c r="W2706">
        <v>83.5</v>
      </c>
      <c r="Z2706">
        <v>40000</v>
      </c>
      <c r="AA2706">
        <v>3230950</v>
      </c>
      <c r="AB2706">
        <v>27</v>
      </c>
      <c r="AC2706" t="s">
        <v>42</v>
      </c>
      <c r="AD2706">
        <v>1000</v>
      </c>
    </row>
    <row r="2707" spans="1:30">
      <c r="A2707" t="str">
        <f>CONCATENATE(I2707,J2707)</f>
        <v>SHKEQ</v>
      </c>
      <c r="B2707" s="34">
        <v>46273</v>
      </c>
      <c r="C2707" s="34">
        <v>46273</v>
      </c>
      <c r="D2707" t="s">
        <v>35</v>
      </c>
      <c r="E2707" t="s">
        <v>36</v>
      </c>
      <c r="F2707" t="s">
        <v>37</v>
      </c>
      <c r="G2707">
        <v>11212</v>
      </c>
      <c r="H2707" t="s">
        <v>8178</v>
      </c>
      <c r="I2707" t="s">
        <v>8179</v>
      </c>
      <c r="J2707" t="s">
        <v>161</v>
      </c>
      <c r="O2707" t="s">
        <v>8180</v>
      </c>
      <c r="P2707">
        <v>147.82</v>
      </c>
      <c r="Q2707">
        <v>149.88999999999999</v>
      </c>
      <c r="R2707">
        <v>144.1</v>
      </c>
      <c r="S2707">
        <v>145.59</v>
      </c>
      <c r="T2707">
        <v>149.65</v>
      </c>
      <c r="U2707">
        <v>148</v>
      </c>
      <c r="W2707">
        <v>145.58000000000001</v>
      </c>
      <c r="Z2707">
        <v>599257</v>
      </c>
      <c r="AA2707">
        <v>87639367.870000005</v>
      </c>
      <c r="AB2707">
        <v>7207</v>
      </c>
      <c r="AC2707" t="s">
        <v>42</v>
      </c>
      <c r="AD2707">
        <v>1</v>
      </c>
    </row>
    <row r="2708" spans="1:30">
      <c r="A2708" t="str">
        <f>CONCATENATE(I2708,J2708)</f>
        <v>SJLOGISTICSM</v>
      </c>
      <c r="B2708" s="34">
        <v>46273</v>
      </c>
      <c r="C2708" s="34">
        <v>46273</v>
      </c>
      <c r="D2708" t="s">
        <v>35</v>
      </c>
      <c r="E2708" t="s">
        <v>36</v>
      </c>
      <c r="F2708" t="s">
        <v>37</v>
      </c>
      <c r="G2708">
        <v>20542</v>
      </c>
      <c r="H2708" t="s">
        <v>8181</v>
      </c>
      <c r="I2708" t="s">
        <v>8182</v>
      </c>
      <c r="J2708" t="s">
        <v>267</v>
      </c>
      <c r="O2708" t="s">
        <v>8183</v>
      </c>
      <c r="P2708">
        <v>316.55</v>
      </c>
      <c r="Q2708">
        <v>323</v>
      </c>
      <c r="R2708">
        <v>316.55</v>
      </c>
      <c r="S2708">
        <v>318.64999999999998</v>
      </c>
      <c r="T2708">
        <v>319.5</v>
      </c>
      <c r="U2708">
        <v>319.35000000000002</v>
      </c>
      <c r="W2708">
        <v>318.64999999999998</v>
      </c>
      <c r="Z2708">
        <v>33000</v>
      </c>
      <c r="AA2708">
        <v>10538300</v>
      </c>
      <c r="AB2708">
        <v>79</v>
      </c>
      <c r="AC2708" t="s">
        <v>42</v>
      </c>
      <c r="AD2708">
        <v>250</v>
      </c>
    </row>
    <row r="2709" spans="1:30">
      <c r="A2709" t="str">
        <f>CONCATENATE(I2709,J2709)</f>
        <v>SVGLOBALEQ</v>
      </c>
      <c r="B2709" s="34">
        <v>46273</v>
      </c>
      <c r="C2709" s="34">
        <v>46273</v>
      </c>
      <c r="D2709" t="s">
        <v>35</v>
      </c>
      <c r="E2709" t="s">
        <v>36</v>
      </c>
      <c r="F2709" t="s">
        <v>37</v>
      </c>
      <c r="G2709">
        <v>764940</v>
      </c>
      <c r="H2709" t="s">
        <v>8184</v>
      </c>
      <c r="I2709" t="s">
        <v>8185</v>
      </c>
      <c r="J2709" t="s">
        <v>161</v>
      </c>
      <c r="O2709" t="s">
        <v>8186</v>
      </c>
      <c r="P2709">
        <v>154</v>
      </c>
      <c r="Q2709">
        <v>159</v>
      </c>
      <c r="R2709">
        <v>140.1</v>
      </c>
      <c r="S2709">
        <v>152.87</v>
      </c>
      <c r="T2709">
        <v>154.4</v>
      </c>
      <c r="U2709">
        <v>151.09</v>
      </c>
      <c r="W2709">
        <v>152.91999999999999</v>
      </c>
      <c r="Z2709">
        <v>8612</v>
      </c>
      <c r="AA2709">
        <v>1285987.31</v>
      </c>
      <c r="AB2709">
        <v>362</v>
      </c>
      <c r="AC2709" t="s">
        <v>42</v>
      </c>
      <c r="AD2709">
        <v>1</v>
      </c>
    </row>
    <row r="2710" spans="1:30">
      <c r="A2710" t="str">
        <f>CONCATENATE(I2710,J2710)</f>
        <v>S&amp;SPOWEREQ</v>
      </c>
      <c r="B2710" s="34">
        <v>46273</v>
      </c>
      <c r="C2710" s="34">
        <v>46273</v>
      </c>
      <c r="D2710" t="s">
        <v>35</v>
      </c>
      <c r="E2710" t="s">
        <v>36</v>
      </c>
      <c r="F2710" t="s">
        <v>37</v>
      </c>
      <c r="G2710">
        <v>2951</v>
      </c>
      <c r="H2710" t="s">
        <v>8187</v>
      </c>
      <c r="I2710" t="s">
        <v>8188</v>
      </c>
      <c r="J2710" t="s">
        <v>161</v>
      </c>
      <c r="O2710" t="s">
        <v>8189</v>
      </c>
      <c r="P2710">
        <v>339.4</v>
      </c>
      <c r="Q2710">
        <v>350.7</v>
      </c>
      <c r="R2710">
        <v>330.4</v>
      </c>
      <c r="S2710">
        <v>350.7</v>
      </c>
      <c r="T2710">
        <v>350.7</v>
      </c>
      <c r="U2710">
        <v>334</v>
      </c>
      <c r="W2710">
        <v>350.36</v>
      </c>
      <c r="Z2710">
        <v>5869</v>
      </c>
      <c r="AA2710">
        <v>2037743</v>
      </c>
      <c r="AB2710">
        <v>234</v>
      </c>
      <c r="AC2710" t="s">
        <v>42</v>
      </c>
      <c r="AD2710">
        <v>1</v>
      </c>
    </row>
    <row r="2711" spans="1:30">
      <c r="A2711" t="str">
        <f>CONCATENATE(I2711,J2711)</f>
        <v>SPALEQ</v>
      </c>
      <c r="B2711" s="34">
        <v>46273</v>
      </c>
      <c r="C2711" s="34">
        <v>46273</v>
      </c>
      <c r="D2711" t="s">
        <v>35</v>
      </c>
      <c r="E2711" t="s">
        <v>36</v>
      </c>
      <c r="F2711" t="s">
        <v>37</v>
      </c>
      <c r="G2711">
        <v>18252</v>
      </c>
      <c r="H2711" t="s">
        <v>8190</v>
      </c>
      <c r="I2711" t="s">
        <v>8191</v>
      </c>
      <c r="J2711" t="s">
        <v>161</v>
      </c>
      <c r="O2711" t="s">
        <v>8192</v>
      </c>
      <c r="P2711">
        <v>1056</v>
      </c>
      <c r="Q2711">
        <v>1080.5999999999999</v>
      </c>
      <c r="R2711">
        <v>1038.2</v>
      </c>
      <c r="S2711">
        <v>1048.9000000000001</v>
      </c>
      <c r="T2711">
        <v>1041</v>
      </c>
      <c r="U2711">
        <v>1065.9000000000001</v>
      </c>
      <c r="W2711">
        <v>1048.8699999999999</v>
      </c>
      <c r="Z2711">
        <v>32767</v>
      </c>
      <c r="AA2711">
        <v>34374627.299999997</v>
      </c>
      <c r="AB2711">
        <v>3792</v>
      </c>
      <c r="AC2711" t="s">
        <v>42</v>
      </c>
      <c r="AD2711">
        <v>1</v>
      </c>
    </row>
    <row r="2712" spans="1:30">
      <c r="A2712" t="str">
        <f>CONCATENATE(I2712,J2712)</f>
        <v>SALSTEELEQ</v>
      </c>
      <c r="B2712" s="34">
        <v>46273</v>
      </c>
      <c r="C2712" s="34">
        <v>46273</v>
      </c>
      <c r="D2712" t="s">
        <v>35</v>
      </c>
      <c r="E2712" t="s">
        <v>36</v>
      </c>
      <c r="F2712" t="s">
        <v>37</v>
      </c>
      <c r="G2712">
        <v>11634</v>
      </c>
      <c r="H2712" t="s">
        <v>8193</v>
      </c>
      <c r="I2712" t="s">
        <v>8194</v>
      </c>
      <c r="J2712" t="s">
        <v>161</v>
      </c>
      <c r="O2712" t="s">
        <v>8195</v>
      </c>
      <c r="P2712">
        <v>81.5</v>
      </c>
      <c r="Q2712">
        <v>83.4</v>
      </c>
      <c r="R2712">
        <v>78.349999999999994</v>
      </c>
      <c r="S2712">
        <v>79.63</v>
      </c>
      <c r="T2712">
        <v>78.7</v>
      </c>
      <c r="U2712">
        <v>81.8</v>
      </c>
      <c r="W2712">
        <v>79.64</v>
      </c>
      <c r="Z2712">
        <v>555238</v>
      </c>
      <c r="AA2712">
        <v>44980478.119999997</v>
      </c>
      <c r="AB2712">
        <v>3826</v>
      </c>
      <c r="AC2712" t="s">
        <v>42</v>
      </c>
      <c r="AD2712">
        <v>1</v>
      </c>
    </row>
    <row r="2713" spans="1:30">
      <c r="A2713" t="str">
        <f>CONCATENATE(I2713,J2713)</f>
        <v>SAAKSHIST</v>
      </c>
      <c r="B2713" s="34">
        <v>46273</v>
      </c>
      <c r="C2713" s="34">
        <v>46273</v>
      </c>
      <c r="D2713" t="s">
        <v>35</v>
      </c>
      <c r="E2713" t="s">
        <v>36</v>
      </c>
      <c r="F2713" t="s">
        <v>37</v>
      </c>
      <c r="G2713">
        <v>19112</v>
      </c>
      <c r="H2713" t="s">
        <v>8196</v>
      </c>
      <c r="I2713" t="s">
        <v>8197</v>
      </c>
      <c r="J2713" t="s">
        <v>328</v>
      </c>
      <c r="O2713" t="s">
        <v>8198</v>
      </c>
      <c r="P2713">
        <v>321</v>
      </c>
      <c r="Q2713">
        <v>335</v>
      </c>
      <c r="R2713">
        <v>316.10000000000002</v>
      </c>
      <c r="S2713">
        <v>333.8</v>
      </c>
      <c r="T2713">
        <v>332.4</v>
      </c>
      <c r="U2713">
        <v>320.5</v>
      </c>
      <c r="W2713">
        <v>333.8</v>
      </c>
      <c r="Z2713">
        <v>29400</v>
      </c>
      <c r="AA2713">
        <v>9639510</v>
      </c>
      <c r="AB2713">
        <v>44</v>
      </c>
      <c r="AC2713" t="s">
        <v>42</v>
      </c>
      <c r="AD2713">
        <v>600</v>
      </c>
    </row>
    <row r="2714" spans="1:30">
      <c r="A2714" t="str">
        <f>CONCATENATE(I2714,J2714)</f>
        <v>SAATVIKGLEQ</v>
      </c>
      <c r="B2714" s="34">
        <v>46273</v>
      </c>
      <c r="C2714" s="34">
        <v>46273</v>
      </c>
      <c r="D2714" t="s">
        <v>35</v>
      </c>
      <c r="E2714" t="s">
        <v>36</v>
      </c>
      <c r="F2714" t="s">
        <v>37</v>
      </c>
      <c r="G2714">
        <v>759057</v>
      </c>
      <c r="H2714" t="s">
        <v>8199</v>
      </c>
      <c r="I2714" t="s">
        <v>8200</v>
      </c>
      <c r="J2714" t="s">
        <v>161</v>
      </c>
      <c r="O2714" t="s">
        <v>8201</v>
      </c>
      <c r="P2714">
        <v>416.6</v>
      </c>
      <c r="Q2714">
        <v>421.95</v>
      </c>
      <c r="R2714">
        <v>412.2</v>
      </c>
      <c r="S2714">
        <v>415.95</v>
      </c>
      <c r="T2714">
        <v>420</v>
      </c>
      <c r="U2714">
        <v>421</v>
      </c>
      <c r="W2714">
        <v>415.86</v>
      </c>
      <c r="Z2714">
        <v>60306</v>
      </c>
      <c r="AA2714">
        <v>25057510.699999999</v>
      </c>
      <c r="AB2714">
        <v>1665</v>
      </c>
      <c r="AC2714" t="s">
        <v>42</v>
      </c>
      <c r="AD2714">
        <v>1</v>
      </c>
    </row>
    <row r="2715" spans="1:30">
      <c r="A2715" t="str">
        <f>CONCATENATE(I2715,J2715)</f>
        <v>SACHEEROMESM</v>
      </c>
      <c r="B2715" s="34">
        <v>46273</v>
      </c>
      <c r="C2715" s="34">
        <v>46273</v>
      </c>
      <c r="D2715" t="s">
        <v>35</v>
      </c>
      <c r="E2715" t="s">
        <v>36</v>
      </c>
      <c r="F2715" t="s">
        <v>37</v>
      </c>
      <c r="G2715">
        <v>757409</v>
      </c>
      <c r="H2715" t="s">
        <v>8202</v>
      </c>
      <c r="I2715" t="s">
        <v>8203</v>
      </c>
      <c r="J2715" t="s">
        <v>267</v>
      </c>
      <c r="O2715" t="s">
        <v>8204</v>
      </c>
      <c r="P2715">
        <v>523.04999999999995</v>
      </c>
      <c r="Q2715">
        <v>543</v>
      </c>
      <c r="R2715">
        <v>500</v>
      </c>
      <c r="S2715">
        <v>513.29999999999995</v>
      </c>
      <c r="T2715">
        <v>507</v>
      </c>
      <c r="U2715">
        <v>522.54999999999995</v>
      </c>
      <c r="W2715">
        <v>513.29999999999995</v>
      </c>
      <c r="Z2715">
        <v>25500</v>
      </c>
      <c r="AA2715">
        <v>13144635</v>
      </c>
      <c r="AB2715">
        <v>78</v>
      </c>
      <c r="AC2715" t="s">
        <v>42</v>
      </c>
      <c r="AD2715">
        <v>300</v>
      </c>
    </row>
    <row r="2716" spans="1:30">
      <c r="A2716" t="str">
        <f>CONCATENATE(I2716,J2716)</f>
        <v>SADBHAVEQ</v>
      </c>
      <c r="B2716" s="34">
        <v>46273</v>
      </c>
      <c r="C2716" s="34">
        <v>46273</v>
      </c>
      <c r="D2716" t="s">
        <v>35</v>
      </c>
      <c r="E2716" t="s">
        <v>36</v>
      </c>
      <c r="F2716" t="s">
        <v>37</v>
      </c>
      <c r="G2716">
        <v>13236</v>
      </c>
      <c r="H2716" t="s">
        <v>8205</v>
      </c>
      <c r="I2716" t="s">
        <v>8206</v>
      </c>
      <c r="J2716" t="s">
        <v>161</v>
      </c>
      <c r="O2716" t="s">
        <v>8207</v>
      </c>
      <c r="P2716">
        <v>8.0299999999999994</v>
      </c>
      <c r="Q2716">
        <v>8.07</v>
      </c>
      <c r="R2716">
        <v>7.85</v>
      </c>
      <c r="S2716">
        <v>7.99</v>
      </c>
      <c r="T2716">
        <v>7.96</v>
      </c>
      <c r="U2716">
        <v>8.02</v>
      </c>
      <c r="W2716">
        <v>7.99</v>
      </c>
      <c r="Z2716">
        <v>253373</v>
      </c>
      <c r="AA2716">
        <v>2016368.62</v>
      </c>
      <c r="AB2716">
        <v>429</v>
      </c>
      <c r="AC2716" t="s">
        <v>42</v>
      </c>
      <c r="AD2716">
        <v>1</v>
      </c>
    </row>
    <row r="2717" spans="1:30">
      <c r="A2717" t="str">
        <f>CONCATENATE(I2717,J2717)</f>
        <v>SADBHINBE</v>
      </c>
      <c r="B2717" s="34">
        <v>46273</v>
      </c>
      <c r="C2717" s="34">
        <v>46273</v>
      </c>
      <c r="D2717" t="s">
        <v>35</v>
      </c>
      <c r="E2717" t="s">
        <v>36</v>
      </c>
      <c r="F2717" t="s">
        <v>37</v>
      </c>
      <c r="G2717">
        <v>10622</v>
      </c>
      <c r="H2717" t="s">
        <v>8208</v>
      </c>
      <c r="I2717" t="s">
        <v>8209</v>
      </c>
      <c r="J2717" t="s">
        <v>183</v>
      </c>
      <c r="O2717" t="s">
        <v>8210</v>
      </c>
      <c r="P2717">
        <v>2.5499999999999998</v>
      </c>
      <c r="Q2717">
        <v>2.64</v>
      </c>
      <c r="R2717">
        <v>2.5499999999999998</v>
      </c>
      <c r="S2717">
        <v>2.6</v>
      </c>
      <c r="T2717">
        <v>2.63</v>
      </c>
      <c r="U2717">
        <v>2.58</v>
      </c>
      <c r="W2717">
        <v>2.6</v>
      </c>
      <c r="Z2717">
        <v>88193</v>
      </c>
      <c r="AA2717">
        <v>229560.5</v>
      </c>
      <c r="AB2717">
        <v>132</v>
      </c>
      <c r="AC2717" t="s">
        <v>42</v>
      </c>
      <c r="AD2717">
        <v>1</v>
      </c>
    </row>
    <row r="2718" spans="1:30">
      <c r="A2718" t="str">
        <f>CONCATENATE(I2718,J2718)</f>
        <v>SADHNANIQBE</v>
      </c>
      <c r="B2718" s="34">
        <v>46273</v>
      </c>
      <c r="C2718" s="34">
        <v>46273</v>
      </c>
      <c r="D2718" t="s">
        <v>35</v>
      </c>
      <c r="E2718" t="s">
        <v>36</v>
      </c>
      <c r="F2718" t="s">
        <v>37</v>
      </c>
      <c r="G2718">
        <v>15349</v>
      </c>
      <c r="H2718" t="s">
        <v>8211</v>
      </c>
      <c r="I2718" t="s">
        <v>8212</v>
      </c>
      <c r="J2718" t="s">
        <v>183</v>
      </c>
      <c r="O2718" t="s">
        <v>8213</v>
      </c>
      <c r="P2718">
        <v>2.77</v>
      </c>
      <c r="Q2718">
        <v>2.82</v>
      </c>
      <c r="R2718">
        <v>2.77</v>
      </c>
      <c r="S2718">
        <v>2.82</v>
      </c>
      <c r="T2718">
        <v>2.82</v>
      </c>
      <c r="U2718">
        <v>2.77</v>
      </c>
      <c r="W2718">
        <v>2.81</v>
      </c>
      <c r="Z2718">
        <v>2643882</v>
      </c>
      <c r="AA2718">
        <v>7386850.2400000002</v>
      </c>
      <c r="AB2718">
        <v>375</v>
      </c>
      <c r="AC2718" t="s">
        <v>42</v>
      </c>
      <c r="AD2718">
        <v>1</v>
      </c>
    </row>
    <row r="2719" spans="1:30">
      <c r="A2719" t="str">
        <f>CONCATENATE(I2719,J2719)</f>
        <v>SADHAVSM</v>
      </c>
      <c r="B2719" s="34">
        <v>46273</v>
      </c>
      <c r="C2719" s="34">
        <v>46273</v>
      </c>
      <c r="D2719" t="s">
        <v>35</v>
      </c>
      <c r="E2719" t="s">
        <v>36</v>
      </c>
      <c r="F2719" t="s">
        <v>37</v>
      </c>
      <c r="G2719">
        <v>22897</v>
      </c>
      <c r="H2719" t="s">
        <v>8214</v>
      </c>
      <c r="I2719" t="s">
        <v>8215</v>
      </c>
      <c r="J2719" t="s">
        <v>267</v>
      </c>
      <c r="O2719" t="s">
        <v>8216</v>
      </c>
      <c r="P2719">
        <v>110.3</v>
      </c>
      <c r="Q2719">
        <v>112.45</v>
      </c>
      <c r="R2719">
        <v>110.3</v>
      </c>
      <c r="S2719">
        <v>112.45</v>
      </c>
      <c r="T2719">
        <v>112.45</v>
      </c>
      <c r="U2719">
        <v>110.3</v>
      </c>
      <c r="W2719">
        <v>112.45</v>
      </c>
      <c r="Z2719">
        <v>4200</v>
      </c>
      <c r="AA2719">
        <v>469710</v>
      </c>
      <c r="AB2719">
        <v>7</v>
      </c>
      <c r="AC2719" t="s">
        <v>42</v>
      </c>
      <c r="AD2719">
        <v>600</v>
      </c>
    </row>
    <row r="2720" spans="1:30">
      <c r="A2720" t="str">
        <f>CONCATENATE(I2720,J2720)</f>
        <v>SAFARIEQ</v>
      </c>
      <c r="B2720" s="34">
        <v>46273</v>
      </c>
      <c r="C2720" s="34">
        <v>46273</v>
      </c>
      <c r="D2720" t="s">
        <v>35</v>
      </c>
      <c r="E2720" t="s">
        <v>36</v>
      </c>
      <c r="F2720" t="s">
        <v>37</v>
      </c>
      <c r="G2720">
        <v>13035</v>
      </c>
      <c r="H2720" t="s">
        <v>8217</v>
      </c>
      <c r="I2720" t="s">
        <v>8218</v>
      </c>
      <c r="J2720" t="s">
        <v>161</v>
      </c>
      <c r="O2720" t="s">
        <v>8219</v>
      </c>
      <c r="P2720">
        <v>1530</v>
      </c>
      <c r="Q2720">
        <v>1540.9</v>
      </c>
      <c r="R2720">
        <v>1510.4</v>
      </c>
      <c r="S2720">
        <v>1533.7</v>
      </c>
      <c r="T2720">
        <v>1530</v>
      </c>
      <c r="U2720">
        <v>1537.8</v>
      </c>
      <c r="W2720">
        <v>1533.59</v>
      </c>
      <c r="Z2720">
        <v>27701</v>
      </c>
      <c r="AA2720">
        <v>42398348.799999997</v>
      </c>
      <c r="AB2720">
        <v>3671</v>
      </c>
      <c r="AC2720" t="s">
        <v>42</v>
      </c>
      <c r="AD2720">
        <v>1</v>
      </c>
    </row>
    <row r="2721" spans="1:30">
      <c r="A2721" t="str">
        <f>CONCATENATE(I2721,J2721)</f>
        <v>SAFEENTPSM</v>
      </c>
      <c r="B2721" s="34">
        <v>46273</v>
      </c>
      <c r="C2721" s="34">
        <v>46273</v>
      </c>
      <c r="D2721" t="s">
        <v>35</v>
      </c>
      <c r="E2721" t="s">
        <v>36</v>
      </c>
      <c r="F2721" t="s">
        <v>37</v>
      </c>
      <c r="G2721">
        <v>757583</v>
      </c>
      <c r="H2721" t="s">
        <v>8220</v>
      </c>
      <c r="I2721" t="s">
        <v>8221</v>
      </c>
      <c r="J2721" t="s">
        <v>267</v>
      </c>
      <c r="O2721" t="s">
        <v>8222</v>
      </c>
      <c r="P2721">
        <v>271.95</v>
      </c>
      <c r="Q2721">
        <v>272.25</v>
      </c>
      <c r="R2721">
        <v>260</v>
      </c>
      <c r="S2721">
        <v>263.75</v>
      </c>
      <c r="T2721">
        <v>263</v>
      </c>
      <c r="U2721">
        <v>271.95</v>
      </c>
      <c r="W2721">
        <v>263.75</v>
      </c>
      <c r="Z2721">
        <v>30000</v>
      </c>
      <c r="AA2721">
        <v>7956025</v>
      </c>
      <c r="AB2721">
        <v>50</v>
      </c>
      <c r="AC2721" t="s">
        <v>42</v>
      </c>
      <c r="AD2721">
        <v>500</v>
      </c>
    </row>
    <row r="2722" spans="1:30">
      <c r="A2722" t="str">
        <f>CONCATENATE(I2722,J2722)</f>
        <v>SAGCEMEQ</v>
      </c>
      <c r="B2722" s="34">
        <v>46273</v>
      </c>
      <c r="C2722" s="34">
        <v>46273</v>
      </c>
      <c r="D2722" t="s">
        <v>35</v>
      </c>
      <c r="E2722" t="s">
        <v>36</v>
      </c>
      <c r="F2722" t="s">
        <v>37</v>
      </c>
      <c r="G2722">
        <v>14068</v>
      </c>
      <c r="H2722" t="s">
        <v>8223</v>
      </c>
      <c r="I2722" t="s">
        <v>8224</v>
      </c>
      <c r="J2722" t="s">
        <v>161</v>
      </c>
      <c r="O2722" t="s">
        <v>8225</v>
      </c>
      <c r="P2722">
        <v>153.63999999999999</v>
      </c>
      <c r="Q2722">
        <v>155.5</v>
      </c>
      <c r="R2722">
        <v>151.1</v>
      </c>
      <c r="S2722">
        <v>151.82</v>
      </c>
      <c r="T2722">
        <v>151.5</v>
      </c>
      <c r="U2722">
        <v>153.63999999999999</v>
      </c>
      <c r="W2722">
        <v>151.82</v>
      </c>
      <c r="Z2722">
        <v>108825</v>
      </c>
      <c r="AA2722">
        <v>16656491.6</v>
      </c>
      <c r="AB2722">
        <v>610</v>
      </c>
      <c r="AC2722" t="s">
        <v>42</v>
      </c>
      <c r="AD2722">
        <v>1</v>
      </c>
    </row>
    <row r="2723" spans="1:30">
      <c r="A2723" t="str">
        <f>CONCATENATE(I2723,J2723)</f>
        <v>SAGARDEEPEQ</v>
      </c>
      <c r="B2723" s="34">
        <v>46273</v>
      </c>
      <c r="C2723" s="34">
        <v>46273</v>
      </c>
      <c r="D2723" t="s">
        <v>35</v>
      </c>
      <c r="E2723" t="s">
        <v>36</v>
      </c>
      <c r="F2723" t="s">
        <v>37</v>
      </c>
      <c r="G2723">
        <v>8175</v>
      </c>
      <c r="H2723" t="s">
        <v>8226</v>
      </c>
      <c r="I2723" t="s">
        <v>8227</v>
      </c>
      <c r="J2723" t="s">
        <v>161</v>
      </c>
      <c r="O2723" t="s">
        <v>8228</v>
      </c>
      <c r="P2723">
        <v>24.8</v>
      </c>
      <c r="Q2723">
        <v>24.8</v>
      </c>
      <c r="R2723">
        <v>23.4</v>
      </c>
      <c r="S2723">
        <v>23.98</v>
      </c>
      <c r="T2723">
        <v>24</v>
      </c>
      <c r="U2723">
        <v>23.64</v>
      </c>
      <c r="W2723">
        <v>23.98</v>
      </c>
      <c r="Z2723">
        <v>8342</v>
      </c>
      <c r="AA2723">
        <v>199969.69</v>
      </c>
      <c r="AB2723">
        <v>65</v>
      </c>
      <c r="AC2723" t="s">
        <v>42</v>
      </c>
      <c r="AD2723">
        <v>1</v>
      </c>
    </row>
    <row r="2724" spans="1:30">
      <c r="A2724" t="str">
        <f>CONCATENATE(I2724,J2724)</f>
        <v>SAGILITYEQ</v>
      </c>
      <c r="B2724" s="34">
        <v>46273</v>
      </c>
      <c r="C2724" s="34">
        <v>46273</v>
      </c>
      <c r="D2724" t="s">
        <v>35</v>
      </c>
      <c r="E2724" t="s">
        <v>36</v>
      </c>
      <c r="F2724" t="s">
        <v>37</v>
      </c>
      <c r="G2724">
        <v>27052</v>
      </c>
      <c r="H2724" t="s">
        <v>8229</v>
      </c>
      <c r="I2724" t="s">
        <v>8230</v>
      </c>
      <c r="J2724" t="s">
        <v>161</v>
      </c>
      <c r="O2724" t="s">
        <v>8231</v>
      </c>
      <c r="P2724">
        <v>45.9</v>
      </c>
      <c r="Q2724">
        <v>46.05</v>
      </c>
      <c r="R2724">
        <v>45.19</v>
      </c>
      <c r="S2724">
        <v>45.7</v>
      </c>
      <c r="T2724">
        <v>45.7</v>
      </c>
      <c r="U2724">
        <v>45.95</v>
      </c>
      <c r="W2724">
        <v>45.7</v>
      </c>
      <c r="Z2724">
        <v>14824946</v>
      </c>
      <c r="AA2724">
        <v>675394529.35000002</v>
      </c>
      <c r="AB2724">
        <v>21668</v>
      </c>
      <c r="AC2724" t="s">
        <v>42</v>
      </c>
      <c r="AD2724">
        <v>1</v>
      </c>
    </row>
    <row r="2725" spans="1:30">
      <c r="A2725" t="str">
        <f>CONCATENATE(I2725,J2725)</f>
        <v>SAHAJSOLARSM</v>
      </c>
      <c r="B2725" s="34">
        <v>46273</v>
      </c>
      <c r="C2725" s="34">
        <v>46273</v>
      </c>
      <c r="D2725" t="s">
        <v>35</v>
      </c>
      <c r="E2725" t="s">
        <v>36</v>
      </c>
      <c r="F2725" t="s">
        <v>37</v>
      </c>
      <c r="G2725">
        <v>24478</v>
      </c>
      <c r="H2725" t="s">
        <v>8232</v>
      </c>
      <c r="I2725" t="s">
        <v>8233</v>
      </c>
      <c r="J2725" t="s">
        <v>267</v>
      </c>
      <c r="O2725" t="s">
        <v>8234</v>
      </c>
      <c r="P2725">
        <v>98.5</v>
      </c>
      <c r="Q2725">
        <v>98.5</v>
      </c>
      <c r="R2725">
        <v>92</v>
      </c>
      <c r="S2725">
        <v>94.3</v>
      </c>
      <c r="T2725">
        <v>92</v>
      </c>
      <c r="U2725">
        <v>98.5</v>
      </c>
      <c r="W2725">
        <v>94.3</v>
      </c>
      <c r="Z2725">
        <v>18400</v>
      </c>
      <c r="AA2725">
        <v>1753460</v>
      </c>
      <c r="AB2725">
        <v>40</v>
      </c>
      <c r="AC2725" t="s">
        <v>42</v>
      </c>
      <c r="AD2725">
        <v>400</v>
      </c>
    </row>
    <row r="2726" spans="1:30">
      <c r="A2726" t="str">
        <f>CONCATENATE(I2726,J2726)</f>
        <v>SAHANASM</v>
      </c>
      <c r="B2726" s="34">
        <v>46273</v>
      </c>
      <c r="C2726" s="34">
        <v>46273</v>
      </c>
      <c r="D2726" t="s">
        <v>35</v>
      </c>
      <c r="E2726" t="s">
        <v>36</v>
      </c>
      <c r="F2726" t="s">
        <v>37</v>
      </c>
      <c r="G2726">
        <v>16711</v>
      </c>
      <c r="H2726" t="s">
        <v>8235</v>
      </c>
      <c r="I2726" t="s">
        <v>8236</v>
      </c>
      <c r="J2726" t="s">
        <v>267</v>
      </c>
      <c r="O2726" t="s">
        <v>8237</v>
      </c>
      <c r="P2726">
        <v>924.5</v>
      </c>
      <c r="Q2726">
        <v>934.75</v>
      </c>
      <c r="R2726">
        <v>880</v>
      </c>
      <c r="S2726">
        <v>887.85</v>
      </c>
      <c r="T2726">
        <v>885</v>
      </c>
      <c r="U2726">
        <v>923.05</v>
      </c>
      <c r="W2726">
        <v>887.85</v>
      </c>
      <c r="Z2726">
        <v>37650</v>
      </c>
      <c r="AA2726">
        <v>34318005</v>
      </c>
      <c r="AB2726">
        <v>159</v>
      </c>
      <c r="AC2726" t="s">
        <v>42</v>
      </c>
      <c r="AD2726">
        <v>150</v>
      </c>
    </row>
    <row r="2727" spans="1:30">
      <c r="A2727" t="str">
        <f>CONCATENATE(I2727,J2727)</f>
        <v>SAHASRASM</v>
      </c>
      <c r="B2727" s="34">
        <v>46273</v>
      </c>
      <c r="C2727" s="34">
        <v>46273</v>
      </c>
      <c r="D2727" t="s">
        <v>35</v>
      </c>
      <c r="E2727" t="s">
        <v>36</v>
      </c>
      <c r="F2727" t="s">
        <v>37</v>
      </c>
      <c r="G2727">
        <v>25668</v>
      </c>
      <c r="H2727" t="s">
        <v>8238</v>
      </c>
      <c r="I2727" t="s">
        <v>8239</v>
      </c>
      <c r="J2727" t="s">
        <v>267</v>
      </c>
      <c r="O2727" t="s">
        <v>8240</v>
      </c>
      <c r="P2727">
        <v>298.35000000000002</v>
      </c>
      <c r="Q2727">
        <v>307.45</v>
      </c>
      <c r="R2727">
        <v>297.5</v>
      </c>
      <c r="S2727">
        <v>305.75</v>
      </c>
      <c r="T2727">
        <v>304</v>
      </c>
      <c r="U2727">
        <v>298.35000000000002</v>
      </c>
      <c r="W2727">
        <v>305.75</v>
      </c>
      <c r="Z2727">
        <v>70000</v>
      </c>
      <c r="AA2727">
        <v>21225280</v>
      </c>
      <c r="AB2727">
        <v>72</v>
      </c>
      <c r="AC2727" t="s">
        <v>42</v>
      </c>
      <c r="AD2727">
        <v>400</v>
      </c>
    </row>
    <row r="2728" spans="1:30">
      <c r="A2728" t="str">
        <f>CONCATENATE(I2728,J2728)</f>
        <v>SAHYADRIEQ</v>
      </c>
      <c r="B2728" s="34">
        <v>46273</v>
      </c>
      <c r="C2728" s="34">
        <v>46273</v>
      </c>
      <c r="D2728" t="s">
        <v>35</v>
      </c>
      <c r="E2728" t="s">
        <v>36</v>
      </c>
      <c r="F2728" t="s">
        <v>37</v>
      </c>
      <c r="G2728">
        <v>14900</v>
      </c>
      <c r="H2728" t="s">
        <v>8241</v>
      </c>
      <c r="I2728" t="s">
        <v>8242</v>
      </c>
      <c r="J2728" t="s">
        <v>161</v>
      </c>
      <c r="O2728" t="s">
        <v>8243</v>
      </c>
      <c r="P2728">
        <v>391.3</v>
      </c>
      <c r="Q2728">
        <v>395</v>
      </c>
      <c r="R2728">
        <v>373.05</v>
      </c>
      <c r="S2728">
        <v>385</v>
      </c>
      <c r="T2728">
        <v>383.4</v>
      </c>
      <c r="U2728">
        <v>394.55</v>
      </c>
      <c r="W2728">
        <v>385</v>
      </c>
      <c r="Z2728">
        <v>18574</v>
      </c>
      <c r="AA2728">
        <v>7090697.25</v>
      </c>
      <c r="AB2728">
        <v>939</v>
      </c>
      <c r="AC2728" t="s">
        <v>42</v>
      </c>
      <c r="AD2728">
        <v>1</v>
      </c>
    </row>
    <row r="2729" spans="1:30">
      <c r="A2729" t="str">
        <f>CONCATENATE(I2729,J2729)</f>
        <v>SAICAPIEQ</v>
      </c>
      <c r="B2729" s="34">
        <v>46273</v>
      </c>
      <c r="C2729" s="34">
        <v>46273</v>
      </c>
      <c r="D2729" t="s">
        <v>35</v>
      </c>
      <c r="E2729" t="s">
        <v>36</v>
      </c>
      <c r="F2729" t="s">
        <v>37</v>
      </c>
      <c r="G2729">
        <v>764865</v>
      </c>
      <c r="H2729" t="s">
        <v>8244</v>
      </c>
      <c r="I2729" t="s">
        <v>8245</v>
      </c>
      <c r="J2729" t="s">
        <v>161</v>
      </c>
      <c r="O2729" t="s">
        <v>8246</v>
      </c>
      <c r="P2729">
        <v>142</v>
      </c>
      <c r="Q2729">
        <v>155</v>
      </c>
      <c r="R2729">
        <v>142</v>
      </c>
      <c r="S2729">
        <v>151.11000000000001</v>
      </c>
      <c r="T2729">
        <v>151.6</v>
      </c>
      <c r="U2729">
        <v>141.6</v>
      </c>
      <c r="W2729">
        <v>152.74</v>
      </c>
      <c r="Z2729">
        <v>716</v>
      </c>
      <c r="AA2729">
        <v>108206.87</v>
      </c>
      <c r="AB2729">
        <v>72</v>
      </c>
      <c r="AC2729" t="s">
        <v>42</v>
      </c>
      <c r="AD2729">
        <v>1</v>
      </c>
    </row>
    <row r="2730" spans="1:30">
      <c r="A2730" t="str">
        <f>CONCATENATE(I2730,J2730)</f>
        <v>SAILIFEEQ</v>
      </c>
      <c r="B2730" s="34">
        <v>46273</v>
      </c>
      <c r="C2730" s="34">
        <v>46273</v>
      </c>
      <c r="D2730" t="s">
        <v>35</v>
      </c>
      <c r="E2730" t="s">
        <v>36</v>
      </c>
      <c r="F2730" t="s">
        <v>37</v>
      </c>
      <c r="G2730">
        <v>27839</v>
      </c>
      <c r="H2730" t="s">
        <v>8247</v>
      </c>
      <c r="I2730" t="s">
        <v>8248</v>
      </c>
      <c r="J2730" t="s">
        <v>161</v>
      </c>
      <c r="O2730" t="s">
        <v>8249</v>
      </c>
      <c r="P2730">
        <v>1579.6</v>
      </c>
      <c r="Q2730">
        <v>1657.2</v>
      </c>
      <c r="R2730">
        <v>1574</v>
      </c>
      <c r="S2730">
        <v>1647.1</v>
      </c>
      <c r="T2730">
        <v>1650</v>
      </c>
      <c r="U2730">
        <v>1579.6</v>
      </c>
      <c r="W2730">
        <v>1647.09</v>
      </c>
      <c r="Z2730">
        <v>1414082</v>
      </c>
      <c r="AA2730">
        <v>2312091312.9000001</v>
      </c>
      <c r="AB2730">
        <v>68911</v>
      </c>
      <c r="AC2730" t="s">
        <v>42</v>
      </c>
      <c r="AD2730">
        <v>1</v>
      </c>
    </row>
    <row r="2731" spans="1:30">
      <c r="A2731" t="str">
        <f>CONCATENATE(I2731,J2731)</f>
        <v>SAIPARENTEQ</v>
      </c>
      <c r="B2731" s="34">
        <v>46273</v>
      </c>
      <c r="C2731" s="34">
        <v>46273</v>
      </c>
      <c r="D2731" t="s">
        <v>35</v>
      </c>
      <c r="E2731" t="s">
        <v>36</v>
      </c>
      <c r="F2731" t="s">
        <v>37</v>
      </c>
      <c r="G2731">
        <v>761675</v>
      </c>
      <c r="H2731" t="s">
        <v>8250</v>
      </c>
      <c r="I2731" t="s">
        <v>8251</v>
      </c>
      <c r="J2731" t="s">
        <v>161</v>
      </c>
      <c r="O2731" t="s">
        <v>8252</v>
      </c>
      <c r="P2731">
        <v>520.75</v>
      </c>
      <c r="Q2731">
        <v>534</v>
      </c>
      <c r="R2731">
        <v>518</v>
      </c>
      <c r="S2731">
        <v>529.70000000000005</v>
      </c>
      <c r="T2731">
        <v>532.35</v>
      </c>
      <c r="U2731">
        <v>516.45000000000005</v>
      </c>
      <c r="W2731">
        <v>529.66999999999996</v>
      </c>
      <c r="Z2731">
        <v>63249</v>
      </c>
      <c r="AA2731">
        <v>33444205.300000001</v>
      </c>
      <c r="AB2731">
        <v>2718</v>
      </c>
      <c r="AC2731" t="s">
        <v>42</v>
      </c>
      <c r="AD2731">
        <v>1</v>
      </c>
    </row>
    <row r="2732" spans="1:30">
      <c r="A2732" t="str">
        <f>CONCATENATE(I2732,J2732)</f>
        <v>KALAMANDIREQ</v>
      </c>
      <c r="B2732" s="34">
        <v>46273</v>
      </c>
      <c r="C2732" s="34">
        <v>46273</v>
      </c>
      <c r="D2732" t="s">
        <v>35</v>
      </c>
      <c r="E2732" t="s">
        <v>36</v>
      </c>
      <c r="F2732" t="s">
        <v>37</v>
      </c>
      <c r="G2732">
        <v>18755</v>
      </c>
      <c r="H2732" t="s">
        <v>8253</v>
      </c>
      <c r="I2732" t="s">
        <v>8254</v>
      </c>
      <c r="J2732" t="s">
        <v>161</v>
      </c>
      <c r="O2732" t="s">
        <v>8255</v>
      </c>
      <c r="P2732">
        <v>85.52</v>
      </c>
      <c r="Q2732">
        <v>86.4</v>
      </c>
      <c r="R2732">
        <v>84.5</v>
      </c>
      <c r="S2732">
        <v>85.37</v>
      </c>
      <c r="T2732">
        <v>85.55</v>
      </c>
      <c r="U2732">
        <v>85.93</v>
      </c>
      <c r="W2732">
        <v>85.37</v>
      </c>
      <c r="Z2732">
        <v>434600</v>
      </c>
      <c r="AA2732">
        <v>36976391.539999999</v>
      </c>
      <c r="AB2732">
        <v>3072</v>
      </c>
      <c r="AC2732" t="s">
        <v>42</v>
      </c>
      <c r="AD2732">
        <v>1</v>
      </c>
    </row>
    <row r="2733" spans="1:30">
      <c r="A2733" t="str">
        <f>CONCATENATE(I2733,J2733)</f>
        <v>SEKURITINDEQ</v>
      </c>
      <c r="B2733" s="34">
        <v>46273</v>
      </c>
      <c r="C2733" s="34">
        <v>46273</v>
      </c>
      <c r="D2733" t="s">
        <v>35</v>
      </c>
      <c r="E2733" t="s">
        <v>36</v>
      </c>
      <c r="F2733" t="s">
        <v>37</v>
      </c>
      <c r="G2733">
        <v>764880</v>
      </c>
      <c r="H2733" t="s">
        <v>8256</v>
      </c>
      <c r="I2733" t="s">
        <v>8257</v>
      </c>
      <c r="J2733" t="s">
        <v>161</v>
      </c>
      <c r="O2733" t="s">
        <v>8258</v>
      </c>
      <c r="P2733">
        <v>114.7</v>
      </c>
      <c r="Q2733">
        <v>114.84</v>
      </c>
      <c r="R2733">
        <v>112.7</v>
      </c>
      <c r="S2733">
        <v>113.19</v>
      </c>
      <c r="T2733">
        <v>113.89</v>
      </c>
      <c r="U2733">
        <v>114.16</v>
      </c>
      <c r="W2733">
        <v>113.23</v>
      </c>
      <c r="Z2733">
        <v>28488</v>
      </c>
      <c r="AA2733">
        <v>3234389.53</v>
      </c>
      <c r="AB2733">
        <v>322</v>
      </c>
      <c r="AC2733" t="s">
        <v>42</v>
      </c>
      <c r="AD2733">
        <v>1</v>
      </c>
    </row>
    <row r="2734" spans="1:30">
      <c r="A2734" t="str">
        <f>CONCATENATE(I2734,J2734)</f>
        <v>SAKAREQ</v>
      </c>
      <c r="B2734" s="34">
        <v>46273</v>
      </c>
      <c r="C2734" s="34">
        <v>46273</v>
      </c>
      <c r="D2734" t="s">
        <v>35</v>
      </c>
      <c r="E2734" t="s">
        <v>36</v>
      </c>
      <c r="F2734" t="s">
        <v>37</v>
      </c>
      <c r="G2734">
        <v>9539</v>
      </c>
      <c r="H2734" t="s">
        <v>8259</v>
      </c>
      <c r="I2734" t="s">
        <v>8260</v>
      </c>
      <c r="J2734" t="s">
        <v>161</v>
      </c>
      <c r="O2734" t="s">
        <v>8261</v>
      </c>
      <c r="P2734">
        <v>1140</v>
      </c>
      <c r="Q2734">
        <v>1211</v>
      </c>
      <c r="R2734">
        <v>1112.05</v>
      </c>
      <c r="S2734">
        <v>1157.8499999999999</v>
      </c>
      <c r="T2734">
        <v>1175</v>
      </c>
      <c r="U2734">
        <v>1109.2</v>
      </c>
      <c r="W2734">
        <v>1157.8499999999999</v>
      </c>
      <c r="Z2734">
        <v>580120</v>
      </c>
      <c r="AA2734">
        <v>678285257.10000002</v>
      </c>
      <c r="AB2734">
        <v>38719</v>
      </c>
      <c r="AC2734" t="s">
        <v>42</v>
      </c>
      <c r="AD2734">
        <v>1</v>
      </c>
    </row>
    <row r="2735" spans="1:30">
      <c r="A2735" t="str">
        <f>CONCATENATE(I2735,J2735)</f>
        <v>SAKSOFTEQ</v>
      </c>
      <c r="B2735" s="34">
        <v>46273</v>
      </c>
      <c r="C2735" s="34">
        <v>46273</v>
      </c>
      <c r="D2735" t="s">
        <v>35</v>
      </c>
      <c r="E2735" t="s">
        <v>36</v>
      </c>
      <c r="F2735" t="s">
        <v>37</v>
      </c>
      <c r="G2735">
        <v>11794</v>
      </c>
      <c r="H2735" t="s">
        <v>8262</v>
      </c>
      <c r="I2735" t="s">
        <v>8263</v>
      </c>
      <c r="J2735" t="s">
        <v>161</v>
      </c>
      <c r="O2735" t="s">
        <v>8264</v>
      </c>
      <c r="P2735">
        <v>150.52000000000001</v>
      </c>
      <c r="Q2735">
        <v>151.97999999999999</v>
      </c>
      <c r="R2735">
        <v>149.19999999999999</v>
      </c>
      <c r="S2735">
        <v>149.97999999999999</v>
      </c>
      <c r="T2735">
        <v>150</v>
      </c>
      <c r="U2735">
        <v>151.77000000000001</v>
      </c>
      <c r="W2735">
        <v>149.97999999999999</v>
      </c>
      <c r="Z2735">
        <v>215339</v>
      </c>
      <c r="AA2735">
        <v>32382138.350000001</v>
      </c>
      <c r="AB2735">
        <v>3460</v>
      </c>
      <c r="AC2735" t="s">
        <v>42</v>
      </c>
      <c r="AD2735">
        <v>1</v>
      </c>
    </row>
    <row r="2736" spans="1:30">
      <c r="A2736" t="str">
        <f>CONCATENATE(I2736,J2736)</f>
        <v>SAKHTISUGEQ</v>
      </c>
      <c r="B2736" s="34">
        <v>46273</v>
      </c>
      <c r="C2736" s="34">
        <v>46273</v>
      </c>
      <c r="D2736" t="s">
        <v>35</v>
      </c>
      <c r="E2736" t="s">
        <v>36</v>
      </c>
      <c r="F2736" t="s">
        <v>37</v>
      </c>
      <c r="G2736">
        <v>2969</v>
      </c>
      <c r="H2736" t="s">
        <v>8265</v>
      </c>
      <c r="I2736" t="s">
        <v>8266</v>
      </c>
      <c r="J2736" t="s">
        <v>161</v>
      </c>
      <c r="O2736" t="s">
        <v>8267</v>
      </c>
      <c r="P2736">
        <v>19.88</v>
      </c>
      <c r="Q2736">
        <v>20.239999999999998</v>
      </c>
      <c r="R2736">
        <v>19.649999999999999</v>
      </c>
      <c r="S2736">
        <v>19.93</v>
      </c>
      <c r="T2736">
        <v>19.809999999999999</v>
      </c>
      <c r="U2736">
        <v>19.96</v>
      </c>
      <c r="W2736">
        <v>19.93</v>
      </c>
      <c r="Z2736">
        <v>106321</v>
      </c>
      <c r="AA2736">
        <v>2118112.59</v>
      </c>
      <c r="AB2736">
        <v>551</v>
      </c>
      <c r="AC2736" t="s">
        <v>42</v>
      </c>
      <c r="AD2736">
        <v>1</v>
      </c>
    </row>
    <row r="2737" spans="1:30">
      <c r="A2737" t="str">
        <f>CONCATENATE(I2737,J2737)</f>
        <v>SAKUMAEQ</v>
      </c>
      <c r="B2737" s="34">
        <v>46273</v>
      </c>
      <c r="C2737" s="34">
        <v>46273</v>
      </c>
      <c r="D2737" t="s">
        <v>35</v>
      </c>
      <c r="E2737" t="s">
        <v>36</v>
      </c>
      <c r="F2737" t="s">
        <v>37</v>
      </c>
      <c r="G2737">
        <v>13251</v>
      </c>
      <c r="H2737" t="s">
        <v>8268</v>
      </c>
      <c r="I2737" t="s">
        <v>8269</v>
      </c>
      <c r="J2737" t="s">
        <v>161</v>
      </c>
      <c r="O2737" t="s">
        <v>8270</v>
      </c>
      <c r="P2737">
        <v>1.63</v>
      </c>
      <c r="Q2737">
        <v>1.64</v>
      </c>
      <c r="R2737">
        <v>1.61</v>
      </c>
      <c r="S2737">
        <v>1.63</v>
      </c>
      <c r="T2737">
        <v>1.63</v>
      </c>
      <c r="U2737">
        <v>1.62</v>
      </c>
      <c r="W2737">
        <v>1.63</v>
      </c>
      <c r="Z2737">
        <v>612558</v>
      </c>
      <c r="AA2737">
        <v>997423.81</v>
      </c>
      <c r="AB2737">
        <v>636</v>
      </c>
      <c r="AC2737" t="s">
        <v>42</v>
      </c>
      <c r="AD2737">
        <v>1</v>
      </c>
    </row>
    <row r="2738" spans="1:30">
      <c r="A2738" t="str">
        <f>CONCATENATE(I2738,J2738)</f>
        <v>SALASAREQ</v>
      </c>
      <c r="B2738" s="34">
        <v>46273</v>
      </c>
      <c r="C2738" s="34">
        <v>46273</v>
      </c>
      <c r="D2738" t="s">
        <v>35</v>
      </c>
      <c r="E2738" t="s">
        <v>36</v>
      </c>
      <c r="F2738" t="s">
        <v>37</v>
      </c>
      <c r="G2738">
        <v>21362</v>
      </c>
      <c r="H2738" t="s">
        <v>8271</v>
      </c>
      <c r="I2738" t="s">
        <v>8272</v>
      </c>
      <c r="J2738" t="s">
        <v>161</v>
      </c>
      <c r="O2738" t="s">
        <v>8273</v>
      </c>
      <c r="P2738">
        <v>5.05</v>
      </c>
      <c r="Q2738">
        <v>5.19</v>
      </c>
      <c r="R2738">
        <v>5</v>
      </c>
      <c r="S2738">
        <v>5.14</v>
      </c>
      <c r="T2738">
        <v>5.15</v>
      </c>
      <c r="U2738">
        <v>5.09</v>
      </c>
      <c r="W2738">
        <v>5.14</v>
      </c>
      <c r="Z2738">
        <v>4457217</v>
      </c>
      <c r="AA2738">
        <v>22566547.460000001</v>
      </c>
      <c r="AB2738">
        <v>3488</v>
      </c>
      <c r="AC2738" t="s">
        <v>42</v>
      </c>
      <c r="AD2738">
        <v>1</v>
      </c>
    </row>
    <row r="2739" spans="1:30">
      <c r="A2739" t="str">
        <f>CONCATENATE(I2739,J2739)</f>
        <v>SALONAEQ</v>
      </c>
      <c r="B2739" s="34">
        <v>46273</v>
      </c>
      <c r="C2739" s="34">
        <v>46273</v>
      </c>
      <c r="D2739" t="s">
        <v>35</v>
      </c>
      <c r="E2739" t="s">
        <v>36</v>
      </c>
      <c r="F2739" t="s">
        <v>37</v>
      </c>
      <c r="G2739">
        <v>17351</v>
      </c>
      <c r="H2739" t="s">
        <v>8274</v>
      </c>
      <c r="I2739" t="s">
        <v>8275</v>
      </c>
      <c r="J2739" t="s">
        <v>161</v>
      </c>
      <c r="O2739" t="s">
        <v>8276</v>
      </c>
      <c r="P2739">
        <v>260.8</v>
      </c>
      <c r="Q2739">
        <v>263.75</v>
      </c>
      <c r="R2739">
        <v>251.95</v>
      </c>
      <c r="S2739">
        <v>259.3</v>
      </c>
      <c r="T2739">
        <v>261.95</v>
      </c>
      <c r="U2739">
        <v>263.45</v>
      </c>
      <c r="W2739">
        <v>259.3</v>
      </c>
      <c r="Z2739">
        <v>508</v>
      </c>
      <c r="AA2739">
        <v>131179.45000000001</v>
      </c>
      <c r="AB2739">
        <v>52</v>
      </c>
      <c r="AC2739" t="s">
        <v>42</v>
      </c>
      <c r="AD2739">
        <v>1</v>
      </c>
    </row>
    <row r="2740" spans="1:30">
      <c r="A2740" t="str">
        <f>CONCATENATE(I2740,J2740)</f>
        <v>SALZERELECEQ</v>
      </c>
      <c r="B2740" s="34">
        <v>46273</v>
      </c>
      <c r="C2740" s="34">
        <v>46273</v>
      </c>
      <c r="D2740" t="s">
        <v>35</v>
      </c>
      <c r="E2740" t="s">
        <v>36</v>
      </c>
      <c r="F2740" t="s">
        <v>37</v>
      </c>
      <c r="G2740">
        <v>11399</v>
      </c>
      <c r="H2740" t="s">
        <v>8277</v>
      </c>
      <c r="I2740" t="s">
        <v>8278</v>
      </c>
      <c r="J2740" t="s">
        <v>161</v>
      </c>
      <c r="O2740" t="s">
        <v>8279</v>
      </c>
      <c r="P2740">
        <v>551.6</v>
      </c>
      <c r="Q2740">
        <v>572.95000000000005</v>
      </c>
      <c r="R2740">
        <v>544</v>
      </c>
      <c r="S2740">
        <v>550.54999999999995</v>
      </c>
      <c r="T2740">
        <v>548.20000000000005</v>
      </c>
      <c r="U2740">
        <v>551.1</v>
      </c>
      <c r="W2740">
        <v>550.54</v>
      </c>
      <c r="Z2740">
        <v>56573</v>
      </c>
      <c r="AA2740">
        <v>31378903.350000001</v>
      </c>
      <c r="AB2740">
        <v>3021</v>
      </c>
      <c r="AC2740" t="s">
        <v>42</v>
      </c>
      <c r="AD2740">
        <v>1</v>
      </c>
    </row>
    <row r="2741" spans="1:30">
      <c r="A2741" t="str">
        <f>CONCATENATE(I2741,J2741)</f>
        <v>SAMAYST</v>
      </c>
      <c r="B2741" s="34">
        <v>46273</v>
      </c>
      <c r="C2741" s="34">
        <v>46273</v>
      </c>
      <c r="D2741" t="s">
        <v>35</v>
      </c>
      <c r="E2741" t="s">
        <v>36</v>
      </c>
      <c r="F2741" t="s">
        <v>37</v>
      </c>
      <c r="G2741">
        <v>756851</v>
      </c>
      <c r="H2741" t="s">
        <v>8280</v>
      </c>
      <c r="I2741" t="s">
        <v>8281</v>
      </c>
      <c r="J2741" t="s">
        <v>328</v>
      </c>
      <c r="O2741" t="s">
        <v>8282</v>
      </c>
      <c r="P2741">
        <v>46</v>
      </c>
      <c r="Q2741">
        <v>46</v>
      </c>
      <c r="R2741">
        <v>46</v>
      </c>
      <c r="S2741">
        <v>46</v>
      </c>
      <c r="T2741">
        <v>46</v>
      </c>
      <c r="U2741">
        <v>45</v>
      </c>
      <c r="W2741">
        <v>46</v>
      </c>
      <c r="Z2741">
        <v>8000</v>
      </c>
      <c r="AA2741">
        <v>368000</v>
      </c>
      <c r="AB2741">
        <v>2</v>
      </c>
      <c r="AC2741" t="s">
        <v>42</v>
      </c>
      <c r="AD2741">
        <v>4000</v>
      </c>
    </row>
    <row r="2742" spans="1:30">
      <c r="A2742" t="str">
        <f>CONCATENATE(I2742,J2742)</f>
        <v>SAMBANDAMEQ</v>
      </c>
      <c r="B2742" s="34">
        <v>46273</v>
      </c>
      <c r="C2742" s="34">
        <v>46273</v>
      </c>
      <c r="D2742" t="s">
        <v>35</v>
      </c>
      <c r="E2742" t="s">
        <v>36</v>
      </c>
      <c r="F2742" t="s">
        <v>37</v>
      </c>
      <c r="G2742">
        <v>764870</v>
      </c>
      <c r="H2742" t="s">
        <v>8283</v>
      </c>
      <c r="I2742" t="s">
        <v>8284</v>
      </c>
      <c r="J2742" t="s">
        <v>161</v>
      </c>
      <c r="O2742" t="s">
        <v>8285</v>
      </c>
      <c r="P2742">
        <v>119.99</v>
      </c>
      <c r="Q2742">
        <v>120</v>
      </c>
      <c r="R2742">
        <v>118</v>
      </c>
      <c r="S2742">
        <v>118</v>
      </c>
      <c r="T2742">
        <v>118</v>
      </c>
      <c r="U2742">
        <v>120.4</v>
      </c>
      <c r="W2742">
        <v>118</v>
      </c>
      <c r="Z2742">
        <v>168</v>
      </c>
      <c r="AA2742">
        <v>19984.740000000002</v>
      </c>
      <c r="AB2742">
        <v>13</v>
      </c>
      <c r="AC2742" t="s">
        <v>42</v>
      </c>
      <c r="AD2742">
        <v>1</v>
      </c>
    </row>
    <row r="2743" spans="1:30">
      <c r="A2743" t="str">
        <f>CONCATENATE(I2743,J2743)</f>
        <v>SAMBHAAVEQ</v>
      </c>
      <c r="B2743" s="34">
        <v>46273</v>
      </c>
      <c r="C2743" s="34">
        <v>46273</v>
      </c>
      <c r="D2743" t="s">
        <v>35</v>
      </c>
      <c r="E2743" t="s">
        <v>36</v>
      </c>
      <c r="F2743" t="s">
        <v>37</v>
      </c>
      <c r="G2743">
        <v>4127</v>
      </c>
      <c r="H2743" t="s">
        <v>8286</v>
      </c>
      <c r="I2743" t="s">
        <v>8287</v>
      </c>
      <c r="J2743" t="s">
        <v>161</v>
      </c>
      <c r="O2743" t="s">
        <v>8288</v>
      </c>
      <c r="P2743">
        <v>5.85</v>
      </c>
      <c r="Q2743">
        <v>6.02</v>
      </c>
      <c r="R2743">
        <v>5.66</v>
      </c>
      <c r="S2743">
        <v>5.96</v>
      </c>
      <c r="T2743">
        <v>5.98</v>
      </c>
      <c r="U2743">
        <v>5.85</v>
      </c>
      <c r="W2743">
        <v>5.97</v>
      </c>
      <c r="Z2743">
        <v>13109</v>
      </c>
      <c r="AA2743">
        <v>77361.86</v>
      </c>
      <c r="AB2743">
        <v>78</v>
      </c>
      <c r="AC2743" t="s">
        <v>42</v>
      </c>
      <c r="AD2743">
        <v>1</v>
      </c>
    </row>
    <row r="2744" spans="1:30">
      <c r="A2744" t="str">
        <f>CONCATENATE(I2744,J2744)</f>
        <v>SAMBHVEQ</v>
      </c>
      <c r="B2744" s="34">
        <v>46273</v>
      </c>
      <c r="C2744" s="34">
        <v>46273</v>
      </c>
      <c r="D2744" t="s">
        <v>35</v>
      </c>
      <c r="E2744" t="s">
        <v>36</v>
      </c>
      <c r="F2744" t="s">
        <v>37</v>
      </c>
      <c r="G2744">
        <v>757767</v>
      </c>
      <c r="H2744" t="s">
        <v>8289</v>
      </c>
      <c r="I2744" t="s">
        <v>8290</v>
      </c>
      <c r="J2744" t="s">
        <v>161</v>
      </c>
      <c r="O2744" t="s">
        <v>8291</v>
      </c>
      <c r="P2744">
        <v>134.75</v>
      </c>
      <c r="Q2744">
        <v>134.83000000000001</v>
      </c>
      <c r="R2744">
        <v>126.98</v>
      </c>
      <c r="S2744">
        <v>128.66999999999999</v>
      </c>
      <c r="T2744">
        <v>128.99</v>
      </c>
      <c r="U2744">
        <v>133.53</v>
      </c>
      <c r="W2744">
        <v>128.66999999999999</v>
      </c>
      <c r="Z2744">
        <v>1530368</v>
      </c>
      <c r="AA2744">
        <v>198612913.31</v>
      </c>
      <c r="AB2744">
        <v>14295</v>
      </c>
      <c r="AC2744" t="s">
        <v>42</v>
      </c>
      <c r="AD2744">
        <v>1</v>
      </c>
    </row>
    <row r="2745" spans="1:30">
      <c r="A2745" t="str">
        <f>CONCATENATE(I2745,J2745)</f>
        <v>SAIFLSM</v>
      </c>
      <c r="B2745" s="34">
        <v>46273</v>
      </c>
      <c r="C2745" s="34">
        <v>46273</v>
      </c>
      <c r="D2745" t="s">
        <v>35</v>
      </c>
      <c r="E2745" t="s">
        <v>36</v>
      </c>
      <c r="F2745" t="s">
        <v>37</v>
      </c>
      <c r="G2745">
        <v>21096</v>
      </c>
      <c r="H2745" t="s">
        <v>8292</v>
      </c>
      <c r="I2745" t="s">
        <v>8293</v>
      </c>
      <c r="J2745" t="s">
        <v>267</v>
      </c>
      <c r="O2745" t="s">
        <v>8294</v>
      </c>
      <c r="P2745">
        <v>4.7</v>
      </c>
      <c r="Q2745">
        <v>4.7</v>
      </c>
      <c r="R2745">
        <v>4.5</v>
      </c>
      <c r="S2745">
        <v>4.55</v>
      </c>
      <c r="T2745">
        <v>4.6500000000000004</v>
      </c>
      <c r="U2745">
        <v>4.7</v>
      </c>
      <c r="W2745">
        <v>4.55</v>
      </c>
      <c r="Z2745">
        <v>464000</v>
      </c>
      <c r="AA2745">
        <v>2120400</v>
      </c>
      <c r="AB2745">
        <v>98</v>
      </c>
      <c r="AC2745" t="s">
        <v>42</v>
      </c>
      <c r="AD2745">
        <v>4000</v>
      </c>
    </row>
    <row r="2746" spans="1:30">
      <c r="A2746" t="str">
        <f>CONCATENATE(I2746,J2746)</f>
        <v>SAMHIEQ</v>
      </c>
      <c r="B2746" s="34">
        <v>46273</v>
      </c>
      <c r="C2746" s="34">
        <v>46273</v>
      </c>
      <c r="D2746" t="s">
        <v>35</v>
      </c>
      <c r="E2746" t="s">
        <v>36</v>
      </c>
      <c r="F2746" t="s">
        <v>37</v>
      </c>
      <c r="G2746">
        <v>18614</v>
      </c>
      <c r="H2746" t="s">
        <v>8295</v>
      </c>
      <c r="I2746" t="s">
        <v>8296</v>
      </c>
      <c r="J2746" t="s">
        <v>161</v>
      </c>
      <c r="O2746" t="s">
        <v>8297</v>
      </c>
      <c r="P2746">
        <v>155.77000000000001</v>
      </c>
      <c r="Q2746">
        <v>158.09</v>
      </c>
      <c r="R2746">
        <v>153.41999999999999</v>
      </c>
      <c r="S2746">
        <v>155.61000000000001</v>
      </c>
      <c r="T2746">
        <v>155.66999999999999</v>
      </c>
      <c r="U2746">
        <v>155.77000000000001</v>
      </c>
      <c r="W2746">
        <v>155.85</v>
      </c>
      <c r="Z2746">
        <v>806381</v>
      </c>
      <c r="AA2746">
        <v>125619486.95999999</v>
      </c>
      <c r="AB2746">
        <v>18673</v>
      </c>
      <c r="AC2746" t="s">
        <v>42</v>
      </c>
      <c r="AD2746">
        <v>1</v>
      </c>
    </row>
    <row r="2747" spans="1:30">
      <c r="A2747" t="str">
        <f>CONCATENATE(I2747,J2747)</f>
        <v>SAMMAANCAPEQ</v>
      </c>
      <c r="B2747" s="34">
        <v>46273</v>
      </c>
      <c r="C2747" s="34">
        <v>46273</v>
      </c>
      <c r="D2747" t="s">
        <v>35</v>
      </c>
      <c r="E2747" t="s">
        <v>36</v>
      </c>
      <c r="F2747" t="s">
        <v>37</v>
      </c>
      <c r="G2747">
        <v>30125</v>
      </c>
      <c r="H2747" t="s">
        <v>8298</v>
      </c>
      <c r="I2747" t="s">
        <v>8299</v>
      </c>
      <c r="J2747" t="s">
        <v>161</v>
      </c>
      <c r="O2747" t="s">
        <v>8300</v>
      </c>
      <c r="P2747">
        <v>155</v>
      </c>
      <c r="Q2747">
        <v>155.33000000000001</v>
      </c>
      <c r="R2747">
        <v>152.66999999999999</v>
      </c>
      <c r="S2747">
        <v>153</v>
      </c>
      <c r="T2747">
        <v>153.1</v>
      </c>
      <c r="U2747">
        <v>155.91999999999999</v>
      </c>
      <c r="W2747">
        <v>153</v>
      </c>
      <c r="Z2747">
        <v>2524388</v>
      </c>
      <c r="AA2747">
        <v>388077234.49000001</v>
      </c>
      <c r="AB2747">
        <v>17994</v>
      </c>
      <c r="AC2747" t="s">
        <v>42</v>
      </c>
      <c r="AD2747">
        <v>1</v>
      </c>
    </row>
    <row r="2748" spans="1:30">
      <c r="A2748" t="str">
        <f>CONCATENATE(I2748,J2748)</f>
        <v>SAMPANNEQ</v>
      </c>
      <c r="B2748" s="34">
        <v>46273</v>
      </c>
      <c r="C2748" s="34">
        <v>46273</v>
      </c>
      <c r="D2748" t="s">
        <v>35</v>
      </c>
      <c r="E2748" t="s">
        <v>36</v>
      </c>
      <c r="F2748" t="s">
        <v>37</v>
      </c>
      <c r="G2748">
        <v>27303</v>
      </c>
      <c r="H2748" t="s">
        <v>8301</v>
      </c>
      <c r="I2748" t="s">
        <v>8302</v>
      </c>
      <c r="J2748" t="s">
        <v>161</v>
      </c>
      <c r="O2748" t="s">
        <v>8303</v>
      </c>
      <c r="P2748">
        <v>24.54</v>
      </c>
      <c r="Q2748">
        <v>24.74</v>
      </c>
      <c r="R2748">
        <v>23.81</v>
      </c>
      <c r="S2748">
        <v>24.35</v>
      </c>
      <c r="T2748">
        <v>24.49</v>
      </c>
      <c r="U2748">
        <v>24.54</v>
      </c>
      <c r="W2748">
        <v>24.35</v>
      </c>
      <c r="Z2748">
        <v>11876</v>
      </c>
      <c r="AA2748">
        <v>288426.32</v>
      </c>
      <c r="AB2748">
        <v>241</v>
      </c>
      <c r="AC2748" t="s">
        <v>42</v>
      </c>
      <c r="AD2748">
        <v>1</v>
      </c>
    </row>
    <row r="2749" spans="1:30">
      <c r="A2749" t="str">
        <f>CONCATENATE(I2749,J2749)</f>
        <v>MOTHERSONEQ</v>
      </c>
      <c r="B2749" s="34">
        <v>46273</v>
      </c>
      <c r="C2749" s="34">
        <v>46273</v>
      </c>
      <c r="D2749" t="s">
        <v>35</v>
      </c>
      <c r="E2749" t="s">
        <v>36</v>
      </c>
      <c r="F2749" t="s">
        <v>37</v>
      </c>
      <c r="G2749">
        <v>4204</v>
      </c>
      <c r="H2749" t="s">
        <v>8304</v>
      </c>
      <c r="I2749" t="s">
        <v>8305</v>
      </c>
      <c r="J2749" t="s">
        <v>161</v>
      </c>
      <c r="O2749" t="s">
        <v>8306</v>
      </c>
      <c r="P2749">
        <v>162.80000000000001</v>
      </c>
      <c r="Q2749">
        <v>164.5</v>
      </c>
      <c r="R2749">
        <v>161.16999999999999</v>
      </c>
      <c r="S2749">
        <v>163.85</v>
      </c>
      <c r="T2749">
        <v>163.85</v>
      </c>
      <c r="U2749">
        <v>162</v>
      </c>
      <c r="W2749">
        <v>163.85</v>
      </c>
      <c r="Z2749">
        <v>10426788</v>
      </c>
      <c r="AA2749">
        <v>1698311458.3900001</v>
      </c>
      <c r="AB2749">
        <v>52326</v>
      </c>
      <c r="AC2749" t="s">
        <v>42</v>
      </c>
      <c r="AD2749">
        <v>1</v>
      </c>
    </row>
    <row r="2750" spans="1:30">
      <c r="A2750" t="str">
        <f>CONCATENATE(I2750,J2750)</f>
        <v>SANATHANEQ</v>
      </c>
      <c r="B2750" s="34">
        <v>46273</v>
      </c>
      <c r="C2750" s="34">
        <v>46273</v>
      </c>
      <c r="D2750" t="s">
        <v>35</v>
      </c>
      <c r="E2750" t="s">
        <v>36</v>
      </c>
      <c r="F2750" t="s">
        <v>37</v>
      </c>
      <c r="G2750">
        <v>28805</v>
      </c>
      <c r="H2750" t="s">
        <v>8307</v>
      </c>
      <c r="I2750" t="s">
        <v>8308</v>
      </c>
      <c r="J2750" t="s">
        <v>161</v>
      </c>
      <c r="O2750" t="s">
        <v>8309</v>
      </c>
      <c r="P2750">
        <v>473.7</v>
      </c>
      <c r="Q2750">
        <v>479.9</v>
      </c>
      <c r="R2750">
        <v>467.85</v>
      </c>
      <c r="S2750">
        <v>470.5</v>
      </c>
      <c r="T2750">
        <v>472.5</v>
      </c>
      <c r="U2750">
        <v>470.9</v>
      </c>
      <c r="W2750">
        <v>470.51</v>
      </c>
      <c r="Z2750">
        <v>111078</v>
      </c>
      <c r="AA2750">
        <v>52553995.100000001</v>
      </c>
      <c r="AB2750">
        <v>5264</v>
      </c>
      <c r="AC2750" t="s">
        <v>42</v>
      </c>
      <c r="AD2750">
        <v>1</v>
      </c>
    </row>
    <row r="2751" spans="1:30">
      <c r="A2751" t="str">
        <f>CONCATENATE(I2751,J2751)</f>
        <v>SANDESHEQ</v>
      </c>
      <c r="B2751" s="34">
        <v>46273</v>
      </c>
      <c r="C2751" s="34">
        <v>46273</v>
      </c>
      <c r="D2751" t="s">
        <v>35</v>
      </c>
      <c r="E2751" t="s">
        <v>36</v>
      </c>
      <c r="F2751" t="s">
        <v>37</v>
      </c>
      <c r="G2751">
        <v>2988</v>
      </c>
      <c r="H2751" t="s">
        <v>8310</v>
      </c>
      <c r="I2751" t="s">
        <v>8311</v>
      </c>
      <c r="J2751" t="s">
        <v>161</v>
      </c>
      <c r="O2751" t="s">
        <v>8312</v>
      </c>
      <c r="P2751">
        <v>1053.9000000000001</v>
      </c>
      <c r="Q2751">
        <v>1064.7</v>
      </c>
      <c r="R2751">
        <v>1051</v>
      </c>
      <c r="S2751">
        <v>1051.0999999999999</v>
      </c>
      <c r="T2751">
        <v>1051</v>
      </c>
      <c r="U2751">
        <v>1053.9000000000001</v>
      </c>
      <c r="W2751">
        <v>1051.06</v>
      </c>
      <c r="Z2751">
        <v>1472</v>
      </c>
      <c r="AA2751">
        <v>1551603.1</v>
      </c>
      <c r="AB2751">
        <v>81</v>
      </c>
      <c r="AC2751" t="s">
        <v>42</v>
      </c>
      <c r="AD2751">
        <v>1</v>
      </c>
    </row>
    <row r="2752" spans="1:30">
      <c r="A2752" t="str">
        <f>CONCATENATE(I2752,J2752)</f>
        <v>SANDHAREQ</v>
      </c>
      <c r="B2752" s="34">
        <v>46273</v>
      </c>
      <c r="C2752" s="34">
        <v>46273</v>
      </c>
      <c r="D2752" t="s">
        <v>35</v>
      </c>
      <c r="E2752" t="s">
        <v>36</v>
      </c>
      <c r="F2752" t="s">
        <v>37</v>
      </c>
      <c r="G2752">
        <v>2397</v>
      </c>
      <c r="H2752" t="s">
        <v>8313</v>
      </c>
      <c r="I2752" t="s">
        <v>8314</v>
      </c>
      <c r="J2752" t="s">
        <v>161</v>
      </c>
      <c r="O2752" t="s">
        <v>8315</v>
      </c>
      <c r="P2752">
        <v>624.70000000000005</v>
      </c>
      <c r="Q2752">
        <v>627.79999999999995</v>
      </c>
      <c r="R2752">
        <v>615.35</v>
      </c>
      <c r="S2752">
        <v>626.35</v>
      </c>
      <c r="T2752">
        <v>627.5</v>
      </c>
      <c r="U2752">
        <v>620.4</v>
      </c>
      <c r="W2752">
        <v>626.35</v>
      </c>
      <c r="Z2752">
        <v>80151</v>
      </c>
      <c r="AA2752">
        <v>49822274.75</v>
      </c>
      <c r="AB2752">
        <v>4072</v>
      </c>
      <c r="AC2752" t="s">
        <v>42</v>
      </c>
      <c r="AD2752">
        <v>1</v>
      </c>
    </row>
    <row r="2753" spans="1:30">
      <c r="A2753" t="str">
        <f>CONCATENATE(I2753,J2753)</f>
        <v>SANDUMAEQ</v>
      </c>
      <c r="B2753" s="34">
        <v>46273</v>
      </c>
      <c r="C2753" s="34">
        <v>46273</v>
      </c>
      <c r="D2753" t="s">
        <v>35</v>
      </c>
      <c r="E2753" t="s">
        <v>36</v>
      </c>
      <c r="F2753" t="s">
        <v>37</v>
      </c>
      <c r="G2753">
        <v>18359</v>
      </c>
      <c r="H2753" t="s">
        <v>8316</v>
      </c>
      <c r="I2753" t="s">
        <v>8317</v>
      </c>
      <c r="J2753" t="s">
        <v>161</v>
      </c>
      <c r="O2753" t="s">
        <v>8318</v>
      </c>
      <c r="P2753">
        <v>196.45</v>
      </c>
      <c r="Q2753">
        <v>198.85</v>
      </c>
      <c r="R2753">
        <v>195.39</v>
      </c>
      <c r="S2753">
        <v>196.57</v>
      </c>
      <c r="T2753">
        <v>196.89</v>
      </c>
      <c r="U2753">
        <v>195.17</v>
      </c>
      <c r="W2753">
        <v>196.56</v>
      </c>
      <c r="Z2753">
        <v>382799</v>
      </c>
      <c r="AA2753">
        <v>75342821.680000007</v>
      </c>
      <c r="AB2753">
        <v>7321</v>
      </c>
      <c r="AC2753" t="s">
        <v>42</v>
      </c>
      <c r="AD2753">
        <v>1</v>
      </c>
    </row>
    <row r="2754" spans="1:30">
      <c r="A2754" t="str">
        <f>CONCATENATE(I2754,J2754)</f>
        <v>SANGAMINDEQ</v>
      </c>
      <c r="B2754" s="34">
        <v>46273</v>
      </c>
      <c r="C2754" s="34">
        <v>46273</v>
      </c>
      <c r="D2754" t="s">
        <v>35</v>
      </c>
      <c r="E2754" t="s">
        <v>36</v>
      </c>
      <c r="F2754" t="s">
        <v>37</v>
      </c>
      <c r="G2754">
        <v>4184</v>
      </c>
      <c r="H2754" t="s">
        <v>8319</v>
      </c>
      <c r="I2754" t="s">
        <v>8320</v>
      </c>
      <c r="J2754" t="s">
        <v>161</v>
      </c>
      <c r="O2754" t="s">
        <v>8321</v>
      </c>
      <c r="P2754">
        <v>576.79999999999995</v>
      </c>
      <c r="Q2754">
        <v>587</v>
      </c>
      <c r="R2754">
        <v>566.6</v>
      </c>
      <c r="S2754">
        <v>580</v>
      </c>
      <c r="T2754">
        <v>587</v>
      </c>
      <c r="U2754">
        <v>576.29999999999995</v>
      </c>
      <c r="W2754">
        <v>579.95000000000005</v>
      </c>
      <c r="Z2754">
        <v>19148</v>
      </c>
      <c r="AA2754">
        <v>11002162.5</v>
      </c>
      <c r="AB2754">
        <v>976</v>
      </c>
      <c r="AC2754" t="s">
        <v>42</v>
      </c>
      <c r="AD2754">
        <v>1</v>
      </c>
    </row>
    <row r="2755" spans="1:30">
      <c r="A2755" t="str">
        <f>CONCATENATE(I2755,J2755)</f>
        <v>SANGANISM</v>
      </c>
      <c r="B2755" s="34">
        <v>46273</v>
      </c>
      <c r="C2755" s="34">
        <v>46273</v>
      </c>
      <c r="D2755" t="s">
        <v>35</v>
      </c>
      <c r="E2755" t="s">
        <v>36</v>
      </c>
      <c r="F2755" t="s">
        <v>37</v>
      </c>
      <c r="G2755">
        <v>18035</v>
      </c>
      <c r="H2755" t="s">
        <v>8322</v>
      </c>
      <c r="I2755" t="s">
        <v>8323</v>
      </c>
      <c r="J2755" t="s">
        <v>267</v>
      </c>
      <c r="O2755" t="s">
        <v>8324</v>
      </c>
      <c r="P2755">
        <v>57</v>
      </c>
      <c r="Q2755">
        <v>57</v>
      </c>
      <c r="R2755">
        <v>53.5</v>
      </c>
      <c r="S2755">
        <v>54.1</v>
      </c>
      <c r="T2755">
        <v>54.1</v>
      </c>
      <c r="U2755">
        <v>56</v>
      </c>
      <c r="W2755">
        <v>54.1</v>
      </c>
      <c r="Z2755">
        <v>15000</v>
      </c>
      <c r="AA2755">
        <v>812250</v>
      </c>
      <c r="AB2755">
        <v>6</v>
      </c>
      <c r="AC2755" t="s">
        <v>42</v>
      </c>
      <c r="AD2755">
        <v>1500</v>
      </c>
    </row>
    <row r="2756" spans="1:30">
      <c r="A2756" t="str">
        <f>CONCATENATE(I2756,J2756)</f>
        <v>SANGHVIMOVEQ</v>
      </c>
      <c r="B2756" s="34">
        <v>46273</v>
      </c>
      <c r="C2756" s="34">
        <v>46273</v>
      </c>
      <c r="D2756" t="s">
        <v>35</v>
      </c>
      <c r="E2756" t="s">
        <v>36</v>
      </c>
      <c r="F2756" t="s">
        <v>37</v>
      </c>
      <c r="G2756">
        <v>14058</v>
      </c>
      <c r="H2756" t="s">
        <v>8325</v>
      </c>
      <c r="I2756" t="s">
        <v>8326</v>
      </c>
      <c r="J2756" t="s">
        <v>161</v>
      </c>
      <c r="O2756" t="s">
        <v>8327</v>
      </c>
      <c r="P2756">
        <v>437.95</v>
      </c>
      <c r="Q2756">
        <v>445.85</v>
      </c>
      <c r="R2756">
        <v>428.45</v>
      </c>
      <c r="S2756">
        <v>441.2</v>
      </c>
      <c r="T2756">
        <v>441.5</v>
      </c>
      <c r="U2756">
        <v>438.6</v>
      </c>
      <c r="W2756">
        <v>441.23</v>
      </c>
      <c r="Z2756">
        <v>224364</v>
      </c>
      <c r="AA2756">
        <v>98710724.5</v>
      </c>
      <c r="AB2756">
        <v>9431</v>
      </c>
      <c r="AC2756" t="s">
        <v>42</v>
      </c>
      <c r="AD2756">
        <v>1</v>
      </c>
    </row>
    <row r="2757" spans="1:30">
      <c r="A2757" t="str">
        <f>CONCATENATE(I2757,J2757)</f>
        <v>SANGINITABE</v>
      </c>
      <c r="B2757" s="34">
        <v>46273</v>
      </c>
      <c r="C2757" s="34">
        <v>46273</v>
      </c>
      <c r="D2757" t="s">
        <v>35</v>
      </c>
      <c r="E2757" t="s">
        <v>36</v>
      </c>
      <c r="F2757" t="s">
        <v>37</v>
      </c>
      <c r="G2757">
        <v>11033</v>
      </c>
      <c r="H2757" t="s">
        <v>8328</v>
      </c>
      <c r="I2757" t="s">
        <v>8329</v>
      </c>
      <c r="J2757" t="s">
        <v>183</v>
      </c>
      <c r="O2757" t="s">
        <v>8330</v>
      </c>
      <c r="P2757">
        <v>61.9</v>
      </c>
      <c r="Q2757">
        <v>61.9</v>
      </c>
      <c r="R2757">
        <v>61.9</v>
      </c>
      <c r="S2757">
        <v>61.9</v>
      </c>
      <c r="T2757">
        <v>61.9</v>
      </c>
      <c r="U2757">
        <v>60.69</v>
      </c>
      <c r="W2757">
        <v>61.9</v>
      </c>
      <c r="Z2757">
        <v>46672</v>
      </c>
      <c r="AA2757">
        <v>2888996.8</v>
      </c>
      <c r="AB2757">
        <v>111</v>
      </c>
      <c r="AC2757" t="s">
        <v>42</v>
      </c>
      <c r="AD2757">
        <v>1</v>
      </c>
    </row>
    <row r="2758" spans="1:30">
      <c r="A2758" t="str">
        <f>CONCATENATE(I2758,J2758)</f>
        <v>SANOFICONREQ</v>
      </c>
      <c r="B2758" s="34">
        <v>46273</v>
      </c>
      <c r="C2758" s="34">
        <v>46273</v>
      </c>
      <c r="D2758" t="s">
        <v>35</v>
      </c>
      <c r="E2758" t="s">
        <v>36</v>
      </c>
      <c r="F2758" t="s">
        <v>37</v>
      </c>
      <c r="G2758">
        <v>25222</v>
      </c>
      <c r="H2758" t="s">
        <v>8331</v>
      </c>
      <c r="I2758" t="s">
        <v>8332</v>
      </c>
      <c r="J2758" t="s">
        <v>161</v>
      </c>
      <c r="O2758" t="s">
        <v>8333</v>
      </c>
      <c r="P2758">
        <v>4106</v>
      </c>
      <c r="Q2758">
        <v>4129.8999999999996</v>
      </c>
      <c r="R2758">
        <v>4040.5</v>
      </c>
      <c r="S2758">
        <v>4075.6</v>
      </c>
      <c r="T2758">
        <v>4052</v>
      </c>
      <c r="U2758">
        <v>4106</v>
      </c>
      <c r="W2758">
        <v>4075.65</v>
      </c>
      <c r="Z2758">
        <v>2771</v>
      </c>
      <c r="AA2758">
        <v>11280297.9</v>
      </c>
      <c r="AB2758">
        <v>849</v>
      </c>
      <c r="AC2758" t="s">
        <v>42</v>
      </c>
      <c r="AD2758">
        <v>1</v>
      </c>
    </row>
    <row r="2759" spans="1:30">
      <c r="A2759" t="str">
        <f>CONCATENATE(I2759,J2759)</f>
        <v>SANOFIEQ</v>
      </c>
      <c r="B2759" s="34">
        <v>46273</v>
      </c>
      <c r="C2759" s="34">
        <v>46273</v>
      </c>
      <c r="D2759" t="s">
        <v>35</v>
      </c>
      <c r="E2759" t="s">
        <v>36</v>
      </c>
      <c r="F2759" t="s">
        <v>37</v>
      </c>
      <c r="G2759">
        <v>1442</v>
      </c>
      <c r="H2759" t="s">
        <v>8334</v>
      </c>
      <c r="I2759" t="s">
        <v>8335</v>
      </c>
      <c r="J2759" t="s">
        <v>161</v>
      </c>
      <c r="O2759" t="s">
        <v>8336</v>
      </c>
      <c r="P2759">
        <v>3130</v>
      </c>
      <c r="Q2759">
        <v>3132.5</v>
      </c>
      <c r="R2759">
        <v>3111</v>
      </c>
      <c r="S2759">
        <v>3114.9</v>
      </c>
      <c r="T2759">
        <v>3120</v>
      </c>
      <c r="U2759">
        <v>3122</v>
      </c>
      <c r="W2759">
        <v>3114.98</v>
      </c>
      <c r="Z2759">
        <v>11823</v>
      </c>
      <c r="AA2759">
        <v>36840571.399999999</v>
      </c>
      <c r="AB2759">
        <v>3031</v>
      </c>
      <c r="AC2759" t="s">
        <v>42</v>
      </c>
      <c r="AD2759">
        <v>1</v>
      </c>
    </row>
    <row r="2760" spans="1:30">
      <c r="A2760" t="str">
        <f>CONCATENATE(I2760,J2760)</f>
        <v>SANSERAEQ</v>
      </c>
      <c r="B2760" s="34">
        <v>46273</v>
      </c>
      <c r="C2760" s="34">
        <v>46273</v>
      </c>
      <c r="D2760" t="s">
        <v>35</v>
      </c>
      <c r="E2760" t="s">
        <v>36</v>
      </c>
      <c r="F2760" t="s">
        <v>37</v>
      </c>
      <c r="G2760">
        <v>5751</v>
      </c>
      <c r="H2760" t="s">
        <v>8337</v>
      </c>
      <c r="I2760" t="s">
        <v>8338</v>
      </c>
      <c r="J2760" t="s">
        <v>161</v>
      </c>
      <c r="O2760" t="s">
        <v>8339</v>
      </c>
      <c r="P2760">
        <v>4020</v>
      </c>
      <c r="Q2760">
        <v>4094.3</v>
      </c>
      <c r="R2760">
        <v>3957.7</v>
      </c>
      <c r="S2760">
        <v>4033.6</v>
      </c>
      <c r="T2760">
        <v>4025</v>
      </c>
      <c r="U2760">
        <v>3896.3</v>
      </c>
      <c r="W2760">
        <v>4033.75</v>
      </c>
      <c r="Z2760">
        <v>397756</v>
      </c>
      <c r="AA2760">
        <v>1602452270.5999999</v>
      </c>
      <c r="AB2760">
        <v>42428</v>
      </c>
      <c r="AC2760" t="s">
        <v>42</v>
      </c>
      <c r="AD2760">
        <v>1</v>
      </c>
    </row>
    <row r="2761" spans="1:30">
      <c r="A2761" t="str">
        <f>CONCATENATE(I2761,J2761)</f>
        <v>SANSTAREQ</v>
      </c>
      <c r="B2761" s="34">
        <v>46273</v>
      </c>
      <c r="C2761" s="34">
        <v>46273</v>
      </c>
      <c r="D2761" t="s">
        <v>35</v>
      </c>
      <c r="E2761" t="s">
        <v>36</v>
      </c>
      <c r="F2761" t="s">
        <v>37</v>
      </c>
      <c r="G2761">
        <v>24582</v>
      </c>
      <c r="H2761" t="s">
        <v>8340</v>
      </c>
      <c r="I2761" t="s">
        <v>8341</v>
      </c>
      <c r="J2761" t="s">
        <v>161</v>
      </c>
      <c r="O2761" t="s">
        <v>8342</v>
      </c>
      <c r="P2761">
        <v>110.93</v>
      </c>
      <c r="Q2761">
        <v>110.93</v>
      </c>
      <c r="R2761">
        <v>108.8</v>
      </c>
      <c r="S2761">
        <v>109.62</v>
      </c>
      <c r="T2761">
        <v>109.5</v>
      </c>
      <c r="U2761">
        <v>110.01</v>
      </c>
      <c r="W2761">
        <v>109.61</v>
      </c>
      <c r="Z2761">
        <v>136076</v>
      </c>
      <c r="AA2761">
        <v>14918479.720000001</v>
      </c>
      <c r="AB2761">
        <v>4804</v>
      </c>
      <c r="AC2761" t="s">
        <v>42</v>
      </c>
      <c r="AD2761">
        <v>1</v>
      </c>
    </row>
    <row r="2762" spans="1:30">
      <c r="A2762" t="str">
        <f>CONCATENATE(I2762,J2762)</f>
        <v>SANWARIABZ</v>
      </c>
      <c r="B2762" s="34">
        <v>46273</v>
      </c>
      <c r="C2762" s="34">
        <v>46273</v>
      </c>
      <c r="D2762" t="s">
        <v>35</v>
      </c>
      <c r="E2762" t="s">
        <v>36</v>
      </c>
      <c r="F2762" t="s">
        <v>37</v>
      </c>
      <c r="G2762">
        <v>46</v>
      </c>
      <c r="H2762" t="s">
        <v>8343</v>
      </c>
      <c r="I2762" t="s">
        <v>8344</v>
      </c>
      <c r="J2762" t="s">
        <v>551</v>
      </c>
      <c r="O2762" t="s">
        <v>8345</v>
      </c>
      <c r="P2762">
        <v>0.2</v>
      </c>
      <c r="Q2762">
        <v>0.2</v>
      </c>
      <c r="R2762">
        <v>0.19</v>
      </c>
      <c r="S2762">
        <v>0.19</v>
      </c>
      <c r="T2762">
        <v>0.2</v>
      </c>
      <c r="U2762">
        <v>0.19</v>
      </c>
      <c r="W2762">
        <v>0.2</v>
      </c>
      <c r="Z2762">
        <v>419837</v>
      </c>
      <c r="AA2762">
        <v>82047.12</v>
      </c>
      <c r="AB2762">
        <v>148</v>
      </c>
      <c r="AC2762" t="s">
        <v>42</v>
      </c>
      <c r="AD2762">
        <v>1</v>
      </c>
    </row>
    <row r="2763" spans="1:30">
      <c r="A2763" t="str">
        <f>CONCATENATE(I2763,J2763)</f>
        <v>SAPPHIREEQ</v>
      </c>
      <c r="B2763" s="34">
        <v>46273</v>
      </c>
      <c r="C2763" s="34">
        <v>46273</v>
      </c>
      <c r="D2763" t="s">
        <v>35</v>
      </c>
      <c r="E2763" t="s">
        <v>36</v>
      </c>
      <c r="F2763" t="s">
        <v>37</v>
      </c>
      <c r="G2763">
        <v>6718</v>
      </c>
      <c r="H2763" t="s">
        <v>8346</v>
      </c>
      <c r="I2763" t="s">
        <v>8347</v>
      </c>
      <c r="J2763" t="s">
        <v>161</v>
      </c>
      <c r="O2763" t="s">
        <v>8348</v>
      </c>
      <c r="P2763">
        <v>228.5</v>
      </c>
      <c r="Q2763">
        <v>232.52</v>
      </c>
      <c r="R2763">
        <v>224.9</v>
      </c>
      <c r="S2763">
        <v>226.61</v>
      </c>
      <c r="T2763">
        <v>225.35</v>
      </c>
      <c r="U2763">
        <v>228.18</v>
      </c>
      <c r="W2763">
        <v>226.44</v>
      </c>
      <c r="Z2763">
        <v>415672</v>
      </c>
      <c r="AA2763">
        <v>94377176.010000005</v>
      </c>
      <c r="AB2763">
        <v>19525</v>
      </c>
      <c r="AC2763" t="s">
        <v>42</v>
      </c>
      <c r="AD2763">
        <v>1</v>
      </c>
    </row>
    <row r="2764" spans="1:30">
      <c r="A2764" t="str">
        <f>CONCATENATE(I2764,J2764)</f>
        <v>SARTELESM</v>
      </c>
      <c r="B2764" s="34">
        <v>46273</v>
      </c>
      <c r="C2764" s="34">
        <v>46273</v>
      </c>
      <c r="D2764" t="s">
        <v>35</v>
      </c>
      <c r="E2764" t="s">
        <v>36</v>
      </c>
      <c r="F2764" t="s">
        <v>37</v>
      </c>
      <c r="G2764">
        <v>19863</v>
      </c>
      <c r="H2764" t="s">
        <v>8349</v>
      </c>
      <c r="I2764" t="s">
        <v>8350</v>
      </c>
      <c r="J2764" t="s">
        <v>267</v>
      </c>
      <c r="O2764" t="s">
        <v>8351</v>
      </c>
      <c r="P2764">
        <v>89</v>
      </c>
      <c r="Q2764">
        <v>89</v>
      </c>
      <c r="R2764">
        <v>86.5</v>
      </c>
      <c r="S2764">
        <v>87.2</v>
      </c>
      <c r="T2764">
        <v>86.5</v>
      </c>
      <c r="U2764">
        <v>89.85</v>
      </c>
      <c r="W2764">
        <v>87.2</v>
      </c>
      <c r="Z2764">
        <v>90000</v>
      </c>
      <c r="AA2764">
        <v>7884950</v>
      </c>
      <c r="AB2764">
        <v>145</v>
      </c>
      <c r="AC2764" t="s">
        <v>42</v>
      </c>
      <c r="AD2764">
        <v>500</v>
      </c>
    </row>
    <row r="2765" spans="1:30">
      <c r="A2765" t="str">
        <f>CONCATENATE(I2765,J2765)</f>
        <v>ZSARACOMEQ</v>
      </c>
      <c r="B2765" s="34">
        <v>46273</v>
      </c>
      <c r="C2765" s="34">
        <v>46273</v>
      </c>
      <c r="D2765" t="s">
        <v>35</v>
      </c>
      <c r="E2765" t="s">
        <v>36</v>
      </c>
      <c r="F2765" t="s">
        <v>37</v>
      </c>
      <c r="G2765">
        <v>762985</v>
      </c>
      <c r="H2765" t="s">
        <v>8352</v>
      </c>
      <c r="I2765" t="s">
        <v>8353</v>
      </c>
      <c r="J2765" t="s">
        <v>161</v>
      </c>
      <c r="O2765" t="s">
        <v>8354</v>
      </c>
      <c r="P2765">
        <v>11699</v>
      </c>
      <c r="Q2765">
        <v>11699</v>
      </c>
      <c r="R2765">
        <v>11150</v>
      </c>
      <c r="S2765">
        <v>11276</v>
      </c>
      <c r="T2765">
        <v>11400</v>
      </c>
      <c r="U2765">
        <v>11706</v>
      </c>
      <c r="W2765">
        <v>11276</v>
      </c>
      <c r="Z2765">
        <v>55</v>
      </c>
      <c r="AA2765">
        <v>622006</v>
      </c>
      <c r="AB2765">
        <v>31</v>
      </c>
      <c r="AC2765" t="s">
        <v>42</v>
      </c>
      <c r="AD2765">
        <v>1</v>
      </c>
    </row>
    <row r="2766" spans="1:30">
      <c r="A2766" t="str">
        <f>CONCATENATE(I2766,J2766)</f>
        <v>SSDLEQ</v>
      </c>
      <c r="B2766" s="34">
        <v>46273</v>
      </c>
      <c r="C2766" s="34">
        <v>46273</v>
      </c>
      <c r="D2766" t="s">
        <v>35</v>
      </c>
      <c r="E2766" t="s">
        <v>36</v>
      </c>
      <c r="F2766" t="s">
        <v>37</v>
      </c>
      <c r="G2766">
        <v>24856</v>
      </c>
      <c r="H2766" t="s">
        <v>8355</v>
      </c>
      <c r="I2766" t="s">
        <v>8356</v>
      </c>
      <c r="J2766" t="s">
        <v>161</v>
      </c>
      <c r="O2766" t="s">
        <v>8357</v>
      </c>
      <c r="P2766">
        <v>56.2</v>
      </c>
      <c r="Q2766">
        <v>57.99</v>
      </c>
      <c r="R2766">
        <v>56.2</v>
      </c>
      <c r="S2766">
        <v>57.12</v>
      </c>
      <c r="T2766">
        <v>57.32</v>
      </c>
      <c r="U2766">
        <v>57.11</v>
      </c>
      <c r="W2766">
        <v>57.12</v>
      </c>
      <c r="Z2766">
        <v>10042</v>
      </c>
      <c r="AA2766">
        <v>574252.91</v>
      </c>
      <c r="AB2766">
        <v>345</v>
      </c>
      <c r="AC2766" t="s">
        <v>42</v>
      </c>
      <c r="AD2766">
        <v>1</v>
      </c>
    </row>
    <row r="2767" spans="1:30">
      <c r="A2767" t="str">
        <f>CONCATENATE(I2767,J2767)</f>
        <v>SARDAENEQ</v>
      </c>
      <c r="B2767" s="34">
        <v>46273</v>
      </c>
      <c r="C2767" s="34">
        <v>46273</v>
      </c>
      <c r="D2767" t="s">
        <v>35</v>
      </c>
      <c r="E2767" t="s">
        <v>36</v>
      </c>
      <c r="F2767" t="s">
        <v>37</v>
      </c>
      <c r="G2767">
        <v>17758</v>
      </c>
      <c r="H2767" t="s">
        <v>8358</v>
      </c>
      <c r="I2767" t="s">
        <v>8359</v>
      </c>
      <c r="J2767" t="s">
        <v>161</v>
      </c>
      <c r="O2767" t="s">
        <v>8360</v>
      </c>
      <c r="P2767">
        <v>512.5</v>
      </c>
      <c r="Q2767">
        <v>524</v>
      </c>
      <c r="R2767">
        <v>510.4</v>
      </c>
      <c r="S2767">
        <v>519.85</v>
      </c>
      <c r="T2767">
        <v>519</v>
      </c>
      <c r="U2767">
        <v>512.5</v>
      </c>
      <c r="W2767">
        <v>519.85</v>
      </c>
      <c r="Z2767">
        <v>757903</v>
      </c>
      <c r="AA2767">
        <v>394674643.10000002</v>
      </c>
      <c r="AB2767">
        <v>28983</v>
      </c>
      <c r="AC2767" t="s">
        <v>42</v>
      </c>
      <c r="AD2767">
        <v>1</v>
      </c>
    </row>
    <row r="2768" spans="1:30">
      <c r="A2768" t="str">
        <f>CONCATENATE(I2768,J2768)</f>
        <v>SAREGAMAEQ</v>
      </c>
      <c r="B2768" s="34">
        <v>46273</v>
      </c>
      <c r="C2768" s="34">
        <v>46273</v>
      </c>
      <c r="D2768" t="s">
        <v>35</v>
      </c>
      <c r="E2768" t="s">
        <v>36</v>
      </c>
      <c r="F2768" t="s">
        <v>37</v>
      </c>
      <c r="G2768">
        <v>4892</v>
      </c>
      <c r="H2768" t="s">
        <v>8361</v>
      </c>
      <c r="I2768" t="s">
        <v>8362</v>
      </c>
      <c r="J2768" t="s">
        <v>161</v>
      </c>
      <c r="O2768" t="s">
        <v>8363</v>
      </c>
      <c r="P2768">
        <v>494</v>
      </c>
      <c r="Q2768">
        <v>501.7</v>
      </c>
      <c r="R2768">
        <v>487.8</v>
      </c>
      <c r="S2768">
        <v>497.1</v>
      </c>
      <c r="T2768">
        <v>497</v>
      </c>
      <c r="U2768">
        <v>494.3</v>
      </c>
      <c r="W2768">
        <v>497.11</v>
      </c>
      <c r="Z2768">
        <v>266717</v>
      </c>
      <c r="AA2768">
        <v>132670868.05</v>
      </c>
      <c r="AB2768">
        <v>18188</v>
      </c>
      <c r="AC2768" t="s">
        <v>42</v>
      </c>
      <c r="AD2768">
        <v>1</v>
      </c>
    </row>
    <row r="2769" spans="1:30">
      <c r="A2769" t="str">
        <f>CONCATENATE(I2769,J2769)</f>
        <v>SARLAPOLYEQ</v>
      </c>
      <c r="B2769" s="34">
        <v>46273</v>
      </c>
      <c r="C2769" s="34">
        <v>46273</v>
      </c>
      <c r="D2769" t="s">
        <v>35</v>
      </c>
      <c r="E2769" t="s">
        <v>36</v>
      </c>
      <c r="F2769" t="s">
        <v>37</v>
      </c>
      <c r="G2769">
        <v>14043</v>
      </c>
      <c r="H2769" t="s">
        <v>8364</v>
      </c>
      <c r="I2769" t="s">
        <v>8365</v>
      </c>
      <c r="J2769" t="s">
        <v>161</v>
      </c>
      <c r="O2769" t="s">
        <v>8366</v>
      </c>
      <c r="P2769">
        <v>100.96</v>
      </c>
      <c r="Q2769">
        <v>102.19</v>
      </c>
      <c r="R2769">
        <v>100</v>
      </c>
      <c r="S2769">
        <v>101.47</v>
      </c>
      <c r="T2769">
        <v>101.5</v>
      </c>
      <c r="U2769">
        <v>101.78</v>
      </c>
      <c r="W2769">
        <v>101.45</v>
      </c>
      <c r="Z2769">
        <v>34886</v>
      </c>
      <c r="AA2769">
        <v>3520115.12</v>
      </c>
      <c r="AB2769">
        <v>569</v>
      </c>
      <c r="AC2769" t="s">
        <v>42</v>
      </c>
      <c r="AD2769">
        <v>1</v>
      </c>
    </row>
    <row r="2770" spans="1:30">
      <c r="A2770" t="str">
        <f>CONCATENATE(I2770,J2770)</f>
        <v>SAROJASM</v>
      </c>
      <c r="B2770" s="34">
        <v>46273</v>
      </c>
      <c r="C2770" s="34">
        <v>46273</v>
      </c>
      <c r="D2770" t="s">
        <v>35</v>
      </c>
      <c r="E2770" t="s">
        <v>36</v>
      </c>
      <c r="F2770" t="s">
        <v>37</v>
      </c>
      <c r="G2770">
        <v>18506</v>
      </c>
      <c r="H2770" t="s">
        <v>8367</v>
      </c>
      <c r="I2770" t="s">
        <v>8368</v>
      </c>
      <c r="J2770" t="s">
        <v>267</v>
      </c>
      <c r="O2770" t="s">
        <v>8369</v>
      </c>
      <c r="P2770">
        <v>40</v>
      </c>
      <c r="Q2770">
        <v>40</v>
      </c>
      <c r="R2770">
        <v>40</v>
      </c>
      <c r="S2770">
        <v>40</v>
      </c>
      <c r="T2770">
        <v>40</v>
      </c>
      <c r="U2770">
        <v>38.950000000000003</v>
      </c>
      <c r="W2770">
        <v>40</v>
      </c>
      <c r="Z2770">
        <v>1600</v>
      </c>
      <c r="AA2770">
        <v>64000</v>
      </c>
      <c r="AB2770">
        <v>1</v>
      </c>
      <c r="AC2770" t="s">
        <v>42</v>
      </c>
      <c r="AD2770">
        <v>1600</v>
      </c>
    </row>
    <row r="2771" spans="1:30">
      <c r="A2771" t="str">
        <f>CONCATENATE(I2771,J2771)</f>
        <v>SMLTEQ</v>
      </c>
      <c r="B2771" s="34">
        <v>46273</v>
      </c>
      <c r="C2771" s="34">
        <v>46273</v>
      </c>
      <c r="D2771" t="s">
        <v>35</v>
      </c>
      <c r="E2771" t="s">
        <v>36</v>
      </c>
      <c r="F2771" t="s">
        <v>37</v>
      </c>
      <c r="G2771">
        <v>6843</v>
      </c>
      <c r="H2771" t="s">
        <v>8370</v>
      </c>
      <c r="I2771" t="s">
        <v>8371</v>
      </c>
      <c r="J2771" t="s">
        <v>161</v>
      </c>
      <c r="O2771" t="s">
        <v>8372</v>
      </c>
      <c r="P2771">
        <v>64.75</v>
      </c>
      <c r="Q2771">
        <v>65.489999999999995</v>
      </c>
      <c r="R2771">
        <v>61.31</v>
      </c>
      <c r="S2771">
        <v>62.17</v>
      </c>
      <c r="T2771">
        <v>62.1</v>
      </c>
      <c r="U2771">
        <v>63.84</v>
      </c>
      <c r="W2771">
        <v>62.17</v>
      </c>
      <c r="Z2771">
        <v>12918</v>
      </c>
      <c r="AA2771">
        <v>814753.48</v>
      </c>
      <c r="AB2771">
        <v>351</v>
      </c>
      <c r="AC2771" t="s">
        <v>42</v>
      </c>
      <c r="AD2771">
        <v>1</v>
      </c>
    </row>
    <row r="2772" spans="1:30">
      <c r="A2772" t="str">
        <f>CONCATENATE(I2772,J2772)</f>
        <v>SARVESHWAREQ</v>
      </c>
      <c r="B2772" s="34">
        <v>46273</v>
      </c>
      <c r="C2772" s="34">
        <v>46273</v>
      </c>
      <c r="D2772" t="s">
        <v>35</v>
      </c>
      <c r="E2772" t="s">
        <v>36</v>
      </c>
      <c r="F2772" t="s">
        <v>37</v>
      </c>
      <c r="G2772">
        <v>12913</v>
      </c>
      <c r="H2772" t="s">
        <v>8373</v>
      </c>
      <c r="I2772" t="s">
        <v>8374</v>
      </c>
      <c r="J2772" t="s">
        <v>161</v>
      </c>
      <c r="O2772" t="s">
        <v>8375</v>
      </c>
      <c r="P2772">
        <v>3.8</v>
      </c>
      <c r="Q2772">
        <v>4.03</v>
      </c>
      <c r="R2772">
        <v>3.75</v>
      </c>
      <c r="S2772">
        <v>4.03</v>
      </c>
      <c r="T2772">
        <v>4.03</v>
      </c>
      <c r="U2772">
        <v>3.67</v>
      </c>
      <c r="W2772">
        <v>4.03</v>
      </c>
      <c r="Z2772">
        <v>13974925</v>
      </c>
      <c r="AA2772">
        <v>56037653.439999998</v>
      </c>
      <c r="AB2772">
        <v>5108</v>
      </c>
      <c r="AC2772" t="s">
        <v>42</v>
      </c>
      <c r="AD2772">
        <v>1</v>
      </c>
    </row>
    <row r="2773" spans="1:30">
      <c r="A2773" t="str">
        <f>CONCATENATE(I2773,J2773)</f>
        <v>SASKENEQ</v>
      </c>
      <c r="B2773" s="34">
        <v>46273</v>
      </c>
      <c r="C2773" s="34">
        <v>46273</v>
      </c>
      <c r="D2773" t="s">
        <v>35</v>
      </c>
      <c r="E2773" t="s">
        <v>36</v>
      </c>
      <c r="F2773" t="s">
        <v>37</v>
      </c>
      <c r="G2773">
        <v>11983</v>
      </c>
      <c r="H2773" t="s">
        <v>8376</v>
      </c>
      <c r="I2773" t="s">
        <v>8377</v>
      </c>
      <c r="J2773" t="s">
        <v>161</v>
      </c>
      <c r="O2773" t="s">
        <v>8378</v>
      </c>
      <c r="P2773">
        <v>1840.1</v>
      </c>
      <c r="Q2773">
        <v>1917.9</v>
      </c>
      <c r="R2773">
        <v>1825</v>
      </c>
      <c r="S2773">
        <v>1894.3</v>
      </c>
      <c r="T2773">
        <v>1880</v>
      </c>
      <c r="U2773">
        <v>1826.6</v>
      </c>
      <c r="W2773">
        <v>1894.31</v>
      </c>
      <c r="Z2773">
        <v>30095</v>
      </c>
      <c r="AA2773">
        <v>56433959.5</v>
      </c>
      <c r="AB2773">
        <v>2761</v>
      </c>
      <c r="AC2773" t="s">
        <v>42</v>
      </c>
      <c r="AD2773">
        <v>1</v>
      </c>
    </row>
    <row r="2774" spans="1:30">
      <c r="A2774" t="str">
        <f>CONCATENATE(I2774,J2774)</f>
        <v>SATKARTARSM</v>
      </c>
      <c r="B2774" s="34">
        <v>46273</v>
      </c>
      <c r="C2774" s="34">
        <v>46273</v>
      </c>
      <c r="D2774" t="s">
        <v>35</v>
      </c>
      <c r="E2774" t="s">
        <v>36</v>
      </c>
      <c r="F2774" t="s">
        <v>37</v>
      </c>
      <c r="G2774">
        <v>29151</v>
      </c>
      <c r="H2774" t="s">
        <v>8379</v>
      </c>
      <c r="I2774" t="s">
        <v>8380</v>
      </c>
      <c r="J2774" t="s">
        <v>267</v>
      </c>
      <c r="O2774" t="s">
        <v>8381</v>
      </c>
      <c r="P2774">
        <v>116.05</v>
      </c>
      <c r="Q2774">
        <v>117</v>
      </c>
      <c r="R2774">
        <v>110.3</v>
      </c>
      <c r="S2774">
        <v>117</v>
      </c>
      <c r="T2774">
        <v>117</v>
      </c>
      <c r="U2774">
        <v>116.05</v>
      </c>
      <c r="W2774">
        <v>117</v>
      </c>
      <c r="Z2774">
        <v>20800</v>
      </c>
      <c r="AA2774">
        <v>2369240</v>
      </c>
      <c r="AB2774">
        <v>22</v>
      </c>
      <c r="AC2774" t="s">
        <v>42</v>
      </c>
      <c r="AD2774">
        <v>800</v>
      </c>
    </row>
    <row r="2775" spans="1:30">
      <c r="A2775" t="str">
        <f>CONCATENATE(I2775,J2775)</f>
        <v>SSEGLSM</v>
      </c>
      <c r="B2775" s="34">
        <v>46273</v>
      </c>
      <c r="C2775" s="34">
        <v>46273</v>
      </c>
      <c r="D2775" t="s">
        <v>35</v>
      </c>
      <c r="E2775" t="s">
        <v>36</v>
      </c>
      <c r="F2775" t="s">
        <v>37</v>
      </c>
      <c r="G2775">
        <v>24697</v>
      </c>
      <c r="H2775" t="s">
        <v>8382</v>
      </c>
      <c r="I2775" t="s">
        <v>8383</v>
      </c>
      <c r="J2775" t="s">
        <v>267</v>
      </c>
      <c r="O2775" t="s">
        <v>8384</v>
      </c>
      <c r="P2775">
        <v>397</v>
      </c>
      <c r="Q2775">
        <v>402.5</v>
      </c>
      <c r="R2775">
        <v>388.1</v>
      </c>
      <c r="S2775">
        <v>394.3</v>
      </c>
      <c r="T2775">
        <v>395</v>
      </c>
      <c r="U2775">
        <v>399.85</v>
      </c>
      <c r="W2775">
        <v>394.3</v>
      </c>
      <c r="Z2775">
        <v>51000</v>
      </c>
      <c r="AA2775">
        <v>20080780</v>
      </c>
      <c r="AB2775">
        <v>133</v>
      </c>
      <c r="AC2775" t="s">
        <v>42</v>
      </c>
      <c r="AD2775">
        <v>200</v>
      </c>
    </row>
    <row r="2776" spans="1:30">
      <c r="A2776" t="str">
        <f>CONCATENATE(I2776,J2776)</f>
        <v>SATIPOLYST</v>
      </c>
      <c r="B2776" s="34">
        <v>46273</v>
      </c>
      <c r="C2776" s="34">
        <v>46273</v>
      </c>
      <c r="D2776" t="s">
        <v>35</v>
      </c>
      <c r="E2776" t="s">
        <v>36</v>
      </c>
      <c r="F2776" t="s">
        <v>37</v>
      </c>
      <c r="G2776">
        <v>24507</v>
      </c>
      <c r="H2776" t="s">
        <v>8385</v>
      </c>
      <c r="I2776" t="s">
        <v>8386</v>
      </c>
      <c r="J2776" t="s">
        <v>328</v>
      </c>
      <c r="O2776" t="s">
        <v>8387</v>
      </c>
      <c r="P2776">
        <v>40.799999999999997</v>
      </c>
      <c r="Q2776">
        <v>40.799999999999997</v>
      </c>
      <c r="R2776">
        <v>40.799999999999997</v>
      </c>
      <c r="S2776">
        <v>40.799999999999997</v>
      </c>
      <c r="T2776">
        <v>40.799999999999997</v>
      </c>
      <c r="U2776">
        <v>38.9</v>
      </c>
      <c r="W2776">
        <v>40.799999999999997</v>
      </c>
      <c r="Z2776">
        <v>500</v>
      </c>
      <c r="AA2776">
        <v>20400</v>
      </c>
      <c r="AB2776">
        <v>1</v>
      </c>
      <c r="AC2776" t="s">
        <v>42</v>
      </c>
      <c r="AD2776">
        <v>500</v>
      </c>
    </row>
    <row r="2777" spans="1:30">
      <c r="A2777" t="str">
        <f>CONCATENATE(I2777,J2777)</f>
        <v>SATIAEQ</v>
      </c>
      <c r="B2777" s="34">
        <v>46273</v>
      </c>
      <c r="C2777" s="34">
        <v>46273</v>
      </c>
      <c r="D2777" t="s">
        <v>35</v>
      </c>
      <c r="E2777" t="s">
        <v>36</v>
      </c>
      <c r="F2777" t="s">
        <v>37</v>
      </c>
      <c r="G2777">
        <v>11045</v>
      </c>
      <c r="H2777" t="s">
        <v>8388</v>
      </c>
      <c r="I2777" t="s">
        <v>8389</v>
      </c>
      <c r="J2777" t="s">
        <v>161</v>
      </c>
      <c r="O2777" t="s">
        <v>8390</v>
      </c>
      <c r="P2777">
        <v>68.010000000000005</v>
      </c>
      <c r="Q2777">
        <v>69.7</v>
      </c>
      <c r="R2777">
        <v>66</v>
      </c>
      <c r="S2777">
        <v>67.83</v>
      </c>
      <c r="T2777">
        <v>67.5</v>
      </c>
      <c r="U2777">
        <v>68.19</v>
      </c>
      <c r="W2777">
        <v>67.819999999999993</v>
      </c>
      <c r="Z2777">
        <v>274991</v>
      </c>
      <c r="AA2777">
        <v>18655819.23</v>
      </c>
      <c r="AB2777">
        <v>2934</v>
      </c>
      <c r="AC2777" t="s">
        <v>42</v>
      </c>
      <c r="AD2777">
        <v>1</v>
      </c>
    </row>
    <row r="2778" spans="1:30">
      <c r="A2778" t="str">
        <f>CONCATENATE(I2778,J2778)</f>
        <v>SATINEQ</v>
      </c>
      <c r="B2778" s="34">
        <v>46273</v>
      </c>
      <c r="C2778" s="34">
        <v>46273</v>
      </c>
      <c r="D2778" t="s">
        <v>35</v>
      </c>
      <c r="E2778" t="s">
        <v>36</v>
      </c>
      <c r="F2778" t="s">
        <v>37</v>
      </c>
      <c r="G2778">
        <v>10453</v>
      </c>
      <c r="H2778" t="s">
        <v>8391</v>
      </c>
      <c r="I2778" t="s">
        <v>8392</v>
      </c>
      <c r="J2778" t="s">
        <v>161</v>
      </c>
      <c r="O2778" t="s">
        <v>8393</v>
      </c>
      <c r="P2778">
        <v>217.88</v>
      </c>
      <c r="Q2778">
        <v>220.48</v>
      </c>
      <c r="R2778">
        <v>214.75</v>
      </c>
      <c r="S2778">
        <v>217.49</v>
      </c>
      <c r="T2778">
        <v>218.98</v>
      </c>
      <c r="U2778">
        <v>216.94</v>
      </c>
      <c r="W2778">
        <v>217.47</v>
      </c>
      <c r="Z2778">
        <v>141022</v>
      </c>
      <c r="AA2778">
        <v>30511883.600000001</v>
      </c>
      <c r="AB2778">
        <v>2317</v>
      </c>
      <c r="AC2778" t="s">
        <v>42</v>
      </c>
      <c r="AD2778">
        <v>1</v>
      </c>
    </row>
    <row r="2779" spans="1:30">
      <c r="A2779" t="str">
        <f>CONCATENATE(I2779,J2779)</f>
        <v>SATTVAENGGSM</v>
      </c>
      <c r="B2779" s="34">
        <v>46273</v>
      </c>
      <c r="C2779" s="34">
        <v>46273</v>
      </c>
      <c r="D2779" t="s">
        <v>35</v>
      </c>
      <c r="E2779" t="s">
        <v>36</v>
      </c>
      <c r="F2779" t="s">
        <v>37</v>
      </c>
      <c r="G2779">
        <v>758960</v>
      </c>
      <c r="H2779" t="s">
        <v>8394</v>
      </c>
      <c r="I2779" t="s">
        <v>8395</v>
      </c>
      <c r="J2779" t="s">
        <v>267</v>
      </c>
      <c r="O2779" t="s">
        <v>8396</v>
      </c>
      <c r="P2779">
        <v>62.35</v>
      </c>
      <c r="Q2779">
        <v>62.35</v>
      </c>
      <c r="R2779">
        <v>61.05</v>
      </c>
      <c r="S2779">
        <v>61.05</v>
      </c>
      <c r="T2779">
        <v>61.05</v>
      </c>
      <c r="U2779">
        <v>62.35</v>
      </c>
      <c r="W2779">
        <v>61.05</v>
      </c>
      <c r="Z2779">
        <v>3200</v>
      </c>
      <c r="AA2779">
        <v>197440</v>
      </c>
      <c r="AB2779">
        <v>2</v>
      </c>
      <c r="AC2779" t="s">
        <v>42</v>
      </c>
      <c r="AD2779">
        <v>1600</v>
      </c>
    </row>
    <row r="2780" spans="1:30">
      <c r="A2780" t="str">
        <f>CONCATENATE(I2780,J2780)</f>
        <v>SAURASHCEMEQ</v>
      </c>
      <c r="B2780" s="34">
        <v>46273</v>
      </c>
      <c r="C2780" s="34">
        <v>46273</v>
      </c>
      <c r="D2780" t="s">
        <v>35</v>
      </c>
      <c r="E2780" t="s">
        <v>36</v>
      </c>
      <c r="F2780" t="s">
        <v>37</v>
      </c>
      <c r="G2780">
        <v>3018</v>
      </c>
      <c r="H2780" t="s">
        <v>8397</v>
      </c>
      <c r="I2780" t="s">
        <v>8398</v>
      </c>
      <c r="J2780" t="s">
        <v>161</v>
      </c>
      <c r="O2780" t="s">
        <v>8399</v>
      </c>
      <c r="P2780">
        <v>55.92</v>
      </c>
      <c r="Q2780">
        <v>56.66</v>
      </c>
      <c r="R2780">
        <v>55.25</v>
      </c>
      <c r="S2780">
        <v>56.11</v>
      </c>
      <c r="T2780">
        <v>56.66</v>
      </c>
      <c r="U2780">
        <v>55.8</v>
      </c>
      <c r="W2780">
        <v>56.12</v>
      </c>
      <c r="Z2780">
        <v>84201</v>
      </c>
      <c r="AA2780">
        <v>4721817.75</v>
      </c>
      <c r="AB2780">
        <v>1130</v>
      </c>
      <c r="AC2780" t="s">
        <v>42</v>
      </c>
      <c r="AD2780">
        <v>1</v>
      </c>
    </row>
    <row r="2781" spans="1:30">
      <c r="A2781" t="str">
        <f>CONCATENATE(I2781,J2781)</f>
        <v>SOTLEQ</v>
      </c>
      <c r="B2781" s="34">
        <v>46273</v>
      </c>
      <c r="C2781" s="34">
        <v>46273</v>
      </c>
      <c r="D2781" t="s">
        <v>35</v>
      </c>
      <c r="E2781" t="s">
        <v>36</v>
      </c>
      <c r="F2781" t="s">
        <v>37</v>
      </c>
      <c r="G2781">
        <v>3021</v>
      </c>
      <c r="H2781" t="s">
        <v>8400</v>
      </c>
      <c r="I2781" t="s">
        <v>8401</v>
      </c>
      <c r="J2781" t="s">
        <v>161</v>
      </c>
      <c r="O2781" t="s">
        <v>8402</v>
      </c>
      <c r="P2781">
        <v>713.5</v>
      </c>
      <c r="Q2781">
        <v>713.55</v>
      </c>
      <c r="R2781">
        <v>678</v>
      </c>
      <c r="S2781">
        <v>681.35</v>
      </c>
      <c r="T2781">
        <v>680.75</v>
      </c>
      <c r="U2781">
        <v>705.75</v>
      </c>
      <c r="W2781">
        <v>681.34</v>
      </c>
      <c r="Z2781">
        <v>523435</v>
      </c>
      <c r="AA2781">
        <v>358315041.85000002</v>
      </c>
      <c r="AB2781">
        <v>17474</v>
      </c>
      <c r="AC2781" t="s">
        <v>42</v>
      </c>
      <c r="AD2781">
        <v>1</v>
      </c>
    </row>
    <row r="2782" spans="1:30">
      <c r="A2782" t="str">
        <f>CONCATENATE(I2782,J2782)</f>
        <v>SAVYSM</v>
      </c>
      <c r="B2782" s="34">
        <v>46273</v>
      </c>
      <c r="C2782" s="34">
        <v>46273</v>
      </c>
      <c r="D2782" t="s">
        <v>35</v>
      </c>
      <c r="E2782" t="s">
        <v>36</v>
      </c>
      <c r="F2782" t="s">
        <v>37</v>
      </c>
      <c r="G2782">
        <v>757704</v>
      </c>
      <c r="H2782" t="s">
        <v>8403</v>
      </c>
      <c r="I2782" t="s">
        <v>8404</v>
      </c>
      <c r="J2782" t="s">
        <v>267</v>
      </c>
      <c r="O2782" t="s">
        <v>8405</v>
      </c>
      <c r="P2782">
        <v>148.69999999999999</v>
      </c>
      <c r="Q2782">
        <v>148.69999999999999</v>
      </c>
      <c r="R2782">
        <v>141</v>
      </c>
      <c r="S2782">
        <v>144.94999999999999</v>
      </c>
      <c r="T2782">
        <v>144.94999999999999</v>
      </c>
      <c r="U2782">
        <v>144.69999999999999</v>
      </c>
      <c r="W2782">
        <v>144.94999999999999</v>
      </c>
      <c r="Z2782">
        <v>18000</v>
      </c>
      <c r="AA2782">
        <v>2599440</v>
      </c>
      <c r="AB2782">
        <v>14</v>
      </c>
      <c r="AC2782" t="s">
        <v>42</v>
      </c>
      <c r="AD2782">
        <v>1200</v>
      </c>
    </row>
    <row r="2783" spans="1:30">
      <c r="A2783" t="str">
        <f>CONCATENATE(I2783,J2783)</f>
        <v>SAWALIYASM</v>
      </c>
      <c r="B2783" s="34">
        <v>46273</v>
      </c>
      <c r="C2783" s="34">
        <v>46273</v>
      </c>
      <c r="D2783" t="s">
        <v>35</v>
      </c>
      <c r="E2783" t="s">
        <v>36</v>
      </c>
      <c r="F2783" t="s">
        <v>37</v>
      </c>
      <c r="G2783">
        <v>758444</v>
      </c>
      <c r="H2783" t="s">
        <v>8406</v>
      </c>
      <c r="I2783" t="s">
        <v>8407</v>
      </c>
      <c r="J2783" t="s">
        <v>267</v>
      </c>
      <c r="O2783" t="s">
        <v>8408</v>
      </c>
      <c r="P2783">
        <v>179</v>
      </c>
      <c r="Q2783">
        <v>179</v>
      </c>
      <c r="R2783">
        <v>169</v>
      </c>
      <c r="S2783">
        <v>170</v>
      </c>
      <c r="T2783">
        <v>170</v>
      </c>
      <c r="U2783">
        <v>169</v>
      </c>
      <c r="W2783">
        <v>170</v>
      </c>
      <c r="Z2783">
        <v>69000</v>
      </c>
      <c r="AA2783">
        <v>11757510</v>
      </c>
      <c r="AB2783">
        <v>32</v>
      </c>
      <c r="AC2783" t="s">
        <v>42</v>
      </c>
      <c r="AD2783">
        <v>600</v>
      </c>
    </row>
    <row r="2784" spans="1:30">
      <c r="A2784" t="str">
        <f>CONCATENATE(I2784,J2784)</f>
        <v>SAYAJIHOTLEQ</v>
      </c>
      <c r="B2784" s="34">
        <v>46273</v>
      </c>
      <c r="C2784" s="34">
        <v>46273</v>
      </c>
      <c r="D2784" t="s">
        <v>35</v>
      </c>
      <c r="E2784" t="s">
        <v>36</v>
      </c>
      <c r="F2784" t="s">
        <v>37</v>
      </c>
      <c r="G2784">
        <v>762879</v>
      </c>
      <c r="H2784" t="s">
        <v>8409</v>
      </c>
      <c r="I2784" t="s">
        <v>8410</v>
      </c>
      <c r="J2784" t="s">
        <v>161</v>
      </c>
      <c r="O2784" t="s">
        <v>8411</v>
      </c>
      <c r="P2784">
        <v>322.89999999999998</v>
      </c>
      <c r="Q2784">
        <v>322.89999999999998</v>
      </c>
      <c r="R2784">
        <v>305</v>
      </c>
      <c r="S2784">
        <v>320</v>
      </c>
      <c r="T2784">
        <v>320</v>
      </c>
      <c r="U2784">
        <v>323</v>
      </c>
      <c r="W2784">
        <v>324</v>
      </c>
      <c r="Z2784">
        <v>3</v>
      </c>
      <c r="AA2784">
        <v>947.9</v>
      </c>
      <c r="AB2784">
        <v>3</v>
      </c>
      <c r="AC2784" t="s">
        <v>42</v>
      </c>
      <c r="AD2784">
        <v>1</v>
      </c>
    </row>
    <row r="2785" spans="1:30">
      <c r="A2785" t="str">
        <f>CONCATENATE(I2785,J2785)</f>
        <v>SAYAJIINDEQ</v>
      </c>
      <c r="B2785" s="34">
        <v>46273</v>
      </c>
      <c r="C2785" s="34">
        <v>46273</v>
      </c>
      <c r="D2785" t="s">
        <v>35</v>
      </c>
      <c r="E2785" t="s">
        <v>36</v>
      </c>
      <c r="F2785" t="s">
        <v>37</v>
      </c>
      <c r="G2785">
        <v>764875</v>
      </c>
      <c r="H2785" t="s">
        <v>8412</v>
      </c>
      <c r="I2785" t="s">
        <v>8413</v>
      </c>
      <c r="J2785" t="s">
        <v>161</v>
      </c>
      <c r="O2785" t="s">
        <v>8414</v>
      </c>
      <c r="P2785">
        <v>116.01</v>
      </c>
      <c r="Q2785">
        <v>118.5</v>
      </c>
      <c r="R2785">
        <v>116</v>
      </c>
      <c r="S2785">
        <v>116.01</v>
      </c>
      <c r="T2785">
        <v>116.01</v>
      </c>
      <c r="U2785">
        <v>116.5</v>
      </c>
      <c r="W2785">
        <v>116.01</v>
      </c>
      <c r="Z2785">
        <v>5307</v>
      </c>
      <c r="AA2785">
        <v>617048.5</v>
      </c>
      <c r="AB2785">
        <v>26</v>
      </c>
      <c r="AC2785" t="s">
        <v>42</v>
      </c>
      <c r="AD2785">
        <v>1</v>
      </c>
    </row>
    <row r="2786" spans="1:30">
      <c r="A2786" t="str">
        <f>CONCATENATE(I2786,J2786)</f>
        <v>SBCEQ</v>
      </c>
      <c r="B2786" s="34">
        <v>46273</v>
      </c>
      <c r="C2786" s="34">
        <v>46273</v>
      </c>
      <c r="D2786" t="s">
        <v>35</v>
      </c>
      <c r="E2786" t="s">
        <v>36</v>
      </c>
      <c r="F2786" t="s">
        <v>37</v>
      </c>
      <c r="G2786">
        <v>6792</v>
      </c>
      <c r="H2786" t="s">
        <v>8415</v>
      </c>
      <c r="I2786" t="s">
        <v>8416</v>
      </c>
      <c r="J2786" t="s">
        <v>161</v>
      </c>
      <c r="O2786" t="s">
        <v>8417</v>
      </c>
      <c r="P2786">
        <v>46.99</v>
      </c>
      <c r="Q2786">
        <v>47.58</v>
      </c>
      <c r="R2786">
        <v>46.62</v>
      </c>
      <c r="S2786">
        <v>46.77</v>
      </c>
      <c r="T2786">
        <v>46.8</v>
      </c>
      <c r="U2786">
        <v>46.87</v>
      </c>
      <c r="W2786">
        <v>46.77</v>
      </c>
      <c r="Z2786">
        <v>8596009</v>
      </c>
      <c r="AA2786">
        <v>403378217.80000001</v>
      </c>
      <c r="AB2786">
        <v>10997</v>
      </c>
      <c r="AC2786" t="s">
        <v>42</v>
      </c>
      <c r="AD2786">
        <v>1</v>
      </c>
    </row>
    <row r="2787" spans="1:30">
      <c r="A2787" t="str">
        <f>CONCATENATE(I2787,J2787)</f>
        <v>SBFCEQ</v>
      </c>
      <c r="B2787" s="34">
        <v>46273</v>
      </c>
      <c r="C2787" s="34">
        <v>46273</v>
      </c>
      <c r="D2787" t="s">
        <v>35</v>
      </c>
      <c r="E2787" t="s">
        <v>36</v>
      </c>
      <c r="F2787" t="s">
        <v>37</v>
      </c>
      <c r="G2787">
        <v>18026</v>
      </c>
      <c r="H2787" t="s">
        <v>8418</v>
      </c>
      <c r="I2787" t="s">
        <v>8419</v>
      </c>
      <c r="J2787" t="s">
        <v>161</v>
      </c>
      <c r="O2787" t="s">
        <v>8420</v>
      </c>
      <c r="P2787">
        <v>98.98</v>
      </c>
      <c r="Q2787">
        <v>99.29</v>
      </c>
      <c r="R2787">
        <v>96.39</v>
      </c>
      <c r="S2787">
        <v>97.35</v>
      </c>
      <c r="T2787">
        <v>97.67</v>
      </c>
      <c r="U2787">
        <v>98.48</v>
      </c>
      <c r="W2787">
        <v>97.34</v>
      </c>
      <c r="Z2787">
        <v>589867</v>
      </c>
      <c r="AA2787">
        <v>57750122.539999999</v>
      </c>
      <c r="AB2787">
        <v>6848</v>
      </c>
      <c r="AC2787" t="s">
        <v>42</v>
      </c>
      <c r="AD2787">
        <v>1</v>
      </c>
    </row>
    <row r="2788" spans="1:30">
      <c r="A2788" t="str">
        <f>CONCATENATE(I2788,J2788)</f>
        <v>SBICARDEQ</v>
      </c>
      <c r="B2788" s="34">
        <v>46273</v>
      </c>
      <c r="C2788" s="34">
        <v>46273</v>
      </c>
      <c r="D2788" t="s">
        <v>35</v>
      </c>
      <c r="E2788" t="s">
        <v>36</v>
      </c>
      <c r="F2788" t="s">
        <v>37</v>
      </c>
      <c r="G2788">
        <v>17971</v>
      </c>
      <c r="H2788" t="s">
        <v>8421</v>
      </c>
      <c r="I2788" t="s">
        <v>8422</v>
      </c>
      <c r="J2788" t="s">
        <v>161</v>
      </c>
      <c r="O2788" t="s">
        <v>8423</v>
      </c>
      <c r="P2788">
        <v>671</v>
      </c>
      <c r="Q2788">
        <v>675</v>
      </c>
      <c r="R2788">
        <v>661.35</v>
      </c>
      <c r="S2788">
        <v>668</v>
      </c>
      <c r="T2788">
        <v>668</v>
      </c>
      <c r="U2788">
        <v>674.65</v>
      </c>
      <c r="W2788">
        <v>668</v>
      </c>
      <c r="Z2788">
        <v>2340386</v>
      </c>
      <c r="AA2788">
        <v>1559310889.2</v>
      </c>
      <c r="AB2788">
        <v>44283</v>
      </c>
      <c r="AC2788" t="s">
        <v>42</v>
      </c>
      <c r="AD2788">
        <v>1</v>
      </c>
    </row>
    <row r="2789" spans="1:30">
      <c r="A2789" t="str">
        <f>CONCATENATE(I2789,J2789)</f>
        <v>SBIFUNDSEQ</v>
      </c>
      <c r="B2789" s="34">
        <v>46273</v>
      </c>
      <c r="C2789" s="34">
        <v>46273</v>
      </c>
      <c r="D2789" t="s">
        <v>35</v>
      </c>
      <c r="E2789" t="s">
        <v>36</v>
      </c>
      <c r="F2789" t="s">
        <v>37</v>
      </c>
      <c r="G2789">
        <v>764173</v>
      </c>
      <c r="H2789" t="s">
        <v>8424</v>
      </c>
      <c r="I2789" t="s">
        <v>8425</v>
      </c>
      <c r="J2789" t="s">
        <v>161</v>
      </c>
      <c r="O2789" t="s">
        <v>8426</v>
      </c>
      <c r="P2789">
        <v>557.79999999999995</v>
      </c>
      <c r="Q2789">
        <v>558.5</v>
      </c>
      <c r="R2789">
        <v>553.04999999999995</v>
      </c>
      <c r="S2789">
        <v>555.70000000000005</v>
      </c>
      <c r="T2789">
        <v>555.5</v>
      </c>
      <c r="U2789">
        <v>557.79999999999995</v>
      </c>
      <c r="W2789">
        <v>555.71</v>
      </c>
      <c r="Z2789">
        <v>466279</v>
      </c>
      <c r="AA2789">
        <v>258957117.44999999</v>
      </c>
      <c r="AB2789">
        <v>15727</v>
      </c>
      <c r="AC2789" t="s">
        <v>42</v>
      </c>
      <c r="AD2789">
        <v>1</v>
      </c>
    </row>
    <row r="2790" spans="1:30">
      <c r="A2790" t="str">
        <f>CONCATENATE(I2790,J2790)</f>
        <v>SBILIFEEQ</v>
      </c>
      <c r="B2790" s="34">
        <v>46273</v>
      </c>
      <c r="C2790" s="34">
        <v>46273</v>
      </c>
      <c r="D2790" t="s">
        <v>35</v>
      </c>
      <c r="E2790" t="s">
        <v>36</v>
      </c>
      <c r="F2790" t="s">
        <v>37</v>
      </c>
      <c r="G2790">
        <v>21808</v>
      </c>
      <c r="H2790" t="s">
        <v>8427</v>
      </c>
      <c r="I2790" t="s">
        <v>8428</v>
      </c>
      <c r="J2790" t="s">
        <v>161</v>
      </c>
      <c r="O2790" t="s">
        <v>8429</v>
      </c>
      <c r="P2790">
        <v>1734.6</v>
      </c>
      <c r="Q2790">
        <v>1739.9</v>
      </c>
      <c r="R2790">
        <v>1696.6</v>
      </c>
      <c r="S2790">
        <v>1696.6</v>
      </c>
      <c r="T2790">
        <v>1696.6</v>
      </c>
      <c r="U2790">
        <v>1732</v>
      </c>
      <c r="W2790">
        <v>1696.64</v>
      </c>
      <c r="Z2790">
        <v>528949</v>
      </c>
      <c r="AA2790">
        <v>905542363.10000002</v>
      </c>
      <c r="AB2790">
        <v>31750</v>
      </c>
      <c r="AC2790" t="s">
        <v>42</v>
      </c>
      <c r="AD2790">
        <v>1</v>
      </c>
    </row>
    <row r="2791" spans="1:30">
      <c r="A2791" t="str">
        <f>CONCATENATE(I2791,J2791)</f>
        <v>SETFGOLDEQ</v>
      </c>
      <c r="B2791" s="34">
        <v>46273</v>
      </c>
      <c r="C2791" s="34">
        <v>46273</v>
      </c>
      <c r="D2791" t="s">
        <v>35</v>
      </c>
      <c r="E2791" t="s">
        <v>36</v>
      </c>
      <c r="F2791" t="s">
        <v>37</v>
      </c>
      <c r="G2791">
        <v>17272</v>
      </c>
      <c r="H2791" t="s">
        <v>8430</v>
      </c>
      <c r="I2791" t="s">
        <v>8431</v>
      </c>
      <c r="J2791" t="s">
        <v>161</v>
      </c>
      <c r="O2791" t="s">
        <v>8432</v>
      </c>
      <c r="P2791">
        <v>130.5</v>
      </c>
      <c r="Q2791">
        <v>130.66</v>
      </c>
      <c r="R2791">
        <v>129.25</v>
      </c>
      <c r="S2791">
        <v>129.84</v>
      </c>
      <c r="T2791">
        <v>129.93</v>
      </c>
      <c r="U2791">
        <v>129.56</v>
      </c>
      <c r="W2791">
        <v>129.84</v>
      </c>
      <c r="Z2791">
        <v>5603290</v>
      </c>
      <c r="AA2791">
        <v>727405900.11000001</v>
      </c>
      <c r="AB2791">
        <v>11109</v>
      </c>
      <c r="AC2791" t="s">
        <v>42</v>
      </c>
      <c r="AD2791">
        <v>1</v>
      </c>
    </row>
    <row r="2792" spans="1:30">
      <c r="A2792" t="str">
        <f>CONCATENATE(I2792,J2792)</f>
        <v>SETFNIF50EQ</v>
      </c>
      <c r="B2792" s="34">
        <v>46273</v>
      </c>
      <c r="C2792" s="34">
        <v>46273</v>
      </c>
      <c r="D2792" t="s">
        <v>35</v>
      </c>
      <c r="E2792" t="s">
        <v>36</v>
      </c>
      <c r="F2792" t="s">
        <v>37</v>
      </c>
      <c r="G2792">
        <v>10176</v>
      </c>
      <c r="H2792" t="s">
        <v>8433</v>
      </c>
      <c r="I2792" t="s">
        <v>8434</v>
      </c>
      <c r="J2792" t="s">
        <v>161</v>
      </c>
      <c r="O2792" t="s">
        <v>8435</v>
      </c>
      <c r="P2792">
        <v>256.73</v>
      </c>
      <c r="Q2792">
        <v>256.73</v>
      </c>
      <c r="R2792">
        <v>255.03</v>
      </c>
      <c r="S2792">
        <v>255.36</v>
      </c>
      <c r="T2792">
        <v>255.4</v>
      </c>
      <c r="U2792">
        <v>256.36</v>
      </c>
      <c r="W2792">
        <v>255.36</v>
      </c>
      <c r="Z2792">
        <v>810044</v>
      </c>
      <c r="AA2792">
        <v>206897468.05000001</v>
      </c>
      <c r="AB2792">
        <v>5492</v>
      </c>
      <c r="AC2792" t="s">
        <v>42</v>
      </c>
      <c r="AD2792">
        <v>1</v>
      </c>
    </row>
    <row r="2793" spans="1:30">
      <c r="A2793" t="str">
        <f>CONCATENATE(I2793,J2793)</f>
        <v>SETFNIFBKEQ</v>
      </c>
      <c r="B2793" s="34">
        <v>46273</v>
      </c>
      <c r="C2793" s="34">
        <v>46273</v>
      </c>
      <c r="D2793" t="s">
        <v>35</v>
      </c>
      <c r="E2793" t="s">
        <v>36</v>
      </c>
      <c r="F2793" t="s">
        <v>37</v>
      </c>
      <c r="G2793">
        <v>7361</v>
      </c>
      <c r="H2793" t="s">
        <v>8436</v>
      </c>
      <c r="I2793" t="s">
        <v>8437</v>
      </c>
      <c r="J2793" t="s">
        <v>161</v>
      </c>
      <c r="O2793" t="s">
        <v>8438</v>
      </c>
      <c r="P2793">
        <v>602.02</v>
      </c>
      <c r="Q2793">
        <v>602.02</v>
      </c>
      <c r="R2793">
        <v>583</v>
      </c>
      <c r="S2793">
        <v>584.23</v>
      </c>
      <c r="T2793">
        <v>583.62</v>
      </c>
      <c r="U2793">
        <v>587.34</v>
      </c>
      <c r="W2793">
        <v>584.24</v>
      </c>
      <c r="Z2793">
        <v>101600</v>
      </c>
      <c r="AA2793">
        <v>59303362.310000002</v>
      </c>
      <c r="AB2793">
        <v>1149</v>
      </c>
      <c r="AC2793" t="s">
        <v>42</v>
      </c>
      <c r="AD2793">
        <v>1</v>
      </c>
    </row>
    <row r="2794" spans="1:30">
      <c r="A2794" t="str">
        <f>CONCATENATE(I2794,J2794)</f>
        <v>SETFNN50EQ</v>
      </c>
      <c r="B2794" s="34">
        <v>46273</v>
      </c>
      <c r="C2794" s="34">
        <v>46273</v>
      </c>
      <c r="D2794" t="s">
        <v>35</v>
      </c>
      <c r="E2794" t="s">
        <v>36</v>
      </c>
      <c r="F2794" t="s">
        <v>37</v>
      </c>
      <c r="G2794">
        <v>7353</v>
      </c>
      <c r="H2794" t="s">
        <v>8439</v>
      </c>
      <c r="I2794" t="s">
        <v>8440</v>
      </c>
      <c r="J2794" t="s">
        <v>161</v>
      </c>
      <c r="O2794" t="s">
        <v>8441</v>
      </c>
      <c r="P2794">
        <v>778.2</v>
      </c>
      <c r="Q2794">
        <v>783.9</v>
      </c>
      <c r="R2794">
        <v>778.18</v>
      </c>
      <c r="S2794">
        <v>781.42</v>
      </c>
      <c r="T2794">
        <v>780</v>
      </c>
      <c r="U2794">
        <v>780.05</v>
      </c>
      <c r="W2794">
        <v>781.42</v>
      </c>
      <c r="Z2794">
        <v>23683</v>
      </c>
      <c r="AA2794">
        <v>18502617.190000001</v>
      </c>
      <c r="AB2794">
        <v>1282</v>
      </c>
      <c r="AC2794" t="s">
        <v>42</v>
      </c>
      <c r="AD2794">
        <v>1</v>
      </c>
    </row>
    <row r="2795" spans="1:30">
      <c r="A2795" t="str">
        <f>CONCATENATE(I2795,J2795)</f>
        <v>LIQUIDSBIEQ</v>
      </c>
      <c r="B2795" s="34">
        <v>46273</v>
      </c>
      <c r="C2795" s="34">
        <v>46273</v>
      </c>
      <c r="D2795" t="s">
        <v>35</v>
      </c>
      <c r="E2795" t="s">
        <v>36</v>
      </c>
      <c r="F2795" t="s">
        <v>37</v>
      </c>
      <c r="G2795">
        <v>19705</v>
      </c>
      <c r="H2795" t="s">
        <v>8442</v>
      </c>
      <c r="I2795" t="s">
        <v>8443</v>
      </c>
      <c r="J2795" t="s">
        <v>161</v>
      </c>
      <c r="O2795" t="s">
        <v>8444</v>
      </c>
      <c r="P2795">
        <v>1000.01</v>
      </c>
      <c r="Q2795">
        <v>1000.01</v>
      </c>
      <c r="R2795">
        <v>999.99</v>
      </c>
      <c r="S2795">
        <v>999.99</v>
      </c>
      <c r="T2795">
        <v>999.99</v>
      </c>
      <c r="U2795">
        <v>999.99</v>
      </c>
      <c r="W2795">
        <v>999.99</v>
      </c>
      <c r="Z2795">
        <v>823</v>
      </c>
      <c r="AA2795">
        <v>822997.07</v>
      </c>
      <c r="AB2795">
        <v>22</v>
      </c>
      <c r="AC2795" t="s">
        <v>42</v>
      </c>
      <c r="AD2795">
        <v>1</v>
      </c>
    </row>
    <row r="2796" spans="1:30">
      <c r="A2796" t="str">
        <f>CONCATENATE(I2796,J2796)</f>
        <v>SBIBPBEQ</v>
      </c>
      <c r="B2796" s="34">
        <v>46273</v>
      </c>
      <c r="C2796" s="34">
        <v>46273</v>
      </c>
      <c r="D2796" t="s">
        <v>35</v>
      </c>
      <c r="E2796" t="s">
        <v>36</v>
      </c>
      <c r="F2796" t="s">
        <v>37</v>
      </c>
      <c r="G2796">
        <v>30290</v>
      </c>
      <c r="H2796" t="s">
        <v>8445</v>
      </c>
      <c r="I2796" t="s">
        <v>8446</v>
      </c>
      <c r="J2796" t="s">
        <v>161</v>
      </c>
      <c r="O2796" t="s">
        <v>8447</v>
      </c>
      <c r="P2796">
        <v>49.32</v>
      </c>
      <c r="Q2796">
        <v>49.32</v>
      </c>
      <c r="R2796">
        <v>48.7</v>
      </c>
      <c r="S2796">
        <v>48.87</v>
      </c>
      <c r="T2796">
        <v>48.99</v>
      </c>
      <c r="U2796">
        <v>49.08</v>
      </c>
      <c r="W2796">
        <v>48.87</v>
      </c>
      <c r="Z2796">
        <v>21067</v>
      </c>
      <c r="AA2796">
        <v>1029698.04</v>
      </c>
      <c r="AB2796">
        <v>411</v>
      </c>
      <c r="AC2796" t="s">
        <v>42</v>
      </c>
      <c r="AD2796">
        <v>1</v>
      </c>
    </row>
    <row r="2797" spans="1:30">
      <c r="A2797" t="str">
        <f>CONCATENATE(I2797,J2797)</f>
        <v>SBIETFCONEQ</v>
      </c>
      <c r="B2797" s="34">
        <v>46273</v>
      </c>
      <c r="C2797" s="34">
        <v>46273</v>
      </c>
      <c r="D2797" t="s">
        <v>35</v>
      </c>
      <c r="E2797" t="s">
        <v>36</v>
      </c>
      <c r="F2797" t="s">
        <v>37</v>
      </c>
      <c r="G2797">
        <v>5168</v>
      </c>
      <c r="H2797" t="s">
        <v>8448</v>
      </c>
      <c r="I2797" t="s">
        <v>8449</v>
      </c>
      <c r="J2797" t="s">
        <v>161</v>
      </c>
      <c r="O2797" t="s">
        <v>8450</v>
      </c>
      <c r="P2797">
        <v>119.35</v>
      </c>
      <c r="Q2797">
        <v>120.15</v>
      </c>
      <c r="R2797">
        <v>118.79</v>
      </c>
      <c r="S2797">
        <v>119.88</v>
      </c>
      <c r="T2797">
        <v>120.15</v>
      </c>
      <c r="U2797">
        <v>119.35</v>
      </c>
      <c r="W2797">
        <v>119.88</v>
      </c>
      <c r="Z2797">
        <v>9270</v>
      </c>
      <c r="AA2797">
        <v>1106146.21</v>
      </c>
      <c r="AB2797">
        <v>136</v>
      </c>
      <c r="AC2797" t="s">
        <v>42</v>
      </c>
      <c r="AD2797">
        <v>1</v>
      </c>
    </row>
    <row r="2798" spans="1:30">
      <c r="A2798" t="str">
        <f>CONCATENATE(I2798,J2798)</f>
        <v>SBIETFITEQ</v>
      </c>
      <c r="B2798" s="34">
        <v>46273</v>
      </c>
      <c r="C2798" s="34">
        <v>46273</v>
      </c>
      <c r="D2798" t="s">
        <v>35</v>
      </c>
      <c r="E2798" t="s">
        <v>36</v>
      </c>
      <c r="F2798" t="s">
        <v>37</v>
      </c>
      <c r="G2798">
        <v>740</v>
      </c>
      <c r="H2798" t="s">
        <v>8451</v>
      </c>
      <c r="I2798" t="s">
        <v>8452</v>
      </c>
      <c r="J2798" t="s">
        <v>161</v>
      </c>
      <c r="O2798" t="s">
        <v>8453</v>
      </c>
      <c r="P2798">
        <v>342.25</v>
      </c>
      <c r="Q2798">
        <v>342.25</v>
      </c>
      <c r="R2798">
        <v>330.05</v>
      </c>
      <c r="S2798">
        <v>331.6</v>
      </c>
      <c r="T2798">
        <v>332.17</v>
      </c>
      <c r="U2798">
        <v>333.91</v>
      </c>
      <c r="W2798">
        <v>331.6</v>
      </c>
      <c r="Z2798">
        <v>6150</v>
      </c>
      <c r="AA2798">
        <v>2040907.66</v>
      </c>
      <c r="AB2798">
        <v>272</v>
      </c>
      <c r="AC2798" t="s">
        <v>42</v>
      </c>
      <c r="AD2798">
        <v>1</v>
      </c>
    </row>
    <row r="2799" spans="1:30">
      <c r="A2799" t="str">
        <f>CONCATENATE(I2799,J2799)</f>
        <v>SBIETFPBEQ</v>
      </c>
      <c r="B2799" s="34">
        <v>46273</v>
      </c>
      <c r="C2799" s="34">
        <v>46273</v>
      </c>
      <c r="D2799" t="s">
        <v>35</v>
      </c>
      <c r="E2799" t="s">
        <v>36</v>
      </c>
      <c r="F2799" t="s">
        <v>37</v>
      </c>
      <c r="G2799">
        <v>722</v>
      </c>
      <c r="H2799" t="s">
        <v>8454</v>
      </c>
      <c r="I2799" t="s">
        <v>8455</v>
      </c>
      <c r="J2799" t="s">
        <v>161</v>
      </c>
      <c r="O2799" t="s">
        <v>8456</v>
      </c>
      <c r="P2799">
        <v>283.47000000000003</v>
      </c>
      <c r="Q2799">
        <v>283.55</v>
      </c>
      <c r="R2799">
        <v>280.87</v>
      </c>
      <c r="S2799">
        <v>281.99</v>
      </c>
      <c r="T2799">
        <v>281</v>
      </c>
      <c r="U2799">
        <v>283.54000000000002</v>
      </c>
      <c r="W2799">
        <v>281.99</v>
      </c>
      <c r="Z2799">
        <v>1134</v>
      </c>
      <c r="AA2799">
        <v>320075.19</v>
      </c>
      <c r="AB2799">
        <v>115</v>
      </c>
      <c r="AC2799" t="s">
        <v>42</v>
      </c>
      <c r="AD2799">
        <v>1</v>
      </c>
    </row>
    <row r="2800" spans="1:30">
      <c r="A2800" t="str">
        <f>CONCATENATE(I2800,J2800)</f>
        <v>SBIETFQLTYEQ</v>
      </c>
      <c r="B2800" s="34">
        <v>46273</v>
      </c>
      <c r="C2800" s="34">
        <v>46273</v>
      </c>
      <c r="D2800" t="s">
        <v>35</v>
      </c>
      <c r="E2800" t="s">
        <v>36</v>
      </c>
      <c r="F2800" t="s">
        <v>37</v>
      </c>
      <c r="G2800">
        <v>7218</v>
      </c>
      <c r="H2800" t="s">
        <v>8457</v>
      </c>
      <c r="I2800" t="s">
        <v>8458</v>
      </c>
      <c r="J2800" t="s">
        <v>161</v>
      </c>
      <c r="O2800" t="s">
        <v>8459</v>
      </c>
      <c r="P2800">
        <v>219.37</v>
      </c>
      <c r="Q2800">
        <v>220.73</v>
      </c>
      <c r="R2800">
        <v>219.37</v>
      </c>
      <c r="S2800">
        <v>219.53</v>
      </c>
      <c r="T2800">
        <v>219.53</v>
      </c>
      <c r="U2800">
        <v>219.42</v>
      </c>
      <c r="W2800">
        <v>219.53</v>
      </c>
      <c r="Z2800">
        <v>847</v>
      </c>
      <c r="AA2800">
        <v>186147.25</v>
      </c>
      <c r="AB2800">
        <v>44</v>
      </c>
      <c r="AC2800" t="s">
        <v>42</v>
      </c>
      <c r="AD2800">
        <v>1</v>
      </c>
    </row>
    <row r="2801" spans="1:30">
      <c r="A2801" t="str">
        <f>CONCATENATE(I2801,J2801)</f>
        <v>SBILIQETFEQ</v>
      </c>
      <c r="B2801" s="34">
        <v>46273</v>
      </c>
      <c r="C2801" s="34">
        <v>46273</v>
      </c>
      <c r="D2801" t="s">
        <v>35</v>
      </c>
      <c r="E2801" t="s">
        <v>36</v>
      </c>
      <c r="F2801" t="s">
        <v>37</v>
      </c>
      <c r="G2801">
        <v>758496</v>
      </c>
      <c r="H2801" t="s">
        <v>8460</v>
      </c>
      <c r="I2801" t="s">
        <v>8461</v>
      </c>
      <c r="J2801" t="s">
        <v>161</v>
      </c>
      <c r="O2801" t="s">
        <v>8462</v>
      </c>
      <c r="P2801">
        <v>1055.02</v>
      </c>
      <c r="Q2801">
        <v>1055.04</v>
      </c>
      <c r="R2801">
        <v>1055.02</v>
      </c>
      <c r="S2801">
        <v>1055.03</v>
      </c>
      <c r="T2801">
        <v>1055.04</v>
      </c>
      <c r="U2801">
        <v>1054.9100000000001</v>
      </c>
      <c r="W2801">
        <v>1055.03</v>
      </c>
      <c r="Z2801">
        <v>69986</v>
      </c>
      <c r="AA2801">
        <v>73837475.730000004</v>
      </c>
      <c r="AB2801">
        <v>85</v>
      </c>
      <c r="AC2801" t="s">
        <v>42</v>
      </c>
      <c r="AD2801">
        <v>1</v>
      </c>
    </row>
    <row r="2802" spans="1:30">
      <c r="A2802" t="str">
        <f>CONCATENATE(I2802,J2802)</f>
        <v>SBIMIDMOMEQ</v>
      </c>
      <c r="B2802" s="34">
        <v>46273</v>
      </c>
      <c r="C2802" s="34">
        <v>46273</v>
      </c>
      <c r="D2802" t="s">
        <v>35</v>
      </c>
      <c r="E2802" t="s">
        <v>36</v>
      </c>
      <c r="F2802" t="s">
        <v>37</v>
      </c>
      <c r="G2802">
        <v>761095</v>
      </c>
      <c r="H2802" t="s">
        <v>8463</v>
      </c>
      <c r="I2802" t="s">
        <v>8464</v>
      </c>
      <c r="J2802" t="s">
        <v>161</v>
      </c>
      <c r="O2802" t="s">
        <v>8465</v>
      </c>
      <c r="P2802">
        <v>63.54</v>
      </c>
      <c r="Q2802">
        <v>64.17</v>
      </c>
      <c r="R2802">
        <v>63.54</v>
      </c>
      <c r="S2802">
        <v>64.09</v>
      </c>
      <c r="T2802">
        <v>64.08</v>
      </c>
      <c r="U2802">
        <v>63.53</v>
      </c>
      <c r="W2802">
        <v>64.09</v>
      </c>
      <c r="Z2802">
        <v>38459</v>
      </c>
      <c r="AA2802">
        <v>2464428.39</v>
      </c>
      <c r="AB2802">
        <v>148</v>
      </c>
      <c r="AC2802" t="s">
        <v>42</v>
      </c>
      <c r="AD2802">
        <v>1</v>
      </c>
    </row>
    <row r="2803" spans="1:30">
      <c r="A2803" t="str">
        <f>CONCATENATE(I2803,J2803)</f>
        <v>SBINEQWETFEQ</v>
      </c>
      <c r="B2803" s="34">
        <v>46273</v>
      </c>
      <c r="C2803" s="34">
        <v>46273</v>
      </c>
      <c r="D2803" t="s">
        <v>35</v>
      </c>
      <c r="E2803" t="s">
        <v>36</v>
      </c>
      <c r="F2803" t="s">
        <v>37</v>
      </c>
      <c r="G2803">
        <v>24524</v>
      </c>
      <c r="H2803" t="s">
        <v>8466</v>
      </c>
      <c r="I2803" t="s">
        <v>8467</v>
      </c>
      <c r="J2803" t="s">
        <v>161</v>
      </c>
      <c r="O2803" t="s">
        <v>8468</v>
      </c>
      <c r="P2803">
        <v>32.93</v>
      </c>
      <c r="Q2803">
        <v>32.94</v>
      </c>
      <c r="R2803">
        <v>32.75</v>
      </c>
      <c r="S2803">
        <v>32.880000000000003</v>
      </c>
      <c r="T2803">
        <v>32.93</v>
      </c>
      <c r="U2803">
        <v>32.93</v>
      </c>
      <c r="W2803">
        <v>32.89</v>
      </c>
      <c r="Z2803">
        <v>32039</v>
      </c>
      <c r="AA2803">
        <v>1053365.27</v>
      </c>
      <c r="AB2803">
        <v>194</v>
      </c>
      <c r="AC2803" t="s">
        <v>42</v>
      </c>
      <c r="AD2803">
        <v>1</v>
      </c>
    </row>
    <row r="2804" spans="1:30">
      <c r="A2804" t="str">
        <f>CONCATENATE(I2804,J2804)</f>
        <v>SBINMID150EQ</v>
      </c>
      <c r="B2804" s="34">
        <v>46273</v>
      </c>
      <c r="C2804" s="34">
        <v>46273</v>
      </c>
      <c r="D2804" t="s">
        <v>35</v>
      </c>
      <c r="E2804" t="s">
        <v>36</v>
      </c>
      <c r="F2804" t="s">
        <v>37</v>
      </c>
      <c r="G2804">
        <v>761741</v>
      </c>
      <c r="H2804" t="s">
        <v>8469</v>
      </c>
      <c r="I2804" t="s">
        <v>8470</v>
      </c>
      <c r="J2804" t="s">
        <v>161</v>
      </c>
      <c r="O2804" t="s">
        <v>8471</v>
      </c>
      <c r="P2804">
        <v>23.41</v>
      </c>
      <c r="Q2804">
        <v>23.41</v>
      </c>
      <c r="R2804">
        <v>23.08</v>
      </c>
      <c r="S2804">
        <v>23.17</v>
      </c>
      <c r="T2804">
        <v>23.18</v>
      </c>
      <c r="U2804">
        <v>23.15</v>
      </c>
      <c r="W2804">
        <v>23.17</v>
      </c>
      <c r="Z2804">
        <v>18315</v>
      </c>
      <c r="AA2804">
        <v>424297.74</v>
      </c>
      <c r="AB2804">
        <v>110</v>
      </c>
      <c r="AC2804" t="s">
        <v>42</v>
      </c>
      <c r="AD2804">
        <v>1</v>
      </c>
    </row>
    <row r="2805" spans="1:30">
      <c r="A2805" t="str">
        <f>CONCATENATE(I2805,J2805)</f>
        <v>SBISILVEREQ</v>
      </c>
      <c r="B2805" s="34">
        <v>46273</v>
      </c>
      <c r="C2805" s="34">
        <v>46273</v>
      </c>
      <c r="D2805" t="s">
        <v>35</v>
      </c>
      <c r="E2805" t="s">
        <v>36</v>
      </c>
      <c r="F2805" t="s">
        <v>37</v>
      </c>
      <c r="G2805">
        <v>24366</v>
      </c>
      <c r="H2805" t="s">
        <v>8472</v>
      </c>
      <c r="I2805" t="s">
        <v>8473</v>
      </c>
      <c r="J2805" t="s">
        <v>161</v>
      </c>
      <c r="O2805" t="s">
        <v>8474</v>
      </c>
      <c r="P2805">
        <v>227.6</v>
      </c>
      <c r="Q2805">
        <v>229.64</v>
      </c>
      <c r="R2805">
        <v>225.55</v>
      </c>
      <c r="S2805">
        <v>226.79</v>
      </c>
      <c r="T2805">
        <v>227</v>
      </c>
      <c r="U2805">
        <v>225.27</v>
      </c>
      <c r="W2805">
        <v>226.81</v>
      </c>
      <c r="Z2805">
        <v>852049</v>
      </c>
      <c r="AA2805">
        <v>193760784.36000001</v>
      </c>
      <c r="AB2805">
        <v>5804</v>
      </c>
      <c r="AC2805" t="s">
        <v>42</v>
      </c>
      <c r="AD2805">
        <v>1</v>
      </c>
    </row>
    <row r="2806" spans="1:30">
      <c r="A2806" t="str">
        <f>CONCATENATE(I2806,J2806)</f>
        <v>SBISMLETFEQ</v>
      </c>
      <c r="B2806" s="34">
        <v>46273</v>
      </c>
      <c r="C2806" s="34">
        <v>46273</v>
      </c>
      <c r="D2806" t="s">
        <v>35</v>
      </c>
      <c r="E2806" t="s">
        <v>36</v>
      </c>
      <c r="F2806" t="s">
        <v>37</v>
      </c>
      <c r="G2806">
        <v>763543</v>
      </c>
      <c r="H2806" t="s">
        <v>8475</v>
      </c>
      <c r="I2806" t="s">
        <v>8476</v>
      </c>
      <c r="J2806" t="s">
        <v>161</v>
      </c>
      <c r="O2806" t="s">
        <v>8477</v>
      </c>
      <c r="P2806">
        <v>18.59</v>
      </c>
      <c r="Q2806">
        <v>18.64</v>
      </c>
      <c r="R2806">
        <v>18.41</v>
      </c>
      <c r="S2806">
        <v>18.57</v>
      </c>
      <c r="T2806">
        <v>18.64</v>
      </c>
      <c r="U2806">
        <v>18.5</v>
      </c>
      <c r="W2806">
        <v>18.55</v>
      </c>
      <c r="Z2806">
        <v>37294</v>
      </c>
      <c r="AA2806">
        <v>691831.29</v>
      </c>
      <c r="AB2806">
        <v>176</v>
      </c>
      <c r="AC2806" t="s">
        <v>42</v>
      </c>
      <c r="AD2806">
        <v>1</v>
      </c>
    </row>
    <row r="2807" spans="1:30">
      <c r="A2807" t="str">
        <f>CONCATENATE(I2807,J2807)</f>
        <v>SBIVALETFEQ</v>
      </c>
      <c r="B2807" s="34">
        <v>46273</v>
      </c>
      <c r="C2807" s="34">
        <v>46273</v>
      </c>
      <c r="D2807" t="s">
        <v>35</v>
      </c>
      <c r="E2807" t="s">
        <v>36</v>
      </c>
      <c r="F2807" t="s">
        <v>37</v>
      </c>
      <c r="G2807">
        <v>763546</v>
      </c>
      <c r="H2807" t="s">
        <v>8478</v>
      </c>
      <c r="I2807" t="s">
        <v>8479</v>
      </c>
      <c r="J2807" t="s">
        <v>161</v>
      </c>
      <c r="O2807" t="s">
        <v>8480</v>
      </c>
      <c r="P2807">
        <v>14.65</v>
      </c>
      <c r="Q2807">
        <v>14.66</v>
      </c>
      <c r="R2807">
        <v>14.57</v>
      </c>
      <c r="S2807">
        <v>14.57</v>
      </c>
      <c r="T2807">
        <v>14.66</v>
      </c>
      <c r="U2807">
        <v>14.6</v>
      </c>
      <c r="W2807">
        <v>14.57</v>
      </c>
      <c r="Z2807">
        <v>5637</v>
      </c>
      <c r="AA2807">
        <v>82339.89</v>
      </c>
      <c r="AB2807">
        <v>37</v>
      </c>
      <c r="AC2807" t="s">
        <v>42</v>
      </c>
      <c r="AD2807">
        <v>1</v>
      </c>
    </row>
    <row r="2808" spans="1:30">
      <c r="A2808" t="str">
        <f>CONCATENATE(I2808,J2808)</f>
        <v>SETF10GILTEQ</v>
      </c>
      <c r="B2808" s="34">
        <v>46273</v>
      </c>
      <c r="C2808" s="34">
        <v>46273</v>
      </c>
      <c r="D2808" t="s">
        <v>35</v>
      </c>
      <c r="E2808" t="s">
        <v>36</v>
      </c>
      <c r="F2808" t="s">
        <v>37</v>
      </c>
      <c r="G2808">
        <v>17395</v>
      </c>
      <c r="H2808" t="s">
        <v>8481</v>
      </c>
      <c r="I2808" t="s">
        <v>8482</v>
      </c>
      <c r="J2808" t="s">
        <v>161</v>
      </c>
      <c r="O2808" t="s">
        <v>8483</v>
      </c>
      <c r="P2808">
        <v>264.63</v>
      </c>
      <c r="Q2808">
        <v>265.32</v>
      </c>
      <c r="R2808">
        <v>263</v>
      </c>
      <c r="S2808">
        <v>265.02</v>
      </c>
      <c r="T2808">
        <v>265.02</v>
      </c>
      <c r="U2808">
        <v>263.32</v>
      </c>
      <c r="W2808">
        <v>265.02</v>
      </c>
      <c r="Z2808">
        <v>691</v>
      </c>
      <c r="AA2808">
        <v>182620.93</v>
      </c>
      <c r="AB2808">
        <v>19</v>
      </c>
      <c r="AC2808" t="s">
        <v>42</v>
      </c>
      <c r="AD2808">
        <v>1</v>
      </c>
    </row>
    <row r="2809" spans="1:30">
      <c r="A2809" t="str">
        <f>CONCATENATE(I2809,J2809)</f>
        <v>SCANSTLBE</v>
      </c>
      <c r="B2809" s="34">
        <v>46273</v>
      </c>
      <c r="C2809" s="34">
        <v>46273</v>
      </c>
      <c r="D2809" t="s">
        <v>35</v>
      </c>
      <c r="E2809" t="s">
        <v>36</v>
      </c>
      <c r="F2809" t="s">
        <v>37</v>
      </c>
      <c r="G2809">
        <v>762887</v>
      </c>
      <c r="H2809" t="s">
        <v>8484</v>
      </c>
      <c r="I2809" t="s">
        <v>8485</v>
      </c>
      <c r="J2809" t="s">
        <v>183</v>
      </c>
      <c r="O2809" t="s">
        <v>8486</v>
      </c>
      <c r="P2809">
        <v>59.8</v>
      </c>
      <c r="Q2809">
        <v>60.98</v>
      </c>
      <c r="R2809">
        <v>57.71</v>
      </c>
      <c r="S2809">
        <v>58.41</v>
      </c>
      <c r="T2809">
        <v>58</v>
      </c>
      <c r="U2809">
        <v>59.85</v>
      </c>
      <c r="W2809">
        <v>58.45</v>
      </c>
      <c r="Z2809">
        <v>38895</v>
      </c>
      <c r="AA2809">
        <v>2278748.66</v>
      </c>
      <c r="AB2809">
        <v>133</v>
      </c>
      <c r="AC2809" t="s">
        <v>42</v>
      </c>
      <c r="AD2809">
        <v>1</v>
      </c>
    </row>
    <row r="2810" spans="1:30">
      <c r="A2810" t="str">
        <f>CONCATENATE(I2810,J2810)</f>
        <v>SCHAEFFLEREQ</v>
      </c>
      <c r="B2810" s="34">
        <v>46273</v>
      </c>
      <c r="C2810" s="34">
        <v>46273</v>
      </c>
      <c r="D2810" t="s">
        <v>35</v>
      </c>
      <c r="E2810" t="s">
        <v>36</v>
      </c>
      <c r="F2810" t="s">
        <v>37</v>
      </c>
      <c r="G2810">
        <v>1011</v>
      </c>
      <c r="H2810" t="s">
        <v>8487</v>
      </c>
      <c r="I2810" t="s">
        <v>8488</v>
      </c>
      <c r="J2810" t="s">
        <v>161</v>
      </c>
      <c r="O2810" t="s">
        <v>8489</v>
      </c>
      <c r="P2810">
        <v>3991.2</v>
      </c>
      <c r="Q2810">
        <v>4000.5</v>
      </c>
      <c r="R2810">
        <v>3911.7</v>
      </c>
      <c r="S2810">
        <v>3954.6</v>
      </c>
      <c r="T2810">
        <v>3952</v>
      </c>
      <c r="U2810">
        <v>3999.6</v>
      </c>
      <c r="W2810">
        <v>3954.53</v>
      </c>
      <c r="Z2810">
        <v>50833</v>
      </c>
      <c r="AA2810">
        <v>200773683.19999999</v>
      </c>
      <c r="AB2810">
        <v>11063</v>
      </c>
      <c r="AC2810" t="s">
        <v>42</v>
      </c>
      <c r="AD2810">
        <v>1</v>
      </c>
    </row>
    <row r="2811" spans="1:30">
      <c r="A2811" t="str">
        <f>CONCATENATE(I2811,J2811)</f>
        <v>SCHNEIDEREQ</v>
      </c>
      <c r="B2811" s="34">
        <v>46273</v>
      </c>
      <c r="C2811" s="34">
        <v>46273</v>
      </c>
      <c r="D2811" t="s">
        <v>35</v>
      </c>
      <c r="E2811" t="s">
        <v>36</v>
      </c>
      <c r="F2811" t="s">
        <v>37</v>
      </c>
      <c r="G2811">
        <v>31234</v>
      </c>
      <c r="H2811" t="s">
        <v>8490</v>
      </c>
      <c r="I2811" t="s">
        <v>8491</v>
      </c>
      <c r="J2811" t="s">
        <v>161</v>
      </c>
      <c r="O2811" t="s">
        <v>8492</v>
      </c>
      <c r="P2811">
        <v>1193.5999999999999</v>
      </c>
      <c r="Q2811">
        <v>1235.3</v>
      </c>
      <c r="R2811">
        <v>1186.4000000000001</v>
      </c>
      <c r="S2811">
        <v>1229.7</v>
      </c>
      <c r="T2811">
        <v>1224.5999999999999</v>
      </c>
      <c r="U2811">
        <v>1193.5999999999999</v>
      </c>
      <c r="W2811">
        <v>1229.48</v>
      </c>
      <c r="Z2811">
        <v>180626</v>
      </c>
      <c r="AA2811">
        <v>219551214.40000001</v>
      </c>
      <c r="AB2811">
        <v>14404</v>
      </c>
      <c r="AC2811" t="s">
        <v>42</v>
      </c>
      <c r="AD2811">
        <v>1</v>
      </c>
    </row>
    <row r="2812" spans="1:30">
      <c r="A2812" t="str">
        <f>CONCATENATE(I2812,J2812)</f>
        <v>925SCL2028N8</v>
      </c>
      <c r="B2812" s="34">
        <v>46273</v>
      </c>
      <c r="C2812" s="34">
        <v>46273</v>
      </c>
      <c r="D2812" t="s">
        <v>35</v>
      </c>
      <c r="E2812" t="s">
        <v>36</v>
      </c>
      <c r="F2812" t="s">
        <v>37</v>
      </c>
      <c r="G2812">
        <v>757464</v>
      </c>
      <c r="H2812" t="s">
        <v>8493</v>
      </c>
      <c r="I2812" t="s">
        <v>8494</v>
      </c>
      <c r="J2812" t="s">
        <v>207</v>
      </c>
      <c r="O2812" t="s">
        <v>8495</v>
      </c>
      <c r="P2812">
        <v>998</v>
      </c>
      <c r="Q2812">
        <v>1000</v>
      </c>
      <c r="R2812">
        <v>998</v>
      </c>
      <c r="S2812">
        <v>999.21</v>
      </c>
      <c r="T2812">
        <v>1000</v>
      </c>
      <c r="U2812">
        <v>999.9</v>
      </c>
      <c r="W2812">
        <v>999.21</v>
      </c>
      <c r="Z2812">
        <v>354</v>
      </c>
      <c r="AA2812">
        <v>353600</v>
      </c>
      <c r="AB2812">
        <v>5</v>
      </c>
      <c r="AC2812" t="s">
        <v>42</v>
      </c>
      <c r="AD2812">
        <v>1</v>
      </c>
    </row>
    <row r="2813" spans="1:30">
      <c r="A2813" t="str">
        <f>CONCATENATE(I2813,J2813)</f>
        <v>948SCL28N1</v>
      </c>
      <c r="B2813" s="34">
        <v>46273</v>
      </c>
      <c r="C2813" s="34">
        <v>46273</v>
      </c>
      <c r="D2813" t="s">
        <v>35</v>
      </c>
      <c r="E2813" t="s">
        <v>36</v>
      </c>
      <c r="F2813" t="s">
        <v>37</v>
      </c>
      <c r="G2813">
        <v>30240</v>
      </c>
      <c r="H2813" t="s">
        <v>8496</v>
      </c>
      <c r="I2813" t="s">
        <v>8497</v>
      </c>
      <c r="J2813" t="s">
        <v>8498</v>
      </c>
      <c r="O2813" t="s">
        <v>8499</v>
      </c>
      <c r="P2813">
        <v>1000</v>
      </c>
      <c r="Q2813">
        <v>1000</v>
      </c>
      <c r="R2813">
        <v>1000</v>
      </c>
      <c r="S2813">
        <v>1000</v>
      </c>
      <c r="T2813">
        <v>1000</v>
      </c>
      <c r="U2813">
        <v>1000</v>
      </c>
      <c r="W2813">
        <v>1000</v>
      </c>
      <c r="Z2813">
        <v>200</v>
      </c>
      <c r="AA2813">
        <v>200000</v>
      </c>
      <c r="AB2813">
        <v>3</v>
      </c>
      <c r="AC2813" t="s">
        <v>42</v>
      </c>
      <c r="AD2813">
        <v>1</v>
      </c>
    </row>
    <row r="2814" spans="1:30">
      <c r="A2814" t="str">
        <f>CONCATENATE(I2814,J2814)</f>
        <v>990SCL28N1</v>
      </c>
      <c r="B2814" s="34">
        <v>46273</v>
      </c>
      <c r="C2814" s="34">
        <v>46273</v>
      </c>
      <c r="D2814" t="s">
        <v>35</v>
      </c>
      <c r="E2814" t="s">
        <v>36</v>
      </c>
      <c r="F2814" t="s">
        <v>37</v>
      </c>
      <c r="G2814">
        <v>30222</v>
      </c>
      <c r="H2814" t="s">
        <v>8500</v>
      </c>
      <c r="I2814" t="s">
        <v>8501</v>
      </c>
      <c r="J2814" t="s">
        <v>8498</v>
      </c>
      <c r="O2814" t="s">
        <v>8502</v>
      </c>
      <c r="P2814">
        <v>1020</v>
      </c>
      <c r="Q2814">
        <v>1048.94</v>
      </c>
      <c r="R2814">
        <v>1010.2</v>
      </c>
      <c r="S2814">
        <v>1048.8</v>
      </c>
      <c r="T2814">
        <v>1048.8</v>
      </c>
      <c r="U2814">
        <v>1047.3599999999999</v>
      </c>
      <c r="W2814">
        <v>1048.8</v>
      </c>
      <c r="Z2814">
        <v>358</v>
      </c>
      <c r="AA2814">
        <v>369419.2</v>
      </c>
      <c r="AB2814">
        <v>6</v>
      </c>
      <c r="AC2814" t="s">
        <v>42</v>
      </c>
      <c r="AD2814">
        <v>1</v>
      </c>
    </row>
    <row r="2815" spans="1:30">
      <c r="A2815" t="str">
        <f>CONCATENATE(I2815,J2815)</f>
        <v>SCODATUBESEQ</v>
      </c>
      <c r="B2815" s="34">
        <v>46273</v>
      </c>
      <c r="C2815" s="34">
        <v>46273</v>
      </c>
      <c r="D2815" t="s">
        <v>35</v>
      </c>
      <c r="E2815" t="s">
        <v>36</v>
      </c>
      <c r="F2815" t="s">
        <v>37</v>
      </c>
      <c r="G2815">
        <v>757478</v>
      </c>
      <c r="H2815" t="s">
        <v>8503</v>
      </c>
      <c r="I2815" t="s">
        <v>8504</v>
      </c>
      <c r="J2815" t="s">
        <v>161</v>
      </c>
      <c r="O2815" t="s">
        <v>8505</v>
      </c>
      <c r="P2815">
        <v>130.30000000000001</v>
      </c>
      <c r="Q2815">
        <v>131.19999999999999</v>
      </c>
      <c r="R2815">
        <v>128.61000000000001</v>
      </c>
      <c r="S2815">
        <v>129.85</v>
      </c>
      <c r="T2815">
        <v>129.51</v>
      </c>
      <c r="U2815">
        <v>130.33000000000001</v>
      </c>
      <c r="W2815">
        <v>129.85</v>
      </c>
      <c r="Z2815">
        <v>117731</v>
      </c>
      <c r="AA2815">
        <v>15286411.6</v>
      </c>
      <c r="AB2815">
        <v>1649</v>
      </c>
      <c r="AC2815" t="s">
        <v>42</v>
      </c>
      <c r="AD2815">
        <v>1</v>
      </c>
    </row>
    <row r="2816" spans="1:30">
      <c r="A2816" t="str">
        <f>CONCATENATE(I2816,J2816)</f>
        <v>779AP42SG</v>
      </c>
      <c r="B2816" s="34">
        <v>46273</v>
      </c>
      <c r="C2816" s="34">
        <v>46273</v>
      </c>
      <c r="D2816" t="s">
        <v>35</v>
      </c>
      <c r="E2816" t="s">
        <v>36</v>
      </c>
      <c r="F2816" t="s">
        <v>37</v>
      </c>
      <c r="G2816">
        <v>763076</v>
      </c>
      <c r="H2816" t="s">
        <v>8506</v>
      </c>
      <c r="I2816" t="s">
        <v>8507</v>
      </c>
      <c r="J2816" t="s">
        <v>8508</v>
      </c>
      <c r="O2816" t="s">
        <v>8509</v>
      </c>
      <c r="P2816">
        <v>100</v>
      </c>
      <c r="Q2816">
        <v>100</v>
      </c>
      <c r="R2816">
        <v>100</v>
      </c>
      <c r="S2816">
        <v>100</v>
      </c>
      <c r="T2816">
        <v>100</v>
      </c>
      <c r="U2816">
        <v>100</v>
      </c>
      <c r="W2816">
        <v>100</v>
      </c>
      <c r="Z2816">
        <v>100</v>
      </c>
      <c r="AA2816">
        <v>10000</v>
      </c>
      <c r="AB2816">
        <v>1</v>
      </c>
      <c r="AC2816" t="s">
        <v>42</v>
      </c>
      <c r="AD2816">
        <v>100</v>
      </c>
    </row>
    <row r="2817" spans="1:30">
      <c r="A2817" t="str">
        <f>CONCATENATE(I2817,J2817)</f>
        <v>792BR51SG</v>
      </c>
      <c r="B2817" s="34">
        <v>46273</v>
      </c>
      <c r="C2817" s="34">
        <v>46273</v>
      </c>
      <c r="D2817" t="s">
        <v>35</v>
      </c>
      <c r="E2817" t="s">
        <v>36</v>
      </c>
      <c r="F2817" t="s">
        <v>37</v>
      </c>
      <c r="G2817">
        <v>762420</v>
      </c>
      <c r="H2817" t="s">
        <v>8510</v>
      </c>
      <c r="I2817" t="s">
        <v>8511</v>
      </c>
      <c r="J2817" t="s">
        <v>8508</v>
      </c>
      <c r="O2817" t="s">
        <v>8512</v>
      </c>
      <c r="P2817">
        <v>101.52</v>
      </c>
      <c r="Q2817">
        <v>101.52</v>
      </c>
      <c r="R2817">
        <v>101.52</v>
      </c>
      <c r="S2817">
        <v>101.52</v>
      </c>
      <c r="T2817">
        <v>101.52</v>
      </c>
      <c r="U2817">
        <v>102.55</v>
      </c>
      <c r="W2817">
        <v>101.52</v>
      </c>
      <c r="Z2817">
        <v>100</v>
      </c>
      <c r="AA2817">
        <v>10152</v>
      </c>
      <c r="AB2817">
        <v>1</v>
      </c>
      <c r="AC2817" t="s">
        <v>42</v>
      </c>
      <c r="AD2817">
        <v>100</v>
      </c>
    </row>
    <row r="2818" spans="1:30">
      <c r="A2818" t="str">
        <f>CONCATENATE(I2818,J2818)</f>
        <v>737CG31SG</v>
      </c>
      <c r="B2818" s="34">
        <v>46273</v>
      </c>
      <c r="C2818" s="34">
        <v>46273</v>
      </c>
      <c r="D2818" t="s">
        <v>35</v>
      </c>
      <c r="E2818" t="s">
        <v>36</v>
      </c>
      <c r="F2818" t="s">
        <v>37</v>
      </c>
      <c r="G2818">
        <v>762421</v>
      </c>
      <c r="H2818" t="s">
        <v>8513</v>
      </c>
      <c r="I2818" t="s">
        <v>8514</v>
      </c>
      <c r="J2818" t="s">
        <v>8508</v>
      </c>
      <c r="O2818" t="s">
        <v>8515</v>
      </c>
      <c r="P2818">
        <v>97.12</v>
      </c>
      <c r="Q2818">
        <v>97.12</v>
      </c>
      <c r="R2818">
        <v>97.12</v>
      </c>
      <c r="S2818">
        <v>97.12</v>
      </c>
      <c r="T2818">
        <v>97.12</v>
      </c>
      <c r="U2818">
        <v>101</v>
      </c>
      <c r="W2818">
        <v>97.12</v>
      </c>
      <c r="Z2818">
        <v>100</v>
      </c>
      <c r="AA2818">
        <v>9712</v>
      </c>
      <c r="AB2818">
        <v>1</v>
      </c>
      <c r="AC2818" t="s">
        <v>42</v>
      </c>
      <c r="AD2818">
        <v>100</v>
      </c>
    </row>
    <row r="2819" spans="1:30">
      <c r="A2819" t="str">
        <f>CONCATENATE(I2819,J2819)</f>
        <v>788HR41SG</v>
      </c>
      <c r="B2819" s="34">
        <v>46273</v>
      </c>
      <c r="C2819" s="34">
        <v>46273</v>
      </c>
      <c r="D2819" t="s">
        <v>35</v>
      </c>
      <c r="E2819" t="s">
        <v>36</v>
      </c>
      <c r="F2819" t="s">
        <v>37</v>
      </c>
      <c r="G2819">
        <v>761759</v>
      </c>
      <c r="H2819" t="s">
        <v>8516</v>
      </c>
      <c r="I2819" t="s">
        <v>8517</v>
      </c>
      <c r="J2819" t="s">
        <v>8508</v>
      </c>
      <c r="O2819" t="s">
        <v>8518</v>
      </c>
      <c r="P2819">
        <v>96.25</v>
      </c>
      <c r="Q2819">
        <v>96.25</v>
      </c>
      <c r="R2819">
        <v>96.25</v>
      </c>
      <c r="S2819">
        <v>96.25</v>
      </c>
      <c r="T2819">
        <v>96.25</v>
      </c>
      <c r="U2819">
        <v>100</v>
      </c>
      <c r="W2819">
        <v>96.25</v>
      </c>
      <c r="Z2819">
        <v>2000</v>
      </c>
      <c r="AA2819">
        <v>192500</v>
      </c>
      <c r="AB2819">
        <v>2</v>
      </c>
      <c r="AC2819" t="s">
        <v>42</v>
      </c>
      <c r="AD2819">
        <v>100</v>
      </c>
    </row>
    <row r="2820" spans="1:30">
      <c r="A2820" t="str">
        <f>CONCATENATE(I2820,J2820)</f>
        <v>799HR44SG</v>
      </c>
      <c r="B2820" s="34">
        <v>46273</v>
      </c>
      <c r="C2820" s="34">
        <v>46273</v>
      </c>
      <c r="D2820" t="s">
        <v>35</v>
      </c>
      <c r="E2820" t="s">
        <v>36</v>
      </c>
      <c r="F2820" t="s">
        <v>37</v>
      </c>
      <c r="G2820">
        <v>761744</v>
      </c>
      <c r="H2820" t="s">
        <v>8519</v>
      </c>
      <c r="I2820" t="s">
        <v>8520</v>
      </c>
      <c r="J2820" t="s">
        <v>8508</v>
      </c>
      <c r="O2820" t="s">
        <v>8521</v>
      </c>
      <c r="P2820">
        <v>96.64</v>
      </c>
      <c r="Q2820">
        <v>96.64</v>
      </c>
      <c r="R2820">
        <v>96.63</v>
      </c>
      <c r="S2820">
        <v>96.63</v>
      </c>
      <c r="T2820">
        <v>96.63</v>
      </c>
      <c r="U2820">
        <v>101</v>
      </c>
      <c r="W2820">
        <v>96.63</v>
      </c>
      <c r="Z2820">
        <v>3000</v>
      </c>
      <c r="AA2820">
        <v>289900</v>
      </c>
      <c r="AB2820">
        <v>3</v>
      </c>
      <c r="AC2820" t="s">
        <v>42</v>
      </c>
      <c r="AD2820">
        <v>100</v>
      </c>
    </row>
    <row r="2821" spans="1:30">
      <c r="A2821" t="str">
        <f>CONCATENATE(I2821,J2821)</f>
        <v>77MH33ASG</v>
      </c>
      <c r="B2821" s="34">
        <v>46273</v>
      </c>
      <c r="C2821" s="34">
        <v>46273</v>
      </c>
      <c r="D2821" t="s">
        <v>35</v>
      </c>
      <c r="E2821" t="s">
        <v>36</v>
      </c>
      <c r="F2821" t="s">
        <v>37</v>
      </c>
      <c r="G2821">
        <v>20172</v>
      </c>
      <c r="H2821" t="s">
        <v>8522</v>
      </c>
      <c r="I2821" t="s">
        <v>8523</v>
      </c>
      <c r="J2821" t="s">
        <v>8508</v>
      </c>
      <c r="O2821" t="s">
        <v>8524</v>
      </c>
      <c r="P2821">
        <v>99</v>
      </c>
      <c r="Q2821">
        <v>99</v>
      </c>
      <c r="R2821">
        <v>99</v>
      </c>
      <c r="S2821">
        <v>99</v>
      </c>
      <c r="T2821">
        <v>99</v>
      </c>
      <c r="U2821">
        <v>99</v>
      </c>
      <c r="W2821">
        <v>99</v>
      </c>
      <c r="Z2821">
        <v>400</v>
      </c>
      <c r="AA2821">
        <v>39600</v>
      </c>
      <c r="AB2821">
        <v>2</v>
      </c>
      <c r="AC2821" t="s">
        <v>42</v>
      </c>
      <c r="AD2821">
        <v>100</v>
      </c>
    </row>
    <row r="2822" spans="1:30">
      <c r="A2822" t="str">
        <f>CONCATENATE(I2822,J2822)</f>
        <v>781RJ49SG</v>
      </c>
      <c r="B2822" s="34">
        <v>46273</v>
      </c>
      <c r="C2822" s="34">
        <v>46273</v>
      </c>
      <c r="D2822" t="s">
        <v>35</v>
      </c>
      <c r="E2822" t="s">
        <v>36</v>
      </c>
      <c r="F2822" t="s">
        <v>37</v>
      </c>
      <c r="G2822">
        <v>763068</v>
      </c>
      <c r="H2822" t="s">
        <v>8525</v>
      </c>
      <c r="I2822" t="s">
        <v>8526</v>
      </c>
      <c r="J2822" t="s">
        <v>8508</v>
      </c>
      <c r="O2822" t="s">
        <v>8527</v>
      </c>
      <c r="P2822">
        <v>95.06</v>
      </c>
      <c r="Q2822">
        <v>95.06</v>
      </c>
      <c r="R2822">
        <v>95.06</v>
      </c>
      <c r="S2822">
        <v>95.06</v>
      </c>
      <c r="T2822">
        <v>95.06</v>
      </c>
      <c r="U2822">
        <v>97</v>
      </c>
      <c r="W2822">
        <v>95.06</v>
      </c>
      <c r="Z2822">
        <v>100</v>
      </c>
      <c r="AA2822">
        <v>9506</v>
      </c>
      <c r="AB2822">
        <v>1</v>
      </c>
      <c r="AC2822" t="s">
        <v>42</v>
      </c>
      <c r="AD2822">
        <v>100</v>
      </c>
    </row>
    <row r="2823" spans="1:30">
      <c r="A2823" t="str">
        <f>CONCATENATE(I2823,J2823)</f>
        <v>664TN29SG</v>
      </c>
      <c r="B2823" s="34">
        <v>46273</v>
      </c>
      <c r="C2823" s="34">
        <v>46273</v>
      </c>
      <c r="D2823" t="s">
        <v>35</v>
      </c>
      <c r="E2823" t="s">
        <v>36</v>
      </c>
      <c r="F2823" t="s">
        <v>37</v>
      </c>
      <c r="G2823">
        <v>761318</v>
      </c>
      <c r="H2823" t="s">
        <v>8528</v>
      </c>
      <c r="I2823" t="s">
        <v>8529</v>
      </c>
      <c r="J2823" t="s">
        <v>8508</v>
      </c>
      <c r="O2823" t="s">
        <v>8530</v>
      </c>
      <c r="P2823">
        <v>96.89</v>
      </c>
      <c r="Q2823">
        <v>96.89</v>
      </c>
      <c r="R2823">
        <v>96.89</v>
      </c>
      <c r="S2823">
        <v>96.89</v>
      </c>
      <c r="T2823">
        <v>96.89</v>
      </c>
      <c r="U2823">
        <v>100</v>
      </c>
      <c r="W2823">
        <v>96.89</v>
      </c>
      <c r="Z2823">
        <v>100</v>
      </c>
      <c r="AA2823">
        <v>9689</v>
      </c>
      <c r="AB2823">
        <v>1</v>
      </c>
      <c r="AC2823" t="s">
        <v>42</v>
      </c>
      <c r="AD2823">
        <v>100</v>
      </c>
    </row>
    <row r="2824" spans="1:30">
      <c r="A2824" t="str">
        <f>CONCATENATE(I2824,J2824)</f>
        <v>749TN36SG</v>
      </c>
      <c r="B2824" s="34">
        <v>46273</v>
      </c>
      <c r="C2824" s="34">
        <v>46273</v>
      </c>
      <c r="D2824" t="s">
        <v>35</v>
      </c>
      <c r="E2824" t="s">
        <v>36</v>
      </c>
      <c r="F2824" t="s">
        <v>37</v>
      </c>
      <c r="G2824">
        <v>764420</v>
      </c>
      <c r="H2824" t="s">
        <v>8531</v>
      </c>
      <c r="I2824" t="s">
        <v>8532</v>
      </c>
      <c r="J2824" t="s">
        <v>8508</v>
      </c>
      <c r="O2824" t="s">
        <v>8533</v>
      </c>
      <c r="P2824">
        <v>95</v>
      </c>
      <c r="Q2824">
        <v>95</v>
      </c>
      <c r="R2824">
        <v>95</v>
      </c>
      <c r="S2824">
        <v>95</v>
      </c>
      <c r="T2824">
        <v>95</v>
      </c>
      <c r="U2824">
        <v>97.5</v>
      </c>
      <c r="W2824">
        <v>95</v>
      </c>
      <c r="Z2824">
        <v>300</v>
      </c>
      <c r="AA2824">
        <v>28500</v>
      </c>
      <c r="AB2824">
        <v>1</v>
      </c>
      <c r="AC2824" t="s">
        <v>42</v>
      </c>
      <c r="AD2824">
        <v>100</v>
      </c>
    </row>
    <row r="2825" spans="1:30">
      <c r="A2825" t="str">
        <f>CONCATENATE(I2825,J2825)</f>
        <v>769TN33SG</v>
      </c>
      <c r="B2825" s="34">
        <v>46273</v>
      </c>
      <c r="C2825" s="34">
        <v>46273</v>
      </c>
      <c r="D2825" t="s">
        <v>35</v>
      </c>
      <c r="E2825" t="s">
        <v>36</v>
      </c>
      <c r="F2825" t="s">
        <v>37</v>
      </c>
      <c r="G2825">
        <v>763735</v>
      </c>
      <c r="H2825" t="s">
        <v>8534</v>
      </c>
      <c r="I2825" t="s">
        <v>8535</v>
      </c>
      <c r="J2825" t="s">
        <v>8508</v>
      </c>
      <c r="O2825" t="s">
        <v>8536</v>
      </c>
      <c r="P2825">
        <v>100.98</v>
      </c>
      <c r="Q2825">
        <v>100.98</v>
      </c>
      <c r="R2825">
        <v>100.98</v>
      </c>
      <c r="S2825">
        <v>100.98</v>
      </c>
      <c r="T2825">
        <v>100.98</v>
      </c>
      <c r="U2825">
        <v>102</v>
      </c>
      <c r="W2825">
        <v>100.98</v>
      </c>
      <c r="Z2825">
        <v>700</v>
      </c>
      <c r="AA2825">
        <v>70686</v>
      </c>
      <c r="AB2825">
        <v>1</v>
      </c>
      <c r="AC2825" t="s">
        <v>42</v>
      </c>
      <c r="AD2825">
        <v>100</v>
      </c>
    </row>
    <row r="2826" spans="1:30">
      <c r="A2826" t="str">
        <f>CONCATENATE(I2826,J2826)</f>
        <v>794TN32SG</v>
      </c>
      <c r="B2826" s="34">
        <v>46273</v>
      </c>
      <c r="C2826" s="34">
        <v>46273</v>
      </c>
      <c r="D2826" t="s">
        <v>35</v>
      </c>
      <c r="E2826" t="s">
        <v>36</v>
      </c>
      <c r="F2826" t="s">
        <v>37</v>
      </c>
      <c r="G2826">
        <v>9869</v>
      </c>
      <c r="H2826" t="s">
        <v>8537</v>
      </c>
      <c r="I2826" t="s">
        <v>8538</v>
      </c>
      <c r="J2826" t="s">
        <v>8508</v>
      </c>
      <c r="O2826" t="s">
        <v>8539</v>
      </c>
      <c r="P2826">
        <v>103</v>
      </c>
      <c r="Q2826">
        <v>103</v>
      </c>
      <c r="R2826">
        <v>103</v>
      </c>
      <c r="S2826">
        <v>103</v>
      </c>
      <c r="T2826">
        <v>103</v>
      </c>
      <c r="U2826">
        <v>103</v>
      </c>
      <c r="W2826">
        <v>103</v>
      </c>
      <c r="Z2826">
        <v>4000</v>
      </c>
      <c r="AA2826">
        <v>412000</v>
      </c>
      <c r="AB2826">
        <v>1</v>
      </c>
      <c r="AC2826" t="s">
        <v>42</v>
      </c>
      <c r="AD2826">
        <v>100</v>
      </c>
    </row>
    <row r="2827" spans="1:30">
      <c r="A2827" t="str">
        <f>CONCATENATE(I2827,J2827)</f>
        <v>754TS53SG</v>
      </c>
      <c r="B2827" s="34">
        <v>46273</v>
      </c>
      <c r="C2827" s="34">
        <v>46273</v>
      </c>
      <c r="D2827" t="s">
        <v>35</v>
      </c>
      <c r="E2827" t="s">
        <v>36</v>
      </c>
      <c r="F2827" t="s">
        <v>37</v>
      </c>
      <c r="G2827">
        <v>758666</v>
      </c>
      <c r="H2827" t="s">
        <v>8540</v>
      </c>
      <c r="I2827" t="s">
        <v>8541</v>
      </c>
      <c r="J2827" t="s">
        <v>8508</v>
      </c>
      <c r="O2827" t="s">
        <v>8542</v>
      </c>
      <c r="P2827">
        <v>93.1</v>
      </c>
      <c r="Q2827">
        <v>93.1</v>
      </c>
      <c r="R2827">
        <v>93.1</v>
      </c>
      <c r="S2827">
        <v>93.1</v>
      </c>
      <c r="T2827">
        <v>93.1</v>
      </c>
      <c r="U2827">
        <v>95</v>
      </c>
      <c r="W2827">
        <v>93.1</v>
      </c>
      <c r="Z2827">
        <v>100</v>
      </c>
      <c r="AA2827">
        <v>9310</v>
      </c>
      <c r="AB2827">
        <v>1</v>
      </c>
      <c r="AC2827" t="s">
        <v>42</v>
      </c>
      <c r="AD2827">
        <v>100</v>
      </c>
    </row>
    <row r="2828" spans="1:30">
      <c r="A2828" t="str">
        <f>CONCATENATE(I2828,J2828)</f>
        <v>772TS46SG</v>
      </c>
      <c r="B2828" s="34">
        <v>46273</v>
      </c>
      <c r="C2828" s="34">
        <v>46273</v>
      </c>
      <c r="D2828" t="s">
        <v>35</v>
      </c>
      <c r="E2828" t="s">
        <v>36</v>
      </c>
      <c r="F2828" t="s">
        <v>37</v>
      </c>
      <c r="G2828">
        <v>14452</v>
      </c>
      <c r="H2828" t="s">
        <v>8543</v>
      </c>
      <c r="I2828" t="s">
        <v>8544</v>
      </c>
      <c r="J2828" t="s">
        <v>8508</v>
      </c>
      <c r="O2828" t="s">
        <v>8545</v>
      </c>
      <c r="P2828">
        <v>98.45</v>
      </c>
      <c r="Q2828">
        <v>98.45</v>
      </c>
      <c r="R2828">
        <v>98.45</v>
      </c>
      <c r="S2828">
        <v>98.45</v>
      </c>
      <c r="T2828">
        <v>98.45</v>
      </c>
      <c r="U2828">
        <v>98</v>
      </c>
      <c r="W2828">
        <v>98.45</v>
      </c>
      <c r="Z2828">
        <v>200</v>
      </c>
      <c r="AA2828">
        <v>19690</v>
      </c>
      <c r="AB2828">
        <v>1</v>
      </c>
      <c r="AC2828" t="s">
        <v>42</v>
      </c>
      <c r="AD2828">
        <v>100</v>
      </c>
    </row>
    <row r="2829" spans="1:30">
      <c r="A2829" t="str">
        <f>CONCATENATE(I2829,J2829)</f>
        <v>746UP34SG</v>
      </c>
      <c r="B2829" s="34">
        <v>46273</v>
      </c>
      <c r="C2829" s="34">
        <v>46273</v>
      </c>
      <c r="D2829" t="s">
        <v>35</v>
      </c>
      <c r="E2829" t="s">
        <v>36</v>
      </c>
      <c r="F2829" t="s">
        <v>37</v>
      </c>
      <c r="G2829">
        <v>22876</v>
      </c>
      <c r="H2829" t="s">
        <v>8546</v>
      </c>
      <c r="I2829" t="s">
        <v>8547</v>
      </c>
      <c r="J2829" t="s">
        <v>8508</v>
      </c>
      <c r="O2829" t="s">
        <v>8548</v>
      </c>
      <c r="P2829">
        <v>96</v>
      </c>
      <c r="Q2829">
        <v>96</v>
      </c>
      <c r="R2829">
        <v>96</v>
      </c>
      <c r="S2829">
        <v>96</v>
      </c>
      <c r="T2829">
        <v>96</v>
      </c>
      <c r="U2829">
        <v>100</v>
      </c>
      <c r="W2829">
        <v>96</v>
      </c>
      <c r="Z2829">
        <v>100</v>
      </c>
      <c r="AA2829">
        <v>9600</v>
      </c>
      <c r="AB2829">
        <v>1</v>
      </c>
      <c r="AC2829" t="s">
        <v>42</v>
      </c>
      <c r="AD2829">
        <v>100</v>
      </c>
    </row>
    <row r="2830" spans="1:30">
      <c r="A2830" t="str">
        <f>CONCATENATE(I2830,J2830)</f>
        <v>SEAMECLTDEQ</v>
      </c>
      <c r="B2830" s="34">
        <v>46273</v>
      </c>
      <c r="C2830" s="34">
        <v>46273</v>
      </c>
      <c r="D2830" t="s">
        <v>35</v>
      </c>
      <c r="E2830" t="s">
        <v>36</v>
      </c>
      <c r="F2830" t="s">
        <v>37</v>
      </c>
      <c r="G2830">
        <v>2616</v>
      </c>
      <c r="H2830" t="s">
        <v>8549</v>
      </c>
      <c r="I2830" t="s">
        <v>8550</v>
      </c>
      <c r="J2830" t="s">
        <v>161</v>
      </c>
      <c r="O2830" t="s">
        <v>8551</v>
      </c>
      <c r="P2830">
        <v>1791.6</v>
      </c>
      <c r="Q2830">
        <v>1799</v>
      </c>
      <c r="R2830">
        <v>1740</v>
      </c>
      <c r="S2830">
        <v>1782.6</v>
      </c>
      <c r="T2830">
        <v>1785</v>
      </c>
      <c r="U2830">
        <v>1779.9</v>
      </c>
      <c r="W2830">
        <v>1782.6</v>
      </c>
      <c r="Z2830">
        <v>67665</v>
      </c>
      <c r="AA2830">
        <v>120290604.40000001</v>
      </c>
      <c r="AB2830">
        <v>5730</v>
      </c>
      <c r="AC2830" t="s">
        <v>42</v>
      </c>
      <c r="AD2830">
        <v>1</v>
      </c>
    </row>
    <row r="2831" spans="1:30">
      <c r="A2831" t="str">
        <f>CONCATENATE(I2831,J2831)</f>
        <v>IIFLZC26NN</v>
      </c>
      <c r="B2831" s="34">
        <v>46273</v>
      </c>
      <c r="C2831" s="34">
        <v>46273</v>
      </c>
      <c r="D2831" t="s">
        <v>35</v>
      </c>
      <c r="E2831" t="s">
        <v>36</v>
      </c>
      <c r="F2831" t="s">
        <v>37</v>
      </c>
      <c r="G2831">
        <v>6207</v>
      </c>
      <c r="H2831" t="s">
        <v>8552</v>
      </c>
      <c r="I2831" t="s">
        <v>8553</v>
      </c>
      <c r="J2831" t="s">
        <v>476</v>
      </c>
      <c r="O2831" t="s">
        <v>8554</v>
      </c>
      <c r="P2831">
        <v>1523</v>
      </c>
      <c r="Q2831">
        <v>1523</v>
      </c>
      <c r="R2831">
        <v>1479</v>
      </c>
      <c r="S2831">
        <v>1501.16</v>
      </c>
      <c r="T2831">
        <v>1480</v>
      </c>
      <c r="U2831">
        <v>1495</v>
      </c>
      <c r="W2831">
        <v>1501.16</v>
      </c>
      <c r="Z2831">
        <v>36</v>
      </c>
      <c r="AA2831">
        <v>54042</v>
      </c>
      <c r="AB2831">
        <v>6</v>
      </c>
      <c r="AC2831" t="s">
        <v>42</v>
      </c>
      <c r="AD2831">
        <v>1</v>
      </c>
    </row>
    <row r="2832" spans="1:30">
      <c r="A2832" t="str">
        <f>CONCATENATE(I2832,J2832)</f>
        <v>10ISFL26N3</v>
      </c>
      <c r="B2832" s="34">
        <v>46273</v>
      </c>
      <c r="C2832" s="34">
        <v>46273</v>
      </c>
      <c r="D2832" t="s">
        <v>35</v>
      </c>
      <c r="E2832" t="s">
        <v>36</v>
      </c>
      <c r="F2832" t="s">
        <v>37</v>
      </c>
      <c r="G2832">
        <v>20771</v>
      </c>
      <c r="H2832" t="s">
        <v>8555</v>
      </c>
      <c r="I2832" t="s">
        <v>8556</v>
      </c>
      <c r="J2832" t="s">
        <v>7372</v>
      </c>
      <c r="O2832" t="s">
        <v>8557</v>
      </c>
      <c r="P2832">
        <v>1069.8</v>
      </c>
      <c r="Q2832">
        <v>1069.8</v>
      </c>
      <c r="R2832">
        <v>1068.2</v>
      </c>
      <c r="S2832">
        <v>1068.2</v>
      </c>
      <c r="T2832">
        <v>1068.2</v>
      </c>
      <c r="U2832">
        <v>1066.8</v>
      </c>
      <c r="W2832">
        <v>1062.7</v>
      </c>
      <c r="Z2832">
        <v>46</v>
      </c>
      <c r="AA2832">
        <v>49169.2</v>
      </c>
      <c r="AB2832">
        <v>3</v>
      </c>
      <c r="AC2832" t="s">
        <v>42</v>
      </c>
      <c r="AD2832">
        <v>1</v>
      </c>
    </row>
    <row r="2833" spans="1:30">
      <c r="A2833" t="str">
        <f>CONCATENATE(I2833,J2833)</f>
        <v>1003IIFL29NC</v>
      </c>
      <c r="B2833" s="34">
        <v>46273</v>
      </c>
      <c r="C2833" s="34">
        <v>46273</v>
      </c>
      <c r="D2833" t="s">
        <v>35</v>
      </c>
      <c r="E2833" t="s">
        <v>36</v>
      </c>
      <c r="F2833" t="s">
        <v>37</v>
      </c>
      <c r="G2833">
        <v>24141</v>
      </c>
      <c r="H2833" t="s">
        <v>8558</v>
      </c>
      <c r="I2833" t="s">
        <v>8559</v>
      </c>
      <c r="J2833" t="s">
        <v>1760</v>
      </c>
      <c r="O2833" t="s">
        <v>8560</v>
      </c>
      <c r="P2833">
        <v>1012</v>
      </c>
      <c r="Q2833">
        <v>1012</v>
      </c>
      <c r="R2833">
        <v>1012</v>
      </c>
      <c r="S2833">
        <v>1012</v>
      </c>
      <c r="T2833">
        <v>1012</v>
      </c>
      <c r="U2833">
        <v>1001.75</v>
      </c>
      <c r="W2833">
        <v>1012</v>
      </c>
      <c r="Z2833">
        <v>98</v>
      </c>
      <c r="AA2833">
        <v>99176</v>
      </c>
      <c r="AB2833">
        <v>1</v>
      </c>
      <c r="AC2833" t="s">
        <v>42</v>
      </c>
      <c r="AD2833">
        <v>1</v>
      </c>
    </row>
    <row r="2834" spans="1:30">
      <c r="A2834" t="str">
        <f>CONCATENATE(I2834,J2834)</f>
        <v>1015SCFL29YY</v>
      </c>
      <c r="B2834" s="34">
        <v>46273</v>
      </c>
      <c r="C2834" s="34">
        <v>46273</v>
      </c>
      <c r="D2834" t="s">
        <v>35</v>
      </c>
      <c r="E2834" t="s">
        <v>36</v>
      </c>
      <c r="F2834" t="s">
        <v>37</v>
      </c>
      <c r="G2834">
        <v>23303</v>
      </c>
      <c r="H2834" t="s">
        <v>8561</v>
      </c>
      <c r="I2834" t="s">
        <v>8562</v>
      </c>
      <c r="J2834" t="s">
        <v>8563</v>
      </c>
      <c r="O2834" t="s">
        <v>8564</v>
      </c>
      <c r="P2834">
        <v>1026.99</v>
      </c>
      <c r="Q2834">
        <v>1026.99</v>
      </c>
      <c r="R2834">
        <v>1026.99</v>
      </c>
      <c r="S2834">
        <v>1026.99</v>
      </c>
      <c r="T2834">
        <v>1026.99</v>
      </c>
      <c r="U2834">
        <v>1026</v>
      </c>
      <c r="W2834">
        <v>1026.99</v>
      </c>
      <c r="Z2834">
        <v>1</v>
      </c>
      <c r="AA2834">
        <v>1026.99</v>
      </c>
      <c r="AB2834">
        <v>1</v>
      </c>
      <c r="AC2834" t="s">
        <v>42</v>
      </c>
      <c r="AD2834">
        <v>1</v>
      </c>
    </row>
    <row r="2835" spans="1:30">
      <c r="A2835" t="str">
        <f>CONCATENATE(I2835,J2835)</f>
        <v>1015SCL28BAZ</v>
      </c>
      <c r="B2835" s="34">
        <v>46273</v>
      </c>
      <c r="C2835" s="34">
        <v>46273</v>
      </c>
      <c r="D2835" t="s">
        <v>35</v>
      </c>
      <c r="E2835" t="s">
        <v>36</v>
      </c>
      <c r="F2835" t="s">
        <v>37</v>
      </c>
      <c r="G2835">
        <v>17542</v>
      </c>
      <c r="H2835" t="s">
        <v>8565</v>
      </c>
      <c r="I2835" t="s">
        <v>8566</v>
      </c>
      <c r="J2835" t="s">
        <v>8567</v>
      </c>
      <c r="O2835" t="s">
        <v>8564</v>
      </c>
      <c r="P2835">
        <v>1035</v>
      </c>
      <c r="Q2835">
        <v>1035</v>
      </c>
      <c r="R2835">
        <v>1028.69</v>
      </c>
      <c r="S2835">
        <v>1028.69</v>
      </c>
      <c r="T2835">
        <v>1028.69</v>
      </c>
      <c r="U2835">
        <v>864</v>
      </c>
      <c r="W2835">
        <v>1028.69</v>
      </c>
      <c r="Z2835">
        <v>12</v>
      </c>
      <c r="AA2835">
        <v>12413.68</v>
      </c>
      <c r="AB2835">
        <v>3</v>
      </c>
      <c r="AC2835" t="s">
        <v>42</v>
      </c>
      <c r="AD2835">
        <v>1</v>
      </c>
    </row>
    <row r="2836" spans="1:30">
      <c r="A2836" t="str">
        <f>CONCATENATE(I2836,J2836)</f>
        <v>1015SCL29BN1</v>
      </c>
      <c r="B2836" s="34">
        <v>46273</v>
      </c>
      <c r="C2836" s="34">
        <v>46273</v>
      </c>
      <c r="D2836" t="s">
        <v>35</v>
      </c>
      <c r="E2836" t="s">
        <v>36</v>
      </c>
      <c r="F2836" t="s">
        <v>37</v>
      </c>
      <c r="G2836">
        <v>25558</v>
      </c>
      <c r="H2836" t="s">
        <v>8568</v>
      </c>
      <c r="I2836" t="s">
        <v>8569</v>
      </c>
      <c r="J2836" t="s">
        <v>8498</v>
      </c>
      <c r="O2836" t="s">
        <v>8564</v>
      </c>
      <c r="P2836">
        <v>1095</v>
      </c>
      <c r="Q2836">
        <v>1105.3800000000001</v>
      </c>
      <c r="R2836">
        <v>1095</v>
      </c>
      <c r="S2836">
        <v>1105.3800000000001</v>
      </c>
      <c r="T2836">
        <v>1105.3800000000001</v>
      </c>
      <c r="U2836">
        <v>1105.3800000000001</v>
      </c>
      <c r="W2836">
        <v>1105.3800000000001</v>
      </c>
      <c r="Z2836">
        <v>600</v>
      </c>
      <c r="AA2836">
        <v>658038</v>
      </c>
      <c r="AB2836">
        <v>3</v>
      </c>
      <c r="AC2836" t="s">
        <v>42</v>
      </c>
      <c r="AD2836">
        <v>1</v>
      </c>
    </row>
    <row r="2837" spans="1:30">
      <c r="A2837" t="str">
        <f>CONCATENATE(I2837,J2837)</f>
        <v>1025SCL34AZT</v>
      </c>
      <c r="B2837" s="34">
        <v>46273</v>
      </c>
      <c r="C2837" s="34">
        <v>46273</v>
      </c>
      <c r="D2837" t="s">
        <v>35</v>
      </c>
      <c r="E2837" t="s">
        <v>36</v>
      </c>
      <c r="F2837" t="s">
        <v>37</v>
      </c>
      <c r="G2837">
        <v>23974</v>
      </c>
      <c r="H2837" t="s">
        <v>8570</v>
      </c>
      <c r="I2837" t="s">
        <v>8571</v>
      </c>
      <c r="J2837" t="s">
        <v>8572</v>
      </c>
      <c r="O2837" t="s">
        <v>8573</v>
      </c>
      <c r="P2837">
        <v>1010</v>
      </c>
      <c r="Q2837">
        <v>1010</v>
      </c>
      <c r="R2837">
        <v>1010</v>
      </c>
      <c r="S2837">
        <v>1010</v>
      </c>
      <c r="T2837">
        <v>1010</v>
      </c>
      <c r="U2837">
        <v>1010</v>
      </c>
      <c r="W2837">
        <v>1010</v>
      </c>
      <c r="Z2837">
        <v>60</v>
      </c>
      <c r="AA2837">
        <v>60600</v>
      </c>
      <c r="AB2837">
        <v>1</v>
      </c>
      <c r="AC2837" t="s">
        <v>42</v>
      </c>
      <c r="AD2837">
        <v>1</v>
      </c>
    </row>
    <row r="2838" spans="1:30">
      <c r="A2838" t="str">
        <f>CONCATENATE(I2838,J2838)</f>
        <v>1030SFIL28NM</v>
      </c>
      <c r="B2838" s="34">
        <v>46273</v>
      </c>
      <c r="C2838" s="34">
        <v>46273</v>
      </c>
      <c r="D2838" t="s">
        <v>35</v>
      </c>
      <c r="E2838" t="s">
        <v>36</v>
      </c>
      <c r="F2838" t="s">
        <v>37</v>
      </c>
      <c r="G2838">
        <v>14034</v>
      </c>
      <c r="H2838" t="s">
        <v>8574</v>
      </c>
      <c r="I2838" t="s">
        <v>8575</v>
      </c>
      <c r="J2838" t="s">
        <v>8576</v>
      </c>
      <c r="O2838" t="s">
        <v>8577</v>
      </c>
      <c r="P2838">
        <v>555</v>
      </c>
      <c r="Q2838">
        <v>555</v>
      </c>
      <c r="R2838">
        <v>500</v>
      </c>
      <c r="S2838">
        <v>520.62</v>
      </c>
      <c r="T2838">
        <v>500</v>
      </c>
      <c r="U2838">
        <v>590</v>
      </c>
      <c r="W2838">
        <v>520.62</v>
      </c>
      <c r="Z2838">
        <v>8</v>
      </c>
      <c r="AA2838">
        <v>4165</v>
      </c>
      <c r="AB2838">
        <v>2</v>
      </c>
      <c r="AC2838" t="s">
        <v>42</v>
      </c>
      <c r="AD2838">
        <v>1</v>
      </c>
    </row>
    <row r="2839" spans="1:30">
      <c r="A2839" t="str">
        <f>CONCATENATE(I2839,J2839)</f>
        <v>1050ISFL28N5</v>
      </c>
      <c r="B2839" s="34">
        <v>46273</v>
      </c>
      <c r="C2839" s="34">
        <v>46273</v>
      </c>
      <c r="D2839" t="s">
        <v>35</v>
      </c>
      <c r="E2839" t="s">
        <v>36</v>
      </c>
      <c r="F2839" t="s">
        <v>37</v>
      </c>
      <c r="G2839">
        <v>20784</v>
      </c>
      <c r="H2839" t="s">
        <v>8578</v>
      </c>
      <c r="I2839" t="s">
        <v>8579</v>
      </c>
      <c r="J2839" t="s">
        <v>219</v>
      </c>
      <c r="O2839" t="s">
        <v>8580</v>
      </c>
      <c r="P2839">
        <v>1061.25</v>
      </c>
      <c r="Q2839">
        <v>1061.25</v>
      </c>
      <c r="R2839">
        <v>1061.25</v>
      </c>
      <c r="S2839">
        <v>1061.25</v>
      </c>
      <c r="T2839">
        <v>1061.25</v>
      </c>
      <c r="U2839">
        <v>1061.2</v>
      </c>
      <c r="W2839">
        <v>1062.6300000000001</v>
      </c>
      <c r="Z2839">
        <v>10</v>
      </c>
      <c r="AA2839">
        <v>10612.5</v>
      </c>
      <c r="AB2839">
        <v>1</v>
      </c>
      <c r="AC2839" t="s">
        <v>42</v>
      </c>
      <c r="AD2839">
        <v>1</v>
      </c>
    </row>
    <row r="2840" spans="1:30">
      <c r="A2840" t="str">
        <f>CONCATENATE(I2840,J2840)</f>
        <v>1065NFL27NC</v>
      </c>
      <c r="B2840" s="34">
        <v>46273</v>
      </c>
      <c r="C2840" s="34">
        <v>46273</v>
      </c>
      <c r="D2840" t="s">
        <v>35</v>
      </c>
      <c r="E2840" t="s">
        <v>36</v>
      </c>
      <c r="F2840" t="s">
        <v>37</v>
      </c>
      <c r="G2840">
        <v>23123</v>
      </c>
      <c r="H2840" t="s">
        <v>8581</v>
      </c>
      <c r="I2840" t="s">
        <v>8582</v>
      </c>
      <c r="J2840" t="s">
        <v>1760</v>
      </c>
      <c r="O2840" t="s">
        <v>8583</v>
      </c>
      <c r="P2840">
        <v>1004.51</v>
      </c>
      <c r="Q2840">
        <v>1023.97</v>
      </c>
      <c r="R2840">
        <v>1004.5</v>
      </c>
      <c r="S2840">
        <v>1023.97</v>
      </c>
      <c r="T2840">
        <v>1023.97</v>
      </c>
      <c r="U2840">
        <v>1004.03</v>
      </c>
      <c r="W2840">
        <v>1023.97</v>
      </c>
      <c r="Z2840">
        <v>100</v>
      </c>
      <c r="AA2840">
        <v>101423.6</v>
      </c>
      <c r="AB2840">
        <v>4</v>
      </c>
      <c r="AC2840" t="s">
        <v>42</v>
      </c>
      <c r="AD2840">
        <v>1</v>
      </c>
    </row>
    <row r="2841" spans="1:30">
      <c r="A2841" t="str">
        <f>CONCATENATE(I2841,J2841)</f>
        <v>1075SCL33YK</v>
      </c>
      <c r="B2841" s="34">
        <v>46273</v>
      </c>
      <c r="C2841" s="34">
        <v>46273</v>
      </c>
      <c r="D2841" t="s">
        <v>35</v>
      </c>
      <c r="E2841" t="s">
        <v>36</v>
      </c>
      <c r="F2841" t="s">
        <v>37</v>
      </c>
      <c r="G2841">
        <v>21042</v>
      </c>
      <c r="H2841" t="s">
        <v>8584</v>
      </c>
      <c r="I2841" t="s">
        <v>8585</v>
      </c>
      <c r="J2841" t="s">
        <v>8586</v>
      </c>
      <c r="O2841" t="s">
        <v>8587</v>
      </c>
      <c r="P2841">
        <v>1085</v>
      </c>
      <c r="Q2841">
        <v>1085</v>
      </c>
      <c r="R2841">
        <v>1084.5</v>
      </c>
      <c r="S2841">
        <v>1084.5</v>
      </c>
      <c r="T2841">
        <v>1084.5</v>
      </c>
      <c r="U2841">
        <v>1082</v>
      </c>
      <c r="W2841">
        <v>1084.5</v>
      </c>
      <c r="Z2841">
        <v>120</v>
      </c>
      <c r="AA2841">
        <v>130190</v>
      </c>
      <c r="AB2841">
        <v>2</v>
      </c>
      <c r="AC2841" t="s">
        <v>42</v>
      </c>
      <c r="AD2841">
        <v>1</v>
      </c>
    </row>
    <row r="2842" spans="1:30">
      <c r="A2842" t="str">
        <f>CONCATENATE(I2842,J2842)</f>
        <v>1075SCL33AN2</v>
      </c>
      <c r="B2842" s="34">
        <v>46273</v>
      </c>
      <c r="C2842" s="34">
        <v>46273</v>
      </c>
      <c r="D2842" t="s">
        <v>35</v>
      </c>
      <c r="E2842" t="s">
        <v>36</v>
      </c>
      <c r="F2842" t="s">
        <v>37</v>
      </c>
      <c r="G2842">
        <v>18902</v>
      </c>
      <c r="H2842" t="s">
        <v>8588</v>
      </c>
      <c r="I2842" t="s">
        <v>8589</v>
      </c>
      <c r="J2842" t="s">
        <v>203</v>
      </c>
      <c r="O2842" t="s">
        <v>8587</v>
      </c>
      <c r="P2842">
        <v>820.2</v>
      </c>
      <c r="Q2842">
        <v>820.2</v>
      </c>
      <c r="R2842">
        <v>820.2</v>
      </c>
      <c r="S2842">
        <v>820.2</v>
      </c>
      <c r="T2842">
        <v>820.2</v>
      </c>
      <c r="U2842">
        <v>890.1</v>
      </c>
      <c r="W2842">
        <v>830.3</v>
      </c>
      <c r="Z2842">
        <v>6</v>
      </c>
      <c r="AA2842">
        <v>4921.2</v>
      </c>
      <c r="AB2842">
        <v>1</v>
      </c>
      <c r="AC2842" t="s">
        <v>42</v>
      </c>
      <c r="AD2842">
        <v>1</v>
      </c>
    </row>
    <row r="2843" spans="1:30">
      <c r="A2843" t="str">
        <f>CONCATENATE(I2843,J2843)</f>
        <v>79NHIT35N1</v>
      </c>
      <c r="B2843" s="34">
        <v>46273</v>
      </c>
      <c r="C2843" s="34">
        <v>46273</v>
      </c>
      <c r="D2843" t="s">
        <v>35</v>
      </c>
      <c r="E2843" t="s">
        <v>36</v>
      </c>
      <c r="F2843" t="s">
        <v>37</v>
      </c>
      <c r="G2843">
        <v>11658</v>
      </c>
      <c r="H2843" t="s">
        <v>8590</v>
      </c>
      <c r="I2843" t="s">
        <v>8591</v>
      </c>
      <c r="J2843" t="s">
        <v>8498</v>
      </c>
      <c r="O2843" t="s">
        <v>8592</v>
      </c>
      <c r="P2843">
        <v>311.5</v>
      </c>
      <c r="Q2843">
        <v>311.75</v>
      </c>
      <c r="R2843">
        <v>310.55</v>
      </c>
      <c r="S2843">
        <v>310.55</v>
      </c>
      <c r="T2843">
        <v>310.55</v>
      </c>
      <c r="U2843">
        <v>311.2</v>
      </c>
      <c r="W2843">
        <v>311.02999999999997</v>
      </c>
      <c r="Z2843">
        <v>135</v>
      </c>
      <c r="AA2843">
        <v>42048.7</v>
      </c>
      <c r="AB2843">
        <v>5</v>
      </c>
      <c r="AC2843" t="s">
        <v>42</v>
      </c>
      <c r="AD2843">
        <v>1</v>
      </c>
    </row>
    <row r="2844" spans="1:30">
      <c r="A2844" t="str">
        <f>CONCATENATE(I2844,J2844)</f>
        <v>79NHIT40N2</v>
      </c>
      <c r="B2844" s="34">
        <v>46273</v>
      </c>
      <c r="C2844" s="34">
        <v>46273</v>
      </c>
      <c r="D2844" t="s">
        <v>35</v>
      </c>
      <c r="E2844" t="s">
        <v>36</v>
      </c>
      <c r="F2844" t="s">
        <v>37</v>
      </c>
      <c r="G2844">
        <v>11665</v>
      </c>
      <c r="H2844" t="s">
        <v>8593</v>
      </c>
      <c r="I2844" t="s">
        <v>8594</v>
      </c>
      <c r="J2844" t="s">
        <v>203</v>
      </c>
      <c r="O2844" t="s">
        <v>8595</v>
      </c>
      <c r="P2844">
        <v>312.5</v>
      </c>
      <c r="Q2844">
        <v>312.5</v>
      </c>
      <c r="R2844">
        <v>312.5</v>
      </c>
      <c r="S2844">
        <v>312.5</v>
      </c>
      <c r="T2844">
        <v>312.5</v>
      </c>
      <c r="U2844">
        <v>315.99</v>
      </c>
      <c r="W2844">
        <v>312.5</v>
      </c>
      <c r="Z2844">
        <v>40</v>
      </c>
      <c r="AA2844">
        <v>12500</v>
      </c>
      <c r="AB2844">
        <v>2</v>
      </c>
      <c r="AC2844" t="s">
        <v>42</v>
      </c>
      <c r="AD2844">
        <v>1</v>
      </c>
    </row>
    <row r="2845" spans="1:30">
      <c r="A2845" t="str">
        <f>CONCATENATE(I2845,J2845)</f>
        <v>79NHIT47N3</v>
      </c>
      <c r="B2845" s="34">
        <v>46273</v>
      </c>
      <c r="C2845" s="34">
        <v>46273</v>
      </c>
      <c r="D2845" t="s">
        <v>35</v>
      </c>
      <c r="E2845" t="s">
        <v>36</v>
      </c>
      <c r="F2845" t="s">
        <v>37</v>
      </c>
      <c r="G2845">
        <v>11669</v>
      </c>
      <c r="H2845" t="s">
        <v>8596</v>
      </c>
      <c r="I2845" t="s">
        <v>8597</v>
      </c>
      <c r="J2845" t="s">
        <v>7372</v>
      </c>
      <c r="O2845" t="s">
        <v>8598</v>
      </c>
      <c r="P2845">
        <v>416.75</v>
      </c>
      <c r="Q2845">
        <v>417</v>
      </c>
      <c r="R2845">
        <v>416.71</v>
      </c>
      <c r="S2845">
        <v>417</v>
      </c>
      <c r="T2845">
        <v>417</v>
      </c>
      <c r="U2845">
        <v>416.55</v>
      </c>
      <c r="W2845">
        <v>417</v>
      </c>
      <c r="Z2845">
        <v>103</v>
      </c>
      <c r="AA2845">
        <v>42924.39</v>
      </c>
      <c r="AB2845">
        <v>3</v>
      </c>
      <c r="AC2845" t="s">
        <v>42</v>
      </c>
      <c r="AD2845">
        <v>1</v>
      </c>
    </row>
    <row r="2846" spans="1:30">
      <c r="A2846" t="str">
        <f>CONCATENATE(I2846,J2846)</f>
        <v>797IGT31NL</v>
      </c>
      <c r="B2846" s="34">
        <v>46273</v>
      </c>
      <c r="C2846" s="34">
        <v>46273</v>
      </c>
      <c r="D2846" t="s">
        <v>35</v>
      </c>
      <c r="E2846" t="s">
        <v>36</v>
      </c>
      <c r="F2846" t="s">
        <v>37</v>
      </c>
      <c r="G2846">
        <v>3476</v>
      </c>
      <c r="H2846" t="s">
        <v>8599</v>
      </c>
      <c r="I2846" t="s">
        <v>8600</v>
      </c>
      <c r="J2846" t="s">
        <v>8601</v>
      </c>
      <c r="O2846" t="s">
        <v>8602</v>
      </c>
      <c r="P2846">
        <v>1017.8</v>
      </c>
      <c r="Q2846">
        <v>1017.8</v>
      </c>
      <c r="R2846">
        <v>1017.4</v>
      </c>
      <c r="S2846">
        <v>1017.8</v>
      </c>
      <c r="T2846">
        <v>1017.8</v>
      </c>
      <c r="U2846">
        <v>1017.8</v>
      </c>
      <c r="W2846">
        <v>1017.8</v>
      </c>
      <c r="Z2846">
        <v>100</v>
      </c>
      <c r="AA2846">
        <v>101770</v>
      </c>
      <c r="AB2846">
        <v>3</v>
      </c>
      <c r="AC2846" t="s">
        <v>42</v>
      </c>
      <c r="AD2846">
        <v>1</v>
      </c>
    </row>
    <row r="2847" spans="1:30">
      <c r="A2847" t="str">
        <f>CONCATENATE(I2847,J2847)</f>
        <v>82IGT31NJ</v>
      </c>
      <c r="B2847" s="34">
        <v>46273</v>
      </c>
      <c r="C2847" s="34">
        <v>46273</v>
      </c>
      <c r="D2847" t="s">
        <v>35</v>
      </c>
      <c r="E2847" t="s">
        <v>36</v>
      </c>
      <c r="F2847" t="s">
        <v>37</v>
      </c>
      <c r="G2847">
        <v>3464</v>
      </c>
      <c r="H2847" t="s">
        <v>8603</v>
      </c>
      <c r="I2847" t="s">
        <v>8604</v>
      </c>
      <c r="J2847" t="s">
        <v>8605</v>
      </c>
      <c r="O2847" t="s">
        <v>8606</v>
      </c>
      <c r="P2847">
        <v>1038.5</v>
      </c>
      <c r="Q2847">
        <v>1038.5</v>
      </c>
      <c r="R2847">
        <v>1038.5</v>
      </c>
      <c r="S2847">
        <v>1038.5</v>
      </c>
      <c r="T2847">
        <v>1038.5</v>
      </c>
      <c r="U2847">
        <v>1032.5</v>
      </c>
      <c r="W2847">
        <v>1038.5</v>
      </c>
      <c r="Z2847">
        <v>1</v>
      </c>
      <c r="AA2847">
        <v>1038.5</v>
      </c>
      <c r="AB2847">
        <v>1</v>
      </c>
      <c r="AC2847" t="s">
        <v>42</v>
      </c>
      <c r="AD2847">
        <v>1</v>
      </c>
    </row>
    <row r="2848" spans="1:30">
      <c r="A2848" t="str">
        <f>CONCATENATE(I2848,J2848)</f>
        <v>842IIFL26NL</v>
      </c>
      <c r="B2848" s="34">
        <v>46273</v>
      </c>
      <c r="C2848" s="34">
        <v>46273</v>
      </c>
      <c r="D2848" t="s">
        <v>35</v>
      </c>
      <c r="E2848" t="s">
        <v>36</v>
      </c>
      <c r="F2848" t="s">
        <v>37</v>
      </c>
      <c r="G2848">
        <v>6197</v>
      </c>
      <c r="H2848" t="s">
        <v>8607</v>
      </c>
      <c r="I2848" t="s">
        <v>8608</v>
      </c>
      <c r="J2848" t="s">
        <v>8601</v>
      </c>
      <c r="O2848" t="s">
        <v>8609</v>
      </c>
      <c r="P2848">
        <v>999.9</v>
      </c>
      <c r="Q2848">
        <v>1001.15</v>
      </c>
      <c r="R2848">
        <v>998</v>
      </c>
      <c r="S2848">
        <v>1001.15</v>
      </c>
      <c r="T2848">
        <v>1001.15</v>
      </c>
      <c r="U2848">
        <v>998.47</v>
      </c>
      <c r="W2848">
        <v>999.83</v>
      </c>
      <c r="Z2848">
        <v>219</v>
      </c>
      <c r="AA2848">
        <v>218889.16</v>
      </c>
      <c r="AB2848">
        <v>14</v>
      </c>
      <c r="AC2848" t="s">
        <v>42</v>
      </c>
      <c r="AD2848">
        <v>1</v>
      </c>
    </row>
    <row r="2849" spans="1:30">
      <c r="A2849" t="str">
        <f>CONCATENATE(I2849,J2849)</f>
        <v>843IHFL29NC</v>
      </c>
      <c r="B2849" s="34">
        <v>46273</v>
      </c>
      <c r="C2849" s="34">
        <v>46273</v>
      </c>
      <c r="D2849" t="s">
        <v>35</v>
      </c>
      <c r="E2849" t="s">
        <v>36</v>
      </c>
      <c r="F2849" t="s">
        <v>37</v>
      </c>
      <c r="G2849">
        <v>7668</v>
      </c>
      <c r="H2849" t="s">
        <v>8610</v>
      </c>
      <c r="I2849" t="s">
        <v>8611</v>
      </c>
      <c r="J2849" t="s">
        <v>1760</v>
      </c>
      <c r="O2849" t="s">
        <v>8612</v>
      </c>
      <c r="P2849">
        <v>980.05</v>
      </c>
      <c r="Q2849">
        <v>980.05</v>
      </c>
      <c r="R2849">
        <v>980.05</v>
      </c>
      <c r="S2849">
        <v>980.05</v>
      </c>
      <c r="T2849">
        <v>980.05</v>
      </c>
      <c r="U2849">
        <v>985</v>
      </c>
      <c r="W2849">
        <v>980.05</v>
      </c>
      <c r="Z2849">
        <v>25</v>
      </c>
      <c r="AA2849">
        <v>24501.25</v>
      </c>
      <c r="AB2849">
        <v>1</v>
      </c>
      <c r="AC2849" t="s">
        <v>42</v>
      </c>
      <c r="AD2849">
        <v>1</v>
      </c>
    </row>
    <row r="2850" spans="1:30">
      <c r="A2850" t="str">
        <f>CONCATENATE(I2850,J2850)</f>
        <v>865IFL28NZ</v>
      </c>
      <c r="B2850" s="34">
        <v>46273</v>
      </c>
      <c r="C2850" s="34">
        <v>46273</v>
      </c>
      <c r="D2850" t="s">
        <v>35</v>
      </c>
      <c r="E2850" t="s">
        <v>36</v>
      </c>
      <c r="F2850" t="s">
        <v>37</v>
      </c>
      <c r="G2850">
        <v>17039</v>
      </c>
      <c r="H2850" t="s">
        <v>8613</v>
      </c>
      <c r="I2850" t="s">
        <v>8614</v>
      </c>
      <c r="J2850" t="s">
        <v>8615</v>
      </c>
      <c r="O2850" t="s">
        <v>8616</v>
      </c>
      <c r="P2850">
        <v>994</v>
      </c>
      <c r="Q2850">
        <v>994</v>
      </c>
      <c r="R2850">
        <v>994</v>
      </c>
      <c r="S2850">
        <v>994</v>
      </c>
      <c r="T2850">
        <v>994</v>
      </c>
      <c r="U2850">
        <v>986.01</v>
      </c>
      <c r="W2850">
        <v>990</v>
      </c>
      <c r="Z2850">
        <v>22</v>
      </c>
      <c r="AA2850">
        <v>21868</v>
      </c>
      <c r="AB2850">
        <v>2</v>
      </c>
      <c r="AC2850" t="s">
        <v>42</v>
      </c>
      <c r="AD2850">
        <v>1</v>
      </c>
    </row>
    <row r="2851" spans="1:30">
      <c r="A2851" t="str">
        <f>CONCATENATE(I2851,J2851)</f>
        <v>865IIFL28NS</v>
      </c>
      <c r="B2851" s="34">
        <v>46273</v>
      </c>
      <c r="C2851" s="34">
        <v>46273</v>
      </c>
      <c r="D2851" t="s">
        <v>35</v>
      </c>
      <c r="E2851" t="s">
        <v>36</v>
      </c>
      <c r="F2851" t="s">
        <v>37</v>
      </c>
      <c r="G2851">
        <v>13852</v>
      </c>
      <c r="H2851" t="s">
        <v>8617</v>
      </c>
      <c r="I2851" t="s">
        <v>8618</v>
      </c>
      <c r="J2851" t="s">
        <v>8619</v>
      </c>
      <c r="O2851" t="s">
        <v>8616</v>
      </c>
      <c r="P2851">
        <v>995.99</v>
      </c>
      <c r="Q2851">
        <v>995.99</v>
      </c>
      <c r="R2851">
        <v>995.99</v>
      </c>
      <c r="S2851">
        <v>995.99</v>
      </c>
      <c r="T2851">
        <v>995.99</v>
      </c>
      <c r="U2851">
        <v>991.01</v>
      </c>
      <c r="W2851">
        <v>992</v>
      </c>
      <c r="Z2851">
        <v>5</v>
      </c>
      <c r="AA2851">
        <v>4979.95</v>
      </c>
      <c r="AB2851">
        <v>1</v>
      </c>
      <c r="AC2851" t="s">
        <v>42</v>
      </c>
      <c r="AD2851">
        <v>1</v>
      </c>
    </row>
    <row r="2852" spans="1:30">
      <c r="A2852" t="str">
        <f>CONCATENATE(I2852,J2852)</f>
        <v>875IIFL26NM</v>
      </c>
      <c r="B2852" s="34">
        <v>46273</v>
      </c>
      <c r="C2852" s="34">
        <v>46273</v>
      </c>
      <c r="D2852" t="s">
        <v>35</v>
      </c>
      <c r="E2852" t="s">
        <v>36</v>
      </c>
      <c r="F2852" t="s">
        <v>37</v>
      </c>
      <c r="G2852">
        <v>6200</v>
      </c>
      <c r="H2852" t="s">
        <v>8620</v>
      </c>
      <c r="I2852" t="s">
        <v>8621</v>
      </c>
      <c r="J2852" t="s">
        <v>8576</v>
      </c>
      <c r="O2852" t="s">
        <v>8622</v>
      </c>
      <c r="P2852">
        <v>1071</v>
      </c>
      <c r="Q2852">
        <v>1072.7</v>
      </c>
      <c r="R2852">
        <v>1071</v>
      </c>
      <c r="S2852">
        <v>1072.7</v>
      </c>
      <c r="T2852">
        <v>1072.7</v>
      </c>
      <c r="U2852">
        <v>1071</v>
      </c>
      <c r="W2852">
        <v>1072.7</v>
      </c>
      <c r="Z2852">
        <v>50</v>
      </c>
      <c r="AA2852">
        <v>53618</v>
      </c>
      <c r="AB2852">
        <v>5</v>
      </c>
      <c r="AC2852" t="s">
        <v>42</v>
      </c>
      <c r="AD2852">
        <v>1</v>
      </c>
    </row>
    <row r="2853" spans="1:30">
      <c r="A2853" t="str">
        <f>CONCATENATE(I2853,J2853)</f>
        <v>889SCFL27YC</v>
      </c>
      <c r="B2853" s="34">
        <v>46273</v>
      </c>
      <c r="C2853" s="34">
        <v>46273</v>
      </c>
      <c r="D2853" t="s">
        <v>35</v>
      </c>
      <c r="E2853" t="s">
        <v>36</v>
      </c>
      <c r="F2853" t="s">
        <v>37</v>
      </c>
      <c r="G2853">
        <v>7777</v>
      </c>
      <c r="H2853" t="s">
        <v>8623</v>
      </c>
      <c r="I2853" t="s">
        <v>8624</v>
      </c>
      <c r="J2853" t="s">
        <v>8625</v>
      </c>
      <c r="O2853" t="s">
        <v>8626</v>
      </c>
      <c r="P2853">
        <v>991.53</v>
      </c>
      <c r="Q2853">
        <v>991.53</v>
      </c>
      <c r="R2853">
        <v>941.95</v>
      </c>
      <c r="S2853">
        <v>941.95</v>
      </c>
      <c r="T2853">
        <v>941.95</v>
      </c>
      <c r="U2853">
        <v>998</v>
      </c>
      <c r="W2853">
        <v>941.95</v>
      </c>
      <c r="Z2853">
        <v>200</v>
      </c>
      <c r="AA2853">
        <v>197358.58</v>
      </c>
      <c r="AB2853">
        <v>3</v>
      </c>
      <c r="AC2853" t="s">
        <v>42</v>
      </c>
      <c r="AD2853">
        <v>1</v>
      </c>
    </row>
    <row r="2854" spans="1:30">
      <c r="A2854" t="str">
        <f>CONCATENATE(I2854,J2854)</f>
        <v>89IHFL29N1</v>
      </c>
      <c r="B2854" s="34">
        <v>46273</v>
      </c>
      <c r="C2854" s="34">
        <v>46273</v>
      </c>
      <c r="D2854" t="s">
        <v>35</v>
      </c>
      <c r="E2854" t="s">
        <v>36</v>
      </c>
      <c r="F2854" t="s">
        <v>37</v>
      </c>
      <c r="G2854">
        <v>28869</v>
      </c>
      <c r="H2854" t="s">
        <v>8627</v>
      </c>
      <c r="I2854" t="s">
        <v>8628</v>
      </c>
      <c r="J2854" t="s">
        <v>8498</v>
      </c>
      <c r="O2854" t="s">
        <v>8629</v>
      </c>
      <c r="P2854">
        <v>975</v>
      </c>
      <c r="Q2854">
        <v>975</v>
      </c>
      <c r="R2854">
        <v>975</v>
      </c>
      <c r="S2854">
        <v>975</v>
      </c>
      <c r="T2854">
        <v>975</v>
      </c>
      <c r="U2854">
        <v>980</v>
      </c>
      <c r="W2854">
        <v>975</v>
      </c>
      <c r="Z2854">
        <v>330</v>
      </c>
      <c r="AA2854">
        <v>321750</v>
      </c>
      <c r="AB2854">
        <v>1</v>
      </c>
      <c r="AC2854" t="s">
        <v>42</v>
      </c>
      <c r="AD2854">
        <v>1</v>
      </c>
    </row>
    <row r="2855" spans="1:30">
      <c r="A2855" t="str">
        <f>CONCATENATE(I2855,J2855)</f>
        <v>905SC24BZ9</v>
      </c>
      <c r="B2855" s="34">
        <v>46273</v>
      </c>
      <c r="C2855" s="34">
        <v>46273</v>
      </c>
      <c r="D2855" t="s">
        <v>35</v>
      </c>
      <c r="E2855" t="s">
        <v>36</v>
      </c>
      <c r="F2855" t="s">
        <v>37</v>
      </c>
      <c r="G2855">
        <v>11368</v>
      </c>
      <c r="H2855" t="s">
        <v>8630</v>
      </c>
      <c r="I2855" t="s">
        <v>8631</v>
      </c>
      <c r="J2855" t="s">
        <v>8632</v>
      </c>
      <c r="O2855" t="s">
        <v>8633</v>
      </c>
      <c r="P2855">
        <v>979.9</v>
      </c>
      <c r="Q2855">
        <v>992</v>
      </c>
      <c r="R2855">
        <v>979.9</v>
      </c>
      <c r="S2855">
        <v>992</v>
      </c>
      <c r="T2855">
        <v>992</v>
      </c>
      <c r="U2855">
        <v>999.9</v>
      </c>
      <c r="W2855">
        <v>992</v>
      </c>
      <c r="Z2855">
        <v>250</v>
      </c>
      <c r="AA2855">
        <v>246473.5</v>
      </c>
      <c r="AB2855">
        <v>7</v>
      </c>
      <c r="AC2855" t="s">
        <v>42</v>
      </c>
      <c r="AD2855">
        <v>1</v>
      </c>
    </row>
    <row r="2856" spans="1:30">
      <c r="A2856" t="str">
        <f>CONCATENATE(I2856,J2856)</f>
        <v>889SCL26NS</v>
      </c>
      <c r="B2856" s="34">
        <v>46273</v>
      </c>
      <c r="C2856" s="34">
        <v>46273</v>
      </c>
      <c r="D2856" t="s">
        <v>35</v>
      </c>
      <c r="E2856" t="s">
        <v>36</v>
      </c>
      <c r="F2856" t="s">
        <v>37</v>
      </c>
      <c r="G2856">
        <v>5855</v>
      </c>
      <c r="H2856" t="s">
        <v>8634</v>
      </c>
      <c r="I2856" t="s">
        <v>8635</v>
      </c>
      <c r="J2856" t="s">
        <v>8619</v>
      </c>
      <c r="O2856" t="s">
        <v>8636</v>
      </c>
      <c r="P2856">
        <v>1089.75</v>
      </c>
      <c r="Q2856">
        <v>1089.75</v>
      </c>
      <c r="R2856">
        <v>1089.75</v>
      </c>
      <c r="S2856">
        <v>1089.75</v>
      </c>
      <c r="T2856">
        <v>1089.75</v>
      </c>
      <c r="U2856">
        <v>1088</v>
      </c>
      <c r="W2856">
        <v>1089.75</v>
      </c>
      <c r="Z2856">
        <v>1</v>
      </c>
      <c r="AA2856">
        <v>1089.75</v>
      </c>
      <c r="AB2856">
        <v>1</v>
      </c>
      <c r="AC2856" t="s">
        <v>42</v>
      </c>
      <c r="AD2856">
        <v>1</v>
      </c>
    </row>
    <row r="2857" spans="1:30">
      <c r="A2857" t="str">
        <f>CONCATENATE(I2857,J2857)</f>
        <v>925SCFL27YA</v>
      </c>
      <c r="B2857" s="34">
        <v>46273</v>
      </c>
      <c r="C2857" s="34">
        <v>46273</v>
      </c>
      <c r="D2857" t="s">
        <v>35</v>
      </c>
      <c r="E2857" t="s">
        <v>36</v>
      </c>
      <c r="F2857" t="s">
        <v>37</v>
      </c>
      <c r="G2857">
        <v>7769</v>
      </c>
      <c r="H2857" t="s">
        <v>8637</v>
      </c>
      <c r="I2857" t="s">
        <v>8638</v>
      </c>
      <c r="J2857" t="s">
        <v>4548</v>
      </c>
      <c r="O2857" t="s">
        <v>8636</v>
      </c>
      <c r="P2857">
        <v>1056</v>
      </c>
      <c r="Q2857">
        <v>1056</v>
      </c>
      <c r="R2857">
        <v>1056</v>
      </c>
      <c r="S2857">
        <v>1056</v>
      </c>
      <c r="T2857">
        <v>1056</v>
      </c>
      <c r="U2857">
        <v>1042.2</v>
      </c>
      <c r="W2857">
        <v>1056</v>
      </c>
      <c r="Z2857">
        <v>5</v>
      </c>
      <c r="AA2857">
        <v>5280</v>
      </c>
      <c r="AB2857">
        <v>1</v>
      </c>
      <c r="AC2857" t="s">
        <v>42</v>
      </c>
      <c r="AD2857">
        <v>1</v>
      </c>
    </row>
    <row r="2858" spans="1:30">
      <c r="A2858" t="str">
        <f>CONCATENATE(I2858,J2858)</f>
        <v>93MOFSL34N6</v>
      </c>
      <c r="B2858" s="34">
        <v>46273</v>
      </c>
      <c r="C2858" s="34">
        <v>46273</v>
      </c>
      <c r="D2858" t="s">
        <v>35</v>
      </c>
      <c r="E2858" t="s">
        <v>36</v>
      </c>
      <c r="F2858" t="s">
        <v>37</v>
      </c>
      <c r="G2858">
        <v>23710</v>
      </c>
      <c r="H2858" t="s">
        <v>8639</v>
      </c>
      <c r="I2858" t="s">
        <v>8640</v>
      </c>
      <c r="J2858" t="s">
        <v>226</v>
      </c>
      <c r="O2858" t="s">
        <v>8641</v>
      </c>
      <c r="P2858">
        <v>1060</v>
      </c>
      <c r="Q2858">
        <v>1060</v>
      </c>
      <c r="R2858">
        <v>1040.01</v>
      </c>
      <c r="S2858">
        <v>1060</v>
      </c>
      <c r="T2858">
        <v>1060</v>
      </c>
      <c r="U2858">
        <v>1060</v>
      </c>
      <c r="W2858">
        <v>1065</v>
      </c>
      <c r="Z2858">
        <v>677</v>
      </c>
      <c r="AA2858">
        <v>717577.27</v>
      </c>
      <c r="AB2858">
        <v>27</v>
      </c>
      <c r="AC2858" t="s">
        <v>42</v>
      </c>
      <c r="AD2858">
        <v>1</v>
      </c>
    </row>
    <row r="2859" spans="1:30">
      <c r="A2859" t="str">
        <f>CONCATENATE(I2859,J2859)</f>
        <v>965SCL25CN0</v>
      </c>
      <c r="B2859" s="34">
        <v>46273</v>
      </c>
      <c r="C2859" s="34">
        <v>46273</v>
      </c>
      <c r="D2859" t="s">
        <v>35</v>
      </c>
      <c r="E2859" t="s">
        <v>36</v>
      </c>
      <c r="F2859" t="s">
        <v>37</v>
      </c>
      <c r="G2859">
        <v>13497</v>
      </c>
      <c r="H2859" t="s">
        <v>8642</v>
      </c>
      <c r="I2859" t="s">
        <v>8643</v>
      </c>
      <c r="J2859" t="s">
        <v>514</v>
      </c>
      <c r="O2859" t="s">
        <v>8644</v>
      </c>
      <c r="P2859">
        <v>404.31</v>
      </c>
      <c r="Q2859">
        <v>404.31</v>
      </c>
      <c r="R2859">
        <v>404.31</v>
      </c>
      <c r="S2859">
        <v>404.31</v>
      </c>
      <c r="T2859">
        <v>404.31</v>
      </c>
      <c r="U2859">
        <v>450</v>
      </c>
      <c r="W2859">
        <v>404.16</v>
      </c>
      <c r="Z2859">
        <v>1</v>
      </c>
      <c r="AA2859">
        <v>404.31</v>
      </c>
      <c r="AB2859">
        <v>1</v>
      </c>
      <c r="AC2859" t="s">
        <v>42</v>
      </c>
      <c r="AD2859">
        <v>1</v>
      </c>
    </row>
    <row r="2860" spans="1:30">
      <c r="A2860" t="str">
        <f>CONCATENATE(I2860,J2860)</f>
        <v>948SCL26ANN</v>
      </c>
      <c r="B2860" s="34">
        <v>46273</v>
      </c>
      <c r="C2860" s="34">
        <v>46273</v>
      </c>
      <c r="D2860" t="s">
        <v>35</v>
      </c>
      <c r="E2860" t="s">
        <v>36</v>
      </c>
      <c r="F2860" t="s">
        <v>37</v>
      </c>
      <c r="G2860">
        <v>20075</v>
      </c>
      <c r="H2860" t="s">
        <v>8645</v>
      </c>
      <c r="I2860" t="s">
        <v>8646</v>
      </c>
      <c r="J2860" t="s">
        <v>476</v>
      </c>
      <c r="O2860" t="s">
        <v>8647</v>
      </c>
      <c r="P2860">
        <v>332</v>
      </c>
      <c r="Q2860">
        <v>332</v>
      </c>
      <c r="R2860">
        <v>332</v>
      </c>
      <c r="S2860">
        <v>332</v>
      </c>
      <c r="T2860">
        <v>332</v>
      </c>
      <c r="U2860">
        <v>335</v>
      </c>
      <c r="W2860">
        <v>332</v>
      </c>
      <c r="Z2860">
        <v>2</v>
      </c>
      <c r="AA2860">
        <v>664</v>
      </c>
      <c r="AB2860">
        <v>1</v>
      </c>
      <c r="AC2860" t="s">
        <v>42</v>
      </c>
      <c r="AD2860">
        <v>1</v>
      </c>
    </row>
    <row r="2861" spans="1:30">
      <c r="A2861" t="str">
        <f>CONCATENATE(I2861,J2861)</f>
        <v>948SCL27DN1</v>
      </c>
      <c r="B2861" s="34">
        <v>46273</v>
      </c>
      <c r="C2861" s="34">
        <v>46273</v>
      </c>
      <c r="D2861" t="s">
        <v>35</v>
      </c>
      <c r="E2861" t="s">
        <v>36</v>
      </c>
      <c r="F2861" t="s">
        <v>37</v>
      </c>
      <c r="G2861">
        <v>25552</v>
      </c>
      <c r="H2861" t="s">
        <v>8648</v>
      </c>
      <c r="I2861" t="s">
        <v>8649</v>
      </c>
      <c r="J2861" t="s">
        <v>8498</v>
      </c>
      <c r="O2861" t="s">
        <v>8647</v>
      </c>
      <c r="P2861">
        <v>980.01</v>
      </c>
      <c r="Q2861">
        <v>980.01</v>
      </c>
      <c r="R2861">
        <v>980.01</v>
      </c>
      <c r="S2861">
        <v>980.01</v>
      </c>
      <c r="T2861">
        <v>980.01</v>
      </c>
      <c r="U2861">
        <v>1060</v>
      </c>
      <c r="W2861">
        <v>980.01</v>
      </c>
      <c r="Z2861">
        <v>2</v>
      </c>
      <c r="AA2861">
        <v>1960.02</v>
      </c>
      <c r="AB2861">
        <v>2</v>
      </c>
      <c r="AC2861" t="s">
        <v>42</v>
      </c>
      <c r="AD2861">
        <v>1</v>
      </c>
    </row>
    <row r="2862" spans="1:30">
      <c r="A2862" t="str">
        <f>CONCATENATE(I2862,J2862)</f>
        <v>956AEL29N6</v>
      </c>
      <c r="B2862" s="34">
        <v>46273</v>
      </c>
      <c r="C2862" s="34">
        <v>46273</v>
      </c>
      <c r="D2862" t="s">
        <v>35</v>
      </c>
      <c r="E2862" t="s">
        <v>36</v>
      </c>
      <c r="F2862" t="s">
        <v>37</v>
      </c>
      <c r="G2862">
        <v>25294</v>
      </c>
      <c r="H2862" t="s">
        <v>8650</v>
      </c>
      <c r="I2862" t="s">
        <v>8651</v>
      </c>
      <c r="J2862" t="s">
        <v>226</v>
      </c>
      <c r="O2862" t="s">
        <v>8652</v>
      </c>
      <c r="P2862">
        <v>1050</v>
      </c>
      <c r="Q2862">
        <v>1050</v>
      </c>
      <c r="R2862">
        <v>1050</v>
      </c>
      <c r="S2862">
        <v>1050</v>
      </c>
      <c r="T2862">
        <v>1050</v>
      </c>
      <c r="U2862">
        <v>1050</v>
      </c>
      <c r="W2862">
        <v>1050</v>
      </c>
      <c r="Z2862">
        <v>3</v>
      </c>
      <c r="AA2862">
        <v>3150</v>
      </c>
      <c r="AB2862">
        <v>1</v>
      </c>
      <c r="AC2862" t="s">
        <v>42</v>
      </c>
      <c r="AD2862">
        <v>1</v>
      </c>
    </row>
    <row r="2863" spans="1:30">
      <c r="A2863" t="str">
        <f>CONCATENATE(I2863,J2863)</f>
        <v>965AEL27N4</v>
      </c>
      <c r="B2863" s="34">
        <v>46273</v>
      </c>
      <c r="C2863" s="34">
        <v>46273</v>
      </c>
      <c r="D2863" t="s">
        <v>35</v>
      </c>
      <c r="E2863" t="s">
        <v>36</v>
      </c>
      <c r="F2863" t="s">
        <v>37</v>
      </c>
      <c r="G2863">
        <v>25287</v>
      </c>
      <c r="H2863" t="s">
        <v>8653</v>
      </c>
      <c r="I2863" t="s">
        <v>8654</v>
      </c>
      <c r="J2863" t="s">
        <v>199</v>
      </c>
      <c r="O2863" t="s">
        <v>8655</v>
      </c>
      <c r="P2863">
        <v>1012.95</v>
      </c>
      <c r="Q2863">
        <v>1012.95</v>
      </c>
      <c r="R2863">
        <v>1012</v>
      </c>
      <c r="S2863">
        <v>1012.25</v>
      </c>
      <c r="T2863">
        <v>1012.25</v>
      </c>
      <c r="U2863">
        <v>1012.8</v>
      </c>
      <c r="W2863">
        <v>1012.18</v>
      </c>
      <c r="Z2863">
        <v>282</v>
      </c>
      <c r="AA2863">
        <v>285427.75</v>
      </c>
      <c r="AB2863">
        <v>6</v>
      </c>
      <c r="AC2863" t="s">
        <v>42</v>
      </c>
      <c r="AD2863">
        <v>1</v>
      </c>
    </row>
    <row r="2864" spans="1:30">
      <c r="A2864" t="str">
        <f>CONCATENATE(I2864,J2864)</f>
        <v>970CAGL28ND</v>
      </c>
      <c r="B2864" s="34">
        <v>46273</v>
      </c>
      <c r="C2864" s="34">
        <v>46273</v>
      </c>
      <c r="D2864" t="s">
        <v>35</v>
      </c>
      <c r="E2864" t="s">
        <v>36</v>
      </c>
      <c r="F2864" t="s">
        <v>37</v>
      </c>
      <c r="G2864">
        <v>18487</v>
      </c>
      <c r="H2864" t="s">
        <v>8656</v>
      </c>
      <c r="I2864" t="s">
        <v>8657</v>
      </c>
      <c r="J2864" t="s">
        <v>8658</v>
      </c>
      <c r="O2864" t="s">
        <v>8659</v>
      </c>
      <c r="P2864">
        <v>1017</v>
      </c>
      <c r="Q2864">
        <v>1019</v>
      </c>
      <c r="R2864">
        <v>1017</v>
      </c>
      <c r="S2864">
        <v>1017</v>
      </c>
      <c r="T2864">
        <v>1017</v>
      </c>
      <c r="U2864">
        <v>1011.72</v>
      </c>
      <c r="W2864">
        <v>1018</v>
      </c>
      <c r="Z2864">
        <v>4572</v>
      </c>
      <c r="AA2864">
        <v>4655610.33</v>
      </c>
      <c r="AB2864">
        <v>76</v>
      </c>
      <c r="AC2864" t="s">
        <v>42</v>
      </c>
      <c r="AD2864">
        <v>1</v>
      </c>
    </row>
    <row r="2865" spans="1:30">
      <c r="A2865" t="str">
        <f>CONCATENATE(I2865,J2865)</f>
        <v>894SCL27ZY</v>
      </c>
      <c r="B2865" s="34">
        <v>46273</v>
      </c>
      <c r="C2865" s="34">
        <v>46273</v>
      </c>
      <c r="D2865" t="s">
        <v>35</v>
      </c>
      <c r="E2865" t="s">
        <v>36</v>
      </c>
      <c r="F2865" t="s">
        <v>37</v>
      </c>
      <c r="G2865">
        <v>13487</v>
      </c>
      <c r="H2865" t="s">
        <v>8660</v>
      </c>
      <c r="I2865" t="s">
        <v>8661</v>
      </c>
      <c r="J2865" t="s">
        <v>8662</v>
      </c>
      <c r="O2865" t="s">
        <v>8663</v>
      </c>
      <c r="P2865">
        <v>640</v>
      </c>
      <c r="Q2865">
        <v>640</v>
      </c>
      <c r="R2865">
        <v>640</v>
      </c>
      <c r="S2865">
        <v>640</v>
      </c>
      <c r="T2865">
        <v>640</v>
      </c>
      <c r="U2865">
        <v>630</v>
      </c>
      <c r="W2865">
        <v>640</v>
      </c>
      <c r="Z2865">
        <v>1</v>
      </c>
      <c r="AA2865">
        <v>640</v>
      </c>
      <c r="AB2865">
        <v>1</v>
      </c>
      <c r="AC2865" t="s">
        <v>42</v>
      </c>
      <c r="AD2865">
        <v>1</v>
      </c>
    </row>
    <row r="2866" spans="1:30">
      <c r="A2866" t="str">
        <f>CONCATENATE(I2866,J2866)</f>
        <v>99AEL29N7</v>
      </c>
      <c r="B2866" s="34">
        <v>46273</v>
      </c>
      <c r="C2866" s="34">
        <v>46273</v>
      </c>
      <c r="D2866" t="s">
        <v>35</v>
      </c>
      <c r="E2866" t="s">
        <v>36</v>
      </c>
      <c r="F2866" t="s">
        <v>37</v>
      </c>
      <c r="G2866">
        <v>25296</v>
      </c>
      <c r="H2866" t="s">
        <v>8664</v>
      </c>
      <c r="I2866" t="s">
        <v>8665</v>
      </c>
      <c r="J2866" t="s">
        <v>215</v>
      </c>
      <c r="O2866" t="s">
        <v>8666</v>
      </c>
      <c r="P2866">
        <v>1059.8900000000001</v>
      </c>
      <c r="Q2866">
        <v>1059.8900000000001</v>
      </c>
      <c r="R2866">
        <v>1059.8900000000001</v>
      </c>
      <c r="S2866">
        <v>1059.8900000000001</v>
      </c>
      <c r="T2866">
        <v>1059.8900000000001</v>
      </c>
      <c r="U2866">
        <v>1059.8900000000001</v>
      </c>
      <c r="W2866">
        <v>1059.8900000000001</v>
      </c>
      <c r="Z2866">
        <v>70</v>
      </c>
      <c r="AA2866">
        <v>74192.3</v>
      </c>
      <c r="AB2866">
        <v>2</v>
      </c>
      <c r="AC2866" t="s">
        <v>42</v>
      </c>
      <c r="AD2866">
        <v>1</v>
      </c>
    </row>
    <row r="2867" spans="1:30">
      <c r="A2867" t="str">
        <f>CONCATENATE(I2867,J2867)</f>
        <v>AEL120924AN5</v>
      </c>
      <c r="B2867" s="34">
        <v>46273</v>
      </c>
      <c r="C2867" s="34">
        <v>46273</v>
      </c>
      <c r="D2867" t="s">
        <v>35</v>
      </c>
      <c r="E2867" t="s">
        <v>36</v>
      </c>
      <c r="F2867" t="s">
        <v>37</v>
      </c>
      <c r="G2867">
        <v>25292</v>
      </c>
      <c r="H2867" t="s">
        <v>8667</v>
      </c>
      <c r="I2867" t="s">
        <v>8668</v>
      </c>
      <c r="J2867" t="s">
        <v>219</v>
      </c>
      <c r="O2867" t="s">
        <v>8669</v>
      </c>
      <c r="P2867">
        <v>1199</v>
      </c>
      <c r="Q2867">
        <v>1199</v>
      </c>
      <c r="R2867">
        <v>1199</v>
      </c>
      <c r="S2867">
        <v>1199</v>
      </c>
      <c r="T2867">
        <v>1199</v>
      </c>
      <c r="U2867">
        <v>1192</v>
      </c>
      <c r="W2867">
        <v>1199</v>
      </c>
      <c r="Z2867">
        <v>49</v>
      </c>
      <c r="AA2867">
        <v>58751</v>
      </c>
      <c r="AB2867">
        <v>1</v>
      </c>
      <c r="AC2867" t="s">
        <v>42</v>
      </c>
      <c r="AD2867">
        <v>1</v>
      </c>
    </row>
    <row r="2868" spans="1:30">
      <c r="A2868" t="str">
        <f>CONCATENATE(I2868,J2868)</f>
        <v>IMC1N1</v>
      </c>
      <c r="B2868" s="34">
        <v>46273</v>
      </c>
      <c r="C2868" s="34">
        <v>46273</v>
      </c>
      <c r="D2868" t="s">
        <v>35</v>
      </c>
      <c r="E2868" t="s">
        <v>36</v>
      </c>
      <c r="F2868" t="s">
        <v>37</v>
      </c>
      <c r="G2868">
        <v>14219</v>
      </c>
      <c r="H2868" t="s">
        <v>8670</v>
      </c>
      <c r="I2868" t="s">
        <v>8671</v>
      </c>
      <c r="J2868" t="s">
        <v>8498</v>
      </c>
      <c r="O2868" t="s">
        <v>8672</v>
      </c>
      <c r="P2868">
        <v>250</v>
      </c>
      <c r="Q2868">
        <v>250.01</v>
      </c>
      <c r="R2868">
        <v>250</v>
      </c>
      <c r="S2868">
        <v>250</v>
      </c>
      <c r="T2868">
        <v>250</v>
      </c>
      <c r="U2868">
        <v>250.5</v>
      </c>
      <c r="W2868">
        <v>250</v>
      </c>
      <c r="Z2868">
        <v>168</v>
      </c>
      <c r="AA2868">
        <v>42000.61</v>
      </c>
      <c r="AB2868">
        <v>7</v>
      </c>
      <c r="AC2868" t="s">
        <v>42</v>
      </c>
      <c r="AD2868">
        <v>1</v>
      </c>
    </row>
    <row r="2869" spans="1:30">
      <c r="A2869" t="str">
        <f>CONCATENATE(I2869,J2869)</f>
        <v>IMC1N2</v>
      </c>
      <c r="B2869" s="34">
        <v>46273</v>
      </c>
      <c r="C2869" s="34">
        <v>46273</v>
      </c>
      <c r="D2869" t="s">
        <v>35</v>
      </c>
      <c r="E2869" t="s">
        <v>36</v>
      </c>
      <c r="F2869" t="s">
        <v>37</v>
      </c>
      <c r="G2869">
        <v>14224</v>
      </c>
      <c r="H2869" t="s">
        <v>8673</v>
      </c>
      <c r="I2869" t="s">
        <v>8671</v>
      </c>
      <c r="J2869" t="s">
        <v>203</v>
      </c>
      <c r="O2869" t="s">
        <v>8674</v>
      </c>
      <c r="P2869">
        <v>253</v>
      </c>
      <c r="Q2869">
        <v>253</v>
      </c>
      <c r="R2869">
        <v>250</v>
      </c>
      <c r="S2869">
        <v>250</v>
      </c>
      <c r="T2869">
        <v>250</v>
      </c>
      <c r="U2869">
        <v>252</v>
      </c>
      <c r="W2869">
        <v>250</v>
      </c>
      <c r="Z2869">
        <v>126</v>
      </c>
      <c r="AA2869">
        <v>31503</v>
      </c>
      <c r="AB2869">
        <v>5</v>
      </c>
      <c r="AC2869" t="s">
        <v>42</v>
      </c>
      <c r="AD2869">
        <v>1</v>
      </c>
    </row>
    <row r="2870" spans="1:30">
      <c r="A2870" t="str">
        <f>CONCATENATE(I2870,J2870)</f>
        <v>IMC1N3</v>
      </c>
      <c r="B2870" s="34">
        <v>46273</v>
      </c>
      <c r="C2870" s="34">
        <v>46273</v>
      </c>
      <c r="D2870" t="s">
        <v>35</v>
      </c>
      <c r="E2870" t="s">
        <v>36</v>
      </c>
      <c r="F2870" t="s">
        <v>37</v>
      </c>
      <c r="G2870">
        <v>14228</v>
      </c>
      <c r="H2870" t="s">
        <v>8675</v>
      </c>
      <c r="I2870" t="s">
        <v>8671</v>
      </c>
      <c r="J2870" t="s">
        <v>7372</v>
      </c>
      <c r="O2870" t="s">
        <v>8676</v>
      </c>
      <c r="P2870">
        <v>250</v>
      </c>
      <c r="Q2870">
        <v>250</v>
      </c>
      <c r="R2870">
        <v>250</v>
      </c>
      <c r="S2870">
        <v>250</v>
      </c>
      <c r="T2870">
        <v>250</v>
      </c>
      <c r="U2870">
        <v>250</v>
      </c>
      <c r="W2870">
        <v>250</v>
      </c>
      <c r="Z2870">
        <v>1</v>
      </c>
      <c r="AA2870">
        <v>250</v>
      </c>
      <c r="AB2870">
        <v>1</v>
      </c>
      <c r="AC2870" t="s">
        <v>42</v>
      </c>
      <c r="AD2870">
        <v>1</v>
      </c>
    </row>
    <row r="2871" spans="1:30">
      <c r="A2871" t="str">
        <f>CONCATENATE(I2871,J2871)</f>
        <v>1015ECL29NR</v>
      </c>
      <c r="B2871" s="34">
        <v>46273</v>
      </c>
      <c r="C2871" s="34">
        <v>46273</v>
      </c>
      <c r="D2871" t="s">
        <v>35</v>
      </c>
      <c r="E2871" t="s">
        <v>36</v>
      </c>
      <c r="F2871" t="s">
        <v>37</v>
      </c>
      <c r="G2871">
        <v>7975</v>
      </c>
      <c r="H2871" t="s">
        <v>8677</v>
      </c>
      <c r="I2871" t="s">
        <v>8678</v>
      </c>
      <c r="J2871" t="s">
        <v>8679</v>
      </c>
      <c r="O2871" t="s">
        <v>8680</v>
      </c>
      <c r="P2871">
        <v>1049.5999999999999</v>
      </c>
      <c r="Q2871">
        <v>1049.5999999999999</v>
      </c>
      <c r="R2871">
        <v>1017</v>
      </c>
      <c r="S2871">
        <v>1019.4</v>
      </c>
      <c r="T2871">
        <v>1019.4</v>
      </c>
      <c r="U2871">
        <v>1018</v>
      </c>
      <c r="W2871">
        <v>1019.4</v>
      </c>
      <c r="Z2871">
        <v>381</v>
      </c>
      <c r="AA2871">
        <v>388511</v>
      </c>
      <c r="AB2871">
        <v>14</v>
      </c>
      <c r="AC2871" t="s">
        <v>42</v>
      </c>
      <c r="AD2871">
        <v>1</v>
      </c>
    </row>
    <row r="2872" spans="1:30">
      <c r="A2872" t="str">
        <f>CONCATENATE(I2872,J2872)</f>
        <v>1060ECL29NS</v>
      </c>
      <c r="B2872" s="34">
        <v>46273</v>
      </c>
      <c r="C2872" s="34">
        <v>46273</v>
      </c>
      <c r="D2872" t="s">
        <v>35</v>
      </c>
      <c r="E2872" t="s">
        <v>36</v>
      </c>
      <c r="F2872" t="s">
        <v>37</v>
      </c>
      <c r="G2872">
        <v>7986</v>
      </c>
      <c r="H2872" t="s">
        <v>8681</v>
      </c>
      <c r="I2872" t="s">
        <v>8682</v>
      </c>
      <c r="J2872" t="s">
        <v>8619</v>
      </c>
      <c r="O2872" t="s">
        <v>8683</v>
      </c>
      <c r="P2872">
        <v>1272</v>
      </c>
      <c r="Q2872">
        <v>1272</v>
      </c>
      <c r="R2872">
        <v>1071.5999999999999</v>
      </c>
      <c r="S2872">
        <v>1074.5999999999999</v>
      </c>
      <c r="T2872">
        <v>1074.5999999999999</v>
      </c>
      <c r="U2872">
        <v>1075</v>
      </c>
      <c r="W2872">
        <v>1074.5999999999999</v>
      </c>
      <c r="Z2872">
        <v>166</v>
      </c>
      <c r="AA2872">
        <v>194135.6</v>
      </c>
      <c r="AB2872">
        <v>5</v>
      </c>
      <c r="AC2872" t="s">
        <v>42</v>
      </c>
      <c r="AD2872">
        <v>1</v>
      </c>
    </row>
    <row r="2873" spans="1:30">
      <c r="A2873" t="str">
        <f>CONCATENATE(I2873,J2873)</f>
        <v>81TCHF28N8</v>
      </c>
      <c r="B2873" s="34">
        <v>46273</v>
      </c>
      <c r="C2873" s="34">
        <v>46273</v>
      </c>
      <c r="D2873" t="s">
        <v>35</v>
      </c>
      <c r="E2873" t="s">
        <v>36</v>
      </c>
      <c r="F2873" t="s">
        <v>37</v>
      </c>
      <c r="G2873">
        <v>16870</v>
      </c>
      <c r="H2873" t="s">
        <v>8684</v>
      </c>
      <c r="I2873" t="s">
        <v>8685</v>
      </c>
      <c r="J2873" t="s">
        <v>207</v>
      </c>
      <c r="O2873" t="s">
        <v>8686</v>
      </c>
      <c r="P2873">
        <v>1010</v>
      </c>
      <c r="Q2873">
        <v>1010</v>
      </c>
      <c r="R2873">
        <v>1005.1</v>
      </c>
      <c r="S2873">
        <v>1005.48</v>
      </c>
      <c r="T2873">
        <v>1005.1</v>
      </c>
      <c r="U2873">
        <v>1010.87</v>
      </c>
      <c r="W2873">
        <v>1005.48</v>
      </c>
      <c r="Z2873">
        <v>9</v>
      </c>
      <c r="AA2873">
        <v>9058.4</v>
      </c>
      <c r="AB2873">
        <v>3</v>
      </c>
      <c r="AC2873" t="s">
        <v>42</v>
      </c>
      <c r="AD2873">
        <v>1</v>
      </c>
    </row>
    <row r="2874" spans="1:30">
      <c r="A2874" t="str">
        <f>CONCATENATE(I2874,J2874)</f>
        <v>865SCL26N8</v>
      </c>
      <c r="B2874" s="34">
        <v>46273</v>
      </c>
      <c r="C2874" s="34">
        <v>46273</v>
      </c>
      <c r="D2874" t="s">
        <v>35</v>
      </c>
      <c r="E2874" t="s">
        <v>36</v>
      </c>
      <c r="F2874" t="s">
        <v>37</v>
      </c>
      <c r="G2874">
        <v>18624</v>
      </c>
      <c r="H2874" t="s">
        <v>8687</v>
      </c>
      <c r="I2874" t="s">
        <v>8688</v>
      </c>
      <c r="J2874" t="s">
        <v>207</v>
      </c>
      <c r="O2874" t="s">
        <v>8689</v>
      </c>
      <c r="P2874">
        <v>1001</v>
      </c>
      <c r="Q2874">
        <v>1001</v>
      </c>
      <c r="R2874">
        <v>1001</v>
      </c>
      <c r="S2874">
        <v>1001</v>
      </c>
      <c r="T2874">
        <v>1001</v>
      </c>
      <c r="U2874">
        <v>1001</v>
      </c>
      <c r="W2874">
        <v>1001</v>
      </c>
      <c r="Z2874">
        <v>5</v>
      </c>
      <c r="AA2874">
        <v>5005</v>
      </c>
      <c r="AB2874">
        <v>1</v>
      </c>
      <c r="AC2874" t="s">
        <v>42</v>
      </c>
      <c r="AD2874">
        <v>1</v>
      </c>
    </row>
    <row r="2875" spans="1:30">
      <c r="A2875" t="str">
        <f>CONCATENATE(I2875,J2875)</f>
        <v>885SCL26N9</v>
      </c>
      <c r="B2875" s="34">
        <v>46273</v>
      </c>
      <c r="C2875" s="34">
        <v>46273</v>
      </c>
      <c r="D2875" t="s">
        <v>35</v>
      </c>
      <c r="E2875" t="s">
        <v>36</v>
      </c>
      <c r="F2875" t="s">
        <v>37</v>
      </c>
      <c r="G2875">
        <v>18626</v>
      </c>
      <c r="H2875" t="s">
        <v>8690</v>
      </c>
      <c r="I2875" t="s">
        <v>8691</v>
      </c>
      <c r="J2875" t="s">
        <v>211</v>
      </c>
      <c r="O2875" t="s">
        <v>8692</v>
      </c>
      <c r="P2875">
        <v>1080.5</v>
      </c>
      <c r="Q2875">
        <v>1080.5</v>
      </c>
      <c r="R2875">
        <v>1080.5</v>
      </c>
      <c r="S2875">
        <v>1080.5</v>
      </c>
      <c r="T2875">
        <v>1080.5</v>
      </c>
      <c r="U2875">
        <v>1077.01</v>
      </c>
      <c r="W2875">
        <v>1080.5</v>
      </c>
      <c r="Z2875">
        <v>265</v>
      </c>
      <c r="AA2875">
        <v>286332.5</v>
      </c>
      <c r="AB2875">
        <v>2</v>
      </c>
      <c r="AC2875" t="s">
        <v>42</v>
      </c>
      <c r="AD2875">
        <v>1</v>
      </c>
    </row>
    <row r="2876" spans="1:30">
      <c r="A2876" t="str">
        <f>CONCATENATE(I2876,J2876)</f>
        <v>9SCL26BANA</v>
      </c>
      <c r="B2876" s="34">
        <v>46273</v>
      </c>
      <c r="C2876" s="34">
        <v>46273</v>
      </c>
      <c r="D2876" t="s">
        <v>35</v>
      </c>
      <c r="E2876" t="s">
        <v>36</v>
      </c>
      <c r="F2876" t="s">
        <v>37</v>
      </c>
      <c r="G2876">
        <v>18628</v>
      </c>
      <c r="H2876" t="s">
        <v>8693</v>
      </c>
      <c r="I2876" t="s">
        <v>8694</v>
      </c>
      <c r="J2876" t="s">
        <v>1764</v>
      </c>
      <c r="O2876" t="s">
        <v>8695</v>
      </c>
      <c r="P2876">
        <v>1081.7</v>
      </c>
      <c r="Q2876">
        <v>1081.7</v>
      </c>
      <c r="R2876">
        <v>1081.7</v>
      </c>
      <c r="S2876">
        <v>1081.7</v>
      </c>
      <c r="T2876">
        <v>1081.7</v>
      </c>
      <c r="U2876">
        <v>1081.6500000000001</v>
      </c>
      <c r="W2876">
        <v>1081.7</v>
      </c>
      <c r="Z2876">
        <v>311</v>
      </c>
      <c r="AA2876">
        <v>336408.7</v>
      </c>
      <c r="AB2876">
        <v>1</v>
      </c>
      <c r="AC2876" t="s">
        <v>42</v>
      </c>
      <c r="AD2876">
        <v>1</v>
      </c>
    </row>
    <row r="2877" spans="1:30">
      <c r="A2877" t="str">
        <f>CONCATENATE(I2877,J2877)</f>
        <v>930SFL28YP</v>
      </c>
      <c r="B2877" s="34">
        <v>46273</v>
      </c>
      <c r="C2877" s="34">
        <v>46273</v>
      </c>
      <c r="D2877" t="s">
        <v>35</v>
      </c>
      <c r="E2877" t="s">
        <v>36</v>
      </c>
      <c r="F2877" t="s">
        <v>37</v>
      </c>
      <c r="G2877">
        <v>6149</v>
      </c>
      <c r="H2877" t="s">
        <v>8696</v>
      </c>
      <c r="I2877" t="s">
        <v>8697</v>
      </c>
      <c r="J2877" t="s">
        <v>8698</v>
      </c>
      <c r="O2877" t="s">
        <v>8699</v>
      </c>
      <c r="P2877">
        <v>1045</v>
      </c>
      <c r="Q2877">
        <v>1045</v>
      </c>
      <c r="R2877">
        <v>1045</v>
      </c>
      <c r="S2877">
        <v>1045</v>
      </c>
      <c r="T2877">
        <v>1045</v>
      </c>
      <c r="U2877">
        <v>1049.9000000000001</v>
      </c>
      <c r="W2877">
        <v>1045</v>
      </c>
      <c r="Z2877">
        <v>383</v>
      </c>
      <c r="AA2877">
        <v>400235</v>
      </c>
      <c r="AB2877">
        <v>2</v>
      </c>
      <c r="AC2877" t="s">
        <v>42</v>
      </c>
      <c r="AD2877">
        <v>1</v>
      </c>
    </row>
    <row r="2878" spans="1:30">
      <c r="A2878" t="str">
        <f>CONCATENATE(I2878,J2878)</f>
        <v>957ICCL25YW</v>
      </c>
      <c r="B2878" s="34">
        <v>46273</v>
      </c>
      <c r="C2878" s="34">
        <v>46273</v>
      </c>
      <c r="D2878" t="s">
        <v>35</v>
      </c>
      <c r="E2878" t="s">
        <v>36</v>
      </c>
      <c r="F2878" t="s">
        <v>37</v>
      </c>
      <c r="G2878">
        <v>8625</v>
      </c>
      <c r="H2878" t="s">
        <v>8700</v>
      </c>
      <c r="I2878" t="s">
        <v>8701</v>
      </c>
      <c r="J2878" t="s">
        <v>8702</v>
      </c>
      <c r="O2878" t="s">
        <v>8699</v>
      </c>
      <c r="P2878">
        <v>1042</v>
      </c>
      <c r="Q2878">
        <v>1042</v>
      </c>
      <c r="R2878">
        <v>1042</v>
      </c>
      <c r="S2878">
        <v>1042</v>
      </c>
      <c r="T2878">
        <v>1042</v>
      </c>
      <c r="U2878">
        <v>1042</v>
      </c>
      <c r="W2878">
        <v>1042</v>
      </c>
      <c r="Z2878">
        <v>350</v>
      </c>
      <c r="AA2878">
        <v>364700</v>
      </c>
      <c r="AB2878">
        <v>3</v>
      </c>
      <c r="AC2878" t="s">
        <v>42</v>
      </c>
      <c r="AD2878">
        <v>1</v>
      </c>
    </row>
    <row r="2879" spans="1:30">
      <c r="A2879" t="str">
        <f>CONCATENATE(I2879,J2879)</f>
        <v>94SFL28YL</v>
      </c>
      <c r="B2879" s="34">
        <v>46273</v>
      </c>
      <c r="C2879" s="34">
        <v>46273</v>
      </c>
      <c r="D2879" t="s">
        <v>35</v>
      </c>
      <c r="E2879" t="s">
        <v>36</v>
      </c>
      <c r="F2879" t="s">
        <v>37</v>
      </c>
      <c r="G2879">
        <v>1001</v>
      </c>
      <c r="H2879" t="s">
        <v>8703</v>
      </c>
      <c r="I2879" t="s">
        <v>8704</v>
      </c>
      <c r="J2879" t="s">
        <v>8705</v>
      </c>
      <c r="O2879" t="s">
        <v>8706</v>
      </c>
      <c r="P2879">
        <v>1040</v>
      </c>
      <c r="Q2879">
        <v>1040</v>
      </c>
      <c r="R2879">
        <v>1039</v>
      </c>
      <c r="S2879">
        <v>1040</v>
      </c>
      <c r="T2879">
        <v>1040</v>
      </c>
      <c r="U2879">
        <v>1038</v>
      </c>
      <c r="W2879">
        <v>1040</v>
      </c>
      <c r="Z2879">
        <v>160</v>
      </c>
      <c r="AA2879">
        <v>166300</v>
      </c>
      <c r="AB2879">
        <v>3</v>
      </c>
      <c r="AC2879" t="s">
        <v>42</v>
      </c>
      <c r="AD2879">
        <v>1</v>
      </c>
    </row>
    <row r="2880" spans="1:30">
      <c r="A2880" t="str">
        <f>CONCATENATE(I2880,J2880)</f>
        <v>943ECL28NJ</v>
      </c>
      <c r="B2880" s="34">
        <v>46273</v>
      </c>
      <c r="C2880" s="34">
        <v>46273</v>
      </c>
      <c r="D2880" t="s">
        <v>35</v>
      </c>
      <c r="E2880" t="s">
        <v>36</v>
      </c>
      <c r="F2880" t="s">
        <v>37</v>
      </c>
      <c r="G2880">
        <v>4288</v>
      </c>
      <c r="H2880" t="s">
        <v>8707</v>
      </c>
      <c r="I2880" t="s">
        <v>8708</v>
      </c>
      <c r="J2880" t="s">
        <v>8605</v>
      </c>
      <c r="O2880" t="s">
        <v>8709</v>
      </c>
      <c r="P2880">
        <v>1005</v>
      </c>
      <c r="Q2880">
        <v>1006</v>
      </c>
      <c r="R2880">
        <v>1005</v>
      </c>
      <c r="S2880">
        <v>1006</v>
      </c>
      <c r="T2880">
        <v>1006</v>
      </c>
      <c r="U2880">
        <v>1005</v>
      </c>
      <c r="W2880">
        <v>1006</v>
      </c>
      <c r="Z2880">
        <v>250</v>
      </c>
      <c r="AA2880">
        <v>251450</v>
      </c>
      <c r="AB2880">
        <v>4</v>
      </c>
      <c r="AC2880" t="s">
        <v>42</v>
      </c>
      <c r="AD2880">
        <v>1</v>
      </c>
    </row>
    <row r="2881" spans="1:30">
      <c r="A2881" t="str">
        <f>CONCATENATE(I2881,J2881)</f>
        <v>97SFL29YZ</v>
      </c>
      <c r="B2881" s="34">
        <v>46273</v>
      </c>
      <c r="C2881" s="34">
        <v>46273</v>
      </c>
      <c r="D2881" t="s">
        <v>35</v>
      </c>
      <c r="E2881" t="s">
        <v>36</v>
      </c>
      <c r="F2881" t="s">
        <v>37</v>
      </c>
      <c r="G2881">
        <v>8642</v>
      </c>
      <c r="H2881" t="s">
        <v>8710</v>
      </c>
      <c r="I2881" t="s">
        <v>8711</v>
      </c>
      <c r="J2881" t="s">
        <v>8712</v>
      </c>
      <c r="O2881" t="s">
        <v>8713</v>
      </c>
      <c r="P2881">
        <v>1032.2</v>
      </c>
      <c r="Q2881">
        <v>1032.2</v>
      </c>
      <c r="R2881">
        <v>1032.0999999999999</v>
      </c>
      <c r="S2881">
        <v>1032.0999999999999</v>
      </c>
      <c r="T2881">
        <v>1032.0999999999999</v>
      </c>
      <c r="U2881">
        <v>1091.55</v>
      </c>
      <c r="W2881">
        <v>1032.0999999999999</v>
      </c>
      <c r="Z2881">
        <v>200</v>
      </c>
      <c r="AA2881">
        <v>206430</v>
      </c>
      <c r="AB2881">
        <v>2</v>
      </c>
      <c r="AC2881" t="s">
        <v>42</v>
      </c>
      <c r="AD2881">
        <v>1</v>
      </c>
    </row>
    <row r="2882" spans="1:30">
      <c r="A2882" t="str">
        <f>CONCATENATE(I2882,J2882)</f>
        <v>985ECL28NK</v>
      </c>
      <c r="B2882" s="34">
        <v>46273</v>
      </c>
      <c r="C2882" s="34">
        <v>46273</v>
      </c>
      <c r="D2882" t="s">
        <v>35</v>
      </c>
      <c r="E2882" t="s">
        <v>36</v>
      </c>
      <c r="F2882" t="s">
        <v>37</v>
      </c>
      <c r="G2882">
        <v>4292</v>
      </c>
      <c r="H2882" t="s">
        <v>8714</v>
      </c>
      <c r="I2882" t="s">
        <v>8715</v>
      </c>
      <c r="J2882" t="s">
        <v>472</v>
      </c>
      <c r="O2882" t="s">
        <v>8716</v>
      </c>
      <c r="P2882">
        <v>1002.02</v>
      </c>
      <c r="Q2882">
        <v>1004.38</v>
      </c>
      <c r="R2882">
        <v>1002</v>
      </c>
      <c r="S2882">
        <v>1004.38</v>
      </c>
      <c r="T2882">
        <v>1004.38</v>
      </c>
      <c r="U2882">
        <v>1003.5</v>
      </c>
      <c r="W2882">
        <v>1003.9</v>
      </c>
      <c r="Z2882">
        <v>40</v>
      </c>
      <c r="AA2882">
        <v>40127.67</v>
      </c>
      <c r="AB2882">
        <v>4</v>
      </c>
      <c r="AC2882" t="s">
        <v>42</v>
      </c>
      <c r="AD2882">
        <v>1</v>
      </c>
    </row>
    <row r="2883" spans="1:30">
      <c r="A2883" t="str">
        <f>CONCATENATE(I2883,J2883)</f>
        <v>SECMARKEQ</v>
      </c>
      <c r="B2883" s="34">
        <v>46273</v>
      </c>
      <c r="C2883" s="34">
        <v>46273</v>
      </c>
      <c r="D2883" t="s">
        <v>35</v>
      </c>
      <c r="E2883" t="s">
        <v>36</v>
      </c>
      <c r="F2883" t="s">
        <v>37</v>
      </c>
      <c r="G2883">
        <v>19496</v>
      </c>
      <c r="H2883" t="s">
        <v>8717</v>
      </c>
      <c r="I2883" t="s">
        <v>8718</v>
      </c>
      <c r="J2883" t="s">
        <v>161</v>
      </c>
      <c r="O2883" t="s">
        <v>8719</v>
      </c>
      <c r="P2883">
        <v>142.80000000000001</v>
      </c>
      <c r="Q2883">
        <v>144.30000000000001</v>
      </c>
      <c r="R2883">
        <v>133.06</v>
      </c>
      <c r="S2883">
        <v>139.33000000000001</v>
      </c>
      <c r="T2883">
        <v>139.4</v>
      </c>
      <c r="U2883">
        <v>143.24</v>
      </c>
      <c r="W2883">
        <v>139.33000000000001</v>
      </c>
      <c r="Z2883">
        <v>1810</v>
      </c>
      <c r="AA2883">
        <v>250301.81</v>
      </c>
      <c r="AB2883">
        <v>82</v>
      </c>
      <c r="AC2883" t="s">
        <v>42</v>
      </c>
      <c r="AD2883">
        <v>1</v>
      </c>
    </row>
    <row r="2884" spans="1:30">
      <c r="A2884" t="str">
        <f>CONCATENATE(I2884,J2884)</f>
        <v>SECURKLOUDEQ</v>
      </c>
      <c r="B2884" s="34">
        <v>46273</v>
      </c>
      <c r="C2884" s="34">
        <v>46273</v>
      </c>
      <c r="D2884" t="s">
        <v>35</v>
      </c>
      <c r="E2884" t="s">
        <v>36</v>
      </c>
      <c r="F2884" t="s">
        <v>37</v>
      </c>
      <c r="G2884">
        <v>11058</v>
      </c>
      <c r="H2884" t="s">
        <v>8720</v>
      </c>
      <c r="I2884" t="s">
        <v>8721</v>
      </c>
      <c r="J2884" t="s">
        <v>161</v>
      </c>
      <c r="O2884" t="s">
        <v>8722</v>
      </c>
      <c r="P2884">
        <v>17.489999999999998</v>
      </c>
      <c r="Q2884">
        <v>17.489999999999998</v>
      </c>
      <c r="R2884">
        <v>16.7</v>
      </c>
      <c r="S2884">
        <v>16.989999999999998</v>
      </c>
      <c r="T2884">
        <v>17</v>
      </c>
      <c r="U2884">
        <v>17.12</v>
      </c>
      <c r="W2884">
        <v>17.010000000000002</v>
      </c>
      <c r="Z2884">
        <v>17022</v>
      </c>
      <c r="AA2884">
        <v>287929.73</v>
      </c>
      <c r="AB2884">
        <v>124</v>
      </c>
      <c r="AC2884" t="s">
        <v>42</v>
      </c>
      <c r="AD2884">
        <v>1</v>
      </c>
    </row>
    <row r="2885" spans="1:30">
      <c r="A2885" t="str">
        <f>CONCATENATE(I2885,J2885)</f>
        <v>SEDEMACEQ</v>
      </c>
      <c r="B2885" s="34">
        <v>46273</v>
      </c>
      <c r="C2885" s="34">
        <v>46273</v>
      </c>
      <c r="D2885" t="s">
        <v>35</v>
      </c>
      <c r="E2885" t="s">
        <v>36</v>
      </c>
      <c r="F2885" t="s">
        <v>37</v>
      </c>
      <c r="G2885">
        <v>761153</v>
      </c>
      <c r="H2885" t="s">
        <v>8723</v>
      </c>
      <c r="I2885" t="s">
        <v>8724</v>
      </c>
      <c r="J2885" t="s">
        <v>161</v>
      </c>
      <c r="O2885" t="s">
        <v>8725</v>
      </c>
      <c r="P2885">
        <v>2890</v>
      </c>
      <c r="Q2885">
        <v>2930</v>
      </c>
      <c r="R2885">
        <v>2850</v>
      </c>
      <c r="S2885">
        <v>2867.5</v>
      </c>
      <c r="T2885">
        <v>2868</v>
      </c>
      <c r="U2885">
        <v>2876.2</v>
      </c>
      <c r="W2885">
        <v>2867.23</v>
      </c>
      <c r="Z2885">
        <v>50300</v>
      </c>
      <c r="AA2885">
        <v>145289486.30000001</v>
      </c>
      <c r="AB2885">
        <v>8859</v>
      </c>
      <c r="AC2885" t="s">
        <v>42</v>
      </c>
      <c r="AD2885">
        <v>1</v>
      </c>
    </row>
    <row r="2886" spans="1:30">
      <c r="A2886" t="str">
        <f>CONCATENATE(I2886,J2886)</f>
        <v>SEJALLTDEQ</v>
      </c>
      <c r="B2886" s="34">
        <v>46273</v>
      </c>
      <c r="C2886" s="34">
        <v>46273</v>
      </c>
      <c r="D2886" t="s">
        <v>35</v>
      </c>
      <c r="E2886" t="s">
        <v>36</v>
      </c>
      <c r="F2886" t="s">
        <v>37</v>
      </c>
      <c r="G2886">
        <v>7091</v>
      </c>
      <c r="H2886" t="s">
        <v>8726</v>
      </c>
      <c r="I2886" t="s">
        <v>8727</v>
      </c>
      <c r="J2886" t="s">
        <v>161</v>
      </c>
      <c r="O2886" t="s">
        <v>8728</v>
      </c>
      <c r="P2886">
        <v>669.65</v>
      </c>
      <c r="Q2886">
        <v>672.45</v>
      </c>
      <c r="R2886">
        <v>646.1</v>
      </c>
      <c r="S2886">
        <v>651.35</v>
      </c>
      <c r="T2886">
        <v>646.1</v>
      </c>
      <c r="U2886">
        <v>666.05</v>
      </c>
      <c r="W2886">
        <v>651.36</v>
      </c>
      <c r="Z2886">
        <v>7849</v>
      </c>
      <c r="AA2886">
        <v>5126992.8499999996</v>
      </c>
      <c r="AB2886">
        <v>722</v>
      </c>
      <c r="AC2886" t="s">
        <v>42</v>
      </c>
      <c r="AD2886">
        <v>1</v>
      </c>
    </row>
    <row r="2887" spans="1:30">
      <c r="A2887" t="str">
        <f>CONCATENATE(I2887,J2887)</f>
        <v>SELMCEQ</v>
      </c>
      <c r="B2887" s="34">
        <v>46273</v>
      </c>
      <c r="C2887" s="34">
        <v>46273</v>
      </c>
      <c r="D2887" t="s">
        <v>35</v>
      </c>
      <c r="E2887" t="s">
        <v>36</v>
      </c>
      <c r="F2887" t="s">
        <v>37</v>
      </c>
      <c r="G2887">
        <v>6262</v>
      </c>
      <c r="H2887" t="s">
        <v>8729</v>
      </c>
      <c r="I2887" t="s">
        <v>8730</v>
      </c>
      <c r="J2887" t="s">
        <v>161</v>
      </c>
      <c r="O2887" t="s">
        <v>8731</v>
      </c>
      <c r="P2887">
        <v>28.42</v>
      </c>
      <c r="Q2887">
        <v>29.5</v>
      </c>
      <c r="R2887">
        <v>26.5</v>
      </c>
      <c r="S2887">
        <v>28.81</v>
      </c>
      <c r="T2887">
        <v>29.2</v>
      </c>
      <c r="U2887">
        <v>26.83</v>
      </c>
      <c r="W2887">
        <v>28.79</v>
      </c>
      <c r="Z2887">
        <v>148529</v>
      </c>
      <c r="AA2887">
        <v>4137752.33</v>
      </c>
      <c r="AB2887">
        <v>465</v>
      </c>
      <c r="AC2887" t="s">
        <v>42</v>
      </c>
      <c r="AD2887">
        <v>1</v>
      </c>
    </row>
    <row r="2888" spans="1:30">
      <c r="A2888" t="str">
        <f>CONCATENATE(I2888,J2888)</f>
        <v>SEMACEQ</v>
      </c>
      <c r="B2888" s="34">
        <v>46273</v>
      </c>
      <c r="C2888" s="34">
        <v>46273</v>
      </c>
      <c r="D2888" t="s">
        <v>35</v>
      </c>
      <c r="E2888" t="s">
        <v>36</v>
      </c>
      <c r="F2888" t="s">
        <v>37</v>
      </c>
      <c r="G2888">
        <v>11961</v>
      </c>
      <c r="H2888" t="s">
        <v>8732</v>
      </c>
      <c r="I2888" t="s">
        <v>8733</v>
      </c>
      <c r="J2888" t="s">
        <v>161</v>
      </c>
      <c r="O2888" t="s">
        <v>8734</v>
      </c>
      <c r="P2888">
        <v>294.95</v>
      </c>
      <c r="Q2888">
        <v>294.95</v>
      </c>
      <c r="R2888">
        <v>279</v>
      </c>
      <c r="S2888">
        <v>285.95</v>
      </c>
      <c r="T2888">
        <v>281.45</v>
      </c>
      <c r="U2888">
        <v>282</v>
      </c>
      <c r="W2888">
        <v>285.95</v>
      </c>
      <c r="Z2888">
        <v>890</v>
      </c>
      <c r="AA2888">
        <v>252108.7</v>
      </c>
      <c r="AB2888">
        <v>68</v>
      </c>
      <c r="AC2888" t="s">
        <v>42</v>
      </c>
      <c r="AD2888">
        <v>1</v>
      </c>
    </row>
    <row r="2889" spans="1:30">
      <c r="A2889" t="str">
        <f>CONCATENATE(I2889,J2889)</f>
        <v>SENCOEQ</v>
      </c>
      <c r="B2889" s="34">
        <v>46273</v>
      </c>
      <c r="C2889" s="34">
        <v>46273</v>
      </c>
      <c r="D2889" t="s">
        <v>35</v>
      </c>
      <c r="E2889" t="s">
        <v>36</v>
      </c>
      <c r="F2889" t="s">
        <v>37</v>
      </c>
      <c r="G2889">
        <v>17271</v>
      </c>
      <c r="H2889" t="s">
        <v>8735</v>
      </c>
      <c r="I2889" t="s">
        <v>8736</v>
      </c>
      <c r="J2889" t="s">
        <v>161</v>
      </c>
      <c r="O2889" t="s">
        <v>8737</v>
      </c>
      <c r="P2889">
        <v>368</v>
      </c>
      <c r="Q2889">
        <v>369.5</v>
      </c>
      <c r="R2889">
        <v>359.05</v>
      </c>
      <c r="S2889">
        <v>361.85</v>
      </c>
      <c r="T2889">
        <v>360.5</v>
      </c>
      <c r="U2889">
        <v>365.1</v>
      </c>
      <c r="W2889">
        <v>361.85</v>
      </c>
      <c r="Z2889">
        <v>591895</v>
      </c>
      <c r="AA2889">
        <v>214252275.34999999</v>
      </c>
      <c r="AB2889">
        <v>13810</v>
      </c>
      <c r="AC2889" t="s">
        <v>42</v>
      </c>
      <c r="AD2889">
        <v>1</v>
      </c>
    </row>
    <row r="2890" spans="1:30">
      <c r="A2890" t="str">
        <f>CONCATENATE(I2890,J2890)</f>
        <v>SENORESEQ</v>
      </c>
      <c r="B2890" s="34">
        <v>46273</v>
      </c>
      <c r="C2890" s="34">
        <v>46273</v>
      </c>
      <c r="D2890" t="s">
        <v>35</v>
      </c>
      <c r="E2890" t="s">
        <v>36</v>
      </c>
      <c r="F2890" t="s">
        <v>37</v>
      </c>
      <c r="G2890">
        <v>28888</v>
      </c>
      <c r="H2890" t="s">
        <v>8738</v>
      </c>
      <c r="I2890" t="s">
        <v>8739</v>
      </c>
      <c r="J2890" t="s">
        <v>161</v>
      </c>
      <c r="O2890" t="s">
        <v>8740</v>
      </c>
      <c r="P2890">
        <v>1504</v>
      </c>
      <c r="Q2890">
        <v>1532</v>
      </c>
      <c r="R2890">
        <v>1486</v>
      </c>
      <c r="S2890">
        <v>1509.8</v>
      </c>
      <c r="T2890">
        <v>1510.9</v>
      </c>
      <c r="U2890">
        <v>1497.5</v>
      </c>
      <c r="W2890">
        <v>1509.83</v>
      </c>
      <c r="Z2890">
        <v>373922</v>
      </c>
      <c r="AA2890">
        <v>563346198.10000002</v>
      </c>
      <c r="AB2890">
        <v>21458</v>
      </c>
      <c r="AC2890" t="s">
        <v>42</v>
      </c>
      <c r="AD2890">
        <v>1</v>
      </c>
    </row>
    <row r="2891" spans="1:30">
      <c r="A2891" t="str">
        <f>CONCATENATE(I2891,J2891)</f>
        <v>SEPCEQ</v>
      </c>
      <c r="B2891" s="34">
        <v>46273</v>
      </c>
      <c r="C2891" s="34">
        <v>46273</v>
      </c>
      <c r="D2891" t="s">
        <v>35</v>
      </c>
      <c r="E2891" t="s">
        <v>36</v>
      </c>
      <c r="F2891" t="s">
        <v>37</v>
      </c>
      <c r="G2891">
        <v>15308</v>
      </c>
      <c r="H2891" t="s">
        <v>8741</v>
      </c>
      <c r="I2891" t="s">
        <v>8742</v>
      </c>
      <c r="J2891" t="s">
        <v>161</v>
      </c>
      <c r="O2891" t="s">
        <v>8743</v>
      </c>
      <c r="P2891">
        <v>5.37</v>
      </c>
      <c r="Q2891">
        <v>5.4</v>
      </c>
      <c r="R2891">
        <v>5.32</v>
      </c>
      <c r="S2891">
        <v>5.34</v>
      </c>
      <c r="T2891">
        <v>5.36</v>
      </c>
      <c r="U2891">
        <v>5.41</v>
      </c>
      <c r="W2891">
        <v>5.34</v>
      </c>
      <c r="Z2891">
        <v>5736412</v>
      </c>
      <c r="AA2891">
        <v>30716522.809999999</v>
      </c>
      <c r="AB2891">
        <v>3481</v>
      </c>
      <c r="AC2891" t="s">
        <v>42</v>
      </c>
      <c r="AD2891">
        <v>1</v>
      </c>
    </row>
    <row r="2892" spans="1:30">
      <c r="A2892" t="str">
        <f>CONCATENATE(I2892,J2892)</f>
        <v>865LTF26NN</v>
      </c>
      <c r="B2892" s="34">
        <v>46273</v>
      </c>
      <c r="C2892" s="34">
        <v>46273</v>
      </c>
      <c r="D2892" t="s">
        <v>35</v>
      </c>
      <c r="E2892" t="s">
        <v>36</v>
      </c>
      <c r="F2892" t="s">
        <v>37</v>
      </c>
      <c r="G2892">
        <v>20715</v>
      </c>
      <c r="H2892" t="s">
        <v>8744</v>
      </c>
      <c r="I2892" t="s">
        <v>8745</v>
      </c>
      <c r="J2892" t="s">
        <v>476</v>
      </c>
      <c r="O2892" t="s">
        <v>8746</v>
      </c>
      <c r="P2892">
        <v>1062</v>
      </c>
      <c r="Q2892">
        <v>1062</v>
      </c>
      <c r="R2892">
        <v>1062</v>
      </c>
      <c r="S2892">
        <v>1062</v>
      </c>
      <c r="T2892">
        <v>1062</v>
      </c>
      <c r="U2892">
        <v>1064</v>
      </c>
      <c r="W2892">
        <v>1063.5</v>
      </c>
      <c r="Z2892">
        <v>1</v>
      </c>
      <c r="AA2892">
        <v>1062</v>
      </c>
      <c r="AB2892">
        <v>1</v>
      </c>
      <c r="AC2892" t="s">
        <v>42</v>
      </c>
      <c r="AD2892">
        <v>1</v>
      </c>
    </row>
    <row r="2893" spans="1:30">
      <c r="A2893" t="str">
        <f>CONCATENATE(I2893,J2893)</f>
        <v>898LTF29N7</v>
      </c>
      <c r="B2893" s="34">
        <v>46273</v>
      </c>
      <c r="C2893" s="34">
        <v>46273</v>
      </c>
      <c r="D2893" t="s">
        <v>35</v>
      </c>
      <c r="E2893" t="s">
        <v>36</v>
      </c>
      <c r="F2893" t="s">
        <v>37</v>
      </c>
      <c r="G2893">
        <v>20655</v>
      </c>
      <c r="H2893" t="s">
        <v>8747</v>
      </c>
      <c r="I2893" t="s">
        <v>8748</v>
      </c>
      <c r="J2893" t="s">
        <v>215</v>
      </c>
      <c r="O2893" t="s">
        <v>8749</v>
      </c>
      <c r="P2893">
        <v>1071</v>
      </c>
      <c r="Q2893">
        <v>1071</v>
      </c>
      <c r="R2893">
        <v>1068</v>
      </c>
      <c r="S2893">
        <v>1069.1300000000001</v>
      </c>
      <c r="T2893">
        <v>1068</v>
      </c>
      <c r="U2893">
        <v>1070</v>
      </c>
      <c r="W2893">
        <v>1069.1300000000001</v>
      </c>
      <c r="Z2893">
        <v>152</v>
      </c>
      <c r="AA2893">
        <v>162565</v>
      </c>
      <c r="AB2893">
        <v>7</v>
      </c>
      <c r="AC2893" t="s">
        <v>42</v>
      </c>
      <c r="AD2893">
        <v>1</v>
      </c>
    </row>
    <row r="2894" spans="1:30">
      <c r="A2894" t="str">
        <f>CONCATENATE(I2894,J2894)</f>
        <v>905LTF27NF</v>
      </c>
      <c r="B2894" s="34">
        <v>46273</v>
      </c>
      <c r="C2894" s="34">
        <v>46273</v>
      </c>
      <c r="D2894" t="s">
        <v>35</v>
      </c>
      <c r="E2894" t="s">
        <v>36</v>
      </c>
      <c r="F2894" t="s">
        <v>37</v>
      </c>
      <c r="G2894">
        <v>20687</v>
      </c>
      <c r="H2894" t="s">
        <v>8750</v>
      </c>
      <c r="I2894" t="s">
        <v>8751</v>
      </c>
      <c r="J2894" t="s">
        <v>480</v>
      </c>
      <c r="O2894" t="s">
        <v>8752</v>
      </c>
      <c r="P2894">
        <v>1040</v>
      </c>
      <c r="Q2894">
        <v>1040</v>
      </c>
      <c r="R2894">
        <v>1033</v>
      </c>
      <c r="S2894">
        <v>1038.46</v>
      </c>
      <c r="T2894">
        <v>1038</v>
      </c>
      <c r="U2894">
        <v>1049</v>
      </c>
      <c r="W2894">
        <v>1038.46</v>
      </c>
      <c r="Z2894">
        <v>409</v>
      </c>
      <c r="AA2894">
        <v>423591.02</v>
      </c>
      <c r="AB2894">
        <v>31</v>
      </c>
      <c r="AC2894" t="s">
        <v>42</v>
      </c>
      <c r="AD2894">
        <v>1</v>
      </c>
    </row>
    <row r="2895" spans="1:30">
      <c r="A2895" t="str">
        <f>CONCATENATE(I2895,J2895)</f>
        <v>865TCAPS27N8</v>
      </c>
      <c r="B2895" s="34">
        <v>46273</v>
      </c>
      <c r="C2895" s="34">
        <v>46273</v>
      </c>
      <c r="D2895" t="s">
        <v>35</v>
      </c>
      <c r="E2895" t="s">
        <v>36</v>
      </c>
      <c r="F2895" t="s">
        <v>37</v>
      </c>
      <c r="G2895">
        <v>21197</v>
      </c>
      <c r="H2895" t="s">
        <v>8753</v>
      </c>
      <c r="I2895" t="s">
        <v>8754</v>
      </c>
      <c r="J2895" t="s">
        <v>207</v>
      </c>
      <c r="O2895" t="s">
        <v>8755</v>
      </c>
      <c r="P2895">
        <v>1010</v>
      </c>
      <c r="Q2895">
        <v>1019.99</v>
      </c>
      <c r="R2895">
        <v>1010</v>
      </c>
      <c r="S2895">
        <v>1016.81</v>
      </c>
      <c r="T2895">
        <v>1019.99</v>
      </c>
      <c r="U2895">
        <v>1013.9</v>
      </c>
      <c r="W2895">
        <v>1016.88</v>
      </c>
      <c r="Z2895">
        <v>301</v>
      </c>
      <c r="AA2895">
        <v>304928.90000000002</v>
      </c>
      <c r="AB2895">
        <v>9</v>
      </c>
      <c r="AC2895" t="s">
        <v>42</v>
      </c>
      <c r="AD2895">
        <v>1</v>
      </c>
    </row>
    <row r="2896" spans="1:30">
      <c r="A2896" t="str">
        <f>CONCATENATE(I2896,J2896)</f>
        <v>96SFIL24ANB</v>
      </c>
      <c r="B2896" s="34">
        <v>46273</v>
      </c>
      <c r="C2896" s="34">
        <v>46273</v>
      </c>
      <c r="D2896" t="s">
        <v>35</v>
      </c>
      <c r="E2896" t="s">
        <v>36</v>
      </c>
      <c r="F2896" t="s">
        <v>37</v>
      </c>
      <c r="G2896">
        <v>4930</v>
      </c>
      <c r="H2896" t="s">
        <v>8756</v>
      </c>
      <c r="I2896" t="s">
        <v>8757</v>
      </c>
      <c r="J2896" t="s">
        <v>8758</v>
      </c>
      <c r="O2896" t="s">
        <v>8759</v>
      </c>
      <c r="P2896">
        <v>981</v>
      </c>
      <c r="Q2896">
        <v>981</v>
      </c>
      <c r="R2896">
        <v>981</v>
      </c>
      <c r="S2896">
        <v>981</v>
      </c>
      <c r="T2896">
        <v>981</v>
      </c>
      <c r="U2896">
        <v>984.03</v>
      </c>
      <c r="W2896">
        <v>981</v>
      </c>
      <c r="Z2896">
        <v>1</v>
      </c>
      <c r="AA2896">
        <v>981</v>
      </c>
      <c r="AB2896">
        <v>1</v>
      </c>
      <c r="AC2896" t="s">
        <v>42</v>
      </c>
      <c r="AD2896">
        <v>1</v>
      </c>
    </row>
    <row r="2897" spans="1:30">
      <c r="A2897" t="str">
        <f>CONCATENATE(I2897,J2897)</f>
        <v>SERVICESM</v>
      </c>
      <c r="B2897" s="34">
        <v>46273</v>
      </c>
      <c r="C2897" s="34">
        <v>46273</v>
      </c>
      <c r="D2897" t="s">
        <v>35</v>
      </c>
      <c r="E2897" t="s">
        <v>36</v>
      </c>
      <c r="F2897" t="s">
        <v>37</v>
      </c>
      <c r="G2897">
        <v>17399</v>
      </c>
      <c r="H2897" t="s">
        <v>8760</v>
      </c>
      <c r="I2897" t="s">
        <v>8761</v>
      </c>
      <c r="J2897" t="s">
        <v>267</v>
      </c>
      <c r="O2897" t="s">
        <v>8762</v>
      </c>
      <c r="P2897">
        <v>71.599999999999994</v>
      </c>
      <c r="Q2897">
        <v>71.599999999999994</v>
      </c>
      <c r="R2897">
        <v>70.8</v>
      </c>
      <c r="S2897">
        <v>70.8</v>
      </c>
      <c r="T2897">
        <v>70.8</v>
      </c>
      <c r="U2897">
        <v>70</v>
      </c>
      <c r="W2897">
        <v>70.8</v>
      </c>
      <c r="Z2897">
        <v>4000</v>
      </c>
      <c r="AA2897">
        <v>284800</v>
      </c>
      <c r="AB2897">
        <v>2</v>
      </c>
      <c r="AC2897" t="s">
        <v>42</v>
      </c>
      <c r="AD2897">
        <v>2000</v>
      </c>
    </row>
    <row r="2898" spans="1:30">
      <c r="A2898" t="str">
        <f>CONCATENATE(I2898,J2898)</f>
        <v>SERVOTECHEQ</v>
      </c>
      <c r="B2898" s="34">
        <v>46273</v>
      </c>
      <c r="C2898" s="34">
        <v>46273</v>
      </c>
      <c r="D2898" t="s">
        <v>35</v>
      </c>
      <c r="E2898" t="s">
        <v>36</v>
      </c>
      <c r="F2898" t="s">
        <v>37</v>
      </c>
      <c r="G2898">
        <v>5507</v>
      </c>
      <c r="H2898" t="s">
        <v>8763</v>
      </c>
      <c r="I2898" t="s">
        <v>8764</v>
      </c>
      <c r="J2898" t="s">
        <v>161</v>
      </c>
      <c r="O2898" t="s">
        <v>8765</v>
      </c>
      <c r="P2898">
        <v>79.03</v>
      </c>
      <c r="Q2898">
        <v>79.900000000000006</v>
      </c>
      <c r="R2898">
        <v>77.849999999999994</v>
      </c>
      <c r="S2898">
        <v>79.06</v>
      </c>
      <c r="T2898">
        <v>79.900000000000006</v>
      </c>
      <c r="U2898">
        <v>79.03</v>
      </c>
      <c r="W2898">
        <v>79.06</v>
      </c>
      <c r="Z2898">
        <v>228870</v>
      </c>
      <c r="AA2898">
        <v>18000182.170000002</v>
      </c>
      <c r="AB2898">
        <v>3040</v>
      </c>
      <c r="AC2898" t="s">
        <v>42</v>
      </c>
      <c r="AD2898">
        <v>1</v>
      </c>
    </row>
    <row r="2899" spans="1:30">
      <c r="A2899" t="str">
        <f>CONCATENATE(I2899,J2899)</f>
        <v>STYLEQ</v>
      </c>
      <c r="B2899" s="34">
        <v>46273</v>
      </c>
      <c r="C2899" s="34">
        <v>46273</v>
      </c>
      <c r="D2899" t="s">
        <v>35</v>
      </c>
      <c r="E2899" t="s">
        <v>36</v>
      </c>
      <c r="F2899" t="s">
        <v>37</v>
      </c>
      <c r="G2899">
        <v>759934</v>
      </c>
      <c r="H2899" t="s">
        <v>8766</v>
      </c>
      <c r="I2899" t="s">
        <v>8767</v>
      </c>
      <c r="J2899" t="s">
        <v>161</v>
      </c>
      <c r="O2899" t="s">
        <v>8768</v>
      </c>
      <c r="P2899">
        <v>384.65</v>
      </c>
      <c r="Q2899">
        <v>394.15</v>
      </c>
      <c r="R2899">
        <v>377</v>
      </c>
      <c r="S2899">
        <v>383.35</v>
      </c>
      <c r="T2899">
        <v>385</v>
      </c>
      <c r="U2899">
        <v>380.2</v>
      </c>
      <c r="W2899">
        <v>383.35</v>
      </c>
      <c r="Z2899">
        <v>142359</v>
      </c>
      <c r="AA2899">
        <v>54946871.049999997</v>
      </c>
      <c r="AB2899">
        <v>4332</v>
      </c>
      <c r="AC2899" t="s">
        <v>42</v>
      </c>
      <c r="AD2899">
        <v>1</v>
      </c>
    </row>
    <row r="2900" spans="1:30">
      <c r="A2900" t="str">
        <f>CONCATENATE(I2900,J2900)</f>
        <v>SESHAPAPEREQ</v>
      </c>
      <c r="B2900" s="34">
        <v>46273</v>
      </c>
      <c r="C2900" s="34">
        <v>46273</v>
      </c>
      <c r="D2900" t="s">
        <v>35</v>
      </c>
      <c r="E2900" t="s">
        <v>36</v>
      </c>
      <c r="F2900" t="s">
        <v>37</v>
      </c>
      <c r="G2900">
        <v>3066</v>
      </c>
      <c r="H2900" t="s">
        <v>8769</v>
      </c>
      <c r="I2900" t="s">
        <v>8770</v>
      </c>
      <c r="J2900" t="s">
        <v>161</v>
      </c>
      <c r="O2900" t="s">
        <v>8771</v>
      </c>
      <c r="P2900">
        <v>243.8</v>
      </c>
      <c r="Q2900">
        <v>249.2</v>
      </c>
      <c r="R2900">
        <v>240</v>
      </c>
      <c r="S2900">
        <v>243.98</v>
      </c>
      <c r="T2900">
        <v>244</v>
      </c>
      <c r="U2900">
        <v>242.37</v>
      </c>
      <c r="W2900">
        <v>243.98</v>
      </c>
      <c r="Z2900">
        <v>134513</v>
      </c>
      <c r="AA2900">
        <v>32859121.66</v>
      </c>
      <c r="AB2900">
        <v>1980</v>
      </c>
      <c r="AC2900" t="s">
        <v>42</v>
      </c>
      <c r="AD2900">
        <v>1</v>
      </c>
    </row>
    <row r="2901" spans="1:30">
      <c r="A2901" t="str">
        <f>CONCATENATE(I2901,J2901)</f>
        <v>SETCOBE</v>
      </c>
      <c r="B2901" s="34">
        <v>46273</v>
      </c>
      <c r="C2901" s="34">
        <v>46273</v>
      </c>
      <c r="D2901" t="s">
        <v>35</v>
      </c>
      <c r="E2901" t="s">
        <v>36</v>
      </c>
      <c r="F2901" t="s">
        <v>37</v>
      </c>
      <c r="G2901">
        <v>17518</v>
      </c>
      <c r="H2901" t="s">
        <v>8772</v>
      </c>
      <c r="I2901" t="s">
        <v>8773</v>
      </c>
      <c r="J2901" t="s">
        <v>183</v>
      </c>
      <c r="O2901" t="s">
        <v>8774</v>
      </c>
      <c r="P2901">
        <v>17.88</v>
      </c>
      <c r="Q2901">
        <v>18.190000000000001</v>
      </c>
      <c r="R2901">
        <v>16.95</v>
      </c>
      <c r="S2901">
        <v>17.079999999999998</v>
      </c>
      <c r="T2901">
        <v>17</v>
      </c>
      <c r="U2901">
        <v>17.53</v>
      </c>
      <c r="W2901">
        <v>17.079999999999998</v>
      </c>
      <c r="Z2901">
        <v>101512</v>
      </c>
      <c r="AA2901">
        <v>1770191.61</v>
      </c>
      <c r="AB2901">
        <v>347</v>
      </c>
      <c r="AC2901" t="s">
        <v>42</v>
      </c>
      <c r="AD2901">
        <v>1</v>
      </c>
    </row>
    <row r="2902" spans="1:30">
      <c r="A2902" t="str">
        <f>CONCATENATE(I2902,J2902)</f>
        <v>SETUINFRABZ</v>
      </c>
      <c r="B2902" s="34">
        <v>46273</v>
      </c>
      <c r="C2902" s="34">
        <v>46273</v>
      </c>
      <c r="D2902" t="s">
        <v>35</v>
      </c>
      <c r="E2902" t="s">
        <v>36</v>
      </c>
      <c r="F2902" t="s">
        <v>37</v>
      </c>
      <c r="G2902">
        <v>18024</v>
      </c>
      <c r="H2902" t="s">
        <v>8775</v>
      </c>
      <c r="I2902" t="s">
        <v>8776</v>
      </c>
      <c r="J2902" t="s">
        <v>551</v>
      </c>
      <c r="O2902" t="s">
        <v>8777</v>
      </c>
      <c r="P2902">
        <v>0.61</v>
      </c>
      <c r="Q2902">
        <v>0.61</v>
      </c>
      <c r="R2902">
        <v>0.61</v>
      </c>
      <c r="S2902">
        <v>0.61</v>
      </c>
      <c r="T2902">
        <v>0.61</v>
      </c>
      <c r="U2902">
        <v>0.59</v>
      </c>
      <c r="W2902">
        <v>0.61</v>
      </c>
      <c r="Z2902">
        <v>41602</v>
      </c>
      <c r="AA2902">
        <v>25377.22</v>
      </c>
      <c r="AB2902">
        <v>44</v>
      </c>
      <c r="AC2902" t="s">
        <v>42</v>
      </c>
      <c r="AD2902">
        <v>1</v>
      </c>
    </row>
    <row r="2903" spans="1:30">
      <c r="A2903" t="str">
        <f>CONCATENATE(I2903,J2903)</f>
        <v>SEYAINDBE</v>
      </c>
      <c r="B2903" s="34">
        <v>46273</v>
      </c>
      <c r="C2903" s="34">
        <v>46273</v>
      </c>
      <c r="D2903" t="s">
        <v>35</v>
      </c>
      <c r="E2903" t="s">
        <v>36</v>
      </c>
      <c r="F2903" t="s">
        <v>37</v>
      </c>
      <c r="G2903">
        <v>10836</v>
      </c>
      <c r="H2903" t="s">
        <v>8778</v>
      </c>
      <c r="I2903" t="s">
        <v>8779</v>
      </c>
      <c r="J2903" t="s">
        <v>183</v>
      </c>
      <c r="O2903" t="s">
        <v>8780</v>
      </c>
      <c r="P2903">
        <v>12.49</v>
      </c>
      <c r="Q2903">
        <v>12.65</v>
      </c>
      <c r="R2903">
        <v>12.17</v>
      </c>
      <c r="S2903">
        <v>12.23</v>
      </c>
      <c r="T2903">
        <v>12.24</v>
      </c>
      <c r="U2903">
        <v>12.41</v>
      </c>
      <c r="W2903">
        <v>12.23</v>
      </c>
      <c r="Z2903">
        <v>5717</v>
      </c>
      <c r="AA2903">
        <v>71756.429999999993</v>
      </c>
      <c r="AB2903">
        <v>30</v>
      </c>
      <c r="AC2903" t="s">
        <v>42</v>
      </c>
      <c r="AD2903">
        <v>1</v>
      </c>
    </row>
    <row r="2904" spans="1:30">
      <c r="A2904" t="str">
        <f>CONCATENATE(I2904,J2904)</f>
        <v>SGFINEQ</v>
      </c>
      <c r="B2904" s="34">
        <v>46273</v>
      </c>
      <c r="C2904" s="34">
        <v>46273</v>
      </c>
      <c r="D2904" t="s">
        <v>35</v>
      </c>
      <c r="E2904" t="s">
        <v>36</v>
      </c>
      <c r="F2904" t="s">
        <v>37</v>
      </c>
      <c r="G2904">
        <v>758853</v>
      </c>
      <c r="H2904" t="s">
        <v>8781</v>
      </c>
      <c r="I2904" t="s">
        <v>8782</v>
      </c>
      <c r="J2904" t="s">
        <v>161</v>
      </c>
      <c r="O2904" t="s">
        <v>8783</v>
      </c>
      <c r="P2904">
        <v>675.05</v>
      </c>
      <c r="Q2904">
        <v>685.45</v>
      </c>
      <c r="R2904">
        <v>668.55</v>
      </c>
      <c r="S2904">
        <v>676.15</v>
      </c>
      <c r="T2904">
        <v>675.5</v>
      </c>
      <c r="U2904">
        <v>677.6</v>
      </c>
      <c r="W2904">
        <v>675.98</v>
      </c>
      <c r="Z2904">
        <v>164770</v>
      </c>
      <c r="AA2904">
        <v>111350741.15000001</v>
      </c>
      <c r="AB2904">
        <v>5255</v>
      </c>
      <c r="AC2904" t="s">
        <v>42</v>
      </c>
      <c r="AD2904">
        <v>1</v>
      </c>
    </row>
    <row r="2905" spans="1:30">
      <c r="A2905" t="str">
        <f>CONCATENATE(I2905,J2905)</f>
        <v>SGMARTEQ</v>
      </c>
      <c r="B2905" s="34">
        <v>46273</v>
      </c>
      <c r="C2905" s="34">
        <v>46273</v>
      </c>
      <c r="D2905" t="s">
        <v>35</v>
      </c>
      <c r="E2905" t="s">
        <v>36</v>
      </c>
      <c r="F2905" t="s">
        <v>37</v>
      </c>
      <c r="G2905">
        <v>758889</v>
      </c>
      <c r="H2905" t="s">
        <v>8784</v>
      </c>
      <c r="I2905" t="s">
        <v>8785</v>
      </c>
      <c r="J2905" t="s">
        <v>161</v>
      </c>
      <c r="O2905" t="s">
        <v>8786</v>
      </c>
      <c r="P2905">
        <v>810.4</v>
      </c>
      <c r="Q2905">
        <v>830.45</v>
      </c>
      <c r="R2905">
        <v>806</v>
      </c>
      <c r="S2905">
        <v>809.5</v>
      </c>
      <c r="T2905">
        <v>806.4</v>
      </c>
      <c r="U2905">
        <v>810.4</v>
      </c>
      <c r="W2905">
        <v>809.48</v>
      </c>
      <c r="Z2905">
        <v>180042</v>
      </c>
      <c r="AA2905">
        <v>146595948.5</v>
      </c>
      <c r="AB2905">
        <v>11727</v>
      </c>
      <c r="AC2905" t="s">
        <v>42</v>
      </c>
      <c r="AD2905">
        <v>1</v>
      </c>
    </row>
    <row r="2906" spans="1:30">
      <c r="A2906" t="str">
        <f>CONCATENATE(I2906,J2906)</f>
        <v>SGLRESEQ</v>
      </c>
      <c r="B2906" s="34">
        <v>46273</v>
      </c>
      <c r="C2906" s="34">
        <v>46273</v>
      </c>
      <c r="D2906" t="s">
        <v>35</v>
      </c>
      <c r="E2906" t="s">
        <v>36</v>
      </c>
      <c r="F2906" t="s">
        <v>37</v>
      </c>
      <c r="G2906">
        <v>765247</v>
      </c>
      <c r="H2906" t="s">
        <v>8787</v>
      </c>
      <c r="I2906" t="s">
        <v>8788</v>
      </c>
      <c r="J2906" t="s">
        <v>161</v>
      </c>
      <c r="O2906" t="s">
        <v>8789</v>
      </c>
      <c r="P2906">
        <v>2.62</v>
      </c>
      <c r="Q2906">
        <v>2.62</v>
      </c>
      <c r="R2906">
        <v>2.4</v>
      </c>
      <c r="S2906">
        <v>2.52</v>
      </c>
      <c r="T2906">
        <v>2.56</v>
      </c>
      <c r="U2906">
        <v>2.5</v>
      </c>
      <c r="W2906">
        <v>2.52</v>
      </c>
      <c r="Z2906">
        <v>36452</v>
      </c>
      <c r="AA2906">
        <v>91399.94</v>
      </c>
      <c r="AB2906">
        <v>115</v>
      </c>
      <c r="AC2906" t="s">
        <v>42</v>
      </c>
      <c r="AD2906">
        <v>1</v>
      </c>
    </row>
    <row r="2907" spans="1:30">
      <c r="A2907" t="str">
        <f>CONCATENATE(I2907,J2907)</f>
        <v>SHADOWFAXEQ</v>
      </c>
      <c r="B2907" s="34">
        <v>46273</v>
      </c>
      <c r="C2907" s="34">
        <v>46273</v>
      </c>
      <c r="D2907" t="s">
        <v>35</v>
      </c>
      <c r="E2907" t="s">
        <v>36</v>
      </c>
      <c r="F2907" t="s">
        <v>37</v>
      </c>
      <c r="G2907">
        <v>761469</v>
      </c>
      <c r="H2907" t="s">
        <v>8790</v>
      </c>
      <c r="I2907" t="s">
        <v>8791</v>
      </c>
      <c r="J2907" t="s">
        <v>161</v>
      </c>
      <c r="O2907" t="s">
        <v>8792</v>
      </c>
      <c r="P2907">
        <v>248.9</v>
      </c>
      <c r="Q2907">
        <v>255.85</v>
      </c>
      <c r="R2907">
        <v>244.75</v>
      </c>
      <c r="S2907">
        <v>249.75</v>
      </c>
      <c r="T2907">
        <v>250.1</v>
      </c>
      <c r="U2907">
        <v>250.2</v>
      </c>
      <c r="W2907">
        <v>249.76</v>
      </c>
      <c r="Z2907">
        <v>4847985</v>
      </c>
      <c r="AA2907">
        <v>1216128082.0999999</v>
      </c>
      <c r="AB2907">
        <v>39827</v>
      </c>
      <c r="AC2907" t="s">
        <v>42</v>
      </c>
      <c r="AD2907">
        <v>1</v>
      </c>
    </row>
    <row r="2908" spans="1:30">
      <c r="A2908" t="str">
        <f>CONCATENATE(I2908,J2908)</f>
        <v>SHAHALLOYSBE</v>
      </c>
      <c r="B2908" s="34">
        <v>46273</v>
      </c>
      <c r="C2908" s="34">
        <v>46273</v>
      </c>
      <c r="D2908" t="s">
        <v>35</v>
      </c>
      <c r="E2908" t="s">
        <v>36</v>
      </c>
      <c r="F2908" t="s">
        <v>37</v>
      </c>
      <c r="G2908">
        <v>11859</v>
      </c>
      <c r="H2908" t="s">
        <v>8793</v>
      </c>
      <c r="I2908" t="s">
        <v>8794</v>
      </c>
      <c r="J2908" t="s">
        <v>183</v>
      </c>
      <c r="O2908" t="s">
        <v>8795</v>
      </c>
      <c r="P2908">
        <v>102.63</v>
      </c>
      <c r="Q2908">
        <v>103.92</v>
      </c>
      <c r="R2908">
        <v>99.1</v>
      </c>
      <c r="S2908">
        <v>100.09</v>
      </c>
      <c r="T2908">
        <v>99.13</v>
      </c>
      <c r="U2908">
        <v>102.63</v>
      </c>
      <c r="W2908">
        <v>99.46</v>
      </c>
      <c r="Z2908">
        <v>30763</v>
      </c>
      <c r="AA2908">
        <v>3126490.63</v>
      </c>
      <c r="AB2908">
        <v>130</v>
      </c>
      <c r="AC2908" t="s">
        <v>42</v>
      </c>
      <c r="AD2908">
        <v>1</v>
      </c>
    </row>
    <row r="2909" spans="1:30">
      <c r="A2909" t="str">
        <f>CONCATENATE(I2909,J2909)</f>
        <v>SHAHEQ</v>
      </c>
      <c r="B2909" s="34">
        <v>46273</v>
      </c>
      <c r="C2909" s="34">
        <v>46273</v>
      </c>
      <c r="D2909" t="s">
        <v>35</v>
      </c>
      <c r="E2909" t="s">
        <v>36</v>
      </c>
      <c r="F2909" t="s">
        <v>37</v>
      </c>
      <c r="G2909">
        <v>20296</v>
      </c>
      <c r="H2909" t="s">
        <v>8796</v>
      </c>
      <c r="I2909" t="s">
        <v>8797</v>
      </c>
      <c r="J2909" t="s">
        <v>161</v>
      </c>
      <c r="O2909" t="s">
        <v>8798</v>
      </c>
      <c r="P2909">
        <v>3.49</v>
      </c>
      <c r="Q2909">
        <v>3.49</v>
      </c>
      <c r="R2909">
        <v>3.34</v>
      </c>
      <c r="S2909">
        <v>3.36</v>
      </c>
      <c r="T2909">
        <v>3.4</v>
      </c>
      <c r="U2909">
        <v>3.46</v>
      </c>
      <c r="W2909">
        <v>3.36</v>
      </c>
      <c r="Z2909">
        <v>1797981</v>
      </c>
      <c r="AA2909">
        <v>6067036.6200000001</v>
      </c>
      <c r="AB2909">
        <v>1122</v>
      </c>
      <c r="AC2909" t="s">
        <v>42</v>
      </c>
      <c r="AD2909">
        <v>1</v>
      </c>
    </row>
    <row r="2910" spans="1:30">
      <c r="A2910" t="str">
        <f>CONCATENATE(I2910,J2910)</f>
        <v>SHAILYEQ</v>
      </c>
      <c r="B2910" s="34">
        <v>46273</v>
      </c>
      <c r="C2910" s="34">
        <v>46273</v>
      </c>
      <c r="D2910" t="s">
        <v>35</v>
      </c>
      <c r="E2910" t="s">
        <v>36</v>
      </c>
      <c r="F2910" t="s">
        <v>37</v>
      </c>
      <c r="G2910">
        <v>8727</v>
      </c>
      <c r="H2910" t="s">
        <v>8799</v>
      </c>
      <c r="I2910" t="s">
        <v>8800</v>
      </c>
      <c r="J2910" t="s">
        <v>161</v>
      </c>
      <c r="O2910" t="s">
        <v>8801</v>
      </c>
      <c r="P2910">
        <v>3347</v>
      </c>
      <c r="Q2910">
        <v>3419.9</v>
      </c>
      <c r="R2910">
        <v>3308.1</v>
      </c>
      <c r="S2910">
        <v>3407.8</v>
      </c>
      <c r="T2910">
        <v>3408</v>
      </c>
      <c r="U2910">
        <v>3348.7</v>
      </c>
      <c r="W2910">
        <v>3407.45</v>
      </c>
      <c r="Z2910">
        <v>108977</v>
      </c>
      <c r="AA2910">
        <v>367521621.19999999</v>
      </c>
      <c r="AB2910">
        <v>18402</v>
      </c>
      <c r="AC2910" t="s">
        <v>42</v>
      </c>
      <c r="AD2910">
        <v>1</v>
      </c>
    </row>
    <row r="2911" spans="1:30">
      <c r="A2911" t="str">
        <f>CONCATENATE(I2911,J2911)</f>
        <v>SHAKTIPUMPEQ</v>
      </c>
      <c r="B2911" s="34">
        <v>46273</v>
      </c>
      <c r="C2911" s="34">
        <v>46273</v>
      </c>
      <c r="D2911" t="s">
        <v>35</v>
      </c>
      <c r="E2911" t="s">
        <v>36</v>
      </c>
      <c r="F2911" t="s">
        <v>37</v>
      </c>
      <c r="G2911">
        <v>25574</v>
      </c>
      <c r="H2911" t="s">
        <v>8802</v>
      </c>
      <c r="I2911" t="s">
        <v>8803</v>
      </c>
      <c r="J2911" t="s">
        <v>161</v>
      </c>
      <c r="O2911" t="s">
        <v>8804</v>
      </c>
      <c r="P2911">
        <v>467</v>
      </c>
      <c r="Q2911">
        <v>477.45</v>
      </c>
      <c r="R2911">
        <v>466.95</v>
      </c>
      <c r="S2911">
        <v>473</v>
      </c>
      <c r="T2911">
        <v>473.15</v>
      </c>
      <c r="U2911">
        <v>466.95</v>
      </c>
      <c r="W2911">
        <v>473.01</v>
      </c>
      <c r="Z2911">
        <v>379871</v>
      </c>
      <c r="AA2911">
        <v>179366639.34999999</v>
      </c>
      <c r="AB2911">
        <v>14105</v>
      </c>
      <c r="AC2911" t="s">
        <v>42</v>
      </c>
      <c r="AD2911">
        <v>1</v>
      </c>
    </row>
    <row r="2912" spans="1:30">
      <c r="A2912" t="str">
        <f>CONCATENATE(I2912,J2912)</f>
        <v>SHALBYEQ</v>
      </c>
      <c r="B2912" s="34">
        <v>46273</v>
      </c>
      <c r="C2912" s="34">
        <v>46273</v>
      </c>
      <c r="D2912" t="s">
        <v>35</v>
      </c>
      <c r="E2912" t="s">
        <v>36</v>
      </c>
      <c r="F2912" t="s">
        <v>37</v>
      </c>
      <c r="G2912">
        <v>714</v>
      </c>
      <c r="H2912" t="s">
        <v>8805</v>
      </c>
      <c r="I2912" t="s">
        <v>8806</v>
      </c>
      <c r="J2912" t="s">
        <v>161</v>
      </c>
      <c r="O2912" t="s">
        <v>8807</v>
      </c>
      <c r="P2912">
        <v>152.04</v>
      </c>
      <c r="Q2912">
        <v>153.01</v>
      </c>
      <c r="R2912">
        <v>149.19999999999999</v>
      </c>
      <c r="S2912">
        <v>149.82</v>
      </c>
      <c r="T2912">
        <v>149.36000000000001</v>
      </c>
      <c r="U2912">
        <v>151.24</v>
      </c>
      <c r="W2912">
        <v>149.84</v>
      </c>
      <c r="Z2912">
        <v>58413</v>
      </c>
      <c r="AA2912">
        <v>8792831.8699999992</v>
      </c>
      <c r="AB2912">
        <v>1439</v>
      </c>
      <c r="AC2912" t="s">
        <v>42</v>
      </c>
      <c r="AD2912">
        <v>1</v>
      </c>
    </row>
    <row r="2913" spans="1:30">
      <c r="A2913" t="str">
        <f>CONCATENATE(I2913,J2913)</f>
        <v>SAHLIBHFIEQ</v>
      </c>
      <c r="B2913" s="34">
        <v>46273</v>
      </c>
      <c r="C2913" s="34">
        <v>46273</v>
      </c>
      <c r="D2913" t="s">
        <v>35</v>
      </c>
      <c r="E2913" t="s">
        <v>36</v>
      </c>
      <c r="F2913" t="s">
        <v>37</v>
      </c>
      <c r="G2913">
        <v>761688</v>
      </c>
      <c r="H2913" t="s">
        <v>8808</v>
      </c>
      <c r="I2913" t="s">
        <v>8809</v>
      </c>
      <c r="J2913" t="s">
        <v>161</v>
      </c>
      <c r="O2913" t="s">
        <v>8810</v>
      </c>
      <c r="P2913">
        <v>86.54</v>
      </c>
      <c r="Q2913">
        <v>88.48</v>
      </c>
      <c r="R2913">
        <v>84</v>
      </c>
      <c r="S2913">
        <v>84.95</v>
      </c>
      <c r="T2913">
        <v>85</v>
      </c>
      <c r="U2913">
        <v>86.54</v>
      </c>
      <c r="W2913">
        <v>84.95</v>
      </c>
      <c r="Z2913">
        <v>25629</v>
      </c>
      <c r="AA2913">
        <v>2203248.2000000002</v>
      </c>
      <c r="AB2913">
        <v>273</v>
      </c>
      <c r="AC2913" t="s">
        <v>42</v>
      </c>
      <c r="AD2913">
        <v>1</v>
      </c>
    </row>
    <row r="2914" spans="1:30">
      <c r="A2914" t="str">
        <f>CONCATENATE(I2914,J2914)</f>
        <v>SHALPAINTSBE</v>
      </c>
      <c r="B2914" s="34">
        <v>46273</v>
      </c>
      <c r="C2914" s="34">
        <v>46273</v>
      </c>
      <c r="D2914" t="s">
        <v>35</v>
      </c>
      <c r="E2914" t="s">
        <v>36</v>
      </c>
      <c r="F2914" t="s">
        <v>37</v>
      </c>
      <c r="G2914">
        <v>15346</v>
      </c>
      <c r="H2914" t="s">
        <v>8811</v>
      </c>
      <c r="I2914" t="s">
        <v>8812</v>
      </c>
      <c r="J2914" t="s">
        <v>183</v>
      </c>
      <c r="O2914" t="s">
        <v>8813</v>
      </c>
      <c r="P2914">
        <v>84.9</v>
      </c>
      <c r="Q2914">
        <v>86.8</v>
      </c>
      <c r="R2914">
        <v>82.4</v>
      </c>
      <c r="S2914">
        <v>84.12</v>
      </c>
      <c r="T2914">
        <v>84</v>
      </c>
      <c r="U2914">
        <v>83.9</v>
      </c>
      <c r="W2914">
        <v>84.09</v>
      </c>
      <c r="Z2914">
        <v>251218</v>
      </c>
      <c r="AA2914">
        <v>21139461.859999999</v>
      </c>
      <c r="AB2914">
        <v>514</v>
      </c>
      <c r="AC2914" t="s">
        <v>42</v>
      </c>
      <c r="AD2914">
        <v>1</v>
      </c>
    </row>
    <row r="2915" spans="1:30">
      <c r="A2915" t="str">
        <f>CONCATENATE(I2915,J2915)</f>
        <v>SRDEQ</v>
      </c>
      <c r="B2915" s="34">
        <v>46273</v>
      </c>
      <c r="C2915" s="34">
        <v>46273</v>
      </c>
      <c r="D2915" t="s">
        <v>35</v>
      </c>
      <c r="E2915" t="s">
        <v>36</v>
      </c>
      <c r="F2915" t="s">
        <v>37</v>
      </c>
      <c r="G2915">
        <v>25737</v>
      </c>
      <c r="H2915" t="s">
        <v>8814</v>
      </c>
      <c r="I2915" t="s">
        <v>8815</v>
      </c>
      <c r="J2915" t="s">
        <v>161</v>
      </c>
      <c r="O2915" t="s">
        <v>8816</v>
      </c>
      <c r="P2915">
        <v>39.619999999999997</v>
      </c>
      <c r="Q2915">
        <v>40.08</v>
      </c>
      <c r="R2915">
        <v>39.14</v>
      </c>
      <c r="S2915">
        <v>39.39</v>
      </c>
      <c r="T2915">
        <v>39.5</v>
      </c>
      <c r="U2915">
        <v>39.01</v>
      </c>
      <c r="W2915">
        <v>39.39</v>
      </c>
      <c r="Z2915">
        <v>15302</v>
      </c>
      <c r="AA2915">
        <v>608306.18000000005</v>
      </c>
      <c r="AB2915">
        <v>99</v>
      </c>
      <c r="AC2915" t="s">
        <v>42</v>
      </c>
      <c r="AD2915">
        <v>1</v>
      </c>
    </row>
    <row r="2916" spans="1:30">
      <c r="A2916" t="str">
        <f>CONCATENATE(I2916,J2916)</f>
        <v>SHANKARAEQ</v>
      </c>
      <c r="B2916" s="34">
        <v>46273</v>
      </c>
      <c r="C2916" s="34">
        <v>46273</v>
      </c>
      <c r="D2916" t="s">
        <v>35</v>
      </c>
      <c r="E2916" t="s">
        <v>36</v>
      </c>
      <c r="F2916" t="s">
        <v>37</v>
      </c>
      <c r="G2916">
        <v>20321</v>
      </c>
      <c r="H2916" t="s">
        <v>8817</v>
      </c>
      <c r="I2916" t="s">
        <v>8818</v>
      </c>
      <c r="J2916" t="s">
        <v>161</v>
      </c>
      <c r="O2916" t="s">
        <v>8819</v>
      </c>
      <c r="P2916">
        <v>147.5</v>
      </c>
      <c r="Q2916">
        <v>148.72999999999999</v>
      </c>
      <c r="R2916">
        <v>147.5</v>
      </c>
      <c r="S2916">
        <v>148.34</v>
      </c>
      <c r="T2916">
        <v>148.26</v>
      </c>
      <c r="U2916">
        <v>148.26</v>
      </c>
      <c r="W2916">
        <v>148.34</v>
      </c>
      <c r="Z2916">
        <v>67386</v>
      </c>
      <c r="AA2916">
        <v>9994994.6300000008</v>
      </c>
      <c r="AB2916">
        <v>532</v>
      </c>
      <c r="AC2916" t="s">
        <v>42</v>
      </c>
      <c r="AD2916">
        <v>1</v>
      </c>
    </row>
    <row r="2917" spans="1:30">
      <c r="A2917" t="str">
        <f>CONCATENATE(I2917,J2917)</f>
        <v>BUILDPROEQ</v>
      </c>
      <c r="B2917" s="34">
        <v>46273</v>
      </c>
      <c r="C2917" s="34">
        <v>46273</v>
      </c>
      <c r="D2917" t="s">
        <v>35</v>
      </c>
      <c r="E2917" t="s">
        <v>36</v>
      </c>
      <c r="F2917" t="s">
        <v>37</v>
      </c>
      <c r="G2917">
        <v>760594</v>
      </c>
      <c r="H2917" t="s">
        <v>8820</v>
      </c>
      <c r="I2917" t="s">
        <v>8821</v>
      </c>
      <c r="J2917" t="s">
        <v>161</v>
      </c>
      <c r="O2917" t="s">
        <v>8822</v>
      </c>
      <c r="P2917">
        <v>1281.5999999999999</v>
      </c>
      <c r="Q2917">
        <v>1320</v>
      </c>
      <c r="R2917">
        <v>1221.7</v>
      </c>
      <c r="S2917">
        <v>1301.0999999999999</v>
      </c>
      <c r="T2917">
        <v>1304</v>
      </c>
      <c r="U2917">
        <v>1271.4000000000001</v>
      </c>
      <c r="W2917">
        <v>1301.0999999999999</v>
      </c>
      <c r="Z2917">
        <v>139888</v>
      </c>
      <c r="AA2917">
        <v>177035227.80000001</v>
      </c>
      <c r="AB2917">
        <v>8285</v>
      </c>
      <c r="AC2917" t="s">
        <v>42</v>
      </c>
      <c r="AD2917">
        <v>1</v>
      </c>
    </row>
    <row r="2918" spans="1:30">
      <c r="A2918" t="str">
        <f>CONCATENATE(I2918,J2918)</f>
        <v>SHANKESHEQ</v>
      </c>
      <c r="B2918" s="34">
        <v>46273</v>
      </c>
      <c r="C2918" s="34">
        <v>46273</v>
      </c>
      <c r="D2918" t="s">
        <v>35</v>
      </c>
      <c r="E2918" t="s">
        <v>36</v>
      </c>
      <c r="F2918" t="s">
        <v>37</v>
      </c>
      <c r="G2918">
        <v>765382</v>
      </c>
      <c r="H2918" t="s">
        <v>8823</v>
      </c>
      <c r="I2918" t="s">
        <v>8824</v>
      </c>
      <c r="J2918" t="s">
        <v>161</v>
      </c>
      <c r="O2918" t="s">
        <v>8825</v>
      </c>
      <c r="P2918">
        <v>103.5</v>
      </c>
      <c r="Q2918">
        <v>106.7</v>
      </c>
      <c r="R2918">
        <v>93.22</v>
      </c>
      <c r="S2918">
        <v>94.89</v>
      </c>
      <c r="T2918">
        <v>94.05</v>
      </c>
      <c r="U2918">
        <v>102.37</v>
      </c>
      <c r="W2918">
        <v>94.9</v>
      </c>
      <c r="Z2918">
        <v>10007242</v>
      </c>
      <c r="AA2918">
        <v>989959180.07000005</v>
      </c>
      <c r="AB2918">
        <v>52936</v>
      </c>
      <c r="AC2918" t="s">
        <v>42</v>
      </c>
      <c r="AD2918">
        <v>1</v>
      </c>
    </row>
    <row r="2919" spans="1:30">
      <c r="A2919" t="str">
        <f>CONCATENATE(I2919,J2919)</f>
        <v>SHANTIGEAREQ</v>
      </c>
      <c r="B2919" s="34">
        <v>46273</v>
      </c>
      <c r="C2919" s="34">
        <v>46273</v>
      </c>
      <c r="D2919" t="s">
        <v>35</v>
      </c>
      <c r="E2919" t="s">
        <v>36</v>
      </c>
      <c r="F2919" t="s">
        <v>37</v>
      </c>
      <c r="G2919">
        <v>3078</v>
      </c>
      <c r="H2919" t="s">
        <v>8826</v>
      </c>
      <c r="I2919" t="s">
        <v>8827</v>
      </c>
      <c r="J2919" t="s">
        <v>161</v>
      </c>
      <c r="O2919" t="s">
        <v>8828</v>
      </c>
      <c r="P2919">
        <v>638.85</v>
      </c>
      <c r="Q2919">
        <v>704</v>
      </c>
      <c r="R2919">
        <v>632.15</v>
      </c>
      <c r="S2919">
        <v>704</v>
      </c>
      <c r="T2919">
        <v>704</v>
      </c>
      <c r="U2919">
        <v>640</v>
      </c>
      <c r="W2919">
        <v>704</v>
      </c>
      <c r="Z2919">
        <v>498009</v>
      </c>
      <c r="AA2919">
        <v>342232815.30000001</v>
      </c>
      <c r="AB2919">
        <v>10804</v>
      </c>
      <c r="AC2919" t="s">
        <v>42</v>
      </c>
      <c r="AD2919">
        <v>1</v>
      </c>
    </row>
    <row r="2920" spans="1:30">
      <c r="A2920" t="str">
        <f>CONCATENATE(I2920,J2920)</f>
        <v>SEILEQ</v>
      </c>
      <c r="B2920" s="34">
        <v>46273</v>
      </c>
      <c r="C2920" s="34">
        <v>46273</v>
      </c>
      <c r="D2920" t="s">
        <v>35</v>
      </c>
      <c r="E2920" t="s">
        <v>36</v>
      </c>
      <c r="F2920" t="s">
        <v>37</v>
      </c>
      <c r="G2920">
        <v>762889</v>
      </c>
      <c r="H2920" t="s">
        <v>8829</v>
      </c>
      <c r="I2920" t="s">
        <v>8830</v>
      </c>
      <c r="J2920" t="s">
        <v>161</v>
      </c>
      <c r="O2920" t="s">
        <v>8831</v>
      </c>
      <c r="P2920">
        <v>203.89</v>
      </c>
      <c r="Q2920">
        <v>203.89</v>
      </c>
      <c r="R2920">
        <v>197.1</v>
      </c>
      <c r="S2920">
        <v>198.59</v>
      </c>
      <c r="T2920">
        <v>197.36</v>
      </c>
      <c r="U2920">
        <v>200.17</v>
      </c>
      <c r="W2920">
        <v>198.58</v>
      </c>
      <c r="Z2920">
        <v>123244</v>
      </c>
      <c r="AA2920">
        <v>24559409.02</v>
      </c>
      <c r="AB2920">
        <v>1240</v>
      </c>
      <c r="AC2920" t="s">
        <v>42</v>
      </c>
      <c r="AD2920">
        <v>1</v>
      </c>
    </row>
    <row r="2921" spans="1:30">
      <c r="A2921" t="str">
        <f>CONCATENATE(I2921,J2921)</f>
        <v>SHANTIGOLDEQ</v>
      </c>
      <c r="B2921" s="34">
        <v>46273</v>
      </c>
      <c r="C2921" s="34">
        <v>46273</v>
      </c>
      <c r="D2921" t="s">
        <v>35</v>
      </c>
      <c r="E2921" t="s">
        <v>36</v>
      </c>
      <c r="F2921" t="s">
        <v>37</v>
      </c>
      <c r="G2921">
        <v>758002</v>
      </c>
      <c r="H2921" t="s">
        <v>8832</v>
      </c>
      <c r="I2921" t="s">
        <v>8833</v>
      </c>
      <c r="J2921" t="s">
        <v>161</v>
      </c>
      <c r="O2921" t="s">
        <v>8834</v>
      </c>
      <c r="P2921">
        <v>273</v>
      </c>
      <c r="Q2921">
        <v>273.97000000000003</v>
      </c>
      <c r="R2921">
        <v>260.02</v>
      </c>
      <c r="S2921">
        <v>264.26</v>
      </c>
      <c r="T2921">
        <v>266</v>
      </c>
      <c r="U2921">
        <v>270.72000000000003</v>
      </c>
      <c r="W2921">
        <v>264.26</v>
      </c>
      <c r="Z2921">
        <v>1505201</v>
      </c>
      <c r="AA2921">
        <v>399423584.49000001</v>
      </c>
      <c r="AB2921">
        <v>22753</v>
      </c>
      <c r="AC2921" t="s">
        <v>42</v>
      </c>
      <c r="AD2921">
        <v>1</v>
      </c>
    </row>
    <row r="2922" spans="1:30">
      <c r="A2922" t="str">
        <f>CONCATENATE(I2922,J2922)</f>
        <v>SHANTIINORST</v>
      </c>
      <c r="B2922" s="34">
        <v>46273</v>
      </c>
      <c r="C2922" s="34">
        <v>46273</v>
      </c>
      <c r="D2922" t="s">
        <v>35</v>
      </c>
      <c r="E2922" t="s">
        <v>36</v>
      </c>
      <c r="F2922" t="s">
        <v>37</v>
      </c>
      <c r="G2922">
        <v>765580</v>
      </c>
      <c r="H2922" t="s">
        <v>8835</v>
      </c>
      <c r="I2922" t="s">
        <v>8836</v>
      </c>
      <c r="J2922" t="s">
        <v>328</v>
      </c>
      <c r="O2922" t="s">
        <v>8837</v>
      </c>
      <c r="P2922">
        <v>165.55</v>
      </c>
      <c r="Q2922">
        <v>169.95</v>
      </c>
      <c r="R2922">
        <v>158.1</v>
      </c>
      <c r="S2922">
        <v>159.85</v>
      </c>
      <c r="T2922">
        <v>158.1</v>
      </c>
      <c r="U2922">
        <v>165.55</v>
      </c>
      <c r="W2922">
        <v>159.85</v>
      </c>
      <c r="Z2922">
        <v>531200</v>
      </c>
      <c r="AA2922">
        <v>87612560</v>
      </c>
      <c r="AB2922">
        <v>304</v>
      </c>
      <c r="AC2922" t="s">
        <v>42</v>
      </c>
      <c r="AD2922">
        <v>1600</v>
      </c>
    </row>
    <row r="2923" spans="1:30">
      <c r="A2923" t="str">
        <f>CONCATENATE(I2923,J2923)</f>
        <v>SHANTIEQ</v>
      </c>
      <c r="B2923" s="34">
        <v>46273</v>
      </c>
      <c r="C2923" s="34">
        <v>46273</v>
      </c>
      <c r="D2923" t="s">
        <v>35</v>
      </c>
      <c r="E2923" t="s">
        <v>36</v>
      </c>
      <c r="F2923" t="s">
        <v>37</v>
      </c>
      <c r="G2923">
        <v>5650</v>
      </c>
      <c r="H2923" t="s">
        <v>8838</v>
      </c>
      <c r="I2923" t="s">
        <v>8839</v>
      </c>
      <c r="J2923" t="s">
        <v>161</v>
      </c>
      <c r="O2923" t="s">
        <v>8840</v>
      </c>
      <c r="P2923">
        <v>6.6</v>
      </c>
      <c r="Q2923">
        <v>6.67</v>
      </c>
      <c r="R2923">
        <v>6.15</v>
      </c>
      <c r="S2923">
        <v>6.46</v>
      </c>
      <c r="T2923">
        <v>6.55</v>
      </c>
      <c r="U2923">
        <v>6.5</v>
      </c>
      <c r="W2923">
        <v>6.46</v>
      </c>
      <c r="Z2923">
        <v>43412</v>
      </c>
      <c r="AA2923">
        <v>281388.76</v>
      </c>
      <c r="AB2923">
        <v>65</v>
      </c>
      <c r="AC2923" t="s">
        <v>42</v>
      </c>
      <c r="AD2923">
        <v>1</v>
      </c>
    </row>
    <row r="2924" spans="1:30">
      <c r="A2924" t="str">
        <f>CONCATENATE(I2924,J2924)</f>
        <v>SHINDLEQ</v>
      </c>
      <c r="B2924" s="34">
        <v>46273</v>
      </c>
      <c r="C2924" s="34">
        <v>46273</v>
      </c>
      <c r="D2924" t="s">
        <v>35</v>
      </c>
      <c r="E2924" t="s">
        <v>36</v>
      </c>
      <c r="F2924" t="s">
        <v>37</v>
      </c>
      <c r="G2924">
        <v>762904</v>
      </c>
      <c r="H2924" t="s">
        <v>8841</v>
      </c>
      <c r="I2924" t="s">
        <v>8842</v>
      </c>
      <c r="J2924" t="s">
        <v>161</v>
      </c>
      <c r="O2924" t="s">
        <v>8843</v>
      </c>
      <c r="P2924">
        <v>164</v>
      </c>
      <c r="Q2924">
        <v>167</v>
      </c>
      <c r="R2924">
        <v>159.03</v>
      </c>
      <c r="S2924">
        <v>160.65</v>
      </c>
      <c r="T2924">
        <v>161.94999999999999</v>
      </c>
      <c r="U2924">
        <v>162.77000000000001</v>
      </c>
      <c r="W2924">
        <v>160.87</v>
      </c>
      <c r="Z2924">
        <v>369555</v>
      </c>
      <c r="AA2924">
        <v>59572193.020000003</v>
      </c>
      <c r="AB2924">
        <v>2054</v>
      </c>
      <c r="AC2924" t="s">
        <v>42</v>
      </c>
      <c r="AD2924">
        <v>1</v>
      </c>
    </row>
    <row r="2925" spans="1:30">
      <c r="A2925" t="str">
        <f>CONCATENATE(I2925,J2925)</f>
        <v>SHARDACROPEQ</v>
      </c>
      <c r="B2925" s="34">
        <v>46273</v>
      </c>
      <c r="C2925" s="34">
        <v>46273</v>
      </c>
      <c r="D2925" t="s">
        <v>35</v>
      </c>
      <c r="E2925" t="s">
        <v>36</v>
      </c>
      <c r="F2925" t="s">
        <v>37</v>
      </c>
      <c r="G2925">
        <v>4992</v>
      </c>
      <c r="H2925" t="s">
        <v>8844</v>
      </c>
      <c r="I2925" t="s">
        <v>8845</v>
      </c>
      <c r="J2925" t="s">
        <v>161</v>
      </c>
      <c r="O2925" t="s">
        <v>8846</v>
      </c>
      <c r="P2925">
        <v>770.2</v>
      </c>
      <c r="Q2925">
        <v>803.25</v>
      </c>
      <c r="R2925">
        <v>764.3</v>
      </c>
      <c r="S2925">
        <v>795.9</v>
      </c>
      <c r="T2925">
        <v>796.5</v>
      </c>
      <c r="U2925">
        <v>767.45</v>
      </c>
      <c r="W2925">
        <v>795.93</v>
      </c>
      <c r="Z2925">
        <v>193168</v>
      </c>
      <c r="AA2925">
        <v>152874595.15000001</v>
      </c>
      <c r="AB2925">
        <v>12621</v>
      </c>
      <c r="AC2925" t="s">
        <v>42</v>
      </c>
      <c r="AD2925">
        <v>1</v>
      </c>
    </row>
    <row r="2926" spans="1:30">
      <c r="A2926" t="str">
        <f>CONCATENATE(I2926,J2926)</f>
        <v>SHARDAMOTREQ</v>
      </c>
      <c r="B2926" s="34">
        <v>46273</v>
      </c>
      <c r="C2926" s="34">
        <v>46273</v>
      </c>
      <c r="D2926" t="s">
        <v>35</v>
      </c>
      <c r="E2926" t="s">
        <v>36</v>
      </c>
      <c r="F2926" t="s">
        <v>37</v>
      </c>
      <c r="G2926">
        <v>10530</v>
      </c>
      <c r="H2926" t="s">
        <v>8847</v>
      </c>
      <c r="I2926" t="s">
        <v>8848</v>
      </c>
      <c r="J2926" t="s">
        <v>161</v>
      </c>
      <c r="O2926" t="s">
        <v>8849</v>
      </c>
      <c r="P2926">
        <v>890.05</v>
      </c>
      <c r="Q2926">
        <v>897.9</v>
      </c>
      <c r="R2926">
        <v>882</v>
      </c>
      <c r="S2926">
        <v>890.75</v>
      </c>
      <c r="T2926">
        <v>886.05</v>
      </c>
      <c r="U2926">
        <v>890.05</v>
      </c>
      <c r="W2926">
        <v>890.72</v>
      </c>
      <c r="Z2926">
        <v>29480</v>
      </c>
      <c r="AA2926">
        <v>26209164.649999999</v>
      </c>
      <c r="AB2926">
        <v>3872</v>
      </c>
      <c r="AC2926" t="s">
        <v>42</v>
      </c>
      <c r="AD2926">
        <v>1</v>
      </c>
    </row>
    <row r="2927" spans="1:30">
      <c r="A2927" t="str">
        <f>CONCATENATE(I2927,J2927)</f>
        <v>SHARDULBE</v>
      </c>
      <c r="B2927" s="34">
        <v>46273</v>
      </c>
      <c r="C2927" s="34">
        <v>46273</v>
      </c>
      <c r="D2927" t="s">
        <v>35</v>
      </c>
      <c r="E2927" t="s">
        <v>36</v>
      </c>
      <c r="F2927" t="s">
        <v>37</v>
      </c>
      <c r="G2927">
        <v>762897</v>
      </c>
      <c r="H2927" t="s">
        <v>8850</v>
      </c>
      <c r="I2927" t="s">
        <v>8851</v>
      </c>
      <c r="J2927" t="s">
        <v>183</v>
      </c>
      <c r="O2927" t="s">
        <v>8852</v>
      </c>
      <c r="P2927">
        <v>53.02</v>
      </c>
      <c r="Q2927">
        <v>54.7</v>
      </c>
      <c r="R2927">
        <v>53.02</v>
      </c>
      <c r="S2927">
        <v>54.03</v>
      </c>
      <c r="T2927">
        <v>54.49</v>
      </c>
      <c r="U2927">
        <v>54.06</v>
      </c>
      <c r="W2927">
        <v>54.03</v>
      </c>
      <c r="Z2927">
        <v>15488</v>
      </c>
      <c r="AA2927">
        <v>841541.58</v>
      </c>
      <c r="AB2927">
        <v>50</v>
      </c>
      <c r="AC2927" t="s">
        <v>42</v>
      </c>
      <c r="AD2927">
        <v>1</v>
      </c>
    </row>
    <row r="2928" spans="1:30">
      <c r="A2928" t="str">
        <f>CONCATENATE(I2928,J2928)</f>
        <v>SHAREINDIAEQ</v>
      </c>
      <c r="B2928" s="34">
        <v>46273</v>
      </c>
      <c r="C2928" s="34">
        <v>46273</v>
      </c>
      <c r="D2928" t="s">
        <v>35</v>
      </c>
      <c r="E2928" t="s">
        <v>36</v>
      </c>
      <c r="F2928" t="s">
        <v>37</v>
      </c>
      <c r="G2928">
        <v>104</v>
      </c>
      <c r="H2928" t="s">
        <v>8853</v>
      </c>
      <c r="I2928" t="s">
        <v>8854</v>
      </c>
      <c r="J2928" t="s">
        <v>161</v>
      </c>
      <c r="O2928" t="s">
        <v>8855</v>
      </c>
      <c r="P2928">
        <v>171.74</v>
      </c>
      <c r="Q2928">
        <v>172.59</v>
      </c>
      <c r="R2928">
        <v>168.62</v>
      </c>
      <c r="S2928">
        <v>170.91</v>
      </c>
      <c r="T2928">
        <v>171.3</v>
      </c>
      <c r="U2928">
        <v>171.86</v>
      </c>
      <c r="W2928">
        <v>170.89</v>
      </c>
      <c r="Z2928">
        <v>191854</v>
      </c>
      <c r="AA2928">
        <v>32764535.469999999</v>
      </c>
      <c r="AB2928">
        <v>2036</v>
      </c>
      <c r="AC2928" t="s">
        <v>42</v>
      </c>
      <c r="AD2928">
        <v>1</v>
      </c>
    </row>
    <row r="2929" spans="1:30">
      <c r="A2929" t="str">
        <f>CONCATENATE(I2929,J2929)</f>
        <v>SCMLSM</v>
      </c>
      <c r="B2929" s="34">
        <v>46273</v>
      </c>
      <c r="C2929" s="34">
        <v>46273</v>
      </c>
      <c r="D2929" t="s">
        <v>35</v>
      </c>
      <c r="E2929" t="s">
        <v>36</v>
      </c>
      <c r="F2929" t="s">
        <v>37</v>
      </c>
      <c r="G2929">
        <v>19469</v>
      </c>
      <c r="H2929" t="s">
        <v>8856</v>
      </c>
      <c r="I2929" t="s">
        <v>8857</v>
      </c>
      <c r="J2929" t="s">
        <v>267</v>
      </c>
      <c r="O2929" t="s">
        <v>8858</v>
      </c>
      <c r="P2929">
        <v>82.65</v>
      </c>
      <c r="Q2929">
        <v>82.65</v>
      </c>
      <c r="R2929">
        <v>78</v>
      </c>
      <c r="S2929">
        <v>79.900000000000006</v>
      </c>
      <c r="T2929">
        <v>80</v>
      </c>
      <c r="U2929">
        <v>80.650000000000006</v>
      </c>
      <c r="W2929">
        <v>79.900000000000006</v>
      </c>
      <c r="Z2929">
        <v>23000</v>
      </c>
      <c r="AA2929">
        <v>1840900</v>
      </c>
      <c r="AB2929">
        <v>16</v>
      </c>
      <c r="AC2929" t="s">
        <v>42</v>
      </c>
      <c r="AD2929">
        <v>1000</v>
      </c>
    </row>
    <row r="2930" spans="1:30">
      <c r="A2930" t="str">
        <f>CONCATENATE(I2930,J2930)</f>
        <v>SHEELST</v>
      </c>
      <c r="B2930" s="34">
        <v>46273</v>
      </c>
      <c r="C2930" s="34">
        <v>46273</v>
      </c>
      <c r="D2930" t="s">
        <v>35</v>
      </c>
      <c r="E2930" t="s">
        <v>36</v>
      </c>
      <c r="F2930" t="s">
        <v>37</v>
      </c>
      <c r="G2930">
        <v>759410</v>
      </c>
      <c r="H2930" t="s">
        <v>8859</v>
      </c>
      <c r="I2930" t="s">
        <v>8860</v>
      </c>
      <c r="J2930" t="s">
        <v>328</v>
      </c>
      <c r="O2930" t="s">
        <v>8861</v>
      </c>
      <c r="P2930">
        <v>58.85</v>
      </c>
      <c r="Q2930">
        <v>60</v>
      </c>
      <c r="R2930">
        <v>58.6</v>
      </c>
      <c r="S2930">
        <v>60</v>
      </c>
      <c r="T2930">
        <v>60</v>
      </c>
      <c r="U2930">
        <v>61.6</v>
      </c>
      <c r="W2930">
        <v>60</v>
      </c>
      <c r="Z2930">
        <v>8000</v>
      </c>
      <c r="AA2930">
        <v>474900</v>
      </c>
      <c r="AB2930">
        <v>4</v>
      </c>
      <c r="AC2930" t="s">
        <v>42</v>
      </c>
      <c r="AD2930">
        <v>2000</v>
      </c>
    </row>
    <row r="2931" spans="1:30">
      <c r="A2931" t="str">
        <f>CONCATENATE(I2931,J2931)</f>
        <v>SFLEQ</v>
      </c>
      <c r="B2931" s="34">
        <v>46273</v>
      </c>
      <c r="C2931" s="34">
        <v>46273</v>
      </c>
      <c r="D2931" t="s">
        <v>35</v>
      </c>
      <c r="E2931" t="s">
        <v>36</v>
      </c>
      <c r="F2931" t="s">
        <v>37</v>
      </c>
      <c r="G2931">
        <v>19184</v>
      </c>
      <c r="H2931" t="s">
        <v>8862</v>
      </c>
      <c r="I2931" t="s">
        <v>8863</v>
      </c>
      <c r="J2931" t="s">
        <v>161</v>
      </c>
      <c r="O2931" t="s">
        <v>8864</v>
      </c>
      <c r="P2931">
        <v>652</v>
      </c>
      <c r="Q2931">
        <v>707</v>
      </c>
      <c r="R2931">
        <v>645.45000000000005</v>
      </c>
      <c r="S2931">
        <v>675.95</v>
      </c>
      <c r="T2931">
        <v>677</v>
      </c>
      <c r="U2931">
        <v>642.70000000000005</v>
      </c>
      <c r="W2931">
        <v>675.97</v>
      </c>
      <c r="Z2931">
        <v>2942072</v>
      </c>
      <c r="AA2931">
        <v>2010849808.8</v>
      </c>
      <c r="AB2931">
        <v>112714</v>
      </c>
      <c r="AC2931" t="s">
        <v>42</v>
      </c>
      <c r="AD2931">
        <v>1</v>
      </c>
    </row>
    <row r="2932" spans="1:30">
      <c r="A2932" t="str">
        <f>CONCATENATE(I2932,J2932)</f>
        <v>SCPLBE</v>
      </c>
      <c r="B2932" s="34">
        <v>46273</v>
      </c>
      <c r="C2932" s="34">
        <v>46273</v>
      </c>
      <c r="D2932" t="s">
        <v>35</v>
      </c>
      <c r="E2932" t="s">
        <v>36</v>
      </c>
      <c r="F2932" t="s">
        <v>37</v>
      </c>
      <c r="G2932">
        <v>12081</v>
      </c>
      <c r="H2932" t="s">
        <v>8865</v>
      </c>
      <c r="I2932" t="s">
        <v>8866</v>
      </c>
      <c r="J2932" t="s">
        <v>183</v>
      </c>
      <c r="O2932" t="s">
        <v>8867</v>
      </c>
      <c r="P2932">
        <v>655.04999999999995</v>
      </c>
      <c r="Q2932">
        <v>671.5</v>
      </c>
      <c r="R2932">
        <v>647</v>
      </c>
      <c r="S2932">
        <v>662.2</v>
      </c>
      <c r="T2932">
        <v>665</v>
      </c>
      <c r="U2932">
        <v>655.04999999999995</v>
      </c>
      <c r="W2932">
        <v>662.55</v>
      </c>
      <c r="Z2932">
        <v>12176</v>
      </c>
      <c r="AA2932">
        <v>8087631.5</v>
      </c>
      <c r="AB2932">
        <v>265</v>
      </c>
      <c r="AC2932" t="s">
        <v>42</v>
      </c>
      <c r="AD2932">
        <v>1</v>
      </c>
    </row>
    <row r="2933" spans="1:30">
      <c r="A2933" t="str">
        <f>CONCATENATE(I2933,J2933)</f>
        <v>SHEETALSM</v>
      </c>
      <c r="B2933" s="34">
        <v>46273</v>
      </c>
      <c r="C2933" s="34">
        <v>46273</v>
      </c>
      <c r="D2933" t="s">
        <v>35</v>
      </c>
      <c r="E2933" t="s">
        <v>36</v>
      </c>
      <c r="F2933" t="s">
        <v>37</v>
      </c>
      <c r="G2933">
        <v>20415</v>
      </c>
      <c r="H2933" t="s">
        <v>8868</v>
      </c>
      <c r="I2933" t="s">
        <v>8869</v>
      </c>
      <c r="J2933" t="s">
        <v>267</v>
      </c>
      <c r="O2933" t="s">
        <v>8870</v>
      </c>
      <c r="P2933">
        <v>345.5</v>
      </c>
      <c r="Q2933">
        <v>350</v>
      </c>
      <c r="R2933">
        <v>342</v>
      </c>
      <c r="S2933">
        <v>350</v>
      </c>
      <c r="T2933">
        <v>350</v>
      </c>
      <c r="U2933">
        <v>340</v>
      </c>
      <c r="W2933">
        <v>350</v>
      </c>
      <c r="Z2933">
        <v>2500</v>
      </c>
      <c r="AA2933">
        <v>862325</v>
      </c>
      <c r="AB2933">
        <v>5</v>
      </c>
      <c r="AC2933" t="s">
        <v>42</v>
      </c>
      <c r="AD2933">
        <v>500</v>
      </c>
    </row>
    <row r="2934" spans="1:30">
      <c r="A2934" t="str">
        <f>CONCATENATE(I2934,J2934)</f>
        <v>SHEKHAWATIBE</v>
      </c>
      <c r="B2934" s="34">
        <v>46273</v>
      </c>
      <c r="C2934" s="34">
        <v>46273</v>
      </c>
      <c r="D2934" t="s">
        <v>35</v>
      </c>
      <c r="E2934" t="s">
        <v>36</v>
      </c>
      <c r="F2934" t="s">
        <v>37</v>
      </c>
      <c r="G2934">
        <v>21099</v>
      </c>
      <c r="H2934" t="s">
        <v>8871</v>
      </c>
      <c r="I2934" t="s">
        <v>8872</v>
      </c>
      <c r="J2934" t="s">
        <v>183</v>
      </c>
      <c r="O2934" t="s">
        <v>8873</v>
      </c>
      <c r="P2934">
        <v>16.010000000000002</v>
      </c>
      <c r="Q2934">
        <v>16.809999999999999</v>
      </c>
      <c r="R2934">
        <v>16.010000000000002</v>
      </c>
      <c r="S2934">
        <v>16.809999999999999</v>
      </c>
      <c r="T2934">
        <v>16.809999999999999</v>
      </c>
      <c r="U2934">
        <v>16.010000000000002</v>
      </c>
      <c r="W2934">
        <v>16.72</v>
      </c>
      <c r="Z2934">
        <v>23831</v>
      </c>
      <c r="AA2934">
        <v>400303.67</v>
      </c>
      <c r="AB2934">
        <v>71</v>
      </c>
      <c r="AC2934" t="s">
        <v>42</v>
      </c>
      <c r="AD2934">
        <v>1</v>
      </c>
    </row>
    <row r="2935" spans="1:30">
      <c r="A2935" t="str">
        <f>CONCATENATE(I2935,J2935)</f>
        <v>SHEMAROOBE</v>
      </c>
      <c r="B2935" s="34">
        <v>46273</v>
      </c>
      <c r="C2935" s="34">
        <v>46273</v>
      </c>
      <c r="D2935" t="s">
        <v>35</v>
      </c>
      <c r="E2935" t="s">
        <v>36</v>
      </c>
      <c r="F2935" t="s">
        <v>37</v>
      </c>
      <c r="G2935">
        <v>5072</v>
      </c>
      <c r="H2935" t="s">
        <v>8874</v>
      </c>
      <c r="I2935" t="s">
        <v>8875</v>
      </c>
      <c r="J2935" t="s">
        <v>183</v>
      </c>
      <c r="O2935" t="s">
        <v>8876</v>
      </c>
      <c r="P2935">
        <v>128.99</v>
      </c>
      <c r="Q2935">
        <v>128.99</v>
      </c>
      <c r="R2935">
        <v>124.51</v>
      </c>
      <c r="S2935">
        <v>125.31</v>
      </c>
      <c r="T2935">
        <v>125.99</v>
      </c>
      <c r="U2935">
        <v>124.69</v>
      </c>
      <c r="W2935">
        <v>125.24</v>
      </c>
      <c r="Z2935">
        <v>5137</v>
      </c>
      <c r="AA2935">
        <v>645201.34</v>
      </c>
      <c r="AB2935">
        <v>47</v>
      </c>
      <c r="AC2935" t="s">
        <v>42</v>
      </c>
      <c r="AD2935">
        <v>1</v>
      </c>
    </row>
    <row r="2936" spans="1:30">
      <c r="A2936" t="str">
        <f>CONCATENATE(I2936,J2936)</f>
        <v>SHERASM</v>
      </c>
      <c r="B2936" s="34">
        <v>46273</v>
      </c>
      <c r="C2936" s="34">
        <v>46273</v>
      </c>
      <c r="D2936" t="s">
        <v>35</v>
      </c>
      <c r="E2936" t="s">
        <v>36</v>
      </c>
      <c r="F2936" t="s">
        <v>37</v>
      </c>
      <c r="G2936">
        <v>14172</v>
      </c>
      <c r="H2936" t="s">
        <v>8877</v>
      </c>
      <c r="I2936" t="s">
        <v>8878</v>
      </c>
      <c r="J2936" t="s">
        <v>267</v>
      </c>
      <c r="O2936" t="s">
        <v>8879</v>
      </c>
      <c r="P2936">
        <v>182.1</v>
      </c>
      <c r="Q2936">
        <v>187.8</v>
      </c>
      <c r="R2936">
        <v>180.05</v>
      </c>
      <c r="S2936">
        <v>186</v>
      </c>
      <c r="T2936">
        <v>185.1</v>
      </c>
      <c r="U2936">
        <v>181.1</v>
      </c>
      <c r="W2936">
        <v>186</v>
      </c>
      <c r="Z2936">
        <v>66000</v>
      </c>
      <c r="AA2936">
        <v>12238650</v>
      </c>
      <c r="AB2936">
        <v>63</v>
      </c>
      <c r="AC2936" t="s">
        <v>42</v>
      </c>
      <c r="AD2936">
        <v>1000</v>
      </c>
    </row>
    <row r="2937" spans="1:30">
      <c r="A2937" t="str">
        <f>CONCATENATE(I2937,J2937)</f>
        <v>SHERVANIEQ</v>
      </c>
      <c r="B2937" s="34">
        <v>46273</v>
      </c>
      <c r="C2937" s="34">
        <v>46273</v>
      </c>
      <c r="D2937" t="s">
        <v>35</v>
      </c>
      <c r="E2937" t="s">
        <v>36</v>
      </c>
      <c r="F2937" t="s">
        <v>37</v>
      </c>
      <c r="G2937">
        <v>764890</v>
      </c>
      <c r="H2937" t="s">
        <v>8880</v>
      </c>
      <c r="I2937" t="s">
        <v>8881</v>
      </c>
      <c r="J2937" t="s">
        <v>161</v>
      </c>
      <c r="O2937" t="s">
        <v>8882</v>
      </c>
      <c r="P2937">
        <v>325</v>
      </c>
      <c r="Q2937">
        <v>325.14999999999998</v>
      </c>
      <c r="R2937">
        <v>324.10000000000002</v>
      </c>
      <c r="S2937">
        <v>324.89999999999998</v>
      </c>
      <c r="T2937">
        <v>324.89999999999998</v>
      </c>
      <c r="U2937">
        <v>305.14999999999998</v>
      </c>
      <c r="W2937">
        <v>324.89999999999998</v>
      </c>
      <c r="Z2937">
        <v>27</v>
      </c>
      <c r="AA2937">
        <v>8770.9500000000007</v>
      </c>
      <c r="AB2937">
        <v>5</v>
      </c>
      <c r="AC2937" t="s">
        <v>42</v>
      </c>
      <c r="AD2937">
        <v>1</v>
      </c>
    </row>
    <row r="2938" spans="1:30">
      <c r="A2938" t="str">
        <f>CONCATENATE(I2938,J2938)</f>
        <v>SHILCTECHEQ</v>
      </c>
      <c r="B2938" s="34">
        <v>46273</v>
      </c>
      <c r="C2938" s="34">
        <v>46273</v>
      </c>
      <c r="D2938" t="s">
        <v>35</v>
      </c>
      <c r="E2938" t="s">
        <v>36</v>
      </c>
      <c r="F2938" t="s">
        <v>37</v>
      </c>
      <c r="G2938">
        <v>759847</v>
      </c>
      <c r="H2938" t="s">
        <v>8883</v>
      </c>
      <c r="I2938" t="s">
        <v>8884</v>
      </c>
      <c r="J2938" t="s">
        <v>161</v>
      </c>
      <c r="O2938" t="s">
        <v>8885</v>
      </c>
      <c r="P2938">
        <v>4187</v>
      </c>
      <c r="Q2938">
        <v>4247.8</v>
      </c>
      <c r="R2938">
        <v>4153.3999999999996</v>
      </c>
      <c r="S2938">
        <v>4212.5</v>
      </c>
      <c r="T2938">
        <v>4206</v>
      </c>
      <c r="U2938">
        <v>4187</v>
      </c>
      <c r="W2938">
        <v>4212.07</v>
      </c>
      <c r="Z2938">
        <v>14040</v>
      </c>
      <c r="AA2938">
        <v>58963589.799999997</v>
      </c>
      <c r="AB2938">
        <v>3493</v>
      </c>
      <c r="AC2938" t="s">
        <v>42</v>
      </c>
      <c r="AD2938">
        <v>1</v>
      </c>
    </row>
    <row r="2939" spans="1:30">
      <c r="A2939" t="str">
        <f>CONCATENATE(I2939,J2939)</f>
        <v>SHILGRAVQEQ</v>
      </c>
      <c r="B2939" s="34">
        <v>46273</v>
      </c>
      <c r="C2939" s="34">
        <v>46273</v>
      </c>
      <c r="D2939" t="s">
        <v>35</v>
      </c>
      <c r="E2939" t="s">
        <v>36</v>
      </c>
      <c r="F2939" t="s">
        <v>37</v>
      </c>
      <c r="G2939">
        <v>764895</v>
      </c>
      <c r="H2939" t="s">
        <v>8886</v>
      </c>
      <c r="I2939" t="s">
        <v>8887</v>
      </c>
      <c r="J2939" t="s">
        <v>161</v>
      </c>
      <c r="O2939" t="s">
        <v>8888</v>
      </c>
      <c r="P2939">
        <v>151.94999999999999</v>
      </c>
      <c r="Q2939">
        <v>156</v>
      </c>
      <c r="R2939">
        <v>149</v>
      </c>
      <c r="S2939">
        <v>150.21</v>
      </c>
      <c r="T2939">
        <v>149.9</v>
      </c>
      <c r="U2939">
        <v>150.25</v>
      </c>
      <c r="W2939">
        <v>150.22</v>
      </c>
      <c r="Z2939">
        <v>4455</v>
      </c>
      <c r="AA2939">
        <v>677563</v>
      </c>
      <c r="AB2939">
        <v>78</v>
      </c>
      <c r="AC2939" t="s">
        <v>42</v>
      </c>
      <c r="AD2939">
        <v>1</v>
      </c>
    </row>
    <row r="2940" spans="1:30">
      <c r="A2940" t="str">
        <f>CONCATENATE(I2940,J2940)</f>
        <v>SHILPAMEDEQ</v>
      </c>
      <c r="B2940" s="34">
        <v>46273</v>
      </c>
      <c r="C2940" s="34">
        <v>46273</v>
      </c>
      <c r="D2940" t="s">
        <v>35</v>
      </c>
      <c r="E2940" t="s">
        <v>36</v>
      </c>
      <c r="F2940" t="s">
        <v>37</v>
      </c>
      <c r="G2940">
        <v>17752</v>
      </c>
      <c r="H2940" t="s">
        <v>8889</v>
      </c>
      <c r="I2940" t="s">
        <v>8890</v>
      </c>
      <c r="J2940" t="s">
        <v>161</v>
      </c>
      <c r="O2940" t="s">
        <v>8891</v>
      </c>
      <c r="P2940">
        <v>949.85</v>
      </c>
      <c r="Q2940">
        <v>965</v>
      </c>
      <c r="R2940">
        <v>937.1</v>
      </c>
      <c r="S2940">
        <v>959.9</v>
      </c>
      <c r="T2940">
        <v>961</v>
      </c>
      <c r="U2940">
        <v>939.5</v>
      </c>
      <c r="W2940">
        <v>959.85</v>
      </c>
      <c r="Z2940">
        <v>714579</v>
      </c>
      <c r="AA2940">
        <v>681565846.5</v>
      </c>
      <c r="AB2940">
        <v>24063</v>
      </c>
      <c r="AC2940" t="s">
        <v>42</v>
      </c>
      <c r="AD2940">
        <v>1</v>
      </c>
    </row>
    <row r="2941" spans="1:30">
      <c r="A2941" t="str">
        <f>CONCATENATE(I2941,J2941)</f>
        <v>SCILALEQ</v>
      </c>
      <c r="B2941" s="34">
        <v>46273</v>
      </c>
      <c r="C2941" s="34">
        <v>46273</v>
      </c>
      <c r="D2941" t="s">
        <v>35</v>
      </c>
      <c r="E2941" t="s">
        <v>36</v>
      </c>
      <c r="F2941" t="s">
        <v>37</v>
      </c>
      <c r="G2941">
        <v>23127</v>
      </c>
      <c r="H2941" t="s">
        <v>8892</v>
      </c>
      <c r="I2941" t="s">
        <v>8893</v>
      </c>
      <c r="J2941" t="s">
        <v>161</v>
      </c>
      <c r="O2941" t="s">
        <v>8894</v>
      </c>
      <c r="P2941">
        <v>39.1</v>
      </c>
      <c r="Q2941">
        <v>39.49</v>
      </c>
      <c r="R2941">
        <v>37</v>
      </c>
      <c r="S2941">
        <v>38.770000000000003</v>
      </c>
      <c r="T2941">
        <v>38.94</v>
      </c>
      <c r="U2941">
        <v>39.270000000000003</v>
      </c>
      <c r="W2941">
        <v>38.75</v>
      </c>
      <c r="Z2941">
        <v>305630</v>
      </c>
      <c r="AA2941">
        <v>11807544.220000001</v>
      </c>
      <c r="AB2941">
        <v>2500</v>
      </c>
      <c r="AC2941" t="s">
        <v>42</v>
      </c>
      <c r="AD2941">
        <v>1</v>
      </c>
    </row>
    <row r="2942" spans="1:30">
      <c r="A2942" t="str">
        <f>CONCATENATE(I2942,J2942)</f>
        <v>SCIEQ</v>
      </c>
      <c r="B2942" s="34">
        <v>46273</v>
      </c>
      <c r="C2942" s="34">
        <v>46273</v>
      </c>
      <c r="D2942" t="s">
        <v>35</v>
      </c>
      <c r="E2942" t="s">
        <v>36</v>
      </c>
      <c r="F2942" t="s">
        <v>37</v>
      </c>
      <c r="G2942">
        <v>3048</v>
      </c>
      <c r="H2942" t="s">
        <v>8895</v>
      </c>
      <c r="I2942" t="s">
        <v>8896</v>
      </c>
      <c r="J2942" t="s">
        <v>161</v>
      </c>
      <c r="O2942" t="s">
        <v>8897</v>
      </c>
      <c r="P2942">
        <v>293.60000000000002</v>
      </c>
      <c r="Q2942">
        <v>294.8</v>
      </c>
      <c r="R2942">
        <v>288.05</v>
      </c>
      <c r="S2942">
        <v>288.75</v>
      </c>
      <c r="T2942">
        <v>289.39999999999998</v>
      </c>
      <c r="U2942">
        <v>293.75</v>
      </c>
      <c r="W2942">
        <v>288.75</v>
      </c>
      <c r="Z2942">
        <v>1262000</v>
      </c>
      <c r="AA2942">
        <v>366398846.30000001</v>
      </c>
      <c r="AB2942">
        <v>18483</v>
      </c>
      <c r="AC2942" t="s">
        <v>42</v>
      </c>
      <c r="AD2942">
        <v>1</v>
      </c>
    </row>
    <row r="2943" spans="1:30">
      <c r="A2943" t="str">
        <f>CONCATENATE(I2943,J2943)</f>
        <v>SHIPROCKETEQ</v>
      </c>
      <c r="B2943" s="34">
        <v>46273</v>
      </c>
      <c r="C2943" s="34">
        <v>46273</v>
      </c>
      <c r="D2943" t="s">
        <v>35</v>
      </c>
      <c r="E2943" t="s">
        <v>36</v>
      </c>
      <c r="F2943" t="s">
        <v>37</v>
      </c>
      <c r="G2943">
        <v>765282</v>
      </c>
      <c r="H2943" t="s">
        <v>8898</v>
      </c>
      <c r="I2943" t="s">
        <v>8899</v>
      </c>
      <c r="J2943" t="s">
        <v>161</v>
      </c>
      <c r="O2943" t="s">
        <v>8900</v>
      </c>
      <c r="P2943">
        <v>139.5</v>
      </c>
      <c r="Q2943">
        <v>144.5</v>
      </c>
      <c r="R2943">
        <v>132.61000000000001</v>
      </c>
      <c r="S2943">
        <v>134.77000000000001</v>
      </c>
      <c r="T2943">
        <v>133.9</v>
      </c>
      <c r="U2943">
        <v>135.21</v>
      </c>
      <c r="W2943">
        <v>134.78</v>
      </c>
      <c r="Z2943">
        <v>29791766</v>
      </c>
      <c r="AA2943">
        <v>4149402298.5700002</v>
      </c>
      <c r="AB2943">
        <v>142177</v>
      </c>
      <c r="AC2943" t="s">
        <v>42</v>
      </c>
      <c r="AD2943">
        <v>1</v>
      </c>
    </row>
    <row r="2944" spans="1:30">
      <c r="A2944" t="str">
        <f>CONCATENATE(I2944,J2944)</f>
        <v>SHIVAUMEQ</v>
      </c>
      <c r="B2944" s="34">
        <v>46273</v>
      </c>
      <c r="C2944" s="34">
        <v>46273</v>
      </c>
      <c r="D2944" t="s">
        <v>35</v>
      </c>
      <c r="E2944" t="s">
        <v>36</v>
      </c>
      <c r="F2944" t="s">
        <v>37</v>
      </c>
      <c r="G2944">
        <v>759747</v>
      </c>
      <c r="H2944" t="s">
        <v>8901</v>
      </c>
      <c r="I2944" t="s">
        <v>8902</v>
      </c>
      <c r="J2944" t="s">
        <v>161</v>
      </c>
      <c r="O2944" t="s">
        <v>8903</v>
      </c>
      <c r="P2944">
        <v>460</v>
      </c>
      <c r="Q2944">
        <v>470</v>
      </c>
      <c r="R2944">
        <v>451.5</v>
      </c>
      <c r="S2944">
        <v>461.2</v>
      </c>
      <c r="T2944">
        <v>460</v>
      </c>
      <c r="U2944">
        <v>453.7</v>
      </c>
      <c r="W2944">
        <v>461.2</v>
      </c>
      <c r="Z2944">
        <v>14907</v>
      </c>
      <c r="AA2944">
        <v>6825361</v>
      </c>
      <c r="AB2944">
        <v>127</v>
      </c>
      <c r="AC2944" t="s">
        <v>42</v>
      </c>
      <c r="AD2944">
        <v>1</v>
      </c>
    </row>
    <row r="2945" spans="1:30">
      <c r="A2945" t="str">
        <f>CONCATENATE(I2945,J2945)</f>
        <v>SHIVACEMEQ</v>
      </c>
      <c r="B2945" s="34">
        <v>46273</v>
      </c>
      <c r="C2945" s="34">
        <v>46273</v>
      </c>
      <c r="D2945" t="s">
        <v>35</v>
      </c>
      <c r="E2945" t="s">
        <v>36</v>
      </c>
      <c r="F2945" t="s">
        <v>37</v>
      </c>
      <c r="G2945">
        <v>765160</v>
      </c>
      <c r="H2945" t="s">
        <v>8904</v>
      </c>
      <c r="I2945" t="s">
        <v>8905</v>
      </c>
      <c r="J2945" t="s">
        <v>161</v>
      </c>
      <c r="O2945" t="s">
        <v>8906</v>
      </c>
      <c r="P2945">
        <v>16.07</v>
      </c>
      <c r="Q2945">
        <v>16.2</v>
      </c>
      <c r="R2945">
        <v>15.9</v>
      </c>
      <c r="S2945">
        <v>16.12</v>
      </c>
      <c r="T2945">
        <v>16.14</v>
      </c>
      <c r="U2945">
        <v>16.07</v>
      </c>
      <c r="W2945">
        <v>16.11</v>
      </c>
      <c r="Z2945">
        <v>57311</v>
      </c>
      <c r="AA2945">
        <v>915692.87</v>
      </c>
      <c r="AB2945">
        <v>151</v>
      </c>
      <c r="AC2945" t="s">
        <v>42</v>
      </c>
      <c r="AD2945">
        <v>1</v>
      </c>
    </row>
    <row r="2946" spans="1:30">
      <c r="A2946" t="str">
        <f>CONCATENATE(I2946,J2946)</f>
        <v>SHIVAAGROEQ</v>
      </c>
      <c r="B2946" s="34">
        <v>46273</v>
      </c>
      <c r="C2946" s="34">
        <v>46273</v>
      </c>
      <c r="D2946" t="s">
        <v>35</v>
      </c>
      <c r="E2946" t="s">
        <v>36</v>
      </c>
      <c r="F2946" t="s">
        <v>37</v>
      </c>
      <c r="G2946">
        <v>764900</v>
      </c>
      <c r="H2946" t="s">
        <v>8907</v>
      </c>
      <c r="I2946" t="s">
        <v>8908</v>
      </c>
      <c r="J2946" t="s">
        <v>161</v>
      </c>
      <c r="O2946" t="s">
        <v>8909</v>
      </c>
      <c r="P2946">
        <v>45</v>
      </c>
      <c r="Q2946">
        <v>45</v>
      </c>
      <c r="R2946">
        <v>40.119999999999997</v>
      </c>
      <c r="S2946">
        <v>42.96</v>
      </c>
      <c r="T2946">
        <v>43.23</v>
      </c>
      <c r="U2946">
        <v>41.41</v>
      </c>
      <c r="W2946">
        <v>42.96</v>
      </c>
      <c r="Z2946">
        <v>6565</v>
      </c>
      <c r="AA2946">
        <v>282374.32</v>
      </c>
      <c r="AB2946">
        <v>120</v>
      </c>
      <c r="AC2946" t="s">
        <v>42</v>
      </c>
      <c r="AD2946">
        <v>1</v>
      </c>
    </row>
    <row r="2947" spans="1:30">
      <c r="A2947" t="str">
        <f>CONCATENATE(I2947,J2947)</f>
        <v>SHIVAMILLSEQ</v>
      </c>
      <c r="B2947" s="34">
        <v>46273</v>
      </c>
      <c r="C2947" s="34">
        <v>46273</v>
      </c>
      <c r="D2947" t="s">
        <v>35</v>
      </c>
      <c r="E2947" t="s">
        <v>36</v>
      </c>
      <c r="F2947" t="s">
        <v>37</v>
      </c>
      <c r="G2947">
        <v>1497</v>
      </c>
      <c r="H2947" t="s">
        <v>8910</v>
      </c>
      <c r="I2947" t="s">
        <v>8911</v>
      </c>
      <c r="J2947" t="s">
        <v>161</v>
      </c>
      <c r="O2947" t="s">
        <v>8912</v>
      </c>
      <c r="P2947">
        <v>62.99</v>
      </c>
      <c r="Q2947">
        <v>63.49</v>
      </c>
      <c r="R2947">
        <v>59.75</v>
      </c>
      <c r="S2947">
        <v>62.63</v>
      </c>
      <c r="T2947">
        <v>63.49</v>
      </c>
      <c r="U2947">
        <v>60.99</v>
      </c>
      <c r="W2947">
        <v>62.63</v>
      </c>
      <c r="Z2947">
        <v>7314</v>
      </c>
      <c r="AA2947">
        <v>453863.72</v>
      </c>
      <c r="AB2947">
        <v>82</v>
      </c>
      <c r="AC2947" t="s">
        <v>42</v>
      </c>
      <c r="AD2947">
        <v>1</v>
      </c>
    </row>
    <row r="2948" spans="1:30">
      <c r="A2948" t="str">
        <f>CONCATENATE(I2948,J2948)</f>
        <v>SHIVATEXEQ</v>
      </c>
      <c r="B2948" s="34">
        <v>46273</v>
      </c>
      <c r="C2948" s="34">
        <v>46273</v>
      </c>
      <c r="D2948" t="s">
        <v>35</v>
      </c>
      <c r="E2948" t="s">
        <v>36</v>
      </c>
      <c r="F2948" t="s">
        <v>37</v>
      </c>
      <c r="G2948">
        <v>804</v>
      </c>
      <c r="H2948" t="s">
        <v>8913</v>
      </c>
      <c r="I2948" t="s">
        <v>8914</v>
      </c>
      <c r="J2948" t="s">
        <v>161</v>
      </c>
      <c r="O2948" t="s">
        <v>8915</v>
      </c>
      <c r="P2948">
        <v>184.49</v>
      </c>
      <c r="Q2948">
        <v>184.49</v>
      </c>
      <c r="R2948">
        <v>174.01</v>
      </c>
      <c r="S2948">
        <v>177.7</v>
      </c>
      <c r="T2948">
        <v>174.57</v>
      </c>
      <c r="U2948">
        <v>179.46</v>
      </c>
      <c r="W2948">
        <v>177.7</v>
      </c>
      <c r="Z2948">
        <v>14001</v>
      </c>
      <c r="AA2948">
        <v>2503521.77</v>
      </c>
      <c r="AB2948">
        <v>116</v>
      </c>
      <c r="AC2948" t="s">
        <v>42</v>
      </c>
      <c r="AD2948">
        <v>1</v>
      </c>
    </row>
    <row r="2949" spans="1:30">
      <c r="A2949" t="str">
        <f>CONCATENATE(I2949,J2949)</f>
        <v>SPCLSM</v>
      </c>
      <c r="B2949" s="34">
        <v>46273</v>
      </c>
      <c r="C2949" s="34">
        <v>46273</v>
      </c>
      <c r="D2949" t="s">
        <v>35</v>
      </c>
      <c r="E2949" t="s">
        <v>36</v>
      </c>
      <c r="F2949" t="s">
        <v>37</v>
      </c>
      <c r="G2949">
        <v>24249</v>
      </c>
      <c r="H2949" t="s">
        <v>8916</v>
      </c>
      <c r="I2949" t="s">
        <v>8917</v>
      </c>
      <c r="J2949" t="s">
        <v>267</v>
      </c>
      <c r="O2949" t="s">
        <v>8918</v>
      </c>
      <c r="P2949">
        <v>63.95</v>
      </c>
      <c r="Q2949">
        <v>64.25</v>
      </c>
      <c r="R2949">
        <v>62.8</v>
      </c>
      <c r="S2949">
        <v>63.35</v>
      </c>
      <c r="T2949">
        <v>63.95</v>
      </c>
      <c r="U2949">
        <v>63.65</v>
      </c>
      <c r="W2949">
        <v>63.35</v>
      </c>
      <c r="Z2949">
        <v>13200</v>
      </c>
      <c r="AA2949">
        <v>838740</v>
      </c>
      <c r="AB2949">
        <v>22</v>
      </c>
      <c r="AC2949" t="s">
        <v>42</v>
      </c>
      <c r="AD2949">
        <v>600</v>
      </c>
    </row>
    <row r="2950" spans="1:30">
      <c r="A2950" t="str">
        <f>CONCATENATE(I2950,J2950)</f>
        <v>SBCLEQ</v>
      </c>
      <c r="B2950" s="34">
        <v>46273</v>
      </c>
      <c r="C2950" s="34">
        <v>46273</v>
      </c>
      <c r="D2950" t="s">
        <v>35</v>
      </c>
      <c r="E2950" t="s">
        <v>36</v>
      </c>
      <c r="F2950" t="s">
        <v>37</v>
      </c>
      <c r="G2950">
        <v>4656</v>
      </c>
      <c r="H2950" t="s">
        <v>8919</v>
      </c>
      <c r="I2950" t="s">
        <v>8920</v>
      </c>
      <c r="J2950" t="s">
        <v>161</v>
      </c>
      <c r="O2950" t="s">
        <v>8921</v>
      </c>
      <c r="P2950">
        <v>1092.0999999999999</v>
      </c>
      <c r="Q2950">
        <v>1131.3</v>
      </c>
      <c r="R2950">
        <v>1066.2</v>
      </c>
      <c r="S2950">
        <v>1105.2</v>
      </c>
      <c r="T2950">
        <v>1107.5999999999999</v>
      </c>
      <c r="U2950">
        <v>1092.0999999999999</v>
      </c>
      <c r="W2950">
        <v>1105.2</v>
      </c>
      <c r="Z2950">
        <v>354867</v>
      </c>
      <c r="AA2950">
        <v>390384648.39999998</v>
      </c>
      <c r="AB2950">
        <v>23129</v>
      </c>
      <c r="AC2950" t="s">
        <v>42</v>
      </c>
      <c r="AD2950">
        <v>1</v>
      </c>
    </row>
    <row r="2951" spans="1:30">
      <c r="A2951" t="str">
        <f>CONCATENATE(I2951,J2951)</f>
        <v>SHIVALIKEQ</v>
      </c>
      <c r="B2951" s="34">
        <v>46273</v>
      </c>
      <c r="C2951" s="34">
        <v>46273</v>
      </c>
      <c r="D2951" t="s">
        <v>35</v>
      </c>
      <c r="E2951" t="s">
        <v>36</v>
      </c>
      <c r="F2951" t="s">
        <v>37</v>
      </c>
      <c r="G2951">
        <v>7016</v>
      </c>
      <c r="H2951" t="s">
        <v>8922</v>
      </c>
      <c r="I2951" t="s">
        <v>8923</v>
      </c>
      <c r="J2951" t="s">
        <v>161</v>
      </c>
      <c r="O2951" t="s">
        <v>8924</v>
      </c>
      <c r="P2951">
        <v>315</v>
      </c>
      <c r="Q2951">
        <v>323.89999999999998</v>
      </c>
      <c r="R2951">
        <v>308.64999999999998</v>
      </c>
      <c r="S2951">
        <v>320.75</v>
      </c>
      <c r="T2951">
        <v>321.89999999999998</v>
      </c>
      <c r="U2951">
        <v>316.85000000000002</v>
      </c>
      <c r="W2951">
        <v>320.83</v>
      </c>
      <c r="Z2951">
        <v>56701</v>
      </c>
      <c r="AA2951">
        <v>17881498.699999999</v>
      </c>
      <c r="AB2951">
        <v>2262</v>
      </c>
      <c r="AC2951" t="s">
        <v>42</v>
      </c>
      <c r="AD2951">
        <v>1</v>
      </c>
    </row>
    <row r="2952" spans="1:30">
      <c r="A2952" t="str">
        <f>CONCATENATE(I2952,J2952)</f>
        <v>SHIVAMAUTOEQ</v>
      </c>
      <c r="B2952" s="34">
        <v>46273</v>
      </c>
      <c r="C2952" s="34">
        <v>46273</v>
      </c>
      <c r="D2952" t="s">
        <v>35</v>
      </c>
      <c r="E2952" t="s">
        <v>36</v>
      </c>
      <c r="F2952" t="s">
        <v>37</v>
      </c>
      <c r="G2952">
        <v>13756</v>
      </c>
      <c r="H2952" t="s">
        <v>8925</v>
      </c>
      <c r="I2952" t="s">
        <v>8926</v>
      </c>
      <c r="J2952" t="s">
        <v>161</v>
      </c>
      <c r="O2952" t="s">
        <v>8927</v>
      </c>
      <c r="P2952">
        <v>17.87</v>
      </c>
      <c r="Q2952">
        <v>17.87</v>
      </c>
      <c r="R2952">
        <v>17</v>
      </c>
      <c r="S2952">
        <v>17.03</v>
      </c>
      <c r="T2952">
        <v>17</v>
      </c>
      <c r="U2952">
        <v>17.329999999999998</v>
      </c>
      <c r="W2952">
        <v>17.03</v>
      </c>
      <c r="Z2952">
        <v>22462</v>
      </c>
      <c r="AA2952">
        <v>387292.46</v>
      </c>
      <c r="AB2952">
        <v>178</v>
      </c>
      <c r="AC2952" t="s">
        <v>42</v>
      </c>
      <c r="AD2952">
        <v>1</v>
      </c>
    </row>
    <row r="2953" spans="1:30">
      <c r="A2953" t="str">
        <f>CONCATENATE(I2953,J2953)</f>
        <v>SHIVASHRITSM</v>
      </c>
      <c r="B2953" s="34">
        <v>46273</v>
      </c>
      <c r="C2953" s="34">
        <v>46273</v>
      </c>
      <c r="D2953" t="s">
        <v>35</v>
      </c>
      <c r="E2953" t="s">
        <v>36</v>
      </c>
      <c r="F2953" t="s">
        <v>37</v>
      </c>
      <c r="G2953">
        <v>758744</v>
      </c>
      <c r="H2953" t="s">
        <v>8928</v>
      </c>
      <c r="I2953" t="s">
        <v>8929</v>
      </c>
      <c r="J2953" t="s">
        <v>267</v>
      </c>
      <c r="O2953" t="s">
        <v>8930</v>
      </c>
      <c r="P2953">
        <v>116.75</v>
      </c>
      <c r="Q2953">
        <v>120.5</v>
      </c>
      <c r="R2953">
        <v>116.2</v>
      </c>
      <c r="S2953">
        <v>116.75</v>
      </c>
      <c r="T2953">
        <v>116.75</v>
      </c>
      <c r="U2953">
        <v>116.75</v>
      </c>
      <c r="W2953">
        <v>116.75</v>
      </c>
      <c r="Z2953">
        <v>50000</v>
      </c>
      <c r="AA2953">
        <v>5894700</v>
      </c>
      <c r="AB2953">
        <v>32</v>
      </c>
      <c r="AC2953" t="s">
        <v>42</v>
      </c>
      <c r="AD2953">
        <v>1000</v>
      </c>
    </row>
    <row r="2954" spans="1:30">
      <c r="A2954" t="str">
        <f>CONCATENATE(I2954,J2954)</f>
        <v>SHOPERSTOPEQ</v>
      </c>
      <c r="B2954" s="34">
        <v>46273</v>
      </c>
      <c r="C2954" s="34">
        <v>46273</v>
      </c>
      <c r="D2954" t="s">
        <v>35</v>
      </c>
      <c r="E2954" t="s">
        <v>36</v>
      </c>
      <c r="F2954" t="s">
        <v>37</v>
      </c>
      <c r="G2954">
        <v>11813</v>
      </c>
      <c r="H2954" t="s">
        <v>8931</v>
      </c>
      <c r="I2954" t="s">
        <v>8932</v>
      </c>
      <c r="J2954" t="s">
        <v>161</v>
      </c>
      <c r="O2954" t="s">
        <v>8933</v>
      </c>
      <c r="P2954">
        <v>378</v>
      </c>
      <c r="Q2954">
        <v>397.95</v>
      </c>
      <c r="R2954">
        <v>374.05</v>
      </c>
      <c r="S2954">
        <v>380.8</v>
      </c>
      <c r="T2954">
        <v>382</v>
      </c>
      <c r="U2954">
        <v>376.3</v>
      </c>
      <c r="W2954">
        <v>380.8</v>
      </c>
      <c r="Z2954">
        <v>46488</v>
      </c>
      <c r="AA2954">
        <v>17990001.350000001</v>
      </c>
      <c r="AB2954">
        <v>2861</v>
      </c>
      <c r="AC2954" t="s">
        <v>42</v>
      </c>
      <c r="AD2954">
        <v>1</v>
      </c>
    </row>
    <row r="2955" spans="1:30">
      <c r="A2955" t="str">
        <f>CONCATENATE(I2955,J2955)</f>
        <v>SHRADDHAEQ</v>
      </c>
      <c r="B2955" s="34">
        <v>46273</v>
      </c>
      <c r="C2955" s="34">
        <v>46273</v>
      </c>
      <c r="D2955" t="s">
        <v>35</v>
      </c>
      <c r="E2955" t="s">
        <v>36</v>
      </c>
      <c r="F2955" t="s">
        <v>37</v>
      </c>
      <c r="G2955">
        <v>764905</v>
      </c>
      <c r="H2955" t="s">
        <v>8934</v>
      </c>
      <c r="I2955" t="s">
        <v>8935</v>
      </c>
      <c r="J2955" t="s">
        <v>161</v>
      </c>
      <c r="O2955" t="s">
        <v>8936</v>
      </c>
      <c r="P2955">
        <v>158.69999999999999</v>
      </c>
      <c r="Q2955">
        <v>158.69999999999999</v>
      </c>
      <c r="R2955">
        <v>151.13999999999999</v>
      </c>
      <c r="S2955">
        <v>154.75</v>
      </c>
      <c r="T2955">
        <v>154.75</v>
      </c>
      <c r="U2955">
        <v>154.91999999999999</v>
      </c>
      <c r="W2955">
        <v>154.75</v>
      </c>
      <c r="Z2955">
        <v>2821</v>
      </c>
      <c r="AA2955">
        <v>436654.1</v>
      </c>
      <c r="AB2955">
        <v>95</v>
      </c>
      <c r="AC2955" t="s">
        <v>42</v>
      </c>
      <c r="AD2955">
        <v>1</v>
      </c>
    </row>
    <row r="2956" spans="1:30">
      <c r="A2956" t="str">
        <f>CONCATENATE(I2956,J2956)</f>
        <v>SHRADHAEQ</v>
      </c>
      <c r="B2956" s="34">
        <v>46273</v>
      </c>
      <c r="C2956" s="34">
        <v>46273</v>
      </c>
      <c r="D2956" t="s">
        <v>35</v>
      </c>
      <c r="E2956" t="s">
        <v>36</v>
      </c>
      <c r="F2956" t="s">
        <v>37</v>
      </c>
      <c r="G2956">
        <v>708</v>
      </c>
      <c r="H2956" t="s">
        <v>8937</v>
      </c>
      <c r="I2956" t="s">
        <v>8938</v>
      </c>
      <c r="J2956" t="s">
        <v>161</v>
      </c>
      <c r="O2956" t="s">
        <v>8939</v>
      </c>
      <c r="P2956">
        <v>31.6</v>
      </c>
      <c r="Q2956">
        <v>32</v>
      </c>
      <c r="R2956">
        <v>30.15</v>
      </c>
      <c r="S2956">
        <v>30.65</v>
      </c>
      <c r="T2956">
        <v>30.65</v>
      </c>
      <c r="U2956">
        <v>31.47</v>
      </c>
      <c r="W2956">
        <v>30.65</v>
      </c>
      <c r="Z2956">
        <v>23256</v>
      </c>
      <c r="AA2956">
        <v>715087.39</v>
      </c>
      <c r="AB2956">
        <v>233</v>
      </c>
      <c r="AC2956" t="s">
        <v>42</v>
      </c>
      <c r="AD2956">
        <v>1</v>
      </c>
    </row>
    <row r="2957" spans="1:30">
      <c r="A2957" t="str">
        <f>CONCATENATE(I2957,J2957)</f>
        <v>SHREEPUSHKEQ</v>
      </c>
      <c r="B2957" s="34">
        <v>46273</v>
      </c>
      <c r="C2957" s="34">
        <v>46273</v>
      </c>
      <c r="D2957" t="s">
        <v>35</v>
      </c>
      <c r="E2957" t="s">
        <v>36</v>
      </c>
      <c r="F2957" t="s">
        <v>37</v>
      </c>
      <c r="G2957">
        <v>10588</v>
      </c>
      <c r="H2957" t="s">
        <v>8940</v>
      </c>
      <c r="I2957" t="s">
        <v>8941</v>
      </c>
      <c r="J2957" t="s">
        <v>161</v>
      </c>
      <c r="O2957" t="s">
        <v>8942</v>
      </c>
      <c r="P2957">
        <v>528</v>
      </c>
      <c r="Q2957">
        <v>545.20000000000005</v>
      </c>
      <c r="R2957">
        <v>505.1</v>
      </c>
      <c r="S2957">
        <v>510.05</v>
      </c>
      <c r="T2957">
        <v>508.55</v>
      </c>
      <c r="U2957">
        <v>514.9</v>
      </c>
      <c r="W2957">
        <v>510.08</v>
      </c>
      <c r="Z2957">
        <v>233531</v>
      </c>
      <c r="AA2957">
        <v>122905607.05</v>
      </c>
      <c r="AB2957">
        <v>10293</v>
      </c>
      <c r="AC2957" t="s">
        <v>42</v>
      </c>
      <c r="AD2957">
        <v>1</v>
      </c>
    </row>
    <row r="2958" spans="1:30">
      <c r="A2958" t="str">
        <f>CONCATENATE(I2958,J2958)</f>
        <v>SAPPLEQ</v>
      </c>
      <c r="B2958" s="34">
        <v>46273</v>
      </c>
      <c r="C2958" s="34">
        <v>46273</v>
      </c>
      <c r="D2958" t="s">
        <v>35</v>
      </c>
      <c r="E2958" t="s">
        <v>36</v>
      </c>
      <c r="F2958" t="s">
        <v>37</v>
      </c>
      <c r="G2958">
        <v>762874</v>
      </c>
      <c r="H2958" t="s">
        <v>8943</v>
      </c>
      <c r="I2958" t="s">
        <v>8944</v>
      </c>
      <c r="J2958" t="s">
        <v>161</v>
      </c>
      <c r="O2958" t="s">
        <v>8945</v>
      </c>
      <c r="P2958">
        <v>290</v>
      </c>
      <c r="Q2958">
        <v>290</v>
      </c>
      <c r="R2958">
        <v>280</v>
      </c>
      <c r="S2958">
        <v>282.7</v>
      </c>
      <c r="T2958">
        <v>283.8</v>
      </c>
      <c r="U2958">
        <v>276.60000000000002</v>
      </c>
      <c r="W2958">
        <v>282.72000000000003</v>
      </c>
      <c r="Z2958">
        <v>651</v>
      </c>
      <c r="AA2958">
        <v>185066.85</v>
      </c>
      <c r="AB2958">
        <v>52</v>
      </c>
      <c r="AC2958" t="s">
        <v>42</v>
      </c>
      <c r="AD2958">
        <v>1</v>
      </c>
    </row>
    <row r="2959" spans="1:30">
      <c r="A2959" t="str">
        <f>CONCATENATE(I2959,J2959)</f>
        <v>SHREECEMEQ</v>
      </c>
      <c r="B2959" s="34">
        <v>46273</v>
      </c>
      <c r="C2959" s="34">
        <v>46273</v>
      </c>
      <c r="D2959" t="s">
        <v>35</v>
      </c>
      <c r="E2959" t="s">
        <v>36</v>
      </c>
      <c r="F2959" t="s">
        <v>37</v>
      </c>
      <c r="G2959">
        <v>3103</v>
      </c>
      <c r="H2959" t="s">
        <v>8946</v>
      </c>
      <c r="I2959" t="s">
        <v>8947</v>
      </c>
      <c r="J2959" t="s">
        <v>161</v>
      </c>
      <c r="O2959" t="s">
        <v>8948</v>
      </c>
      <c r="P2959">
        <v>23500</v>
      </c>
      <c r="Q2959">
        <v>23560</v>
      </c>
      <c r="R2959">
        <v>23130</v>
      </c>
      <c r="S2959">
        <v>23160</v>
      </c>
      <c r="T2959">
        <v>23160</v>
      </c>
      <c r="U2959">
        <v>23365</v>
      </c>
      <c r="W2959">
        <v>23160.799999999999</v>
      </c>
      <c r="Z2959">
        <v>13107</v>
      </c>
      <c r="AA2959">
        <v>305607390</v>
      </c>
      <c r="AB2959">
        <v>7207</v>
      </c>
      <c r="AC2959" t="s">
        <v>42</v>
      </c>
      <c r="AD2959">
        <v>1</v>
      </c>
    </row>
    <row r="2960" spans="1:30">
      <c r="A2960" t="str">
        <f>CONCATENATE(I2960,J2960)</f>
        <v>SHREDIGCEMEQ</v>
      </c>
      <c r="B2960" s="34">
        <v>46273</v>
      </c>
      <c r="C2960" s="34">
        <v>46273</v>
      </c>
      <c r="D2960" t="s">
        <v>35</v>
      </c>
      <c r="E2960" t="s">
        <v>36</v>
      </c>
      <c r="F2960" t="s">
        <v>37</v>
      </c>
      <c r="G2960">
        <v>3099</v>
      </c>
      <c r="H2960" t="s">
        <v>8949</v>
      </c>
      <c r="I2960" t="s">
        <v>8950</v>
      </c>
      <c r="J2960" t="s">
        <v>161</v>
      </c>
      <c r="O2960" t="s">
        <v>8951</v>
      </c>
      <c r="P2960">
        <v>72.900000000000006</v>
      </c>
      <c r="Q2960">
        <v>73.22</v>
      </c>
      <c r="R2960">
        <v>71</v>
      </c>
      <c r="S2960">
        <v>72.599999999999994</v>
      </c>
      <c r="T2960">
        <v>73</v>
      </c>
      <c r="U2960">
        <v>72.040000000000006</v>
      </c>
      <c r="W2960">
        <v>72.599999999999994</v>
      </c>
      <c r="Z2960">
        <v>73777</v>
      </c>
      <c r="AA2960">
        <v>5351775.8499999996</v>
      </c>
      <c r="AB2960">
        <v>1074</v>
      </c>
      <c r="AC2960" t="s">
        <v>42</v>
      </c>
      <c r="AD2960">
        <v>1</v>
      </c>
    </row>
    <row r="2961" spans="1:30">
      <c r="A2961" t="str">
        <f>CONCATENATE(I2961,J2961)</f>
        <v>SGRLEQ</v>
      </c>
      <c r="B2961" s="34">
        <v>46273</v>
      </c>
      <c r="C2961" s="34">
        <v>46273</v>
      </c>
      <c r="D2961" t="s">
        <v>35</v>
      </c>
      <c r="E2961" t="s">
        <v>36</v>
      </c>
      <c r="F2961" t="s">
        <v>37</v>
      </c>
      <c r="G2961">
        <v>764885</v>
      </c>
      <c r="H2961" t="s">
        <v>8952</v>
      </c>
      <c r="I2961" t="s">
        <v>8953</v>
      </c>
      <c r="J2961" t="s">
        <v>161</v>
      </c>
      <c r="O2961" t="s">
        <v>8954</v>
      </c>
      <c r="P2961">
        <v>715</v>
      </c>
      <c r="Q2961">
        <v>722</v>
      </c>
      <c r="R2961">
        <v>685</v>
      </c>
      <c r="S2961">
        <v>696</v>
      </c>
      <c r="T2961">
        <v>707.95</v>
      </c>
      <c r="U2961">
        <v>714.2</v>
      </c>
      <c r="W2961">
        <v>696.29</v>
      </c>
      <c r="Z2961">
        <v>14245</v>
      </c>
      <c r="AA2961">
        <v>10025229.699999999</v>
      </c>
      <c r="AB2961">
        <v>864</v>
      </c>
      <c r="AC2961" t="s">
        <v>42</v>
      </c>
      <c r="AD2961">
        <v>1</v>
      </c>
    </row>
    <row r="2962" spans="1:30">
      <c r="A2962" t="str">
        <f>CONCATENATE(I2962,J2962)</f>
        <v>SHREEKARNISM</v>
      </c>
      <c r="B2962" s="34">
        <v>46273</v>
      </c>
      <c r="C2962" s="34">
        <v>46273</v>
      </c>
      <c r="D2962" t="s">
        <v>35</v>
      </c>
      <c r="E2962" t="s">
        <v>36</v>
      </c>
      <c r="F2962" t="s">
        <v>37</v>
      </c>
      <c r="G2962">
        <v>23074</v>
      </c>
      <c r="H2962" t="s">
        <v>8955</v>
      </c>
      <c r="I2962" t="s">
        <v>8956</v>
      </c>
      <c r="J2962" t="s">
        <v>267</v>
      </c>
      <c r="O2962" t="s">
        <v>8957</v>
      </c>
      <c r="P2962">
        <v>390</v>
      </c>
      <c r="Q2962">
        <v>397.9</v>
      </c>
      <c r="R2962">
        <v>390</v>
      </c>
      <c r="S2962">
        <v>397.9</v>
      </c>
      <c r="T2962">
        <v>397.9</v>
      </c>
      <c r="U2962">
        <v>385.5</v>
      </c>
      <c r="W2962">
        <v>397.9</v>
      </c>
      <c r="Z2962">
        <v>750</v>
      </c>
      <c r="AA2962">
        <v>296527.5</v>
      </c>
      <c r="AB2962">
        <v>5</v>
      </c>
      <c r="AC2962" t="s">
        <v>42</v>
      </c>
      <c r="AD2962">
        <v>150</v>
      </c>
    </row>
    <row r="2963" spans="1:30">
      <c r="A2963" t="str">
        <f>CONCATENATE(I2963,J2963)</f>
        <v>SHREEOSFMSM</v>
      </c>
      <c r="B2963" s="34">
        <v>46273</v>
      </c>
      <c r="C2963" s="34">
        <v>46273</v>
      </c>
      <c r="D2963" t="s">
        <v>35</v>
      </c>
      <c r="E2963" t="s">
        <v>36</v>
      </c>
      <c r="F2963" t="s">
        <v>37</v>
      </c>
      <c r="G2963">
        <v>20603</v>
      </c>
      <c r="H2963" t="s">
        <v>8958</v>
      </c>
      <c r="I2963" t="s">
        <v>8959</v>
      </c>
      <c r="J2963" t="s">
        <v>267</v>
      </c>
      <c r="O2963" t="s">
        <v>8960</v>
      </c>
      <c r="P2963">
        <v>54.7</v>
      </c>
      <c r="Q2963">
        <v>54.7</v>
      </c>
      <c r="R2963">
        <v>53.5</v>
      </c>
      <c r="S2963">
        <v>53.5</v>
      </c>
      <c r="T2963">
        <v>53.5</v>
      </c>
      <c r="U2963">
        <v>56.7</v>
      </c>
      <c r="W2963">
        <v>53.5</v>
      </c>
      <c r="Z2963">
        <v>6000</v>
      </c>
      <c r="AA2963">
        <v>325800</v>
      </c>
      <c r="AB2963">
        <v>4</v>
      </c>
      <c r="AC2963" t="s">
        <v>42</v>
      </c>
      <c r="AD2963">
        <v>1000</v>
      </c>
    </row>
    <row r="2964" spans="1:30">
      <c r="A2964" t="str">
        <f>CONCATENATE(I2964,J2964)</f>
        <v>SRTLEQ</v>
      </c>
      <c r="B2964" s="34">
        <v>46273</v>
      </c>
      <c r="C2964" s="34">
        <v>46273</v>
      </c>
      <c r="D2964" t="s">
        <v>35</v>
      </c>
      <c r="E2964" t="s">
        <v>36</v>
      </c>
      <c r="F2964" t="s">
        <v>37</v>
      </c>
      <c r="G2964">
        <v>760188</v>
      </c>
      <c r="H2964" t="s">
        <v>8961</v>
      </c>
      <c r="I2964" t="s">
        <v>8962</v>
      </c>
      <c r="J2964" t="s">
        <v>161</v>
      </c>
      <c r="O2964" t="s">
        <v>8963</v>
      </c>
      <c r="P2964">
        <v>37.69</v>
      </c>
      <c r="Q2964">
        <v>38.1</v>
      </c>
      <c r="R2964">
        <v>37.06</v>
      </c>
      <c r="S2964">
        <v>37.61</v>
      </c>
      <c r="T2964">
        <v>37.5</v>
      </c>
      <c r="U2964">
        <v>37.979999999999997</v>
      </c>
      <c r="W2964">
        <v>37.61</v>
      </c>
      <c r="Z2964">
        <v>26612</v>
      </c>
      <c r="AA2964">
        <v>1003370.39</v>
      </c>
      <c r="AB2964">
        <v>342</v>
      </c>
      <c r="AC2964" t="s">
        <v>42</v>
      </c>
      <c r="AD2964">
        <v>1</v>
      </c>
    </row>
    <row r="2965" spans="1:30">
      <c r="A2965" t="str">
        <f>CONCATENATE(I2965,J2965)</f>
        <v>SHREERAMAEQ</v>
      </c>
      <c r="B2965" s="34">
        <v>46273</v>
      </c>
      <c r="C2965" s="34">
        <v>46273</v>
      </c>
      <c r="D2965" t="s">
        <v>35</v>
      </c>
      <c r="E2965" t="s">
        <v>36</v>
      </c>
      <c r="F2965" t="s">
        <v>37</v>
      </c>
      <c r="G2965">
        <v>7627</v>
      </c>
      <c r="H2965" t="s">
        <v>8964</v>
      </c>
      <c r="I2965" t="s">
        <v>8965</v>
      </c>
      <c r="J2965" t="s">
        <v>161</v>
      </c>
      <c r="O2965" t="s">
        <v>8966</v>
      </c>
      <c r="P2965">
        <v>43.57</v>
      </c>
      <c r="Q2965">
        <v>43.7</v>
      </c>
      <c r="R2965">
        <v>41.43</v>
      </c>
      <c r="S2965">
        <v>42.27</v>
      </c>
      <c r="T2965">
        <v>42.3</v>
      </c>
      <c r="U2965">
        <v>43.84</v>
      </c>
      <c r="W2965">
        <v>42.27</v>
      </c>
      <c r="Z2965">
        <v>80828</v>
      </c>
      <c r="AA2965">
        <v>3436665.17</v>
      </c>
      <c r="AB2965">
        <v>909</v>
      </c>
      <c r="AC2965" t="s">
        <v>42</v>
      </c>
      <c r="AD2965">
        <v>1</v>
      </c>
    </row>
    <row r="2966" spans="1:30">
      <c r="A2966" t="str">
        <f>CONCATENATE(I2966,J2966)</f>
        <v>RAMANEWSEQ</v>
      </c>
      <c r="B2966" s="34">
        <v>46273</v>
      </c>
      <c r="C2966" s="34">
        <v>46273</v>
      </c>
      <c r="D2966" t="s">
        <v>35</v>
      </c>
      <c r="E2966" t="s">
        <v>36</v>
      </c>
      <c r="F2966" t="s">
        <v>37</v>
      </c>
      <c r="G2966">
        <v>13565</v>
      </c>
      <c r="H2966" t="s">
        <v>8967</v>
      </c>
      <c r="I2966" t="s">
        <v>8968</v>
      </c>
      <c r="J2966" t="s">
        <v>161</v>
      </c>
      <c r="O2966" t="s">
        <v>8969</v>
      </c>
      <c r="P2966">
        <v>32.89</v>
      </c>
      <c r="Q2966">
        <v>34.299999999999997</v>
      </c>
      <c r="R2966">
        <v>32.659999999999997</v>
      </c>
      <c r="S2966">
        <v>33.74</v>
      </c>
      <c r="T2966">
        <v>33.700000000000003</v>
      </c>
      <c r="U2966">
        <v>32.64</v>
      </c>
      <c r="W2966">
        <v>33.74</v>
      </c>
      <c r="Z2966">
        <v>151147</v>
      </c>
      <c r="AA2966">
        <v>5104609.4000000004</v>
      </c>
      <c r="AB2966">
        <v>535</v>
      </c>
      <c r="AC2966" t="s">
        <v>42</v>
      </c>
      <c r="AD2966">
        <v>1</v>
      </c>
    </row>
    <row r="2967" spans="1:30">
      <c r="A2967" t="str">
        <f>CONCATENATE(I2967,J2967)</f>
        <v>RENUKAEQ</v>
      </c>
      <c r="B2967" s="34">
        <v>46273</v>
      </c>
      <c r="C2967" s="34">
        <v>46273</v>
      </c>
      <c r="D2967" t="s">
        <v>35</v>
      </c>
      <c r="E2967" t="s">
        <v>36</v>
      </c>
      <c r="F2967" t="s">
        <v>37</v>
      </c>
      <c r="G2967">
        <v>12026</v>
      </c>
      <c r="H2967" t="s">
        <v>8970</v>
      </c>
      <c r="I2967" t="s">
        <v>8971</v>
      </c>
      <c r="J2967" t="s">
        <v>161</v>
      </c>
      <c r="O2967" t="s">
        <v>8972</v>
      </c>
      <c r="P2967">
        <v>25.15</v>
      </c>
      <c r="Q2967">
        <v>25.73</v>
      </c>
      <c r="R2967">
        <v>24.97</v>
      </c>
      <c r="S2967">
        <v>25.19</v>
      </c>
      <c r="T2967">
        <v>25.23</v>
      </c>
      <c r="U2967">
        <v>25.15</v>
      </c>
      <c r="W2967">
        <v>25.19</v>
      </c>
      <c r="Z2967">
        <v>20638935</v>
      </c>
      <c r="AA2967">
        <v>521397690.31999999</v>
      </c>
      <c r="AB2967">
        <v>31775</v>
      </c>
      <c r="AC2967" t="s">
        <v>42</v>
      </c>
      <c r="AD2967">
        <v>1</v>
      </c>
    </row>
    <row r="2968" spans="1:30">
      <c r="A2968" t="str">
        <f>CONCATENATE(I2968,J2968)</f>
        <v>TIRUPATISM</v>
      </c>
      <c r="B2968" s="34">
        <v>46273</v>
      </c>
      <c r="C2968" s="34">
        <v>46273</v>
      </c>
      <c r="D2968" t="s">
        <v>35</v>
      </c>
      <c r="E2968" t="s">
        <v>36</v>
      </c>
      <c r="F2968" t="s">
        <v>37</v>
      </c>
      <c r="G2968">
        <v>21868</v>
      </c>
      <c r="H2968" t="s">
        <v>8973</v>
      </c>
      <c r="I2968" t="s">
        <v>8974</v>
      </c>
      <c r="J2968" t="s">
        <v>267</v>
      </c>
      <c r="O2968" t="s">
        <v>8975</v>
      </c>
      <c r="P2968">
        <v>308</v>
      </c>
      <c r="Q2968">
        <v>308</v>
      </c>
      <c r="R2968">
        <v>308</v>
      </c>
      <c r="S2968">
        <v>308</v>
      </c>
      <c r="T2968">
        <v>308</v>
      </c>
      <c r="U2968">
        <v>308</v>
      </c>
      <c r="W2968">
        <v>308</v>
      </c>
      <c r="Z2968">
        <v>250</v>
      </c>
      <c r="AA2968">
        <v>77000</v>
      </c>
      <c r="AB2968">
        <v>2</v>
      </c>
      <c r="AC2968" t="s">
        <v>42</v>
      </c>
      <c r="AD2968">
        <v>125</v>
      </c>
    </row>
    <row r="2969" spans="1:30">
      <c r="A2969" t="str">
        <f>CONCATENATE(I2969,J2969)</f>
        <v>BALAJEEEQ</v>
      </c>
      <c r="B2969" s="34">
        <v>46273</v>
      </c>
      <c r="C2969" s="34">
        <v>46273</v>
      </c>
      <c r="D2969" t="s">
        <v>35</v>
      </c>
      <c r="E2969" t="s">
        <v>36</v>
      </c>
      <c r="F2969" t="s">
        <v>37</v>
      </c>
      <c r="G2969">
        <v>25203</v>
      </c>
      <c r="H2969" t="s">
        <v>8976</v>
      </c>
      <c r="I2969" t="s">
        <v>8977</v>
      </c>
      <c r="J2969" t="s">
        <v>161</v>
      </c>
      <c r="O2969" t="s">
        <v>8978</v>
      </c>
      <c r="P2969">
        <v>26.49</v>
      </c>
      <c r="Q2969">
        <v>26.49</v>
      </c>
      <c r="R2969">
        <v>25.11</v>
      </c>
      <c r="S2969">
        <v>25.46</v>
      </c>
      <c r="T2969">
        <v>25.32</v>
      </c>
      <c r="U2969">
        <v>25.73</v>
      </c>
      <c r="W2969">
        <v>25.46</v>
      </c>
      <c r="Z2969">
        <v>31666</v>
      </c>
      <c r="AA2969">
        <v>812988.81</v>
      </c>
      <c r="AB2969">
        <v>336</v>
      </c>
      <c r="AC2969" t="s">
        <v>42</v>
      </c>
      <c r="AD2969">
        <v>1</v>
      </c>
    </row>
    <row r="2970" spans="1:30">
      <c r="A2970" t="str">
        <f>CONCATENATE(I2970,J2970)</f>
        <v>SVLLBE</v>
      </c>
      <c r="B2970" s="34">
        <v>46273</v>
      </c>
      <c r="C2970" s="34">
        <v>46273</v>
      </c>
      <c r="D2970" t="s">
        <v>35</v>
      </c>
      <c r="E2970" t="s">
        <v>36</v>
      </c>
      <c r="F2970" t="s">
        <v>37</v>
      </c>
      <c r="G2970">
        <v>15126</v>
      </c>
      <c r="H2970" t="s">
        <v>8979</v>
      </c>
      <c r="I2970" t="s">
        <v>8980</v>
      </c>
      <c r="J2970" t="s">
        <v>183</v>
      </c>
      <c r="O2970" t="s">
        <v>8981</v>
      </c>
      <c r="P2970">
        <v>800</v>
      </c>
      <c r="Q2970">
        <v>819</v>
      </c>
      <c r="R2970">
        <v>800</v>
      </c>
      <c r="S2970">
        <v>800.2</v>
      </c>
      <c r="T2970">
        <v>800.2</v>
      </c>
      <c r="U2970">
        <v>800</v>
      </c>
      <c r="W2970">
        <v>800.2</v>
      </c>
      <c r="Z2970">
        <v>552</v>
      </c>
      <c r="AA2970">
        <v>442168.8</v>
      </c>
      <c r="AB2970">
        <v>15</v>
      </c>
      <c r="AC2970" t="s">
        <v>42</v>
      </c>
      <c r="AD2970">
        <v>1</v>
      </c>
    </row>
    <row r="2971" spans="1:30">
      <c r="A2971" t="str">
        <f>CONCATENATE(I2971,J2971)</f>
        <v>SHREEDHARST</v>
      </c>
      <c r="B2971" s="34">
        <v>46273</v>
      </c>
      <c r="C2971" s="34">
        <v>46273</v>
      </c>
      <c r="D2971" t="s">
        <v>35</v>
      </c>
      <c r="E2971" t="s">
        <v>36</v>
      </c>
      <c r="F2971" t="s">
        <v>37</v>
      </c>
      <c r="G2971">
        <v>762159</v>
      </c>
      <c r="H2971" t="s">
        <v>8982</v>
      </c>
      <c r="I2971" t="s">
        <v>8983</v>
      </c>
      <c r="J2971" t="s">
        <v>328</v>
      </c>
      <c r="O2971" t="s">
        <v>8984</v>
      </c>
      <c r="P2971">
        <v>114.9</v>
      </c>
      <c r="Q2971">
        <v>118</v>
      </c>
      <c r="R2971">
        <v>114.9</v>
      </c>
      <c r="S2971">
        <v>117.35</v>
      </c>
      <c r="T2971">
        <v>118</v>
      </c>
      <c r="U2971">
        <v>114.95</v>
      </c>
      <c r="W2971">
        <v>117.35</v>
      </c>
      <c r="Z2971">
        <v>46000</v>
      </c>
      <c r="AA2971">
        <v>5326800</v>
      </c>
      <c r="AB2971">
        <v>19</v>
      </c>
      <c r="AC2971" t="s">
        <v>42</v>
      </c>
      <c r="AD2971">
        <v>2000</v>
      </c>
    </row>
    <row r="2972" spans="1:30">
      <c r="A2972" t="str">
        <f>CONCATENATE(I2972,J2972)</f>
        <v>SHETHJISM</v>
      </c>
      <c r="B2972" s="34">
        <v>46273</v>
      </c>
      <c r="C2972" s="34">
        <v>46273</v>
      </c>
      <c r="D2972" t="s">
        <v>35</v>
      </c>
      <c r="E2972" t="s">
        <v>36</v>
      </c>
      <c r="F2972" t="s">
        <v>37</v>
      </c>
      <c r="G2972">
        <v>759802</v>
      </c>
      <c r="H2972" t="s">
        <v>8985</v>
      </c>
      <c r="I2972" t="s">
        <v>8986</v>
      </c>
      <c r="J2972" t="s">
        <v>267</v>
      </c>
      <c r="O2972" t="s">
        <v>8987</v>
      </c>
      <c r="P2972">
        <v>208.5</v>
      </c>
      <c r="Q2972">
        <v>216.95</v>
      </c>
      <c r="R2972">
        <v>208.5</v>
      </c>
      <c r="S2972">
        <v>213.3</v>
      </c>
      <c r="T2972">
        <v>213.5</v>
      </c>
      <c r="U2972">
        <v>205.1</v>
      </c>
      <c r="W2972">
        <v>213.3</v>
      </c>
      <c r="Z2972">
        <v>42000</v>
      </c>
      <c r="AA2972">
        <v>8952100</v>
      </c>
      <c r="AB2972">
        <v>39</v>
      </c>
      <c r="AC2972" t="s">
        <v>42</v>
      </c>
      <c r="AD2972">
        <v>1000</v>
      </c>
    </row>
    <row r="2973" spans="1:30">
      <c r="A2973" t="str">
        <f>CONCATENATE(I2973,J2973)</f>
        <v>SHREEJISPGEQ</v>
      </c>
      <c r="B2973" s="34">
        <v>46273</v>
      </c>
      <c r="C2973" s="34">
        <v>46273</v>
      </c>
      <c r="D2973" t="s">
        <v>35</v>
      </c>
      <c r="E2973" t="s">
        <v>36</v>
      </c>
      <c r="F2973" t="s">
        <v>37</v>
      </c>
      <c r="G2973">
        <v>759448</v>
      </c>
      <c r="H2973" t="s">
        <v>8988</v>
      </c>
      <c r="I2973" t="s">
        <v>8989</v>
      </c>
      <c r="J2973" t="s">
        <v>161</v>
      </c>
      <c r="O2973" t="s">
        <v>8990</v>
      </c>
      <c r="P2973">
        <v>702.8</v>
      </c>
      <c r="Q2973">
        <v>710.3</v>
      </c>
      <c r="R2973">
        <v>695</v>
      </c>
      <c r="S2973">
        <v>698.2</v>
      </c>
      <c r="T2973">
        <v>696.1</v>
      </c>
      <c r="U2973">
        <v>699.8</v>
      </c>
      <c r="W2973">
        <v>698.18</v>
      </c>
      <c r="Z2973">
        <v>621205</v>
      </c>
      <c r="AA2973">
        <v>436415089.35000002</v>
      </c>
      <c r="AB2973">
        <v>11541</v>
      </c>
      <c r="AC2973" t="s">
        <v>42</v>
      </c>
      <c r="AD2973">
        <v>1</v>
      </c>
    </row>
    <row r="2974" spans="1:30">
      <c r="A2974" t="str">
        <f>CONCATENATE(I2974,J2974)</f>
        <v>OSWALSEEDSEQ</v>
      </c>
      <c r="B2974" s="34">
        <v>46273</v>
      </c>
      <c r="C2974" s="34">
        <v>46273</v>
      </c>
      <c r="D2974" t="s">
        <v>35</v>
      </c>
      <c r="E2974" t="s">
        <v>36</v>
      </c>
      <c r="F2974" t="s">
        <v>37</v>
      </c>
      <c r="G2974">
        <v>14305</v>
      </c>
      <c r="H2974" t="s">
        <v>8991</v>
      </c>
      <c r="I2974" t="s">
        <v>8992</v>
      </c>
      <c r="J2974" t="s">
        <v>161</v>
      </c>
      <c r="O2974" t="s">
        <v>8993</v>
      </c>
      <c r="P2974">
        <v>12.25</v>
      </c>
      <c r="Q2974">
        <v>12.5</v>
      </c>
      <c r="R2974">
        <v>11.86</v>
      </c>
      <c r="S2974">
        <v>12.14</v>
      </c>
      <c r="T2974">
        <v>12.08</v>
      </c>
      <c r="U2974">
        <v>12.06</v>
      </c>
      <c r="W2974">
        <v>12.14</v>
      </c>
      <c r="Z2974">
        <v>40865</v>
      </c>
      <c r="AA2974">
        <v>496062.28</v>
      </c>
      <c r="AB2974">
        <v>195</v>
      </c>
      <c r="AC2974" t="s">
        <v>42</v>
      </c>
      <c r="AD2974">
        <v>1</v>
      </c>
    </row>
    <row r="2975" spans="1:30">
      <c r="A2975" t="str">
        <f>CONCATENATE(I2975,J2975)</f>
        <v>SHREMINVITIV</v>
      </c>
      <c r="B2975" s="34">
        <v>46273</v>
      </c>
      <c r="C2975" s="34">
        <v>46273</v>
      </c>
      <c r="D2975" t="s">
        <v>35</v>
      </c>
      <c r="E2975" t="s">
        <v>36</v>
      </c>
      <c r="F2975" t="s">
        <v>37</v>
      </c>
      <c r="G2975">
        <v>5718</v>
      </c>
      <c r="H2975" t="s">
        <v>8994</v>
      </c>
      <c r="I2975" t="s">
        <v>8995</v>
      </c>
      <c r="J2975" t="s">
        <v>759</v>
      </c>
      <c r="O2975" t="s">
        <v>8996</v>
      </c>
      <c r="P2975">
        <v>100.6</v>
      </c>
      <c r="Q2975">
        <v>100.6</v>
      </c>
      <c r="R2975">
        <v>100.5</v>
      </c>
      <c r="S2975">
        <v>100.5</v>
      </c>
      <c r="T2975">
        <v>100.5</v>
      </c>
      <c r="U2975">
        <v>100.5</v>
      </c>
      <c r="W2975">
        <v>100.5</v>
      </c>
      <c r="Z2975">
        <v>225000</v>
      </c>
      <c r="AA2975">
        <v>22623500</v>
      </c>
      <c r="AB2975">
        <v>3</v>
      </c>
      <c r="AC2975" t="s">
        <v>42</v>
      </c>
      <c r="AD2975">
        <v>25000</v>
      </c>
    </row>
    <row r="2976" spans="1:30">
      <c r="A2976" t="str">
        <f>CONCATENATE(I2976,J2976)</f>
        <v>SHRENIKBZ</v>
      </c>
      <c r="B2976" s="34">
        <v>46273</v>
      </c>
      <c r="C2976" s="34">
        <v>46273</v>
      </c>
      <c r="D2976" t="s">
        <v>35</v>
      </c>
      <c r="E2976" t="s">
        <v>36</v>
      </c>
      <c r="F2976" t="s">
        <v>37</v>
      </c>
      <c r="G2976">
        <v>760252</v>
      </c>
      <c r="H2976" t="s">
        <v>8997</v>
      </c>
      <c r="I2976" t="s">
        <v>8998</v>
      </c>
      <c r="J2976" t="s">
        <v>551</v>
      </c>
      <c r="O2976" t="s">
        <v>8999</v>
      </c>
      <c r="P2976">
        <v>0.28999999999999998</v>
      </c>
      <c r="Q2976">
        <v>0.3</v>
      </c>
      <c r="R2976">
        <v>0.28999999999999998</v>
      </c>
      <c r="S2976">
        <v>0.28999999999999998</v>
      </c>
      <c r="T2976">
        <v>0.28999999999999998</v>
      </c>
      <c r="U2976">
        <v>0.28999999999999998</v>
      </c>
      <c r="W2976">
        <v>0.28999999999999998</v>
      </c>
      <c r="Z2976">
        <v>161519</v>
      </c>
      <c r="AA2976">
        <v>47195.96</v>
      </c>
      <c r="AB2976">
        <v>124</v>
      </c>
      <c r="AC2976" t="s">
        <v>42</v>
      </c>
      <c r="AD2976">
        <v>1</v>
      </c>
    </row>
    <row r="2977" spans="1:30">
      <c r="A2977" t="str">
        <f>CONCATENATE(I2977,J2977)</f>
        <v>SHREYANINDEQ</v>
      </c>
      <c r="B2977" s="34">
        <v>46273</v>
      </c>
      <c r="C2977" s="34">
        <v>46273</v>
      </c>
      <c r="D2977" t="s">
        <v>35</v>
      </c>
      <c r="E2977" t="s">
        <v>36</v>
      </c>
      <c r="F2977" t="s">
        <v>37</v>
      </c>
      <c r="G2977">
        <v>3126</v>
      </c>
      <c r="H2977" t="s">
        <v>9000</v>
      </c>
      <c r="I2977" t="s">
        <v>9001</v>
      </c>
      <c r="J2977" t="s">
        <v>161</v>
      </c>
      <c r="O2977" t="s">
        <v>9002</v>
      </c>
      <c r="P2977">
        <v>132.21</v>
      </c>
      <c r="Q2977">
        <v>136.44999999999999</v>
      </c>
      <c r="R2977">
        <v>132.21</v>
      </c>
      <c r="S2977">
        <v>133</v>
      </c>
      <c r="T2977">
        <v>133</v>
      </c>
      <c r="U2977">
        <v>134.19999999999999</v>
      </c>
      <c r="W2977">
        <v>133</v>
      </c>
      <c r="Z2977">
        <v>8325</v>
      </c>
      <c r="AA2977">
        <v>1118413.44</v>
      </c>
      <c r="AB2977">
        <v>155</v>
      </c>
      <c r="AC2977" t="s">
        <v>42</v>
      </c>
      <c r="AD2977">
        <v>1</v>
      </c>
    </row>
    <row r="2978" spans="1:30">
      <c r="A2978" t="str">
        <f>CONCATENATE(I2978,J2978)</f>
        <v>SHRIAHIMSAST</v>
      </c>
      <c r="B2978" s="34">
        <v>46273</v>
      </c>
      <c r="C2978" s="34">
        <v>46273</v>
      </c>
      <c r="D2978" t="s">
        <v>35</v>
      </c>
      <c r="E2978" t="s">
        <v>36</v>
      </c>
      <c r="F2978" t="s">
        <v>37</v>
      </c>
      <c r="G2978">
        <v>756409</v>
      </c>
      <c r="H2978" t="s">
        <v>9003</v>
      </c>
      <c r="I2978" t="s">
        <v>9004</v>
      </c>
      <c r="J2978" t="s">
        <v>328</v>
      </c>
      <c r="O2978" t="s">
        <v>9005</v>
      </c>
      <c r="P2978">
        <v>474</v>
      </c>
      <c r="Q2978">
        <v>474</v>
      </c>
      <c r="R2978">
        <v>465</v>
      </c>
      <c r="S2978">
        <v>473.8</v>
      </c>
      <c r="T2978">
        <v>473.8</v>
      </c>
      <c r="U2978">
        <v>471.25</v>
      </c>
      <c r="W2978">
        <v>473.8</v>
      </c>
      <c r="Z2978">
        <v>5400</v>
      </c>
      <c r="AA2978">
        <v>2546880</v>
      </c>
      <c r="AB2978">
        <v>9</v>
      </c>
      <c r="AC2978" t="s">
        <v>42</v>
      </c>
      <c r="AD2978">
        <v>600</v>
      </c>
    </row>
    <row r="2979" spans="1:30">
      <c r="A2979" t="str">
        <f>CONCATENATE(I2979,J2979)</f>
        <v>SHBAJRGEQ</v>
      </c>
      <c r="B2979" s="34">
        <v>46273</v>
      </c>
      <c r="C2979" s="34">
        <v>46273</v>
      </c>
      <c r="D2979" t="s">
        <v>35</v>
      </c>
      <c r="E2979" t="s">
        <v>36</v>
      </c>
      <c r="F2979" t="s">
        <v>37</v>
      </c>
      <c r="G2979">
        <v>762899</v>
      </c>
      <c r="H2979" t="s">
        <v>9006</v>
      </c>
      <c r="I2979" t="s">
        <v>9007</v>
      </c>
      <c r="J2979" t="s">
        <v>161</v>
      </c>
      <c r="O2979" t="s">
        <v>9008</v>
      </c>
      <c r="P2979">
        <v>161.99</v>
      </c>
      <c r="Q2979">
        <v>163.66</v>
      </c>
      <c r="R2979">
        <v>155.11000000000001</v>
      </c>
      <c r="S2979">
        <v>155.88999999999999</v>
      </c>
      <c r="T2979">
        <v>156</v>
      </c>
      <c r="U2979">
        <v>161.97</v>
      </c>
      <c r="W2979">
        <v>155.87</v>
      </c>
      <c r="Z2979">
        <v>3110</v>
      </c>
      <c r="AA2979">
        <v>491643.94</v>
      </c>
      <c r="AB2979">
        <v>114</v>
      </c>
      <c r="AC2979" t="s">
        <v>42</v>
      </c>
      <c r="AD2979">
        <v>1</v>
      </c>
    </row>
    <row r="2980" spans="1:30">
      <c r="A2980" t="str">
        <f>CONCATENATE(I2980,J2980)</f>
        <v>SHKSILSM</v>
      </c>
      <c r="B2980" s="34">
        <v>46273</v>
      </c>
      <c r="C2980" s="34">
        <v>46273</v>
      </c>
      <c r="D2980" t="s">
        <v>35</v>
      </c>
      <c r="E2980" t="s">
        <v>36</v>
      </c>
      <c r="F2980" t="s">
        <v>37</v>
      </c>
      <c r="G2980">
        <v>758568</v>
      </c>
      <c r="H2980" t="s">
        <v>9009</v>
      </c>
      <c r="I2980" t="s">
        <v>9010</v>
      </c>
      <c r="J2980" t="s">
        <v>267</v>
      </c>
      <c r="O2980" t="s">
        <v>9011</v>
      </c>
      <c r="P2980">
        <v>34</v>
      </c>
      <c r="Q2980">
        <v>34</v>
      </c>
      <c r="R2980">
        <v>31.1</v>
      </c>
      <c r="S2980">
        <v>31.1</v>
      </c>
      <c r="T2980">
        <v>31.1</v>
      </c>
      <c r="U2980">
        <v>35</v>
      </c>
      <c r="W2980">
        <v>31.1</v>
      </c>
      <c r="Z2980">
        <v>20000</v>
      </c>
      <c r="AA2980">
        <v>659500</v>
      </c>
      <c r="AB2980">
        <v>7</v>
      </c>
      <c r="AC2980" t="s">
        <v>42</v>
      </c>
      <c r="AD2980">
        <v>2000</v>
      </c>
    </row>
    <row r="2981" spans="1:30">
      <c r="A2981" t="str">
        <f>CONCATENATE(I2981,J2981)</f>
        <v>SHRJAGPEQ</v>
      </c>
      <c r="B2981" s="34">
        <v>46273</v>
      </c>
      <c r="C2981" s="34">
        <v>46273</v>
      </c>
      <c r="D2981" t="s">
        <v>35</v>
      </c>
      <c r="E2981" t="s">
        <v>36</v>
      </c>
      <c r="F2981" t="s">
        <v>37</v>
      </c>
      <c r="G2981">
        <v>764910</v>
      </c>
      <c r="H2981" t="s">
        <v>9012</v>
      </c>
      <c r="I2981" t="s">
        <v>9013</v>
      </c>
      <c r="J2981" t="s">
        <v>161</v>
      </c>
      <c r="O2981" t="s">
        <v>9014</v>
      </c>
      <c r="P2981">
        <v>650</v>
      </c>
      <c r="Q2981">
        <v>680</v>
      </c>
      <c r="R2981">
        <v>630</v>
      </c>
      <c r="S2981">
        <v>638.1</v>
      </c>
      <c r="T2981">
        <v>637</v>
      </c>
      <c r="U2981">
        <v>644.1</v>
      </c>
      <c r="W2981">
        <v>638.1</v>
      </c>
      <c r="Z2981">
        <v>616</v>
      </c>
      <c r="AA2981">
        <v>400766.35</v>
      </c>
      <c r="AB2981">
        <v>69</v>
      </c>
      <c r="AC2981" t="s">
        <v>42</v>
      </c>
      <c r="AD2981">
        <v>1</v>
      </c>
    </row>
    <row r="2982" spans="1:30">
      <c r="A2982" t="str">
        <f>CONCATENATE(I2982,J2982)</f>
        <v>SHRIKANHASM</v>
      </c>
      <c r="B2982" s="34">
        <v>46273</v>
      </c>
      <c r="C2982" s="34">
        <v>46273</v>
      </c>
      <c r="D2982" t="s">
        <v>35</v>
      </c>
      <c r="E2982" t="s">
        <v>36</v>
      </c>
      <c r="F2982" t="s">
        <v>37</v>
      </c>
      <c r="G2982">
        <v>760202</v>
      </c>
      <c r="H2982" t="s">
        <v>9015</v>
      </c>
      <c r="I2982" t="s">
        <v>9016</v>
      </c>
      <c r="J2982" t="s">
        <v>267</v>
      </c>
      <c r="O2982" t="s">
        <v>9017</v>
      </c>
      <c r="P2982">
        <v>22.85</v>
      </c>
      <c r="Q2982">
        <v>22.9</v>
      </c>
      <c r="R2982">
        <v>22.75</v>
      </c>
      <c r="S2982">
        <v>22.9</v>
      </c>
      <c r="T2982">
        <v>22.9</v>
      </c>
      <c r="U2982">
        <v>21.85</v>
      </c>
      <c r="W2982">
        <v>22.9</v>
      </c>
      <c r="Z2982">
        <v>27200</v>
      </c>
      <c r="AA2982">
        <v>622560</v>
      </c>
      <c r="AB2982">
        <v>13</v>
      </c>
      <c r="AC2982" t="s">
        <v>42</v>
      </c>
      <c r="AD2982">
        <v>1600</v>
      </c>
    </row>
    <row r="2983" spans="1:30">
      <c r="A2983" t="str">
        <f>CONCATENATE(I2983,J2983)</f>
        <v>SHRIKRISHEQ</v>
      </c>
      <c r="B2983" s="34">
        <v>46273</v>
      </c>
      <c r="C2983" s="34">
        <v>46273</v>
      </c>
      <c r="D2983" t="s">
        <v>35</v>
      </c>
      <c r="E2983" t="s">
        <v>36</v>
      </c>
      <c r="F2983" t="s">
        <v>37</v>
      </c>
      <c r="G2983">
        <v>762909</v>
      </c>
      <c r="H2983" t="s">
        <v>9018</v>
      </c>
      <c r="I2983" t="s">
        <v>9019</v>
      </c>
      <c r="J2983" t="s">
        <v>161</v>
      </c>
      <c r="O2983" t="s">
        <v>9020</v>
      </c>
      <c r="P2983">
        <v>39.6</v>
      </c>
      <c r="Q2983">
        <v>39.950000000000003</v>
      </c>
      <c r="R2983">
        <v>36</v>
      </c>
      <c r="S2983">
        <v>37.15</v>
      </c>
      <c r="T2983">
        <v>37.47</v>
      </c>
      <c r="U2983">
        <v>39.22</v>
      </c>
      <c r="W2983">
        <v>37.32</v>
      </c>
      <c r="Z2983">
        <v>2279</v>
      </c>
      <c r="AA2983">
        <v>84406.53</v>
      </c>
      <c r="AB2983">
        <v>44</v>
      </c>
      <c r="AC2983" t="s">
        <v>42</v>
      </c>
      <c r="AD2983">
        <v>1</v>
      </c>
    </row>
    <row r="2984" spans="1:30">
      <c r="A2984" t="str">
        <f>CONCATENATE(I2984,J2984)</f>
        <v>VASUPRADAEQ</v>
      </c>
      <c r="B2984" s="34">
        <v>46273</v>
      </c>
      <c r="C2984" s="34">
        <v>46273</v>
      </c>
      <c r="D2984" t="s">
        <v>35</v>
      </c>
      <c r="E2984" t="s">
        <v>36</v>
      </c>
      <c r="F2984" t="s">
        <v>37</v>
      </c>
      <c r="G2984">
        <v>765210</v>
      </c>
      <c r="H2984" t="s">
        <v>9021</v>
      </c>
      <c r="I2984" t="s">
        <v>9022</v>
      </c>
      <c r="J2984" t="s">
        <v>161</v>
      </c>
      <c r="O2984" t="s">
        <v>9023</v>
      </c>
      <c r="P2984">
        <v>103</v>
      </c>
      <c r="Q2984">
        <v>103</v>
      </c>
      <c r="R2984">
        <v>103</v>
      </c>
      <c r="S2984">
        <v>103</v>
      </c>
      <c r="T2984">
        <v>103</v>
      </c>
      <c r="U2984">
        <v>108</v>
      </c>
      <c r="W2984">
        <v>103</v>
      </c>
      <c r="Z2984">
        <v>25</v>
      </c>
      <c r="AA2984">
        <v>2575</v>
      </c>
      <c r="AB2984">
        <v>2</v>
      </c>
      <c r="AC2984" t="s">
        <v>42</v>
      </c>
      <c r="AD2984">
        <v>1</v>
      </c>
    </row>
    <row r="2985" spans="1:30">
      <c r="A2985" t="str">
        <f>CONCATENATE(I2985,J2985)</f>
        <v>SHRINGARMSEQ</v>
      </c>
      <c r="B2985" s="34">
        <v>46273</v>
      </c>
      <c r="C2985" s="34">
        <v>46273</v>
      </c>
      <c r="D2985" t="s">
        <v>35</v>
      </c>
      <c r="E2985" t="s">
        <v>36</v>
      </c>
      <c r="F2985" t="s">
        <v>37</v>
      </c>
      <c r="G2985">
        <v>759093</v>
      </c>
      <c r="H2985" t="s">
        <v>9024</v>
      </c>
      <c r="I2985" t="s">
        <v>9025</v>
      </c>
      <c r="J2985" t="s">
        <v>161</v>
      </c>
      <c r="O2985" t="s">
        <v>9026</v>
      </c>
      <c r="P2985">
        <v>218.8</v>
      </c>
      <c r="Q2985">
        <v>219.8</v>
      </c>
      <c r="R2985">
        <v>216.5</v>
      </c>
      <c r="S2985">
        <v>217.44</v>
      </c>
      <c r="T2985">
        <v>216.5</v>
      </c>
      <c r="U2985">
        <v>218.59</v>
      </c>
      <c r="W2985">
        <v>217.44</v>
      </c>
      <c r="Z2985">
        <v>289705</v>
      </c>
      <c r="AA2985">
        <v>63119845.719999999</v>
      </c>
      <c r="AB2985">
        <v>1815</v>
      </c>
      <c r="AC2985" t="s">
        <v>42</v>
      </c>
      <c r="AD2985">
        <v>1</v>
      </c>
    </row>
    <row r="2986" spans="1:30">
      <c r="A2986" t="str">
        <f>CONCATENATE(I2986,J2986)</f>
        <v>LIQUIDSHRIEQ</v>
      </c>
      <c r="B2986" s="34">
        <v>46273</v>
      </c>
      <c r="C2986" s="34">
        <v>46273</v>
      </c>
      <c r="D2986" t="s">
        <v>35</v>
      </c>
      <c r="E2986" t="s">
        <v>36</v>
      </c>
      <c r="F2986" t="s">
        <v>37</v>
      </c>
      <c r="G2986">
        <v>24374</v>
      </c>
      <c r="H2986" t="s">
        <v>9027</v>
      </c>
      <c r="I2986" t="s">
        <v>9028</v>
      </c>
      <c r="J2986" t="s">
        <v>161</v>
      </c>
      <c r="O2986" t="s">
        <v>9029</v>
      </c>
      <c r="P2986">
        <v>1120.56</v>
      </c>
      <c r="Q2986">
        <v>1120.56</v>
      </c>
      <c r="R2986">
        <v>1120.54</v>
      </c>
      <c r="S2986">
        <v>1120.55</v>
      </c>
      <c r="T2986">
        <v>1120.54</v>
      </c>
      <c r="U2986">
        <v>1120.4000000000001</v>
      </c>
      <c r="W2986">
        <v>1120.55</v>
      </c>
      <c r="Z2986">
        <v>21607</v>
      </c>
      <c r="AA2986">
        <v>24211911.100000001</v>
      </c>
      <c r="AB2986">
        <v>28</v>
      </c>
      <c r="AC2986" t="s">
        <v>42</v>
      </c>
      <c r="AD2986">
        <v>1</v>
      </c>
    </row>
    <row r="2987" spans="1:30">
      <c r="A2987" t="str">
        <f>CONCATENATE(I2987,J2987)</f>
        <v>SHRIRAMFINEQ</v>
      </c>
      <c r="B2987" s="34">
        <v>46273</v>
      </c>
      <c r="C2987" s="34">
        <v>46273</v>
      </c>
      <c r="D2987" t="s">
        <v>35</v>
      </c>
      <c r="E2987" t="s">
        <v>36</v>
      </c>
      <c r="F2987" t="s">
        <v>37</v>
      </c>
      <c r="G2987">
        <v>4306</v>
      </c>
      <c r="H2987" t="s">
        <v>9030</v>
      </c>
      <c r="I2987" t="s">
        <v>9031</v>
      </c>
      <c r="J2987" t="s">
        <v>161</v>
      </c>
      <c r="O2987" t="s">
        <v>9032</v>
      </c>
      <c r="P2987">
        <v>1030</v>
      </c>
      <c r="Q2987">
        <v>1031.9000000000001</v>
      </c>
      <c r="R2987">
        <v>1017.2</v>
      </c>
      <c r="S2987">
        <v>1029</v>
      </c>
      <c r="T2987">
        <v>1029</v>
      </c>
      <c r="U2987">
        <v>1037</v>
      </c>
      <c r="W2987">
        <v>1029</v>
      </c>
      <c r="Z2987">
        <v>2574351</v>
      </c>
      <c r="AA2987">
        <v>2641782510.0999999</v>
      </c>
      <c r="AB2987">
        <v>69965</v>
      </c>
      <c r="AC2987" t="s">
        <v>42</v>
      </c>
      <c r="AD2987">
        <v>1</v>
      </c>
    </row>
    <row r="2988" spans="1:30">
      <c r="A2988" t="str">
        <f>CONCATENATE(I2988,J2988)</f>
        <v>SHRIRAMPPSEQ</v>
      </c>
      <c r="B2988" s="34">
        <v>46273</v>
      </c>
      <c r="C2988" s="34">
        <v>46273</v>
      </c>
      <c r="D2988" t="s">
        <v>35</v>
      </c>
      <c r="E2988" t="s">
        <v>36</v>
      </c>
      <c r="F2988" t="s">
        <v>37</v>
      </c>
      <c r="G2988">
        <v>7200</v>
      </c>
      <c r="H2988" t="s">
        <v>9033</v>
      </c>
      <c r="I2988" t="s">
        <v>9034</v>
      </c>
      <c r="J2988" t="s">
        <v>161</v>
      </c>
      <c r="O2988" t="s">
        <v>9035</v>
      </c>
      <c r="P2988">
        <v>75.5</v>
      </c>
      <c r="Q2988">
        <v>75.75</v>
      </c>
      <c r="R2988">
        <v>74.260000000000005</v>
      </c>
      <c r="S2988">
        <v>74.63</v>
      </c>
      <c r="T2988">
        <v>74.599999999999994</v>
      </c>
      <c r="U2988">
        <v>75.5</v>
      </c>
      <c r="W2988">
        <v>74.63</v>
      </c>
      <c r="Z2988">
        <v>244665</v>
      </c>
      <c r="AA2988">
        <v>18282855.25</v>
      </c>
      <c r="AB2988">
        <v>2296</v>
      </c>
      <c r="AC2988" t="s">
        <v>42</v>
      </c>
      <c r="AD2988">
        <v>1</v>
      </c>
    </row>
    <row r="2989" spans="1:30">
      <c r="A2989" t="str">
        <f>CONCATENATE(I2989,J2989)</f>
        <v>SHUBHLAXMISM</v>
      </c>
      <c r="B2989" s="34">
        <v>46273</v>
      </c>
      <c r="C2989" s="34">
        <v>46273</v>
      </c>
      <c r="D2989" t="s">
        <v>35</v>
      </c>
      <c r="E2989" t="s">
        <v>36</v>
      </c>
      <c r="F2989" t="s">
        <v>37</v>
      </c>
      <c r="G2989">
        <v>6451</v>
      </c>
      <c r="H2989" t="s">
        <v>9036</v>
      </c>
      <c r="I2989" t="s">
        <v>9037</v>
      </c>
      <c r="J2989" t="s">
        <v>267</v>
      </c>
      <c r="O2989" t="s">
        <v>9038</v>
      </c>
      <c r="P2989">
        <v>17.600000000000001</v>
      </c>
      <c r="Q2989">
        <v>18</v>
      </c>
      <c r="R2989">
        <v>17.600000000000001</v>
      </c>
      <c r="S2989">
        <v>18</v>
      </c>
      <c r="T2989">
        <v>18</v>
      </c>
      <c r="U2989">
        <v>18.5</v>
      </c>
      <c r="W2989">
        <v>18</v>
      </c>
      <c r="Z2989">
        <v>7000</v>
      </c>
      <c r="AA2989">
        <v>124400</v>
      </c>
      <c r="AB2989">
        <v>7</v>
      </c>
      <c r="AC2989" t="s">
        <v>42</v>
      </c>
      <c r="AD2989">
        <v>1000</v>
      </c>
    </row>
    <row r="2990" spans="1:30">
      <c r="A2990" t="str">
        <f>CONCATENATE(I2990,J2990)</f>
        <v>SHUBHSHREESM</v>
      </c>
      <c r="B2990" s="34">
        <v>46273</v>
      </c>
      <c r="C2990" s="34">
        <v>46273</v>
      </c>
      <c r="D2990" t="s">
        <v>35</v>
      </c>
      <c r="E2990" t="s">
        <v>36</v>
      </c>
      <c r="F2990" t="s">
        <v>37</v>
      </c>
      <c r="G2990">
        <v>25240</v>
      </c>
      <c r="H2990" t="s">
        <v>9039</v>
      </c>
      <c r="I2990" t="s">
        <v>9040</v>
      </c>
      <c r="J2990" t="s">
        <v>267</v>
      </c>
      <c r="O2990" t="s">
        <v>9041</v>
      </c>
      <c r="P2990">
        <v>345</v>
      </c>
      <c r="Q2990">
        <v>345</v>
      </c>
      <c r="R2990">
        <v>345</v>
      </c>
      <c r="S2990">
        <v>345</v>
      </c>
      <c r="T2990">
        <v>345</v>
      </c>
      <c r="U2990">
        <v>355</v>
      </c>
      <c r="W2990">
        <v>345</v>
      </c>
      <c r="Z2990">
        <v>1800</v>
      </c>
      <c r="AA2990">
        <v>621000</v>
      </c>
      <c r="AB2990">
        <v>3</v>
      </c>
      <c r="AC2990" t="s">
        <v>42</v>
      </c>
      <c r="AD2990">
        <v>300</v>
      </c>
    </row>
    <row r="2991" spans="1:30">
      <c r="A2991" t="str">
        <f>CONCATENATE(I2991,J2991)</f>
        <v>SHUKRAPHAREQ</v>
      </c>
      <c r="B2991" s="34">
        <v>46273</v>
      </c>
      <c r="C2991" s="34">
        <v>46273</v>
      </c>
      <c r="D2991" t="s">
        <v>35</v>
      </c>
      <c r="E2991" t="s">
        <v>36</v>
      </c>
      <c r="F2991" t="s">
        <v>37</v>
      </c>
      <c r="G2991">
        <v>764537</v>
      </c>
      <c r="H2991" t="s">
        <v>9042</v>
      </c>
      <c r="I2991" t="s">
        <v>9043</v>
      </c>
      <c r="J2991" t="s">
        <v>161</v>
      </c>
      <c r="O2991" t="s">
        <v>9044</v>
      </c>
      <c r="P2991">
        <v>53.37</v>
      </c>
      <c r="Q2991">
        <v>56</v>
      </c>
      <c r="R2991">
        <v>52.21</v>
      </c>
      <c r="S2991">
        <v>54.11</v>
      </c>
      <c r="T2991">
        <v>54.15</v>
      </c>
      <c r="U2991">
        <v>53.07</v>
      </c>
      <c r="W2991">
        <v>54.11</v>
      </c>
      <c r="Z2991">
        <v>6791172</v>
      </c>
      <c r="AA2991">
        <v>369610205.11000001</v>
      </c>
      <c r="AB2991">
        <v>25505</v>
      </c>
      <c r="AC2991" t="s">
        <v>42</v>
      </c>
      <c r="AD2991">
        <v>1</v>
      </c>
    </row>
    <row r="2992" spans="1:30">
      <c r="A2992" t="str">
        <f>CONCATENATE(I2992,J2992)</f>
        <v>SHYAMCENTBE</v>
      </c>
      <c r="B2992" s="34">
        <v>46273</v>
      </c>
      <c r="C2992" s="34">
        <v>46273</v>
      </c>
      <c r="D2992" t="s">
        <v>35</v>
      </c>
      <c r="E2992" t="s">
        <v>36</v>
      </c>
      <c r="F2992" t="s">
        <v>37</v>
      </c>
      <c r="G2992">
        <v>10192</v>
      </c>
      <c r="H2992" t="s">
        <v>9045</v>
      </c>
      <c r="I2992" t="s">
        <v>9046</v>
      </c>
      <c r="J2992" t="s">
        <v>183</v>
      </c>
      <c r="O2992" t="s">
        <v>9047</v>
      </c>
      <c r="P2992">
        <v>4.78</v>
      </c>
      <c r="Q2992">
        <v>5.03</v>
      </c>
      <c r="R2992">
        <v>4.78</v>
      </c>
      <c r="S2992">
        <v>4.9400000000000004</v>
      </c>
      <c r="T2992">
        <v>4.9800000000000004</v>
      </c>
      <c r="U2992">
        <v>4.97</v>
      </c>
      <c r="W2992">
        <v>4.93</v>
      </c>
      <c r="Z2992">
        <v>19189</v>
      </c>
      <c r="AA2992">
        <v>94308.67</v>
      </c>
      <c r="AB2992">
        <v>106</v>
      </c>
      <c r="AC2992" t="s">
        <v>42</v>
      </c>
      <c r="AD2992">
        <v>1</v>
      </c>
    </row>
    <row r="2993" spans="1:30">
      <c r="A2993" t="str">
        <f>CONCATENATE(I2993,J2993)</f>
        <v>SHYAMDHANIST</v>
      </c>
      <c r="B2993" s="34">
        <v>46273</v>
      </c>
      <c r="C2993" s="34">
        <v>46273</v>
      </c>
      <c r="D2993" t="s">
        <v>35</v>
      </c>
      <c r="E2993" t="s">
        <v>36</v>
      </c>
      <c r="F2993" t="s">
        <v>37</v>
      </c>
      <c r="G2993">
        <v>761213</v>
      </c>
      <c r="H2993" t="s">
        <v>9048</v>
      </c>
      <c r="I2993" t="s">
        <v>9049</v>
      </c>
      <c r="J2993" t="s">
        <v>328</v>
      </c>
      <c r="O2993" t="s">
        <v>9050</v>
      </c>
      <c r="P2993">
        <v>52.15</v>
      </c>
      <c r="Q2993">
        <v>53.7</v>
      </c>
      <c r="R2993">
        <v>52.15</v>
      </c>
      <c r="S2993">
        <v>53.7</v>
      </c>
      <c r="T2993">
        <v>53.7</v>
      </c>
      <c r="U2993">
        <v>51.6</v>
      </c>
      <c r="W2993">
        <v>53.7</v>
      </c>
      <c r="Z2993">
        <v>10000</v>
      </c>
      <c r="AA2993">
        <v>530400</v>
      </c>
      <c r="AB2993">
        <v>5</v>
      </c>
      <c r="AC2993" t="s">
        <v>42</v>
      </c>
      <c r="AD2993">
        <v>2000</v>
      </c>
    </row>
    <row r="2994" spans="1:30">
      <c r="A2994" t="str">
        <f>CONCATENATE(I2994,J2994)</f>
        <v>SHYAMMETLEQ</v>
      </c>
      <c r="B2994" s="34">
        <v>46273</v>
      </c>
      <c r="C2994" s="34">
        <v>46273</v>
      </c>
      <c r="D2994" t="s">
        <v>35</v>
      </c>
      <c r="E2994" t="s">
        <v>36</v>
      </c>
      <c r="F2994" t="s">
        <v>37</v>
      </c>
      <c r="G2994">
        <v>4693</v>
      </c>
      <c r="H2994" t="s">
        <v>9051</v>
      </c>
      <c r="I2994" t="s">
        <v>9052</v>
      </c>
      <c r="J2994" t="s">
        <v>161</v>
      </c>
      <c r="O2994" t="s">
        <v>9053</v>
      </c>
      <c r="P2994">
        <v>1082.5</v>
      </c>
      <c r="Q2994">
        <v>1099</v>
      </c>
      <c r="R2994">
        <v>1076.7</v>
      </c>
      <c r="S2994">
        <v>1081.9000000000001</v>
      </c>
      <c r="T2994">
        <v>1085.9000000000001</v>
      </c>
      <c r="U2994">
        <v>1082.3</v>
      </c>
      <c r="W2994">
        <v>1081.8900000000001</v>
      </c>
      <c r="Z2994">
        <v>228641</v>
      </c>
      <c r="AA2994">
        <v>249496972.19999999</v>
      </c>
      <c r="AB2994">
        <v>15943</v>
      </c>
      <c r="AC2994" t="s">
        <v>42</v>
      </c>
      <c r="AD2994">
        <v>1</v>
      </c>
    </row>
    <row r="2995" spans="1:30">
      <c r="A2995" t="str">
        <f>CONCATENATE(I2995,J2995)</f>
        <v>SHYAMTELEQ</v>
      </c>
      <c r="B2995" s="34">
        <v>46273</v>
      </c>
      <c r="C2995" s="34">
        <v>46273</v>
      </c>
      <c r="D2995" t="s">
        <v>35</v>
      </c>
      <c r="E2995" t="s">
        <v>36</v>
      </c>
      <c r="F2995" t="s">
        <v>37</v>
      </c>
      <c r="G2995">
        <v>13740</v>
      </c>
      <c r="H2995" t="s">
        <v>9054</v>
      </c>
      <c r="I2995" t="s">
        <v>9055</v>
      </c>
      <c r="J2995" t="s">
        <v>161</v>
      </c>
      <c r="O2995" t="s">
        <v>9056</v>
      </c>
      <c r="P2995">
        <v>11.43</v>
      </c>
      <c r="Q2995">
        <v>11.68</v>
      </c>
      <c r="R2995">
        <v>11.01</v>
      </c>
      <c r="S2995">
        <v>11.47</v>
      </c>
      <c r="T2995">
        <v>11.47</v>
      </c>
      <c r="U2995">
        <v>11</v>
      </c>
      <c r="W2995">
        <v>11.47</v>
      </c>
      <c r="Z2995">
        <v>6998</v>
      </c>
      <c r="AA2995">
        <v>79496.86</v>
      </c>
      <c r="AB2995">
        <v>147</v>
      </c>
      <c r="AC2995" t="s">
        <v>42</v>
      </c>
      <c r="AD2995">
        <v>1</v>
      </c>
    </row>
    <row r="2996" spans="1:30">
      <c r="A2996" t="str">
        <f>CONCATENATE(I2996,J2996)</f>
        <v>SICAGENEQ</v>
      </c>
      <c r="B2996" s="34">
        <v>46273</v>
      </c>
      <c r="C2996" s="34">
        <v>46273</v>
      </c>
      <c r="D2996" t="s">
        <v>35</v>
      </c>
      <c r="E2996" t="s">
        <v>36</v>
      </c>
      <c r="F2996" t="s">
        <v>37</v>
      </c>
      <c r="G2996">
        <v>16875</v>
      </c>
      <c r="H2996" t="s">
        <v>9057</v>
      </c>
      <c r="I2996" t="s">
        <v>9058</v>
      </c>
      <c r="J2996" t="s">
        <v>161</v>
      </c>
      <c r="O2996" t="s">
        <v>9059</v>
      </c>
      <c r="P2996">
        <v>59.45</v>
      </c>
      <c r="Q2996">
        <v>59.9</v>
      </c>
      <c r="R2996">
        <v>57.11</v>
      </c>
      <c r="S2996">
        <v>57.84</v>
      </c>
      <c r="T2996">
        <v>57.15</v>
      </c>
      <c r="U2996">
        <v>58.53</v>
      </c>
      <c r="W2996">
        <v>57.79</v>
      </c>
      <c r="Z2996">
        <v>16231</v>
      </c>
      <c r="AA2996">
        <v>946031.5</v>
      </c>
      <c r="AB2996">
        <v>246</v>
      </c>
      <c r="AC2996" t="s">
        <v>42</v>
      </c>
      <c r="AD2996">
        <v>1</v>
      </c>
    </row>
    <row r="2997" spans="1:30">
      <c r="A2997" t="str">
        <f>CONCATENATE(I2997,J2997)</f>
        <v>SICALLOGBE</v>
      </c>
      <c r="B2997" s="34">
        <v>46273</v>
      </c>
      <c r="C2997" s="34">
        <v>46273</v>
      </c>
      <c r="D2997" t="s">
        <v>35</v>
      </c>
      <c r="E2997" t="s">
        <v>36</v>
      </c>
      <c r="F2997" t="s">
        <v>37</v>
      </c>
      <c r="G2997">
        <v>19440</v>
      </c>
      <c r="H2997" t="s">
        <v>9060</v>
      </c>
      <c r="I2997" t="s">
        <v>9061</v>
      </c>
      <c r="J2997" t="s">
        <v>183</v>
      </c>
      <c r="O2997" t="s">
        <v>9062</v>
      </c>
      <c r="P2997">
        <v>102</v>
      </c>
      <c r="Q2997">
        <v>103.8</v>
      </c>
      <c r="R2997">
        <v>99.25</v>
      </c>
      <c r="S2997">
        <v>101.85</v>
      </c>
      <c r="T2997">
        <v>101.99</v>
      </c>
      <c r="U2997">
        <v>102.98</v>
      </c>
      <c r="W2997">
        <v>102.05</v>
      </c>
      <c r="Z2997">
        <v>18022</v>
      </c>
      <c r="AA2997">
        <v>1822950.57</v>
      </c>
      <c r="AB2997">
        <v>167</v>
      </c>
      <c r="AC2997" t="s">
        <v>42</v>
      </c>
      <c r="AD2997">
        <v>1</v>
      </c>
    </row>
    <row r="2998" spans="1:30">
      <c r="A2998" t="str">
        <f>CONCATENATE(I2998,J2998)</f>
        <v>SIDDHICOTSSM</v>
      </c>
      <c r="B2998" s="34">
        <v>46273</v>
      </c>
      <c r="C2998" s="34">
        <v>46273</v>
      </c>
      <c r="D2998" t="s">
        <v>35</v>
      </c>
      <c r="E2998" t="s">
        <v>36</v>
      </c>
      <c r="F2998" t="s">
        <v>37</v>
      </c>
      <c r="G2998">
        <v>759053</v>
      </c>
      <c r="H2998" t="s">
        <v>9063</v>
      </c>
      <c r="I2998" t="s">
        <v>9064</v>
      </c>
      <c r="J2998" t="s">
        <v>267</v>
      </c>
      <c r="O2998" t="s">
        <v>9065</v>
      </c>
      <c r="P2998">
        <v>26.2</v>
      </c>
      <c r="Q2998">
        <v>27</v>
      </c>
      <c r="R2998">
        <v>26.15</v>
      </c>
      <c r="S2998">
        <v>26.5</v>
      </c>
      <c r="T2998">
        <v>26.5</v>
      </c>
      <c r="U2998">
        <v>27.05</v>
      </c>
      <c r="W2998">
        <v>26.5</v>
      </c>
      <c r="Z2998">
        <v>8400</v>
      </c>
      <c r="AA2998">
        <v>222960</v>
      </c>
      <c r="AB2998">
        <v>7</v>
      </c>
      <c r="AC2998" t="s">
        <v>42</v>
      </c>
      <c r="AD2998">
        <v>1200</v>
      </c>
    </row>
    <row r="2999" spans="1:30">
      <c r="A2999" t="str">
        <f>CONCATENATE(I2999,J2999)</f>
        <v>SIDDHIKASM</v>
      </c>
      <c r="B2999" s="34">
        <v>46273</v>
      </c>
      <c r="C2999" s="34">
        <v>46273</v>
      </c>
      <c r="D2999" t="s">
        <v>35</v>
      </c>
      <c r="E2999" t="s">
        <v>36</v>
      </c>
      <c r="F2999" t="s">
        <v>37</v>
      </c>
      <c r="G2999">
        <v>3148</v>
      </c>
      <c r="H2999" t="s">
        <v>9066</v>
      </c>
      <c r="I2999" t="s">
        <v>9067</v>
      </c>
      <c r="J2999" t="s">
        <v>267</v>
      </c>
      <c r="O2999" t="s">
        <v>9068</v>
      </c>
      <c r="P2999">
        <v>229.95</v>
      </c>
      <c r="Q2999">
        <v>229.95</v>
      </c>
      <c r="R2999">
        <v>229.95</v>
      </c>
      <c r="S2999">
        <v>229.95</v>
      </c>
      <c r="T2999">
        <v>229.95</v>
      </c>
      <c r="U2999">
        <v>230</v>
      </c>
      <c r="W2999">
        <v>229.95</v>
      </c>
      <c r="Z2999">
        <v>500</v>
      </c>
      <c r="AA2999">
        <v>114975</v>
      </c>
      <c r="AB2999">
        <v>1</v>
      </c>
      <c r="AC2999" t="s">
        <v>42</v>
      </c>
      <c r="AD2999">
        <v>500</v>
      </c>
    </row>
    <row r="3000" spans="1:30">
      <c r="A3000" t="str">
        <f>CONCATENATE(I3000,J3000)</f>
        <v>ENRINEQ</v>
      </c>
      <c r="B3000" s="34">
        <v>46273</v>
      </c>
      <c r="C3000" s="34">
        <v>46273</v>
      </c>
      <c r="D3000" t="s">
        <v>35</v>
      </c>
      <c r="E3000" t="s">
        <v>36</v>
      </c>
      <c r="F3000" t="s">
        <v>37</v>
      </c>
      <c r="G3000">
        <v>756871</v>
      </c>
      <c r="H3000" t="s">
        <v>9069</v>
      </c>
      <c r="I3000" t="s">
        <v>9070</v>
      </c>
      <c r="J3000" t="s">
        <v>161</v>
      </c>
      <c r="O3000" t="s">
        <v>9071</v>
      </c>
      <c r="P3000">
        <v>3109</v>
      </c>
      <c r="Q3000">
        <v>3249.8</v>
      </c>
      <c r="R3000">
        <v>3086</v>
      </c>
      <c r="S3000">
        <v>3200.1</v>
      </c>
      <c r="T3000">
        <v>3200</v>
      </c>
      <c r="U3000">
        <v>3121.9</v>
      </c>
      <c r="W3000">
        <v>3200.13</v>
      </c>
      <c r="Z3000">
        <v>824146</v>
      </c>
      <c r="AA3000">
        <v>2626905504.8000002</v>
      </c>
      <c r="AB3000">
        <v>46067</v>
      </c>
      <c r="AC3000" t="s">
        <v>42</v>
      </c>
      <c r="AD3000">
        <v>1</v>
      </c>
    </row>
    <row r="3001" spans="1:30">
      <c r="A3001" t="str">
        <f>CONCATENATE(I3001,J3001)</f>
        <v>SIEMENSEQ</v>
      </c>
      <c r="B3001" s="34">
        <v>46273</v>
      </c>
      <c r="C3001" s="34">
        <v>46273</v>
      </c>
      <c r="D3001" t="s">
        <v>35</v>
      </c>
      <c r="E3001" t="s">
        <v>36</v>
      </c>
      <c r="F3001" t="s">
        <v>37</v>
      </c>
      <c r="G3001">
        <v>3150</v>
      </c>
      <c r="H3001" t="s">
        <v>9072</v>
      </c>
      <c r="I3001" t="s">
        <v>9073</v>
      </c>
      <c r="J3001" t="s">
        <v>161</v>
      </c>
      <c r="O3001" t="s">
        <v>9074</v>
      </c>
      <c r="P3001">
        <v>3911</v>
      </c>
      <c r="Q3001">
        <v>3998.8</v>
      </c>
      <c r="R3001">
        <v>3911</v>
      </c>
      <c r="S3001">
        <v>3951.3</v>
      </c>
      <c r="T3001">
        <v>3951.3</v>
      </c>
      <c r="U3001">
        <v>3927</v>
      </c>
      <c r="W3001">
        <v>3951.29</v>
      </c>
      <c r="Z3001">
        <v>349820</v>
      </c>
      <c r="AA3001">
        <v>1388808641.4000001</v>
      </c>
      <c r="AB3001">
        <v>19793</v>
      </c>
      <c r="AC3001" t="s">
        <v>42</v>
      </c>
      <c r="AD3001">
        <v>1</v>
      </c>
    </row>
    <row r="3002" spans="1:30">
      <c r="A3002" t="str">
        <f>CONCATENATE(I3002,J3002)</f>
        <v>SIGACHIEQ</v>
      </c>
      <c r="B3002" s="34">
        <v>46273</v>
      </c>
      <c r="C3002" s="34">
        <v>46273</v>
      </c>
      <c r="D3002" t="s">
        <v>35</v>
      </c>
      <c r="E3002" t="s">
        <v>36</v>
      </c>
      <c r="F3002" t="s">
        <v>37</v>
      </c>
      <c r="G3002">
        <v>6663</v>
      </c>
      <c r="H3002" t="s">
        <v>9075</v>
      </c>
      <c r="I3002" t="s">
        <v>9076</v>
      </c>
      <c r="J3002" t="s">
        <v>161</v>
      </c>
      <c r="O3002" t="s">
        <v>9077</v>
      </c>
      <c r="P3002">
        <v>34.25</v>
      </c>
      <c r="Q3002">
        <v>35.82</v>
      </c>
      <c r="R3002">
        <v>33.619999999999997</v>
      </c>
      <c r="S3002">
        <v>34.700000000000003</v>
      </c>
      <c r="T3002">
        <v>34.74</v>
      </c>
      <c r="U3002">
        <v>34.409999999999997</v>
      </c>
      <c r="W3002">
        <v>34.69</v>
      </c>
      <c r="Z3002">
        <v>6169969</v>
      </c>
      <c r="AA3002">
        <v>215829701.06999999</v>
      </c>
      <c r="AB3002">
        <v>15520</v>
      </c>
      <c r="AC3002" t="s">
        <v>42</v>
      </c>
      <c r="AD3002">
        <v>1</v>
      </c>
    </row>
    <row r="3003" spans="1:30">
      <c r="A3003" t="str">
        <f>CONCATENATE(I3003,J3003)</f>
        <v>SIGMAADVBE</v>
      </c>
      <c r="B3003" s="34">
        <v>46273</v>
      </c>
      <c r="C3003" s="34">
        <v>46273</v>
      </c>
      <c r="D3003" t="s">
        <v>35</v>
      </c>
      <c r="E3003" t="s">
        <v>36</v>
      </c>
      <c r="F3003" t="s">
        <v>37</v>
      </c>
      <c r="G3003">
        <v>14797</v>
      </c>
      <c r="H3003" t="s">
        <v>9078</v>
      </c>
      <c r="I3003" t="s">
        <v>9079</v>
      </c>
      <c r="J3003" t="s">
        <v>183</v>
      </c>
      <c r="O3003" t="s">
        <v>9080</v>
      </c>
      <c r="P3003">
        <v>739</v>
      </c>
      <c r="Q3003">
        <v>777.15</v>
      </c>
      <c r="R3003">
        <v>722</v>
      </c>
      <c r="S3003">
        <v>777.15</v>
      </c>
      <c r="T3003">
        <v>777.15</v>
      </c>
      <c r="U3003">
        <v>740.15</v>
      </c>
      <c r="W3003">
        <v>777.14</v>
      </c>
      <c r="Z3003">
        <v>175034</v>
      </c>
      <c r="AA3003">
        <v>132248678.7</v>
      </c>
      <c r="AB3003">
        <v>4188</v>
      </c>
      <c r="AC3003" t="s">
        <v>42</v>
      </c>
      <c r="AD3003">
        <v>1</v>
      </c>
    </row>
    <row r="3004" spans="1:30">
      <c r="A3004" t="str">
        <f>CONCATENATE(I3004,J3004)</f>
        <v>SIGMAEQ</v>
      </c>
      <c r="B3004" s="34">
        <v>46273</v>
      </c>
      <c r="C3004" s="34">
        <v>46273</v>
      </c>
      <c r="D3004" t="s">
        <v>35</v>
      </c>
      <c r="E3004" t="s">
        <v>36</v>
      </c>
      <c r="F3004" t="s">
        <v>37</v>
      </c>
      <c r="G3004">
        <v>16658</v>
      </c>
      <c r="H3004" t="s">
        <v>9081</v>
      </c>
      <c r="I3004" t="s">
        <v>9082</v>
      </c>
      <c r="J3004" t="s">
        <v>161</v>
      </c>
      <c r="O3004" t="s">
        <v>9083</v>
      </c>
      <c r="P3004">
        <v>48.29</v>
      </c>
      <c r="Q3004">
        <v>48.29</v>
      </c>
      <c r="R3004">
        <v>47</v>
      </c>
      <c r="S3004">
        <v>47.21</v>
      </c>
      <c r="T3004">
        <v>47.34</v>
      </c>
      <c r="U3004">
        <v>47.45</v>
      </c>
      <c r="W3004">
        <v>47.22</v>
      </c>
      <c r="Z3004">
        <v>49956</v>
      </c>
      <c r="AA3004">
        <v>2372497.87</v>
      </c>
      <c r="AB3004">
        <v>1005</v>
      </c>
      <c r="AC3004" t="s">
        <v>42</v>
      </c>
      <c r="AD3004">
        <v>1</v>
      </c>
    </row>
    <row r="3005" spans="1:30">
      <c r="A3005" t="str">
        <f>CONCATENATE(I3005,J3005)</f>
        <v>SIGNATUREEQ</v>
      </c>
      <c r="B3005" s="34">
        <v>46273</v>
      </c>
      <c r="C3005" s="34">
        <v>46273</v>
      </c>
      <c r="D3005" t="s">
        <v>35</v>
      </c>
      <c r="E3005" t="s">
        <v>36</v>
      </c>
      <c r="F3005" t="s">
        <v>37</v>
      </c>
      <c r="G3005">
        <v>18743</v>
      </c>
      <c r="H3005" t="s">
        <v>9084</v>
      </c>
      <c r="I3005" t="s">
        <v>9085</v>
      </c>
      <c r="J3005" t="s">
        <v>161</v>
      </c>
      <c r="O3005" t="s">
        <v>9086</v>
      </c>
      <c r="P3005">
        <v>795</v>
      </c>
      <c r="Q3005">
        <v>802</v>
      </c>
      <c r="R3005">
        <v>780.5</v>
      </c>
      <c r="S3005">
        <v>785.2</v>
      </c>
      <c r="T3005">
        <v>792</v>
      </c>
      <c r="U3005">
        <v>799.95</v>
      </c>
      <c r="W3005">
        <v>785.21</v>
      </c>
      <c r="Z3005">
        <v>184905</v>
      </c>
      <c r="AA3005">
        <v>147144364.84999999</v>
      </c>
      <c r="AB3005">
        <v>6464</v>
      </c>
      <c r="AC3005" t="s">
        <v>42</v>
      </c>
      <c r="AD3005">
        <v>1</v>
      </c>
    </row>
    <row r="3006" spans="1:30">
      <c r="A3006" t="str">
        <f>CONCATENATE(I3006,J3006)</f>
        <v>SIGINDBE</v>
      </c>
      <c r="B3006" s="34">
        <v>46273</v>
      </c>
      <c r="C3006" s="34">
        <v>46273</v>
      </c>
      <c r="D3006" t="s">
        <v>35</v>
      </c>
      <c r="E3006" t="s">
        <v>36</v>
      </c>
      <c r="F3006" t="s">
        <v>37</v>
      </c>
      <c r="G3006">
        <v>4517</v>
      </c>
      <c r="H3006" t="s">
        <v>9087</v>
      </c>
      <c r="I3006" t="s">
        <v>9088</v>
      </c>
      <c r="J3006" t="s">
        <v>183</v>
      </c>
      <c r="O3006" t="s">
        <v>9089</v>
      </c>
      <c r="P3006">
        <v>66.91</v>
      </c>
      <c r="Q3006">
        <v>70.25</v>
      </c>
      <c r="R3006">
        <v>66.58</v>
      </c>
      <c r="S3006">
        <v>69.88</v>
      </c>
      <c r="T3006">
        <v>70.25</v>
      </c>
      <c r="U3006">
        <v>66.91</v>
      </c>
      <c r="W3006">
        <v>69.81</v>
      </c>
      <c r="Z3006">
        <v>19947</v>
      </c>
      <c r="AA3006">
        <v>1382322.2</v>
      </c>
      <c r="AB3006">
        <v>308</v>
      </c>
      <c r="AC3006" t="s">
        <v>42</v>
      </c>
      <c r="AD3006">
        <v>1</v>
      </c>
    </row>
    <row r="3007" spans="1:30">
      <c r="A3007" t="str">
        <f>CONCATENATE(I3007,J3007)</f>
        <v>SIGNPOSTEQ</v>
      </c>
      <c r="B3007" s="34">
        <v>46273</v>
      </c>
      <c r="C3007" s="34">
        <v>46273</v>
      </c>
      <c r="D3007" t="s">
        <v>35</v>
      </c>
      <c r="E3007" t="s">
        <v>36</v>
      </c>
      <c r="F3007" t="s">
        <v>37</v>
      </c>
      <c r="G3007">
        <v>22656</v>
      </c>
      <c r="H3007" t="s">
        <v>9090</v>
      </c>
      <c r="I3007" t="s">
        <v>9091</v>
      </c>
      <c r="J3007" t="s">
        <v>161</v>
      </c>
      <c r="O3007" t="s">
        <v>9092</v>
      </c>
      <c r="P3007">
        <v>266.8</v>
      </c>
      <c r="Q3007">
        <v>276.25</v>
      </c>
      <c r="R3007">
        <v>261</v>
      </c>
      <c r="S3007">
        <v>264.55</v>
      </c>
      <c r="T3007">
        <v>266</v>
      </c>
      <c r="U3007">
        <v>269.5</v>
      </c>
      <c r="W3007">
        <v>264.49</v>
      </c>
      <c r="Z3007">
        <v>244701</v>
      </c>
      <c r="AA3007">
        <v>65743016.700000003</v>
      </c>
      <c r="AB3007">
        <v>7286</v>
      </c>
      <c r="AC3007" t="s">
        <v>42</v>
      </c>
      <c r="AD3007">
        <v>1</v>
      </c>
    </row>
    <row r="3008" spans="1:30">
      <c r="A3008" t="str">
        <f>CONCATENATE(I3008,J3008)</f>
        <v>SIKAEQ</v>
      </c>
      <c r="B3008" s="34">
        <v>46273</v>
      </c>
      <c r="C3008" s="34">
        <v>46273</v>
      </c>
      <c r="D3008" t="s">
        <v>35</v>
      </c>
      <c r="E3008" t="s">
        <v>36</v>
      </c>
      <c r="F3008" t="s">
        <v>37</v>
      </c>
      <c r="G3008">
        <v>762914</v>
      </c>
      <c r="H3008" t="s">
        <v>9093</v>
      </c>
      <c r="I3008" t="s">
        <v>9094</v>
      </c>
      <c r="J3008" t="s">
        <v>161</v>
      </c>
      <c r="O3008" t="s">
        <v>9095</v>
      </c>
      <c r="P3008">
        <v>986.1</v>
      </c>
      <c r="Q3008">
        <v>1025.2</v>
      </c>
      <c r="R3008">
        <v>978.1</v>
      </c>
      <c r="S3008">
        <v>1015.15</v>
      </c>
      <c r="T3008">
        <v>1014.2</v>
      </c>
      <c r="U3008">
        <v>986.1</v>
      </c>
      <c r="W3008">
        <v>1015.13</v>
      </c>
      <c r="Z3008">
        <v>46112</v>
      </c>
      <c r="AA3008">
        <v>46493308.299999997</v>
      </c>
      <c r="AB3008">
        <v>4677</v>
      </c>
      <c r="AC3008" t="s">
        <v>42</v>
      </c>
      <c r="AD3008">
        <v>1</v>
      </c>
    </row>
    <row r="3009" spans="1:30">
      <c r="A3009" t="str">
        <f>CONCATENATE(I3009,J3009)</f>
        <v>SIKKOBE</v>
      </c>
      <c r="B3009" s="34">
        <v>46273</v>
      </c>
      <c r="C3009" s="34">
        <v>46273</v>
      </c>
      <c r="D3009" t="s">
        <v>35</v>
      </c>
      <c r="E3009" t="s">
        <v>36</v>
      </c>
      <c r="F3009" t="s">
        <v>37</v>
      </c>
      <c r="G3009">
        <v>6226</v>
      </c>
      <c r="H3009" t="s">
        <v>9096</v>
      </c>
      <c r="I3009" t="s">
        <v>9097</v>
      </c>
      <c r="J3009" t="s">
        <v>183</v>
      </c>
      <c r="O3009" t="s">
        <v>9098</v>
      </c>
      <c r="P3009">
        <v>5.61</v>
      </c>
      <c r="Q3009">
        <v>5.62</v>
      </c>
      <c r="R3009">
        <v>5.29</v>
      </c>
      <c r="S3009">
        <v>5.52</v>
      </c>
      <c r="T3009">
        <v>5.54</v>
      </c>
      <c r="U3009">
        <v>5.56</v>
      </c>
      <c r="W3009">
        <v>5.52</v>
      </c>
      <c r="Z3009">
        <v>301987</v>
      </c>
      <c r="AA3009">
        <v>1642362.49</v>
      </c>
      <c r="AB3009">
        <v>479</v>
      </c>
      <c r="AC3009" t="s">
        <v>42</v>
      </c>
      <c r="AD3009">
        <v>1</v>
      </c>
    </row>
    <row r="3010" spans="1:30">
      <c r="A3010" t="str">
        <f>CONCATENATE(I3010,J3010)</f>
        <v>SILINVEQ</v>
      </c>
      <c r="B3010" s="34">
        <v>46273</v>
      </c>
      <c r="C3010" s="34">
        <v>46273</v>
      </c>
      <c r="D3010" t="s">
        <v>35</v>
      </c>
      <c r="E3010" t="s">
        <v>36</v>
      </c>
      <c r="F3010" t="s">
        <v>37</v>
      </c>
      <c r="G3010">
        <v>4105</v>
      </c>
      <c r="H3010" t="s">
        <v>9099</v>
      </c>
      <c r="I3010" t="s">
        <v>9100</v>
      </c>
      <c r="J3010" t="s">
        <v>161</v>
      </c>
      <c r="O3010" t="s">
        <v>9101</v>
      </c>
      <c r="P3010">
        <v>469.9</v>
      </c>
      <c r="Q3010">
        <v>479.9</v>
      </c>
      <c r="R3010">
        <v>460</v>
      </c>
      <c r="S3010">
        <v>462.4</v>
      </c>
      <c r="T3010">
        <v>462.5</v>
      </c>
      <c r="U3010">
        <v>472.05</v>
      </c>
      <c r="W3010">
        <v>462.4</v>
      </c>
      <c r="Z3010">
        <v>801</v>
      </c>
      <c r="AA3010">
        <v>373751.4</v>
      </c>
      <c r="AB3010">
        <v>86</v>
      </c>
      <c r="AC3010" t="s">
        <v>42</v>
      </c>
      <c r="AD3010">
        <v>1</v>
      </c>
    </row>
    <row r="3011" spans="1:30">
      <c r="A3011" t="str">
        <f>CONCATENATE(I3011,J3011)</f>
        <v>SILGOEQ</v>
      </c>
      <c r="B3011" s="34">
        <v>46273</v>
      </c>
      <c r="C3011" s="34">
        <v>46273</v>
      </c>
      <c r="D3011" t="s">
        <v>35</v>
      </c>
      <c r="E3011" t="s">
        <v>36</v>
      </c>
      <c r="F3011" t="s">
        <v>37</v>
      </c>
      <c r="G3011">
        <v>2492</v>
      </c>
      <c r="H3011" t="s">
        <v>9102</v>
      </c>
      <c r="I3011" t="s">
        <v>9103</v>
      </c>
      <c r="J3011" t="s">
        <v>161</v>
      </c>
      <c r="O3011" t="s">
        <v>9104</v>
      </c>
      <c r="P3011">
        <v>73.760000000000005</v>
      </c>
      <c r="Q3011">
        <v>73.760000000000005</v>
      </c>
      <c r="R3011">
        <v>71.2</v>
      </c>
      <c r="S3011">
        <v>71.489999999999995</v>
      </c>
      <c r="T3011">
        <v>71.3</v>
      </c>
      <c r="U3011">
        <v>73.150000000000006</v>
      </c>
      <c r="W3011">
        <v>71.489999999999995</v>
      </c>
      <c r="Z3011">
        <v>91013</v>
      </c>
      <c r="AA3011">
        <v>6575089.0300000003</v>
      </c>
      <c r="AB3011">
        <v>742</v>
      </c>
      <c r="AC3011" t="s">
        <v>42</v>
      </c>
      <c r="AD3011">
        <v>1</v>
      </c>
    </row>
    <row r="3012" spans="1:30">
      <c r="A3012" t="str">
        <f>CONCATENATE(I3012,J3012)</f>
        <v>SILKFLEXSM</v>
      </c>
      <c r="B3012" s="34">
        <v>46273</v>
      </c>
      <c r="C3012" s="34">
        <v>46273</v>
      </c>
      <c r="D3012" t="s">
        <v>35</v>
      </c>
      <c r="E3012" t="s">
        <v>36</v>
      </c>
      <c r="F3012" t="s">
        <v>37</v>
      </c>
      <c r="G3012">
        <v>23736</v>
      </c>
      <c r="H3012" t="s">
        <v>9105</v>
      </c>
      <c r="I3012" t="s">
        <v>9106</v>
      </c>
      <c r="J3012" t="s">
        <v>267</v>
      </c>
      <c r="O3012" t="s">
        <v>9107</v>
      </c>
      <c r="P3012">
        <v>285.10000000000002</v>
      </c>
      <c r="Q3012">
        <v>298.75</v>
      </c>
      <c r="R3012">
        <v>278</v>
      </c>
      <c r="S3012">
        <v>296.55</v>
      </c>
      <c r="T3012">
        <v>298.75</v>
      </c>
      <c r="U3012">
        <v>292.60000000000002</v>
      </c>
      <c r="W3012">
        <v>296.55</v>
      </c>
      <c r="Z3012">
        <v>45000</v>
      </c>
      <c r="AA3012">
        <v>12836250</v>
      </c>
      <c r="AB3012">
        <v>38</v>
      </c>
      <c r="AC3012" t="s">
        <v>42</v>
      </c>
      <c r="AD3012">
        <v>1000</v>
      </c>
    </row>
    <row r="3013" spans="1:30">
      <c r="A3013" t="str">
        <f>CONCATENATE(I3013,J3013)</f>
        <v>SILLYMONKSEQ</v>
      </c>
      <c r="B3013" s="34">
        <v>46273</v>
      </c>
      <c r="C3013" s="34">
        <v>46273</v>
      </c>
      <c r="D3013" t="s">
        <v>35</v>
      </c>
      <c r="E3013" t="s">
        <v>36</v>
      </c>
      <c r="F3013" t="s">
        <v>37</v>
      </c>
      <c r="G3013">
        <v>19097</v>
      </c>
      <c r="H3013" t="s">
        <v>9108</v>
      </c>
      <c r="I3013" t="s">
        <v>9109</v>
      </c>
      <c r="J3013" t="s">
        <v>161</v>
      </c>
      <c r="O3013" t="s">
        <v>9110</v>
      </c>
      <c r="P3013">
        <v>16.399999999999999</v>
      </c>
      <c r="Q3013">
        <v>16.5</v>
      </c>
      <c r="R3013">
        <v>16</v>
      </c>
      <c r="S3013">
        <v>16.29</v>
      </c>
      <c r="T3013">
        <v>16.079999999999998</v>
      </c>
      <c r="U3013">
        <v>15.94</v>
      </c>
      <c r="W3013">
        <v>16.29</v>
      </c>
      <c r="Z3013">
        <v>17501</v>
      </c>
      <c r="AA3013">
        <v>284532.43</v>
      </c>
      <c r="AB3013">
        <v>40</v>
      </c>
      <c r="AC3013" t="s">
        <v>42</v>
      </c>
      <c r="AD3013">
        <v>1</v>
      </c>
    </row>
    <row r="3014" spans="1:30">
      <c r="A3014" t="str">
        <f>CONCATENATE(I3014,J3014)</f>
        <v>SILVERTUCEQ</v>
      </c>
      <c r="B3014" s="34">
        <v>46273</v>
      </c>
      <c r="C3014" s="34">
        <v>46273</v>
      </c>
      <c r="D3014" t="s">
        <v>35</v>
      </c>
      <c r="E3014" t="s">
        <v>36</v>
      </c>
      <c r="F3014" t="s">
        <v>37</v>
      </c>
      <c r="G3014">
        <v>9422</v>
      </c>
      <c r="H3014" t="s">
        <v>9111</v>
      </c>
      <c r="I3014" t="s">
        <v>9112</v>
      </c>
      <c r="J3014" t="s">
        <v>161</v>
      </c>
      <c r="O3014" t="s">
        <v>9113</v>
      </c>
      <c r="P3014">
        <v>163.5</v>
      </c>
      <c r="Q3014">
        <v>165.21</v>
      </c>
      <c r="R3014">
        <v>160.19999999999999</v>
      </c>
      <c r="S3014">
        <v>161.1</v>
      </c>
      <c r="T3014">
        <v>161.4</v>
      </c>
      <c r="U3014">
        <v>163.56</v>
      </c>
      <c r="W3014">
        <v>161.12</v>
      </c>
      <c r="Z3014">
        <v>413174</v>
      </c>
      <c r="AA3014">
        <v>67286282.180000007</v>
      </c>
      <c r="AB3014">
        <v>5149</v>
      </c>
      <c r="AC3014" t="s">
        <v>42</v>
      </c>
      <c r="AD3014">
        <v>1</v>
      </c>
    </row>
    <row r="3015" spans="1:30">
      <c r="A3015" t="str">
        <f>CONCATENATE(I3015,J3015)</f>
        <v>SIMBHALSBZ</v>
      </c>
      <c r="B3015" s="34">
        <v>46273</v>
      </c>
      <c r="C3015" s="34">
        <v>46273</v>
      </c>
      <c r="D3015" t="s">
        <v>35</v>
      </c>
      <c r="E3015" t="s">
        <v>36</v>
      </c>
      <c r="F3015" t="s">
        <v>37</v>
      </c>
      <c r="G3015">
        <v>758836</v>
      </c>
      <c r="H3015" t="s">
        <v>9114</v>
      </c>
      <c r="I3015" t="s">
        <v>9115</v>
      </c>
      <c r="J3015" t="s">
        <v>551</v>
      </c>
      <c r="O3015" t="s">
        <v>9116</v>
      </c>
      <c r="P3015">
        <v>7.5</v>
      </c>
      <c r="Q3015">
        <v>7.5</v>
      </c>
      <c r="R3015">
        <v>7.5</v>
      </c>
      <c r="S3015">
        <v>7.5</v>
      </c>
      <c r="T3015">
        <v>7.5</v>
      </c>
      <c r="U3015">
        <v>7.65</v>
      </c>
      <c r="W3015">
        <v>7.5</v>
      </c>
      <c r="Z3015">
        <v>1104</v>
      </c>
      <c r="AA3015">
        <v>8280</v>
      </c>
      <c r="AB3015">
        <v>7</v>
      </c>
      <c r="AC3015" t="s">
        <v>42</v>
      </c>
      <c r="AD3015">
        <v>1</v>
      </c>
    </row>
    <row r="3016" spans="1:30">
      <c r="A3016" t="str">
        <f>CONCATENATE(I3016,J3016)</f>
        <v>SIMCAST</v>
      </c>
      <c r="B3016" s="34">
        <v>46273</v>
      </c>
      <c r="C3016" s="34">
        <v>46273</v>
      </c>
      <c r="D3016" t="s">
        <v>35</v>
      </c>
      <c r="E3016" t="s">
        <v>36</v>
      </c>
      <c r="F3016" t="s">
        <v>37</v>
      </c>
      <c r="G3016">
        <v>763378</v>
      </c>
      <c r="H3016" t="s">
        <v>9117</v>
      </c>
      <c r="I3016" t="s">
        <v>9118</v>
      </c>
      <c r="J3016" t="s">
        <v>328</v>
      </c>
      <c r="O3016" t="s">
        <v>9119</v>
      </c>
      <c r="P3016">
        <v>259</v>
      </c>
      <c r="Q3016">
        <v>261</v>
      </c>
      <c r="R3016">
        <v>256</v>
      </c>
      <c r="S3016">
        <v>260.25</v>
      </c>
      <c r="T3016">
        <v>261</v>
      </c>
      <c r="U3016">
        <v>261.10000000000002</v>
      </c>
      <c r="W3016">
        <v>260.25</v>
      </c>
      <c r="Z3016">
        <v>20400</v>
      </c>
      <c r="AA3016">
        <v>5274900</v>
      </c>
      <c r="AB3016">
        <v>19</v>
      </c>
      <c r="AC3016" t="s">
        <v>42</v>
      </c>
      <c r="AD3016">
        <v>600</v>
      </c>
    </row>
    <row r="3017" spans="1:30">
      <c r="A3017" t="str">
        <f>CONCATENATE(I3017,J3017)</f>
        <v>SIMPLEXINFEQ</v>
      </c>
      <c r="B3017" s="34">
        <v>46273</v>
      </c>
      <c r="C3017" s="34">
        <v>46273</v>
      </c>
      <c r="D3017" t="s">
        <v>35</v>
      </c>
      <c r="E3017" t="s">
        <v>36</v>
      </c>
      <c r="F3017" t="s">
        <v>37</v>
      </c>
      <c r="G3017">
        <v>3162</v>
      </c>
      <c r="H3017" t="s">
        <v>9120</v>
      </c>
      <c r="I3017" t="s">
        <v>9121</v>
      </c>
      <c r="J3017" t="s">
        <v>161</v>
      </c>
      <c r="O3017" t="s">
        <v>9122</v>
      </c>
      <c r="P3017">
        <v>258.3</v>
      </c>
      <c r="Q3017">
        <v>264.7</v>
      </c>
      <c r="R3017">
        <v>256</v>
      </c>
      <c r="S3017">
        <v>257.39999999999998</v>
      </c>
      <c r="T3017">
        <v>257.5</v>
      </c>
      <c r="U3017">
        <v>260.35000000000002</v>
      </c>
      <c r="W3017">
        <v>257.35000000000002</v>
      </c>
      <c r="Z3017">
        <v>70097</v>
      </c>
      <c r="AA3017">
        <v>18208944.149999999</v>
      </c>
      <c r="AB3017">
        <v>1705</v>
      </c>
      <c r="AC3017" t="s">
        <v>42</v>
      </c>
      <c r="AD3017">
        <v>1</v>
      </c>
    </row>
    <row r="3018" spans="1:30">
      <c r="A3018" t="str">
        <f>CONCATENATE(I3018,J3018)</f>
        <v>SIMPLXREAEQ</v>
      </c>
      <c r="B3018" s="34">
        <v>46273</v>
      </c>
      <c r="C3018" s="34">
        <v>46273</v>
      </c>
      <c r="D3018" t="s">
        <v>35</v>
      </c>
      <c r="E3018" t="s">
        <v>36</v>
      </c>
      <c r="F3018" t="s">
        <v>37</v>
      </c>
      <c r="G3018">
        <v>764915</v>
      </c>
      <c r="H3018" t="s">
        <v>9123</v>
      </c>
      <c r="I3018" t="s">
        <v>9124</v>
      </c>
      <c r="J3018" t="s">
        <v>161</v>
      </c>
      <c r="O3018" t="s">
        <v>9125</v>
      </c>
      <c r="P3018">
        <v>140.5</v>
      </c>
      <c r="Q3018">
        <v>140.5</v>
      </c>
      <c r="R3018">
        <v>134.62</v>
      </c>
      <c r="S3018">
        <v>134.62</v>
      </c>
      <c r="T3018">
        <v>134.62</v>
      </c>
      <c r="U3018">
        <v>141.69999999999999</v>
      </c>
      <c r="W3018">
        <v>134.62</v>
      </c>
      <c r="Z3018">
        <v>5</v>
      </c>
      <c r="AA3018">
        <v>690.74</v>
      </c>
      <c r="AB3018">
        <v>2</v>
      </c>
      <c r="AC3018" t="s">
        <v>42</v>
      </c>
      <c r="AD3018">
        <v>1</v>
      </c>
    </row>
    <row r="3019" spans="1:30">
      <c r="A3019" t="str">
        <f>CONCATENATE(I3019,J3019)</f>
        <v>SINCLAIREQ</v>
      </c>
      <c r="B3019" s="34">
        <v>46273</v>
      </c>
      <c r="C3019" s="34">
        <v>46273</v>
      </c>
      <c r="D3019" t="s">
        <v>35</v>
      </c>
      <c r="E3019" t="s">
        <v>36</v>
      </c>
      <c r="F3019" t="s">
        <v>37</v>
      </c>
      <c r="G3019">
        <v>23480</v>
      </c>
      <c r="H3019" t="s">
        <v>9126</v>
      </c>
      <c r="I3019" t="s">
        <v>9127</v>
      </c>
      <c r="J3019" t="s">
        <v>161</v>
      </c>
      <c r="O3019" t="s">
        <v>9128</v>
      </c>
      <c r="P3019">
        <v>86</v>
      </c>
      <c r="Q3019">
        <v>86.79</v>
      </c>
      <c r="R3019">
        <v>83.56</v>
      </c>
      <c r="S3019">
        <v>84.03</v>
      </c>
      <c r="T3019">
        <v>84.25</v>
      </c>
      <c r="U3019">
        <v>84.45</v>
      </c>
      <c r="W3019">
        <v>84.03</v>
      </c>
      <c r="Z3019">
        <v>45494</v>
      </c>
      <c r="AA3019">
        <v>3873903.3</v>
      </c>
      <c r="AB3019">
        <v>589</v>
      </c>
      <c r="AC3019" t="s">
        <v>42</v>
      </c>
      <c r="AD3019">
        <v>1</v>
      </c>
    </row>
    <row r="3020" spans="1:30">
      <c r="A3020" t="str">
        <f>CONCATENATE(I3020,J3020)</f>
        <v>SINDHUTRADEQ</v>
      </c>
      <c r="B3020" s="34">
        <v>46273</v>
      </c>
      <c r="C3020" s="34">
        <v>46273</v>
      </c>
      <c r="D3020" t="s">
        <v>35</v>
      </c>
      <c r="E3020" t="s">
        <v>36</v>
      </c>
      <c r="F3020" t="s">
        <v>37</v>
      </c>
      <c r="G3020">
        <v>16859</v>
      </c>
      <c r="H3020" t="s">
        <v>9129</v>
      </c>
      <c r="I3020" t="s">
        <v>9130</v>
      </c>
      <c r="J3020" t="s">
        <v>161</v>
      </c>
      <c r="O3020" t="s">
        <v>9131</v>
      </c>
      <c r="P3020">
        <v>25.25</v>
      </c>
      <c r="Q3020">
        <v>25.44</v>
      </c>
      <c r="R3020">
        <v>24.87</v>
      </c>
      <c r="S3020">
        <v>25</v>
      </c>
      <c r="T3020">
        <v>25</v>
      </c>
      <c r="U3020">
        <v>25.25</v>
      </c>
      <c r="W3020">
        <v>25</v>
      </c>
      <c r="Z3020">
        <v>1484833</v>
      </c>
      <c r="AA3020">
        <v>37170759.469999999</v>
      </c>
      <c r="AB3020">
        <v>1122</v>
      </c>
      <c r="AC3020" t="s">
        <v>42</v>
      </c>
      <c r="AD3020">
        <v>1</v>
      </c>
    </row>
    <row r="3021" spans="1:30">
      <c r="A3021" t="str">
        <f>CONCATENATE(I3021,J3021)</f>
        <v>SINGERINDEQ</v>
      </c>
      <c r="B3021" s="34">
        <v>46273</v>
      </c>
      <c r="C3021" s="34">
        <v>46273</v>
      </c>
      <c r="D3021" t="s">
        <v>35</v>
      </c>
      <c r="E3021" t="s">
        <v>36</v>
      </c>
      <c r="F3021" t="s">
        <v>37</v>
      </c>
      <c r="G3021">
        <v>761420</v>
      </c>
      <c r="H3021" t="s">
        <v>9132</v>
      </c>
      <c r="I3021" t="s">
        <v>9133</v>
      </c>
      <c r="J3021" t="s">
        <v>161</v>
      </c>
      <c r="O3021" t="s">
        <v>9134</v>
      </c>
      <c r="P3021">
        <v>75.040000000000006</v>
      </c>
      <c r="Q3021">
        <v>77.98</v>
      </c>
      <c r="R3021">
        <v>73.650000000000006</v>
      </c>
      <c r="S3021">
        <v>75.75</v>
      </c>
      <c r="T3021">
        <v>76</v>
      </c>
      <c r="U3021">
        <v>74.97</v>
      </c>
      <c r="W3021">
        <v>75.760000000000005</v>
      </c>
      <c r="Z3021">
        <v>123756</v>
      </c>
      <c r="AA3021">
        <v>9404735.2699999996</v>
      </c>
      <c r="AB3021">
        <v>1138</v>
      </c>
      <c r="AC3021" t="s">
        <v>42</v>
      </c>
      <c r="AD3021">
        <v>1</v>
      </c>
    </row>
    <row r="3022" spans="1:30">
      <c r="A3022" t="str">
        <f>CONCATENATE(I3022,J3022)</f>
        <v>SINTERCOMEQ</v>
      </c>
      <c r="B3022" s="34">
        <v>46273</v>
      </c>
      <c r="C3022" s="34">
        <v>46273</v>
      </c>
      <c r="D3022" t="s">
        <v>35</v>
      </c>
      <c r="E3022" t="s">
        <v>36</v>
      </c>
      <c r="F3022" t="s">
        <v>37</v>
      </c>
      <c r="G3022">
        <v>381</v>
      </c>
      <c r="H3022" t="s">
        <v>9135</v>
      </c>
      <c r="I3022" t="s">
        <v>9136</v>
      </c>
      <c r="J3022" t="s">
        <v>161</v>
      </c>
      <c r="O3022" t="s">
        <v>9137</v>
      </c>
      <c r="P3022">
        <v>81.44</v>
      </c>
      <c r="Q3022">
        <v>84.9</v>
      </c>
      <c r="R3022">
        <v>78</v>
      </c>
      <c r="S3022">
        <v>79.2</v>
      </c>
      <c r="T3022">
        <v>79.2</v>
      </c>
      <c r="U3022">
        <v>81.430000000000007</v>
      </c>
      <c r="W3022">
        <v>79.2</v>
      </c>
      <c r="Z3022">
        <v>4179</v>
      </c>
      <c r="AA3022">
        <v>347258.58</v>
      </c>
      <c r="AB3022">
        <v>73</v>
      </c>
      <c r="AC3022" t="s">
        <v>42</v>
      </c>
      <c r="AD3022">
        <v>1</v>
      </c>
    </row>
    <row r="3023" spans="1:30">
      <c r="A3023" t="str">
        <f>CONCATENATE(I3023,J3023)</f>
        <v>SIRCAEQ</v>
      </c>
      <c r="B3023" s="34">
        <v>46273</v>
      </c>
      <c r="C3023" s="34">
        <v>46273</v>
      </c>
      <c r="D3023" t="s">
        <v>35</v>
      </c>
      <c r="E3023" t="s">
        <v>36</v>
      </c>
      <c r="F3023" t="s">
        <v>37</v>
      </c>
      <c r="G3023">
        <v>11050</v>
      </c>
      <c r="H3023" t="s">
        <v>9138</v>
      </c>
      <c r="I3023" t="s">
        <v>9139</v>
      </c>
      <c r="J3023" t="s">
        <v>161</v>
      </c>
      <c r="O3023" t="s">
        <v>9140</v>
      </c>
      <c r="P3023">
        <v>437</v>
      </c>
      <c r="Q3023">
        <v>438.25</v>
      </c>
      <c r="R3023">
        <v>432.5</v>
      </c>
      <c r="S3023">
        <v>434.4</v>
      </c>
      <c r="T3023">
        <v>432.5</v>
      </c>
      <c r="U3023">
        <v>436.85</v>
      </c>
      <c r="W3023">
        <v>434.4</v>
      </c>
      <c r="Z3023">
        <v>156436</v>
      </c>
      <c r="AA3023">
        <v>68047740.349999994</v>
      </c>
      <c r="AB3023">
        <v>2538</v>
      </c>
      <c r="AC3023" t="s">
        <v>42</v>
      </c>
      <c r="AD3023">
        <v>1</v>
      </c>
    </row>
    <row r="3024" spans="1:30">
      <c r="A3024" t="str">
        <f>CONCATENATE(I3024,J3024)</f>
        <v>SISEQ</v>
      </c>
      <c r="B3024" s="34">
        <v>46273</v>
      </c>
      <c r="C3024" s="34">
        <v>46273</v>
      </c>
      <c r="D3024" t="s">
        <v>35</v>
      </c>
      <c r="E3024" t="s">
        <v>36</v>
      </c>
      <c r="F3024" t="s">
        <v>37</v>
      </c>
      <c r="G3024">
        <v>21501</v>
      </c>
      <c r="H3024" t="s">
        <v>9141</v>
      </c>
      <c r="I3024" t="s">
        <v>9142</v>
      </c>
      <c r="J3024" t="s">
        <v>161</v>
      </c>
      <c r="O3024" t="s">
        <v>9143</v>
      </c>
      <c r="P3024">
        <v>428.65</v>
      </c>
      <c r="Q3024">
        <v>435.9</v>
      </c>
      <c r="R3024">
        <v>426.5</v>
      </c>
      <c r="S3024">
        <v>427.75</v>
      </c>
      <c r="T3024">
        <v>428.45</v>
      </c>
      <c r="U3024">
        <v>428.65</v>
      </c>
      <c r="W3024">
        <v>427.74</v>
      </c>
      <c r="Z3024">
        <v>478616</v>
      </c>
      <c r="AA3024">
        <v>206135618.59999999</v>
      </c>
      <c r="AB3024">
        <v>8814</v>
      </c>
      <c r="AC3024" t="s">
        <v>42</v>
      </c>
      <c r="AD3024">
        <v>1</v>
      </c>
    </row>
    <row r="3025" spans="1:30">
      <c r="A3025" t="str">
        <f>CONCATENATE(I3025,J3025)</f>
        <v>SITINETBZ</v>
      </c>
      <c r="B3025" s="34">
        <v>46273</v>
      </c>
      <c r="C3025" s="34">
        <v>46273</v>
      </c>
      <c r="D3025" t="s">
        <v>35</v>
      </c>
      <c r="E3025" t="s">
        <v>36</v>
      </c>
      <c r="F3025" t="s">
        <v>37</v>
      </c>
      <c r="G3025">
        <v>29210</v>
      </c>
      <c r="H3025" t="s">
        <v>9144</v>
      </c>
      <c r="I3025" t="s">
        <v>9145</v>
      </c>
      <c r="J3025" t="s">
        <v>551</v>
      </c>
      <c r="O3025" t="s">
        <v>9146</v>
      </c>
      <c r="P3025">
        <v>0.28999999999999998</v>
      </c>
      <c r="Q3025">
        <v>0.3</v>
      </c>
      <c r="R3025">
        <v>0.28000000000000003</v>
      </c>
      <c r="S3025">
        <v>0.28000000000000003</v>
      </c>
      <c r="T3025">
        <v>0.3</v>
      </c>
      <c r="U3025">
        <v>0.28999999999999998</v>
      </c>
      <c r="W3025">
        <v>0.28999999999999998</v>
      </c>
      <c r="Z3025">
        <v>748553</v>
      </c>
      <c r="AA3025">
        <v>213219.67</v>
      </c>
      <c r="AB3025">
        <v>236</v>
      </c>
      <c r="AC3025" t="s">
        <v>42</v>
      </c>
      <c r="AD3025">
        <v>1</v>
      </c>
    </row>
    <row r="3026" spans="1:30">
      <c r="A3026" t="str">
        <f>CONCATENATE(I3026,J3026)</f>
        <v>SIYSILEQ</v>
      </c>
      <c r="B3026" s="34">
        <v>46273</v>
      </c>
      <c r="C3026" s="34">
        <v>46273</v>
      </c>
      <c r="D3026" t="s">
        <v>35</v>
      </c>
      <c r="E3026" t="s">
        <v>36</v>
      </c>
      <c r="F3026" t="s">
        <v>37</v>
      </c>
      <c r="G3026">
        <v>14096</v>
      </c>
      <c r="H3026" t="s">
        <v>9147</v>
      </c>
      <c r="I3026" t="s">
        <v>9148</v>
      </c>
      <c r="J3026" t="s">
        <v>161</v>
      </c>
      <c r="O3026" t="s">
        <v>9149</v>
      </c>
      <c r="P3026">
        <v>564.04999999999995</v>
      </c>
      <c r="Q3026">
        <v>569.25</v>
      </c>
      <c r="R3026">
        <v>551.20000000000005</v>
      </c>
      <c r="S3026">
        <v>554.04999999999995</v>
      </c>
      <c r="T3026">
        <v>552.25</v>
      </c>
      <c r="U3026">
        <v>563.54999999999995</v>
      </c>
      <c r="W3026">
        <v>554.03</v>
      </c>
      <c r="Z3026">
        <v>25896</v>
      </c>
      <c r="AA3026">
        <v>14417402.949999999</v>
      </c>
      <c r="AB3026">
        <v>2729</v>
      </c>
      <c r="AC3026" t="s">
        <v>42</v>
      </c>
      <c r="AD3026">
        <v>1</v>
      </c>
    </row>
    <row r="3027" spans="1:30">
      <c r="A3027" t="str">
        <f>CONCATENATE(I3027,J3027)</f>
        <v>SJSEQ</v>
      </c>
      <c r="B3027" s="34">
        <v>46273</v>
      </c>
      <c r="C3027" s="34">
        <v>46273</v>
      </c>
      <c r="D3027" t="s">
        <v>35</v>
      </c>
      <c r="E3027" t="s">
        <v>36</v>
      </c>
      <c r="F3027" t="s">
        <v>37</v>
      </c>
      <c r="G3027">
        <v>6643</v>
      </c>
      <c r="H3027" t="s">
        <v>9150</v>
      </c>
      <c r="I3027" t="s">
        <v>9151</v>
      </c>
      <c r="J3027" t="s">
        <v>161</v>
      </c>
      <c r="O3027" t="s">
        <v>9152</v>
      </c>
      <c r="P3027">
        <v>2332.3000000000002</v>
      </c>
      <c r="Q3027">
        <v>2351.3000000000002</v>
      </c>
      <c r="R3027">
        <v>2258.1999999999998</v>
      </c>
      <c r="S3027">
        <v>2286.8000000000002</v>
      </c>
      <c r="T3027">
        <v>2289</v>
      </c>
      <c r="U3027">
        <v>2332.3000000000002</v>
      </c>
      <c r="W3027">
        <v>2286.84</v>
      </c>
      <c r="Z3027">
        <v>155758</v>
      </c>
      <c r="AA3027">
        <v>355963425.39999998</v>
      </c>
      <c r="AB3027">
        <v>26104</v>
      </c>
      <c r="AC3027" t="s">
        <v>42</v>
      </c>
      <c r="AD3027">
        <v>1</v>
      </c>
    </row>
    <row r="3028" spans="1:30">
      <c r="A3028" t="str">
        <f>CONCATENATE(I3028,J3028)</f>
        <v>SJVNEQ</v>
      </c>
      <c r="B3028" s="34">
        <v>46273</v>
      </c>
      <c r="C3028" s="34">
        <v>46273</v>
      </c>
      <c r="D3028" t="s">
        <v>35</v>
      </c>
      <c r="E3028" t="s">
        <v>36</v>
      </c>
      <c r="F3028" t="s">
        <v>37</v>
      </c>
      <c r="G3028">
        <v>18883</v>
      </c>
      <c r="H3028" t="s">
        <v>9153</v>
      </c>
      <c r="I3028" t="s">
        <v>9154</v>
      </c>
      <c r="J3028" t="s">
        <v>161</v>
      </c>
      <c r="O3028" t="s">
        <v>9155</v>
      </c>
      <c r="P3028">
        <v>65.56</v>
      </c>
      <c r="Q3028">
        <v>66.19</v>
      </c>
      <c r="R3028">
        <v>64.75</v>
      </c>
      <c r="S3028">
        <v>65.87</v>
      </c>
      <c r="T3028">
        <v>66.06</v>
      </c>
      <c r="U3028">
        <v>65.56</v>
      </c>
      <c r="W3028">
        <v>65.87</v>
      </c>
      <c r="Z3028">
        <v>2380457</v>
      </c>
      <c r="AA3028">
        <v>155915036.83000001</v>
      </c>
      <c r="AB3028">
        <v>21457</v>
      </c>
      <c r="AC3028" t="s">
        <v>42</v>
      </c>
      <c r="AD3028">
        <v>1</v>
      </c>
    </row>
    <row r="3029" spans="1:30">
      <c r="A3029" t="str">
        <f>CONCATENATE(I3029,J3029)</f>
        <v>SKFINDUSEQ</v>
      </c>
      <c r="B3029" s="34">
        <v>46273</v>
      </c>
      <c r="C3029" s="34">
        <v>46273</v>
      </c>
      <c r="D3029" t="s">
        <v>35</v>
      </c>
      <c r="E3029" t="s">
        <v>36</v>
      </c>
      <c r="F3029" t="s">
        <v>37</v>
      </c>
      <c r="G3029">
        <v>760101</v>
      </c>
      <c r="H3029" t="s">
        <v>9156</v>
      </c>
      <c r="I3029" t="s">
        <v>9157</v>
      </c>
      <c r="J3029" t="s">
        <v>161</v>
      </c>
      <c r="O3029" t="s">
        <v>9158</v>
      </c>
      <c r="P3029">
        <v>3024</v>
      </c>
      <c r="Q3029">
        <v>3048</v>
      </c>
      <c r="R3029">
        <v>2916.6</v>
      </c>
      <c r="S3029">
        <v>2953.8</v>
      </c>
      <c r="T3029">
        <v>2979</v>
      </c>
      <c r="U3029">
        <v>3016.1</v>
      </c>
      <c r="W3029">
        <v>2953.8</v>
      </c>
      <c r="Z3029">
        <v>38591</v>
      </c>
      <c r="AA3029">
        <v>114277094.8</v>
      </c>
      <c r="AB3029">
        <v>9364</v>
      </c>
      <c r="AC3029" t="s">
        <v>42</v>
      </c>
      <c r="AD3029">
        <v>1</v>
      </c>
    </row>
    <row r="3030" spans="1:30">
      <c r="A3030" t="str">
        <f>CONCATENATE(I3030,J3030)</f>
        <v>SKFINDIAEQ</v>
      </c>
      <c r="B3030" s="34">
        <v>46273</v>
      </c>
      <c r="C3030" s="34">
        <v>46273</v>
      </c>
      <c r="D3030" t="s">
        <v>35</v>
      </c>
      <c r="E3030" t="s">
        <v>36</v>
      </c>
      <c r="F3030" t="s">
        <v>37</v>
      </c>
      <c r="G3030">
        <v>3186</v>
      </c>
      <c r="H3030" t="s">
        <v>9159</v>
      </c>
      <c r="I3030" t="s">
        <v>9160</v>
      </c>
      <c r="J3030" t="s">
        <v>161</v>
      </c>
      <c r="O3030" t="s">
        <v>9161</v>
      </c>
      <c r="P3030">
        <v>1554.8</v>
      </c>
      <c r="Q3030">
        <v>1554.9</v>
      </c>
      <c r="R3030">
        <v>1524.7</v>
      </c>
      <c r="S3030">
        <v>1534.8</v>
      </c>
      <c r="T3030">
        <v>1536.8</v>
      </c>
      <c r="U3030">
        <v>1546.6</v>
      </c>
      <c r="W3030">
        <v>1534.83</v>
      </c>
      <c r="Z3030">
        <v>21578</v>
      </c>
      <c r="AA3030">
        <v>33097061.100000001</v>
      </c>
      <c r="AB3030">
        <v>3054</v>
      </c>
      <c r="AC3030" t="s">
        <v>42</v>
      </c>
      <c r="AD3030">
        <v>1</v>
      </c>
    </row>
    <row r="3031" spans="1:30">
      <c r="A3031" t="str">
        <f>CONCATENATE(I3031,J3031)</f>
        <v>SKIPPEREQ</v>
      </c>
      <c r="B3031" s="34">
        <v>46273</v>
      </c>
      <c r="C3031" s="34">
        <v>46273</v>
      </c>
      <c r="D3031" t="s">
        <v>35</v>
      </c>
      <c r="E3031" t="s">
        <v>36</v>
      </c>
      <c r="F3031" t="s">
        <v>37</v>
      </c>
      <c r="G3031">
        <v>9428</v>
      </c>
      <c r="H3031" t="s">
        <v>9162</v>
      </c>
      <c r="I3031" t="s">
        <v>9163</v>
      </c>
      <c r="J3031" t="s">
        <v>161</v>
      </c>
      <c r="O3031" t="s">
        <v>9164</v>
      </c>
      <c r="P3031">
        <v>605</v>
      </c>
      <c r="Q3031">
        <v>614</v>
      </c>
      <c r="R3031">
        <v>595</v>
      </c>
      <c r="S3031">
        <v>604.70000000000005</v>
      </c>
      <c r="T3031">
        <v>604.79999999999995</v>
      </c>
      <c r="U3031">
        <v>604.4</v>
      </c>
      <c r="W3031">
        <v>604.66</v>
      </c>
      <c r="Z3031">
        <v>1156716</v>
      </c>
      <c r="AA3031">
        <v>700164123.35000002</v>
      </c>
      <c r="AB3031">
        <v>28956</v>
      </c>
      <c r="AC3031" t="s">
        <v>42</v>
      </c>
      <c r="AD3031">
        <v>1</v>
      </c>
    </row>
    <row r="3032" spans="1:30">
      <c r="A3032" t="str">
        <f>CONCATENATE(I3032,J3032)</f>
        <v>SKMEGGPRODEQ</v>
      </c>
      <c r="B3032" s="34">
        <v>46273</v>
      </c>
      <c r="C3032" s="34">
        <v>46273</v>
      </c>
      <c r="D3032" t="s">
        <v>35</v>
      </c>
      <c r="E3032" t="s">
        <v>36</v>
      </c>
      <c r="F3032" t="s">
        <v>37</v>
      </c>
      <c r="G3032">
        <v>4732</v>
      </c>
      <c r="H3032" t="s">
        <v>9165</v>
      </c>
      <c r="I3032" t="s">
        <v>9166</v>
      </c>
      <c r="J3032" t="s">
        <v>161</v>
      </c>
      <c r="O3032" t="s">
        <v>9167</v>
      </c>
      <c r="P3032">
        <v>246.5</v>
      </c>
      <c r="Q3032">
        <v>256.89999999999998</v>
      </c>
      <c r="R3032">
        <v>246.5</v>
      </c>
      <c r="S3032">
        <v>253.35</v>
      </c>
      <c r="T3032">
        <v>253.1</v>
      </c>
      <c r="U3032">
        <v>246.85</v>
      </c>
      <c r="W3032">
        <v>253.33</v>
      </c>
      <c r="Z3032">
        <v>186137</v>
      </c>
      <c r="AA3032">
        <v>47021834.399999999</v>
      </c>
      <c r="AB3032">
        <v>4392</v>
      </c>
      <c r="AC3032" t="s">
        <v>42</v>
      </c>
      <c r="AD3032">
        <v>1</v>
      </c>
    </row>
    <row r="3033" spans="1:30">
      <c r="A3033" t="str">
        <f>CONCATENATE(I3033,J3033)</f>
        <v>SKPSM</v>
      </c>
      <c r="B3033" s="34">
        <v>46273</v>
      </c>
      <c r="C3033" s="34">
        <v>46273</v>
      </c>
      <c r="D3033" t="s">
        <v>35</v>
      </c>
      <c r="E3033" t="s">
        <v>36</v>
      </c>
      <c r="F3033" t="s">
        <v>37</v>
      </c>
      <c r="G3033">
        <v>10325</v>
      </c>
      <c r="H3033" t="s">
        <v>9168</v>
      </c>
      <c r="I3033" t="s">
        <v>9169</v>
      </c>
      <c r="J3033" t="s">
        <v>267</v>
      </c>
      <c r="O3033" t="s">
        <v>9170</v>
      </c>
      <c r="P3033">
        <v>158</v>
      </c>
      <c r="Q3033">
        <v>172</v>
      </c>
      <c r="R3033">
        <v>158</v>
      </c>
      <c r="S3033">
        <v>167.3</v>
      </c>
      <c r="T3033">
        <v>168.95</v>
      </c>
      <c r="U3033">
        <v>164.1</v>
      </c>
      <c r="W3033">
        <v>167.3</v>
      </c>
      <c r="Z3033">
        <v>87000</v>
      </c>
      <c r="AA3033">
        <v>14392175</v>
      </c>
      <c r="AB3033">
        <v>101</v>
      </c>
      <c r="AC3033" t="s">
        <v>42</v>
      </c>
      <c r="AD3033">
        <v>500</v>
      </c>
    </row>
    <row r="3034" spans="1:30">
      <c r="A3034" t="str">
        <f>CONCATENATE(I3034,J3034)</f>
        <v>SKYGOLDEQ</v>
      </c>
      <c r="B3034" s="34">
        <v>46273</v>
      </c>
      <c r="C3034" s="34">
        <v>46273</v>
      </c>
      <c r="D3034" t="s">
        <v>35</v>
      </c>
      <c r="E3034" t="s">
        <v>36</v>
      </c>
      <c r="F3034" t="s">
        <v>37</v>
      </c>
      <c r="G3034">
        <v>13631</v>
      </c>
      <c r="H3034" t="s">
        <v>9171</v>
      </c>
      <c r="I3034" t="s">
        <v>9172</v>
      </c>
      <c r="J3034" t="s">
        <v>161</v>
      </c>
      <c r="O3034" t="s">
        <v>9173</v>
      </c>
      <c r="P3034">
        <v>789.05</v>
      </c>
      <c r="Q3034">
        <v>833.25</v>
      </c>
      <c r="R3034">
        <v>789.05</v>
      </c>
      <c r="S3034">
        <v>820</v>
      </c>
      <c r="T3034">
        <v>821</v>
      </c>
      <c r="U3034">
        <v>788.15</v>
      </c>
      <c r="W3034">
        <v>819.98</v>
      </c>
      <c r="Z3034">
        <v>1443541</v>
      </c>
      <c r="AA3034">
        <v>1176566321.9000001</v>
      </c>
      <c r="AB3034">
        <v>41709</v>
      </c>
      <c r="AC3034" t="s">
        <v>42</v>
      </c>
      <c r="AD3034">
        <v>1</v>
      </c>
    </row>
    <row r="3035" spans="1:30">
      <c r="A3035" t="str">
        <f>CONCATENATE(I3035,J3035)</f>
        <v>SKYTECHSM</v>
      </c>
      <c r="B3035" s="34">
        <v>46273</v>
      </c>
      <c r="C3035" s="34">
        <v>46273</v>
      </c>
      <c r="D3035" t="s">
        <v>35</v>
      </c>
      <c r="E3035" t="s">
        <v>36</v>
      </c>
      <c r="F3035" t="s">
        <v>37</v>
      </c>
      <c r="G3035">
        <v>765333</v>
      </c>
      <c r="H3035" t="s">
        <v>9174</v>
      </c>
      <c r="I3035" t="s">
        <v>9175</v>
      </c>
      <c r="J3035" t="s">
        <v>267</v>
      </c>
      <c r="O3035" t="s">
        <v>9176</v>
      </c>
      <c r="P3035">
        <v>32.450000000000003</v>
      </c>
      <c r="Q3035">
        <v>32.450000000000003</v>
      </c>
      <c r="R3035">
        <v>32.450000000000003</v>
      </c>
      <c r="S3035">
        <v>32.450000000000003</v>
      </c>
      <c r="T3035">
        <v>32.450000000000003</v>
      </c>
      <c r="U3035">
        <v>36.049999999999997</v>
      </c>
      <c r="W3035">
        <v>32.450000000000003</v>
      </c>
      <c r="Z3035">
        <v>22400</v>
      </c>
      <c r="AA3035">
        <v>726880</v>
      </c>
      <c r="AB3035">
        <v>12</v>
      </c>
      <c r="AC3035" t="s">
        <v>42</v>
      </c>
      <c r="AD3035">
        <v>1600</v>
      </c>
    </row>
    <row r="3036" spans="1:30">
      <c r="A3036" t="str">
        <f>CONCATENATE(I3036,J3036)</f>
        <v>SKYWAYSEQ</v>
      </c>
      <c r="B3036" s="34">
        <v>46273</v>
      </c>
      <c r="C3036" s="34">
        <v>46273</v>
      </c>
      <c r="D3036" t="s">
        <v>35</v>
      </c>
      <c r="E3036" t="s">
        <v>36</v>
      </c>
      <c r="F3036" t="s">
        <v>37</v>
      </c>
      <c r="G3036">
        <v>765480</v>
      </c>
      <c r="H3036" t="s">
        <v>9177</v>
      </c>
      <c r="I3036" t="s">
        <v>9178</v>
      </c>
      <c r="J3036" t="s">
        <v>161</v>
      </c>
      <c r="O3036" t="s">
        <v>9179</v>
      </c>
      <c r="P3036">
        <v>114.44</v>
      </c>
      <c r="Q3036">
        <v>115.72</v>
      </c>
      <c r="R3036">
        <v>106.82</v>
      </c>
      <c r="S3036">
        <v>110.22</v>
      </c>
      <c r="T3036">
        <v>109.25</v>
      </c>
      <c r="U3036">
        <v>113.91</v>
      </c>
      <c r="W3036">
        <v>110.26</v>
      </c>
      <c r="Z3036">
        <v>6417199</v>
      </c>
      <c r="AA3036">
        <v>710708622.11000001</v>
      </c>
      <c r="AB3036">
        <v>41803</v>
      </c>
      <c r="AC3036" t="s">
        <v>42</v>
      </c>
      <c r="AD3036">
        <v>1</v>
      </c>
    </row>
    <row r="3037" spans="1:30">
      <c r="A3037" t="str">
        <f>CONCATENATE(I3037,J3037)</f>
        <v>SLONEST</v>
      </c>
      <c r="B3037" s="34">
        <v>46273</v>
      </c>
      <c r="C3037" s="34">
        <v>46273</v>
      </c>
      <c r="D3037" t="s">
        <v>35</v>
      </c>
      <c r="E3037" t="s">
        <v>36</v>
      </c>
      <c r="F3037" t="s">
        <v>37</v>
      </c>
      <c r="G3037">
        <v>23692</v>
      </c>
      <c r="H3037" t="s">
        <v>9180</v>
      </c>
      <c r="I3037" t="s">
        <v>9181</v>
      </c>
      <c r="J3037" t="s">
        <v>328</v>
      </c>
      <c r="O3037" t="s">
        <v>9182</v>
      </c>
      <c r="P3037">
        <v>189.1</v>
      </c>
      <c r="Q3037">
        <v>189.1</v>
      </c>
      <c r="R3037">
        <v>179.65</v>
      </c>
      <c r="S3037">
        <v>180.9</v>
      </c>
      <c r="T3037">
        <v>186</v>
      </c>
      <c r="U3037">
        <v>189.1</v>
      </c>
      <c r="W3037">
        <v>180.9</v>
      </c>
      <c r="Z3037">
        <v>13200</v>
      </c>
      <c r="AA3037">
        <v>2424160</v>
      </c>
      <c r="AB3037">
        <v>25</v>
      </c>
      <c r="AC3037" t="s">
        <v>42</v>
      </c>
      <c r="AD3037">
        <v>400</v>
      </c>
    </row>
    <row r="3038" spans="1:30">
      <c r="A3038" t="str">
        <f>CONCATENATE(I3038,J3038)</f>
        <v>SMARTENST</v>
      </c>
      <c r="B3038" s="34">
        <v>46273</v>
      </c>
      <c r="C3038" s="34">
        <v>46273</v>
      </c>
      <c r="D3038" t="s">
        <v>35</v>
      </c>
      <c r="E3038" t="s">
        <v>36</v>
      </c>
      <c r="F3038" t="s">
        <v>37</v>
      </c>
      <c r="G3038">
        <v>757622</v>
      </c>
      <c r="H3038" t="s">
        <v>9183</v>
      </c>
      <c r="I3038" t="s">
        <v>9184</v>
      </c>
      <c r="J3038" t="s">
        <v>328</v>
      </c>
      <c r="O3038" t="s">
        <v>9185</v>
      </c>
      <c r="P3038">
        <v>55.9</v>
      </c>
      <c r="Q3038">
        <v>56.15</v>
      </c>
      <c r="R3038">
        <v>55.9</v>
      </c>
      <c r="S3038">
        <v>56.15</v>
      </c>
      <c r="T3038">
        <v>56.15</v>
      </c>
      <c r="U3038">
        <v>53.5</v>
      </c>
      <c r="W3038">
        <v>56.15</v>
      </c>
      <c r="Z3038">
        <v>12000</v>
      </c>
      <c r="AA3038">
        <v>673320</v>
      </c>
      <c r="AB3038">
        <v>8</v>
      </c>
      <c r="AC3038" t="s">
        <v>42</v>
      </c>
      <c r="AD3038">
        <v>1200</v>
      </c>
    </row>
    <row r="3039" spans="1:30">
      <c r="A3039" t="str">
        <f>CONCATENATE(I3039,J3039)</f>
        <v>SMARTLINKBE</v>
      </c>
      <c r="B3039" s="34">
        <v>46273</v>
      </c>
      <c r="C3039" s="34">
        <v>46273</v>
      </c>
      <c r="D3039" t="s">
        <v>35</v>
      </c>
      <c r="E3039" t="s">
        <v>36</v>
      </c>
      <c r="F3039" t="s">
        <v>37</v>
      </c>
      <c r="G3039">
        <v>9893</v>
      </c>
      <c r="H3039" t="s">
        <v>9186</v>
      </c>
      <c r="I3039" t="s">
        <v>9187</v>
      </c>
      <c r="J3039" t="s">
        <v>183</v>
      </c>
      <c r="O3039" t="s">
        <v>9188</v>
      </c>
      <c r="P3039">
        <v>208.15</v>
      </c>
      <c r="Q3039">
        <v>216.92</v>
      </c>
      <c r="R3039">
        <v>204.19</v>
      </c>
      <c r="S3039">
        <v>207.3</v>
      </c>
      <c r="T3039">
        <v>214</v>
      </c>
      <c r="U3039">
        <v>210.82</v>
      </c>
      <c r="W3039">
        <v>207.4</v>
      </c>
      <c r="Z3039">
        <v>1347</v>
      </c>
      <c r="AA3039">
        <v>278337.90000000002</v>
      </c>
      <c r="AB3039">
        <v>31</v>
      </c>
      <c r="AC3039" t="s">
        <v>42</v>
      </c>
      <c r="AD3039">
        <v>1</v>
      </c>
    </row>
    <row r="3040" spans="1:30">
      <c r="A3040" t="str">
        <f>CONCATENATE(I3040,J3040)</f>
        <v>SMARTWORKSEQ</v>
      </c>
      <c r="B3040" s="34">
        <v>46273</v>
      </c>
      <c r="C3040" s="34">
        <v>46273</v>
      </c>
      <c r="D3040" t="s">
        <v>35</v>
      </c>
      <c r="E3040" t="s">
        <v>36</v>
      </c>
      <c r="F3040" t="s">
        <v>37</v>
      </c>
      <c r="G3040">
        <v>757965</v>
      </c>
      <c r="H3040" t="s">
        <v>9189</v>
      </c>
      <c r="I3040" t="s">
        <v>9190</v>
      </c>
      <c r="J3040" t="s">
        <v>161</v>
      </c>
      <c r="O3040" t="s">
        <v>9191</v>
      </c>
      <c r="P3040">
        <v>534.54999999999995</v>
      </c>
      <c r="Q3040">
        <v>555</v>
      </c>
      <c r="R3040">
        <v>531.1</v>
      </c>
      <c r="S3040">
        <v>552.65</v>
      </c>
      <c r="T3040">
        <v>554</v>
      </c>
      <c r="U3040">
        <v>538.95000000000005</v>
      </c>
      <c r="W3040">
        <v>552.70000000000005</v>
      </c>
      <c r="Z3040">
        <v>156782</v>
      </c>
      <c r="AA3040">
        <v>86039688.349999994</v>
      </c>
      <c r="AB3040">
        <v>5525</v>
      </c>
      <c r="AC3040" t="s">
        <v>42</v>
      </c>
      <c r="AD3040">
        <v>1</v>
      </c>
    </row>
    <row r="3041" spans="1:30">
      <c r="A3041" t="str">
        <f>CONCATENATE(I3041,J3041)</f>
        <v>SMCGLOBALEQ</v>
      </c>
      <c r="B3041" s="34">
        <v>46273</v>
      </c>
      <c r="C3041" s="34">
        <v>46273</v>
      </c>
      <c r="D3041" t="s">
        <v>35</v>
      </c>
      <c r="E3041" t="s">
        <v>36</v>
      </c>
      <c r="F3041" t="s">
        <v>37</v>
      </c>
      <c r="G3041">
        <v>2320</v>
      </c>
      <c r="H3041" t="s">
        <v>9192</v>
      </c>
      <c r="I3041" t="s">
        <v>9193</v>
      </c>
      <c r="J3041" t="s">
        <v>161</v>
      </c>
      <c r="O3041" t="s">
        <v>9194</v>
      </c>
      <c r="P3041">
        <v>86</v>
      </c>
      <c r="Q3041">
        <v>86.77</v>
      </c>
      <c r="R3041">
        <v>83.39</v>
      </c>
      <c r="S3041">
        <v>85.31</v>
      </c>
      <c r="T3041">
        <v>85</v>
      </c>
      <c r="U3041">
        <v>84.95</v>
      </c>
      <c r="W3041">
        <v>85.31</v>
      </c>
      <c r="Z3041">
        <v>1381128</v>
      </c>
      <c r="AA3041">
        <v>117500860.87</v>
      </c>
      <c r="AB3041">
        <v>10856</v>
      </c>
      <c r="AC3041" t="s">
        <v>42</v>
      </c>
      <c r="AD3041">
        <v>1</v>
      </c>
    </row>
    <row r="3042" spans="1:30">
      <c r="A3042" t="str">
        <f>CONCATENATE(I3042,J3042)</f>
        <v>SMLMAHEQ</v>
      </c>
      <c r="B3042" s="34">
        <v>46273</v>
      </c>
      <c r="C3042" s="34">
        <v>46273</v>
      </c>
      <c r="D3042" t="s">
        <v>35</v>
      </c>
      <c r="E3042" t="s">
        <v>36</v>
      </c>
      <c r="F3042" t="s">
        <v>37</v>
      </c>
      <c r="G3042">
        <v>3387</v>
      </c>
      <c r="H3042" t="s">
        <v>9195</v>
      </c>
      <c r="I3042" t="s">
        <v>9196</v>
      </c>
      <c r="J3042" t="s">
        <v>161</v>
      </c>
      <c r="O3042" t="s">
        <v>9197</v>
      </c>
      <c r="P3042">
        <v>6360.5</v>
      </c>
      <c r="Q3042">
        <v>6360.5</v>
      </c>
      <c r="R3042">
        <v>6260.5</v>
      </c>
      <c r="S3042">
        <v>6313.5</v>
      </c>
      <c r="T3042">
        <v>6328</v>
      </c>
      <c r="U3042">
        <v>6393.5</v>
      </c>
      <c r="W3042">
        <v>6313.43</v>
      </c>
      <c r="Z3042">
        <v>45422</v>
      </c>
      <c r="AA3042">
        <v>286933273.5</v>
      </c>
      <c r="AB3042">
        <v>7570</v>
      </c>
      <c r="AC3042" t="s">
        <v>42</v>
      </c>
      <c r="AD3042">
        <v>1</v>
      </c>
    </row>
    <row r="3043" spans="1:30">
      <c r="A3043" t="str">
        <f>CONCATENATE(I3043,J3043)</f>
        <v>SMSPHARMAEQ</v>
      </c>
      <c r="B3043" s="34">
        <v>46273</v>
      </c>
      <c r="C3043" s="34">
        <v>46273</v>
      </c>
      <c r="D3043" t="s">
        <v>35</v>
      </c>
      <c r="E3043" t="s">
        <v>36</v>
      </c>
      <c r="F3043" t="s">
        <v>37</v>
      </c>
      <c r="G3043">
        <v>14329</v>
      </c>
      <c r="H3043" t="s">
        <v>9198</v>
      </c>
      <c r="I3043" t="s">
        <v>9199</v>
      </c>
      <c r="J3043" t="s">
        <v>161</v>
      </c>
      <c r="O3043" t="s">
        <v>9200</v>
      </c>
      <c r="P3043">
        <v>402.7</v>
      </c>
      <c r="Q3043">
        <v>409.4</v>
      </c>
      <c r="R3043">
        <v>394.15</v>
      </c>
      <c r="S3043">
        <v>399.15</v>
      </c>
      <c r="T3043">
        <v>398.3</v>
      </c>
      <c r="U3043">
        <v>397.95</v>
      </c>
      <c r="W3043">
        <v>399.14</v>
      </c>
      <c r="Z3043">
        <v>634613</v>
      </c>
      <c r="AA3043">
        <v>254012841.5</v>
      </c>
      <c r="AB3043">
        <v>15389</v>
      </c>
      <c r="AC3043" t="s">
        <v>42</v>
      </c>
      <c r="AD3043">
        <v>1</v>
      </c>
    </row>
    <row r="3044" spans="1:30">
      <c r="A3044" t="str">
        <f>CONCATENATE(I3044,J3044)</f>
        <v>SNOWMANEQ</v>
      </c>
      <c r="B3044" s="34">
        <v>46273</v>
      </c>
      <c r="C3044" s="34">
        <v>46273</v>
      </c>
      <c r="D3044" t="s">
        <v>35</v>
      </c>
      <c r="E3044" t="s">
        <v>36</v>
      </c>
      <c r="F3044" t="s">
        <v>37</v>
      </c>
      <c r="G3044">
        <v>4843</v>
      </c>
      <c r="H3044" t="s">
        <v>9201</v>
      </c>
      <c r="I3044" t="s">
        <v>9202</v>
      </c>
      <c r="J3044" t="s">
        <v>161</v>
      </c>
      <c r="O3044" t="s">
        <v>9203</v>
      </c>
      <c r="P3044">
        <v>36.69</v>
      </c>
      <c r="Q3044">
        <v>37.26</v>
      </c>
      <c r="R3044">
        <v>36</v>
      </c>
      <c r="S3044">
        <v>36.83</v>
      </c>
      <c r="T3044">
        <v>36.950000000000003</v>
      </c>
      <c r="U3044">
        <v>36.67</v>
      </c>
      <c r="W3044">
        <v>36.83</v>
      </c>
      <c r="Z3044">
        <v>118533</v>
      </c>
      <c r="AA3044">
        <v>4361502.84</v>
      </c>
      <c r="AB3044">
        <v>1153</v>
      </c>
      <c r="AC3044" t="s">
        <v>42</v>
      </c>
      <c r="AD3044">
        <v>1</v>
      </c>
    </row>
    <row r="3045" spans="1:30">
      <c r="A3045" t="str">
        <f>CONCATENATE(I3045,J3045)</f>
        <v>SOBHAEQ</v>
      </c>
      <c r="B3045" s="34">
        <v>46273</v>
      </c>
      <c r="C3045" s="34">
        <v>46273</v>
      </c>
      <c r="D3045" t="s">
        <v>35</v>
      </c>
      <c r="E3045" t="s">
        <v>36</v>
      </c>
      <c r="F3045" t="s">
        <v>37</v>
      </c>
      <c r="G3045">
        <v>13826</v>
      </c>
      <c r="H3045" t="s">
        <v>9204</v>
      </c>
      <c r="I3045" t="s">
        <v>9205</v>
      </c>
      <c r="J3045" t="s">
        <v>161</v>
      </c>
      <c r="O3045" t="s">
        <v>9206</v>
      </c>
      <c r="P3045">
        <v>1255</v>
      </c>
      <c r="Q3045">
        <v>1262.4000000000001</v>
      </c>
      <c r="R3045">
        <v>1242</v>
      </c>
      <c r="S3045">
        <v>1255.5999999999999</v>
      </c>
      <c r="T3045">
        <v>1256.5</v>
      </c>
      <c r="U3045">
        <v>1250.0999999999999</v>
      </c>
      <c r="W3045">
        <v>1255.6300000000001</v>
      </c>
      <c r="Z3045">
        <v>33085</v>
      </c>
      <c r="AA3045">
        <v>41459115.600000001</v>
      </c>
      <c r="AB3045">
        <v>4442</v>
      </c>
      <c r="AC3045" t="s">
        <v>42</v>
      </c>
      <c r="AD3045">
        <v>1</v>
      </c>
    </row>
    <row r="3046" spans="1:30">
      <c r="A3046" t="str">
        <f>CONCATENATE(I3046,J3046)</f>
        <v>SOFTTECHEQ</v>
      </c>
      <c r="B3046" s="34">
        <v>46273</v>
      </c>
      <c r="C3046" s="34">
        <v>46273</v>
      </c>
      <c r="D3046" t="s">
        <v>35</v>
      </c>
      <c r="E3046" t="s">
        <v>36</v>
      </c>
      <c r="F3046" t="s">
        <v>37</v>
      </c>
      <c r="G3046">
        <v>8266</v>
      </c>
      <c r="H3046" t="s">
        <v>9207</v>
      </c>
      <c r="I3046" t="s">
        <v>9208</v>
      </c>
      <c r="J3046" t="s">
        <v>161</v>
      </c>
      <c r="O3046" t="s">
        <v>9209</v>
      </c>
      <c r="P3046">
        <v>421</v>
      </c>
      <c r="Q3046">
        <v>447</v>
      </c>
      <c r="R3046">
        <v>421</v>
      </c>
      <c r="S3046">
        <v>438</v>
      </c>
      <c r="T3046">
        <v>440.95</v>
      </c>
      <c r="U3046">
        <v>432.45</v>
      </c>
      <c r="W3046">
        <v>438</v>
      </c>
      <c r="Z3046">
        <v>4536</v>
      </c>
      <c r="AA3046">
        <v>1991420.9</v>
      </c>
      <c r="AB3046">
        <v>188</v>
      </c>
      <c r="AC3046" t="s">
        <v>42</v>
      </c>
      <c r="AD3046">
        <v>1</v>
      </c>
    </row>
    <row r="3047" spans="1:30">
      <c r="A3047" t="str">
        <f>CONCATENATE(I3047,J3047)</f>
        <v>SOLARINDSEQ</v>
      </c>
      <c r="B3047" s="34">
        <v>46273</v>
      </c>
      <c r="C3047" s="34">
        <v>46273</v>
      </c>
      <c r="D3047" t="s">
        <v>35</v>
      </c>
      <c r="E3047" t="s">
        <v>36</v>
      </c>
      <c r="F3047" t="s">
        <v>37</v>
      </c>
      <c r="G3047">
        <v>13332</v>
      </c>
      <c r="H3047" t="s">
        <v>9210</v>
      </c>
      <c r="I3047" t="s">
        <v>9211</v>
      </c>
      <c r="J3047" t="s">
        <v>161</v>
      </c>
      <c r="O3047" t="s">
        <v>9212</v>
      </c>
      <c r="P3047">
        <v>22130</v>
      </c>
      <c r="Q3047">
        <v>22495</v>
      </c>
      <c r="R3047">
        <v>21925</v>
      </c>
      <c r="S3047">
        <v>22455</v>
      </c>
      <c r="T3047">
        <v>22455</v>
      </c>
      <c r="U3047">
        <v>21950</v>
      </c>
      <c r="W3047">
        <v>22455.06</v>
      </c>
      <c r="Z3047">
        <v>217218</v>
      </c>
      <c r="AA3047">
        <v>4854675775</v>
      </c>
      <c r="AB3047">
        <v>46357</v>
      </c>
      <c r="AC3047" t="s">
        <v>42</v>
      </c>
      <c r="AD3047">
        <v>1</v>
      </c>
    </row>
    <row r="3048" spans="1:30">
      <c r="A3048" t="str">
        <f>CONCATENATE(I3048,J3048)</f>
        <v>SOLARAEQ</v>
      </c>
      <c r="B3048" s="34">
        <v>46273</v>
      </c>
      <c r="C3048" s="34">
        <v>46273</v>
      </c>
      <c r="D3048" t="s">
        <v>35</v>
      </c>
      <c r="E3048" t="s">
        <v>36</v>
      </c>
      <c r="F3048" t="s">
        <v>37</v>
      </c>
      <c r="G3048">
        <v>3672</v>
      </c>
      <c r="H3048" t="s">
        <v>9213</v>
      </c>
      <c r="I3048" t="s">
        <v>9214</v>
      </c>
      <c r="J3048" t="s">
        <v>161</v>
      </c>
      <c r="O3048" t="s">
        <v>9215</v>
      </c>
      <c r="P3048">
        <v>708</v>
      </c>
      <c r="Q3048">
        <v>719</v>
      </c>
      <c r="R3048">
        <v>683.05</v>
      </c>
      <c r="S3048">
        <v>701.8</v>
      </c>
      <c r="T3048">
        <v>700</v>
      </c>
      <c r="U3048">
        <v>697.05</v>
      </c>
      <c r="W3048">
        <v>701.84</v>
      </c>
      <c r="Z3048">
        <v>800696</v>
      </c>
      <c r="AA3048">
        <v>564327025.60000002</v>
      </c>
      <c r="AB3048">
        <v>30768</v>
      </c>
      <c r="AC3048" t="s">
        <v>42</v>
      </c>
      <c r="AD3048">
        <v>1</v>
      </c>
    </row>
    <row r="3049" spans="1:30">
      <c r="A3049" t="str">
        <f>CONCATENATE(I3049,J3049)</f>
        <v>SOLARWORLDEQ</v>
      </c>
      <c r="B3049" s="34">
        <v>46273</v>
      </c>
      <c r="C3049" s="34">
        <v>46273</v>
      </c>
      <c r="D3049" t="s">
        <v>35</v>
      </c>
      <c r="E3049" t="s">
        <v>36</v>
      </c>
      <c r="F3049" t="s">
        <v>37</v>
      </c>
      <c r="G3049">
        <v>759929</v>
      </c>
      <c r="H3049" t="s">
        <v>9216</v>
      </c>
      <c r="I3049" t="s">
        <v>9217</v>
      </c>
      <c r="J3049" t="s">
        <v>161</v>
      </c>
      <c r="O3049" t="s">
        <v>9218</v>
      </c>
      <c r="P3049">
        <v>152.88</v>
      </c>
      <c r="Q3049">
        <v>153</v>
      </c>
      <c r="R3049">
        <v>147.56</v>
      </c>
      <c r="S3049">
        <v>147.99</v>
      </c>
      <c r="T3049">
        <v>149.19999999999999</v>
      </c>
      <c r="U3049">
        <v>147.9</v>
      </c>
      <c r="W3049">
        <v>147.99</v>
      </c>
      <c r="Z3049">
        <v>555468</v>
      </c>
      <c r="AA3049">
        <v>82392799.909999996</v>
      </c>
      <c r="AB3049">
        <v>2125</v>
      </c>
      <c r="AC3049" t="s">
        <v>42</v>
      </c>
      <c r="AD3049">
        <v>1</v>
      </c>
    </row>
    <row r="3050" spans="1:30">
      <c r="A3050" t="str">
        <f>CONCATENATE(I3050,J3050)</f>
        <v>SOLEXEQ</v>
      </c>
      <c r="B3050" s="34">
        <v>46273</v>
      </c>
      <c r="C3050" s="34">
        <v>46273</v>
      </c>
      <c r="D3050" t="s">
        <v>35</v>
      </c>
      <c r="E3050" t="s">
        <v>36</v>
      </c>
      <c r="F3050" t="s">
        <v>37</v>
      </c>
      <c r="G3050">
        <v>759397</v>
      </c>
      <c r="H3050" t="s">
        <v>9219</v>
      </c>
      <c r="I3050" t="s">
        <v>9220</v>
      </c>
      <c r="J3050" t="s">
        <v>161</v>
      </c>
      <c r="O3050" t="s">
        <v>9221</v>
      </c>
      <c r="P3050">
        <v>720.15</v>
      </c>
      <c r="Q3050">
        <v>729.5</v>
      </c>
      <c r="R3050">
        <v>710.6</v>
      </c>
      <c r="S3050">
        <v>725.05</v>
      </c>
      <c r="T3050">
        <v>729.5</v>
      </c>
      <c r="U3050">
        <v>718.45</v>
      </c>
      <c r="W3050">
        <v>725.03</v>
      </c>
      <c r="Z3050">
        <v>15357</v>
      </c>
      <c r="AA3050">
        <v>11075638.699999999</v>
      </c>
      <c r="AB3050">
        <v>1875</v>
      </c>
      <c r="AC3050" t="s">
        <v>42</v>
      </c>
      <c r="AD3050">
        <v>1</v>
      </c>
    </row>
    <row r="3051" spans="1:30">
      <c r="A3051" t="str">
        <f>CONCATENATE(I3051,J3051)</f>
        <v>SDBLEQ</v>
      </c>
      <c r="B3051" s="34">
        <v>46273</v>
      </c>
      <c r="C3051" s="34">
        <v>46273</v>
      </c>
      <c r="D3051" t="s">
        <v>35</v>
      </c>
      <c r="E3051" t="s">
        <v>36</v>
      </c>
      <c r="F3051" t="s">
        <v>37</v>
      </c>
      <c r="G3051">
        <v>1338</v>
      </c>
      <c r="H3051" t="s">
        <v>9222</v>
      </c>
      <c r="I3051" t="s">
        <v>9223</v>
      </c>
      <c r="J3051" t="s">
        <v>161</v>
      </c>
      <c r="O3051" t="s">
        <v>9224</v>
      </c>
      <c r="P3051">
        <v>75.02</v>
      </c>
      <c r="Q3051">
        <v>75.17</v>
      </c>
      <c r="R3051">
        <v>72.099999999999994</v>
      </c>
      <c r="S3051">
        <v>72.39</v>
      </c>
      <c r="T3051">
        <v>72.2</v>
      </c>
      <c r="U3051">
        <v>75.02</v>
      </c>
      <c r="W3051">
        <v>72.39</v>
      </c>
      <c r="Z3051">
        <v>493821</v>
      </c>
      <c r="AA3051">
        <v>36194290.670000002</v>
      </c>
      <c r="AB3051">
        <v>4164</v>
      </c>
      <c r="AC3051" t="s">
        <v>42</v>
      </c>
      <c r="AD3051">
        <v>1</v>
      </c>
    </row>
    <row r="3052" spans="1:30">
      <c r="A3052" t="str">
        <f>CONCATENATE(I3052,J3052)</f>
        <v>SOMATEXEQ</v>
      </c>
      <c r="B3052" s="34">
        <v>46273</v>
      </c>
      <c r="C3052" s="34">
        <v>46273</v>
      </c>
      <c r="D3052" t="s">
        <v>35</v>
      </c>
      <c r="E3052" t="s">
        <v>36</v>
      </c>
      <c r="F3052" t="s">
        <v>37</v>
      </c>
      <c r="G3052">
        <v>4201</v>
      </c>
      <c r="H3052" t="s">
        <v>9225</v>
      </c>
      <c r="I3052" t="s">
        <v>9226</v>
      </c>
      <c r="J3052" t="s">
        <v>161</v>
      </c>
      <c r="O3052" t="s">
        <v>9227</v>
      </c>
      <c r="P3052">
        <v>89.62</v>
      </c>
      <c r="Q3052">
        <v>89.62</v>
      </c>
      <c r="R3052">
        <v>84.01</v>
      </c>
      <c r="S3052">
        <v>85.27</v>
      </c>
      <c r="T3052">
        <v>85.26</v>
      </c>
      <c r="U3052">
        <v>86.72</v>
      </c>
      <c r="W3052">
        <v>85.14</v>
      </c>
      <c r="Z3052">
        <v>7555</v>
      </c>
      <c r="AA3052">
        <v>645062.29</v>
      </c>
      <c r="AB3052">
        <v>218</v>
      </c>
      <c r="AC3052" t="s">
        <v>42</v>
      </c>
      <c r="AD3052">
        <v>1</v>
      </c>
    </row>
    <row r="3053" spans="1:30">
      <c r="A3053" t="str">
        <f>CONCATENATE(I3053,J3053)</f>
        <v>SOMANYCERAEQ</v>
      </c>
      <c r="B3053" s="34">
        <v>46273</v>
      </c>
      <c r="C3053" s="34">
        <v>46273</v>
      </c>
      <c r="D3053" t="s">
        <v>35</v>
      </c>
      <c r="E3053" t="s">
        <v>36</v>
      </c>
      <c r="F3053" t="s">
        <v>37</v>
      </c>
      <c r="G3053">
        <v>3880</v>
      </c>
      <c r="H3053" t="s">
        <v>9228</v>
      </c>
      <c r="I3053" t="s">
        <v>9229</v>
      </c>
      <c r="J3053" t="s">
        <v>161</v>
      </c>
      <c r="O3053" t="s">
        <v>9230</v>
      </c>
      <c r="P3053">
        <v>556.95000000000005</v>
      </c>
      <c r="Q3053">
        <v>564</v>
      </c>
      <c r="R3053">
        <v>555.4</v>
      </c>
      <c r="S3053">
        <v>562.65</v>
      </c>
      <c r="T3053">
        <v>563.6</v>
      </c>
      <c r="U3053">
        <v>559.4</v>
      </c>
      <c r="W3053">
        <v>562.71</v>
      </c>
      <c r="Z3053">
        <v>68944</v>
      </c>
      <c r="AA3053">
        <v>38526718.899999999</v>
      </c>
      <c r="AB3053">
        <v>3695</v>
      </c>
      <c r="AC3053" t="s">
        <v>42</v>
      </c>
      <c r="AD3053">
        <v>1</v>
      </c>
    </row>
    <row r="3054" spans="1:30">
      <c r="A3054" t="str">
        <f>CONCATENATE(I3054,J3054)</f>
        <v>SOMICONVEYEQ</v>
      </c>
      <c r="B3054" s="34">
        <v>46273</v>
      </c>
      <c r="C3054" s="34">
        <v>46273</v>
      </c>
      <c r="D3054" t="s">
        <v>35</v>
      </c>
      <c r="E3054" t="s">
        <v>36</v>
      </c>
      <c r="F3054" t="s">
        <v>37</v>
      </c>
      <c r="G3054">
        <v>17794</v>
      </c>
      <c r="H3054" t="s">
        <v>9231</v>
      </c>
      <c r="I3054" t="s">
        <v>9232</v>
      </c>
      <c r="J3054" t="s">
        <v>161</v>
      </c>
      <c r="O3054" t="s">
        <v>9233</v>
      </c>
      <c r="P3054">
        <v>94</v>
      </c>
      <c r="Q3054">
        <v>94</v>
      </c>
      <c r="R3054">
        <v>91.06</v>
      </c>
      <c r="S3054">
        <v>91.64</v>
      </c>
      <c r="T3054">
        <v>91.5</v>
      </c>
      <c r="U3054">
        <v>92.37</v>
      </c>
      <c r="W3054">
        <v>91.57</v>
      </c>
      <c r="Z3054">
        <v>7510</v>
      </c>
      <c r="AA3054">
        <v>690470.54</v>
      </c>
      <c r="AB3054">
        <v>136</v>
      </c>
      <c r="AC3054" t="s">
        <v>42</v>
      </c>
      <c r="AD3054">
        <v>1</v>
      </c>
    </row>
    <row r="3055" spans="1:30">
      <c r="A3055" t="str">
        <f>CONCATENATE(I3055,J3055)</f>
        <v>SONACOMSEQ</v>
      </c>
      <c r="B3055" s="34">
        <v>46273</v>
      </c>
      <c r="C3055" s="34">
        <v>46273</v>
      </c>
      <c r="D3055" t="s">
        <v>35</v>
      </c>
      <c r="E3055" t="s">
        <v>36</v>
      </c>
      <c r="F3055" t="s">
        <v>37</v>
      </c>
      <c r="G3055">
        <v>4684</v>
      </c>
      <c r="H3055" t="s">
        <v>9234</v>
      </c>
      <c r="I3055" t="s">
        <v>9235</v>
      </c>
      <c r="J3055" t="s">
        <v>161</v>
      </c>
      <c r="O3055" t="s">
        <v>9236</v>
      </c>
      <c r="P3055">
        <v>785.95</v>
      </c>
      <c r="Q3055">
        <v>805.9</v>
      </c>
      <c r="R3055">
        <v>778.2</v>
      </c>
      <c r="S3055">
        <v>804</v>
      </c>
      <c r="T3055">
        <v>804</v>
      </c>
      <c r="U3055">
        <v>788</v>
      </c>
      <c r="W3055">
        <v>803.95</v>
      </c>
      <c r="Z3055">
        <v>1137878</v>
      </c>
      <c r="AA3055">
        <v>902139190.29999995</v>
      </c>
      <c r="AB3055">
        <v>31230</v>
      </c>
      <c r="AC3055" t="s">
        <v>42</v>
      </c>
      <c r="AD3055">
        <v>1</v>
      </c>
    </row>
    <row r="3056" spans="1:30">
      <c r="A3056" t="str">
        <f>CONCATENATE(I3056,J3056)</f>
        <v>SONAMACSM</v>
      </c>
      <c r="B3056" s="34">
        <v>46273</v>
      </c>
      <c r="C3056" s="34">
        <v>46273</v>
      </c>
      <c r="D3056" t="s">
        <v>35</v>
      </c>
      <c r="E3056" t="s">
        <v>36</v>
      </c>
      <c r="F3056" t="s">
        <v>37</v>
      </c>
      <c r="G3056">
        <v>23052</v>
      </c>
      <c r="H3056" t="s">
        <v>9237</v>
      </c>
      <c r="I3056" t="s">
        <v>9238</v>
      </c>
      <c r="J3056" t="s">
        <v>267</v>
      </c>
      <c r="O3056" t="s">
        <v>9239</v>
      </c>
      <c r="P3056">
        <v>32.9</v>
      </c>
      <c r="Q3056">
        <v>34.549999999999997</v>
      </c>
      <c r="R3056">
        <v>31.6</v>
      </c>
      <c r="S3056">
        <v>34.549999999999997</v>
      </c>
      <c r="T3056">
        <v>34.549999999999997</v>
      </c>
      <c r="U3056">
        <v>32.950000000000003</v>
      </c>
      <c r="W3056">
        <v>34.549999999999997</v>
      </c>
      <c r="Z3056">
        <v>7000</v>
      </c>
      <c r="AA3056">
        <v>235050</v>
      </c>
      <c r="AB3056">
        <v>7</v>
      </c>
      <c r="AC3056" t="s">
        <v>42</v>
      </c>
      <c r="AD3056">
        <v>1000</v>
      </c>
    </row>
    <row r="3057" spans="1:30">
      <c r="A3057" t="str">
        <f>CONCATENATE(I3057,J3057)</f>
        <v>SONALEQ</v>
      </c>
      <c r="B3057" s="34">
        <v>46273</v>
      </c>
      <c r="C3057" s="34">
        <v>46273</v>
      </c>
      <c r="D3057" t="s">
        <v>35</v>
      </c>
      <c r="E3057" t="s">
        <v>36</v>
      </c>
      <c r="F3057" t="s">
        <v>37</v>
      </c>
      <c r="G3057">
        <v>762919</v>
      </c>
      <c r="H3057" t="s">
        <v>9240</v>
      </c>
      <c r="I3057" t="s">
        <v>9241</v>
      </c>
      <c r="J3057" t="s">
        <v>161</v>
      </c>
      <c r="O3057" t="s">
        <v>9242</v>
      </c>
      <c r="P3057">
        <v>88.98</v>
      </c>
      <c r="Q3057">
        <v>88.98</v>
      </c>
      <c r="R3057">
        <v>88.5</v>
      </c>
      <c r="S3057">
        <v>88.85</v>
      </c>
      <c r="T3057">
        <v>88.95</v>
      </c>
      <c r="U3057">
        <v>88.98</v>
      </c>
      <c r="W3057">
        <v>88.85</v>
      </c>
      <c r="Z3057">
        <v>120</v>
      </c>
      <c r="AA3057">
        <v>10669.83</v>
      </c>
      <c r="AB3057">
        <v>7</v>
      </c>
      <c r="AC3057" t="s">
        <v>42</v>
      </c>
      <c r="AD3057">
        <v>1</v>
      </c>
    </row>
    <row r="3058" spans="1:30">
      <c r="A3058" t="str">
        <f>CONCATENATE(I3058,J3058)</f>
        <v>SONAMLTDBE</v>
      </c>
      <c r="B3058" s="34">
        <v>46273</v>
      </c>
      <c r="C3058" s="34">
        <v>46273</v>
      </c>
      <c r="D3058" t="s">
        <v>35</v>
      </c>
      <c r="E3058" t="s">
        <v>36</v>
      </c>
      <c r="F3058" t="s">
        <v>37</v>
      </c>
      <c r="G3058">
        <v>8817</v>
      </c>
      <c r="H3058" t="s">
        <v>9243</v>
      </c>
      <c r="I3058" t="s">
        <v>9244</v>
      </c>
      <c r="J3058" t="s">
        <v>183</v>
      </c>
      <c r="O3058" t="s">
        <v>9245</v>
      </c>
      <c r="P3058">
        <v>72.58</v>
      </c>
      <c r="Q3058">
        <v>72.58</v>
      </c>
      <c r="R3058">
        <v>71.25</v>
      </c>
      <c r="S3058">
        <v>72.5</v>
      </c>
      <c r="T3058">
        <v>72.58</v>
      </c>
      <c r="U3058">
        <v>69.13</v>
      </c>
      <c r="W3058">
        <v>72.5</v>
      </c>
      <c r="Z3058">
        <v>239293</v>
      </c>
      <c r="AA3058">
        <v>17279080.920000002</v>
      </c>
      <c r="AB3058">
        <v>537</v>
      </c>
      <c r="AC3058" t="s">
        <v>42</v>
      </c>
      <c r="AD3058">
        <v>1</v>
      </c>
    </row>
    <row r="3059" spans="1:30">
      <c r="A3059" t="str">
        <f>CONCATENATE(I3059,J3059)</f>
        <v>SONATSOFTWEQ</v>
      </c>
      <c r="B3059" s="34">
        <v>46273</v>
      </c>
      <c r="C3059" s="34">
        <v>46273</v>
      </c>
      <c r="D3059" t="s">
        <v>35</v>
      </c>
      <c r="E3059" t="s">
        <v>36</v>
      </c>
      <c r="F3059" t="s">
        <v>37</v>
      </c>
      <c r="G3059">
        <v>6596</v>
      </c>
      <c r="H3059" t="s">
        <v>9246</v>
      </c>
      <c r="I3059" t="s">
        <v>9247</v>
      </c>
      <c r="J3059" t="s">
        <v>161</v>
      </c>
      <c r="O3059" t="s">
        <v>9248</v>
      </c>
      <c r="P3059">
        <v>284.5</v>
      </c>
      <c r="Q3059">
        <v>284.8</v>
      </c>
      <c r="R3059">
        <v>273</v>
      </c>
      <c r="S3059">
        <v>274.25</v>
      </c>
      <c r="T3059">
        <v>274.35000000000002</v>
      </c>
      <c r="U3059">
        <v>283.85000000000002</v>
      </c>
      <c r="W3059">
        <v>274.25</v>
      </c>
      <c r="Z3059">
        <v>918276</v>
      </c>
      <c r="AA3059">
        <v>253733653.05000001</v>
      </c>
      <c r="AB3059">
        <v>18170</v>
      </c>
      <c r="AC3059" t="s">
        <v>42</v>
      </c>
      <c r="AD3059">
        <v>1</v>
      </c>
    </row>
    <row r="3060" spans="1:30">
      <c r="A3060" t="str">
        <f>CONCATENATE(I3060,J3060)</f>
        <v>SONUINFRAST</v>
      </c>
      <c r="B3060" s="34">
        <v>46273</v>
      </c>
      <c r="C3060" s="34">
        <v>46273</v>
      </c>
      <c r="D3060" t="s">
        <v>35</v>
      </c>
      <c r="E3060" t="s">
        <v>36</v>
      </c>
      <c r="F3060" t="s">
        <v>37</v>
      </c>
      <c r="G3060">
        <v>9463</v>
      </c>
      <c r="H3060" t="s">
        <v>9249</v>
      </c>
      <c r="I3060" t="s">
        <v>9250</v>
      </c>
      <c r="J3060" t="s">
        <v>328</v>
      </c>
      <c r="O3060" t="s">
        <v>9251</v>
      </c>
      <c r="P3060">
        <v>48.95</v>
      </c>
      <c r="Q3060">
        <v>48.95</v>
      </c>
      <c r="R3060">
        <v>47.6</v>
      </c>
      <c r="S3060">
        <v>48.95</v>
      </c>
      <c r="T3060">
        <v>48.95</v>
      </c>
      <c r="U3060">
        <v>46.65</v>
      </c>
      <c r="W3060">
        <v>48.95</v>
      </c>
      <c r="Z3060">
        <v>115500</v>
      </c>
      <c r="AA3060">
        <v>5641950</v>
      </c>
      <c r="AB3060">
        <v>60</v>
      </c>
      <c r="AC3060" t="s">
        <v>42</v>
      </c>
      <c r="AD3060">
        <v>1500</v>
      </c>
    </row>
    <row r="3061" spans="1:30">
      <c r="A3061" t="str">
        <f>CONCATENATE(I3061,J3061)</f>
        <v>SOUTHWESTEQ</v>
      </c>
      <c r="B3061" s="34">
        <v>46273</v>
      </c>
      <c r="C3061" s="34">
        <v>46273</v>
      </c>
      <c r="D3061" t="s">
        <v>35</v>
      </c>
      <c r="E3061" t="s">
        <v>36</v>
      </c>
      <c r="F3061" t="s">
        <v>37</v>
      </c>
      <c r="G3061">
        <v>9678</v>
      </c>
      <c r="H3061" t="s">
        <v>9252</v>
      </c>
      <c r="I3061" t="s">
        <v>9253</v>
      </c>
      <c r="J3061" t="s">
        <v>161</v>
      </c>
      <c r="O3061" t="s">
        <v>9254</v>
      </c>
      <c r="P3061">
        <v>222.46</v>
      </c>
      <c r="Q3061">
        <v>234.4</v>
      </c>
      <c r="R3061">
        <v>217.35</v>
      </c>
      <c r="S3061">
        <v>230.38</v>
      </c>
      <c r="T3061">
        <v>230</v>
      </c>
      <c r="U3061">
        <v>222.26</v>
      </c>
      <c r="W3061">
        <v>230.39</v>
      </c>
      <c r="Z3061">
        <v>606636</v>
      </c>
      <c r="AA3061">
        <v>138057045.58000001</v>
      </c>
      <c r="AB3061">
        <v>12759</v>
      </c>
      <c r="AC3061" t="s">
        <v>42</v>
      </c>
      <c r="AD3061">
        <v>1</v>
      </c>
    </row>
    <row r="3062" spans="1:30">
      <c r="A3062" t="str">
        <f>CONCATENATE(I3062,J3062)</f>
        <v>SPCENETEQ</v>
      </c>
      <c r="B3062" s="34">
        <v>46273</v>
      </c>
      <c r="C3062" s="34">
        <v>46273</v>
      </c>
      <c r="D3062" t="s">
        <v>35</v>
      </c>
      <c r="E3062" t="s">
        <v>36</v>
      </c>
      <c r="F3062" t="s">
        <v>37</v>
      </c>
      <c r="G3062">
        <v>19372</v>
      </c>
      <c r="H3062" t="s">
        <v>9255</v>
      </c>
      <c r="I3062" t="s">
        <v>9256</v>
      </c>
      <c r="J3062" t="s">
        <v>161</v>
      </c>
      <c r="O3062" t="s">
        <v>9257</v>
      </c>
      <c r="P3062">
        <v>3.56</v>
      </c>
      <c r="Q3062">
        <v>3.65</v>
      </c>
      <c r="R3062">
        <v>3.5</v>
      </c>
      <c r="S3062">
        <v>3.61</v>
      </c>
      <c r="T3062">
        <v>3.59</v>
      </c>
      <c r="U3062">
        <v>3.56</v>
      </c>
      <c r="W3062">
        <v>3.61</v>
      </c>
      <c r="Z3062">
        <v>512719</v>
      </c>
      <c r="AA3062">
        <v>1822451.8</v>
      </c>
      <c r="AB3062">
        <v>582</v>
      </c>
      <c r="AC3062" t="s">
        <v>42</v>
      </c>
      <c r="AD3062">
        <v>1</v>
      </c>
    </row>
    <row r="3063" spans="1:30">
      <c r="A3063" t="str">
        <f>CONCATENATE(I3063,J3063)</f>
        <v>SPANDANAEQ</v>
      </c>
      <c r="B3063" s="34">
        <v>46273</v>
      </c>
      <c r="C3063" s="34">
        <v>46273</v>
      </c>
      <c r="D3063" t="s">
        <v>35</v>
      </c>
      <c r="E3063" t="s">
        <v>36</v>
      </c>
      <c r="F3063" t="s">
        <v>37</v>
      </c>
      <c r="G3063">
        <v>11435</v>
      </c>
      <c r="H3063" t="s">
        <v>9258</v>
      </c>
      <c r="I3063" t="s">
        <v>9259</v>
      </c>
      <c r="J3063" t="s">
        <v>161</v>
      </c>
      <c r="O3063" t="s">
        <v>9260</v>
      </c>
      <c r="P3063">
        <v>238.88</v>
      </c>
      <c r="Q3063">
        <v>240.75</v>
      </c>
      <c r="R3063">
        <v>236.22</v>
      </c>
      <c r="S3063">
        <v>239.74</v>
      </c>
      <c r="T3063">
        <v>237.9</v>
      </c>
      <c r="U3063">
        <v>238.88</v>
      </c>
      <c r="W3063">
        <v>239.73</v>
      </c>
      <c r="Z3063">
        <v>48135</v>
      </c>
      <c r="AA3063">
        <v>11453188.6</v>
      </c>
      <c r="AB3063">
        <v>2150</v>
      </c>
      <c r="AC3063" t="s">
        <v>42</v>
      </c>
      <c r="AD3063">
        <v>1</v>
      </c>
    </row>
    <row r="3064" spans="1:30">
      <c r="A3064" t="str">
        <f>CONCATENATE(I3064,J3064)</f>
        <v>SPEBSM</v>
      </c>
      <c r="B3064" s="34">
        <v>46273</v>
      </c>
      <c r="C3064" s="34">
        <v>46273</v>
      </c>
      <c r="D3064" t="s">
        <v>35</v>
      </c>
      <c r="E3064" t="s">
        <v>36</v>
      </c>
      <c r="F3064" t="s">
        <v>37</v>
      </c>
      <c r="G3064">
        <v>760135</v>
      </c>
      <c r="H3064" t="s">
        <v>9261</v>
      </c>
      <c r="I3064" t="s">
        <v>9262</v>
      </c>
      <c r="J3064" t="s">
        <v>267</v>
      </c>
      <c r="O3064" t="s">
        <v>9263</v>
      </c>
      <c r="P3064">
        <v>93</v>
      </c>
      <c r="Q3064">
        <v>93</v>
      </c>
      <c r="R3064">
        <v>93</v>
      </c>
      <c r="S3064">
        <v>93</v>
      </c>
      <c r="T3064">
        <v>93</v>
      </c>
      <c r="U3064">
        <v>92.1</v>
      </c>
      <c r="W3064">
        <v>93</v>
      </c>
      <c r="Z3064">
        <v>2000</v>
      </c>
      <c r="AA3064">
        <v>186000</v>
      </c>
      <c r="AB3064">
        <v>1</v>
      </c>
      <c r="AC3064" t="s">
        <v>42</v>
      </c>
      <c r="AD3064">
        <v>2000</v>
      </c>
    </row>
    <row r="3065" spans="1:30">
      <c r="A3065" t="str">
        <f>CONCATENATE(I3065,J3065)</f>
        <v>SPECIALITYBE</v>
      </c>
      <c r="B3065" s="34">
        <v>46273</v>
      </c>
      <c r="C3065" s="34">
        <v>46273</v>
      </c>
      <c r="D3065" t="s">
        <v>35</v>
      </c>
      <c r="E3065" t="s">
        <v>36</v>
      </c>
      <c r="F3065" t="s">
        <v>37</v>
      </c>
      <c r="G3065">
        <v>27111</v>
      </c>
      <c r="H3065" t="s">
        <v>9264</v>
      </c>
      <c r="I3065" t="s">
        <v>9265</v>
      </c>
      <c r="J3065" t="s">
        <v>183</v>
      </c>
      <c r="O3065" t="s">
        <v>9266</v>
      </c>
      <c r="P3065">
        <v>136.4</v>
      </c>
      <c r="Q3065">
        <v>136.4</v>
      </c>
      <c r="R3065">
        <v>132</v>
      </c>
      <c r="S3065">
        <v>133.78</v>
      </c>
      <c r="T3065">
        <v>133.66</v>
      </c>
      <c r="U3065">
        <v>135.29</v>
      </c>
      <c r="W3065">
        <v>133.78</v>
      </c>
      <c r="Z3065">
        <v>10889</v>
      </c>
      <c r="AA3065">
        <v>1458291.25</v>
      </c>
      <c r="AB3065">
        <v>130</v>
      </c>
      <c r="AC3065" t="s">
        <v>42</v>
      </c>
      <c r="AD3065">
        <v>1</v>
      </c>
    </row>
    <row r="3066" spans="1:30">
      <c r="A3066" t="str">
        <f>CONCATENATE(I3066,J3066)</f>
        <v>SPECTRUMBE</v>
      </c>
      <c r="B3066" s="34">
        <v>46273</v>
      </c>
      <c r="C3066" s="34">
        <v>46273</v>
      </c>
      <c r="D3066" t="s">
        <v>35</v>
      </c>
      <c r="E3066" t="s">
        <v>36</v>
      </c>
      <c r="F3066" t="s">
        <v>37</v>
      </c>
      <c r="G3066">
        <v>30457</v>
      </c>
      <c r="H3066" t="s">
        <v>9267</v>
      </c>
      <c r="I3066" t="s">
        <v>9268</v>
      </c>
      <c r="J3066" t="s">
        <v>183</v>
      </c>
      <c r="O3066" t="s">
        <v>9269</v>
      </c>
      <c r="P3066">
        <v>2611.1</v>
      </c>
      <c r="Q3066">
        <v>2611.1</v>
      </c>
      <c r="R3066">
        <v>2611.1</v>
      </c>
      <c r="S3066">
        <v>2611.1</v>
      </c>
      <c r="T3066">
        <v>2611.1</v>
      </c>
      <c r="U3066">
        <v>2486.8000000000002</v>
      </c>
      <c r="W3066">
        <v>2611.1</v>
      </c>
      <c r="Z3066">
        <v>12874</v>
      </c>
      <c r="AA3066">
        <v>33615301.399999999</v>
      </c>
      <c r="AB3066">
        <v>316</v>
      </c>
      <c r="AC3066" t="s">
        <v>42</v>
      </c>
      <c r="AD3066">
        <v>1</v>
      </c>
    </row>
    <row r="3067" spans="1:30">
      <c r="A3067" t="str">
        <f>CONCATENATE(I3067,J3067)</f>
        <v>SPELSEQ</v>
      </c>
      <c r="B3067" s="34">
        <v>46273</v>
      </c>
      <c r="C3067" s="34">
        <v>46273</v>
      </c>
      <c r="D3067" t="s">
        <v>35</v>
      </c>
      <c r="E3067" t="s">
        <v>36</v>
      </c>
      <c r="F3067" t="s">
        <v>37</v>
      </c>
      <c r="G3067">
        <v>764920</v>
      </c>
      <c r="H3067" t="s">
        <v>9270</v>
      </c>
      <c r="I3067" t="s">
        <v>9271</v>
      </c>
      <c r="J3067" t="s">
        <v>161</v>
      </c>
      <c r="O3067" t="s">
        <v>9272</v>
      </c>
      <c r="P3067">
        <v>147.63999999999999</v>
      </c>
      <c r="Q3067">
        <v>149.5</v>
      </c>
      <c r="R3067">
        <v>145.21</v>
      </c>
      <c r="S3067">
        <v>146.6</v>
      </c>
      <c r="T3067">
        <v>146</v>
      </c>
      <c r="U3067">
        <v>147.63999999999999</v>
      </c>
      <c r="W3067">
        <v>146.51</v>
      </c>
      <c r="Z3067">
        <v>25492</v>
      </c>
      <c r="AA3067">
        <v>3749588.15</v>
      </c>
      <c r="AB3067">
        <v>981</v>
      </c>
      <c r="AC3067" t="s">
        <v>42</v>
      </c>
      <c r="AD3067">
        <v>1</v>
      </c>
    </row>
    <row r="3068" spans="1:30">
      <c r="A3068" t="str">
        <f>CONCATENATE(I3068,J3068)</f>
        <v>SPENCERSEQ</v>
      </c>
      <c r="B3068" s="34">
        <v>46273</v>
      </c>
      <c r="C3068" s="34">
        <v>46273</v>
      </c>
      <c r="D3068" t="s">
        <v>35</v>
      </c>
      <c r="E3068" t="s">
        <v>36</v>
      </c>
      <c r="F3068" t="s">
        <v>37</v>
      </c>
      <c r="G3068">
        <v>8163</v>
      </c>
      <c r="H3068" t="s">
        <v>9273</v>
      </c>
      <c r="I3068" t="s">
        <v>9274</v>
      </c>
      <c r="J3068" t="s">
        <v>161</v>
      </c>
      <c r="O3068" t="s">
        <v>9275</v>
      </c>
      <c r="P3068">
        <v>28.45</v>
      </c>
      <c r="Q3068">
        <v>29.7</v>
      </c>
      <c r="R3068">
        <v>28.45</v>
      </c>
      <c r="S3068">
        <v>29.41</v>
      </c>
      <c r="T3068">
        <v>29.15</v>
      </c>
      <c r="U3068">
        <v>28.78</v>
      </c>
      <c r="W3068">
        <v>29.37</v>
      </c>
      <c r="Z3068">
        <v>20201</v>
      </c>
      <c r="AA3068">
        <v>586976.93999999994</v>
      </c>
      <c r="AB3068">
        <v>214</v>
      </c>
      <c r="AC3068" t="s">
        <v>42</v>
      </c>
      <c r="AD3068">
        <v>1</v>
      </c>
    </row>
    <row r="3069" spans="1:30">
      <c r="A3069" t="str">
        <f>CONCATENATE(I3069,J3069)</f>
        <v>SPICEQ</v>
      </c>
      <c r="B3069" s="34">
        <v>46273</v>
      </c>
      <c r="C3069" s="34">
        <v>46273</v>
      </c>
      <c r="D3069" t="s">
        <v>35</v>
      </c>
      <c r="E3069" t="s">
        <v>36</v>
      </c>
      <c r="F3069" t="s">
        <v>37</v>
      </c>
      <c r="G3069">
        <v>3252</v>
      </c>
      <c r="H3069" t="s">
        <v>9276</v>
      </c>
      <c r="I3069" t="s">
        <v>9277</v>
      </c>
      <c r="J3069" t="s">
        <v>161</v>
      </c>
      <c r="O3069" t="s">
        <v>9278</v>
      </c>
      <c r="P3069">
        <v>70.92</v>
      </c>
      <c r="Q3069">
        <v>72.5</v>
      </c>
      <c r="R3069">
        <v>70.58</v>
      </c>
      <c r="S3069">
        <v>71.069999999999993</v>
      </c>
      <c r="T3069">
        <v>71.11</v>
      </c>
      <c r="U3069">
        <v>71.02</v>
      </c>
      <c r="W3069">
        <v>71.069999999999993</v>
      </c>
      <c r="Z3069">
        <v>720567</v>
      </c>
      <c r="AA3069">
        <v>51523055.18</v>
      </c>
      <c r="AB3069">
        <v>5212</v>
      </c>
      <c r="AC3069" t="s">
        <v>42</v>
      </c>
      <c r="AD3069">
        <v>1</v>
      </c>
    </row>
    <row r="3070" spans="1:30">
      <c r="A3070" t="str">
        <f>CONCATENATE(I3070,J3070)</f>
        <v>SPLILEQ</v>
      </c>
      <c r="B3070" s="34">
        <v>46273</v>
      </c>
      <c r="C3070" s="34">
        <v>46273</v>
      </c>
      <c r="D3070" t="s">
        <v>35</v>
      </c>
      <c r="E3070" t="s">
        <v>36</v>
      </c>
      <c r="F3070" t="s">
        <v>37</v>
      </c>
      <c r="G3070">
        <v>11935</v>
      </c>
      <c r="H3070" t="s">
        <v>9279</v>
      </c>
      <c r="I3070" t="s">
        <v>9280</v>
      </c>
      <c r="J3070" t="s">
        <v>161</v>
      </c>
      <c r="O3070" t="s">
        <v>9281</v>
      </c>
      <c r="P3070">
        <v>30.8</v>
      </c>
      <c r="Q3070">
        <v>30.99</v>
      </c>
      <c r="R3070">
        <v>30.8</v>
      </c>
      <c r="S3070">
        <v>30.8</v>
      </c>
      <c r="T3070">
        <v>30.8</v>
      </c>
      <c r="U3070">
        <v>31.09</v>
      </c>
      <c r="W3070">
        <v>30.8</v>
      </c>
      <c r="Z3070">
        <v>421</v>
      </c>
      <c r="AA3070">
        <v>12989.75</v>
      </c>
      <c r="AB3070">
        <v>20</v>
      </c>
      <c r="AC3070" t="s">
        <v>42</v>
      </c>
      <c r="AD3070">
        <v>1</v>
      </c>
    </row>
    <row r="3071" spans="1:30">
      <c r="A3071" t="str">
        <f>CONCATENATE(I3071,J3071)</f>
        <v>SPMLINFRAEQ</v>
      </c>
      <c r="B3071" s="34">
        <v>46273</v>
      </c>
      <c r="C3071" s="34">
        <v>46273</v>
      </c>
      <c r="D3071" t="s">
        <v>35</v>
      </c>
      <c r="E3071" t="s">
        <v>36</v>
      </c>
      <c r="F3071" t="s">
        <v>37</v>
      </c>
      <c r="G3071">
        <v>3321</v>
      </c>
      <c r="H3071" t="s">
        <v>9282</v>
      </c>
      <c r="I3071" t="s">
        <v>9283</v>
      </c>
      <c r="J3071" t="s">
        <v>161</v>
      </c>
      <c r="O3071" t="s">
        <v>9284</v>
      </c>
      <c r="P3071">
        <v>180.21</v>
      </c>
      <c r="Q3071">
        <v>183.44</v>
      </c>
      <c r="R3071">
        <v>175</v>
      </c>
      <c r="S3071">
        <v>176.31</v>
      </c>
      <c r="T3071">
        <v>176.5</v>
      </c>
      <c r="U3071">
        <v>180.21</v>
      </c>
      <c r="W3071">
        <v>176.31</v>
      </c>
      <c r="Z3071">
        <v>311586</v>
      </c>
      <c r="AA3071">
        <v>55467418.159999996</v>
      </c>
      <c r="AB3071">
        <v>2991</v>
      </c>
      <c r="AC3071" t="s">
        <v>42</v>
      </c>
      <c r="AD3071">
        <v>1</v>
      </c>
    </row>
    <row r="3072" spans="1:30">
      <c r="A3072" t="str">
        <f>CONCATENATE(I3072,J3072)</f>
        <v>SPORTKINGEQ</v>
      </c>
      <c r="B3072" s="34">
        <v>46273</v>
      </c>
      <c r="C3072" s="34">
        <v>46273</v>
      </c>
      <c r="D3072" t="s">
        <v>35</v>
      </c>
      <c r="E3072" t="s">
        <v>36</v>
      </c>
      <c r="F3072" t="s">
        <v>37</v>
      </c>
      <c r="G3072">
        <v>10733</v>
      </c>
      <c r="H3072" t="s">
        <v>9285</v>
      </c>
      <c r="I3072" t="s">
        <v>9286</v>
      </c>
      <c r="J3072" t="s">
        <v>161</v>
      </c>
      <c r="O3072" t="s">
        <v>9287</v>
      </c>
      <c r="P3072">
        <v>224</v>
      </c>
      <c r="Q3072">
        <v>224</v>
      </c>
      <c r="R3072">
        <v>208.71</v>
      </c>
      <c r="S3072">
        <v>215.6</v>
      </c>
      <c r="T3072">
        <v>216</v>
      </c>
      <c r="U3072">
        <v>221.85</v>
      </c>
      <c r="W3072">
        <v>215.65</v>
      </c>
      <c r="Z3072">
        <v>571188</v>
      </c>
      <c r="AA3072">
        <v>122868621.13</v>
      </c>
      <c r="AB3072">
        <v>12043</v>
      </c>
      <c r="AC3072" t="s">
        <v>42</v>
      </c>
      <c r="AD3072">
        <v>1</v>
      </c>
    </row>
    <row r="3073" spans="1:30">
      <c r="A3073" t="str">
        <f>CONCATENATE(I3073,J3073)</f>
        <v>SPPPOLYSM</v>
      </c>
      <c r="B3073" s="34">
        <v>46273</v>
      </c>
      <c r="C3073" s="34">
        <v>46273</v>
      </c>
      <c r="D3073" t="s">
        <v>35</v>
      </c>
      <c r="E3073" t="s">
        <v>36</v>
      </c>
      <c r="F3073" t="s">
        <v>37</v>
      </c>
      <c r="G3073">
        <v>25306</v>
      </c>
      <c r="H3073" t="s">
        <v>9288</v>
      </c>
      <c r="I3073" t="s">
        <v>9289</v>
      </c>
      <c r="J3073" t="s">
        <v>267</v>
      </c>
      <c r="O3073" t="s">
        <v>9290</v>
      </c>
      <c r="P3073">
        <v>12.05</v>
      </c>
      <c r="Q3073">
        <v>12.05</v>
      </c>
      <c r="R3073">
        <v>12.05</v>
      </c>
      <c r="S3073">
        <v>12.05</v>
      </c>
      <c r="T3073">
        <v>12.05</v>
      </c>
      <c r="U3073">
        <v>12.65</v>
      </c>
      <c r="W3073">
        <v>12.05</v>
      </c>
      <c r="Z3073">
        <v>4000</v>
      </c>
      <c r="AA3073">
        <v>48200</v>
      </c>
      <c r="AB3073">
        <v>2</v>
      </c>
      <c r="AC3073" t="s">
        <v>42</v>
      </c>
      <c r="AD3073">
        <v>2000</v>
      </c>
    </row>
    <row r="3074" spans="1:30">
      <c r="A3074" t="str">
        <f>CONCATENATE(I3074,J3074)</f>
        <v>SHRIPISTONEQ</v>
      </c>
      <c r="B3074" s="34">
        <v>46273</v>
      </c>
      <c r="C3074" s="34">
        <v>46273</v>
      </c>
      <c r="D3074" t="s">
        <v>35</v>
      </c>
      <c r="E3074" t="s">
        <v>36</v>
      </c>
      <c r="F3074" t="s">
        <v>37</v>
      </c>
      <c r="G3074">
        <v>17186</v>
      </c>
      <c r="H3074" t="s">
        <v>9291</v>
      </c>
      <c r="I3074" t="s">
        <v>9292</v>
      </c>
      <c r="J3074" t="s">
        <v>161</v>
      </c>
      <c r="O3074" t="s">
        <v>9293</v>
      </c>
      <c r="P3074">
        <v>4488</v>
      </c>
      <c r="Q3074">
        <v>4513.5</v>
      </c>
      <c r="R3074">
        <v>4428.2</v>
      </c>
      <c r="S3074">
        <v>4438.2</v>
      </c>
      <c r="T3074">
        <v>4440</v>
      </c>
      <c r="U3074">
        <v>4491.5</v>
      </c>
      <c r="W3074">
        <v>4438.21</v>
      </c>
      <c r="Z3074">
        <v>29385</v>
      </c>
      <c r="AA3074">
        <v>130933517.2</v>
      </c>
      <c r="AB3074">
        <v>7899</v>
      </c>
      <c r="AC3074" t="s">
        <v>42</v>
      </c>
      <c r="AD3074">
        <v>1</v>
      </c>
    </row>
    <row r="3075" spans="1:30">
      <c r="A3075" t="str">
        <f>CONCATENATE(I3075,J3075)</f>
        <v>SPUNWEBSM</v>
      </c>
      <c r="B3075" s="34">
        <v>46273</v>
      </c>
      <c r="C3075" s="34">
        <v>46273</v>
      </c>
      <c r="D3075" t="s">
        <v>35</v>
      </c>
      <c r="E3075" t="s">
        <v>36</v>
      </c>
      <c r="F3075" t="s">
        <v>37</v>
      </c>
      <c r="G3075">
        <v>757865</v>
      </c>
      <c r="H3075" t="s">
        <v>9294</v>
      </c>
      <c r="I3075" t="s">
        <v>9295</v>
      </c>
      <c r="J3075" t="s">
        <v>267</v>
      </c>
      <c r="O3075" t="s">
        <v>9296</v>
      </c>
      <c r="P3075">
        <v>98.95</v>
      </c>
      <c r="Q3075">
        <v>103</v>
      </c>
      <c r="R3075">
        <v>98.95</v>
      </c>
      <c r="S3075">
        <v>102.95</v>
      </c>
      <c r="T3075">
        <v>103</v>
      </c>
      <c r="U3075">
        <v>102.9</v>
      </c>
      <c r="W3075">
        <v>102.95</v>
      </c>
      <c r="Z3075">
        <v>8400</v>
      </c>
      <c r="AA3075">
        <v>847980</v>
      </c>
      <c r="AB3075">
        <v>7</v>
      </c>
      <c r="AC3075" t="s">
        <v>42</v>
      </c>
      <c r="AD3075">
        <v>1200</v>
      </c>
    </row>
    <row r="3076" spans="1:30">
      <c r="A3076" t="str">
        <f>CONCATENATE(I3076,J3076)</f>
        <v>SRHHYPOLTDEQ</v>
      </c>
      <c r="B3076" s="34">
        <v>46273</v>
      </c>
      <c r="C3076" s="34">
        <v>46273</v>
      </c>
      <c r="D3076" t="s">
        <v>35</v>
      </c>
      <c r="E3076" t="s">
        <v>36</v>
      </c>
      <c r="F3076" t="s">
        <v>37</v>
      </c>
      <c r="G3076">
        <v>14582</v>
      </c>
      <c r="H3076" t="s">
        <v>9297</v>
      </c>
      <c r="I3076" t="s">
        <v>9298</v>
      </c>
      <c r="J3076" t="s">
        <v>161</v>
      </c>
      <c r="O3076" t="s">
        <v>9299</v>
      </c>
      <c r="P3076">
        <v>525.1</v>
      </c>
      <c r="Q3076">
        <v>540</v>
      </c>
      <c r="R3076">
        <v>525.1</v>
      </c>
      <c r="S3076">
        <v>527.9</v>
      </c>
      <c r="T3076">
        <v>528.35</v>
      </c>
      <c r="U3076">
        <v>531.6</v>
      </c>
      <c r="W3076">
        <v>527.89</v>
      </c>
      <c r="Z3076">
        <v>13080</v>
      </c>
      <c r="AA3076">
        <v>6942993.2000000002</v>
      </c>
      <c r="AB3076">
        <v>633</v>
      </c>
      <c r="AC3076" t="s">
        <v>42</v>
      </c>
      <c r="AD3076">
        <v>1</v>
      </c>
    </row>
    <row r="3077" spans="1:30">
      <c r="A3077" t="str">
        <f>CONCATENATE(I3077,J3077)</f>
        <v>SREELEQ</v>
      </c>
      <c r="B3077" s="34">
        <v>46273</v>
      </c>
      <c r="C3077" s="34">
        <v>46273</v>
      </c>
      <c r="D3077" t="s">
        <v>35</v>
      </c>
      <c r="E3077" t="s">
        <v>36</v>
      </c>
      <c r="F3077" t="s">
        <v>37</v>
      </c>
      <c r="G3077">
        <v>31837</v>
      </c>
      <c r="H3077" t="s">
        <v>9300</v>
      </c>
      <c r="I3077" t="s">
        <v>9301</v>
      </c>
      <c r="J3077" t="s">
        <v>161</v>
      </c>
      <c r="O3077" t="s">
        <v>9302</v>
      </c>
      <c r="P3077">
        <v>279.39999999999998</v>
      </c>
      <c r="Q3077">
        <v>292</v>
      </c>
      <c r="R3077">
        <v>276</v>
      </c>
      <c r="S3077">
        <v>287.51</v>
      </c>
      <c r="T3077">
        <v>292</v>
      </c>
      <c r="U3077">
        <v>279.39999999999998</v>
      </c>
      <c r="W3077">
        <v>287.5</v>
      </c>
      <c r="Z3077">
        <v>26819</v>
      </c>
      <c r="AA3077">
        <v>7645970.0099999998</v>
      </c>
      <c r="AB3077">
        <v>761</v>
      </c>
      <c r="AC3077" t="s">
        <v>42</v>
      </c>
      <c r="AD3077">
        <v>1</v>
      </c>
    </row>
    <row r="3078" spans="1:30">
      <c r="A3078" t="str">
        <f>CONCATENATE(I3078,J3078)</f>
        <v>SRFEQ</v>
      </c>
      <c r="B3078" s="34">
        <v>46273</v>
      </c>
      <c r="C3078" s="34">
        <v>46273</v>
      </c>
      <c r="D3078" t="s">
        <v>35</v>
      </c>
      <c r="E3078" t="s">
        <v>36</v>
      </c>
      <c r="F3078" t="s">
        <v>37</v>
      </c>
      <c r="G3078">
        <v>3273</v>
      </c>
      <c r="H3078" t="s">
        <v>9303</v>
      </c>
      <c r="I3078" t="s">
        <v>9304</v>
      </c>
      <c r="J3078" t="s">
        <v>161</v>
      </c>
      <c r="O3078" t="s">
        <v>9305</v>
      </c>
      <c r="P3078">
        <v>2546</v>
      </c>
      <c r="Q3078">
        <v>2546</v>
      </c>
      <c r="R3078">
        <v>2517</v>
      </c>
      <c r="S3078">
        <v>2522</v>
      </c>
      <c r="T3078">
        <v>2522</v>
      </c>
      <c r="U3078">
        <v>2546</v>
      </c>
      <c r="W3078">
        <v>2522</v>
      </c>
      <c r="Z3078">
        <v>167100</v>
      </c>
      <c r="AA3078">
        <v>422031216.39999998</v>
      </c>
      <c r="AB3078">
        <v>17470</v>
      </c>
      <c r="AC3078" t="s">
        <v>42</v>
      </c>
      <c r="AD3078">
        <v>1</v>
      </c>
    </row>
    <row r="3079" spans="1:30">
      <c r="A3079" t="str">
        <f>CONCATENATE(I3079,J3079)</f>
        <v>SRGHFLEQ</v>
      </c>
      <c r="B3079" s="34">
        <v>46273</v>
      </c>
      <c r="C3079" s="34">
        <v>46273</v>
      </c>
      <c r="D3079" t="s">
        <v>35</v>
      </c>
      <c r="E3079" t="s">
        <v>36</v>
      </c>
      <c r="F3079" t="s">
        <v>37</v>
      </c>
      <c r="G3079">
        <v>18119</v>
      </c>
      <c r="H3079" t="s">
        <v>9306</v>
      </c>
      <c r="I3079" t="s">
        <v>9307</v>
      </c>
      <c r="J3079" t="s">
        <v>161</v>
      </c>
      <c r="O3079" t="s">
        <v>9308</v>
      </c>
      <c r="P3079">
        <v>242.1</v>
      </c>
      <c r="Q3079">
        <v>243.75</v>
      </c>
      <c r="R3079">
        <v>233.1</v>
      </c>
      <c r="S3079">
        <v>236.65</v>
      </c>
      <c r="T3079">
        <v>235.05</v>
      </c>
      <c r="U3079">
        <v>245.85</v>
      </c>
      <c r="W3079">
        <v>236.64</v>
      </c>
      <c r="Z3079">
        <v>1881</v>
      </c>
      <c r="AA3079">
        <v>449321.5</v>
      </c>
      <c r="AB3079">
        <v>107</v>
      </c>
      <c r="AC3079" t="s">
        <v>42</v>
      </c>
      <c r="AD3079">
        <v>1</v>
      </c>
    </row>
    <row r="3080" spans="1:30">
      <c r="A3080" t="str">
        <f>CONCATENATE(I3080,J3080)</f>
        <v>HAVISHAEQ</v>
      </c>
      <c r="B3080" s="34">
        <v>46273</v>
      </c>
      <c r="C3080" s="34">
        <v>46273</v>
      </c>
      <c r="D3080" t="s">
        <v>35</v>
      </c>
      <c r="E3080" t="s">
        <v>36</v>
      </c>
      <c r="F3080" t="s">
        <v>37</v>
      </c>
      <c r="G3080">
        <v>7457</v>
      </c>
      <c r="H3080" t="s">
        <v>9309</v>
      </c>
      <c r="I3080" t="s">
        <v>9310</v>
      </c>
      <c r="J3080" t="s">
        <v>161</v>
      </c>
      <c r="O3080" t="s">
        <v>9311</v>
      </c>
      <c r="P3080">
        <v>1.35</v>
      </c>
      <c r="Q3080">
        <v>1.35</v>
      </c>
      <c r="R3080">
        <v>1.32</v>
      </c>
      <c r="S3080">
        <v>1.33</v>
      </c>
      <c r="T3080">
        <v>1.34</v>
      </c>
      <c r="U3080">
        <v>1.32</v>
      </c>
      <c r="W3080">
        <v>1.33</v>
      </c>
      <c r="Z3080">
        <v>20675</v>
      </c>
      <c r="AA3080">
        <v>27554.78</v>
      </c>
      <c r="AB3080">
        <v>48</v>
      </c>
      <c r="AC3080" t="s">
        <v>42</v>
      </c>
      <c r="AD3080">
        <v>1</v>
      </c>
    </row>
    <row r="3081" spans="1:30">
      <c r="A3081" t="str">
        <f>CONCATENATE(I3081,J3081)</f>
        <v>SRIKPRINDBE</v>
      </c>
      <c r="B3081" s="34">
        <v>46273</v>
      </c>
      <c r="C3081" s="34">
        <v>46273</v>
      </c>
      <c r="D3081" t="s">
        <v>35</v>
      </c>
      <c r="E3081" t="s">
        <v>36</v>
      </c>
      <c r="F3081" t="s">
        <v>37</v>
      </c>
      <c r="G3081">
        <v>765168</v>
      </c>
      <c r="H3081" t="s">
        <v>9312</v>
      </c>
      <c r="I3081" t="s">
        <v>9313</v>
      </c>
      <c r="J3081" t="s">
        <v>183</v>
      </c>
      <c r="O3081" t="s">
        <v>9314</v>
      </c>
      <c r="P3081">
        <v>33.42</v>
      </c>
      <c r="Q3081">
        <v>34.979999999999997</v>
      </c>
      <c r="R3081">
        <v>32.130000000000003</v>
      </c>
      <c r="S3081">
        <v>32.36</v>
      </c>
      <c r="T3081">
        <v>33.799999999999997</v>
      </c>
      <c r="U3081">
        <v>33.82</v>
      </c>
      <c r="W3081">
        <v>32.4</v>
      </c>
      <c r="Z3081">
        <v>25393</v>
      </c>
      <c r="AA3081">
        <v>823052.06</v>
      </c>
      <c r="AB3081">
        <v>138</v>
      </c>
      <c r="AC3081" t="s">
        <v>42</v>
      </c>
      <c r="AD3081">
        <v>1</v>
      </c>
    </row>
    <row r="3082" spans="1:30">
      <c r="A3082" t="str">
        <f>CONCATENATE(I3082,J3082)</f>
        <v>LOTUSDEVBE</v>
      </c>
      <c r="B3082" s="34">
        <v>46273</v>
      </c>
      <c r="C3082" s="34">
        <v>46273</v>
      </c>
      <c r="D3082" t="s">
        <v>35</v>
      </c>
      <c r="E3082" t="s">
        <v>36</v>
      </c>
      <c r="F3082" t="s">
        <v>37</v>
      </c>
      <c r="G3082">
        <v>758147</v>
      </c>
      <c r="H3082" t="s">
        <v>9315</v>
      </c>
      <c r="I3082" t="s">
        <v>9316</v>
      </c>
      <c r="J3082" t="s">
        <v>183</v>
      </c>
      <c r="O3082" t="s">
        <v>9317</v>
      </c>
      <c r="P3082">
        <v>202</v>
      </c>
      <c r="Q3082">
        <v>202.2</v>
      </c>
      <c r="R3082">
        <v>195.1</v>
      </c>
      <c r="S3082">
        <v>198.81</v>
      </c>
      <c r="T3082">
        <v>197</v>
      </c>
      <c r="U3082">
        <v>199.71</v>
      </c>
      <c r="W3082">
        <v>198.81</v>
      </c>
      <c r="Z3082">
        <v>1016159</v>
      </c>
      <c r="AA3082">
        <v>202637246.77000001</v>
      </c>
      <c r="AB3082">
        <v>3173</v>
      </c>
      <c r="AC3082" t="s">
        <v>42</v>
      </c>
      <c r="AD3082">
        <v>1</v>
      </c>
    </row>
    <row r="3083" spans="1:30">
      <c r="A3083" t="str">
        <f>CONCATENATE(I3083,J3083)</f>
        <v>SPCONSM</v>
      </c>
      <c r="B3083" s="34">
        <v>46273</v>
      </c>
      <c r="C3083" s="34">
        <v>46273</v>
      </c>
      <c r="D3083" t="s">
        <v>35</v>
      </c>
      <c r="E3083" t="s">
        <v>36</v>
      </c>
      <c r="F3083" t="s">
        <v>37</v>
      </c>
      <c r="G3083">
        <v>761393</v>
      </c>
      <c r="H3083" t="s">
        <v>9318</v>
      </c>
      <c r="I3083" t="s">
        <v>9319</v>
      </c>
      <c r="J3083" t="s">
        <v>267</v>
      </c>
      <c r="O3083" t="s">
        <v>9320</v>
      </c>
      <c r="P3083">
        <v>150</v>
      </c>
      <c r="Q3083">
        <v>150</v>
      </c>
      <c r="R3083">
        <v>150</v>
      </c>
      <c r="S3083">
        <v>150</v>
      </c>
      <c r="T3083">
        <v>150</v>
      </c>
      <c r="U3083">
        <v>150</v>
      </c>
      <c r="W3083">
        <v>150</v>
      </c>
      <c r="Z3083">
        <v>1200</v>
      </c>
      <c r="AA3083">
        <v>180000</v>
      </c>
      <c r="AB3083">
        <v>1</v>
      </c>
      <c r="AC3083" t="s">
        <v>42</v>
      </c>
      <c r="AD3083">
        <v>1200</v>
      </c>
    </row>
    <row r="3084" spans="1:30">
      <c r="A3084" t="str">
        <f>CONCATENATE(I3084,J3084)</f>
        <v>SSFLST</v>
      </c>
      <c r="B3084" s="34">
        <v>46273</v>
      </c>
      <c r="C3084" s="34">
        <v>46273</v>
      </c>
      <c r="D3084" t="s">
        <v>35</v>
      </c>
      <c r="E3084" t="s">
        <v>36</v>
      </c>
      <c r="F3084" t="s">
        <v>37</v>
      </c>
      <c r="G3084">
        <v>18059</v>
      </c>
      <c r="H3084" t="s">
        <v>9321</v>
      </c>
      <c r="I3084" t="s">
        <v>9322</v>
      </c>
      <c r="J3084" t="s">
        <v>328</v>
      </c>
      <c r="O3084" t="s">
        <v>9323</v>
      </c>
      <c r="P3084">
        <v>283.89999999999998</v>
      </c>
      <c r="Q3084">
        <v>283.89999999999998</v>
      </c>
      <c r="R3084">
        <v>272</v>
      </c>
      <c r="S3084">
        <v>276</v>
      </c>
      <c r="T3084">
        <v>276</v>
      </c>
      <c r="U3084">
        <v>273</v>
      </c>
      <c r="W3084">
        <v>276</v>
      </c>
      <c r="Z3084">
        <v>14000</v>
      </c>
      <c r="AA3084">
        <v>3889950</v>
      </c>
      <c r="AB3084">
        <v>26</v>
      </c>
      <c r="AC3084" t="s">
        <v>42</v>
      </c>
      <c r="AD3084">
        <v>500</v>
      </c>
    </row>
    <row r="3085" spans="1:30">
      <c r="A3085" t="str">
        <f>CONCATENATE(I3085,J3085)</f>
        <v>SRIVASAVIST</v>
      </c>
      <c r="B3085" s="34">
        <v>46273</v>
      </c>
      <c r="C3085" s="34">
        <v>46273</v>
      </c>
      <c r="D3085" t="s">
        <v>35</v>
      </c>
      <c r="E3085" t="s">
        <v>36</v>
      </c>
      <c r="F3085" t="s">
        <v>37</v>
      </c>
      <c r="G3085">
        <v>14416</v>
      </c>
      <c r="H3085" t="s">
        <v>9324</v>
      </c>
      <c r="I3085" t="s">
        <v>9325</v>
      </c>
      <c r="J3085" t="s">
        <v>328</v>
      </c>
      <c r="O3085" t="s">
        <v>9326</v>
      </c>
      <c r="P3085">
        <v>77.349999999999994</v>
      </c>
      <c r="Q3085">
        <v>77.349999999999994</v>
      </c>
      <c r="R3085">
        <v>76</v>
      </c>
      <c r="S3085">
        <v>76</v>
      </c>
      <c r="T3085">
        <v>76</v>
      </c>
      <c r="U3085">
        <v>79.25</v>
      </c>
      <c r="W3085">
        <v>76</v>
      </c>
      <c r="Z3085">
        <v>12000</v>
      </c>
      <c r="AA3085">
        <v>916750</v>
      </c>
      <c r="AB3085">
        <v>11</v>
      </c>
      <c r="AC3085" t="s">
        <v>42</v>
      </c>
      <c r="AD3085">
        <v>1000</v>
      </c>
    </row>
    <row r="3086" spans="1:30">
      <c r="A3086" t="str">
        <f>CONCATENATE(I3086,J3086)</f>
        <v>SRMEQ</v>
      </c>
      <c r="B3086" s="34">
        <v>46273</v>
      </c>
      <c r="C3086" s="34">
        <v>46273</v>
      </c>
      <c r="D3086" t="s">
        <v>35</v>
      </c>
      <c r="E3086" t="s">
        <v>36</v>
      </c>
      <c r="F3086" t="s">
        <v>37</v>
      </c>
      <c r="G3086">
        <v>23402</v>
      </c>
      <c r="H3086" t="s">
        <v>9327</v>
      </c>
      <c r="I3086" t="s">
        <v>9328</v>
      </c>
      <c r="J3086" t="s">
        <v>161</v>
      </c>
      <c r="O3086" t="s">
        <v>9329</v>
      </c>
      <c r="P3086">
        <v>462.9</v>
      </c>
      <c r="Q3086">
        <v>465</v>
      </c>
      <c r="R3086">
        <v>450.15</v>
      </c>
      <c r="S3086">
        <v>461.05</v>
      </c>
      <c r="T3086">
        <v>461.15</v>
      </c>
      <c r="U3086">
        <v>460.05</v>
      </c>
      <c r="W3086">
        <v>461.06</v>
      </c>
      <c r="Z3086">
        <v>82127</v>
      </c>
      <c r="AA3086">
        <v>37660719.850000001</v>
      </c>
      <c r="AB3086">
        <v>3005</v>
      </c>
      <c r="AC3086" t="s">
        <v>42</v>
      </c>
      <c r="AD3086">
        <v>1</v>
      </c>
    </row>
    <row r="3087" spans="1:30">
      <c r="A3087" t="str">
        <f>CONCATENATE(I3087,J3087)</f>
        <v>STALLIONBE</v>
      </c>
      <c r="B3087" s="34">
        <v>46273</v>
      </c>
      <c r="C3087" s="34">
        <v>46273</v>
      </c>
      <c r="D3087" t="s">
        <v>35</v>
      </c>
      <c r="E3087" t="s">
        <v>36</v>
      </c>
      <c r="F3087" t="s">
        <v>37</v>
      </c>
      <c r="G3087">
        <v>29205</v>
      </c>
      <c r="H3087" t="s">
        <v>9330</v>
      </c>
      <c r="I3087" t="s">
        <v>9331</v>
      </c>
      <c r="J3087" t="s">
        <v>183</v>
      </c>
      <c r="O3087" t="s">
        <v>9332</v>
      </c>
      <c r="P3087">
        <v>202.42</v>
      </c>
      <c r="Q3087">
        <v>212.77</v>
      </c>
      <c r="R3087">
        <v>202.42</v>
      </c>
      <c r="S3087">
        <v>212.77</v>
      </c>
      <c r="T3087">
        <v>212.77</v>
      </c>
      <c r="U3087">
        <v>202.64</v>
      </c>
      <c r="W3087">
        <v>212.75</v>
      </c>
      <c r="Z3087">
        <v>226048</v>
      </c>
      <c r="AA3087">
        <v>47308784.079999998</v>
      </c>
      <c r="AB3087">
        <v>1497</v>
      </c>
      <c r="AC3087" t="s">
        <v>42</v>
      </c>
      <c r="AD3087">
        <v>1</v>
      </c>
    </row>
    <row r="3088" spans="1:30">
      <c r="A3088" t="str">
        <f>CONCATENATE(I3088,J3088)</f>
        <v>SETLEQ</v>
      </c>
      <c r="B3088" s="34">
        <v>46273</v>
      </c>
      <c r="C3088" s="34">
        <v>46273</v>
      </c>
      <c r="D3088" t="s">
        <v>35</v>
      </c>
      <c r="E3088" t="s">
        <v>36</v>
      </c>
      <c r="F3088" t="s">
        <v>37</v>
      </c>
      <c r="G3088">
        <v>29075</v>
      </c>
      <c r="H3088" t="s">
        <v>9333</v>
      </c>
      <c r="I3088" t="s">
        <v>9334</v>
      </c>
      <c r="J3088" t="s">
        <v>161</v>
      </c>
      <c r="O3088" t="s">
        <v>9335</v>
      </c>
      <c r="P3088">
        <v>388.55</v>
      </c>
      <c r="Q3088">
        <v>407</v>
      </c>
      <c r="R3088">
        <v>384.1</v>
      </c>
      <c r="S3088">
        <v>404.5</v>
      </c>
      <c r="T3088">
        <v>405.6</v>
      </c>
      <c r="U3088">
        <v>388.55</v>
      </c>
      <c r="W3088">
        <v>404.5</v>
      </c>
      <c r="Z3088">
        <v>899191</v>
      </c>
      <c r="AA3088">
        <v>357624216.19999999</v>
      </c>
      <c r="AB3088">
        <v>15442</v>
      </c>
      <c r="AC3088" t="s">
        <v>42</v>
      </c>
      <c r="AD3088">
        <v>1</v>
      </c>
    </row>
    <row r="3089" spans="1:30">
      <c r="A3089" t="str">
        <f>CONCATENATE(I3089,J3089)</f>
        <v>SILEQ</v>
      </c>
      <c r="B3089" s="34">
        <v>46273</v>
      </c>
      <c r="C3089" s="34">
        <v>46273</v>
      </c>
      <c r="D3089" t="s">
        <v>35</v>
      </c>
      <c r="E3089" t="s">
        <v>36</v>
      </c>
      <c r="F3089" t="s">
        <v>37</v>
      </c>
      <c r="G3089">
        <v>11297</v>
      </c>
      <c r="H3089" t="s">
        <v>9336</v>
      </c>
      <c r="I3089" t="s">
        <v>9337</v>
      </c>
      <c r="J3089" t="s">
        <v>161</v>
      </c>
      <c r="O3089" t="s">
        <v>9338</v>
      </c>
      <c r="P3089">
        <v>19.170000000000002</v>
      </c>
      <c r="Q3089">
        <v>19.48</v>
      </c>
      <c r="R3089">
        <v>18.97</v>
      </c>
      <c r="S3089">
        <v>19.100000000000001</v>
      </c>
      <c r="T3089">
        <v>19.2</v>
      </c>
      <c r="U3089">
        <v>19.170000000000002</v>
      </c>
      <c r="W3089">
        <v>19.100000000000001</v>
      </c>
      <c r="Z3089">
        <v>43242</v>
      </c>
      <c r="AA3089">
        <v>830898.74</v>
      </c>
      <c r="AB3089">
        <v>267</v>
      </c>
      <c r="AC3089" t="s">
        <v>42</v>
      </c>
      <c r="AD3089">
        <v>1</v>
      </c>
    </row>
    <row r="3090" spans="1:30">
      <c r="A3090" t="str">
        <f>CONCATENATE(I3090,J3090)</f>
        <v>STANLEYEQ</v>
      </c>
      <c r="B3090" s="34">
        <v>46273</v>
      </c>
      <c r="C3090" s="34">
        <v>46273</v>
      </c>
      <c r="D3090" t="s">
        <v>35</v>
      </c>
      <c r="E3090" t="s">
        <v>36</v>
      </c>
      <c r="F3090" t="s">
        <v>37</v>
      </c>
      <c r="G3090">
        <v>24226</v>
      </c>
      <c r="H3090" t="s">
        <v>9339</v>
      </c>
      <c r="I3090" t="s">
        <v>9340</v>
      </c>
      <c r="J3090" t="s">
        <v>161</v>
      </c>
      <c r="O3090" t="s">
        <v>9341</v>
      </c>
      <c r="P3090">
        <v>137</v>
      </c>
      <c r="Q3090">
        <v>141.80000000000001</v>
      </c>
      <c r="R3090">
        <v>135.53</v>
      </c>
      <c r="S3090">
        <v>138.59</v>
      </c>
      <c r="T3090">
        <v>139.99</v>
      </c>
      <c r="U3090">
        <v>137.16</v>
      </c>
      <c r="W3090">
        <v>138.59</v>
      </c>
      <c r="Z3090">
        <v>112955</v>
      </c>
      <c r="AA3090">
        <v>15538980.92</v>
      </c>
      <c r="AB3090">
        <v>1382</v>
      </c>
      <c r="AC3090" t="s">
        <v>42</v>
      </c>
      <c r="AD3090">
        <v>1</v>
      </c>
    </row>
    <row r="3091" spans="1:30">
      <c r="A3091" t="str">
        <f>CONCATENATE(I3091,J3091)</f>
        <v>STARCEMENTEQ</v>
      </c>
      <c r="B3091" s="34">
        <v>46273</v>
      </c>
      <c r="C3091" s="34">
        <v>46273</v>
      </c>
      <c r="D3091" t="s">
        <v>35</v>
      </c>
      <c r="E3091" t="s">
        <v>36</v>
      </c>
      <c r="F3091" t="s">
        <v>37</v>
      </c>
      <c r="G3091">
        <v>21091</v>
      </c>
      <c r="H3091" t="s">
        <v>9342</v>
      </c>
      <c r="I3091" t="s">
        <v>9343</v>
      </c>
      <c r="J3091" t="s">
        <v>161</v>
      </c>
      <c r="O3091" t="s">
        <v>9344</v>
      </c>
      <c r="P3091">
        <v>195</v>
      </c>
      <c r="Q3091">
        <v>196.34</v>
      </c>
      <c r="R3091">
        <v>193.7</v>
      </c>
      <c r="S3091">
        <v>194.83</v>
      </c>
      <c r="T3091">
        <v>194.5</v>
      </c>
      <c r="U3091">
        <v>194.4</v>
      </c>
      <c r="W3091">
        <v>194.83</v>
      </c>
      <c r="Z3091">
        <v>289777</v>
      </c>
      <c r="AA3091">
        <v>56378507.420000002</v>
      </c>
      <c r="AB3091">
        <v>5311</v>
      </c>
      <c r="AC3091" t="s">
        <v>42</v>
      </c>
      <c r="AD3091">
        <v>1</v>
      </c>
    </row>
    <row r="3092" spans="1:30">
      <c r="A3092" t="str">
        <f>CONCATENATE(I3092,J3092)</f>
        <v>STARHEALTHEQ</v>
      </c>
      <c r="B3092" s="34">
        <v>46273</v>
      </c>
      <c r="C3092" s="34">
        <v>46273</v>
      </c>
      <c r="D3092" t="s">
        <v>35</v>
      </c>
      <c r="E3092" t="s">
        <v>36</v>
      </c>
      <c r="F3092" t="s">
        <v>37</v>
      </c>
      <c r="G3092">
        <v>7083</v>
      </c>
      <c r="H3092" t="s">
        <v>9345</v>
      </c>
      <c r="I3092" t="s">
        <v>9346</v>
      </c>
      <c r="J3092" t="s">
        <v>161</v>
      </c>
      <c r="O3092" t="s">
        <v>9347</v>
      </c>
      <c r="P3092">
        <v>565.95000000000005</v>
      </c>
      <c r="Q3092">
        <v>573.9</v>
      </c>
      <c r="R3092">
        <v>558.04999999999995</v>
      </c>
      <c r="S3092">
        <v>572.1</v>
      </c>
      <c r="T3092">
        <v>571.25</v>
      </c>
      <c r="U3092">
        <v>565.95000000000005</v>
      </c>
      <c r="W3092">
        <v>572.1</v>
      </c>
      <c r="Z3092">
        <v>252143</v>
      </c>
      <c r="AA3092">
        <v>142993678.25</v>
      </c>
      <c r="AB3092">
        <v>14765</v>
      </c>
      <c r="AC3092" t="s">
        <v>42</v>
      </c>
      <c r="AD3092">
        <v>1</v>
      </c>
    </row>
    <row r="3093" spans="1:30">
      <c r="A3093" t="str">
        <f>CONCATENATE(I3093,J3093)</f>
        <v>STARPAPEREQ</v>
      </c>
      <c r="B3093" s="34">
        <v>46273</v>
      </c>
      <c r="C3093" s="34">
        <v>46273</v>
      </c>
      <c r="D3093" t="s">
        <v>35</v>
      </c>
      <c r="E3093" t="s">
        <v>36</v>
      </c>
      <c r="F3093" t="s">
        <v>37</v>
      </c>
      <c r="G3093">
        <v>3291</v>
      </c>
      <c r="H3093" t="s">
        <v>9348</v>
      </c>
      <c r="I3093" t="s">
        <v>9349</v>
      </c>
      <c r="J3093" t="s">
        <v>161</v>
      </c>
      <c r="O3093" t="s">
        <v>9350</v>
      </c>
      <c r="P3093">
        <v>163</v>
      </c>
      <c r="Q3093">
        <v>166</v>
      </c>
      <c r="R3093">
        <v>158.57</v>
      </c>
      <c r="S3093">
        <v>159.33000000000001</v>
      </c>
      <c r="T3093">
        <v>161.9</v>
      </c>
      <c r="U3093">
        <v>162.61000000000001</v>
      </c>
      <c r="W3093">
        <v>159.35</v>
      </c>
      <c r="Z3093">
        <v>34432</v>
      </c>
      <c r="AA3093">
        <v>5571284.0800000001</v>
      </c>
      <c r="AB3093">
        <v>662</v>
      </c>
      <c r="AC3093" t="s">
        <v>42</v>
      </c>
      <c r="AD3093">
        <v>1</v>
      </c>
    </row>
    <row r="3094" spans="1:30">
      <c r="A3094" t="str">
        <f>CONCATENATE(I3094,J3094)</f>
        <v>STARTECKEQ</v>
      </c>
      <c r="B3094" s="34">
        <v>46273</v>
      </c>
      <c r="C3094" s="34">
        <v>46273</v>
      </c>
      <c r="D3094" t="s">
        <v>35</v>
      </c>
      <c r="E3094" t="s">
        <v>36</v>
      </c>
      <c r="F3094" t="s">
        <v>37</v>
      </c>
      <c r="G3094">
        <v>9305</v>
      </c>
      <c r="H3094" t="s">
        <v>9351</v>
      </c>
      <c r="I3094" t="s">
        <v>9352</v>
      </c>
      <c r="J3094" t="s">
        <v>161</v>
      </c>
      <c r="O3094" t="s">
        <v>9353</v>
      </c>
      <c r="P3094">
        <v>247</v>
      </c>
      <c r="Q3094">
        <v>247</v>
      </c>
      <c r="R3094">
        <v>246.7</v>
      </c>
      <c r="S3094">
        <v>246.9</v>
      </c>
      <c r="T3094">
        <v>246.9</v>
      </c>
      <c r="U3094">
        <v>247.2</v>
      </c>
      <c r="W3094">
        <v>248.93</v>
      </c>
      <c r="Z3094">
        <v>66</v>
      </c>
      <c r="AA3094">
        <v>16294.3</v>
      </c>
      <c r="AB3094">
        <v>12</v>
      </c>
      <c r="AC3094" t="s">
        <v>42</v>
      </c>
      <c r="AD3094">
        <v>1</v>
      </c>
    </row>
    <row r="3095" spans="1:30">
      <c r="A3095" t="str">
        <f>CONCATENATE(I3095,J3095)</f>
        <v>SBINEQ</v>
      </c>
      <c r="B3095" s="34">
        <v>46273</v>
      </c>
      <c r="C3095" s="34">
        <v>46273</v>
      </c>
      <c r="D3095" t="s">
        <v>35</v>
      </c>
      <c r="E3095" t="s">
        <v>36</v>
      </c>
      <c r="F3095" t="s">
        <v>37</v>
      </c>
      <c r="G3095">
        <v>3045</v>
      </c>
      <c r="H3095" t="s">
        <v>9354</v>
      </c>
      <c r="I3095" t="s">
        <v>9355</v>
      </c>
      <c r="J3095" t="s">
        <v>161</v>
      </c>
      <c r="O3095" t="s">
        <v>9356</v>
      </c>
      <c r="P3095">
        <v>1004.9</v>
      </c>
      <c r="Q3095">
        <v>1011.2</v>
      </c>
      <c r="R3095">
        <v>1002.1</v>
      </c>
      <c r="S3095">
        <v>1008</v>
      </c>
      <c r="T3095">
        <v>1008</v>
      </c>
      <c r="U3095">
        <v>1005.9</v>
      </c>
      <c r="W3095">
        <v>1008</v>
      </c>
      <c r="Z3095">
        <v>7084768</v>
      </c>
      <c r="AA3095">
        <v>7139094537.3000002</v>
      </c>
      <c r="AB3095">
        <v>148960</v>
      </c>
      <c r="AC3095" t="s">
        <v>42</v>
      </c>
      <c r="AD3095">
        <v>1</v>
      </c>
    </row>
    <row r="3096" spans="1:30">
      <c r="A3096" t="str">
        <f>CONCATENATE(I3096,J3096)</f>
        <v>SAILEQ</v>
      </c>
      <c r="B3096" s="34">
        <v>46273</v>
      </c>
      <c r="C3096" s="34">
        <v>46273</v>
      </c>
      <c r="D3096" t="s">
        <v>35</v>
      </c>
      <c r="E3096" t="s">
        <v>36</v>
      </c>
      <c r="F3096" t="s">
        <v>37</v>
      </c>
      <c r="G3096">
        <v>2963</v>
      </c>
      <c r="H3096" t="s">
        <v>9357</v>
      </c>
      <c r="I3096" t="s">
        <v>9358</v>
      </c>
      <c r="J3096" t="s">
        <v>161</v>
      </c>
      <c r="O3096" t="s">
        <v>9359</v>
      </c>
      <c r="P3096">
        <v>188.5</v>
      </c>
      <c r="Q3096">
        <v>190.8</v>
      </c>
      <c r="R3096">
        <v>186.05</v>
      </c>
      <c r="S3096">
        <v>186.1</v>
      </c>
      <c r="T3096">
        <v>186.1</v>
      </c>
      <c r="U3096">
        <v>187.9</v>
      </c>
      <c r="W3096">
        <v>186.11</v>
      </c>
      <c r="Z3096">
        <v>19246316</v>
      </c>
      <c r="AA3096">
        <v>3622228813.52</v>
      </c>
      <c r="AB3096">
        <v>60615</v>
      </c>
      <c r="AC3096" t="s">
        <v>42</v>
      </c>
      <c r="AD3096">
        <v>1</v>
      </c>
    </row>
    <row r="3097" spans="1:30">
      <c r="A3097" t="str">
        <f>CONCATENATE(I3097,J3097)</f>
        <v>STEELCITYEQ</v>
      </c>
      <c r="B3097" s="34">
        <v>46273</v>
      </c>
      <c r="C3097" s="34">
        <v>46273</v>
      </c>
      <c r="D3097" t="s">
        <v>35</v>
      </c>
      <c r="E3097" t="s">
        <v>36</v>
      </c>
      <c r="F3097" t="s">
        <v>37</v>
      </c>
      <c r="G3097">
        <v>10406</v>
      </c>
      <c r="H3097" t="s">
        <v>9360</v>
      </c>
      <c r="I3097" t="s">
        <v>9361</v>
      </c>
      <c r="J3097" t="s">
        <v>161</v>
      </c>
      <c r="O3097" t="s">
        <v>9362</v>
      </c>
      <c r="P3097">
        <v>85</v>
      </c>
      <c r="Q3097">
        <v>85</v>
      </c>
      <c r="R3097">
        <v>82.5</v>
      </c>
      <c r="S3097">
        <v>83.22</v>
      </c>
      <c r="T3097">
        <v>83.4</v>
      </c>
      <c r="U3097">
        <v>84.99</v>
      </c>
      <c r="W3097">
        <v>83.22</v>
      </c>
      <c r="Z3097">
        <v>5527</v>
      </c>
      <c r="AA3097">
        <v>460011.69</v>
      </c>
      <c r="AB3097">
        <v>116</v>
      </c>
      <c r="AC3097" t="s">
        <v>42</v>
      </c>
      <c r="AD3097">
        <v>1</v>
      </c>
    </row>
    <row r="3098" spans="1:30">
      <c r="A3098" t="str">
        <f>CONCATENATE(I3098,J3098)</f>
        <v>STEELXINDEQ</v>
      </c>
      <c r="B3098" s="34">
        <v>46273</v>
      </c>
      <c r="C3098" s="34">
        <v>46273</v>
      </c>
      <c r="D3098" t="s">
        <v>35</v>
      </c>
      <c r="E3098" t="s">
        <v>36</v>
      </c>
      <c r="F3098" t="s">
        <v>37</v>
      </c>
      <c r="G3098">
        <v>21339</v>
      </c>
      <c r="H3098" t="s">
        <v>9363</v>
      </c>
      <c r="I3098" t="s">
        <v>9364</v>
      </c>
      <c r="J3098" t="s">
        <v>161</v>
      </c>
      <c r="O3098" t="s">
        <v>9365</v>
      </c>
      <c r="P3098">
        <v>11.22</v>
      </c>
      <c r="Q3098">
        <v>12.08</v>
      </c>
      <c r="R3098">
        <v>11.02</v>
      </c>
      <c r="S3098">
        <v>11.53</v>
      </c>
      <c r="T3098">
        <v>11.48</v>
      </c>
      <c r="U3098">
        <v>11.23</v>
      </c>
      <c r="W3098">
        <v>11.53</v>
      </c>
      <c r="Z3098">
        <v>12644699</v>
      </c>
      <c r="AA3098">
        <v>147293268.74000001</v>
      </c>
      <c r="AB3098">
        <v>24367</v>
      </c>
      <c r="AC3098" t="s">
        <v>42</v>
      </c>
      <c r="AD3098">
        <v>1</v>
      </c>
    </row>
    <row r="3099" spans="1:30">
      <c r="A3099" t="str">
        <f>CONCATENATE(I3099,J3099)</f>
        <v>STLSTRINFEQ</v>
      </c>
      <c r="B3099" s="34">
        <v>46273</v>
      </c>
      <c r="C3099" s="34">
        <v>46273</v>
      </c>
      <c r="D3099" t="s">
        <v>35</v>
      </c>
      <c r="E3099" t="s">
        <v>36</v>
      </c>
      <c r="F3099" t="s">
        <v>37</v>
      </c>
      <c r="G3099">
        <v>765170</v>
      </c>
      <c r="H3099" t="s">
        <v>9366</v>
      </c>
      <c r="I3099" t="s">
        <v>9367</v>
      </c>
      <c r="J3099" t="s">
        <v>161</v>
      </c>
      <c r="O3099" t="s">
        <v>9368</v>
      </c>
      <c r="P3099">
        <v>18.760000000000002</v>
      </c>
      <c r="Q3099">
        <v>19.75</v>
      </c>
      <c r="R3099">
        <v>18.059999999999999</v>
      </c>
      <c r="S3099">
        <v>18.11</v>
      </c>
      <c r="T3099">
        <v>18.78</v>
      </c>
      <c r="U3099">
        <v>19.07</v>
      </c>
      <c r="W3099">
        <v>18.12</v>
      </c>
      <c r="Z3099">
        <v>3074</v>
      </c>
      <c r="AA3099">
        <v>57112.97</v>
      </c>
      <c r="AB3099">
        <v>45</v>
      </c>
      <c r="AC3099" t="s">
        <v>42</v>
      </c>
      <c r="AD3099">
        <v>1</v>
      </c>
    </row>
    <row r="3100" spans="1:30">
      <c r="A3100" t="str">
        <f>CONCATENATE(I3100,J3100)</f>
        <v>SSWLEQ</v>
      </c>
      <c r="B3100" s="34">
        <v>46273</v>
      </c>
      <c r="C3100" s="34">
        <v>46273</v>
      </c>
      <c r="D3100" t="s">
        <v>35</v>
      </c>
      <c r="E3100" t="s">
        <v>36</v>
      </c>
      <c r="F3100" t="s">
        <v>37</v>
      </c>
      <c r="G3100">
        <v>11829</v>
      </c>
      <c r="H3100" t="s">
        <v>9369</v>
      </c>
      <c r="I3100" t="s">
        <v>9370</v>
      </c>
      <c r="J3100" t="s">
        <v>161</v>
      </c>
      <c r="O3100" t="s">
        <v>9371</v>
      </c>
      <c r="P3100">
        <v>375</v>
      </c>
      <c r="Q3100">
        <v>376.9</v>
      </c>
      <c r="R3100">
        <v>360.65</v>
      </c>
      <c r="S3100">
        <v>373.1</v>
      </c>
      <c r="T3100">
        <v>372.15</v>
      </c>
      <c r="U3100">
        <v>371.3</v>
      </c>
      <c r="W3100">
        <v>373.11</v>
      </c>
      <c r="Z3100">
        <v>822533</v>
      </c>
      <c r="AA3100">
        <v>303292111.64999998</v>
      </c>
      <c r="AB3100">
        <v>23291</v>
      </c>
      <c r="AC3100" t="s">
        <v>42</v>
      </c>
      <c r="AD3100">
        <v>1</v>
      </c>
    </row>
    <row r="3101" spans="1:30">
      <c r="A3101" t="str">
        <f>CONCATENATE(I3101,J3101)</f>
        <v>STEELCASEQ</v>
      </c>
      <c r="B3101" s="34">
        <v>46273</v>
      </c>
      <c r="C3101" s="34">
        <v>46273</v>
      </c>
      <c r="D3101" t="s">
        <v>35</v>
      </c>
      <c r="E3101" t="s">
        <v>36</v>
      </c>
      <c r="F3101" t="s">
        <v>37</v>
      </c>
      <c r="G3101">
        <v>6803</v>
      </c>
      <c r="H3101" t="s">
        <v>9372</v>
      </c>
      <c r="I3101" t="s">
        <v>9373</v>
      </c>
      <c r="J3101" t="s">
        <v>161</v>
      </c>
      <c r="O3101" t="s">
        <v>9374</v>
      </c>
      <c r="P3101">
        <v>329.95</v>
      </c>
      <c r="Q3101">
        <v>332.8</v>
      </c>
      <c r="R3101">
        <v>319.35000000000002</v>
      </c>
      <c r="S3101">
        <v>331.6</v>
      </c>
      <c r="T3101">
        <v>332.8</v>
      </c>
      <c r="U3101">
        <v>326.85000000000002</v>
      </c>
      <c r="W3101">
        <v>331.59</v>
      </c>
      <c r="Z3101">
        <v>76516</v>
      </c>
      <c r="AA3101">
        <v>24819544.399999999</v>
      </c>
      <c r="AB3101">
        <v>2577</v>
      </c>
      <c r="AC3101" t="s">
        <v>42</v>
      </c>
      <c r="AD3101">
        <v>1</v>
      </c>
    </row>
    <row r="3102" spans="1:30">
      <c r="A3102" t="str">
        <f>CONCATENATE(I3102,J3102)</f>
        <v>STELEQ</v>
      </c>
      <c r="B3102" s="34">
        <v>46273</v>
      </c>
      <c r="C3102" s="34">
        <v>46273</v>
      </c>
      <c r="D3102" t="s">
        <v>35</v>
      </c>
      <c r="E3102" t="s">
        <v>36</v>
      </c>
      <c r="F3102" t="s">
        <v>37</v>
      </c>
      <c r="G3102">
        <v>21484</v>
      </c>
      <c r="H3102" t="s">
        <v>9375</v>
      </c>
      <c r="I3102" t="s">
        <v>9376</v>
      </c>
      <c r="J3102" t="s">
        <v>161</v>
      </c>
      <c r="O3102" t="s">
        <v>9377</v>
      </c>
      <c r="P3102">
        <v>615.1</v>
      </c>
      <c r="Q3102">
        <v>615.1</v>
      </c>
      <c r="R3102">
        <v>597.20000000000005</v>
      </c>
      <c r="S3102">
        <v>601.4</v>
      </c>
      <c r="T3102">
        <v>597.20000000000005</v>
      </c>
      <c r="U3102">
        <v>596.70000000000005</v>
      </c>
      <c r="W3102">
        <v>601.42999999999995</v>
      </c>
      <c r="Z3102">
        <v>2050</v>
      </c>
      <c r="AA3102">
        <v>1237460.3500000001</v>
      </c>
      <c r="AB3102">
        <v>246</v>
      </c>
      <c r="AC3102" t="s">
        <v>42</v>
      </c>
      <c r="AD3102">
        <v>1</v>
      </c>
    </row>
    <row r="3103" spans="1:30">
      <c r="A3103" t="str">
        <f>CONCATENATE(I3103,J3103)</f>
        <v>STERTOOLSBE</v>
      </c>
      <c r="B3103" s="34">
        <v>46273</v>
      </c>
      <c r="C3103" s="34">
        <v>46273</v>
      </c>
      <c r="D3103" t="s">
        <v>35</v>
      </c>
      <c r="E3103" t="s">
        <v>36</v>
      </c>
      <c r="F3103" t="s">
        <v>37</v>
      </c>
      <c r="G3103">
        <v>6188</v>
      </c>
      <c r="H3103" t="s">
        <v>9378</v>
      </c>
      <c r="I3103" t="s">
        <v>9379</v>
      </c>
      <c r="J3103" t="s">
        <v>183</v>
      </c>
      <c r="O3103" t="s">
        <v>9380</v>
      </c>
      <c r="P3103">
        <v>218.15</v>
      </c>
      <c r="Q3103">
        <v>221.45</v>
      </c>
      <c r="R3103">
        <v>215.55</v>
      </c>
      <c r="S3103">
        <v>218.68</v>
      </c>
      <c r="T3103">
        <v>218.52</v>
      </c>
      <c r="U3103">
        <v>219.53</v>
      </c>
      <c r="W3103">
        <v>218.68</v>
      </c>
      <c r="Z3103">
        <v>14559</v>
      </c>
      <c r="AA3103">
        <v>3188297.75</v>
      </c>
      <c r="AB3103">
        <v>215</v>
      </c>
      <c r="AC3103" t="s">
        <v>42</v>
      </c>
      <c r="AD3103">
        <v>1</v>
      </c>
    </row>
    <row r="3104" spans="1:30">
      <c r="A3104" t="str">
        <f>CONCATENATE(I3104,J3104)</f>
        <v>STLTECHBE</v>
      </c>
      <c r="B3104" s="34">
        <v>46273</v>
      </c>
      <c r="C3104" s="34">
        <v>46273</v>
      </c>
      <c r="D3104" t="s">
        <v>35</v>
      </c>
      <c r="E3104" t="s">
        <v>36</v>
      </c>
      <c r="F3104" t="s">
        <v>37</v>
      </c>
      <c r="G3104">
        <v>9313</v>
      </c>
      <c r="H3104" t="s">
        <v>9381</v>
      </c>
      <c r="I3104" t="s">
        <v>9382</v>
      </c>
      <c r="J3104" t="s">
        <v>183</v>
      </c>
      <c r="O3104" t="s">
        <v>9383</v>
      </c>
      <c r="P3104">
        <v>825.6</v>
      </c>
      <c r="Q3104">
        <v>825.6</v>
      </c>
      <c r="R3104">
        <v>800</v>
      </c>
      <c r="S3104">
        <v>824.7</v>
      </c>
      <c r="T3104">
        <v>825.6</v>
      </c>
      <c r="U3104">
        <v>786.3</v>
      </c>
      <c r="W3104">
        <v>824.99</v>
      </c>
      <c r="Z3104">
        <v>2224609</v>
      </c>
      <c r="AA3104">
        <v>1835365699.05</v>
      </c>
      <c r="AB3104">
        <v>10810</v>
      </c>
      <c r="AC3104" t="s">
        <v>42</v>
      </c>
      <c r="AD3104">
        <v>1</v>
      </c>
    </row>
    <row r="3105" spans="1:30">
      <c r="A3105" t="str">
        <f>CONCATENATE(I3105,J3105)</f>
        <v>SGLEQ</v>
      </c>
      <c r="B3105" s="34">
        <v>46273</v>
      </c>
      <c r="C3105" s="34">
        <v>46273</v>
      </c>
      <c r="D3105" t="s">
        <v>35</v>
      </c>
      <c r="E3105" t="s">
        <v>36</v>
      </c>
      <c r="F3105" t="s">
        <v>37</v>
      </c>
      <c r="G3105">
        <v>13367</v>
      </c>
      <c r="H3105" t="s">
        <v>9384</v>
      </c>
      <c r="I3105" t="s">
        <v>9385</v>
      </c>
      <c r="J3105" t="s">
        <v>161</v>
      </c>
      <c r="O3105" t="s">
        <v>9386</v>
      </c>
      <c r="P3105">
        <v>10.029999999999999</v>
      </c>
      <c r="Q3105">
        <v>10.39</v>
      </c>
      <c r="R3105">
        <v>9.75</v>
      </c>
      <c r="S3105">
        <v>9.8699999999999992</v>
      </c>
      <c r="T3105">
        <v>10.06</v>
      </c>
      <c r="U3105">
        <v>9.83</v>
      </c>
      <c r="W3105">
        <v>9.8699999999999992</v>
      </c>
      <c r="Z3105">
        <v>2966</v>
      </c>
      <c r="AA3105">
        <v>29449.79</v>
      </c>
      <c r="AB3105">
        <v>42</v>
      </c>
      <c r="AC3105" t="s">
        <v>42</v>
      </c>
      <c r="AD3105">
        <v>1</v>
      </c>
    </row>
    <row r="3106" spans="1:30">
      <c r="A3106" t="str">
        <f>CONCATENATE(I3106,J3106)</f>
        <v>STLNETWORKEQ</v>
      </c>
      <c r="B3106" s="34">
        <v>46273</v>
      </c>
      <c r="C3106" s="34">
        <v>46273</v>
      </c>
      <c r="D3106" t="s">
        <v>35</v>
      </c>
      <c r="E3106" t="s">
        <v>36</v>
      </c>
      <c r="F3106" t="s">
        <v>37</v>
      </c>
      <c r="G3106">
        <v>758958</v>
      </c>
      <c r="H3106" t="s">
        <v>9387</v>
      </c>
      <c r="I3106" t="s">
        <v>9388</v>
      </c>
      <c r="J3106" t="s">
        <v>161</v>
      </c>
      <c r="O3106" t="s">
        <v>9389</v>
      </c>
      <c r="P3106">
        <v>31.82</v>
      </c>
      <c r="Q3106">
        <v>31.82</v>
      </c>
      <c r="R3106">
        <v>30.5</v>
      </c>
      <c r="S3106">
        <v>31.62</v>
      </c>
      <c r="T3106">
        <v>31.4</v>
      </c>
      <c r="U3106">
        <v>30.31</v>
      </c>
      <c r="W3106">
        <v>31.62</v>
      </c>
      <c r="Z3106">
        <v>6414014</v>
      </c>
      <c r="AA3106">
        <v>201770365.49000001</v>
      </c>
      <c r="AB3106">
        <v>20111</v>
      </c>
      <c r="AC3106" t="s">
        <v>42</v>
      </c>
      <c r="AD3106">
        <v>1</v>
      </c>
    </row>
    <row r="3107" spans="1:30">
      <c r="A3107" t="str">
        <f>CONCATENATE(I3107,J3107)</f>
        <v>STOVEKRAFTEQ</v>
      </c>
      <c r="B3107" s="34">
        <v>46273</v>
      </c>
      <c r="C3107" s="34">
        <v>46273</v>
      </c>
      <c r="D3107" t="s">
        <v>35</v>
      </c>
      <c r="E3107" t="s">
        <v>36</v>
      </c>
      <c r="F3107" t="s">
        <v>37</v>
      </c>
      <c r="G3107">
        <v>2107</v>
      </c>
      <c r="H3107" t="s">
        <v>9390</v>
      </c>
      <c r="I3107" t="s">
        <v>9391</v>
      </c>
      <c r="J3107" t="s">
        <v>161</v>
      </c>
      <c r="O3107" t="s">
        <v>9392</v>
      </c>
      <c r="P3107">
        <v>855</v>
      </c>
      <c r="Q3107">
        <v>864.95</v>
      </c>
      <c r="R3107">
        <v>829.1</v>
      </c>
      <c r="S3107">
        <v>839.45</v>
      </c>
      <c r="T3107">
        <v>839.5</v>
      </c>
      <c r="U3107">
        <v>849.25</v>
      </c>
      <c r="W3107">
        <v>839.63</v>
      </c>
      <c r="Z3107">
        <v>77207</v>
      </c>
      <c r="AA3107">
        <v>64679653.100000001</v>
      </c>
      <c r="AB3107">
        <v>4421</v>
      </c>
      <c r="AC3107" t="s">
        <v>42</v>
      </c>
      <c r="AD3107">
        <v>1</v>
      </c>
    </row>
    <row r="3108" spans="1:30">
      <c r="A3108" t="str">
        <f>CONCATENATE(I3108,J3108)</f>
        <v>STRIDERSSM</v>
      </c>
      <c r="B3108" s="34">
        <v>46273</v>
      </c>
      <c r="C3108" s="34">
        <v>46273</v>
      </c>
      <c r="D3108" t="s">
        <v>35</v>
      </c>
      <c r="E3108" t="s">
        <v>36</v>
      </c>
      <c r="F3108" t="s">
        <v>37</v>
      </c>
      <c r="G3108">
        <v>761091</v>
      </c>
      <c r="H3108" t="s">
        <v>9393</v>
      </c>
      <c r="I3108" t="s">
        <v>9394</v>
      </c>
      <c r="J3108" t="s">
        <v>267</v>
      </c>
      <c r="O3108" t="s">
        <v>9395</v>
      </c>
      <c r="P3108">
        <v>60</v>
      </c>
      <c r="Q3108">
        <v>60</v>
      </c>
      <c r="R3108">
        <v>60</v>
      </c>
      <c r="S3108">
        <v>60</v>
      </c>
      <c r="T3108">
        <v>60</v>
      </c>
      <c r="U3108">
        <v>64.7</v>
      </c>
      <c r="W3108">
        <v>60</v>
      </c>
      <c r="Z3108">
        <v>3200</v>
      </c>
      <c r="AA3108">
        <v>192000</v>
      </c>
      <c r="AB3108">
        <v>2</v>
      </c>
      <c r="AC3108" t="s">
        <v>42</v>
      </c>
      <c r="AD3108">
        <v>1600</v>
      </c>
    </row>
    <row r="3109" spans="1:30">
      <c r="A3109" t="str">
        <f>CONCATENATE(I3109,J3109)</f>
        <v>STAREQ</v>
      </c>
      <c r="B3109" s="34">
        <v>46273</v>
      </c>
      <c r="C3109" s="34">
        <v>46273</v>
      </c>
      <c r="D3109" t="s">
        <v>35</v>
      </c>
      <c r="E3109" t="s">
        <v>36</v>
      </c>
      <c r="F3109" t="s">
        <v>37</v>
      </c>
      <c r="G3109">
        <v>7374</v>
      </c>
      <c r="H3109" t="s">
        <v>9396</v>
      </c>
      <c r="I3109" t="s">
        <v>9397</v>
      </c>
      <c r="J3109" t="s">
        <v>161</v>
      </c>
      <c r="O3109" t="s">
        <v>9398</v>
      </c>
      <c r="P3109">
        <v>1169</v>
      </c>
      <c r="Q3109">
        <v>1206.9000000000001</v>
      </c>
      <c r="R3109">
        <v>1155.3</v>
      </c>
      <c r="S3109">
        <v>1187.4000000000001</v>
      </c>
      <c r="T3109">
        <v>1187</v>
      </c>
      <c r="U3109">
        <v>1178.8</v>
      </c>
      <c r="W3109">
        <v>1187.23</v>
      </c>
      <c r="Z3109">
        <v>491962</v>
      </c>
      <c r="AA3109">
        <v>583671973.70000005</v>
      </c>
      <c r="AB3109">
        <v>29590</v>
      </c>
      <c r="AC3109" t="s">
        <v>42</v>
      </c>
      <c r="AD3109">
        <v>1</v>
      </c>
    </row>
    <row r="3110" spans="1:30">
      <c r="A3110" t="str">
        <f>CONCATENATE(I3110,J3110)</f>
        <v>SWSOLAREQ</v>
      </c>
      <c r="B3110" s="34">
        <v>46273</v>
      </c>
      <c r="C3110" s="34">
        <v>46273</v>
      </c>
      <c r="D3110" t="s">
        <v>35</v>
      </c>
      <c r="E3110" t="s">
        <v>36</v>
      </c>
      <c r="F3110" t="s">
        <v>37</v>
      </c>
      <c r="G3110">
        <v>12489</v>
      </c>
      <c r="H3110" t="s">
        <v>9399</v>
      </c>
      <c r="I3110" t="s">
        <v>9400</v>
      </c>
      <c r="J3110" t="s">
        <v>161</v>
      </c>
      <c r="O3110" t="s">
        <v>9401</v>
      </c>
      <c r="P3110">
        <v>185</v>
      </c>
      <c r="Q3110">
        <v>186.64</v>
      </c>
      <c r="R3110">
        <v>183.5</v>
      </c>
      <c r="S3110">
        <v>184.08</v>
      </c>
      <c r="T3110">
        <v>184.01</v>
      </c>
      <c r="U3110">
        <v>185.13</v>
      </c>
      <c r="W3110">
        <v>184.08</v>
      </c>
      <c r="Z3110">
        <v>493784</v>
      </c>
      <c r="AA3110">
        <v>91324616.040000007</v>
      </c>
      <c r="AB3110">
        <v>7108</v>
      </c>
      <c r="AC3110" t="s">
        <v>42</v>
      </c>
      <c r="AD3110">
        <v>1</v>
      </c>
    </row>
    <row r="3111" spans="1:30">
      <c r="A3111" t="str">
        <f>CONCATENATE(I3111,J3111)</f>
        <v>STUDDSEQ</v>
      </c>
      <c r="B3111" s="34">
        <v>46273</v>
      </c>
      <c r="C3111" s="34">
        <v>46273</v>
      </c>
      <c r="D3111" t="s">
        <v>35</v>
      </c>
      <c r="E3111" t="s">
        <v>36</v>
      </c>
      <c r="F3111" t="s">
        <v>37</v>
      </c>
      <c r="G3111">
        <v>759587</v>
      </c>
      <c r="H3111" t="s">
        <v>9402</v>
      </c>
      <c r="I3111" t="s">
        <v>9403</v>
      </c>
      <c r="J3111" t="s">
        <v>161</v>
      </c>
      <c r="O3111" t="s">
        <v>9404</v>
      </c>
      <c r="P3111">
        <v>419.95</v>
      </c>
      <c r="Q3111">
        <v>429.95</v>
      </c>
      <c r="R3111">
        <v>418.85</v>
      </c>
      <c r="S3111">
        <v>421.85</v>
      </c>
      <c r="T3111">
        <v>422</v>
      </c>
      <c r="U3111">
        <v>419.95</v>
      </c>
      <c r="W3111">
        <v>421.84</v>
      </c>
      <c r="Z3111">
        <v>53941</v>
      </c>
      <c r="AA3111">
        <v>22837942.850000001</v>
      </c>
      <c r="AB3111">
        <v>2500</v>
      </c>
      <c r="AC3111" t="s">
        <v>42</v>
      </c>
      <c r="AD3111">
        <v>1</v>
      </c>
    </row>
    <row r="3112" spans="1:30">
      <c r="A3112" t="str">
        <f>CONCATENATE(I3112,J3112)</f>
        <v>STUDIOLSDSM</v>
      </c>
      <c r="B3112" s="34">
        <v>46273</v>
      </c>
      <c r="C3112" s="34">
        <v>46273</v>
      </c>
      <c r="D3112" t="s">
        <v>35</v>
      </c>
      <c r="E3112" t="s">
        <v>36</v>
      </c>
      <c r="F3112" t="s">
        <v>37</v>
      </c>
      <c r="G3112">
        <v>758527</v>
      </c>
      <c r="H3112" t="s">
        <v>9405</v>
      </c>
      <c r="I3112" t="s">
        <v>9406</v>
      </c>
      <c r="J3112" t="s">
        <v>267</v>
      </c>
      <c r="O3112" t="s">
        <v>9407</v>
      </c>
      <c r="P3112">
        <v>9.9499999999999993</v>
      </c>
      <c r="Q3112">
        <v>9.9499999999999993</v>
      </c>
      <c r="R3112">
        <v>9.5500000000000007</v>
      </c>
      <c r="S3112">
        <v>9.5500000000000007</v>
      </c>
      <c r="T3112">
        <v>9.5500000000000007</v>
      </c>
      <c r="U3112">
        <v>9.8000000000000007</v>
      </c>
      <c r="W3112">
        <v>9.5500000000000007</v>
      </c>
      <c r="Z3112">
        <v>12000</v>
      </c>
      <c r="AA3112">
        <v>116000</v>
      </c>
      <c r="AB3112">
        <v>6</v>
      </c>
      <c r="AC3112" t="s">
        <v>42</v>
      </c>
      <c r="AD3112">
        <v>2000</v>
      </c>
    </row>
    <row r="3113" spans="1:30">
      <c r="A3113" t="str">
        <f>CONCATENATE(I3113,J3113)</f>
        <v>STYLAMINDEQ</v>
      </c>
      <c r="B3113" s="34">
        <v>46273</v>
      </c>
      <c r="C3113" s="34">
        <v>46273</v>
      </c>
      <c r="D3113" t="s">
        <v>35</v>
      </c>
      <c r="E3113" t="s">
        <v>36</v>
      </c>
      <c r="F3113" t="s">
        <v>37</v>
      </c>
      <c r="G3113">
        <v>5186</v>
      </c>
      <c r="H3113" t="s">
        <v>9408</v>
      </c>
      <c r="I3113" t="s">
        <v>9409</v>
      </c>
      <c r="J3113" t="s">
        <v>161</v>
      </c>
      <c r="O3113" t="s">
        <v>9410</v>
      </c>
      <c r="P3113">
        <v>3360</v>
      </c>
      <c r="Q3113">
        <v>3400</v>
      </c>
      <c r="R3113">
        <v>3328.1</v>
      </c>
      <c r="S3113">
        <v>3349.9</v>
      </c>
      <c r="T3113">
        <v>3360</v>
      </c>
      <c r="U3113">
        <v>3370.7</v>
      </c>
      <c r="W3113">
        <v>3349.89</v>
      </c>
      <c r="Z3113">
        <v>21577</v>
      </c>
      <c r="AA3113">
        <v>72516849.5</v>
      </c>
      <c r="AB3113">
        <v>7989</v>
      </c>
      <c r="AC3113" t="s">
        <v>42</v>
      </c>
      <c r="AD3113">
        <v>1</v>
      </c>
    </row>
    <row r="3114" spans="1:30">
      <c r="A3114" t="str">
        <f>CONCATENATE(I3114,J3114)</f>
        <v>STYRENIXEQ</v>
      </c>
      <c r="B3114" s="34">
        <v>46273</v>
      </c>
      <c r="C3114" s="34">
        <v>46273</v>
      </c>
      <c r="D3114" t="s">
        <v>35</v>
      </c>
      <c r="E3114" t="s">
        <v>36</v>
      </c>
      <c r="F3114" t="s">
        <v>37</v>
      </c>
      <c r="G3114">
        <v>19</v>
      </c>
      <c r="H3114" t="s">
        <v>9411</v>
      </c>
      <c r="I3114" t="s">
        <v>9412</v>
      </c>
      <c r="J3114" t="s">
        <v>161</v>
      </c>
      <c r="O3114" t="s">
        <v>9413</v>
      </c>
      <c r="P3114">
        <v>2067</v>
      </c>
      <c r="Q3114">
        <v>2145</v>
      </c>
      <c r="R3114">
        <v>2063</v>
      </c>
      <c r="S3114">
        <v>2114.9</v>
      </c>
      <c r="T3114">
        <v>2111</v>
      </c>
      <c r="U3114">
        <v>2063.6999999999998</v>
      </c>
      <c r="W3114">
        <v>2114.9299999999998</v>
      </c>
      <c r="Z3114">
        <v>63027</v>
      </c>
      <c r="AA3114">
        <v>133243957.2</v>
      </c>
      <c r="AB3114">
        <v>7239</v>
      </c>
      <c r="AC3114" t="s">
        <v>42</v>
      </c>
      <c r="AD3114">
        <v>1</v>
      </c>
    </row>
    <row r="3115" spans="1:30">
      <c r="A3115" t="str">
        <f>CONCATENATE(I3115,J3115)</f>
        <v>SUBAHOTELSSM</v>
      </c>
      <c r="B3115" s="34">
        <v>46273</v>
      </c>
      <c r="C3115" s="34">
        <v>46273</v>
      </c>
      <c r="D3115" t="s">
        <v>35</v>
      </c>
      <c r="E3115" t="s">
        <v>36</v>
      </c>
      <c r="F3115" t="s">
        <v>37</v>
      </c>
      <c r="G3115">
        <v>760112</v>
      </c>
      <c r="H3115" t="s">
        <v>9414</v>
      </c>
      <c r="I3115" t="s">
        <v>9415</v>
      </c>
      <c r="J3115" t="s">
        <v>267</v>
      </c>
      <c r="O3115" t="s">
        <v>9416</v>
      </c>
      <c r="P3115">
        <v>99.5</v>
      </c>
      <c r="Q3115">
        <v>105</v>
      </c>
      <c r="R3115">
        <v>99.5</v>
      </c>
      <c r="S3115">
        <v>103.5</v>
      </c>
      <c r="T3115">
        <v>104</v>
      </c>
      <c r="U3115">
        <v>98.5</v>
      </c>
      <c r="W3115">
        <v>103.5</v>
      </c>
      <c r="Z3115">
        <v>42000</v>
      </c>
      <c r="AA3115">
        <v>4298760</v>
      </c>
      <c r="AB3115">
        <v>28</v>
      </c>
      <c r="AC3115" t="s">
        <v>42</v>
      </c>
      <c r="AD3115">
        <v>1200</v>
      </c>
    </row>
    <row r="3116" spans="1:30">
      <c r="A3116" t="str">
        <f>CONCATENATE(I3116,J3116)</f>
        <v>SUBEXLTDEQ</v>
      </c>
      <c r="B3116" s="34">
        <v>46273</v>
      </c>
      <c r="C3116" s="34">
        <v>46273</v>
      </c>
      <c r="D3116" t="s">
        <v>35</v>
      </c>
      <c r="E3116" t="s">
        <v>36</v>
      </c>
      <c r="F3116" t="s">
        <v>37</v>
      </c>
      <c r="G3116">
        <v>967</v>
      </c>
      <c r="H3116" t="s">
        <v>9417</v>
      </c>
      <c r="I3116" t="s">
        <v>9418</v>
      </c>
      <c r="J3116" t="s">
        <v>161</v>
      </c>
      <c r="O3116" t="s">
        <v>9419</v>
      </c>
      <c r="P3116">
        <v>16.72</v>
      </c>
      <c r="Q3116">
        <v>19.579999999999998</v>
      </c>
      <c r="R3116">
        <v>16.7</v>
      </c>
      <c r="S3116">
        <v>19.23</v>
      </c>
      <c r="T3116">
        <v>19.07</v>
      </c>
      <c r="U3116">
        <v>16.739999999999998</v>
      </c>
      <c r="W3116">
        <v>19.23</v>
      </c>
      <c r="Z3116">
        <v>31292634</v>
      </c>
      <c r="AA3116">
        <v>588982350.25</v>
      </c>
      <c r="AB3116">
        <v>93126</v>
      </c>
      <c r="AC3116" t="s">
        <v>42</v>
      </c>
      <c r="AD3116">
        <v>1</v>
      </c>
    </row>
    <row r="3117" spans="1:30">
      <c r="A3117" t="str">
        <f>CONCATENATE(I3117,J3117)</f>
        <v>SUBROSEQ</v>
      </c>
      <c r="B3117" s="34">
        <v>46273</v>
      </c>
      <c r="C3117" s="34">
        <v>46273</v>
      </c>
      <c r="D3117" t="s">
        <v>35</v>
      </c>
      <c r="E3117" t="s">
        <v>36</v>
      </c>
      <c r="F3117" t="s">
        <v>37</v>
      </c>
      <c r="G3117">
        <v>3324</v>
      </c>
      <c r="H3117" t="s">
        <v>9420</v>
      </c>
      <c r="I3117" t="s">
        <v>9421</v>
      </c>
      <c r="J3117" t="s">
        <v>161</v>
      </c>
      <c r="O3117" t="s">
        <v>9422</v>
      </c>
      <c r="P3117">
        <v>703.3</v>
      </c>
      <c r="Q3117">
        <v>708.25</v>
      </c>
      <c r="R3117">
        <v>695</v>
      </c>
      <c r="S3117">
        <v>697.85</v>
      </c>
      <c r="T3117">
        <v>697.55</v>
      </c>
      <c r="U3117">
        <v>704.75</v>
      </c>
      <c r="W3117">
        <v>697.88</v>
      </c>
      <c r="Z3117">
        <v>36208</v>
      </c>
      <c r="AA3117">
        <v>25304160.25</v>
      </c>
      <c r="AB3117">
        <v>2870</v>
      </c>
      <c r="AC3117" t="s">
        <v>42</v>
      </c>
      <c r="AD3117">
        <v>1</v>
      </c>
    </row>
    <row r="3118" spans="1:30">
      <c r="A3118" t="str">
        <f>CONCATENATE(I3118,J3118)</f>
        <v>SUDARSCHEMEQ</v>
      </c>
      <c r="B3118" s="34">
        <v>46273</v>
      </c>
      <c r="C3118" s="34">
        <v>46273</v>
      </c>
      <c r="D3118" t="s">
        <v>35</v>
      </c>
      <c r="E3118" t="s">
        <v>36</v>
      </c>
      <c r="F3118" t="s">
        <v>37</v>
      </c>
      <c r="G3118">
        <v>3327</v>
      </c>
      <c r="H3118" t="s">
        <v>9423</v>
      </c>
      <c r="I3118" t="s">
        <v>9424</v>
      </c>
      <c r="J3118" t="s">
        <v>161</v>
      </c>
      <c r="O3118" t="s">
        <v>9425</v>
      </c>
      <c r="P3118">
        <v>1240.0999999999999</v>
      </c>
      <c r="Q3118">
        <v>1249.5</v>
      </c>
      <c r="R3118">
        <v>1213.3</v>
      </c>
      <c r="S3118">
        <v>1221.7</v>
      </c>
      <c r="T3118">
        <v>1219.8</v>
      </c>
      <c r="U3118">
        <v>1239.8</v>
      </c>
      <c r="W3118">
        <v>1221.75</v>
      </c>
      <c r="Z3118">
        <v>146481</v>
      </c>
      <c r="AA3118">
        <v>180280627.09999999</v>
      </c>
      <c r="AB3118">
        <v>7899</v>
      </c>
      <c r="AC3118" t="s">
        <v>42</v>
      </c>
      <c r="AD3118">
        <v>1</v>
      </c>
    </row>
    <row r="3119" spans="1:30">
      <c r="A3119" t="str">
        <f>CONCATENATE(I3119,J3119)</f>
        <v>SUDARCOLOREQ</v>
      </c>
      <c r="B3119" s="34">
        <v>46273</v>
      </c>
      <c r="C3119" s="34">
        <v>46273</v>
      </c>
      <c r="D3119" t="s">
        <v>35</v>
      </c>
      <c r="E3119" t="s">
        <v>36</v>
      </c>
      <c r="F3119" t="s">
        <v>37</v>
      </c>
      <c r="G3119">
        <v>715</v>
      </c>
      <c r="H3119" t="s">
        <v>9426</v>
      </c>
      <c r="I3119" t="s">
        <v>9427</v>
      </c>
      <c r="J3119" t="s">
        <v>161</v>
      </c>
      <c r="O3119" t="s">
        <v>9428</v>
      </c>
      <c r="P3119">
        <v>386.9</v>
      </c>
      <c r="Q3119">
        <v>390</v>
      </c>
      <c r="R3119">
        <v>380</v>
      </c>
      <c r="S3119">
        <v>385.35</v>
      </c>
      <c r="T3119">
        <v>388</v>
      </c>
      <c r="U3119">
        <v>386.8</v>
      </c>
      <c r="W3119">
        <v>384.82</v>
      </c>
      <c r="Z3119">
        <v>8513</v>
      </c>
      <c r="AA3119">
        <v>3269279.85</v>
      </c>
      <c r="AB3119">
        <v>332</v>
      </c>
      <c r="AC3119" t="s">
        <v>42</v>
      </c>
      <c r="AD3119">
        <v>1</v>
      </c>
    </row>
    <row r="3120" spans="1:30">
      <c r="A3120" t="str">
        <f>CONCATENATE(I3120,J3120)</f>
        <v>SUDEEPPHRMEQ</v>
      </c>
      <c r="B3120" s="34">
        <v>46273</v>
      </c>
      <c r="C3120" s="34">
        <v>46273</v>
      </c>
      <c r="D3120" t="s">
        <v>35</v>
      </c>
      <c r="E3120" t="s">
        <v>36</v>
      </c>
      <c r="F3120" t="s">
        <v>37</v>
      </c>
      <c r="G3120">
        <v>760039</v>
      </c>
      <c r="H3120" t="s">
        <v>9429</v>
      </c>
      <c r="I3120" t="s">
        <v>9430</v>
      </c>
      <c r="J3120" t="s">
        <v>161</v>
      </c>
      <c r="O3120" t="s">
        <v>9431</v>
      </c>
      <c r="P3120">
        <v>1327</v>
      </c>
      <c r="Q3120">
        <v>1362.9</v>
      </c>
      <c r="R3120">
        <v>1311.1</v>
      </c>
      <c r="S3120">
        <v>1344.2</v>
      </c>
      <c r="T3120">
        <v>1345</v>
      </c>
      <c r="U3120">
        <v>1323.3</v>
      </c>
      <c r="W3120">
        <v>1344.16</v>
      </c>
      <c r="Z3120">
        <v>192353</v>
      </c>
      <c r="AA3120">
        <v>257526378.90000001</v>
      </c>
      <c r="AB3120">
        <v>18248</v>
      </c>
      <c r="AC3120" t="s">
        <v>42</v>
      </c>
      <c r="AD3120">
        <v>1</v>
      </c>
    </row>
    <row r="3121" spans="1:30">
      <c r="A3121" t="str">
        <f>CONCATENATE(I3121,J3121)</f>
        <v>SUKHJITSEQ</v>
      </c>
      <c r="B3121" s="34">
        <v>46273</v>
      </c>
      <c r="C3121" s="34">
        <v>46273</v>
      </c>
      <c r="D3121" t="s">
        <v>35</v>
      </c>
      <c r="E3121" t="s">
        <v>36</v>
      </c>
      <c r="F3121" t="s">
        <v>37</v>
      </c>
      <c r="G3121">
        <v>11804</v>
      </c>
      <c r="H3121" t="s">
        <v>9432</v>
      </c>
      <c r="I3121" t="s">
        <v>9433</v>
      </c>
      <c r="J3121" t="s">
        <v>161</v>
      </c>
      <c r="O3121" t="s">
        <v>9434</v>
      </c>
      <c r="P3121">
        <v>160.88</v>
      </c>
      <c r="Q3121">
        <v>163</v>
      </c>
      <c r="R3121">
        <v>157.55000000000001</v>
      </c>
      <c r="S3121">
        <v>160.49</v>
      </c>
      <c r="T3121">
        <v>159</v>
      </c>
      <c r="U3121">
        <v>160.55000000000001</v>
      </c>
      <c r="W3121">
        <v>160.49</v>
      </c>
      <c r="Z3121">
        <v>66512</v>
      </c>
      <c r="AA3121">
        <v>10664161.68</v>
      </c>
      <c r="AB3121">
        <v>694</v>
      </c>
      <c r="AC3121" t="s">
        <v>42</v>
      </c>
      <c r="AD3121">
        <v>1</v>
      </c>
    </row>
    <row r="3122" spans="1:30">
      <c r="A3122" t="str">
        <f>CONCATENATE(I3122,J3122)</f>
        <v>SULAEQ</v>
      </c>
      <c r="B3122" s="34">
        <v>46273</v>
      </c>
      <c r="C3122" s="34">
        <v>46273</v>
      </c>
      <c r="D3122" t="s">
        <v>35</v>
      </c>
      <c r="E3122" t="s">
        <v>36</v>
      </c>
      <c r="F3122" t="s">
        <v>37</v>
      </c>
      <c r="G3122">
        <v>13218</v>
      </c>
      <c r="H3122" t="s">
        <v>9435</v>
      </c>
      <c r="I3122" t="s">
        <v>9436</v>
      </c>
      <c r="J3122" t="s">
        <v>161</v>
      </c>
      <c r="O3122" t="s">
        <v>9437</v>
      </c>
      <c r="P3122">
        <v>146.51</v>
      </c>
      <c r="Q3122">
        <v>147.99</v>
      </c>
      <c r="R3122">
        <v>145.25</v>
      </c>
      <c r="S3122">
        <v>146.5</v>
      </c>
      <c r="T3122">
        <v>146.88</v>
      </c>
      <c r="U3122">
        <v>147.09</v>
      </c>
      <c r="W3122">
        <v>146.5</v>
      </c>
      <c r="Z3122">
        <v>152179</v>
      </c>
      <c r="AA3122">
        <v>22284469.32</v>
      </c>
      <c r="AB3122">
        <v>2821</v>
      </c>
      <c r="AC3122" t="s">
        <v>42</v>
      </c>
      <c r="AD3122">
        <v>1</v>
      </c>
    </row>
    <row r="3123" spans="1:30">
      <c r="A3123" t="str">
        <f>CONCATENATE(I3123,J3123)</f>
        <v>SUMAXST</v>
      </c>
      <c r="B3123" s="34">
        <v>46273</v>
      </c>
      <c r="C3123" s="34">
        <v>46273</v>
      </c>
      <c r="D3123" t="s">
        <v>35</v>
      </c>
      <c r="E3123" t="s">
        <v>36</v>
      </c>
      <c r="F3123" t="s">
        <v>37</v>
      </c>
      <c r="G3123">
        <v>765510</v>
      </c>
      <c r="H3123" t="s">
        <v>9438</v>
      </c>
      <c r="I3123" t="s">
        <v>9439</v>
      </c>
      <c r="J3123" t="s">
        <v>328</v>
      </c>
      <c r="O3123" t="s">
        <v>9440</v>
      </c>
      <c r="P3123">
        <v>112</v>
      </c>
      <c r="Q3123">
        <v>112</v>
      </c>
      <c r="R3123">
        <v>108</v>
      </c>
      <c r="S3123">
        <v>109.75</v>
      </c>
      <c r="T3123">
        <v>110.7</v>
      </c>
      <c r="U3123">
        <v>111.4</v>
      </c>
      <c r="W3123">
        <v>109.75</v>
      </c>
      <c r="Z3123">
        <v>72000</v>
      </c>
      <c r="AA3123">
        <v>7940340</v>
      </c>
      <c r="AB3123">
        <v>58</v>
      </c>
      <c r="AC3123" t="s">
        <v>42</v>
      </c>
      <c r="AD3123">
        <v>1200</v>
      </c>
    </row>
    <row r="3124" spans="1:30">
      <c r="A3124" t="str">
        <f>CONCATENATE(I3124,J3124)</f>
        <v>SUMEDHAEQ</v>
      </c>
      <c r="B3124" s="34">
        <v>46273</v>
      </c>
      <c r="C3124" s="34">
        <v>46273</v>
      </c>
      <c r="D3124" t="s">
        <v>35</v>
      </c>
      <c r="E3124" t="s">
        <v>36</v>
      </c>
      <c r="F3124" t="s">
        <v>37</v>
      </c>
      <c r="G3124">
        <v>765175</v>
      </c>
      <c r="H3124" t="s">
        <v>9441</v>
      </c>
      <c r="I3124" t="s">
        <v>9442</v>
      </c>
      <c r="J3124" t="s">
        <v>161</v>
      </c>
      <c r="O3124" t="s">
        <v>9443</v>
      </c>
      <c r="P3124">
        <v>39.700000000000003</v>
      </c>
      <c r="Q3124">
        <v>40.25</v>
      </c>
      <c r="R3124">
        <v>38.6</v>
      </c>
      <c r="S3124">
        <v>38.72</v>
      </c>
      <c r="T3124">
        <v>38.6</v>
      </c>
      <c r="U3124">
        <v>39.700000000000003</v>
      </c>
      <c r="W3124">
        <v>39.159999999999997</v>
      </c>
      <c r="Z3124">
        <v>230</v>
      </c>
      <c r="AA3124">
        <v>8981.36</v>
      </c>
      <c r="AB3124">
        <v>19</v>
      </c>
      <c r="AC3124" t="s">
        <v>42</v>
      </c>
      <c r="AD3124">
        <v>1</v>
      </c>
    </row>
    <row r="3125" spans="1:30">
      <c r="A3125" t="str">
        <f>CONCATENATE(I3125,J3125)</f>
        <v>SUMEETINDSEQ</v>
      </c>
      <c r="B3125" s="34">
        <v>46273</v>
      </c>
      <c r="C3125" s="34">
        <v>46273</v>
      </c>
      <c r="D3125" t="s">
        <v>35</v>
      </c>
      <c r="E3125" t="s">
        <v>36</v>
      </c>
      <c r="F3125" t="s">
        <v>37</v>
      </c>
      <c r="G3125">
        <v>20790</v>
      </c>
      <c r="H3125" t="s">
        <v>9444</v>
      </c>
      <c r="I3125" t="s">
        <v>9445</v>
      </c>
      <c r="J3125" t="s">
        <v>161</v>
      </c>
      <c r="O3125" t="s">
        <v>9446</v>
      </c>
      <c r="P3125">
        <v>11.35</v>
      </c>
      <c r="Q3125">
        <v>11.7</v>
      </c>
      <c r="R3125">
        <v>11.25</v>
      </c>
      <c r="S3125">
        <v>11.39</v>
      </c>
      <c r="T3125">
        <v>11.49</v>
      </c>
      <c r="U3125">
        <v>11.29</v>
      </c>
      <c r="W3125">
        <v>11.4</v>
      </c>
      <c r="Z3125">
        <v>1209924</v>
      </c>
      <c r="AA3125">
        <v>13812801.960000001</v>
      </c>
      <c r="AB3125">
        <v>1580</v>
      </c>
      <c r="AC3125" t="s">
        <v>42</v>
      </c>
      <c r="AD3125">
        <v>1</v>
      </c>
    </row>
    <row r="3126" spans="1:30">
      <c r="A3126" t="str">
        <f>CONCATENATE(I3126,J3126)</f>
        <v>SUMITEQ</v>
      </c>
      <c r="B3126" s="34">
        <v>46273</v>
      </c>
      <c r="C3126" s="34">
        <v>46273</v>
      </c>
      <c r="D3126" t="s">
        <v>35</v>
      </c>
      <c r="E3126" t="s">
        <v>36</v>
      </c>
      <c r="F3126" t="s">
        <v>37</v>
      </c>
      <c r="G3126">
        <v>11140</v>
      </c>
      <c r="H3126" t="s">
        <v>9447</v>
      </c>
      <c r="I3126" t="s">
        <v>9448</v>
      </c>
      <c r="J3126" t="s">
        <v>161</v>
      </c>
      <c r="O3126" t="s">
        <v>9449</v>
      </c>
      <c r="P3126">
        <v>52.87</v>
      </c>
      <c r="Q3126">
        <v>52.87</v>
      </c>
      <c r="R3126">
        <v>47.7</v>
      </c>
      <c r="S3126">
        <v>49.06</v>
      </c>
      <c r="T3126">
        <v>49</v>
      </c>
      <c r="U3126">
        <v>51.31</v>
      </c>
      <c r="W3126">
        <v>49.06</v>
      </c>
      <c r="Z3126">
        <v>26995</v>
      </c>
      <c r="AA3126">
        <v>1346705.09</v>
      </c>
      <c r="AB3126">
        <v>783</v>
      </c>
      <c r="AC3126" t="s">
        <v>42</v>
      </c>
      <c r="AD3126">
        <v>1</v>
      </c>
    </row>
    <row r="3127" spans="1:30">
      <c r="A3127" t="str">
        <f>CONCATENATE(I3127,J3127)</f>
        <v>SUMICHEMEQ</v>
      </c>
      <c r="B3127" s="34">
        <v>46273</v>
      </c>
      <c r="C3127" s="34">
        <v>46273</v>
      </c>
      <c r="D3127" t="s">
        <v>35</v>
      </c>
      <c r="E3127" t="s">
        <v>36</v>
      </c>
      <c r="F3127" t="s">
        <v>37</v>
      </c>
      <c r="G3127">
        <v>17105</v>
      </c>
      <c r="H3127" t="s">
        <v>9450</v>
      </c>
      <c r="I3127" t="s">
        <v>9451</v>
      </c>
      <c r="J3127" t="s">
        <v>161</v>
      </c>
      <c r="O3127" t="s">
        <v>9452</v>
      </c>
      <c r="P3127">
        <v>489.95</v>
      </c>
      <c r="Q3127">
        <v>495.95</v>
      </c>
      <c r="R3127">
        <v>481.5</v>
      </c>
      <c r="S3127">
        <v>486.7</v>
      </c>
      <c r="T3127">
        <v>488.5</v>
      </c>
      <c r="U3127">
        <v>487.9</v>
      </c>
      <c r="W3127">
        <v>486.7</v>
      </c>
      <c r="Z3127">
        <v>141520</v>
      </c>
      <c r="AA3127">
        <v>69079609.450000003</v>
      </c>
      <c r="AB3127">
        <v>8522</v>
      </c>
      <c r="AC3127" t="s">
        <v>42</v>
      </c>
      <c r="AD3127">
        <v>1</v>
      </c>
    </row>
    <row r="3128" spans="1:30">
      <c r="A3128" t="str">
        <f>CONCATENATE(I3128,J3128)</f>
        <v>SUMMITSECEQ</v>
      </c>
      <c r="B3128" s="34">
        <v>46273</v>
      </c>
      <c r="C3128" s="34">
        <v>46273</v>
      </c>
      <c r="D3128" t="s">
        <v>35</v>
      </c>
      <c r="E3128" t="s">
        <v>36</v>
      </c>
      <c r="F3128" t="s">
        <v>37</v>
      </c>
      <c r="G3128">
        <v>21275</v>
      </c>
      <c r="H3128" t="s">
        <v>9453</v>
      </c>
      <c r="I3128" t="s">
        <v>9454</v>
      </c>
      <c r="J3128" t="s">
        <v>161</v>
      </c>
      <c r="O3128" t="s">
        <v>9455</v>
      </c>
      <c r="P3128">
        <v>1435.3</v>
      </c>
      <c r="Q3128">
        <v>1436.8</v>
      </c>
      <c r="R3128">
        <v>1400</v>
      </c>
      <c r="S3128">
        <v>1404.1</v>
      </c>
      <c r="T3128">
        <v>1402.3</v>
      </c>
      <c r="U3128">
        <v>1419.8</v>
      </c>
      <c r="W3128">
        <v>1402.45</v>
      </c>
      <c r="Z3128">
        <v>2339</v>
      </c>
      <c r="AA3128">
        <v>3292368.1</v>
      </c>
      <c r="AB3128">
        <v>305</v>
      </c>
      <c r="AC3128" t="s">
        <v>42</v>
      </c>
      <c r="AD3128">
        <v>1</v>
      </c>
    </row>
    <row r="3129" spans="1:30">
      <c r="A3129" t="str">
        <f>CONCATENATE(I3129,J3129)</f>
        <v>SPARCEQ</v>
      </c>
      <c r="B3129" s="34">
        <v>46273</v>
      </c>
      <c r="C3129" s="34">
        <v>46273</v>
      </c>
      <c r="D3129" t="s">
        <v>35</v>
      </c>
      <c r="E3129" t="s">
        <v>36</v>
      </c>
      <c r="F3129" t="s">
        <v>37</v>
      </c>
      <c r="G3129">
        <v>14788</v>
      </c>
      <c r="H3129" t="s">
        <v>9456</v>
      </c>
      <c r="I3129" t="s">
        <v>9457</v>
      </c>
      <c r="J3129" t="s">
        <v>161</v>
      </c>
      <c r="O3129" t="s">
        <v>9458</v>
      </c>
      <c r="P3129">
        <v>205.87</v>
      </c>
      <c r="Q3129">
        <v>206.96</v>
      </c>
      <c r="R3129">
        <v>201.25</v>
      </c>
      <c r="S3129">
        <v>203.27</v>
      </c>
      <c r="T3129">
        <v>203</v>
      </c>
      <c r="U3129">
        <v>205.87</v>
      </c>
      <c r="W3129">
        <v>203.27</v>
      </c>
      <c r="Z3129">
        <v>627055</v>
      </c>
      <c r="AA3129">
        <v>128052191.34</v>
      </c>
      <c r="AB3129">
        <v>10758</v>
      </c>
      <c r="AC3129" t="s">
        <v>42</v>
      </c>
      <c r="AD3129">
        <v>1</v>
      </c>
    </row>
    <row r="3130" spans="1:30">
      <c r="A3130" t="str">
        <f>CONCATENATE(I3130,J3130)</f>
        <v>SUNPHARMAEQ</v>
      </c>
      <c r="B3130" s="34">
        <v>46273</v>
      </c>
      <c r="C3130" s="34">
        <v>46273</v>
      </c>
      <c r="D3130" t="s">
        <v>35</v>
      </c>
      <c r="E3130" t="s">
        <v>36</v>
      </c>
      <c r="F3130" t="s">
        <v>37</v>
      </c>
      <c r="G3130">
        <v>3351</v>
      </c>
      <c r="H3130" t="s">
        <v>9459</v>
      </c>
      <c r="I3130" t="s">
        <v>9460</v>
      </c>
      <c r="J3130" t="s">
        <v>161</v>
      </c>
      <c r="O3130" t="s">
        <v>9461</v>
      </c>
      <c r="P3130">
        <v>1892</v>
      </c>
      <c r="Q3130">
        <v>1895.6</v>
      </c>
      <c r="R3130">
        <v>1876.8</v>
      </c>
      <c r="S3130">
        <v>1885.9</v>
      </c>
      <c r="T3130">
        <v>1885.9</v>
      </c>
      <c r="U3130">
        <v>1895</v>
      </c>
      <c r="W3130">
        <v>1885.89</v>
      </c>
      <c r="Z3130">
        <v>1422627</v>
      </c>
      <c r="AA3130">
        <v>2683821802.5999999</v>
      </c>
      <c r="AB3130">
        <v>53875</v>
      </c>
      <c r="AC3130" t="s">
        <v>42</v>
      </c>
      <c r="AD3130">
        <v>1</v>
      </c>
    </row>
    <row r="3131" spans="1:30">
      <c r="A3131" t="str">
        <f>CONCATENATE(I3131,J3131)</f>
        <v>SUNTVEQ</v>
      </c>
      <c r="B3131" s="34">
        <v>46273</v>
      </c>
      <c r="C3131" s="34">
        <v>46273</v>
      </c>
      <c r="D3131" t="s">
        <v>35</v>
      </c>
      <c r="E3131" t="s">
        <v>36</v>
      </c>
      <c r="F3131" t="s">
        <v>37</v>
      </c>
      <c r="G3131">
        <v>13404</v>
      </c>
      <c r="H3131" t="s">
        <v>9462</v>
      </c>
      <c r="I3131" t="s">
        <v>9463</v>
      </c>
      <c r="J3131" t="s">
        <v>161</v>
      </c>
      <c r="O3131" t="s">
        <v>9464</v>
      </c>
      <c r="P3131">
        <v>453.1</v>
      </c>
      <c r="Q3131">
        <v>458.85</v>
      </c>
      <c r="R3131">
        <v>449</v>
      </c>
      <c r="S3131">
        <v>453.5</v>
      </c>
      <c r="T3131">
        <v>454.2</v>
      </c>
      <c r="U3131">
        <v>452.85</v>
      </c>
      <c r="W3131">
        <v>453.5</v>
      </c>
      <c r="Z3131">
        <v>262935</v>
      </c>
      <c r="AA3131">
        <v>119215347.7</v>
      </c>
      <c r="AB3131">
        <v>11204</v>
      </c>
      <c r="AC3131" t="s">
        <v>42</v>
      </c>
      <c r="AD3131">
        <v>1</v>
      </c>
    </row>
    <row r="3132" spans="1:30">
      <c r="A3132" t="str">
        <f>CONCATENATE(I3132,J3132)</f>
        <v>SUNCLAYEQ</v>
      </c>
      <c r="B3132" s="34">
        <v>46273</v>
      </c>
      <c r="C3132" s="34">
        <v>46273</v>
      </c>
      <c r="D3132" t="s">
        <v>35</v>
      </c>
      <c r="E3132" t="s">
        <v>36</v>
      </c>
      <c r="F3132" t="s">
        <v>37</v>
      </c>
      <c r="G3132">
        <v>20956</v>
      </c>
      <c r="H3132" t="s">
        <v>9465</v>
      </c>
      <c r="I3132" t="s">
        <v>9466</v>
      </c>
      <c r="J3132" t="s">
        <v>161</v>
      </c>
      <c r="O3132" t="s">
        <v>9467</v>
      </c>
      <c r="P3132">
        <v>1291</v>
      </c>
      <c r="Q3132">
        <v>1313.5</v>
      </c>
      <c r="R3132">
        <v>1288.0999999999999</v>
      </c>
      <c r="S3132">
        <v>1293.4000000000001</v>
      </c>
      <c r="T3132">
        <v>1290</v>
      </c>
      <c r="U3132">
        <v>1299.4000000000001</v>
      </c>
      <c r="W3132">
        <v>1293.21</v>
      </c>
      <c r="Z3132">
        <v>4262</v>
      </c>
      <c r="AA3132">
        <v>5523591.7999999998</v>
      </c>
      <c r="AB3132">
        <v>567</v>
      </c>
      <c r="AC3132" t="s">
        <v>42</v>
      </c>
      <c r="AD3132">
        <v>1</v>
      </c>
    </row>
    <row r="3133" spans="1:30">
      <c r="A3133" t="str">
        <f>CONCATENATE(I3133,J3133)</f>
        <v>SUNDARMFINEQ</v>
      </c>
      <c r="B3133" s="34">
        <v>46273</v>
      </c>
      <c r="C3133" s="34">
        <v>46273</v>
      </c>
      <c r="D3133" t="s">
        <v>35</v>
      </c>
      <c r="E3133" t="s">
        <v>36</v>
      </c>
      <c r="F3133" t="s">
        <v>37</v>
      </c>
      <c r="G3133">
        <v>3339</v>
      </c>
      <c r="H3133" t="s">
        <v>9468</v>
      </c>
      <c r="I3133" t="s">
        <v>9469</v>
      </c>
      <c r="J3133" t="s">
        <v>161</v>
      </c>
      <c r="O3133" t="s">
        <v>9470</v>
      </c>
      <c r="P3133">
        <v>4708.3</v>
      </c>
      <c r="Q3133">
        <v>4739.8999999999996</v>
      </c>
      <c r="R3133">
        <v>4650.1000000000004</v>
      </c>
      <c r="S3133">
        <v>4712.7</v>
      </c>
      <c r="T3133">
        <v>4718.2</v>
      </c>
      <c r="U3133">
        <v>4708.3</v>
      </c>
      <c r="W3133">
        <v>4712.6099999999997</v>
      </c>
      <c r="Z3133">
        <v>33937</v>
      </c>
      <c r="AA3133">
        <v>159775866.5</v>
      </c>
      <c r="AB3133">
        <v>10278</v>
      </c>
      <c r="AC3133" t="s">
        <v>42</v>
      </c>
      <c r="AD3133">
        <v>1</v>
      </c>
    </row>
    <row r="3134" spans="1:30">
      <c r="A3134" t="str">
        <f>CONCATENATE(I3134,J3134)</f>
        <v>SUNDARAMEQ</v>
      </c>
      <c r="B3134" s="34">
        <v>46273</v>
      </c>
      <c r="C3134" s="34">
        <v>46273</v>
      </c>
      <c r="D3134" t="s">
        <v>35</v>
      </c>
      <c r="E3134" t="s">
        <v>36</v>
      </c>
      <c r="F3134" t="s">
        <v>37</v>
      </c>
      <c r="G3134">
        <v>18931</v>
      </c>
      <c r="H3134" t="s">
        <v>9471</v>
      </c>
      <c r="I3134" t="s">
        <v>9472</v>
      </c>
      <c r="J3134" t="s">
        <v>161</v>
      </c>
      <c r="O3134" t="s">
        <v>9473</v>
      </c>
      <c r="P3134">
        <v>1.22</v>
      </c>
      <c r="Q3134">
        <v>1.23</v>
      </c>
      <c r="R3134">
        <v>1.2</v>
      </c>
      <c r="S3134">
        <v>1.21</v>
      </c>
      <c r="T3134">
        <v>1.22</v>
      </c>
      <c r="U3134">
        <v>1.2</v>
      </c>
      <c r="W3134">
        <v>1.21</v>
      </c>
      <c r="Z3134">
        <v>200955</v>
      </c>
      <c r="AA3134">
        <v>243341.83</v>
      </c>
      <c r="AB3134">
        <v>218</v>
      </c>
      <c r="AC3134" t="s">
        <v>42</v>
      </c>
      <c r="AD3134">
        <v>1</v>
      </c>
    </row>
    <row r="3135" spans="1:30">
      <c r="A3135" t="str">
        <f>CONCATENATE(I3135,J3135)</f>
        <v>SUNDRMBRAKBE</v>
      </c>
      <c r="B3135" s="34">
        <v>46273</v>
      </c>
      <c r="C3135" s="34">
        <v>46273</v>
      </c>
      <c r="D3135" t="s">
        <v>35</v>
      </c>
      <c r="E3135" t="s">
        <v>36</v>
      </c>
      <c r="F3135" t="s">
        <v>37</v>
      </c>
      <c r="G3135">
        <v>9848</v>
      </c>
      <c r="H3135" t="s">
        <v>9474</v>
      </c>
      <c r="I3135" t="s">
        <v>9475</v>
      </c>
      <c r="J3135" t="s">
        <v>183</v>
      </c>
      <c r="O3135" t="s">
        <v>9476</v>
      </c>
      <c r="P3135">
        <v>731</v>
      </c>
      <c r="Q3135">
        <v>748</v>
      </c>
      <c r="R3135">
        <v>730</v>
      </c>
      <c r="S3135">
        <v>731.8</v>
      </c>
      <c r="T3135">
        <v>730</v>
      </c>
      <c r="U3135">
        <v>732</v>
      </c>
      <c r="W3135">
        <v>731.8</v>
      </c>
      <c r="Z3135">
        <v>497</v>
      </c>
      <c r="AA3135">
        <v>364910.5</v>
      </c>
      <c r="AB3135">
        <v>39</v>
      </c>
      <c r="AC3135" t="s">
        <v>42</v>
      </c>
      <c r="AD3135">
        <v>1</v>
      </c>
    </row>
    <row r="3136" spans="1:30">
      <c r="A3136" t="str">
        <f>CONCATENATE(I3136,J3136)</f>
        <v>SUNDRMFASTEQ</v>
      </c>
      <c r="B3136" s="34">
        <v>46273</v>
      </c>
      <c r="C3136" s="34">
        <v>46273</v>
      </c>
      <c r="D3136" t="s">
        <v>35</v>
      </c>
      <c r="E3136" t="s">
        <v>36</v>
      </c>
      <c r="F3136" t="s">
        <v>37</v>
      </c>
      <c r="G3136">
        <v>3345</v>
      </c>
      <c r="H3136" t="s">
        <v>9477</v>
      </c>
      <c r="I3136" t="s">
        <v>9478</v>
      </c>
      <c r="J3136" t="s">
        <v>161</v>
      </c>
      <c r="O3136" t="s">
        <v>9479</v>
      </c>
      <c r="P3136">
        <v>1200.4000000000001</v>
      </c>
      <c r="Q3136">
        <v>1278</v>
      </c>
      <c r="R3136">
        <v>1199</v>
      </c>
      <c r="S3136">
        <v>1255</v>
      </c>
      <c r="T3136">
        <v>1249.5999999999999</v>
      </c>
      <c r="U3136">
        <v>1200.5</v>
      </c>
      <c r="W3136">
        <v>1255.03</v>
      </c>
      <c r="Z3136">
        <v>289846</v>
      </c>
      <c r="AA3136">
        <v>363453967.89999998</v>
      </c>
      <c r="AB3136">
        <v>24931</v>
      </c>
      <c r="AC3136" t="s">
        <v>42</v>
      </c>
      <c r="AD3136">
        <v>1</v>
      </c>
    </row>
    <row r="3137" spans="1:30">
      <c r="A3137" t="str">
        <f>CONCATENATE(I3137,J3137)</f>
        <v>SOCLSM</v>
      </c>
      <c r="B3137" s="34">
        <v>46273</v>
      </c>
      <c r="C3137" s="34">
        <v>46273</v>
      </c>
      <c r="D3137" t="s">
        <v>35</v>
      </c>
      <c r="E3137" t="s">
        <v>36</v>
      </c>
      <c r="F3137" t="s">
        <v>37</v>
      </c>
      <c r="G3137">
        <v>761202</v>
      </c>
      <c r="H3137" t="s">
        <v>9480</v>
      </c>
      <c r="I3137" t="s">
        <v>9481</v>
      </c>
      <c r="J3137" t="s">
        <v>267</v>
      </c>
      <c r="O3137" t="s">
        <v>9482</v>
      </c>
      <c r="P3137">
        <v>28.95</v>
      </c>
      <c r="Q3137">
        <v>29.2</v>
      </c>
      <c r="R3137">
        <v>28.95</v>
      </c>
      <c r="S3137">
        <v>29.2</v>
      </c>
      <c r="T3137">
        <v>29.2</v>
      </c>
      <c r="U3137">
        <v>28.95</v>
      </c>
      <c r="W3137">
        <v>29.2</v>
      </c>
      <c r="Z3137">
        <v>8000</v>
      </c>
      <c r="AA3137">
        <v>232880</v>
      </c>
      <c r="AB3137">
        <v>4</v>
      </c>
      <c r="AC3137" t="s">
        <v>42</v>
      </c>
      <c r="AD3137">
        <v>1600</v>
      </c>
    </row>
    <row r="3138" spans="1:30">
      <c r="A3138" t="str">
        <f>CONCATENATE(I3138,J3138)</f>
        <v>SUNDROPEQ</v>
      </c>
      <c r="B3138" s="34">
        <v>46273</v>
      </c>
      <c r="C3138" s="34">
        <v>46273</v>
      </c>
      <c r="D3138" t="s">
        <v>35</v>
      </c>
      <c r="E3138" t="s">
        <v>36</v>
      </c>
      <c r="F3138" t="s">
        <v>37</v>
      </c>
      <c r="G3138">
        <v>1663</v>
      </c>
      <c r="H3138" t="s">
        <v>9483</v>
      </c>
      <c r="I3138" t="s">
        <v>9484</v>
      </c>
      <c r="J3138" t="s">
        <v>161</v>
      </c>
      <c r="O3138" t="s">
        <v>9485</v>
      </c>
      <c r="P3138">
        <v>665</v>
      </c>
      <c r="Q3138">
        <v>665</v>
      </c>
      <c r="R3138">
        <v>655.15</v>
      </c>
      <c r="S3138">
        <v>659.3</v>
      </c>
      <c r="T3138">
        <v>661</v>
      </c>
      <c r="U3138">
        <v>659.45</v>
      </c>
      <c r="W3138">
        <v>659.3</v>
      </c>
      <c r="Z3138">
        <v>5103</v>
      </c>
      <c r="AA3138">
        <v>3373048.55</v>
      </c>
      <c r="AB3138">
        <v>292</v>
      </c>
      <c r="AC3138" t="s">
        <v>42</v>
      </c>
      <c r="AD3138">
        <v>1</v>
      </c>
    </row>
    <row r="3139" spans="1:30">
      <c r="A3139" t="str">
        <f>CONCATENATE(I3139,J3139)</f>
        <v>SUNFLAGEQ</v>
      </c>
      <c r="B3139" s="34">
        <v>46273</v>
      </c>
      <c r="C3139" s="34">
        <v>46273</v>
      </c>
      <c r="D3139" t="s">
        <v>35</v>
      </c>
      <c r="E3139" t="s">
        <v>36</v>
      </c>
      <c r="F3139" t="s">
        <v>37</v>
      </c>
      <c r="G3139">
        <v>3348</v>
      </c>
      <c r="H3139" t="s">
        <v>9486</v>
      </c>
      <c r="I3139" t="s">
        <v>9487</v>
      </c>
      <c r="J3139" t="s">
        <v>161</v>
      </c>
      <c r="O3139" t="s">
        <v>9488</v>
      </c>
      <c r="P3139">
        <v>342.9</v>
      </c>
      <c r="Q3139">
        <v>342.9</v>
      </c>
      <c r="R3139">
        <v>336.5</v>
      </c>
      <c r="S3139">
        <v>338.3</v>
      </c>
      <c r="T3139">
        <v>340</v>
      </c>
      <c r="U3139">
        <v>338.4</v>
      </c>
      <c r="W3139">
        <v>338.3</v>
      </c>
      <c r="Z3139">
        <v>94593</v>
      </c>
      <c r="AA3139">
        <v>32146575.25</v>
      </c>
      <c r="AB3139">
        <v>2540</v>
      </c>
      <c r="AC3139" t="s">
        <v>42</v>
      </c>
      <c r="AD3139">
        <v>1</v>
      </c>
    </row>
    <row r="3140" spans="1:30">
      <c r="A3140" t="str">
        <f>CONCATENATE(I3140,J3140)</f>
        <v>SELSM</v>
      </c>
      <c r="B3140" s="34">
        <v>46273</v>
      </c>
      <c r="C3140" s="34">
        <v>46273</v>
      </c>
      <c r="D3140" t="s">
        <v>35</v>
      </c>
      <c r="E3140" t="s">
        <v>36</v>
      </c>
      <c r="F3140" t="s">
        <v>37</v>
      </c>
      <c r="G3140">
        <v>18264</v>
      </c>
      <c r="H3140" t="s">
        <v>9489</v>
      </c>
      <c r="I3140" t="s">
        <v>9490</v>
      </c>
      <c r="J3140" t="s">
        <v>267</v>
      </c>
      <c r="O3140" t="s">
        <v>9491</v>
      </c>
      <c r="P3140">
        <v>339</v>
      </c>
      <c r="Q3140">
        <v>339</v>
      </c>
      <c r="R3140">
        <v>323</v>
      </c>
      <c r="S3140">
        <v>325.64999999999998</v>
      </c>
      <c r="T3140">
        <v>323</v>
      </c>
      <c r="U3140">
        <v>332.85</v>
      </c>
      <c r="W3140">
        <v>325.64999999999998</v>
      </c>
      <c r="Z3140">
        <v>5200</v>
      </c>
      <c r="AA3140">
        <v>1729180</v>
      </c>
      <c r="AB3140">
        <v>19</v>
      </c>
      <c r="AC3140" t="s">
        <v>42</v>
      </c>
      <c r="AD3140">
        <v>200</v>
      </c>
    </row>
    <row r="3141" spans="1:30">
      <c r="A3141" t="str">
        <f>CONCATENATE(I3141,J3141)</f>
        <v>SUNLOCEQ</v>
      </c>
      <c r="B3141" s="34">
        <v>46273</v>
      </c>
      <c r="C3141" s="34">
        <v>46273</v>
      </c>
      <c r="D3141" t="s">
        <v>35</v>
      </c>
      <c r="E3141" t="s">
        <v>36</v>
      </c>
      <c r="F3141" t="s">
        <v>37</v>
      </c>
      <c r="G3141">
        <v>765180</v>
      </c>
      <c r="H3141" t="s">
        <v>9492</v>
      </c>
      <c r="I3141" t="s">
        <v>9493</v>
      </c>
      <c r="J3141" t="s">
        <v>161</v>
      </c>
      <c r="O3141" t="s">
        <v>9494</v>
      </c>
      <c r="P3141">
        <v>79.98</v>
      </c>
      <c r="Q3141">
        <v>80</v>
      </c>
      <c r="R3141">
        <v>76.97</v>
      </c>
      <c r="S3141">
        <v>79.72</v>
      </c>
      <c r="T3141">
        <v>77.25</v>
      </c>
      <c r="U3141">
        <v>79.98</v>
      </c>
      <c r="W3141">
        <v>79.69</v>
      </c>
      <c r="Z3141">
        <v>1618</v>
      </c>
      <c r="AA3141">
        <v>128770.64</v>
      </c>
      <c r="AB3141">
        <v>16</v>
      </c>
      <c r="AC3141" t="s">
        <v>42</v>
      </c>
      <c r="AD3141">
        <v>1</v>
      </c>
    </row>
    <row r="3142" spans="1:30">
      <c r="A3142" t="str">
        <f>CONCATENATE(I3142,J3142)</f>
        <v>SUNLITESM</v>
      </c>
      <c r="B3142" s="34">
        <v>46273</v>
      </c>
      <c r="C3142" s="34">
        <v>46273</v>
      </c>
      <c r="D3142" t="s">
        <v>35</v>
      </c>
      <c r="E3142" t="s">
        <v>36</v>
      </c>
      <c r="F3142" t="s">
        <v>37</v>
      </c>
      <c r="G3142">
        <v>24868</v>
      </c>
      <c r="H3142" t="s">
        <v>9495</v>
      </c>
      <c r="I3142" t="s">
        <v>9496</v>
      </c>
      <c r="J3142" t="s">
        <v>267</v>
      </c>
      <c r="O3142" t="s">
        <v>9497</v>
      </c>
      <c r="P3142">
        <v>545</v>
      </c>
      <c r="Q3142">
        <v>564</v>
      </c>
      <c r="R3142">
        <v>536.5</v>
      </c>
      <c r="S3142">
        <v>562.65</v>
      </c>
      <c r="T3142">
        <v>559</v>
      </c>
      <c r="U3142">
        <v>536.79999999999995</v>
      </c>
      <c r="W3142">
        <v>562.65</v>
      </c>
      <c r="Z3142">
        <v>39600</v>
      </c>
      <c r="AA3142">
        <v>22084155</v>
      </c>
      <c r="AB3142">
        <v>126</v>
      </c>
      <c r="AC3142" t="s">
        <v>42</v>
      </c>
      <c r="AD3142">
        <v>300</v>
      </c>
    </row>
    <row r="3143" spans="1:30">
      <c r="A3143" t="str">
        <f>CONCATENATE(I3143,J3143)</f>
        <v>SUNRAKSHAKEQ</v>
      </c>
      <c r="B3143" s="34">
        <v>46273</v>
      </c>
      <c r="C3143" s="34">
        <v>46273</v>
      </c>
      <c r="D3143" t="s">
        <v>35</v>
      </c>
      <c r="E3143" t="s">
        <v>36</v>
      </c>
      <c r="F3143" t="s">
        <v>37</v>
      </c>
      <c r="G3143">
        <v>764925</v>
      </c>
      <c r="H3143" t="s">
        <v>9498</v>
      </c>
      <c r="I3143" t="s">
        <v>9499</v>
      </c>
      <c r="J3143" t="s">
        <v>161</v>
      </c>
      <c r="O3143" t="s">
        <v>9500</v>
      </c>
      <c r="P3143">
        <v>370.15</v>
      </c>
      <c r="Q3143">
        <v>375</v>
      </c>
      <c r="R3143">
        <v>361.05</v>
      </c>
      <c r="S3143">
        <v>373.75</v>
      </c>
      <c r="T3143">
        <v>375</v>
      </c>
      <c r="U3143">
        <v>370.15</v>
      </c>
      <c r="W3143">
        <v>373.8</v>
      </c>
      <c r="Z3143">
        <v>10927</v>
      </c>
      <c r="AA3143">
        <v>4056239.55</v>
      </c>
      <c r="AB3143">
        <v>310</v>
      </c>
      <c r="AC3143" t="s">
        <v>42</v>
      </c>
      <c r="AD3143">
        <v>1</v>
      </c>
    </row>
    <row r="3144" spans="1:30">
      <c r="A3144" t="str">
        <f>CONCATENATE(I3144,J3144)</f>
        <v>SUNSHIELEQ</v>
      </c>
      <c r="B3144" s="34">
        <v>46273</v>
      </c>
      <c r="C3144" s="34">
        <v>46273</v>
      </c>
      <c r="D3144" t="s">
        <v>35</v>
      </c>
      <c r="E3144" t="s">
        <v>36</v>
      </c>
      <c r="F3144" t="s">
        <v>37</v>
      </c>
      <c r="G3144">
        <v>764930</v>
      </c>
      <c r="H3144" t="s">
        <v>9501</v>
      </c>
      <c r="I3144" t="s">
        <v>9502</v>
      </c>
      <c r="J3144" t="s">
        <v>161</v>
      </c>
      <c r="O3144" t="s">
        <v>9503</v>
      </c>
      <c r="P3144">
        <v>1268.5999999999999</v>
      </c>
      <c r="Q3144">
        <v>1284.8</v>
      </c>
      <c r="R3144">
        <v>1230</v>
      </c>
      <c r="S3144">
        <v>1239.4000000000001</v>
      </c>
      <c r="T3144">
        <v>1255</v>
      </c>
      <c r="U3144">
        <v>1268.5999999999999</v>
      </c>
      <c r="W3144">
        <v>1239.3699999999999</v>
      </c>
      <c r="Z3144">
        <v>2607</v>
      </c>
      <c r="AA3144">
        <v>3266430.3</v>
      </c>
      <c r="AB3144">
        <v>332</v>
      </c>
      <c r="AC3144" t="s">
        <v>42</v>
      </c>
      <c r="AD3144">
        <v>1</v>
      </c>
    </row>
    <row r="3145" spans="1:30">
      <c r="A3145" t="str">
        <f>CONCATENATE(I3145,J3145)</f>
        <v>SUNSHINEEQ</v>
      </c>
      <c r="B3145" s="34">
        <v>46273</v>
      </c>
      <c r="C3145" s="34">
        <v>46273</v>
      </c>
      <c r="D3145" t="s">
        <v>35</v>
      </c>
      <c r="E3145" t="s">
        <v>36</v>
      </c>
      <c r="F3145" t="s">
        <v>37</v>
      </c>
      <c r="G3145">
        <v>765387</v>
      </c>
      <c r="H3145" t="s">
        <v>9504</v>
      </c>
      <c r="I3145" t="s">
        <v>9505</v>
      </c>
      <c r="J3145" t="s">
        <v>161</v>
      </c>
      <c r="O3145" t="s">
        <v>9506</v>
      </c>
      <c r="P3145">
        <v>486.5</v>
      </c>
      <c r="Q3145">
        <v>495.9</v>
      </c>
      <c r="R3145">
        <v>471.5</v>
      </c>
      <c r="S3145">
        <v>489.15</v>
      </c>
      <c r="T3145">
        <v>490</v>
      </c>
      <c r="U3145">
        <v>486.3</v>
      </c>
      <c r="W3145">
        <v>489.15</v>
      </c>
      <c r="Z3145">
        <v>2339186</v>
      </c>
      <c r="AA3145">
        <v>1134909477.45</v>
      </c>
      <c r="AB3145">
        <v>25635</v>
      </c>
      <c r="AC3145" t="s">
        <v>42</v>
      </c>
      <c r="AD3145">
        <v>1</v>
      </c>
    </row>
    <row r="3146" spans="1:30">
      <c r="A3146" t="str">
        <f>CONCATENATE(I3146,J3146)</f>
        <v>SUNTECHSM</v>
      </c>
      <c r="B3146" s="34">
        <v>46273</v>
      </c>
      <c r="C3146" s="34">
        <v>46273</v>
      </c>
      <c r="D3146" t="s">
        <v>35</v>
      </c>
      <c r="E3146" t="s">
        <v>36</v>
      </c>
      <c r="F3146" t="s">
        <v>37</v>
      </c>
      <c r="G3146">
        <v>757763</v>
      </c>
      <c r="H3146" t="s">
        <v>9507</v>
      </c>
      <c r="I3146" t="s">
        <v>9508</v>
      </c>
      <c r="J3146" t="s">
        <v>267</v>
      </c>
      <c r="O3146" t="s">
        <v>9509</v>
      </c>
      <c r="P3146">
        <v>39.15</v>
      </c>
      <c r="Q3146">
        <v>39.15</v>
      </c>
      <c r="R3146">
        <v>39.15</v>
      </c>
      <c r="S3146">
        <v>39.15</v>
      </c>
      <c r="T3146">
        <v>39.15</v>
      </c>
      <c r="U3146">
        <v>39.15</v>
      </c>
      <c r="W3146">
        <v>39.15</v>
      </c>
      <c r="Z3146">
        <v>1600</v>
      </c>
      <c r="AA3146">
        <v>62640</v>
      </c>
      <c r="AB3146">
        <v>1</v>
      </c>
      <c r="AC3146" t="s">
        <v>42</v>
      </c>
      <c r="AD3146">
        <v>1600</v>
      </c>
    </row>
    <row r="3147" spans="1:30">
      <c r="A3147" t="str">
        <f>CONCATENATE(I3147,J3147)</f>
        <v>SUNTECKEQ</v>
      </c>
      <c r="B3147" s="34">
        <v>46273</v>
      </c>
      <c r="C3147" s="34">
        <v>46273</v>
      </c>
      <c r="D3147" t="s">
        <v>35</v>
      </c>
      <c r="E3147" t="s">
        <v>36</v>
      </c>
      <c r="F3147" t="s">
        <v>37</v>
      </c>
      <c r="G3147">
        <v>17641</v>
      </c>
      <c r="H3147" t="s">
        <v>9510</v>
      </c>
      <c r="I3147" t="s">
        <v>9511</v>
      </c>
      <c r="J3147" t="s">
        <v>161</v>
      </c>
      <c r="O3147" t="s">
        <v>9512</v>
      </c>
      <c r="P3147">
        <v>294.39999999999998</v>
      </c>
      <c r="Q3147">
        <v>297.3</v>
      </c>
      <c r="R3147">
        <v>290.3</v>
      </c>
      <c r="S3147">
        <v>295.89999999999998</v>
      </c>
      <c r="T3147">
        <v>295.10000000000002</v>
      </c>
      <c r="U3147">
        <v>294</v>
      </c>
      <c r="W3147">
        <v>295.89999999999998</v>
      </c>
      <c r="Z3147">
        <v>114285</v>
      </c>
      <c r="AA3147">
        <v>33611885.649999999</v>
      </c>
      <c r="AB3147">
        <v>2666</v>
      </c>
      <c r="AC3147" t="s">
        <v>42</v>
      </c>
      <c r="AD3147">
        <v>1</v>
      </c>
    </row>
    <row r="3148" spans="1:30">
      <c r="A3148" t="str">
        <f>CONCATENATE(I3148,J3148)</f>
        <v>SUPERSPINBE</v>
      </c>
      <c r="B3148" s="34">
        <v>46273</v>
      </c>
      <c r="C3148" s="34">
        <v>46273</v>
      </c>
      <c r="D3148" t="s">
        <v>35</v>
      </c>
      <c r="E3148" t="s">
        <v>36</v>
      </c>
      <c r="F3148" t="s">
        <v>37</v>
      </c>
      <c r="G3148">
        <v>8931</v>
      </c>
      <c r="H3148" t="s">
        <v>9513</v>
      </c>
      <c r="I3148" t="s">
        <v>9514</v>
      </c>
      <c r="J3148" t="s">
        <v>183</v>
      </c>
      <c r="O3148" t="s">
        <v>9515</v>
      </c>
      <c r="P3148">
        <v>7.05</v>
      </c>
      <c r="Q3148">
        <v>7.14</v>
      </c>
      <c r="R3148">
        <v>6.72</v>
      </c>
      <c r="S3148">
        <v>6.87</v>
      </c>
      <c r="T3148">
        <v>6.86</v>
      </c>
      <c r="U3148">
        <v>6.99</v>
      </c>
      <c r="W3148">
        <v>6.87</v>
      </c>
      <c r="Z3148">
        <v>41008</v>
      </c>
      <c r="AA3148">
        <v>283112.65999999997</v>
      </c>
      <c r="AB3148">
        <v>64</v>
      </c>
      <c r="AC3148" t="s">
        <v>42</v>
      </c>
      <c r="AD3148">
        <v>1</v>
      </c>
    </row>
    <row r="3149" spans="1:30">
      <c r="A3149" t="str">
        <f>CONCATENATE(I3149,J3149)</f>
        <v>SUPTANERYBE</v>
      </c>
      <c r="B3149" s="34">
        <v>46273</v>
      </c>
      <c r="C3149" s="34">
        <v>46273</v>
      </c>
      <c r="D3149" t="s">
        <v>35</v>
      </c>
      <c r="E3149" t="s">
        <v>36</v>
      </c>
      <c r="F3149" t="s">
        <v>37</v>
      </c>
      <c r="G3149">
        <v>764938</v>
      </c>
      <c r="H3149" t="s">
        <v>9516</v>
      </c>
      <c r="I3149" t="s">
        <v>9517</v>
      </c>
      <c r="J3149" t="s">
        <v>183</v>
      </c>
      <c r="O3149" t="s">
        <v>9518</v>
      </c>
      <c r="P3149">
        <v>11.97</v>
      </c>
      <c r="Q3149">
        <v>11.97</v>
      </c>
      <c r="R3149">
        <v>11.97</v>
      </c>
      <c r="S3149">
        <v>11.97</v>
      </c>
      <c r="T3149">
        <v>11.97</v>
      </c>
      <c r="U3149">
        <v>12.59</v>
      </c>
      <c r="W3149">
        <v>11.97</v>
      </c>
      <c r="Z3149">
        <v>13502</v>
      </c>
      <c r="AA3149">
        <v>161618.94</v>
      </c>
      <c r="AB3149">
        <v>201</v>
      </c>
      <c r="AC3149" t="s">
        <v>42</v>
      </c>
      <c r="AD3149">
        <v>1</v>
      </c>
    </row>
    <row r="3150" spans="1:30">
      <c r="A3150" t="str">
        <f>CONCATENATE(I3150,J3150)</f>
        <v>SUPERHOUSEEQ</v>
      </c>
      <c r="B3150" s="34">
        <v>46273</v>
      </c>
      <c r="C3150" s="34">
        <v>46273</v>
      </c>
      <c r="D3150" t="s">
        <v>35</v>
      </c>
      <c r="E3150" t="s">
        <v>36</v>
      </c>
      <c r="F3150" t="s">
        <v>37</v>
      </c>
      <c r="G3150">
        <v>20616</v>
      </c>
      <c r="H3150" t="s">
        <v>9519</v>
      </c>
      <c r="I3150" t="s">
        <v>9520</v>
      </c>
      <c r="J3150" t="s">
        <v>161</v>
      </c>
      <c r="O3150" t="s">
        <v>9521</v>
      </c>
      <c r="P3150">
        <v>170.62</v>
      </c>
      <c r="Q3150">
        <v>172</v>
      </c>
      <c r="R3150">
        <v>167.02</v>
      </c>
      <c r="S3150">
        <v>170.7</v>
      </c>
      <c r="T3150">
        <v>172</v>
      </c>
      <c r="U3150">
        <v>170.62</v>
      </c>
      <c r="W3150">
        <v>170.65</v>
      </c>
      <c r="Z3150">
        <v>1114</v>
      </c>
      <c r="AA3150">
        <v>189029.02</v>
      </c>
      <c r="AB3150">
        <v>56</v>
      </c>
      <c r="AC3150" t="s">
        <v>42</v>
      </c>
      <c r="AD3150">
        <v>1</v>
      </c>
    </row>
    <row r="3151" spans="1:30">
      <c r="A3151" t="str">
        <f>CONCATENATE(I3151,J3151)</f>
        <v>SIELEQ</v>
      </c>
      <c r="B3151" s="34">
        <v>46273</v>
      </c>
      <c r="C3151" s="34">
        <v>46273</v>
      </c>
      <c r="D3151" t="s">
        <v>35</v>
      </c>
      <c r="E3151" t="s">
        <v>36</v>
      </c>
      <c r="F3151" t="s">
        <v>37</v>
      </c>
      <c r="G3151">
        <v>3147</v>
      </c>
      <c r="H3151" t="s">
        <v>9522</v>
      </c>
      <c r="I3151" t="s">
        <v>9523</v>
      </c>
      <c r="J3151" t="s">
        <v>161</v>
      </c>
      <c r="O3151" t="s">
        <v>9524</v>
      </c>
      <c r="P3151">
        <v>30.94</v>
      </c>
      <c r="Q3151">
        <v>30.94</v>
      </c>
      <c r="R3151">
        <v>29.3</v>
      </c>
      <c r="S3151">
        <v>30.2</v>
      </c>
      <c r="T3151">
        <v>30.2</v>
      </c>
      <c r="U3151">
        <v>30.79</v>
      </c>
      <c r="W3151">
        <v>30.23</v>
      </c>
      <c r="Z3151">
        <v>1617</v>
      </c>
      <c r="AA3151">
        <v>49520.06</v>
      </c>
      <c r="AB3151">
        <v>30</v>
      </c>
      <c r="AC3151" t="s">
        <v>42</v>
      </c>
      <c r="AD3151">
        <v>1</v>
      </c>
    </row>
    <row r="3152" spans="1:30">
      <c r="A3152" t="str">
        <f>CONCATENATE(I3152,J3152)</f>
        <v>SUPRAJITEQ</v>
      </c>
      <c r="B3152" s="34">
        <v>46273</v>
      </c>
      <c r="C3152" s="34">
        <v>46273</v>
      </c>
      <c r="D3152" t="s">
        <v>35</v>
      </c>
      <c r="E3152" t="s">
        <v>36</v>
      </c>
      <c r="F3152" t="s">
        <v>37</v>
      </c>
      <c r="G3152">
        <v>11689</v>
      </c>
      <c r="H3152" t="s">
        <v>9525</v>
      </c>
      <c r="I3152" t="s">
        <v>9526</v>
      </c>
      <c r="J3152" t="s">
        <v>161</v>
      </c>
      <c r="O3152" t="s">
        <v>9527</v>
      </c>
      <c r="P3152">
        <v>473.2</v>
      </c>
      <c r="Q3152">
        <v>477.4</v>
      </c>
      <c r="R3152">
        <v>468.55</v>
      </c>
      <c r="S3152">
        <v>475.6</v>
      </c>
      <c r="T3152">
        <v>476.4</v>
      </c>
      <c r="U3152">
        <v>473.2</v>
      </c>
      <c r="W3152">
        <v>475.67</v>
      </c>
      <c r="Z3152">
        <v>38920</v>
      </c>
      <c r="AA3152">
        <v>18434356.449999999</v>
      </c>
      <c r="AB3152">
        <v>4336</v>
      </c>
      <c r="AC3152" t="s">
        <v>42</v>
      </c>
      <c r="AD3152">
        <v>1</v>
      </c>
    </row>
    <row r="3153" spans="1:30">
      <c r="A3153" t="str">
        <f>CONCATENATE(I3153,J3153)</f>
        <v>SUPREMEENGBZ</v>
      </c>
      <c r="B3153" s="34">
        <v>46273</v>
      </c>
      <c r="C3153" s="34">
        <v>46273</v>
      </c>
      <c r="D3153" t="s">
        <v>35</v>
      </c>
      <c r="E3153" t="s">
        <v>36</v>
      </c>
      <c r="F3153" t="s">
        <v>37</v>
      </c>
      <c r="G3153">
        <v>758997</v>
      </c>
      <c r="H3153" t="s">
        <v>9528</v>
      </c>
      <c r="I3153" t="s">
        <v>9529</v>
      </c>
      <c r="J3153" t="s">
        <v>551</v>
      </c>
      <c r="O3153" t="s">
        <v>9530</v>
      </c>
      <c r="P3153">
        <v>3.15</v>
      </c>
      <c r="Q3153">
        <v>3.15</v>
      </c>
      <c r="R3153">
        <v>3.15</v>
      </c>
      <c r="S3153">
        <v>3.15</v>
      </c>
      <c r="T3153">
        <v>3.15</v>
      </c>
      <c r="U3153">
        <v>3.09</v>
      </c>
      <c r="W3153">
        <v>3.15</v>
      </c>
      <c r="Z3153">
        <v>760756</v>
      </c>
      <c r="AA3153">
        <v>2396381.4</v>
      </c>
      <c r="AB3153">
        <v>112</v>
      </c>
      <c r="AC3153" t="s">
        <v>42</v>
      </c>
      <c r="AD3153">
        <v>1</v>
      </c>
    </row>
    <row r="3154" spans="1:30">
      <c r="A3154" t="str">
        <f>CONCATENATE(I3154,J3154)</f>
        <v>SFMLSM</v>
      </c>
      <c r="B3154" s="34">
        <v>46273</v>
      </c>
      <c r="C3154" s="34">
        <v>46273</v>
      </c>
      <c r="D3154" t="s">
        <v>35</v>
      </c>
      <c r="E3154" t="s">
        <v>36</v>
      </c>
      <c r="F3154" t="s">
        <v>37</v>
      </c>
      <c r="G3154">
        <v>28069</v>
      </c>
      <c r="H3154" t="s">
        <v>9531</v>
      </c>
      <c r="I3154" t="s">
        <v>9532</v>
      </c>
      <c r="J3154" t="s">
        <v>267</v>
      </c>
      <c r="O3154" t="s">
        <v>9533</v>
      </c>
      <c r="P3154">
        <v>21.3</v>
      </c>
      <c r="Q3154">
        <v>21.7</v>
      </c>
      <c r="R3154">
        <v>21.3</v>
      </c>
      <c r="S3154">
        <v>21.5</v>
      </c>
      <c r="T3154">
        <v>21.5</v>
      </c>
      <c r="U3154">
        <v>21.3</v>
      </c>
      <c r="W3154">
        <v>21.5</v>
      </c>
      <c r="Z3154">
        <v>9600</v>
      </c>
      <c r="AA3154">
        <v>206480</v>
      </c>
      <c r="AB3154">
        <v>6</v>
      </c>
      <c r="AC3154" t="s">
        <v>42</v>
      </c>
      <c r="AD3154">
        <v>1600</v>
      </c>
    </row>
    <row r="3155" spans="1:30">
      <c r="A3155" t="str">
        <f>CONCATENATE(I3155,J3155)</f>
        <v>SUPREMEEQ</v>
      </c>
      <c r="B3155" s="34">
        <v>46273</v>
      </c>
      <c r="C3155" s="34">
        <v>46273</v>
      </c>
      <c r="D3155" t="s">
        <v>35</v>
      </c>
      <c r="E3155" t="s">
        <v>36</v>
      </c>
      <c r="F3155" t="s">
        <v>37</v>
      </c>
      <c r="G3155">
        <v>29439</v>
      </c>
      <c r="H3155" t="s">
        <v>9534</v>
      </c>
      <c r="I3155" t="s">
        <v>9535</v>
      </c>
      <c r="J3155" t="s">
        <v>161</v>
      </c>
      <c r="O3155" t="s">
        <v>9536</v>
      </c>
      <c r="P3155">
        <v>37.229999999999997</v>
      </c>
      <c r="Q3155">
        <v>38</v>
      </c>
      <c r="R3155">
        <v>36.54</v>
      </c>
      <c r="S3155">
        <v>37.159999999999997</v>
      </c>
      <c r="T3155">
        <v>37.06</v>
      </c>
      <c r="U3155">
        <v>37.409999999999997</v>
      </c>
      <c r="W3155">
        <v>37.26</v>
      </c>
      <c r="Z3155">
        <v>12225</v>
      </c>
      <c r="AA3155">
        <v>454273.92</v>
      </c>
      <c r="AB3155">
        <v>125</v>
      </c>
      <c r="AC3155" t="s">
        <v>42</v>
      </c>
      <c r="AD3155">
        <v>1</v>
      </c>
    </row>
    <row r="3156" spans="1:30">
      <c r="A3156" t="str">
        <f>CONCATENATE(I3156,J3156)</f>
        <v>SUPREMEINDEQ</v>
      </c>
      <c r="B3156" s="34">
        <v>46273</v>
      </c>
      <c r="C3156" s="34">
        <v>46273</v>
      </c>
      <c r="D3156" t="s">
        <v>35</v>
      </c>
      <c r="E3156" t="s">
        <v>36</v>
      </c>
      <c r="F3156" t="s">
        <v>37</v>
      </c>
      <c r="G3156">
        <v>3363</v>
      </c>
      <c r="H3156" t="s">
        <v>9537</v>
      </c>
      <c r="I3156" t="s">
        <v>9538</v>
      </c>
      <c r="J3156" t="s">
        <v>161</v>
      </c>
      <c r="O3156" t="s">
        <v>9539</v>
      </c>
      <c r="P3156">
        <v>3598</v>
      </c>
      <c r="Q3156">
        <v>3598</v>
      </c>
      <c r="R3156">
        <v>3521.7</v>
      </c>
      <c r="S3156">
        <v>3553</v>
      </c>
      <c r="T3156">
        <v>3553</v>
      </c>
      <c r="U3156">
        <v>3598</v>
      </c>
      <c r="W3156">
        <v>3550.96</v>
      </c>
      <c r="Z3156">
        <v>151985</v>
      </c>
      <c r="AA3156">
        <v>541952988.79999995</v>
      </c>
      <c r="AB3156">
        <v>12131</v>
      </c>
      <c r="AC3156" t="s">
        <v>42</v>
      </c>
      <c r="AD3156">
        <v>1</v>
      </c>
    </row>
    <row r="3157" spans="1:30">
      <c r="A3157" t="str">
        <f>CONCATENATE(I3157,J3157)</f>
        <v>SUPREMEINFEQ</v>
      </c>
      <c r="B3157" s="34">
        <v>46273</v>
      </c>
      <c r="C3157" s="34">
        <v>46273</v>
      </c>
      <c r="D3157" t="s">
        <v>35</v>
      </c>
      <c r="E3157" t="s">
        <v>36</v>
      </c>
      <c r="F3157" t="s">
        <v>37</v>
      </c>
      <c r="G3157">
        <v>15002</v>
      </c>
      <c r="H3157" t="s">
        <v>9540</v>
      </c>
      <c r="I3157" t="s">
        <v>9541</v>
      </c>
      <c r="J3157" t="s">
        <v>161</v>
      </c>
      <c r="O3157" t="s">
        <v>9542</v>
      </c>
      <c r="P3157">
        <v>85.07</v>
      </c>
      <c r="Q3157">
        <v>86.21</v>
      </c>
      <c r="R3157">
        <v>83.15</v>
      </c>
      <c r="S3157">
        <v>85.1</v>
      </c>
      <c r="T3157">
        <v>85.23</v>
      </c>
      <c r="U3157">
        <v>85.77</v>
      </c>
      <c r="W3157">
        <v>85.1</v>
      </c>
      <c r="Z3157">
        <v>72493</v>
      </c>
      <c r="AA3157">
        <v>6159730.1500000004</v>
      </c>
      <c r="AB3157">
        <v>1545</v>
      </c>
      <c r="AC3157" t="s">
        <v>42</v>
      </c>
      <c r="AD3157">
        <v>1</v>
      </c>
    </row>
    <row r="3158" spans="1:30">
      <c r="A3158" t="str">
        <f>CONCATENATE(I3158,J3158)</f>
        <v>SPLPETROEQ</v>
      </c>
      <c r="B3158" s="34">
        <v>46273</v>
      </c>
      <c r="C3158" s="34">
        <v>46273</v>
      </c>
      <c r="D3158" t="s">
        <v>35</v>
      </c>
      <c r="E3158" t="s">
        <v>36</v>
      </c>
      <c r="F3158" t="s">
        <v>37</v>
      </c>
      <c r="G3158">
        <v>9617</v>
      </c>
      <c r="H3158" t="s">
        <v>9543</v>
      </c>
      <c r="I3158" t="s">
        <v>9544</v>
      </c>
      <c r="J3158" t="s">
        <v>161</v>
      </c>
      <c r="O3158" t="s">
        <v>9545</v>
      </c>
      <c r="P3158">
        <v>809</v>
      </c>
      <c r="Q3158">
        <v>831.1</v>
      </c>
      <c r="R3158">
        <v>783.15</v>
      </c>
      <c r="S3158">
        <v>828.4</v>
      </c>
      <c r="T3158">
        <v>824</v>
      </c>
      <c r="U3158">
        <v>802.5</v>
      </c>
      <c r="W3158">
        <v>828.39</v>
      </c>
      <c r="Z3158">
        <v>904826</v>
      </c>
      <c r="AA3158">
        <v>735907275.04999995</v>
      </c>
      <c r="AB3158">
        <v>34650</v>
      </c>
      <c r="AC3158" t="s">
        <v>42</v>
      </c>
      <c r="AD3158">
        <v>1</v>
      </c>
    </row>
    <row r="3159" spans="1:30">
      <c r="A3159" t="str">
        <f>CONCATENATE(I3159,J3159)</f>
        <v>SUPREMEPWRSM</v>
      </c>
      <c r="B3159" s="34">
        <v>46273</v>
      </c>
      <c r="C3159" s="34">
        <v>46273</v>
      </c>
      <c r="D3159" t="s">
        <v>35</v>
      </c>
      <c r="E3159" t="s">
        <v>36</v>
      </c>
      <c r="F3159" t="s">
        <v>37</v>
      </c>
      <c r="G3159">
        <v>21067</v>
      </c>
      <c r="H3159" t="s">
        <v>9546</v>
      </c>
      <c r="I3159" t="s">
        <v>9547</v>
      </c>
      <c r="J3159" t="s">
        <v>267</v>
      </c>
      <c r="O3159" t="s">
        <v>9548</v>
      </c>
      <c r="P3159">
        <v>233.05</v>
      </c>
      <c r="Q3159">
        <v>237.1</v>
      </c>
      <c r="R3159">
        <v>230.1</v>
      </c>
      <c r="S3159">
        <v>233.35</v>
      </c>
      <c r="T3159">
        <v>234</v>
      </c>
      <c r="U3159">
        <v>233.85</v>
      </c>
      <c r="W3159">
        <v>233.35</v>
      </c>
      <c r="Z3159">
        <v>38000</v>
      </c>
      <c r="AA3159">
        <v>8899425</v>
      </c>
      <c r="AB3159">
        <v>74</v>
      </c>
      <c r="AC3159" t="s">
        <v>42</v>
      </c>
      <c r="AD3159">
        <v>500</v>
      </c>
    </row>
    <row r="3160" spans="1:30">
      <c r="A3160" t="str">
        <f>CONCATENATE(I3160,J3160)</f>
        <v>SUPRIYAEQ</v>
      </c>
      <c r="B3160" s="34">
        <v>46273</v>
      </c>
      <c r="C3160" s="34">
        <v>46273</v>
      </c>
      <c r="D3160" t="s">
        <v>35</v>
      </c>
      <c r="E3160" t="s">
        <v>36</v>
      </c>
      <c r="F3160" t="s">
        <v>37</v>
      </c>
      <c r="G3160">
        <v>7390</v>
      </c>
      <c r="H3160" t="s">
        <v>9549</v>
      </c>
      <c r="I3160" t="s">
        <v>9550</v>
      </c>
      <c r="J3160" t="s">
        <v>161</v>
      </c>
      <c r="O3160" t="s">
        <v>9551</v>
      </c>
      <c r="P3160">
        <v>910</v>
      </c>
      <c r="Q3160">
        <v>925.1</v>
      </c>
      <c r="R3160">
        <v>898.5</v>
      </c>
      <c r="S3160">
        <v>915.65</v>
      </c>
      <c r="T3160">
        <v>916</v>
      </c>
      <c r="U3160">
        <v>909.1</v>
      </c>
      <c r="W3160">
        <v>915.65</v>
      </c>
      <c r="Z3160">
        <v>265504</v>
      </c>
      <c r="AA3160">
        <v>242301564.44999999</v>
      </c>
      <c r="AB3160">
        <v>16995</v>
      </c>
      <c r="AC3160" t="s">
        <v>42</v>
      </c>
      <c r="AD3160">
        <v>1</v>
      </c>
    </row>
    <row r="3161" spans="1:30">
      <c r="A3161" t="str">
        <f>CONCATENATE(I3161,J3161)</f>
        <v>SURAJESTEQ</v>
      </c>
      <c r="B3161" s="34">
        <v>46273</v>
      </c>
      <c r="C3161" s="34">
        <v>46273</v>
      </c>
      <c r="D3161" t="s">
        <v>35</v>
      </c>
      <c r="E3161" t="s">
        <v>36</v>
      </c>
      <c r="F3161" t="s">
        <v>37</v>
      </c>
      <c r="G3161">
        <v>20822</v>
      </c>
      <c r="H3161" t="s">
        <v>9552</v>
      </c>
      <c r="I3161" t="s">
        <v>9553</v>
      </c>
      <c r="J3161" t="s">
        <v>161</v>
      </c>
      <c r="O3161" t="s">
        <v>9554</v>
      </c>
      <c r="P3161">
        <v>176.9</v>
      </c>
      <c r="Q3161">
        <v>178.8</v>
      </c>
      <c r="R3161">
        <v>173.01</v>
      </c>
      <c r="S3161">
        <v>173.92</v>
      </c>
      <c r="T3161">
        <v>175.35</v>
      </c>
      <c r="U3161">
        <v>176.09</v>
      </c>
      <c r="W3161">
        <v>173.92</v>
      </c>
      <c r="Z3161">
        <v>218552</v>
      </c>
      <c r="AA3161">
        <v>38153014.369999997</v>
      </c>
      <c r="AB3161">
        <v>1722</v>
      </c>
      <c r="AC3161" t="s">
        <v>42</v>
      </c>
      <c r="AD3161">
        <v>1</v>
      </c>
    </row>
    <row r="3162" spans="1:30">
      <c r="A3162" t="str">
        <f>CONCATENATE(I3162,J3162)</f>
        <v>SURAJLTDEQ</v>
      </c>
      <c r="B3162" s="34">
        <v>46273</v>
      </c>
      <c r="C3162" s="34">
        <v>46273</v>
      </c>
      <c r="D3162" t="s">
        <v>35</v>
      </c>
      <c r="E3162" t="s">
        <v>36</v>
      </c>
      <c r="F3162" t="s">
        <v>37</v>
      </c>
      <c r="G3162">
        <v>24966</v>
      </c>
      <c r="H3162" t="s">
        <v>9555</v>
      </c>
      <c r="I3162" t="s">
        <v>9556</v>
      </c>
      <c r="J3162" t="s">
        <v>161</v>
      </c>
      <c r="O3162" t="s">
        <v>9557</v>
      </c>
      <c r="P3162">
        <v>200</v>
      </c>
      <c r="Q3162">
        <v>207.98</v>
      </c>
      <c r="R3162">
        <v>198.25</v>
      </c>
      <c r="S3162">
        <v>200.2</v>
      </c>
      <c r="T3162">
        <v>198.25</v>
      </c>
      <c r="U3162">
        <v>200</v>
      </c>
      <c r="W3162">
        <v>200.22</v>
      </c>
      <c r="Z3162">
        <v>3043</v>
      </c>
      <c r="AA3162">
        <v>616760.55000000005</v>
      </c>
      <c r="AB3162">
        <v>77</v>
      </c>
      <c r="AC3162" t="s">
        <v>42</v>
      </c>
      <c r="AD3162">
        <v>1</v>
      </c>
    </row>
    <row r="3163" spans="1:30">
      <c r="A3163" t="str">
        <f>CONCATENATE(I3163,J3163)</f>
        <v>SURAKSHAEQ</v>
      </c>
      <c r="B3163" s="34">
        <v>46273</v>
      </c>
      <c r="C3163" s="34">
        <v>46273</v>
      </c>
      <c r="D3163" t="s">
        <v>35</v>
      </c>
      <c r="E3163" t="s">
        <v>36</v>
      </c>
      <c r="F3163" t="s">
        <v>37</v>
      </c>
      <c r="G3163">
        <v>27334</v>
      </c>
      <c r="H3163" t="s">
        <v>9558</v>
      </c>
      <c r="I3163" t="s">
        <v>9559</v>
      </c>
      <c r="J3163" t="s">
        <v>161</v>
      </c>
      <c r="O3163" t="s">
        <v>9560</v>
      </c>
      <c r="P3163">
        <v>338</v>
      </c>
      <c r="Q3163">
        <v>345</v>
      </c>
      <c r="R3163">
        <v>335.05</v>
      </c>
      <c r="S3163">
        <v>340.1</v>
      </c>
      <c r="T3163">
        <v>341.5</v>
      </c>
      <c r="U3163">
        <v>338.9</v>
      </c>
      <c r="W3163">
        <v>340.1</v>
      </c>
      <c r="Z3163">
        <v>74971</v>
      </c>
      <c r="AA3163">
        <v>25514680.149999999</v>
      </c>
      <c r="AB3163">
        <v>2513</v>
      </c>
      <c r="AC3163" t="s">
        <v>42</v>
      </c>
      <c r="AD3163">
        <v>1</v>
      </c>
    </row>
    <row r="3164" spans="1:30">
      <c r="A3164" t="str">
        <f>CONCATENATE(I3164,J3164)</f>
        <v>SURANASOLEQ</v>
      </c>
      <c r="B3164" s="34">
        <v>46273</v>
      </c>
      <c r="C3164" s="34">
        <v>46273</v>
      </c>
      <c r="D3164" t="s">
        <v>35</v>
      </c>
      <c r="E3164" t="s">
        <v>36</v>
      </c>
      <c r="F3164" t="s">
        <v>37</v>
      </c>
      <c r="G3164">
        <v>21077</v>
      </c>
      <c r="H3164" t="s">
        <v>9561</v>
      </c>
      <c r="I3164" t="s">
        <v>9562</v>
      </c>
      <c r="J3164" t="s">
        <v>161</v>
      </c>
      <c r="O3164" t="s">
        <v>9563</v>
      </c>
      <c r="P3164">
        <v>25.86</v>
      </c>
      <c r="Q3164">
        <v>26.23</v>
      </c>
      <c r="R3164">
        <v>25.62</v>
      </c>
      <c r="S3164">
        <v>26.03</v>
      </c>
      <c r="T3164">
        <v>25.96</v>
      </c>
      <c r="U3164">
        <v>25.86</v>
      </c>
      <c r="W3164">
        <v>26.02</v>
      </c>
      <c r="Z3164">
        <v>22239</v>
      </c>
      <c r="AA3164">
        <v>578769.99</v>
      </c>
      <c r="AB3164">
        <v>437</v>
      </c>
      <c r="AC3164" t="s">
        <v>42</v>
      </c>
      <c r="AD3164">
        <v>1</v>
      </c>
    </row>
    <row r="3165" spans="1:30">
      <c r="A3165" t="str">
        <f>CONCATENATE(I3165,J3165)</f>
        <v>SURANAT&amp;PEQ</v>
      </c>
      <c r="B3165" s="34">
        <v>46273</v>
      </c>
      <c r="C3165" s="34">
        <v>46273</v>
      </c>
      <c r="D3165" t="s">
        <v>35</v>
      </c>
      <c r="E3165" t="s">
        <v>36</v>
      </c>
      <c r="F3165" t="s">
        <v>37</v>
      </c>
      <c r="G3165">
        <v>10700</v>
      </c>
      <c r="H3165" t="s">
        <v>9564</v>
      </c>
      <c r="I3165" t="s">
        <v>9565</v>
      </c>
      <c r="J3165" t="s">
        <v>161</v>
      </c>
      <c r="O3165" t="s">
        <v>9566</v>
      </c>
      <c r="P3165">
        <v>16.25</v>
      </c>
      <c r="Q3165">
        <v>16.600000000000001</v>
      </c>
      <c r="R3165">
        <v>16.25</v>
      </c>
      <c r="S3165">
        <v>16.420000000000002</v>
      </c>
      <c r="T3165">
        <v>16.29</v>
      </c>
      <c r="U3165">
        <v>16.43</v>
      </c>
      <c r="W3165">
        <v>16.420000000000002</v>
      </c>
      <c r="Z3165">
        <v>42233</v>
      </c>
      <c r="AA3165">
        <v>693231.25</v>
      </c>
      <c r="AB3165">
        <v>334</v>
      </c>
      <c r="AC3165" t="s">
        <v>42</v>
      </c>
      <c r="AD3165">
        <v>1</v>
      </c>
    </row>
    <row r="3166" spans="1:30">
      <c r="A3166" t="str">
        <f>CONCATENATE(I3166,J3166)</f>
        <v>SBGLPEQ</v>
      </c>
      <c r="B3166" s="34">
        <v>46273</v>
      </c>
      <c r="C3166" s="34">
        <v>46273</v>
      </c>
      <c r="D3166" t="s">
        <v>35</v>
      </c>
      <c r="E3166" t="s">
        <v>36</v>
      </c>
      <c r="F3166" t="s">
        <v>37</v>
      </c>
      <c r="G3166">
        <v>14139</v>
      </c>
      <c r="H3166" t="s">
        <v>9567</v>
      </c>
      <c r="I3166" t="s">
        <v>9568</v>
      </c>
      <c r="J3166" t="s">
        <v>161</v>
      </c>
      <c r="O3166" t="s">
        <v>9569</v>
      </c>
      <c r="P3166">
        <v>24.01</v>
      </c>
      <c r="Q3166">
        <v>24.95</v>
      </c>
      <c r="R3166">
        <v>23.81</v>
      </c>
      <c r="S3166">
        <v>23.81</v>
      </c>
      <c r="T3166">
        <v>23.82</v>
      </c>
      <c r="U3166">
        <v>23.81</v>
      </c>
      <c r="W3166">
        <v>23.81</v>
      </c>
      <c r="Z3166">
        <v>13937</v>
      </c>
      <c r="AA3166">
        <v>333458.7</v>
      </c>
      <c r="AB3166">
        <v>100</v>
      </c>
      <c r="AC3166" t="s">
        <v>42</v>
      </c>
      <c r="AD3166">
        <v>1</v>
      </c>
    </row>
    <row r="3167" spans="1:30">
      <c r="A3167" t="str">
        <f>CONCATENATE(I3167,J3167)</f>
        <v>SURYAROSNIEQ</v>
      </c>
      <c r="B3167" s="34">
        <v>46273</v>
      </c>
      <c r="C3167" s="34">
        <v>46273</v>
      </c>
      <c r="D3167" t="s">
        <v>35</v>
      </c>
      <c r="E3167" t="s">
        <v>36</v>
      </c>
      <c r="F3167" t="s">
        <v>37</v>
      </c>
      <c r="G3167">
        <v>3375</v>
      </c>
      <c r="H3167" t="s">
        <v>9570</v>
      </c>
      <c r="I3167" t="s">
        <v>9571</v>
      </c>
      <c r="J3167" t="s">
        <v>161</v>
      </c>
      <c r="O3167" t="s">
        <v>9572</v>
      </c>
      <c r="P3167">
        <v>215.6</v>
      </c>
      <c r="Q3167">
        <v>220.08</v>
      </c>
      <c r="R3167">
        <v>215</v>
      </c>
      <c r="S3167">
        <v>216.02</v>
      </c>
      <c r="T3167">
        <v>215.55</v>
      </c>
      <c r="U3167">
        <v>215.81</v>
      </c>
      <c r="W3167">
        <v>216.05</v>
      </c>
      <c r="Z3167">
        <v>346599</v>
      </c>
      <c r="AA3167">
        <v>75097917.650000006</v>
      </c>
      <c r="AB3167">
        <v>7007</v>
      </c>
      <c r="AC3167" t="s">
        <v>42</v>
      </c>
      <c r="AD3167">
        <v>1</v>
      </c>
    </row>
    <row r="3168" spans="1:30">
      <c r="A3168" t="str">
        <f>CONCATENATE(I3168,J3168)</f>
        <v>SURYALAXMIEQ</v>
      </c>
      <c r="B3168" s="34">
        <v>46273</v>
      </c>
      <c r="C3168" s="34">
        <v>46273</v>
      </c>
      <c r="D3168" t="s">
        <v>35</v>
      </c>
      <c r="E3168" t="s">
        <v>36</v>
      </c>
      <c r="F3168" t="s">
        <v>37</v>
      </c>
      <c r="G3168">
        <v>11852</v>
      </c>
      <c r="H3168" t="s">
        <v>9573</v>
      </c>
      <c r="I3168" t="s">
        <v>9574</v>
      </c>
      <c r="J3168" t="s">
        <v>161</v>
      </c>
      <c r="O3168" t="s">
        <v>9575</v>
      </c>
      <c r="P3168">
        <v>59</v>
      </c>
      <c r="Q3168">
        <v>59.29</v>
      </c>
      <c r="R3168">
        <v>56.31</v>
      </c>
      <c r="S3168">
        <v>58.32</v>
      </c>
      <c r="T3168">
        <v>58.32</v>
      </c>
      <c r="U3168">
        <v>58.85</v>
      </c>
      <c r="W3168">
        <v>58.32</v>
      </c>
      <c r="Z3168">
        <v>8399</v>
      </c>
      <c r="AA3168">
        <v>483611.52</v>
      </c>
      <c r="AB3168">
        <v>140</v>
      </c>
      <c r="AC3168" t="s">
        <v>42</v>
      </c>
      <c r="AD3168">
        <v>1</v>
      </c>
    </row>
    <row r="3169" spans="1:30">
      <c r="A3169" t="str">
        <f>CONCATENATE(I3169,J3169)</f>
        <v>SURYALAEQ</v>
      </c>
      <c r="B3169" s="34">
        <v>46273</v>
      </c>
      <c r="C3169" s="34">
        <v>46273</v>
      </c>
      <c r="D3169" t="s">
        <v>35</v>
      </c>
      <c r="E3169" t="s">
        <v>36</v>
      </c>
      <c r="F3169" t="s">
        <v>37</v>
      </c>
      <c r="G3169">
        <v>762924</v>
      </c>
      <c r="H3169" t="s">
        <v>9576</v>
      </c>
      <c r="I3169" t="s">
        <v>9577</v>
      </c>
      <c r="J3169" t="s">
        <v>161</v>
      </c>
      <c r="O3169" t="s">
        <v>9578</v>
      </c>
      <c r="P3169">
        <v>410.05</v>
      </c>
      <c r="Q3169">
        <v>410.1</v>
      </c>
      <c r="R3169">
        <v>409.95</v>
      </c>
      <c r="S3169">
        <v>410</v>
      </c>
      <c r="T3169">
        <v>410</v>
      </c>
      <c r="U3169">
        <v>421.4</v>
      </c>
      <c r="W3169">
        <v>410</v>
      </c>
      <c r="Z3169">
        <v>1077</v>
      </c>
      <c r="AA3169">
        <v>441613.7</v>
      </c>
      <c r="AB3169">
        <v>12</v>
      </c>
      <c r="AC3169" t="s">
        <v>42</v>
      </c>
      <c r="AD3169">
        <v>1</v>
      </c>
    </row>
    <row r="3170" spans="1:30">
      <c r="A3170" t="str">
        <f>CONCATENATE(I3170,J3170)</f>
        <v>SURYODAYEQ</v>
      </c>
      <c r="B3170" s="34">
        <v>46273</v>
      </c>
      <c r="C3170" s="34">
        <v>46273</v>
      </c>
      <c r="D3170" t="s">
        <v>35</v>
      </c>
      <c r="E3170" t="s">
        <v>36</v>
      </c>
      <c r="F3170" t="s">
        <v>37</v>
      </c>
      <c r="G3170">
        <v>2970</v>
      </c>
      <c r="H3170" t="s">
        <v>9579</v>
      </c>
      <c r="I3170" t="s">
        <v>9580</v>
      </c>
      <c r="J3170" t="s">
        <v>161</v>
      </c>
      <c r="O3170" t="s">
        <v>9581</v>
      </c>
      <c r="P3170">
        <v>151.22</v>
      </c>
      <c r="Q3170">
        <v>157.16999999999999</v>
      </c>
      <c r="R3170">
        <v>151.22</v>
      </c>
      <c r="S3170">
        <v>154.86000000000001</v>
      </c>
      <c r="T3170">
        <v>155.88</v>
      </c>
      <c r="U3170">
        <v>152.21</v>
      </c>
      <c r="W3170">
        <v>154.86000000000001</v>
      </c>
      <c r="Z3170">
        <v>270869</v>
      </c>
      <c r="AA3170">
        <v>42026362.539999999</v>
      </c>
      <c r="AB3170">
        <v>6096</v>
      </c>
      <c r="AC3170" t="s">
        <v>42</v>
      </c>
      <c r="AD3170">
        <v>1</v>
      </c>
    </row>
    <row r="3171" spans="1:30">
      <c r="A3171" t="str">
        <f>CONCATENATE(I3171,J3171)</f>
        <v>SUTLEJTEXBE</v>
      </c>
      <c r="B3171" s="34">
        <v>46273</v>
      </c>
      <c r="C3171" s="34">
        <v>46273</v>
      </c>
      <c r="D3171" t="s">
        <v>35</v>
      </c>
      <c r="E3171" t="s">
        <v>36</v>
      </c>
      <c r="F3171" t="s">
        <v>37</v>
      </c>
      <c r="G3171">
        <v>13804</v>
      </c>
      <c r="H3171" t="s">
        <v>9582</v>
      </c>
      <c r="I3171" t="s">
        <v>9583</v>
      </c>
      <c r="J3171" t="s">
        <v>183</v>
      </c>
      <c r="O3171" t="s">
        <v>9584</v>
      </c>
      <c r="P3171">
        <v>40.85</v>
      </c>
      <c r="Q3171">
        <v>42</v>
      </c>
      <c r="R3171">
        <v>39.549999999999997</v>
      </c>
      <c r="S3171">
        <v>40.6</v>
      </c>
      <c r="T3171">
        <v>39.83</v>
      </c>
      <c r="U3171">
        <v>40.75</v>
      </c>
      <c r="W3171">
        <v>40.6</v>
      </c>
      <c r="Z3171">
        <v>35681</v>
      </c>
      <c r="AA3171">
        <v>1474643.81</v>
      </c>
      <c r="AB3171">
        <v>166</v>
      </c>
      <c r="AC3171" t="s">
        <v>42</v>
      </c>
      <c r="AD3171">
        <v>1</v>
      </c>
    </row>
    <row r="3172" spans="1:30">
      <c r="A3172" t="str">
        <f>CONCATENATE(I3172,J3172)</f>
        <v>SUVENEQ</v>
      </c>
      <c r="B3172" s="34">
        <v>46273</v>
      </c>
      <c r="C3172" s="34">
        <v>46273</v>
      </c>
      <c r="D3172" t="s">
        <v>35</v>
      </c>
      <c r="E3172" t="s">
        <v>36</v>
      </c>
      <c r="F3172" t="s">
        <v>37</v>
      </c>
      <c r="G3172">
        <v>11233</v>
      </c>
      <c r="H3172" t="s">
        <v>9585</v>
      </c>
      <c r="I3172" t="s">
        <v>9586</v>
      </c>
      <c r="J3172" t="s">
        <v>161</v>
      </c>
      <c r="O3172" t="s">
        <v>9587</v>
      </c>
      <c r="P3172">
        <v>376.45</v>
      </c>
      <c r="Q3172">
        <v>380</v>
      </c>
      <c r="R3172">
        <v>368</v>
      </c>
      <c r="S3172">
        <v>369.9</v>
      </c>
      <c r="T3172">
        <v>370</v>
      </c>
      <c r="U3172">
        <v>377.15</v>
      </c>
      <c r="W3172">
        <v>369.94</v>
      </c>
      <c r="Z3172">
        <v>468826</v>
      </c>
      <c r="AA3172">
        <v>174806652</v>
      </c>
      <c r="AB3172">
        <v>17765</v>
      </c>
      <c r="AC3172" t="s">
        <v>42</v>
      </c>
      <c r="AD3172">
        <v>1</v>
      </c>
    </row>
    <row r="3173" spans="1:30">
      <c r="A3173" t="str">
        <f>CONCATENATE(I3173,J3173)</f>
        <v>SUVIDHAAEQ</v>
      </c>
      <c r="B3173" s="34">
        <v>46273</v>
      </c>
      <c r="C3173" s="34">
        <v>46273</v>
      </c>
      <c r="D3173" t="s">
        <v>35</v>
      </c>
      <c r="E3173" t="s">
        <v>36</v>
      </c>
      <c r="F3173" t="s">
        <v>37</v>
      </c>
      <c r="G3173">
        <v>2998</v>
      </c>
      <c r="H3173" t="s">
        <v>9588</v>
      </c>
      <c r="I3173" t="s">
        <v>9589</v>
      </c>
      <c r="J3173" t="s">
        <v>161</v>
      </c>
      <c r="O3173" t="s">
        <v>9590</v>
      </c>
      <c r="P3173">
        <v>2.23</v>
      </c>
      <c r="Q3173">
        <v>2.38</v>
      </c>
      <c r="R3173">
        <v>2.0499999999999998</v>
      </c>
      <c r="S3173">
        <v>2.31</v>
      </c>
      <c r="T3173">
        <v>2.38</v>
      </c>
      <c r="U3173">
        <v>2.21</v>
      </c>
      <c r="W3173">
        <v>2.2999999999999998</v>
      </c>
      <c r="Z3173">
        <v>151860</v>
      </c>
      <c r="AA3173">
        <v>342755.86</v>
      </c>
      <c r="AB3173">
        <v>292</v>
      </c>
      <c r="AC3173" t="s">
        <v>42</v>
      </c>
      <c r="AD3173">
        <v>1</v>
      </c>
    </row>
    <row r="3174" spans="1:30">
      <c r="A3174" t="str">
        <f>CONCATENATE(I3174,J3174)</f>
        <v>SUYOGEQ</v>
      </c>
      <c r="B3174" s="34">
        <v>46273</v>
      </c>
      <c r="C3174" s="34">
        <v>46273</v>
      </c>
      <c r="D3174" t="s">
        <v>35</v>
      </c>
      <c r="E3174" t="s">
        <v>36</v>
      </c>
      <c r="F3174" t="s">
        <v>37</v>
      </c>
      <c r="G3174">
        <v>24851</v>
      </c>
      <c r="H3174" t="s">
        <v>9591</v>
      </c>
      <c r="I3174" t="s">
        <v>9592</v>
      </c>
      <c r="J3174" t="s">
        <v>161</v>
      </c>
      <c r="O3174" t="s">
        <v>9593</v>
      </c>
      <c r="P3174">
        <v>724.8</v>
      </c>
      <c r="Q3174">
        <v>740</v>
      </c>
      <c r="R3174">
        <v>705.55</v>
      </c>
      <c r="S3174">
        <v>713.65</v>
      </c>
      <c r="T3174">
        <v>707</v>
      </c>
      <c r="U3174">
        <v>718.5</v>
      </c>
      <c r="W3174">
        <v>713.63</v>
      </c>
      <c r="Z3174">
        <v>38569</v>
      </c>
      <c r="AA3174">
        <v>27723130.75</v>
      </c>
      <c r="AB3174">
        <v>2547</v>
      </c>
      <c r="AC3174" t="s">
        <v>42</v>
      </c>
      <c r="AD3174">
        <v>1</v>
      </c>
    </row>
    <row r="3175" spans="1:30">
      <c r="A3175" t="str">
        <f>CONCATENATE(I3175,J3175)</f>
        <v>SUZLONEQ</v>
      </c>
      <c r="B3175" s="34">
        <v>46273</v>
      </c>
      <c r="C3175" s="34">
        <v>46273</v>
      </c>
      <c r="D3175" t="s">
        <v>35</v>
      </c>
      <c r="E3175" t="s">
        <v>36</v>
      </c>
      <c r="F3175" t="s">
        <v>37</v>
      </c>
      <c r="G3175">
        <v>12018</v>
      </c>
      <c r="H3175" t="s">
        <v>9594</v>
      </c>
      <c r="I3175" t="s">
        <v>9595</v>
      </c>
      <c r="J3175" t="s">
        <v>161</v>
      </c>
      <c r="O3175" t="s">
        <v>9596</v>
      </c>
      <c r="P3175">
        <v>45.47</v>
      </c>
      <c r="Q3175">
        <v>45.77</v>
      </c>
      <c r="R3175">
        <v>45.27</v>
      </c>
      <c r="S3175">
        <v>45.5</v>
      </c>
      <c r="T3175">
        <v>45.5</v>
      </c>
      <c r="U3175">
        <v>45.55</v>
      </c>
      <c r="W3175">
        <v>45.5</v>
      </c>
      <c r="Z3175">
        <v>24929892</v>
      </c>
      <c r="AA3175">
        <v>1133957104.9100001</v>
      </c>
      <c r="AB3175">
        <v>57066</v>
      </c>
      <c r="AC3175" t="s">
        <v>42</v>
      </c>
      <c r="AD3175">
        <v>1</v>
      </c>
    </row>
    <row r="3176" spans="1:30">
      <c r="A3176" t="str">
        <f>CONCATENATE(I3176,J3176)</f>
        <v>SVPGLOBEQ</v>
      </c>
      <c r="B3176" s="34">
        <v>46273</v>
      </c>
      <c r="C3176" s="34">
        <v>46273</v>
      </c>
      <c r="D3176" t="s">
        <v>35</v>
      </c>
      <c r="E3176" t="s">
        <v>36</v>
      </c>
      <c r="F3176" t="s">
        <v>37</v>
      </c>
      <c r="G3176">
        <v>5020</v>
      </c>
      <c r="H3176" t="s">
        <v>9597</v>
      </c>
      <c r="I3176" t="s">
        <v>9598</v>
      </c>
      <c r="J3176" t="s">
        <v>161</v>
      </c>
      <c r="O3176" t="s">
        <v>9599</v>
      </c>
      <c r="P3176">
        <v>3.67</v>
      </c>
      <c r="Q3176">
        <v>3.67</v>
      </c>
      <c r="R3176">
        <v>3.48</v>
      </c>
      <c r="S3176">
        <v>3.51</v>
      </c>
      <c r="T3176">
        <v>3.55</v>
      </c>
      <c r="U3176">
        <v>3.6</v>
      </c>
      <c r="W3176">
        <v>3.51</v>
      </c>
      <c r="Z3176">
        <v>51940</v>
      </c>
      <c r="AA3176">
        <v>184344.02</v>
      </c>
      <c r="AB3176">
        <v>90</v>
      </c>
      <c r="AC3176" t="s">
        <v>42</v>
      </c>
      <c r="AD3176">
        <v>1</v>
      </c>
    </row>
    <row r="3177" spans="1:30">
      <c r="A3177" t="str">
        <f>CONCATENATE(I3177,J3177)</f>
        <v>SWANCORPEQ</v>
      </c>
      <c r="B3177" s="34">
        <v>46273</v>
      </c>
      <c r="C3177" s="34">
        <v>46273</v>
      </c>
      <c r="D3177" t="s">
        <v>35</v>
      </c>
      <c r="E3177" t="s">
        <v>36</v>
      </c>
      <c r="F3177" t="s">
        <v>37</v>
      </c>
      <c r="G3177">
        <v>27095</v>
      </c>
      <c r="H3177" t="s">
        <v>9600</v>
      </c>
      <c r="I3177" t="s">
        <v>9601</v>
      </c>
      <c r="J3177" t="s">
        <v>161</v>
      </c>
      <c r="O3177" t="s">
        <v>9602</v>
      </c>
      <c r="P3177">
        <v>279.45</v>
      </c>
      <c r="Q3177">
        <v>280.39999999999998</v>
      </c>
      <c r="R3177">
        <v>275.25</v>
      </c>
      <c r="S3177">
        <v>276.8</v>
      </c>
      <c r="T3177">
        <v>277.5</v>
      </c>
      <c r="U3177">
        <v>278.10000000000002</v>
      </c>
      <c r="W3177">
        <v>276.8</v>
      </c>
      <c r="Z3177">
        <v>756303</v>
      </c>
      <c r="AA3177">
        <v>209746819.44999999</v>
      </c>
      <c r="AB3177">
        <v>11324</v>
      </c>
      <c r="AC3177" t="s">
        <v>42</v>
      </c>
      <c r="AD3177">
        <v>1</v>
      </c>
    </row>
    <row r="3178" spans="1:30">
      <c r="A3178" t="str">
        <f>CONCATENATE(I3178,J3178)</f>
        <v>SWANDEFBE</v>
      </c>
      <c r="B3178" s="34">
        <v>46273</v>
      </c>
      <c r="C3178" s="34">
        <v>46273</v>
      </c>
      <c r="D3178" t="s">
        <v>35</v>
      </c>
      <c r="E3178" t="s">
        <v>36</v>
      </c>
      <c r="F3178" t="s">
        <v>37</v>
      </c>
      <c r="G3178">
        <v>29164</v>
      </c>
      <c r="H3178" t="s">
        <v>9603</v>
      </c>
      <c r="I3178" t="s">
        <v>9604</v>
      </c>
      <c r="J3178" t="s">
        <v>183</v>
      </c>
      <c r="O3178" t="s">
        <v>9605</v>
      </c>
      <c r="P3178">
        <v>2478</v>
      </c>
      <c r="Q3178">
        <v>2540</v>
      </c>
      <c r="R3178">
        <v>2440</v>
      </c>
      <c r="S3178">
        <v>2484</v>
      </c>
      <c r="T3178">
        <v>2489</v>
      </c>
      <c r="U3178">
        <v>2496</v>
      </c>
      <c r="W3178">
        <v>2483.96</v>
      </c>
      <c r="Z3178">
        <v>11440</v>
      </c>
      <c r="AA3178">
        <v>28521347.800000001</v>
      </c>
      <c r="AB3178">
        <v>921</v>
      </c>
      <c r="AC3178" t="s">
        <v>42</v>
      </c>
      <c r="AD3178">
        <v>1</v>
      </c>
    </row>
    <row r="3179" spans="1:30">
      <c r="A3179" t="str">
        <f>CONCATENATE(I3179,J3179)</f>
        <v>SWARAJENGEQ</v>
      </c>
      <c r="B3179" s="34">
        <v>46273</v>
      </c>
      <c r="C3179" s="34">
        <v>46273</v>
      </c>
      <c r="D3179" t="s">
        <v>35</v>
      </c>
      <c r="E3179" t="s">
        <v>36</v>
      </c>
      <c r="F3179" t="s">
        <v>37</v>
      </c>
      <c r="G3179">
        <v>3384</v>
      </c>
      <c r="H3179" t="s">
        <v>9606</v>
      </c>
      <c r="I3179" t="s">
        <v>9607</v>
      </c>
      <c r="J3179" t="s">
        <v>161</v>
      </c>
      <c r="O3179" t="s">
        <v>9608</v>
      </c>
      <c r="P3179">
        <v>3650</v>
      </c>
      <c r="Q3179">
        <v>3664.9</v>
      </c>
      <c r="R3179">
        <v>3603.1</v>
      </c>
      <c r="S3179">
        <v>3632.6</v>
      </c>
      <c r="T3179">
        <v>3630.8</v>
      </c>
      <c r="U3179">
        <v>3648</v>
      </c>
      <c r="W3179">
        <v>3632.77</v>
      </c>
      <c r="Z3179">
        <v>8188</v>
      </c>
      <c r="AA3179">
        <v>29775217.699999999</v>
      </c>
      <c r="AB3179">
        <v>1967</v>
      </c>
      <c r="AC3179" t="s">
        <v>42</v>
      </c>
      <c r="AD3179">
        <v>1</v>
      </c>
    </row>
    <row r="3180" spans="1:30">
      <c r="A3180" t="str">
        <f>CONCATENATE(I3180,J3180)</f>
        <v>SWARAJBE</v>
      </c>
      <c r="B3180" s="34">
        <v>46273</v>
      </c>
      <c r="C3180" s="34">
        <v>46273</v>
      </c>
      <c r="D3180" t="s">
        <v>35</v>
      </c>
      <c r="E3180" t="s">
        <v>36</v>
      </c>
      <c r="F3180" t="s">
        <v>37</v>
      </c>
      <c r="G3180">
        <v>764496</v>
      </c>
      <c r="H3180" t="s">
        <v>9609</v>
      </c>
      <c r="I3180" t="s">
        <v>9610</v>
      </c>
      <c r="J3180" t="s">
        <v>183</v>
      </c>
      <c r="O3180" t="s">
        <v>9611</v>
      </c>
      <c r="P3180">
        <v>358</v>
      </c>
      <c r="Q3180">
        <v>362.9</v>
      </c>
      <c r="R3180">
        <v>350.1</v>
      </c>
      <c r="S3180">
        <v>354.8</v>
      </c>
      <c r="T3180">
        <v>357</v>
      </c>
      <c r="U3180">
        <v>355.35</v>
      </c>
      <c r="W3180">
        <v>354.8</v>
      </c>
      <c r="Z3180">
        <v>74854</v>
      </c>
      <c r="AA3180">
        <v>26523839.350000001</v>
      </c>
      <c r="AB3180">
        <v>807</v>
      </c>
      <c r="AC3180" t="s">
        <v>42</v>
      </c>
      <c r="AD3180">
        <v>1</v>
      </c>
    </row>
    <row r="3181" spans="1:30">
      <c r="A3181" t="str">
        <f>CONCATENATE(I3181,J3181)</f>
        <v>SWARNSAREQ</v>
      </c>
      <c r="B3181" s="34">
        <v>46273</v>
      </c>
      <c r="C3181" s="34">
        <v>46273</v>
      </c>
      <c r="D3181" t="s">
        <v>35</v>
      </c>
      <c r="E3181" t="s">
        <v>36</v>
      </c>
      <c r="F3181" t="s">
        <v>37</v>
      </c>
      <c r="G3181">
        <v>765185</v>
      </c>
      <c r="H3181" t="s">
        <v>9612</v>
      </c>
      <c r="I3181" t="s">
        <v>9613</v>
      </c>
      <c r="J3181" t="s">
        <v>161</v>
      </c>
      <c r="O3181" t="s">
        <v>9614</v>
      </c>
      <c r="P3181">
        <v>39.200000000000003</v>
      </c>
      <c r="Q3181">
        <v>44.38</v>
      </c>
      <c r="R3181">
        <v>38</v>
      </c>
      <c r="S3181">
        <v>41.62</v>
      </c>
      <c r="T3181">
        <v>41.8</v>
      </c>
      <c r="U3181">
        <v>37.58</v>
      </c>
      <c r="W3181">
        <v>41.56</v>
      </c>
      <c r="Z3181">
        <v>232263</v>
      </c>
      <c r="AA3181">
        <v>9657777.3699999992</v>
      </c>
      <c r="AB3181">
        <v>2028</v>
      </c>
      <c r="AC3181" t="s">
        <v>42</v>
      </c>
      <c r="AD3181">
        <v>1</v>
      </c>
    </row>
    <row r="3182" spans="1:30">
      <c r="A3182" t="str">
        <f>CONCATENATE(I3182,J3182)</f>
        <v>SWASTIKST</v>
      </c>
      <c r="B3182" s="34">
        <v>46273</v>
      </c>
      <c r="C3182" s="34">
        <v>46273</v>
      </c>
      <c r="D3182" t="s">
        <v>35</v>
      </c>
      <c r="E3182" t="s">
        <v>36</v>
      </c>
      <c r="F3182" t="s">
        <v>37</v>
      </c>
      <c r="G3182">
        <v>11497</v>
      </c>
      <c r="H3182" t="s">
        <v>9615</v>
      </c>
      <c r="I3182" t="s">
        <v>9616</v>
      </c>
      <c r="J3182" t="s">
        <v>328</v>
      </c>
      <c r="O3182" t="s">
        <v>9617</v>
      </c>
      <c r="P3182">
        <v>19</v>
      </c>
      <c r="Q3182">
        <v>19</v>
      </c>
      <c r="R3182">
        <v>19</v>
      </c>
      <c r="S3182">
        <v>19</v>
      </c>
      <c r="T3182">
        <v>19</v>
      </c>
      <c r="U3182">
        <v>19</v>
      </c>
      <c r="W3182">
        <v>19</v>
      </c>
      <c r="Z3182">
        <v>2400</v>
      </c>
      <c r="AA3182">
        <v>45600</v>
      </c>
      <c r="AB3182">
        <v>2</v>
      </c>
      <c r="AC3182" t="s">
        <v>42</v>
      </c>
      <c r="AD3182">
        <v>1200</v>
      </c>
    </row>
    <row r="3183" spans="1:30">
      <c r="A3183" t="str">
        <f>CONCATENATE(I3183,J3183)</f>
        <v>SWELECTESEQ</v>
      </c>
      <c r="B3183" s="34">
        <v>46273</v>
      </c>
      <c r="C3183" s="34">
        <v>46273</v>
      </c>
      <c r="D3183" t="s">
        <v>35</v>
      </c>
      <c r="E3183" t="s">
        <v>36</v>
      </c>
      <c r="F3183" t="s">
        <v>37</v>
      </c>
      <c r="G3183">
        <v>11909</v>
      </c>
      <c r="H3183" t="s">
        <v>9618</v>
      </c>
      <c r="I3183" t="s">
        <v>9619</v>
      </c>
      <c r="J3183" t="s">
        <v>161</v>
      </c>
      <c r="O3183" t="s">
        <v>9620</v>
      </c>
      <c r="P3183">
        <v>573.6</v>
      </c>
      <c r="Q3183">
        <v>608</v>
      </c>
      <c r="R3183">
        <v>573.6</v>
      </c>
      <c r="S3183">
        <v>583.79999999999995</v>
      </c>
      <c r="T3183">
        <v>580.4</v>
      </c>
      <c r="U3183">
        <v>572.35</v>
      </c>
      <c r="W3183">
        <v>583.61</v>
      </c>
      <c r="Z3183">
        <v>31409</v>
      </c>
      <c r="AA3183">
        <v>18600564.25</v>
      </c>
      <c r="AB3183">
        <v>2936</v>
      </c>
      <c r="AC3183" t="s">
        <v>42</v>
      </c>
      <c r="AD3183">
        <v>1</v>
      </c>
    </row>
    <row r="3184" spans="1:30">
      <c r="A3184" t="str">
        <f>CONCATENATE(I3184,J3184)</f>
        <v>SWIGGYEQ</v>
      </c>
      <c r="B3184" s="34">
        <v>46273</v>
      </c>
      <c r="C3184" s="34">
        <v>46273</v>
      </c>
      <c r="D3184" t="s">
        <v>35</v>
      </c>
      <c r="E3184" t="s">
        <v>36</v>
      </c>
      <c r="F3184" t="s">
        <v>37</v>
      </c>
      <c r="G3184">
        <v>27066</v>
      </c>
      <c r="H3184" t="s">
        <v>9621</v>
      </c>
      <c r="I3184" t="s">
        <v>9622</v>
      </c>
      <c r="J3184" t="s">
        <v>161</v>
      </c>
      <c r="O3184" t="s">
        <v>9623</v>
      </c>
      <c r="P3184">
        <v>276.45</v>
      </c>
      <c r="Q3184">
        <v>280</v>
      </c>
      <c r="R3184">
        <v>274.60000000000002</v>
      </c>
      <c r="S3184">
        <v>275.7</v>
      </c>
      <c r="T3184">
        <v>275.7</v>
      </c>
      <c r="U3184">
        <v>276.45</v>
      </c>
      <c r="W3184">
        <v>275.7</v>
      </c>
      <c r="Z3184">
        <v>25774897</v>
      </c>
      <c r="AA3184">
        <v>7141778616</v>
      </c>
      <c r="AB3184">
        <v>84214</v>
      </c>
      <c r="AC3184" t="s">
        <v>42</v>
      </c>
      <c r="AD3184">
        <v>1</v>
      </c>
    </row>
    <row r="3185" spans="1:30">
      <c r="A3185" t="str">
        <f>CONCATENATE(I3185,J3185)</f>
        <v>SWISSMLTRYBE</v>
      </c>
      <c r="B3185" s="34">
        <v>46273</v>
      </c>
      <c r="C3185" s="34">
        <v>46273</v>
      </c>
      <c r="D3185" t="s">
        <v>35</v>
      </c>
      <c r="E3185" t="s">
        <v>36</v>
      </c>
      <c r="F3185" t="s">
        <v>37</v>
      </c>
      <c r="G3185">
        <v>765193</v>
      </c>
      <c r="H3185" t="s">
        <v>9624</v>
      </c>
      <c r="I3185" t="s">
        <v>9625</v>
      </c>
      <c r="J3185" t="s">
        <v>183</v>
      </c>
      <c r="O3185" t="s">
        <v>9626</v>
      </c>
      <c r="P3185">
        <v>15.48</v>
      </c>
      <c r="Q3185">
        <v>15.61</v>
      </c>
      <c r="R3185">
        <v>15.03</v>
      </c>
      <c r="S3185">
        <v>15.26</v>
      </c>
      <c r="T3185">
        <v>15.27</v>
      </c>
      <c r="U3185">
        <v>15.18</v>
      </c>
      <c r="W3185">
        <v>15.26</v>
      </c>
      <c r="Z3185">
        <v>20807</v>
      </c>
      <c r="AA3185">
        <v>318817.24</v>
      </c>
      <c r="AB3185">
        <v>152</v>
      </c>
      <c r="AC3185" t="s">
        <v>42</v>
      </c>
      <c r="AD3185">
        <v>1</v>
      </c>
    </row>
    <row r="3186" spans="1:30">
      <c r="A3186" t="str">
        <f>CONCATENATE(I3186,J3186)</f>
        <v>SYLVANPLYSM</v>
      </c>
      <c r="B3186" s="34">
        <v>46273</v>
      </c>
      <c r="C3186" s="34">
        <v>46273</v>
      </c>
      <c r="D3186" t="s">
        <v>35</v>
      </c>
      <c r="E3186" t="s">
        <v>36</v>
      </c>
      <c r="F3186" t="s">
        <v>37</v>
      </c>
      <c r="G3186">
        <v>24267</v>
      </c>
      <c r="H3186" t="s">
        <v>9627</v>
      </c>
      <c r="I3186" t="s">
        <v>9628</v>
      </c>
      <c r="J3186" t="s">
        <v>267</v>
      </c>
      <c r="O3186" t="s">
        <v>9629</v>
      </c>
      <c r="P3186">
        <v>55.5</v>
      </c>
      <c r="Q3186">
        <v>55.5</v>
      </c>
      <c r="R3186">
        <v>55.5</v>
      </c>
      <c r="S3186">
        <v>55.5</v>
      </c>
      <c r="T3186">
        <v>55.5</v>
      </c>
      <c r="U3186">
        <v>55.55</v>
      </c>
      <c r="W3186">
        <v>55.5</v>
      </c>
      <c r="Z3186">
        <v>2000</v>
      </c>
      <c r="AA3186">
        <v>111000</v>
      </c>
      <c r="AB3186">
        <v>1</v>
      </c>
      <c r="AC3186" t="s">
        <v>42</v>
      </c>
      <c r="AD3186">
        <v>2000</v>
      </c>
    </row>
    <row r="3187" spans="1:30">
      <c r="A3187" t="str">
        <f>CONCATENATE(I3187,J3187)</f>
        <v>SYMBIOTECEQ</v>
      </c>
      <c r="B3187" s="34">
        <v>46273</v>
      </c>
      <c r="C3187" s="34">
        <v>46273</v>
      </c>
      <c r="D3187" t="s">
        <v>35</v>
      </c>
      <c r="E3187" t="s">
        <v>36</v>
      </c>
      <c r="F3187" t="s">
        <v>37</v>
      </c>
      <c r="G3187">
        <v>765485</v>
      </c>
      <c r="H3187" t="s">
        <v>9630</v>
      </c>
      <c r="I3187" t="s">
        <v>9631</v>
      </c>
      <c r="J3187" t="s">
        <v>161</v>
      </c>
      <c r="O3187" t="s">
        <v>9632</v>
      </c>
      <c r="P3187">
        <v>1105</v>
      </c>
      <c r="Q3187">
        <v>1108.5999999999999</v>
      </c>
      <c r="R3187">
        <v>1071.0999999999999</v>
      </c>
      <c r="S3187">
        <v>1094.0999999999999</v>
      </c>
      <c r="T3187">
        <v>1093</v>
      </c>
      <c r="U3187">
        <v>1098.7</v>
      </c>
      <c r="W3187">
        <v>1094.1099999999999</v>
      </c>
      <c r="Z3187">
        <v>556915</v>
      </c>
      <c r="AA3187">
        <v>605753984.70000005</v>
      </c>
      <c r="AB3187">
        <v>30153</v>
      </c>
      <c r="AC3187" t="s">
        <v>42</v>
      </c>
      <c r="AD3187">
        <v>1</v>
      </c>
    </row>
    <row r="3188" spans="1:30">
      <c r="A3188" t="str">
        <f>CONCATENATE(I3188,J3188)</f>
        <v>SYMPHONYEQ</v>
      </c>
      <c r="B3188" s="34">
        <v>46273</v>
      </c>
      <c r="C3188" s="34">
        <v>46273</v>
      </c>
      <c r="D3188" t="s">
        <v>35</v>
      </c>
      <c r="E3188" t="s">
        <v>36</v>
      </c>
      <c r="F3188" t="s">
        <v>37</v>
      </c>
      <c r="G3188">
        <v>24190</v>
      </c>
      <c r="H3188" t="s">
        <v>9633</v>
      </c>
      <c r="I3188" t="s">
        <v>9634</v>
      </c>
      <c r="J3188" t="s">
        <v>161</v>
      </c>
      <c r="O3188" t="s">
        <v>9635</v>
      </c>
      <c r="P3188">
        <v>587.4</v>
      </c>
      <c r="Q3188">
        <v>653</v>
      </c>
      <c r="R3188">
        <v>585.20000000000005</v>
      </c>
      <c r="S3188">
        <v>613.04999999999995</v>
      </c>
      <c r="T3188">
        <v>606.20000000000005</v>
      </c>
      <c r="U3188">
        <v>573.4</v>
      </c>
      <c r="W3188">
        <v>613</v>
      </c>
      <c r="Z3188">
        <v>4900203</v>
      </c>
      <c r="AA3188">
        <v>3072815513.1500001</v>
      </c>
      <c r="AB3188">
        <v>105690</v>
      </c>
      <c r="AC3188" t="s">
        <v>42</v>
      </c>
      <c r="AD3188">
        <v>1</v>
      </c>
    </row>
    <row r="3189" spans="1:30">
      <c r="A3189" t="str">
        <f>CONCATENATE(I3189,J3189)</f>
        <v>SYNCOMFEQ</v>
      </c>
      <c r="B3189" s="34">
        <v>46273</v>
      </c>
      <c r="C3189" s="34">
        <v>46273</v>
      </c>
      <c r="D3189" t="s">
        <v>35</v>
      </c>
      <c r="E3189" t="s">
        <v>36</v>
      </c>
      <c r="F3189" t="s">
        <v>37</v>
      </c>
      <c r="G3189">
        <v>11992</v>
      </c>
      <c r="H3189" t="s">
        <v>9636</v>
      </c>
      <c r="I3189" t="s">
        <v>9637</v>
      </c>
      <c r="J3189" t="s">
        <v>161</v>
      </c>
      <c r="O3189" t="s">
        <v>9638</v>
      </c>
      <c r="P3189">
        <v>20.399999999999999</v>
      </c>
      <c r="Q3189">
        <v>21.5</v>
      </c>
      <c r="R3189">
        <v>20.399999999999999</v>
      </c>
      <c r="S3189">
        <v>20.97</v>
      </c>
      <c r="T3189">
        <v>21</v>
      </c>
      <c r="U3189">
        <v>20.27</v>
      </c>
      <c r="W3189">
        <v>20.97</v>
      </c>
      <c r="Z3189">
        <v>12467529</v>
      </c>
      <c r="AA3189">
        <v>263449196.44999999</v>
      </c>
      <c r="AB3189">
        <v>24049</v>
      </c>
      <c r="AC3189" t="s">
        <v>42</v>
      </c>
      <c r="AD3189">
        <v>1</v>
      </c>
    </row>
    <row r="3190" spans="1:30">
      <c r="A3190" t="str">
        <f>CONCATENATE(I3190,J3190)</f>
        <v>SGILEQ</v>
      </c>
      <c r="B3190" s="34">
        <v>46273</v>
      </c>
      <c r="C3190" s="34">
        <v>46273</v>
      </c>
      <c r="D3190" t="s">
        <v>35</v>
      </c>
      <c r="E3190" t="s">
        <v>36</v>
      </c>
      <c r="F3190" t="s">
        <v>37</v>
      </c>
      <c r="G3190">
        <v>5114</v>
      </c>
      <c r="H3190" t="s">
        <v>9639</v>
      </c>
      <c r="I3190" t="s">
        <v>9640</v>
      </c>
      <c r="J3190" t="s">
        <v>161</v>
      </c>
      <c r="O3190" t="s">
        <v>9641</v>
      </c>
      <c r="P3190">
        <v>605.5</v>
      </c>
      <c r="Q3190">
        <v>606.54999999999995</v>
      </c>
      <c r="R3190">
        <v>585.04999999999995</v>
      </c>
      <c r="S3190">
        <v>588.5</v>
      </c>
      <c r="T3190">
        <v>586</v>
      </c>
      <c r="U3190">
        <v>600.85</v>
      </c>
      <c r="W3190">
        <v>588.54</v>
      </c>
      <c r="Z3190">
        <v>16342</v>
      </c>
      <c r="AA3190">
        <v>9781617.6500000004</v>
      </c>
      <c r="AB3190">
        <v>485</v>
      </c>
      <c r="AC3190" t="s">
        <v>42</v>
      </c>
      <c r="AD3190">
        <v>1</v>
      </c>
    </row>
    <row r="3191" spans="1:30">
      <c r="A3191" t="str">
        <f>CONCATENATE(I3191,J3191)</f>
        <v>SYNGENEEQ</v>
      </c>
      <c r="B3191" s="34">
        <v>46273</v>
      </c>
      <c r="C3191" s="34">
        <v>46273</v>
      </c>
      <c r="D3191" t="s">
        <v>35</v>
      </c>
      <c r="E3191" t="s">
        <v>36</v>
      </c>
      <c r="F3191" t="s">
        <v>37</v>
      </c>
      <c r="G3191">
        <v>10243</v>
      </c>
      <c r="H3191" t="s">
        <v>9642</v>
      </c>
      <c r="I3191" t="s">
        <v>9643</v>
      </c>
      <c r="J3191" t="s">
        <v>161</v>
      </c>
      <c r="O3191" t="s">
        <v>9644</v>
      </c>
      <c r="P3191">
        <v>389.3</v>
      </c>
      <c r="Q3191">
        <v>390.65</v>
      </c>
      <c r="R3191">
        <v>383.5</v>
      </c>
      <c r="S3191">
        <v>387.55</v>
      </c>
      <c r="T3191">
        <v>387.25</v>
      </c>
      <c r="U3191">
        <v>389.3</v>
      </c>
      <c r="W3191">
        <v>387.55</v>
      </c>
      <c r="Z3191">
        <v>482134</v>
      </c>
      <c r="AA3191">
        <v>186781600.05000001</v>
      </c>
      <c r="AB3191">
        <v>16608</v>
      </c>
      <c r="AC3191" t="s">
        <v>42</v>
      </c>
      <c r="AD3191">
        <v>1</v>
      </c>
    </row>
    <row r="3192" spans="1:30">
      <c r="A3192" t="str">
        <f>CONCATENATE(I3192,J3192)</f>
        <v>SYNOPTICSST</v>
      </c>
      <c r="B3192" s="34">
        <v>46273</v>
      </c>
      <c r="C3192" s="34">
        <v>46273</v>
      </c>
      <c r="D3192" t="s">
        <v>35</v>
      </c>
      <c r="E3192" t="s">
        <v>36</v>
      </c>
      <c r="F3192" t="s">
        <v>37</v>
      </c>
      <c r="G3192">
        <v>17206</v>
      </c>
      <c r="H3192" t="s">
        <v>9645</v>
      </c>
      <c r="I3192" t="s">
        <v>9646</v>
      </c>
      <c r="J3192" t="s">
        <v>328</v>
      </c>
      <c r="O3192" t="s">
        <v>9647</v>
      </c>
      <c r="P3192">
        <v>49.35</v>
      </c>
      <c r="Q3192">
        <v>49.35</v>
      </c>
      <c r="R3192">
        <v>49.35</v>
      </c>
      <c r="S3192">
        <v>49.35</v>
      </c>
      <c r="T3192">
        <v>49.35</v>
      </c>
      <c r="U3192">
        <v>49.35</v>
      </c>
      <c r="W3192">
        <v>49.35</v>
      </c>
      <c r="Z3192">
        <v>600</v>
      </c>
      <c r="AA3192">
        <v>29610</v>
      </c>
      <c r="AB3192">
        <v>1</v>
      </c>
      <c r="AC3192" t="s">
        <v>42</v>
      </c>
      <c r="AD3192">
        <v>600</v>
      </c>
    </row>
    <row r="3193" spans="1:30">
      <c r="A3193" t="str">
        <f>CONCATENATE(I3193,J3193)</f>
        <v>SYRMAEQ</v>
      </c>
      <c r="B3193" s="34">
        <v>46273</v>
      </c>
      <c r="C3193" s="34">
        <v>46273</v>
      </c>
      <c r="D3193" t="s">
        <v>35</v>
      </c>
      <c r="E3193" t="s">
        <v>36</v>
      </c>
      <c r="F3193" t="s">
        <v>37</v>
      </c>
      <c r="G3193">
        <v>10793</v>
      </c>
      <c r="H3193" t="s">
        <v>9648</v>
      </c>
      <c r="I3193" t="s">
        <v>9649</v>
      </c>
      <c r="J3193" t="s">
        <v>161</v>
      </c>
      <c r="O3193" t="s">
        <v>9650</v>
      </c>
      <c r="P3193">
        <v>1627</v>
      </c>
      <c r="Q3193">
        <v>1660</v>
      </c>
      <c r="R3193">
        <v>1592.2</v>
      </c>
      <c r="S3193">
        <v>1639.2</v>
      </c>
      <c r="T3193">
        <v>1639.9</v>
      </c>
      <c r="U3193">
        <v>1634.8</v>
      </c>
      <c r="W3193">
        <v>1639.2</v>
      </c>
      <c r="Z3193">
        <v>2823789</v>
      </c>
      <c r="AA3193">
        <v>4602112428.6999998</v>
      </c>
      <c r="AB3193">
        <v>96688</v>
      </c>
      <c r="AC3193" t="s">
        <v>42</v>
      </c>
      <c r="AD3193">
        <v>1</v>
      </c>
    </row>
    <row r="3194" spans="1:30">
      <c r="A3194" t="str">
        <f>CONCATENATE(I3194,J3194)</f>
        <v>SYSTANGOSM</v>
      </c>
      <c r="B3194" s="34">
        <v>46273</v>
      </c>
      <c r="C3194" s="34">
        <v>46273</v>
      </c>
      <c r="D3194" t="s">
        <v>35</v>
      </c>
      <c r="E3194" t="s">
        <v>36</v>
      </c>
      <c r="F3194" t="s">
        <v>37</v>
      </c>
      <c r="G3194">
        <v>14506</v>
      </c>
      <c r="H3194" t="s">
        <v>9651</v>
      </c>
      <c r="I3194" t="s">
        <v>9652</v>
      </c>
      <c r="J3194" t="s">
        <v>267</v>
      </c>
      <c r="O3194" t="s">
        <v>9653</v>
      </c>
      <c r="P3194">
        <v>224</v>
      </c>
      <c r="Q3194">
        <v>229.75</v>
      </c>
      <c r="R3194">
        <v>223</v>
      </c>
      <c r="S3194">
        <v>227.25</v>
      </c>
      <c r="T3194">
        <v>227</v>
      </c>
      <c r="U3194">
        <v>226</v>
      </c>
      <c r="W3194">
        <v>227.25</v>
      </c>
      <c r="Z3194">
        <v>21600</v>
      </c>
      <c r="AA3194">
        <v>4874820</v>
      </c>
      <c r="AB3194">
        <v>48</v>
      </c>
      <c r="AC3194" t="s">
        <v>42</v>
      </c>
      <c r="AD3194">
        <v>400</v>
      </c>
    </row>
    <row r="3195" spans="1:30">
      <c r="A3195" t="str">
        <f>CONCATENATE(I3195,J3195)</f>
        <v>SYSTMTXCBE</v>
      </c>
      <c r="B3195" s="34">
        <v>46273</v>
      </c>
      <c r="C3195" s="34">
        <v>46273</v>
      </c>
      <c r="D3195" t="s">
        <v>35</v>
      </c>
      <c r="E3195" t="s">
        <v>36</v>
      </c>
      <c r="F3195" t="s">
        <v>37</v>
      </c>
      <c r="G3195">
        <v>759358</v>
      </c>
      <c r="H3195" t="s">
        <v>9654</v>
      </c>
      <c r="I3195" t="s">
        <v>9655</v>
      </c>
      <c r="J3195" t="s">
        <v>183</v>
      </c>
      <c r="O3195" t="s">
        <v>9656</v>
      </c>
      <c r="P3195">
        <v>66.400000000000006</v>
      </c>
      <c r="Q3195">
        <v>66.400000000000006</v>
      </c>
      <c r="R3195">
        <v>66.400000000000006</v>
      </c>
      <c r="S3195">
        <v>66.400000000000006</v>
      </c>
      <c r="T3195">
        <v>66.400000000000006</v>
      </c>
      <c r="U3195">
        <v>63.24</v>
      </c>
      <c r="W3195">
        <v>66.400000000000006</v>
      </c>
      <c r="Z3195">
        <v>18393</v>
      </c>
      <c r="AA3195">
        <v>1221295.2</v>
      </c>
      <c r="AB3195">
        <v>79</v>
      </c>
      <c r="AC3195" t="s">
        <v>42</v>
      </c>
      <c r="AD3195">
        <v>1</v>
      </c>
    </row>
    <row r="3196" spans="1:30">
      <c r="A3196" t="str">
        <f>CONCATENATE(I3196,J3196)</f>
        <v>TGVSLEQ</v>
      </c>
      <c r="B3196" s="34">
        <v>46273</v>
      </c>
      <c r="C3196" s="34">
        <v>46273</v>
      </c>
      <c r="D3196" t="s">
        <v>35</v>
      </c>
      <c r="E3196" t="s">
        <v>36</v>
      </c>
      <c r="F3196" t="s">
        <v>37</v>
      </c>
      <c r="G3196">
        <v>764955</v>
      </c>
      <c r="H3196" t="s">
        <v>9657</v>
      </c>
      <c r="I3196" t="s">
        <v>9658</v>
      </c>
      <c r="J3196" t="s">
        <v>161</v>
      </c>
      <c r="O3196" t="s">
        <v>9659</v>
      </c>
      <c r="P3196">
        <v>110.91</v>
      </c>
      <c r="Q3196">
        <v>111.85</v>
      </c>
      <c r="R3196">
        <v>108.62</v>
      </c>
      <c r="S3196">
        <v>109.47</v>
      </c>
      <c r="T3196">
        <v>109.35</v>
      </c>
      <c r="U3196">
        <v>110.52</v>
      </c>
      <c r="W3196">
        <v>109.36</v>
      </c>
      <c r="Z3196">
        <v>103553</v>
      </c>
      <c r="AA3196">
        <v>11386317.789999999</v>
      </c>
      <c r="AB3196">
        <v>1289</v>
      </c>
      <c r="AC3196" t="s">
        <v>42</v>
      </c>
      <c r="AD3196">
        <v>1</v>
      </c>
    </row>
    <row r="3197" spans="1:30">
      <c r="A3197" t="str">
        <f>CONCATENATE(I3197,J3197)</f>
        <v>TTLEQ</v>
      </c>
      <c r="B3197" s="34">
        <v>46273</v>
      </c>
      <c r="C3197" s="34">
        <v>46273</v>
      </c>
      <c r="D3197" t="s">
        <v>35</v>
      </c>
      <c r="E3197" t="s">
        <v>36</v>
      </c>
      <c r="F3197" t="s">
        <v>37</v>
      </c>
      <c r="G3197">
        <v>14314</v>
      </c>
      <c r="H3197" t="s">
        <v>9660</v>
      </c>
      <c r="I3197" t="s">
        <v>9661</v>
      </c>
      <c r="J3197" t="s">
        <v>161</v>
      </c>
      <c r="O3197" t="s">
        <v>9662</v>
      </c>
      <c r="P3197">
        <v>6.79</v>
      </c>
      <c r="Q3197">
        <v>7.15</v>
      </c>
      <c r="R3197">
        <v>6.61</v>
      </c>
      <c r="S3197">
        <v>6.83</v>
      </c>
      <c r="T3197">
        <v>7.15</v>
      </c>
      <c r="U3197">
        <v>6.74</v>
      </c>
      <c r="W3197">
        <v>6.83</v>
      </c>
      <c r="Z3197">
        <v>146579</v>
      </c>
      <c r="AA3197">
        <v>998584.35</v>
      </c>
      <c r="AB3197">
        <v>160</v>
      </c>
      <c r="AC3197" t="s">
        <v>42</v>
      </c>
      <c r="AD3197">
        <v>1</v>
      </c>
    </row>
    <row r="3198" spans="1:30">
      <c r="A3198" t="str">
        <f>CONCATENATE(I3198,J3198)</f>
        <v>TAALTECHEQ</v>
      </c>
      <c r="B3198" s="34">
        <v>46273</v>
      </c>
      <c r="C3198" s="34">
        <v>46273</v>
      </c>
      <c r="D3198" t="s">
        <v>35</v>
      </c>
      <c r="E3198" t="s">
        <v>36</v>
      </c>
      <c r="F3198" t="s">
        <v>37</v>
      </c>
      <c r="G3198">
        <v>762929</v>
      </c>
      <c r="H3198" t="s">
        <v>9663</v>
      </c>
      <c r="I3198" t="s">
        <v>9664</v>
      </c>
      <c r="J3198" t="s">
        <v>161</v>
      </c>
      <c r="O3198" t="s">
        <v>9665</v>
      </c>
      <c r="P3198">
        <v>4499</v>
      </c>
      <c r="Q3198">
        <v>4550</v>
      </c>
      <c r="R3198">
        <v>4437.1000000000004</v>
      </c>
      <c r="S3198">
        <v>4532.2</v>
      </c>
      <c r="T3198">
        <v>4525</v>
      </c>
      <c r="U3198">
        <v>4439.1000000000004</v>
      </c>
      <c r="W3198">
        <v>4531.22</v>
      </c>
      <c r="Z3198">
        <v>7902</v>
      </c>
      <c r="AA3198">
        <v>35547653.5</v>
      </c>
      <c r="AB3198">
        <v>1139</v>
      </c>
      <c r="AC3198" t="s">
        <v>42</v>
      </c>
      <c r="AD3198">
        <v>1</v>
      </c>
    </row>
    <row r="3199" spans="1:30" ht="15.6" customHeight="1">
      <c r="A3199" t="str">
        <f>CONCATENATE(I3199,J3199)</f>
        <v>TACST</v>
      </c>
      <c r="B3199" s="34">
        <v>46273</v>
      </c>
      <c r="C3199" s="34">
        <v>46273</v>
      </c>
      <c r="D3199" t="s">
        <v>35</v>
      </c>
      <c r="E3199" t="s">
        <v>36</v>
      </c>
      <c r="F3199" t="s">
        <v>37</v>
      </c>
      <c r="G3199">
        <v>23441</v>
      </c>
      <c r="H3199" t="s">
        <v>9666</v>
      </c>
      <c r="I3199" t="s">
        <v>9667</v>
      </c>
      <c r="J3199" t="s">
        <v>328</v>
      </c>
      <c r="O3199" t="s">
        <v>9668</v>
      </c>
      <c r="P3199">
        <v>434</v>
      </c>
      <c r="Q3199">
        <v>444</v>
      </c>
      <c r="R3199">
        <v>427</v>
      </c>
      <c r="S3199">
        <v>435.35</v>
      </c>
      <c r="T3199">
        <v>439.85</v>
      </c>
      <c r="U3199">
        <v>425.2</v>
      </c>
      <c r="W3199">
        <v>435.35</v>
      </c>
      <c r="Z3199">
        <v>39400</v>
      </c>
      <c r="AA3199">
        <v>17280220</v>
      </c>
      <c r="AB3199">
        <v>173</v>
      </c>
      <c r="AC3199" t="s">
        <v>42</v>
      </c>
      <c r="AD3199">
        <v>200</v>
      </c>
    </row>
    <row r="3200" spans="1:30">
      <c r="A3200" t="str">
        <f>CONCATENATE(I3200,J3200)</f>
        <v>TAINWALCHMEQ</v>
      </c>
      <c r="B3200" s="34">
        <v>46273</v>
      </c>
      <c r="C3200" s="34">
        <v>46273</v>
      </c>
      <c r="D3200" t="s">
        <v>35</v>
      </c>
      <c r="E3200" t="s">
        <v>36</v>
      </c>
      <c r="F3200" t="s">
        <v>37</v>
      </c>
      <c r="G3200">
        <v>3396</v>
      </c>
      <c r="H3200" t="s">
        <v>9669</v>
      </c>
      <c r="I3200" t="s">
        <v>9670</v>
      </c>
      <c r="J3200" t="s">
        <v>161</v>
      </c>
      <c r="O3200" t="s">
        <v>9671</v>
      </c>
      <c r="P3200">
        <v>207.44</v>
      </c>
      <c r="Q3200">
        <v>218</v>
      </c>
      <c r="R3200">
        <v>207.44</v>
      </c>
      <c r="S3200">
        <v>212.34</v>
      </c>
      <c r="T3200">
        <v>214.8</v>
      </c>
      <c r="U3200">
        <v>208.48</v>
      </c>
      <c r="W3200">
        <v>212.34</v>
      </c>
      <c r="Z3200">
        <v>2390</v>
      </c>
      <c r="AA3200">
        <v>506084.43</v>
      </c>
      <c r="AB3200">
        <v>111</v>
      </c>
      <c r="AC3200" t="s">
        <v>42</v>
      </c>
      <c r="AD3200">
        <v>1</v>
      </c>
    </row>
    <row r="3201" spans="1:30">
      <c r="A3201" t="str">
        <f>CONCATENATE(I3201,J3201)</f>
        <v>TAJGVKEQ</v>
      </c>
      <c r="B3201" s="34">
        <v>46273</v>
      </c>
      <c r="C3201" s="34">
        <v>46273</v>
      </c>
      <c r="D3201" t="s">
        <v>35</v>
      </c>
      <c r="E3201" t="s">
        <v>36</v>
      </c>
      <c r="F3201" t="s">
        <v>37</v>
      </c>
      <c r="G3201">
        <v>9354</v>
      </c>
      <c r="H3201" t="s">
        <v>9672</v>
      </c>
      <c r="I3201" t="s">
        <v>9673</v>
      </c>
      <c r="J3201" t="s">
        <v>161</v>
      </c>
      <c r="O3201" t="s">
        <v>9674</v>
      </c>
      <c r="P3201">
        <v>329.35</v>
      </c>
      <c r="Q3201">
        <v>338.4</v>
      </c>
      <c r="R3201">
        <v>326.89999999999998</v>
      </c>
      <c r="S3201">
        <v>332.75</v>
      </c>
      <c r="T3201">
        <v>333.8</v>
      </c>
      <c r="U3201">
        <v>329.2</v>
      </c>
      <c r="W3201">
        <v>332.75</v>
      </c>
      <c r="Z3201">
        <v>102199</v>
      </c>
      <c r="AA3201">
        <v>33930892.899999999</v>
      </c>
      <c r="AB3201">
        <v>2431</v>
      </c>
      <c r="AC3201" t="s">
        <v>42</v>
      </c>
      <c r="AD3201">
        <v>1</v>
      </c>
    </row>
    <row r="3202" spans="1:30">
      <c r="A3202" t="str">
        <f>CONCATENATE(I3202,J3202)</f>
        <v>TAKEEQ</v>
      </c>
      <c r="B3202" s="34">
        <v>46273</v>
      </c>
      <c r="C3202" s="34">
        <v>46273</v>
      </c>
      <c r="D3202" t="s">
        <v>35</v>
      </c>
      <c r="E3202" t="s">
        <v>36</v>
      </c>
      <c r="F3202" t="s">
        <v>37</v>
      </c>
      <c r="G3202">
        <v>14917</v>
      </c>
      <c r="H3202" t="s">
        <v>9675</v>
      </c>
      <c r="I3202" t="s">
        <v>9676</v>
      </c>
      <c r="J3202" t="s">
        <v>161</v>
      </c>
      <c r="O3202" t="s">
        <v>9677</v>
      </c>
      <c r="P3202">
        <v>15.23</v>
      </c>
      <c r="Q3202">
        <v>15.23</v>
      </c>
      <c r="R3202">
        <v>14.79</v>
      </c>
      <c r="S3202">
        <v>15.23</v>
      </c>
      <c r="T3202">
        <v>15.23</v>
      </c>
      <c r="U3202">
        <v>14.51</v>
      </c>
      <c r="W3202">
        <v>15.31</v>
      </c>
      <c r="Z3202">
        <v>882460</v>
      </c>
      <c r="AA3202">
        <v>13402513.48</v>
      </c>
      <c r="AB3202">
        <v>612</v>
      </c>
      <c r="AC3202" t="s">
        <v>42</v>
      </c>
      <c r="AD3202">
        <v>1</v>
      </c>
    </row>
    <row r="3203" spans="1:30">
      <c r="A3203" t="str">
        <f>CONCATENATE(I3203,J3203)</f>
        <v>TALBROAUTOEQ</v>
      </c>
      <c r="B3203" s="34">
        <v>46273</v>
      </c>
      <c r="C3203" s="34">
        <v>46273</v>
      </c>
      <c r="D3203" t="s">
        <v>35</v>
      </c>
      <c r="E3203" t="s">
        <v>36</v>
      </c>
      <c r="F3203" t="s">
        <v>37</v>
      </c>
      <c r="G3203">
        <v>13648</v>
      </c>
      <c r="H3203" t="s">
        <v>9678</v>
      </c>
      <c r="I3203" t="s">
        <v>9679</v>
      </c>
      <c r="J3203" t="s">
        <v>161</v>
      </c>
      <c r="O3203" t="s">
        <v>9680</v>
      </c>
      <c r="P3203">
        <v>431.8</v>
      </c>
      <c r="Q3203">
        <v>431.8</v>
      </c>
      <c r="R3203">
        <v>420</v>
      </c>
      <c r="S3203">
        <v>424</v>
      </c>
      <c r="T3203">
        <v>426</v>
      </c>
      <c r="U3203">
        <v>431.8</v>
      </c>
      <c r="W3203">
        <v>424.01</v>
      </c>
      <c r="Z3203">
        <v>150372</v>
      </c>
      <c r="AA3203">
        <v>63796922.5</v>
      </c>
      <c r="AB3203">
        <v>6131</v>
      </c>
      <c r="AC3203" t="s">
        <v>42</v>
      </c>
      <c r="AD3203">
        <v>1</v>
      </c>
    </row>
    <row r="3204" spans="1:30">
      <c r="A3204" t="str">
        <f>CONCATENATE(I3204,J3204)</f>
        <v>TAMBOLIINBE</v>
      </c>
      <c r="B3204" s="34">
        <v>46273</v>
      </c>
      <c r="C3204" s="34">
        <v>46273</v>
      </c>
      <c r="D3204" t="s">
        <v>35</v>
      </c>
      <c r="E3204" t="s">
        <v>36</v>
      </c>
      <c r="F3204" t="s">
        <v>37</v>
      </c>
      <c r="G3204">
        <v>762937</v>
      </c>
      <c r="H3204" t="s">
        <v>9681</v>
      </c>
      <c r="I3204" t="s">
        <v>9682</v>
      </c>
      <c r="J3204" t="s">
        <v>183</v>
      </c>
      <c r="O3204" t="s">
        <v>9683</v>
      </c>
      <c r="P3204">
        <v>259.14999999999998</v>
      </c>
      <c r="Q3204">
        <v>272.10000000000002</v>
      </c>
      <c r="R3204">
        <v>259.14999999999998</v>
      </c>
      <c r="S3204">
        <v>272.10000000000002</v>
      </c>
      <c r="T3204">
        <v>272.10000000000002</v>
      </c>
      <c r="U3204">
        <v>259.14999999999998</v>
      </c>
      <c r="W3204">
        <v>272.87</v>
      </c>
      <c r="Z3204">
        <v>13968</v>
      </c>
      <c r="AA3204">
        <v>3784190.6</v>
      </c>
      <c r="AB3204">
        <v>99</v>
      </c>
      <c r="AC3204" t="s">
        <v>42</v>
      </c>
      <c r="AD3204">
        <v>1</v>
      </c>
    </row>
    <row r="3205" spans="1:30">
      <c r="A3205" t="str">
        <f>CONCATENATE(I3205,J3205)</f>
        <v>TMBEQ</v>
      </c>
      <c r="B3205" s="34">
        <v>46273</v>
      </c>
      <c r="C3205" s="34">
        <v>46273</v>
      </c>
      <c r="D3205" t="s">
        <v>35</v>
      </c>
      <c r="E3205" t="s">
        <v>36</v>
      </c>
      <c r="F3205" t="s">
        <v>37</v>
      </c>
      <c r="G3205">
        <v>10945</v>
      </c>
      <c r="H3205" t="s">
        <v>9684</v>
      </c>
      <c r="I3205" t="s">
        <v>9685</v>
      </c>
      <c r="J3205" t="s">
        <v>161</v>
      </c>
      <c r="O3205" t="s">
        <v>9686</v>
      </c>
      <c r="P3205">
        <v>936.45</v>
      </c>
      <c r="Q3205">
        <v>936.8</v>
      </c>
      <c r="R3205">
        <v>920.15</v>
      </c>
      <c r="S3205">
        <v>926.8</v>
      </c>
      <c r="T3205">
        <v>929.9</v>
      </c>
      <c r="U3205">
        <v>936.45</v>
      </c>
      <c r="W3205">
        <v>926.69</v>
      </c>
      <c r="Z3205">
        <v>66320</v>
      </c>
      <c r="AA3205">
        <v>61437057.600000001</v>
      </c>
      <c r="AB3205">
        <v>6516</v>
      </c>
      <c r="AC3205" t="s">
        <v>42</v>
      </c>
      <c r="AD3205">
        <v>1</v>
      </c>
    </row>
    <row r="3206" spans="1:30">
      <c r="A3206" t="str">
        <f>CONCATENATE(I3206,J3206)</f>
        <v>TNPLEQ</v>
      </c>
      <c r="B3206" s="34">
        <v>46273</v>
      </c>
      <c r="C3206" s="34">
        <v>46273</v>
      </c>
      <c r="D3206" t="s">
        <v>35</v>
      </c>
      <c r="E3206" t="s">
        <v>36</v>
      </c>
      <c r="F3206" t="s">
        <v>37</v>
      </c>
      <c r="G3206">
        <v>3980</v>
      </c>
      <c r="H3206" t="s">
        <v>9687</v>
      </c>
      <c r="I3206" t="s">
        <v>9688</v>
      </c>
      <c r="J3206" t="s">
        <v>161</v>
      </c>
      <c r="O3206" t="s">
        <v>9689</v>
      </c>
      <c r="P3206">
        <v>160.55000000000001</v>
      </c>
      <c r="Q3206">
        <v>164.8</v>
      </c>
      <c r="R3206">
        <v>158.41</v>
      </c>
      <c r="S3206">
        <v>161.41</v>
      </c>
      <c r="T3206">
        <v>161.56</v>
      </c>
      <c r="U3206">
        <v>159.5</v>
      </c>
      <c r="W3206">
        <v>161.4</v>
      </c>
      <c r="Z3206">
        <v>734222</v>
      </c>
      <c r="AA3206">
        <v>118655244.37</v>
      </c>
      <c r="AB3206">
        <v>10993</v>
      </c>
      <c r="AC3206" t="s">
        <v>42</v>
      </c>
      <c r="AD3206">
        <v>1</v>
      </c>
    </row>
    <row r="3207" spans="1:30">
      <c r="A3207" t="str">
        <f>CONCATENATE(I3207,J3207)</f>
        <v>TNPETROEQ</v>
      </c>
      <c r="B3207" s="34">
        <v>46273</v>
      </c>
      <c r="C3207" s="34">
        <v>46273</v>
      </c>
      <c r="D3207" t="s">
        <v>35</v>
      </c>
      <c r="E3207" t="s">
        <v>36</v>
      </c>
      <c r="F3207" t="s">
        <v>37</v>
      </c>
      <c r="G3207">
        <v>3509</v>
      </c>
      <c r="H3207" t="s">
        <v>9690</v>
      </c>
      <c r="I3207" t="s">
        <v>9691</v>
      </c>
      <c r="J3207" t="s">
        <v>161</v>
      </c>
      <c r="O3207" t="s">
        <v>9692</v>
      </c>
      <c r="P3207">
        <v>131.51</v>
      </c>
      <c r="Q3207">
        <v>146.99</v>
      </c>
      <c r="R3207">
        <v>130.25</v>
      </c>
      <c r="S3207">
        <v>139.18</v>
      </c>
      <c r="T3207">
        <v>140.1</v>
      </c>
      <c r="U3207">
        <v>131.72999999999999</v>
      </c>
      <c r="W3207">
        <v>139.19</v>
      </c>
      <c r="Z3207">
        <v>6949799</v>
      </c>
      <c r="AA3207">
        <v>984194347.5</v>
      </c>
      <c r="AB3207">
        <v>68514</v>
      </c>
      <c r="AC3207" t="s">
        <v>42</v>
      </c>
      <c r="AD3207">
        <v>1</v>
      </c>
    </row>
    <row r="3208" spans="1:30">
      <c r="A3208" t="str">
        <f>CONCATENATE(I3208,J3208)</f>
        <v>TNTELEEQ</v>
      </c>
      <c r="B3208" s="34">
        <v>46273</v>
      </c>
      <c r="C3208" s="34">
        <v>46273</v>
      </c>
      <c r="D3208" t="s">
        <v>35</v>
      </c>
      <c r="E3208" t="s">
        <v>36</v>
      </c>
      <c r="F3208" t="s">
        <v>37</v>
      </c>
      <c r="G3208">
        <v>3512</v>
      </c>
      <c r="H3208" t="s">
        <v>9693</v>
      </c>
      <c r="I3208" t="s">
        <v>9694</v>
      </c>
      <c r="J3208" t="s">
        <v>161</v>
      </c>
      <c r="O3208" t="s">
        <v>9695</v>
      </c>
      <c r="P3208">
        <v>8.9700000000000006</v>
      </c>
      <c r="Q3208">
        <v>9.08</v>
      </c>
      <c r="R3208">
        <v>8.69</v>
      </c>
      <c r="S3208">
        <v>8.99</v>
      </c>
      <c r="T3208">
        <v>9</v>
      </c>
      <c r="U3208">
        <v>8.9700000000000006</v>
      </c>
      <c r="W3208">
        <v>8.98</v>
      </c>
      <c r="Z3208">
        <v>18800</v>
      </c>
      <c r="AA3208">
        <v>168086.46</v>
      </c>
      <c r="AB3208">
        <v>113</v>
      </c>
      <c r="AC3208" t="s">
        <v>42</v>
      </c>
      <c r="AD3208">
        <v>1</v>
      </c>
    </row>
    <row r="3209" spans="1:30">
      <c r="A3209" t="str">
        <f>CONCATENATE(I3209,J3209)</f>
        <v>TANAAEQ</v>
      </c>
      <c r="B3209" s="34">
        <v>46273</v>
      </c>
      <c r="C3209" s="34">
        <v>46273</v>
      </c>
      <c r="D3209" t="s">
        <v>35</v>
      </c>
      <c r="E3209" t="s">
        <v>36</v>
      </c>
      <c r="F3209" t="s">
        <v>37</v>
      </c>
      <c r="G3209">
        <v>764945</v>
      </c>
      <c r="H3209" t="s">
        <v>9696</v>
      </c>
      <c r="I3209" t="s">
        <v>9697</v>
      </c>
      <c r="J3209" t="s">
        <v>161</v>
      </c>
      <c r="O3209" t="s">
        <v>9698</v>
      </c>
      <c r="P3209">
        <v>284.45</v>
      </c>
      <c r="Q3209">
        <v>286.39999999999998</v>
      </c>
      <c r="R3209">
        <v>272.8</v>
      </c>
      <c r="S3209">
        <v>276.95</v>
      </c>
      <c r="T3209">
        <v>275</v>
      </c>
      <c r="U3209">
        <v>282</v>
      </c>
      <c r="W3209">
        <v>276.66000000000003</v>
      </c>
      <c r="Z3209">
        <v>9918</v>
      </c>
      <c r="AA3209">
        <v>2796961.45</v>
      </c>
      <c r="AB3209">
        <v>651</v>
      </c>
      <c r="AC3209" t="s">
        <v>42</v>
      </c>
      <c r="AD3209">
        <v>1</v>
      </c>
    </row>
    <row r="3210" spans="1:30">
      <c r="A3210" t="str">
        <f>CONCATENATE(I3210,J3210)</f>
        <v>TANKUPST</v>
      </c>
      <c r="B3210" s="34">
        <v>46273</v>
      </c>
      <c r="C3210" s="34">
        <v>46273</v>
      </c>
      <c r="D3210" t="s">
        <v>35</v>
      </c>
      <c r="E3210" t="s">
        <v>36</v>
      </c>
      <c r="F3210" t="s">
        <v>37</v>
      </c>
      <c r="G3210">
        <v>756338</v>
      </c>
      <c r="H3210" t="s">
        <v>9699</v>
      </c>
      <c r="I3210" t="s">
        <v>9700</v>
      </c>
      <c r="J3210" t="s">
        <v>328</v>
      </c>
      <c r="O3210" t="s">
        <v>9701</v>
      </c>
      <c r="P3210">
        <v>1535</v>
      </c>
      <c r="Q3210">
        <v>1560</v>
      </c>
      <c r="R3210">
        <v>1535</v>
      </c>
      <c r="S3210">
        <v>1560</v>
      </c>
      <c r="T3210">
        <v>1560</v>
      </c>
      <c r="U3210">
        <v>1566.05</v>
      </c>
      <c r="W3210">
        <v>1560</v>
      </c>
      <c r="Z3210">
        <v>2250</v>
      </c>
      <c r="AA3210">
        <v>3491250</v>
      </c>
      <c r="AB3210">
        <v>8</v>
      </c>
      <c r="AC3210" t="s">
        <v>42</v>
      </c>
      <c r="AD3210">
        <v>250</v>
      </c>
    </row>
    <row r="3211" spans="1:30">
      <c r="A3211" t="str">
        <f>CONCATENATE(I3211,J3211)</f>
        <v>TANLAEQ</v>
      </c>
      <c r="B3211" s="34">
        <v>46273</v>
      </c>
      <c r="C3211" s="34">
        <v>46273</v>
      </c>
      <c r="D3211" t="s">
        <v>35</v>
      </c>
      <c r="E3211" t="s">
        <v>36</v>
      </c>
      <c r="F3211" t="s">
        <v>37</v>
      </c>
      <c r="G3211">
        <v>13976</v>
      </c>
      <c r="H3211" t="s">
        <v>9702</v>
      </c>
      <c r="I3211" t="s">
        <v>9703</v>
      </c>
      <c r="J3211" t="s">
        <v>161</v>
      </c>
      <c r="O3211" t="s">
        <v>9704</v>
      </c>
      <c r="P3211">
        <v>519</v>
      </c>
      <c r="Q3211">
        <v>520.20000000000005</v>
      </c>
      <c r="R3211">
        <v>510.8</v>
      </c>
      <c r="S3211">
        <v>512.95000000000005</v>
      </c>
      <c r="T3211">
        <v>513.20000000000005</v>
      </c>
      <c r="U3211">
        <v>520.20000000000005</v>
      </c>
      <c r="W3211">
        <v>512.94000000000005</v>
      </c>
      <c r="Z3211">
        <v>296264</v>
      </c>
      <c r="AA3211">
        <v>152569676.15000001</v>
      </c>
      <c r="AB3211">
        <v>8817</v>
      </c>
      <c r="AC3211" t="s">
        <v>42</v>
      </c>
      <c r="AD3211">
        <v>1</v>
      </c>
    </row>
    <row r="3212" spans="1:30">
      <c r="A3212" t="str">
        <f>CONCATENATE(I3212,J3212)</f>
        <v>TARACHANDEQ</v>
      </c>
      <c r="B3212" s="34">
        <v>46273</v>
      </c>
      <c r="C3212" s="34">
        <v>46273</v>
      </c>
      <c r="D3212" t="s">
        <v>35</v>
      </c>
      <c r="E3212" t="s">
        <v>36</v>
      </c>
      <c r="F3212" t="s">
        <v>37</v>
      </c>
      <c r="G3212">
        <v>23512</v>
      </c>
      <c r="H3212" t="s">
        <v>9705</v>
      </c>
      <c r="I3212" t="s">
        <v>9706</v>
      </c>
      <c r="J3212" t="s">
        <v>161</v>
      </c>
      <c r="O3212" t="s">
        <v>9707</v>
      </c>
      <c r="P3212">
        <v>48.7</v>
      </c>
      <c r="Q3212">
        <v>49</v>
      </c>
      <c r="R3212">
        <v>47.5</v>
      </c>
      <c r="S3212">
        <v>47.68</v>
      </c>
      <c r="T3212">
        <v>47.86</v>
      </c>
      <c r="U3212">
        <v>47.43</v>
      </c>
      <c r="W3212">
        <v>47.68</v>
      </c>
      <c r="Z3212">
        <v>31732</v>
      </c>
      <c r="AA3212">
        <v>1520069.56</v>
      </c>
      <c r="AB3212">
        <v>786</v>
      </c>
      <c r="AC3212" t="s">
        <v>42</v>
      </c>
      <c r="AD3212">
        <v>1</v>
      </c>
    </row>
    <row r="3213" spans="1:30">
      <c r="A3213" t="str">
        <f>CONCATENATE(I3213,J3213)</f>
        <v>TARAPUREQ</v>
      </c>
      <c r="B3213" s="34">
        <v>46273</v>
      </c>
      <c r="C3213" s="34">
        <v>46273</v>
      </c>
      <c r="D3213" t="s">
        <v>35</v>
      </c>
      <c r="E3213" t="s">
        <v>36</v>
      </c>
      <c r="F3213" t="s">
        <v>37</v>
      </c>
      <c r="G3213">
        <v>18827</v>
      </c>
      <c r="H3213" t="s">
        <v>9708</v>
      </c>
      <c r="I3213" t="s">
        <v>9709</v>
      </c>
      <c r="J3213" t="s">
        <v>161</v>
      </c>
      <c r="O3213" t="s">
        <v>9710</v>
      </c>
      <c r="P3213">
        <v>12.65</v>
      </c>
      <c r="Q3213">
        <v>13.49</v>
      </c>
      <c r="R3213">
        <v>12.55</v>
      </c>
      <c r="S3213">
        <v>12.83</v>
      </c>
      <c r="T3213">
        <v>12.96</v>
      </c>
      <c r="U3213">
        <v>12.71</v>
      </c>
      <c r="W3213">
        <v>12.83</v>
      </c>
      <c r="Z3213">
        <v>19300</v>
      </c>
      <c r="AA3213">
        <v>251598.36</v>
      </c>
      <c r="AB3213">
        <v>177</v>
      </c>
      <c r="AC3213" t="s">
        <v>42</v>
      </c>
      <c r="AD3213">
        <v>1</v>
      </c>
    </row>
    <row r="3214" spans="1:30">
      <c r="A3214" t="str">
        <f>CONCATENATE(I3214,J3214)</f>
        <v>TARCEQ</v>
      </c>
      <c r="B3214" s="34">
        <v>46273</v>
      </c>
      <c r="C3214" s="34">
        <v>46273</v>
      </c>
      <c r="D3214" t="s">
        <v>35</v>
      </c>
      <c r="E3214" t="s">
        <v>36</v>
      </c>
      <c r="F3214" t="s">
        <v>37</v>
      </c>
      <c r="G3214">
        <v>1581</v>
      </c>
      <c r="H3214" t="s">
        <v>9711</v>
      </c>
      <c r="I3214" t="s">
        <v>9712</v>
      </c>
      <c r="J3214" t="s">
        <v>161</v>
      </c>
      <c r="O3214" t="s">
        <v>9713</v>
      </c>
      <c r="P3214">
        <v>136.49</v>
      </c>
      <c r="Q3214">
        <v>136.49</v>
      </c>
      <c r="R3214">
        <v>130.6</v>
      </c>
      <c r="S3214">
        <v>131.53</v>
      </c>
      <c r="T3214">
        <v>134</v>
      </c>
      <c r="U3214">
        <v>134.9</v>
      </c>
      <c r="W3214">
        <v>131.53</v>
      </c>
      <c r="Z3214">
        <v>643556</v>
      </c>
      <c r="AA3214">
        <v>85678136.170000002</v>
      </c>
      <c r="AB3214">
        <v>9401</v>
      </c>
      <c r="AC3214" t="s">
        <v>42</v>
      </c>
      <c r="AD3214">
        <v>1</v>
      </c>
    </row>
    <row r="3215" spans="1:30">
      <c r="A3215" t="str">
        <f>CONCATENATE(I3215,J3215)</f>
        <v>TARMATEQ</v>
      </c>
      <c r="B3215" s="34">
        <v>46273</v>
      </c>
      <c r="C3215" s="34">
        <v>46273</v>
      </c>
      <c r="D3215" t="s">
        <v>35</v>
      </c>
      <c r="E3215" t="s">
        <v>36</v>
      </c>
      <c r="F3215" t="s">
        <v>37</v>
      </c>
      <c r="G3215">
        <v>14771</v>
      </c>
      <c r="H3215" t="s">
        <v>9714</v>
      </c>
      <c r="I3215" t="s">
        <v>9715</v>
      </c>
      <c r="J3215" t="s">
        <v>161</v>
      </c>
      <c r="O3215" t="s">
        <v>9716</v>
      </c>
      <c r="P3215">
        <v>61.91</v>
      </c>
      <c r="Q3215">
        <v>66</v>
      </c>
      <c r="R3215">
        <v>61.6</v>
      </c>
      <c r="S3215">
        <v>62.25</v>
      </c>
      <c r="T3215">
        <v>62.14</v>
      </c>
      <c r="U3215">
        <v>61.91</v>
      </c>
      <c r="W3215">
        <v>62.25</v>
      </c>
      <c r="Z3215">
        <v>52108</v>
      </c>
      <c r="AA3215">
        <v>3328309.22</v>
      </c>
      <c r="AB3215">
        <v>1349</v>
      </c>
      <c r="AC3215" t="s">
        <v>42</v>
      </c>
      <c r="AD3215">
        <v>1</v>
      </c>
    </row>
    <row r="3216" spans="1:30">
      <c r="A3216" t="str">
        <f>CONCATENATE(I3216,J3216)</f>
        <v>TARSONSEQ</v>
      </c>
      <c r="B3216" s="34">
        <v>46273</v>
      </c>
      <c r="C3216" s="34">
        <v>46273</v>
      </c>
      <c r="D3216" t="s">
        <v>35</v>
      </c>
      <c r="E3216" t="s">
        <v>36</v>
      </c>
      <c r="F3216" t="s">
        <v>37</v>
      </c>
      <c r="G3216">
        <v>6943</v>
      </c>
      <c r="H3216" t="s">
        <v>9717</v>
      </c>
      <c r="I3216" t="s">
        <v>9718</v>
      </c>
      <c r="J3216" t="s">
        <v>161</v>
      </c>
      <c r="O3216" t="s">
        <v>9719</v>
      </c>
      <c r="P3216">
        <v>326.60000000000002</v>
      </c>
      <c r="Q3216">
        <v>330.2</v>
      </c>
      <c r="R3216">
        <v>321.14999999999998</v>
      </c>
      <c r="S3216">
        <v>325.14999999999998</v>
      </c>
      <c r="T3216">
        <v>327</v>
      </c>
      <c r="U3216">
        <v>328.55</v>
      </c>
      <c r="W3216">
        <v>325.17</v>
      </c>
      <c r="Z3216">
        <v>67588</v>
      </c>
      <c r="AA3216">
        <v>21941088.050000001</v>
      </c>
      <c r="AB3216">
        <v>2129</v>
      </c>
      <c r="AC3216" t="s">
        <v>42</v>
      </c>
      <c r="AD3216">
        <v>1</v>
      </c>
    </row>
    <row r="3217" spans="1:30">
      <c r="A3217" t="str">
        <f>CONCATENATE(I3217,J3217)</f>
        <v>TASTYBITEEQ</v>
      </c>
      <c r="B3217" s="34">
        <v>46273</v>
      </c>
      <c r="C3217" s="34">
        <v>46273</v>
      </c>
      <c r="D3217" t="s">
        <v>35</v>
      </c>
      <c r="E3217" t="s">
        <v>36</v>
      </c>
      <c r="F3217" t="s">
        <v>37</v>
      </c>
      <c r="G3217">
        <v>20092</v>
      </c>
      <c r="H3217" t="s">
        <v>9720</v>
      </c>
      <c r="I3217" t="s">
        <v>9721</v>
      </c>
      <c r="J3217" t="s">
        <v>161</v>
      </c>
      <c r="O3217" t="s">
        <v>9722</v>
      </c>
      <c r="P3217">
        <v>9883</v>
      </c>
      <c r="Q3217">
        <v>9947</v>
      </c>
      <c r="R3217">
        <v>9826</v>
      </c>
      <c r="S3217">
        <v>9853</v>
      </c>
      <c r="T3217">
        <v>9826</v>
      </c>
      <c r="U3217">
        <v>9901</v>
      </c>
      <c r="W3217">
        <v>9853.75</v>
      </c>
      <c r="Z3217">
        <v>999</v>
      </c>
      <c r="AA3217">
        <v>9861482</v>
      </c>
      <c r="AB3217">
        <v>397</v>
      </c>
      <c r="AC3217" t="s">
        <v>42</v>
      </c>
      <c r="AD3217">
        <v>1</v>
      </c>
    </row>
    <row r="3218" spans="1:30">
      <c r="A3218" t="str">
        <f>CONCATENATE(I3218,J3218)</f>
        <v>TATACAPEQ</v>
      </c>
      <c r="B3218" s="34">
        <v>46273</v>
      </c>
      <c r="C3218" s="34">
        <v>46273</v>
      </c>
      <c r="D3218" t="s">
        <v>35</v>
      </c>
      <c r="E3218" t="s">
        <v>36</v>
      </c>
      <c r="F3218" t="s">
        <v>37</v>
      </c>
      <c r="G3218">
        <v>759265</v>
      </c>
      <c r="H3218" t="s">
        <v>9723</v>
      </c>
      <c r="I3218" t="s">
        <v>9724</v>
      </c>
      <c r="J3218" t="s">
        <v>161</v>
      </c>
      <c r="O3218" t="s">
        <v>9725</v>
      </c>
      <c r="P3218">
        <v>368.05</v>
      </c>
      <c r="Q3218">
        <v>369.2</v>
      </c>
      <c r="R3218">
        <v>365.15</v>
      </c>
      <c r="S3218">
        <v>368.05</v>
      </c>
      <c r="T3218">
        <v>367.5</v>
      </c>
      <c r="U3218">
        <v>369.95</v>
      </c>
      <c r="W3218">
        <v>368.04</v>
      </c>
      <c r="Z3218">
        <v>542958</v>
      </c>
      <c r="AA3218">
        <v>199731668.94999999</v>
      </c>
      <c r="AB3218">
        <v>21185</v>
      </c>
      <c r="AC3218" t="s">
        <v>42</v>
      </c>
      <c r="AD3218">
        <v>1</v>
      </c>
    </row>
    <row r="3219" spans="1:30">
      <c r="A3219" t="str">
        <f>CONCATENATE(I3219,J3219)</f>
        <v>TATACHEMEQ</v>
      </c>
      <c r="B3219" s="34">
        <v>46273</v>
      </c>
      <c r="C3219" s="34">
        <v>46273</v>
      </c>
      <c r="D3219" t="s">
        <v>35</v>
      </c>
      <c r="E3219" t="s">
        <v>36</v>
      </c>
      <c r="F3219" t="s">
        <v>37</v>
      </c>
      <c r="G3219">
        <v>3405</v>
      </c>
      <c r="H3219" t="s">
        <v>9726</v>
      </c>
      <c r="I3219" t="s">
        <v>9727</v>
      </c>
      <c r="J3219" t="s">
        <v>161</v>
      </c>
      <c r="O3219" t="s">
        <v>9728</v>
      </c>
      <c r="P3219">
        <v>611.6</v>
      </c>
      <c r="Q3219">
        <v>614.95000000000005</v>
      </c>
      <c r="R3219">
        <v>605.5</v>
      </c>
      <c r="S3219">
        <v>607.70000000000005</v>
      </c>
      <c r="T3219">
        <v>607.79999999999995</v>
      </c>
      <c r="U3219">
        <v>613.35</v>
      </c>
      <c r="W3219">
        <v>607.67999999999995</v>
      </c>
      <c r="Z3219">
        <v>313943</v>
      </c>
      <c r="AA3219">
        <v>191201854.80000001</v>
      </c>
      <c r="AB3219">
        <v>12621</v>
      </c>
      <c r="AC3219" t="s">
        <v>42</v>
      </c>
      <c r="AD3219">
        <v>1</v>
      </c>
    </row>
    <row r="3220" spans="1:30">
      <c r="A3220" t="str">
        <f>CONCATENATE(I3220,J3220)</f>
        <v>TATACOMMEQ</v>
      </c>
      <c r="B3220" s="34">
        <v>46273</v>
      </c>
      <c r="C3220" s="34">
        <v>46273</v>
      </c>
      <c r="D3220" t="s">
        <v>35</v>
      </c>
      <c r="E3220" t="s">
        <v>36</v>
      </c>
      <c r="F3220" t="s">
        <v>37</v>
      </c>
      <c r="G3220">
        <v>3721</v>
      </c>
      <c r="H3220" t="s">
        <v>9729</v>
      </c>
      <c r="I3220" t="s">
        <v>9730</v>
      </c>
      <c r="J3220" t="s">
        <v>161</v>
      </c>
      <c r="O3220" t="s">
        <v>9731</v>
      </c>
      <c r="P3220">
        <v>1746.9</v>
      </c>
      <c r="Q3220">
        <v>1760</v>
      </c>
      <c r="R3220">
        <v>1718.2</v>
      </c>
      <c r="S3220">
        <v>1752.8</v>
      </c>
      <c r="T3220">
        <v>1756</v>
      </c>
      <c r="U3220">
        <v>1738.5</v>
      </c>
      <c r="W3220">
        <v>1752.77</v>
      </c>
      <c r="Z3220">
        <v>257972</v>
      </c>
      <c r="AA3220">
        <v>449345997.69999999</v>
      </c>
      <c r="AB3220">
        <v>29293</v>
      </c>
      <c r="AC3220" t="s">
        <v>42</v>
      </c>
      <c r="AD3220">
        <v>1</v>
      </c>
    </row>
    <row r="3221" spans="1:30">
      <c r="A3221" t="str">
        <f>CONCATENATE(I3221,J3221)</f>
        <v>TCSEQ</v>
      </c>
      <c r="B3221" s="34">
        <v>46273</v>
      </c>
      <c r="C3221" s="34">
        <v>46273</v>
      </c>
      <c r="D3221" t="s">
        <v>35</v>
      </c>
      <c r="E3221" t="s">
        <v>36</v>
      </c>
      <c r="F3221" t="s">
        <v>37</v>
      </c>
      <c r="G3221">
        <v>11536</v>
      </c>
      <c r="H3221" t="s">
        <v>9732</v>
      </c>
      <c r="I3221" t="s">
        <v>9733</v>
      </c>
      <c r="J3221" t="s">
        <v>161</v>
      </c>
      <c r="O3221" t="s">
        <v>9734</v>
      </c>
      <c r="P3221">
        <v>2270</v>
      </c>
      <c r="Q3221">
        <v>2274.5</v>
      </c>
      <c r="R3221">
        <v>2244</v>
      </c>
      <c r="S3221">
        <v>2255.5</v>
      </c>
      <c r="T3221">
        <v>2255.5</v>
      </c>
      <c r="U3221">
        <v>2270</v>
      </c>
      <c r="W3221">
        <v>2255.52</v>
      </c>
      <c r="Z3221">
        <v>2148114</v>
      </c>
      <c r="AA3221">
        <v>4862308617.3999996</v>
      </c>
      <c r="AB3221">
        <v>70112</v>
      </c>
      <c r="AC3221" t="s">
        <v>42</v>
      </c>
      <c r="AD3221">
        <v>1</v>
      </c>
    </row>
    <row r="3222" spans="1:30">
      <c r="A3222" t="str">
        <f>CONCATENATE(I3222,J3222)</f>
        <v>TATACONSUMEQ</v>
      </c>
      <c r="B3222" s="34">
        <v>46273</v>
      </c>
      <c r="C3222" s="34">
        <v>46273</v>
      </c>
      <c r="D3222" t="s">
        <v>35</v>
      </c>
      <c r="E3222" t="s">
        <v>36</v>
      </c>
      <c r="F3222" t="s">
        <v>37</v>
      </c>
      <c r="G3222">
        <v>3432</v>
      </c>
      <c r="H3222" t="s">
        <v>9735</v>
      </c>
      <c r="I3222" t="s">
        <v>9736</v>
      </c>
      <c r="J3222" t="s">
        <v>161</v>
      </c>
      <c r="O3222" t="s">
        <v>9737</v>
      </c>
      <c r="P3222">
        <v>1015</v>
      </c>
      <c r="Q3222">
        <v>1018.7</v>
      </c>
      <c r="R3222">
        <v>1007.9</v>
      </c>
      <c r="S3222">
        <v>1014.1</v>
      </c>
      <c r="T3222">
        <v>1014.1</v>
      </c>
      <c r="U3222">
        <v>1015</v>
      </c>
      <c r="W3222">
        <v>1014.11</v>
      </c>
      <c r="Z3222">
        <v>720871</v>
      </c>
      <c r="AA3222">
        <v>730694697.20000005</v>
      </c>
      <c r="AB3222">
        <v>34865</v>
      </c>
      <c r="AC3222" t="s">
        <v>42</v>
      </c>
      <c r="AD3222">
        <v>1</v>
      </c>
    </row>
    <row r="3223" spans="1:30">
      <c r="A3223" t="str">
        <f>CONCATENATE(I3223,J3223)</f>
        <v>TATAELXSIEQ</v>
      </c>
      <c r="B3223" s="34">
        <v>46273</v>
      </c>
      <c r="C3223" s="34">
        <v>46273</v>
      </c>
      <c r="D3223" t="s">
        <v>35</v>
      </c>
      <c r="E3223" t="s">
        <v>36</v>
      </c>
      <c r="F3223" t="s">
        <v>37</v>
      </c>
      <c r="G3223">
        <v>3411</v>
      </c>
      <c r="H3223" t="s">
        <v>9738</v>
      </c>
      <c r="I3223" t="s">
        <v>9739</v>
      </c>
      <c r="J3223" t="s">
        <v>161</v>
      </c>
      <c r="O3223" t="s">
        <v>9740</v>
      </c>
      <c r="P3223">
        <v>3505</v>
      </c>
      <c r="Q3223">
        <v>3505.3</v>
      </c>
      <c r="R3223">
        <v>3462.2</v>
      </c>
      <c r="S3223">
        <v>3492</v>
      </c>
      <c r="T3223">
        <v>3492</v>
      </c>
      <c r="U3223">
        <v>3497</v>
      </c>
      <c r="W3223">
        <v>3491.95</v>
      </c>
      <c r="Z3223">
        <v>92045</v>
      </c>
      <c r="AA3223">
        <v>320157091.19999999</v>
      </c>
      <c r="AB3223">
        <v>11833</v>
      </c>
      <c r="AC3223" t="s">
        <v>42</v>
      </c>
      <c r="AD3223">
        <v>1</v>
      </c>
    </row>
    <row r="3224" spans="1:30">
      <c r="A3224" t="str">
        <f>CONCATENATE(I3224,J3224)</f>
        <v>TATAINVESTEQ</v>
      </c>
      <c r="B3224" s="34">
        <v>46273</v>
      </c>
      <c r="C3224" s="34">
        <v>46273</v>
      </c>
      <c r="D3224" t="s">
        <v>35</v>
      </c>
      <c r="E3224" t="s">
        <v>36</v>
      </c>
      <c r="F3224" t="s">
        <v>37</v>
      </c>
      <c r="G3224">
        <v>1621</v>
      </c>
      <c r="H3224" t="s">
        <v>9741</v>
      </c>
      <c r="I3224" t="s">
        <v>9742</v>
      </c>
      <c r="J3224" t="s">
        <v>161</v>
      </c>
      <c r="O3224" t="s">
        <v>9743</v>
      </c>
      <c r="P3224">
        <v>626.9</v>
      </c>
      <c r="Q3224">
        <v>626.9</v>
      </c>
      <c r="R3224">
        <v>621</v>
      </c>
      <c r="S3224">
        <v>622.04999999999995</v>
      </c>
      <c r="T3224">
        <v>624</v>
      </c>
      <c r="U3224">
        <v>627.79999999999995</v>
      </c>
      <c r="W3224">
        <v>622.04</v>
      </c>
      <c r="Z3224">
        <v>120345</v>
      </c>
      <c r="AA3224">
        <v>75028138.5</v>
      </c>
      <c r="AB3224">
        <v>7307</v>
      </c>
      <c r="AC3224" t="s">
        <v>42</v>
      </c>
      <c r="AD3224">
        <v>1</v>
      </c>
    </row>
    <row r="3225" spans="1:30">
      <c r="A3225" t="str">
        <f>CONCATENATE(I3225,J3225)</f>
        <v>TMCVEQ</v>
      </c>
      <c r="B3225" s="34">
        <v>46273</v>
      </c>
      <c r="C3225" s="34">
        <v>46273</v>
      </c>
      <c r="D3225" t="s">
        <v>35</v>
      </c>
      <c r="E3225" t="s">
        <v>36</v>
      </c>
      <c r="F3225" t="s">
        <v>37</v>
      </c>
      <c r="G3225">
        <v>759782</v>
      </c>
      <c r="H3225" t="s">
        <v>9744</v>
      </c>
      <c r="I3225" t="s">
        <v>9745</v>
      </c>
      <c r="J3225" t="s">
        <v>161</v>
      </c>
      <c r="O3225" t="s">
        <v>9746</v>
      </c>
      <c r="P3225">
        <v>459</v>
      </c>
      <c r="Q3225">
        <v>460.45</v>
      </c>
      <c r="R3225">
        <v>453.25</v>
      </c>
      <c r="S3225">
        <v>456.05</v>
      </c>
      <c r="T3225">
        <v>457</v>
      </c>
      <c r="U3225">
        <v>459.65</v>
      </c>
      <c r="W3225">
        <v>456.04</v>
      </c>
      <c r="Z3225">
        <v>4623711</v>
      </c>
      <c r="AA3225">
        <v>2109034073.25</v>
      </c>
      <c r="AB3225">
        <v>82176</v>
      </c>
      <c r="AC3225" t="s">
        <v>42</v>
      </c>
      <c r="AD3225">
        <v>1</v>
      </c>
    </row>
    <row r="3226" spans="1:30">
      <c r="A3226" t="str">
        <f>CONCATENATE(I3226,J3226)</f>
        <v>TMPVEQ</v>
      </c>
      <c r="B3226" s="34">
        <v>46273</v>
      </c>
      <c r="C3226" s="34">
        <v>46273</v>
      </c>
      <c r="D3226" t="s">
        <v>35</v>
      </c>
      <c r="E3226" t="s">
        <v>36</v>
      </c>
      <c r="F3226" t="s">
        <v>37</v>
      </c>
      <c r="G3226">
        <v>3456</v>
      </c>
      <c r="H3226" t="s">
        <v>9747</v>
      </c>
      <c r="I3226" t="s">
        <v>9748</v>
      </c>
      <c r="J3226" t="s">
        <v>161</v>
      </c>
      <c r="O3226" t="s">
        <v>9749</v>
      </c>
      <c r="P3226">
        <v>306.10000000000002</v>
      </c>
      <c r="Q3226">
        <v>306.64999999999998</v>
      </c>
      <c r="R3226">
        <v>302.45</v>
      </c>
      <c r="S3226">
        <v>306.45</v>
      </c>
      <c r="T3226">
        <v>306.45</v>
      </c>
      <c r="U3226">
        <v>307</v>
      </c>
      <c r="W3226">
        <v>306.45</v>
      </c>
      <c r="Z3226">
        <v>6921996</v>
      </c>
      <c r="AA3226">
        <v>2109441987.2</v>
      </c>
      <c r="AB3226">
        <v>80524</v>
      </c>
      <c r="AC3226" t="s">
        <v>42</v>
      </c>
      <c r="AD3226">
        <v>1</v>
      </c>
    </row>
    <row r="3227" spans="1:30">
      <c r="A3227" t="str">
        <f>CONCATENATE(I3227,J3227)</f>
        <v>TATAPOWEREQ</v>
      </c>
      <c r="B3227" s="34">
        <v>46273</v>
      </c>
      <c r="C3227" s="34">
        <v>46273</v>
      </c>
      <c r="D3227" t="s">
        <v>35</v>
      </c>
      <c r="E3227" t="s">
        <v>36</v>
      </c>
      <c r="F3227" t="s">
        <v>37</v>
      </c>
      <c r="G3227">
        <v>3426</v>
      </c>
      <c r="H3227" t="s">
        <v>9750</v>
      </c>
      <c r="I3227" t="s">
        <v>9751</v>
      </c>
      <c r="J3227" t="s">
        <v>161</v>
      </c>
      <c r="O3227" t="s">
        <v>9752</v>
      </c>
      <c r="P3227">
        <v>364.65</v>
      </c>
      <c r="Q3227">
        <v>367.2</v>
      </c>
      <c r="R3227">
        <v>362.25</v>
      </c>
      <c r="S3227">
        <v>365.55</v>
      </c>
      <c r="T3227">
        <v>365.55</v>
      </c>
      <c r="U3227">
        <v>365.7</v>
      </c>
      <c r="W3227">
        <v>365.56</v>
      </c>
      <c r="Z3227">
        <v>2879558</v>
      </c>
      <c r="AA3227">
        <v>1050949974.35</v>
      </c>
      <c r="AB3227">
        <v>29508</v>
      </c>
      <c r="AC3227" t="s">
        <v>42</v>
      </c>
      <c r="AD3227">
        <v>1</v>
      </c>
    </row>
    <row r="3228" spans="1:30">
      <c r="A3228" t="str">
        <f>CONCATENATE(I3228,J3228)</f>
        <v>TATASTEELEQ</v>
      </c>
      <c r="B3228" s="34">
        <v>46273</v>
      </c>
      <c r="C3228" s="34">
        <v>46273</v>
      </c>
      <c r="D3228" t="s">
        <v>35</v>
      </c>
      <c r="E3228" t="s">
        <v>36</v>
      </c>
      <c r="F3228" t="s">
        <v>37</v>
      </c>
      <c r="G3228">
        <v>3499</v>
      </c>
      <c r="H3228" t="s">
        <v>9753</v>
      </c>
      <c r="I3228" t="s">
        <v>9754</v>
      </c>
      <c r="J3228" t="s">
        <v>161</v>
      </c>
      <c r="O3228" t="s">
        <v>9755</v>
      </c>
      <c r="P3228">
        <v>185.9</v>
      </c>
      <c r="Q3228">
        <v>186.5</v>
      </c>
      <c r="R3228">
        <v>183.61</v>
      </c>
      <c r="S3228">
        <v>184.15</v>
      </c>
      <c r="T3228">
        <v>184.15</v>
      </c>
      <c r="U3228">
        <v>185.61</v>
      </c>
      <c r="W3228">
        <v>184.15</v>
      </c>
      <c r="Z3228">
        <v>24272812</v>
      </c>
      <c r="AA3228">
        <v>4490193611.2299995</v>
      </c>
      <c r="AB3228">
        <v>116735</v>
      </c>
      <c r="AC3228" t="s">
        <v>42</v>
      </c>
      <c r="AD3228">
        <v>1</v>
      </c>
    </row>
    <row r="3229" spans="1:30">
      <c r="A3229" t="str">
        <f>CONCATENATE(I3229,J3229)</f>
        <v>TATATECHEQ</v>
      </c>
      <c r="B3229" s="34">
        <v>46273</v>
      </c>
      <c r="C3229" s="34">
        <v>46273</v>
      </c>
      <c r="D3229" t="s">
        <v>35</v>
      </c>
      <c r="E3229" t="s">
        <v>36</v>
      </c>
      <c r="F3229" t="s">
        <v>37</v>
      </c>
      <c r="G3229">
        <v>20293</v>
      </c>
      <c r="H3229" t="s">
        <v>9756</v>
      </c>
      <c r="I3229" t="s">
        <v>9757</v>
      </c>
      <c r="J3229" t="s">
        <v>161</v>
      </c>
      <c r="O3229" t="s">
        <v>9758</v>
      </c>
      <c r="P3229">
        <v>785</v>
      </c>
      <c r="Q3229">
        <v>803.6</v>
      </c>
      <c r="R3229">
        <v>781.75</v>
      </c>
      <c r="S3229">
        <v>798.5</v>
      </c>
      <c r="T3229">
        <v>798.7</v>
      </c>
      <c r="U3229">
        <v>785.1</v>
      </c>
      <c r="W3229">
        <v>798.5</v>
      </c>
      <c r="Z3229">
        <v>944323</v>
      </c>
      <c r="AA3229">
        <v>751911274.54999995</v>
      </c>
      <c r="AB3229">
        <v>35125</v>
      </c>
      <c r="AC3229" t="s">
        <v>42</v>
      </c>
      <c r="AD3229">
        <v>1</v>
      </c>
    </row>
    <row r="3230" spans="1:30">
      <c r="A3230" t="str">
        <f>CONCATENATE(I3230,J3230)</f>
        <v>TTMLEQ</v>
      </c>
      <c r="B3230" s="34">
        <v>46273</v>
      </c>
      <c r="C3230" s="34">
        <v>46273</v>
      </c>
      <c r="D3230" t="s">
        <v>35</v>
      </c>
      <c r="E3230" t="s">
        <v>36</v>
      </c>
      <c r="F3230" t="s">
        <v>37</v>
      </c>
      <c r="G3230">
        <v>8954</v>
      </c>
      <c r="H3230" t="s">
        <v>9759</v>
      </c>
      <c r="I3230" t="s">
        <v>9760</v>
      </c>
      <c r="J3230" t="s">
        <v>161</v>
      </c>
      <c r="O3230" t="s">
        <v>9761</v>
      </c>
      <c r="P3230">
        <v>37.299999999999997</v>
      </c>
      <c r="Q3230">
        <v>37.31</v>
      </c>
      <c r="R3230">
        <v>36.299999999999997</v>
      </c>
      <c r="S3230">
        <v>36.49</v>
      </c>
      <c r="T3230">
        <v>36.69</v>
      </c>
      <c r="U3230">
        <v>37.35</v>
      </c>
      <c r="W3230">
        <v>36.49</v>
      </c>
      <c r="Z3230">
        <v>1566480</v>
      </c>
      <c r="AA3230">
        <v>57607680.700000003</v>
      </c>
      <c r="AB3230">
        <v>8114</v>
      </c>
      <c r="AC3230" t="s">
        <v>42</v>
      </c>
      <c r="AD3230">
        <v>1</v>
      </c>
    </row>
    <row r="3231" spans="1:30">
      <c r="A3231" t="str">
        <f>CONCATENATE(I3231,J3231)</f>
        <v>NETFEQ</v>
      </c>
      <c r="B3231" s="34">
        <v>46273</v>
      </c>
      <c r="C3231" s="34">
        <v>46273</v>
      </c>
      <c r="D3231" t="s">
        <v>35</v>
      </c>
      <c r="E3231" t="s">
        <v>36</v>
      </c>
      <c r="F3231" t="s">
        <v>37</v>
      </c>
      <c r="G3231">
        <v>7838</v>
      </c>
      <c r="H3231" t="s">
        <v>9762</v>
      </c>
      <c r="I3231" t="s">
        <v>9763</v>
      </c>
      <c r="J3231" t="s">
        <v>161</v>
      </c>
      <c r="O3231" t="s">
        <v>9764</v>
      </c>
      <c r="P3231">
        <v>259.89999999999998</v>
      </c>
      <c r="Q3231">
        <v>262.98</v>
      </c>
      <c r="R3231">
        <v>256.77</v>
      </c>
      <c r="S3231">
        <v>257.91000000000003</v>
      </c>
      <c r="T3231">
        <v>257.60000000000002</v>
      </c>
      <c r="U3231">
        <v>258.45</v>
      </c>
      <c r="W3231">
        <v>257.95999999999998</v>
      </c>
      <c r="Z3231">
        <v>957</v>
      </c>
      <c r="AA3231">
        <v>247038.04</v>
      </c>
      <c r="AB3231">
        <v>146</v>
      </c>
      <c r="AC3231" t="s">
        <v>42</v>
      </c>
      <c r="AD3231">
        <v>1</v>
      </c>
    </row>
    <row r="3232" spans="1:30">
      <c r="A3232" t="str">
        <f>CONCATENATE(I3232,J3232)</f>
        <v>NPBETEQ</v>
      </c>
      <c r="B3232" s="34">
        <v>46273</v>
      </c>
      <c r="C3232" s="34">
        <v>46273</v>
      </c>
      <c r="D3232" t="s">
        <v>35</v>
      </c>
      <c r="E3232" t="s">
        <v>36</v>
      </c>
      <c r="F3232" t="s">
        <v>37</v>
      </c>
      <c r="G3232">
        <v>12978</v>
      </c>
      <c r="H3232" t="s">
        <v>9765</v>
      </c>
      <c r="I3232" t="s">
        <v>9766</v>
      </c>
      <c r="J3232" t="s">
        <v>161</v>
      </c>
      <c r="O3232" t="s">
        <v>9767</v>
      </c>
      <c r="P3232">
        <v>287.27999999999997</v>
      </c>
      <c r="Q3232">
        <v>287.60000000000002</v>
      </c>
      <c r="R3232">
        <v>285.87</v>
      </c>
      <c r="S3232">
        <v>285.87</v>
      </c>
      <c r="T3232">
        <v>285.87</v>
      </c>
      <c r="U3232">
        <v>287.33999999999997</v>
      </c>
      <c r="W3232">
        <v>285.87</v>
      </c>
      <c r="Z3232">
        <v>99</v>
      </c>
      <c r="AA3232">
        <v>28345.68</v>
      </c>
      <c r="AB3232">
        <v>11</v>
      </c>
      <c r="AC3232" t="s">
        <v>42</v>
      </c>
      <c r="AD3232">
        <v>1</v>
      </c>
    </row>
    <row r="3233" spans="1:30">
      <c r="A3233" t="str">
        <f>CONCATENATE(I3233,J3233)</f>
        <v>TNIDETFEQ</v>
      </c>
      <c r="B3233" s="34">
        <v>46273</v>
      </c>
      <c r="C3233" s="34">
        <v>46273</v>
      </c>
      <c r="D3233" t="s">
        <v>35</v>
      </c>
      <c r="E3233" t="s">
        <v>36</v>
      </c>
      <c r="F3233" t="s">
        <v>37</v>
      </c>
      <c r="G3233">
        <v>8882</v>
      </c>
      <c r="H3233" t="s">
        <v>9768</v>
      </c>
      <c r="I3233" t="s">
        <v>9769</v>
      </c>
      <c r="J3233" t="s">
        <v>161</v>
      </c>
      <c r="O3233" t="s">
        <v>9770</v>
      </c>
      <c r="P3233">
        <v>89.8</v>
      </c>
      <c r="Q3233">
        <v>90.69</v>
      </c>
      <c r="R3233">
        <v>89.29</v>
      </c>
      <c r="S3233">
        <v>89.67</v>
      </c>
      <c r="T3233">
        <v>90.05</v>
      </c>
      <c r="U3233">
        <v>89.81</v>
      </c>
      <c r="W3233">
        <v>89.67</v>
      </c>
      <c r="Z3233">
        <v>49101</v>
      </c>
      <c r="AA3233">
        <v>4409078.26</v>
      </c>
      <c r="AB3233">
        <v>448</v>
      </c>
      <c r="AC3233" t="s">
        <v>42</v>
      </c>
      <c r="AD3233">
        <v>1</v>
      </c>
    </row>
    <row r="3234" spans="1:30">
      <c r="A3234" t="str">
        <f>CONCATENATE(I3234,J3234)</f>
        <v>TATAGOLDEQ</v>
      </c>
      <c r="B3234" s="34">
        <v>46273</v>
      </c>
      <c r="C3234" s="34">
        <v>46273</v>
      </c>
      <c r="D3234" t="s">
        <v>35</v>
      </c>
      <c r="E3234" t="s">
        <v>36</v>
      </c>
      <c r="F3234" t="s">
        <v>37</v>
      </c>
      <c r="G3234">
        <v>21401</v>
      </c>
      <c r="H3234" t="s">
        <v>9771</v>
      </c>
      <c r="I3234" t="s">
        <v>9772</v>
      </c>
      <c r="J3234" t="s">
        <v>161</v>
      </c>
      <c r="O3234" t="s">
        <v>9773</v>
      </c>
      <c r="P3234">
        <v>14.78</v>
      </c>
      <c r="Q3234">
        <v>14.89</v>
      </c>
      <c r="R3234">
        <v>14.73</v>
      </c>
      <c r="S3234">
        <v>14.79</v>
      </c>
      <c r="T3234">
        <v>14.8</v>
      </c>
      <c r="U3234">
        <v>14.76</v>
      </c>
      <c r="W3234">
        <v>14.79</v>
      </c>
      <c r="Z3234">
        <v>43973894</v>
      </c>
      <c r="AA3234">
        <v>651725976.48000002</v>
      </c>
      <c r="AB3234">
        <v>63724</v>
      </c>
      <c r="AC3234" t="s">
        <v>42</v>
      </c>
      <c r="AD3234">
        <v>1</v>
      </c>
    </row>
    <row r="3235" spans="1:30">
      <c r="A3235" t="str">
        <f>CONCATENATE(I3235,J3235)</f>
        <v>TATSILVEQ</v>
      </c>
      <c r="B3235" s="34">
        <v>46273</v>
      </c>
      <c r="C3235" s="34">
        <v>46273</v>
      </c>
      <c r="D3235" t="s">
        <v>35</v>
      </c>
      <c r="E3235" t="s">
        <v>36</v>
      </c>
      <c r="F3235" t="s">
        <v>37</v>
      </c>
      <c r="G3235">
        <v>21428</v>
      </c>
      <c r="H3235" t="s">
        <v>9774</v>
      </c>
      <c r="I3235" t="s">
        <v>9775</v>
      </c>
      <c r="J3235" t="s">
        <v>161</v>
      </c>
      <c r="O3235" t="s">
        <v>9776</v>
      </c>
      <c r="P3235">
        <v>22.53</v>
      </c>
      <c r="Q3235">
        <v>22.73</v>
      </c>
      <c r="R3235">
        <v>22.34</v>
      </c>
      <c r="S3235">
        <v>22.44</v>
      </c>
      <c r="T3235">
        <v>22.48</v>
      </c>
      <c r="U3235">
        <v>22.31</v>
      </c>
      <c r="W3235">
        <v>22.44</v>
      </c>
      <c r="Z3235">
        <v>41067114</v>
      </c>
      <c r="AA3235">
        <v>925967888.91999996</v>
      </c>
      <c r="AB3235">
        <v>37794</v>
      </c>
      <c r="AC3235" t="s">
        <v>42</v>
      </c>
      <c r="AD3235">
        <v>1</v>
      </c>
    </row>
    <row r="3236" spans="1:30">
      <c r="A3236" t="str">
        <f>CONCATENATE(I3236,J3236)</f>
        <v>TATVAEQ</v>
      </c>
      <c r="B3236" s="34">
        <v>46273</v>
      </c>
      <c r="C3236" s="34">
        <v>46273</v>
      </c>
      <c r="D3236" t="s">
        <v>35</v>
      </c>
      <c r="E3236" t="s">
        <v>36</v>
      </c>
      <c r="F3236" t="s">
        <v>37</v>
      </c>
      <c r="G3236">
        <v>5162</v>
      </c>
      <c r="H3236" t="s">
        <v>9777</v>
      </c>
      <c r="I3236" t="s">
        <v>9778</v>
      </c>
      <c r="J3236" t="s">
        <v>161</v>
      </c>
      <c r="O3236" t="s">
        <v>9779</v>
      </c>
      <c r="P3236">
        <v>1715</v>
      </c>
      <c r="Q3236">
        <v>1732</v>
      </c>
      <c r="R3236">
        <v>1656</v>
      </c>
      <c r="S3236">
        <v>1680.2</v>
      </c>
      <c r="T3236">
        <v>1673</v>
      </c>
      <c r="U3236">
        <v>1695.8</v>
      </c>
      <c r="W3236">
        <v>1680.21</v>
      </c>
      <c r="Z3236">
        <v>40980</v>
      </c>
      <c r="AA3236">
        <v>68765119.200000003</v>
      </c>
      <c r="AB3236">
        <v>5028</v>
      </c>
      <c r="AC3236" t="s">
        <v>42</v>
      </c>
      <c r="AD3236">
        <v>1</v>
      </c>
    </row>
    <row r="3237" spans="1:30">
      <c r="A3237" t="str">
        <f>CONCATENATE(I3237,J3237)</f>
        <v>TAURIANST</v>
      </c>
      <c r="B3237" s="34">
        <v>46273</v>
      </c>
      <c r="C3237" s="34">
        <v>46273</v>
      </c>
      <c r="D3237" t="s">
        <v>35</v>
      </c>
      <c r="E3237" t="s">
        <v>36</v>
      </c>
      <c r="F3237" t="s">
        <v>37</v>
      </c>
      <c r="G3237">
        <v>759759</v>
      </c>
      <c r="H3237" t="s">
        <v>9780</v>
      </c>
      <c r="I3237" t="s">
        <v>9781</v>
      </c>
      <c r="J3237" t="s">
        <v>328</v>
      </c>
      <c r="O3237" t="s">
        <v>9782</v>
      </c>
      <c r="P3237">
        <v>452.55</v>
      </c>
      <c r="Q3237">
        <v>485</v>
      </c>
      <c r="R3237">
        <v>452.55</v>
      </c>
      <c r="S3237">
        <v>473.45</v>
      </c>
      <c r="T3237">
        <v>463</v>
      </c>
      <c r="U3237">
        <v>470.1</v>
      </c>
      <c r="W3237">
        <v>473.45</v>
      </c>
      <c r="Z3237">
        <v>26400</v>
      </c>
      <c r="AA3237">
        <v>12380960</v>
      </c>
      <c r="AB3237">
        <v>32</v>
      </c>
      <c r="AC3237" t="s">
        <v>42</v>
      </c>
      <c r="AD3237">
        <v>800</v>
      </c>
    </row>
    <row r="3238" spans="1:30">
      <c r="A3238" t="str">
        <f>CONCATENATE(I3238,J3238)</f>
        <v>753IRFC30NJ</v>
      </c>
      <c r="B3238" s="34">
        <v>46273</v>
      </c>
      <c r="C3238" s="34">
        <v>46273</v>
      </c>
      <c r="D3238" t="s">
        <v>35</v>
      </c>
      <c r="E3238" t="s">
        <v>36</v>
      </c>
      <c r="F3238" t="s">
        <v>37</v>
      </c>
      <c r="G3238">
        <v>11754</v>
      </c>
      <c r="H3238" t="s">
        <v>9783</v>
      </c>
      <c r="I3238" t="s">
        <v>9784</v>
      </c>
      <c r="J3238" t="s">
        <v>8605</v>
      </c>
      <c r="O3238" t="s">
        <v>9785</v>
      </c>
      <c r="P3238">
        <v>1135.95</v>
      </c>
      <c r="Q3238">
        <v>1135.95</v>
      </c>
      <c r="R3238">
        <v>1134.0999999999999</v>
      </c>
      <c r="S3238">
        <v>1135.95</v>
      </c>
      <c r="T3238">
        <v>1135.95</v>
      </c>
      <c r="U3238">
        <v>1136.97</v>
      </c>
      <c r="W3238">
        <v>1135.95</v>
      </c>
      <c r="Z3238">
        <v>158</v>
      </c>
      <c r="AA3238">
        <v>179351.41</v>
      </c>
      <c r="AB3238">
        <v>9</v>
      </c>
      <c r="AC3238" t="s">
        <v>42</v>
      </c>
      <c r="AD3238">
        <v>1</v>
      </c>
    </row>
    <row r="3239" spans="1:30">
      <c r="A3239" t="str">
        <f>CONCATENATE(I3239,J3239)</f>
        <v>764IRFC31NO</v>
      </c>
      <c r="B3239" s="34">
        <v>46273</v>
      </c>
      <c r="C3239" s="34">
        <v>46273</v>
      </c>
      <c r="D3239" t="s">
        <v>35</v>
      </c>
      <c r="E3239" t="s">
        <v>36</v>
      </c>
      <c r="F3239" t="s">
        <v>37</v>
      </c>
      <c r="G3239">
        <v>15168</v>
      </c>
      <c r="H3239" t="s">
        <v>9786</v>
      </c>
      <c r="I3239" t="s">
        <v>9787</v>
      </c>
      <c r="J3239" t="s">
        <v>9788</v>
      </c>
      <c r="O3239" t="s">
        <v>9789</v>
      </c>
      <c r="P3239">
        <v>1145.3</v>
      </c>
      <c r="Q3239">
        <v>1148</v>
      </c>
      <c r="R3239">
        <v>1145.05</v>
      </c>
      <c r="S3239">
        <v>1148</v>
      </c>
      <c r="T3239">
        <v>1148</v>
      </c>
      <c r="U3239">
        <v>1144.7</v>
      </c>
      <c r="W3239">
        <v>1148</v>
      </c>
      <c r="Z3239">
        <v>1534</v>
      </c>
      <c r="AA3239">
        <v>1759500.5</v>
      </c>
      <c r="AB3239">
        <v>8</v>
      </c>
      <c r="AC3239" t="s">
        <v>42</v>
      </c>
      <c r="AD3239">
        <v>1</v>
      </c>
    </row>
    <row r="3240" spans="1:30">
      <c r="A3240" t="str">
        <f>CONCATENATE(I3240,J3240)</f>
        <v>769NHAI31NE</v>
      </c>
      <c r="B3240" s="34">
        <v>46273</v>
      </c>
      <c r="C3240" s="34">
        <v>46273</v>
      </c>
      <c r="D3240" t="s">
        <v>35</v>
      </c>
      <c r="E3240" t="s">
        <v>36</v>
      </c>
      <c r="F3240" t="s">
        <v>37</v>
      </c>
      <c r="G3240">
        <v>14529</v>
      </c>
      <c r="H3240" t="s">
        <v>9790</v>
      </c>
      <c r="I3240" t="s">
        <v>9791</v>
      </c>
      <c r="J3240" t="s">
        <v>239</v>
      </c>
      <c r="O3240" t="s">
        <v>9792</v>
      </c>
      <c r="P3240">
        <v>1158</v>
      </c>
      <c r="Q3240">
        <v>1158</v>
      </c>
      <c r="R3240">
        <v>1152.4000000000001</v>
      </c>
      <c r="S3240">
        <v>1154.5</v>
      </c>
      <c r="T3240">
        <v>1154.5</v>
      </c>
      <c r="U3240">
        <v>1158</v>
      </c>
      <c r="W3240">
        <v>1154.5</v>
      </c>
      <c r="Z3240">
        <v>26</v>
      </c>
      <c r="AA3240">
        <v>30027.5</v>
      </c>
      <c r="AB3240">
        <v>3</v>
      </c>
      <c r="AC3240" t="s">
        <v>42</v>
      </c>
      <c r="AD3240">
        <v>1</v>
      </c>
    </row>
    <row r="3241" spans="1:30">
      <c r="A3241" t="str">
        <f>CONCATENATE(I3241,J3241)</f>
        <v>750IRFC35NK</v>
      </c>
      <c r="B3241" s="34">
        <v>46273</v>
      </c>
      <c r="C3241" s="34">
        <v>46273</v>
      </c>
      <c r="D3241" t="s">
        <v>35</v>
      </c>
      <c r="E3241" t="s">
        <v>36</v>
      </c>
      <c r="F3241" t="s">
        <v>37</v>
      </c>
      <c r="G3241">
        <v>11757</v>
      </c>
      <c r="H3241" t="s">
        <v>9793</v>
      </c>
      <c r="I3241" t="s">
        <v>9794</v>
      </c>
      <c r="J3241" t="s">
        <v>472</v>
      </c>
      <c r="O3241" t="s">
        <v>9795</v>
      </c>
      <c r="P3241">
        <v>1213</v>
      </c>
      <c r="Q3241">
        <v>1213</v>
      </c>
      <c r="R3241">
        <v>1213</v>
      </c>
      <c r="S3241">
        <v>1213</v>
      </c>
      <c r="T3241">
        <v>1213</v>
      </c>
      <c r="U3241">
        <v>1211.1600000000001</v>
      </c>
      <c r="W3241">
        <v>1213</v>
      </c>
      <c r="Z3241">
        <v>100</v>
      </c>
      <c r="AA3241">
        <v>121300</v>
      </c>
      <c r="AB3241">
        <v>1</v>
      </c>
      <c r="AC3241" t="s">
        <v>42</v>
      </c>
      <c r="AD3241">
        <v>1</v>
      </c>
    </row>
    <row r="3242" spans="1:30">
      <c r="A3242" t="str">
        <f>CONCATENATE(I3242,J3242)</f>
        <v>76NHAI31NA</v>
      </c>
      <c r="B3242" s="34">
        <v>46273</v>
      </c>
      <c r="C3242" s="34">
        <v>46273</v>
      </c>
      <c r="D3242" t="s">
        <v>35</v>
      </c>
      <c r="E3242" t="s">
        <v>36</v>
      </c>
      <c r="F3242" t="s">
        <v>37</v>
      </c>
      <c r="G3242">
        <v>12003</v>
      </c>
      <c r="H3242" t="s">
        <v>9796</v>
      </c>
      <c r="I3242" t="s">
        <v>9797</v>
      </c>
      <c r="J3242" t="s">
        <v>1764</v>
      </c>
      <c r="O3242" t="s">
        <v>9798</v>
      </c>
      <c r="P3242">
        <v>1110.3499999999999</v>
      </c>
      <c r="Q3242">
        <v>1110.3499999999999</v>
      </c>
      <c r="R3242">
        <v>1107.17</v>
      </c>
      <c r="S3242">
        <v>1108.04</v>
      </c>
      <c r="T3242">
        <v>1109.3900000000001</v>
      </c>
      <c r="U3242">
        <v>1107.17</v>
      </c>
      <c r="W3242">
        <v>1108.46</v>
      </c>
      <c r="Z3242">
        <v>2328</v>
      </c>
      <c r="AA3242">
        <v>2580115.84</v>
      </c>
      <c r="AB3242">
        <v>54</v>
      </c>
      <c r="AC3242" t="s">
        <v>42</v>
      </c>
      <c r="AD3242">
        <v>1</v>
      </c>
    </row>
    <row r="3243" spans="1:30">
      <c r="A3243" t="str">
        <f>CONCATENATE(I3243,J3243)</f>
        <v>TBISM</v>
      </c>
      <c r="B3243" s="34">
        <v>46273</v>
      </c>
      <c r="C3243" s="34">
        <v>46273</v>
      </c>
      <c r="D3243" t="s">
        <v>35</v>
      </c>
      <c r="E3243" t="s">
        <v>36</v>
      </c>
      <c r="F3243" t="s">
        <v>37</v>
      </c>
      <c r="G3243">
        <v>24019</v>
      </c>
      <c r="H3243" t="s">
        <v>9799</v>
      </c>
      <c r="I3243" t="s">
        <v>9800</v>
      </c>
      <c r="J3243" t="s">
        <v>267</v>
      </c>
      <c r="O3243" t="s">
        <v>9801</v>
      </c>
      <c r="P3243">
        <v>71</v>
      </c>
      <c r="Q3243">
        <v>71.349999999999994</v>
      </c>
      <c r="R3243">
        <v>65.05</v>
      </c>
      <c r="S3243">
        <v>68.3</v>
      </c>
      <c r="T3243">
        <v>70.400000000000006</v>
      </c>
      <c r="U3243">
        <v>71.349999999999994</v>
      </c>
      <c r="W3243">
        <v>68.3</v>
      </c>
      <c r="Z3243">
        <v>67800</v>
      </c>
      <c r="AA3243">
        <v>4703670</v>
      </c>
      <c r="AB3243">
        <v>90</v>
      </c>
      <c r="AC3243" t="s">
        <v>42</v>
      </c>
      <c r="AD3243">
        <v>600</v>
      </c>
    </row>
    <row r="3244" spans="1:30">
      <c r="A3244" t="str">
        <f>CONCATENATE(I3244,J3244)</f>
        <v>TBOTEKEQ</v>
      </c>
      <c r="B3244" s="34">
        <v>46273</v>
      </c>
      <c r="C3244" s="34">
        <v>46273</v>
      </c>
      <c r="D3244" t="s">
        <v>35</v>
      </c>
      <c r="E3244" t="s">
        <v>36</v>
      </c>
      <c r="F3244" t="s">
        <v>37</v>
      </c>
      <c r="G3244">
        <v>23740</v>
      </c>
      <c r="H3244" t="s">
        <v>9802</v>
      </c>
      <c r="I3244" t="s">
        <v>9803</v>
      </c>
      <c r="J3244" t="s">
        <v>161</v>
      </c>
      <c r="O3244" t="s">
        <v>9804</v>
      </c>
      <c r="P3244">
        <v>1690</v>
      </c>
      <c r="Q3244">
        <v>1702.5</v>
      </c>
      <c r="R3244">
        <v>1669.6</v>
      </c>
      <c r="S3244">
        <v>1694.5</v>
      </c>
      <c r="T3244">
        <v>1700</v>
      </c>
      <c r="U3244">
        <v>1705.4</v>
      </c>
      <c r="W3244">
        <v>1694.41</v>
      </c>
      <c r="Z3244">
        <v>83697</v>
      </c>
      <c r="AA3244">
        <v>140939272.19999999</v>
      </c>
      <c r="AB3244">
        <v>10238</v>
      </c>
      <c r="AC3244" t="s">
        <v>42</v>
      </c>
      <c r="AD3244">
        <v>1</v>
      </c>
    </row>
    <row r="3245" spans="1:30">
      <c r="A3245" t="str">
        <f>CONCATENATE(I3245,J3245)</f>
        <v>TCCEQ</v>
      </c>
      <c r="B3245" s="34">
        <v>46273</v>
      </c>
      <c r="C3245" s="34">
        <v>46273</v>
      </c>
      <c r="D3245" t="s">
        <v>35</v>
      </c>
      <c r="E3245" t="s">
        <v>36</v>
      </c>
      <c r="F3245" t="s">
        <v>37</v>
      </c>
      <c r="G3245">
        <v>761814</v>
      </c>
      <c r="H3245" t="s">
        <v>9805</v>
      </c>
      <c r="I3245" t="s">
        <v>9806</v>
      </c>
      <c r="J3245" t="s">
        <v>161</v>
      </c>
      <c r="O3245" t="s">
        <v>9807</v>
      </c>
      <c r="P3245">
        <v>41</v>
      </c>
      <c r="Q3245">
        <v>49.29</v>
      </c>
      <c r="R3245">
        <v>39.369999999999997</v>
      </c>
      <c r="S3245">
        <v>49.07</v>
      </c>
      <c r="T3245">
        <v>49.29</v>
      </c>
      <c r="U3245">
        <v>41.08</v>
      </c>
      <c r="W3245">
        <v>49.07</v>
      </c>
      <c r="Z3245">
        <v>6862837</v>
      </c>
      <c r="AA3245">
        <v>324513263.73000002</v>
      </c>
      <c r="AB3245">
        <v>27951</v>
      </c>
      <c r="AC3245" t="s">
        <v>42</v>
      </c>
      <c r="AD3245">
        <v>1</v>
      </c>
    </row>
    <row r="3246" spans="1:30">
      <c r="A3246" t="str">
        <f>CONCATENATE(I3246,J3246)</f>
        <v>TCIEXPEQ</v>
      </c>
      <c r="B3246" s="34">
        <v>46273</v>
      </c>
      <c r="C3246" s="34">
        <v>46273</v>
      </c>
      <c r="D3246" t="s">
        <v>35</v>
      </c>
      <c r="E3246" t="s">
        <v>36</v>
      </c>
      <c r="F3246" t="s">
        <v>37</v>
      </c>
      <c r="G3246">
        <v>19223</v>
      </c>
      <c r="H3246" t="s">
        <v>9808</v>
      </c>
      <c r="I3246" t="s">
        <v>9809</v>
      </c>
      <c r="J3246" t="s">
        <v>161</v>
      </c>
      <c r="O3246" t="s">
        <v>9810</v>
      </c>
      <c r="P3246">
        <v>549.1</v>
      </c>
      <c r="Q3246">
        <v>556.85</v>
      </c>
      <c r="R3246">
        <v>545.35</v>
      </c>
      <c r="S3246">
        <v>550.45000000000005</v>
      </c>
      <c r="T3246">
        <v>546</v>
      </c>
      <c r="U3246">
        <v>549.1</v>
      </c>
      <c r="W3246">
        <v>550.46</v>
      </c>
      <c r="Z3246">
        <v>35817</v>
      </c>
      <c r="AA3246">
        <v>19718512.649999999</v>
      </c>
      <c r="AB3246">
        <v>2183</v>
      </c>
      <c r="AC3246" t="s">
        <v>42</v>
      </c>
      <c r="AD3246">
        <v>1</v>
      </c>
    </row>
    <row r="3247" spans="1:30">
      <c r="A3247" t="str">
        <f>CONCATENATE(I3247,J3247)</f>
        <v>TCIFINANCEBE</v>
      </c>
      <c r="B3247" s="34">
        <v>46273</v>
      </c>
      <c r="C3247" s="34">
        <v>46273</v>
      </c>
      <c r="D3247" t="s">
        <v>35</v>
      </c>
      <c r="E3247" t="s">
        <v>36</v>
      </c>
      <c r="F3247" t="s">
        <v>37</v>
      </c>
      <c r="G3247">
        <v>8722</v>
      </c>
      <c r="H3247" t="s">
        <v>9811</v>
      </c>
      <c r="I3247" t="s">
        <v>9812</v>
      </c>
      <c r="J3247" t="s">
        <v>183</v>
      </c>
      <c r="O3247" t="s">
        <v>9813</v>
      </c>
      <c r="P3247">
        <v>15.2</v>
      </c>
      <c r="Q3247">
        <v>15.48</v>
      </c>
      <c r="R3247">
        <v>14.69</v>
      </c>
      <c r="S3247">
        <v>15</v>
      </c>
      <c r="T3247">
        <v>15</v>
      </c>
      <c r="U3247">
        <v>15.2</v>
      </c>
      <c r="W3247">
        <v>15</v>
      </c>
      <c r="Z3247">
        <v>8719</v>
      </c>
      <c r="AA3247">
        <v>131106</v>
      </c>
      <c r="AB3247">
        <v>59</v>
      </c>
      <c r="AC3247" t="s">
        <v>42</v>
      </c>
      <c r="AD3247">
        <v>1</v>
      </c>
    </row>
    <row r="3248" spans="1:30">
      <c r="A3248" t="str">
        <f>CONCATENATE(I3248,J3248)</f>
        <v>TCPLPACKEQ</v>
      </c>
      <c r="B3248" s="34">
        <v>46273</v>
      </c>
      <c r="C3248" s="34">
        <v>46273</v>
      </c>
      <c r="D3248" t="s">
        <v>35</v>
      </c>
      <c r="E3248" t="s">
        <v>36</v>
      </c>
      <c r="F3248" t="s">
        <v>37</v>
      </c>
      <c r="G3248">
        <v>184</v>
      </c>
      <c r="H3248" t="s">
        <v>9814</v>
      </c>
      <c r="I3248" t="s">
        <v>9815</v>
      </c>
      <c r="J3248" t="s">
        <v>161</v>
      </c>
      <c r="O3248" t="s">
        <v>9816</v>
      </c>
      <c r="P3248">
        <v>3919.8</v>
      </c>
      <c r="Q3248">
        <v>3920.3</v>
      </c>
      <c r="R3248">
        <v>3802.2</v>
      </c>
      <c r="S3248">
        <v>3874.7</v>
      </c>
      <c r="T3248">
        <v>3876.2</v>
      </c>
      <c r="U3248">
        <v>3862.4</v>
      </c>
      <c r="W3248">
        <v>3874.67</v>
      </c>
      <c r="Z3248">
        <v>9186</v>
      </c>
      <c r="AA3248">
        <v>35507349.600000001</v>
      </c>
      <c r="AB3248">
        <v>1802</v>
      </c>
      <c r="AC3248" t="s">
        <v>42</v>
      </c>
      <c r="AD3248">
        <v>1</v>
      </c>
    </row>
    <row r="3249" spans="1:30">
      <c r="A3249" t="str">
        <f>CONCATENATE(I3249,J3249)</f>
        <v>TDPOWERSYSEQ</v>
      </c>
      <c r="B3249" s="34">
        <v>46273</v>
      </c>
      <c r="C3249" s="34">
        <v>46273</v>
      </c>
      <c r="D3249" t="s">
        <v>35</v>
      </c>
      <c r="E3249" t="s">
        <v>36</v>
      </c>
      <c r="F3249" t="s">
        <v>37</v>
      </c>
      <c r="G3249">
        <v>25178</v>
      </c>
      <c r="H3249" t="s">
        <v>9817</v>
      </c>
      <c r="I3249" t="s">
        <v>9818</v>
      </c>
      <c r="J3249" t="s">
        <v>161</v>
      </c>
      <c r="O3249" t="s">
        <v>9819</v>
      </c>
      <c r="P3249">
        <v>736</v>
      </c>
      <c r="Q3249">
        <v>778.85</v>
      </c>
      <c r="R3249">
        <v>736</v>
      </c>
      <c r="S3249">
        <v>768.8</v>
      </c>
      <c r="T3249">
        <v>774</v>
      </c>
      <c r="U3249">
        <v>734.15</v>
      </c>
      <c r="W3249">
        <v>768.91</v>
      </c>
      <c r="Z3249">
        <v>2089519</v>
      </c>
      <c r="AA3249">
        <v>1605738520.8499999</v>
      </c>
      <c r="AB3249">
        <v>60994</v>
      </c>
      <c r="AC3249" t="s">
        <v>42</v>
      </c>
      <c r="AD3249">
        <v>1</v>
      </c>
    </row>
    <row r="3250" spans="1:30">
      <c r="A3250" t="str">
        <f>CONCATENATE(I3250,J3250)</f>
        <v>TEAMGTYEQ</v>
      </c>
      <c r="B3250" s="34">
        <v>46273</v>
      </c>
      <c r="C3250" s="34">
        <v>46273</v>
      </c>
      <c r="D3250" t="s">
        <v>35</v>
      </c>
      <c r="E3250" t="s">
        <v>36</v>
      </c>
      <c r="F3250" t="s">
        <v>37</v>
      </c>
      <c r="G3250">
        <v>10717</v>
      </c>
      <c r="H3250" t="s">
        <v>9820</v>
      </c>
      <c r="I3250" t="s">
        <v>9821</v>
      </c>
      <c r="J3250" t="s">
        <v>161</v>
      </c>
      <c r="O3250" t="s">
        <v>9822</v>
      </c>
      <c r="P3250">
        <v>243</v>
      </c>
      <c r="Q3250">
        <v>243</v>
      </c>
      <c r="R3250">
        <v>235</v>
      </c>
      <c r="S3250">
        <v>235.02</v>
      </c>
      <c r="T3250">
        <v>235</v>
      </c>
      <c r="U3250">
        <v>235.03</v>
      </c>
      <c r="W3250">
        <v>235.05</v>
      </c>
      <c r="Z3250">
        <v>620</v>
      </c>
      <c r="AA3250">
        <v>145786.87</v>
      </c>
      <c r="AB3250">
        <v>20</v>
      </c>
      <c r="AC3250" t="s">
        <v>42</v>
      </c>
      <c r="AD3250">
        <v>1</v>
      </c>
    </row>
    <row r="3251" spans="1:30">
      <c r="A3251" t="str">
        <f>CONCATENATE(I3251,J3251)</f>
        <v>TEAMLEASEEQ</v>
      </c>
      <c r="B3251" s="34">
        <v>46273</v>
      </c>
      <c r="C3251" s="34">
        <v>46273</v>
      </c>
      <c r="D3251" t="s">
        <v>35</v>
      </c>
      <c r="E3251" t="s">
        <v>36</v>
      </c>
      <c r="F3251" t="s">
        <v>37</v>
      </c>
      <c r="G3251">
        <v>12716</v>
      </c>
      <c r="H3251" t="s">
        <v>9823</v>
      </c>
      <c r="I3251" t="s">
        <v>9824</v>
      </c>
      <c r="J3251" t="s">
        <v>161</v>
      </c>
      <c r="O3251" t="s">
        <v>9825</v>
      </c>
      <c r="P3251">
        <v>1285</v>
      </c>
      <c r="Q3251">
        <v>1285.5999999999999</v>
      </c>
      <c r="R3251">
        <v>1243.8</v>
      </c>
      <c r="S3251">
        <v>1256.5</v>
      </c>
      <c r="T3251">
        <v>1264</v>
      </c>
      <c r="U3251">
        <v>1279.2</v>
      </c>
      <c r="W3251">
        <v>1256.43</v>
      </c>
      <c r="Z3251">
        <v>14408</v>
      </c>
      <c r="AA3251">
        <v>18044594.699999999</v>
      </c>
      <c r="AB3251">
        <v>2804</v>
      </c>
      <c r="AC3251" t="s">
        <v>42</v>
      </c>
      <c r="AD3251">
        <v>1</v>
      </c>
    </row>
    <row r="3252" spans="1:30">
      <c r="A3252" t="str">
        <f>CONCATENATE(I3252,J3252)</f>
        <v>TPHQBE</v>
      </c>
      <c r="B3252" s="34">
        <v>46273</v>
      </c>
      <c r="C3252" s="34">
        <v>46273</v>
      </c>
      <c r="D3252" t="s">
        <v>35</v>
      </c>
      <c r="E3252" t="s">
        <v>36</v>
      </c>
      <c r="F3252" t="s">
        <v>37</v>
      </c>
      <c r="G3252">
        <v>17000</v>
      </c>
      <c r="H3252" t="s">
        <v>9826</v>
      </c>
      <c r="I3252" t="s">
        <v>9827</v>
      </c>
      <c r="J3252" t="s">
        <v>183</v>
      </c>
      <c r="O3252" t="s">
        <v>9828</v>
      </c>
      <c r="P3252">
        <v>0.53</v>
      </c>
      <c r="Q3252">
        <v>0.54</v>
      </c>
      <c r="R3252">
        <v>0.51</v>
      </c>
      <c r="S3252">
        <v>0.51</v>
      </c>
      <c r="T3252">
        <v>0.52</v>
      </c>
      <c r="U3252">
        <v>0.53</v>
      </c>
      <c r="W3252">
        <v>0.51</v>
      </c>
      <c r="Z3252">
        <v>1238088</v>
      </c>
      <c r="AA3252">
        <v>642475.15</v>
      </c>
      <c r="AB3252">
        <v>397</v>
      </c>
      <c r="AC3252" t="s">
        <v>42</v>
      </c>
      <c r="AD3252">
        <v>1</v>
      </c>
    </row>
    <row r="3253" spans="1:30">
      <c r="A3253" t="str">
        <f>CONCATENATE(I3253,J3253)</f>
        <v>TEAMTECHST</v>
      </c>
      <c r="B3253" s="34">
        <v>46273</v>
      </c>
      <c r="C3253" s="34">
        <v>46273</v>
      </c>
      <c r="D3253" t="s">
        <v>35</v>
      </c>
      <c r="E3253" t="s">
        <v>36</v>
      </c>
      <c r="F3253" t="s">
        <v>37</v>
      </c>
      <c r="G3253">
        <v>763571</v>
      </c>
      <c r="H3253" t="s">
        <v>9829</v>
      </c>
      <c r="I3253" t="s">
        <v>9830</v>
      </c>
      <c r="J3253" t="s">
        <v>328</v>
      </c>
      <c r="O3253" t="s">
        <v>9831</v>
      </c>
      <c r="P3253">
        <v>134.1</v>
      </c>
      <c r="Q3253">
        <v>139.94999999999999</v>
      </c>
      <c r="R3253">
        <v>130.19999999999999</v>
      </c>
      <c r="S3253">
        <v>137.35</v>
      </c>
      <c r="T3253">
        <v>137.35</v>
      </c>
      <c r="U3253">
        <v>137.05000000000001</v>
      </c>
      <c r="W3253">
        <v>137.35</v>
      </c>
      <c r="Z3253">
        <v>76000</v>
      </c>
      <c r="AA3253">
        <v>10167800</v>
      </c>
      <c r="AB3253">
        <v>27</v>
      </c>
      <c r="AC3253" t="s">
        <v>42</v>
      </c>
      <c r="AD3253">
        <v>2000</v>
      </c>
    </row>
    <row r="3254" spans="1:30">
      <c r="A3254" t="str">
        <f>CONCATENATE(I3254,J3254)</f>
        <v>TECHMEQ</v>
      </c>
      <c r="B3254" s="34">
        <v>46273</v>
      </c>
      <c r="C3254" s="34">
        <v>46273</v>
      </c>
      <c r="D3254" t="s">
        <v>35</v>
      </c>
      <c r="E3254" t="s">
        <v>36</v>
      </c>
      <c r="F3254" t="s">
        <v>37</v>
      </c>
      <c r="G3254">
        <v>13538</v>
      </c>
      <c r="H3254" t="s">
        <v>9832</v>
      </c>
      <c r="I3254" t="s">
        <v>9833</v>
      </c>
      <c r="J3254" t="s">
        <v>161</v>
      </c>
      <c r="O3254" t="s">
        <v>9834</v>
      </c>
      <c r="P3254">
        <v>1556.1</v>
      </c>
      <c r="Q3254">
        <v>1569.9</v>
      </c>
      <c r="R3254">
        <v>1541.4</v>
      </c>
      <c r="S3254">
        <v>1559</v>
      </c>
      <c r="T3254">
        <v>1559</v>
      </c>
      <c r="U3254">
        <v>1564</v>
      </c>
      <c r="W3254">
        <v>1559</v>
      </c>
      <c r="Z3254">
        <v>1575629</v>
      </c>
      <c r="AA3254">
        <v>2447737503.0999999</v>
      </c>
      <c r="AB3254">
        <v>68913</v>
      </c>
      <c r="AC3254" t="s">
        <v>42</v>
      </c>
      <c r="AD3254">
        <v>1</v>
      </c>
    </row>
    <row r="3255" spans="1:30">
      <c r="A3255" t="str">
        <f>CONCATENATE(I3255,J3255)</f>
        <v>TECHDSM</v>
      </c>
      <c r="B3255" s="34">
        <v>46273</v>
      </c>
      <c r="C3255" s="34">
        <v>46273</v>
      </c>
      <c r="D3255" t="s">
        <v>35</v>
      </c>
      <c r="E3255" t="s">
        <v>36</v>
      </c>
      <c r="F3255" t="s">
        <v>37</v>
      </c>
      <c r="G3255">
        <v>759138</v>
      </c>
      <c r="H3255" t="s">
        <v>9835</v>
      </c>
      <c r="I3255" t="s">
        <v>9836</v>
      </c>
      <c r="J3255" t="s">
        <v>267</v>
      </c>
      <c r="O3255" t="s">
        <v>9837</v>
      </c>
      <c r="P3255">
        <v>523</v>
      </c>
      <c r="Q3255">
        <v>525</v>
      </c>
      <c r="R3255">
        <v>499</v>
      </c>
      <c r="S3255">
        <v>517.29999999999995</v>
      </c>
      <c r="T3255">
        <v>516</v>
      </c>
      <c r="U3255">
        <v>523.15</v>
      </c>
      <c r="W3255">
        <v>517.29999999999995</v>
      </c>
      <c r="Z3255">
        <v>30600</v>
      </c>
      <c r="AA3255">
        <v>15564420</v>
      </c>
      <c r="AB3255">
        <v>70</v>
      </c>
      <c r="AC3255" t="s">
        <v>42</v>
      </c>
      <c r="AD3255">
        <v>300</v>
      </c>
    </row>
    <row r="3256" spans="1:30">
      <c r="A3256" t="str">
        <f>CONCATENATE(I3256,J3256)</f>
        <v>TECHERASM</v>
      </c>
      <c r="B3256" s="34">
        <v>46273</v>
      </c>
      <c r="C3256" s="34">
        <v>46273</v>
      </c>
      <c r="D3256" t="s">
        <v>35</v>
      </c>
      <c r="E3256" t="s">
        <v>36</v>
      </c>
      <c r="F3256" t="s">
        <v>37</v>
      </c>
      <c r="G3256">
        <v>25652</v>
      </c>
      <c r="H3256" t="s">
        <v>9838</v>
      </c>
      <c r="I3256" t="s">
        <v>9839</v>
      </c>
      <c r="J3256" t="s">
        <v>267</v>
      </c>
      <c r="O3256" t="s">
        <v>9840</v>
      </c>
      <c r="P3256">
        <v>160</v>
      </c>
      <c r="Q3256">
        <v>161.44999999999999</v>
      </c>
      <c r="R3256">
        <v>154.6</v>
      </c>
      <c r="S3256">
        <v>154.69999999999999</v>
      </c>
      <c r="T3256">
        <v>154.69999999999999</v>
      </c>
      <c r="U3256">
        <v>158.75</v>
      </c>
      <c r="W3256">
        <v>154.69999999999999</v>
      </c>
      <c r="Z3256">
        <v>36000</v>
      </c>
      <c r="AA3256">
        <v>5686600</v>
      </c>
      <c r="AB3256">
        <v>45</v>
      </c>
      <c r="AC3256" t="s">
        <v>42</v>
      </c>
      <c r="AD3256">
        <v>800</v>
      </c>
    </row>
    <row r="3257" spans="1:30">
      <c r="A3257" t="str">
        <f>CONCATENATE(I3257,J3257)</f>
        <v>TECHNOEEQ</v>
      </c>
      <c r="B3257" s="34">
        <v>46273</v>
      </c>
      <c r="C3257" s="34">
        <v>46273</v>
      </c>
      <c r="D3257" t="s">
        <v>35</v>
      </c>
      <c r="E3257" t="s">
        <v>36</v>
      </c>
      <c r="F3257" t="s">
        <v>37</v>
      </c>
      <c r="G3257">
        <v>6445</v>
      </c>
      <c r="H3257" t="s">
        <v>9841</v>
      </c>
      <c r="I3257" t="s">
        <v>9842</v>
      </c>
      <c r="J3257" t="s">
        <v>161</v>
      </c>
      <c r="O3257" t="s">
        <v>9843</v>
      </c>
      <c r="P3257">
        <v>962.5</v>
      </c>
      <c r="Q3257">
        <v>970</v>
      </c>
      <c r="R3257">
        <v>960.55</v>
      </c>
      <c r="S3257">
        <v>964.7</v>
      </c>
      <c r="T3257">
        <v>968.25</v>
      </c>
      <c r="U3257">
        <v>962.5</v>
      </c>
      <c r="W3257">
        <v>964.68</v>
      </c>
      <c r="Z3257">
        <v>80436</v>
      </c>
      <c r="AA3257">
        <v>77654993.400000006</v>
      </c>
      <c r="AB3257">
        <v>6902</v>
      </c>
      <c r="AC3257" t="s">
        <v>42</v>
      </c>
      <c r="AD3257">
        <v>1</v>
      </c>
    </row>
    <row r="3258" spans="1:30">
      <c r="A3258" t="str">
        <f>CONCATENATE(I3258,J3258)</f>
        <v>TIILEQ</v>
      </c>
      <c r="B3258" s="34">
        <v>46273</v>
      </c>
      <c r="C3258" s="34">
        <v>46273</v>
      </c>
      <c r="D3258" t="s">
        <v>35</v>
      </c>
      <c r="E3258" t="s">
        <v>36</v>
      </c>
      <c r="F3258" t="s">
        <v>37</v>
      </c>
      <c r="G3258">
        <v>14223</v>
      </c>
      <c r="H3258" t="s">
        <v>9844</v>
      </c>
      <c r="I3258" t="s">
        <v>9845</v>
      </c>
      <c r="J3258" t="s">
        <v>161</v>
      </c>
      <c r="O3258" t="s">
        <v>9846</v>
      </c>
      <c r="P3258">
        <v>3198</v>
      </c>
      <c r="Q3258">
        <v>3239</v>
      </c>
      <c r="R3258">
        <v>3109</v>
      </c>
      <c r="S3258">
        <v>3141</v>
      </c>
      <c r="T3258">
        <v>3150</v>
      </c>
      <c r="U3258">
        <v>3166.4</v>
      </c>
      <c r="W3258">
        <v>3141.18</v>
      </c>
      <c r="Z3258">
        <v>27206</v>
      </c>
      <c r="AA3258">
        <v>86380714.799999997</v>
      </c>
      <c r="AB3258">
        <v>4773</v>
      </c>
      <c r="AC3258" t="s">
        <v>42</v>
      </c>
      <c r="AD3258">
        <v>1</v>
      </c>
    </row>
    <row r="3259" spans="1:30">
      <c r="A3259" t="str">
        <f>CONCATENATE(I3259,J3259)</f>
        <v>TECHNOCRAFEQ</v>
      </c>
      <c r="B3259" s="34">
        <v>46273</v>
      </c>
      <c r="C3259" s="34">
        <v>46273</v>
      </c>
      <c r="D3259" t="s">
        <v>35</v>
      </c>
      <c r="E3259" t="s">
        <v>36</v>
      </c>
      <c r="F3259" t="s">
        <v>37</v>
      </c>
      <c r="G3259">
        <v>764532</v>
      </c>
      <c r="H3259" t="s">
        <v>9847</v>
      </c>
      <c r="I3259" t="s">
        <v>9848</v>
      </c>
      <c r="J3259" t="s">
        <v>161</v>
      </c>
      <c r="O3259" t="s">
        <v>9849</v>
      </c>
      <c r="P3259">
        <v>393.25</v>
      </c>
      <c r="Q3259">
        <v>406.95</v>
      </c>
      <c r="R3259">
        <v>389.1</v>
      </c>
      <c r="S3259">
        <v>403.85</v>
      </c>
      <c r="T3259">
        <v>404.85</v>
      </c>
      <c r="U3259">
        <v>388.95</v>
      </c>
      <c r="W3259">
        <v>403.88</v>
      </c>
      <c r="Z3259">
        <v>1678026</v>
      </c>
      <c r="AA3259">
        <v>670293872.45000005</v>
      </c>
      <c r="AB3259">
        <v>30265</v>
      </c>
      <c r="AC3259" t="s">
        <v>42</v>
      </c>
      <c r="AD3259">
        <v>1</v>
      </c>
    </row>
    <row r="3260" spans="1:30">
      <c r="A3260" t="str">
        <f>CONCATENATE(I3260,J3260)</f>
        <v>TECHNVISNEQ</v>
      </c>
      <c r="B3260" s="34">
        <v>46273</v>
      </c>
      <c r="C3260" s="34">
        <v>46273</v>
      </c>
      <c r="D3260" t="s">
        <v>35</v>
      </c>
      <c r="E3260" t="s">
        <v>36</v>
      </c>
      <c r="F3260" t="s">
        <v>37</v>
      </c>
      <c r="G3260">
        <v>762939</v>
      </c>
      <c r="H3260" t="s">
        <v>9850</v>
      </c>
      <c r="I3260" t="s">
        <v>9851</v>
      </c>
      <c r="J3260" t="s">
        <v>161</v>
      </c>
      <c r="O3260" t="s">
        <v>9852</v>
      </c>
      <c r="P3260">
        <v>4770.5</v>
      </c>
      <c r="Q3260">
        <v>4956</v>
      </c>
      <c r="R3260">
        <v>4680</v>
      </c>
      <c r="S3260">
        <v>4797.5</v>
      </c>
      <c r="T3260">
        <v>4956</v>
      </c>
      <c r="U3260">
        <v>4792.5</v>
      </c>
      <c r="W3260">
        <v>4817.59</v>
      </c>
      <c r="Z3260">
        <v>314</v>
      </c>
      <c r="AA3260">
        <v>1499667</v>
      </c>
      <c r="AB3260">
        <v>148</v>
      </c>
      <c r="AC3260" t="s">
        <v>42</v>
      </c>
      <c r="AD3260">
        <v>1</v>
      </c>
    </row>
    <row r="3261" spans="1:30">
      <c r="A3261" t="str">
        <f>CONCATENATE(I3261,J3261)</f>
        <v>TECILCHEMEQ</v>
      </c>
      <c r="B3261" s="34">
        <v>46273</v>
      </c>
      <c r="C3261" s="34">
        <v>46273</v>
      </c>
      <c r="D3261" t="s">
        <v>35</v>
      </c>
      <c r="E3261" t="s">
        <v>36</v>
      </c>
      <c r="F3261" t="s">
        <v>37</v>
      </c>
      <c r="G3261">
        <v>3453</v>
      </c>
      <c r="H3261" t="s">
        <v>9853</v>
      </c>
      <c r="I3261" t="s">
        <v>9854</v>
      </c>
      <c r="J3261" t="s">
        <v>161</v>
      </c>
      <c r="O3261" t="s">
        <v>9855</v>
      </c>
      <c r="P3261">
        <v>9.5399999999999991</v>
      </c>
      <c r="Q3261">
        <v>9.6999999999999993</v>
      </c>
      <c r="R3261">
        <v>9.2100000000000009</v>
      </c>
      <c r="S3261">
        <v>9.26</v>
      </c>
      <c r="T3261">
        <v>9.26</v>
      </c>
      <c r="U3261">
        <v>9.5</v>
      </c>
      <c r="W3261">
        <v>9.26</v>
      </c>
      <c r="Z3261">
        <v>9254</v>
      </c>
      <c r="AA3261">
        <v>86106.11</v>
      </c>
      <c r="AB3261">
        <v>61</v>
      </c>
      <c r="AC3261" t="s">
        <v>42</v>
      </c>
      <c r="AD3261">
        <v>1</v>
      </c>
    </row>
    <row r="3262" spans="1:30">
      <c r="A3262" t="str">
        <f>CONCATENATE(I3262,J3262)</f>
        <v>TGLST</v>
      </c>
      <c r="B3262" s="34">
        <v>46273</v>
      </c>
      <c r="C3262" s="34">
        <v>46273</v>
      </c>
      <c r="D3262" t="s">
        <v>35</v>
      </c>
      <c r="E3262" t="s">
        <v>36</v>
      </c>
      <c r="F3262" t="s">
        <v>37</v>
      </c>
      <c r="G3262">
        <v>23530</v>
      </c>
      <c r="H3262" t="s">
        <v>9856</v>
      </c>
      <c r="I3262" t="s">
        <v>9857</v>
      </c>
      <c r="J3262" t="s">
        <v>328</v>
      </c>
      <c r="O3262" t="s">
        <v>9858</v>
      </c>
      <c r="P3262">
        <v>17.350000000000001</v>
      </c>
      <c r="Q3262">
        <v>17.350000000000001</v>
      </c>
      <c r="R3262">
        <v>17.350000000000001</v>
      </c>
      <c r="S3262">
        <v>17.350000000000001</v>
      </c>
      <c r="T3262">
        <v>17.350000000000001</v>
      </c>
      <c r="U3262">
        <v>17.7</v>
      </c>
      <c r="W3262">
        <v>17.350000000000001</v>
      </c>
      <c r="Z3262">
        <v>600</v>
      </c>
      <c r="AA3262">
        <v>10410</v>
      </c>
      <c r="AB3262">
        <v>3</v>
      </c>
      <c r="AC3262" t="s">
        <v>42</v>
      </c>
      <c r="AD3262">
        <v>200</v>
      </c>
    </row>
    <row r="3263" spans="1:30">
      <c r="A3263" t="str">
        <f>CONCATENATE(I3263,J3263)</f>
        <v>TEGAEQ</v>
      </c>
      <c r="B3263" s="34">
        <v>46273</v>
      </c>
      <c r="C3263" s="34">
        <v>46273</v>
      </c>
      <c r="D3263" t="s">
        <v>35</v>
      </c>
      <c r="E3263" t="s">
        <v>36</v>
      </c>
      <c r="F3263" t="s">
        <v>37</v>
      </c>
      <c r="G3263">
        <v>7105</v>
      </c>
      <c r="H3263" t="s">
        <v>9859</v>
      </c>
      <c r="I3263" t="s">
        <v>9860</v>
      </c>
      <c r="J3263" t="s">
        <v>161</v>
      </c>
      <c r="O3263" t="s">
        <v>9861</v>
      </c>
      <c r="P3263">
        <v>1613</v>
      </c>
      <c r="Q3263">
        <v>1695</v>
      </c>
      <c r="R3263">
        <v>1593</v>
      </c>
      <c r="S3263">
        <v>1632.4</v>
      </c>
      <c r="T3263">
        <v>1631</v>
      </c>
      <c r="U3263">
        <v>1603.5</v>
      </c>
      <c r="W3263">
        <v>1632.5</v>
      </c>
      <c r="Z3263">
        <v>535802</v>
      </c>
      <c r="AA3263">
        <v>884828953.10000002</v>
      </c>
      <c r="AB3263">
        <v>31236</v>
      </c>
      <c r="AC3263" t="s">
        <v>42</v>
      </c>
      <c r="AD3263">
        <v>1</v>
      </c>
    </row>
    <row r="3264" spans="1:30">
      <c r="A3264" t="str">
        <f>CONCATENATE(I3264,J3264)</f>
        <v>TEJASM</v>
      </c>
      <c r="B3264" s="34">
        <v>46273</v>
      </c>
      <c r="C3264" s="34">
        <v>46273</v>
      </c>
      <c r="D3264" t="s">
        <v>35</v>
      </c>
      <c r="E3264" t="s">
        <v>36</v>
      </c>
      <c r="F3264" t="s">
        <v>37</v>
      </c>
      <c r="G3264">
        <v>763825</v>
      </c>
      <c r="H3264" t="s">
        <v>9862</v>
      </c>
      <c r="I3264" t="s">
        <v>9863</v>
      </c>
      <c r="J3264" t="s">
        <v>267</v>
      </c>
      <c r="O3264" t="s">
        <v>9864</v>
      </c>
      <c r="P3264">
        <v>240.5</v>
      </c>
      <c r="Q3264">
        <v>247.85</v>
      </c>
      <c r="R3264">
        <v>237</v>
      </c>
      <c r="S3264">
        <v>238.65</v>
      </c>
      <c r="T3264">
        <v>237</v>
      </c>
      <c r="U3264">
        <v>240.9</v>
      </c>
      <c r="W3264">
        <v>238.65</v>
      </c>
      <c r="Z3264">
        <v>54600</v>
      </c>
      <c r="AA3264">
        <v>13200600</v>
      </c>
      <c r="AB3264">
        <v>60</v>
      </c>
      <c r="AC3264" t="s">
        <v>42</v>
      </c>
      <c r="AD3264">
        <v>600</v>
      </c>
    </row>
    <row r="3265" spans="1:30">
      <c r="A3265" t="str">
        <f>CONCATENATE(I3265,J3265)</f>
        <v>TEJASCARGOSM</v>
      </c>
      <c r="B3265" s="34">
        <v>46273</v>
      </c>
      <c r="C3265" s="34">
        <v>46273</v>
      </c>
      <c r="D3265" t="s">
        <v>35</v>
      </c>
      <c r="E3265" t="s">
        <v>36</v>
      </c>
      <c r="F3265" t="s">
        <v>37</v>
      </c>
      <c r="G3265">
        <v>29723</v>
      </c>
      <c r="H3265" t="s">
        <v>9865</v>
      </c>
      <c r="I3265" t="s">
        <v>9866</v>
      </c>
      <c r="J3265" t="s">
        <v>267</v>
      </c>
      <c r="O3265" t="s">
        <v>9867</v>
      </c>
      <c r="P3265">
        <v>385.05</v>
      </c>
      <c r="Q3265">
        <v>392.05</v>
      </c>
      <c r="R3265">
        <v>385.05</v>
      </c>
      <c r="S3265">
        <v>392</v>
      </c>
      <c r="T3265">
        <v>392</v>
      </c>
      <c r="U3265">
        <v>405</v>
      </c>
      <c r="W3265">
        <v>392</v>
      </c>
      <c r="Z3265">
        <v>1200</v>
      </c>
      <c r="AA3265">
        <v>467640</v>
      </c>
      <c r="AB3265">
        <v>3</v>
      </c>
      <c r="AC3265" t="s">
        <v>42</v>
      </c>
      <c r="AD3265">
        <v>400</v>
      </c>
    </row>
    <row r="3266" spans="1:30">
      <c r="A3266" t="str">
        <f>CONCATENATE(I3266,J3266)</f>
        <v>TEJASNETEQ</v>
      </c>
      <c r="B3266" s="34">
        <v>46273</v>
      </c>
      <c r="C3266" s="34">
        <v>46273</v>
      </c>
      <c r="D3266" t="s">
        <v>35</v>
      </c>
      <c r="E3266" t="s">
        <v>36</v>
      </c>
      <c r="F3266" t="s">
        <v>37</v>
      </c>
      <c r="G3266">
        <v>21131</v>
      </c>
      <c r="H3266" t="s">
        <v>9868</v>
      </c>
      <c r="I3266" t="s">
        <v>9869</v>
      </c>
      <c r="J3266" t="s">
        <v>161</v>
      </c>
      <c r="O3266" t="s">
        <v>9870</v>
      </c>
      <c r="P3266">
        <v>595.70000000000005</v>
      </c>
      <c r="Q3266">
        <v>604.95000000000005</v>
      </c>
      <c r="R3266">
        <v>583.4</v>
      </c>
      <c r="S3266">
        <v>590.04999999999995</v>
      </c>
      <c r="T3266">
        <v>591</v>
      </c>
      <c r="U3266">
        <v>593.6</v>
      </c>
      <c r="W3266">
        <v>590.05999999999995</v>
      </c>
      <c r="Z3266">
        <v>2903328</v>
      </c>
      <c r="AA3266">
        <v>1717228296.75</v>
      </c>
      <c r="AB3266">
        <v>51905</v>
      </c>
      <c r="AC3266" t="s">
        <v>42</v>
      </c>
      <c r="AD3266">
        <v>1</v>
      </c>
    </row>
    <row r="3267" spans="1:30">
      <c r="A3267" t="str">
        <f>CONCATENATE(I3267,J3267)</f>
        <v>TEMBOEQ</v>
      </c>
      <c r="B3267" s="34">
        <v>46273</v>
      </c>
      <c r="C3267" s="34">
        <v>46273</v>
      </c>
      <c r="D3267" t="s">
        <v>35</v>
      </c>
      <c r="E3267" t="s">
        <v>36</v>
      </c>
      <c r="F3267" t="s">
        <v>37</v>
      </c>
      <c r="G3267">
        <v>3275</v>
      </c>
      <c r="H3267" t="s">
        <v>9871</v>
      </c>
      <c r="I3267" t="s">
        <v>9872</v>
      </c>
      <c r="J3267" t="s">
        <v>161</v>
      </c>
      <c r="O3267" t="s">
        <v>9873</v>
      </c>
      <c r="P3267">
        <v>59.4</v>
      </c>
      <c r="Q3267">
        <v>59.62</v>
      </c>
      <c r="R3267">
        <v>58</v>
      </c>
      <c r="S3267">
        <v>58.17</v>
      </c>
      <c r="T3267">
        <v>58</v>
      </c>
      <c r="U3267">
        <v>58.43</v>
      </c>
      <c r="W3267">
        <v>58.17</v>
      </c>
      <c r="Z3267">
        <v>869954</v>
      </c>
      <c r="AA3267">
        <v>51088722.859999999</v>
      </c>
      <c r="AB3267">
        <v>4802</v>
      </c>
      <c r="AC3267" t="s">
        <v>42</v>
      </c>
      <c r="AD3267">
        <v>1</v>
      </c>
    </row>
    <row r="3268" spans="1:30">
      <c r="A3268" t="str">
        <f>CONCATENATE(I3268,J3268)</f>
        <v>TEMPSENSEQ</v>
      </c>
      <c r="B3268" s="34">
        <v>46273</v>
      </c>
      <c r="C3268" s="34">
        <v>46273</v>
      </c>
      <c r="D3268" t="s">
        <v>35</v>
      </c>
      <c r="E3268" t="s">
        <v>36</v>
      </c>
      <c r="F3268" t="s">
        <v>37</v>
      </c>
      <c r="G3268">
        <v>765426</v>
      </c>
      <c r="H3268" t="s">
        <v>9874</v>
      </c>
      <c r="I3268" t="s">
        <v>9875</v>
      </c>
      <c r="J3268" t="s">
        <v>161</v>
      </c>
      <c r="O3268" t="s">
        <v>9876</v>
      </c>
      <c r="P3268">
        <v>546</v>
      </c>
      <c r="Q3268">
        <v>573.75</v>
      </c>
      <c r="R3268">
        <v>537.35</v>
      </c>
      <c r="S3268">
        <v>571.35</v>
      </c>
      <c r="T3268">
        <v>572.5</v>
      </c>
      <c r="U3268">
        <v>546.20000000000005</v>
      </c>
      <c r="W3268">
        <v>571.35</v>
      </c>
      <c r="Z3268">
        <v>4308131</v>
      </c>
      <c r="AA3268">
        <v>2413652107.5</v>
      </c>
      <c r="AB3268">
        <v>77219</v>
      </c>
      <c r="AC3268" t="s">
        <v>42</v>
      </c>
      <c r="AD3268">
        <v>1</v>
      </c>
    </row>
    <row r="3269" spans="1:30">
      <c r="A3269" t="str">
        <f>CONCATENATE(I3269,J3269)</f>
        <v>TENNINDEQ</v>
      </c>
      <c r="B3269" s="34">
        <v>46273</v>
      </c>
      <c r="C3269" s="34">
        <v>46273</v>
      </c>
      <c r="D3269" t="s">
        <v>35</v>
      </c>
      <c r="E3269" t="s">
        <v>36</v>
      </c>
      <c r="F3269" t="s">
        <v>37</v>
      </c>
      <c r="G3269">
        <v>759880</v>
      </c>
      <c r="H3269" t="s">
        <v>9877</v>
      </c>
      <c r="I3269" t="s">
        <v>9878</v>
      </c>
      <c r="J3269" t="s">
        <v>161</v>
      </c>
      <c r="O3269" t="s">
        <v>9879</v>
      </c>
      <c r="P3269">
        <v>517</v>
      </c>
      <c r="Q3269">
        <v>530</v>
      </c>
      <c r="R3269">
        <v>515.04999999999995</v>
      </c>
      <c r="S3269">
        <v>525.70000000000005</v>
      </c>
      <c r="T3269">
        <v>525.35</v>
      </c>
      <c r="U3269">
        <v>515.45000000000005</v>
      </c>
      <c r="W3269">
        <v>525.70000000000005</v>
      </c>
      <c r="Z3269">
        <v>622292</v>
      </c>
      <c r="AA3269">
        <v>326179411.69999999</v>
      </c>
      <c r="AB3269">
        <v>28838</v>
      </c>
      <c r="AC3269" t="s">
        <v>42</v>
      </c>
      <c r="AD3269">
        <v>1</v>
      </c>
    </row>
    <row r="3270" spans="1:30">
      <c r="A3270" t="str">
        <f>CONCATENATE(I3270,J3270)</f>
        <v>TERASOFTEQ</v>
      </c>
      <c r="B3270" s="34">
        <v>46273</v>
      </c>
      <c r="C3270" s="34">
        <v>46273</v>
      </c>
      <c r="D3270" t="s">
        <v>35</v>
      </c>
      <c r="E3270" t="s">
        <v>36</v>
      </c>
      <c r="F3270" t="s">
        <v>37</v>
      </c>
      <c r="G3270">
        <v>19292</v>
      </c>
      <c r="H3270" t="s">
        <v>9880</v>
      </c>
      <c r="I3270" t="s">
        <v>9881</v>
      </c>
      <c r="J3270" t="s">
        <v>161</v>
      </c>
      <c r="O3270" t="s">
        <v>9882</v>
      </c>
      <c r="P3270">
        <v>273.25</v>
      </c>
      <c r="Q3270">
        <v>280.05</v>
      </c>
      <c r="R3270">
        <v>270.39999999999998</v>
      </c>
      <c r="S3270">
        <v>272.35000000000002</v>
      </c>
      <c r="T3270">
        <v>271.5</v>
      </c>
      <c r="U3270">
        <v>273.25</v>
      </c>
      <c r="W3270">
        <v>272.39</v>
      </c>
      <c r="Z3270">
        <v>13276</v>
      </c>
      <c r="AA3270">
        <v>3647202</v>
      </c>
      <c r="AB3270">
        <v>632</v>
      </c>
      <c r="AC3270" t="s">
        <v>42</v>
      </c>
      <c r="AD3270">
        <v>1</v>
      </c>
    </row>
    <row r="3271" spans="1:30">
      <c r="A3271" t="str">
        <f>CONCATENATE(I3271,J3271)</f>
        <v>TERAIEQ</v>
      </c>
      <c r="B3271" s="34">
        <v>46273</v>
      </c>
      <c r="C3271" s="34">
        <v>46273</v>
      </c>
      <c r="D3271" t="s">
        <v>35</v>
      </c>
      <c r="E3271" t="s">
        <v>36</v>
      </c>
      <c r="F3271" t="s">
        <v>37</v>
      </c>
      <c r="G3271">
        <v>764950</v>
      </c>
      <c r="H3271" t="s">
        <v>9883</v>
      </c>
      <c r="I3271" t="s">
        <v>9884</v>
      </c>
      <c r="J3271" t="s">
        <v>161</v>
      </c>
      <c r="O3271" t="s">
        <v>9885</v>
      </c>
      <c r="P3271">
        <v>130</v>
      </c>
      <c r="Q3271">
        <v>130</v>
      </c>
      <c r="R3271">
        <v>130</v>
      </c>
      <c r="S3271">
        <v>130</v>
      </c>
      <c r="T3271">
        <v>130</v>
      </c>
      <c r="U3271">
        <v>130.69999999999999</v>
      </c>
      <c r="W3271">
        <v>130</v>
      </c>
      <c r="Z3271">
        <v>1</v>
      </c>
      <c r="AA3271">
        <v>130</v>
      </c>
      <c r="AB3271">
        <v>1</v>
      </c>
      <c r="AC3271" t="s">
        <v>42</v>
      </c>
      <c r="AD3271">
        <v>1</v>
      </c>
    </row>
    <row r="3272" spans="1:30">
      <c r="A3272" t="str">
        <f>CONCATENATE(I3272,J3272)</f>
        <v>TEXINFRAEQ</v>
      </c>
      <c r="B3272" s="34">
        <v>46273</v>
      </c>
      <c r="C3272" s="34">
        <v>46273</v>
      </c>
      <c r="D3272" t="s">
        <v>35</v>
      </c>
      <c r="E3272" t="s">
        <v>36</v>
      </c>
      <c r="F3272" t="s">
        <v>37</v>
      </c>
      <c r="G3272">
        <v>11549</v>
      </c>
      <c r="H3272" t="s">
        <v>9886</v>
      </c>
      <c r="I3272" t="s">
        <v>9887</v>
      </c>
      <c r="J3272" t="s">
        <v>161</v>
      </c>
      <c r="O3272" t="s">
        <v>9888</v>
      </c>
      <c r="P3272">
        <v>121</v>
      </c>
      <c r="Q3272">
        <v>121.3</v>
      </c>
      <c r="R3272">
        <v>117.5</v>
      </c>
      <c r="S3272">
        <v>120.03</v>
      </c>
      <c r="T3272">
        <v>120.01</v>
      </c>
      <c r="U3272">
        <v>119.26</v>
      </c>
      <c r="W3272">
        <v>120.04</v>
      </c>
      <c r="Z3272">
        <v>1152328</v>
      </c>
      <c r="AA3272">
        <v>138107961.11000001</v>
      </c>
      <c r="AB3272">
        <v>3448</v>
      </c>
      <c r="AC3272" t="s">
        <v>42</v>
      </c>
      <c r="AD3272">
        <v>1</v>
      </c>
    </row>
    <row r="3273" spans="1:30">
      <c r="A3273" t="str">
        <f>CONCATENATE(I3273,J3273)</f>
        <v>TEXRAILEQ</v>
      </c>
      <c r="B3273" s="34">
        <v>46273</v>
      </c>
      <c r="C3273" s="34">
        <v>46273</v>
      </c>
      <c r="D3273" t="s">
        <v>35</v>
      </c>
      <c r="E3273" t="s">
        <v>36</v>
      </c>
      <c r="F3273" t="s">
        <v>37</v>
      </c>
      <c r="G3273">
        <v>21828</v>
      </c>
      <c r="H3273" t="s">
        <v>9889</v>
      </c>
      <c r="I3273" t="s">
        <v>9890</v>
      </c>
      <c r="J3273" t="s">
        <v>161</v>
      </c>
      <c r="O3273" t="s">
        <v>9891</v>
      </c>
      <c r="P3273">
        <v>119.88</v>
      </c>
      <c r="Q3273">
        <v>121.87</v>
      </c>
      <c r="R3273">
        <v>117.71</v>
      </c>
      <c r="S3273">
        <v>118.26</v>
      </c>
      <c r="T3273">
        <v>118.6</v>
      </c>
      <c r="U3273">
        <v>119.46</v>
      </c>
      <c r="W3273">
        <v>118.26</v>
      </c>
      <c r="Z3273">
        <v>1773204</v>
      </c>
      <c r="AA3273">
        <v>211012728.93000001</v>
      </c>
      <c r="AB3273">
        <v>15183</v>
      </c>
      <c r="AC3273" t="s">
        <v>42</v>
      </c>
      <c r="AD3273">
        <v>1</v>
      </c>
    </row>
    <row r="3274" spans="1:30">
      <c r="A3274" t="str">
        <f>CONCATENATE(I3274,J3274)</f>
        <v>TEXMOPIPESEQ</v>
      </c>
      <c r="B3274" s="34">
        <v>46273</v>
      </c>
      <c r="C3274" s="34">
        <v>46273</v>
      </c>
      <c r="D3274" t="s">
        <v>35</v>
      </c>
      <c r="E3274" t="s">
        <v>36</v>
      </c>
      <c r="F3274" t="s">
        <v>37</v>
      </c>
      <c r="G3274">
        <v>18214</v>
      </c>
      <c r="H3274" t="s">
        <v>9892</v>
      </c>
      <c r="I3274" t="s">
        <v>9893</v>
      </c>
      <c r="J3274" t="s">
        <v>161</v>
      </c>
      <c r="O3274" t="s">
        <v>9894</v>
      </c>
      <c r="P3274">
        <v>54.95</v>
      </c>
      <c r="Q3274">
        <v>54.95</v>
      </c>
      <c r="R3274">
        <v>52.05</v>
      </c>
      <c r="S3274">
        <v>52.52</v>
      </c>
      <c r="T3274">
        <v>52.45</v>
      </c>
      <c r="U3274">
        <v>54.18</v>
      </c>
      <c r="W3274">
        <v>52.52</v>
      </c>
      <c r="Z3274">
        <v>469063</v>
      </c>
      <c r="AA3274">
        <v>24960129.829999998</v>
      </c>
      <c r="AB3274">
        <v>2814</v>
      </c>
      <c r="AC3274" t="s">
        <v>42</v>
      </c>
      <c r="AD3274">
        <v>1</v>
      </c>
    </row>
    <row r="3275" spans="1:30">
      <c r="A3275" t="str">
        <f>CONCATENATE(I3275,J3275)</f>
        <v>737NTPC35CNA</v>
      </c>
      <c r="B3275" s="34">
        <v>46273</v>
      </c>
      <c r="C3275" s="34">
        <v>46273</v>
      </c>
      <c r="D3275" t="s">
        <v>35</v>
      </c>
      <c r="E3275" t="s">
        <v>36</v>
      </c>
      <c r="F3275" t="s">
        <v>37</v>
      </c>
      <c r="G3275">
        <v>10744</v>
      </c>
      <c r="H3275" t="s">
        <v>9895</v>
      </c>
      <c r="I3275" t="s">
        <v>9896</v>
      </c>
      <c r="J3275" t="s">
        <v>1764</v>
      </c>
      <c r="O3275" t="s">
        <v>9897</v>
      </c>
      <c r="P3275">
        <v>1207</v>
      </c>
      <c r="Q3275">
        <v>1207</v>
      </c>
      <c r="R3275">
        <v>1207</v>
      </c>
      <c r="S3275">
        <v>1207</v>
      </c>
      <c r="T3275">
        <v>1207</v>
      </c>
      <c r="U3275">
        <v>1378</v>
      </c>
      <c r="W3275">
        <v>1207</v>
      </c>
      <c r="Z3275">
        <v>35</v>
      </c>
      <c r="AA3275">
        <v>42245</v>
      </c>
      <c r="AB3275">
        <v>1</v>
      </c>
      <c r="AC3275" t="s">
        <v>42</v>
      </c>
      <c r="AD3275">
        <v>1</v>
      </c>
    </row>
    <row r="3276" spans="1:30">
      <c r="A3276" t="str">
        <f>CONCATENATE(I3276,J3276)</f>
        <v>762NTPC35FND</v>
      </c>
      <c r="B3276" s="34">
        <v>46273</v>
      </c>
      <c r="C3276" s="34">
        <v>46273</v>
      </c>
      <c r="D3276" t="s">
        <v>35</v>
      </c>
      <c r="E3276" t="s">
        <v>36</v>
      </c>
      <c r="F3276" t="s">
        <v>37</v>
      </c>
      <c r="G3276">
        <v>10751</v>
      </c>
      <c r="H3276" t="s">
        <v>9898</v>
      </c>
      <c r="I3276" t="s">
        <v>9899</v>
      </c>
      <c r="J3276" t="s">
        <v>8658</v>
      </c>
      <c r="O3276" t="s">
        <v>9900</v>
      </c>
      <c r="P3276">
        <v>1217</v>
      </c>
      <c r="Q3276">
        <v>1217</v>
      </c>
      <c r="R3276">
        <v>1217</v>
      </c>
      <c r="S3276">
        <v>1217</v>
      </c>
      <c r="T3276">
        <v>1217</v>
      </c>
      <c r="U3276">
        <v>1217</v>
      </c>
      <c r="W3276">
        <v>1217</v>
      </c>
      <c r="Z3276">
        <v>157</v>
      </c>
      <c r="AA3276">
        <v>191069</v>
      </c>
      <c r="AB3276">
        <v>16</v>
      </c>
      <c r="AC3276" t="s">
        <v>42</v>
      </c>
      <c r="AD3276">
        <v>1</v>
      </c>
    </row>
    <row r="3277" spans="1:30">
      <c r="A3277" t="str">
        <f>CONCATENATE(I3277,J3277)</f>
        <v>TGBHOTELSEQ</v>
      </c>
      <c r="B3277" s="34">
        <v>46273</v>
      </c>
      <c r="C3277" s="34">
        <v>46273</v>
      </c>
      <c r="D3277" t="s">
        <v>35</v>
      </c>
      <c r="E3277" t="s">
        <v>36</v>
      </c>
      <c r="F3277" t="s">
        <v>37</v>
      </c>
      <c r="G3277">
        <v>14607</v>
      </c>
      <c r="H3277" t="s">
        <v>9901</v>
      </c>
      <c r="I3277" t="s">
        <v>9902</v>
      </c>
      <c r="J3277" t="s">
        <v>161</v>
      </c>
      <c r="O3277" t="s">
        <v>9903</v>
      </c>
      <c r="P3277">
        <v>9.6</v>
      </c>
      <c r="Q3277">
        <v>9.7899999999999991</v>
      </c>
      <c r="R3277">
        <v>9.06</v>
      </c>
      <c r="S3277">
        <v>9.2100000000000009</v>
      </c>
      <c r="T3277">
        <v>9.4499999999999993</v>
      </c>
      <c r="U3277">
        <v>9.56</v>
      </c>
      <c r="W3277">
        <v>9.23</v>
      </c>
      <c r="Z3277">
        <v>24346</v>
      </c>
      <c r="AA3277">
        <v>228833.93</v>
      </c>
      <c r="AB3277">
        <v>219</v>
      </c>
      <c r="AC3277" t="s">
        <v>42</v>
      </c>
      <c r="AD3277">
        <v>1</v>
      </c>
    </row>
    <row r="3278" spans="1:30">
      <c r="A3278" t="str">
        <f>CONCATENATE(I3278,J3278)</f>
        <v>TCLSM</v>
      </c>
      <c r="B3278" s="34">
        <v>46273</v>
      </c>
      <c r="C3278" s="34">
        <v>46273</v>
      </c>
      <c r="D3278" t="s">
        <v>35</v>
      </c>
      <c r="E3278" t="s">
        <v>36</v>
      </c>
      <c r="F3278" t="s">
        <v>37</v>
      </c>
      <c r="G3278">
        <v>22777</v>
      </c>
      <c r="H3278" t="s">
        <v>9904</v>
      </c>
      <c r="I3278" t="s">
        <v>9905</v>
      </c>
      <c r="J3278" t="s">
        <v>267</v>
      </c>
      <c r="O3278" t="s">
        <v>9906</v>
      </c>
      <c r="P3278">
        <v>113.05</v>
      </c>
      <c r="Q3278">
        <v>114.3</v>
      </c>
      <c r="R3278">
        <v>98</v>
      </c>
      <c r="S3278">
        <v>111.3</v>
      </c>
      <c r="T3278">
        <v>111</v>
      </c>
      <c r="U3278">
        <v>113.05</v>
      </c>
      <c r="W3278">
        <v>111.3</v>
      </c>
      <c r="Z3278">
        <v>313600</v>
      </c>
      <c r="AA3278">
        <v>33189000</v>
      </c>
      <c r="AB3278">
        <v>352</v>
      </c>
      <c r="AC3278" t="s">
        <v>42</v>
      </c>
      <c r="AD3278">
        <v>800</v>
      </c>
    </row>
    <row r="3279" spans="1:30">
      <c r="A3279" t="str">
        <f>CONCATENATE(I3279,J3279)</f>
        <v>THACKEREQ</v>
      </c>
      <c r="B3279" s="34">
        <v>46273</v>
      </c>
      <c r="C3279" s="34">
        <v>46273</v>
      </c>
      <c r="D3279" t="s">
        <v>35</v>
      </c>
      <c r="E3279" t="s">
        <v>36</v>
      </c>
      <c r="F3279" t="s">
        <v>37</v>
      </c>
      <c r="G3279">
        <v>762944</v>
      </c>
      <c r="H3279" t="s">
        <v>9907</v>
      </c>
      <c r="I3279" t="s">
        <v>9908</v>
      </c>
      <c r="J3279" t="s">
        <v>161</v>
      </c>
      <c r="O3279" t="s">
        <v>9909</v>
      </c>
      <c r="P3279">
        <v>1017</v>
      </c>
      <c r="Q3279">
        <v>1017</v>
      </c>
      <c r="R3279">
        <v>1017</v>
      </c>
      <c r="S3279">
        <v>1017</v>
      </c>
      <c r="T3279">
        <v>1017</v>
      </c>
      <c r="U3279">
        <v>1016</v>
      </c>
      <c r="W3279">
        <v>1017</v>
      </c>
      <c r="Z3279">
        <v>7</v>
      </c>
      <c r="AA3279">
        <v>7119</v>
      </c>
      <c r="AB3279">
        <v>1</v>
      </c>
      <c r="AC3279" t="s">
        <v>42</v>
      </c>
      <c r="AD3279">
        <v>1</v>
      </c>
    </row>
    <row r="3280" spans="1:30">
      <c r="A3280" t="str">
        <f>CONCATENATE(I3280,J3280)</f>
        <v>THAKDEVEQ</v>
      </c>
      <c r="B3280" s="34">
        <v>46273</v>
      </c>
      <c r="C3280" s="34">
        <v>46273</v>
      </c>
      <c r="D3280" t="s">
        <v>35</v>
      </c>
      <c r="E3280" t="s">
        <v>36</v>
      </c>
      <c r="F3280" t="s">
        <v>37</v>
      </c>
      <c r="G3280">
        <v>762949</v>
      </c>
      <c r="H3280" t="s">
        <v>9910</v>
      </c>
      <c r="I3280" t="s">
        <v>9911</v>
      </c>
      <c r="J3280" t="s">
        <v>161</v>
      </c>
      <c r="O3280" t="s">
        <v>9912</v>
      </c>
      <c r="P3280">
        <v>148</v>
      </c>
      <c r="Q3280">
        <v>148</v>
      </c>
      <c r="R3280">
        <v>148</v>
      </c>
      <c r="S3280">
        <v>148</v>
      </c>
      <c r="T3280">
        <v>148</v>
      </c>
      <c r="U3280">
        <v>149.99</v>
      </c>
      <c r="W3280">
        <v>152.9</v>
      </c>
      <c r="Z3280">
        <v>1</v>
      </c>
      <c r="AA3280">
        <v>148</v>
      </c>
      <c r="AB3280">
        <v>1</v>
      </c>
      <c r="AC3280" t="s">
        <v>42</v>
      </c>
      <c r="AD3280">
        <v>1</v>
      </c>
    </row>
    <row r="3281" spans="1:30">
      <c r="A3281" t="str">
        <f>CONCATENATE(I3281,J3281)</f>
        <v>THANGAMAYLEQ</v>
      </c>
      <c r="B3281" s="34">
        <v>46273</v>
      </c>
      <c r="C3281" s="34">
        <v>46273</v>
      </c>
      <c r="D3281" t="s">
        <v>35</v>
      </c>
      <c r="E3281" t="s">
        <v>36</v>
      </c>
      <c r="F3281" t="s">
        <v>37</v>
      </c>
      <c r="G3281">
        <v>18118</v>
      </c>
      <c r="H3281" t="s">
        <v>9913</v>
      </c>
      <c r="I3281" t="s">
        <v>9914</v>
      </c>
      <c r="J3281" t="s">
        <v>161</v>
      </c>
      <c r="O3281" t="s">
        <v>9915</v>
      </c>
      <c r="P3281">
        <v>5462.5</v>
      </c>
      <c r="Q3281">
        <v>5507</v>
      </c>
      <c r="R3281">
        <v>5336</v>
      </c>
      <c r="S3281">
        <v>5366.5</v>
      </c>
      <c r="T3281">
        <v>5389.5</v>
      </c>
      <c r="U3281">
        <v>5474</v>
      </c>
      <c r="W3281">
        <v>5366.73</v>
      </c>
      <c r="Z3281">
        <v>54304</v>
      </c>
      <c r="AA3281">
        <v>293672565</v>
      </c>
      <c r="AB3281">
        <v>9636</v>
      </c>
      <c r="AC3281" t="s">
        <v>42</v>
      </c>
      <c r="AD3281">
        <v>1</v>
      </c>
    </row>
    <row r="3282" spans="1:30">
      <c r="A3282" t="str">
        <f>CONCATENATE(I3282,J3282)</f>
        <v>ANUPEQ</v>
      </c>
      <c r="B3282" s="34">
        <v>46273</v>
      </c>
      <c r="C3282" s="34">
        <v>46273</v>
      </c>
      <c r="D3282" t="s">
        <v>35</v>
      </c>
      <c r="E3282" t="s">
        <v>36</v>
      </c>
      <c r="F3282" t="s">
        <v>37</v>
      </c>
      <c r="G3282">
        <v>9014</v>
      </c>
      <c r="H3282" t="s">
        <v>9916</v>
      </c>
      <c r="I3282" t="s">
        <v>9917</v>
      </c>
      <c r="J3282" t="s">
        <v>161</v>
      </c>
      <c r="O3282" t="s">
        <v>9918</v>
      </c>
      <c r="P3282">
        <v>1768.3</v>
      </c>
      <c r="Q3282">
        <v>1775.9</v>
      </c>
      <c r="R3282">
        <v>1717</v>
      </c>
      <c r="S3282">
        <v>1725.6</v>
      </c>
      <c r="T3282">
        <v>1733.6</v>
      </c>
      <c r="U3282">
        <v>1770.6</v>
      </c>
      <c r="W3282">
        <v>1725.66</v>
      </c>
      <c r="Z3282">
        <v>22344</v>
      </c>
      <c r="AA3282">
        <v>38882405.200000003</v>
      </c>
      <c r="AB3282">
        <v>3581</v>
      </c>
      <c r="AC3282" t="s">
        <v>42</v>
      </c>
      <c r="AD3282">
        <v>1</v>
      </c>
    </row>
    <row r="3283" spans="1:30">
      <c r="A3283" t="str">
        <f>CONCATENATE(I3283,J3283)</f>
        <v>BYKEBE</v>
      </c>
      <c r="B3283" s="34">
        <v>46273</v>
      </c>
      <c r="C3283" s="34">
        <v>46273</v>
      </c>
      <c r="D3283" t="s">
        <v>35</v>
      </c>
      <c r="E3283" t="s">
        <v>36</v>
      </c>
      <c r="F3283" t="s">
        <v>37</v>
      </c>
      <c r="G3283">
        <v>7930</v>
      </c>
      <c r="H3283" t="s">
        <v>9919</v>
      </c>
      <c r="I3283" t="s">
        <v>9920</v>
      </c>
      <c r="J3283" t="s">
        <v>183</v>
      </c>
      <c r="O3283" t="s">
        <v>9921</v>
      </c>
      <c r="P3283">
        <v>32</v>
      </c>
      <c r="Q3283">
        <v>32.56</v>
      </c>
      <c r="R3283">
        <v>30.66</v>
      </c>
      <c r="S3283">
        <v>31.9</v>
      </c>
      <c r="T3283">
        <v>31.5</v>
      </c>
      <c r="U3283">
        <v>32</v>
      </c>
      <c r="W3283">
        <v>31.9</v>
      </c>
      <c r="Z3283">
        <v>40242</v>
      </c>
      <c r="AA3283">
        <v>1274862.6100000001</v>
      </c>
      <c r="AB3283">
        <v>91</v>
      </c>
      <c r="AC3283" t="s">
        <v>42</v>
      </c>
      <c r="AD3283">
        <v>1</v>
      </c>
    </row>
    <row r="3284" spans="1:30">
      <c r="A3284" t="str">
        <f>CONCATENATE(I3284,J3284)</f>
        <v>GESHIPEQ</v>
      </c>
      <c r="B3284" s="34">
        <v>46273</v>
      </c>
      <c r="C3284" s="34">
        <v>46273</v>
      </c>
      <c r="D3284" t="s">
        <v>35</v>
      </c>
      <c r="E3284" t="s">
        <v>36</v>
      </c>
      <c r="F3284" t="s">
        <v>37</v>
      </c>
      <c r="G3284">
        <v>13776</v>
      </c>
      <c r="H3284" t="s">
        <v>9922</v>
      </c>
      <c r="I3284" t="s">
        <v>9923</v>
      </c>
      <c r="J3284" t="s">
        <v>161</v>
      </c>
      <c r="O3284" t="s">
        <v>9924</v>
      </c>
      <c r="P3284">
        <v>1375</v>
      </c>
      <c r="Q3284">
        <v>1397.7</v>
      </c>
      <c r="R3284">
        <v>1374.4</v>
      </c>
      <c r="S3284">
        <v>1383.8</v>
      </c>
      <c r="T3284">
        <v>1385</v>
      </c>
      <c r="U3284">
        <v>1376.7</v>
      </c>
      <c r="W3284">
        <v>1383.81</v>
      </c>
      <c r="Z3284">
        <v>760052</v>
      </c>
      <c r="AA3284">
        <v>1051451284.2</v>
      </c>
      <c r="AB3284">
        <v>39725</v>
      </c>
      <c r="AC3284" t="s">
        <v>42</v>
      </c>
      <c r="AD3284">
        <v>1</v>
      </c>
    </row>
    <row r="3285" spans="1:30">
      <c r="A3285" t="str">
        <f>CONCATENATE(I3285,J3285)</f>
        <v>GROBTEAEQ</v>
      </c>
      <c r="B3285" s="34">
        <v>46273</v>
      </c>
      <c r="C3285" s="34">
        <v>46273</v>
      </c>
      <c r="D3285" t="s">
        <v>35</v>
      </c>
      <c r="E3285" t="s">
        <v>36</v>
      </c>
      <c r="F3285" t="s">
        <v>37</v>
      </c>
      <c r="G3285">
        <v>17770</v>
      </c>
      <c r="H3285" t="s">
        <v>9925</v>
      </c>
      <c r="I3285" t="s">
        <v>9926</v>
      </c>
      <c r="J3285" t="s">
        <v>161</v>
      </c>
      <c r="O3285" t="s">
        <v>9927</v>
      </c>
      <c r="P3285">
        <v>966</v>
      </c>
      <c r="Q3285">
        <v>966</v>
      </c>
      <c r="R3285">
        <v>966</v>
      </c>
      <c r="S3285">
        <v>966</v>
      </c>
      <c r="T3285">
        <v>966</v>
      </c>
      <c r="U3285">
        <v>959.15</v>
      </c>
      <c r="W3285">
        <v>966</v>
      </c>
      <c r="Z3285">
        <v>2</v>
      </c>
      <c r="AA3285">
        <v>1932</v>
      </c>
      <c r="AB3285">
        <v>1</v>
      </c>
      <c r="AC3285" t="s">
        <v>42</v>
      </c>
      <c r="AD3285">
        <v>1</v>
      </c>
    </row>
    <row r="3286" spans="1:30">
      <c r="A3286" t="str">
        <f>CONCATENATE(I3286,J3286)</f>
        <v>HITECHGEARBE</v>
      </c>
      <c r="B3286" s="34">
        <v>46273</v>
      </c>
      <c r="C3286" s="34">
        <v>46273</v>
      </c>
      <c r="D3286" t="s">
        <v>35</v>
      </c>
      <c r="E3286" t="s">
        <v>36</v>
      </c>
      <c r="F3286" t="s">
        <v>37</v>
      </c>
      <c r="G3286">
        <v>8568</v>
      </c>
      <c r="H3286" t="s">
        <v>9928</v>
      </c>
      <c r="I3286" t="s">
        <v>9929</v>
      </c>
      <c r="J3286" t="s">
        <v>183</v>
      </c>
      <c r="O3286" t="s">
        <v>9930</v>
      </c>
      <c r="P3286">
        <v>570.5</v>
      </c>
      <c r="Q3286">
        <v>582</v>
      </c>
      <c r="R3286">
        <v>565</v>
      </c>
      <c r="S3286">
        <v>570</v>
      </c>
      <c r="T3286">
        <v>570</v>
      </c>
      <c r="U3286">
        <v>567.29999999999995</v>
      </c>
      <c r="W3286">
        <v>570</v>
      </c>
      <c r="Z3286">
        <v>2353</v>
      </c>
      <c r="AA3286">
        <v>1340536.1499999999</v>
      </c>
      <c r="AB3286">
        <v>38</v>
      </c>
      <c r="AC3286" t="s">
        <v>42</v>
      </c>
      <c r="AD3286">
        <v>1</v>
      </c>
    </row>
    <row r="3287" spans="1:30">
      <c r="A3287" t="str">
        <f>CONCATENATE(I3287,J3287)</f>
        <v>INDIACEMEQ</v>
      </c>
      <c r="B3287" s="34">
        <v>46273</v>
      </c>
      <c r="C3287" s="34">
        <v>46273</v>
      </c>
      <c r="D3287" t="s">
        <v>35</v>
      </c>
      <c r="E3287" t="s">
        <v>36</v>
      </c>
      <c r="F3287" t="s">
        <v>37</v>
      </c>
      <c r="G3287">
        <v>1515</v>
      </c>
      <c r="H3287" t="s">
        <v>9931</v>
      </c>
      <c r="I3287" t="s">
        <v>9932</v>
      </c>
      <c r="J3287" t="s">
        <v>161</v>
      </c>
      <c r="O3287" t="s">
        <v>9933</v>
      </c>
      <c r="P3287">
        <v>356</v>
      </c>
      <c r="Q3287">
        <v>357.55</v>
      </c>
      <c r="R3287">
        <v>352.4</v>
      </c>
      <c r="S3287">
        <v>353.45</v>
      </c>
      <c r="T3287">
        <v>353.2</v>
      </c>
      <c r="U3287">
        <v>356.1</v>
      </c>
      <c r="W3287">
        <v>353.46</v>
      </c>
      <c r="Z3287">
        <v>40841</v>
      </c>
      <c r="AA3287">
        <v>14479298.65</v>
      </c>
      <c r="AB3287">
        <v>3048</v>
      </c>
      <c r="AC3287" t="s">
        <v>42</v>
      </c>
      <c r="AD3287">
        <v>1</v>
      </c>
    </row>
    <row r="3288" spans="1:30">
      <c r="A3288" t="str">
        <f>CONCATENATE(I3288,J3288)</f>
        <v>INDHOTELEQ</v>
      </c>
      <c r="B3288" s="34">
        <v>46273</v>
      </c>
      <c r="C3288" s="34">
        <v>46273</v>
      </c>
      <c r="D3288" t="s">
        <v>35</v>
      </c>
      <c r="E3288" t="s">
        <v>36</v>
      </c>
      <c r="F3288" t="s">
        <v>37</v>
      </c>
      <c r="G3288">
        <v>1512</v>
      </c>
      <c r="H3288" t="s">
        <v>9934</v>
      </c>
      <c r="I3288" t="s">
        <v>9935</v>
      </c>
      <c r="J3288" t="s">
        <v>161</v>
      </c>
      <c r="O3288" t="s">
        <v>9936</v>
      </c>
      <c r="P3288">
        <v>712.6</v>
      </c>
      <c r="Q3288">
        <v>723.55</v>
      </c>
      <c r="R3288">
        <v>712.6</v>
      </c>
      <c r="S3288">
        <v>720</v>
      </c>
      <c r="T3288">
        <v>720</v>
      </c>
      <c r="U3288">
        <v>716.2</v>
      </c>
      <c r="W3288">
        <v>720.01</v>
      </c>
      <c r="Z3288">
        <v>996891</v>
      </c>
      <c r="AA3288">
        <v>717217829.39999998</v>
      </c>
      <c r="AB3288">
        <v>28112</v>
      </c>
      <c r="AC3288" t="s">
        <v>42</v>
      </c>
      <c r="AD3288">
        <v>1</v>
      </c>
    </row>
    <row r="3289" spans="1:30">
      <c r="A3289" t="str">
        <f>CONCATENATE(I3289,J3289)</f>
        <v>THEINVESTEQ</v>
      </c>
      <c r="B3289" s="34">
        <v>46273</v>
      </c>
      <c r="C3289" s="34">
        <v>46273</v>
      </c>
      <c r="D3289" t="s">
        <v>35</v>
      </c>
      <c r="E3289" t="s">
        <v>36</v>
      </c>
      <c r="F3289" t="s">
        <v>37</v>
      </c>
      <c r="G3289">
        <v>21427</v>
      </c>
      <c r="H3289" t="s">
        <v>9937</v>
      </c>
      <c r="I3289" t="s">
        <v>9938</v>
      </c>
      <c r="J3289" t="s">
        <v>161</v>
      </c>
      <c r="O3289" t="s">
        <v>9939</v>
      </c>
      <c r="P3289">
        <v>96.51</v>
      </c>
      <c r="Q3289">
        <v>98.99</v>
      </c>
      <c r="R3289">
        <v>95.05</v>
      </c>
      <c r="S3289">
        <v>96.28</v>
      </c>
      <c r="T3289">
        <v>95.52</v>
      </c>
      <c r="U3289">
        <v>97.89</v>
      </c>
      <c r="W3289">
        <v>96.28</v>
      </c>
      <c r="Z3289">
        <v>8569</v>
      </c>
      <c r="AA3289">
        <v>830853.46</v>
      </c>
      <c r="AB3289">
        <v>225</v>
      </c>
      <c r="AC3289" t="s">
        <v>42</v>
      </c>
      <c r="AD3289">
        <v>1</v>
      </c>
    </row>
    <row r="3290" spans="1:30">
      <c r="A3290" t="str">
        <f>CONCATENATE(I3290,J3290)</f>
        <v>NIACLEQ</v>
      </c>
      <c r="B3290" s="34">
        <v>46273</v>
      </c>
      <c r="C3290" s="34">
        <v>46273</v>
      </c>
      <c r="D3290" t="s">
        <v>35</v>
      </c>
      <c r="E3290" t="s">
        <v>36</v>
      </c>
      <c r="F3290" t="s">
        <v>37</v>
      </c>
      <c r="G3290">
        <v>399</v>
      </c>
      <c r="H3290" t="s">
        <v>9940</v>
      </c>
      <c r="I3290" t="s">
        <v>9941</v>
      </c>
      <c r="J3290" t="s">
        <v>161</v>
      </c>
      <c r="O3290" t="s">
        <v>9942</v>
      </c>
      <c r="P3290">
        <v>231.2</v>
      </c>
      <c r="Q3290">
        <v>232</v>
      </c>
      <c r="R3290">
        <v>199.52</v>
      </c>
      <c r="S3290">
        <v>205.22</v>
      </c>
      <c r="T3290">
        <v>205</v>
      </c>
      <c r="U3290">
        <v>231.2</v>
      </c>
      <c r="W3290">
        <v>205.22</v>
      </c>
      <c r="Z3290">
        <v>45314645</v>
      </c>
      <c r="AA3290">
        <v>9404510125.1100006</v>
      </c>
      <c r="AB3290">
        <v>294036</v>
      </c>
      <c r="AC3290" t="s">
        <v>42</v>
      </c>
      <c r="AD3290">
        <v>1</v>
      </c>
    </row>
    <row r="3291" spans="1:30">
      <c r="A3291" t="str">
        <f>CONCATENATE(I3291,J3291)</f>
        <v>PKTEAEQ</v>
      </c>
      <c r="B3291" s="34">
        <v>46273</v>
      </c>
      <c r="C3291" s="34">
        <v>46273</v>
      </c>
      <c r="D3291" t="s">
        <v>35</v>
      </c>
      <c r="E3291" t="s">
        <v>36</v>
      </c>
      <c r="F3291" t="s">
        <v>37</v>
      </c>
      <c r="G3291">
        <v>10321</v>
      </c>
      <c r="H3291" t="s">
        <v>9943</v>
      </c>
      <c r="I3291" t="s">
        <v>9944</v>
      </c>
      <c r="J3291" t="s">
        <v>161</v>
      </c>
      <c r="O3291" t="s">
        <v>9945</v>
      </c>
      <c r="P3291">
        <v>999</v>
      </c>
      <c r="Q3291">
        <v>1115</v>
      </c>
      <c r="R3291">
        <v>963.15</v>
      </c>
      <c r="S3291">
        <v>972.75</v>
      </c>
      <c r="T3291">
        <v>972</v>
      </c>
      <c r="U3291">
        <v>963.15</v>
      </c>
      <c r="W3291">
        <v>972.75</v>
      </c>
      <c r="Z3291">
        <v>61700</v>
      </c>
      <c r="AA3291">
        <v>64416045.25</v>
      </c>
      <c r="AB3291">
        <v>4412</v>
      </c>
      <c r="AC3291" t="s">
        <v>42</v>
      </c>
      <c r="AD3291">
        <v>1</v>
      </c>
    </row>
    <row r="3292" spans="1:30">
      <c r="A3292" t="str">
        <f>CONCATENATE(I3292,J3292)</f>
        <v>PHOENIXLTDEQ</v>
      </c>
      <c r="B3292" s="34">
        <v>46273</v>
      </c>
      <c r="C3292" s="34">
        <v>46273</v>
      </c>
      <c r="D3292" t="s">
        <v>35</v>
      </c>
      <c r="E3292" t="s">
        <v>36</v>
      </c>
      <c r="F3292" t="s">
        <v>37</v>
      </c>
      <c r="G3292">
        <v>14552</v>
      </c>
      <c r="H3292" t="s">
        <v>9946</v>
      </c>
      <c r="I3292" t="s">
        <v>9947</v>
      </c>
      <c r="J3292" t="s">
        <v>161</v>
      </c>
      <c r="O3292" t="s">
        <v>9948</v>
      </c>
      <c r="P3292">
        <v>1910.7</v>
      </c>
      <c r="Q3292">
        <v>1915</v>
      </c>
      <c r="R3292">
        <v>1885</v>
      </c>
      <c r="S3292">
        <v>1885</v>
      </c>
      <c r="T3292">
        <v>1885</v>
      </c>
      <c r="U3292">
        <v>1905</v>
      </c>
      <c r="W3292">
        <v>1884.82</v>
      </c>
      <c r="Z3292">
        <v>329961</v>
      </c>
      <c r="AA3292">
        <v>625301107.60000002</v>
      </c>
      <c r="AB3292">
        <v>24461</v>
      </c>
      <c r="AC3292" t="s">
        <v>42</v>
      </c>
      <c r="AD3292">
        <v>1</v>
      </c>
    </row>
    <row r="3293" spans="1:30">
      <c r="A3293" t="str">
        <f>CONCATENATE(I3293,J3293)</f>
        <v>RAMCOCEMEQ</v>
      </c>
      <c r="B3293" s="34">
        <v>46273</v>
      </c>
      <c r="C3293" s="34">
        <v>46273</v>
      </c>
      <c r="D3293" t="s">
        <v>35</v>
      </c>
      <c r="E3293" t="s">
        <v>36</v>
      </c>
      <c r="F3293" t="s">
        <v>37</v>
      </c>
      <c r="G3293">
        <v>2043</v>
      </c>
      <c r="H3293" t="s">
        <v>9949</v>
      </c>
      <c r="I3293" t="s">
        <v>9950</v>
      </c>
      <c r="J3293" t="s">
        <v>161</v>
      </c>
      <c r="O3293" t="s">
        <v>9951</v>
      </c>
      <c r="P3293">
        <v>876</v>
      </c>
      <c r="Q3293">
        <v>881.9</v>
      </c>
      <c r="R3293">
        <v>865</v>
      </c>
      <c r="S3293">
        <v>871.45</v>
      </c>
      <c r="T3293">
        <v>870.6</v>
      </c>
      <c r="U3293">
        <v>871.5</v>
      </c>
      <c r="W3293">
        <v>871.4</v>
      </c>
      <c r="Z3293">
        <v>201465</v>
      </c>
      <c r="AA3293">
        <v>175541848.25</v>
      </c>
      <c r="AB3293">
        <v>13583</v>
      </c>
      <c r="AC3293" t="s">
        <v>42</v>
      </c>
      <c r="AD3293">
        <v>1</v>
      </c>
    </row>
    <row r="3294" spans="1:30">
      <c r="A3294" t="str">
        <f>CONCATENATE(I3294,J3294)</f>
        <v>RUBYMILLSEQ</v>
      </c>
      <c r="B3294" s="34">
        <v>46273</v>
      </c>
      <c r="C3294" s="34">
        <v>46273</v>
      </c>
      <c r="D3294" t="s">
        <v>35</v>
      </c>
      <c r="E3294" t="s">
        <v>36</v>
      </c>
      <c r="F3294" t="s">
        <v>37</v>
      </c>
      <c r="G3294">
        <v>2939</v>
      </c>
      <c r="H3294" t="s">
        <v>9952</v>
      </c>
      <c r="I3294" t="s">
        <v>9953</v>
      </c>
      <c r="J3294" t="s">
        <v>161</v>
      </c>
      <c r="O3294" t="s">
        <v>9954</v>
      </c>
      <c r="P3294">
        <v>447.7</v>
      </c>
      <c r="Q3294">
        <v>458.8</v>
      </c>
      <c r="R3294">
        <v>439.55</v>
      </c>
      <c r="S3294">
        <v>450.3</v>
      </c>
      <c r="T3294">
        <v>458.8</v>
      </c>
      <c r="U3294">
        <v>457</v>
      </c>
      <c r="W3294">
        <v>450.28</v>
      </c>
      <c r="Z3294">
        <v>38798</v>
      </c>
      <c r="AA3294">
        <v>17364972.100000001</v>
      </c>
      <c r="AB3294">
        <v>1807</v>
      </c>
      <c r="AC3294" t="s">
        <v>42</v>
      </c>
      <c r="AD3294">
        <v>1</v>
      </c>
    </row>
    <row r="3295" spans="1:30">
      <c r="A3295" t="str">
        <f>CONCATENATE(I3295,J3295)</f>
        <v>SOUTHBANKEQ</v>
      </c>
      <c r="B3295" s="34">
        <v>46273</v>
      </c>
      <c r="C3295" s="34">
        <v>46273</v>
      </c>
      <c r="D3295" t="s">
        <v>35</v>
      </c>
      <c r="E3295" t="s">
        <v>36</v>
      </c>
      <c r="F3295" t="s">
        <v>37</v>
      </c>
      <c r="G3295">
        <v>5948</v>
      </c>
      <c r="H3295" t="s">
        <v>9955</v>
      </c>
      <c r="I3295" t="s">
        <v>9956</v>
      </c>
      <c r="J3295" t="s">
        <v>161</v>
      </c>
      <c r="O3295" t="s">
        <v>9957</v>
      </c>
      <c r="P3295">
        <v>46.6</v>
      </c>
      <c r="Q3295">
        <v>46.99</v>
      </c>
      <c r="R3295">
        <v>46.4</v>
      </c>
      <c r="S3295">
        <v>46.82</v>
      </c>
      <c r="T3295">
        <v>46.87</v>
      </c>
      <c r="U3295">
        <v>46.54</v>
      </c>
      <c r="W3295">
        <v>46.82</v>
      </c>
      <c r="Z3295">
        <v>4494492</v>
      </c>
      <c r="AA3295">
        <v>209828191.31999999</v>
      </c>
      <c r="AB3295">
        <v>15350</v>
      </c>
      <c r="AC3295" t="s">
        <v>42</v>
      </c>
      <c r="AD3295">
        <v>1</v>
      </c>
    </row>
    <row r="3296" spans="1:30">
      <c r="A3296" t="str">
        <f>CONCATENATE(I3296,J3296)</f>
        <v>STCINDIAEQ</v>
      </c>
      <c r="B3296" s="34">
        <v>46273</v>
      </c>
      <c r="C3296" s="34">
        <v>46273</v>
      </c>
      <c r="D3296" t="s">
        <v>35</v>
      </c>
      <c r="E3296" t="s">
        <v>36</v>
      </c>
      <c r="F3296" t="s">
        <v>37</v>
      </c>
      <c r="G3296">
        <v>10948</v>
      </c>
      <c r="H3296" t="s">
        <v>9958</v>
      </c>
      <c r="I3296" t="s">
        <v>9959</v>
      </c>
      <c r="J3296" t="s">
        <v>161</v>
      </c>
      <c r="O3296" t="s">
        <v>9960</v>
      </c>
      <c r="P3296">
        <v>114.02</v>
      </c>
      <c r="Q3296">
        <v>114.68</v>
      </c>
      <c r="R3296">
        <v>113.15</v>
      </c>
      <c r="S3296">
        <v>113.72</v>
      </c>
      <c r="T3296">
        <v>114.03</v>
      </c>
      <c r="U3296">
        <v>114.27</v>
      </c>
      <c r="W3296">
        <v>113.66</v>
      </c>
      <c r="Z3296">
        <v>11336</v>
      </c>
      <c r="AA3296">
        <v>1290601.32</v>
      </c>
      <c r="AB3296">
        <v>251</v>
      </c>
      <c r="AC3296" t="s">
        <v>42</v>
      </c>
      <c r="AD3296">
        <v>1</v>
      </c>
    </row>
    <row r="3297" spans="1:30">
      <c r="A3297" t="str">
        <f>CONCATENATE(I3297,J3297)</f>
        <v>UGARSUGAREQ</v>
      </c>
      <c r="B3297" s="34">
        <v>46273</v>
      </c>
      <c r="C3297" s="34">
        <v>46273</v>
      </c>
      <c r="D3297" t="s">
        <v>35</v>
      </c>
      <c r="E3297" t="s">
        <v>36</v>
      </c>
      <c r="F3297" t="s">
        <v>37</v>
      </c>
      <c r="G3297">
        <v>19578</v>
      </c>
      <c r="H3297" t="s">
        <v>9961</v>
      </c>
      <c r="I3297" t="s">
        <v>9962</v>
      </c>
      <c r="J3297" t="s">
        <v>161</v>
      </c>
      <c r="O3297" t="s">
        <v>9963</v>
      </c>
      <c r="P3297">
        <v>54.49</v>
      </c>
      <c r="Q3297">
        <v>54.85</v>
      </c>
      <c r="R3297">
        <v>52.66</v>
      </c>
      <c r="S3297">
        <v>53.29</v>
      </c>
      <c r="T3297">
        <v>53.66</v>
      </c>
      <c r="U3297">
        <v>54.19</v>
      </c>
      <c r="W3297">
        <v>53.29</v>
      </c>
      <c r="Z3297">
        <v>256047</v>
      </c>
      <c r="AA3297">
        <v>13745748.43</v>
      </c>
      <c r="AB3297">
        <v>2284</v>
      </c>
      <c r="AC3297" t="s">
        <v>42</v>
      </c>
      <c r="AD3297">
        <v>1</v>
      </c>
    </row>
    <row r="3298" spans="1:30">
      <c r="A3298" t="str">
        <f>CONCATENATE(I3298,J3298)</f>
        <v>WIPLEQ</v>
      </c>
      <c r="B3298" s="34">
        <v>46273</v>
      </c>
      <c r="C3298" s="34">
        <v>46273</v>
      </c>
      <c r="D3298" t="s">
        <v>35</v>
      </c>
      <c r="E3298" t="s">
        <v>36</v>
      </c>
      <c r="F3298" t="s">
        <v>37</v>
      </c>
      <c r="G3298">
        <v>20481</v>
      </c>
      <c r="H3298" t="s">
        <v>9964</v>
      </c>
      <c r="I3298" t="s">
        <v>9965</v>
      </c>
      <c r="J3298" t="s">
        <v>161</v>
      </c>
      <c r="O3298" t="s">
        <v>9966</v>
      </c>
      <c r="P3298">
        <v>165.11</v>
      </c>
      <c r="Q3298">
        <v>169.4</v>
      </c>
      <c r="R3298">
        <v>165.11</v>
      </c>
      <c r="S3298">
        <v>167.99</v>
      </c>
      <c r="T3298">
        <v>167.99</v>
      </c>
      <c r="U3298">
        <v>164.52</v>
      </c>
      <c r="W3298">
        <v>167.99</v>
      </c>
      <c r="Z3298">
        <v>105</v>
      </c>
      <c r="AA3298">
        <v>17567.53</v>
      </c>
      <c r="AB3298">
        <v>14</v>
      </c>
      <c r="AC3298" t="s">
        <v>42</v>
      </c>
      <c r="AD3298">
        <v>1</v>
      </c>
    </row>
    <row r="3299" spans="1:30">
      <c r="A3299" t="str">
        <f>CONCATENATE(I3299,J3299)</f>
        <v>THEJOEQ</v>
      </c>
      <c r="B3299" s="34">
        <v>46273</v>
      </c>
      <c r="C3299" s="34">
        <v>46273</v>
      </c>
      <c r="D3299" t="s">
        <v>35</v>
      </c>
      <c r="E3299" t="s">
        <v>36</v>
      </c>
      <c r="F3299" t="s">
        <v>37</v>
      </c>
      <c r="G3299">
        <v>19279</v>
      </c>
      <c r="H3299" t="s">
        <v>9967</v>
      </c>
      <c r="I3299" t="s">
        <v>9968</v>
      </c>
      <c r="J3299" t="s">
        <v>161</v>
      </c>
      <c r="O3299" t="s">
        <v>9969</v>
      </c>
      <c r="P3299">
        <v>2160.1999999999998</v>
      </c>
      <c r="Q3299">
        <v>2168.9</v>
      </c>
      <c r="R3299">
        <v>2130</v>
      </c>
      <c r="S3299">
        <v>2134.1</v>
      </c>
      <c r="T3299">
        <v>2132</v>
      </c>
      <c r="U3299">
        <v>2160.1999999999998</v>
      </c>
      <c r="W3299">
        <v>2134.1</v>
      </c>
      <c r="Z3299">
        <v>2282</v>
      </c>
      <c r="AA3299">
        <v>4899588.4000000004</v>
      </c>
      <c r="AB3299">
        <v>463</v>
      </c>
      <c r="AC3299" t="s">
        <v>42</v>
      </c>
      <c r="AD3299">
        <v>1</v>
      </c>
    </row>
    <row r="3300" spans="1:30">
      <c r="A3300" t="str">
        <f>CONCATENATE(I3300,J3300)</f>
        <v>THEMISMEDEQ</v>
      </c>
      <c r="B3300" s="34">
        <v>46273</v>
      </c>
      <c r="C3300" s="34">
        <v>46273</v>
      </c>
      <c r="D3300" t="s">
        <v>35</v>
      </c>
      <c r="E3300" t="s">
        <v>36</v>
      </c>
      <c r="F3300" t="s">
        <v>37</v>
      </c>
      <c r="G3300">
        <v>14485</v>
      </c>
      <c r="H3300" t="s">
        <v>9970</v>
      </c>
      <c r="I3300" t="s">
        <v>9971</v>
      </c>
      <c r="J3300" t="s">
        <v>161</v>
      </c>
      <c r="O3300" t="s">
        <v>9972</v>
      </c>
      <c r="P3300">
        <v>132</v>
      </c>
      <c r="Q3300">
        <v>134.9</v>
      </c>
      <c r="R3300">
        <v>129.01</v>
      </c>
      <c r="S3300">
        <v>132.16999999999999</v>
      </c>
      <c r="T3300">
        <v>132.1</v>
      </c>
      <c r="U3300">
        <v>133.07</v>
      </c>
      <c r="W3300">
        <v>132.16999999999999</v>
      </c>
      <c r="Z3300">
        <v>335531</v>
      </c>
      <c r="AA3300">
        <v>44323978.210000001</v>
      </c>
      <c r="AB3300">
        <v>6622</v>
      </c>
      <c r="AC3300" t="s">
        <v>42</v>
      </c>
      <c r="AD3300">
        <v>1</v>
      </c>
    </row>
    <row r="3301" spans="1:30">
      <c r="A3301" t="str">
        <f>CONCATENATE(I3301,J3301)</f>
        <v>THERMAXEQ</v>
      </c>
      <c r="B3301" s="34">
        <v>46273</v>
      </c>
      <c r="C3301" s="34">
        <v>46273</v>
      </c>
      <c r="D3301" t="s">
        <v>35</v>
      </c>
      <c r="E3301" t="s">
        <v>36</v>
      </c>
      <c r="F3301" t="s">
        <v>37</v>
      </c>
      <c r="G3301">
        <v>3475</v>
      </c>
      <c r="H3301" t="s">
        <v>9973</v>
      </c>
      <c r="I3301" t="s">
        <v>9974</v>
      </c>
      <c r="J3301" t="s">
        <v>161</v>
      </c>
      <c r="O3301" t="s">
        <v>9975</v>
      </c>
      <c r="P3301">
        <v>3593</v>
      </c>
      <c r="Q3301">
        <v>3655.2</v>
      </c>
      <c r="R3301">
        <v>3580.5</v>
      </c>
      <c r="S3301">
        <v>3629.6</v>
      </c>
      <c r="T3301">
        <v>3630</v>
      </c>
      <c r="U3301">
        <v>3622</v>
      </c>
      <c r="W3301">
        <v>3629.6</v>
      </c>
      <c r="Z3301">
        <v>195564</v>
      </c>
      <c r="AA3301">
        <v>709240814.5</v>
      </c>
      <c r="AB3301">
        <v>35235</v>
      </c>
      <c r="AC3301" t="s">
        <v>42</v>
      </c>
      <c r="AD3301">
        <v>1</v>
      </c>
    </row>
    <row r="3302" spans="1:30">
      <c r="A3302" t="str">
        <f>CONCATENATE(I3302,J3302)</f>
        <v>THESLST</v>
      </c>
      <c r="B3302" s="34">
        <v>46273</v>
      </c>
      <c r="C3302" s="34">
        <v>46273</v>
      </c>
      <c r="D3302" t="s">
        <v>35</v>
      </c>
      <c r="E3302" t="s">
        <v>36</v>
      </c>
      <c r="F3302" t="s">
        <v>37</v>
      </c>
      <c r="G3302">
        <v>25651</v>
      </c>
      <c r="H3302" t="s">
        <v>9976</v>
      </c>
      <c r="I3302" t="s">
        <v>9977</v>
      </c>
      <c r="J3302" t="s">
        <v>328</v>
      </c>
      <c r="O3302" t="s">
        <v>9978</v>
      </c>
      <c r="P3302">
        <v>14.6</v>
      </c>
      <c r="Q3302">
        <v>14.6</v>
      </c>
      <c r="R3302">
        <v>14.6</v>
      </c>
      <c r="S3302">
        <v>14.6</v>
      </c>
      <c r="T3302">
        <v>14.6</v>
      </c>
      <c r="U3302">
        <v>15.35</v>
      </c>
      <c r="W3302">
        <v>14.6</v>
      </c>
      <c r="Z3302">
        <v>9000</v>
      </c>
      <c r="AA3302">
        <v>131400</v>
      </c>
      <c r="AB3302">
        <v>3</v>
      </c>
      <c r="AC3302" t="s">
        <v>42</v>
      </c>
      <c r="AD3302">
        <v>3000</v>
      </c>
    </row>
    <row r="3303" spans="1:30">
      <c r="A3303" t="str">
        <f>CONCATENATE(I3303,J3303)</f>
        <v>TIRUMALCHMEQ</v>
      </c>
      <c r="B3303" s="34">
        <v>46273</v>
      </c>
      <c r="C3303" s="34">
        <v>46273</v>
      </c>
      <c r="D3303" t="s">
        <v>35</v>
      </c>
      <c r="E3303" t="s">
        <v>36</v>
      </c>
      <c r="F3303" t="s">
        <v>37</v>
      </c>
      <c r="G3303">
        <v>3496</v>
      </c>
      <c r="H3303" t="s">
        <v>9979</v>
      </c>
      <c r="I3303" t="s">
        <v>9980</v>
      </c>
      <c r="J3303" t="s">
        <v>161</v>
      </c>
      <c r="O3303" t="s">
        <v>9981</v>
      </c>
      <c r="P3303">
        <v>155.5</v>
      </c>
      <c r="Q3303">
        <v>159.80000000000001</v>
      </c>
      <c r="R3303">
        <v>153</v>
      </c>
      <c r="S3303">
        <v>157.9</v>
      </c>
      <c r="T3303">
        <v>158.5</v>
      </c>
      <c r="U3303">
        <v>154.97999999999999</v>
      </c>
      <c r="W3303">
        <v>157.88</v>
      </c>
      <c r="Z3303">
        <v>259105</v>
      </c>
      <c r="AA3303">
        <v>40592265.130000003</v>
      </c>
      <c r="AB3303">
        <v>5229</v>
      </c>
      <c r="AC3303" t="s">
        <v>42</v>
      </c>
      <c r="AD3303">
        <v>1</v>
      </c>
    </row>
    <row r="3304" spans="1:30">
      <c r="A3304" t="str">
        <f>CONCATENATE(I3304,J3304)</f>
        <v>THOMASCOOKEQ</v>
      </c>
      <c r="B3304" s="34">
        <v>46273</v>
      </c>
      <c r="C3304" s="34">
        <v>46273</v>
      </c>
      <c r="D3304" t="s">
        <v>35</v>
      </c>
      <c r="E3304" t="s">
        <v>36</v>
      </c>
      <c r="F3304" t="s">
        <v>37</v>
      </c>
      <c r="G3304">
        <v>3481</v>
      </c>
      <c r="H3304" t="s">
        <v>9982</v>
      </c>
      <c r="I3304" t="s">
        <v>9983</v>
      </c>
      <c r="J3304" t="s">
        <v>161</v>
      </c>
      <c r="O3304" t="s">
        <v>9984</v>
      </c>
      <c r="P3304">
        <v>112</v>
      </c>
      <c r="Q3304">
        <v>112.53</v>
      </c>
      <c r="R3304">
        <v>108.8</v>
      </c>
      <c r="S3304">
        <v>109.91</v>
      </c>
      <c r="T3304">
        <v>109.5</v>
      </c>
      <c r="U3304">
        <v>112.52</v>
      </c>
      <c r="W3304">
        <v>109.92</v>
      </c>
      <c r="Z3304">
        <v>680651</v>
      </c>
      <c r="AA3304">
        <v>74822886.659999996</v>
      </c>
      <c r="AB3304">
        <v>9454</v>
      </c>
      <c r="AC3304" t="s">
        <v>42</v>
      </c>
      <c r="AD3304">
        <v>1</v>
      </c>
    </row>
    <row r="3305" spans="1:30">
      <c r="A3305" t="str">
        <f>CONCATENATE(I3305,J3305)</f>
        <v>THOMASCOTTEQ</v>
      </c>
      <c r="B3305" s="34">
        <v>46273</v>
      </c>
      <c r="C3305" s="34">
        <v>46273</v>
      </c>
      <c r="D3305" t="s">
        <v>35</v>
      </c>
      <c r="E3305" t="s">
        <v>36</v>
      </c>
      <c r="F3305" t="s">
        <v>37</v>
      </c>
      <c r="G3305">
        <v>31017</v>
      </c>
      <c r="H3305" t="s">
        <v>9985</v>
      </c>
      <c r="I3305" t="s">
        <v>9986</v>
      </c>
      <c r="J3305" t="s">
        <v>161</v>
      </c>
      <c r="O3305" t="s">
        <v>9987</v>
      </c>
      <c r="P3305">
        <v>261.85000000000002</v>
      </c>
      <c r="Q3305">
        <v>261.85000000000002</v>
      </c>
      <c r="R3305">
        <v>253</v>
      </c>
      <c r="S3305">
        <v>255.3</v>
      </c>
      <c r="T3305">
        <v>260.89999999999998</v>
      </c>
      <c r="U3305">
        <v>259.64999999999998</v>
      </c>
      <c r="W3305">
        <v>255.31</v>
      </c>
      <c r="Z3305">
        <v>56062</v>
      </c>
      <c r="AA3305">
        <v>14383205.9</v>
      </c>
      <c r="AB3305">
        <v>1954</v>
      </c>
      <c r="AC3305" t="s">
        <v>42</v>
      </c>
      <c r="AD3305">
        <v>1</v>
      </c>
    </row>
    <row r="3306" spans="1:30">
      <c r="A3306" t="str">
        <f>CONCATENATE(I3306,J3306)</f>
        <v>THYROCAREEQ</v>
      </c>
      <c r="B3306" s="34">
        <v>46273</v>
      </c>
      <c r="C3306" s="34">
        <v>46273</v>
      </c>
      <c r="D3306" t="s">
        <v>35</v>
      </c>
      <c r="E3306" t="s">
        <v>36</v>
      </c>
      <c r="F3306" t="s">
        <v>37</v>
      </c>
      <c r="G3306">
        <v>17032</v>
      </c>
      <c r="H3306" t="s">
        <v>9988</v>
      </c>
      <c r="I3306" t="s">
        <v>9989</v>
      </c>
      <c r="J3306" t="s">
        <v>161</v>
      </c>
      <c r="O3306" t="s">
        <v>9990</v>
      </c>
      <c r="P3306">
        <v>573.1</v>
      </c>
      <c r="Q3306">
        <v>577</v>
      </c>
      <c r="R3306">
        <v>566.6</v>
      </c>
      <c r="S3306">
        <v>569.45000000000005</v>
      </c>
      <c r="T3306">
        <v>570.70000000000005</v>
      </c>
      <c r="U3306">
        <v>573.15</v>
      </c>
      <c r="W3306">
        <v>569.44000000000005</v>
      </c>
      <c r="Z3306">
        <v>161195</v>
      </c>
      <c r="AA3306">
        <v>92025384.5</v>
      </c>
      <c r="AB3306">
        <v>20240</v>
      </c>
      <c r="AC3306" t="s">
        <v>42</v>
      </c>
      <c r="AD3306">
        <v>1</v>
      </c>
    </row>
    <row r="3307" spans="1:30">
      <c r="A3307" t="str">
        <f>CONCATENATE(I3307,J3307)</f>
        <v>TIGERLOGSEQ</v>
      </c>
      <c r="B3307" s="34">
        <v>46273</v>
      </c>
      <c r="C3307" s="34">
        <v>46273</v>
      </c>
      <c r="D3307" t="s">
        <v>35</v>
      </c>
      <c r="E3307" t="s">
        <v>36</v>
      </c>
      <c r="F3307" t="s">
        <v>37</v>
      </c>
      <c r="G3307">
        <v>759176</v>
      </c>
      <c r="H3307" t="s">
        <v>9991</v>
      </c>
      <c r="I3307" t="s">
        <v>9992</v>
      </c>
      <c r="J3307" t="s">
        <v>161</v>
      </c>
      <c r="O3307" t="s">
        <v>9993</v>
      </c>
      <c r="P3307">
        <v>28.32</v>
      </c>
      <c r="Q3307">
        <v>28.76</v>
      </c>
      <c r="R3307">
        <v>27.59</v>
      </c>
      <c r="S3307">
        <v>27.82</v>
      </c>
      <c r="T3307">
        <v>27.77</v>
      </c>
      <c r="U3307">
        <v>28.08</v>
      </c>
      <c r="W3307">
        <v>27.83</v>
      </c>
      <c r="Z3307">
        <v>39299</v>
      </c>
      <c r="AA3307">
        <v>1097254.25</v>
      </c>
      <c r="AB3307">
        <v>394</v>
      </c>
      <c r="AC3307" t="s">
        <v>42</v>
      </c>
      <c r="AD3307">
        <v>1</v>
      </c>
    </row>
    <row r="3308" spans="1:30">
      <c r="A3308" t="str">
        <f>CONCATENATE(I3308,J3308)</f>
        <v>TIJARIABE</v>
      </c>
      <c r="B3308" s="34">
        <v>46273</v>
      </c>
      <c r="C3308" s="34">
        <v>46273</v>
      </c>
      <c r="D3308" t="s">
        <v>35</v>
      </c>
      <c r="E3308" t="s">
        <v>36</v>
      </c>
      <c r="F3308" t="s">
        <v>37</v>
      </c>
      <c r="G3308">
        <v>25486</v>
      </c>
      <c r="H3308" t="s">
        <v>9994</v>
      </c>
      <c r="I3308" t="s">
        <v>9995</v>
      </c>
      <c r="J3308" t="s">
        <v>183</v>
      </c>
      <c r="O3308" t="s">
        <v>9996</v>
      </c>
      <c r="P3308">
        <v>8.6199999999999992</v>
      </c>
      <c r="Q3308">
        <v>8.6199999999999992</v>
      </c>
      <c r="R3308">
        <v>8.6199999999999992</v>
      </c>
      <c r="S3308">
        <v>8.6199999999999992</v>
      </c>
      <c r="T3308">
        <v>8.6199999999999992</v>
      </c>
      <c r="U3308">
        <v>9.07</v>
      </c>
      <c r="W3308">
        <v>8.6199999999999992</v>
      </c>
      <c r="Z3308">
        <v>9431</v>
      </c>
      <c r="AA3308">
        <v>81295.22</v>
      </c>
      <c r="AB3308">
        <v>59</v>
      </c>
      <c r="AC3308" t="s">
        <v>42</v>
      </c>
      <c r="AD3308">
        <v>1</v>
      </c>
    </row>
    <row r="3309" spans="1:30">
      <c r="A3309" t="str">
        <f>CONCATENATE(I3309,J3309)</f>
        <v>TILBE</v>
      </c>
      <c r="B3309" s="34">
        <v>46273</v>
      </c>
      <c r="C3309" s="34">
        <v>46273</v>
      </c>
      <c r="D3309" t="s">
        <v>35</v>
      </c>
      <c r="E3309" t="s">
        <v>36</v>
      </c>
      <c r="F3309" t="s">
        <v>37</v>
      </c>
      <c r="G3309">
        <v>9802</v>
      </c>
      <c r="H3309" t="s">
        <v>9997</v>
      </c>
      <c r="I3309" t="s">
        <v>9998</v>
      </c>
      <c r="J3309" t="s">
        <v>183</v>
      </c>
      <c r="O3309" t="s">
        <v>9999</v>
      </c>
      <c r="P3309">
        <v>246.05</v>
      </c>
      <c r="Q3309">
        <v>255</v>
      </c>
      <c r="R3309">
        <v>246.05</v>
      </c>
      <c r="S3309">
        <v>250.64</v>
      </c>
      <c r="T3309">
        <v>252.9</v>
      </c>
      <c r="U3309">
        <v>250.33</v>
      </c>
      <c r="W3309">
        <v>250.57</v>
      </c>
      <c r="Z3309">
        <v>96941</v>
      </c>
      <c r="AA3309">
        <v>24421509.199999999</v>
      </c>
      <c r="AB3309">
        <v>485</v>
      </c>
      <c r="AC3309" t="s">
        <v>42</v>
      </c>
      <c r="AD3309">
        <v>1</v>
      </c>
    </row>
    <row r="3310" spans="1:30">
      <c r="A3310" t="str">
        <f>CONCATENATE(I3310,J3310)</f>
        <v>TIEQ</v>
      </c>
      <c r="B3310" s="34">
        <v>46273</v>
      </c>
      <c r="C3310" s="34">
        <v>46273</v>
      </c>
      <c r="D3310" t="s">
        <v>35</v>
      </c>
      <c r="E3310" t="s">
        <v>36</v>
      </c>
      <c r="F3310" t="s">
        <v>37</v>
      </c>
      <c r="G3310">
        <v>19196</v>
      </c>
      <c r="H3310" t="s">
        <v>10000</v>
      </c>
      <c r="I3310" t="s">
        <v>10001</v>
      </c>
      <c r="J3310" t="s">
        <v>161</v>
      </c>
      <c r="O3310" t="s">
        <v>10002</v>
      </c>
      <c r="P3310">
        <v>532</v>
      </c>
      <c r="Q3310">
        <v>542</v>
      </c>
      <c r="R3310">
        <v>531.15</v>
      </c>
      <c r="S3310">
        <v>540.35</v>
      </c>
      <c r="T3310">
        <v>540.4</v>
      </c>
      <c r="U3310">
        <v>533.25</v>
      </c>
      <c r="W3310">
        <v>540.35</v>
      </c>
      <c r="Z3310">
        <v>208328</v>
      </c>
      <c r="AA3310">
        <v>111894315.8</v>
      </c>
      <c r="AB3310">
        <v>11918</v>
      </c>
      <c r="AC3310" t="s">
        <v>42</v>
      </c>
      <c r="AD3310">
        <v>1</v>
      </c>
    </row>
    <row r="3311" spans="1:30">
      <c r="A3311" t="str">
        <f>CONCATENATE(I3311,J3311)</f>
        <v>TIMETECHNOEQ</v>
      </c>
      <c r="B3311" s="34">
        <v>46273</v>
      </c>
      <c r="C3311" s="34">
        <v>46273</v>
      </c>
      <c r="D3311" t="s">
        <v>35</v>
      </c>
      <c r="E3311" t="s">
        <v>36</v>
      </c>
      <c r="F3311" t="s">
        <v>37</v>
      </c>
      <c r="G3311">
        <v>14707</v>
      </c>
      <c r="H3311" t="s">
        <v>10003</v>
      </c>
      <c r="I3311" t="s">
        <v>10004</v>
      </c>
      <c r="J3311" t="s">
        <v>161</v>
      </c>
      <c r="O3311" t="s">
        <v>10005</v>
      </c>
      <c r="P3311">
        <v>184.2</v>
      </c>
      <c r="Q3311">
        <v>188</v>
      </c>
      <c r="R3311">
        <v>183.16</v>
      </c>
      <c r="S3311">
        <v>186.54</v>
      </c>
      <c r="T3311">
        <v>187.82</v>
      </c>
      <c r="U3311">
        <v>184.53</v>
      </c>
      <c r="W3311">
        <v>186.52</v>
      </c>
      <c r="Z3311">
        <v>2793802</v>
      </c>
      <c r="AA3311">
        <v>516707227.56</v>
      </c>
      <c r="AB3311">
        <v>16741</v>
      </c>
      <c r="AC3311" t="s">
        <v>42</v>
      </c>
      <c r="AD3311">
        <v>1</v>
      </c>
    </row>
    <row r="3312" spans="1:30">
      <c r="A3312" t="str">
        <f>CONCATENATE(I3312,J3312)</f>
        <v>TIMEXEQ</v>
      </c>
      <c r="B3312" s="34">
        <v>46273</v>
      </c>
      <c r="C3312" s="34">
        <v>46273</v>
      </c>
      <c r="D3312" t="s">
        <v>35</v>
      </c>
      <c r="E3312" t="s">
        <v>36</v>
      </c>
      <c r="F3312" t="s">
        <v>37</v>
      </c>
      <c r="G3312">
        <v>762954</v>
      </c>
      <c r="H3312" t="s">
        <v>10006</v>
      </c>
      <c r="I3312" t="s">
        <v>10007</v>
      </c>
      <c r="J3312" t="s">
        <v>161</v>
      </c>
      <c r="O3312" t="s">
        <v>10008</v>
      </c>
      <c r="P3312">
        <v>633</v>
      </c>
      <c r="Q3312">
        <v>637</v>
      </c>
      <c r="R3312">
        <v>599</v>
      </c>
      <c r="S3312">
        <v>607.1</v>
      </c>
      <c r="T3312">
        <v>608</v>
      </c>
      <c r="U3312">
        <v>628.29999999999995</v>
      </c>
      <c r="W3312">
        <v>607.05999999999995</v>
      </c>
      <c r="Z3312">
        <v>839127</v>
      </c>
      <c r="AA3312">
        <v>512074493.19999999</v>
      </c>
      <c r="AB3312">
        <v>36183</v>
      </c>
      <c r="AC3312" t="s">
        <v>42</v>
      </c>
      <c r="AD3312">
        <v>1</v>
      </c>
    </row>
    <row r="3313" spans="1:30">
      <c r="A3313" t="str">
        <f>CONCATENATE(I3313,J3313)</f>
        <v>TIMKENEQ</v>
      </c>
      <c r="B3313" s="34">
        <v>46273</v>
      </c>
      <c r="C3313" s="34">
        <v>46273</v>
      </c>
      <c r="D3313" t="s">
        <v>35</v>
      </c>
      <c r="E3313" t="s">
        <v>36</v>
      </c>
      <c r="F3313" t="s">
        <v>37</v>
      </c>
      <c r="G3313">
        <v>14198</v>
      </c>
      <c r="H3313" t="s">
        <v>10009</v>
      </c>
      <c r="I3313" t="s">
        <v>10010</v>
      </c>
      <c r="J3313" t="s">
        <v>161</v>
      </c>
      <c r="O3313" t="s">
        <v>10011</v>
      </c>
      <c r="P3313">
        <v>3085</v>
      </c>
      <c r="Q3313">
        <v>3120</v>
      </c>
      <c r="R3313">
        <v>3080.2</v>
      </c>
      <c r="S3313">
        <v>3098.9</v>
      </c>
      <c r="T3313">
        <v>3106</v>
      </c>
      <c r="U3313">
        <v>3098.7</v>
      </c>
      <c r="W3313">
        <v>3099.02</v>
      </c>
      <c r="Z3313">
        <v>12524</v>
      </c>
      <c r="AA3313">
        <v>38804710.299999997</v>
      </c>
      <c r="AB3313">
        <v>3503</v>
      </c>
      <c r="AC3313" t="s">
        <v>42</v>
      </c>
      <c r="AD3313">
        <v>1</v>
      </c>
    </row>
    <row r="3314" spans="1:30">
      <c r="A3314" t="str">
        <f>CONCATENATE(I3314,J3314)</f>
        <v>TINNARUBREQ</v>
      </c>
      <c r="B3314" s="34">
        <v>46273</v>
      </c>
      <c r="C3314" s="34">
        <v>46273</v>
      </c>
      <c r="D3314" t="s">
        <v>35</v>
      </c>
      <c r="E3314" t="s">
        <v>36</v>
      </c>
      <c r="F3314" t="s">
        <v>37</v>
      </c>
      <c r="G3314">
        <v>756020</v>
      </c>
      <c r="H3314" t="s">
        <v>10012</v>
      </c>
      <c r="I3314" t="s">
        <v>10013</v>
      </c>
      <c r="J3314" t="s">
        <v>161</v>
      </c>
      <c r="O3314" t="s">
        <v>10014</v>
      </c>
      <c r="P3314">
        <v>1027.45</v>
      </c>
      <c r="Q3314">
        <v>1027.45</v>
      </c>
      <c r="R3314">
        <v>997</v>
      </c>
      <c r="S3314">
        <v>1019</v>
      </c>
      <c r="T3314">
        <v>1024.7</v>
      </c>
      <c r="U3314">
        <v>1012.9</v>
      </c>
      <c r="W3314">
        <v>1019.05</v>
      </c>
      <c r="Z3314">
        <v>59543</v>
      </c>
      <c r="AA3314">
        <v>60054011.200000003</v>
      </c>
      <c r="AB3314">
        <v>4431</v>
      </c>
      <c r="AC3314" t="s">
        <v>42</v>
      </c>
      <c r="AD3314">
        <v>1</v>
      </c>
    </row>
    <row r="3315" spans="1:30">
      <c r="A3315" t="str">
        <f>CONCATENATE(I3315,J3315)</f>
        <v>TIPSFILMSEQ</v>
      </c>
      <c r="B3315" s="34">
        <v>46273</v>
      </c>
      <c r="C3315" s="34">
        <v>46273</v>
      </c>
      <c r="D3315" t="s">
        <v>35</v>
      </c>
      <c r="E3315" t="s">
        <v>36</v>
      </c>
      <c r="F3315" t="s">
        <v>37</v>
      </c>
      <c r="G3315">
        <v>11374</v>
      </c>
      <c r="H3315" t="s">
        <v>10015</v>
      </c>
      <c r="I3315" t="s">
        <v>10016</v>
      </c>
      <c r="J3315" t="s">
        <v>161</v>
      </c>
      <c r="O3315" t="s">
        <v>10017</v>
      </c>
      <c r="P3315">
        <v>328.15</v>
      </c>
      <c r="Q3315">
        <v>336</v>
      </c>
      <c r="R3315">
        <v>325</v>
      </c>
      <c r="S3315">
        <v>331.1</v>
      </c>
      <c r="T3315">
        <v>333.2</v>
      </c>
      <c r="U3315">
        <v>328.15</v>
      </c>
      <c r="W3315">
        <v>331.35</v>
      </c>
      <c r="Z3315">
        <v>2076</v>
      </c>
      <c r="AA3315">
        <v>688409.8</v>
      </c>
      <c r="AB3315">
        <v>266</v>
      </c>
      <c r="AC3315" t="s">
        <v>42</v>
      </c>
      <c r="AD3315">
        <v>1</v>
      </c>
    </row>
    <row r="3316" spans="1:30">
      <c r="A3316" t="str">
        <f>CONCATENATE(I3316,J3316)</f>
        <v>TIPSMUSICEQ</v>
      </c>
      <c r="B3316" s="34">
        <v>46273</v>
      </c>
      <c r="C3316" s="34">
        <v>46273</v>
      </c>
      <c r="D3316" t="s">
        <v>35</v>
      </c>
      <c r="E3316" t="s">
        <v>36</v>
      </c>
      <c r="F3316" t="s">
        <v>37</v>
      </c>
      <c r="G3316">
        <v>9117</v>
      </c>
      <c r="H3316" t="s">
        <v>10018</v>
      </c>
      <c r="I3316" t="s">
        <v>10019</v>
      </c>
      <c r="J3316" t="s">
        <v>161</v>
      </c>
      <c r="O3316" t="s">
        <v>10020</v>
      </c>
      <c r="P3316">
        <v>643.70000000000005</v>
      </c>
      <c r="Q3316">
        <v>663.8</v>
      </c>
      <c r="R3316">
        <v>641.15</v>
      </c>
      <c r="S3316">
        <v>644.9</v>
      </c>
      <c r="T3316">
        <v>643.20000000000005</v>
      </c>
      <c r="U3316">
        <v>643.70000000000005</v>
      </c>
      <c r="W3316">
        <v>644.9</v>
      </c>
      <c r="Z3316">
        <v>300602</v>
      </c>
      <c r="AA3316">
        <v>195802118.44999999</v>
      </c>
      <c r="AB3316">
        <v>21021</v>
      </c>
      <c r="AC3316" t="s">
        <v>42</v>
      </c>
      <c r="AD3316">
        <v>1</v>
      </c>
    </row>
    <row r="3317" spans="1:30">
      <c r="A3317" t="str">
        <f>CONCATENATE(I3317,J3317)</f>
        <v>TIRUPATIFLBE</v>
      </c>
      <c r="B3317" s="34">
        <v>46273</v>
      </c>
      <c r="C3317" s="34">
        <v>46273</v>
      </c>
      <c r="D3317" t="s">
        <v>35</v>
      </c>
      <c r="E3317" t="s">
        <v>36</v>
      </c>
      <c r="F3317" t="s">
        <v>37</v>
      </c>
      <c r="G3317">
        <v>22284</v>
      </c>
      <c r="H3317" t="s">
        <v>10021</v>
      </c>
      <c r="I3317" t="s">
        <v>10022</v>
      </c>
      <c r="J3317" t="s">
        <v>183</v>
      </c>
      <c r="O3317" t="s">
        <v>10023</v>
      </c>
      <c r="P3317">
        <v>71.55</v>
      </c>
      <c r="Q3317">
        <v>71.790000000000006</v>
      </c>
      <c r="R3317">
        <v>69</v>
      </c>
      <c r="S3317">
        <v>70.02</v>
      </c>
      <c r="T3317">
        <v>70</v>
      </c>
      <c r="U3317">
        <v>70.849999999999994</v>
      </c>
      <c r="W3317">
        <v>70.02</v>
      </c>
      <c r="Z3317">
        <v>128662</v>
      </c>
      <c r="AA3317">
        <v>9012663.4499999993</v>
      </c>
      <c r="AB3317">
        <v>637</v>
      </c>
      <c r="AC3317" t="s">
        <v>42</v>
      </c>
      <c r="AD3317">
        <v>1</v>
      </c>
    </row>
    <row r="3318" spans="1:30">
      <c r="A3318" t="str">
        <f>CONCATENATE(I3318,J3318)</f>
        <v>TITAGARHEQ</v>
      </c>
      <c r="B3318" s="34">
        <v>46273</v>
      </c>
      <c r="C3318" s="34">
        <v>46273</v>
      </c>
      <c r="D3318" t="s">
        <v>35</v>
      </c>
      <c r="E3318" t="s">
        <v>36</v>
      </c>
      <c r="F3318" t="s">
        <v>37</v>
      </c>
      <c r="G3318">
        <v>15414</v>
      </c>
      <c r="H3318" t="s">
        <v>10024</v>
      </c>
      <c r="I3318" t="s">
        <v>10025</v>
      </c>
      <c r="J3318" t="s">
        <v>161</v>
      </c>
      <c r="O3318" t="s">
        <v>10026</v>
      </c>
      <c r="P3318">
        <v>897</v>
      </c>
      <c r="Q3318">
        <v>897.9</v>
      </c>
      <c r="R3318">
        <v>874</v>
      </c>
      <c r="S3318">
        <v>880.8</v>
      </c>
      <c r="T3318">
        <v>883.3</v>
      </c>
      <c r="U3318">
        <v>896.45</v>
      </c>
      <c r="W3318">
        <v>880.85</v>
      </c>
      <c r="Z3318">
        <v>606235</v>
      </c>
      <c r="AA3318">
        <v>537038118.54999995</v>
      </c>
      <c r="AB3318">
        <v>27162</v>
      </c>
      <c r="AC3318" t="s">
        <v>42</v>
      </c>
      <c r="AD3318">
        <v>1</v>
      </c>
    </row>
    <row r="3319" spans="1:30">
      <c r="A3319" t="str">
        <f>CONCATENATE(I3319,J3319)</f>
        <v>TITANEQ</v>
      </c>
      <c r="B3319" s="34">
        <v>46273</v>
      </c>
      <c r="C3319" s="34">
        <v>46273</v>
      </c>
      <c r="D3319" t="s">
        <v>35</v>
      </c>
      <c r="E3319" t="s">
        <v>36</v>
      </c>
      <c r="F3319" t="s">
        <v>37</v>
      </c>
      <c r="G3319">
        <v>3506</v>
      </c>
      <c r="H3319" t="s">
        <v>10027</v>
      </c>
      <c r="I3319" t="s">
        <v>10028</v>
      </c>
      <c r="J3319" t="s">
        <v>161</v>
      </c>
      <c r="O3319" t="s">
        <v>10029</v>
      </c>
      <c r="P3319">
        <v>4975</v>
      </c>
      <c r="Q3319">
        <v>5015.5</v>
      </c>
      <c r="R3319">
        <v>4969</v>
      </c>
      <c r="S3319">
        <v>4987</v>
      </c>
      <c r="T3319">
        <v>4987</v>
      </c>
      <c r="U3319">
        <v>4995</v>
      </c>
      <c r="W3319">
        <v>4987.03</v>
      </c>
      <c r="Z3319">
        <v>432671</v>
      </c>
      <c r="AA3319">
        <v>2159583986.5</v>
      </c>
      <c r="AB3319">
        <v>37945</v>
      </c>
      <c r="AC3319" t="s">
        <v>42</v>
      </c>
      <c r="AD3319">
        <v>1</v>
      </c>
    </row>
    <row r="3320" spans="1:30">
      <c r="A3320" t="str">
        <f>CONCATENATE(I3320,J3320)</f>
        <v>TOKYOPLASTEQ</v>
      </c>
      <c r="B3320" s="34">
        <v>46273</v>
      </c>
      <c r="C3320" s="34">
        <v>46273</v>
      </c>
      <c r="D3320" t="s">
        <v>35</v>
      </c>
      <c r="E3320" t="s">
        <v>36</v>
      </c>
      <c r="F3320" t="s">
        <v>37</v>
      </c>
      <c r="G3320">
        <v>3837</v>
      </c>
      <c r="H3320" t="s">
        <v>10030</v>
      </c>
      <c r="I3320" t="s">
        <v>10031</v>
      </c>
      <c r="J3320" t="s">
        <v>161</v>
      </c>
      <c r="O3320" t="s">
        <v>10032</v>
      </c>
      <c r="P3320">
        <v>73</v>
      </c>
      <c r="Q3320">
        <v>78.5</v>
      </c>
      <c r="R3320">
        <v>73</v>
      </c>
      <c r="S3320">
        <v>78.5</v>
      </c>
      <c r="T3320">
        <v>78.5</v>
      </c>
      <c r="U3320">
        <v>75.989999999999995</v>
      </c>
      <c r="W3320">
        <v>78.5</v>
      </c>
      <c r="Z3320">
        <v>669</v>
      </c>
      <c r="AA3320">
        <v>50542.5</v>
      </c>
      <c r="AB3320">
        <v>15</v>
      </c>
      <c r="AC3320" t="s">
        <v>42</v>
      </c>
      <c r="AD3320">
        <v>1</v>
      </c>
    </row>
    <row r="3321" spans="1:30">
      <c r="A3321" t="str">
        <f>CONCATENATE(I3321,J3321)</f>
        <v>TOLINSEQ</v>
      </c>
      <c r="B3321" s="34">
        <v>46273</v>
      </c>
      <c r="C3321" s="34">
        <v>46273</v>
      </c>
      <c r="D3321" t="s">
        <v>35</v>
      </c>
      <c r="E3321" t="s">
        <v>36</v>
      </c>
      <c r="F3321" t="s">
        <v>37</v>
      </c>
      <c r="G3321">
        <v>25262</v>
      </c>
      <c r="H3321" t="s">
        <v>10033</v>
      </c>
      <c r="I3321" t="s">
        <v>10034</v>
      </c>
      <c r="J3321" t="s">
        <v>161</v>
      </c>
      <c r="O3321" t="s">
        <v>10035</v>
      </c>
      <c r="P3321">
        <v>92.26</v>
      </c>
      <c r="Q3321">
        <v>94.94</v>
      </c>
      <c r="R3321">
        <v>91.11</v>
      </c>
      <c r="S3321">
        <v>92.23</v>
      </c>
      <c r="T3321">
        <v>92.39</v>
      </c>
      <c r="U3321">
        <v>92.26</v>
      </c>
      <c r="W3321">
        <v>92.19</v>
      </c>
      <c r="Z3321">
        <v>22178</v>
      </c>
      <c r="AA3321">
        <v>2034980.09</v>
      </c>
      <c r="AB3321">
        <v>614</v>
      </c>
      <c r="AC3321" t="s">
        <v>42</v>
      </c>
      <c r="AD3321">
        <v>1</v>
      </c>
    </row>
    <row r="3322" spans="1:30">
      <c r="A3322" t="str">
        <f>CONCATENATE(I3322,J3322)</f>
        <v>TORNTPHARMEQ</v>
      </c>
      <c r="B3322" s="34">
        <v>46273</v>
      </c>
      <c r="C3322" s="34">
        <v>46273</v>
      </c>
      <c r="D3322" t="s">
        <v>35</v>
      </c>
      <c r="E3322" t="s">
        <v>36</v>
      </c>
      <c r="F3322" t="s">
        <v>37</v>
      </c>
      <c r="G3322">
        <v>3518</v>
      </c>
      <c r="H3322" t="s">
        <v>10036</v>
      </c>
      <c r="I3322" t="s">
        <v>10037</v>
      </c>
      <c r="J3322" t="s">
        <v>161</v>
      </c>
      <c r="O3322" t="s">
        <v>10038</v>
      </c>
      <c r="P3322">
        <v>4900</v>
      </c>
      <c r="Q3322">
        <v>4983.5</v>
      </c>
      <c r="R3322">
        <v>4887</v>
      </c>
      <c r="S3322">
        <v>4960</v>
      </c>
      <c r="T3322">
        <v>4960</v>
      </c>
      <c r="U3322">
        <v>4914</v>
      </c>
      <c r="W3322">
        <v>4960</v>
      </c>
      <c r="Z3322">
        <v>258478</v>
      </c>
      <c r="AA3322">
        <v>1276617126</v>
      </c>
      <c r="AB3322">
        <v>24237</v>
      </c>
      <c r="AC3322" t="s">
        <v>42</v>
      </c>
      <c r="AD3322">
        <v>1</v>
      </c>
    </row>
    <row r="3323" spans="1:30">
      <c r="A3323" t="str">
        <f>CONCATENATE(I3323,J3323)</f>
        <v>TORNTPOWEREQ</v>
      </c>
      <c r="B3323" s="34">
        <v>46273</v>
      </c>
      <c r="C3323" s="34">
        <v>46273</v>
      </c>
      <c r="D3323" t="s">
        <v>35</v>
      </c>
      <c r="E3323" t="s">
        <v>36</v>
      </c>
      <c r="F3323" t="s">
        <v>37</v>
      </c>
      <c r="G3323">
        <v>13786</v>
      </c>
      <c r="H3323" t="s">
        <v>10039</v>
      </c>
      <c r="I3323" t="s">
        <v>10040</v>
      </c>
      <c r="J3323" t="s">
        <v>161</v>
      </c>
      <c r="O3323" t="s">
        <v>10041</v>
      </c>
      <c r="P3323">
        <v>1275</v>
      </c>
      <c r="Q3323">
        <v>1283.9000000000001</v>
      </c>
      <c r="R3323">
        <v>1257.5999999999999</v>
      </c>
      <c r="S3323">
        <v>1270.2</v>
      </c>
      <c r="T3323">
        <v>1277</v>
      </c>
      <c r="U3323">
        <v>1275.7</v>
      </c>
      <c r="W3323">
        <v>1270.1199999999999</v>
      </c>
      <c r="Z3323">
        <v>254564</v>
      </c>
      <c r="AA3323">
        <v>322789824</v>
      </c>
      <c r="AB3323">
        <v>18983</v>
      </c>
      <c r="AC3323" t="s">
        <v>42</v>
      </c>
      <c r="AD3323">
        <v>1</v>
      </c>
    </row>
    <row r="3324" spans="1:30">
      <c r="A3324" t="str">
        <f>CONCATENATE(I3324,J3324)</f>
        <v>TOTALEQ</v>
      </c>
      <c r="B3324" s="34">
        <v>46273</v>
      </c>
      <c r="C3324" s="34">
        <v>46273</v>
      </c>
      <c r="D3324" t="s">
        <v>35</v>
      </c>
      <c r="E3324" t="s">
        <v>36</v>
      </c>
      <c r="F3324" t="s">
        <v>37</v>
      </c>
      <c r="G3324">
        <v>22423</v>
      </c>
      <c r="H3324" t="s">
        <v>10042</v>
      </c>
      <c r="I3324" t="s">
        <v>10043</v>
      </c>
      <c r="J3324" t="s">
        <v>161</v>
      </c>
      <c r="O3324" t="s">
        <v>10044</v>
      </c>
      <c r="P3324">
        <v>72.03</v>
      </c>
      <c r="Q3324">
        <v>74.12</v>
      </c>
      <c r="R3324">
        <v>72.03</v>
      </c>
      <c r="S3324">
        <v>73.72</v>
      </c>
      <c r="T3324">
        <v>74</v>
      </c>
      <c r="U3324">
        <v>74.14</v>
      </c>
      <c r="W3324">
        <v>73.72</v>
      </c>
      <c r="Z3324">
        <v>5858</v>
      </c>
      <c r="AA3324">
        <v>431300.94</v>
      </c>
      <c r="AB3324">
        <v>126</v>
      </c>
      <c r="AC3324" t="s">
        <v>42</v>
      </c>
      <c r="AD3324">
        <v>1</v>
      </c>
    </row>
    <row r="3325" spans="1:30">
      <c r="A3325" t="str">
        <f>CONCATENATE(I3325,J3325)</f>
        <v>TOUCHWOODEQ</v>
      </c>
      <c r="B3325" s="34">
        <v>46273</v>
      </c>
      <c r="C3325" s="34">
        <v>46273</v>
      </c>
      <c r="D3325" t="s">
        <v>35</v>
      </c>
      <c r="E3325" t="s">
        <v>36</v>
      </c>
      <c r="F3325" t="s">
        <v>37</v>
      </c>
      <c r="G3325">
        <v>16908</v>
      </c>
      <c r="H3325" t="s">
        <v>10045</v>
      </c>
      <c r="I3325" t="s">
        <v>10046</v>
      </c>
      <c r="J3325" t="s">
        <v>161</v>
      </c>
      <c r="O3325" t="s">
        <v>10047</v>
      </c>
      <c r="P3325">
        <v>64.989999999999995</v>
      </c>
      <c r="Q3325">
        <v>64.989999999999995</v>
      </c>
      <c r="R3325">
        <v>60.2</v>
      </c>
      <c r="S3325">
        <v>61.06</v>
      </c>
      <c r="T3325">
        <v>60.51</v>
      </c>
      <c r="U3325">
        <v>62</v>
      </c>
      <c r="W3325">
        <v>61.06</v>
      </c>
      <c r="Z3325">
        <v>666</v>
      </c>
      <c r="AA3325">
        <v>41158.5</v>
      </c>
      <c r="AB3325">
        <v>45</v>
      </c>
      <c r="AC3325" t="s">
        <v>42</v>
      </c>
      <c r="AD3325">
        <v>1</v>
      </c>
    </row>
    <row r="3326" spans="1:30">
      <c r="A3326" t="str">
        <f>CONCATENATE(I3326,J3326)</f>
        <v>TFCILTDEQ</v>
      </c>
      <c r="B3326" s="34">
        <v>46273</v>
      </c>
      <c r="C3326" s="34">
        <v>46273</v>
      </c>
      <c r="D3326" t="s">
        <v>35</v>
      </c>
      <c r="E3326" t="s">
        <v>36</v>
      </c>
      <c r="F3326" t="s">
        <v>37</v>
      </c>
      <c r="G3326">
        <v>3466</v>
      </c>
      <c r="H3326" t="s">
        <v>10048</v>
      </c>
      <c r="I3326" t="s">
        <v>10049</v>
      </c>
      <c r="J3326" t="s">
        <v>161</v>
      </c>
      <c r="O3326" t="s">
        <v>10050</v>
      </c>
      <c r="P3326">
        <v>140.51</v>
      </c>
      <c r="Q3326">
        <v>143.85</v>
      </c>
      <c r="R3326">
        <v>139.33000000000001</v>
      </c>
      <c r="S3326">
        <v>140.88999999999999</v>
      </c>
      <c r="T3326">
        <v>141.18</v>
      </c>
      <c r="U3326">
        <v>140.9</v>
      </c>
      <c r="W3326">
        <v>140.88999999999999</v>
      </c>
      <c r="Z3326">
        <v>7108611</v>
      </c>
      <c r="AA3326">
        <v>1005227084.05</v>
      </c>
      <c r="AB3326">
        <v>18539</v>
      </c>
      <c r="AC3326" t="s">
        <v>42</v>
      </c>
      <c r="AD3326">
        <v>1</v>
      </c>
    </row>
    <row r="3327" spans="1:30">
      <c r="A3327" t="str">
        <f>CONCATENATE(I3327,J3327)</f>
        <v>TOYAMSLEQ</v>
      </c>
      <c r="B3327" s="34">
        <v>46273</v>
      </c>
      <c r="C3327" s="34">
        <v>46273</v>
      </c>
      <c r="D3327" t="s">
        <v>35</v>
      </c>
      <c r="E3327" t="s">
        <v>36</v>
      </c>
      <c r="F3327" t="s">
        <v>37</v>
      </c>
      <c r="G3327">
        <v>765195</v>
      </c>
      <c r="H3327" t="s">
        <v>10051</v>
      </c>
      <c r="I3327" t="s">
        <v>10052</v>
      </c>
      <c r="J3327" t="s">
        <v>161</v>
      </c>
      <c r="O3327" t="s">
        <v>10053</v>
      </c>
      <c r="P3327">
        <v>0.62</v>
      </c>
      <c r="Q3327">
        <v>0.64</v>
      </c>
      <c r="R3327">
        <v>0.61</v>
      </c>
      <c r="S3327">
        <v>0.62</v>
      </c>
      <c r="T3327">
        <v>0.64</v>
      </c>
      <c r="U3327">
        <v>0.61</v>
      </c>
      <c r="W3327">
        <v>0.62</v>
      </c>
      <c r="Z3327">
        <v>594749</v>
      </c>
      <c r="AA3327">
        <v>369576.98</v>
      </c>
      <c r="AB3327">
        <v>178</v>
      </c>
      <c r="AC3327" t="s">
        <v>42</v>
      </c>
      <c r="AD3327">
        <v>1</v>
      </c>
    </row>
    <row r="3328" spans="1:30">
      <c r="A3328" t="str">
        <f>CONCATENATE(I3328,J3328)</f>
        <v>TPLPLASTEHEQ</v>
      </c>
      <c r="B3328" s="34">
        <v>46273</v>
      </c>
      <c r="C3328" s="34">
        <v>46273</v>
      </c>
      <c r="D3328" t="s">
        <v>35</v>
      </c>
      <c r="E3328" t="s">
        <v>36</v>
      </c>
      <c r="F3328" t="s">
        <v>37</v>
      </c>
      <c r="G3328">
        <v>9219</v>
      </c>
      <c r="H3328" t="s">
        <v>10054</v>
      </c>
      <c r="I3328" t="s">
        <v>10055</v>
      </c>
      <c r="J3328" t="s">
        <v>161</v>
      </c>
      <c r="O3328" t="s">
        <v>10056</v>
      </c>
      <c r="P3328">
        <v>68.98</v>
      </c>
      <c r="Q3328">
        <v>69.33</v>
      </c>
      <c r="R3328">
        <v>66.069999999999993</v>
      </c>
      <c r="S3328">
        <v>67.69</v>
      </c>
      <c r="T3328">
        <v>67.2</v>
      </c>
      <c r="U3328">
        <v>68.61</v>
      </c>
      <c r="W3328">
        <v>67.69</v>
      </c>
      <c r="Z3328">
        <v>187605</v>
      </c>
      <c r="AA3328">
        <v>12694184.619999999</v>
      </c>
      <c r="AB3328">
        <v>1889</v>
      </c>
      <c r="AC3328" t="s">
        <v>42</v>
      </c>
      <c r="AD3328">
        <v>1</v>
      </c>
    </row>
    <row r="3329" spans="1:30">
      <c r="A3329" t="str">
        <f>CONCATENATE(I3329,J3329)</f>
        <v>TRACXNEQ</v>
      </c>
      <c r="B3329" s="34">
        <v>46273</v>
      </c>
      <c r="C3329" s="34">
        <v>46273</v>
      </c>
      <c r="D3329" t="s">
        <v>35</v>
      </c>
      <c r="E3329" t="s">
        <v>36</v>
      </c>
      <c r="F3329" t="s">
        <v>37</v>
      </c>
      <c r="G3329">
        <v>11582</v>
      </c>
      <c r="H3329" t="s">
        <v>10057</v>
      </c>
      <c r="I3329" t="s">
        <v>10058</v>
      </c>
      <c r="J3329" t="s">
        <v>161</v>
      </c>
      <c r="O3329" t="s">
        <v>10059</v>
      </c>
      <c r="P3329">
        <v>29.5</v>
      </c>
      <c r="Q3329">
        <v>30</v>
      </c>
      <c r="R3329">
        <v>28.3</v>
      </c>
      <c r="S3329">
        <v>29.01</v>
      </c>
      <c r="T3329">
        <v>29.25</v>
      </c>
      <c r="U3329">
        <v>29.68</v>
      </c>
      <c r="W3329">
        <v>29.01</v>
      </c>
      <c r="Z3329">
        <v>387852</v>
      </c>
      <c r="AA3329">
        <v>11339666.359999999</v>
      </c>
      <c r="AB3329">
        <v>1632</v>
      </c>
      <c r="AC3329" t="s">
        <v>42</v>
      </c>
      <c r="AD3329">
        <v>1</v>
      </c>
    </row>
    <row r="3330" spans="1:30">
      <c r="A3330" t="str">
        <f>CONCATENATE(I3330,J3330)</f>
        <v>TARILEQ</v>
      </c>
      <c r="B3330" s="34">
        <v>46273</v>
      </c>
      <c r="C3330" s="34">
        <v>46273</v>
      </c>
      <c r="D3330" t="s">
        <v>35</v>
      </c>
      <c r="E3330" t="s">
        <v>36</v>
      </c>
      <c r="F3330" t="s">
        <v>37</v>
      </c>
      <c r="G3330">
        <v>15174</v>
      </c>
      <c r="H3330" t="s">
        <v>10060</v>
      </c>
      <c r="I3330" t="s">
        <v>10061</v>
      </c>
      <c r="J3330" t="s">
        <v>161</v>
      </c>
      <c r="O3330" t="s">
        <v>10062</v>
      </c>
      <c r="P3330">
        <v>298.39999999999998</v>
      </c>
      <c r="Q3330">
        <v>299.89999999999998</v>
      </c>
      <c r="R3330">
        <v>295.5</v>
      </c>
      <c r="S3330">
        <v>297.14999999999998</v>
      </c>
      <c r="T3330">
        <v>298.2</v>
      </c>
      <c r="U3330">
        <v>299.64999999999998</v>
      </c>
      <c r="W3330">
        <v>297.13</v>
      </c>
      <c r="Z3330">
        <v>569307</v>
      </c>
      <c r="AA3330">
        <v>169136375.30000001</v>
      </c>
      <c r="AB3330">
        <v>12449</v>
      </c>
      <c r="AC3330" t="s">
        <v>42</v>
      </c>
      <c r="AD3330">
        <v>1</v>
      </c>
    </row>
    <row r="3331" spans="1:30">
      <c r="A3331" t="str">
        <f>CONCATENATE(I3331,J3331)</f>
        <v>TRANSCOREQ</v>
      </c>
      <c r="B3331" s="34">
        <v>46273</v>
      </c>
      <c r="C3331" s="34">
        <v>46273</v>
      </c>
      <c r="D3331" t="s">
        <v>35</v>
      </c>
      <c r="E3331" t="s">
        <v>36</v>
      </c>
      <c r="F3331" t="s">
        <v>37</v>
      </c>
      <c r="G3331">
        <v>765200</v>
      </c>
      <c r="H3331" t="s">
        <v>10063</v>
      </c>
      <c r="I3331" t="s">
        <v>10064</v>
      </c>
      <c r="J3331" t="s">
        <v>161</v>
      </c>
      <c r="O3331" t="s">
        <v>10065</v>
      </c>
      <c r="P3331">
        <v>26</v>
      </c>
      <c r="Q3331">
        <v>26</v>
      </c>
      <c r="R3331">
        <v>24.35</v>
      </c>
      <c r="S3331">
        <v>24.99</v>
      </c>
      <c r="T3331">
        <v>25.53</v>
      </c>
      <c r="U3331">
        <v>25.14</v>
      </c>
      <c r="W3331">
        <v>25.45</v>
      </c>
      <c r="Z3331">
        <v>1072</v>
      </c>
      <c r="AA3331">
        <v>26764.84</v>
      </c>
      <c r="AB3331">
        <v>86</v>
      </c>
      <c r="AC3331" t="s">
        <v>42</v>
      </c>
      <c r="AD3331">
        <v>1</v>
      </c>
    </row>
    <row r="3332" spans="1:30">
      <c r="A3332" t="str">
        <f>CONCATENATE(I3332,J3332)</f>
        <v>TRELEQ</v>
      </c>
      <c r="B3332" s="34">
        <v>46273</v>
      </c>
      <c r="C3332" s="34">
        <v>46273</v>
      </c>
      <c r="D3332" t="s">
        <v>35</v>
      </c>
      <c r="E3332" t="s">
        <v>36</v>
      </c>
      <c r="F3332" t="s">
        <v>37</v>
      </c>
      <c r="G3332">
        <v>17795</v>
      </c>
      <c r="H3332" t="s">
        <v>10066</v>
      </c>
      <c r="I3332" t="s">
        <v>10067</v>
      </c>
      <c r="J3332" t="s">
        <v>161</v>
      </c>
      <c r="O3332" t="s">
        <v>10068</v>
      </c>
      <c r="P3332">
        <v>26.7</v>
      </c>
      <c r="Q3332">
        <v>27.75</v>
      </c>
      <c r="R3332">
        <v>26</v>
      </c>
      <c r="S3332">
        <v>26.72</v>
      </c>
      <c r="T3332">
        <v>26.36</v>
      </c>
      <c r="U3332">
        <v>27.18</v>
      </c>
      <c r="W3332">
        <v>26.71</v>
      </c>
      <c r="Z3332">
        <v>161113</v>
      </c>
      <c r="AA3332">
        <v>4338592.03</v>
      </c>
      <c r="AB3332">
        <v>3562</v>
      </c>
      <c r="AC3332" t="s">
        <v>42</v>
      </c>
      <c r="AD3332">
        <v>1</v>
      </c>
    </row>
    <row r="3333" spans="1:30">
      <c r="A3333" t="str">
        <f>CONCATENATE(I3333,J3333)</f>
        <v>TRANSPEKBE</v>
      </c>
      <c r="B3333" s="34">
        <v>46273</v>
      </c>
      <c r="C3333" s="34">
        <v>46273</v>
      </c>
      <c r="D3333" t="s">
        <v>35</v>
      </c>
      <c r="E3333" t="s">
        <v>36</v>
      </c>
      <c r="F3333" t="s">
        <v>37</v>
      </c>
      <c r="G3333">
        <v>7669</v>
      </c>
      <c r="H3333" t="s">
        <v>10069</v>
      </c>
      <c r="I3333" t="s">
        <v>10070</v>
      </c>
      <c r="J3333" t="s">
        <v>183</v>
      </c>
      <c r="O3333" t="s">
        <v>10071</v>
      </c>
      <c r="P3333">
        <v>1400</v>
      </c>
      <c r="Q3333">
        <v>1401</v>
      </c>
      <c r="R3333">
        <v>1351.2</v>
      </c>
      <c r="S3333">
        <v>1370.4</v>
      </c>
      <c r="T3333">
        <v>1356</v>
      </c>
      <c r="U3333">
        <v>1399.2</v>
      </c>
      <c r="W3333">
        <v>1369.6</v>
      </c>
      <c r="Z3333">
        <v>3860</v>
      </c>
      <c r="AA3333">
        <v>5280478.0999999996</v>
      </c>
      <c r="AB3333">
        <v>117</v>
      </c>
      <c r="AC3333" t="s">
        <v>42</v>
      </c>
      <c r="AD3333">
        <v>1</v>
      </c>
    </row>
    <row r="3334" spans="1:30">
      <c r="A3334" t="str">
        <f>CONCATENATE(I3334,J3334)</f>
        <v>TCIEQ</v>
      </c>
      <c r="B3334" s="34">
        <v>46273</v>
      </c>
      <c r="C3334" s="34">
        <v>46273</v>
      </c>
      <c r="D3334" t="s">
        <v>35</v>
      </c>
      <c r="E3334" t="s">
        <v>36</v>
      </c>
      <c r="F3334" t="s">
        <v>37</v>
      </c>
      <c r="G3334">
        <v>10580</v>
      </c>
      <c r="H3334" t="s">
        <v>10072</v>
      </c>
      <c r="I3334" t="s">
        <v>10073</v>
      </c>
      <c r="J3334" t="s">
        <v>161</v>
      </c>
      <c r="O3334" t="s">
        <v>10074</v>
      </c>
      <c r="P3334">
        <v>863</v>
      </c>
      <c r="Q3334">
        <v>880</v>
      </c>
      <c r="R3334">
        <v>860</v>
      </c>
      <c r="S3334">
        <v>872.5</v>
      </c>
      <c r="T3334">
        <v>868</v>
      </c>
      <c r="U3334">
        <v>863.95</v>
      </c>
      <c r="W3334">
        <v>872.51</v>
      </c>
      <c r="Z3334">
        <v>21900</v>
      </c>
      <c r="AA3334">
        <v>19094955.5</v>
      </c>
      <c r="AB3334">
        <v>5004</v>
      </c>
      <c r="AC3334" t="s">
        <v>42</v>
      </c>
      <c r="AD3334">
        <v>1</v>
      </c>
    </row>
    <row r="3335" spans="1:30">
      <c r="A3335" t="str">
        <f>CONCATENATE(I3335,J3335)</f>
        <v>TRANSRAILLEQ</v>
      </c>
      <c r="B3335" s="34">
        <v>46273</v>
      </c>
      <c r="C3335" s="34">
        <v>46273</v>
      </c>
      <c r="D3335" t="s">
        <v>35</v>
      </c>
      <c r="E3335" t="s">
        <v>36</v>
      </c>
      <c r="F3335" t="s">
        <v>37</v>
      </c>
      <c r="G3335">
        <v>28714</v>
      </c>
      <c r="H3335" t="s">
        <v>10075</v>
      </c>
      <c r="I3335" t="s">
        <v>10076</v>
      </c>
      <c r="J3335" t="s">
        <v>161</v>
      </c>
      <c r="O3335" t="s">
        <v>10077</v>
      </c>
      <c r="P3335">
        <v>419.55</v>
      </c>
      <c r="Q3335">
        <v>423.55</v>
      </c>
      <c r="R3335">
        <v>416.05</v>
      </c>
      <c r="S3335">
        <v>419</v>
      </c>
      <c r="T3335">
        <v>419</v>
      </c>
      <c r="U3335">
        <v>419.55</v>
      </c>
      <c r="W3335">
        <v>419</v>
      </c>
      <c r="Z3335">
        <v>433538</v>
      </c>
      <c r="AA3335">
        <v>181974273.55000001</v>
      </c>
      <c r="AB3335">
        <v>14847</v>
      </c>
      <c r="AC3335" t="s">
        <v>42</v>
      </c>
      <c r="AD3335">
        <v>1</v>
      </c>
    </row>
    <row r="3336" spans="1:30">
      <c r="A3336" t="str">
        <f>CONCATENATE(I3336,J3336)</f>
        <v>TRANSTEELSM</v>
      </c>
      <c r="B3336" s="34">
        <v>46273</v>
      </c>
      <c r="C3336" s="34">
        <v>46273</v>
      </c>
      <c r="D3336" t="s">
        <v>35</v>
      </c>
      <c r="E3336" t="s">
        <v>36</v>
      </c>
      <c r="F3336" t="s">
        <v>37</v>
      </c>
      <c r="G3336">
        <v>19801</v>
      </c>
      <c r="H3336" t="s">
        <v>10078</v>
      </c>
      <c r="I3336" t="s">
        <v>10079</v>
      </c>
      <c r="J3336" t="s">
        <v>267</v>
      </c>
      <c r="O3336" t="s">
        <v>10080</v>
      </c>
      <c r="P3336">
        <v>76.599999999999994</v>
      </c>
      <c r="Q3336">
        <v>76.900000000000006</v>
      </c>
      <c r="R3336">
        <v>75.05</v>
      </c>
      <c r="S3336">
        <v>75.45</v>
      </c>
      <c r="T3336">
        <v>75.5</v>
      </c>
      <c r="U3336">
        <v>76</v>
      </c>
      <c r="W3336">
        <v>75.45</v>
      </c>
      <c r="Z3336">
        <v>124000</v>
      </c>
      <c r="AA3336">
        <v>9438600</v>
      </c>
      <c r="AB3336">
        <v>65</v>
      </c>
      <c r="AC3336" t="s">
        <v>42</v>
      </c>
      <c r="AD3336">
        <v>1000</v>
      </c>
    </row>
    <row r="3337" spans="1:30">
      <c r="A3337" t="str">
        <f>CONCATENATE(I3337,J3337)</f>
        <v>TFLEQ</v>
      </c>
      <c r="B3337" s="34">
        <v>46273</v>
      </c>
      <c r="C3337" s="34">
        <v>46273</v>
      </c>
      <c r="D3337" t="s">
        <v>35</v>
      </c>
      <c r="E3337" t="s">
        <v>36</v>
      </c>
      <c r="F3337" t="s">
        <v>37</v>
      </c>
      <c r="G3337">
        <v>14319</v>
      </c>
      <c r="H3337" t="s">
        <v>10081</v>
      </c>
      <c r="I3337" t="s">
        <v>10082</v>
      </c>
      <c r="J3337" t="s">
        <v>161</v>
      </c>
      <c r="O3337" t="s">
        <v>10083</v>
      </c>
      <c r="P3337">
        <v>12.11</v>
      </c>
      <c r="Q3337">
        <v>12.4</v>
      </c>
      <c r="R3337">
        <v>11.94</v>
      </c>
      <c r="S3337">
        <v>12.06</v>
      </c>
      <c r="T3337">
        <v>11.98</v>
      </c>
      <c r="U3337">
        <v>11.91</v>
      </c>
      <c r="W3337">
        <v>12.06</v>
      </c>
      <c r="Z3337">
        <v>7174</v>
      </c>
      <c r="AA3337">
        <v>87451.81</v>
      </c>
      <c r="AB3337">
        <v>20</v>
      </c>
      <c r="AC3337" t="s">
        <v>42</v>
      </c>
      <c r="AD3337">
        <v>1</v>
      </c>
    </row>
    <row r="3338" spans="1:30">
      <c r="A3338" t="str">
        <f>CONCATENATE(I3338,J3338)</f>
        <v>TRANSWORLDBE</v>
      </c>
      <c r="B3338" s="34">
        <v>46273</v>
      </c>
      <c r="C3338" s="34">
        <v>46273</v>
      </c>
      <c r="D3338" t="s">
        <v>35</v>
      </c>
      <c r="E3338" t="s">
        <v>36</v>
      </c>
      <c r="F3338" t="s">
        <v>37</v>
      </c>
      <c r="G3338">
        <v>8619</v>
      </c>
      <c r="H3338" t="s">
        <v>10084</v>
      </c>
      <c r="I3338" t="s">
        <v>10085</v>
      </c>
      <c r="J3338" t="s">
        <v>183</v>
      </c>
      <c r="O3338" t="s">
        <v>10086</v>
      </c>
      <c r="P3338">
        <v>170</v>
      </c>
      <c r="Q3338">
        <v>171.99</v>
      </c>
      <c r="R3338">
        <v>170</v>
      </c>
      <c r="S3338">
        <v>171</v>
      </c>
      <c r="T3338">
        <v>171</v>
      </c>
      <c r="U3338">
        <v>172</v>
      </c>
      <c r="W3338">
        <v>169.8</v>
      </c>
      <c r="Z3338">
        <v>2660</v>
      </c>
      <c r="AA3338">
        <v>454008.85</v>
      </c>
      <c r="AB3338">
        <v>31</v>
      </c>
      <c r="AC3338" t="s">
        <v>42</v>
      </c>
      <c r="AD3338">
        <v>1</v>
      </c>
    </row>
    <row r="3339" spans="1:30">
      <c r="A3339" t="str">
        <f>CONCATENATE(I3339,J3339)</f>
        <v>TRAVELFOODEQ</v>
      </c>
      <c r="B3339" s="34">
        <v>46273</v>
      </c>
      <c r="C3339" s="34">
        <v>46273</v>
      </c>
      <c r="D3339" t="s">
        <v>35</v>
      </c>
      <c r="E3339" t="s">
        <v>36</v>
      </c>
      <c r="F3339" t="s">
        <v>37</v>
      </c>
      <c r="G3339">
        <v>757545</v>
      </c>
      <c r="H3339" t="s">
        <v>10087</v>
      </c>
      <c r="I3339" t="s">
        <v>10088</v>
      </c>
      <c r="J3339" t="s">
        <v>161</v>
      </c>
      <c r="O3339" t="s">
        <v>10089</v>
      </c>
      <c r="P3339">
        <v>1285</v>
      </c>
      <c r="Q3339">
        <v>1304</v>
      </c>
      <c r="R3339">
        <v>1275.0999999999999</v>
      </c>
      <c r="S3339">
        <v>1295.5</v>
      </c>
      <c r="T3339">
        <v>1303</v>
      </c>
      <c r="U3339">
        <v>1285.3</v>
      </c>
      <c r="W3339">
        <v>1295.48</v>
      </c>
      <c r="Z3339">
        <v>26045</v>
      </c>
      <c r="AA3339">
        <v>33483666.899999999</v>
      </c>
      <c r="AB3339">
        <v>3205</v>
      </c>
      <c r="AC3339" t="s">
        <v>42</v>
      </c>
      <c r="AD3339">
        <v>1</v>
      </c>
    </row>
    <row r="3340" spans="1:30">
      <c r="A3340" t="str">
        <f>CONCATENATE(I3340,J3340)</f>
        <v>TREEHOUSEEQ</v>
      </c>
      <c r="B3340" s="34">
        <v>46273</v>
      </c>
      <c r="C3340" s="34">
        <v>46273</v>
      </c>
      <c r="D3340" t="s">
        <v>35</v>
      </c>
      <c r="E3340" t="s">
        <v>36</v>
      </c>
      <c r="F3340" t="s">
        <v>37</v>
      </c>
      <c r="G3340">
        <v>25082</v>
      </c>
      <c r="H3340" t="s">
        <v>10090</v>
      </c>
      <c r="I3340" t="s">
        <v>10091</v>
      </c>
      <c r="J3340" t="s">
        <v>161</v>
      </c>
      <c r="O3340" t="s">
        <v>10092</v>
      </c>
      <c r="P3340">
        <v>6.02</v>
      </c>
      <c r="Q3340">
        <v>6.36</v>
      </c>
      <c r="R3340">
        <v>6.02</v>
      </c>
      <c r="S3340">
        <v>6.07</v>
      </c>
      <c r="T3340">
        <v>6.14</v>
      </c>
      <c r="U3340">
        <v>6.1</v>
      </c>
      <c r="W3340">
        <v>6.07</v>
      </c>
      <c r="Z3340">
        <v>20165</v>
      </c>
      <c r="AA3340">
        <v>122954.41</v>
      </c>
      <c r="AB3340">
        <v>75</v>
      </c>
      <c r="AC3340" t="s">
        <v>42</v>
      </c>
      <c r="AD3340">
        <v>1</v>
      </c>
    </row>
    <row r="3341" spans="1:30">
      <c r="A3341" t="str">
        <f>CONCATENATE(I3341,J3341)</f>
        <v>TREJHARAEQ</v>
      </c>
      <c r="B3341" s="34">
        <v>46273</v>
      </c>
      <c r="C3341" s="34">
        <v>46273</v>
      </c>
      <c r="D3341" t="s">
        <v>35</v>
      </c>
      <c r="E3341" t="s">
        <v>36</v>
      </c>
      <c r="F3341" t="s">
        <v>37</v>
      </c>
      <c r="G3341">
        <v>7518</v>
      </c>
      <c r="H3341" t="s">
        <v>10093</v>
      </c>
      <c r="I3341" t="s">
        <v>10094</v>
      </c>
      <c r="J3341" t="s">
        <v>161</v>
      </c>
      <c r="O3341" t="s">
        <v>10095</v>
      </c>
      <c r="P3341">
        <v>147.19</v>
      </c>
      <c r="Q3341">
        <v>149.80000000000001</v>
      </c>
      <c r="R3341">
        <v>146.01</v>
      </c>
      <c r="S3341">
        <v>149.11000000000001</v>
      </c>
      <c r="T3341">
        <v>149.38</v>
      </c>
      <c r="U3341">
        <v>147.19</v>
      </c>
      <c r="W3341">
        <v>149.11000000000001</v>
      </c>
      <c r="Z3341">
        <v>5344</v>
      </c>
      <c r="AA3341">
        <v>789933.98</v>
      </c>
      <c r="AB3341">
        <v>164</v>
      </c>
      <c r="AC3341" t="s">
        <v>42</v>
      </c>
      <c r="AD3341">
        <v>1</v>
      </c>
    </row>
    <row r="3342" spans="1:30">
      <c r="A3342" t="str">
        <f>CONCATENATE(I3342,J3342)</f>
        <v>TRENTEQ</v>
      </c>
      <c r="B3342" s="34">
        <v>46273</v>
      </c>
      <c r="C3342" s="34">
        <v>46273</v>
      </c>
      <c r="D3342" t="s">
        <v>35</v>
      </c>
      <c r="E3342" t="s">
        <v>36</v>
      </c>
      <c r="F3342" t="s">
        <v>37</v>
      </c>
      <c r="G3342">
        <v>1964</v>
      </c>
      <c r="H3342" t="s">
        <v>10096</v>
      </c>
      <c r="I3342" t="s">
        <v>10097</v>
      </c>
      <c r="J3342" t="s">
        <v>161</v>
      </c>
      <c r="O3342" t="s">
        <v>10098</v>
      </c>
      <c r="P3342">
        <v>2800.5</v>
      </c>
      <c r="Q3342">
        <v>2812.8</v>
      </c>
      <c r="R3342">
        <v>2770.4</v>
      </c>
      <c r="S3342">
        <v>2793.6</v>
      </c>
      <c r="T3342">
        <v>2793.6</v>
      </c>
      <c r="U3342">
        <v>2814.5</v>
      </c>
      <c r="W3342">
        <v>2793.55</v>
      </c>
      <c r="Z3342">
        <v>588825</v>
      </c>
      <c r="AA3342">
        <v>1645435158.2</v>
      </c>
      <c r="AB3342">
        <v>44526</v>
      </c>
      <c r="AC3342" t="s">
        <v>42</v>
      </c>
      <c r="AD3342">
        <v>1</v>
      </c>
    </row>
    <row r="3343" spans="1:30">
      <c r="A3343" t="str">
        <f>CONCATENATE(I3343,J3343)</f>
        <v>TRFEQ</v>
      </c>
      <c r="B3343" s="34">
        <v>46273</v>
      </c>
      <c r="C3343" s="34">
        <v>46273</v>
      </c>
      <c r="D3343" t="s">
        <v>35</v>
      </c>
      <c r="E3343" t="s">
        <v>36</v>
      </c>
      <c r="F3343" t="s">
        <v>37</v>
      </c>
      <c r="G3343">
        <v>17987</v>
      </c>
      <c r="H3343" t="s">
        <v>10099</v>
      </c>
      <c r="I3343" t="s">
        <v>10100</v>
      </c>
      <c r="J3343" t="s">
        <v>161</v>
      </c>
      <c r="O3343" t="s">
        <v>10101</v>
      </c>
      <c r="P3343">
        <v>238</v>
      </c>
      <c r="Q3343">
        <v>238</v>
      </c>
      <c r="R3343">
        <v>230.42</v>
      </c>
      <c r="S3343">
        <v>230.98</v>
      </c>
      <c r="T3343">
        <v>234.98</v>
      </c>
      <c r="U3343">
        <v>235.13</v>
      </c>
      <c r="W3343">
        <v>230.98</v>
      </c>
      <c r="Z3343">
        <v>6386</v>
      </c>
      <c r="AA3343">
        <v>1480375.26</v>
      </c>
      <c r="AB3343">
        <v>243</v>
      </c>
      <c r="AC3343" t="s">
        <v>42</v>
      </c>
      <c r="AD3343">
        <v>1</v>
      </c>
    </row>
    <row r="3344" spans="1:30">
      <c r="A3344" t="str">
        <f>CONCATENATE(I3344,J3344)</f>
        <v>TBZEQ</v>
      </c>
      <c r="B3344" s="34">
        <v>46273</v>
      </c>
      <c r="C3344" s="34">
        <v>46273</v>
      </c>
      <c r="D3344" t="s">
        <v>35</v>
      </c>
      <c r="E3344" t="s">
        <v>36</v>
      </c>
      <c r="F3344" t="s">
        <v>37</v>
      </c>
      <c r="G3344">
        <v>27037</v>
      </c>
      <c r="H3344" t="s">
        <v>10102</v>
      </c>
      <c r="I3344" t="s">
        <v>10103</v>
      </c>
      <c r="J3344" t="s">
        <v>161</v>
      </c>
      <c r="O3344" t="s">
        <v>10104</v>
      </c>
      <c r="P3344">
        <v>555.29999999999995</v>
      </c>
      <c r="Q3344">
        <v>555.29999999999995</v>
      </c>
      <c r="R3344">
        <v>555.29999999999995</v>
      </c>
      <c r="S3344">
        <v>555.29999999999995</v>
      </c>
      <c r="T3344">
        <v>555.29999999999995</v>
      </c>
      <c r="U3344">
        <v>528.9</v>
      </c>
      <c r="W3344">
        <v>555.29</v>
      </c>
      <c r="Z3344">
        <v>188891</v>
      </c>
      <c r="AA3344">
        <v>104891172.3</v>
      </c>
      <c r="AB3344">
        <v>1708</v>
      </c>
      <c r="AC3344" t="s">
        <v>42</v>
      </c>
      <c r="AD3344">
        <v>1</v>
      </c>
    </row>
    <row r="3345" spans="1:30">
      <c r="A3345" t="str">
        <f>CONCATENATE(I3345,J3345)</f>
        <v>TRIDENTEQ</v>
      </c>
      <c r="B3345" s="34">
        <v>46273</v>
      </c>
      <c r="C3345" s="34">
        <v>46273</v>
      </c>
      <c r="D3345" t="s">
        <v>35</v>
      </c>
      <c r="E3345" t="s">
        <v>36</v>
      </c>
      <c r="F3345" t="s">
        <v>37</v>
      </c>
      <c r="G3345">
        <v>9685</v>
      </c>
      <c r="H3345" t="s">
        <v>10105</v>
      </c>
      <c r="I3345" t="s">
        <v>10106</v>
      </c>
      <c r="J3345" t="s">
        <v>161</v>
      </c>
      <c r="O3345" t="s">
        <v>10107</v>
      </c>
      <c r="P3345">
        <v>23.98</v>
      </c>
      <c r="Q3345">
        <v>23.98</v>
      </c>
      <c r="R3345">
        <v>23.81</v>
      </c>
      <c r="S3345">
        <v>23.86</v>
      </c>
      <c r="T3345">
        <v>23.87</v>
      </c>
      <c r="U3345">
        <v>23.98</v>
      </c>
      <c r="W3345">
        <v>23.86</v>
      </c>
      <c r="Z3345">
        <v>1764542</v>
      </c>
      <c r="AA3345">
        <v>42143797.020000003</v>
      </c>
      <c r="AB3345">
        <v>11350</v>
      </c>
      <c r="AC3345" t="s">
        <v>42</v>
      </c>
      <c r="AD3345">
        <v>1</v>
      </c>
    </row>
    <row r="3346" spans="1:30">
      <c r="A3346" t="str">
        <f>CONCATENATE(I3346,J3346)</f>
        <v>TECHLABSSM</v>
      </c>
      <c r="B3346" s="34">
        <v>46273</v>
      </c>
      <c r="C3346" s="34">
        <v>46273</v>
      </c>
      <c r="D3346" t="s">
        <v>35</v>
      </c>
      <c r="E3346" t="s">
        <v>36</v>
      </c>
      <c r="F3346" t="s">
        <v>37</v>
      </c>
      <c r="G3346">
        <v>21078</v>
      </c>
      <c r="H3346" t="s">
        <v>10108</v>
      </c>
      <c r="I3346" t="s">
        <v>10109</v>
      </c>
      <c r="J3346" t="s">
        <v>267</v>
      </c>
      <c r="O3346" t="s">
        <v>10110</v>
      </c>
      <c r="P3346">
        <v>119</v>
      </c>
      <c r="Q3346">
        <v>121.65</v>
      </c>
      <c r="R3346">
        <v>116</v>
      </c>
      <c r="S3346">
        <v>121.65</v>
      </c>
      <c r="T3346">
        <v>121.65</v>
      </c>
      <c r="U3346">
        <v>115.9</v>
      </c>
      <c r="W3346">
        <v>121.65</v>
      </c>
      <c r="Z3346">
        <v>21500</v>
      </c>
      <c r="AA3346">
        <v>2570606.25</v>
      </c>
      <c r="AB3346">
        <v>101</v>
      </c>
      <c r="AC3346" t="s">
        <v>42</v>
      </c>
      <c r="AD3346">
        <v>125</v>
      </c>
    </row>
    <row r="3347" spans="1:30">
      <c r="A3347" t="str">
        <f>CONCATENATE(I3347,J3347)</f>
        <v>TRIDHYAST</v>
      </c>
      <c r="B3347" s="34">
        <v>46273</v>
      </c>
      <c r="C3347" s="34">
        <v>46273</v>
      </c>
      <c r="D3347" t="s">
        <v>35</v>
      </c>
      <c r="E3347" t="s">
        <v>36</v>
      </c>
      <c r="F3347" t="s">
        <v>37</v>
      </c>
      <c r="G3347">
        <v>17215</v>
      </c>
      <c r="H3347" t="s">
        <v>10111</v>
      </c>
      <c r="I3347" t="s">
        <v>10112</v>
      </c>
      <c r="J3347" t="s">
        <v>328</v>
      </c>
      <c r="O3347" t="s">
        <v>10113</v>
      </c>
      <c r="P3347">
        <v>7.2</v>
      </c>
      <c r="Q3347">
        <v>7.2</v>
      </c>
      <c r="R3347">
        <v>7.15</v>
      </c>
      <c r="S3347">
        <v>7.15</v>
      </c>
      <c r="T3347">
        <v>7.15</v>
      </c>
      <c r="U3347">
        <v>7.5</v>
      </c>
      <c r="W3347">
        <v>7.15</v>
      </c>
      <c r="Z3347">
        <v>15000</v>
      </c>
      <c r="AA3347">
        <v>107850</v>
      </c>
      <c r="AB3347">
        <v>2</v>
      </c>
      <c r="AC3347" t="s">
        <v>42</v>
      </c>
      <c r="AD3347">
        <v>3000</v>
      </c>
    </row>
    <row r="3348" spans="1:30">
      <c r="A3348" t="str">
        <f>CONCATENATE(I3348,J3348)</f>
        <v>TRIGYNEQ</v>
      </c>
      <c r="B3348" s="34">
        <v>46273</v>
      </c>
      <c r="C3348" s="34">
        <v>46273</v>
      </c>
      <c r="D3348" t="s">
        <v>35</v>
      </c>
      <c r="E3348" t="s">
        <v>36</v>
      </c>
      <c r="F3348" t="s">
        <v>37</v>
      </c>
      <c r="G3348">
        <v>5428</v>
      </c>
      <c r="H3348" t="s">
        <v>10114</v>
      </c>
      <c r="I3348" t="s">
        <v>10115</v>
      </c>
      <c r="J3348" t="s">
        <v>161</v>
      </c>
      <c r="O3348" t="s">
        <v>10116</v>
      </c>
      <c r="P3348">
        <v>59.05</v>
      </c>
      <c r="Q3348">
        <v>59.83</v>
      </c>
      <c r="R3348">
        <v>56.06</v>
      </c>
      <c r="S3348">
        <v>56.92</v>
      </c>
      <c r="T3348">
        <v>56.45</v>
      </c>
      <c r="U3348">
        <v>59.88</v>
      </c>
      <c r="W3348">
        <v>56.92</v>
      </c>
      <c r="Z3348">
        <v>48367</v>
      </c>
      <c r="AA3348">
        <v>2795292.41</v>
      </c>
      <c r="AB3348">
        <v>1481</v>
      </c>
      <c r="AC3348" t="s">
        <v>42</v>
      </c>
      <c r="AD3348">
        <v>1</v>
      </c>
    </row>
    <row r="3349" spans="1:30">
      <c r="A3349" t="str">
        <f>CONCATENATE(I3349,J3349)</f>
        <v>TRITONVEQ</v>
      </c>
      <c r="B3349" s="34">
        <v>46273</v>
      </c>
      <c r="C3349" s="34">
        <v>46273</v>
      </c>
      <c r="D3349" t="s">
        <v>35</v>
      </c>
      <c r="E3349" t="s">
        <v>36</v>
      </c>
      <c r="F3349" t="s">
        <v>37</v>
      </c>
      <c r="G3349">
        <v>764960</v>
      </c>
      <c r="H3349" t="s">
        <v>10117</v>
      </c>
      <c r="I3349" t="s">
        <v>10118</v>
      </c>
      <c r="J3349" t="s">
        <v>161</v>
      </c>
      <c r="O3349" t="s">
        <v>10119</v>
      </c>
      <c r="P3349">
        <v>1159</v>
      </c>
      <c r="Q3349">
        <v>1159</v>
      </c>
      <c r="R3349">
        <v>1113.7</v>
      </c>
      <c r="S3349">
        <v>1124.5999999999999</v>
      </c>
      <c r="T3349">
        <v>1125</v>
      </c>
      <c r="U3349">
        <v>1140.5</v>
      </c>
      <c r="W3349">
        <v>1124.67</v>
      </c>
      <c r="Z3349">
        <v>2113</v>
      </c>
      <c r="AA3349">
        <v>2385811.7000000002</v>
      </c>
      <c r="AB3349">
        <v>286</v>
      </c>
      <c r="AC3349" t="s">
        <v>42</v>
      </c>
      <c r="AD3349">
        <v>1</v>
      </c>
    </row>
    <row r="3350" spans="1:30">
      <c r="A3350" t="str">
        <f>CONCATENATE(I3350,J3350)</f>
        <v>TRIVENIEQ</v>
      </c>
      <c r="B3350" s="34">
        <v>46273</v>
      </c>
      <c r="C3350" s="34">
        <v>46273</v>
      </c>
      <c r="D3350" t="s">
        <v>35</v>
      </c>
      <c r="E3350" t="s">
        <v>36</v>
      </c>
      <c r="F3350" t="s">
        <v>37</v>
      </c>
      <c r="G3350">
        <v>13081</v>
      </c>
      <c r="H3350" t="s">
        <v>10120</v>
      </c>
      <c r="I3350" t="s">
        <v>10121</v>
      </c>
      <c r="J3350" t="s">
        <v>161</v>
      </c>
      <c r="O3350" t="s">
        <v>10122</v>
      </c>
      <c r="P3350">
        <v>277.10000000000002</v>
      </c>
      <c r="Q3350">
        <v>278.2</v>
      </c>
      <c r="R3350">
        <v>269.85000000000002</v>
      </c>
      <c r="S3350">
        <v>272.75</v>
      </c>
      <c r="T3350">
        <v>272.89999999999998</v>
      </c>
      <c r="U3350">
        <v>276.10000000000002</v>
      </c>
      <c r="W3350">
        <v>272.75</v>
      </c>
      <c r="Z3350">
        <v>341771</v>
      </c>
      <c r="AA3350">
        <v>93158604</v>
      </c>
      <c r="AB3350">
        <v>8435</v>
      </c>
      <c r="AC3350" t="s">
        <v>42</v>
      </c>
      <c r="AD3350">
        <v>1</v>
      </c>
    </row>
    <row r="3351" spans="1:30">
      <c r="A3351" t="str">
        <f>CONCATENATE(I3351,J3351)</f>
        <v>TRITURBINEEQ</v>
      </c>
      <c r="B3351" s="34">
        <v>46273</v>
      </c>
      <c r="C3351" s="34">
        <v>46273</v>
      </c>
      <c r="D3351" t="s">
        <v>35</v>
      </c>
      <c r="E3351" t="s">
        <v>36</v>
      </c>
      <c r="F3351" t="s">
        <v>37</v>
      </c>
      <c r="G3351">
        <v>25584</v>
      </c>
      <c r="H3351" t="s">
        <v>10123</v>
      </c>
      <c r="I3351" t="s">
        <v>10124</v>
      </c>
      <c r="J3351" t="s">
        <v>161</v>
      </c>
      <c r="O3351" t="s">
        <v>10125</v>
      </c>
      <c r="P3351">
        <v>567.9</v>
      </c>
      <c r="Q3351">
        <v>585</v>
      </c>
      <c r="R3351">
        <v>566</v>
      </c>
      <c r="S3351">
        <v>580.6</v>
      </c>
      <c r="T3351">
        <v>583.4</v>
      </c>
      <c r="U3351">
        <v>568.75</v>
      </c>
      <c r="W3351">
        <v>580.64</v>
      </c>
      <c r="Z3351">
        <v>374569</v>
      </c>
      <c r="AA3351">
        <v>216130212.30000001</v>
      </c>
      <c r="AB3351">
        <v>45965</v>
      </c>
      <c r="AC3351" t="s">
        <v>42</v>
      </c>
      <c r="AD3351">
        <v>1</v>
      </c>
    </row>
    <row r="3352" spans="1:30">
      <c r="A3352" t="str">
        <f>CONCATENATE(I3352,J3352)</f>
        <v>TRUALTEQ</v>
      </c>
      <c r="B3352" s="34">
        <v>46273</v>
      </c>
      <c r="C3352" s="34">
        <v>46273</v>
      </c>
      <c r="D3352" t="s">
        <v>35</v>
      </c>
      <c r="E3352" t="s">
        <v>36</v>
      </c>
      <c r="F3352" t="s">
        <v>37</v>
      </c>
      <c r="G3352">
        <v>759210</v>
      </c>
      <c r="H3352" t="s">
        <v>10126</v>
      </c>
      <c r="I3352" t="s">
        <v>10127</v>
      </c>
      <c r="J3352" t="s">
        <v>161</v>
      </c>
      <c r="O3352" t="s">
        <v>10128</v>
      </c>
      <c r="P3352">
        <v>424</v>
      </c>
      <c r="Q3352">
        <v>425.5</v>
      </c>
      <c r="R3352">
        <v>410.85</v>
      </c>
      <c r="S3352">
        <v>415.7</v>
      </c>
      <c r="T3352">
        <v>417.85</v>
      </c>
      <c r="U3352">
        <v>424.1</v>
      </c>
      <c r="W3352">
        <v>415.7</v>
      </c>
      <c r="Z3352">
        <v>139457</v>
      </c>
      <c r="AA3352">
        <v>58321245.649999999</v>
      </c>
      <c r="AB3352">
        <v>4895</v>
      </c>
      <c r="AC3352" t="s">
        <v>42</v>
      </c>
      <c r="AD3352">
        <v>1</v>
      </c>
    </row>
    <row r="3353" spans="1:30">
      <c r="A3353" t="str">
        <f>CONCATENATE(I3353,J3353)</f>
        <v>TRUEQ</v>
      </c>
      <c r="B3353" s="34">
        <v>46273</v>
      </c>
      <c r="C3353" s="34">
        <v>46273</v>
      </c>
      <c r="D3353" t="s">
        <v>35</v>
      </c>
      <c r="E3353" t="s">
        <v>36</v>
      </c>
      <c r="F3353" t="s">
        <v>37</v>
      </c>
      <c r="G3353">
        <v>9378</v>
      </c>
      <c r="H3353" t="s">
        <v>10129</v>
      </c>
      <c r="I3353" t="s">
        <v>10130</v>
      </c>
      <c r="J3353" t="s">
        <v>161</v>
      </c>
      <c r="O3353" t="s">
        <v>10131</v>
      </c>
      <c r="P3353">
        <v>4.01</v>
      </c>
      <c r="Q3353">
        <v>4.1500000000000004</v>
      </c>
      <c r="R3353">
        <v>3.97</v>
      </c>
      <c r="S3353">
        <v>4.0599999999999996</v>
      </c>
      <c r="T3353">
        <v>4.09</v>
      </c>
      <c r="U3353">
        <v>4.0999999999999996</v>
      </c>
      <c r="W3353">
        <v>4.0599999999999996</v>
      </c>
      <c r="Z3353">
        <v>168620</v>
      </c>
      <c r="AA3353">
        <v>680396.14</v>
      </c>
      <c r="AB3353">
        <v>434</v>
      </c>
      <c r="AC3353" t="s">
        <v>42</v>
      </c>
      <c r="AD3353">
        <v>1</v>
      </c>
    </row>
    <row r="3354" spans="1:30">
      <c r="A3354" t="str">
        <f>CONCATENATE(I3354,J3354)</f>
        <v>TRUSTSM</v>
      </c>
      <c r="B3354" s="34">
        <v>46273</v>
      </c>
      <c r="C3354" s="34">
        <v>46273</v>
      </c>
      <c r="D3354" t="s">
        <v>35</v>
      </c>
      <c r="E3354" t="s">
        <v>36</v>
      </c>
      <c r="F3354" t="s">
        <v>37</v>
      </c>
      <c r="G3354">
        <v>23417</v>
      </c>
      <c r="H3354" t="s">
        <v>10132</v>
      </c>
      <c r="I3354" t="s">
        <v>10133</v>
      </c>
      <c r="J3354" t="s">
        <v>267</v>
      </c>
      <c r="O3354" t="s">
        <v>10134</v>
      </c>
      <c r="P3354">
        <v>28.95</v>
      </c>
      <c r="Q3354">
        <v>30.9</v>
      </c>
      <c r="R3354">
        <v>28.95</v>
      </c>
      <c r="S3354">
        <v>29.2</v>
      </c>
      <c r="T3354">
        <v>29.2</v>
      </c>
      <c r="U3354">
        <v>28.85</v>
      </c>
      <c r="W3354">
        <v>29.2</v>
      </c>
      <c r="Z3354">
        <v>5400</v>
      </c>
      <c r="AA3354">
        <v>163110</v>
      </c>
      <c r="AB3354">
        <v>9</v>
      </c>
      <c r="AC3354" t="s">
        <v>42</v>
      </c>
      <c r="AD3354">
        <v>600</v>
      </c>
    </row>
    <row r="3355" spans="1:30">
      <c r="A3355" t="str">
        <f>CONCATENATE(I3355,J3355)</f>
        <v>TSCST</v>
      </c>
      <c r="B3355" s="34">
        <v>46273</v>
      </c>
      <c r="C3355" s="34">
        <v>46273</v>
      </c>
      <c r="D3355" t="s">
        <v>35</v>
      </c>
      <c r="E3355" t="s">
        <v>36</v>
      </c>
      <c r="F3355" t="s">
        <v>37</v>
      </c>
      <c r="G3355">
        <v>757861</v>
      </c>
      <c r="H3355" t="s">
        <v>10135</v>
      </c>
      <c r="I3355" t="s">
        <v>10136</v>
      </c>
      <c r="J3355" t="s">
        <v>328</v>
      </c>
      <c r="O3355" t="s">
        <v>10137</v>
      </c>
      <c r="P3355">
        <v>47.45</v>
      </c>
      <c r="Q3355">
        <v>47.45</v>
      </c>
      <c r="R3355">
        <v>47.45</v>
      </c>
      <c r="S3355">
        <v>47.45</v>
      </c>
      <c r="T3355">
        <v>47.45</v>
      </c>
      <c r="U3355">
        <v>45.2</v>
      </c>
      <c r="W3355">
        <v>47.45</v>
      </c>
      <c r="Z3355">
        <v>6000</v>
      </c>
      <c r="AA3355">
        <v>284700</v>
      </c>
      <c r="AB3355">
        <v>3</v>
      </c>
      <c r="AC3355" t="s">
        <v>42</v>
      </c>
      <c r="AD3355">
        <v>2000</v>
      </c>
    </row>
    <row r="3356" spans="1:30">
      <c r="A3356" t="str">
        <f>CONCATENATE(I3356,J3356)</f>
        <v>TSFINVEQ</v>
      </c>
      <c r="B3356" s="34">
        <v>46273</v>
      </c>
      <c r="C3356" s="34">
        <v>46273</v>
      </c>
      <c r="D3356" t="s">
        <v>35</v>
      </c>
      <c r="E3356" t="s">
        <v>36</v>
      </c>
      <c r="F3356" t="s">
        <v>37</v>
      </c>
      <c r="G3356">
        <v>2183</v>
      </c>
      <c r="H3356" t="s">
        <v>10138</v>
      </c>
      <c r="I3356" t="s">
        <v>10139</v>
      </c>
      <c r="J3356" t="s">
        <v>161</v>
      </c>
      <c r="O3356" t="s">
        <v>10140</v>
      </c>
      <c r="P3356">
        <v>403.6</v>
      </c>
      <c r="Q3356">
        <v>429.2</v>
      </c>
      <c r="R3356">
        <v>403.6</v>
      </c>
      <c r="S3356">
        <v>422.3</v>
      </c>
      <c r="T3356">
        <v>423.7</v>
      </c>
      <c r="U3356">
        <v>403.6</v>
      </c>
      <c r="W3356">
        <v>422.3</v>
      </c>
      <c r="Z3356">
        <v>141657</v>
      </c>
      <c r="AA3356">
        <v>59422738.450000003</v>
      </c>
      <c r="AB3356">
        <v>6124</v>
      </c>
      <c r="AC3356" t="s">
        <v>42</v>
      </c>
      <c r="AD3356">
        <v>1</v>
      </c>
    </row>
    <row r="3357" spans="1:30">
      <c r="A3357" t="str">
        <f>CONCATENATE(I3357,J3357)</f>
        <v>935TSI32N0</v>
      </c>
      <c r="B3357" s="34">
        <v>46273</v>
      </c>
      <c r="C3357" s="34">
        <v>46273</v>
      </c>
      <c r="D3357" t="s">
        <v>35</v>
      </c>
      <c r="E3357" t="s">
        <v>36</v>
      </c>
      <c r="F3357" t="s">
        <v>37</v>
      </c>
      <c r="G3357">
        <v>27431</v>
      </c>
      <c r="H3357" t="s">
        <v>10141</v>
      </c>
      <c r="I3357" t="s">
        <v>10142</v>
      </c>
      <c r="J3357" t="s">
        <v>514</v>
      </c>
      <c r="O3357" t="s">
        <v>10143</v>
      </c>
      <c r="P3357">
        <v>108144.38</v>
      </c>
      <c r="Q3357">
        <v>108144.38</v>
      </c>
      <c r="R3357">
        <v>108144.38</v>
      </c>
      <c r="S3357">
        <v>108144.38</v>
      </c>
      <c r="T3357">
        <v>108144.38</v>
      </c>
      <c r="U3357">
        <v>107306.44</v>
      </c>
      <c r="W3357">
        <v>108144.38</v>
      </c>
      <c r="Z3357">
        <v>2</v>
      </c>
      <c r="AA3357">
        <v>216288.76</v>
      </c>
      <c r="AB3357">
        <v>1</v>
      </c>
      <c r="AC3357" t="s">
        <v>42</v>
      </c>
      <c r="AD3357">
        <v>1</v>
      </c>
    </row>
    <row r="3358" spans="1:30">
      <c r="A3358" t="str">
        <f>CONCATENATE(I3358,J3358)</f>
        <v>TTKHLTCAREEQ</v>
      </c>
      <c r="B3358" s="34">
        <v>46273</v>
      </c>
      <c r="C3358" s="34">
        <v>46273</v>
      </c>
      <c r="D3358" t="s">
        <v>35</v>
      </c>
      <c r="E3358" t="s">
        <v>36</v>
      </c>
      <c r="F3358" t="s">
        <v>37</v>
      </c>
      <c r="G3358">
        <v>11369</v>
      </c>
      <c r="H3358" t="s">
        <v>10144</v>
      </c>
      <c r="I3358" t="s">
        <v>10145</v>
      </c>
      <c r="J3358" t="s">
        <v>161</v>
      </c>
      <c r="O3358" t="s">
        <v>10146</v>
      </c>
      <c r="P3358">
        <v>1092.5</v>
      </c>
      <c r="Q3358">
        <v>1213.0999999999999</v>
      </c>
      <c r="R3358">
        <v>1090</v>
      </c>
      <c r="S3358">
        <v>1191</v>
      </c>
      <c r="T3358">
        <v>1195</v>
      </c>
      <c r="U3358">
        <v>1091.0999999999999</v>
      </c>
      <c r="W3358">
        <v>1191.24</v>
      </c>
      <c r="Z3358">
        <v>215583</v>
      </c>
      <c r="AA3358">
        <v>252531385.19999999</v>
      </c>
      <c r="AB3358">
        <v>15968</v>
      </c>
      <c r="AC3358" t="s">
        <v>42</v>
      </c>
      <c r="AD3358">
        <v>1</v>
      </c>
    </row>
    <row r="3359" spans="1:30">
      <c r="A3359" t="str">
        <f>CONCATENATE(I3359,J3359)</f>
        <v>TTKPRESTIGEQ</v>
      </c>
      <c r="B3359" s="34">
        <v>46273</v>
      </c>
      <c r="C3359" s="34">
        <v>46273</v>
      </c>
      <c r="D3359" t="s">
        <v>35</v>
      </c>
      <c r="E3359" t="s">
        <v>36</v>
      </c>
      <c r="F3359" t="s">
        <v>37</v>
      </c>
      <c r="G3359">
        <v>3546</v>
      </c>
      <c r="H3359" t="s">
        <v>10147</v>
      </c>
      <c r="I3359" t="s">
        <v>10148</v>
      </c>
      <c r="J3359" t="s">
        <v>161</v>
      </c>
      <c r="O3359" t="s">
        <v>10149</v>
      </c>
      <c r="P3359">
        <v>550</v>
      </c>
      <c r="Q3359">
        <v>561.29999999999995</v>
      </c>
      <c r="R3359">
        <v>545</v>
      </c>
      <c r="S3359">
        <v>549.20000000000005</v>
      </c>
      <c r="T3359">
        <v>548.9</v>
      </c>
      <c r="U3359">
        <v>548</v>
      </c>
      <c r="W3359">
        <v>549.21</v>
      </c>
      <c r="Z3359">
        <v>162558</v>
      </c>
      <c r="AA3359">
        <v>89926437.299999997</v>
      </c>
      <c r="AB3359">
        <v>4365</v>
      </c>
      <c r="AC3359" t="s">
        <v>42</v>
      </c>
      <c r="AD3359">
        <v>1</v>
      </c>
    </row>
    <row r="3360" spans="1:30">
      <c r="A3360" t="str">
        <f>CONCATENATE(I3360,J3360)</f>
        <v>TIINDIAEQ</v>
      </c>
      <c r="B3360" s="34">
        <v>46273</v>
      </c>
      <c r="C3360" s="34">
        <v>46273</v>
      </c>
      <c r="D3360" t="s">
        <v>35</v>
      </c>
      <c r="E3360" t="s">
        <v>36</v>
      </c>
      <c r="F3360" t="s">
        <v>37</v>
      </c>
      <c r="G3360">
        <v>312</v>
      </c>
      <c r="H3360" t="s">
        <v>10150</v>
      </c>
      <c r="I3360" t="s">
        <v>10151</v>
      </c>
      <c r="J3360" t="s">
        <v>161</v>
      </c>
      <c r="O3360" t="s">
        <v>10152</v>
      </c>
      <c r="P3360">
        <v>2683.4</v>
      </c>
      <c r="Q3360">
        <v>2683.4</v>
      </c>
      <c r="R3360">
        <v>2626.2</v>
      </c>
      <c r="S3360">
        <v>2638.7</v>
      </c>
      <c r="T3360">
        <v>2638.7</v>
      </c>
      <c r="U3360">
        <v>2683</v>
      </c>
      <c r="W3360">
        <v>2638.69</v>
      </c>
      <c r="Z3360">
        <v>545195</v>
      </c>
      <c r="AA3360">
        <v>1443774012</v>
      </c>
      <c r="AB3360">
        <v>36666</v>
      </c>
      <c r="AC3360" t="s">
        <v>42</v>
      </c>
      <c r="AD3360">
        <v>1</v>
      </c>
    </row>
    <row r="3361" spans="1:30">
      <c r="A3361" t="str">
        <f>CONCATENATE(I3361,J3361)</f>
        <v>TUNWALSM</v>
      </c>
      <c r="B3361" s="34">
        <v>46273</v>
      </c>
      <c r="C3361" s="34">
        <v>46273</v>
      </c>
      <c r="D3361" t="s">
        <v>35</v>
      </c>
      <c r="E3361" t="s">
        <v>36</v>
      </c>
      <c r="F3361" t="s">
        <v>37</v>
      </c>
      <c r="G3361">
        <v>24520</v>
      </c>
      <c r="H3361" t="s">
        <v>10153</v>
      </c>
      <c r="I3361" t="s">
        <v>10154</v>
      </c>
      <c r="J3361" t="s">
        <v>267</v>
      </c>
      <c r="O3361" t="s">
        <v>10155</v>
      </c>
      <c r="P3361">
        <v>24.5</v>
      </c>
      <c r="Q3361">
        <v>25.4</v>
      </c>
      <c r="R3361">
        <v>24.5</v>
      </c>
      <c r="S3361">
        <v>25.35</v>
      </c>
      <c r="T3361">
        <v>25.2</v>
      </c>
      <c r="U3361">
        <v>24.9</v>
      </c>
      <c r="W3361">
        <v>25.35</v>
      </c>
      <c r="Z3361">
        <v>62000</v>
      </c>
      <c r="AA3361">
        <v>1545900</v>
      </c>
      <c r="AB3361">
        <v>27</v>
      </c>
      <c r="AC3361" t="s">
        <v>42</v>
      </c>
      <c r="AD3361">
        <v>2000</v>
      </c>
    </row>
    <row r="3362" spans="1:30">
      <c r="A3362" t="str">
        <f>CONCATENATE(I3362,J3362)</f>
        <v>TURTLEMINTEQ</v>
      </c>
      <c r="B3362" s="34">
        <v>46273</v>
      </c>
      <c r="C3362" s="34">
        <v>46273</v>
      </c>
      <c r="D3362" t="s">
        <v>35</v>
      </c>
      <c r="E3362" t="s">
        <v>36</v>
      </c>
      <c r="F3362" t="s">
        <v>37</v>
      </c>
      <c r="G3362">
        <v>756090</v>
      </c>
      <c r="H3362" t="s">
        <v>10156</v>
      </c>
      <c r="I3362" t="s">
        <v>10157</v>
      </c>
      <c r="J3362" t="s">
        <v>161</v>
      </c>
      <c r="O3362" t="s">
        <v>10158</v>
      </c>
      <c r="P3362">
        <v>140.86000000000001</v>
      </c>
      <c r="Q3362">
        <v>141.91</v>
      </c>
      <c r="R3362">
        <v>137</v>
      </c>
      <c r="S3362">
        <v>139.86000000000001</v>
      </c>
      <c r="T3362">
        <v>139.6</v>
      </c>
      <c r="U3362">
        <v>142.41999999999999</v>
      </c>
      <c r="W3362">
        <v>139.86000000000001</v>
      </c>
      <c r="Z3362">
        <v>933717</v>
      </c>
      <c r="AA3362">
        <v>129792863.11</v>
      </c>
      <c r="AB3362">
        <v>9346</v>
      </c>
      <c r="AC3362" t="s">
        <v>42</v>
      </c>
      <c r="AD3362">
        <v>1</v>
      </c>
    </row>
    <row r="3363" spans="1:30">
      <c r="A3363" t="str">
        <f>CONCATENATE(I3363,J3363)</f>
        <v>TUTIALKAEQ</v>
      </c>
      <c r="B3363" s="34">
        <v>46273</v>
      </c>
      <c r="C3363" s="34">
        <v>46273</v>
      </c>
      <c r="D3363" t="s">
        <v>35</v>
      </c>
      <c r="E3363" t="s">
        <v>36</v>
      </c>
      <c r="F3363" t="s">
        <v>37</v>
      </c>
      <c r="G3363">
        <v>765205</v>
      </c>
      <c r="H3363" t="s">
        <v>10159</v>
      </c>
      <c r="I3363" t="s">
        <v>10160</v>
      </c>
      <c r="J3363" t="s">
        <v>161</v>
      </c>
      <c r="O3363" t="s">
        <v>10161</v>
      </c>
      <c r="P3363">
        <v>61</v>
      </c>
      <c r="Q3363">
        <v>61</v>
      </c>
      <c r="R3363">
        <v>59.01</v>
      </c>
      <c r="S3363">
        <v>59.91</v>
      </c>
      <c r="T3363">
        <v>60.35</v>
      </c>
      <c r="U3363">
        <v>59.74</v>
      </c>
      <c r="W3363">
        <v>59.97</v>
      </c>
      <c r="Z3363">
        <v>11623</v>
      </c>
      <c r="AA3363">
        <v>693551.36</v>
      </c>
      <c r="AB3363">
        <v>76</v>
      </c>
      <c r="AC3363" t="s">
        <v>42</v>
      </c>
      <c r="AD3363">
        <v>1</v>
      </c>
    </row>
    <row r="3364" spans="1:30">
      <c r="A3364" t="str">
        <f>CONCATENATE(I3364,J3364)</f>
        <v>TVTODAYEQ</v>
      </c>
      <c r="B3364" s="34">
        <v>46273</v>
      </c>
      <c r="C3364" s="34">
        <v>46273</v>
      </c>
      <c r="D3364" t="s">
        <v>35</v>
      </c>
      <c r="E3364" t="s">
        <v>36</v>
      </c>
      <c r="F3364" t="s">
        <v>37</v>
      </c>
      <c r="G3364">
        <v>11275</v>
      </c>
      <c r="H3364" t="s">
        <v>10162</v>
      </c>
      <c r="I3364" t="s">
        <v>10163</v>
      </c>
      <c r="J3364" t="s">
        <v>161</v>
      </c>
      <c r="O3364" t="s">
        <v>10164</v>
      </c>
      <c r="P3364">
        <v>110.74</v>
      </c>
      <c r="Q3364">
        <v>113.43</v>
      </c>
      <c r="R3364">
        <v>110.18</v>
      </c>
      <c r="S3364">
        <v>110.99</v>
      </c>
      <c r="T3364">
        <v>111.69</v>
      </c>
      <c r="U3364">
        <v>110.68</v>
      </c>
      <c r="W3364">
        <v>110.99</v>
      </c>
      <c r="Z3364">
        <v>18635</v>
      </c>
      <c r="AA3364">
        <v>2082167.69</v>
      </c>
      <c r="AB3364">
        <v>385</v>
      </c>
      <c r="AC3364" t="s">
        <v>42</v>
      </c>
      <c r="AD3364">
        <v>1</v>
      </c>
    </row>
    <row r="3365" spans="1:30">
      <c r="A3365" t="str">
        <f>CONCATENATE(I3365,J3365)</f>
        <v>TVVISIONBE</v>
      </c>
      <c r="B3365" s="34">
        <v>46273</v>
      </c>
      <c r="C3365" s="34">
        <v>46273</v>
      </c>
      <c r="D3365" t="s">
        <v>35</v>
      </c>
      <c r="E3365" t="s">
        <v>36</v>
      </c>
      <c r="F3365" t="s">
        <v>37</v>
      </c>
      <c r="G3365">
        <v>18508</v>
      </c>
      <c r="H3365" t="s">
        <v>10165</v>
      </c>
      <c r="I3365" t="s">
        <v>10166</v>
      </c>
      <c r="J3365" t="s">
        <v>183</v>
      </c>
      <c r="O3365" t="s">
        <v>10167</v>
      </c>
      <c r="P3365">
        <v>3.37</v>
      </c>
      <c r="Q3365">
        <v>3.37</v>
      </c>
      <c r="R3365">
        <v>3.06</v>
      </c>
      <c r="S3365">
        <v>3.18</v>
      </c>
      <c r="T3365">
        <v>3.18</v>
      </c>
      <c r="U3365">
        <v>3.22</v>
      </c>
      <c r="W3365">
        <v>3.18</v>
      </c>
      <c r="Z3365">
        <v>86150</v>
      </c>
      <c r="AA3365">
        <v>268630.90999999997</v>
      </c>
      <c r="AB3365">
        <v>152</v>
      </c>
      <c r="AC3365" t="s">
        <v>42</v>
      </c>
      <c r="AD3365">
        <v>1</v>
      </c>
    </row>
    <row r="3366" spans="1:30">
      <c r="A3366" t="str">
        <f>CONCATENATE(I3366,J3366)</f>
        <v>TVSELECTEQ</v>
      </c>
      <c r="B3366" s="34">
        <v>46273</v>
      </c>
      <c r="C3366" s="34">
        <v>46273</v>
      </c>
      <c r="D3366" t="s">
        <v>35</v>
      </c>
      <c r="E3366" t="s">
        <v>36</v>
      </c>
      <c r="F3366" t="s">
        <v>37</v>
      </c>
      <c r="G3366">
        <v>11265</v>
      </c>
      <c r="H3366" t="s">
        <v>10168</v>
      </c>
      <c r="I3366" t="s">
        <v>10169</v>
      </c>
      <c r="J3366" t="s">
        <v>161</v>
      </c>
      <c r="O3366" t="s">
        <v>10170</v>
      </c>
      <c r="P3366">
        <v>417.1</v>
      </c>
      <c r="Q3366">
        <v>424.95</v>
      </c>
      <c r="R3366">
        <v>410.3</v>
      </c>
      <c r="S3366">
        <v>411.75</v>
      </c>
      <c r="T3366">
        <v>410.3</v>
      </c>
      <c r="U3366">
        <v>418.8</v>
      </c>
      <c r="W3366">
        <v>411.81</v>
      </c>
      <c r="Z3366">
        <v>14200</v>
      </c>
      <c r="AA3366">
        <v>5878162.0499999998</v>
      </c>
      <c r="AB3366">
        <v>1215</v>
      </c>
      <c r="AC3366" t="s">
        <v>42</v>
      </c>
      <c r="AD3366">
        <v>1</v>
      </c>
    </row>
    <row r="3367" spans="1:30">
      <c r="A3367" t="str">
        <f>CONCATENATE(I3367,J3367)</f>
        <v>TVSHLTDEQ</v>
      </c>
      <c r="B3367" s="34">
        <v>46273</v>
      </c>
      <c r="C3367" s="34">
        <v>46273</v>
      </c>
      <c r="D3367" t="s">
        <v>35</v>
      </c>
      <c r="E3367" t="s">
        <v>36</v>
      </c>
      <c r="F3367" t="s">
        <v>37</v>
      </c>
      <c r="G3367">
        <v>29008</v>
      </c>
      <c r="H3367" t="s">
        <v>10171</v>
      </c>
      <c r="I3367" t="s">
        <v>10172</v>
      </c>
      <c r="J3367" t="s">
        <v>161</v>
      </c>
      <c r="O3367" t="s">
        <v>10173</v>
      </c>
      <c r="P3367">
        <v>13743</v>
      </c>
      <c r="Q3367">
        <v>13743</v>
      </c>
      <c r="R3367">
        <v>13300</v>
      </c>
      <c r="S3367">
        <v>13377</v>
      </c>
      <c r="T3367">
        <v>13400</v>
      </c>
      <c r="U3367">
        <v>13748</v>
      </c>
      <c r="W3367">
        <v>13376.96</v>
      </c>
      <c r="Z3367">
        <v>7053</v>
      </c>
      <c r="AA3367">
        <v>94498383</v>
      </c>
      <c r="AB3367">
        <v>3274</v>
      </c>
      <c r="AC3367" t="s">
        <v>42</v>
      </c>
      <c r="AD3367">
        <v>1</v>
      </c>
    </row>
    <row r="3368" spans="1:30">
      <c r="A3368" t="str">
        <f>CONCATENATE(I3368,J3368)</f>
        <v>TVSMOTOREQ</v>
      </c>
      <c r="B3368" s="34">
        <v>46273</v>
      </c>
      <c r="C3368" s="34">
        <v>46273</v>
      </c>
      <c r="D3368" t="s">
        <v>35</v>
      </c>
      <c r="E3368" t="s">
        <v>36</v>
      </c>
      <c r="F3368" t="s">
        <v>37</v>
      </c>
      <c r="G3368">
        <v>8479</v>
      </c>
      <c r="H3368" t="s">
        <v>10174</v>
      </c>
      <c r="I3368" t="s">
        <v>10175</v>
      </c>
      <c r="J3368" t="s">
        <v>161</v>
      </c>
      <c r="O3368" t="s">
        <v>10176</v>
      </c>
      <c r="P3368">
        <v>4139</v>
      </c>
      <c r="Q3368">
        <v>4156.8</v>
      </c>
      <c r="R3368">
        <v>4078</v>
      </c>
      <c r="S3368">
        <v>4133.2</v>
      </c>
      <c r="T3368">
        <v>4133.2</v>
      </c>
      <c r="U3368">
        <v>4132</v>
      </c>
      <c r="W3368">
        <v>4133.28</v>
      </c>
      <c r="Z3368">
        <v>613492</v>
      </c>
      <c r="AA3368">
        <v>2522458789.4000001</v>
      </c>
      <c r="AB3368">
        <v>44591</v>
      </c>
      <c r="AC3368" t="s">
        <v>42</v>
      </c>
      <c r="AD3368">
        <v>1</v>
      </c>
    </row>
    <row r="3369" spans="1:30">
      <c r="A3369" t="str">
        <f>CONCATENATE(I3369,J3369)</f>
        <v>TVSSRICHAKEQ</v>
      </c>
      <c r="B3369" s="34">
        <v>46273</v>
      </c>
      <c r="C3369" s="34">
        <v>46273</v>
      </c>
      <c r="D3369" t="s">
        <v>35</v>
      </c>
      <c r="E3369" t="s">
        <v>36</v>
      </c>
      <c r="F3369" t="s">
        <v>37</v>
      </c>
      <c r="G3369">
        <v>14245</v>
      </c>
      <c r="H3369" t="s">
        <v>10177</v>
      </c>
      <c r="I3369" t="s">
        <v>10178</v>
      </c>
      <c r="J3369" t="s">
        <v>161</v>
      </c>
      <c r="O3369" t="s">
        <v>10179</v>
      </c>
      <c r="P3369">
        <v>5341</v>
      </c>
      <c r="Q3369">
        <v>5500</v>
      </c>
      <c r="R3369">
        <v>5280</v>
      </c>
      <c r="S3369">
        <v>5340</v>
      </c>
      <c r="T3369">
        <v>5280</v>
      </c>
      <c r="U3369">
        <v>5305</v>
      </c>
      <c r="W3369">
        <v>5339.62</v>
      </c>
      <c r="Z3369">
        <v>13318</v>
      </c>
      <c r="AA3369">
        <v>71844020</v>
      </c>
      <c r="AB3369">
        <v>3215</v>
      </c>
      <c r="AC3369" t="s">
        <v>42</v>
      </c>
      <c r="AD3369">
        <v>1</v>
      </c>
    </row>
    <row r="3370" spans="1:30">
      <c r="A3370" t="str">
        <f>CONCATENATE(I3370,J3370)</f>
        <v>TVSSCSEQ</v>
      </c>
      <c r="B3370" s="34">
        <v>46273</v>
      </c>
      <c r="C3370" s="34">
        <v>46273</v>
      </c>
      <c r="D3370" t="s">
        <v>35</v>
      </c>
      <c r="E3370" t="s">
        <v>36</v>
      </c>
      <c r="F3370" t="s">
        <v>37</v>
      </c>
      <c r="G3370">
        <v>18151</v>
      </c>
      <c r="H3370" t="s">
        <v>10180</v>
      </c>
      <c r="I3370" t="s">
        <v>10181</v>
      </c>
      <c r="J3370" t="s">
        <v>161</v>
      </c>
      <c r="O3370" t="s">
        <v>10182</v>
      </c>
      <c r="P3370">
        <v>128.1</v>
      </c>
      <c r="Q3370">
        <v>128.68</v>
      </c>
      <c r="R3370">
        <v>126.75</v>
      </c>
      <c r="S3370">
        <v>127.23</v>
      </c>
      <c r="T3370">
        <v>127.5</v>
      </c>
      <c r="U3370">
        <v>129.05000000000001</v>
      </c>
      <c r="W3370">
        <v>127.23</v>
      </c>
      <c r="Z3370">
        <v>365615</v>
      </c>
      <c r="AA3370">
        <v>46633476.049999997</v>
      </c>
      <c r="AB3370">
        <v>6339</v>
      </c>
      <c r="AC3370" t="s">
        <v>42</v>
      </c>
      <c r="AD3370">
        <v>1</v>
      </c>
    </row>
    <row r="3371" spans="1:30">
      <c r="A3371" t="str">
        <f>CONCATENATE(I3371,J3371)</f>
        <v>TICLBE</v>
      </c>
      <c r="B3371" s="34">
        <v>46273</v>
      </c>
      <c r="C3371" s="34">
        <v>46273</v>
      </c>
      <c r="D3371" t="s">
        <v>35</v>
      </c>
      <c r="E3371" t="s">
        <v>36</v>
      </c>
      <c r="F3371" t="s">
        <v>37</v>
      </c>
      <c r="G3371">
        <v>19503</v>
      </c>
      <c r="H3371" t="s">
        <v>10183</v>
      </c>
      <c r="I3371" t="s">
        <v>10184</v>
      </c>
      <c r="J3371" t="s">
        <v>183</v>
      </c>
      <c r="O3371" t="s">
        <v>10185</v>
      </c>
      <c r="P3371">
        <v>8.01</v>
      </c>
      <c r="Q3371">
        <v>8.1999999999999993</v>
      </c>
      <c r="R3371">
        <v>7.61</v>
      </c>
      <c r="S3371">
        <v>7.63</v>
      </c>
      <c r="T3371">
        <v>7.61</v>
      </c>
      <c r="U3371">
        <v>8.01</v>
      </c>
      <c r="W3371">
        <v>7.63</v>
      </c>
      <c r="Z3371">
        <v>136326</v>
      </c>
      <c r="AA3371">
        <v>1057606.52</v>
      </c>
      <c r="AB3371">
        <v>249</v>
      </c>
      <c r="AC3371" t="s">
        <v>42</v>
      </c>
      <c r="AD3371">
        <v>1</v>
      </c>
    </row>
    <row r="3372" spans="1:30">
      <c r="A3372" t="str">
        <f>CONCATENATE(I3372,J3372)</f>
        <v>UPHOTEQ</v>
      </c>
      <c r="B3372" s="34">
        <v>46273</v>
      </c>
      <c r="C3372" s="34">
        <v>46273</v>
      </c>
      <c r="D3372" t="s">
        <v>35</v>
      </c>
      <c r="E3372" t="s">
        <v>36</v>
      </c>
      <c r="F3372" t="s">
        <v>37</v>
      </c>
      <c r="G3372">
        <v>764970</v>
      </c>
      <c r="H3372" t="s">
        <v>10186</v>
      </c>
      <c r="I3372" t="s">
        <v>10187</v>
      </c>
      <c r="J3372" t="s">
        <v>161</v>
      </c>
      <c r="O3372" t="s">
        <v>10188</v>
      </c>
      <c r="P3372">
        <v>1350</v>
      </c>
      <c r="Q3372">
        <v>1396.5</v>
      </c>
      <c r="R3372">
        <v>1350</v>
      </c>
      <c r="S3372">
        <v>1396.5</v>
      </c>
      <c r="T3372">
        <v>1396.5</v>
      </c>
      <c r="U3372">
        <v>1330</v>
      </c>
      <c r="W3372">
        <v>1393.25</v>
      </c>
      <c r="Z3372">
        <v>173</v>
      </c>
      <c r="AA3372">
        <v>240976.8</v>
      </c>
      <c r="AB3372">
        <v>14</v>
      </c>
      <c r="AC3372" t="s">
        <v>42</v>
      </c>
      <c r="AD3372">
        <v>1</v>
      </c>
    </row>
    <row r="3373" spans="1:30">
      <c r="A3373" t="str">
        <f>CONCATENATE(I3373,J3373)</f>
        <v>UYFINCORPBE</v>
      </c>
      <c r="B3373" s="34">
        <v>46273</v>
      </c>
      <c r="C3373" s="34">
        <v>46273</v>
      </c>
      <c r="D3373" t="s">
        <v>35</v>
      </c>
      <c r="E3373" t="s">
        <v>36</v>
      </c>
      <c r="F3373" t="s">
        <v>37</v>
      </c>
      <c r="G3373">
        <v>25629</v>
      </c>
      <c r="H3373" t="s">
        <v>10189</v>
      </c>
      <c r="I3373" t="s">
        <v>10190</v>
      </c>
      <c r="J3373" t="s">
        <v>183</v>
      </c>
      <c r="O3373" t="s">
        <v>10191</v>
      </c>
      <c r="P3373">
        <v>20.2</v>
      </c>
      <c r="Q3373">
        <v>20.25</v>
      </c>
      <c r="R3373">
        <v>19.649999999999999</v>
      </c>
      <c r="S3373">
        <v>19.88</v>
      </c>
      <c r="T3373">
        <v>19.73</v>
      </c>
      <c r="U3373">
        <v>19.63</v>
      </c>
      <c r="W3373">
        <v>19.88</v>
      </c>
      <c r="Z3373">
        <v>82188</v>
      </c>
      <c r="AA3373">
        <v>1643762.3</v>
      </c>
      <c r="AB3373">
        <v>200</v>
      </c>
      <c r="AC3373" t="s">
        <v>42</v>
      </c>
      <c r="AD3373">
        <v>1</v>
      </c>
    </row>
    <row r="3374" spans="1:30">
      <c r="A3374" t="str">
        <f>CONCATENATE(I3374,J3374)</f>
        <v>UCALBE</v>
      </c>
      <c r="B3374" s="34">
        <v>46273</v>
      </c>
      <c r="C3374" s="34">
        <v>46273</v>
      </c>
      <c r="D3374" t="s">
        <v>35</v>
      </c>
      <c r="E3374" t="s">
        <v>36</v>
      </c>
      <c r="F3374" t="s">
        <v>37</v>
      </c>
      <c r="G3374">
        <v>7739</v>
      </c>
      <c r="H3374" t="s">
        <v>10192</v>
      </c>
      <c r="I3374" t="s">
        <v>10193</v>
      </c>
      <c r="J3374" t="s">
        <v>183</v>
      </c>
      <c r="O3374" t="s">
        <v>10194</v>
      </c>
      <c r="P3374">
        <v>150</v>
      </c>
      <c r="Q3374">
        <v>150</v>
      </c>
      <c r="R3374">
        <v>145.15</v>
      </c>
      <c r="S3374">
        <v>147.13999999999999</v>
      </c>
      <c r="T3374">
        <v>145.19999999999999</v>
      </c>
      <c r="U3374">
        <v>148.38</v>
      </c>
      <c r="W3374">
        <v>147.13</v>
      </c>
      <c r="Z3374">
        <v>11689</v>
      </c>
      <c r="AA3374">
        <v>1711624.43</v>
      </c>
      <c r="AB3374">
        <v>100</v>
      </c>
      <c r="AC3374" t="s">
        <v>42</v>
      </c>
      <c r="AD3374">
        <v>1</v>
      </c>
    </row>
    <row r="3375" spans="1:30">
      <c r="A3375" t="str">
        <f>CONCATENATE(I3375,J3375)</f>
        <v>10UCL26ND</v>
      </c>
      <c r="B3375" s="34">
        <v>46273</v>
      </c>
      <c r="C3375" s="34">
        <v>46273</v>
      </c>
      <c r="D3375" t="s">
        <v>35</v>
      </c>
      <c r="E3375" t="s">
        <v>36</v>
      </c>
      <c r="F3375" t="s">
        <v>37</v>
      </c>
      <c r="G3375">
        <v>755996</v>
      </c>
      <c r="H3375" t="s">
        <v>10195</v>
      </c>
      <c r="I3375" t="s">
        <v>10196</v>
      </c>
      <c r="J3375" t="s">
        <v>8658</v>
      </c>
      <c r="O3375" t="s">
        <v>10197</v>
      </c>
      <c r="P3375">
        <v>1005</v>
      </c>
      <c r="Q3375">
        <v>1005</v>
      </c>
      <c r="R3375">
        <v>1000</v>
      </c>
      <c r="S3375">
        <v>1003.25</v>
      </c>
      <c r="T3375">
        <v>1000</v>
      </c>
      <c r="U3375">
        <v>999.05</v>
      </c>
      <c r="W3375">
        <v>1003.25</v>
      </c>
      <c r="Z3375">
        <v>100</v>
      </c>
      <c r="AA3375">
        <v>100325</v>
      </c>
      <c r="AB3375">
        <v>2</v>
      </c>
      <c r="AC3375" t="s">
        <v>42</v>
      </c>
      <c r="AD3375">
        <v>1</v>
      </c>
    </row>
    <row r="3376" spans="1:30">
      <c r="A3376" t="str">
        <f>CONCATENATE(I3376,J3376)</f>
        <v>1050UCL28NH</v>
      </c>
      <c r="B3376" s="34">
        <v>46273</v>
      </c>
      <c r="C3376" s="34">
        <v>46273</v>
      </c>
      <c r="D3376" t="s">
        <v>35</v>
      </c>
      <c r="E3376" t="s">
        <v>36</v>
      </c>
      <c r="F3376" t="s">
        <v>37</v>
      </c>
      <c r="G3376">
        <v>756004</v>
      </c>
      <c r="H3376" t="s">
        <v>10198</v>
      </c>
      <c r="I3376" t="s">
        <v>10199</v>
      </c>
      <c r="J3376" t="s">
        <v>468</v>
      </c>
      <c r="O3376" t="s">
        <v>10200</v>
      </c>
      <c r="P3376">
        <v>1003.1</v>
      </c>
      <c r="Q3376">
        <v>1010</v>
      </c>
      <c r="R3376">
        <v>1003.1</v>
      </c>
      <c r="S3376">
        <v>1010</v>
      </c>
      <c r="T3376">
        <v>1010</v>
      </c>
      <c r="U3376">
        <v>1010</v>
      </c>
      <c r="W3376">
        <v>1010</v>
      </c>
      <c r="Z3376">
        <v>1002</v>
      </c>
      <c r="AA3376">
        <v>1012012.35</v>
      </c>
      <c r="AB3376">
        <v>5</v>
      </c>
      <c r="AC3376" t="s">
        <v>42</v>
      </c>
      <c r="AD3376">
        <v>1</v>
      </c>
    </row>
    <row r="3377" spans="1:30">
      <c r="A3377" t="str">
        <f>CONCATENATE(I3377,J3377)</f>
        <v>UCOBANKEQ</v>
      </c>
      <c r="B3377" s="34">
        <v>46273</v>
      </c>
      <c r="C3377" s="34">
        <v>46273</v>
      </c>
      <c r="D3377" t="s">
        <v>35</v>
      </c>
      <c r="E3377" t="s">
        <v>36</v>
      </c>
      <c r="F3377" t="s">
        <v>37</v>
      </c>
      <c r="G3377">
        <v>11223</v>
      </c>
      <c r="H3377" t="s">
        <v>10201</v>
      </c>
      <c r="I3377" t="s">
        <v>10202</v>
      </c>
      <c r="J3377" t="s">
        <v>161</v>
      </c>
      <c r="O3377" t="s">
        <v>10203</v>
      </c>
      <c r="P3377">
        <v>24.42</v>
      </c>
      <c r="Q3377">
        <v>24.45</v>
      </c>
      <c r="R3377">
        <v>24.14</v>
      </c>
      <c r="S3377">
        <v>24.18</v>
      </c>
      <c r="T3377">
        <v>24.2</v>
      </c>
      <c r="U3377">
        <v>24.42</v>
      </c>
      <c r="W3377">
        <v>24.18</v>
      </c>
      <c r="Z3377">
        <v>3477238</v>
      </c>
      <c r="AA3377">
        <v>84387104.730000004</v>
      </c>
      <c r="AB3377">
        <v>10943</v>
      </c>
      <c r="AC3377" t="s">
        <v>42</v>
      </c>
      <c r="AD3377">
        <v>1</v>
      </c>
    </row>
    <row r="3378" spans="1:30">
      <c r="A3378" t="str">
        <f>CONCATENATE(I3378,J3378)</f>
        <v>UDAYJEWEQ</v>
      </c>
      <c r="B3378" s="34">
        <v>46273</v>
      </c>
      <c r="C3378" s="34">
        <v>46273</v>
      </c>
      <c r="D3378" t="s">
        <v>35</v>
      </c>
      <c r="E3378" t="s">
        <v>36</v>
      </c>
      <c r="F3378" t="s">
        <v>37</v>
      </c>
      <c r="G3378">
        <v>764965</v>
      </c>
      <c r="H3378" t="s">
        <v>10204</v>
      </c>
      <c r="I3378" t="s">
        <v>10205</v>
      </c>
      <c r="J3378" t="s">
        <v>161</v>
      </c>
      <c r="O3378" t="s">
        <v>10206</v>
      </c>
      <c r="P3378">
        <v>169.8</v>
      </c>
      <c r="Q3378">
        <v>175.8</v>
      </c>
      <c r="R3378">
        <v>155</v>
      </c>
      <c r="S3378">
        <v>167.17</v>
      </c>
      <c r="T3378">
        <v>166</v>
      </c>
      <c r="U3378">
        <v>167.58</v>
      </c>
      <c r="W3378">
        <v>167.14</v>
      </c>
      <c r="Z3378">
        <v>314708</v>
      </c>
      <c r="AA3378">
        <v>53032036.57</v>
      </c>
      <c r="AB3378">
        <v>3208</v>
      </c>
      <c r="AC3378" t="s">
        <v>42</v>
      </c>
      <c r="AD3378">
        <v>1</v>
      </c>
    </row>
    <row r="3379" spans="1:30">
      <c r="A3379" t="str">
        <f>CONCATENATE(I3379,J3379)</f>
        <v>USKEQ</v>
      </c>
      <c r="B3379" s="34">
        <v>46273</v>
      </c>
      <c r="C3379" s="34">
        <v>46273</v>
      </c>
      <c r="D3379" t="s">
        <v>35</v>
      </c>
      <c r="E3379" t="s">
        <v>36</v>
      </c>
      <c r="F3379" t="s">
        <v>37</v>
      </c>
      <c r="G3379">
        <v>14871</v>
      </c>
      <c r="H3379" t="s">
        <v>10207</v>
      </c>
      <c r="I3379" t="s">
        <v>10208</v>
      </c>
      <c r="J3379" t="s">
        <v>161</v>
      </c>
      <c r="O3379" t="s">
        <v>10209</v>
      </c>
      <c r="P3379">
        <v>21</v>
      </c>
      <c r="Q3379">
        <v>21.15</v>
      </c>
      <c r="R3379">
        <v>20.56</v>
      </c>
      <c r="S3379">
        <v>20.88</v>
      </c>
      <c r="T3379">
        <v>20.94</v>
      </c>
      <c r="U3379">
        <v>20.9</v>
      </c>
      <c r="W3379">
        <v>20.88</v>
      </c>
      <c r="Z3379">
        <v>7056</v>
      </c>
      <c r="AA3379">
        <v>147659.15</v>
      </c>
      <c r="AB3379">
        <v>106</v>
      </c>
      <c r="AC3379" t="s">
        <v>42</v>
      </c>
      <c r="AD3379">
        <v>1</v>
      </c>
    </row>
    <row r="3380" spans="1:30">
      <c r="A3380" t="str">
        <f>CONCATENATE(I3380,J3380)</f>
        <v>UFLEXEQ</v>
      </c>
      <c r="B3380" s="34">
        <v>46273</v>
      </c>
      <c r="C3380" s="34">
        <v>46273</v>
      </c>
      <c r="D3380" t="s">
        <v>35</v>
      </c>
      <c r="E3380" t="s">
        <v>36</v>
      </c>
      <c r="F3380" t="s">
        <v>37</v>
      </c>
      <c r="G3380">
        <v>1053</v>
      </c>
      <c r="H3380" t="s">
        <v>10210</v>
      </c>
      <c r="I3380" t="s">
        <v>10211</v>
      </c>
      <c r="J3380" t="s">
        <v>161</v>
      </c>
      <c r="O3380" t="s">
        <v>10212</v>
      </c>
      <c r="P3380">
        <v>683.55</v>
      </c>
      <c r="Q3380">
        <v>695</v>
      </c>
      <c r="R3380">
        <v>663.35</v>
      </c>
      <c r="S3380">
        <v>686.75</v>
      </c>
      <c r="T3380">
        <v>690</v>
      </c>
      <c r="U3380">
        <v>682.7</v>
      </c>
      <c r="W3380">
        <v>686.76</v>
      </c>
      <c r="Z3380">
        <v>338932</v>
      </c>
      <c r="AA3380">
        <v>230380258.09999999</v>
      </c>
      <c r="AB3380">
        <v>10192</v>
      </c>
      <c r="AC3380" t="s">
        <v>42</v>
      </c>
      <c r="AD3380">
        <v>1</v>
      </c>
    </row>
    <row r="3381" spans="1:30">
      <c r="A3381" t="str">
        <f>CONCATENATE(I3381,J3381)</f>
        <v>UFOEQ</v>
      </c>
      <c r="B3381" s="34">
        <v>46273</v>
      </c>
      <c r="C3381" s="34">
        <v>46273</v>
      </c>
      <c r="D3381" t="s">
        <v>35</v>
      </c>
      <c r="E3381" t="s">
        <v>36</v>
      </c>
      <c r="F3381" t="s">
        <v>37</v>
      </c>
      <c r="G3381">
        <v>9039</v>
      </c>
      <c r="H3381" t="s">
        <v>10213</v>
      </c>
      <c r="I3381" t="s">
        <v>10214</v>
      </c>
      <c r="J3381" t="s">
        <v>161</v>
      </c>
      <c r="O3381" t="s">
        <v>10215</v>
      </c>
      <c r="P3381">
        <v>65.3</v>
      </c>
      <c r="Q3381">
        <v>65.790000000000006</v>
      </c>
      <c r="R3381">
        <v>63.7</v>
      </c>
      <c r="S3381">
        <v>64.83</v>
      </c>
      <c r="T3381">
        <v>65</v>
      </c>
      <c r="U3381">
        <v>64.510000000000005</v>
      </c>
      <c r="W3381">
        <v>64.790000000000006</v>
      </c>
      <c r="Z3381">
        <v>45753</v>
      </c>
      <c r="AA3381">
        <v>2959617.42</v>
      </c>
      <c r="AB3381">
        <v>591</v>
      </c>
      <c r="AC3381" t="s">
        <v>42</v>
      </c>
      <c r="AD3381">
        <v>1</v>
      </c>
    </row>
    <row r="3382" spans="1:30">
      <c r="A3382" t="str">
        <f>CONCATENATE(I3382,J3382)</f>
        <v>UGROCAPEQ</v>
      </c>
      <c r="B3382" s="34">
        <v>46273</v>
      </c>
      <c r="C3382" s="34">
        <v>46273</v>
      </c>
      <c r="D3382" t="s">
        <v>35</v>
      </c>
      <c r="E3382" t="s">
        <v>36</v>
      </c>
      <c r="F3382" t="s">
        <v>37</v>
      </c>
      <c r="G3382">
        <v>5313</v>
      </c>
      <c r="H3382" t="s">
        <v>10216</v>
      </c>
      <c r="I3382" t="s">
        <v>10217</v>
      </c>
      <c r="J3382" t="s">
        <v>161</v>
      </c>
      <c r="O3382" t="s">
        <v>10218</v>
      </c>
      <c r="P3382">
        <v>85.5</v>
      </c>
      <c r="Q3382">
        <v>85.89</v>
      </c>
      <c r="R3382">
        <v>84.64</v>
      </c>
      <c r="S3382">
        <v>85.06</v>
      </c>
      <c r="T3382">
        <v>85.15</v>
      </c>
      <c r="U3382">
        <v>85.42</v>
      </c>
      <c r="W3382">
        <v>85.06</v>
      </c>
      <c r="Z3382">
        <v>115764</v>
      </c>
      <c r="AA3382">
        <v>9861892.5199999996</v>
      </c>
      <c r="AB3382">
        <v>1431</v>
      </c>
      <c r="AC3382" t="s">
        <v>42</v>
      </c>
      <c r="AD3382">
        <v>1</v>
      </c>
    </row>
    <row r="3383" spans="1:30">
      <c r="A3383" t="str">
        <f>CONCATENATE(I3383,J3383)</f>
        <v>UELEQ</v>
      </c>
      <c r="B3383" s="34">
        <v>46273</v>
      </c>
      <c r="C3383" s="34">
        <v>46273</v>
      </c>
      <c r="D3383" t="s">
        <v>35</v>
      </c>
      <c r="E3383" t="s">
        <v>36</v>
      </c>
      <c r="F3383" t="s">
        <v>37</v>
      </c>
      <c r="G3383">
        <v>23507</v>
      </c>
      <c r="H3383" t="s">
        <v>10219</v>
      </c>
      <c r="I3383" t="s">
        <v>10220</v>
      </c>
      <c r="J3383" t="s">
        <v>161</v>
      </c>
      <c r="O3383" t="s">
        <v>10221</v>
      </c>
      <c r="P3383">
        <v>218.05</v>
      </c>
      <c r="Q3383">
        <v>218.05</v>
      </c>
      <c r="R3383">
        <v>218.05</v>
      </c>
      <c r="S3383">
        <v>218.05</v>
      </c>
      <c r="T3383">
        <v>218.05</v>
      </c>
      <c r="U3383">
        <v>229.52</v>
      </c>
      <c r="W3383">
        <v>218.05</v>
      </c>
      <c r="Z3383">
        <v>3358</v>
      </c>
      <c r="AA3383">
        <v>732211.9</v>
      </c>
      <c r="AB3383">
        <v>167</v>
      </c>
      <c r="AC3383" t="s">
        <v>42</v>
      </c>
      <c r="AD3383">
        <v>1</v>
      </c>
    </row>
    <row r="3384" spans="1:30">
      <c r="A3384" t="str">
        <f>CONCATENATE(I3384,J3384)</f>
        <v>UJJIVANSFBEQ</v>
      </c>
      <c r="B3384" s="34">
        <v>46273</v>
      </c>
      <c r="C3384" s="34">
        <v>46273</v>
      </c>
      <c r="D3384" t="s">
        <v>35</v>
      </c>
      <c r="E3384" t="s">
        <v>36</v>
      </c>
      <c r="F3384" t="s">
        <v>37</v>
      </c>
      <c r="G3384">
        <v>15228</v>
      </c>
      <c r="H3384" t="s">
        <v>10222</v>
      </c>
      <c r="I3384" t="s">
        <v>10223</v>
      </c>
      <c r="J3384" t="s">
        <v>161</v>
      </c>
      <c r="O3384" t="s">
        <v>10224</v>
      </c>
      <c r="P3384">
        <v>64.930000000000007</v>
      </c>
      <c r="Q3384">
        <v>65.47</v>
      </c>
      <c r="R3384">
        <v>63.71</v>
      </c>
      <c r="S3384">
        <v>64.86</v>
      </c>
      <c r="T3384">
        <v>64.86</v>
      </c>
      <c r="U3384">
        <v>65.09</v>
      </c>
      <c r="W3384">
        <v>64.86</v>
      </c>
      <c r="Z3384">
        <v>8048113</v>
      </c>
      <c r="AA3384">
        <v>520796027.55000001</v>
      </c>
      <c r="AB3384">
        <v>30227</v>
      </c>
      <c r="AC3384" t="s">
        <v>42</v>
      </c>
      <c r="AD3384">
        <v>1</v>
      </c>
    </row>
    <row r="3385" spans="1:30">
      <c r="A3385" t="str">
        <f>CONCATENATE(I3385,J3385)</f>
        <v>UWCSLSM</v>
      </c>
      <c r="B3385" s="34">
        <v>46273</v>
      </c>
      <c r="C3385" s="34">
        <v>46273</v>
      </c>
      <c r="D3385" t="s">
        <v>35</v>
      </c>
      <c r="E3385" t="s">
        <v>36</v>
      </c>
      <c r="F3385" t="s">
        <v>37</v>
      </c>
      <c r="G3385">
        <v>5945</v>
      </c>
      <c r="H3385" t="s">
        <v>10225</v>
      </c>
      <c r="I3385" t="s">
        <v>10226</v>
      </c>
      <c r="J3385" t="s">
        <v>267</v>
      </c>
      <c r="O3385" t="s">
        <v>10227</v>
      </c>
      <c r="P3385">
        <v>121.45</v>
      </c>
      <c r="Q3385">
        <v>121.45</v>
      </c>
      <c r="R3385">
        <v>121.45</v>
      </c>
      <c r="S3385">
        <v>121.45</v>
      </c>
      <c r="T3385">
        <v>121.45</v>
      </c>
      <c r="U3385">
        <v>115.7</v>
      </c>
      <c r="W3385">
        <v>121.45</v>
      </c>
      <c r="Z3385">
        <v>1000</v>
      </c>
      <c r="AA3385">
        <v>121450</v>
      </c>
      <c r="AB3385">
        <v>1</v>
      </c>
      <c r="AC3385" t="s">
        <v>42</v>
      </c>
      <c r="AD3385">
        <v>1000</v>
      </c>
    </row>
    <row r="3386" spans="1:30">
      <c r="A3386" t="str">
        <f>CONCATENATE(I3386,J3386)</f>
        <v>ULTRAMAREQ</v>
      </c>
      <c r="B3386" s="34">
        <v>46273</v>
      </c>
      <c r="C3386" s="34">
        <v>46273</v>
      </c>
      <c r="D3386" t="s">
        <v>35</v>
      </c>
      <c r="E3386" t="s">
        <v>36</v>
      </c>
      <c r="F3386" t="s">
        <v>37</v>
      </c>
      <c r="G3386">
        <v>762961</v>
      </c>
      <c r="H3386" t="s">
        <v>10228</v>
      </c>
      <c r="I3386" t="s">
        <v>10229</v>
      </c>
      <c r="J3386" t="s">
        <v>161</v>
      </c>
      <c r="O3386" t="s">
        <v>10230</v>
      </c>
      <c r="P3386">
        <v>429.4</v>
      </c>
      <c r="Q3386">
        <v>438.5</v>
      </c>
      <c r="R3386">
        <v>419.2</v>
      </c>
      <c r="S3386">
        <v>421.45</v>
      </c>
      <c r="T3386">
        <v>423</v>
      </c>
      <c r="U3386">
        <v>429.4</v>
      </c>
      <c r="W3386">
        <v>421.67</v>
      </c>
      <c r="Z3386">
        <v>110114</v>
      </c>
      <c r="AA3386">
        <v>46925852.600000001</v>
      </c>
      <c r="AB3386">
        <v>3154</v>
      </c>
      <c r="AC3386" t="s">
        <v>42</v>
      </c>
      <c r="AD3386">
        <v>1</v>
      </c>
    </row>
    <row r="3387" spans="1:30">
      <c r="A3387" t="str">
        <f>CONCATENATE(I3387,J3387)</f>
        <v>ULTRACEMCOEQ</v>
      </c>
      <c r="B3387" s="34">
        <v>46273</v>
      </c>
      <c r="C3387" s="34">
        <v>46273</v>
      </c>
      <c r="D3387" t="s">
        <v>35</v>
      </c>
      <c r="E3387" t="s">
        <v>36</v>
      </c>
      <c r="F3387" t="s">
        <v>37</v>
      </c>
      <c r="G3387">
        <v>11532</v>
      </c>
      <c r="H3387" t="s">
        <v>10231</v>
      </c>
      <c r="I3387" t="s">
        <v>10232</v>
      </c>
      <c r="J3387" t="s">
        <v>161</v>
      </c>
      <c r="O3387" t="s">
        <v>10233</v>
      </c>
      <c r="P3387">
        <v>11175</v>
      </c>
      <c r="Q3387">
        <v>11215</v>
      </c>
      <c r="R3387">
        <v>10995</v>
      </c>
      <c r="S3387">
        <v>11009</v>
      </c>
      <c r="T3387">
        <v>11009</v>
      </c>
      <c r="U3387">
        <v>11175</v>
      </c>
      <c r="W3387">
        <v>11009.04</v>
      </c>
      <c r="Z3387">
        <v>338272</v>
      </c>
      <c r="AA3387">
        <v>3739894599</v>
      </c>
      <c r="AB3387">
        <v>42244</v>
      </c>
      <c r="AC3387" t="s">
        <v>42</v>
      </c>
      <c r="AD3387">
        <v>1</v>
      </c>
    </row>
    <row r="3388" spans="1:30">
      <c r="A3388" t="str">
        <f>CONCATENATE(I3388,J3388)</f>
        <v>UMASM</v>
      </c>
      <c r="B3388" s="34">
        <v>46273</v>
      </c>
      <c r="C3388" s="34">
        <v>46273</v>
      </c>
      <c r="D3388" t="s">
        <v>35</v>
      </c>
      <c r="E3388" t="s">
        <v>36</v>
      </c>
      <c r="F3388" t="s">
        <v>37</v>
      </c>
      <c r="G3388">
        <v>13349</v>
      </c>
      <c r="H3388" t="s">
        <v>10234</v>
      </c>
      <c r="I3388" t="s">
        <v>10235</v>
      </c>
      <c r="J3388" t="s">
        <v>267</v>
      </c>
      <c r="O3388" t="s">
        <v>10236</v>
      </c>
      <c r="P3388">
        <v>17.2</v>
      </c>
      <c r="Q3388">
        <v>17.2</v>
      </c>
      <c r="R3388">
        <v>17.05</v>
      </c>
      <c r="S3388">
        <v>17.05</v>
      </c>
      <c r="T3388">
        <v>17.05</v>
      </c>
      <c r="U3388">
        <v>18</v>
      </c>
      <c r="W3388">
        <v>17.05</v>
      </c>
      <c r="Z3388">
        <v>16000</v>
      </c>
      <c r="AA3388">
        <v>274000</v>
      </c>
      <c r="AB3388">
        <v>4</v>
      </c>
      <c r="AC3388" t="s">
        <v>42</v>
      </c>
      <c r="AD3388">
        <v>4000</v>
      </c>
    </row>
    <row r="3389" spans="1:30">
      <c r="A3389" t="str">
        <f>CONCATENATE(I3389,J3389)</f>
        <v>UMAEXPORTSBE</v>
      </c>
      <c r="B3389" s="34">
        <v>46273</v>
      </c>
      <c r="C3389" s="34">
        <v>46273</v>
      </c>
      <c r="D3389" t="s">
        <v>35</v>
      </c>
      <c r="E3389" t="s">
        <v>36</v>
      </c>
      <c r="F3389" t="s">
        <v>37</v>
      </c>
      <c r="G3389">
        <v>8845</v>
      </c>
      <c r="H3389" t="s">
        <v>10237</v>
      </c>
      <c r="I3389" t="s">
        <v>10238</v>
      </c>
      <c r="J3389" t="s">
        <v>183</v>
      </c>
      <c r="O3389" t="s">
        <v>10239</v>
      </c>
      <c r="P3389">
        <v>23.03</v>
      </c>
      <c r="Q3389">
        <v>23.05</v>
      </c>
      <c r="R3389">
        <v>23.03</v>
      </c>
      <c r="S3389">
        <v>23.03</v>
      </c>
      <c r="T3389">
        <v>23.03</v>
      </c>
      <c r="U3389">
        <v>23.5</v>
      </c>
      <c r="W3389">
        <v>23.26</v>
      </c>
      <c r="Z3389">
        <v>1824</v>
      </c>
      <c r="AA3389">
        <v>42006.74</v>
      </c>
      <c r="AB3389">
        <v>18</v>
      </c>
      <c r="AC3389" t="s">
        <v>42</v>
      </c>
      <c r="AD3389">
        <v>1</v>
      </c>
    </row>
    <row r="3390" spans="1:30">
      <c r="A3390" t="str">
        <f>CONCATENATE(I3390,J3390)</f>
        <v>UMIYA-MROEQ</v>
      </c>
      <c r="B3390" s="34">
        <v>46273</v>
      </c>
      <c r="C3390" s="34">
        <v>46273</v>
      </c>
      <c r="D3390" t="s">
        <v>35</v>
      </c>
      <c r="E3390" t="s">
        <v>36</v>
      </c>
      <c r="F3390" t="s">
        <v>37</v>
      </c>
      <c r="G3390">
        <v>8998</v>
      </c>
      <c r="H3390" t="s">
        <v>10240</v>
      </c>
      <c r="I3390" t="s">
        <v>10241</v>
      </c>
      <c r="J3390" t="s">
        <v>161</v>
      </c>
      <c r="O3390" t="s">
        <v>10242</v>
      </c>
      <c r="P3390">
        <v>105.82</v>
      </c>
      <c r="Q3390">
        <v>105.82</v>
      </c>
      <c r="R3390">
        <v>98</v>
      </c>
      <c r="S3390">
        <v>98.93</v>
      </c>
      <c r="T3390">
        <v>99.3</v>
      </c>
      <c r="U3390">
        <v>104.82</v>
      </c>
      <c r="W3390">
        <v>98.94</v>
      </c>
      <c r="Z3390">
        <v>45864</v>
      </c>
      <c r="AA3390">
        <v>4548502.4800000004</v>
      </c>
      <c r="AB3390">
        <v>830</v>
      </c>
      <c r="AC3390" t="s">
        <v>42</v>
      </c>
      <c r="AD3390">
        <v>1</v>
      </c>
    </row>
    <row r="3391" spans="1:30">
      <c r="A3391" t="str">
        <f>CONCATENATE(I3391,J3391)</f>
        <v>UNICHEMLABEQ</v>
      </c>
      <c r="B3391" s="34">
        <v>46273</v>
      </c>
      <c r="C3391" s="34">
        <v>46273</v>
      </c>
      <c r="D3391" t="s">
        <v>35</v>
      </c>
      <c r="E3391" t="s">
        <v>36</v>
      </c>
      <c r="F3391" t="s">
        <v>37</v>
      </c>
      <c r="G3391">
        <v>3579</v>
      </c>
      <c r="H3391" t="s">
        <v>10243</v>
      </c>
      <c r="I3391" t="s">
        <v>10244</v>
      </c>
      <c r="J3391" t="s">
        <v>161</v>
      </c>
      <c r="O3391" t="s">
        <v>10245</v>
      </c>
      <c r="P3391">
        <v>567</v>
      </c>
      <c r="Q3391">
        <v>575.20000000000005</v>
      </c>
      <c r="R3391">
        <v>552.4</v>
      </c>
      <c r="S3391">
        <v>555.6</v>
      </c>
      <c r="T3391">
        <v>554</v>
      </c>
      <c r="U3391">
        <v>569.75</v>
      </c>
      <c r="W3391">
        <v>555.63</v>
      </c>
      <c r="Z3391">
        <v>72969</v>
      </c>
      <c r="AA3391">
        <v>40788003.649999999</v>
      </c>
      <c r="AB3391">
        <v>3799</v>
      </c>
      <c r="AC3391" t="s">
        <v>42</v>
      </c>
      <c r="AD3391">
        <v>1</v>
      </c>
    </row>
    <row r="3392" spans="1:30">
      <c r="A3392" t="str">
        <f>CONCATENATE(I3392,J3392)</f>
        <v>UNIECOMEQ</v>
      </c>
      <c r="B3392" s="34">
        <v>46273</v>
      </c>
      <c r="C3392" s="34">
        <v>46273</v>
      </c>
      <c r="D3392" t="s">
        <v>35</v>
      </c>
      <c r="E3392" t="s">
        <v>36</v>
      </c>
      <c r="F3392" t="s">
        <v>37</v>
      </c>
      <c r="G3392">
        <v>24809</v>
      </c>
      <c r="H3392" t="s">
        <v>10246</v>
      </c>
      <c r="I3392" t="s">
        <v>10247</v>
      </c>
      <c r="J3392" t="s">
        <v>161</v>
      </c>
      <c r="O3392" t="s">
        <v>10248</v>
      </c>
      <c r="P3392">
        <v>85.36</v>
      </c>
      <c r="Q3392">
        <v>85.7</v>
      </c>
      <c r="R3392">
        <v>83.26</v>
      </c>
      <c r="S3392">
        <v>84.13</v>
      </c>
      <c r="T3392">
        <v>83.84</v>
      </c>
      <c r="U3392">
        <v>85.36</v>
      </c>
      <c r="W3392">
        <v>84.11</v>
      </c>
      <c r="Z3392">
        <v>324519</v>
      </c>
      <c r="AA3392">
        <v>27347870.52</v>
      </c>
      <c r="AB3392">
        <v>3345</v>
      </c>
      <c r="AC3392" t="s">
        <v>42</v>
      </c>
      <c r="AD3392">
        <v>1</v>
      </c>
    </row>
    <row r="3393" spans="1:30">
      <c r="A3393" t="str">
        <f>CONCATENATE(I3393,J3393)</f>
        <v>UNIHEALTHSM</v>
      </c>
      <c r="B3393" s="34">
        <v>46273</v>
      </c>
      <c r="C3393" s="34">
        <v>46273</v>
      </c>
      <c r="D3393" t="s">
        <v>35</v>
      </c>
      <c r="E3393" t="s">
        <v>36</v>
      </c>
      <c r="F3393" t="s">
        <v>37</v>
      </c>
      <c r="G3393">
        <v>18582</v>
      </c>
      <c r="H3393" t="s">
        <v>10249</v>
      </c>
      <c r="I3393" t="s">
        <v>10250</v>
      </c>
      <c r="J3393" t="s">
        <v>267</v>
      </c>
      <c r="O3393" t="s">
        <v>10251</v>
      </c>
      <c r="P3393">
        <v>705</v>
      </c>
      <c r="Q3393">
        <v>723</v>
      </c>
      <c r="R3393">
        <v>698</v>
      </c>
      <c r="S3393">
        <v>717.15</v>
      </c>
      <c r="T3393">
        <v>723</v>
      </c>
      <c r="U3393">
        <v>720.45</v>
      </c>
      <c r="W3393">
        <v>717.15</v>
      </c>
      <c r="Z3393">
        <v>15500</v>
      </c>
      <c r="AA3393">
        <v>11002175</v>
      </c>
      <c r="AB3393">
        <v>23</v>
      </c>
      <c r="AC3393" t="s">
        <v>42</v>
      </c>
      <c r="AD3393">
        <v>500</v>
      </c>
    </row>
    <row r="3394" spans="1:30">
      <c r="A3394" t="str">
        <f>CONCATENATE(I3394,J3394)</f>
        <v>UNIINFOEQ</v>
      </c>
      <c r="B3394" s="34">
        <v>46273</v>
      </c>
      <c r="C3394" s="34">
        <v>46273</v>
      </c>
      <c r="D3394" t="s">
        <v>35</v>
      </c>
      <c r="E3394" t="s">
        <v>36</v>
      </c>
      <c r="F3394" t="s">
        <v>37</v>
      </c>
      <c r="G3394">
        <v>7791</v>
      </c>
      <c r="H3394" t="s">
        <v>10252</v>
      </c>
      <c r="I3394" t="s">
        <v>10253</v>
      </c>
      <c r="J3394" t="s">
        <v>161</v>
      </c>
      <c r="O3394" t="s">
        <v>10254</v>
      </c>
      <c r="P3394">
        <v>11.06</v>
      </c>
      <c r="Q3394">
        <v>11.2</v>
      </c>
      <c r="R3394">
        <v>10.85</v>
      </c>
      <c r="S3394">
        <v>11.05</v>
      </c>
      <c r="T3394">
        <v>11.2</v>
      </c>
      <c r="U3394">
        <v>11.06</v>
      </c>
      <c r="W3394">
        <v>11.05</v>
      </c>
      <c r="Z3394">
        <v>4379</v>
      </c>
      <c r="AA3394">
        <v>48181.61</v>
      </c>
      <c r="AB3394">
        <v>27</v>
      </c>
      <c r="AC3394" t="s">
        <v>42</v>
      </c>
      <c r="AD3394">
        <v>1</v>
      </c>
    </row>
    <row r="3395" spans="1:30">
      <c r="A3395" t="str">
        <f>CONCATENATE(I3395,J3395)</f>
        <v>UNILEXSM</v>
      </c>
      <c r="B3395" s="34">
        <v>46273</v>
      </c>
      <c r="C3395" s="34">
        <v>46273</v>
      </c>
      <c r="D3395" t="s">
        <v>35</v>
      </c>
      <c r="E3395" t="s">
        <v>36</v>
      </c>
      <c r="F3395" t="s">
        <v>37</v>
      </c>
      <c r="G3395">
        <v>25633</v>
      </c>
      <c r="H3395" t="s">
        <v>10255</v>
      </c>
      <c r="I3395" t="s">
        <v>10256</v>
      </c>
      <c r="J3395" t="s">
        <v>267</v>
      </c>
      <c r="O3395" t="s">
        <v>10257</v>
      </c>
      <c r="P3395">
        <v>28</v>
      </c>
      <c r="Q3395">
        <v>28</v>
      </c>
      <c r="R3395">
        <v>28</v>
      </c>
      <c r="S3395">
        <v>28</v>
      </c>
      <c r="T3395">
        <v>28</v>
      </c>
      <c r="U3395">
        <v>27</v>
      </c>
      <c r="W3395">
        <v>28</v>
      </c>
      <c r="Z3395">
        <v>1600</v>
      </c>
      <c r="AA3395">
        <v>44800</v>
      </c>
      <c r="AB3395">
        <v>1</v>
      </c>
      <c r="AC3395" t="s">
        <v>42</v>
      </c>
      <c r="AD3395">
        <v>1600</v>
      </c>
    </row>
    <row r="3396" spans="1:30">
      <c r="A3396" t="str">
        <f>CONCATENATE(I3396,J3396)</f>
        <v>UNIMECHEQ</v>
      </c>
      <c r="B3396" s="34">
        <v>46273</v>
      </c>
      <c r="C3396" s="34">
        <v>46273</v>
      </c>
      <c r="D3396" t="s">
        <v>35</v>
      </c>
      <c r="E3396" t="s">
        <v>36</v>
      </c>
      <c r="F3396" t="s">
        <v>37</v>
      </c>
      <c r="G3396">
        <v>28960</v>
      </c>
      <c r="H3396" t="s">
        <v>10258</v>
      </c>
      <c r="I3396" t="s">
        <v>10259</v>
      </c>
      <c r="J3396" t="s">
        <v>161</v>
      </c>
      <c r="O3396" t="s">
        <v>10260</v>
      </c>
      <c r="P3396">
        <v>1514</v>
      </c>
      <c r="Q3396">
        <v>1640</v>
      </c>
      <c r="R3396">
        <v>1494.2</v>
      </c>
      <c r="S3396">
        <v>1629.6</v>
      </c>
      <c r="T3396">
        <v>1628</v>
      </c>
      <c r="U3396">
        <v>1495.7</v>
      </c>
      <c r="W3396">
        <v>1629.64</v>
      </c>
      <c r="Z3396">
        <v>939028</v>
      </c>
      <c r="AA3396">
        <v>1486882326.0999999</v>
      </c>
      <c r="AB3396">
        <v>57541</v>
      </c>
      <c r="AC3396" t="s">
        <v>42</v>
      </c>
      <c r="AD3396">
        <v>1</v>
      </c>
    </row>
    <row r="3397" spans="1:30">
      <c r="A3397" t="str">
        <f>CONCATENATE(I3397,J3397)</f>
        <v>UNIONBANKEQ</v>
      </c>
      <c r="B3397" s="34">
        <v>46273</v>
      </c>
      <c r="C3397" s="34">
        <v>46273</v>
      </c>
      <c r="D3397" t="s">
        <v>35</v>
      </c>
      <c r="E3397" t="s">
        <v>36</v>
      </c>
      <c r="F3397" t="s">
        <v>37</v>
      </c>
      <c r="G3397">
        <v>10753</v>
      </c>
      <c r="H3397" t="s">
        <v>10261</v>
      </c>
      <c r="I3397" t="s">
        <v>10262</v>
      </c>
      <c r="J3397" t="s">
        <v>161</v>
      </c>
      <c r="O3397" t="s">
        <v>10263</v>
      </c>
      <c r="P3397">
        <v>184.41</v>
      </c>
      <c r="Q3397">
        <v>185.15</v>
      </c>
      <c r="R3397">
        <v>181.4</v>
      </c>
      <c r="S3397">
        <v>183.22</v>
      </c>
      <c r="T3397">
        <v>183.22</v>
      </c>
      <c r="U3397">
        <v>186.04</v>
      </c>
      <c r="W3397">
        <v>183.22</v>
      </c>
      <c r="Z3397">
        <v>5714683</v>
      </c>
      <c r="AA3397">
        <v>1046027935</v>
      </c>
      <c r="AB3397">
        <v>32895</v>
      </c>
      <c r="AC3397" t="s">
        <v>42</v>
      </c>
      <c r="AD3397">
        <v>1</v>
      </c>
    </row>
    <row r="3398" spans="1:30">
      <c r="A3398" t="str">
        <f>CONCATENATE(I3398,J3398)</f>
        <v>UNIONGOLDEQ</v>
      </c>
      <c r="B3398" s="34">
        <v>46273</v>
      </c>
      <c r="C3398" s="34">
        <v>46273</v>
      </c>
      <c r="D3398" t="s">
        <v>35</v>
      </c>
      <c r="E3398" t="s">
        <v>36</v>
      </c>
      <c r="F3398" t="s">
        <v>37</v>
      </c>
      <c r="G3398">
        <v>29687</v>
      </c>
      <c r="H3398" t="s">
        <v>10264</v>
      </c>
      <c r="I3398" t="s">
        <v>10265</v>
      </c>
      <c r="J3398" t="s">
        <v>161</v>
      </c>
      <c r="O3398" t="s">
        <v>10266</v>
      </c>
      <c r="P3398">
        <v>149.55000000000001</v>
      </c>
      <c r="Q3398">
        <v>150.25</v>
      </c>
      <c r="R3398">
        <v>148.44999999999999</v>
      </c>
      <c r="S3398">
        <v>148.85</v>
      </c>
      <c r="T3398">
        <v>149.35</v>
      </c>
      <c r="U3398">
        <v>148.75</v>
      </c>
      <c r="W3398">
        <v>148.85</v>
      </c>
      <c r="Z3398">
        <v>739</v>
      </c>
      <c r="AA3398">
        <v>110453.65</v>
      </c>
      <c r="AB3398">
        <v>57</v>
      </c>
      <c r="AC3398" t="s">
        <v>42</v>
      </c>
      <c r="AD3398">
        <v>1</v>
      </c>
    </row>
    <row r="3399" spans="1:30">
      <c r="A3399" t="str">
        <f>CONCATENATE(I3399,J3399)</f>
        <v>UNIPARTSEQ</v>
      </c>
      <c r="B3399" s="34">
        <v>46273</v>
      </c>
      <c r="C3399" s="34">
        <v>46273</v>
      </c>
      <c r="D3399" t="s">
        <v>35</v>
      </c>
      <c r="E3399" t="s">
        <v>36</v>
      </c>
      <c r="F3399" t="s">
        <v>37</v>
      </c>
      <c r="G3399">
        <v>13057</v>
      </c>
      <c r="H3399" t="s">
        <v>10267</v>
      </c>
      <c r="I3399" t="s">
        <v>10268</v>
      </c>
      <c r="J3399" t="s">
        <v>161</v>
      </c>
      <c r="O3399" t="s">
        <v>10269</v>
      </c>
      <c r="P3399">
        <v>903.95</v>
      </c>
      <c r="Q3399">
        <v>907</v>
      </c>
      <c r="R3399">
        <v>890</v>
      </c>
      <c r="S3399">
        <v>898</v>
      </c>
      <c r="T3399">
        <v>894.4</v>
      </c>
      <c r="U3399">
        <v>902.1</v>
      </c>
      <c r="W3399">
        <v>898.04</v>
      </c>
      <c r="Z3399">
        <v>107199</v>
      </c>
      <c r="AA3399">
        <v>96282140.25</v>
      </c>
      <c r="AB3399">
        <v>6989</v>
      </c>
      <c r="AC3399" t="s">
        <v>42</v>
      </c>
      <c r="AD3399">
        <v>1</v>
      </c>
    </row>
    <row r="3400" spans="1:30">
      <c r="A3400" t="str">
        <f>CONCATENATE(I3400,J3400)</f>
        <v>UNIENTEREQ</v>
      </c>
      <c r="B3400" s="34">
        <v>46273</v>
      </c>
      <c r="C3400" s="34">
        <v>46273</v>
      </c>
      <c r="D3400" t="s">
        <v>35</v>
      </c>
      <c r="E3400" t="s">
        <v>36</v>
      </c>
      <c r="F3400" t="s">
        <v>37</v>
      </c>
      <c r="G3400">
        <v>11293</v>
      </c>
      <c r="H3400" t="s">
        <v>10270</v>
      </c>
      <c r="I3400" t="s">
        <v>10271</v>
      </c>
      <c r="J3400" t="s">
        <v>161</v>
      </c>
      <c r="O3400" t="s">
        <v>10272</v>
      </c>
      <c r="P3400">
        <v>93.9</v>
      </c>
      <c r="Q3400">
        <v>95.45</v>
      </c>
      <c r="R3400">
        <v>93.26</v>
      </c>
      <c r="S3400">
        <v>93.55</v>
      </c>
      <c r="T3400">
        <v>93.92</v>
      </c>
      <c r="U3400">
        <v>92.85</v>
      </c>
      <c r="W3400">
        <v>93.55</v>
      </c>
      <c r="Z3400">
        <v>7826</v>
      </c>
      <c r="AA3400">
        <v>732291.52</v>
      </c>
      <c r="AB3400">
        <v>69</v>
      </c>
      <c r="AC3400" t="s">
        <v>42</v>
      </c>
      <c r="AD3400">
        <v>1</v>
      </c>
    </row>
    <row r="3401" spans="1:30">
      <c r="A3401" t="str">
        <f>CONCATENATE(I3401,J3401)</f>
        <v>UNITECHEQ</v>
      </c>
      <c r="B3401" s="34">
        <v>46273</v>
      </c>
      <c r="C3401" s="34">
        <v>46273</v>
      </c>
      <c r="D3401" t="s">
        <v>35</v>
      </c>
      <c r="E3401" t="s">
        <v>36</v>
      </c>
      <c r="F3401" t="s">
        <v>37</v>
      </c>
      <c r="G3401">
        <v>3594</v>
      </c>
      <c r="H3401" t="s">
        <v>10273</v>
      </c>
      <c r="I3401" t="s">
        <v>10274</v>
      </c>
      <c r="J3401" t="s">
        <v>161</v>
      </c>
      <c r="O3401" t="s">
        <v>10275</v>
      </c>
      <c r="P3401">
        <v>4.25</v>
      </c>
      <c r="Q3401">
        <v>4.25</v>
      </c>
      <c r="R3401">
        <v>4.01</v>
      </c>
      <c r="S3401">
        <v>4.04</v>
      </c>
      <c r="T3401">
        <v>4.07</v>
      </c>
      <c r="U3401">
        <v>4.22</v>
      </c>
      <c r="W3401">
        <v>4.04</v>
      </c>
      <c r="Z3401">
        <v>8195532</v>
      </c>
      <c r="AA3401">
        <v>33632512.100000001</v>
      </c>
      <c r="AB3401">
        <v>3373</v>
      </c>
      <c r="AC3401" t="s">
        <v>42</v>
      </c>
      <c r="AD3401">
        <v>1</v>
      </c>
    </row>
    <row r="3402" spans="1:30">
      <c r="A3402" t="str">
        <f>CONCATENATE(I3402,J3402)</f>
        <v>UBLEQ</v>
      </c>
      <c r="B3402" s="34">
        <v>46273</v>
      </c>
      <c r="C3402" s="34">
        <v>46273</v>
      </c>
      <c r="D3402" t="s">
        <v>35</v>
      </c>
      <c r="E3402" t="s">
        <v>36</v>
      </c>
      <c r="F3402" t="s">
        <v>37</v>
      </c>
      <c r="G3402">
        <v>16713</v>
      </c>
      <c r="H3402" t="s">
        <v>10276</v>
      </c>
      <c r="I3402" t="s">
        <v>10277</v>
      </c>
      <c r="J3402" t="s">
        <v>161</v>
      </c>
      <c r="O3402" t="s">
        <v>10278</v>
      </c>
      <c r="P3402">
        <v>1291</v>
      </c>
      <c r="Q3402">
        <v>1293.9000000000001</v>
      </c>
      <c r="R3402">
        <v>1245.9000000000001</v>
      </c>
      <c r="S3402">
        <v>1252.5</v>
      </c>
      <c r="T3402">
        <v>1248.3</v>
      </c>
      <c r="U3402">
        <v>1291</v>
      </c>
      <c r="W3402">
        <v>1252.48</v>
      </c>
      <c r="Z3402">
        <v>288599</v>
      </c>
      <c r="AA3402">
        <v>363121353.10000002</v>
      </c>
      <c r="AB3402">
        <v>21254</v>
      </c>
      <c r="AC3402" t="s">
        <v>42</v>
      </c>
      <c r="AD3402">
        <v>1</v>
      </c>
    </row>
    <row r="3403" spans="1:30">
      <c r="A3403" t="str">
        <f>CONCATENATE(I3403,J3403)</f>
        <v>UNIDTBE</v>
      </c>
      <c r="B3403" s="34">
        <v>46273</v>
      </c>
      <c r="C3403" s="34">
        <v>46273</v>
      </c>
      <c r="D3403" t="s">
        <v>35</v>
      </c>
      <c r="E3403" t="s">
        <v>36</v>
      </c>
      <c r="F3403" t="s">
        <v>37</v>
      </c>
      <c r="G3403">
        <v>204</v>
      </c>
      <c r="H3403" t="s">
        <v>10279</v>
      </c>
      <c r="I3403" t="s">
        <v>10280</v>
      </c>
      <c r="J3403" t="s">
        <v>183</v>
      </c>
      <c r="O3403" t="s">
        <v>10281</v>
      </c>
      <c r="P3403">
        <v>233.24</v>
      </c>
      <c r="Q3403">
        <v>236</v>
      </c>
      <c r="R3403">
        <v>229.2</v>
      </c>
      <c r="S3403">
        <v>234.16</v>
      </c>
      <c r="T3403">
        <v>234</v>
      </c>
      <c r="U3403">
        <v>233.24</v>
      </c>
      <c r="W3403">
        <v>234</v>
      </c>
      <c r="Z3403">
        <v>36771</v>
      </c>
      <c r="AA3403">
        <v>8548322.6099999994</v>
      </c>
      <c r="AB3403">
        <v>208</v>
      </c>
      <c r="AC3403" t="s">
        <v>42</v>
      </c>
      <c r="AD3403">
        <v>1</v>
      </c>
    </row>
    <row r="3404" spans="1:30">
      <c r="A3404" t="str">
        <f>CONCATENATE(I3404,J3404)</f>
        <v>UFBLBE</v>
      </c>
      <c r="B3404" s="34">
        <v>46273</v>
      </c>
      <c r="C3404" s="34">
        <v>46273</v>
      </c>
      <c r="D3404" t="s">
        <v>35</v>
      </c>
      <c r="E3404" t="s">
        <v>36</v>
      </c>
      <c r="F3404" t="s">
        <v>37</v>
      </c>
      <c r="G3404">
        <v>3133</v>
      </c>
      <c r="H3404" t="s">
        <v>10282</v>
      </c>
      <c r="I3404" t="s">
        <v>10283</v>
      </c>
      <c r="J3404" t="s">
        <v>183</v>
      </c>
      <c r="O3404" t="s">
        <v>10284</v>
      </c>
      <c r="P3404">
        <v>684</v>
      </c>
      <c r="Q3404">
        <v>722</v>
      </c>
      <c r="R3404">
        <v>671.7</v>
      </c>
      <c r="S3404">
        <v>717.6</v>
      </c>
      <c r="T3404">
        <v>715</v>
      </c>
      <c r="U3404">
        <v>691.55</v>
      </c>
      <c r="W3404">
        <v>717.57</v>
      </c>
      <c r="Z3404">
        <v>49617</v>
      </c>
      <c r="AA3404">
        <v>34927098.549999997</v>
      </c>
      <c r="AB3404">
        <v>2913</v>
      </c>
      <c r="AC3404" t="s">
        <v>42</v>
      </c>
      <c r="AD3404">
        <v>1</v>
      </c>
    </row>
    <row r="3405" spans="1:30">
      <c r="A3405" t="str">
        <f>CONCATENATE(I3405,J3405)</f>
        <v>UHTLST</v>
      </c>
      <c r="B3405" s="34">
        <v>46273</v>
      </c>
      <c r="C3405" s="34">
        <v>46273</v>
      </c>
      <c r="D3405" t="s">
        <v>35</v>
      </c>
      <c r="E3405" t="s">
        <v>36</v>
      </c>
      <c r="F3405" t="s">
        <v>37</v>
      </c>
      <c r="G3405">
        <v>25938</v>
      </c>
      <c r="H3405" t="s">
        <v>10285</v>
      </c>
      <c r="I3405" t="s">
        <v>10286</v>
      </c>
      <c r="J3405" t="s">
        <v>328</v>
      </c>
      <c r="O3405" t="s">
        <v>10287</v>
      </c>
      <c r="P3405">
        <v>164.75</v>
      </c>
      <c r="Q3405">
        <v>164.75</v>
      </c>
      <c r="R3405">
        <v>164.75</v>
      </c>
      <c r="S3405">
        <v>164.75</v>
      </c>
      <c r="T3405">
        <v>164.75</v>
      </c>
      <c r="U3405">
        <v>161.55000000000001</v>
      </c>
      <c r="W3405">
        <v>164.75</v>
      </c>
      <c r="Z3405">
        <v>10000</v>
      </c>
      <c r="AA3405">
        <v>1647500</v>
      </c>
      <c r="AB3405">
        <v>5</v>
      </c>
      <c r="AC3405" t="s">
        <v>42</v>
      </c>
      <c r="AD3405">
        <v>2000</v>
      </c>
    </row>
    <row r="3406" spans="1:30">
      <c r="A3406" t="str">
        <f>CONCATENATE(I3406,J3406)</f>
        <v>UNITEDTEAEQ</v>
      </c>
      <c r="B3406" s="34">
        <v>46273</v>
      </c>
      <c r="C3406" s="34">
        <v>46273</v>
      </c>
      <c r="D3406" t="s">
        <v>35</v>
      </c>
      <c r="E3406" t="s">
        <v>36</v>
      </c>
      <c r="F3406" t="s">
        <v>37</v>
      </c>
      <c r="G3406">
        <v>17999</v>
      </c>
      <c r="H3406" t="s">
        <v>10288</v>
      </c>
      <c r="I3406" t="s">
        <v>10289</v>
      </c>
      <c r="J3406" t="s">
        <v>161</v>
      </c>
      <c r="O3406" t="s">
        <v>10290</v>
      </c>
      <c r="P3406">
        <v>442</v>
      </c>
      <c r="Q3406">
        <v>446.1</v>
      </c>
      <c r="R3406">
        <v>440.1</v>
      </c>
      <c r="S3406">
        <v>441.85</v>
      </c>
      <c r="T3406">
        <v>444.35</v>
      </c>
      <c r="U3406">
        <v>441.95</v>
      </c>
      <c r="W3406">
        <v>441.85</v>
      </c>
      <c r="Z3406">
        <v>906</v>
      </c>
      <c r="AA3406">
        <v>399693.95</v>
      </c>
      <c r="AB3406">
        <v>74</v>
      </c>
      <c r="AC3406" t="s">
        <v>42</v>
      </c>
      <c r="AD3406">
        <v>1</v>
      </c>
    </row>
    <row r="3407" spans="1:30">
      <c r="A3407" t="str">
        <f>CONCATENATE(I3407,J3407)</f>
        <v>UNITEDPOLYEQ</v>
      </c>
      <c r="B3407" s="34">
        <v>46273</v>
      </c>
      <c r="C3407" s="34">
        <v>46273</v>
      </c>
      <c r="D3407" t="s">
        <v>35</v>
      </c>
      <c r="E3407" t="s">
        <v>36</v>
      </c>
      <c r="F3407" t="s">
        <v>37</v>
      </c>
      <c r="G3407">
        <v>7560</v>
      </c>
      <c r="H3407" t="s">
        <v>10291</v>
      </c>
      <c r="I3407" t="s">
        <v>10292</v>
      </c>
      <c r="J3407" t="s">
        <v>161</v>
      </c>
      <c r="O3407" t="s">
        <v>10293</v>
      </c>
      <c r="P3407">
        <v>42.99</v>
      </c>
      <c r="Q3407">
        <v>43</v>
      </c>
      <c r="R3407">
        <v>41.5</v>
      </c>
      <c r="S3407">
        <v>42.78</v>
      </c>
      <c r="T3407">
        <v>42.8</v>
      </c>
      <c r="U3407">
        <v>42.88</v>
      </c>
      <c r="W3407">
        <v>42.76</v>
      </c>
      <c r="Z3407">
        <v>129764</v>
      </c>
      <c r="AA3407">
        <v>5512512.3600000003</v>
      </c>
      <c r="AB3407">
        <v>607</v>
      </c>
      <c r="AC3407" t="s">
        <v>42</v>
      </c>
      <c r="AD3407">
        <v>1</v>
      </c>
    </row>
    <row r="3408" spans="1:30">
      <c r="A3408" t="str">
        <f>CONCATENATE(I3408,J3408)</f>
        <v>UNITDSPREQ</v>
      </c>
      <c r="B3408" s="34">
        <v>46273</v>
      </c>
      <c r="C3408" s="34">
        <v>46273</v>
      </c>
      <c r="D3408" t="s">
        <v>35</v>
      </c>
      <c r="E3408" t="s">
        <v>36</v>
      </c>
      <c r="F3408" t="s">
        <v>37</v>
      </c>
      <c r="G3408">
        <v>10447</v>
      </c>
      <c r="H3408" t="s">
        <v>10294</v>
      </c>
      <c r="I3408" t="s">
        <v>10295</v>
      </c>
      <c r="J3408" t="s">
        <v>161</v>
      </c>
      <c r="O3408" t="s">
        <v>10296</v>
      </c>
      <c r="P3408">
        <v>1431.8</v>
      </c>
      <c r="Q3408">
        <v>1441.9</v>
      </c>
      <c r="R3408">
        <v>1426.9</v>
      </c>
      <c r="S3408">
        <v>1440</v>
      </c>
      <c r="T3408">
        <v>1440</v>
      </c>
      <c r="U3408">
        <v>1440</v>
      </c>
      <c r="W3408">
        <v>1439.95</v>
      </c>
      <c r="Z3408">
        <v>506102</v>
      </c>
      <c r="AA3408">
        <v>726622242.20000005</v>
      </c>
      <c r="AB3408">
        <v>35080</v>
      </c>
      <c r="AC3408" t="s">
        <v>42</v>
      </c>
      <c r="AD3408">
        <v>1</v>
      </c>
    </row>
    <row r="3409" spans="1:30">
      <c r="A3409" t="str">
        <f>CONCATENATE(I3409,J3409)</f>
        <v>UNIVASTUBE</v>
      </c>
      <c r="B3409" s="34">
        <v>46273</v>
      </c>
      <c r="C3409" s="34">
        <v>46273</v>
      </c>
      <c r="D3409" t="s">
        <v>35</v>
      </c>
      <c r="E3409" t="s">
        <v>36</v>
      </c>
      <c r="F3409" t="s">
        <v>37</v>
      </c>
      <c r="G3409">
        <v>18979</v>
      </c>
      <c r="H3409" t="s">
        <v>10297</v>
      </c>
      <c r="I3409" t="s">
        <v>10298</v>
      </c>
      <c r="J3409" t="s">
        <v>183</v>
      </c>
      <c r="O3409" t="s">
        <v>10299</v>
      </c>
      <c r="P3409">
        <v>169.05</v>
      </c>
      <c r="Q3409">
        <v>170</v>
      </c>
      <c r="R3409">
        <v>164.1</v>
      </c>
      <c r="S3409">
        <v>164.79</v>
      </c>
      <c r="T3409">
        <v>166</v>
      </c>
      <c r="U3409">
        <v>169.89</v>
      </c>
      <c r="W3409">
        <v>164.79</v>
      </c>
      <c r="Z3409">
        <v>38439</v>
      </c>
      <c r="AA3409">
        <v>6389090.5499999998</v>
      </c>
      <c r="AB3409">
        <v>377</v>
      </c>
      <c r="AC3409" t="s">
        <v>42</v>
      </c>
      <c r="AD3409">
        <v>1</v>
      </c>
    </row>
    <row r="3410" spans="1:30">
      <c r="A3410" t="str">
        <f>CONCATENATE(I3410,J3410)</f>
        <v>UNIVCABLESEQ</v>
      </c>
      <c r="B3410" s="34">
        <v>46273</v>
      </c>
      <c r="C3410" s="34">
        <v>46273</v>
      </c>
      <c r="D3410" t="s">
        <v>35</v>
      </c>
      <c r="E3410" t="s">
        <v>36</v>
      </c>
      <c r="F3410" t="s">
        <v>37</v>
      </c>
      <c r="G3410">
        <v>3607</v>
      </c>
      <c r="H3410" t="s">
        <v>10300</v>
      </c>
      <c r="I3410" t="s">
        <v>10301</v>
      </c>
      <c r="J3410" t="s">
        <v>161</v>
      </c>
      <c r="O3410" t="s">
        <v>10302</v>
      </c>
      <c r="P3410">
        <v>1480.4</v>
      </c>
      <c r="Q3410">
        <v>1556.8</v>
      </c>
      <c r="R3410">
        <v>1480.4</v>
      </c>
      <c r="S3410">
        <v>1524.7</v>
      </c>
      <c r="T3410">
        <v>1535</v>
      </c>
      <c r="U3410">
        <v>1487.6</v>
      </c>
      <c r="W3410">
        <v>1524.21</v>
      </c>
      <c r="Z3410">
        <v>181704</v>
      </c>
      <c r="AA3410">
        <v>277507583.5</v>
      </c>
      <c r="AB3410">
        <v>16098</v>
      </c>
      <c r="AC3410" t="s">
        <v>42</v>
      </c>
      <c r="AD3410">
        <v>1</v>
      </c>
    </row>
    <row r="3411" spans="1:30">
      <c r="A3411" t="str">
        <f>CONCATENATE(I3411,J3411)</f>
        <v>UNIVPHOTOBE</v>
      </c>
      <c r="B3411" s="34">
        <v>46273</v>
      </c>
      <c r="C3411" s="34">
        <v>46273</v>
      </c>
      <c r="D3411" t="s">
        <v>35</v>
      </c>
      <c r="E3411" t="s">
        <v>36</v>
      </c>
      <c r="F3411" t="s">
        <v>37</v>
      </c>
      <c r="G3411">
        <v>17661</v>
      </c>
      <c r="H3411" t="s">
        <v>10303</v>
      </c>
      <c r="I3411" t="s">
        <v>10304</v>
      </c>
      <c r="J3411" t="s">
        <v>183</v>
      </c>
      <c r="O3411" t="s">
        <v>10305</v>
      </c>
      <c r="P3411">
        <v>522</v>
      </c>
      <c r="Q3411">
        <v>540.6</v>
      </c>
      <c r="R3411">
        <v>522</v>
      </c>
      <c r="S3411">
        <v>540.6</v>
      </c>
      <c r="T3411">
        <v>540.6</v>
      </c>
      <c r="U3411">
        <v>514.9</v>
      </c>
      <c r="W3411">
        <v>543.91999999999996</v>
      </c>
      <c r="Z3411">
        <v>5091</v>
      </c>
      <c r="AA3411">
        <v>2740065.2</v>
      </c>
      <c r="AB3411">
        <v>166</v>
      </c>
      <c r="AC3411" t="s">
        <v>42</v>
      </c>
      <c r="AD3411">
        <v>1</v>
      </c>
    </row>
    <row r="3412" spans="1:30">
      <c r="A3412" t="str">
        <f>CONCATENATE(I3412,J3412)</f>
        <v>UNOMINDAEQ</v>
      </c>
      <c r="B3412" s="34">
        <v>46273</v>
      </c>
      <c r="C3412" s="34">
        <v>46273</v>
      </c>
      <c r="D3412" t="s">
        <v>35</v>
      </c>
      <c r="E3412" t="s">
        <v>36</v>
      </c>
      <c r="F3412" t="s">
        <v>37</v>
      </c>
      <c r="G3412">
        <v>14154</v>
      </c>
      <c r="H3412" t="s">
        <v>10306</v>
      </c>
      <c r="I3412" t="s">
        <v>10307</v>
      </c>
      <c r="J3412" t="s">
        <v>161</v>
      </c>
      <c r="O3412" t="s">
        <v>10308</v>
      </c>
      <c r="P3412">
        <v>1240</v>
      </c>
      <c r="Q3412">
        <v>1241</v>
      </c>
      <c r="R3412">
        <v>1221</v>
      </c>
      <c r="S3412">
        <v>1237</v>
      </c>
      <c r="T3412">
        <v>1237</v>
      </c>
      <c r="U3412">
        <v>1241.7</v>
      </c>
      <c r="W3412">
        <v>1236.8800000000001</v>
      </c>
      <c r="Z3412">
        <v>561339</v>
      </c>
      <c r="AA3412">
        <v>692461349.10000002</v>
      </c>
      <c r="AB3412">
        <v>31195</v>
      </c>
      <c r="AC3412" t="s">
        <v>42</v>
      </c>
      <c r="AD3412">
        <v>1</v>
      </c>
    </row>
    <row r="3413" spans="1:30">
      <c r="A3413" t="str">
        <f>CONCATENATE(I3413,J3413)</f>
        <v>915SCL26NE</v>
      </c>
      <c r="B3413" s="34">
        <v>46273</v>
      </c>
      <c r="C3413" s="34">
        <v>46273</v>
      </c>
      <c r="D3413" t="s">
        <v>35</v>
      </c>
      <c r="E3413" t="s">
        <v>36</v>
      </c>
      <c r="F3413" t="s">
        <v>37</v>
      </c>
      <c r="G3413">
        <v>18636</v>
      </c>
      <c r="H3413" t="s">
        <v>10309</v>
      </c>
      <c r="I3413" t="s">
        <v>10310</v>
      </c>
      <c r="J3413" t="s">
        <v>239</v>
      </c>
      <c r="O3413" t="s">
        <v>10311</v>
      </c>
      <c r="P3413">
        <v>1081</v>
      </c>
      <c r="Q3413">
        <v>1084.7</v>
      </c>
      <c r="R3413">
        <v>1081</v>
      </c>
      <c r="S3413">
        <v>1084.7</v>
      </c>
      <c r="T3413">
        <v>1084.7</v>
      </c>
      <c r="U3413">
        <v>1081.0999999999999</v>
      </c>
      <c r="W3413">
        <v>1084.7</v>
      </c>
      <c r="Z3413">
        <v>16</v>
      </c>
      <c r="AA3413">
        <v>17299.7</v>
      </c>
      <c r="AB3413">
        <v>3</v>
      </c>
      <c r="AC3413" t="s">
        <v>42</v>
      </c>
      <c r="AD3413">
        <v>1</v>
      </c>
    </row>
    <row r="3414" spans="1:30">
      <c r="A3414" t="str">
        <f>CONCATENATE(I3414,J3414)</f>
        <v>IIFLZC28NG</v>
      </c>
      <c r="B3414" s="34">
        <v>46273</v>
      </c>
      <c r="C3414" s="34">
        <v>46273</v>
      </c>
      <c r="D3414" t="s">
        <v>35</v>
      </c>
      <c r="E3414" t="s">
        <v>36</v>
      </c>
      <c r="F3414" t="s">
        <v>37</v>
      </c>
      <c r="G3414">
        <v>2883</v>
      </c>
      <c r="H3414" t="s">
        <v>10312</v>
      </c>
      <c r="I3414" t="s">
        <v>10313</v>
      </c>
      <c r="J3414" t="s">
        <v>464</v>
      </c>
      <c r="O3414" t="s">
        <v>10314</v>
      </c>
      <c r="P3414">
        <v>1671.04</v>
      </c>
      <c r="Q3414">
        <v>1671.04</v>
      </c>
      <c r="R3414">
        <v>1671</v>
      </c>
      <c r="S3414">
        <v>1671</v>
      </c>
      <c r="T3414">
        <v>1671</v>
      </c>
      <c r="U3414">
        <v>1659.7</v>
      </c>
      <c r="W3414">
        <v>1671</v>
      </c>
      <c r="Z3414">
        <v>3</v>
      </c>
      <c r="AA3414">
        <v>5013.04</v>
      </c>
      <c r="AB3414">
        <v>3</v>
      </c>
      <c r="AC3414" t="s">
        <v>42</v>
      </c>
      <c r="AD3414">
        <v>1</v>
      </c>
    </row>
    <row r="3415" spans="1:30">
      <c r="A3415" t="str">
        <f>CONCATENATE(I3415,J3415)</f>
        <v>10IIFL28ANE</v>
      </c>
      <c r="B3415" s="34">
        <v>46273</v>
      </c>
      <c r="C3415" s="34">
        <v>46273</v>
      </c>
      <c r="D3415" t="s">
        <v>35</v>
      </c>
      <c r="E3415" t="s">
        <v>36</v>
      </c>
      <c r="F3415" t="s">
        <v>37</v>
      </c>
      <c r="G3415">
        <v>2871</v>
      </c>
      <c r="H3415" t="s">
        <v>10315</v>
      </c>
      <c r="I3415" t="s">
        <v>10316</v>
      </c>
      <c r="J3415" t="s">
        <v>239</v>
      </c>
      <c r="O3415" t="s">
        <v>10317</v>
      </c>
      <c r="P3415">
        <v>1046.98</v>
      </c>
      <c r="Q3415">
        <v>1049.99</v>
      </c>
      <c r="R3415">
        <v>1046.98</v>
      </c>
      <c r="S3415">
        <v>1049.99</v>
      </c>
      <c r="T3415">
        <v>1049.99</v>
      </c>
      <c r="U3415">
        <v>1046.98</v>
      </c>
      <c r="W3415">
        <v>1049.99</v>
      </c>
      <c r="Z3415">
        <v>195</v>
      </c>
      <c r="AA3415">
        <v>204582.5</v>
      </c>
      <c r="AB3415">
        <v>5</v>
      </c>
      <c r="AC3415" t="s">
        <v>42</v>
      </c>
      <c r="AD3415">
        <v>1</v>
      </c>
    </row>
    <row r="3416" spans="1:30">
      <c r="A3416" t="str">
        <f>CONCATENATE(I3416,J3416)</f>
        <v>96IIFL28ANF</v>
      </c>
      <c r="B3416" s="34">
        <v>46273</v>
      </c>
      <c r="C3416" s="34">
        <v>46273</v>
      </c>
      <c r="D3416" t="s">
        <v>35</v>
      </c>
      <c r="E3416" t="s">
        <v>36</v>
      </c>
      <c r="F3416" t="s">
        <v>37</v>
      </c>
      <c r="G3416">
        <v>2877</v>
      </c>
      <c r="H3416" t="s">
        <v>10318</v>
      </c>
      <c r="I3416" t="s">
        <v>10319</v>
      </c>
      <c r="J3416" t="s">
        <v>480</v>
      </c>
      <c r="O3416" t="s">
        <v>10320</v>
      </c>
      <c r="P3416">
        <v>1003.91</v>
      </c>
      <c r="Q3416">
        <v>1004.94</v>
      </c>
      <c r="R3416">
        <v>1003</v>
      </c>
      <c r="S3416">
        <v>1004.75</v>
      </c>
      <c r="T3416">
        <v>1004.75</v>
      </c>
      <c r="U3416">
        <v>1003</v>
      </c>
      <c r="W3416">
        <v>1004.75</v>
      </c>
      <c r="Z3416">
        <v>306</v>
      </c>
      <c r="AA3416">
        <v>307045.02</v>
      </c>
      <c r="AB3416">
        <v>12</v>
      </c>
      <c r="AC3416" t="s">
        <v>42</v>
      </c>
      <c r="AD3416">
        <v>1</v>
      </c>
    </row>
    <row r="3417" spans="1:30">
      <c r="A3417" t="str">
        <f>CONCATENATE(I3417,J3417)</f>
        <v>IIFLZC28CN6</v>
      </c>
      <c r="B3417" s="34">
        <v>46273</v>
      </c>
      <c r="C3417" s="34">
        <v>46273</v>
      </c>
      <c r="D3417" t="s">
        <v>35</v>
      </c>
      <c r="E3417" t="s">
        <v>36</v>
      </c>
      <c r="F3417" t="s">
        <v>37</v>
      </c>
      <c r="G3417">
        <v>5217</v>
      </c>
      <c r="H3417" t="s">
        <v>10321</v>
      </c>
      <c r="I3417" t="s">
        <v>10322</v>
      </c>
      <c r="J3417" t="s">
        <v>226</v>
      </c>
      <c r="O3417" t="s">
        <v>10323</v>
      </c>
      <c r="P3417">
        <v>1601.95</v>
      </c>
      <c r="Q3417">
        <v>1601.95</v>
      </c>
      <c r="R3417">
        <v>1601.95</v>
      </c>
      <c r="S3417">
        <v>1601.95</v>
      </c>
      <c r="T3417">
        <v>1601.95</v>
      </c>
      <c r="U3417">
        <v>1610</v>
      </c>
      <c r="W3417">
        <v>1601.95</v>
      </c>
      <c r="Z3417">
        <v>25</v>
      </c>
      <c r="AA3417">
        <v>40048.75</v>
      </c>
      <c r="AB3417">
        <v>1</v>
      </c>
      <c r="AC3417" t="s">
        <v>42</v>
      </c>
      <c r="AD3417">
        <v>1</v>
      </c>
    </row>
    <row r="3418" spans="1:30">
      <c r="A3418" t="str">
        <f>CONCATENATE(I3418,J3418)</f>
        <v>10IIFL28N4</v>
      </c>
      <c r="B3418" s="34">
        <v>46273</v>
      </c>
      <c r="C3418" s="34">
        <v>46273</v>
      </c>
      <c r="D3418" t="s">
        <v>35</v>
      </c>
      <c r="E3418" t="s">
        <v>36</v>
      </c>
      <c r="F3418" t="s">
        <v>37</v>
      </c>
      <c r="G3418">
        <v>5212</v>
      </c>
      <c r="H3418" t="s">
        <v>10324</v>
      </c>
      <c r="I3418" t="s">
        <v>10325</v>
      </c>
      <c r="J3418" t="s">
        <v>199</v>
      </c>
      <c r="O3418" t="s">
        <v>10326</v>
      </c>
      <c r="P3418">
        <v>1004.1</v>
      </c>
      <c r="Q3418">
        <v>1006</v>
      </c>
      <c r="R3418">
        <v>1000.01</v>
      </c>
      <c r="S3418">
        <v>1006</v>
      </c>
      <c r="T3418">
        <v>1006</v>
      </c>
      <c r="U3418">
        <v>1009</v>
      </c>
      <c r="W3418">
        <v>1006</v>
      </c>
      <c r="Z3418">
        <v>501</v>
      </c>
      <c r="AA3418">
        <v>501414.09</v>
      </c>
      <c r="AB3418">
        <v>5</v>
      </c>
      <c r="AC3418" t="s">
        <v>42</v>
      </c>
      <c r="AD3418">
        <v>1</v>
      </c>
    </row>
    <row r="3419" spans="1:30">
      <c r="A3419" t="str">
        <f>CONCATENATE(I3419,J3419)</f>
        <v>96IIFL28N5</v>
      </c>
      <c r="B3419" s="34">
        <v>46273</v>
      </c>
      <c r="C3419" s="34">
        <v>46273</v>
      </c>
      <c r="D3419" t="s">
        <v>35</v>
      </c>
      <c r="E3419" t="s">
        <v>36</v>
      </c>
      <c r="F3419" t="s">
        <v>37</v>
      </c>
      <c r="G3419">
        <v>5214</v>
      </c>
      <c r="H3419" t="s">
        <v>10327</v>
      </c>
      <c r="I3419" t="s">
        <v>10328</v>
      </c>
      <c r="J3419" t="s">
        <v>219</v>
      </c>
      <c r="O3419" t="s">
        <v>10329</v>
      </c>
      <c r="P3419">
        <v>1001.01</v>
      </c>
      <c r="Q3419">
        <v>1003.99</v>
      </c>
      <c r="R3419">
        <v>1001.01</v>
      </c>
      <c r="S3419">
        <v>1002.5</v>
      </c>
      <c r="T3419">
        <v>1002.5</v>
      </c>
      <c r="U3419">
        <v>1000.59</v>
      </c>
      <c r="W3419">
        <v>1002.5</v>
      </c>
      <c r="Z3419">
        <v>391</v>
      </c>
      <c r="AA3419">
        <v>392316.96</v>
      </c>
      <c r="AB3419">
        <v>10</v>
      </c>
      <c r="AC3419" t="s">
        <v>42</v>
      </c>
      <c r="AD3419">
        <v>1</v>
      </c>
    </row>
    <row r="3420" spans="1:30">
      <c r="A3420" t="str">
        <f>CONCATENATE(I3420,J3420)</f>
        <v>UDSEQ</v>
      </c>
      <c r="B3420" s="34">
        <v>46273</v>
      </c>
      <c r="C3420" s="34">
        <v>46273</v>
      </c>
      <c r="D3420" t="s">
        <v>35</v>
      </c>
      <c r="E3420" t="s">
        <v>36</v>
      </c>
      <c r="F3420" t="s">
        <v>37</v>
      </c>
      <c r="G3420">
        <v>19113</v>
      </c>
      <c r="H3420" t="s">
        <v>10330</v>
      </c>
      <c r="I3420" t="s">
        <v>10331</v>
      </c>
      <c r="J3420" t="s">
        <v>161</v>
      </c>
      <c r="O3420" t="s">
        <v>10332</v>
      </c>
      <c r="P3420">
        <v>216.76</v>
      </c>
      <c r="Q3420">
        <v>221</v>
      </c>
      <c r="R3420">
        <v>206.21</v>
      </c>
      <c r="S3420">
        <v>215.77</v>
      </c>
      <c r="T3420">
        <v>217</v>
      </c>
      <c r="U3420">
        <v>217.84</v>
      </c>
      <c r="W3420">
        <v>215.76</v>
      </c>
      <c r="Z3420">
        <v>498239</v>
      </c>
      <c r="AA3420">
        <v>106632921.56</v>
      </c>
      <c r="AB3420">
        <v>13571</v>
      </c>
      <c r="AC3420" t="s">
        <v>42</v>
      </c>
      <c r="AD3420">
        <v>1</v>
      </c>
    </row>
    <row r="3421" spans="1:30">
      <c r="A3421" t="str">
        <f>CONCATENATE(I3421,J3421)</f>
        <v>UPLEQ</v>
      </c>
      <c r="B3421" s="34">
        <v>46273</v>
      </c>
      <c r="C3421" s="34">
        <v>46273</v>
      </c>
      <c r="D3421" t="s">
        <v>35</v>
      </c>
      <c r="E3421" t="s">
        <v>36</v>
      </c>
      <c r="F3421" t="s">
        <v>37</v>
      </c>
      <c r="G3421">
        <v>11287</v>
      </c>
      <c r="H3421" t="s">
        <v>10333</v>
      </c>
      <c r="I3421" t="s">
        <v>10334</v>
      </c>
      <c r="J3421" t="s">
        <v>161</v>
      </c>
      <c r="O3421" t="s">
        <v>10335</v>
      </c>
      <c r="P3421">
        <v>575.5</v>
      </c>
      <c r="Q3421">
        <v>576.75</v>
      </c>
      <c r="R3421">
        <v>569.95000000000005</v>
      </c>
      <c r="S3421">
        <v>576.75</v>
      </c>
      <c r="T3421">
        <v>576.75</v>
      </c>
      <c r="U3421">
        <v>573</v>
      </c>
      <c r="W3421">
        <v>576.75</v>
      </c>
      <c r="Z3421">
        <v>1635290</v>
      </c>
      <c r="AA3421">
        <v>937601905.89999998</v>
      </c>
      <c r="AB3421">
        <v>26202</v>
      </c>
      <c r="AC3421" t="s">
        <v>42</v>
      </c>
      <c r="AD3421">
        <v>1</v>
      </c>
    </row>
    <row r="3422" spans="1:30">
      <c r="A3422" t="str">
        <f>CONCATENATE(I3422,J3422)</f>
        <v>USASEEDSSM</v>
      </c>
      <c r="B3422" s="34">
        <v>46273</v>
      </c>
      <c r="C3422" s="34">
        <v>46273</v>
      </c>
      <c r="D3422" t="s">
        <v>35</v>
      </c>
      <c r="E3422" t="s">
        <v>36</v>
      </c>
      <c r="F3422" t="s">
        <v>37</v>
      </c>
      <c r="G3422">
        <v>10610</v>
      </c>
      <c r="H3422" t="s">
        <v>10336</v>
      </c>
      <c r="I3422" t="s">
        <v>10337</v>
      </c>
      <c r="J3422" t="s">
        <v>267</v>
      </c>
      <c r="O3422" t="s">
        <v>10338</v>
      </c>
      <c r="P3422">
        <v>89.3</v>
      </c>
      <c r="Q3422">
        <v>92.2</v>
      </c>
      <c r="R3422">
        <v>89.3</v>
      </c>
      <c r="S3422">
        <v>92.2</v>
      </c>
      <c r="T3422">
        <v>92.2</v>
      </c>
      <c r="U3422">
        <v>94</v>
      </c>
      <c r="W3422">
        <v>92.2</v>
      </c>
      <c r="Z3422">
        <v>856</v>
      </c>
      <c r="AA3422">
        <v>77682</v>
      </c>
      <c r="AB3422">
        <v>2</v>
      </c>
      <c r="AC3422" t="s">
        <v>42</v>
      </c>
      <c r="AD3422">
        <v>428</v>
      </c>
    </row>
    <row r="3423" spans="1:30">
      <c r="A3423" t="str">
        <f>CONCATENATE(I3423,J3423)</f>
        <v>URAVIDEFBE</v>
      </c>
      <c r="B3423" s="34">
        <v>46273</v>
      </c>
      <c r="C3423" s="34">
        <v>46273</v>
      </c>
      <c r="D3423" t="s">
        <v>35</v>
      </c>
      <c r="E3423" t="s">
        <v>36</v>
      </c>
      <c r="F3423" t="s">
        <v>37</v>
      </c>
      <c r="G3423">
        <v>17081</v>
      </c>
      <c r="H3423" t="s">
        <v>10339</v>
      </c>
      <c r="I3423" t="s">
        <v>10340</v>
      </c>
      <c r="J3423" t="s">
        <v>183</v>
      </c>
      <c r="O3423" t="s">
        <v>10341</v>
      </c>
      <c r="P3423">
        <v>113.53</v>
      </c>
      <c r="Q3423">
        <v>115</v>
      </c>
      <c r="R3423">
        <v>113.53</v>
      </c>
      <c r="S3423">
        <v>113.53</v>
      </c>
      <c r="T3423">
        <v>113.53</v>
      </c>
      <c r="U3423">
        <v>115.84</v>
      </c>
      <c r="W3423">
        <v>115.84</v>
      </c>
      <c r="Z3423">
        <v>3133</v>
      </c>
      <c r="AA3423">
        <v>355909.99</v>
      </c>
      <c r="AB3423">
        <v>38</v>
      </c>
      <c r="AC3423" t="s">
        <v>42</v>
      </c>
      <c r="AD3423">
        <v>1</v>
      </c>
    </row>
    <row r="3424" spans="1:30">
      <c r="A3424" t="str">
        <f>CONCATENATE(I3424,J3424)</f>
        <v>URBANCOEQ</v>
      </c>
      <c r="B3424" s="34">
        <v>46273</v>
      </c>
      <c r="C3424" s="34">
        <v>46273</v>
      </c>
      <c r="D3424" t="s">
        <v>35</v>
      </c>
      <c r="E3424" t="s">
        <v>36</v>
      </c>
      <c r="F3424" t="s">
        <v>37</v>
      </c>
      <c r="G3424">
        <v>759084</v>
      </c>
      <c r="H3424" t="s">
        <v>10342</v>
      </c>
      <c r="I3424" t="s">
        <v>10343</v>
      </c>
      <c r="J3424" t="s">
        <v>161</v>
      </c>
      <c r="O3424" t="s">
        <v>10344</v>
      </c>
      <c r="P3424">
        <v>176.06</v>
      </c>
      <c r="Q3424">
        <v>177</v>
      </c>
      <c r="R3424">
        <v>169.52</v>
      </c>
      <c r="S3424">
        <v>171.77</v>
      </c>
      <c r="T3424">
        <v>172</v>
      </c>
      <c r="U3424">
        <v>176.06</v>
      </c>
      <c r="W3424">
        <v>171.74</v>
      </c>
      <c r="Z3424">
        <v>4580702</v>
      </c>
      <c r="AA3424">
        <v>787497671.39999998</v>
      </c>
      <c r="AB3424">
        <v>34249</v>
      </c>
      <c r="AC3424" t="s">
        <v>42</v>
      </c>
      <c r="AD3424">
        <v>1</v>
      </c>
    </row>
    <row r="3425" spans="1:30">
      <c r="A3425" t="str">
        <f>CONCATENATE(I3425,J3425)</f>
        <v>URBANSM</v>
      </c>
      <c r="B3425" s="34">
        <v>46273</v>
      </c>
      <c r="C3425" s="34">
        <v>46273</v>
      </c>
      <c r="D3425" t="s">
        <v>35</v>
      </c>
      <c r="E3425" t="s">
        <v>36</v>
      </c>
      <c r="F3425" t="s">
        <v>37</v>
      </c>
      <c r="G3425">
        <v>16888</v>
      </c>
      <c r="H3425" t="s">
        <v>10345</v>
      </c>
      <c r="I3425" t="s">
        <v>10346</v>
      </c>
      <c r="J3425" t="s">
        <v>267</v>
      </c>
      <c r="O3425" t="s">
        <v>10347</v>
      </c>
      <c r="P3425">
        <v>127.5</v>
      </c>
      <c r="Q3425">
        <v>131.15</v>
      </c>
      <c r="R3425">
        <v>127.05</v>
      </c>
      <c r="S3425">
        <v>128.15</v>
      </c>
      <c r="T3425">
        <v>129</v>
      </c>
      <c r="U3425">
        <v>127.1</v>
      </c>
      <c r="W3425">
        <v>128.15</v>
      </c>
      <c r="Z3425">
        <v>16800</v>
      </c>
      <c r="AA3425">
        <v>2159960</v>
      </c>
      <c r="AB3425">
        <v>21</v>
      </c>
      <c r="AC3425" t="s">
        <v>42</v>
      </c>
      <c r="AD3425">
        <v>800</v>
      </c>
    </row>
    <row r="3426" spans="1:30">
      <c r="A3426" t="str">
        <f>CONCATENATE(I3426,J3426)</f>
        <v>URJAEQ</v>
      </c>
      <c r="B3426" s="34">
        <v>46273</v>
      </c>
      <c r="C3426" s="34">
        <v>46273</v>
      </c>
      <c r="D3426" t="s">
        <v>35</v>
      </c>
      <c r="E3426" t="s">
        <v>36</v>
      </c>
      <c r="F3426" t="s">
        <v>37</v>
      </c>
      <c r="G3426">
        <v>20203</v>
      </c>
      <c r="H3426" t="s">
        <v>10348</v>
      </c>
      <c r="I3426" t="s">
        <v>10349</v>
      </c>
      <c r="J3426" t="s">
        <v>161</v>
      </c>
      <c r="O3426" t="s">
        <v>10350</v>
      </c>
      <c r="P3426">
        <v>9.06</v>
      </c>
      <c r="Q3426">
        <v>9.14</v>
      </c>
      <c r="R3426">
        <v>9.06</v>
      </c>
      <c r="S3426">
        <v>9.08</v>
      </c>
      <c r="T3426">
        <v>9.1199999999999992</v>
      </c>
      <c r="U3426">
        <v>9.1199999999999992</v>
      </c>
      <c r="W3426">
        <v>9.08</v>
      </c>
      <c r="Z3426">
        <v>432845</v>
      </c>
      <c r="AA3426">
        <v>3936201.61</v>
      </c>
      <c r="AB3426">
        <v>1873</v>
      </c>
      <c r="AC3426" t="s">
        <v>42</v>
      </c>
      <c r="AD3426">
        <v>1</v>
      </c>
    </row>
    <row r="3427" spans="1:30">
      <c r="A3427" t="str">
        <f>CONCATENATE(I3427,J3427)</f>
        <v>USHAFINSM</v>
      </c>
      <c r="B3427" s="34">
        <v>46273</v>
      </c>
      <c r="C3427" s="34">
        <v>46273</v>
      </c>
      <c r="D3427" t="s">
        <v>35</v>
      </c>
      <c r="E3427" t="s">
        <v>36</v>
      </c>
      <c r="F3427" t="s">
        <v>37</v>
      </c>
      <c r="G3427">
        <v>25952</v>
      </c>
      <c r="H3427" t="s">
        <v>10351</v>
      </c>
      <c r="I3427" t="s">
        <v>10352</v>
      </c>
      <c r="J3427" t="s">
        <v>267</v>
      </c>
      <c r="O3427" t="s">
        <v>10353</v>
      </c>
      <c r="P3427">
        <v>56.3</v>
      </c>
      <c r="Q3427">
        <v>56.3</v>
      </c>
      <c r="R3427">
        <v>53.55</v>
      </c>
      <c r="S3427">
        <v>53.75</v>
      </c>
      <c r="T3427">
        <v>53.55</v>
      </c>
      <c r="U3427">
        <v>56.1</v>
      </c>
      <c r="W3427">
        <v>53.75</v>
      </c>
      <c r="Z3427">
        <v>8000</v>
      </c>
      <c r="AA3427">
        <v>435040</v>
      </c>
      <c r="AB3427">
        <v>5</v>
      </c>
      <c r="AC3427" t="s">
        <v>42</v>
      </c>
      <c r="AD3427">
        <v>1600</v>
      </c>
    </row>
    <row r="3428" spans="1:30">
      <c r="A3428" t="str">
        <f>CONCATENATE(I3428,J3428)</f>
        <v>UMESLTDEQ</v>
      </c>
      <c r="B3428" s="34">
        <v>46273</v>
      </c>
      <c r="C3428" s="34">
        <v>46273</v>
      </c>
      <c r="D3428" t="s">
        <v>35</v>
      </c>
      <c r="E3428" t="s">
        <v>36</v>
      </c>
      <c r="F3428" t="s">
        <v>37</v>
      </c>
      <c r="G3428">
        <v>19142</v>
      </c>
      <c r="H3428" t="s">
        <v>10354</v>
      </c>
      <c r="I3428" t="s">
        <v>10355</v>
      </c>
      <c r="J3428" t="s">
        <v>161</v>
      </c>
      <c r="O3428" t="s">
        <v>10356</v>
      </c>
      <c r="P3428">
        <v>5.14</v>
      </c>
      <c r="Q3428">
        <v>5.18</v>
      </c>
      <c r="R3428">
        <v>5</v>
      </c>
      <c r="S3428">
        <v>5.08</v>
      </c>
      <c r="T3428">
        <v>5.09</v>
      </c>
      <c r="U3428">
        <v>5.09</v>
      </c>
      <c r="W3428">
        <v>5.08</v>
      </c>
      <c r="Z3428">
        <v>4272</v>
      </c>
      <c r="AA3428">
        <v>21630.59</v>
      </c>
      <c r="AB3428">
        <v>62</v>
      </c>
      <c r="AC3428" t="s">
        <v>42</v>
      </c>
      <c r="AD3428">
        <v>1</v>
      </c>
    </row>
    <row r="3429" spans="1:30">
      <c r="A3429" t="str">
        <f>CONCATENATE(I3429,J3429)</f>
        <v>USHAMARTEQ</v>
      </c>
      <c r="B3429" s="34">
        <v>46273</v>
      </c>
      <c r="C3429" s="34">
        <v>46273</v>
      </c>
      <c r="D3429" t="s">
        <v>35</v>
      </c>
      <c r="E3429" t="s">
        <v>36</v>
      </c>
      <c r="F3429" t="s">
        <v>37</v>
      </c>
      <c r="G3429">
        <v>8840</v>
      </c>
      <c r="H3429" t="s">
        <v>10357</v>
      </c>
      <c r="I3429" t="s">
        <v>10358</v>
      </c>
      <c r="J3429" t="s">
        <v>161</v>
      </c>
      <c r="O3429" t="s">
        <v>10359</v>
      </c>
      <c r="P3429">
        <v>497.1</v>
      </c>
      <c r="Q3429">
        <v>508.45</v>
      </c>
      <c r="R3429">
        <v>497.1</v>
      </c>
      <c r="S3429">
        <v>499.85</v>
      </c>
      <c r="T3429">
        <v>502.6</v>
      </c>
      <c r="U3429">
        <v>500.3</v>
      </c>
      <c r="W3429">
        <v>499.85</v>
      </c>
      <c r="Z3429">
        <v>358059</v>
      </c>
      <c r="AA3429">
        <v>179694976.75</v>
      </c>
      <c r="AB3429">
        <v>14709</v>
      </c>
      <c r="AC3429" t="s">
        <v>42</v>
      </c>
      <c r="AD3429">
        <v>1</v>
      </c>
    </row>
    <row r="3430" spans="1:30">
      <c r="A3430" t="str">
        <f>CONCATENATE(I3430,J3430)</f>
        <v>UTIAMCEQ</v>
      </c>
      <c r="B3430" s="34">
        <v>46273</v>
      </c>
      <c r="C3430" s="34">
        <v>46273</v>
      </c>
      <c r="D3430" t="s">
        <v>35</v>
      </c>
      <c r="E3430" t="s">
        <v>36</v>
      </c>
      <c r="F3430" t="s">
        <v>37</v>
      </c>
      <c r="G3430">
        <v>527</v>
      </c>
      <c r="H3430" t="s">
        <v>10360</v>
      </c>
      <c r="I3430" t="s">
        <v>10361</v>
      </c>
      <c r="J3430" t="s">
        <v>161</v>
      </c>
      <c r="O3430" t="s">
        <v>10362</v>
      </c>
      <c r="P3430">
        <v>889.95</v>
      </c>
      <c r="Q3430">
        <v>905.4</v>
      </c>
      <c r="R3430">
        <v>889.9</v>
      </c>
      <c r="S3430">
        <v>900.45</v>
      </c>
      <c r="T3430">
        <v>901</v>
      </c>
      <c r="U3430">
        <v>889.95</v>
      </c>
      <c r="W3430">
        <v>900.46</v>
      </c>
      <c r="Z3430">
        <v>354889</v>
      </c>
      <c r="AA3430">
        <v>319138285.75</v>
      </c>
      <c r="AB3430">
        <v>13356</v>
      </c>
      <c r="AC3430" t="s">
        <v>42</v>
      </c>
      <c r="AD3430">
        <v>1</v>
      </c>
    </row>
    <row r="3431" spans="1:30">
      <c r="A3431" t="str">
        <f>CONCATENATE(I3431,J3431)</f>
        <v>LIQUIDBETAEQ</v>
      </c>
      <c r="B3431" s="34">
        <v>46273</v>
      </c>
      <c r="C3431" s="34">
        <v>46273</v>
      </c>
      <c r="D3431" t="s">
        <v>35</v>
      </c>
      <c r="E3431" t="s">
        <v>36</v>
      </c>
      <c r="F3431" t="s">
        <v>37</v>
      </c>
      <c r="G3431">
        <v>764180</v>
      </c>
      <c r="H3431" t="s">
        <v>10363</v>
      </c>
      <c r="I3431" t="s">
        <v>10364</v>
      </c>
      <c r="J3431" t="s">
        <v>161</v>
      </c>
      <c r="O3431" t="s">
        <v>10365</v>
      </c>
      <c r="P3431">
        <v>1007.29</v>
      </c>
      <c r="Q3431">
        <v>1007.29</v>
      </c>
      <c r="R3431">
        <v>1007.27</v>
      </c>
      <c r="S3431">
        <v>1007.29</v>
      </c>
      <c r="T3431">
        <v>1007.29</v>
      </c>
      <c r="U3431">
        <v>1007.14</v>
      </c>
      <c r="W3431">
        <v>1007.29</v>
      </c>
      <c r="Z3431">
        <v>149342</v>
      </c>
      <c r="AA3431">
        <v>150430699.19999999</v>
      </c>
      <c r="AB3431">
        <v>48</v>
      </c>
      <c r="AC3431" t="s">
        <v>42</v>
      </c>
      <c r="AD3431">
        <v>1</v>
      </c>
    </row>
    <row r="3432" spans="1:30">
      <c r="A3432" t="str">
        <f>CONCATENATE(I3432,J3432)</f>
        <v>NIF500BETAEQ</v>
      </c>
      <c r="B3432" s="34">
        <v>46273</v>
      </c>
      <c r="C3432" s="34">
        <v>46273</v>
      </c>
      <c r="D3432" t="s">
        <v>35</v>
      </c>
      <c r="E3432" t="s">
        <v>36</v>
      </c>
      <c r="F3432" t="s">
        <v>37</v>
      </c>
      <c r="G3432">
        <v>765431</v>
      </c>
      <c r="H3432" t="s">
        <v>10366</v>
      </c>
      <c r="I3432" t="s">
        <v>10367</v>
      </c>
      <c r="J3432" t="s">
        <v>161</v>
      </c>
      <c r="O3432" t="s">
        <v>10368</v>
      </c>
      <c r="P3432">
        <v>37.42</v>
      </c>
      <c r="Q3432">
        <v>38.020000000000003</v>
      </c>
      <c r="R3432">
        <v>37.270000000000003</v>
      </c>
      <c r="S3432">
        <v>37.270000000000003</v>
      </c>
      <c r="T3432">
        <v>38.020000000000003</v>
      </c>
      <c r="U3432">
        <v>37.24</v>
      </c>
      <c r="W3432">
        <v>37.270000000000003</v>
      </c>
      <c r="Z3432">
        <v>663</v>
      </c>
      <c r="AA3432">
        <v>24719.279999999999</v>
      </c>
      <c r="AB3432">
        <v>11</v>
      </c>
      <c r="AC3432" t="s">
        <v>42</v>
      </c>
      <c r="AD3432">
        <v>1</v>
      </c>
    </row>
    <row r="3433" spans="1:30">
      <c r="A3433" t="str">
        <f>CONCATENATE(I3433,J3433)</f>
        <v>BANKBETAEQ</v>
      </c>
      <c r="B3433" s="34">
        <v>46273</v>
      </c>
      <c r="C3433" s="34">
        <v>46273</v>
      </c>
      <c r="D3433" t="s">
        <v>35</v>
      </c>
      <c r="E3433" t="s">
        <v>36</v>
      </c>
      <c r="F3433" t="s">
        <v>37</v>
      </c>
      <c r="G3433">
        <v>22440</v>
      </c>
      <c r="H3433" t="s">
        <v>10369</v>
      </c>
      <c r="I3433" t="s">
        <v>10370</v>
      </c>
      <c r="J3433" t="s">
        <v>161</v>
      </c>
      <c r="O3433" t="s">
        <v>10371</v>
      </c>
      <c r="P3433">
        <v>59.05</v>
      </c>
      <c r="Q3433">
        <v>59.08</v>
      </c>
      <c r="R3433">
        <v>58.8</v>
      </c>
      <c r="S3433">
        <v>58.88</v>
      </c>
      <c r="T3433">
        <v>58.8</v>
      </c>
      <c r="U3433">
        <v>59.04</v>
      </c>
      <c r="W3433">
        <v>58.88</v>
      </c>
      <c r="Z3433">
        <v>22057</v>
      </c>
      <c r="AA3433">
        <v>1299747.8600000001</v>
      </c>
      <c r="AB3433">
        <v>340</v>
      </c>
      <c r="AC3433" t="s">
        <v>42</v>
      </c>
      <c r="AD3433">
        <v>1</v>
      </c>
    </row>
    <row r="3434" spans="1:30">
      <c r="A3434" t="str">
        <f>CONCATENATE(I3434,J3434)</f>
        <v>GILT10BETAEQ</v>
      </c>
      <c r="B3434" s="34">
        <v>46273</v>
      </c>
      <c r="C3434" s="34">
        <v>46273</v>
      </c>
      <c r="D3434" t="s">
        <v>35</v>
      </c>
      <c r="E3434" t="s">
        <v>36</v>
      </c>
      <c r="F3434" t="s">
        <v>37</v>
      </c>
      <c r="G3434">
        <v>22524</v>
      </c>
      <c r="H3434" t="s">
        <v>10372</v>
      </c>
      <c r="I3434" t="s">
        <v>10373</v>
      </c>
      <c r="J3434" t="s">
        <v>161</v>
      </c>
      <c r="O3434" t="s">
        <v>10374</v>
      </c>
      <c r="P3434">
        <v>26.66</v>
      </c>
      <c r="Q3434">
        <v>26.77</v>
      </c>
      <c r="R3434">
        <v>26.33</v>
      </c>
      <c r="S3434">
        <v>26.7</v>
      </c>
      <c r="T3434">
        <v>26.7</v>
      </c>
      <c r="U3434">
        <v>26.4</v>
      </c>
      <c r="W3434">
        <v>26.7</v>
      </c>
      <c r="Z3434">
        <v>500082</v>
      </c>
      <c r="AA3434">
        <v>13267273.01</v>
      </c>
      <c r="AB3434">
        <v>32</v>
      </c>
      <c r="AC3434" t="s">
        <v>42</v>
      </c>
      <c r="AD3434">
        <v>1</v>
      </c>
    </row>
    <row r="3435" spans="1:30">
      <c r="A3435" t="str">
        <f>CONCATENATE(I3435,J3435)</f>
        <v>GILT5BETAEQ</v>
      </c>
      <c r="B3435" s="34">
        <v>46273</v>
      </c>
      <c r="C3435" s="34">
        <v>46273</v>
      </c>
      <c r="D3435" t="s">
        <v>35</v>
      </c>
      <c r="E3435" t="s">
        <v>36</v>
      </c>
      <c r="F3435" t="s">
        <v>37</v>
      </c>
      <c r="G3435">
        <v>22521</v>
      </c>
      <c r="H3435" t="s">
        <v>10375</v>
      </c>
      <c r="I3435" t="s">
        <v>10376</v>
      </c>
      <c r="J3435" t="s">
        <v>161</v>
      </c>
      <c r="O3435" t="s">
        <v>10377</v>
      </c>
      <c r="P3435">
        <v>67.180000000000007</v>
      </c>
      <c r="Q3435">
        <v>67.180000000000007</v>
      </c>
      <c r="R3435">
        <v>65.959999999999994</v>
      </c>
      <c r="S3435">
        <v>66.8</v>
      </c>
      <c r="T3435">
        <v>66.8</v>
      </c>
      <c r="U3435">
        <v>66.94</v>
      </c>
      <c r="W3435">
        <v>66.8</v>
      </c>
      <c r="Z3435">
        <v>198804</v>
      </c>
      <c r="AA3435">
        <v>13226477.65</v>
      </c>
      <c r="AB3435">
        <v>29</v>
      </c>
      <c r="AC3435" t="s">
        <v>42</v>
      </c>
      <c r="AD3435">
        <v>1</v>
      </c>
    </row>
    <row r="3436" spans="1:30">
      <c r="A3436" t="str">
        <f>CONCATENATE(I3436,J3436)</f>
        <v>ITBETAEQ</v>
      </c>
      <c r="B3436" s="34">
        <v>46273</v>
      </c>
      <c r="C3436" s="34">
        <v>46273</v>
      </c>
      <c r="D3436" t="s">
        <v>35</v>
      </c>
      <c r="E3436" t="s">
        <v>36</v>
      </c>
      <c r="F3436" t="s">
        <v>37</v>
      </c>
      <c r="G3436">
        <v>22488</v>
      </c>
      <c r="H3436" t="s">
        <v>10378</v>
      </c>
      <c r="I3436" t="s">
        <v>10379</v>
      </c>
      <c r="J3436" t="s">
        <v>161</v>
      </c>
      <c r="O3436" t="s">
        <v>10380</v>
      </c>
      <c r="P3436">
        <v>314.14</v>
      </c>
      <c r="Q3436">
        <v>316.55</v>
      </c>
      <c r="R3436">
        <v>314</v>
      </c>
      <c r="S3436">
        <v>315</v>
      </c>
      <c r="T3436">
        <v>315</v>
      </c>
      <c r="U3436">
        <v>316.25</v>
      </c>
      <c r="W3436">
        <v>315</v>
      </c>
      <c r="Z3436">
        <v>226</v>
      </c>
      <c r="AA3436">
        <v>71153.77</v>
      </c>
      <c r="AB3436">
        <v>20</v>
      </c>
      <c r="AC3436" t="s">
        <v>42</v>
      </c>
      <c r="AD3436">
        <v>1</v>
      </c>
    </row>
    <row r="3437" spans="1:30">
      <c r="A3437" t="str">
        <f>CONCATENATE(I3437,J3437)</f>
        <v>MIDCAPBETAEQ</v>
      </c>
      <c r="B3437" s="34">
        <v>46273</v>
      </c>
      <c r="C3437" s="34">
        <v>46273</v>
      </c>
      <c r="D3437" t="s">
        <v>35</v>
      </c>
      <c r="E3437" t="s">
        <v>36</v>
      </c>
      <c r="F3437" t="s">
        <v>37</v>
      </c>
      <c r="G3437">
        <v>18347</v>
      </c>
      <c r="H3437" t="s">
        <v>10381</v>
      </c>
      <c r="I3437" t="s">
        <v>10382</v>
      </c>
      <c r="J3437" t="s">
        <v>161</v>
      </c>
      <c r="O3437" t="s">
        <v>10383</v>
      </c>
      <c r="P3437">
        <v>233.28</v>
      </c>
      <c r="Q3437">
        <v>233.98</v>
      </c>
      <c r="R3437">
        <v>232.77</v>
      </c>
      <c r="S3437">
        <v>233.87</v>
      </c>
      <c r="T3437">
        <v>233.87</v>
      </c>
      <c r="U3437">
        <v>233.48</v>
      </c>
      <c r="W3437">
        <v>233.87</v>
      </c>
      <c r="Z3437">
        <v>1364</v>
      </c>
      <c r="AA3437">
        <v>318327.09999999998</v>
      </c>
      <c r="AB3437">
        <v>29</v>
      </c>
      <c r="AC3437" t="s">
        <v>42</v>
      </c>
      <c r="AD3437">
        <v>1</v>
      </c>
    </row>
    <row r="3438" spans="1:30">
      <c r="A3438" t="str">
        <f>CONCATENATE(I3438,J3438)</f>
        <v>NEXT50BETAEQ</v>
      </c>
      <c r="B3438" s="34">
        <v>46273</v>
      </c>
      <c r="C3438" s="34">
        <v>46273</v>
      </c>
      <c r="D3438" t="s">
        <v>35</v>
      </c>
      <c r="E3438" t="s">
        <v>36</v>
      </c>
      <c r="F3438" t="s">
        <v>37</v>
      </c>
      <c r="G3438">
        <v>21478</v>
      </c>
      <c r="H3438" t="s">
        <v>10384</v>
      </c>
      <c r="I3438" t="s">
        <v>10385</v>
      </c>
      <c r="J3438" t="s">
        <v>161</v>
      </c>
      <c r="O3438" t="s">
        <v>10386</v>
      </c>
      <c r="P3438">
        <v>78.66</v>
      </c>
      <c r="Q3438">
        <v>78.900000000000006</v>
      </c>
      <c r="R3438">
        <v>78.03</v>
      </c>
      <c r="S3438">
        <v>78.52</v>
      </c>
      <c r="T3438">
        <v>78.89</v>
      </c>
      <c r="U3438">
        <v>78.66</v>
      </c>
      <c r="W3438">
        <v>78.52</v>
      </c>
      <c r="Z3438">
        <v>59886</v>
      </c>
      <c r="AA3438">
        <v>4710585.8</v>
      </c>
      <c r="AB3438">
        <v>549</v>
      </c>
      <c r="AC3438" t="s">
        <v>42</v>
      </c>
      <c r="AD3438">
        <v>1</v>
      </c>
    </row>
    <row r="3439" spans="1:30">
      <c r="A3439" t="str">
        <f>CONCATENATE(I3439,J3439)</f>
        <v>NIFTYBETAEQ</v>
      </c>
      <c r="B3439" s="34">
        <v>46273</v>
      </c>
      <c r="C3439" s="34">
        <v>46273</v>
      </c>
      <c r="D3439" t="s">
        <v>35</v>
      </c>
      <c r="E3439" t="s">
        <v>36</v>
      </c>
      <c r="F3439" t="s">
        <v>37</v>
      </c>
      <c r="G3439">
        <v>10511</v>
      </c>
      <c r="H3439" t="s">
        <v>10387</v>
      </c>
      <c r="I3439" t="s">
        <v>10388</v>
      </c>
      <c r="J3439" t="s">
        <v>161</v>
      </c>
      <c r="O3439" t="s">
        <v>10389</v>
      </c>
      <c r="P3439">
        <v>263.89</v>
      </c>
      <c r="Q3439">
        <v>265.22000000000003</v>
      </c>
      <c r="R3439">
        <v>257.29000000000002</v>
      </c>
      <c r="S3439">
        <v>262.87</v>
      </c>
      <c r="T3439">
        <v>263.14</v>
      </c>
      <c r="U3439">
        <v>263.89</v>
      </c>
      <c r="W3439">
        <v>262.87</v>
      </c>
      <c r="Z3439">
        <v>31042</v>
      </c>
      <c r="AA3439">
        <v>8167354.0099999998</v>
      </c>
      <c r="AB3439">
        <v>503</v>
      </c>
      <c r="AC3439" t="s">
        <v>42</v>
      </c>
      <c r="AD3439">
        <v>1</v>
      </c>
    </row>
    <row r="3440" spans="1:30">
      <c r="A3440" t="str">
        <f>CONCATENATE(I3440,J3440)</f>
        <v>SENSEXBETAEQ</v>
      </c>
      <c r="B3440" s="34">
        <v>46273</v>
      </c>
      <c r="C3440" s="34">
        <v>46273</v>
      </c>
      <c r="D3440" t="s">
        <v>35</v>
      </c>
      <c r="E3440" t="s">
        <v>36</v>
      </c>
      <c r="F3440" t="s">
        <v>37</v>
      </c>
      <c r="G3440">
        <v>10515</v>
      </c>
      <c r="H3440" t="s">
        <v>10390</v>
      </c>
      <c r="I3440" t="s">
        <v>10391</v>
      </c>
      <c r="J3440" t="s">
        <v>161</v>
      </c>
      <c r="O3440" t="s">
        <v>10392</v>
      </c>
      <c r="P3440">
        <v>843.5</v>
      </c>
      <c r="Q3440">
        <v>844</v>
      </c>
      <c r="R3440">
        <v>839</v>
      </c>
      <c r="S3440">
        <v>841.3</v>
      </c>
      <c r="T3440">
        <v>843.6</v>
      </c>
      <c r="U3440">
        <v>843.38</v>
      </c>
      <c r="W3440">
        <v>841.75</v>
      </c>
      <c r="Z3440">
        <v>1117</v>
      </c>
      <c r="AA3440">
        <v>939150.48</v>
      </c>
      <c r="AB3440">
        <v>170</v>
      </c>
      <c r="AC3440" t="s">
        <v>42</v>
      </c>
      <c r="AD3440">
        <v>1</v>
      </c>
    </row>
    <row r="3441" spans="1:30">
      <c r="A3441" t="str">
        <f>CONCATENATE(I3441,J3441)</f>
        <v>SILVERBETAEQ</v>
      </c>
      <c r="B3441" s="34">
        <v>46273</v>
      </c>
      <c r="C3441" s="34">
        <v>46273</v>
      </c>
      <c r="D3441" t="s">
        <v>35</v>
      </c>
      <c r="E3441" t="s">
        <v>36</v>
      </c>
      <c r="F3441" t="s">
        <v>37</v>
      </c>
      <c r="G3441">
        <v>15085</v>
      </c>
      <c r="H3441" t="s">
        <v>10393</v>
      </c>
      <c r="I3441" t="s">
        <v>10394</v>
      </c>
      <c r="J3441" t="s">
        <v>161</v>
      </c>
      <c r="O3441" t="s">
        <v>10395</v>
      </c>
      <c r="P3441">
        <v>223.66</v>
      </c>
      <c r="Q3441">
        <v>226</v>
      </c>
      <c r="R3441">
        <v>222.19</v>
      </c>
      <c r="S3441">
        <v>223.41</v>
      </c>
      <c r="T3441">
        <v>223.61</v>
      </c>
      <c r="U3441">
        <v>222.04</v>
      </c>
      <c r="W3441">
        <v>223.4</v>
      </c>
      <c r="Z3441">
        <v>267736</v>
      </c>
      <c r="AA3441">
        <v>60049625.590000004</v>
      </c>
      <c r="AB3441">
        <v>2725</v>
      </c>
      <c r="AC3441" t="s">
        <v>42</v>
      </c>
      <c r="AD3441">
        <v>1</v>
      </c>
    </row>
    <row r="3442" spans="1:30">
      <c r="A3442" t="str">
        <f>CONCATENATE(I3442,J3442)</f>
        <v>SNXT50BETAEQ</v>
      </c>
      <c r="B3442" s="34">
        <v>46273</v>
      </c>
      <c r="C3442" s="34">
        <v>46273</v>
      </c>
      <c r="D3442" t="s">
        <v>35</v>
      </c>
      <c r="E3442" t="s">
        <v>36</v>
      </c>
      <c r="F3442" t="s">
        <v>37</v>
      </c>
      <c r="G3442">
        <v>9168</v>
      </c>
      <c r="H3442" t="s">
        <v>10396</v>
      </c>
      <c r="I3442" t="s">
        <v>10397</v>
      </c>
      <c r="J3442" t="s">
        <v>161</v>
      </c>
      <c r="O3442" t="s">
        <v>10398</v>
      </c>
      <c r="P3442">
        <v>94.5</v>
      </c>
      <c r="Q3442">
        <v>95.44</v>
      </c>
      <c r="R3442">
        <v>92.9</v>
      </c>
      <c r="S3442">
        <v>94.36</v>
      </c>
      <c r="T3442">
        <v>94.21</v>
      </c>
      <c r="U3442">
        <v>94.03</v>
      </c>
      <c r="W3442">
        <v>94.36</v>
      </c>
      <c r="Z3442">
        <v>1928</v>
      </c>
      <c r="AA3442">
        <v>181087.82</v>
      </c>
      <c r="AB3442">
        <v>69</v>
      </c>
      <c r="AC3442" t="s">
        <v>42</v>
      </c>
      <c r="AD3442">
        <v>1</v>
      </c>
    </row>
    <row r="3443" spans="1:30">
      <c r="A3443" t="str">
        <f>CONCATENATE(I3443,J3443)</f>
        <v>GOLDBETAEQ</v>
      </c>
      <c r="B3443" s="34">
        <v>46273</v>
      </c>
      <c r="C3443" s="34">
        <v>46273</v>
      </c>
      <c r="D3443" t="s">
        <v>35</v>
      </c>
      <c r="E3443" t="s">
        <v>36</v>
      </c>
      <c r="F3443" t="s">
        <v>37</v>
      </c>
      <c r="G3443">
        <v>14535</v>
      </c>
      <c r="H3443" t="s">
        <v>10399</v>
      </c>
      <c r="I3443" t="s">
        <v>10400</v>
      </c>
      <c r="J3443" t="s">
        <v>161</v>
      </c>
      <c r="O3443" t="s">
        <v>10401</v>
      </c>
      <c r="P3443">
        <v>128.25</v>
      </c>
      <c r="Q3443">
        <v>129</v>
      </c>
      <c r="R3443">
        <v>127.5</v>
      </c>
      <c r="S3443">
        <v>128.15</v>
      </c>
      <c r="T3443">
        <v>128.30000000000001</v>
      </c>
      <c r="U3443">
        <v>128</v>
      </c>
      <c r="W3443">
        <v>128.15</v>
      </c>
      <c r="Z3443">
        <v>736226</v>
      </c>
      <c r="AA3443">
        <v>94489401.700000003</v>
      </c>
      <c r="AB3443">
        <v>2303</v>
      </c>
      <c r="AC3443" t="s">
        <v>42</v>
      </c>
      <c r="AD3443">
        <v>1</v>
      </c>
    </row>
    <row r="3444" spans="1:30">
      <c r="A3444" t="str">
        <f>CONCATENATE(I3444,J3444)</f>
        <v>UTKALSM</v>
      </c>
      <c r="B3444" s="34">
        <v>46273</v>
      </c>
      <c r="C3444" s="34">
        <v>46273</v>
      </c>
      <c r="D3444" t="s">
        <v>35</v>
      </c>
      <c r="E3444" t="s">
        <v>36</v>
      </c>
      <c r="F3444" t="s">
        <v>37</v>
      </c>
      <c r="G3444">
        <v>751580</v>
      </c>
      <c r="H3444" t="s">
        <v>10402</v>
      </c>
      <c r="I3444" t="s">
        <v>10403</v>
      </c>
      <c r="J3444" t="s">
        <v>267</v>
      </c>
      <c r="O3444" t="s">
        <v>10404</v>
      </c>
      <c r="P3444">
        <v>50</v>
      </c>
      <c r="Q3444">
        <v>50</v>
      </c>
      <c r="R3444">
        <v>46.55</v>
      </c>
      <c r="S3444">
        <v>46.55</v>
      </c>
      <c r="T3444">
        <v>46.55</v>
      </c>
      <c r="U3444">
        <v>48.95</v>
      </c>
      <c r="W3444">
        <v>46.55</v>
      </c>
      <c r="Z3444">
        <v>10000</v>
      </c>
      <c r="AA3444">
        <v>479300</v>
      </c>
      <c r="AB3444">
        <v>4</v>
      </c>
      <c r="AC3444" t="s">
        <v>42</v>
      </c>
      <c r="AD3444">
        <v>2000</v>
      </c>
    </row>
    <row r="3445" spans="1:30">
      <c r="A3445" t="str">
        <f>CONCATENATE(I3445,J3445)</f>
        <v>UTKARSHBNKEQ</v>
      </c>
      <c r="B3445" s="34">
        <v>46273</v>
      </c>
      <c r="C3445" s="34">
        <v>46273</v>
      </c>
      <c r="D3445" t="s">
        <v>35</v>
      </c>
      <c r="E3445" t="s">
        <v>36</v>
      </c>
      <c r="F3445" t="s">
        <v>37</v>
      </c>
      <c r="G3445">
        <v>17358</v>
      </c>
      <c r="H3445" t="s">
        <v>10405</v>
      </c>
      <c r="I3445" t="s">
        <v>10406</v>
      </c>
      <c r="J3445" t="s">
        <v>161</v>
      </c>
      <c r="O3445" t="s">
        <v>10407</v>
      </c>
      <c r="P3445">
        <v>15.29</v>
      </c>
      <c r="Q3445">
        <v>16.489999999999998</v>
      </c>
      <c r="R3445">
        <v>14.94</v>
      </c>
      <c r="S3445">
        <v>15.69</v>
      </c>
      <c r="T3445">
        <v>15.64</v>
      </c>
      <c r="U3445">
        <v>15.03</v>
      </c>
      <c r="W3445">
        <v>15.69</v>
      </c>
      <c r="Z3445">
        <v>102828979</v>
      </c>
      <c r="AA3445">
        <v>1631844899.9000001</v>
      </c>
      <c r="AB3445">
        <v>302906</v>
      </c>
      <c r="AC3445" t="s">
        <v>42</v>
      </c>
      <c r="AD3445">
        <v>1</v>
      </c>
    </row>
    <row r="3446" spans="1:30">
      <c r="A3446" t="str">
        <f>CONCATENATE(I3446,J3446)</f>
        <v>UTSSAVSM</v>
      </c>
      <c r="B3446" s="34">
        <v>46273</v>
      </c>
      <c r="C3446" s="34">
        <v>46273</v>
      </c>
      <c r="D3446" t="s">
        <v>35</v>
      </c>
      <c r="E3446" t="s">
        <v>36</v>
      </c>
      <c r="F3446" t="s">
        <v>37</v>
      </c>
      <c r="G3446">
        <v>24726</v>
      </c>
      <c r="H3446" t="s">
        <v>10408</v>
      </c>
      <c r="I3446" t="s">
        <v>10409</v>
      </c>
      <c r="J3446" t="s">
        <v>267</v>
      </c>
      <c r="O3446" t="s">
        <v>10410</v>
      </c>
      <c r="P3446">
        <v>490</v>
      </c>
      <c r="Q3446">
        <v>490</v>
      </c>
      <c r="R3446">
        <v>470</v>
      </c>
      <c r="S3446">
        <v>470</v>
      </c>
      <c r="T3446">
        <v>470</v>
      </c>
      <c r="U3446">
        <v>491.4</v>
      </c>
      <c r="W3446">
        <v>470</v>
      </c>
      <c r="Z3446">
        <v>19200</v>
      </c>
      <c r="AA3446">
        <v>9195570</v>
      </c>
      <c r="AB3446">
        <v>25</v>
      </c>
      <c r="AC3446" t="s">
        <v>42</v>
      </c>
      <c r="AD3446">
        <v>600</v>
      </c>
    </row>
    <row r="3447" spans="1:30">
      <c r="A3447" t="str">
        <f>CONCATENATE(I3447,J3447)</f>
        <v>UTTAMSUGAREQ</v>
      </c>
      <c r="B3447" s="34">
        <v>46273</v>
      </c>
      <c r="C3447" s="34">
        <v>46273</v>
      </c>
      <c r="D3447" t="s">
        <v>35</v>
      </c>
      <c r="E3447" t="s">
        <v>36</v>
      </c>
      <c r="F3447" t="s">
        <v>37</v>
      </c>
      <c r="G3447">
        <v>13376</v>
      </c>
      <c r="H3447" t="s">
        <v>10411</v>
      </c>
      <c r="I3447" t="s">
        <v>10412</v>
      </c>
      <c r="J3447" t="s">
        <v>161</v>
      </c>
      <c r="O3447" t="s">
        <v>10413</v>
      </c>
      <c r="P3447">
        <v>285.39999999999998</v>
      </c>
      <c r="Q3447">
        <v>289.89999999999998</v>
      </c>
      <c r="R3447">
        <v>281.05</v>
      </c>
      <c r="S3447">
        <v>287.55</v>
      </c>
      <c r="T3447">
        <v>289.7</v>
      </c>
      <c r="U3447">
        <v>284</v>
      </c>
      <c r="W3447">
        <v>287.58</v>
      </c>
      <c r="Z3447">
        <v>175245</v>
      </c>
      <c r="AA3447">
        <v>50044226.200000003</v>
      </c>
      <c r="AB3447">
        <v>4370</v>
      </c>
      <c r="AC3447" t="s">
        <v>42</v>
      </c>
      <c r="AD3447">
        <v>1</v>
      </c>
    </row>
    <row r="3448" spans="1:30">
      <c r="A3448" t="str">
        <f>CONCATENATE(I3448,J3448)</f>
        <v>VMARCINDSM</v>
      </c>
      <c r="B3448" s="34">
        <v>46273</v>
      </c>
      <c r="C3448" s="34">
        <v>46273</v>
      </c>
      <c r="D3448" t="s">
        <v>35</v>
      </c>
      <c r="E3448" t="s">
        <v>36</v>
      </c>
      <c r="F3448" t="s">
        <v>37</v>
      </c>
      <c r="G3448">
        <v>3188</v>
      </c>
      <c r="H3448" t="s">
        <v>10414</v>
      </c>
      <c r="I3448" t="s">
        <v>10415</v>
      </c>
      <c r="J3448" t="s">
        <v>267</v>
      </c>
      <c r="O3448" t="s">
        <v>10416</v>
      </c>
      <c r="P3448">
        <v>302</v>
      </c>
      <c r="Q3448">
        <v>324.5</v>
      </c>
      <c r="R3448">
        <v>302</v>
      </c>
      <c r="S3448">
        <v>321.8</v>
      </c>
      <c r="T3448">
        <v>324.5</v>
      </c>
      <c r="U3448">
        <v>303</v>
      </c>
      <c r="W3448">
        <v>321.8</v>
      </c>
      <c r="Z3448">
        <v>544500</v>
      </c>
      <c r="AA3448">
        <v>171776325</v>
      </c>
      <c r="AB3448">
        <v>336</v>
      </c>
      <c r="AC3448" t="s">
        <v>42</v>
      </c>
      <c r="AD3448">
        <v>1500</v>
      </c>
    </row>
    <row r="3449" spans="1:30">
      <c r="A3449" t="str">
        <f>CONCATENATE(I3449,J3449)</f>
        <v>VRSM</v>
      </c>
      <c r="B3449" s="34">
        <v>46273</v>
      </c>
      <c r="C3449" s="34">
        <v>46273</v>
      </c>
      <c r="D3449" t="s">
        <v>35</v>
      </c>
      <c r="E3449" t="s">
        <v>36</v>
      </c>
      <c r="F3449" t="s">
        <v>37</v>
      </c>
      <c r="G3449">
        <v>23018</v>
      </c>
      <c r="H3449" t="s">
        <v>10417</v>
      </c>
      <c r="I3449" t="s">
        <v>10418</v>
      </c>
      <c r="J3449" t="s">
        <v>267</v>
      </c>
      <c r="O3449" t="s">
        <v>10419</v>
      </c>
      <c r="P3449">
        <v>112.45</v>
      </c>
      <c r="Q3449">
        <v>112.45</v>
      </c>
      <c r="R3449">
        <v>112.45</v>
      </c>
      <c r="S3449">
        <v>112.45</v>
      </c>
      <c r="T3449">
        <v>112.45</v>
      </c>
      <c r="U3449">
        <v>107.1</v>
      </c>
      <c r="W3449">
        <v>112.45</v>
      </c>
      <c r="Z3449">
        <v>400</v>
      </c>
      <c r="AA3449">
        <v>44980</v>
      </c>
      <c r="AB3449">
        <v>1</v>
      </c>
      <c r="AC3449" t="s">
        <v>42</v>
      </c>
      <c r="AD3449">
        <v>400</v>
      </c>
    </row>
    <row r="3450" spans="1:30">
      <c r="A3450" t="str">
        <f>CONCATENATE(I3450,J3450)</f>
        <v>VTMLTDEQ</v>
      </c>
      <c r="B3450" s="34">
        <v>46273</v>
      </c>
      <c r="C3450" s="34">
        <v>46273</v>
      </c>
      <c r="D3450" t="s">
        <v>35</v>
      </c>
      <c r="E3450" t="s">
        <v>36</v>
      </c>
      <c r="F3450" t="s">
        <v>37</v>
      </c>
      <c r="G3450">
        <v>765220</v>
      </c>
      <c r="H3450" t="s">
        <v>10420</v>
      </c>
      <c r="I3450" t="s">
        <v>10421</v>
      </c>
      <c r="J3450" t="s">
        <v>161</v>
      </c>
      <c r="O3450" t="s">
        <v>10422</v>
      </c>
      <c r="P3450">
        <v>56.88</v>
      </c>
      <c r="Q3450">
        <v>57</v>
      </c>
      <c r="R3450">
        <v>55.35</v>
      </c>
      <c r="S3450">
        <v>56.58</v>
      </c>
      <c r="T3450">
        <v>57</v>
      </c>
      <c r="U3450">
        <v>56.49</v>
      </c>
      <c r="W3450">
        <v>56.57</v>
      </c>
      <c r="Z3450">
        <v>2878</v>
      </c>
      <c r="AA3450">
        <v>162503.01999999999</v>
      </c>
      <c r="AB3450">
        <v>49</v>
      </c>
      <c r="AC3450" t="s">
        <v>42</v>
      </c>
      <c r="AD3450">
        <v>1</v>
      </c>
    </row>
    <row r="3451" spans="1:30">
      <c r="A3451" t="str">
        <f>CONCATENATE(I3451,J3451)</f>
        <v>VGUARDEQ</v>
      </c>
      <c r="B3451" s="34">
        <v>46273</v>
      </c>
      <c r="C3451" s="34">
        <v>46273</v>
      </c>
      <c r="D3451" t="s">
        <v>35</v>
      </c>
      <c r="E3451" t="s">
        <v>36</v>
      </c>
      <c r="F3451" t="s">
        <v>37</v>
      </c>
      <c r="G3451">
        <v>15362</v>
      </c>
      <c r="H3451" t="s">
        <v>10423</v>
      </c>
      <c r="I3451" t="s">
        <v>10424</v>
      </c>
      <c r="J3451" t="s">
        <v>161</v>
      </c>
      <c r="O3451" t="s">
        <v>10425</v>
      </c>
      <c r="P3451">
        <v>330.35</v>
      </c>
      <c r="Q3451">
        <v>332.65</v>
      </c>
      <c r="R3451">
        <v>327.3</v>
      </c>
      <c r="S3451">
        <v>330.05</v>
      </c>
      <c r="T3451">
        <v>329</v>
      </c>
      <c r="U3451">
        <v>332.55</v>
      </c>
      <c r="W3451">
        <v>330.04</v>
      </c>
      <c r="Z3451">
        <v>379892</v>
      </c>
      <c r="AA3451">
        <v>125511081.7</v>
      </c>
      <c r="AB3451">
        <v>8543</v>
      </c>
      <c r="AC3451" t="s">
        <v>42</v>
      </c>
      <c r="AD3451">
        <v>1</v>
      </c>
    </row>
    <row r="3452" spans="1:30">
      <c r="A3452" t="str">
        <f>CONCATENATE(I3452,J3452)</f>
        <v>VLINFRASM</v>
      </c>
      <c r="B3452" s="34">
        <v>46273</v>
      </c>
      <c r="C3452" s="34">
        <v>46273</v>
      </c>
      <c r="D3452" t="s">
        <v>35</v>
      </c>
      <c r="E3452" t="s">
        <v>36</v>
      </c>
      <c r="F3452" t="s">
        <v>37</v>
      </c>
      <c r="G3452">
        <v>24606</v>
      </c>
      <c r="H3452" t="s">
        <v>10426</v>
      </c>
      <c r="I3452" t="s">
        <v>10427</v>
      </c>
      <c r="J3452" t="s">
        <v>267</v>
      </c>
      <c r="O3452" t="s">
        <v>10428</v>
      </c>
      <c r="P3452">
        <v>26.9</v>
      </c>
      <c r="Q3452">
        <v>27.1</v>
      </c>
      <c r="R3452">
        <v>26.9</v>
      </c>
      <c r="S3452">
        <v>27.1</v>
      </c>
      <c r="T3452">
        <v>27.1</v>
      </c>
      <c r="U3452">
        <v>27.8</v>
      </c>
      <c r="W3452">
        <v>27.1</v>
      </c>
      <c r="Z3452">
        <v>3000</v>
      </c>
      <c r="AA3452">
        <v>81000</v>
      </c>
      <c r="AB3452">
        <v>2</v>
      </c>
      <c r="AC3452" t="s">
        <v>42</v>
      </c>
      <c r="AD3452">
        <v>1500</v>
      </c>
    </row>
    <row r="3453" spans="1:30">
      <c r="A3453" t="str">
        <f>CONCATENATE(I3453,J3453)</f>
        <v>V2RETAILEQ</v>
      </c>
      <c r="B3453" s="34">
        <v>46273</v>
      </c>
      <c r="C3453" s="34">
        <v>46273</v>
      </c>
      <c r="D3453" t="s">
        <v>35</v>
      </c>
      <c r="E3453" t="s">
        <v>36</v>
      </c>
      <c r="F3453" t="s">
        <v>37</v>
      </c>
      <c r="G3453">
        <v>14766</v>
      </c>
      <c r="H3453" t="s">
        <v>10429</v>
      </c>
      <c r="I3453" t="s">
        <v>10430</v>
      </c>
      <c r="J3453" t="s">
        <v>161</v>
      </c>
      <c r="O3453" t="s">
        <v>10431</v>
      </c>
      <c r="P3453">
        <v>222.2</v>
      </c>
      <c r="Q3453">
        <v>223.62</v>
      </c>
      <c r="R3453">
        <v>218.5</v>
      </c>
      <c r="S3453">
        <v>220.17</v>
      </c>
      <c r="T3453">
        <v>220.05</v>
      </c>
      <c r="U3453">
        <v>222.42</v>
      </c>
      <c r="W3453">
        <v>220.17</v>
      </c>
      <c r="Z3453">
        <v>921453</v>
      </c>
      <c r="AA3453">
        <v>202831254.88</v>
      </c>
      <c r="AB3453">
        <v>18788</v>
      </c>
      <c r="AC3453" t="s">
        <v>42</v>
      </c>
      <c r="AD3453">
        <v>1</v>
      </c>
    </row>
    <row r="3454" spans="1:30">
      <c r="A3454" t="str">
        <f>CONCATENATE(I3454,J3454)</f>
        <v>WABAGEQ</v>
      </c>
      <c r="B3454" s="34">
        <v>46273</v>
      </c>
      <c r="C3454" s="34">
        <v>46273</v>
      </c>
      <c r="D3454" t="s">
        <v>35</v>
      </c>
      <c r="E3454" t="s">
        <v>36</v>
      </c>
      <c r="F3454" t="s">
        <v>37</v>
      </c>
      <c r="G3454">
        <v>20188</v>
      </c>
      <c r="H3454" t="s">
        <v>10432</v>
      </c>
      <c r="I3454" t="s">
        <v>10433</v>
      </c>
      <c r="J3454" t="s">
        <v>161</v>
      </c>
      <c r="O3454" t="s">
        <v>10434</v>
      </c>
      <c r="P3454">
        <v>2018</v>
      </c>
      <c r="Q3454">
        <v>2019</v>
      </c>
      <c r="R3454">
        <v>1995.1</v>
      </c>
      <c r="S3454">
        <v>2008.4</v>
      </c>
      <c r="T3454">
        <v>2003.1</v>
      </c>
      <c r="U3454">
        <v>2008</v>
      </c>
      <c r="W3454">
        <v>2008.47</v>
      </c>
      <c r="Z3454">
        <v>157426</v>
      </c>
      <c r="AA3454">
        <v>316043181.30000001</v>
      </c>
      <c r="AB3454">
        <v>13243</v>
      </c>
      <c r="AC3454" t="s">
        <v>42</v>
      </c>
      <c r="AD3454">
        <v>1</v>
      </c>
    </row>
    <row r="3455" spans="1:30">
      <c r="A3455" t="str">
        <f>CONCATENATE(I3455,J3455)</f>
        <v>VADILENTEQ</v>
      </c>
      <c r="B3455" s="34">
        <v>46273</v>
      </c>
      <c r="C3455" s="34">
        <v>46273</v>
      </c>
      <c r="D3455" t="s">
        <v>35</v>
      </c>
      <c r="E3455" t="s">
        <v>36</v>
      </c>
      <c r="F3455" t="s">
        <v>37</v>
      </c>
      <c r="G3455">
        <v>764975</v>
      </c>
      <c r="H3455" t="s">
        <v>10435</v>
      </c>
      <c r="I3455" t="s">
        <v>10436</v>
      </c>
      <c r="J3455" t="s">
        <v>161</v>
      </c>
      <c r="O3455" t="s">
        <v>10437</v>
      </c>
      <c r="P3455">
        <v>10999</v>
      </c>
      <c r="Q3455">
        <v>10999</v>
      </c>
      <c r="R3455">
        <v>10225</v>
      </c>
      <c r="S3455">
        <v>10364</v>
      </c>
      <c r="T3455">
        <v>10480</v>
      </c>
      <c r="U3455">
        <v>10730</v>
      </c>
      <c r="W3455">
        <v>10375.6</v>
      </c>
      <c r="Z3455">
        <v>36</v>
      </c>
      <c r="AA3455">
        <v>374454</v>
      </c>
      <c r="AB3455">
        <v>18</v>
      </c>
      <c r="AC3455" t="s">
        <v>42</v>
      </c>
      <c r="AD3455">
        <v>1</v>
      </c>
    </row>
    <row r="3456" spans="1:30">
      <c r="A3456" t="str">
        <f>CONCATENATE(I3456,J3456)</f>
        <v>VADILALINDEQ</v>
      </c>
      <c r="B3456" s="34">
        <v>46273</v>
      </c>
      <c r="C3456" s="34">
        <v>46273</v>
      </c>
      <c r="D3456" t="s">
        <v>35</v>
      </c>
      <c r="E3456" t="s">
        <v>36</v>
      </c>
      <c r="F3456" t="s">
        <v>37</v>
      </c>
      <c r="G3456">
        <v>24196</v>
      </c>
      <c r="H3456" t="s">
        <v>10438</v>
      </c>
      <c r="I3456" t="s">
        <v>10439</v>
      </c>
      <c r="J3456" t="s">
        <v>161</v>
      </c>
      <c r="O3456" t="s">
        <v>10440</v>
      </c>
      <c r="P3456">
        <v>7450</v>
      </c>
      <c r="Q3456">
        <v>7575</v>
      </c>
      <c r="R3456">
        <v>7375.5</v>
      </c>
      <c r="S3456">
        <v>7534.5</v>
      </c>
      <c r="T3456">
        <v>7480</v>
      </c>
      <c r="U3456">
        <v>7505.5</v>
      </c>
      <c r="W3456">
        <v>7534.92</v>
      </c>
      <c r="Z3456">
        <v>15038</v>
      </c>
      <c r="AA3456">
        <v>112634624.5</v>
      </c>
      <c r="AB3456">
        <v>3804</v>
      </c>
      <c r="AC3456" t="s">
        <v>42</v>
      </c>
      <c r="AD3456">
        <v>1</v>
      </c>
    </row>
    <row r="3457" spans="1:30">
      <c r="A3457" t="str">
        <f>CONCATENATE(I3457,J3457)</f>
        <v>VSCLSM</v>
      </c>
      <c r="B3457" s="34">
        <v>46273</v>
      </c>
      <c r="C3457" s="34">
        <v>46273</v>
      </c>
      <c r="D3457" t="s">
        <v>35</v>
      </c>
      <c r="E3457" t="s">
        <v>36</v>
      </c>
      <c r="F3457" t="s">
        <v>37</v>
      </c>
      <c r="G3457">
        <v>20973</v>
      </c>
      <c r="H3457" t="s">
        <v>10441</v>
      </c>
      <c r="I3457" t="s">
        <v>10442</v>
      </c>
      <c r="J3457" t="s">
        <v>267</v>
      </c>
      <c r="O3457" t="s">
        <v>10443</v>
      </c>
      <c r="P3457">
        <v>20.45</v>
      </c>
      <c r="Q3457">
        <v>20.5</v>
      </c>
      <c r="R3457">
        <v>20.45</v>
      </c>
      <c r="S3457">
        <v>20.5</v>
      </c>
      <c r="T3457">
        <v>20.5</v>
      </c>
      <c r="U3457">
        <v>20.9</v>
      </c>
      <c r="W3457">
        <v>20.5</v>
      </c>
      <c r="Z3457">
        <v>6000</v>
      </c>
      <c r="AA3457">
        <v>122850</v>
      </c>
      <c r="AB3457">
        <v>2</v>
      </c>
      <c r="AC3457" t="s">
        <v>42</v>
      </c>
      <c r="AD3457">
        <v>3000</v>
      </c>
    </row>
    <row r="3458" spans="1:30">
      <c r="A3458" t="str">
        <f>CONCATENATE(I3458,J3458)</f>
        <v>VAIBHAVGBLEQ</v>
      </c>
      <c r="B3458" s="34">
        <v>46273</v>
      </c>
      <c r="C3458" s="34">
        <v>46273</v>
      </c>
      <c r="D3458" t="s">
        <v>35</v>
      </c>
      <c r="E3458" t="s">
        <v>36</v>
      </c>
      <c r="F3458" t="s">
        <v>37</v>
      </c>
      <c r="G3458">
        <v>11364</v>
      </c>
      <c r="H3458" t="s">
        <v>10444</v>
      </c>
      <c r="I3458" t="s">
        <v>10445</v>
      </c>
      <c r="J3458" t="s">
        <v>161</v>
      </c>
      <c r="O3458" t="s">
        <v>10446</v>
      </c>
      <c r="P3458">
        <v>216.6</v>
      </c>
      <c r="Q3458">
        <v>217.95</v>
      </c>
      <c r="R3458">
        <v>214.5</v>
      </c>
      <c r="S3458">
        <v>215.98</v>
      </c>
      <c r="T3458">
        <v>217.95</v>
      </c>
      <c r="U3458">
        <v>216.49</v>
      </c>
      <c r="W3458">
        <v>215.98</v>
      </c>
      <c r="Z3458">
        <v>166004</v>
      </c>
      <c r="AA3458">
        <v>35838852.640000001</v>
      </c>
      <c r="AB3458">
        <v>4510</v>
      </c>
      <c r="AC3458" t="s">
        <v>42</v>
      </c>
      <c r="AD3458">
        <v>1</v>
      </c>
    </row>
    <row r="3459" spans="1:30">
      <c r="A3459" t="str">
        <f>CONCATENATE(I3459,J3459)</f>
        <v>MADHAVBAUGST</v>
      </c>
      <c r="B3459" s="34">
        <v>46273</v>
      </c>
      <c r="C3459" s="34">
        <v>46273</v>
      </c>
      <c r="D3459" t="s">
        <v>35</v>
      </c>
      <c r="E3459" t="s">
        <v>36</v>
      </c>
      <c r="F3459" t="s">
        <v>37</v>
      </c>
      <c r="G3459">
        <v>8262</v>
      </c>
      <c r="H3459" t="s">
        <v>10447</v>
      </c>
      <c r="I3459" t="s">
        <v>10448</v>
      </c>
      <c r="J3459" t="s">
        <v>328</v>
      </c>
      <c r="O3459" t="s">
        <v>10449</v>
      </c>
      <c r="P3459">
        <v>153.69999999999999</v>
      </c>
      <c r="Q3459">
        <v>153.69999999999999</v>
      </c>
      <c r="R3459">
        <v>147</v>
      </c>
      <c r="S3459">
        <v>150</v>
      </c>
      <c r="T3459">
        <v>150</v>
      </c>
      <c r="U3459">
        <v>153.69999999999999</v>
      </c>
      <c r="W3459">
        <v>150</v>
      </c>
      <c r="Z3459">
        <v>43600</v>
      </c>
      <c r="AA3459">
        <v>6543880</v>
      </c>
      <c r="AB3459">
        <v>37</v>
      </c>
      <c r="AC3459" t="s">
        <v>42</v>
      </c>
      <c r="AD3459">
        <v>400</v>
      </c>
    </row>
    <row r="3460" spans="1:30">
      <c r="A3460" t="str">
        <f>CONCATENATE(I3460,J3460)</f>
        <v>VAISHALIEQ</v>
      </c>
      <c r="B3460" s="34">
        <v>46273</v>
      </c>
      <c r="C3460" s="34">
        <v>46273</v>
      </c>
      <c r="D3460" t="s">
        <v>35</v>
      </c>
      <c r="E3460" t="s">
        <v>36</v>
      </c>
      <c r="F3460" t="s">
        <v>37</v>
      </c>
      <c r="G3460">
        <v>16589</v>
      </c>
      <c r="H3460" t="s">
        <v>10450</v>
      </c>
      <c r="I3460" t="s">
        <v>10451</v>
      </c>
      <c r="J3460" t="s">
        <v>161</v>
      </c>
      <c r="O3460" t="s">
        <v>10452</v>
      </c>
      <c r="P3460">
        <v>8.5399999999999991</v>
      </c>
      <c r="Q3460">
        <v>8.56</v>
      </c>
      <c r="R3460">
        <v>8.3000000000000007</v>
      </c>
      <c r="S3460">
        <v>8.34</v>
      </c>
      <c r="T3460">
        <v>8.4</v>
      </c>
      <c r="U3460">
        <v>8.3699999999999992</v>
      </c>
      <c r="W3460">
        <v>8.34</v>
      </c>
      <c r="Z3460">
        <v>71384</v>
      </c>
      <c r="AA3460">
        <v>598121.48</v>
      </c>
      <c r="AB3460">
        <v>171</v>
      </c>
      <c r="AC3460" t="s">
        <v>42</v>
      </c>
      <c r="AD3460">
        <v>1</v>
      </c>
    </row>
    <row r="3461" spans="1:30">
      <c r="A3461" t="str">
        <f>CONCATENATE(I3461,J3461)</f>
        <v>VAKRANGEEEQ</v>
      </c>
      <c r="B3461" s="34">
        <v>46273</v>
      </c>
      <c r="C3461" s="34">
        <v>46273</v>
      </c>
      <c r="D3461" t="s">
        <v>35</v>
      </c>
      <c r="E3461" t="s">
        <v>36</v>
      </c>
      <c r="F3461" t="s">
        <v>37</v>
      </c>
      <c r="G3461">
        <v>13342</v>
      </c>
      <c r="H3461" t="s">
        <v>10453</v>
      </c>
      <c r="I3461" t="s">
        <v>10454</v>
      </c>
      <c r="J3461" t="s">
        <v>161</v>
      </c>
      <c r="O3461" t="s">
        <v>10455</v>
      </c>
      <c r="P3461">
        <v>5.69</v>
      </c>
      <c r="Q3461">
        <v>5.7</v>
      </c>
      <c r="R3461">
        <v>5.58</v>
      </c>
      <c r="S3461">
        <v>5.62</v>
      </c>
      <c r="T3461">
        <v>5.64</v>
      </c>
      <c r="U3461">
        <v>5.66</v>
      </c>
      <c r="W3461">
        <v>5.62</v>
      </c>
      <c r="Z3461">
        <v>1093585</v>
      </c>
      <c r="AA3461">
        <v>6140722.7400000002</v>
      </c>
      <c r="AB3461">
        <v>1780</v>
      </c>
      <c r="AC3461" t="s">
        <v>42</v>
      </c>
      <c r="AD3461">
        <v>1</v>
      </c>
    </row>
    <row r="3462" spans="1:30">
      <c r="A3462" t="str">
        <f>CONCATENATE(I3462,J3462)</f>
        <v>VALIANTLABBE</v>
      </c>
      <c r="B3462" s="34">
        <v>46273</v>
      </c>
      <c r="C3462" s="34">
        <v>46273</v>
      </c>
      <c r="D3462" t="s">
        <v>35</v>
      </c>
      <c r="E3462" t="s">
        <v>36</v>
      </c>
      <c r="F3462" t="s">
        <v>37</v>
      </c>
      <c r="G3462">
        <v>19220</v>
      </c>
      <c r="H3462" t="s">
        <v>10456</v>
      </c>
      <c r="I3462" t="s">
        <v>10457</v>
      </c>
      <c r="J3462" t="s">
        <v>183</v>
      </c>
      <c r="O3462" t="s">
        <v>10458</v>
      </c>
      <c r="P3462">
        <v>109.8</v>
      </c>
      <c r="Q3462">
        <v>114.13</v>
      </c>
      <c r="R3462">
        <v>106</v>
      </c>
      <c r="S3462">
        <v>114.13</v>
      </c>
      <c r="T3462">
        <v>114.13</v>
      </c>
      <c r="U3462">
        <v>108.7</v>
      </c>
      <c r="W3462">
        <v>114.13</v>
      </c>
      <c r="Z3462">
        <v>198717</v>
      </c>
      <c r="AA3462">
        <v>22617000.309999999</v>
      </c>
      <c r="AB3462">
        <v>742</v>
      </c>
      <c r="AC3462" t="s">
        <v>42</v>
      </c>
      <c r="AD3462">
        <v>1</v>
      </c>
    </row>
    <row r="3463" spans="1:30">
      <c r="A3463" t="str">
        <f>CONCATENATE(I3463,J3463)</f>
        <v>VALIANTORGBE</v>
      </c>
      <c r="B3463" s="34">
        <v>46273</v>
      </c>
      <c r="C3463" s="34">
        <v>46273</v>
      </c>
      <c r="D3463" t="s">
        <v>35</v>
      </c>
      <c r="E3463" t="s">
        <v>36</v>
      </c>
      <c r="F3463" t="s">
        <v>37</v>
      </c>
      <c r="G3463">
        <v>334</v>
      </c>
      <c r="H3463" t="s">
        <v>10459</v>
      </c>
      <c r="I3463" t="s">
        <v>10460</v>
      </c>
      <c r="J3463" t="s">
        <v>183</v>
      </c>
      <c r="O3463" t="s">
        <v>10461</v>
      </c>
      <c r="P3463">
        <v>331.8</v>
      </c>
      <c r="Q3463">
        <v>342.4</v>
      </c>
      <c r="R3463">
        <v>327.14999999999998</v>
      </c>
      <c r="S3463">
        <v>342.4</v>
      </c>
      <c r="T3463">
        <v>342.4</v>
      </c>
      <c r="U3463">
        <v>326.10000000000002</v>
      </c>
      <c r="W3463">
        <v>342.4</v>
      </c>
      <c r="Z3463">
        <v>57724</v>
      </c>
      <c r="AA3463">
        <v>19634831.300000001</v>
      </c>
      <c r="AB3463">
        <v>623</v>
      </c>
      <c r="AC3463" t="s">
        <v>42</v>
      </c>
      <c r="AD3463">
        <v>1</v>
      </c>
    </row>
    <row r="3464" spans="1:30">
      <c r="A3464" t="str">
        <f>CONCATENATE(I3464,J3464)</f>
        <v>DBREALTYEQ</v>
      </c>
      <c r="B3464" s="34">
        <v>46273</v>
      </c>
      <c r="C3464" s="34">
        <v>46273</v>
      </c>
      <c r="D3464" t="s">
        <v>35</v>
      </c>
      <c r="E3464" t="s">
        <v>36</v>
      </c>
      <c r="F3464" t="s">
        <v>37</v>
      </c>
      <c r="G3464">
        <v>18124</v>
      </c>
      <c r="H3464" t="s">
        <v>10462</v>
      </c>
      <c r="I3464" t="s">
        <v>10463</v>
      </c>
      <c r="J3464" t="s">
        <v>161</v>
      </c>
      <c r="O3464" t="s">
        <v>10464</v>
      </c>
      <c r="P3464">
        <v>101</v>
      </c>
      <c r="Q3464">
        <v>103.35</v>
      </c>
      <c r="R3464">
        <v>100.88</v>
      </c>
      <c r="S3464">
        <v>101.19</v>
      </c>
      <c r="T3464">
        <v>101.41</v>
      </c>
      <c r="U3464">
        <v>100.88</v>
      </c>
      <c r="W3464">
        <v>101.19</v>
      </c>
      <c r="Z3464">
        <v>799147</v>
      </c>
      <c r="AA3464">
        <v>81313709.400000006</v>
      </c>
      <c r="AB3464">
        <v>6225</v>
      </c>
      <c r="AC3464" t="s">
        <v>42</v>
      </c>
      <c r="AD3464">
        <v>1</v>
      </c>
    </row>
    <row r="3465" spans="1:30">
      <c r="A3465" t="str">
        <f>CONCATENATE(I3465,J3465)</f>
        <v>VALUE360SM</v>
      </c>
      <c r="B3465" s="34">
        <v>46273</v>
      </c>
      <c r="C3465" s="34">
        <v>46273</v>
      </c>
      <c r="D3465" t="s">
        <v>35</v>
      </c>
      <c r="E3465" t="s">
        <v>36</v>
      </c>
      <c r="F3465" t="s">
        <v>37</v>
      </c>
      <c r="G3465">
        <v>763304</v>
      </c>
      <c r="H3465" t="s">
        <v>10465</v>
      </c>
      <c r="I3465" t="s">
        <v>10466</v>
      </c>
      <c r="J3465" t="s">
        <v>267</v>
      </c>
      <c r="O3465" t="s">
        <v>10467</v>
      </c>
      <c r="P3465">
        <v>69</v>
      </c>
      <c r="Q3465">
        <v>69</v>
      </c>
      <c r="R3465">
        <v>68</v>
      </c>
      <c r="S3465">
        <v>69</v>
      </c>
      <c r="T3465">
        <v>69</v>
      </c>
      <c r="U3465">
        <v>69.75</v>
      </c>
      <c r="W3465">
        <v>69</v>
      </c>
      <c r="Z3465">
        <v>7200</v>
      </c>
      <c r="AA3465">
        <v>495600</v>
      </c>
      <c r="AB3465">
        <v>6</v>
      </c>
      <c r="AC3465" t="s">
        <v>42</v>
      </c>
      <c r="AD3465">
        <v>1200</v>
      </c>
    </row>
    <row r="3466" spans="1:30">
      <c r="A3466" t="str">
        <f>CONCATENATE(I3466,J3466)</f>
        <v>VARDHACRLCBE</v>
      </c>
      <c r="B3466" s="34">
        <v>46273</v>
      </c>
      <c r="C3466" s="34">
        <v>46273</v>
      </c>
      <c r="D3466" t="s">
        <v>35</v>
      </c>
      <c r="E3466" t="s">
        <v>36</v>
      </c>
      <c r="F3466" t="s">
        <v>37</v>
      </c>
      <c r="G3466">
        <v>13403</v>
      </c>
      <c r="H3466" t="s">
        <v>10468</v>
      </c>
      <c r="I3466" t="s">
        <v>10469</v>
      </c>
      <c r="J3466" t="s">
        <v>183</v>
      </c>
      <c r="O3466" t="s">
        <v>10470</v>
      </c>
      <c r="P3466">
        <v>43.65</v>
      </c>
      <c r="Q3466">
        <v>44.92</v>
      </c>
      <c r="R3466">
        <v>42.53</v>
      </c>
      <c r="S3466">
        <v>44.18</v>
      </c>
      <c r="T3466">
        <v>44</v>
      </c>
      <c r="U3466">
        <v>42.79</v>
      </c>
      <c r="W3466">
        <v>44.18</v>
      </c>
      <c r="Z3466">
        <v>67737</v>
      </c>
      <c r="AA3466">
        <v>2969047.66</v>
      </c>
      <c r="AB3466">
        <v>196</v>
      </c>
      <c r="AC3466" t="s">
        <v>42</v>
      </c>
      <c r="AD3466">
        <v>1</v>
      </c>
    </row>
    <row r="3467" spans="1:30">
      <c r="A3467" t="str">
        <f>CONCATENATE(I3467,J3467)</f>
        <v>VHLEQ</v>
      </c>
      <c r="B3467" s="34">
        <v>46273</v>
      </c>
      <c r="C3467" s="34">
        <v>46273</v>
      </c>
      <c r="D3467" t="s">
        <v>35</v>
      </c>
      <c r="E3467" t="s">
        <v>36</v>
      </c>
      <c r="F3467" t="s">
        <v>37</v>
      </c>
      <c r="G3467">
        <v>11892</v>
      </c>
      <c r="H3467" t="s">
        <v>10471</v>
      </c>
      <c r="I3467" t="s">
        <v>10472</v>
      </c>
      <c r="J3467" t="s">
        <v>161</v>
      </c>
      <c r="O3467" t="s">
        <v>10473</v>
      </c>
      <c r="P3467">
        <v>3576</v>
      </c>
      <c r="Q3467">
        <v>3680</v>
      </c>
      <c r="R3467">
        <v>3576</v>
      </c>
      <c r="S3467">
        <v>3631.4</v>
      </c>
      <c r="T3467">
        <v>3665</v>
      </c>
      <c r="U3467">
        <v>3620.8</v>
      </c>
      <c r="W3467">
        <v>3631.4</v>
      </c>
      <c r="Z3467">
        <v>754</v>
      </c>
      <c r="AA3467">
        <v>2743764</v>
      </c>
      <c r="AB3467">
        <v>149</v>
      </c>
      <c r="AC3467" t="s">
        <v>42</v>
      </c>
      <c r="AD3467">
        <v>1</v>
      </c>
    </row>
    <row r="3468" spans="1:30">
      <c r="A3468" t="str">
        <f>CONCATENATE(I3468,J3468)</f>
        <v>VARDMNPOLYEQ</v>
      </c>
      <c r="B3468" s="34">
        <v>46273</v>
      </c>
      <c r="C3468" s="34">
        <v>46273</v>
      </c>
      <c r="D3468" t="s">
        <v>35</v>
      </c>
      <c r="E3468" t="s">
        <v>36</v>
      </c>
      <c r="F3468" t="s">
        <v>37</v>
      </c>
      <c r="G3468">
        <v>3646</v>
      </c>
      <c r="H3468" t="s">
        <v>10474</v>
      </c>
      <c r="I3468" t="s">
        <v>10475</v>
      </c>
      <c r="J3468" t="s">
        <v>161</v>
      </c>
      <c r="O3468" t="s">
        <v>10476</v>
      </c>
      <c r="P3468">
        <v>5.94</v>
      </c>
      <c r="Q3468">
        <v>6</v>
      </c>
      <c r="R3468">
        <v>5.8</v>
      </c>
      <c r="S3468">
        <v>5.89</v>
      </c>
      <c r="T3468">
        <v>5.86</v>
      </c>
      <c r="U3468">
        <v>5.89</v>
      </c>
      <c r="W3468">
        <v>5.89</v>
      </c>
      <c r="Z3468">
        <v>124199</v>
      </c>
      <c r="AA3468">
        <v>732019.59</v>
      </c>
      <c r="AB3468">
        <v>342</v>
      </c>
      <c r="AC3468" t="s">
        <v>42</v>
      </c>
      <c r="AD3468">
        <v>1</v>
      </c>
    </row>
    <row r="3469" spans="1:30">
      <c r="A3469" t="str">
        <f>CONCATENATE(I3469,J3469)</f>
        <v>VSSLEQ</v>
      </c>
      <c r="B3469" s="34">
        <v>46273</v>
      </c>
      <c r="C3469" s="34">
        <v>46273</v>
      </c>
      <c r="D3469" t="s">
        <v>35</v>
      </c>
      <c r="E3469" t="s">
        <v>36</v>
      </c>
      <c r="F3469" t="s">
        <v>37</v>
      </c>
      <c r="G3469">
        <v>27067</v>
      </c>
      <c r="H3469" t="s">
        <v>10477</v>
      </c>
      <c r="I3469" t="s">
        <v>10478</v>
      </c>
      <c r="J3469" t="s">
        <v>161</v>
      </c>
      <c r="O3469" t="s">
        <v>10479</v>
      </c>
      <c r="P3469">
        <v>354</v>
      </c>
      <c r="Q3469">
        <v>363.3</v>
      </c>
      <c r="R3469">
        <v>351.3</v>
      </c>
      <c r="S3469">
        <v>356.6</v>
      </c>
      <c r="T3469">
        <v>358.65</v>
      </c>
      <c r="U3469">
        <v>356.45</v>
      </c>
      <c r="W3469">
        <v>356.59</v>
      </c>
      <c r="Z3469">
        <v>71289</v>
      </c>
      <c r="AA3469">
        <v>25420593.449999999</v>
      </c>
      <c r="AB3469">
        <v>3814</v>
      </c>
      <c r="AC3469" t="s">
        <v>42</v>
      </c>
      <c r="AD3469">
        <v>1</v>
      </c>
    </row>
    <row r="3470" spans="1:30">
      <c r="A3470" t="str">
        <f>CONCATENATE(I3470,J3470)</f>
        <v>VTLEQ</v>
      </c>
      <c r="B3470" s="34">
        <v>46273</v>
      </c>
      <c r="C3470" s="34">
        <v>46273</v>
      </c>
      <c r="D3470" t="s">
        <v>35</v>
      </c>
      <c r="E3470" t="s">
        <v>36</v>
      </c>
      <c r="F3470" t="s">
        <v>37</v>
      </c>
      <c r="G3470">
        <v>2073</v>
      </c>
      <c r="H3470" t="s">
        <v>10480</v>
      </c>
      <c r="I3470" t="s">
        <v>10481</v>
      </c>
      <c r="J3470" t="s">
        <v>161</v>
      </c>
      <c r="O3470" t="s">
        <v>10482</v>
      </c>
      <c r="P3470">
        <v>587</v>
      </c>
      <c r="Q3470">
        <v>590</v>
      </c>
      <c r="R3470">
        <v>582.5</v>
      </c>
      <c r="S3470">
        <v>584.4</v>
      </c>
      <c r="T3470">
        <v>584.1</v>
      </c>
      <c r="U3470">
        <v>590.20000000000005</v>
      </c>
      <c r="W3470">
        <v>584.35</v>
      </c>
      <c r="Z3470">
        <v>143998</v>
      </c>
      <c r="AA3470">
        <v>84396560.25</v>
      </c>
      <c r="AB3470">
        <v>10846</v>
      </c>
      <c r="AC3470" t="s">
        <v>42</v>
      </c>
      <c r="AD3470">
        <v>1</v>
      </c>
    </row>
    <row r="3471" spans="1:30">
      <c r="A3471" t="str">
        <f>CONCATENATE(I3471,J3471)</f>
        <v>VARROCEQ</v>
      </c>
      <c r="B3471" s="34">
        <v>46273</v>
      </c>
      <c r="C3471" s="34">
        <v>46273</v>
      </c>
      <c r="D3471" t="s">
        <v>35</v>
      </c>
      <c r="E3471" t="s">
        <v>36</v>
      </c>
      <c r="F3471" t="s">
        <v>37</v>
      </c>
      <c r="G3471">
        <v>3857</v>
      </c>
      <c r="H3471" t="s">
        <v>10483</v>
      </c>
      <c r="I3471" t="s">
        <v>10484</v>
      </c>
      <c r="J3471" t="s">
        <v>161</v>
      </c>
      <c r="O3471" t="s">
        <v>10485</v>
      </c>
      <c r="P3471">
        <v>829.95</v>
      </c>
      <c r="Q3471">
        <v>861</v>
      </c>
      <c r="R3471">
        <v>815.8</v>
      </c>
      <c r="S3471">
        <v>849.45</v>
      </c>
      <c r="T3471">
        <v>857</v>
      </c>
      <c r="U3471">
        <v>827.05</v>
      </c>
      <c r="W3471">
        <v>849.47</v>
      </c>
      <c r="Z3471">
        <v>257449</v>
      </c>
      <c r="AA3471">
        <v>215555523.94999999</v>
      </c>
      <c r="AB3471">
        <v>14091</v>
      </c>
      <c r="AC3471" t="s">
        <v>42</v>
      </c>
      <c r="AD3471">
        <v>1</v>
      </c>
    </row>
    <row r="3472" spans="1:30">
      <c r="A3472" t="str">
        <f>CONCATENATE(I3472,J3472)</f>
        <v>VBLEQ</v>
      </c>
      <c r="B3472" s="34">
        <v>46273</v>
      </c>
      <c r="C3472" s="34">
        <v>46273</v>
      </c>
      <c r="D3472" t="s">
        <v>35</v>
      </c>
      <c r="E3472" t="s">
        <v>36</v>
      </c>
      <c r="F3472" t="s">
        <v>37</v>
      </c>
      <c r="G3472">
        <v>18921</v>
      </c>
      <c r="H3472" t="s">
        <v>10486</v>
      </c>
      <c r="I3472" t="s">
        <v>10487</v>
      </c>
      <c r="J3472" t="s">
        <v>161</v>
      </c>
      <c r="O3472" t="s">
        <v>10488</v>
      </c>
      <c r="P3472">
        <v>405</v>
      </c>
      <c r="Q3472">
        <v>408.4</v>
      </c>
      <c r="R3472">
        <v>403.65</v>
      </c>
      <c r="S3472">
        <v>405.7</v>
      </c>
      <c r="T3472">
        <v>405.7</v>
      </c>
      <c r="U3472">
        <v>405.95</v>
      </c>
      <c r="W3472">
        <v>405.71</v>
      </c>
      <c r="Z3472">
        <v>3722223</v>
      </c>
      <c r="AA3472">
        <v>1509651013.9000001</v>
      </c>
      <c r="AB3472">
        <v>38129</v>
      </c>
      <c r="AC3472" t="s">
        <v>42</v>
      </c>
      <c r="AD3472">
        <v>1</v>
      </c>
    </row>
    <row r="3473" spans="1:30">
      <c r="A3473" t="str">
        <f>CONCATENATE(I3473,J3473)</f>
        <v>VGLEQ</v>
      </c>
      <c r="B3473" s="34">
        <v>46273</v>
      </c>
      <c r="C3473" s="34">
        <v>46273</v>
      </c>
      <c r="D3473" t="s">
        <v>35</v>
      </c>
      <c r="E3473" t="s">
        <v>36</v>
      </c>
      <c r="F3473" t="s">
        <v>37</v>
      </c>
      <c r="G3473">
        <v>13771</v>
      </c>
      <c r="H3473" t="s">
        <v>10489</v>
      </c>
      <c r="I3473" t="s">
        <v>10490</v>
      </c>
      <c r="J3473" t="s">
        <v>161</v>
      </c>
      <c r="O3473" t="s">
        <v>10491</v>
      </c>
      <c r="P3473">
        <v>53</v>
      </c>
      <c r="Q3473">
        <v>53.67</v>
      </c>
      <c r="R3473">
        <v>52.5</v>
      </c>
      <c r="S3473">
        <v>53.26</v>
      </c>
      <c r="T3473">
        <v>53.37</v>
      </c>
      <c r="U3473">
        <v>53.52</v>
      </c>
      <c r="W3473">
        <v>53.51</v>
      </c>
      <c r="Z3473">
        <v>14201</v>
      </c>
      <c r="AA3473">
        <v>753891.32</v>
      </c>
      <c r="AB3473">
        <v>271</v>
      </c>
      <c r="AC3473" t="s">
        <v>42</v>
      </c>
      <c r="AD3473">
        <v>1</v>
      </c>
    </row>
    <row r="3474" spans="1:30">
      <c r="A3474" t="str">
        <f>CONCATENATE(I3474,J3474)</f>
        <v>DENTALKARTSM</v>
      </c>
      <c r="B3474" s="34">
        <v>46273</v>
      </c>
      <c r="C3474" s="34">
        <v>46273</v>
      </c>
      <c r="D3474" t="s">
        <v>35</v>
      </c>
      <c r="E3474" t="s">
        <v>36</v>
      </c>
      <c r="F3474" t="s">
        <v>37</v>
      </c>
      <c r="G3474">
        <v>16454</v>
      </c>
      <c r="H3474" t="s">
        <v>10492</v>
      </c>
      <c r="I3474" t="s">
        <v>10493</v>
      </c>
      <c r="J3474" t="s">
        <v>267</v>
      </c>
      <c r="O3474" t="s">
        <v>10494</v>
      </c>
      <c r="P3474">
        <v>410</v>
      </c>
      <c r="Q3474">
        <v>413.95</v>
      </c>
      <c r="R3474">
        <v>400.5</v>
      </c>
      <c r="S3474">
        <v>404.4</v>
      </c>
      <c r="T3474">
        <v>410</v>
      </c>
      <c r="U3474">
        <v>417.2</v>
      </c>
      <c r="W3474">
        <v>404.4</v>
      </c>
      <c r="Z3474">
        <v>7500</v>
      </c>
      <c r="AA3474">
        <v>3045462.5</v>
      </c>
      <c r="AB3474">
        <v>24</v>
      </c>
      <c r="AC3474" t="s">
        <v>42</v>
      </c>
      <c r="AD3474">
        <v>250</v>
      </c>
    </row>
    <row r="3475" spans="1:30">
      <c r="A3475" t="str">
        <f>CONCATENATE(I3475,J3475)</f>
        <v>VASASM</v>
      </c>
      <c r="B3475" s="34">
        <v>46273</v>
      </c>
      <c r="C3475" s="34">
        <v>46273</v>
      </c>
      <c r="D3475" t="s">
        <v>35</v>
      </c>
      <c r="E3475" t="s">
        <v>36</v>
      </c>
      <c r="F3475" t="s">
        <v>37</v>
      </c>
      <c r="G3475">
        <v>1274</v>
      </c>
      <c r="H3475" t="s">
        <v>10495</v>
      </c>
      <c r="I3475" t="s">
        <v>10496</v>
      </c>
      <c r="J3475" t="s">
        <v>267</v>
      </c>
      <c r="O3475" t="s">
        <v>10497</v>
      </c>
      <c r="P3475">
        <v>3.7</v>
      </c>
      <c r="Q3475">
        <v>3.7</v>
      </c>
      <c r="R3475">
        <v>3.7</v>
      </c>
      <c r="S3475">
        <v>3.7</v>
      </c>
      <c r="T3475">
        <v>3.7</v>
      </c>
      <c r="U3475">
        <v>3.85</v>
      </c>
      <c r="W3475">
        <v>3.7</v>
      </c>
      <c r="Z3475">
        <v>4000</v>
      </c>
      <c r="AA3475">
        <v>14800</v>
      </c>
      <c r="AB3475">
        <v>1</v>
      </c>
      <c r="AC3475" t="s">
        <v>42</v>
      </c>
      <c r="AD3475">
        <v>4000</v>
      </c>
    </row>
    <row r="3476" spans="1:30">
      <c r="A3476" t="str">
        <f>CONCATENATE(I3476,J3476)</f>
        <v>VASCONEQEQ</v>
      </c>
      <c r="B3476" s="34">
        <v>46273</v>
      </c>
      <c r="C3476" s="34">
        <v>46273</v>
      </c>
      <c r="D3476" t="s">
        <v>35</v>
      </c>
      <c r="E3476" t="s">
        <v>36</v>
      </c>
      <c r="F3476" t="s">
        <v>37</v>
      </c>
      <c r="G3476">
        <v>18110</v>
      </c>
      <c r="H3476" t="s">
        <v>10498</v>
      </c>
      <c r="I3476" t="s">
        <v>10499</v>
      </c>
      <c r="J3476" t="s">
        <v>161</v>
      </c>
      <c r="O3476" t="s">
        <v>10500</v>
      </c>
      <c r="P3476">
        <v>29.94</v>
      </c>
      <c r="Q3476">
        <v>30.15</v>
      </c>
      <c r="R3476">
        <v>29.76</v>
      </c>
      <c r="S3476">
        <v>29.87</v>
      </c>
      <c r="T3476">
        <v>29.99</v>
      </c>
      <c r="U3476">
        <v>30.09</v>
      </c>
      <c r="W3476">
        <v>29.87</v>
      </c>
      <c r="Z3476">
        <v>224163</v>
      </c>
      <c r="AA3476">
        <v>6698951.0800000001</v>
      </c>
      <c r="AB3476">
        <v>836</v>
      </c>
      <c r="AC3476" t="s">
        <v>42</v>
      </c>
      <c r="AD3476">
        <v>1</v>
      </c>
    </row>
    <row r="3477" spans="1:30">
      <c r="A3477" t="str">
        <f>CONCATENATE(I3477,J3477)</f>
        <v>VASWANIEQ</v>
      </c>
      <c r="B3477" s="34">
        <v>46273</v>
      </c>
      <c r="C3477" s="34">
        <v>46273</v>
      </c>
      <c r="D3477" t="s">
        <v>35</v>
      </c>
      <c r="E3477" t="s">
        <v>36</v>
      </c>
      <c r="F3477" t="s">
        <v>37</v>
      </c>
      <c r="G3477">
        <v>25340</v>
      </c>
      <c r="H3477" t="s">
        <v>10501</v>
      </c>
      <c r="I3477" t="s">
        <v>10502</v>
      </c>
      <c r="J3477" t="s">
        <v>161</v>
      </c>
      <c r="O3477" t="s">
        <v>10503</v>
      </c>
      <c r="P3477">
        <v>44.79</v>
      </c>
      <c r="Q3477">
        <v>47</v>
      </c>
      <c r="R3477">
        <v>44.79</v>
      </c>
      <c r="S3477">
        <v>46.5</v>
      </c>
      <c r="T3477">
        <v>46.55</v>
      </c>
      <c r="U3477">
        <v>45.85</v>
      </c>
      <c r="W3477">
        <v>46.5</v>
      </c>
      <c r="Z3477">
        <v>8518</v>
      </c>
      <c r="AA3477">
        <v>394331.11</v>
      </c>
      <c r="AB3477">
        <v>88</v>
      </c>
      <c r="AC3477" t="s">
        <v>42</v>
      </c>
      <c r="AD3477">
        <v>1</v>
      </c>
    </row>
    <row r="3478" spans="1:30">
      <c r="A3478" t="str">
        <f>CONCATENATE(I3478,J3478)</f>
        <v>VCLBE</v>
      </c>
      <c r="B3478" s="34">
        <v>46273</v>
      </c>
      <c r="C3478" s="34">
        <v>46273</v>
      </c>
      <c r="D3478" t="s">
        <v>35</v>
      </c>
      <c r="E3478" t="s">
        <v>36</v>
      </c>
      <c r="F3478" t="s">
        <v>37</v>
      </c>
      <c r="G3478">
        <v>9027</v>
      </c>
      <c r="H3478" t="s">
        <v>10504</v>
      </c>
      <c r="I3478" t="s">
        <v>10505</v>
      </c>
      <c r="J3478" t="s">
        <v>183</v>
      </c>
      <c r="O3478" t="s">
        <v>10506</v>
      </c>
      <c r="P3478">
        <v>1.44</v>
      </c>
      <c r="Q3478">
        <v>1.58</v>
      </c>
      <c r="R3478">
        <v>1.44</v>
      </c>
      <c r="S3478">
        <v>1.58</v>
      </c>
      <c r="T3478">
        <v>1.58</v>
      </c>
      <c r="U3478">
        <v>1.51</v>
      </c>
      <c r="W3478">
        <v>1.58</v>
      </c>
      <c r="Z3478">
        <v>1087249</v>
      </c>
      <c r="AA3478">
        <v>1631586.01</v>
      </c>
      <c r="AB3478">
        <v>315</v>
      </c>
      <c r="AC3478" t="s">
        <v>42</v>
      </c>
      <c r="AD3478">
        <v>1</v>
      </c>
    </row>
    <row r="3479" spans="1:30">
      <c r="A3479" t="str">
        <f>CONCATENATE(I3479,J3479)</f>
        <v>115VCCL31AN0</v>
      </c>
      <c r="B3479" s="34">
        <v>46273</v>
      </c>
      <c r="C3479" s="34">
        <v>46273</v>
      </c>
      <c r="D3479" t="s">
        <v>35</v>
      </c>
      <c r="E3479" t="s">
        <v>36</v>
      </c>
      <c r="F3479" t="s">
        <v>37</v>
      </c>
      <c r="G3479">
        <v>763380</v>
      </c>
      <c r="H3479" t="s">
        <v>10507</v>
      </c>
      <c r="I3479" t="s">
        <v>10508</v>
      </c>
      <c r="J3479" t="s">
        <v>514</v>
      </c>
      <c r="O3479" t="s">
        <v>10509</v>
      </c>
      <c r="P3479">
        <v>9999.14</v>
      </c>
      <c r="Q3479">
        <v>9999.14</v>
      </c>
      <c r="R3479">
        <v>9999.14</v>
      </c>
      <c r="S3479">
        <v>9999.14</v>
      </c>
      <c r="T3479">
        <v>9999.14</v>
      </c>
      <c r="U3479">
        <v>9900</v>
      </c>
      <c r="W3479">
        <v>9999.14</v>
      </c>
      <c r="Z3479">
        <v>2</v>
      </c>
      <c r="AA3479">
        <v>19998.28</v>
      </c>
      <c r="AB3479">
        <v>2</v>
      </c>
      <c r="AC3479" t="s">
        <v>42</v>
      </c>
      <c r="AD3479">
        <v>1</v>
      </c>
    </row>
    <row r="3480" spans="1:30">
      <c r="A3480" t="str">
        <f>CONCATENATE(I3480,J3480)</f>
        <v>VDEALSM</v>
      </c>
      <c r="B3480" s="34">
        <v>46273</v>
      </c>
      <c r="C3480" s="34">
        <v>46273</v>
      </c>
      <c r="D3480" t="s">
        <v>35</v>
      </c>
      <c r="E3480" t="s">
        <v>36</v>
      </c>
      <c r="F3480" t="s">
        <v>37</v>
      </c>
      <c r="G3480">
        <v>25054</v>
      </c>
      <c r="H3480" t="s">
        <v>10510</v>
      </c>
      <c r="I3480" t="s">
        <v>10511</v>
      </c>
      <c r="J3480" t="s">
        <v>267</v>
      </c>
      <c r="O3480" t="s">
        <v>10512</v>
      </c>
      <c r="P3480">
        <v>150</v>
      </c>
      <c r="Q3480">
        <v>150</v>
      </c>
      <c r="R3480">
        <v>145</v>
      </c>
      <c r="S3480">
        <v>146.15</v>
      </c>
      <c r="T3480">
        <v>149.94999999999999</v>
      </c>
      <c r="U3480">
        <v>149</v>
      </c>
      <c r="W3480">
        <v>146.15</v>
      </c>
      <c r="Z3480">
        <v>12000</v>
      </c>
      <c r="AA3480">
        <v>1769910</v>
      </c>
      <c r="AB3480">
        <v>18</v>
      </c>
      <c r="AC3480" t="s">
        <v>42</v>
      </c>
      <c r="AD3480">
        <v>600</v>
      </c>
    </row>
    <row r="3481" spans="1:30">
      <c r="A3481" t="str">
        <f>CONCATENATE(I3481,J3481)</f>
        <v>MANYAVAREQ</v>
      </c>
      <c r="B3481" s="34">
        <v>46273</v>
      </c>
      <c r="C3481" s="34">
        <v>46273</v>
      </c>
      <c r="D3481" t="s">
        <v>35</v>
      </c>
      <c r="E3481" t="s">
        <v>36</v>
      </c>
      <c r="F3481" t="s">
        <v>37</v>
      </c>
      <c r="G3481">
        <v>8167</v>
      </c>
      <c r="H3481" t="s">
        <v>10513</v>
      </c>
      <c r="I3481" t="s">
        <v>10514</v>
      </c>
      <c r="J3481" t="s">
        <v>161</v>
      </c>
      <c r="O3481" t="s">
        <v>10515</v>
      </c>
      <c r="P3481">
        <v>588.70000000000005</v>
      </c>
      <c r="Q3481">
        <v>588.70000000000005</v>
      </c>
      <c r="R3481">
        <v>576.20000000000005</v>
      </c>
      <c r="S3481">
        <v>579.54999999999995</v>
      </c>
      <c r="T3481">
        <v>578.5</v>
      </c>
      <c r="U3481">
        <v>586.25</v>
      </c>
      <c r="W3481">
        <v>579.54</v>
      </c>
      <c r="Z3481">
        <v>167065</v>
      </c>
      <c r="AA3481">
        <v>97100378.650000006</v>
      </c>
      <c r="AB3481">
        <v>9488</v>
      </c>
      <c r="AC3481" t="s">
        <v>42</v>
      </c>
      <c r="AD3481">
        <v>1</v>
      </c>
    </row>
    <row r="3482" spans="1:30">
      <c r="A3482" t="str">
        <f>CONCATENATE(I3482,J3482)</f>
        <v>VAMLEQ</v>
      </c>
      <c r="B3482" s="34">
        <v>46273</v>
      </c>
      <c r="C3482" s="34">
        <v>46273</v>
      </c>
      <c r="D3482" t="s">
        <v>35</v>
      </c>
      <c r="E3482" t="s">
        <v>36</v>
      </c>
      <c r="F3482" t="s">
        <v>37</v>
      </c>
      <c r="G3482">
        <v>750174</v>
      </c>
      <c r="H3482" t="s">
        <v>10516</v>
      </c>
      <c r="I3482" t="s">
        <v>10517</v>
      </c>
      <c r="J3482" t="s">
        <v>161</v>
      </c>
      <c r="O3482" t="s">
        <v>10518</v>
      </c>
      <c r="P3482">
        <v>440.15</v>
      </c>
      <c r="Q3482">
        <v>443.9</v>
      </c>
      <c r="R3482">
        <v>435.5</v>
      </c>
      <c r="S3482">
        <v>436.6</v>
      </c>
      <c r="T3482">
        <v>435.95</v>
      </c>
      <c r="U3482">
        <v>438.9</v>
      </c>
      <c r="W3482">
        <v>436.6</v>
      </c>
      <c r="Z3482">
        <v>4740328</v>
      </c>
      <c r="AA3482">
        <v>2083746870.6500001</v>
      </c>
      <c r="AB3482">
        <v>68852</v>
      </c>
      <c r="AC3482" t="s">
        <v>42</v>
      </c>
      <c r="AD3482">
        <v>1</v>
      </c>
    </row>
    <row r="3483" spans="1:30">
      <c r="A3483" t="str">
        <f>CONCATENATE(I3483,J3483)</f>
        <v>VISLEQ</v>
      </c>
      <c r="B3483" s="34">
        <v>46273</v>
      </c>
      <c r="C3483" s="34">
        <v>46273</v>
      </c>
      <c r="D3483" t="s">
        <v>35</v>
      </c>
      <c r="E3483" t="s">
        <v>36</v>
      </c>
      <c r="F3483" t="s">
        <v>37</v>
      </c>
      <c r="G3483">
        <v>750290</v>
      </c>
      <c r="H3483" t="s">
        <v>10519</v>
      </c>
      <c r="I3483" t="s">
        <v>10520</v>
      </c>
      <c r="J3483" t="s">
        <v>161</v>
      </c>
      <c r="O3483" t="s">
        <v>10521</v>
      </c>
      <c r="P3483">
        <v>34.799999999999997</v>
      </c>
      <c r="Q3483">
        <v>35.409999999999997</v>
      </c>
      <c r="R3483">
        <v>33.799999999999997</v>
      </c>
      <c r="S3483">
        <v>33.97</v>
      </c>
      <c r="T3483">
        <v>33.909999999999997</v>
      </c>
      <c r="U3483">
        <v>34.64</v>
      </c>
      <c r="W3483">
        <v>33.97</v>
      </c>
      <c r="Z3483">
        <v>18095772</v>
      </c>
      <c r="AA3483">
        <v>621158951.27999997</v>
      </c>
      <c r="AB3483">
        <v>36861</v>
      </c>
      <c r="AC3483" t="s">
        <v>42</v>
      </c>
      <c r="AD3483">
        <v>1</v>
      </c>
    </row>
    <row r="3484" spans="1:30">
      <c r="A3484" t="str">
        <f>CONCATENATE(I3484,J3484)</f>
        <v>VEDLEQ</v>
      </c>
      <c r="B3484" s="34">
        <v>46273</v>
      </c>
      <c r="C3484" s="34">
        <v>46273</v>
      </c>
      <c r="D3484" t="s">
        <v>35</v>
      </c>
      <c r="E3484" t="s">
        <v>36</v>
      </c>
      <c r="F3484" t="s">
        <v>37</v>
      </c>
      <c r="G3484">
        <v>3063</v>
      </c>
      <c r="H3484" t="s">
        <v>10522</v>
      </c>
      <c r="I3484" t="s">
        <v>10523</v>
      </c>
      <c r="J3484" t="s">
        <v>161</v>
      </c>
      <c r="O3484" t="s">
        <v>10524</v>
      </c>
      <c r="P3484">
        <v>269.3</v>
      </c>
      <c r="Q3484">
        <v>272.8</v>
      </c>
      <c r="R3484">
        <v>269.14999999999998</v>
      </c>
      <c r="S3484">
        <v>272</v>
      </c>
      <c r="T3484">
        <v>272</v>
      </c>
      <c r="U3484">
        <v>268</v>
      </c>
      <c r="W3484">
        <v>271.99</v>
      </c>
      <c r="Z3484">
        <v>5812809</v>
      </c>
      <c r="AA3484">
        <v>1575822417.8</v>
      </c>
      <c r="AB3484">
        <v>44196</v>
      </c>
      <c r="AC3484" t="s">
        <v>42</v>
      </c>
      <c r="AD3484">
        <v>1</v>
      </c>
    </row>
    <row r="3485" spans="1:30">
      <c r="A3485" t="str">
        <f>CONCATENATE(I3485,J3485)</f>
        <v>VOGLEQ</v>
      </c>
      <c r="B3485" s="34">
        <v>46273</v>
      </c>
      <c r="C3485" s="34">
        <v>46273</v>
      </c>
      <c r="D3485" t="s">
        <v>35</v>
      </c>
      <c r="E3485" t="s">
        <v>36</v>
      </c>
      <c r="F3485" t="s">
        <v>37</v>
      </c>
      <c r="G3485">
        <v>750368</v>
      </c>
      <c r="H3485" t="s">
        <v>10525</v>
      </c>
      <c r="I3485" t="s">
        <v>10526</v>
      </c>
      <c r="J3485" t="s">
        <v>161</v>
      </c>
      <c r="O3485" t="s">
        <v>10527</v>
      </c>
      <c r="P3485">
        <v>37.1</v>
      </c>
      <c r="Q3485">
        <v>37.29</v>
      </c>
      <c r="R3485">
        <v>36.5</v>
      </c>
      <c r="S3485">
        <v>36.65</v>
      </c>
      <c r="T3485">
        <v>36.619999999999997</v>
      </c>
      <c r="U3485">
        <v>36.94</v>
      </c>
      <c r="W3485">
        <v>36.65</v>
      </c>
      <c r="Z3485">
        <v>20555985</v>
      </c>
      <c r="AA3485">
        <v>757499873.27999997</v>
      </c>
      <c r="AB3485">
        <v>38819</v>
      </c>
      <c r="AC3485" t="s">
        <v>42</v>
      </c>
      <c r="AD3485">
        <v>1</v>
      </c>
    </row>
    <row r="3486" spans="1:30">
      <c r="A3486" t="str">
        <f>CONCATENATE(I3486,J3486)</f>
        <v>VEDPOWEREQ</v>
      </c>
      <c r="B3486" s="34">
        <v>46273</v>
      </c>
      <c r="C3486" s="34">
        <v>46273</v>
      </c>
      <c r="D3486" t="s">
        <v>35</v>
      </c>
      <c r="E3486" t="s">
        <v>36</v>
      </c>
      <c r="F3486" t="s">
        <v>37</v>
      </c>
      <c r="G3486">
        <v>750518</v>
      </c>
      <c r="H3486" t="s">
        <v>10528</v>
      </c>
      <c r="I3486" t="s">
        <v>10529</v>
      </c>
      <c r="J3486" t="s">
        <v>161</v>
      </c>
      <c r="O3486" t="s">
        <v>10530</v>
      </c>
      <c r="P3486">
        <v>34.299999999999997</v>
      </c>
      <c r="Q3486">
        <v>34.82</v>
      </c>
      <c r="R3486">
        <v>34.15</v>
      </c>
      <c r="S3486">
        <v>34.28</v>
      </c>
      <c r="T3486">
        <v>34.29</v>
      </c>
      <c r="U3486">
        <v>34.119999999999997</v>
      </c>
      <c r="W3486">
        <v>34.29</v>
      </c>
      <c r="Z3486">
        <v>8548535</v>
      </c>
      <c r="AA3486">
        <v>294283571.18000001</v>
      </c>
      <c r="AB3486">
        <v>27229</v>
      </c>
      <c r="AC3486" t="s">
        <v>42</v>
      </c>
      <c r="AD3486">
        <v>1</v>
      </c>
    </row>
    <row r="3487" spans="1:30">
      <c r="A3487" t="str">
        <f>CONCATENATE(I3487,J3487)</f>
        <v>VEDAVAAGEQ</v>
      </c>
      <c r="B3487" s="34">
        <v>46273</v>
      </c>
      <c r="C3487" s="34">
        <v>46273</v>
      </c>
      <c r="D3487" t="s">
        <v>35</v>
      </c>
      <c r="E3487" t="s">
        <v>36</v>
      </c>
      <c r="F3487" t="s">
        <v>37</v>
      </c>
      <c r="G3487">
        <v>764980</v>
      </c>
      <c r="H3487" t="s">
        <v>10531</v>
      </c>
      <c r="I3487" t="s">
        <v>10532</v>
      </c>
      <c r="J3487" t="s">
        <v>161</v>
      </c>
      <c r="O3487" t="s">
        <v>10533</v>
      </c>
      <c r="P3487">
        <v>18.16</v>
      </c>
      <c r="Q3487">
        <v>19.399999999999999</v>
      </c>
      <c r="R3487">
        <v>17.25</v>
      </c>
      <c r="S3487">
        <v>18.829999999999998</v>
      </c>
      <c r="T3487">
        <v>18.89</v>
      </c>
      <c r="U3487">
        <v>18.149999999999999</v>
      </c>
      <c r="W3487">
        <v>18.78</v>
      </c>
      <c r="Z3487">
        <v>59851</v>
      </c>
      <c r="AA3487">
        <v>1127647.6200000001</v>
      </c>
      <c r="AB3487">
        <v>332</v>
      </c>
      <c r="AC3487" t="s">
        <v>42</v>
      </c>
      <c r="AD3487">
        <v>1</v>
      </c>
    </row>
    <row r="3488" spans="1:30">
      <c r="A3488" t="str">
        <f>CONCATENATE(I3488,J3488)</f>
        <v>VEEDOLEQ</v>
      </c>
      <c r="B3488" s="34">
        <v>46273</v>
      </c>
      <c r="C3488" s="34">
        <v>46273</v>
      </c>
      <c r="D3488" t="s">
        <v>35</v>
      </c>
      <c r="E3488" t="s">
        <v>36</v>
      </c>
      <c r="F3488" t="s">
        <v>37</v>
      </c>
      <c r="G3488">
        <v>14019</v>
      </c>
      <c r="H3488" t="s">
        <v>10534</v>
      </c>
      <c r="I3488" t="s">
        <v>10535</v>
      </c>
      <c r="J3488" t="s">
        <v>161</v>
      </c>
      <c r="O3488" t="s">
        <v>10536</v>
      </c>
      <c r="P3488">
        <v>1450</v>
      </c>
      <c r="Q3488">
        <v>1462.8</v>
      </c>
      <c r="R3488">
        <v>1450</v>
      </c>
      <c r="S3488">
        <v>1454</v>
      </c>
      <c r="T3488">
        <v>1452</v>
      </c>
      <c r="U3488">
        <v>1456.3</v>
      </c>
      <c r="W3488">
        <v>1454.03</v>
      </c>
      <c r="Z3488">
        <v>4738</v>
      </c>
      <c r="AA3488">
        <v>6893464.7000000002</v>
      </c>
      <c r="AB3488">
        <v>936</v>
      </c>
      <c r="AC3488" t="s">
        <v>42</v>
      </c>
      <c r="AD3488">
        <v>1</v>
      </c>
    </row>
    <row r="3489" spans="1:30">
      <c r="A3489" t="str">
        <f>CONCATENATE(I3489,J3489)</f>
        <v>VEEKAYEMSM</v>
      </c>
      <c r="B3489" s="34">
        <v>46273</v>
      </c>
      <c r="C3489" s="34">
        <v>46273</v>
      </c>
      <c r="D3489" t="s">
        <v>35</v>
      </c>
      <c r="E3489" t="s">
        <v>36</v>
      </c>
      <c r="F3489" t="s">
        <v>37</v>
      </c>
      <c r="G3489">
        <v>10710</v>
      </c>
      <c r="H3489" t="s">
        <v>10537</v>
      </c>
      <c r="I3489" t="s">
        <v>10538</v>
      </c>
      <c r="J3489" t="s">
        <v>267</v>
      </c>
      <c r="O3489" t="s">
        <v>10539</v>
      </c>
      <c r="P3489">
        <v>111.5</v>
      </c>
      <c r="Q3489">
        <v>111.5</v>
      </c>
      <c r="R3489">
        <v>106.15</v>
      </c>
      <c r="S3489">
        <v>106.15</v>
      </c>
      <c r="T3489">
        <v>106.15</v>
      </c>
      <c r="U3489">
        <v>111.5</v>
      </c>
      <c r="W3489">
        <v>106.15</v>
      </c>
      <c r="Z3489">
        <v>5000</v>
      </c>
      <c r="AA3489">
        <v>536575</v>
      </c>
      <c r="AB3489">
        <v>10</v>
      </c>
      <c r="AC3489" t="s">
        <v>42</v>
      </c>
      <c r="AD3489">
        <v>500</v>
      </c>
    </row>
    <row r="3490" spans="1:30">
      <c r="A3490" t="str">
        <f>CONCATENATE(I3490,J3490)</f>
        <v>VELJANBE</v>
      </c>
      <c r="B3490" s="34">
        <v>46273</v>
      </c>
      <c r="C3490" s="34">
        <v>46273</v>
      </c>
      <c r="D3490" t="s">
        <v>35</v>
      </c>
      <c r="E3490" t="s">
        <v>36</v>
      </c>
      <c r="F3490" t="s">
        <v>37</v>
      </c>
      <c r="G3490">
        <v>762969</v>
      </c>
      <c r="H3490" t="s">
        <v>10540</v>
      </c>
      <c r="I3490" t="s">
        <v>10541</v>
      </c>
      <c r="J3490" t="s">
        <v>183</v>
      </c>
      <c r="O3490" t="s">
        <v>10542</v>
      </c>
      <c r="P3490">
        <v>1935</v>
      </c>
      <c r="Q3490">
        <v>1935</v>
      </c>
      <c r="R3490">
        <v>1855.3</v>
      </c>
      <c r="S3490">
        <v>1890</v>
      </c>
      <c r="T3490">
        <v>1890</v>
      </c>
      <c r="U3490">
        <v>1902.3</v>
      </c>
      <c r="W3490">
        <v>1900</v>
      </c>
      <c r="Z3490">
        <v>371</v>
      </c>
      <c r="AA3490">
        <v>702565.7</v>
      </c>
      <c r="AB3490">
        <v>47</v>
      </c>
      <c r="AC3490" t="s">
        <v>42</v>
      </c>
      <c r="AD3490">
        <v>1</v>
      </c>
    </row>
    <row r="3491" spans="1:30">
      <c r="A3491" t="str">
        <f>CONCATENATE(I3491,J3491)</f>
        <v>VENKEYSEQ</v>
      </c>
      <c r="B3491" s="34">
        <v>46273</v>
      </c>
      <c r="C3491" s="34">
        <v>46273</v>
      </c>
      <c r="D3491" t="s">
        <v>35</v>
      </c>
      <c r="E3491" t="s">
        <v>36</v>
      </c>
      <c r="F3491" t="s">
        <v>37</v>
      </c>
      <c r="G3491">
        <v>3757</v>
      </c>
      <c r="H3491" t="s">
        <v>10543</v>
      </c>
      <c r="I3491" t="s">
        <v>10544</v>
      </c>
      <c r="J3491" t="s">
        <v>161</v>
      </c>
      <c r="O3491" t="s">
        <v>10545</v>
      </c>
      <c r="P3491">
        <v>1648.3</v>
      </c>
      <c r="Q3491">
        <v>1742</v>
      </c>
      <c r="R3491">
        <v>1644.5</v>
      </c>
      <c r="S3491">
        <v>1709</v>
      </c>
      <c r="T3491">
        <v>1707.9</v>
      </c>
      <c r="U3491">
        <v>1648.3</v>
      </c>
      <c r="W3491">
        <v>1708.98</v>
      </c>
      <c r="Z3491">
        <v>184656</v>
      </c>
      <c r="AA3491">
        <v>316649847.39999998</v>
      </c>
      <c r="AB3491">
        <v>14176</v>
      </c>
      <c r="AC3491" t="s">
        <v>42</v>
      </c>
      <c r="AD3491">
        <v>1</v>
      </c>
    </row>
    <row r="3492" spans="1:30">
      <c r="A3492" t="str">
        <f>CONCATENATE(I3492,J3492)</f>
        <v>VENTIVEEQ</v>
      </c>
      <c r="B3492" s="34">
        <v>46273</v>
      </c>
      <c r="C3492" s="34">
        <v>46273</v>
      </c>
      <c r="D3492" t="s">
        <v>35</v>
      </c>
      <c r="E3492" t="s">
        <v>36</v>
      </c>
      <c r="F3492" t="s">
        <v>37</v>
      </c>
      <c r="G3492">
        <v>28847</v>
      </c>
      <c r="H3492" t="s">
        <v>10546</v>
      </c>
      <c r="I3492" t="s">
        <v>10547</v>
      </c>
      <c r="J3492" t="s">
        <v>161</v>
      </c>
      <c r="O3492" t="s">
        <v>10548</v>
      </c>
      <c r="P3492">
        <v>585.15</v>
      </c>
      <c r="Q3492">
        <v>585.6</v>
      </c>
      <c r="R3492">
        <v>567.35</v>
      </c>
      <c r="S3492">
        <v>571.5</v>
      </c>
      <c r="T3492">
        <v>572.4</v>
      </c>
      <c r="U3492">
        <v>580.54999999999995</v>
      </c>
      <c r="W3492">
        <v>571.48</v>
      </c>
      <c r="Z3492">
        <v>29250</v>
      </c>
      <c r="AA3492">
        <v>16808793.699999999</v>
      </c>
      <c r="AB3492">
        <v>1429</v>
      </c>
      <c r="AC3492" t="s">
        <v>42</v>
      </c>
      <c r="AD3492">
        <v>1</v>
      </c>
    </row>
    <row r="3493" spans="1:30">
      <c r="A3493" t="str">
        <f>CONCATENATE(I3493,J3493)</f>
        <v>VENUSPIPESEQ</v>
      </c>
      <c r="B3493" s="34">
        <v>46273</v>
      </c>
      <c r="C3493" s="34">
        <v>46273</v>
      </c>
      <c r="D3493" t="s">
        <v>35</v>
      </c>
      <c r="E3493" t="s">
        <v>36</v>
      </c>
      <c r="F3493" t="s">
        <v>37</v>
      </c>
      <c r="G3493">
        <v>9592</v>
      </c>
      <c r="H3493" t="s">
        <v>10549</v>
      </c>
      <c r="I3493" t="s">
        <v>10550</v>
      </c>
      <c r="J3493" t="s">
        <v>161</v>
      </c>
      <c r="O3493" t="s">
        <v>10551</v>
      </c>
      <c r="P3493">
        <v>1825</v>
      </c>
      <c r="Q3493">
        <v>1987</v>
      </c>
      <c r="R3493">
        <v>1785</v>
      </c>
      <c r="S3493">
        <v>1949.9</v>
      </c>
      <c r="T3493">
        <v>1942</v>
      </c>
      <c r="U3493">
        <v>1805.4</v>
      </c>
      <c r="W3493">
        <v>1950</v>
      </c>
      <c r="Z3493">
        <v>1040708</v>
      </c>
      <c r="AA3493">
        <v>1993966935.8</v>
      </c>
      <c r="AB3493">
        <v>64928</v>
      </c>
      <c r="AC3493" t="s">
        <v>42</v>
      </c>
      <c r="AD3493">
        <v>1</v>
      </c>
    </row>
    <row r="3494" spans="1:30">
      <c r="A3494" t="str">
        <f>CONCATENATE(I3494,J3494)</f>
        <v>VENUSREMBE</v>
      </c>
      <c r="B3494" s="34">
        <v>46273</v>
      </c>
      <c r="C3494" s="34">
        <v>46273</v>
      </c>
      <c r="D3494" t="s">
        <v>35</v>
      </c>
      <c r="E3494" t="s">
        <v>36</v>
      </c>
      <c r="F3494" t="s">
        <v>37</v>
      </c>
      <c r="G3494">
        <v>13856</v>
      </c>
      <c r="H3494" t="s">
        <v>10552</v>
      </c>
      <c r="I3494" t="s">
        <v>10553</v>
      </c>
      <c r="J3494" t="s">
        <v>183</v>
      </c>
      <c r="O3494" t="s">
        <v>10554</v>
      </c>
      <c r="P3494">
        <v>1660</v>
      </c>
      <c r="Q3494">
        <v>1683.7</v>
      </c>
      <c r="R3494">
        <v>1606.2</v>
      </c>
      <c r="S3494">
        <v>1625.2</v>
      </c>
      <c r="T3494">
        <v>1620</v>
      </c>
      <c r="U3494">
        <v>1669.4</v>
      </c>
      <c r="W3494">
        <v>1625.06</v>
      </c>
      <c r="Z3494">
        <v>25267</v>
      </c>
      <c r="AA3494">
        <v>41115088.700000003</v>
      </c>
      <c r="AB3494">
        <v>1237</v>
      </c>
      <c r="AC3494" t="s">
        <v>42</v>
      </c>
      <c r="AD3494">
        <v>1</v>
      </c>
    </row>
    <row r="3495" spans="1:30">
      <c r="A3495" t="str">
        <f>CONCATENATE(I3495,J3495)</f>
        <v>VERANDAEQ</v>
      </c>
      <c r="B3495" s="34">
        <v>46273</v>
      </c>
      <c r="C3495" s="34">
        <v>46273</v>
      </c>
      <c r="D3495" t="s">
        <v>35</v>
      </c>
      <c r="E3495" t="s">
        <v>36</v>
      </c>
      <c r="F3495" t="s">
        <v>37</v>
      </c>
      <c r="G3495">
        <v>8890</v>
      </c>
      <c r="H3495" t="s">
        <v>10555</v>
      </c>
      <c r="I3495" t="s">
        <v>10556</v>
      </c>
      <c r="J3495" t="s">
        <v>161</v>
      </c>
      <c r="O3495" t="s">
        <v>10557</v>
      </c>
      <c r="P3495">
        <v>241.6</v>
      </c>
      <c r="Q3495">
        <v>243.14</v>
      </c>
      <c r="R3495">
        <v>229.66</v>
      </c>
      <c r="S3495">
        <v>232.73</v>
      </c>
      <c r="T3495">
        <v>231.5</v>
      </c>
      <c r="U3495">
        <v>241.81</v>
      </c>
      <c r="W3495">
        <v>232.76</v>
      </c>
      <c r="Z3495">
        <v>527402</v>
      </c>
      <c r="AA3495">
        <v>123333428.36</v>
      </c>
      <c r="AB3495">
        <v>5144</v>
      </c>
      <c r="AC3495" t="s">
        <v>42</v>
      </c>
      <c r="AD3495">
        <v>1</v>
      </c>
    </row>
    <row r="3496" spans="1:30">
      <c r="A3496" t="str">
        <f>CONCATENATE(I3496,J3496)</f>
        <v>VERTEXPLUSSM</v>
      </c>
      <c r="B3496" s="34">
        <v>46273</v>
      </c>
      <c r="C3496" s="34">
        <v>46273</v>
      </c>
      <c r="D3496" t="s">
        <v>35</v>
      </c>
      <c r="E3496" t="s">
        <v>36</v>
      </c>
      <c r="F3496" t="s">
        <v>37</v>
      </c>
      <c r="G3496">
        <v>14491</v>
      </c>
      <c r="H3496" t="s">
        <v>10558</v>
      </c>
      <c r="I3496" t="s">
        <v>10559</v>
      </c>
      <c r="J3496" t="s">
        <v>267</v>
      </c>
      <c r="O3496" t="s">
        <v>10560</v>
      </c>
      <c r="P3496">
        <v>59</v>
      </c>
      <c r="Q3496">
        <v>60.35</v>
      </c>
      <c r="R3496">
        <v>59</v>
      </c>
      <c r="S3496">
        <v>60.35</v>
      </c>
      <c r="T3496">
        <v>60.35</v>
      </c>
      <c r="U3496">
        <v>57.5</v>
      </c>
      <c r="W3496">
        <v>60.35</v>
      </c>
      <c r="Z3496">
        <v>5400</v>
      </c>
      <c r="AA3496">
        <v>319410</v>
      </c>
      <c r="AB3496">
        <v>7</v>
      </c>
      <c r="AC3496" t="s">
        <v>42</v>
      </c>
      <c r="AD3496">
        <v>600</v>
      </c>
    </row>
    <row r="3497" spans="1:30">
      <c r="A3497" t="str">
        <f>CONCATENATE(I3497,J3497)</f>
        <v>VERTISIV</v>
      </c>
      <c r="B3497" s="34">
        <v>46273</v>
      </c>
      <c r="C3497" s="34">
        <v>46273</v>
      </c>
      <c r="D3497" t="s">
        <v>35</v>
      </c>
      <c r="E3497" t="s">
        <v>36</v>
      </c>
      <c r="F3497" t="s">
        <v>37</v>
      </c>
      <c r="G3497">
        <v>10757</v>
      </c>
      <c r="H3497" t="s">
        <v>10561</v>
      </c>
      <c r="I3497" t="s">
        <v>10562</v>
      </c>
      <c r="J3497" t="s">
        <v>759</v>
      </c>
      <c r="O3497" t="s">
        <v>10563</v>
      </c>
      <c r="P3497">
        <v>117</v>
      </c>
      <c r="Q3497">
        <v>117</v>
      </c>
      <c r="R3497">
        <v>116.74</v>
      </c>
      <c r="S3497">
        <v>116.74</v>
      </c>
      <c r="T3497">
        <v>116.74</v>
      </c>
      <c r="U3497">
        <v>117</v>
      </c>
      <c r="W3497">
        <v>116.74</v>
      </c>
      <c r="Z3497">
        <v>825000</v>
      </c>
      <c r="AA3497">
        <v>96365250</v>
      </c>
      <c r="AB3497">
        <v>29</v>
      </c>
      <c r="AC3497" t="s">
        <v>42</v>
      </c>
      <c r="AD3497">
        <v>25000</v>
      </c>
    </row>
    <row r="3498" spans="1:30">
      <c r="A3498" t="str">
        <f>CONCATENATE(I3498,J3498)</f>
        <v>VERTOZEQ</v>
      </c>
      <c r="B3498" s="34">
        <v>46273</v>
      </c>
      <c r="C3498" s="34">
        <v>46273</v>
      </c>
      <c r="D3498" t="s">
        <v>35</v>
      </c>
      <c r="E3498" t="s">
        <v>36</v>
      </c>
      <c r="F3498" t="s">
        <v>37</v>
      </c>
      <c r="G3498">
        <v>18863</v>
      </c>
      <c r="H3498" t="s">
        <v>10564</v>
      </c>
      <c r="I3498" t="s">
        <v>10565</v>
      </c>
      <c r="J3498" t="s">
        <v>161</v>
      </c>
      <c r="O3498" t="s">
        <v>10566</v>
      </c>
      <c r="P3498">
        <v>38</v>
      </c>
      <c r="Q3498">
        <v>38.97</v>
      </c>
      <c r="R3498">
        <v>37.1</v>
      </c>
      <c r="S3498">
        <v>38.380000000000003</v>
      </c>
      <c r="T3498">
        <v>38.799999999999997</v>
      </c>
      <c r="U3498">
        <v>37.04</v>
      </c>
      <c r="W3498">
        <v>38.380000000000003</v>
      </c>
      <c r="Z3498">
        <v>43682</v>
      </c>
      <c r="AA3498">
        <v>1653955.19</v>
      </c>
      <c r="AB3498">
        <v>469</v>
      </c>
      <c r="AC3498" t="s">
        <v>42</v>
      </c>
      <c r="AD3498">
        <v>1</v>
      </c>
    </row>
    <row r="3499" spans="1:30">
      <c r="A3499" t="str">
        <f>CONCATENATE(I3499,J3499)</f>
        <v>VESUVIUSEQ</v>
      </c>
      <c r="B3499" s="34">
        <v>46273</v>
      </c>
      <c r="C3499" s="34">
        <v>46273</v>
      </c>
      <c r="D3499" t="s">
        <v>35</v>
      </c>
      <c r="E3499" t="s">
        <v>36</v>
      </c>
      <c r="F3499" t="s">
        <v>37</v>
      </c>
      <c r="G3499">
        <v>3676</v>
      </c>
      <c r="H3499" t="s">
        <v>10567</v>
      </c>
      <c r="I3499" t="s">
        <v>10568</v>
      </c>
      <c r="J3499" t="s">
        <v>161</v>
      </c>
      <c r="O3499" t="s">
        <v>10569</v>
      </c>
      <c r="P3499">
        <v>417.7</v>
      </c>
      <c r="Q3499">
        <v>422.4</v>
      </c>
      <c r="R3499">
        <v>416.1</v>
      </c>
      <c r="S3499">
        <v>421.85</v>
      </c>
      <c r="T3499">
        <v>422.25</v>
      </c>
      <c r="U3499">
        <v>419.55</v>
      </c>
      <c r="W3499">
        <v>421.86</v>
      </c>
      <c r="Z3499">
        <v>26333</v>
      </c>
      <c r="AA3499">
        <v>11084056.15</v>
      </c>
      <c r="AB3499">
        <v>1563</v>
      </c>
      <c r="AC3499" t="s">
        <v>42</v>
      </c>
      <c r="AD3499">
        <v>1</v>
      </c>
    </row>
    <row r="3500" spans="1:30">
      <c r="A3500" t="str">
        <f>CONCATENATE(I3500,J3500)</f>
        <v>VETOBE</v>
      </c>
      <c r="B3500" s="34">
        <v>46273</v>
      </c>
      <c r="C3500" s="34">
        <v>46273</v>
      </c>
      <c r="D3500" t="s">
        <v>35</v>
      </c>
      <c r="E3500" t="s">
        <v>36</v>
      </c>
      <c r="F3500" t="s">
        <v>37</v>
      </c>
      <c r="G3500">
        <v>8660</v>
      </c>
      <c r="H3500" t="s">
        <v>10570</v>
      </c>
      <c r="I3500" t="s">
        <v>10571</v>
      </c>
      <c r="J3500" t="s">
        <v>183</v>
      </c>
      <c r="O3500" t="s">
        <v>10572</v>
      </c>
      <c r="P3500">
        <v>123.5</v>
      </c>
      <c r="Q3500">
        <v>127</v>
      </c>
      <c r="R3500">
        <v>123.5</v>
      </c>
      <c r="S3500">
        <v>125.71</v>
      </c>
      <c r="T3500">
        <v>125.65</v>
      </c>
      <c r="U3500">
        <v>125.62</v>
      </c>
      <c r="W3500">
        <v>125.71</v>
      </c>
      <c r="Z3500">
        <v>24176</v>
      </c>
      <c r="AA3500">
        <v>3035180.62</v>
      </c>
      <c r="AB3500">
        <v>152</v>
      </c>
      <c r="AC3500" t="s">
        <v>42</v>
      </c>
      <c r="AD3500">
        <v>1</v>
      </c>
    </row>
    <row r="3501" spans="1:30">
      <c r="A3501" t="str">
        <f>CONCATENATE(I3501,J3501)</f>
        <v>VIAZSM</v>
      </c>
      <c r="B3501" s="34">
        <v>46273</v>
      </c>
      <c r="C3501" s="34">
        <v>46273</v>
      </c>
      <c r="D3501" t="s">
        <v>35</v>
      </c>
      <c r="E3501" t="s">
        <v>36</v>
      </c>
      <c r="F3501" t="s">
        <v>37</v>
      </c>
      <c r="G3501">
        <v>14316</v>
      </c>
      <c r="H3501" t="s">
        <v>10573</v>
      </c>
      <c r="I3501" t="s">
        <v>10574</v>
      </c>
      <c r="J3501" t="s">
        <v>267</v>
      </c>
      <c r="O3501" t="s">
        <v>10575</v>
      </c>
      <c r="P3501">
        <v>74.3</v>
      </c>
      <c r="Q3501">
        <v>74.3</v>
      </c>
      <c r="R3501">
        <v>74.3</v>
      </c>
      <c r="S3501">
        <v>74.3</v>
      </c>
      <c r="T3501">
        <v>74.3</v>
      </c>
      <c r="U3501">
        <v>70.849999999999994</v>
      </c>
      <c r="W3501">
        <v>74.3</v>
      </c>
      <c r="Z3501">
        <v>4000</v>
      </c>
      <c r="AA3501">
        <v>297200</v>
      </c>
      <c r="AB3501">
        <v>2</v>
      </c>
      <c r="AC3501" t="s">
        <v>42</v>
      </c>
      <c r="AD3501">
        <v>2000</v>
      </c>
    </row>
    <row r="3502" spans="1:30">
      <c r="A3502" t="str">
        <f>CONCATENATE(I3502,J3502)</f>
        <v>VSTLEQ</v>
      </c>
      <c r="B3502" s="34">
        <v>46273</v>
      </c>
      <c r="C3502" s="34">
        <v>46273</v>
      </c>
      <c r="D3502" t="s">
        <v>35</v>
      </c>
      <c r="E3502" t="s">
        <v>36</v>
      </c>
      <c r="F3502" t="s">
        <v>37</v>
      </c>
      <c r="G3502">
        <v>22730</v>
      </c>
      <c r="H3502" t="s">
        <v>10576</v>
      </c>
      <c r="I3502" t="s">
        <v>10577</v>
      </c>
      <c r="J3502" t="s">
        <v>161</v>
      </c>
      <c r="O3502" t="s">
        <v>10578</v>
      </c>
      <c r="P3502">
        <v>122.9</v>
      </c>
      <c r="Q3502">
        <v>126</v>
      </c>
      <c r="R3502">
        <v>120.99</v>
      </c>
      <c r="S3502">
        <v>124.44</v>
      </c>
      <c r="T3502">
        <v>123.5</v>
      </c>
      <c r="U3502">
        <v>121.75</v>
      </c>
      <c r="W3502">
        <v>124.38</v>
      </c>
      <c r="Z3502">
        <v>18277</v>
      </c>
      <c r="AA3502">
        <v>2262940.62</v>
      </c>
      <c r="AB3502">
        <v>677</v>
      </c>
      <c r="AC3502" t="s">
        <v>42</v>
      </c>
      <c r="AD3502">
        <v>1</v>
      </c>
    </row>
    <row r="3503" spans="1:30">
      <c r="A3503" t="str">
        <f>CONCATENATE(I3503,J3503)</f>
        <v>VGCLEQ</v>
      </c>
      <c r="B3503" s="34">
        <v>46273</v>
      </c>
      <c r="C3503" s="34">
        <v>46273</v>
      </c>
      <c r="D3503" t="s">
        <v>35</v>
      </c>
      <c r="E3503" t="s">
        <v>36</v>
      </c>
      <c r="F3503" t="s">
        <v>37</v>
      </c>
      <c r="G3503">
        <v>765252</v>
      </c>
      <c r="H3503" t="s">
        <v>10579</v>
      </c>
      <c r="I3503" t="s">
        <v>10580</v>
      </c>
      <c r="J3503" t="s">
        <v>161</v>
      </c>
      <c r="O3503" t="s">
        <v>10581</v>
      </c>
      <c r="P3503">
        <v>51</v>
      </c>
      <c r="Q3503">
        <v>52.99</v>
      </c>
      <c r="R3503">
        <v>49.25</v>
      </c>
      <c r="S3503">
        <v>50.66</v>
      </c>
      <c r="T3503">
        <v>50.58</v>
      </c>
      <c r="U3503">
        <v>50.98</v>
      </c>
      <c r="W3503">
        <v>50.57</v>
      </c>
      <c r="Z3503">
        <v>3078</v>
      </c>
      <c r="AA3503">
        <v>156492.01</v>
      </c>
      <c r="AB3503">
        <v>75</v>
      </c>
      <c r="AC3503" t="s">
        <v>42</v>
      </c>
      <c r="AD3503">
        <v>1</v>
      </c>
    </row>
    <row r="3504" spans="1:30">
      <c r="A3504" t="str">
        <f>CONCATENATE(I3504,J3504)</f>
        <v>VHLTDBE</v>
      </c>
      <c r="B3504" s="34">
        <v>46273</v>
      </c>
      <c r="C3504" s="34">
        <v>46273</v>
      </c>
      <c r="D3504" t="s">
        <v>35</v>
      </c>
      <c r="E3504" t="s">
        <v>36</v>
      </c>
      <c r="F3504" t="s">
        <v>37</v>
      </c>
      <c r="G3504">
        <v>23386</v>
      </c>
      <c r="H3504" t="s">
        <v>10582</v>
      </c>
      <c r="I3504" t="s">
        <v>10583</v>
      </c>
      <c r="J3504" t="s">
        <v>183</v>
      </c>
      <c r="O3504" t="s">
        <v>10584</v>
      </c>
      <c r="P3504">
        <v>121.85</v>
      </c>
      <c r="Q3504">
        <v>121.85</v>
      </c>
      <c r="R3504">
        <v>119.99</v>
      </c>
      <c r="S3504">
        <v>120.57</v>
      </c>
      <c r="T3504">
        <v>119.99</v>
      </c>
      <c r="U3504">
        <v>121.87</v>
      </c>
      <c r="W3504">
        <v>120.57</v>
      </c>
      <c r="Z3504">
        <v>35606</v>
      </c>
      <c r="AA3504">
        <v>4311463.41</v>
      </c>
      <c r="AB3504">
        <v>158</v>
      </c>
      <c r="AC3504" t="s">
        <v>42</v>
      </c>
      <c r="AD3504">
        <v>1</v>
      </c>
    </row>
    <row r="3505" spans="1:30">
      <c r="A3505" t="str">
        <f>CONCATENATE(I3505,J3505)</f>
        <v>VICTORYEVSM</v>
      </c>
      <c r="B3505" s="34">
        <v>46273</v>
      </c>
      <c r="C3505" s="34">
        <v>46273</v>
      </c>
      <c r="D3505" t="s">
        <v>35</v>
      </c>
      <c r="E3505" t="s">
        <v>36</v>
      </c>
      <c r="F3505" t="s">
        <v>37</v>
      </c>
      <c r="G3505">
        <v>760691</v>
      </c>
      <c r="H3505" t="s">
        <v>10585</v>
      </c>
      <c r="I3505" t="s">
        <v>10586</v>
      </c>
      <c r="J3505" t="s">
        <v>267</v>
      </c>
      <c r="O3505" t="s">
        <v>10587</v>
      </c>
      <c r="P3505">
        <v>15.65</v>
      </c>
      <c r="Q3505">
        <v>15.65</v>
      </c>
      <c r="R3505">
        <v>15.65</v>
      </c>
      <c r="S3505">
        <v>15.65</v>
      </c>
      <c r="T3505">
        <v>15.65</v>
      </c>
      <c r="U3505">
        <v>15.3</v>
      </c>
      <c r="W3505">
        <v>15.65</v>
      </c>
      <c r="Z3505">
        <v>9000</v>
      </c>
      <c r="AA3505">
        <v>140850</v>
      </c>
      <c r="AB3505">
        <v>3</v>
      </c>
      <c r="AC3505" t="s">
        <v>42</v>
      </c>
      <c r="AD3505">
        <v>3000</v>
      </c>
    </row>
    <row r="3506" spans="1:30">
      <c r="A3506" t="str">
        <f>CONCATENATE(I3506,J3506)</f>
        <v>VIDHIINGEQ</v>
      </c>
      <c r="B3506" s="34">
        <v>46273</v>
      </c>
      <c r="C3506" s="34">
        <v>46273</v>
      </c>
      <c r="D3506" t="s">
        <v>35</v>
      </c>
      <c r="E3506" t="s">
        <v>36</v>
      </c>
      <c r="F3506" t="s">
        <v>37</v>
      </c>
      <c r="G3506">
        <v>13536</v>
      </c>
      <c r="H3506" t="s">
        <v>10588</v>
      </c>
      <c r="I3506" t="s">
        <v>10589</v>
      </c>
      <c r="J3506" t="s">
        <v>161</v>
      </c>
      <c r="O3506" t="s">
        <v>10590</v>
      </c>
      <c r="P3506">
        <v>350.85</v>
      </c>
      <c r="Q3506">
        <v>360</v>
      </c>
      <c r="R3506">
        <v>335.1</v>
      </c>
      <c r="S3506">
        <v>356.45</v>
      </c>
      <c r="T3506">
        <v>360</v>
      </c>
      <c r="U3506">
        <v>349</v>
      </c>
      <c r="W3506">
        <v>356.44</v>
      </c>
      <c r="Z3506">
        <v>64248</v>
      </c>
      <c r="AA3506">
        <v>22574099.699999999</v>
      </c>
      <c r="AB3506">
        <v>2560</v>
      </c>
      <c r="AC3506" t="s">
        <v>42</v>
      </c>
      <c r="AD3506">
        <v>1</v>
      </c>
    </row>
    <row r="3507" spans="1:30">
      <c r="A3507" t="str">
        <f>CONCATENATE(I3507,J3507)</f>
        <v>VIDYAWIRESEQ</v>
      </c>
      <c r="B3507" s="34">
        <v>46273</v>
      </c>
      <c r="C3507" s="34">
        <v>46273</v>
      </c>
      <c r="D3507" t="s">
        <v>35</v>
      </c>
      <c r="E3507" t="s">
        <v>36</v>
      </c>
      <c r="F3507" t="s">
        <v>37</v>
      </c>
      <c r="G3507">
        <v>760224</v>
      </c>
      <c r="H3507" t="s">
        <v>10591</v>
      </c>
      <c r="I3507" t="s">
        <v>10592</v>
      </c>
      <c r="J3507" t="s">
        <v>161</v>
      </c>
      <c r="O3507" t="s">
        <v>10593</v>
      </c>
      <c r="P3507">
        <v>87.5</v>
      </c>
      <c r="Q3507">
        <v>90.89</v>
      </c>
      <c r="R3507">
        <v>86.66</v>
      </c>
      <c r="S3507">
        <v>89.09</v>
      </c>
      <c r="T3507">
        <v>88.8</v>
      </c>
      <c r="U3507">
        <v>88.15</v>
      </c>
      <c r="W3507">
        <v>89.09</v>
      </c>
      <c r="Z3507">
        <v>1044051</v>
      </c>
      <c r="AA3507">
        <v>93021913.989999995</v>
      </c>
      <c r="AB3507">
        <v>8744</v>
      </c>
      <c r="AC3507" t="s">
        <v>42</v>
      </c>
      <c r="AD3507">
        <v>1</v>
      </c>
    </row>
    <row r="3508" spans="1:30">
      <c r="A3508" t="str">
        <f>CONCATENATE(I3508,J3508)</f>
        <v>VIGORSM</v>
      </c>
      <c r="B3508" s="34">
        <v>46273</v>
      </c>
      <c r="C3508" s="34">
        <v>46273</v>
      </c>
      <c r="D3508" t="s">
        <v>35</v>
      </c>
      <c r="E3508" t="s">
        <v>36</v>
      </c>
      <c r="F3508" t="s">
        <v>37</v>
      </c>
      <c r="G3508">
        <v>758898</v>
      </c>
      <c r="H3508" t="s">
        <v>10594</v>
      </c>
      <c r="I3508" t="s">
        <v>10595</v>
      </c>
      <c r="J3508" t="s">
        <v>267</v>
      </c>
      <c r="O3508" t="s">
        <v>10596</v>
      </c>
      <c r="P3508">
        <v>113.85</v>
      </c>
      <c r="Q3508">
        <v>116.8</v>
      </c>
      <c r="R3508">
        <v>108</v>
      </c>
      <c r="S3508">
        <v>115.55</v>
      </c>
      <c r="T3508">
        <v>116.5</v>
      </c>
      <c r="U3508">
        <v>112.75</v>
      </c>
      <c r="W3508">
        <v>115.55</v>
      </c>
      <c r="Z3508">
        <v>59200</v>
      </c>
      <c r="AA3508">
        <v>6736960</v>
      </c>
      <c r="AB3508">
        <v>35</v>
      </c>
      <c r="AC3508" t="s">
        <v>42</v>
      </c>
      <c r="AD3508">
        <v>1600</v>
      </c>
    </row>
    <row r="3509" spans="1:30">
      <c r="A3509" t="str">
        <f>CONCATENATE(I3509,J3509)</f>
        <v>VIJSOLXEQ</v>
      </c>
      <c r="B3509" s="34">
        <v>46273</v>
      </c>
      <c r="C3509" s="34">
        <v>46273</v>
      </c>
      <c r="D3509" t="s">
        <v>35</v>
      </c>
      <c r="E3509" t="s">
        <v>36</v>
      </c>
      <c r="F3509" t="s">
        <v>37</v>
      </c>
      <c r="G3509">
        <v>764985</v>
      </c>
      <c r="H3509" t="s">
        <v>10597</v>
      </c>
      <c r="I3509" t="s">
        <v>10598</v>
      </c>
      <c r="J3509" t="s">
        <v>161</v>
      </c>
      <c r="O3509" t="s">
        <v>10599</v>
      </c>
      <c r="P3509">
        <v>685.15</v>
      </c>
      <c r="Q3509">
        <v>716</v>
      </c>
      <c r="R3509">
        <v>656.8</v>
      </c>
      <c r="S3509">
        <v>663.9</v>
      </c>
      <c r="T3509">
        <v>692</v>
      </c>
      <c r="U3509">
        <v>682.1</v>
      </c>
      <c r="W3509">
        <v>661.2</v>
      </c>
      <c r="Z3509">
        <v>1872</v>
      </c>
      <c r="AA3509">
        <v>1254869.8</v>
      </c>
      <c r="AB3509">
        <v>80</v>
      </c>
      <c r="AC3509" t="s">
        <v>42</v>
      </c>
      <c r="AD3509">
        <v>1</v>
      </c>
    </row>
    <row r="3510" spans="1:30">
      <c r="A3510" t="str">
        <f>CONCATENATE(I3510,J3510)</f>
        <v>VIJAYAEQ</v>
      </c>
      <c r="B3510" s="34">
        <v>46273</v>
      </c>
      <c r="C3510" s="34">
        <v>46273</v>
      </c>
      <c r="D3510" t="s">
        <v>35</v>
      </c>
      <c r="E3510" t="s">
        <v>36</v>
      </c>
      <c r="F3510" t="s">
        <v>37</v>
      </c>
      <c r="G3510">
        <v>5585</v>
      </c>
      <c r="H3510" t="s">
        <v>10600</v>
      </c>
      <c r="I3510" t="s">
        <v>10601</v>
      </c>
      <c r="J3510" t="s">
        <v>161</v>
      </c>
      <c r="O3510" t="s">
        <v>10602</v>
      </c>
      <c r="P3510">
        <v>1495</v>
      </c>
      <c r="Q3510">
        <v>1520</v>
      </c>
      <c r="R3510">
        <v>1486.1</v>
      </c>
      <c r="S3510">
        <v>1503</v>
      </c>
      <c r="T3510">
        <v>1504</v>
      </c>
      <c r="U3510">
        <v>1497.5</v>
      </c>
      <c r="W3510">
        <v>1503.01</v>
      </c>
      <c r="Z3510">
        <v>74840</v>
      </c>
      <c r="AA3510">
        <v>112682489.09999999</v>
      </c>
      <c r="AB3510">
        <v>10491</v>
      </c>
      <c r="AC3510" t="s">
        <v>42</v>
      </c>
      <c r="AD3510">
        <v>1</v>
      </c>
    </row>
    <row r="3511" spans="1:30">
      <c r="A3511" t="str">
        <f>CONCATENATE(I3511,J3511)</f>
        <v>VIJAYPDSM</v>
      </c>
      <c r="B3511" s="34">
        <v>46273</v>
      </c>
      <c r="C3511" s="34">
        <v>46273</v>
      </c>
      <c r="D3511" t="s">
        <v>35</v>
      </c>
      <c r="E3511" t="s">
        <v>36</v>
      </c>
      <c r="F3511" t="s">
        <v>37</v>
      </c>
      <c r="G3511">
        <v>760121</v>
      </c>
      <c r="H3511" t="s">
        <v>10603</v>
      </c>
      <c r="I3511" t="s">
        <v>10604</v>
      </c>
      <c r="J3511" t="s">
        <v>267</v>
      </c>
      <c r="O3511" t="s">
        <v>10605</v>
      </c>
      <c r="P3511">
        <v>66.75</v>
      </c>
      <c r="Q3511">
        <v>67</v>
      </c>
      <c r="R3511">
        <v>65</v>
      </c>
      <c r="S3511">
        <v>65</v>
      </c>
      <c r="T3511">
        <v>65</v>
      </c>
      <c r="U3511">
        <v>66.75</v>
      </c>
      <c r="W3511">
        <v>65</v>
      </c>
      <c r="Z3511">
        <v>8000</v>
      </c>
      <c r="AA3511">
        <v>527500</v>
      </c>
      <c r="AB3511">
        <v>4</v>
      </c>
      <c r="AC3511" t="s">
        <v>42</v>
      </c>
      <c r="AD3511">
        <v>2000</v>
      </c>
    </row>
    <row r="3512" spans="1:30">
      <c r="A3512" t="str">
        <f>CONCATENATE(I3512,J3512)</f>
        <v>VIJIFINBE</v>
      </c>
      <c r="B3512" s="34">
        <v>46273</v>
      </c>
      <c r="C3512" s="34">
        <v>46273</v>
      </c>
      <c r="D3512" t="s">
        <v>35</v>
      </c>
      <c r="E3512" t="s">
        <v>36</v>
      </c>
      <c r="F3512" t="s">
        <v>37</v>
      </c>
      <c r="G3512">
        <v>17695</v>
      </c>
      <c r="H3512" t="s">
        <v>10606</v>
      </c>
      <c r="I3512" t="s">
        <v>10607</v>
      </c>
      <c r="J3512" t="s">
        <v>183</v>
      </c>
      <c r="O3512" t="s">
        <v>10608</v>
      </c>
      <c r="P3512">
        <v>17.239999999999998</v>
      </c>
      <c r="Q3512">
        <v>17.239999999999998</v>
      </c>
      <c r="R3512">
        <v>16.579999999999998</v>
      </c>
      <c r="S3512">
        <v>16.579999999999998</v>
      </c>
      <c r="T3512">
        <v>16.579999999999998</v>
      </c>
      <c r="U3512">
        <v>16.91</v>
      </c>
      <c r="W3512">
        <v>16.690000000000001</v>
      </c>
      <c r="Z3512">
        <v>689119</v>
      </c>
      <c r="AA3512">
        <v>11430835.4</v>
      </c>
      <c r="AB3512">
        <v>691</v>
      </c>
      <c r="AC3512" t="s">
        <v>42</v>
      </c>
      <c r="AD3512">
        <v>1</v>
      </c>
    </row>
    <row r="3513" spans="1:30">
      <c r="A3513" t="str">
        <f>CONCATENATE(I3513,J3513)</f>
        <v>VIKASECOEQ</v>
      </c>
      <c r="B3513" s="34">
        <v>46273</v>
      </c>
      <c r="C3513" s="34">
        <v>46273</v>
      </c>
      <c r="D3513" t="s">
        <v>35</v>
      </c>
      <c r="E3513" t="s">
        <v>36</v>
      </c>
      <c r="F3513" t="s">
        <v>37</v>
      </c>
      <c r="G3513">
        <v>25756</v>
      </c>
      <c r="H3513" t="s">
        <v>10609</v>
      </c>
      <c r="I3513" t="s">
        <v>10610</v>
      </c>
      <c r="J3513" t="s">
        <v>161</v>
      </c>
      <c r="O3513" t="s">
        <v>10611</v>
      </c>
      <c r="P3513">
        <v>1.07</v>
      </c>
      <c r="Q3513">
        <v>1.08</v>
      </c>
      <c r="R3513">
        <v>1.05</v>
      </c>
      <c r="S3513">
        <v>1.05</v>
      </c>
      <c r="T3513">
        <v>1.05</v>
      </c>
      <c r="U3513">
        <v>1.07</v>
      </c>
      <c r="W3513">
        <v>1.05</v>
      </c>
      <c r="Z3513">
        <v>1994967</v>
      </c>
      <c r="AA3513">
        <v>2110945.1</v>
      </c>
      <c r="AB3513">
        <v>1224</v>
      </c>
      <c r="AC3513" t="s">
        <v>42</v>
      </c>
      <c r="AD3513">
        <v>1</v>
      </c>
    </row>
    <row r="3514" spans="1:30">
      <c r="A3514" t="str">
        <f>CONCATENATE(I3514,J3514)</f>
        <v>VIKASLIFEEQ</v>
      </c>
      <c r="B3514" s="34">
        <v>46273</v>
      </c>
      <c r="C3514" s="34">
        <v>46273</v>
      </c>
      <c r="D3514" t="s">
        <v>35</v>
      </c>
      <c r="E3514" t="s">
        <v>36</v>
      </c>
      <c r="F3514" t="s">
        <v>37</v>
      </c>
      <c r="G3514">
        <v>9931</v>
      </c>
      <c r="H3514" t="s">
        <v>10612</v>
      </c>
      <c r="I3514" t="s">
        <v>10613</v>
      </c>
      <c r="J3514" t="s">
        <v>161</v>
      </c>
      <c r="O3514" t="s">
        <v>10614</v>
      </c>
      <c r="P3514">
        <v>1.29</v>
      </c>
      <c r="Q3514">
        <v>1.3</v>
      </c>
      <c r="R3514">
        <v>1.28</v>
      </c>
      <c r="S3514">
        <v>1.28</v>
      </c>
      <c r="T3514">
        <v>1.29</v>
      </c>
      <c r="U3514">
        <v>1.29</v>
      </c>
      <c r="W3514">
        <v>1.28</v>
      </c>
      <c r="Z3514">
        <v>1456406</v>
      </c>
      <c r="AA3514">
        <v>1877105.71</v>
      </c>
      <c r="AB3514">
        <v>9106</v>
      </c>
      <c r="AC3514" t="s">
        <v>42</v>
      </c>
      <c r="AD3514">
        <v>1</v>
      </c>
    </row>
    <row r="3515" spans="1:30">
      <c r="A3515" t="str">
        <f>CONCATENATE(I3515,J3515)</f>
        <v>VIKRAMSOLREQ</v>
      </c>
      <c r="B3515" s="34">
        <v>46273</v>
      </c>
      <c r="C3515" s="34">
        <v>46273</v>
      </c>
      <c r="D3515" t="s">
        <v>35</v>
      </c>
      <c r="E3515" t="s">
        <v>36</v>
      </c>
      <c r="F3515" t="s">
        <v>37</v>
      </c>
      <c r="G3515">
        <v>759453</v>
      </c>
      <c r="H3515" t="s">
        <v>10615</v>
      </c>
      <c r="I3515" t="s">
        <v>10616</v>
      </c>
      <c r="J3515" t="s">
        <v>161</v>
      </c>
      <c r="O3515" t="s">
        <v>10617</v>
      </c>
      <c r="P3515">
        <v>166</v>
      </c>
      <c r="Q3515">
        <v>169.8</v>
      </c>
      <c r="R3515">
        <v>165.1</v>
      </c>
      <c r="S3515">
        <v>169.28</v>
      </c>
      <c r="T3515">
        <v>169.75</v>
      </c>
      <c r="U3515">
        <v>165.81</v>
      </c>
      <c r="W3515">
        <v>169.28</v>
      </c>
      <c r="Z3515">
        <v>1795539</v>
      </c>
      <c r="AA3515">
        <v>300610672.00999999</v>
      </c>
      <c r="AB3515">
        <v>13506</v>
      </c>
      <c r="AC3515" t="s">
        <v>42</v>
      </c>
      <c r="AD3515">
        <v>1</v>
      </c>
    </row>
    <row r="3516" spans="1:30">
      <c r="A3516" t="str">
        <f>CONCATENATE(I3516,J3516)</f>
        <v>VIKRANEQ</v>
      </c>
      <c r="B3516" s="34">
        <v>46273</v>
      </c>
      <c r="C3516" s="34">
        <v>46273</v>
      </c>
      <c r="D3516" t="s">
        <v>35</v>
      </c>
      <c r="E3516" t="s">
        <v>36</v>
      </c>
      <c r="F3516" t="s">
        <v>37</v>
      </c>
      <c r="G3516">
        <v>758973</v>
      </c>
      <c r="H3516" t="s">
        <v>10618</v>
      </c>
      <c r="I3516" t="s">
        <v>10619</v>
      </c>
      <c r="J3516" t="s">
        <v>161</v>
      </c>
      <c r="O3516" t="s">
        <v>10620</v>
      </c>
      <c r="P3516">
        <v>60.46</v>
      </c>
      <c r="Q3516">
        <v>60.46</v>
      </c>
      <c r="R3516">
        <v>59.02</v>
      </c>
      <c r="S3516">
        <v>59.14</v>
      </c>
      <c r="T3516">
        <v>59.18</v>
      </c>
      <c r="U3516">
        <v>60.6</v>
      </c>
      <c r="W3516">
        <v>59.14</v>
      </c>
      <c r="Z3516">
        <v>631175</v>
      </c>
      <c r="AA3516">
        <v>37498081.729999997</v>
      </c>
      <c r="AB3516">
        <v>3863</v>
      </c>
      <c r="AC3516" t="s">
        <v>42</v>
      </c>
      <c r="AD3516">
        <v>1</v>
      </c>
    </row>
    <row r="3517" spans="1:30">
      <c r="A3517" t="str">
        <f>CONCATENATE(I3517,J3517)</f>
        <v>VILASSM</v>
      </c>
      <c r="B3517" s="34">
        <v>46273</v>
      </c>
      <c r="C3517" s="34">
        <v>46273</v>
      </c>
      <c r="D3517" t="s">
        <v>35</v>
      </c>
      <c r="E3517" t="s">
        <v>36</v>
      </c>
      <c r="F3517" t="s">
        <v>37</v>
      </c>
      <c r="G3517">
        <v>23909</v>
      </c>
      <c r="H3517" t="s">
        <v>10621</v>
      </c>
      <c r="I3517" t="s">
        <v>10622</v>
      </c>
      <c r="J3517" t="s">
        <v>267</v>
      </c>
      <c r="O3517" t="s">
        <v>10623</v>
      </c>
      <c r="P3517">
        <v>356.6</v>
      </c>
      <c r="Q3517">
        <v>356.6</v>
      </c>
      <c r="R3517">
        <v>351</v>
      </c>
      <c r="S3517">
        <v>353.6</v>
      </c>
      <c r="T3517">
        <v>353</v>
      </c>
      <c r="U3517">
        <v>356.3</v>
      </c>
      <c r="W3517">
        <v>353.6</v>
      </c>
      <c r="Z3517">
        <v>19750</v>
      </c>
      <c r="AA3517">
        <v>6962125</v>
      </c>
      <c r="AB3517">
        <v>65</v>
      </c>
      <c r="AC3517" t="s">
        <v>42</v>
      </c>
      <c r="AD3517">
        <v>250</v>
      </c>
    </row>
    <row r="3518" spans="1:30">
      <c r="A3518" t="str">
        <f>CONCATENATE(I3518,J3518)</f>
        <v>VILINBIOSM</v>
      </c>
      <c r="B3518" s="34">
        <v>46273</v>
      </c>
      <c r="C3518" s="34">
        <v>46273</v>
      </c>
      <c r="D3518" t="s">
        <v>35</v>
      </c>
      <c r="E3518" t="s">
        <v>36</v>
      </c>
      <c r="F3518" t="s">
        <v>37</v>
      </c>
      <c r="G3518">
        <v>16954</v>
      </c>
      <c r="H3518" t="s">
        <v>10624</v>
      </c>
      <c r="I3518" t="s">
        <v>10625</v>
      </c>
      <c r="J3518" t="s">
        <v>267</v>
      </c>
      <c r="O3518" t="s">
        <v>10626</v>
      </c>
      <c r="P3518">
        <v>59.7</v>
      </c>
      <c r="Q3518">
        <v>59.75</v>
      </c>
      <c r="R3518">
        <v>59</v>
      </c>
      <c r="S3518">
        <v>59.75</v>
      </c>
      <c r="T3518">
        <v>59.75</v>
      </c>
      <c r="U3518">
        <v>56.95</v>
      </c>
      <c r="W3518">
        <v>59.75</v>
      </c>
      <c r="Z3518">
        <v>68000</v>
      </c>
      <c r="AA3518">
        <v>4058600</v>
      </c>
      <c r="AB3518">
        <v>15</v>
      </c>
      <c r="AC3518" t="s">
        <v>42</v>
      </c>
      <c r="AD3518">
        <v>4000</v>
      </c>
    </row>
    <row r="3519" spans="1:30">
      <c r="A3519" t="str">
        <f>CONCATENATE(I3519,J3519)</f>
        <v>VIMTALABSEQ</v>
      </c>
      <c r="B3519" s="34">
        <v>46273</v>
      </c>
      <c r="C3519" s="34">
        <v>46273</v>
      </c>
      <c r="D3519" t="s">
        <v>35</v>
      </c>
      <c r="E3519" t="s">
        <v>36</v>
      </c>
      <c r="F3519" t="s">
        <v>37</v>
      </c>
      <c r="G3519">
        <v>13101</v>
      </c>
      <c r="H3519" t="s">
        <v>10627</v>
      </c>
      <c r="I3519" t="s">
        <v>10628</v>
      </c>
      <c r="J3519" t="s">
        <v>161</v>
      </c>
      <c r="O3519" t="s">
        <v>10629</v>
      </c>
      <c r="P3519">
        <v>642.20000000000005</v>
      </c>
      <c r="Q3519">
        <v>647.70000000000005</v>
      </c>
      <c r="R3519">
        <v>622</v>
      </c>
      <c r="S3519">
        <v>625.79999999999995</v>
      </c>
      <c r="T3519">
        <v>627</v>
      </c>
      <c r="U3519">
        <v>640.65</v>
      </c>
      <c r="W3519">
        <v>625.84</v>
      </c>
      <c r="Z3519">
        <v>186817</v>
      </c>
      <c r="AA3519">
        <v>117392095.40000001</v>
      </c>
      <c r="AB3519">
        <v>8310</v>
      </c>
      <c r="AC3519" t="s">
        <v>42</v>
      </c>
      <c r="AD3519">
        <v>1</v>
      </c>
    </row>
    <row r="3520" spans="1:30">
      <c r="A3520" t="str">
        <f>CONCATENATE(I3520,J3520)</f>
        <v>VINATIORGAEQ</v>
      </c>
      <c r="B3520" s="34">
        <v>46273</v>
      </c>
      <c r="C3520" s="34">
        <v>46273</v>
      </c>
      <c r="D3520" t="s">
        <v>35</v>
      </c>
      <c r="E3520" t="s">
        <v>36</v>
      </c>
      <c r="F3520" t="s">
        <v>37</v>
      </c>
      <c r="G3520">
        <v>17364</v>
      </c>
      <c r="H3520" t="s">
        <v>10630</v>
      </c>
      <c r="I3520" t="s">
        <v>10631</v>
      </c>
      <c r="J3520" t="s">
        <v>161</v>
      </c>
      <c r="O3520" t="s">
        <v>10632</v>
      </c>
      <c r="P3520">
        <v>1303.5</v>
      </c>
      <c r="Q3520">
        <v>1368</v>
      </c>
      <c r="R3520">
        <v>1299.2</v>
      </c>
      <c r="S3520">
        <v>1347.8</v>
      </c>
      <c r="T3520">
        <v>1348</v>
      </c>
      <c r="U3520">
        <v>1298.9000000000001</v>
      </c>
      <c r="W3520">
        <v>1347.7</v>
      </c>
      <c r="Z3520">
        <v>165778</v>
      </c>
      <c r="AA3520">
        <v>221810364.30000001</v>
      </c>
      <c r="AB3520">
        <v>12787</v>
      </c>
      <c r="AC3520" t="s">
        <v>42</v>
      </c>
      <c r="AD3520">
        <v>1</v>
      </c>
    </row>
    <row r="3521" spans="1:30">
      <c r="A3521" t="str">
        <f>CONCATENATE(I3521,J3521)</f>
        <v>VINDHYATELEQ</v>
      </c>
      <c r="B3521" s="34">
        <v>46273</v>
      </c>
      <c r="C3521" s="34">
        <v>46273</v>
      </c>
      <c r="D3521" t="s">
        <v>35</v>
      </c>
      <c r="E3521" t="s">
        <v>36</v>
      </c>
      <c r="F3521" t="s">
        <v>37</v>
      </c>
      <c r="G3521">
        <v>3694</v>
      </c>
      <c r="H3521" t="s">
        <v>10633</v>
      </c>
      <c r="I3521" t="s">
        <v>10634</v>
      </c>
      <c r="J3521" t="s">
        <v>161</v>
      </c>
      <c r="O3521" t="s">
        <v>10635</v>
      </c>
      <c r="P3521">
        <v>2789</v>
      </c>
      <c r="Q3521">
        <v>2824.5</v>
      </c>
      <c r="R3521">
        <v>2690</v>
      </c>
      <c r="S3521">
        <v>2793.7</v>
      </c>
      <c r="T3521">
        <v>2796.5</v>
      </c>
      <c r="U3521">
        <v>2765</v>
      </c>
      <c r="W3521">
        <v>2793.72</v>
      </c>
      <c r="Z3521">
        <v>91884</v>
      </c>
      <c r="AA3521">
        <v>253742807.80000001</v>
      </c>
      <c r="AB3521">
        <v>10770</v>
      </c>
      <c r="AC3521" t="s">
        <v>42</v>
      </c>
      <c r="AD3521">
        <v>1</v>
      </c>
    </row>
    <row r="3522" spans="1:30">
      <c r="A3522" t="str">
        <f>CONCATENATE(I3522,J3522)</f>
        <v>VINEETLABEQ</v>
      </c>
      <c r="B3522" s="34">
        <v>46273</v>
      </c>
      <c r="C3522" s="34">
        <v>46273</v>
      </c>
      <c r="D3522" t="s">
        <v>35</v>
      </c>
      <c r="E3522" t="s">
        <v>36</v>
      </c>
      <c r="F3522" t="s">
        <v>37</v>
      </c>
      <c r="G3522">
        <v>3807</v>
      </c>
      <c r="H3522" t="s">
        <v>10636</v>
      </c>
      <c r="I3522" t="s">
        <v>10637</v>
      </c>
      <c r="J3522" t="s">
        <v>161</v>
      </c>
      <c r="O3522" t="s">
        <v>10638</v>
      </c>
      <c r="P3522">
        <v>37.9</v>
      </c>
      <c r="Q3522">
        <v>38.299999999999997</v>
      </c>
      <c r="R3522">
        <v>35.659999999999997</v>
      </c>
      <c r="S3522">
        <v>36.94</v>
      </c>
      <c r="T3522">
        <v>37.26</v>
      </c>
      <c r="U3522">
        <v>37.28</v>
      </c>
      <c r="W3522">
        <v>36.950000000000003</v>
      </c>
      <c r="Z3522">
        <v>36332</v>
      </c>
      <c r="AA3522">
        <v>1349654.83</v>
      </c>
      <c r="AB3522">
        <v>309</v>
      </c>
      <c r="AC3522" t="s">
        <v>42</v>
      </c>
      <c r="AD3522">
        <v>1</v>
      </c>
    </row>
    <row r="3523" spans="1:30">
      <c r="A3523" t="str">
        <f>CONCATENATE(I3523,J3523)</f>
        <v>VMOBILESM</v>
      </c>
      <c r="B3523" s="34">
        <v>46273</v>
      </c>
      <c r="C3523" s="34">
        <v>46273</v>
      </c>
      <c r="D3523" t="s">
        <v>35</v>
      </c>
      <c r="E3523" t="s">
        <v>36</v>
      </c>
      <c r="F3523" t="s">
        <v>37</v>
      </c>
      <c r="G3523">
        <v>763821</v>
      </c>
      <c r="H3523" t="s">
        <v>10639</v>
      </c>
      <c r="I3523" t="s">
        <v>10640</v>
      </c>
      <c r="J3523" t="s">
        <v>267</v>
      </c>
      <c r="O3523" t="s">
        <v>10641</v>
      </c>
      <c r="P3523">
        <v>56.1</v>
      </c>
      <c r="Q3523">
        <v>56.1</v>
      </c>
      <c r="R3523">
        <v>53.9</v>
      </c>
      <c r="S3523">
        <v>54</v>
      </c>
      <c r="T3523">
        <v>54</v>
      </c>
      <c r="U3523">
        <v>56.6</v>
      </c>
      <c r="W3523">
        <v>54</v>
      </c>
      <c r="Z3523">
        <v>11200</v>
      </c>
      <c r="AA3523">
        <v>613480</v>
      </c>
      <c r="AB3523">
        <v>14</v>
      </c>
      <c r="AC3523" t="s">
        <v>42</v>
      </c>
      <c r="AD3523">
        <v>800</v>
      </c>
    </row>
    <row r="3524" spans="1:30">
      <c r="A3524" t="str">
        <f>CONCATENATE(I3524,J3524)</f>
        <v>VINNYEQ</v>
      </c>
      <c r="B3524" s="34">
        <v>46273</v>
      </c>
      <c r="C3524" s="34">
        <v>46273</v>
      </c>
      <c r="D3524" t="s">
        <v>35</v>
      </c>
      <c r="E3524" t="s">
        <v>36</v>
      </c>
      <c r="F3524" t="s">
        <v>37</v>
      </c>
      <c r="G3524">
        <v>12490</v>
      </c>
      <c r="H3524" t="s">
        <v>10642</v>
      </c>
      <c r="I3524" t="s">
        <v>10643</v>
      </c>
      <c r="J3524" t="s">
        <v>161</v>
      </c>
      <c r="O3524" t="s">
        <v>10644</v>
      </c>
      <c r="P3524">
        <v>1.01</v>
      </c>
      <c r="Q3524">
        <v>1.01</v>
      </c>
      <c r="R3524">
        <v>0.99</v>
      </c>
      <c r="S3524">
        <v>1</v>
      </c>
      <c r="T3524">
        <v>1.01</v>
      </c>
      <c r="U3524">
        <v>1.01</v>
      </c>
      <c r="W3524">
        <v>1</v>
      </c>
      <c r="Z3524">
        <v>592112</v>
      </c>
      <c r="AA3524">
        <v>594300.09</v>
      </c>
      <c r="AB3524">
        <v>228</v>
      </c>
      <c r="AC3524" t="s">
        <v>42</v>
      </c>
      <c r="AD3524">
        <v>1</v>
      </c>
    </row>
    <row r="3525" spans="1:30">
      <c r="A3525" t="str">
        <f>CONCATENATE(I3525,J3525)</f>
        <v>VINSYSST</v>
      </c>
      <c r="B3525" s="34">
        <v>46273</v>
      </c>
      <c r="C3525" s="34">
        <v>46273</v>
      </c>
      <c r="D3525" t="s">
        <v>35</v>
      </c>
      <c r="E3525" t="s">
        <v>36</v>
      </c>
      <c r="F3525" t="s">
        <v>37</v>
      </c>
      <c r="G3525">
        <v>17905</v>
      </c>
      <c r="H3525" t="s">
        <v>10645</v>
      </c>
      <c r="I3525" t="s">
        <v>10646</v>
      </c>
      <c r="J3525" t="s">
        <v>328</v>
      </c>
      <c r="O3525" t="s">
        <v>10647</v>
      </c>
      <c r="P3525">
        <v>597</v>
      </c>
      <c r="Q3525">
        <v>599</v>
      </c>
      <c r="R3525">
        <v>588.5</v>
      </c>
      <c r="S3525">
        <v>593.20000000000005</v>
      </c>
      <c r="T3525">
        <v>599</v>
      </c>
      <c r="U3525">
        <v>596.5</v>
      </c>
      <c r="W3525">
        <v>593.20000000000005</v>
      </c>
      <c r="Z3525">
        <v>5500</v>
      </c>
      <c r="AA3525">
        <v>3257275</v>
      </c>
      <c r="AB3525">
        <v>16</v>
      </c>
      <c r="AC3525" t="s">
        <v>42</v>
      </c>
      <c r="AD3525">
        <v>250</v>
      </c>
    </row>
    <row r="3526" spans="1:30">
      <c r="A3526" t="str">
        <f>CONCATENATE(I3526,J3526)</f>
        <v>VINCOFEEQ</v>
      </c>
      <c r="B3526" s="34">
        <v>46273</v>
      </c>
      <c r="C3526" s="34">
        <v>46273</v>
      </c>
      <c r="D3526" t="s">
        <v>35</v>
      </c>
      <c r="E3526" t="s">
        <v>36</v>
      </c>
      <c r="F3526" t="s">
        <v>37</v>
      </c>
      <c r="G3526">
        <v>25835</v>
      </c>
      <c r="H3526" t="s">
        <v>10648</v>
      </c>
      <c r="I3526" t="s">
        <v>10649</v>
      </c>
      <c r="J3526" t="s">
        <v>161</v>
      </c>
      <c r="O3526" t="s">
        <v>10650</v>
      </c>
      <c r="P3526">
        <v>178.9</v>
      </c>
      <c r="Q3526">
        <v>181.8</v>
      </c>
      <c r="R3526">
        <v>175.28</v>
      </c>
      <c r="S3526">
        <v>178.34</v>
      </c>
      <c r="T3526">
        <v>178.38</v>
      </c>
      <c r="U3526">
        <v>178.88</v>
      </c>
      <c r="W3526">
        <v>178.34</v>
      </c>
      <c r="Z3526">
        <v>2118171</v>
      </c>
      <c r="AA3526">
        <v>378673123.13</v>
      </c>
      <c r="AB3526">
        <v>18153</v>
      </c>
      <c r="AC3526" t="s">
        <v>42</v>
      </c>
      <c r="AD3526">
        <v>1</v>
      </c>
    </row>
    <row r="3527" spans="1:30">
      <c r="A3527" t="str">
        <f>CONCATENATE(I3527,J3527)</f>
        <v>VINYASSM</v>
      </c>
      <c r="B3527" s="34">
        <v>46273</v>
      </c>
      <c r="C3527" s="34">
        <v>46273</v>
      </c>
      <c r="D3527" t="s">
        <v>35</v>
      </c>
      <c r="E3527" t="s">
        <v>36</v>
      </c>
      <c r="F3527" t="s">
        <v>37</v>
      </c>
      <c r="G3527">
        <v>19206</v>
      </c>
      <c r="H3527" t="s">
        <v>10651</v>
      </c>
      <c r="I3527" t="s">
        <v>10652</v>
      </c>
      <c r="J3527" t="s">
        <v>267</v>
      </c>
      <c r="O3527" t="s">
        <v>10653</v>
      </c>
      <c r="P3527">
        <v>1530</v>
      </c>
      <c r="Q3527">
        <v>1596</v>
      </c>
      <c r="R3527">
        <v>1500</v>
      </c>
      <c r="S3527">
        <v>1587.5</v>
      </c>
      <c r="T3527">
        <v>1595</v>
      </c>
      <c r="U3527">
        <v>1520.25</v>
      </c>
      <c r="W3527">
        <v>1587.5</v>
      </c>
      <c r="Z3527">
        <v>18600</v>
      </c>
      <c r="AA3527">
        <v>29036965</v>
      </c>
      <c r="AB3527">
        <v>165</v>
      </c>
      <c r="AC3527" t="s">
        <v>42</v>
      </c>
      <c r="AD3527">
        <v>100</v>
      </c>
    </row>
    <row r="3528" spans="1:30">
      <c r="A3528" t="str">
        <f>CONCATENATE(I3528,J3528)</f>
        <v>VINYLINDIAEQ</v>
      </c>
      <c r="B3528" s="34">
        <v>46273</v>
      </c>
      <c r="C3528" s="34">
        <v>46273</v>
      </c>
      <c r="D3528" t="s">
        <v>35</v>
      </c>
      <c r="E3528" t="s">
        <v>36</v>
      </c>
      <c r="F3528" t="s">
        <v>37</v>
      </c>
      <c r="G3528">
        <v>16821</v>
      </c>
      <c r="H3528" t="s">
        <v>10654</v>
      </c>
      <c r="I3528" t="s">
        <v>10655</v>
      </c>
      <c r="J3528" t="s">
        <v>161</v>
      </c>
      <c r="O3528" t="s">
        <v>10656</v>
      </c>
      <c r="P3528">
        <v>231</v>
      </c>
      <c r="Q3528">
        <v>231.5</v>
      </c>
      <c r="R3528">
        <v>221</v>
      </c>
      <c r="S3528">
        <v>224.57</v>
      </c>
      <c r="T3528">
        <v>225.95</v>
      </c>
      <c r="U3528">
        <v>228.68</v>
      </c>
      <c r="W3528">
        <v>224.79</v>
      </c>
      <c r="Z3528">
        <v>7437</v>
      </c>
      <c r="AA3528">
        <v>1679920.95</v>
      </c>
      <c r="AB3528">
        <v>315</v>
      </c>
      <c r="AC3528" t="s">
        <v>42</v>
      </c>
      <c r="AD3528">
        <v>1</v>
      </c>
    </row>
    <row r="3529" spans="1:30">
      <c r="A3529" t="str">
        <f>CONCATENATE(I3529,J3529)</f>
        <v>VIPCLOTHNGEQ</v>
      </c>
      <c r="B3529" s="34">
        <v>46273</v>
      </c>
      <c r="C3529" s="34">
        <v>46273</v>
      </c>
      <c r="D3529" t="s">
        <v>35</v>
      </c>
      <c r="E3529" t="s">
        <v>36</v>
      </c>
      <c r="F3529" t="s">
        <v>37</v>
      </c>
      <c r="G3529">
        <v>14843</v>
      </c>
      <c r="H3529" t="s">
        <v>10657</v>
      </c>
      <c r="I3529" t="s">
        <v>10658</v>
      </c>
      <c r="J3529" t="s">
        <v>161</v>
      </c>
      <c r="O3529" t="s">
        <v>10659</v>
      </c>
      <c r="P3529">
        <v>20.36</v>
      </c>
      <c r="Q3529">
        <v>20.55</v>
      </c>
      <c r="R3529">
        <v>19.940000000000001</v>
      </c>
      <c r="S3529">
        <v>20.260000000000002</v>
      </c>
      <c r="T3529">
        <v>20.5</v>
      </c>
      <c r="U3529">
        <v>20.16</v>
      </c>
      <c r="W3529">
        <v>20.260000000000002</v>
      </c>
      <c r="Z3529">
        <v>147574</v>
      </c>
      <c r="AA3529">
        <v>2982234.97</v>
      </c>
      <c r="AB3529">
        <v>558</v>
      </c>
      <c r="AC3529" t="s">
        <v>42</v>
      </c>
      <c r="AD3529">
        <v>1</v>
      </c>
    </row>
    <row r="3530" spans="1:30">
      <c r="A3530" t="str">
        <f>CONCATENATE(I3530,J3530)</f>
        <v>VIPINDEQ</v>
      </c>
      <c r="B3530" s="34">
        <v>46273</v>
      </c>
      <c r="C3530" s="34">
        <v>46273</v>
      </c>
      <c r="D3530" t="s">
        <v>35</v>
      </c>
      <c r="E3530" t="s">
        <v>36</v>
      </c>
      <c r="F3530" t="s">
        <v>37</v>
      </c>
      <c r="G3530">
        <v>3703</v>
      </c>
      <c r="H3530" t="s">
        <v>10660</v>
      </c>
      <c r="I3530" t="s">
        <v>10661</v>
      </c>
      <c r="J3530" t="s">
        <v>161</v>
      </c>
      <c r="O3530" t="s">
        <v>10662</v>
      </c>
      <c r="P3530">
        <v>321</v>
      </c>
      <c r="Q3530">
        <v>321.05</v>
      </c>
      <c r="R3530">
        <v>308.10000000000002</v>
      </c>
      <c r="S3530">
        <v>309.60000000000002</v>
      </c>
      <c r="T3530">
        <v>309.85000000000002</v>
      </c>
      <c r="U3530">
        <v>320.5</v>
      </c>
      <c r="W3530">
        <v>309.58999999999997</v>
      </c>
      <c r="Z3530">
        <v>401325</v>
      </c>
      <c r="AA3530">
        <v>125820306.84999999</v>
      </c>
      <c r="AB3530">
        <v>11164</v>
      </c>
      <c r="AC3530" t="s">
        <v>42</v>
      </c>
      <c r="AD3530">
        <v>1</v>
      </c>
    </row>
    <row r="3531" spans="1:30">
      <c r="A3531" t="str">
        <f>CONCATENATE(I3531,J3531)</f>
        <v>VIPULLTDBE</v>
      </c>
      <c r="B3531" s="34">
        <v>46273</v>
      </c>
      <c r="C3531" s="34">
        <v>46273</v>
      </c>
      <c r="D3531" t="s">
        <v>35</v>
      </c>
      <c r="E3531" t="s">
        <v>36</v>
      </c>
      <c r="F3531" t="s">
        <v>37</v>
      </c>
      <c r="G3531">
        <v>8437</v>
      </c>
      <c r="H3531" t="s">
        <v>10663</v>
      </c>
      <c r="I3531" t="s">
        <v>10664</v>
      </c>
      <c r="J3531" t="s">
        <v>183</v>
      </c>
      <c r="O3531" t="s">
        <v>10665</v>
      </c>
      <c r="P3531">
        <v>13.44</v>
      </c>
      <c r="Q3531">
        <v>13.44</v>
      </c>
      <c r="R3531">
        <v>13.44</v>
      </c>
      <c r="S3531">
        <v>13.44</v>
      </c>
      <c r="T3531">
        <v>13.44</v>
      </c>
      <c r="U3531">
        <v>13.71</v>
      </c>
      <c r="W3531">
        <v>13.44</v>
      </c>
      <c r="Z3531">
        <v>20377</v>
      </c>
      <c r="AA3531">
        <v>273866.88</v>
      </c>
      <c r="AB3531">
        <v>38</v>
      </c>
      <c r="AC3531" t="s">
        <v>42</v>
      </c>
      <c r="AD3531">
        <v>1</v>
      </c>
    </row>
    <row r="3532" spans="1:30">
      <c r="A3532" t="str">
        <f>CONCATENATE(I3532,J3532)</f>
        <v>VIRATEQ</v>
      </c>
      <c r="B3532" s="34">
        <v>46273</v>
      </c>
      <c r="C3532" s="34">
        <v>46273</v>
      </c>
      <c r="D3532" t="s">
        <v>35</v>
      </c>
      <c r="E3532" t="s">
        <v>36</v>
      </c>
      <c r="F3532" t="s">
        <v>37</v>
      </c>
      <c r="G3532">
        <v>764990</v>
      </c>
      <c r="H3532" t="s">
        <v>10666</v>
      </c>
      <c r="I3532" t="s">
        <v>10667</v>
      </c>
      <c r="J3532" t="s">
        <v>161</v>
      </c>
      <c r="O3532" t="s">
        <v>10668</v>
      </c>
      <c r="P3532">
        <v>445</v>
      </c>
      <c r="Q3532">
        <v>476.5</v>
      </c>
      <c r="R3532">
        <v>420.05</v>
      </c>
      <c r="S3532">
        <v>460.35</v>
      </c>
      <c r="T3532">
        <v>451.4</v>
      </c>
      <c r="U3532">
        <v>433.2</v>
      </c>
      <c r="W3532">
        <v>456.69</v>
      </c>
      <c r="Z3532">
        <v>18049</v>
      </c>
      <c r="AA3532">
        <v>8273363.2000000002</v>
      </c>
      <c r="AB3532">
        <v>667</v>
      </c>
      <c r="AC3532" t="s">
        <v>42</v>
      </c>
      <c r="AD3532">
        <v>1</v>
      </c>
    </row>
    <row r="3533" spans="1:30">
      <c r="A3533" t="str">
        <f>CONCATENATE(I3533,J3533)</f>
        <v>VIRINCHIEQ</v>
      </c>
      <c r="B3533" s="34">
        <v>46273</v>
      </c>
      <c r="C3533" s="34">
        <v>46273</v>
      </c>
      <c r="D3533" t="s">
        <v>35</v>
      </c>
      <c r="E3533" t="s">
        <v>36</v>
      </c>
      <c r="F3533" t="s">
        <v>37</v>
      </c>
      <c r="G3533">
        <v>15295</v>
      </c>
      <c r="H3533" t="s">
        <v>10669</v>
      </c>
      <c r="I3533" t="s">
        <v>10670</v>
      </c>
      <c r="J3533" t="s">
        <v>161</v>
      </c>
      <c r="O3533" t="s">
        <v>10671</v>
      </c>
      <c r="P3533">
        <v>14.3</v>
      </c>
      <c r="Q3533">
        <v>14.74</v>
      </c>
      <c r="R3533">
        <v>13.75</v>
      </c>
      <c r="S3533">
        <v>14.05</v>
      </c>
      <c r="T3533">
        <v>14.05</v>
      </c>
      <c r="U3533">
        <v>14.31</v>
      </c>
      <c r="W3533">
        <v>14.05</v>
      </c>
      <c r="Z3533">
        <v>133932</v>
      </c>
      <c r="AA3533">
        <v>1893511.64</v>
      </c>
      <c r="AB3533">
        <v>597</v>
      </c>
      <c r="AC3533" t="s">
        <v>42</v>
      </c>
      <c r="AD3533">
        <v>1</v>
      </c>
    </row>
    <row r="3534" spans="1:30">
      <c r="A3534" t="str">
        <f>CONCATENATE(I3534,J3534)</f>
        <v>VGINFOTECHSM</v>
      </c>
      <c r="B3534" s="34">
        <v>46273</v>
      </c>
      <c r="C3534" s="34">
        <v>46273</v>
      </c>
      <c r="D3534" t="s">
        <v>35</v>
      </c>
      <c r="E3534" t="s">
        <v>36</v>
      </c>
      <c r="F3534" t="s">
        <v>37</v>
      </c>
      <c r="G3534">
        <v>757060</v>
      </c>
      <c r="H3534" t="s">
        <v>10672</v>
      </c>
      <c r="I3534" t="s">
        <v>10673</v>
      </c>
      <c r="J3534" t="s">
        <v>267</v>
      </c>
      <c r="O3534" t="s">
        <v>10674</v>
      </c>
      <c r="P3534">
        <v>143</v>
      </c>
      <c r="Q3534">
        <v>143.9</v>
      </c>
      <c r="R3534">
        <v>140</v>
      </c>
      <c r="S3534">
        <v>141.69999999999999</v>
      </c>
      <c r="T3534">
        <v>141.69999999999999</v>
      </c>
      <c r="U3534">
        <v>140.75</v>
      </c>
      <c r="W3534">
        <v>141.69999999999999</v>
      </c>
      <c r="Z3534">
        <v>15000</v>
      </c>
      <c r="AA3534">
        <v>2123000</v>
      </c>
      <c r="AB3534">
        <v>15</v>
      </c>
      <c r="AC3534" t="s">
        <v>42</v>
      </c>
      <c r="AD3534">
        <v>1000</v>
      </c>
    </row>
    <row r="3535" spans="1:30">
      <c r="A3535" t="str">
        <f>CONCATENATE(I3535,J3535)</f>
        <v>VIRTUALGBE</v>
      </c>
      <c r="B3535" s="34">
        <v>46273</v>
      </c>
      <c r="C3535" s="34">
        <v>46273</v>
      </c>
      <c r="D3535" t="s">
        <v>35</v>
      </c>
      <c r="E3535" t="s">
        <v>36</v>
      </c>
      <c r="F3535" t="s">
        <v>37</v>
      </c>
      <c r="G3535">
        <v>765218</v>
      </c>
      <c r="H3535" t="s">
        <v>10675</v>
      </c>
      <c r="I3535" t="s">
        <v>10676</v>
      </c>
      <c r="J3535" t="s">
        <v>183</v>
      </c>
      <c r="O3535" t="s">
        <v>10677</v>
      </c>
      <c r="P3535">
        <v>0.45</v>
      </c>
      <c r="Q3535">
        <v>0.46</v>
      </c>
      <c r="R3535">
        <v>0.45</v>
      </c>
      <c r="S3535">
        <v>0.46</v>
      </c>
      <c r="T3535">
        <v>0.46</v>
      </c>
      <c r="U3535">
        <v>0.45</v>
      </c>
      <c r="W3535">
        <v>0.46</v>
      </c>
      <c r="Z3535">
        <v>131539</v>
      </c>
      <c r="AA3535">
        <v>59913.24</v>
      </c>
      <c r="AB3535">
        <v>155</v>
      </c>
      <c r="AC3535" t="s">
        <v>42</v>
      </c>
      <c r="AD3535">
        <v>1</v>
      </c>
    </row>
    <row r="3536" spans="1:30">
      <c r="A3536" t="str">
        <f>CONCATENATE(I3536,J3536)</f>
        <v>VOEPLEQ</v>
      </c>
      <c r="B3536" s="34">
        <v>46273</v>
      </c>
      <c r="C3536" s="34">
        <v>46273</v>
      </c>
      <c r="D3536" t="s">
        <v>35</v>
      </c>
      <c r="E3536" t="s">
        <v>36</v>
      </c>
      <c r="F3536" t="s">
        <v>37</v>
      </c>
      <c r="G3536">
        <v>761916</v>
      </c>
      <c r="H3536" t="s">
        <v>10678</v>
      </c>
      <c r="I3536" t="s">
        <v>10679</v>
      </c>
      <c r="J3536" t="s">
        <v>161</v>
      </c>
      <c r="O3536" t="s">
        <v>10680</v>
      </c>
      <c r="P3536">
        <v>543</v>
      </c>
      <c r="Q3536">
        <v>554.75</v>
      </c>
      <c r="R3536">
        <v>524.6</v>
      </c>
      <c r="S3536">
        <v>549.70000000000005</v>
      </c>
      <c r="T3536">
        <v>550</v>
      </c>
      <c r="U3536">
        <v>543.15</v>
      </c>
      <c r="W3536">
        <v>549.66999999999996</v>
      </c>
      <c r="Z3536">
        <v>111664</v>
      </c>
      <c r="AA3536">
        <v>60893794</v>
      </c>
      <c r="AB3536">
        <v>4958</v>
      </c>
      <c r="AC3536" t="s">
        <v>42</v>
      </c>
      <c r="AD3536">
        <v>1</v>
      </c>
    </row>
    <row r="3537" spans="1:30">
      <c r="A3537" t="str">
        <f>CONCATENATE(I3537,J3537)</f>
        <v>VISACHROMEEQ</v>
      </c>
      <c r="B3537" s="34">
        <v>46273</v>
      </c>
      <c r="C3537" s="34">
        <v>46273</v>
      </c>
      <c r="D3537" t="s">
        <v>35</v>
      </c>
      <c r="E3537" t="s">
        <v>36</v>
      </c>
      <c r="F3537" t="s">
        <v>37</v>
      </c>
      <c r="G3537">
        <v>13295</v>
      </c>
      <c r="H3537" t="s">
        <v>10681</v>
      </c>
      <c r="I3537" t="s">
        <v>10682</v>
      </c>
      <c r="J3537" t="s">
        <v>161</v>
      </c>
      <c r="O3537" t="s">
        <v>10683</v>
      </c>
      <c r="P3537">
        <v>36.99</v>
      </c>
      <c r="Q3537">
        <v>37.61</v>
      </c>
      <c r="R3537">
        <v>36.1</v>
      </c>
      <c r="S3537">
        <v>36.93</v>
      </c>
      <c r="T3537">
        <v>36.1</v>
      </c>
      <c r="U3537">
        <v>36.729999999999997</v>
      </c>
      <c r="W3537">
        <v>36.93</v>
      </c>
      <c r="Z3537">
        <v>19729</v>
      </c>
      <c r="AA3537">
        <v>729910.75</v>
      </c>
      <c r="AB3537">
        <v>129</v>
      </c>
      <c r="AC3537" t="s">
        <v>42</v>
      </c>
      <c r="AD3537">
        <v>1</v>
      </c>
    </row>
    <row r="3538" spans="1:30">
      <c r="A3538" t="str">
        <f>CONCATENATE(I3538,J3538)</f>
        <v>VIVIDHAEQ</v>
      </c>
      <c r="B3538" s="34">
        <v>46273</v>
      </c>
      <c r="C3538" s="34">
        <v>46273</v>
      </c>
      <c r="D3538" t="s">
        <v>35</v>
      </c>
      <c r="E3538" t="s">
        <v>36</v>
      </c>
      <c r="F3538" t="s">
        <v>37</v>
      </c>
      <c r="G3538">
        <v>29877</v>
      </c>
      <c r="H3538" t="s">
        <v>10684</v>
      </c>
      <c r="I3538" t="s">
        <v>10685</v>
      </c>
      <c r="J3538" t="s">
        <v>161</v>
      </c>
      <c r="O3538" t="s">
        <v>10686</v>
      </c>
      <c r="P3538">
        <v>0.53</v>
      </c>
      <c r="Q3538">
        <v>0.54</v>
      </c>
      <c r="R3538">
        <v>0.52</v>
      </c>
      <c r="S3538">
        <v>0.52</v>
      </c>
      <c r="T3538">
        <v>0.53</v>
      </c>
      <c r="U3538">
        <v>0.51</v>
      </c>
      <c r="W3538">
        <v>0.52</v>
      </c>
      <c r="Z3538">
        <v>277142</v>
      </c>
      <c r="AA3538">
        <v>145932.74</v>
      </c>
      <c r="AB3538">
        <v>238</v>
      </c>
      <c r="AC3538" t="s">
        <v>42</v>
      </c>
      <c r="AD3538">
        <v>1</v>
      </c>
    </row>
    <row r="3539" spans="1:30">
      <c r="A3539" t="str">
        <f>CONCATENATE(I3539,J3539)</f>
        <v>VISAKAINDEQ</v>
      </c>
      <c r="B3539" s="34">
        <v>46273</v>
      </c>
      <c r="C3539" s="34">
        <v>46273</v>
      </c>
      <c r="D3539" t="s">
        <v>35</v>
      </c>
      <c r="E3539" t="s">
        <v>36</v>
      </c>
      <c r="F3539" t="s">
        <v>37</v>
      </c>
      <c r="G3539">
        <v>4221</v>
      </c>
      <c r="H3539" t="s">
        <v>10687</v>
      </c>
      <c r="I3539" t="s">
        <v>10688</v>
      </c>
      <c r="J3539" t="s">
        <v>161</v>
      </c>
      <c r="O3539" t="s">
        <v>10689</v>
      </c>
      <c r="P3539">
        <v>92.4</v>
      </c>
      <c r="Q3539">
        <v>94.8</v>
      </c>
      <c r="R3539">
        <v>91.2</v>
      </c>
      <c r="S3539">
        <v>93.12</v>
      </c>
      <c r="T3539">
        <v>93</v>
      </c>
      <c r="U3539">
        <v>92.17</v>
      </c>
      <c r="W3539">
        <v>93.12</v>
      </c>
      <c r="Z3539">
        <v>236688</v>
      </c>
      <c r="AA3539">
        <v>22082140.140000001</v>
      </c>
      <c r="AB3539">
        <v>3355</v>
      </c>
      <c r="AC3539" t="s">
        <v>42</v>
      </c>
      <c r="AD3539">
        <v>1</v>
      </c>
    </row>
    <row r="3540" spans="1:30">
      <c r="A3540" t="str">
        <f>CONCATENATE(I3540,J3540)</f>
        <v>VISAMANSM</v>
      </c>
      <c r="B3540" s="34">
        <v>46273</v>
      </c>
      <c r="C3540" s="34">
        <v>46273</v>
      </c>
      <c r="D3540" t="s">
        <v>35</v>
      </c>
      <c r="E3540" t="s">
        <v>36</v>
      </c>
      <c r="F3540" t="s">
        <v>37</v>
      </c>
      <c r="G3540">
        <v>24274</v>
      </c>
      <c r="H3540" t="s">
        <v>10690</v>
      </c>
      <c r="I3540" t="s">
        <v>10691</v>
      </c>
      <c r="J3540" t="s">
        <v>267</v>
      </c>
      <c r="O3540" t="s">
        <v>10692</v>
      </c>
      <c r="P3540">
        <v>55.45</v>
      </c>
      <c r="Q3540">
        <v>55.45</v>
      </c>
      <c r="R3540">
        <v>55.45</v>
      </c>
      <c r="S3540">
        <v>55.45</v>
      </c>
      <c r="T3540">
        <v>55.45</v>
      </c>
      <c r="U3540">
        <v>58.35</v>
      </c>
      <c r="W3540">
        <v>55.45</v>
      </c>
      <c r="Z3540">
        <v>1000</v>
      </c>
      <c r="AA3540">
        <v>55450</v>
      </c>
      <c r="AB3540">
        <v>1</v>
      </c>
      <c r="AC3540" t="s">
        <v>42</v>
      </c>
      <c r="AD3540">
        <v>1000</v>
      </c>
    </row>
    <row r="3541" spans="1:30">
      <c r="A3541" t="str">
        <f>CONCATENATE(I3541,J3541)</f>
        <v>VISHALEQ</v>
      </c>
      <c r="B3541" s="34">
        <v>46273</v>
      </c>
      <c r="C3541" s="34">
        <v>46273</v>
      </c>
      <c r="D3541" t="s">
        <v>35</v>
      </c>
      <c r="E3541" t="s">
        <v>36</v>
      </c>
      <c r="F3541" t="s">
        <v>37</v>
      </c>
      <c r="G3541">
        <v>11773</v>
      </c>
      <c r="H3541" t="s">
        <v>10693</v>
      </c>
      <c r="I3541" t="s">
        <v>10694</v>
      </c>
      <c r="J3541" t="s">
        <v>161</v>
      </c>
      <c r="O3541" t="s">
        <v>10695</v>
      </c>
      <c r="P3541">
        <v>18.399999999999999</v>
      </c>
      <c r="Q3541">
        <v>18.75</v>
      </c>
      <c r="R3541">
        <v>18.25</v>
      </c>
      <c r="S3541">
        <v>18.39</v>
      </c>
      <c r="T3541">
        <v>18.3</v>
      </c>
      <c r="U3541">
        <v>18.239999999999998</v>
      </c>
      <c r="W3541">
        <v>18.43</v>
      </c>
      <c r="Z3541">
        <v>38439</v>
      </c>
      <c r="AA3541">
        <v>708698.2</v>
      </c>
      <c r="AB3541">
        <v>234</v>
      </c>
      <c r="AC3541" t="s">
        <v>42</v>
      </c>
      <c r="AD3541">
        <v>1</v>
      </c>
    </row>
    <row r="3542" spans="1:30">
      <c r="A3542" t="str">
        <f>CONCATENATE(I3542,J3542)</f>
        <v>VMMEQ</v>
      </c>
      <c r="B3542" s="34">
        <v>46273</v>
      </c>
      <c r="C3542" s="34">
        <v>46273</v>
      </c>
      <c r="D3542" t="s">
        <v>35</v>
      </c>
      <c r="E3542" t="s">
        <v>36</v>
      </c>
      <c r="F3542" t="s">
        <v>37</v>
      </c>
      <c r="G3542">
        <v>27969</v>
      </c>
      <c r="H3542" t="s">
        <v>10696</v>
      </c>
      <c r="I3542" t="s">
        <v>10697</v>
      </c>
      <c r="J3542" t="s">
        <v>161</v>
      </c>
      <c r="O3542" t="s">
        <v>10698</v>
      </c>
      <c r="P3542">
        <v>104.5</v>
      </c>
      <c r="Q3542">
        <v>105.01</v>
      </c>
      <c r="R3542">
        <v>103.05</v>
      </c>
      <c r="S3542">
        <v>103.9</v>
      </c>
      <c r="T3542">
        <v>103.9</v>
      </c>
      <c r="U3542">
        <v>104</v>
      </c>
      <c r="W3542">
        <v>103.9</v>
      </c>
      <c r="Z3542">
        <v>8285305</v>
      </c>
      <c r="AA3542">
        <v>861033770.29999995</v>
      </c>
      <c r="AB3542">
        <v>30856</v>
      </c>
      <c r="AC3542" t="s">
        <v>42</v>
      </c>
      <c r="AD3542">
        <v>1</v>
      </c>
    </row>
    <row r="3543" spans="1:30">
      <c r="A3543" t="str">
        <f>CONCATENATE(I3543,J3543)</f>
        <v>VISHNUEQ</v>
      </c>
      <c r="B3543" s="34">
        <v>46273</v>
      </c>
      <c r="C3543" s="34">
        <v>46273</v>
      </c>
      <c r="D3543" t="s">
        <v>35</v>
      </c>
      <c r="E3543" t="s">
        <v>36</v>
      </c>
      <c r="F3543" t="s">
        <v>37</v>
      </c>
      <c r="G3543">
        <v>6908</v>
      </c>
      <c r="H3543" t="s">
        <v>10699</v>
      </c>
      <c r="I3543" t="s">
        <v>10700</v>
      </c>
      <c r="J3543" t="s">
        <v>161</v>
      </c>
      <c r="O3543" t="s">
        <v>10701</v>
      </c>
      <c r="P3543">
        <v>736.5</v>
      </c>
      <c r="Q3543">
        <v>742</v>
      </c>
      <c r="R3543">
        <v>712.6</v>
      </c>
      <c r="S3543">
        <v>731.55</v>
      </c>
      <c r="T3543">
        <v>729</v>
      </c>
      <c r="U3543">
        <v>726.5</v>
      </c>
      <c r="W3543">
        <v>731.58</v>
      </c>
      <c r="Z3543">
        <v>302725</v>
      </c>
      <c r="AA3543">
        <v>220855357.59999999</v>
      </c>
      <c r="AB3543">
        <v>13244</v>
      </c>
      <c r="AC3543" t="s">
        <v>42</v>
      </c>
      <c r="AD3543">
        <v>1</v>
      </c>
    </row>
    <row r="3544" spans="1:30">
      <c r="A3544" t="str">
        <f>CONCATENATE(I3544,J3544)</f>
        <v>VPRPLEQ</v>
      </c>
      <c r="B3544" s="34">
        <v>46273</v>
      </c>
      <c r="C3544" s="34">
        <v>46273</v>
      </c>
      <c r="D3544" t="s">
        <v>35</v>
      </c>
      <c r="E3544" t="s">
        <v>36</v>
      </c>
      <c r="F3544" t="s">
        <v>37</v>
      </c>
      <c r="G3544">
        <v>18341</v>
      </c>
      <c r="H3544" t="s">
        <v>10702</v>
      </c>
      <c r="I3544" t="s">
        <v>10703</v>
      </c>
      <c r="J3544" t="s">
        <v>161</v>
      </c>
      <c r="O3544" t="s">
        <v>10704</v>
      </c>
      <c r="P3544">
        <v>35.46</v>
      </c>
      <c r="Q3544">
        <v>37.9</v>
      </c>
      <c r="R3544">
        <v>34.61</v>
      </c>
      <c r="S3544">
        <v>36.35</v>
      </c>
      <c r="T3544">
        <v>36.49</v>
      </c>
      <c r="U3544">
        <v>34.270000000000003</v>
      </c>
      <c r="W3544">
        <v>36.369999999999997</v>
      </c>
      <c r="Z3544">
        <v>1388778</v>
      </c>
      <c r="AA3544">
        <v>50498394.780000001</v>
      </c>
      <c r="AB3544">
        <v>8150</v>
      </c>
      <c r="AC3544" t="s">
        <v>42</v>
      </c>
      <c r="AD3544">
        <v>1</v>
      </c>
    </row>
    <row r="3545" spans="1:30">
      <c r="A3545" t="str">
        <f>CONCATENATE(I3545,J3545)</f>
        <v>VISHNUINFRSM</v>
      </c>
      <c r="B3545" s="34">
        <v>46273</v>
      </c>
      <c r="C3545" s="34">
        <v>46273</v>
      </c>
      <c r="D3545" t="s">
        <v>35</v>
      </c>
      <c r="E3545" t="s">
        <v>36</v>
      </c>
      <c r="F3545" t="s">
        <v>37</v>
      </c>
      <c r="G3545">
        <v>19300</v>
      </c>
      <c r="H3545" t="s">
        <v>10705</v>
      </c>
      <c r="I3545" t="s">
        <v>10706</v>
      </c>
      <c r="J3545" t="s">
        <v>267</v>
      </c>
      <c r="O3545" t="s">
        <v>10707</v>
      </c>
      <c r="P3545">
        <v>157.1</v>
      </c>
      <c r="Q3545">
        <v>157.1</v>
      </c>
      <c r="R3545">
        <v>154.75</v>
      </c>
      <c r="S3545">
        <v>155</v>
      </c>
      <c r="T3545">
        <v>154.75</v>
      </c>
      <c r="U3545">
        <v>157.1</v>
      </c>
      <c r="W3545">
        <v>155</v>
      </c>
      <c r="Z3545">
        <v>27500</v>
      </c>
      <c r="AA3545">
        <v>4264425</v>
      </c>
      <c r="AB3545">
        <v>31</v>
      </c>
      <c r="AC3545" t="s">
        <v>42</v>
      </c>
      <c r="AD3545">
        <v>500</v>
      </c>
    </row>
    <row r="3546" spans="1:30">
      <c r="A3546" t="str">
        <f>CONCATENATE(I3546,J3546)</f>
        <v>VISHWARAJEQ</v>
      </c>
      <c r="B3546" s="34">
        <v>46273</v>
      </c>
      <c r="C3546" s="34">
        <v>46273</v>
      </c>
      <c r="D3546" t="s">
        <v>35</v>
      </c>
      <c r="E3546" t="s">
        <v>36</v>
      </c>
      <c r="F3546" t="s">
        <v>37</v>
      </c>
      <c r="G3546">
        <v>13702</v>
      </c>
      <c r="H3546" t="s">
        <v>10708</v>
      </c>
      <c r="I3546" t="s">
        <v>10709</v>
      </c>
      <c r="J3546" t="s">
        <v>161</v>
      </c>
      <c r="O3546" t="s">
        <v>10710</v>
      </c>
      <c r="P3546">
        <v>5.98</v>
      </c>
      <c r="Q3546">
        <v>6.04</v>
      </c>
      <c r="R3546">
        <v>5.82</v>
      </c>
      <c r="S3546">
        <v>5.86</v>
      </c>
      <c r="T3546">
        <v>5.85</v>
      </c>
      <c r="U3546">
        <v>5.96</v>
      </c>
      <c r="W3546">
        <v>5.86</v>
      </c>
      <c r="Z3546">
        <v>498550</v>
      </c>
      <c r="AA3546">
        <v>2933200.91</v>
      </c>
      <c r="AB3546">
        <v>753</v>
      </c>
      <c r="AC3546" t="s">
        <v>42</v>
      </c>
      <c r="AD3546">
        <v>1</v>
      </c>
    </row>
    <row r="3547" spans="1:30">
      <c r="A3547" t="str">
        <f>CONCATENATE(I3547,J3547)</f>
        <v>VIESLSM</v>
      </c>
      <c r="B3547" s="34">
        <v>46273</v>
      </c>
      <c r="C3547" s="34">
        <v>46273</v>
      </c>
      <c r="D3547" t="s">
        <v>35</v>
      </c>
      <c r="E3547" t="s">
        <v>36</v>
      </c>
      <c r="F3547" t="s">
        <v>37</v>
      </c>
      <c r="G3547">
        <v>25231</v>
      </c>
      <c r="H3547" t="s">
        <v>10711</v>
      </c>
      <c r="I3547" t="s">
        <v>10712</v>
      </c>
      <c r="J3547" t="s">
        <v>267</v>
      </c>
      <c r="O3547" t="s">
        <v>10713</v>
      </c>
      <c r="P3547">
        <v>396</v>
      </c>
      <c r="Q3547">
        <v>409.45</v>
      </c>
      <c r="R3547">
        <v>392.05</v>
      </c>
      <c r="S3547">
        <v>397.6</v>
      </c>
      <c r="T3547">
        <v>395.25</v>
      </c>
      <c r="U3547">
        <v>394.1</v>
      </c>
      <c r="W3547">
        <v>397.6</v>
      </c>
      <c r="Z3547">
        <v>9600</v>
      </c>
      <c r="AA3547">
        <v>3833280</v>
      </c>
      <c r="AB3547">
        <v>12</v>
      </c>
      <c r="AC3547" t="s">
        <v>42</v>
      </c>
      <c r="AD3547">
        <v>800</v>
      </c>
    </row>
    <row r="3548" spans="1:30">
      <c r="A3548" t="str">
        <f>CONCATENATE(I3548,J3548)</f>
        <v>VITALEQ</v>
      </c>
      <c r="B3548" s="34">
        <v>46273</v>
      </c>
      <c r="C3548" s="34">
        <v>46273</v>
      </c>
      <c r="D3548" t="s">
        <v>35</v>
      </c>
      <c r="E3548" t="s">
        <v>36</v>
      </c>
      <c r="F3548" t="s">
        <v>37</v>
      </c>
      <c r="G3548">
        <v>761148</v>
      </c>
      <c r="H3548" t="s">
        <v>10714</v>
      </c>
      <c r="I3548" t="s">
        <v>10715</v>
      </c>
      <c r="J3548" t="s">
        <v>161</v>
      </c>
      <c r="O3548" t="s">
        <v>10716</v>
      </c>
      <c r="P3548">
        <v>55.11</v>
      </c>
      <c r="Q3548">
        <v>59</v>
      </c>
      <c r="R3548">
        <v>55.1</v>
      </c>
      <c r="S3548">
        <v>55.4</v>
      </c>
      <c r="T3548">
        <v>56.39</v>
      </c>
      <c r="U3548">
        <v>56.59</v>
      </c>
      <c r="W3548">
        <v>55.4</v>
      </c>
      <c r="Z3548">
        <v>69680</v>
      </c>
      <c r="AA3548">
        <v>3866876.05</v>
      </c>
      <c r="AB3548">
        <v>96</v>
      </c>
      <c r="AC3548" t="s">
        <v>42</v>
      </c>
      <c r="AD3548">
        <v>1</v>
      </c>
    </row>
    <row r="3549" spans="1:30">
      <c r="A3549" t="str">
        <f>CONCATENATE(I3549,J3549)</f>
        <v>VIVIANAEQ</v>
      </c>
      <c r="B3549" s="34">
        <v>46273</v>
      </c>
      <c r="C3549" s="34">
        <v>46273</v>
      </c>
      <c r="D3549" t="s">
        <v>35</v>
      </c>
      <c r="E3549" t="s">
        <v>36</v>
      </c>
      <c r="F3549" t="s">
        <v>37</v>
      </c>
      <c r="G3549">
        <v>763636</v>
      </c>
      <c r="H3549" t="s">
        <v>10717</v>
      </c>
      <c r="I3549" t="s">
        <v>10718</v>
      </c>
      <c r="J3549" t="s">
        <v>161</v>
      </c>
      <c r="O3549" t="s">
        <v>10719</v>
      </c>
      <c r="P3549">
        <v>794.9</v>
      </c>
      <c r="Q3549">
        <v>794.9</v>
      </c>
      <c r="R3549">
        <v>725.1</v>
      </c>
      <c r="S3549">
        <v>740.85</v>
      </c>
      <c r="T3549">
        <v>735</v>
      </c>
      <c r="U3549">
        <v>776.55</v>
      </c>
      <c r="W3549">
        <v>740.85</v>
      </c>
      <c r="Z3549">
        <v>27600</v>
      </c>
      <c r="AA3549">
        <v>20838492.75</v>
      </c>
      <c r="AB3549">
        <v>1001</v>
      </c>
      <c r="AC3549" t="s">
        <v>42</v>
      </c>
      <c r="AD3549">
        <v>1</v>
      </c>
    </row>
    <row r="3550" spans="1:30">
      <c r="A3550" t="str">
        <f>CONCATENATE(I3550,J3550)</f>
        <v>VIVIDELSM</v>
      </c>
      <c r="B3550" s="34">
        <v>46273</v>
      </c>
      <c r="C3550" s="34">
        <v>46273</v>
      </c>
      <c r="D3550" t="s">
        <v>35</v>
      </c>
      <c r="E3550" t="s">
        <v>36</v>
      </c>
      <c r="F3550" t="s">
        <v>37</v>
      </c>
      <c r="G3550">
        <v>761768</v>
      </c>
      <c r="H3550" t="s">
        <v>10720</v>
      </c>
      <c r="I3550" t="s">
        <v>10721</v>
      </c>
      <c r="J3550" t="s">
        <v>267</v>
      </c>
      <c r="O3550" t="s">
        <v>10722</v>
      </c>
      <c r="P3550">
        <v>1725</v>
      </c>
      <c r="Q3550">
        <v>1760</v>
      </c>
      <c r="R3550">
        <v>1660</v>
      </c>
      <c r="S3550">
        <v>1698.3</v>
      </c>
      <c r="T3550">
        <v>1702</v>
      </c>
      <c r="U3550">
        <v>1696.1</v>
      </c>
      <c r="W3550">
        <v>1698.3</v>
      </c>
      <c r="Z3550">
        <v>43680</v>
      </c>
      <c r="AA3550">
        <v>74934120</v>
      </c>
      <c r="AB3550">
        <v>162</v>
      </c>
      <c r="AC3550" t="s">
        <v>42</v>
      </c>
      <c r="AD3550">
        <v>240</v>
      </c>
    </row>
    <row r="3551" spans="1:30">
      <c r="A3551" t="str">
        <f>CONCATENATE(I3551,J3551)</f>
        <v>VIVIMEDLABBE</v>
      </c>
      <c r="B3551" s="34">
        <v>46273</v>
      </c>
      <c r="C3551" s="34">
        <v>46273</v>
      </c>
      <c r="D3551" t="s">
        <v>35</v>
      </c>
      <c r="E3551" t="s">
        <v>36</v>
      </c>
      <c r="F3551" t="s">
        <v>37</v>
      </c>
      <c r="G3551">
        <v>11968</v>
      </c>
      <c r="H3551" t="s">
        <v>10723</v>
      </c>
      <c r="I3551" t="s">
        <v>10724</v>
      </c>
      <c r="J3551" t="s">
        <v>183</v>
      </c>
      <c r="O3551" t="s">
        <v>10725</v>
      </c>
      <c r="P3551">
        <v>6.42</v>
      </c>
      <c r="Q3551">
        <v>6.42</v>
      </c>
      <c r="R3551">
        <v>6.33</v>
      </c>
      <c r="S3551">
        <v>6.33</v>
      </c>
      <c r="T3551">
        <v>6.33</v>
      </c>
      <c r="U3551">
        <v>6.45</v>
      </c>
      <c r="W3551">
        <v>6.37</v>
      </c>
      <c r="Z3551">
        <v>19391</v>
      </c>
      <c r="AA3551">
        <v>122761.12</v>
      </c>
      <c r="AB3551">
        <v>28</v>
      </c>
      <c r="AC3551" t="s">
        <v>42</v>
      </c>
      <c r="AD3551">
        <v>1</v>
      </c>
    </row>
    <row r="3552" spans="1:30">
      <c r="A3552" t="str">
        <f>CONCATENATE(I3552,J3552)</f>
        <v>VIVOBIOTEQ</v>
      </c>
      <c r="B3552" s="34">
        <v>46273</v>
      </c>
      <c r="C3552" s="34">
        <v>46273</v>
      </c>
      <c r="D3552" t="s">
        <v>35</v>
      </c>
      <c r="E3552" t="s">
        <v>36</v>
      </c>
      <c r="F3552" t="s">
        <v>37</v>
      </c>
      <c r="G3552">
        <v>764995</v>
      </c>
      <c r="H3552" t="s">
        <v>10726</v>
      </c>
      <c r="I3552" t="s">
        <v>10727</v>
      </c>
      <c r="J3552" t="s">
        <v>161</v>
      </c>
      <c r="O3552" t="s">
        <v>10728</v>
      </c>
      <c r="P3552">
        <v>19</v>
      </c>
      <c r="Q3552">
        <v>19.98</v>
      </c>
      <c r="R3552">
        <v>18.559999999999999</v>
      </c>
      <c r="S3552">
        <v>19.010000000000002</v>
      </c>
      <c r="T3552">
        <v>19.03</v>
      </c>
      <c r="U3552">
        <v>18.989999999999998</v>
      </c>
      <c r="W3552">
        <v>19.010000000000002</v>
      </c>
      <c r="Z3552">
        <v>4329</v>
      </c>
      <c r="AA3552">
        <v>82985.27</v>
      </c>
      <c r="AB3552">
        <v>111</v>
      </c>
      <c r="AC3552" t="s">
        <v>42</v>
      </c>
      <c r="AD3552">
        <v>1</v>
      </c>
    </row>
    <row r="3553" spans="1:30">
      <c r="A3553" t="str">
        <f>CONCATENATE(I3553,J3553)</f>
        <v>VIYASHEQ</v>
      </c>
      <c r="B3553" s="34">
        <v>46273</v>
      </c>
      <c r="C3553" s="34">
        <v>46273</v>
      </c>
      <c r="D3553" t="s">
        <v>35</v>
      </c>
      <c r="E3553" t="s">
        <v>36</v>
      </c>
      <c r="F3553" t="s">
        <v>37</v>
      </c>
      <c r="G3553">
        <v>14296</v>
      </c>
      <c r="H3553" t="s">
        <v>10729</v>
      </c>
      <c r="I3553" t="s">
        <v>10730</v>
      </c>
      <c r="J3553" t="s">
        <v>161</v>
      </c>
      <c r="O3553" t="s">
        <v>10731</v>
      </c>
      <c r="P3553">
        <v>264</v>
      </c>
      <c r="Q3553">
        <v>264.8</v>
      </c>
      <c r="R3553">
        <v>260.8</v>
      </c>
      <c r="S3553">
        <v>261.95</v>
      </c>
      <c r="T3553">
        <v>261.95</v>
      </c>
      <c r="U3553">
        <v>263.64999999999998</v>
      </c>
      <c r="W3553">
        <v>261.95</v>
      </c>
      <c r="Z3553">
        <v>2245212</v>
      </c>
      <c r="AA3553">
        <v>589611053.54999995</v>
      </c>
      <c r="AB3553">
        <v>22054</v>
      </c>
      <c r="AC3553" t="s">
        <v>42</v>
      </c>
      <c r="AD3553">
        <v>1</v>
      </c>
    </row>
    <row r="3554" spans="1:30">
      <c r="A3554" t="str">
        <f>CONCATENATE(I3554,J3554)</f>
        <v>VLEGOVEQ</v>
      </c>
      <c r="B3554" s="34">
        <v>46273</v>
      </c>
      <c r="C3554" s="34">
        <v>46273</v>
      </c>
      <c r="D3554" t="s">
        <v>35</v>
      </c>
      <c r="E3554" t="s">
        <v>36</v>
      </c>
      <c r="F3554" t="s">
        <v>37</v>
      </c>
      <c r="G3554">
        <v>18012</v>
      </c>
      <c r="H3554" t="s">
        <v>10732</v>
      </c>
      <c r="I3554" t="s">
        <v>10733</v>
      </c>
      <c r="J3554" t="s">
        <v>161</v>
      </c>
      <c r="O3554" t="s">
        <v>10734</v>
      </c>
      <c r="P3554">
        <v>10.33</v>
      </c>
      <c r="Q3554">
        <v>10.69</v>
      </c>
      <c r="R3554">
        <v>10.26</v>
      </c>
      <c r="S3554">
        <v>10.36</v>
      </c>
      <c r="T3554">
        <v>10.47</v>
      </c>
      <c r="U3554">
        <v>10.47</v>
      </c>
      <c r="W3554">
        <v>10.36</v>
      </c>
      <c r="Z3554">
        <v>46709</v>
      </c>
      <c r="AA3554">
        <v>485522.96</v>
      </c>
      <c r="AB3554">
        <v>285</v>
      </c>
      <c r="AC3554" t="s">
        <v>42</v>
      </c>
      <c r="AD3554">
        <v>1</v>
      </c>
    </row>
    <row r="3555" spans="1:30">
      <c r="A3555" t="str">
        <f>CONCATENATE(I3555,J3555)</f>
        <v>VLSFINANCEEQ</v>
      </c>
      <c r="B3555" s="34">
        <v>46273</v>
      </c>
      <c r="C3555" s="34">
        <v>46273</v>
      </c>
      <c r="D3555" t="s">
        <v>35</v>
      </c>
      <c r="E3555" t="s">
        <v>36</v>
      </c>
      <c r="F3555" t="s">
        <v>37</v>
      </c>
      <c r="G3555">
        <v>3715</v>
      </c>
      <c r="H3555" t="s">
        <v>10735</v>
      </c>
      <c r="I3555" t="s">
        <v>10736</v>
      </c>
      <c r="J3555" t="s">
        <v>161</v>
      </c>
      <c r="O3555" t="s">
        <v>10737</v>
      </c>
      <c r="P3555">
        <v>245.01</v>
      </c>
      <c r="Q3555">
        <v>248.8</v>
      </c>
      <c r="R3555">
        <v>244.75</v>
      </c>
      <c r="S3555">
        <v>246.08</v>
      </c>
      <c r="T3555">
        <v>247.9</v>
      </c>
      <c r="U3555">
        <v>244.43</v>
      </c>
      <c r="W3555">
        <v>246.11</v>
      </c>
      <c r="Z3555">
        <v>7058</v>
      </c>
      <c r="AA3555">
        <v>1734418.82</v>
      </c>
      <c r="AB3555">
        <v>275</v>
      </c>
      <c r="AC3555" t="s">
        <v>42</v>
      </c>
      <c r="AD3555">
        <v>1</v>
      </c>
    </row>
    <row r="3556" spans="1:30">
      <c r="A3556" t="str">
        <f>CONCATENATE(I3556,J3556)</f>
        <v>VMARTEQ</v>
      </c>
      <c r="B3556" s="34">
        <v>46273</v>
      </c>
      <c r="C3556" s="34">
        <v>46273</v>
      </c>
      <c r="D3556" t="s">
        <v>35</v>
      </c>
      <c r="E3556" t="s">
        <v>36</v>
      </c>
      <c r="F3556" t="s">
        <v>37</v>
      </c>
      <c r="G3556">
        <v>29284</v>
      </c>
      <c r="H3556" t="s">
        <v>10738</v>
      </c>
      <c r="I3556" t="s">
        <v>10739</v>
      </c>
      <c r="J3556" t="s">
        <v>161</v>
      </c>
      <c r="O3556" t="s">
        <v>10740</v>
      </c>
      <c r="P3556">
        <v>834.4</v>
      </c>
      <c r="Q3556">
        <v>834.4</v>
      </c>
      <c r="R3556">
        <v>823.5</v>
      </c>
      <c r="S3556">
        <v>824.65</v>
      </c>
      <c r="T3556">
        <v>823.5</v>
      </c>
      <c r="U3556">
        <v>826.2</v>
      </c>
      <c r="W3556">
        <v>824.6</v>
      </c>
      <c r="Z3556">
        <v>67280</v>
      </c>
      <c r="AA3556">
        <v>55542122.899999999</v>
      </c>
      <c r="AB3556">
        <v>3226</v>
      </c>
      <c r="AC3556" t="s">
        <v>42</v>
      </c>
      <c r="AD3556">
        <v>1</v>
      </c>
    </row>
    <row r="3557" spans="1:30">
      <c r="A3557" t="str">
        <f>CONCATENATE(I3557,J3557)</f>
        <v>VMSTMTEQ</v>
      </c>
      <c r="B3557" s="34">
        <v>46273</v>
      </c>
      <c r="C3557" s="34">
        <v>46273</v>
      </c>
      <c r="D3557" t="s">
        <v>35</v>
      </c>
      <c r="E3557" t="s">
        <v>36</v>
      </c>
      <c r="F3557" t="s">
        <v>37</v>
      </c>
      <c r="G3557">
        <v>759152</v>
      </c>
      <c r="H3557" t="s">
        <v>10741</v>
      </c>
      <c r="I3557" t="s">
        <v>10742</v>
      </c>
      <c r="J3557" t="s">
        <v>161</v>
      </c>
      <c r="O3557" t="s">
        <v>10743</v>
      </c>
      <c r="P3557">
        <v>44.45</v>
      </c>
      <c r="Q3557">
        <v>45.37</v>
      </c>
      <c r="R3557">
        <v>44.2</v>
      </c>
      <c r="S3557">
        <v>44.83</v>
      </c>
      <c r="T3557">
        <v>45.15</v>
      </c>
      <c r="U3557">
        <v>44.58</v>
      </c>
      <c r="W3557">
        <v>44.83</v>
      </c>
      <c r="Z3557">
        <v>25350</v>
      </c>
      <c r="AA3557">
        <v>1134268</v>
      </c>
      <c r="AB3557">
        <v>296</v>
      </c>
      <c r="AC3557" t="s">
        <v>42</v>
      </c>
      <c r="AD3557">
        <v>1</v>
      </c>
    </row>
    <row r="3558" spans="1:30">
      <c r="A3558" t="str">
        <f>CONCATENATE(I3558,J3558)</f>
        <v>IDEAEQ</v>
      </c>
      <c r="B3558" s="34">
        <v>46273</v>
      </c>
      <c r="C3558" s="34">
        <v>46273</v>
      </c>
      <c r="D3558" t="s">
        <v>35</v>
      </c>
      <c r="E3558" t="s">
        <v>36</v>
      </c>
      <c r="F3558" t="s">
        <v>37</v>
      </c>
      <c r="G3558">
        <v>14366</v>
      </c>
      <c r="H3558" t="s">
        <v>10744</v>
      </c>
      <c r="I3558" t="s">
        <v>10745</v>
      </c>
      <c r="J3558" t="s">
        <v>161</v>
      </c>
      <c r="O3558" t="s">
        <v>10746</v>
      </c>
      <c r="P3558">
        <v>15.58</v>
      </c>
      <c r="Q3558">
        <v>15.58</v>
      </c>
      <c r="R3558">
        <v>15.31</v>
      </c>
      <c r="S3558">
        <v>15.42</v>
      </c>
      <c r="T3558">
        <v>15.42</v>
      </c>
      <c r="U3558">
        <v>15.6</v>
      </c>
      <c r="W3558">
        <v>15.42</v>
      </c>
      <c r="Z3558">
        <v>355940344</v>
      </c>
      <c r="AA3558">
        <v>5495731515.5200005</v>
      </c>
      <c r="AB3558">
        <v>593867</v>
      </c>
      <c r="AC3558" t="s">
        <v>42</v>
      </c>
      <c r="AD3558">
        <v>1</v>
      </c>
    </row>
    <row r="3559" spans="1:30">
      <c r="A3559" t="str">
        <f>CONCATENATE(I3559,J3559)</f>
        <v>VOITHPAPREQ</v>
      </c>
      <c r="B3559" s="34">
        <v>46273</v>
      </c>
      <c r="C3559" s="34">
        <v>46273</v>
      </c>
      <c r="D3559" t="s">
        <v>35</v>
      </c>
      <c r="E3559" t="s">
        <v>36</v>
      </c>
      <c r="F3559" t="s">
        <v>37</v>
      </c>
      <c r="G3559">
        <v>765000</v>
      </c>
      <c r="H3559" t="s">
        <v>10747</v>
      </c>
      <c r="I3559" t="s">
        <v>10748</v>
      </c>
      <c r="J3559" t="s">
        <v>161</v>
      </c>
      <c r="O3559" t="s">
        <v>10749</v>
      </c>
      <c r="P3559">
        <v>1480</v>
      </c>
      <c r="Q3559">
        <v>1493</v>
      </c>
      <c r="R3559">
        <v>1465</v>
      </c>
      <c r="S3559">
        <v>1490.8</v>
      </c>
      <c r="T3559">
        <v>1492</v>
      </c>
      <c r="U3559">
        <v>1475.5</v>
      </c>
      <c r="W3559">
        <v>1493.93</v>
      </c>
      <c r="Z3559">
        <v>189</v>
      </c>
      <c r="AA3559">
        <v>279179.7</v>
      </c>
      <c r="AB3559">
        <v>27</v>
      </c>
      <c r="AC3559" t="s">
        <v>42</v>
      </c>
      <c r="AD3559">
        <v>1</v>
      </c>
    </row>
    <row r="3560" spans="1:30">
      <c r="A3560" t="str">
        <f>CONCATENATE(I3560,J3560)</f>
        <v>VOLERCARSM</v>
      </c>
      <c r="B3560" s="34">
        <v>46273</v>
      </c>
      <c r="C3560" s="34">
        <v>46273</v>
      </c>
      <c r="D3560" t="s">
        <v>35</v>
      </c>
      <c r="E3560" t="s">
        <v>36</v>
      </c>
      <c r="F3560" t="s">
        <v>37</v>
      </c>
      <c r="G3560">
        <v>29658</v>
      </c>
      <c r="H3560" t="s">
        <v>10750</v>
      </c>
      <c r="I3560" t="s">
        <v>10751</v>
      </c>
      <c r="J3560" t="s">
        <v>267</v>
      </c>
      <c r="O3560" t="s">
        <v>10752</v>
      </c>
      <c r="P3560">
        <v>233</v>
      </c>
      <c r="Q3560">
        <v>236</v>
      </c>
      <c r="R3560">
        <v>232</v>
      </c>
      <c r="S3560">
        <v>232.45</v>
      </c>
      <c r="T3560">
        <v>232.45</v>
      </c>
      <c r="U3560">
        <v>235.9</v>
      </c>
      <c r="W3560">
        <v>232.45</v>
      </c>
      <c r="Z3560">
        <v>32000</v>
      </c>
      <c r="AA3560">
        <v>7468800</v>
      </c>
      <c r="AB3560">
        <v>38</v>
      </c>
      <c r="AC3560" t="s">
        <v>42</v>
      </c>
      <c r="AD3560">
        <v>800</v>
      </c>
    </row>
    <row r="3561" spans="1:30">
      <c r="A3561" t="str">
        <f>CONCATENATE(I3561,J3561)</f>
        <v>VOLTAMPEQ</v>
      </c>
      <c r="B3561" s="34">
        <v>46273</v>
      </c>
      <c r="C3561" s="34">
        <v>46273</v>
      </c>
      <c r="D3561" t="s">
        <v>35</v>
      </c>
      <c r="E3561" t="s">
        <v>36</v>
      </c>
      <c r="F3561" t="s">
        <v>37</v>
      </c>
      <c r="G3561">
        <v>13577</v>
      </c>
      <c r="H3561" t="s">
        <v>10753</v>
      </c>
      <c r="I3561" t="s">
        <v>10754</v>
      </c>
      <c r="J3561" t="s">
        <v>161</v>
      </c>
      <c r="O3561" t="s">
        <v>10755</v>
      </c>
      <c r="P3561">
        <v>11098</v>
      </c>
      <c r="Q3561">
        <v>11401</v>
      </c>
      <c r="R3561">
        <v>11031</v>
      </c>
      <c r="S3561">
        <v>11365</v>
      </c>
      <c r="T3561">
        <v>11401</v>
      </c>
      <c r="U3561">
        <v>11067</v>
      </c>
      <c r="W3561">
        <v>11363.88</v>
      </c>
      <c r="Z3561">
        <v>26698</v>
      </c>
      <c r="AA3561">
        <v>301013657</v>
      </c>
      <c r="AB3561">
        <v>9821</v>
      </c>
      <c r="AC3561" t="s">
        <v>42</v>
      </c>
      <c r="AD3561">
        <v>1</v>
      </c>
    </row>
    <row r="3562" spans="1:30">
      <c r="A3562" t="str">
        <f>CONCATENATE(I3562,J3562)</f>
        <v>VOLTASEQ</v>
      </c>
      <c r="B3562" s="34">
        <v>46273</v>
      </c>
      <c r="C3562" s="34">
        <v>46273</v>
      </c>
      <c r="D3562" t="s">
        <v>35</v>
      </c>
      <c r="E3562" t="s">
        <v>36</v>
      </c>
      <c r="F3562" t="s">
        <v>37</v>
      </c>
      <c r="G3562">
        <v>3718</v>
      </c>
      <c r="H3562" t="s">
        <v>10756</v>
      </c>
      <c r="I3562" t="s">
        <v>10757</v>
      </c>
      <c r="J3562" t="s">
        <v>161</v>
      </c>
      <c r="O3562" t="s">
        <v>10758</v>
      </c>
      <c r="P3562">
        <v>1165</v>
      </c>
      <c r="Q3562">
        <v>1169.2</v>
      </c>
      <c r="R3562">
        <v>1141.3</v>
      </c>
      <c r="S3562">
        <v>1144.8</v>
      </c>
      <c r="T3562">
        <v>1144.8</v>
      </c>
      <c r="U3562">
        <v>1167.2</v>
      </c>
      <c r="W3562">
        <v>1144.8</v>
      </c>
      <c r="Z3562">
        <v>819033</v>
      </c>
      <c r="AA3562">
        <v>940661662.60000002</v>
      </c>
      <c r="AB3562">
        <v>26674</v>
      </c>
      <c r="AC3562" t="s">
        <v>42</v>
      </c>
      <c r="AD3562">
        <v>1</v>
      </c>
    </row>
    <row r="3563" spans="1:30">
      <c r="A3563" t="str">
        <f>CONCATENATE(I3563,J3563)</f>
        <v>VRAJEQ</v>
      </c>
      <c r="B3563" s="34">
        <v>46273</v>
      </c>
      <c r="C3563" s="34">
        <v>46273</v>
      </c>
      <c r="D3563" t="s">
        <v>35</v>
      </c>
      <c r="E3563" t="s">
        <v>36</v>
      </c>
      <c r="F3563" t="s">
        <v>37</v>
      </c>
      <c r="G3563">
        <v>24321</v>
      </c>
      <c r="H3563" t="s">
        <v>10759</v>
      </c>
      <c r="I3563" t="s">
        <v>10760</v>
      </c>
      <c r="J3563" t="s">
        <v>161</v>
      </c>
      <c r="O3563" t="s">
        <v>10761</v>
      </c>
      <c r="P3563">
        <v>123.7</v>
      </c>
      <c r="Q3563">
        <v>123.7</v>
      </c>
      <c r="R3563">
        <v>121</v>
      </c>
      <c r="S3563">
        <v>121.44</v>
      </c>
      <c r="T3563">
        <v>122.68</v>
      </c>
      <c r="U3563">
        <v>122.14</v>
      </c>
      <c r="W3563">
        <v>121.44</v>
      </c>
      <c r="Z3563">
        <v>11216</v>
      </c>
      <c r="AA3563">
        <v>1366489.8</v>
      </c>
      <c r="AB3563">
        <v>277</v>
      </c>
      <c r="AC3563" t="s">
        <v>42</v>
      </c>
      <c r="AD3563">
        <v>1</v>
      </c>
    </row>
    <row r="3564" spans="1:30">
      <c r="A3564" t="str">
        <f>CONCATENATE(I3564,J3564)</f>
        <v>VRLLOGEQ</v>
      </c>
      <c r="B3564" s="34">
        <v>46273</v>
      </c>
      <c r="C3564" s="34">
        <v>46273</v>
      </c>
      <c r="D3564" t="s">
        <v>35</v>
      </c>
      <c r="E3564" t="s">
        <v>36</v>
      </c>
      <c r="F3564" t="s">
        <v>37</v>
      </c>
      <c r="G3564">
        <v>8696</v>
      </c>
      <c r="H3564" t="s">
        <v>10762</v>
      </c>
      <c r="I3564" t="s">
        <v>10763</v>
      </c>
      <c r="J3564" t="s">
        <v>161</v>
      </c>
      <c r="O3564" t="s">
        <v>10764</v>
      </c>
      <c r="P3564">
        <v>294</v>
      </c>
      <c r="Q3564">
        <v>296.89999999999998</v>
      </c>
      <c r="R3564">
        <v>292.8</v>
      </c>
      <c r="S3564">
        <v>293.75</v>
      </c>
      <c r="T3564">
        <v>294.64999999999998</v>
      </c>
      <c r="U3564">
        <v>292.75</v>
      </c>
      <c r="W3564">
        <v>293.76</v>
      </c>
      <c r="Z3564">
        <v>83373</v>
      </c>
      <c r="AA3564">
        <v>24559139.399999999</v>
      </c>
      <c r="AB3564">
        <v>5142</v>
      </c>
      <c r="AC3564" t="s">
        <v>42</v>
      </c>
      <c r="AD3564">
        <v>1</v>
      </c>
    </row>
    <row r="3565" spans="1:30">
      <c r="A3565" t="str">
        <f>CONCATENATE(I3565,J3565)</f>
        <v>VSTINDEQ</v>
      </c>
      <c r="B3565" s="34">
        <v>46273</v>
      </c>
      <c r="C3565" s="34">
        <v>46273</v>
      </c>
      <c r="D3565" t="s">
        <v>35</v>
      </c>
      <c r="E3565" t="s">
        <v>36</v>
      </c>
      <c r="F3565" t="s">
        <v>37</v>
      </c>
      <c r="G3565">
        <v>3724</v>
      </c>
      <c r="H3565" t="s">
        <v>10765</v>
      </c>
      <c r="I3565" t="s">
        <v>10766</v>
      </c>
      <c r="J3565" t="s">
        <v>161</v>
      </c>
      <c r="O3565" t="s">
        <v>10767</v>
      </c>
      <c r="P3565">
        <v>206.96</v>
      </c>
      <c r="Q3565">
        <v>207.5</v>
      </c>
      <c r="R3565">
        <v>205.5</v>
      </c>
      <c r="S3565">
        <v>206.74</v>
      </c>
      <c r="T3565">
        <v>207.5</v>
      </c>
      <c r="U3565">
        <v>206.96</v>
      </c>
      <c r="W3565">
        <v>206.74</v>
      </c>
      <c r="Z3565">
        <v>87161</v>
      </c>
      <c r="AA3565">
        <v>17974881.34</v>
      </c>
      <c r="AB3565">
        <v>3400</v>
      </c>
      <c r="AC3565" t="s">
        <v>42</v>
      </c>
      <c r="AD3565">
        <v>1</v>
      </c>
    </row>
    <row r="3566" spans="1:30">
      <c r="A3566" t="str">
        <f>CONCATENATE(I3566,J3566)</f>
        <v>VSTTILLERSEQ</v>
      </c>
      <c r="B3566" s="34">
        <v>46273</v>
      </c>
      <c r="C3566" s="34">
        <v>46273</v>
      </c>
      <c r="D3566" t="s">
        <v>35</v>
      </c>
      <c r="E3566" t="s">
        <v>36</v>
      </c>
      <c r="F3566" t="s">
        <v>37</v>
      </c>
      <c r="G3566">
        <v>24292</v>
      </c>
      <c r="H3566" t="s">
        <v>10768</v>
      </c>
      <c r="I3566" t="s">
        <v>10769</v>
      </c>
      <c r="J3566" t="s">
        <v>161</v>
      </c>
      <c r="O3566" t="s">
        <v>10770</v>
      </c>
      <c r="P3566">
        <v>4145.8999999999996</v>
      </c>
      <c r="Q3566">
        <v>4163.8999999999996</v>
      </c>
      <c r="R3566">
        <v>4119.2</v>
      </c>
      <c r="S3566">
        <v>4127.5</v>
      </c>
      <c r="T3566">
        <v>4139.7</v>
      </c>
      <c r="U3566">
        <v>4131.8999999999996</v>
      </c>
      <c r="W3566">
        <v>4125.29</v>
      </c>
      <c r="Z3566">
        <v>3982</v>
      </c>
      <c r="AA3566">
        <v>16446628.9</v>
      </c>
      <c r="AB3566">
        <v>1008</v>
      </c>
      <c r="AC3566" t="s">
        <v>42</v>
      </c>
      <c r="AD3566">
        <v>1</v>
      </c>
    </row>
    <row r="3567" spans="1:30">
      <c r="A3567" t="str">
        <f>CONCATENATE(I3567,J3567)</f>
        <v>WHBRADYEQ</v>
      </c>
      <c r="B3567" s="34">
        <v>46273</v>
      </c>
      <c r="C3567" s="34">
        <v>46273</v>
      </c>
      <c r="D3567" t="s">
        <v>35</v>
      </c>
      <c r="E3567" t="s">
        <v>36</v>
      </c>
      <c r="F3567" t="s">
        <v>37</v>
      </c>
      <c r="G3567">
        <v>765005</v>
      </c>
      <c r="H3567" t="s">
        <v>10771</v>
      </c>
      <c r="I3567" t="s">
        <v>10772</v>
      </c>
      <c r="J3567" t="s">
        <v>161</v>
      </c>
      <c r="O3567" t="s">
        <v>10773</v>
      </c>
      <c r="P3567">
        <v>484.3</v>
      </c>
      <c r="Q3567">
        <v>493</v>
      </c>
      <c r="R3567">
        <v>480</v>
      </c>
      <c r="S3567">
        <v>481.5</v>
      </c>
      <c r="T3567">
        <v>486.1</v>
      </c>
      <c r="U3567">
        <v>495.5</v>
      </c>
      <c r="W3567">
        <v>484.46</v>
      </c>
      <c r="Z3567">
        <v>96</v>
      </c>
      <c r="AA3567">
        <v>46585.15</v>
      </c>
      <c r="AB3567">
        <v>23</v>
      </c>
      <c r="AC3567" t="s">
        <v>42</v>
      </c>
      <c r="AD3567">
        <v>1</v>
      </c>
    </row>
    <row r="3568" spans="1:30">
      <c r="A3568" t="str">
        <f>CONCATENATE(I3568,J3568)</f>
        <v>WPILEQ</v>
      </c>
      <c r="B3568" s="34">
        <v>46273</v>
      </c>
      <c r="C3568" s="34">
        <v>46273</v>
      </c>
      <c r="D3568" t="s">
        <v>35</v>
      </c>
      <c r="E3568" t="s">
        <v>36</v>
      </c>
      <c r="F3568" t="s">
        <v>37</v>
      </c>
      <c r="G3568">
        <v>762978</v>
      </c>
      <c r="H3568" t="s">
        <v>10774</v>
      </c>
      <c r="I3568" t="s">
        <v>10775</v>
      </c>
      <c r="J3568" t="s">
        <v>161</v>
      </c>
      <c r="O3568" t="s">
        <v>10776</v>
      </c>
      <c r="P3568">
        <v>435.85</v>
      </c>
      <c r="Q3568">
        <v>436.4</v>
      </c>
      <c r="R3568">
        <v>428</v>
      </c>
      <c r="S3568">
        <v>428.6</v>
      </c>
      <c r="T3568">
        <v>430</v>
      </c>
      <c r="U3568">
        <v>435.3</v>
      </c>
      <c r="W3568">
        <v>428.66</v>
      </c>
      <c r="Z3568">
        <v>20429</v>
      </c>
      <c r="AA3568">
        <v>8811793</v>
      </c>
      <c r="AB3568">
        <v>1147</v>
      </c>
      <c r="AC3568" t="s">
        <v>42</v>
      </c>
      <c r="AD3568">
        <v>1</v>
      </c>
    </row>
    <row r="3569" spans="1:30">
      <c r="A3569" t="str">
        <f>CONCATENATE(I3569,J3569)</f>
        <v>WSIEQ</v>
      </c>
      <c r="B3569" s="34">
        <v>46273</v>
      </c>
      <c r="C3569" s="34">
        <v>46273</v>
      </c>
      <c r="D3569" t="s">
        <v>35</v>
      </c>
      <c r="E3569" t="s">
        <v>36</v>
      </c>
      <c r="F3569" t="s">
        <v>37</v>
      </c>
      <c r="G3569">
        <v>14828</v>
      </c>
      <c r="H3569" t="s">
        <v>10777</v>
      </c>
      <c r="I3569" t="s">
        <v>10778</v>
      </c>
      <c r="J3569" t="s">
        <v>161</v>
      </c>
      <c r="O3569" t="s">
        <v>10779</v>
      </c>
      <c r="P3569">
        <v>60.98</v>
      </c>
      <c r="Q3569">
        <v>61.32</v>
      </c>
      <c r="R3569">
        <v>59.05</v>
      </c>
      <c r="S3569">
        <v>59.75</v>
      </c>
      <c r="T3569">
        <v>59.75</v>
      </c>
      <c r="U3569">
        <v>61</v>
      </c>
      <c r="W3569">
        <v>59.81</v>
      </c>
      <c r="Z3569">
        <v>54961</v>
      </c>
      <c r="AA3569">
        <v>3297545.04</v>
      </c>
      <c r="AB3569">
        <v>1129</v>
      </c>
      <c r="AC3569" t="s">
        <v>42</v>
      </c>
      <c r="AD3569">
        <v>1</v>
      </c>
    </row>
    <row r="3570" spans="1:30">
      <c r="A3570" t="str">
        <f>CONCATENATE(I3570,J3570)</f>
        <v>WAAREEENEREQ</v>
      </c>
      <c r="B3570" s="34">
        <v>46273</v>
      </c>
      <c r="C3570" s="34">
        <v>46273</v>
      </c>
      <c r="D3570" t="s">
        <v>35</v>
      </c>
      <c r="E3570" t="s">
        <v>36</v>
      </c>
      <c r="F3570" t="s">
        <v>37</v>
      </c>
      <c r="G3570">
        <v>25907</v>
      </c>
      <c r="H3570" t="s">
        <v>10780</v>
      </c>
      <c r="I3570" t="s">
        <v>10781</v>
      </c>
      <c r="J3570" t="s">
        <v>161</v>
      </c>
      <c r="O3570" t="s">
        <v>10782</v>
      </c>
      <c r="P3570">
        <v>2593</v>
      </c>
      <c r="Q3570">
        <v>2613.5</v>
      </c>
      <c r="R3570">
        <v>2570</v>
      </c>
      <c r="S3570">
        <v>2571</v>
      </c>
      <c r="T3570">
        <v>2571</v>
      </c>
      <c r="U3570">
        <v>2593</v>
      </c>
      <c r="W3570">
        <v>2571.1</v>
      </c>
      <c r="Z3570">
        <v>335895</v>
      </c>
      <c r="AA3570">
        <v>870394512.89999998</v>
      </c>
      <c r="AB3570">
        <v>19599</v>
      </c>
      <c r="AC3570" t="s">
        <v>42</v>
      </c>
      <c r="AD3570">
        <v>1</v>
      </c>
    </row>
    <row r="3571" spans="1:30">
      <c r="A3571" t="str">
        <f>CONCATENATE(I3571,J3571)</f>
        <v>WAAREERTLEQ</v>
      </c>
      <c r="B3571" s="34">
        <v>46273</v>
      </c>
      <c r="C3571" s="34">
        <v>46273</v>
      </c>
      <c r="D3571" t="s">
        <v>35</v>
      </c>
      <c r="E3571" t="s">
        <v>36</v>
      </c>
      <c r="F3571" t="s">
        <v>37</v>
      </c>
      <c r="G3571">
        <v>756038</v>
      </c>
      <c r="H3571" t="s">
        <v>10783</v>
      </c>
      <c r="I3571" t="s">
        <v>10784</v>
      </c>
      <c r="J3571" t="s">
        <v>161</v>
      </c>
      <c r="O3571" t="s">
        <v>10785</v>
      </c>
      <c r="P3571">
        <v>848.35</v>
      </c>
      <c r="Q3571">
        <v>852.6</v>
      </c>
      <c r="R3571">
        <v>843</v>
      </c>
      <c r="S3571">
        <v>845.25</v>
      </c>
      <c r="T3571">
        <v>843.5</v>
      </c>
      <c r="U3571">
        <v>852.6</v>
      </c>
      <c r="W3571">
        <v>845.26</v>
      </c>
      <c r="Z3571">
        <v>78934</v>
      </c>
      <c r="AA3571">
        <v>66811576</v>
      </c>
      <c r="AB3571">
        <v>6059</v>
      </c>
      <c r="AC3571" t="s">
        <v>42</v>
      </c>
      <c r="AD3571">
        <v>1</v>
      </c>
    </row>
    <row r="3572" spans="1:30">
      <c r="A3572" t="str">
        <f>CONCATENATE(I3572,J3572)</f>
        <v>WAKEFITEQ</v>
      </c>
      <c r="B3572" s="34">
        <v>46273</v>
      </c>
      <c r="C3572" s="34">
        <v>46273</v>
      </c>
      <c r="D3572" t="s">
        <v>35</v>
      </c>
      <c r="E3572" t="s">
        <v>36</v>
      </c>
      <c r="F3572" t="s">
        <v>37</v>
      </c>
      <c r="G3572">
        <v>760259</v>
      </c>
      <c r="H3572" t="s">
        <v>10786</v>
      </c>
      <c r="I3572" t="s">
        <v>10787</v>
      </c>
      <c r="J3572" t="s">
        <v>161</v>
      </c>
      <c r="O3572" t="s">
        <v>10788</v>
      </c>
      <c r="P3572">
        <v>156.01</v>
      </c>
      <c r="Q3572">
        <v>156.88999999999999</v>
      </c>
      <c r="R3572">
        <v>152</v>
      </c>
      <c r="S3572">
        <v>153.05000000000001</v>
      </c>
      <c r="T3572">
        <v>152.72</v>
      </c>
      <c r="U3572">
        <v>155.34</v>
      </c>
      <c r="W3572">
        <v>153.05000000000001</v>
      </c>
      <c r="Z3572">
        <v>722263</v>
      </c>
      <c r="AA3572">
        <v>111285905.84</v>
      </c>
      <c r="AB3572">
        <v>9369</v>
      </c>
      <c r="AC3572" t="s">
        <v>42</v>
      </c>
      <c r="AD3572">
        <v>1</v>
      </c>
    </row>
    <row r="3573" spans="1:30">
      <c r="A3573" t="str">
        <f>CONCATENATE(I3573,J3573)</f>
        <v>WALCHANNAGEQ</v>
      </c>
      <c r="B3573" s="34">
        <v>46273</v>
      </c>
      <c r="C3573" s="34">
        <v>46273</v>
      </c>
      <c r="D3573" t="s">
        <v>35</v>
      </c>
      <c r="E3573" t="s">
        <v>36</v>
      </c>
      <c r="F3573" t="s">
        <v>37</v>
      </c>
      <c r="G3573">
        <v>3736</v>
      </c>
      <c r="H3573" t="s">
        <v>10789</v>
      </c>
      <c r="I3573" t="s">
        <v>10790</v>
      </c>
      <c r="J3573" t="s">
        <v>161</v>
      </c>
      <c r="O3573" t="s">
        <v>10791</v>
      </c>
      <c r="P3573">
        <v>226</v>
      </c>
      <c r="Q3573">
        <v>227.98</v>
      </c>
      <c r="R3573">
        <v>214.85</v>
      </c>
      <c r="S3573">
        <v>219.1</v>
      </c>
      <c r="T3573">
        <v>218.7</v>
      </c>
      <c r="U3573">
        <v>223.36</v>
      </c>
      <c r="W3573">
        <v>219.12</v>
      </c>
      <c r="Z3573">
        <v>752985</v>
      </c>
      <c r="AA3573">
        <v>168291989.91</v>
      </c>
      <c r="AB3573">
        <v>11637</v>
      </c>
      <c r="AC3573" t="s">
        <v>42</v>
      </c>
      <c r="AD3573">
        <v>1</v>
      </c>
    </row>
    <row r="3574" spans="1:30">
      <c r="A3574" t="str">
        <f>CONCATENATE(I3574,J3574)</f>
        <v>WALPARSM</v>
      </c>
      <c r="B3574" s="34">
        <v>46273</v>
      </c>
      <c r="C3574" s="34">
        <v>46273</v>
      </c>
      <c r="D3574" t="s">
        <v>35</v>
      </c>
      <c r="E3574" t="s">
        <v>36</v>
      </c>
      <c r="F3574" t="s">
        <v>37</v>
      </c>
      <c r="G3574">
        <v>5013</v>
      </c>
      <c r="H3574" t="s">
        <v>10792</v>
      </c>
      <c r="I3574" t="s">
        <v>10793</v>
      </c>
      <c r="J3574" t="s">
        <v>267</v>
      </c>
      <c r="O3574" t="s">
        <v>10794</v>
      </c>
      <c r="P3574">
        <v>23.05</v>
      </c>
      <c r="Q3574">
        <v>23.05</v>
      </c>
      <c r="R3574">
        <v>23</v>
      </c>
      <c r="S3574">
        <v>23</v>
      </c>
      <c r="T3574">
        <v>23</v>
      </c>
      <c r="U3574">
        <v>23.05</v>
      </c>
      <c r="W3574">
        <v>23</v>
      </c>
      <c r="Z3574">
        <v>14000</v>
      </c>
      <c r="AA3574">
        <v>322500</v>
      </c>
      <c r="AB3574">
        <v>2</v>
      </c>
      <c r="AC3574" t="s">
        <v>42</v>
      </c>
      <c r="AD3574">
        <v>2000</v>
      </c>
    </row>
    <row r="3575" spans="1:30">
      <c r="A3575" t="str">
        <f>CONCATENATE(I3575,J3575)</f>
        <v>WANBURYEQ</v>
      </c>
      <c r="B3575" s="34">
        <v>46273</v>
      </c>
      <c r="C3575" s="34">
        <v>46273</v>
      </c>
      <c r="D3575" t="s">
        <v>35</v>
      </c>
      <c r="E3575" t="s">
        <v>36</v>
      </c>
      <c r="F3575" t="s">
        <v>37</v>
      </c>
      <c r="G3575">
        <v>14063</v>
      </c>
      <c r="H3575" t="s">
        <v>10795</v>
      </c>
      <c r="I3575" t="s">
        <v>10796</v>
      </c>
      <c r="J3575" t="s">
        <v>161</v>
      </c>
      <c r="O3575" t="s">
        <v>10797</v>
      </c>
      <c r="P3575">
        <v>250.8</v>
      </c>
      <c r="Q3575">
        <v>256.7</v>
      </c>
      <c r="R3575">
        <v>246.6</v>
      </c>
      <c r="S3575">
        <v>247.7</v>
      </c>
      <c r="T3575">
        <v>247.25</v>
      </c>
      <c r="U3575">
        <v>250.55</v>
      </c>
      <c r="W3575">
        <v>247.69</v>
      </c>
      <c r="Z3575">
        <v>103951</v>
      </c>
      <c r="AA3575">
        <v>26074060</v>
      </c>
      <c r="AB3575">
        <v>3235</v>
      </c>
      <c r="AC3575" t="s">
        <v>42</v>
      </c>
      <c r="AD3575">
        <v>1</v>
      </c>
    </row>
    <row r="3576" spans="1:30">
      <c r="A3576" t="str">
        <f>CONCATENATE(I3576,J3576)</f>
        <v>WARDINMOBIEQ</v>
      </c>
      <c r="B3576" s="34">
        <v>46273</v>
      </c>
      <c r="C3576" s="34">
        <v>46273</v>
      </c>
      <c r="D3576" t="s">
        <v>35</v>
      </c>
      <c r="E3576" t="s">
        <v>36</v>
      </c>
      <c r="F3576" t="s">
        <v>37</v>
      </c>
      <c r="G3576">
        <v>765225</v>
      </c>
      <c r="H3576" t="s">
        <v>10798</v>
      </c>
      <c r="I3576" t="s">
        <v>10799</v>
      </c>
      <c r="J3576" t="s">
        <v>161</v>
      </c>
      <c r="O3576" t="s">
        <v>10800</v>
      </c>
      <c r="P3576">
        <v>5.89</v>
      </c>
      <c r="Q3576">
        <v>5.91</v>
      </c>
      <c r="R3576">
        <v>5.64</v>
      </c>
      <c r="S3576">
        <v>5.77</v>
      </c>
      <c r="T3576">
        <v>5.82</v>
      </c>
      <c r="U3576">
        <v>5.77</v>
      </c>
      <c r="W3576">
        <v>5.77</v>
      </c>
      <c r="Z3576">
        <v>211281</v>
      </c>
      <c r="AA3576">
        <v>1228118.03</v>
      </c>
      <c r="AB3576">
        <v>727</v>
      </c>
      <c r="AC3576" t="s">
        <v>42</v>
      </c>
      <c r="AD3576">
        <v>1</v>
      </c>
    </row>
    <row r="3577" spans="1:30">
      <c r="A3577" t="str">
        <f>CONCATENATE(I3577,J3577)</f>
        <v>WATERBASEEQ</v>
      </c>
      <c r="B3577" s="34">
        <v>46273</v>
      </c>
      <c r="C3577" s="34">
        <v>46273</v>
      </c>
      <c r="D3577" t="s">
        <v>35</v>
      </c>
      <c r="E3577" t="s">
        <v>36</v>
      </c>
      <c r="F3577" t="s">
        <v>37</v>
      </c>
      <c r="G3577">
        <v>3745</v>
      </c>
      <c r="H3577" t="s">
        <v>10801</v>
      </c>
      <c r="I3577" t="s">
        <v>10802</v>
      </c>
      <c r="J3577" t="s">
        <v>161</v>
      </c>
      <c r="O3577" t="s">
        <v>10803</v>
      </c>
      <c r="P3577">
        <v>48.05</v>
      </c>
      <c r="Q3577">
        <v>49.8</v>
      </c>
      <c r="R3577">
        <v>47.3</v>
      </c>
      <c r="S3577">
        <v>48.03</v>
      </c>
      <c r="T3577">
        <v>47.7</v>
      </c>
      <c r="U3577">
        <v>48.49</v>
      </c>
      <c r="W3577">
        <v>48.01</v>
      </c>
      <c r="Z3577">
        <v>30587</v>
      </c>
      <c r="AA3577">
        <v>1488650.03</v>
      </c>
      <c r="AB3577">
        <v>349</v>
      </c>
      <c r="AC3577" t="s">
        <v>42</v>
      </c>
      <c r="AD3577">
        <v>1</v>
      </c>
    </row>
    <row r="3578" spans="1:30">
      <c r="A3578" t="str">
        <f>CONCATENATE(I3578,J3578)</f>
        <v>CORDELIAEQ</v>
      </c>
      <c r="B3578" s="34">
        <v>46273</v>
      </c>
      <c r="C3578" s="34">
        <v>46273</v>
      </c>
      <c r="D3578" t="s">
        <v>35</v>
      </c>
      <c r="E3578" t="s">
        <v>36</v>
      </c>
      <c r="F3578" t="s">
        <v>37</v>
      </c>
      <c r="G3578">
        <v>762163</v>
      </c>
      <c r="H3578" t="s">
        <v>10804</v>
      </c>
      <c r="I3578" t="s">
        <v>10805</v>
      </c>
      <c r="J3578" t="s">
        <v>161</v>
      </c>
      <c r="O3578" t="s">
        <v>10806</v>
      </c>
      <c r="P3578">
        <v>110</v>
      </c>
      <c r="Q3578">
        <v>110.49</v>
      </c>
      <c r="R3578">
        <v>104.25</v>
      </c>
      <c r="S3578">
        <v>106.72</v>
      </c>
      <c r="T3578">
        <v>106.49</v>
      </c>
      <c r="U3578">
        <v>109.08</v>
      </c>
      <c r="W3578">
        <v>106.72</v>
      </c>
      <c r="Z3578">
        <v>2061326</v>
      </c>
      <c r="AA3578">
        <v>219848861.63999999</v>
      </c>
      <c r="AB3578">
        <v>13635</v>
      </c>
      <c r="AC3578" t="s">
        <v>42</v>
      </c>
      <c r="AD3578">
        <v>1</v>
      </c>
    </row>
    <row r="3579" spans="1:30">
      <c r="A3579" t="str">
        <f>CONCATENATE(I3579,J3579)</f>
        <v>1075WCA28N0</v>
      </c>
      <c r="B3579" s="34">
        <v>46273</v>
      </c>
      <c r="C3579" s="34">
        <v>46273</v>
      </c>
      <c r="D3579" t="s">
        <v>35</v>
      </c>
      <c r="E3579" t="s">
        <v>36</v>
      </c>
      <c r="F3579" t="s">
        <v>37</v>
      </c>
      <c r="G3579">
        <v>759215</v>
      </c>
      <c r="H3579" t="s">
        <v>10807</v>
      </c>
      <c r="I3579" t="s">
        <v>10808</v>
      </c>
      <c r="J3579" t="s">
        <v>514</v>
      </c>
      <c r="O3579" t="s">
        <v>10809</v>
      </c>
      <c r="P3579">
        <v>9500.01</v>
      </c>
      <c r="Q3579">
        <v>9943.2000000000007</v>
      </c>
      <c r="R3579">
        <v>9500</v>
      </c>
      <c r="S3579">
        <v>9943.2000000000007</v>
      </c>
      <c r="T3579">
        <v>9943.2000000000007</v>
      </c>
      <c r="U3579">
        <v>9500</v>
      </c>
      <c r="W3579">
        <v>9943.2000000000007</v>
      </c>
      <c r="Z3579">
        <v>64</v>
      </c>
      <c r="AA3579">
        <v>629425.75</v>
      </c>
      <c r="AB3579">
        <v>9</v>
      </c>
      <c r="AC3579" t="s">
        <v>42</v>
      </c>
      <c r="AD3579">
        <v>1</v>
      </c>
    </row>
    <row r="3580" spans="1:30">
      <c r="A3580" t="str">
        <f>CONCATENATE(I3580,J3580)</f>
        <v>1075WCAP28N0</v>
      </c>
      <c r="B3580" s="34">
        <v>46273</v>
      </c>
      <c r="C3580" s="34">
        <v>46273</v>
      </c>
      <c r="D3580" t="s">
        <v>35</v>
      </c>
      <c r="E3580" t="s">
        <v>36</v>
      </c>
      <c r="F3580" t="s">
        <v>37</v>
      </c>
      <c r="G3580">
        <v>758995</v>
      </c>
      <c r="H3580" t="s">
        <v>10810</v>
      </c>
      <c r="I3580" t="s">
        <v>10811</v>
      </c>
      <c r="J3580" t="s">
        <v>514</v>
      </c>
      <c r="O3580" t="s">
        <v>10809</v>
      </c>
      <c r="P3580">
        <v>98639.83</v>
      </c>
      <c r="Q3580">
        <v>98639.83</v>
      </c>
      <c r="R3580">
        <v>98639.83</v>
      </c>
      <c r="S3580">
        <v>98639.83</v>
      </c>
      <c r="T3580">
        <v>98639.83</v>
      </c>
      <c r="U3580">
        <v>98331</v>
      </c>
      <c r="W3580">
        <v>98639.83</v>
      </c>
      <c r="Z3580">
        <v>2</v>
      </c>
      <c r="AA3580">
        <v>197279.66</v>
      </c>
      <c r="AB3580">
        <v>1</v>
      </c>
      <c r="AC3580" t="s">
        <v>42</v>
      </c>
      <c r="AD3580">
        <v>1</v>
      </c>
    </row>
    <row r="3581" spans="1:30">
      <c r="A3581" t="str">
        <f>CONCATENATE(I3581,J3581)</f>
        <v>WEWINEQ</v>
      </c>
      <c r="B3581" s="34">
        <v>46273</v>
      </c>
      <c r="C3581" s="34">
        <v>46273</v>
      </c>
      <c r="D3581" t="s">
        <v>35</v>
      </c>
      <c r="E3581" t="s">
        <v>36</v>
      </c>
      <c r="F3581" t="s">
        <v>37</v>
      </c>
      <c r="G3581">
        <v>9862</v>
      </c>
      <c r="H3581" t="s">
        <v>10812</v>
      </c>
      <c r="I3581" t="s">
        <v>10813</v>
      </c>
      <c r="J3581" t="s">
        <v>161</v>
      </c>
      <c r="O3581" t="s">
        <v>10814</v>
      </c>
      <c r="P3581">
        <v>41.97</v>
      </c>
      <c r="Q3581">
        <v>42.85</v>
      </c>
      <c r="R3581">
        <v>41.5</v>
      </c>
      <c r="S3581">
        <v>41.85</v>
      </c>
      <c r="T3581">
        <v>41.79</v>
      </c>
      <c r="U3581">
        <v>41.97</v>
      </c>
      <c r="W3581">
        <v>41.85</v>
      </c>
      <c r="Z3581">
        <v>888</v>
      </c>
      <c r="AA3581">
        <v>37333.879999999997</v>
      </c>
      <c r="AB3581">
        <v>26</v>
      </c>
      <c r="AC3581" t="s">
        <v>42</v>
      </c>
      <c r="AD3581">
        <v>1</v>
      </c>
    </row>
    <row r="3582" spans="1:30">
      <c r="A3582" t="str">
        <f>CONCATENATE(I3582,J3582)</f>
        <v>TWCGOLDETFEQ</v>
      </c>
      <c r="B3582" s="34">
        <v>46273</v>
      </c>
      <c r="C3582" s="34">
        <v>46273</v>
      </c>
      <c r="D3582" t="s">
        <v>35</v>
      </c>
      <c r="E3582" t="s">
        <v>36</v>
      </c>
      <c r="F3582" t="s">
        <v>37</v>
      </c>
      <c r="G3582">
        <v>760482</v>
      </c>
      <c r="H3582" t="s">
        <v>10815</v>
      </c>
      <c r="I3582" t="s">
        <v>10816</v>
      </c>
      <c r="J3582" t="s">
        <v>161</v>
      </c>
      <c r="O3582" t="s">
        <v>10817</v>
      </c>
      <c r="P3582">
        <v>158.9</v>
      </c>
      <c r="Q3582">
        <v>158.9</v>
      </c>
      <c r="R3582">
        <v>151.04</v>
      </c>
      <c r="S3582">
        <v>151.52000000000001</v>
      </c>
      <c r="T3582">
        <v>151.24</v>
      </c>
      <c r="U3582">
        <v>151.22</v>
      </c>
      <c r="W3582">
        <v>151.52000000000001</v>
      </c>
      <c r="Z3582">
        <v>2782</v>
      </c>
      <c r="AA3582">
        <v>421782.52</v>
      </c>
      <c r="AB3582">
        <v>77</v>
      </c>
      <c r="AC3582" t="s">
        <v>42</v>
      </c>
      <c r="AD3582">
        <v>1</v>
      </c>
    </row>
    <row r="3583" spans="1:30">
      <c r="A3583" t="str">
        <f>CONCATENATE(I3583,J3583)</f>
        <v>WEALTHEQ</v>
      </c>
      <c r="B3583" s="34">
        <v>46273</v>
      </c>
      <c r="C3583" s="34">
        <v>46273</v>
      </c>
      <c r="D3583" t="s">
        <v>35</v>
      </c>
      <c r="E3583" t="s">
        <v>36</v>
      </c>
      <c r="F3583" t="s">
        <v>37</v>
      </c>
      <c r="G3583">
        <v>1923</v>
      </c>
      <c r="H3583" t="s">
        <v>10818</v>
      </c>
      <c r="I3583" t="s">
        <v>10819</v>
      </c>
      <c r="J3583" t="s">
        <v>161</v>
      </c>
      <c r="O3583" t="s">
        <v>10820</v>
      </c>
      <c r="P3583">
        <v>839.3</v>
      </c>
      <c r="Q3583">
        <v>844.8</v>
      </c>
      <c r="R3583">
        <v>831.6</v>
      </c>
      <c r="S3583">
        <v>835.75</v>
      </c>
      <c r="T3583">
        <v>835</v>
      </c>
      <c r="U3583">
        <v>839.25</v>
      </c>
      <c r="W3583">
        <v>827.54</v>
      </c>
      <c r="Z3583">
        <v>964</v>
      </c>
      <c r="AA3583">
        <v>807919.45</v>
      </c>
      <c r="AB3583">
        <v>96</v>
      </c>
      <c r="AC3583" t="s">
        <v>42</v>
      </c>
      <c r="AD3583">
        <v>1</v>
      </c>
    </row>
    <row r="3584" spans="1:30">
      <c r="A3584" t="str">
        <f>CONCATENATE(I3584,J3584)</f>
        <v>WEBELSOLAREQ</v>
      </c>
      <c r="B3584" s="34">
        <v>46273</v>
      </c>
      <c r="C3584" s="34">
        <v>46273</v>
      </c>
      <c r="D3584" t="s">
        <v>35</v>
      </c>
      <c r="E3584" t="s">
        <v>36</v>
      </c>
      <c r="F3584" t="s">
        <v>37</v>
      </c>
      <c r="G3584">
        <v>14602</v>
      </c>
      <c r="H3584" t="s">
        <v>10821</v>
      </c>
      <c r="I3584" t="s">
        <v>10822</v>
      </c>
      <c r="J3584" t="s">
        <v>161</v>
      </c>
      <c r="O3584" t="s">
        <v>10823</v>
      </c>
      <c r="P3584">
        <v>75</v>
      </c>
      <c r="Q3584">
        <v>76.12</v>
      </c>
      <c r="R3584">
        <v>74.3</v>
      </c>
      <c r="S3584">
        <v>75.010000000000005</v>
      </c>
      <c r="T3584">
        <v>75.400000000000006</v>
      </c>
      <c r="U3584">
        <v>75.209999999999994</v>
      </c>
      <c r="W3584">
        <v>75.010000000000005</v>
      </c>
      <c r="Z3584">
        <v>1637073</v>
      </c>
      <c r="AA3584">
        <v>122874266.52</v>
      </c>
      <c r="AB3584">
        <v>10856</v>
      </c>
      <c r="AC3584" t="s">
        <v>42</v>
      </c>
      <c r="AD3584">
        <v>1</v>
      </c>
    </row>
    <row r="3585" spans="1:30">
      <c r="A3585" t="str">
        <f>CONCATENATE(I3585,J3585)</f>
        <v>WEIZMANINDEQ</v>
      </c>
      <c r="B3585" s="34">
        <v>46273</v>
      </c>
      <c r="C3585" s="34">
        <v>46273</v>
      </c>
      <c r="D3585" t="s">
        <v>35</v>
      </c>
      <c r="E3585" t="s">
        <v>36</v>
      </c>
      <c r="F3585" t="s">
        <v>37</v>
      </c>
      <c r="G3585">
        <v>3748</v>
      </c>
      <c r="H3585" t="s">
        <v>10824</v>
      </c>
      <c r="I3585" t="s">
        <v>10825</v>
      </c>
      <c r="J3585" t="s">
        <v>161</v>
      </c>
      <c r="O3585" t="s">
        <v>10826</v>
      </c>
      <c r="P3585">
        <v>73.400000000000006</v>
      </c>
      <c r="Q3585">
        <v>75</v>
      </c>
      <c r="R3585">
        <v>73.290000000000006</v>
      </c>
      <c r="S3585">
        <v>73.61</v>
      </c>
      <c r="T3585">
        <v>73.61</v>
      </c>
      <c r="U3585">
        <v>73.37</v>
      </c>
      <c r="W3585">
        <v>73.61</v>
      </c>
      <c r="Z3585">
        <v>1221</v>
      </c>
      <c r="AA3585">
        <v>89665.29</v>
      </c>
      <c r="AB3585">
        <v>20</v>
      </c>
      <c r="AC3585" t="s">
        <v>42</v>
      </c>
      <c r="AD3585">
        <v>1</v>
      </c>
    </row>
    <row r="3586" spans="1:30">
      <c r="A3586" t="str">
        <f>CONCATENATE(I3586,J3586)</f>
        <v>WELCORPEQ</v>
      </c>
      <c r="B3586" s="34">
        <v>46273</v>
      </c>
      <c r="C3586" s="34">
        <v>46273</v>
      </c>
      <c r="D3586" t="s">
        <v>35</v>
      </c>
      <c r="E3586" t="s">
        <v>36</v>
      </c>
      <c r="F3586" t="s">
        <v>37</v>
      </c>
      <c r="G3586">
        <v>11821</v>
      </c>
      <c r="H3586" t="s">
        <v>10827</v>
      </c>
      <c r="I3586" t="s">
        <v>10828</v>
      </c>
      <c r="J3586" t="s">
        <v>161</v>
      </c>
      <c r="O3586" t="s">
        <v>10829</v>
      </c>
      <c r="P3586">
        <v>2611.1</v>
      </c>
      <c r="Q3586">
        <v>2641.7</v>
      </c>
      <c r="R3586">
        <v>2575.5</v>
      </c>
      <c r="S3586">
        <v>2599.5</v>
      </c>
      <c r="T3586">
        <v>2600</v>
      </c>
      <c r="U3586">
        <v>2597.9</v>
      </c>
      <c r="W3586">
        <v>2599.46</v>
      </c>
      <c r="Z3586">
        <v>1053885</v>
      </c>
      <c r="AA3586">
        <v>2748299779</v>
      </c>
      <c r="AB3586">
        <v>83512</v>
      </c>
      <c r="AC3586" t="s">
        <v>42</v>
      </c>
      <c r="AD3586">
        <v>1</v>
      </c>
    </row>
    <row r="3587" spans="1:30">
      <c r="A3587" t="str">
        <f>CONCATENATE(I3587,J3587)</f>
        <v>WELENTEQ</v>
      </c>
      <c r="B3587" s="34">
        <v>46273</v>
      </c>
      <c r="C3587" s="34">
        <v>46273</v>
      </c>
      <c r="D3587" t="s">
        <v>35</v>
      </c>
      <c r="E3587" t="s">
        <v>36</v>
      </c>
      <c r="F3587" t="s">
        <v>37</v>
      </c>
      <c r="G3587">
        <v>11626</v>
      </c>
      <c r="H3587" t="s">
        <v>10830</v>
      </c>
      <c r="I3587" t="s">
        <v>10831</v>
      </c>
      <c r="J3587" t="s">
        <v>161</v>
      </c>
      <c r="O3587" t="s">
        <v>10832</v>
      </c>
      <c r="P3587">
        <v>791.95</v>
      </c>
      <c r="Q3587">
        <v>800</v>
      </c>
      <c r="R3587">
        <v>778.8</v>
      </c>
      <c r="S3587">
        <v>790</v>
      </c>
      <c r="T3587">
        <v>788.3</v>
      </c>
      <c r="U3587">
        <v>783.5</v>
      </c>
      <c r="W3587">
        <v>789.99</v>
      </c>
      <c r="Z3587">
        <v>285056</v>
      </c>
      <c r="AA3587">
        <v>225527762.75</v>
      </c>
      <c r="AB3587">
        <v>11683</v>
      </c>
      <c r="AC3587" t="s">
        <v>42</v>
      </c>
      <c r="AD3587">
        <v>1</v>
      </c>
    </row>
    <row r="3588" spans="1:30">
      <c r="A3588" t="str">
        <f>CONCATENATE(I3588,J3588)</f>
        <v>WELINVBE</v>
      </c>
      <c r="B3588" s="34">
        <v>46273</v>
      </c>
      <c r="C3588" s="34">
        <v>46273</v>
      </c>
      <c r="D3588" t="s">
        <v>35</v>
      </c>
      <c r="E3588" t="s">
        <v>36</v>
      </c>
      <c r="F3588" t="s">
        <v>37</v>
      </c>
      <c r="G3588">
        <v>19804</v>
      </c>
      <c r="H3588" t="s">
        <v>10833</v>
      </c>
      <c r="I3588" t="s">
        <v>10834</v>
      </c>
      <c r="J3588" t="s">
        <v>183</v>
      </c>
      <c r="O3588" t="s">
        <v>10835</v>
      </c>
      <c r="P3588">
        <v>2320.8000000000002</v>
      </c>
      <c r="Q3588">
        <v>2320.8000000000002</v>
      </c>
      <c r="R3588">
        <v>2320.6999999999998</v>
      </c>
      <c r="S3588">
        <v>2320.6999999999998</v>
      </c>
      <c r="T3588">
        <v>2320.6999999999998</v>
      </c>
      <c r="U3588">
        <v>2275.3000000000002</v>
      </c>
      <c r="W3588">
        <v>2320.6999999999998</v>
      </c>
      <c r="Z3588">
        <v>351</v>
      </c>
      <c r="AA3588">
        <v>814600.7</v>
      </c>
      <c r="AB3588">
        <v>14</v>
      </c>
      <c r="AC3588" t="s">
        <v>42</v>
      </c>
      <c r="AD3588">
        <v>1</v>
      </c>
    </row>
    <row r="3589" spans="1:30">
      <c r="A3589" t="str">
        <f>CONCATENATE(I3589,J3589)</f>
        <v>WELSPUNLIVEQ</v>
      </c>
      <c r="B3589" s="34">
        <v>46273</v>
      </c>
      <c r="C3589" s="34">
        <v>46273</v>
      </c>
      <c r="D3589" t="s">
        <v>35</v>
      </c>
      <c r="E3589" t="s">
        <v>36</v>
      </c>
      <c r="F3589" t="s">
        <v>37</v>
      </c>
      <c r="G3589">
        <v>11253</v>
      </c>
      <c r="H3589" t="s">
        <v>10836</v>
      </c>
      <c r="I3589" t="s">
        <v>10837</v>
      </c>
      <c r="J3589" t="s">
        <v>161</v>
      </c>
      <c r="O3589" t="s">
        <v>10838</v>
      </c>
      <c r="P3589">
        <v>212</v>
      </c>
      <c r="Q3589">
        <v>212.8</v>
      </c>
      <c r="R3589">
        <v>204.52</v>
      </c>
      <c r="S3589">
        <v>207.87</v>
      </c>
      <c r="T3589">
        <v>208.8</v>
      </c>
      <c r="U3589">
        <v>211.95</v>
      </c>
      <c r="W3589">
        <v>207.86</v>
      </c>
      <c r="Z3589">
        <v>3413743</v>
      </c>
      <c r="AA3589">
        <v>707573227.20000005</v>
      </c>
      <c r="AB3589">
        <v>39119</v>
      </c>
      <c r="AC3589" t="s">
        <v>42</v>
      </c>
      <c r="AD3589">
        <v>1</v>
      </c>
    </row>
    <row r="3590" spans="1:30">
      <c r="A3590" t="str">
        <f>CONCATENATE(I3590,J3590)</f>
        <v>WELSPLSOLEQ</v>
      </c>
      <c r="B3590" s="34">
        <v>46273</v>
      </c>
      <c r="C3590" s="34">
        <v>46273</v>
      </c>
      <c r="D3590" t="s">
        <v>35</v>
      </c>
      <c r="E3590" t="s">
        <v>36</v>
      </c>
      <c r="F3590" t="s">
        <v>37</v>
      </c>
      <c r="G3590">
        <v>762971</v>
      </c>
      <c r="H3590" t="s">
        <v>10839</v>
      </c>
      <c r="I3590" t="s">
        <v>10840</v>
      </c>
      <c r="J3590" t="s">
        <v>161</v>
      </c>
      <c r="O3590" t="s">
        <v>10841</v>
      </c>
      <c r="P3590">
        <v>59</v>
      </c>
      <c r="Q3590">
        <v>59.28</v>
      </c>
      <c r="R3590">
        <v>56.55</v>
      </c>
      <c r="S3590">
        <v>57.11</v>
      </c>
      <c r="T3590">
        <v>57.8</v>
      </c>
      <c r="U3590">
        <v>58.99</v>
      </c>
      <c r="W3590">
        <v>57.12</v>
      </c>
      <c r="Z3590">
        <v>788167</v>
      </c>
      <c r="AA3590">
        <v>45423048.060000002</v>
      </c>
      <c r="AB3590">
        <v>5822</v>
      </c>
      <c r="AC3590" t="s">
        <v>42</v>
      </c>
      <c r="AD3590">
        <v>1</v>
      </c>
    </row>
    <row r="3591" spans="1:30">
      <c r="A3591" t="str">
        <f>CONCATENATE(I3591,J3591)</f>
        <v>WENDTEQ</v>
      </c>
      <c r="B3591" s="34">
        <v>46273</v>
      </c>
      <c r="C3591" s="34">
        <v>46273</v>
      </c>
      <c r="D3591" t="s">
        <v>35</v>
      </c>
      <c r="E3591" t="s">
        <v>36</v>
      </c>
      <c r="F3591" t="s">
        <v>37</v>
      </c>
      <c r="G3591">
        <v>4235</v>
      </c>
      <c r="H3591" t="s">
        <v>10842</v>
      </c>
      <c r="I3591" t="s">
        <v>10843</v>
      </c>
      <c r="J3591" t="s">
        <v>161</v>
      </c>
      <c r="O3591" t="s">
        <v>10844</v>
      </c>
      <c r="P3591">
        <v>8350</v>
      </c>
      <c r="Q3591">
        <v>8578</v>
      </c>
      <c r="R3591">
        <v>8290</v>
      </c>
      <c r="S3591">
        <v>8419</v>
      </c>
      <c r="T3591">
        <v>8450</v>
      </c>
      <c r="U3591">
        <v>8340</v>
      </c>
      <c r="W3591">
        <v>8419.59</v>
      </c>
      <c r="Z3591">
        <v>9265</v>
      </c>
      <c r="AA3591">
        <v>78115904.5</v>
      </c>
      <c r="AB3591">
        <v>2730</v>
      </c>
      <c r="AC3591" t="s">
        <v>42</v>
      </c>
      <c r="AD3591">
        <v>1</v>
      </c>
    </row>
    <row r="3592" spans="1:30">
      <c r="A3592" t="str">
        <f>CONCATENATE(I3592,J3592)</f>
        <v>WSTCSTPAPREQ</v>
      </c>
      <c r="B3592" s="34">
        <v>46273</v>
      </c>
      <c r="C3592" s="34">
        <v>46273</v>
      </c>
      <c r="D3592" t="s">
        <v>35</v>
      </c>
      <c r="E3592" t="s">
        <v>36</v>
      </c>
      <c r="F3592" t="s">
        <v>37</v>
      </c>
      <c r="G3592">
        <v>3799</v>
      </c>
      <c r="H3592" t="s">
        <v>10845</v>
      </c>
      <c r="I3592" t="s">
        <v>10846</v>
      </c>
      <c r="J3592" t="s">
        <v>161</v>
      </c>
      <c r="O3592" t="s">
        <v>10847</v>
      </c>
      <c r="P3592">
        <v>689.8</v>
      </c>
      <c r="Q3592">
        <v>699.15</v>
      </c>
      <c r="R3592">
        <v>676.2</v>
      </c>
      <c r="S3592">
        <v>681.2</v>
      </c>
      <c r="T3592">
        <v>677.7</v>
      </c>
      <c r="U3592">
        <v>687.5</v>
      </c>
      <c r="W3592">
        <v>681.19</v>
      </c>
      <c r="Z3592">
        <v>353728</v>
      </c>
      <c r="AA3592">
        <v>243530533.65000001</v>
      </c>
      <c r="AB3592">
        <v>18633</v>
      </c>
      <c r="AC3592" t="s">
        <v>42</v>
      </c>
      <c r="AD3592">
        <v>1</v>
      </c>
    </row>
    <row r="3593" spans="1:30">
      <c r="A3593" t="str">
        <f>CONCATENATE(I3593,J3593)</f>
        <v>WCILEQ</v>
      </c>
      <c r="B3593" s="34">
        <v>46273</v>
      </c>
      <c r="C3593" s="34">
        <v>46273</v>
      </c>
      <c r="D3593" t="s">
        <v>35</v>
      </c>
      <c r="E3593" t="s">
        <v>36</v>
      </c>
      <c r="F3593" t="s">
        <v>37</v>
      </c>
      <c r="G3593">
        <v>25403</v>
      </c>
      <c r="H3593" t="s">
        <v>10848</v>
      </c>
      <c r="I3593" t="s">
        <v>10849</v>
      </c>
      <c r="J3593" t="s">
        <v>161</v>
      </c>
      <c r="O3593" t="s">
        <v>10850</v>
      </c>
      <c r="P3593">
        <v>82.88</v>
      </c>
      <c r="Q3593">
        <v>83.39</v>
      </c>
      <c r="R3593">
        <v>81.760000000000005</v>
      </c>
      <c r="S3593">
        <v>82.48</v>
      </c>
      <c r="T3593">
        <v>82.31</v>
      </c>
      <c r="U3593">
        <v>82.78</v>
      </c>
      <c r="W3593">
        <v>82.48</v>
      </c>
      <c r="Z3593">
        <v>95413</v>
      </c>
      <c r="AA3593">
        <v>7875061.5</v>
      </c>
      <c r="AB3593">
        <v>982</v>
      </c>
      <c r="AC3593" t="s">
        <v>42</v>
      </c>
      <c r="AD3593">
        <v>1</v>
      </c>
    </row>
    <row r="3594" spans="1:30">
      <c r="A3594" t="str">
        <f>CONCATENATE(I3594,J3594)</f>
        <v>WESTLIFEEQ</v>
      </c>
      <c r="B3594" s="34">
        <v>46273</v>
      </c>
      <c r="C3594" s="34">
        <v>46273</v>
      </c>
      <c r="D3594" t="s">
        <v>35</v>
      </c>
      <c r="E3594" t="s">
        <v>36</v>
      </c>
      <c r="F3594" t="s">
        <v>37</v>
      </c>
      <c r="G3594">
        <v>11580</v>
      </c>
      <c r="H3594" t="s">
        <v>10851</v>
      </c>
      <c r="I3594" t="s">
        <v>10852</v>
      </c>
      <c r="J3594" t="s">
        <v>161</v>
      </c>
      <c r="O3594" t="s">
        <v>10853</v>
      </c>
      <c r="P3594">
        <v>533</v>
      </c>
      <c r="Q3594">
        <v>541.45000000000005</v>
      </c>
      <c r="R3594">
        <v>523</v>
      </c>
      <c r="S3594">
        <v>538.25</v>
      </c>
      <c r="T3594">
        <v>534.25</v>
      </c>
      <c r="U3594">
        <v>533.04999999999995</v>
      </c>
      <c r="W3594">
        <v>538.25</v>
      </c>
      <c r="Z3594">
        <v>37260</v>
      </c>
      <c r="AA3594">
        <v>19820180.5</v>
      </c>
      <c r="AB3594">
        <v>3398</v>
      </c>
      <c r="AC3594" t="s">
        <v>42</v>
      </c>
      <c r="AD3594">
        <v>1</v>
      </c>
    </row>
    <row r="3595" spans="1:30">
      <c r="A3595" t="str">
        <f>CONCATENATE(I3595,J3595)</f>
        <v>WEWORKEQ</v>
      </c>
      <c r="B3595" s="34">
        <v>46273</v>
      </c>
      <c r="C3595" s="34">
        <v>46273</v>
      </c>
      <c r="D3595" t="s">
        <v>35</v>
      </c>
      <c r="E3595" t="s">
        <v>36</v>
      </c>
      <c r="F3595" t="s">
        <v>37</v>
      </c>
      <c r="G3595">
        <v>759434</v>
      </c>
      <c r="H3595" t="s">
        <v>10854</v>
      </c>
      <c r="I3595" t="s">
        <v>10855</v>
      </c>
      <c r="J3595" t="s">
        <v>161</v>
      </c>
      <c r="O3595" t="s">
        <v>10856</v>
      </c>
      <c r="P3595">
        <v>669.8</v>
      </c>
      <c r="Q3595">
        <v>677.35</v>
      </c>
      <c r="R3595">
        <v>663.5</v>
      </c>
      <c r="S3595">
        <v>667.35</v>
      </c>
      <c r="T3595">
        <v>664</v>
      </c>
      <c r="U3595">
        <v>675.35</v>
      </c>
      <c r="W3595">
        <v>667.39</v>
      </c>
      <c r="Z3595">
        <v>82239</v>
      </c>
      <c r="AA3595">
        <v>55200737.700000003</v>
      </c>
      <c r="AB3595">
        <v>6415</v>
      </c>
      <c r="AC3595" t="s">
        <v>42</v>
      </c>
      <c r="AD3595">
        <v>1</v>
      </c>
    </row>
    <row r="3596" spans="1:30">
      <c r="A3596" t="str">
        <f>CONCATENATE(I3596,J3596)</f>
        <v>WHEELSEQ</v>
      </c>
      <c r="B3596" s="34">
        <v>46273</v>
      </c>
      <c r="C3596" s="34">
        <v>46273</v>
      </c>
      <c r="D3596" t="s">
        <v>35</v>
      </c>
      <c r="E3596" t="s">
        <v>36</v>
      </c>
      <c r="F3596" t="s">
        <v>37</v>
      </c>
      <c r="G3596">
        <v>3766</v>
      </c>
      <c r="H3596" t="s">
        <v>10857</v>
      </c>
      <c r="I3596" t="s">
        <v>10858</v>
      </c>
      <c r="J3596" t="s">
        <v>161</v>
      </c>
      <c r="O3596" t="s">
        <v>10859</v>
      </c>
      <c r="P3596">
        <v>1760.9</v>
      </c>
      <c r="Q3596">
        <v>2106.4</v>
      </c>
      <c r="R3596">
        <v>1760.9</v>
      </c>
      <c r="S3596">
        <v>2106.4</v>
      </c>
      <c r="T3596">
        <v>2106.4</v>
      </c>
      <c r="U3596">
        <v>1755.4</v>
      </c>
      <c r="W3596">
        <v>2106.52</v>
      </c>
      <c r="Z3596">
        <v>3912924</v>
      </c>
      <c r="AA3596">
        <v>7836713357</v>
      </c>
      <c r="AB3596">
        <v>211968</v>
      </c>
      <c r="AC3596" t="s">
        <v>42</v>
      </c>
      <c r="AD3596">
        <v>1</v>
      </c>
    </row>
    <row r="3597" spans="1:30">
      <c r="A3597" t="str">
        <f>CONCATENATE(I3597,J3597)</f>
        <v>WHIRLPOOLEQ</v>
      </c>
      <c r="B3597" s="34">
        <v>46273</v>
      </c>
      <c r="C3597" s="34">
        <v>46273</v>
      </c>
      <c r="D3597" t="s">
        <v>35</v>
      </c>
      <c r="E3597" t="s">
        <v>36</v>
      </c>
      <c r="F3597" t="s">
        <v>37</v>
      </c>
      <c r="G3597">
        <v>18011</v>
      </c>
      <c r="H3597" t="s">
        <v>10860</v>
      </c>
      <c r="I3597" t="s">
        <v>10861</v>
      </c>
      <c r="J3597" t="s">
        <v>161</v>
      </c>
      <c r="O3597" t="s">
        <v>10862</v>
      </c>
      <c r="P3597">
        <v>816</v>
      </c>
      <c r="Q3597">
        <v>818.25</v>
      </c>
      <c r="R3597">
        <v>796.1</v>
      </c>
      <c r="S3597">
        <v>805</v>
      </c>
      <c r="T3597">
        <v>803.8</v>
      </c>
      <c r="U3597">
        <v>815.35</v>
      </c>
      <c r="W3597">
        <v>805.02</v>
      </c>
      <c r="Z3597">
        <v>322780</v>
      </c>
      <c r="AA3597">
        <v>259317885.90000001</v>
      </c>
      <c r="AB3597">
        <v>13569</v>
      </c>
      <c r="AC3597" t="s">
        <v>42</v>
      </c>
      <c r="AD3597">
        <v>1</v>
      </c>
    </row>
    <row r="3598" spans="1:30">
      <c r="A3598" t="str">
        <f>CONCATENATE(I3598,J3598)</f>
        <v>WILLAMAGOREQ</v>
      </c>
      <c r="B3598" s="34">
        <v>46273</v>
      </c>
      <c r="C3598" s="34">
        <v>46273</v>
      </c>
      <c r="D3598" t="s">
        <v>35</v>
      </c>
      <c r="E3598" t="s">
        <v>36</v>
      </c>
      <c r="F3598" t="s">
        <v>37</v>
      </c>
      <c r="G3598">
        <v>3772</v>
      </c>
      <c r="H3598" t="s">
        <v>10863</v>
      </c>
      <c r="I3598" t="s">
        <v>10864</v>
      </c>
      <c r="J3598" t="s">
        <v>161</v>
      </c>
      <c r="O3598" t="s">
        <v>10865</v>
      </c>
      <c r="P3598">
        <v>25.35</v>
      </c>
      <c r="Q3598">
        <v>25.35</v>
      </c>
      <c r="R3598">
        <v>23.6</v>
      </c>
      <c r="S3598">
        <v>23.73</v>
      </c>
      <c r="T3598">
        <v>24.82</v>
      </c>
      <c r="U3598">
        <v>23.76</v>
      </c>
      <c r="W3598">
        <v>24.38</v>
      </c>
      <c r="Z3598">
        <v>2699</v>
      </c>
      <c r="AA3598">
        <v>65647.039999999994</v>
      </c>
      <c r="AB3598">
        <v>54</v>
      </c>
      <c r="AC3598" t="s">
        <v>42</v>
      </c>
      <c r="AD3598">
        <v>1</v>
      </c>
    </row>
    <row r="3599" spans="1:30">
      <c r="A3599" t="str">
        <f>CONCATENATE(I3599,J3599)</f>
        <v>WINDLASEQ</v>
      </c>
      <c r="B3599" s="34">
        <v>46273</v>
      </c>
      <c r="C3599" s="34">
        <v>46273</v>
      </c>
      <c r="D3599" t="s">
        <v>35</v>
      </c>
      <c r="E3599" t="s">
        <v>36</v>
      </c>
      <c r="F3599" t="s">
        <v>37</v>
      </c>
      <c r="G3599">
        <v>5366</v>
      </c>
      <c r="H3599" t="s">
        <v>10866</v>
      </c>
      <c r="I3599" t="s">
        <v>10867</v>
      </c>
      <c r="J3599" t="s">
        <v>161</v>
      </c>
      <c r="O3599" t="s">
        <v>10868</v>
      </c>
      <c r="P3599">
        <v>1164</v>
      </c>
      <c r="Q3599">
        <v>1164</v>
      </c>
      <c r="R3599">
        <v>1123.25</v>
      </c>
      <c r="S3599">
        <v>1146.0999999999999</v>
      </c>
      <c r="T3599">
        <v>1150</v>
      </c>
      <c r="U3599">
        <v>1154.75</v>
      </c>
      <c r="W3599">
        <v>1146.18</v>
      </c>
      <c r="Z3599">
        <v>113115</v>
      </c>
      <c r="AA3599">
        <v>128572358.7</v>
      </c>
      <c r="AB3599">
        <v>10172</v>
      </c>
      <c r="AC3599" t="s">
        <v>42</v>
      </c>
      <c r="AD3599">
        <v>1</v>
      </c>
    </row>
    <row r="3600" spans="1:30">
      <c r="A3600" t="str">
        <f>CONCATENATE(I3600,J3600)</f>
        <v>WINDMACHINEQ</v>
      </c>
      <c r="B3600" s="34">
        <v>46273</v>
      </c>
      <c r="C3600" s="34">
        <v>46273</v>
      </c>
      <c r="D3600" t="s">
        <v>35</v>
      </c>
      <c r="E3600" t="s">
        <v>36</v>
      </c>
      <c r="F3600" t="s">
        <v>37</v>
      </c>
      <c r="G3600">
        <v>24969</v>
      </c>
      <c r="H3600" t="s">
        <v>10869</v>
      </c>
      <c r="I3600" t="s">
        <v>10870</v>
      </c>
      <c r="J3600" t="s">
        <v>161</v>
      </c>
      <c r="O3600" t="s">
        <v>10871</v>
      </c>
      <c r="P3600">
        <v>310.8</v>
      </c>
      <c r="Q3600">
        <v>311.5</v>
      </c>
      <c r="R3600">
        <v>302.45</v>
      </c>
      <c r="S3600">
        <v>305.60000000000002</v>
      </c>
      <c r="T3600">
        <v>303.05</v>
      </c>
      <c r="U3600">
        <v>310.5</v>
      </c>
      <c r="W3600">
        <v>305.70999999999998</v>
      </c>
      <c r="Z3600">
        <v>27781</v>
      </c>
      <c r="AA3600">
        <v>8546376.0999999996</v>
      </c>
      <c r="AB3600">
        <v>791</v>
      </c>
      <c r="AC3600" t="s">
        <v>42</v>
      </c>
      <c r="AD3600">
        <v>1</v>
      </c>
    </row>
    <row r="3601" spans="1:30">
      <c r="A3601" t="str">
        <f>CONCATENATE(I3601,J3601)</f>
        <v>WINSOLSM</v>
      </c>
      <c r="B3601" s="34">
        <v>46273</v>
      </c>
      <c r="C3601" s="34">
        <v>46273</v>
      </c>
      <c r="D3601" t="s">
        <v>35</v>
      </c>
      <c r="E3601" t="s">
        <v>36</v>
      </c>
      <c r="F3601" t="s">
        <v>37</v>
      </c>
      <c r="G3601">
        <v>23714</v>
      </c>
      <c r="H3601" t="s">
        <v>10872</v>
      </c>
      <c r="I3601" t="s">
        <v>10873</v>
      </c>
      <c r="J3601" t="s">
        <v>267</v>
      </c>
      <c r="O3601" t="s">
        <v>10874</v>
      </c>
      <c r="P3601">
        <v>115.5</v>
      </c>
      <c r="Q3601">
        <v>115.9</v>
      </c>
      <c r="R3601">
        <v>112.3</v>
      </c>
      <c r="S3601">
        <v>112.35</v>
      </c>
      <c r="T3601">
        <v>112.35</v>
      </c>
      <c r="U3601">
        <v>116</v>
      </c>
      <c r="W3601">
        <v>112.35</v>
      </c>
      <c r="Z3601">
        <v>2000</v>
      </c>
      <c r="AA3601">
        <v>227520</v>
      </c>
      <c r="AB3601">
        <v>5</v>
      </c>
      <c r="AC3601" t="s">
        <v>42</v>
      </c>
      <c r="AD3601">
        <v>400</v>
      </c>
    </row>
    <row r="3602" spans="1:30">
      <c r="A3602" t="str">
        <f>CONCATENATE(I3602,J3602)</f>
        <v>WIPROEQ</v>
      </c>
      <c r="B3602" s="34">
        <v>46273</v>
      </c>
      <c r="C3602" s="34">
        <v>46273</v>
      </c>
      <c r="D3602" t="s">
        <v>35</v>
      </c>
      <c r="E3602" t="s">
        <v>36</v>
      </c>
      <c r="F3602" t="s">
        <v>37</v>
      </c>
      <c r="G3602">
        <v>3787</v>
      </c>
      <c r="H3602" t="s">
        <v>10875</v>
      </c>
      <c r="I3602" t="s">
        <v>10876</v>
      </c>
      <c r="J3602" t="s">
        <v>161</v>
      </c>
      <c r="O3602" t="s">
        <v>10877</v>
      </c>
      <c r="P3602">
        <v>172.8</v>
      </c>
      <c r="Q3602">
        <v>172.9</v>
      </c>
      <c r="R3602">
        <v>171.13</v>
      </c>
      <c r="S3602">
        <v>171.5</v>
      </c>
      <c r="T3602">
        <v>171.5</v>
      </c>
      <c r="U3602">
        <v>172.8</v>
      </c>
      <c r="W3602">
        <v>171.5</v>
      </c>
      <c r="Z3602">
        <v>6948945</v>
      </c>
      <c r="AA3602">
        <v>1193326130.04</v>
      </c>
      <c r="AB3602">
        <v>70344</v>
      </c>
      <c r="AC3602" t="s">
        <v>42</v>
      </c>
      <c r="AD3602">
        <v>1</v>
      </c>
    </row>
    <row r="3603" spans="1:30">
      <c r="A3603" t="str">
        <f>CONCATENATE(I3603,J3603)</f>
        <v>WTICABSM</v>
      </c>
      <c r="B3603" s="34">
        <v>46273</v>
      </c>
      <c r="C3603" s="34">
        <v>46273</v>
      </c>
      <c r="D3603" t="s">
        <v>35</v>
      </c>
      <c r="E3603" t="s">
        <v>36</v>
      </c>
      <c r="F3603" t="s">
        <v>37</v>
      </c>
      <c r="G3603">
        <v>22725</v>
      </c>
      <c r="H3603" t="s">
        <v>10878</v>
      </c>
      <c r="I3603" t="s">
        <v>10879</v>
      </c>
      <c r="J3603" t="s">
        <v>267</v>
      </c>
      <c r="O3603" t="s">
        <v>10880</v>
      </c>
      <c r="P3603">
        <v>100</v>
      </c>
      <c r="Q3603">
        <v>105</v>
      </c>
      <c r="R3603">
        <v>100</v>
      </c>
      <c r="S3603">
        <v>102.5</v>
      </c>
      <c r="T3603">
        <v>102.5</v>
      </c>
      <c r="U3603">
        <v>101.35</v>
      </c>
      <c r="W3603">
        <v>102.5</v>
      </c>
      <c r="Z3603">
        <v>16500</v>
      </c>
      <c r="AA3603">
        <v>1693800</v>
      </c>
      <c r="AB3603">
        <v>25</v>
      </c>
      <c r="AC3603" t="s">
        <v>42</v>
      </c>
      <c r="AD3603">
        <v>500</v>
      </c>
    </row>
    <row r="3604" spans="1:30">
      <c r="A3604" t="str">
        <f>CONCATENATE(I3604,J3604)</f>
        <v>WOCKPHARMAEQ</v>
      </c>
      <c r="B3604" s="34">
        <v>46273</v>
      </c>
      <c r="C3604" s="34">
        <v>46273</v>
      </c>
      <c r="D3604" t="s">
        <v>35</v>
      </c>
      <c r="E3604" t="s">
        <v>36</v>
      </c>
      <c r="F3604" t="s">
        <v>37</v>
      </c>
      <c r="G3604">
        <v>7506</v>
      </c>
      <c r="H3604" t="s">
        <v>10881</v>
      </c>
      <c r="I3604" t="s">
        <v>10882</v>
      </c>
      <c r="J3604" t="s">
        <v>161</v>
      </c>
      <c r="O3604" t="s">
        <v>10883</v>
      </c>
      <c r="P3604">
        <v>2200</v>
      </c>
      <c r="Q3604">
        <v>2240</v>
      </c>
      <c r="R3604">
        <v>2166</v>
      </c>
      <c r="S3604">
        <v>2224</v>
      </c>
      <c r="T3604">
        <v>2227</v>
      </c>
      <c r="U3604">
        <v>2208</v>
      </c>
      <c r="W3604">
        <v>2223.9699999999998</v>
      </c>
      <c r="Z3604">
        <v>1343981</v>
      </c>
      <c r="AA3604">
        <v>2965388620.6999998</v>
      </c>
      <c r="AB3604">
        <v>60740</v>
      </c>
      <c r="AC3604" t="s">
        <v>42</v>
      </c>
      <c r="AD3604">
        <v>1</v>
      </c>
    </row>
    <row r="3605" spans="1:30">
      <c r="A3605" t="str">
        <f>CONCATENATE(I3605,J3605)</f>
        <v>WOL3DSM</v>
      </c>
      <c r="B3605" s="34">
        <v>46273</v>
      </c>
      <c r="C3605" s="34">
        <v>46273</v>
      </c>
      <c r="D3605" t="s">
        <v>35</v>
      </c>
      <c r="E3605" t="s">
        <v>36</v>
      </c>
      <c r="F3605" t="s">
        <v>37</v>
      </c>
      <c r="G3605">
        <v>25602</v>
      </c>
      <c r="H3605" t="s">
        <v>10884</v>
      </c>
      <c r="I3605" t="s">
        <v>10885</v>
      </c>
      <c r="J3605" t="s">
        <v>267</v>
      </c>
      <c r="O3605" t="s">
        <v>10886</v>
      </c>
      <c r="P3605">
        <v>142.35</v>
      </c>
      <c r="Q3605">
        <v>142.35</v>
      </c>
      <c r="R3605">
        <v>136</v>
      </c>
      <c r="S3605">
        <v>136</v>
      </c>
      <c r="T3605">
        <v>136</v>
      </c>
      <c r="U3605">
        <v>142.35</v>
      </c>
      <c r="W3605">
        <v>136</v>
      </c>
      <c r="Z3605">
        <v>2000</v>
      </c>
      <c r="AA3605">
        <v>278350</v>
      </c>
      <c r="AB3605">
        <v>2</v>
      </c>
      <c r="AC3605" t="s">
        <v>42</v>
      </c>
      <c r="AD3605">
        <v>1000</v>
      </c>
    </row>
    <row r="3606" spans="1:30">
      <c r="A3606" t="str">
        <f>CONCATENATE(I3606,J3606)</f>
        <v>WOMANCARTST</v>
      </c>
      <c r="B3606" s="34">
        <v>46273</v>
      </c>
      <c r="C3606" s="34">
        <v>46273</v>
      </c>
      <c r="D3606" t="s">
        <v>35</v>
      </c>
      <c r="E3606" t="s">
        <v>36</v>
      </c>
      <c r="F3606" t="s">
        <v>37</v>
      </c>
      <c r="G3606">
        <v>19632</v>
      </c>
      <c r="H3606" t="s">
        <v>10887</v>
      </c>
      <c r="I3606" t="s">
        <v>10888</v>
      </c>
      <c r="J3606" t="s">
        <v>328</v>
      </c>
      <c r="O3606" t="s">
        <v>10889</v>
      </c>
      <c r="P3606">
        <v>104</v>
      </c>
      <c r="Q3606">
        <v>105</v>
      </c>
      <c r="R3606">
        <v>101.05</v>
      </c>
      <c r="S3606">
        <v>101.3</v>
      </c>
      <c r="T3606">
        <v>101.3</v>
      </c>
      <c r="U3606">
        <v>103.9</v>
      </c>
      <c r="W3606">
        <v>101.3</v>
      </c>
      <c r="Z3606">
        <v>12400</v>
      </c>
      <c r="AA3606">
        <v>1272000</v>
      </c>
      <c r="AB3606">
        <v>26</v>
      </c>
      <c r="AC3606" t="s">
        <v>42</v>
      </c>
      <c r="AD3606">
        <v>400</v>
      </c>
    </row>
    <row r="3607" spans="1:30">
      <c r="A3607" t="str">
        <f>CONCATENATE(I3607,J3607)</f>
        <v>WELEQ</v>
      </c>
      <c r="B3607" s="34">
        <v>46273</v>
      </c>
      <c r="C3607" s="34">
        <v>46273</v>
      </c>
      <c r="D3607" t="s">
        <v>35</v>
      </c>
      <c r="E3607" t="s">
        <v>36</v>
      </c>
      <c r="F3607" t="s">
        <v>37</v>
      </c>
      <c r="G3607">
        <v>7835</v>
      </c>
      <c r="H3607" t="s">
        <v>10890</v>
      </c>
      <c r="I3607" t="s">
        <v>10891</v>
      </c>
      <c r="J3607" t="s">
        <v>161</v>
      </c>
      <c r="O3607" t="s">
        <v>10892</v>
      </c>
      <c r="P3607">
        <v>72.19</v>
      </c>
      <c r="Q3607">
        <v>72.19</v>
      </c>
      <c r="R3607">
        <v>68.62</v>
      </c>
      <c r="S3607">
        <v>69.39</v>
      </c>
      <c r="T3607">
        <v>69.400000000000006</v>
      </c>
      <c r="U3607">
        <v>72.23</v>
      </c>
      <c r="W3607">
        <v>69.39</v>
      </c>
      <c r="Z3607">
        <v>1428171</v>
      </c>
      <c r="AA3607">
        <v>98634265.719999999</v>
      </c>
      <c r="AB3607">
        <v>6723</v>
      </c>
      <c r="AC3607" t="s">
        <v>42</v>
      </c>
      <c r="AD3607">
        <v>1</v>
      </c>
    </row>
    <row r="3608" spans="1:30">
      <c r="A3608" t="str">
        <f>CONCATENATE(I3608,J3608)</f>
        <v>WONDERLAEQ</v>
      </c>
      <c r="B3608" s="34">
        <v>46273</v>
      </c>
      <c r="C3608" s="34">
        <v>46273</v>
      </c>
      <c r="D3608" t="s">
        <v>35</v>
      </c>
      <c r="E3608" t="s">
        <v>36</v>
      </c>
      <c r="F3608" t="s">
        <v>37</v>
      </c>
      <c r="G3608">
        <v>3002</v>
      </c>
      <c r="H3608" t="s">
        <v>10893</v>
      </c>
      <c r="I3608" t="s">
        <v>10894</v>
      </c>
      <c r="J3608" t="s">
        <v>161</v>
      </c>
      <c r="O3608" t="s">
        <v>10895</v>
      </c>
      <c r="P3608">
        <v>528.6</v>
      </c>
      <c r="Q3608">
        <v>532</v>
      </c>
      <c r="R3608">
        <v>515</v>
      </c>
      <c r="S3608">
        <v>518.4</v>
      </c>
      <c r="T3608">
        <v>522</v>
      </c>
      <c r="U3608">
        <v>526.29999999999995</v>
      </c>
      <c r="W3608">
        <v>518.4</v>
      </c>
      <c r="Z3608">
        <v>43440</v>
      </c>
      <c r="AA3608">
        <v>22707783.050000001</v>
      </c>
      <c r="AB3608">
        <v>2269</v>
      </c>
      <c r="AC3608" t="s">
        <v>42</v>
      </c>
      <c r="AD3608">
        <v>1</v>
      </c>
    </row>
    <row r="3609" spans="1:30">
      <c r="A3609" t="str">
        <f>CONCATENATE(I3609,J3609)</f>
        <v>WORTHPERIEQ</v>
      </c>
      <c r="B3609" s="34">
        <v>46273</v>
      </c>
      <c r="C3609" s="34">
        <v>46273</v>
      </c>
      <c r="D3609" t="s">
        <v>35</v>
      </c>
      <c r="E3609" t="s">
        <v>36</v>
      </c>
      <c r="F3609" t="s">
        <v>37</v>
      </c>
      <c r="G3609">
        <v>22277</v>
      </c>
      <c r="H3609" t="s">
        <v>10896</v>
      </c>
      <c r="I3609" t="s">
        <v>10897</v>
      </c>
      <c r="J3609" t="s">
        <v>161</v>
      </c>
      <c r="O3609" t="s">
        <v>10898</v>
      </c>
      <c r="P3609">
        <v>156.4</v>
      </c>
      <c r="Q3609">
        <v>156.4</v>
      </c>
      <c r="R3609">
        <v>152</v>
      </c>
      <c r="S3609">
        <v>155.99</v>
      </c>
      <c r="T3609">
        <v>156</v>
      </c>
      <c r="U3609">
        <v>154.99</v>
      </c>
      <c r="W3609">
        <v>155.97999999999999</v>
      </c>
      <c r="Z3609">
        <v>2963</v>
      </c>
      <c r="AA3609">
        <v>456264.55</v>
      </c>
      <c r="AB3609">
        <v>64</v>
      </c>
      <c r="AC3609" t="s">
        <v>42</v>
      </c>
      <c r="AD3609">
        <v>1</v>
      </c>
    </row>
    <row r="3610" spans="1:30">
      <c r="A3610" t="str">
        <f>CONCATENATE(I3610,J3610)</f>
        <v>XCHANGINGEQ</v>
      </c>
      <c r="B3610" s="34">
        <v>46273</v>
      </c>
      <c r="C3610" s="34">
        <v>46273</v>
      </c>
      <c r="D3610" t="s">
        <v>35</v>
      </c>
      <c r="E3610" t="s">
        <v>36</v>
      </c>
      <c r="F3610" t="s">
        <v>37</v>
      </c>
      <c r="G3610">
        <v>11705</v>
      </c>
      <c r="H3610" t="s">
        <v>10899</v>
      </c>
      <c r="I3610" t="s">
        <v>10900</v>
      </c>
      <c r="J3610" t="s">
        <v>161</v>
      </c>
      <c r="O3610" t="s">
        <v>10901</v>
      </c>
      <c r="P3610">
        <v>64.3</v>
      </c>
      <c r="Q3610">
        <v>65.849999999999994</v>
      </c>
      <c r="R3610">
        <v>63.7</v>
      </c>
      <c r="S3610">
        <v>64.08</v>
      </c>
      <c r="T3610">
        <v>64.12</v>
      </c>
      <c r="U3610">
        <v>64.3</v>
      </c>
      <c r="W3610">
        <v>64.08</v>
      </c>
      <c r="Z3610">
        <v>212407</v>
      </c>
      <c r="AA3610">
        <v>13748097.17</v>
      </c>
      <c r="AB3610">
        <v>1924</v>
      </c>
      <c r="AC3610" t="s">
        <v>42</v>
      </c>
      <c r="AD3610">
        <v>1</v>
      </c>
    </row>
    <row r="3611" spans="1:30">
      <c r="A3611" t="str">
        <f>CONCATENATE(I3611,J3611)</f>
        <v>XELPMOCEQ</v>
      </c>
      <c r="B3611" s="34">
        <v>46273</v>
      </c>
      <c r="C3611" s="34">
        <v>46273</v>
      </c>
      <c r="D3611" t="s">
        <v>35</v>
      </c>
      <c r="E3611" t="s">
        <v>36</v>
      </c>
      <c r="F3611" t="s">
        <v>37</v>
      </c>
      <c r="G3611">
        <v>8477</v>
      </c>
      <c r="H3611" t="s">
        <v>10902</v>
      </c>
      <c r="I3611" t="s">
        <v>10903</v>
      </c>
      <c r="J3611" t="s">
        <v>161</v>
      </c>
      <c r="O3611" t="s">
        <v>10904</v>
      </c>
      <c r="P3611">
        <v>79.5</v>
      </c>
      <c r="Q3611">
        <v>79.5</v>
      </c>
      <c r="R3611">
        <v>77.02</v>
      </c>
      <c r="S3611">
        <v>77.61</v>
      </c>
      <c r="T3611">
        <v>78.150000000000006</v>
      </c>
      <c r="U3611">
        <v>78.08</v>
      </c>
      <c r="W3611">
        <v>77.61</v>
      </c>
      <c r="Z3611">
        <v>16538</v>
      </c>
      <c r="AA3611">
        <v>1288977.18</v>
      </c>
      <c r="AB3611">
        <v>139</v>
      </c>
      <c r="AC3611" t="s">
        <v>42</v>
      </c>
      <c r="AD3611">
        <v>1</v>
      </c>
    </row>
    <row r="3612" spans="1:30">
      <c r="A3612" t="str">
        <f>CONCATENATE(I3612,J3612)</f>
        <v>XPROINDIAEQ</v>
      </c>
      <c r="B3612" s="34">
        <v>46273</v>
      </c>
      <c r="C3612" s="34">
        <v>46273</v>
      </c>
      <c r="D3612" t="s">
        <v>35</v>
      </c>
      <c r="E3612" t="s">
        <v>36</v>
      </c>
      <c r="F3612" t="s">
        <v>37</v>
      </c>
      <c r="G3612">
        <v>11407</v>
      </c>
      <c r="H3612" t="s">
        <v>10905</v>
      </c>
      <c r="I3612" t="s">
        <v>10906</v>
      </c>
      <c r="J3612" t="s">
        <v>161</v>
      </c>
      <c r="O3612" t="s">
        <v>10907</v>
      </c>
      <c r="P3612">
        <v>1362</v>
      </c>
      <c r="Q3612">
        <v>1398.8</v>
      </c>
      <c r="R3612">
        <v>1345</v>
      </c>
      <c r="S3612">
        <v>1389.7</v>
      </c>
      <c r="T3612">
        <v>1398</v>
      </c>
      <c r="U3612">
        <v>1362</v>
      </c>
      <c r="W3612">
        <v>1389.7</v>
      </c>
      <c r="Z3612">
        <v>161994</v>
      </c>
      <c r="AA3612">
        <v>223370228.30000001</v>
      </c>
      <c r="AB3612">
        <v>8759</v>
      </c>
      <c r="AC3612" t="s">
        <v>42</v>
      </c>
      <c r="AD3612">
        <v>1</v>
      </c>
    </row>
    <row r="3613" spans="1:30">
      <c r="A3613" t="str">
        <f>CONCATENATE(I3613,J3613)</f>
        <v>XTGLOBALEQ</v>
      </c>
      <c r="B3613" s="34">
        <v>46273</v>
      </c>
      <c r="C3613" s="34">
        <v>46273</v>
      </c>
      <c r="D3613" t="s">
        <v>35</v>
      </c>
      <c r="E3613" t="s">
        <v>36</v>
      </c>
      <c r="F3613" t="s">
        <v>37</v>
      </c>
      <c r="G3613">
        <v>25235</v>
      </c>
      <c r="H3613" t="s">
        <v>10908</v>
      </c>
      <c r="I3613" t="s">
        <v>10909</v>
      </c>
      <c r="J3613" t="s">
        <v>161</v>
      </c>
      <c r="O3613" t="s">
        <v>10910</v>
      </c>
      <c r="P3613">
        <v>31.99</v>
      </c>
      <c r="Q3613">
        <v>31.99</v>
      </c>
      <c r="R3613">
        <v>31</v>
      </c>
      <c r="S3613">
        <v>31.11</v>
      </c>
      <c r="T3613">
        <v>31.01</v>
      </c>
      <c r="U3613">
        <v>32</v>
      </c>
      <c r="W3613">
        <v>31.11</v>
      </c>
      <c r="Z3613">
        <v>32037</v>
      </c>
      <c r="AA3613">
        <v>999191.35</v>
      </c>
      <c r="AB3613">
        <v>300</v>
      </c>
      <c r="AC3613" t="s">
        <v>42</v>
      </c>
      <c r="AD3613">
        <v>1</v>
      </c>
    </row>
    <row r="3614" spans="1:30">
      <c r="A3614" t="str">
        <f>CONCATENATE(I3614,J3614)</f>
        <v>XTRANETEQ</v>
      </c>
      <c r="B3614" s="34">
        <v>46273</v>
      </c>
      <c r="C3614" s="34">
        <v>46273</v>
      </c>
      <c r="D3614" t="s">
        <v>35</v>
      </c>
      <c r="E3614" t="s">
        <v>36</v>
      </c>
      <c r="F3614" t="s">
        <v>37</v>
      </c>
      <c r="G3614">
        <v>764312</v>
      </c>
      <c r="H3614" t="s">
        <v>10911</v>
      </c>
      <c r="I3614" t="s">
        <v>10912</v>
      </c>
      <c r="J3614" t="s">
        <v>161</v>
      </c>
      <c r="O3614" t="s">
        <v>10913</v>
      </c>
      <c r="P3614">
        <v>281</v>
      </c>
      <c r="Q3614">
        <v>291.99</v>
      </c>
      <c r="R3614">
        <v>260.56</v>
      </c>
      <c r="S3614">
        <v>266.7</v>
      </c>
      <c r="T3614">
        <v>266</v>
      </c>
      <c r="U3614">
        <v>279.83</v>
      </c>
      <c r="W3614">
        <v>266.62</v>
      </c>
      <c r="Z3614">
        <v>10431097</v>
      </c>
      <c r="AA3614">
        <v>2902102704.8099999</v>
      </c>
      <c r="AB3614">
        <v>121723</v>
      </c>
      <c r="AC3614" t="s">
        <v>42</v>
      </c>
      <c r="AD3614">
        <v>1</v>
      </c>
    </row>
    <row r="3615" spans="1:30">
      <c r="A3615" t="str">
        <f>CONCATENATE(I3615,J3615)</f>
        <v>YAAPSM</v>
      </c>
      <c r="B3615" s="34">
        <v>46273</v>
      </c>
      <c r="C3615" s="34">
        <v>46273</v>
      </c>
      <c r="D3615" t="s">
        <v>35</v>
      </c>
      <c r="E3615" t="s">
        <v>36</v>
      </c>
      <c r="F3615" t="s">
        <v>37</v>
      </c>
      <c r="G3615">
        <v>760870</v>
      </c>
      <c r="H3615" t="s">
        <v>10914</v>
      </c>
      <c r="I3615" t="s">
        <v>10915</v>
      </c>
      <c r="J3615" t="s">
        <v>267</v>
      </c>
      <c r="O3615" t="s">
        <v>10916</v>
      </c>
      <c r="P3615">
        <v>131</v>
      </c>
      <c r="Q3615">
        <v>135</v>
      </c>
      <c r="R3615">
        <v>131</v>
      </c>
      <c r="S3615">
        <v>132.30000000000001</v>
      </c>
      <c r="T3615">
        <v>132.85</v>
      </c>
      <c r="U3615">
        <v>134</v>
      </c>
      <c r="W3615">
        <v>132.30000000000001</v>
      </c>
      <c r="Z3615">
        <v>12000</v>
      </c>
      <c r="AA3615">
        <v>1592000</v>
      </c>
      <c r="AB3615">
        <v>12</v>
      </c>
      <c r="AC3615" t="s">
        <v>42</v>
      </c>
      <c r="AD3615">
        <v>1000</v>
      </c>
    </row>
    <row r="3616" spans="1:30">
      <c r="A3616" t="str">
        <f>CONCATENATE(I3616,J3616)</f>
        <v>YASHOPTICSSM</v>
      </c>
      <c r="B3616" s="34">
        <v>46273</v>
      </c>
      <c r="C3616" s="34">
        <v>46273</v>
      </c>
      <c r="D3616" t="s">
        <v>35</v>
      </c>
      <c r="E3616" t="s">
        <v>36</v>
      </c>
      <c r="F3616" t="s">
        <v>37</v>
      </c>
      <c r="G3616">
        <v>23451</v>
      </c>
      <c r="H3616" t="s">
        <v>10917</v>
      </c>
      <c r="I3616" t="s">
        <v>10918</v>
      </c>
      <c r="J3616" t="s">
        <v>267</v>
      </c>
      <c r="O3616" t="s">
        <v>10919</v>
      </c>
      <c r="P3616">
        <v>117</v>
      </c>
      <c r="Q3616">
        <v>117</v>
      </c>
      <c r="R3616">
        <v>111</v>
      </c>
      <c r="S3616">
        <v>112.6</v>
      </c>
      <c r="T3616">
        <v>111</v>
      </c>
      <c r="U3616">
        <v>116.35</v>
      </c>
      <c r="W3616">
        <v>112.6</v>
      </c>
      <c r="Z3616">
        <v>12800</v>
      </c>
      <c r="AA3616">
        <v>1451160</v>
      </c>
      <c r="AB3616">
        <v>15</v>
      </c>
      <c r="AC3616" t="s">
        <v>42</v>
      </c>
      <c r="AD3616">
        <v>800</v>
      </c>
    </row>
    <row r="3617" spans="1:30">
      <c r="A3617" t="str">
        <f>CONCATENATE(I3617,J3617)</f>
        <v>YASHOEQ</v>
      </c>
      <c r="B3617" s="34">
        <v>46273</v>
      </c>
      <c r="C3617" s="34">
        <v>46273</v>
      </c>
      <c r="D3617" t="s">
        <v>35</v>
      </c>
      <c r="E3617" t="s">
        <v>36</v>
      </c>
      <c r="F3617" t="s">
        <v>37</v>
      </c>
      <c r="G3617">
        <v>18131</v>
      </c>
      <c r="H3617" t="s">
        <v>10920</v>
      </c>
      <c r="I3617" t="s">
        <v>10921</v>
      </c>
      <c r="J3617" t="s">
        <v>161</v>
      </c>
      <c r="O3617" t="s">
        <v>10922</v>
      </c>
      <c r="P3617">
        <v>3987.8</v>
      </c>
      <c r="Q3617">
        <v>4135</v>
      </c>
      <c r="R3617">
        <v>3960</v>
      </c>
      <c r="S3617">
        <v>4079.9</v>
      </c>
      <c r="T3617">
        <v>4070.5</v>
      </c>
      <c r="U3617">
        <v>3987.8</v>
      </c>
      <c r="W3617">
        <v>4079.55</v>
      </c>
      <c r="Z3617">
        <v>39513</v>
      </c>
      <c r="AA3617">
        <v>160060744.59999999</v>
      </c>
      <c r="AB3617">
        <v>7784</v>
      </c>
      <c r="AC3617" t="s">
        <v>42</v>
      </c>
      <c r="AD3617">
        <v>1</v>
      </c>
    </row>
    <row r="3618" spans="1:30">
      <c r="A3618" t="str">
        <f>CONCATENATE(I3618,J3618)</f>
        <v>YCCLSM</v>
      </c>
      <c r="B3618" s="34">
        <v>46273</v>
      </c>
      <c r="C3618" s="34">
        <v>46273</v>
      </c>
      <c r="D3618" t="s">
        <v>35</v>
      </c>
      <c r="E3618" t="s">
        <v>36</v>
      </c>
      <c r="F3618" t="s">
        <v>37</v>
      </c>
      <c r="G3618">
        <v>17627</v>
      </c>
      <c r="H3618" t="s">
        <v>10923</v>
      </c>
      <c r="I3618" t="s">
        <v>10924</v>
      </c>
      <c r="J3618" t="s">
        <v>267</v>
      </c>
      <c r="O3618" t="s">
        <v>10925</v>
      </c>
      <c r="P3618">
        <v>8.5</v>
      </c>
      <c r="Q3618">
        <v>9.15</v>
      </c>
      <c r="R3618">
        <v>8.5</v>
      </c>
      <c r="S3618">
        <v>9.15</v>
      </c>
      <c r="T3618">
        <v>9.15</v>
      </c>
      <c r="U3618">
        <v>8.5500000000000007</v>
      </c>
      <c r="W3618">
        <v>9.15</v>
      </c>
      <c r="Z3618">
        <v>9000</v>
      </c>
      <c r="AA3618">
        <v>78750</v>
      </c>
      <c r="AB3618">
        <v>3</v>
      </c>
      <c r="AC3618" t="s">
        <v>42</v>
      </c>
      <c r="AD3618">
        <v>3000</v>
      </c>
    </row>
    <row r="3619" spans="1:30">
      <c r="A3619" t="str">
        <f>CONCATENATE(I3619,J3619)</f>
        <v>YATHARTHEQ</v>
      </c>
      <c r="B3619" s="34">
        <v>46273</v>
      </c>
      <c r="C3619" s="34">
        <v>46273</v>
      </c>
      <c r="D3619" t="s">
        <v>35</v>
      </c>
      <c r="E3619" t="s">
        <v>36</v>
      </c>
      <c r="F3619" t="s">
        <v>37</v>
      </c>
      <c r="G3619">
        <v>17738</v>
      </c>
      <c r="H3619" t="s">
        <v>10926</v>
      </c>
      <c r="I3619" t="s">
        <v>10927</v>
      </c>
      <c r="J3619" t="s">
        <v>161</v>
      </c>
      <c r="O3619" t="s">
        <v>10928</v>
      </c>
      <c r="P3619">
        <v>994.8</v>
      </c>
      <c r="Q3619">
        <v>994.8</v>
      </c>
      <c r="R3619">
        <v>953.8</v>
      </c>
      <c r="S3619">
        <v>969.9</v>
      </c>
      <c r="T3619">
        <v>978</v>
      </c>
      <c r="U3619">
        <v>994.8</v>
      </c>
      <c r="W3619">
        <v>969.81</v>
      </c>
      <c r="Z3619">
        <v>264267</v>
      </c>
      <c r="AA3619">
        <v>258253859.59999999</v>
      </c>
      <c r="AB3619">
        <v>13669</v>
      </c>
      <c r="AC3619" t="s">
        <v>42</v>
      </c>
      <c r="AD3619">
        <v>1</v>
      </c>
    </row>
    <row r="3620" spans="1:30">
      <c r="A3620" t="str">
        <f>CONCATENATE(I3620,J3620)</f>
        <v>YATRAEQ</v>
      </c>
      <c r="B3620" s="34">
        <v>46273</v>
      </c>
      <c r="C3620" s="34">
        <v>46273</v>
      </c>
      <c r="D3620" t="s">
        <v>35</v>
      </c>
      <c r="E3620" t="s">
        <v>36</v>
      </c>
      <c r="F3620" t="s">
        <v>37</v>
      </c>
      <c r="G3620">
        <v>18760</v>
      </c>
      <c r="H3620" t="s">
        <v>10929</v>
      </c>
      <c r="I3620" t="s">
        <v>10930</v>
      </c>
      <c r="J3620" t="s">
        <v>161</v>
      </c>
      <c r="O3620" t="s">
        <v>10931</v>
      </c>
      <c r="P3620">
        <v>114.09</v>
      </c>
      <c r="Q3620">
        <v>115.73</v>
      </c>
      <c r="R3620">
        <v>112.6</v>
      </c>
      <c r="S3620">
        <v>113.64</v>
      </c>
      <c r="T3620">
        <v>113.6</v>
      </c>
      <c r="U3620">
        <v>114.97</v>
      </c>
      <c r="W3620">
        <v>113.65</v>
      </c>
      <c r="Z3620">
        <v>1684406</v>
      </c>
      <c r="AA3620">
        <v>192055017.59999999</v>
      </c>
      <c r="AB3620">
        <v>12917</v>
      </c>
      <c r="AC3620" t="s">
        <v>42</v>
      </c>
      <c r="AD3620">
        <v>1</v>
      </c>
    </row>
    <row r="3621" spans="1:30">
      <c r="A3621" t="str">
        <f>CONCATENATE(I3621,J3621)</f>
        <v>YESBANKEQ</v>
      </c>
      <c r="B3621" s="34">
        <v>46273</v>
      </c>
      <c r="C3621" s="34">
        <v>46273</v>
      </c>
      <c r="D3621" t="s">
        <v>35</v>
      </c>
      <c r="E3621" t="s">
        <v>36</v>
      </c>
      <c r="F3621" t="s">
        <v>37</v>
      </c>
      <c r="G3621">
        <v>11915</v>
      </c>
      <c r="H3621" t="s">
        <v>10932</v>
      </c>
      <c r="I3621" t="s">
        <v>10933</v>
      </c>
      <c r="J3621" t="s">
        <v>161</v>
      </c>
      <c r="O3621" t="s">
        <v>10934</v>
      </c>
      <c r="P3621">
        <v>22.44</v>
      </c>
      <c r="Q3621">
        <v>22.57</v>
      </c>
      <c r="R3621">
        <v>22.38</v>
      </c>
      <c r="S3621">
        <v>22.52</v>
      </c>
      <c r="T3621">
        <v>22.52</v>
      </c>
      <c r="U3621">
        <v>22.42</v>
      </c>
      <c r="W3621">
        <v>22.52</v>
      </c>
      <c r="Z3621">
        <v>38612501</v>
      </c>
      <c r="AA3621">
        <v>867459576.12</v>
      </c>
      <c r="AB3621">
        <v>95215</v>
      </c>
      <c r="AC3621" t="s">
        <v>42</v>
      </c>
      <c r="AD3621">
        <v>1</v>
      </c>
    </row>
    <row r="3622" spans="1:30">
      <c r="A3622" t="str">
        <f>CONCATENATE(I3622,J3622)</f>
        <v>YOGIEQ</v>
      </c>
      <c r="B3622" s="34">
        <v>46273</v>
      </c>
      <c r="C3622" s="34">
        <v>46273</v>
      </c>
      <c r="D3622" t="s">
        <v>35</v>
      </c>
      <c r="E3622" t="s">
        <v>36</v>
      </c>
      <c r="F3622" t="s">
        <v>37</v>
      </c>
      <c r="G3622">
        <v>765010</v>
      </c>
      <c r="H3622" t="s">
        <v>10935</v>
      </c>
      <c r="I3622" t="s">
        <v>10936</v>
      </c>
      <c r="J3622" t="s">
        <v>161</v>
      </c>
      <c r="O3622" t="s">
        <v>10937</v>
      </c>
      <c r="P3622">
        <v>163.25</v>
      </c>
      <c r="Q3622">
        <v>163.25</v>
      </c>
      <c r="R3622">
        <v>155</v>
      </c>
      <c r="S3622">
        <v>155.05000000000001</v>
      </c>
      <c r="T3622">
        <v>155.05000000000001</v>
      </c>
      <c r="U3622">
        <v>163.25</v>
      </c>
      <c r="W3622">
        <v>158.19999999999999</v>
      </c>
      <c r="Z3622">
        <v>376</v>
      </c>
      <c r="AA3622">
        <v>58614.11</v>
      </c>
      <c r="AB3622">
        <v>11</v>
      </c>
      <c r="AC3622" t="s">
        <v>42</v>
      </c>
      <c r="AD3622">
        <v>1</v>
      </c>
    </row>
    <row r="3623" spans="1:30">
      <c r="A3623" t="str">
        <f>CONCATENATE(I3623,J3623)</f>
        <v>YUDIZSM</v>
      </c>
      <c r="B3623" s="34">
        <v>46273</v>
      </c>
      <c r="C3623" s="34">
        <v>46273</v>
      </c>
      <c r="D3623" t="s">
        <v>35</v>
      </c>
      <c r="E3623" t="s">
        <v>36</v>
      </c>
      <c r="F3623" t="s">
        <v>37</v>
      </c>
      <c r="G3623">
        <v>18040</v>
      </c>
      <c r="H3623" t="s">
        <v>10938</v>
      </c>
      <c r="I3623" t="s">
        <v>10939</v>
      </c>
      <c r="J3623" t="s">
        <v>267</v>
      </c>
      <c r="O3623" t="s">
        <v>10940</v>
      </c>
      <c r="P3623">
        <v>24.8</v>
      </c>
      <c r="Q3623">
        <v>24.8</v>
      </c>
      <c r="R3623">
        <v>24.8</v>
      </c>
      <c r="S3623">
        <v>24.8</v>
      </c>
      <c r="T3623">
        <v>24.8</v>
      </c>
      <c r="U3623">
        <v>25.95</v>
      </c>
      <c r="W3623">
        <v>24.8</v>
      </c>
      <c r="Z3623">
        <v>800</v>
      </c>
      <c r="AA3623">
        <v>19840</v>
      </c>
      <c r="AB3623">
        <v>1</v>
      </c>
      <c r="AC3623" t="s">
        <v>42</v>
      </c>
      <c r="AD3623">
        <v>800</v>
      </c>
    </row>
    <row r="3624" spans="1:30">
      <c r="A3624" t="str">
        <f>CONCATENATE(I3624,J3624)</f>
        <v>YUKENEQ</v>
      </c>
      <c r="B3624" s="34">
        <v>46273</v>
      </c>
      <c r="C3624" s="34">
        <v>46273</v>
      </c>
      <c r="D3624" t="s">
        <v>35</v>
      </c>
      <c r="E3624" t="s">
        <v>36</v>
      </c>
      <c r="F3624" t="s">
        <v>37</v>
      </c>
      <c r="G3624">
        <v>5501</v>
      </c>
      <c r="H3624" t="s">
        <v>10941</v>
      </c>
      <c r="I3624" t="s">
        <v>10942</v>
      </c>
      <c r="J3624" t="s">
        <v>161</v>
      </c>
      <c r="O3624" t="s">
        <v>10943</v>
      </c>
      <c r="P3624">
        <v>1016</v>
      </c>
      <c r="Q3624">
        <v>1050.95</v>
      </c>
      <c r="R3624">
        <v>968.1</v>
      </c>
      <c r="S3624">
        <v>1017.35</v>
      </c>
      <c r="T3624">
        <v>1013</v>
      </c>
      <c r="U3624">
        <v>1005.6</v>
      </c>
      <c r="W3624">
        <v>1017.3</v>
      </c>
      <c r="Z3624">
        <v>23733</v>
      </c>
      <c r="AA3624">
        <v>24320602.75</v>
      </c>
      <c r="AB3624">
        <v>1833</v>
      </c>
      <c r="AC3624" t="s">
        <v>42</v>
      </c>
      <c r="AD3624">
        <v>1</v>
      </c>
    </row>
    <row r="3625" spans="1:30">
      <c r="A3625" t="str">
        <f>CONCATENATE(I3625,J3625)</f>
        <v>ZFSTEERINGEQ</v>
      </c>
      <c r="B3625" s="34">
        <v>46273</v>
      </c>
      <c r="C3625" s="34">
        <v>46273</v>
      </c>
      <c r="D3625" t="s">
        <v>35</v>
      </c>
      <c r="E3625" t="s">
        <v>36</v>
      </c>
      <c r="F3625" t="s">
        <v>37</v>
      </c>
      <c r="G3625">
        <v>4229</v>
      </c>
      <c r="H3625" t="s">
        <v>10944</v>
      </c>
      <c r="I3625" t="s">
        <v>10945</v>
      </c>
      <c r="J3625" t="s">
        <v>161</v>
      </c>
      <c r="O3625" t="s">
        <v>10946</v>
      </c>
      <c r="P3625">
        <v>675</v>
      </c>
      <c r="Q3625">
        <v>683.1</v>
      </c>
      <c r="R3625">
        <v>666.5</v>
      </c>
      <c r="S3625">
        <v>670.3</v>
      </c>
      <c r="T3625">
        <v>673</v>
      </c>
      <c r="U3625">
        <v>668.5</v>
      </c>
      <c r="W3625">
        <v>670.75</v>
      </c>
      <c r="Z3625">
        <v>10448</v>
      </c>
      <c r="AA3625">
        <v>7051946.6500000004</v>
      </c>
      <c r="AB3625">
        <v>335</v>
      </c>
      <c r="AC3625" t="s">
        <v>42</v>
      </c>
      <c r="AD3625">
        <v>1</v>
      </c>
    </row>
    <row r="3626" spans="1:30">
      <c r="A3626" t="str">
        <f>CONCATENATE(I3626,J3626)</f>
        <v>ZTECHSM</v>
      </c>
      <c r="B3626" s="34">
        <v>46273</v>
      </c>
      <c r="C3626" s="34">
        <v>46273</v>
      </c>
      <c r="D3626" t="s">
        <v>35</v>
      </c>
      <c r="E3626" t="s">
        <v>36</v>
      </c>
      <c r="F3626" t="s">
        <v>37</v>
      </c>
      <c r="G3626">
        <v>23976</v>
      </c>
      <c r="H3626" t="s">
        <v>10947</v>
      </c>
      <c r="I3626" t="s">
        <v>10948</v>
      </c>
      <c r="J3626" t="s">
        <v>267</v>
      </c>
      <c r="O3626" t="s">
        <v>10949</v>
      </c>
      <c r="P3626">
        <v>466.25</v>
      </c>
      <c r="Q3626">
        <v>473.9</v>
      </c>
      <c r="R3626">
        <v>450</v>
      </c>
      <c r="S3626">
        <v>457.6</v>
      </c>
      <c r="T3626">
        <v>456</v>
      </c>
      <c r="U3626">
        <v>467.65</v>
      </c>
      <c r="W3626">
        <v>457.6</v>
      </c>
      <c r="Z3626">
        <v>38700</v>
      </c>
      <c r="AA3626">
        <v>17761575</v>
      </c>
      <c r="AB3626">
        <v>72</v>
      </c>
      <c r="AC3626" t="s">
        <v>42</v>
      </c>
      <c r="AD3626">
        <v>300</v>
      </c>
    </row>
    <row r="3627" spans="1:30">
      <c r="A3627" t="str">
        <f>CONCATENATE(I3627,J3627)</f>
        <v>ZAGGLEEQ</v>
      </c>
      <c r="B3627" s="34">
        <v>46273</v>
      </c>
      <c r="C3627" s="34">
        <v>46273</v>
      </c>
      <c r="D3627" t="s">
        <v>35</v>
      </c>
      <c r="E3627" t="s">
        <v>36</v>
      </c>
      <c r="F3627" t="s">
        <v>37</v>
      </c>
      <c r="G3627">
        <v>18608</v>
      </c>
      <c r="H3627" t="s">
        <v>10950</v>
      </c>
      <c r="I3627" t="s">
        <v>10951</v>
      </c>
      <c r="J3627" t="s">
        <v>161</v>
      </c>
      <c r="O3627" t="s">
        <v>10952</v>
      </c>
      <c r="P3627">
        <v>182.7</v>
      </c>
      <c r="Q3627">
        <v>183.6</v>
      </c>
      <c r="R3627">
        <v>179</v>
      </c>
      <c r="S3627">
        <v>180.11</v>
      </c>
      <c r="T3627">
        <v>179.9</v>
      </c>
      <c r="U3627">
        <v>183.49</v>
      </c>
      <c r="W3627">
        <v>180.12</v>
      </c>
      <c r="Z3627">
        <v>529099</v>
      </c>
      <c r="AA3627">
        <v>95646714.019999996</v>
      </c>
      <c r="AB3627">
        <v>6936</v>
      </c>
      <c r="AC3627" t="s">
        <v>42</v>
      </c>
      <c r="AD3627">
        <v>1</v>
      </c>
    </row>
    <row r="3628" spans="1:30">
      <c r="A3628" t="str">
        <f>CONCATENATE(I3628,J3628)</f>
        <v>ZEALSM</v>
      </c>
      <c r="B3628" s="34">
        <v>46273</v>
      </c>
      <c r="C3628" s="34">
        <v>46273</v>
      </c>
      <c r="D3628" t="s">
        <v>35</v>
      </c>
      <c r="E3628" t="s">
        <v>36</v>
      </c>
      <c r="F3628" t="s">
        <v>37</v>
      </c>
      <c r="G3628">
        <v>17766</v>
      </c>
      <c r="H3628" t="s">
        <v>10953</v>
      </c>
      <c r="I3628" t="s">
        <v>10954</v>
      </c>
      <c r="J3628" t="s">
        <v>267</v>
      </c>
      <c r="O3628" t="s">
        <v>10955</v>
      </c>
      <c r="P3628">
        <v>85</v>
      </c>
      <c r="Q3628">
        <v>93.55</v>
      </c>
      <c r="R3628">
        <v>85</v>
      </c>
      <c r="S3628">
        <v>91.4</v>
      </c>
      <c r="T3628">
        <v>91.45</v>
      </c>
      <c r="U3628">
        <v>78.599999999999994</v>
      </c>
      <c r="W3628">
        <v>91.4</v>
      </c>
      <c r="Z3628">
        <v>39000</v>
      </c>
      <c r="AA3628">
        <v>3539340</v>
      </c>
      <c r="AB3628">
        <v>56</v>
      </c>
      <c r="AC3628" t="s">
        <v>42</v>
      </c>
      <c r="AD3628">
        <v>600</v>
      </c>
    </row>
    <row r="3629" spans="1:30">
      <c r="A3629" t="str">
        <f>CONCATENATE(I3629,J3629)</f>
        <v>ZEELEQ</v>
      </c>
      <c r="B3629" s="34">
        <v>46273</v>
      </c>
      <c r="C3629" s="34">
        <v>46273</v>
      </c>
      <c r="D3629" t="s">
        <v>35</v>
      </c>
      <c r="E3629" t="s">
        <v>36</v>
      </c>
      <c r="F3629" t="s">
        <v>37</v>
      </c>
      <c r="G3629">
        <v>3812</v>
      </c>
      <c r="H3629" t="s">
        <v>10956</v>
      </c>
      <c r="I3629" t="s">
        <v>10957</v>
      </c>
      <c r="J3629" t="s">
        <v>161</v>
      </c>
      <c r="O3629" t="s">
        <v>10958</v>
      </c>
      <c r="P3629">
        <v>85.8</v>
      </c>
      <c r="Q3629">
        <v>87.52</v>
      </c>
      <c r="R3629">
        <v>85.5</v>
      </c>
      <c r="S3629">
        <v>86.31</v>
      </c>
      <c r="T3629">
        <v>86.4</v>
      </c>
      <c r="U3629">
        <v>85.99</v>
      </c>
      <c r="W3629">
        <v>86.31</v>
      </c>
      <c r="Z3629">
        <v>16984775</v>
      </c>
      <c r="AA3629">
        <v>1468568226.4200001</v>
      </c>
      <c r="AB3629">
        <v>55412</v>
      </c>
      <c r="AC3629" t="s">
        <v>42</v>
      </c>
      <c r="AD3629">
        <v>1</v>
      </c>
    </row>
    <row r="3630" spans="1:30">
      <c r="A3630" t="str">
        <f>CONCATENATE(I3630,J3630)</f>
        <v>ZEELEARNBE</v>
      </c>
      <c r="B3630" s="34">
        <v>46273</v>
      </c>
      <c r="C3630" s="34">
        <v>46273</v>
      </c>
      <c r="D3630" t="s">
        <v>35</v>
      </c>
      <c r="E3630" t="s">
        <v>36</v>
      </c>
      <c r="F3630" t="s">
        <v>37</v>
      </c>
      <c r="G3630">
        <v>20856</v>
      </c>
      <c r="H3630" t="s">
        <v>10959</v>
      </c>
      <c r="I3630" t="s">
        <v>10960</v>
      </c>
      <c r="J3630" t="s">
        <v>183</v>
      </c>
      <c r="O3630" t="s">
        <v>10961</v>
      </c>
      <c r="P3630">
        <v>6.74</v>
      </c>
      <c r="Q3630">
        <v>6.78</v>
      </c>
      <c r="R3630">
        <v>6.6</v>
      </c>
      <c r="S3630">
        <v>6.61</v>
      </c>
      <c r="T3630">
        <v>6.69</v>
      </c>
      <c r="U3630">
        <v>6.78</v>
      </c>
      <c r="W3630">
        <v>6.63</v>
      </c>
      <c r="Z3630">
        <v>247853</v>
      </c>
      <c r="AA3630">
        <v>1656528.26</v>
      </c>
      <c r="AB3630">
        <v>453</v>
      </c>
      <c r="AC3630" t="s">
        <v>42</v>
      </c>
      <c r="AD3630">
        <v>1</v>
      </c>
    </row>
    <row r="3631" spans="1:30">
      <c r="A3631" t="str">
        <f>CONCATENATE(I3631,J3631)</f>
        <v>ZEEMEDIAEQ</v>
      </c>
      <c r="B3631" s="34">
        <v>46273</v>
      </c>
      <c r="C3631" s="34">
        <v>46273</v>
      </c>
      <c r="D3631" t="s">
        <v>35</v>
      </c>
      <c r="E3631" t="s">
        <v>36</v>
      </c>
      <c r="F3631" t="s">
        <v>37</v>
      </c>
      <c r="G3631">
        <v>14003</v>
      </c>
      <c r="H3631" t="s">
        <v>10962</v>
      </c>
      <c r="I3631" t="s">
        <v>10963</v>
      </c>
      <c r="J3631" t="s">
        <v>161</v>
      </c>
      <c r="O3631" t="s">
        <v>10964</v>
      </c>
      <c r="P3631">
        <v>7.86</v>
      </c>
      <c r="Q3631">
        <v>8.1999999999999993</v>
      </c>
      <c r="R3631">
        <v>7.51</v>
      </c>
      <c r="S3631">
        <v>7.94</v>
      </c>
      <c r="T3631">
        <v>7.89</v>
      </c>
      <c r="U3631">
        <v>7.94</v>
      </c>
      <c r="W3631">
        <v>7.94</v>
      </c>
      <c r="Z3631">
        <v>2288521</v>
      </c>
      <c r="AA3631">
        <v>17975997.510000002</v>
      </c>
      <c r="AB3631">
        <v>2193</v>
      </c>
      <c r="AC3631" t="s">
        <v>42</v>
      </c>
      <c r="AD3631">
        <v>1</v>
      </c>
    </row>
    <row r="3632" spans="1:30">
      <c r="A3632" t="str">
        <f>CONCATENATE(I3632,J3632)</f>
        <v>ZENTECEQ</v>
      </c>
      <c r="B3632" s="34">
        <v>46273</v>
      </c>
      <c r="C3632" s="34">
        <v>46273</v>
      </c>
      <c r="D3632" t="s">
        <v>35</v>
      </c>
      <c r="E3632" t="s">
        <v>36</v>
      </c>
      <c r="F3632" t="s">
        <v>37</v>
      </c>
      <c r="G3632">
        <v>7508</v>
      </c>
      <c r="H3632" t="s">
        <v>10965</v>
      </c>
      <c r="I3632" t="s">
        <v>10966</v>
      </c>
      <c r="J3632" t="s">
        <v>161</v>
      </c>
      <c r="O3632" t="s">
        <v>10967</v>
      </c>
      <c r="P3632">
        <v>1808</v>
      </c>
      <c r="Q3632">
        <v>1864.8</v>
      </c>
      <c r="R3632">
        <v>1804.1</v>
      </c>
      <c r="S3632">
        <v>1825</v>
      </c>
      <c r="T3632">
        <v>1828.5</v>
      </c>
      <c r="U3632">
        <v>1794.6</v>
      </c>
      <c r="W3632">
        <v>1825.18</v>
      </c>
      <c r="Z3632">
        <v>581636</v>
      </c>
      <c r="AA3632">
        <v>1069272433.4</v>
      </c>
      <c r="AB3632">
        <v>40523</v>
      </c>
      <c r="AC3632" t="s">
        <v>42</v>
      </c>
      <c r="AD3632">
        <v>1</v>
      </c>
    </row>
    <row r="3633" spans="1:30">
      <c r="A3633" t="str">
        <f>CONCATENATE(I3633,J3633)</f>
        <v>ZENITHDRUGSM</v>
      </c>
      <c r="B3633" s="34">
        <v>46273</v>
      </c>
      <c r="C3633" s="34">
        <v>46273</v>
      </c>
      <c r="D3633" t="s">
        <v>35</v>
      </c>
      <c r="E3633" t="s">
        <v>36</v>
      </c>
      <c r="F3633" t="s">
        <v>37</v>
      </c>
      <c r="G3633">
        <v>22803</v>
      </c>
      <c r="H3633" t="s">
        <v>10968</v>
      </c>
      <c r="I3633" t="s">
        <v>10969</v>
      </c>
      <c r="J3633" t="s">
        <v>267</v>
      </c>
      <c r="O3633" t="s">
        <v>10970</v>
      </c>
      <c r="P3633">
        <v>46</v>
      </c>
      <c r="Q3633">
        <v>51</v>
      </c>
      <c r="R3633">
        <v>45.5</v>
      </c>
      <c r="S3633">
        <v>48.85</v>
      </c>
      <c r="T3633">
        <v>48.8</v>
      </c>
      <c r="U3633">
        <v>45.45</v>
      </c>
      <c r="W3633">
        <v>48.85</v>
      </c>
      <c r="Z3633">
        <v>57600</v>
      </c>
      <c r="AA3633">
        <v>2735240</v>
      </c>
      <c r="AB3633">
        <v>55</v>
      </c>
      <c r="AC3633" t="s">
        <v>42</v>
      </c>
      <c r="AD3633">
        <v>800</v>
      </c>
    </row>
    <row r="3634" spans="1:30">
      <c r="A3634" t="str">
        <f>CONCATENATE(I3634,J3634)</f>
        <v>ZENITHEXPOEQ</v>
      </c>
      <c r="B3634" s="34">
        <v>46273</v>
      </c>
      <c r="C3634" s="34">
        <v>46273</v>
      </c>
      <c r="D3634" t="s">
        <v>35</v>
      </c>
      <c r="E3634" t="s">
        <v>36</v>
      </c>
      <c r="F3634" t="s">
        <v>37</v>
      </c>
      <c r="G3634">
        <v>4176</v>
      </c>
      <c r="H3634" t="s">
        <v>10971</v>
      </c>
      <c r="I3634" t="s">
        <v>10972</v>
      </c>
      <c r="J3634" t="s">
        <v>161</v>
      </c>
      <c r="O3634" t="s">
        <v>10973</v>
      </c>
      <c r="P3634">
        <v>198.54</v>
      </c>
      <c r="Q3634">
        <v>200.53</v>
      </c>
      <c r="R3634">
        <v>197</v>
      </c>
      <c r="S3634">
        <v>197</v>
      </c>
      <c r="T3634">
        <v>197</v>
      </c>
      <c r="U3634">
        <v>196.57</v>
      </c>
      <c r="W3634">
        <v>197</v>
      </c>
      <c r="Z3634">
        <v>176</v>
      </c>
      <c r="AA3634">
        <v>34853.74</v>
      </c>
      <c r="AB3634">
        <v>10</v>
      </c>
      <c r="AC3634" t="s">
        <v>42</v>
      </c>
      <c r="AD3634">
        <v>1</v>
      </c>
    </row>
    <row r="3635" spans="1:30">
      <c r="A3635" t="str">
        <f>CONCATENATE(I3635,J3635)</f>
        <v>ZENITHSTLEQ</v>
      </c>
      <c r="B3635" s="34">
        <v>46273</v>
      </c>
      <c r="C3635" s="34">
        <v>46273</v>
      </c>
      <c r="D3635" t="s">
        <v>35</v>
      </c>
      <c r="E3635" t="s">
        <v>36</v>
      </c>
      <c r="F3635" t="s">
        <v>37</v>
      </c>
      <c r="G3635">
        <v>14562</v>
      </c>
      <c r="H3635" t="s">
        <v>10974</v>
      </c>
      <c r="I3635" t="s">
        <v>10975</v>
      </c>
      <c r="J3635" t="s">
        <v>161</v>
      </c>
      <c r="O3635" t="s">
        <v>10976</v>
      </c>
      <c r="P3635">
        <v>6.04</v>
      </c>
      <c r="Q3635">
        <v>6.29</v>
      </c>
      <c r="R3635">
        <v>6.04</v>
      </c>
      <c r="S3635">
        <v>6.1</v>
      </c>
      <c r="T3635">
        <v>6.1</v>
      </c>
      <c r="U3635">
        <v>6.03</v>
      </c>
      <c r="W3635">
        <v>6.08</v>
      </c>
      <c r="Z3635">
        <v>134814</v>
      </c>
      <c r="AA3635">
        <v>831358.35</v>
      </c>
      <c r="AB3635">
        <v>312</v>
      </c>
      <c r="AC3635" t="s">
        <v>42</v>
      </c>
      <c r="AD3635">
        <v>1</v>
      </c>
    </row>
    <row r="3636" spans="1:30">
      <c r="A3636" t="str">
        <f>CONCATENATE(I3636,J3636)</f>
        <v>ZENSARTECHEQ</v>
      </c>
      <c r="B3636" s="34">
        <v>46273</v>
      </c>
      <c r="C3636" s="34">
        <v>46273</v>
      </c>
      <c r="D3636" t="s">
        <v>35</v>
      </c>
      <c r="E3636" t="s">
        <v>36</v>
      </c>
      <c r="F3636" t="s">
        <v>37</v>
      </c>
      <c r="G3636">
        <v>1076</v>
      </c>
      <c r="H3636" t="s">
        <v>10977</v>
      </c>
      <c r="I3636" t="s">
        <v>10978</v>
      </c>
      <c r="J3636" t="s">
        <v>161</v>
      </c>
      <c r="O3636" t="s">
        <v>10979</v>
      </c>
      <c r="P3636">
        <v>454.05</v>
      </c>
      <c r="Q3636">
        <v>454.9</v>
      </c>
      <c r="R3636">
        <v>448</v>
      </c>
      <c r="S3636">
        <v>450.55</v>
      </c>
      <c r="T3636">
        <v>450.35</v>
      </c>
      <c r="U3636">
        <v>453.85</v>
      </c>
      <c r="W3636">
        <v>450.54</v>
      </c>
      <c r="Z3636">
        <v>259747</v>
      </c>
      <c r="AA3636">
        <v>117160608.59999999</v>
      </c>
      <c r="AB3636">
        <v>10263</v>
      </c>
      <c r="AC3636" t="s">
        <v>42</v>
      </c>
      <c r="AD3636">
        <v>1</v>
      </c>
    </row>
    <row r="3637" spans="1:30">
      <c r="A3637" t="str">
        <f>CONCATENATE(I3637,J3637)</f>
        <v>GOLDCASEEQ</v>
      </c>
      <c r="B3637" s="34">
        <v>46273</v>
      </c>
      <c r="C3637" s="34">
        <v>46273</v>
      </c>
      <c r="D3637" t="s">
        <v>35</v>
      </c>
      <c r="E3637" t="s">
        <v>36</v>
      </c>
      <c r="F3637" t="s">
        <v>37</v>
      </c>
      <c r="G3637">
        <v>22901</v>
      </c>
      <c r="H3637" t="s">
        <v>10980</v>
      </c>
      <c r="I3637" t="s">
        <v>10981</v>
      </c>
      <c r="J3637" t="s">
        <v>161</v>
      </c>
      <c r="O3637" t="s">
        <v>10982</v>
      </c>
      <c r="P3637">
        <v>23.93</v>
      </c>
      <c r="Q3637">
        <v>24.15</v>
      </c>
      <c r="R3637">
        <v>23.85</v>
      </c>
      <c r="S3637">
        <v>23.95</v>
      </c>
      <c r="T3637">
        <v>23.98</v>
      </c>
      <c r="U3637">
        <v>23.9</v>
      </c>
      <c r="W3637">
        <v>23.95</v>
      </c>
      <c r="Z3637">
        <v>10295437</v>
      </c>
      <c r="AA3637">
        <v>246909497.56999999</v>
      </c>
      <c r="AB3637">
        <v>10394</v>
      </c>
      <c r="AC3637" t="s">
        <v>42</v>
      </c>
      <c r="AD3637">
        <v>1</v>
      </c>
    </row>
    <row r="3638" spans="1:30">
      <c r="A3638" t="str">
        <f>CONCATENATE(I3638,J3638)</f>
        <v>LIQUIDCASEEQ</v>
      </c>
      <c r="B3638" s="34">
        <v>46273</v>
      </c>
      <c r="C3638" s="34">
        <v>46273</v>
      </c>
      <c r="D3638" t="s">
        <v>35</v>
      </c>
      <c r="E3638" t="s">
        <v>36</v>
      </c>
      <c r="F3638" t="s">
        <v>37</v>
      </c>
      <c r="G3638">
        <v>21750</v>
      </c>
      <c r="H3638" t="s">
        <v>10983</v>
      </c>
      <c r="I3638" t="s">
        <v>10984</v>
      </c>
      <c r="J3638" t="s">
        <v>161</v>
      </c>
      <c r="O3638" t="s">
        <v>10985</v>
      </c>
      <c r="P3638">
        <v>115.81</v>
      </c>
      <c r="Q3638">
        <v>115.83</v>
      </c>
      <c r="R3638">
        <v>115.81</v>
      </c>
      <c r="S3638">
        <v>115.82</v>
      </c>
      <c r="T3638">
        <v>115.82</v>
      </c>
      <c r="U3638">
        <v>115.81</v>
      </c>
      <c r="W3638">
        <v>115.82</v>
      </c>
      <c r="Z3638">
        <v>16765740</v>
      </c>
      <c r="AA3638">
        <v>1941775936.24</v>
      </c>
      <c r="AB3638">
        <v>21138</v>
      </c>
      <c r="AC3638" t="s">
        <v>42</v>
      </c>
      <c r="AD3638">
        <v>1</v>
      </c>
    </row>
    <row r="3639" spans="1:30">
      <c r="A3639" t="str">
        <f>CONCATENATE(I3639,J3639)</f>
        <v>LTGILTCASEEQ</v>
      </c>
      <c r="B3639" s="34">
        <v>46273</v>
      </c>
      <c r="C3639" s="34">
        <v>46273</v>
      </c>
      <c r="D3639" t="s">
        <v>35</v>
      </c>
      <c r="E3639" t="s">
        <v>36</v>
      </c>
      <c r="F3639" t="s">
        <v>37</v>
      </c>
      <c r="G3639">
        <v>758705</v>
      </c>
      <c r="H3639" t="s">
        <v>10986</v>
      </c>
      <c r="I3639" t="s">
        <v>10987</v>
      </c>
      <c r="J3639" t="s">
        <v>161</v>
      </c>
      <c r="O3639" t="s">
        <v>10988</v>
      </c>
      <c r="P3639">
        <v>31.06</v>
      </c>
      <c r="Q3639">
        <v>31.06</v>
      </c>
      <c r="R3639">
        <v>30.4</v>
      </c>
      <c r="S3639">
        <v>30.41</v>
      </c>
      <c r="T3639">
        <v>30.41</v>
      </c>
      <c r="U3639">
        <v>30.45</v>
      </c>
      <c r="W3639">
        <v>30.41</v>
      </c>
      <c r="Z3639">
        <v>30740</v>
      </c>
      <c r="AA3639">
        <v>935777.19</v>
      </c>
      <c r="AB3639">
        <v>193</v>
      </c>
      <c r="AC3639" t="s">
        <v>42</v>
      </c>
      <c r="AD3639">
        <v>1</v>
      </c>
    </row>
    <row r="3640" spans="1:30">
      <c r="A3640" t="str">
        <f>CONCATENATE(I3640,J3640)</f>
        <v>MID150CASEEQ</v>
      </c>
      <c r="B3640" s="34">
        <v>46273</v>
      </c>
      <c r="C3640" s="34">
        <v>46273</v>
      </c>
      <c r="D3640" t="s">
        <v>35</v>
      </c>
      <c r="E3640" t="s">
        <v>36</v>
      </c>
      <c r="F3640" t="s">
        <v>37</v>
      </c>
      <c r="G3640">
        <v>24077</v>
      </c>
      <c r="H3640" t="s">
        <v>10989</v>
      </c>
      <c r="I3640" t="s">
        <v>10990</v>
      </c>
      <c r="J3640" t="s">
        <v>161</v>
      </c>
      <c r="O3640" t="s">
        <v>10991</v>
      </c>
      <c r="P3640">
        <v>11.79</v>
      </c>
      <c r="Q3640">
        <v>11.79</v>
      </c>
      <c r="R3640">
        <v>11.59</v>
      </c>
      <c r="S3640">
        <v>11.63</v>
      </c>
      <c r="T3640">
        <v>11.64</v>
      </c>
      <c r="U3640">
        <v>11.63</v>
      </c>
      <c r="W3640">
        <v>11.63</v>
      </c>
      <c r="Z3640">
        <v>1363301</v>
      </c>
      <c r="AA3640">
        <v>15835657.23</v>
      </c>
      <c r="AB3640">
        <v>3239</v>
      </c>
      <c r="AC3640" t="s">
        <v>42</v>
      </c>
      <c r="AD3640">
        <v>1</v>
      </c>
    </row>
    <row r="3641" spans="1:30">
      <c r="A3641" t="str">
        <f>CONCATENATE(I3641,J3641)</f>
        <v>NIFTYCASEEQ</v>
      </c>
      <c r="B3641" s="34">
        <v>46273</v>
      </c>
      <c r="C3641" s="34">
        <v>46273</v>
      </c>
      <c r="D3641" t="s">
        <v>35</v>
      </c>
      <c r="E3641" t="s">
        <v>36</v>
      </c>
      <c r="F3641" t="s">
        <v>37</v>
      </c>
      <c r="G3641">
        <v>759302</v>
      </c>
      <c r="H3641" t="s">
        <v>10992</v>
      </c>
      <c r="I3641" t="s">
        <v>10993</v>
      </c>
      <c r="J3641" t="s">
        <v>161</v>
      </c>
      <c r="O3641" t="s">
        <v>10994</v>
      </c>
      <c r="P3641">
        <v>9.7899999999999991</v>
      </c>
      <c r="Q3641">
        <v>9.7899999999999991</v>
      </c>
      <c r="R3641">
        <v>9.5</v>
      </c>
      <c r="S3641">
        <v>9.52</v>
      </c>
      <c r="T3641">
        <v>9.5500000000000007</v>
      </c>
      <c r="U3641">
        <v>9.56</v>
      </c>
      <c r="W3641">
        <v>9.52</v>
      </c>
      <c r="Z3641">
        <v>1090577</v>
      </c>
      <c r="AA3641">
        <v>10383014.93</v>
      </c>
      <c r="AB3641">
        <v>2164</v>
      </c>
      <c r="AC3641" t="s">
        <v>42</v>
      </c>
      <c r="AD3641">
        <v>1</v>
      </c>
    </row>
    <row r="3642" spans="1:30">
      <c r="A3642" t="str">
        <f>CONCATENATE(I3642,J3642)</f>
        <v>SILVERCASEEQ</v>
      </c>
      <c r="B3642" s="34">
        <v>46273</v>
      </c>
      <c r="C3642" s="34">
        <v>46273</v>
      </c>
      <c r="D3642" t="s">
        <v>35</v>
      </c>
      <c r="E3642" t="s">
        <v>36</v>
      </c>
      <c r="F3642" t="s">
        <v>37</v>
      </c>
      <c r="G3642">
        <v>30274</v>
      </c>
      <c r="H3642" t="s">
        <v>10995</v>
      </c>
      <c r="I3642" t="s">
        <v>10996</v>
      </c>
      <c r="J3642" t="s">
        <v>161</v>
      </c>
      <c r="O3642" t="s">
        <v>10997</v>
      </c>
      <c r="P3642">
        <v>23.59</v>
      </c>
      <c r="Q3642">
        <v>23.76</v>
      </c>
      <c r="R3642">
        <v>23.32</v>
      </c>
      <c r="S3642">
        <v>23.45</v>
      </c>
      <c r="T3642">
        <v>23.48</v>
      </c>
      <c r="U3642">
        <v>23.31</v>
      </c>
      <c r="W3642">
        <v>23.45</v>
      </c>
      <c r="Z3642">
        <v>10441296</v>
      </c>
      <c r="AA3642">
        <v>245978170.84999999</v>
      </c>
      <c r="AB3642">
        <v>6169</v>
      </c>
      <c r="AC3642" t="s">
        <v>42</v>
      </c>
      <c r="AD3642">
        <v>1</v>
      </c>
    </row>
    <row r="3643" spans="1:30">
      <c r="A3643" t="str">
        <f>CONCATENATE(I3643,J3643)</f>
        <v>SML100CASEEQ</v>
      </c>
      <c r="B3643" s="34">
        <v>46273</v>
      </c>
      <c r="C3643" s="34">
        <v>46273</v>
      </c>
      <c r="D3643" t="s">
        <v>35</v>
      </c>
      <c r="E3643" t="s">
        <v>36</v>
      </c>
      <c r="F3643" t="s">
        <v>37</v>
      </c>
      <c r="G3643">
        <v>758955</v>
      </c>
      <c r="H3643" t="s">
        <v>10998</v>
      </c>
      <c r="I3643" t="s">
        <v>10999</v>
      </c>
      <c r="J3643" t="s">
        <v>161</v>
      </c>
      <c r="O3643" t="s">
        <v>11000</v>
      </c>
      <c r="P3643">
        <v>11.72</v>
      </c>
      <c r="Q3643">
        <v>11.72</v>
      </c>
      <c r="R3643">
        <v>11.23</v>
      </c>
      <c r="S3643">
        <v>11.46</v>
      </c>
      <c r="T3643">
        <v>11.51</v>
      </c>
      <c r="U3643">
        <v>11.44</v>
      </c>
      <c r="W3643">
        <v>11.5</v>
      </c>
      <c r="Z3643">
        <v>1008122</v>
      </c>
      <c r="AA3643">
        <v>11527898.77</v>
      </c>
      <c r="AB3643">
        <v>1282</v>
      </c>
      <c r="AC3643" t="s">
        <v>42</v>
      </c>
      <c r="AD3643">
        <v>1</v>
      </c>
    </row>
    <row r="3644" spans="1:30">
      <c r="A3644" t="str">
        <f>CONCATENATE(I3644,J3644)</f>
        <v>TOP100CASEEQ</v>
      </c>
      <c r="B3644" s="34">
        <v>46273</v>
      </c>
      <c r="C3644" s="34">
        <v>46273</v>
      </c>
      <c r="D3644" t="s">
        <v>35</v>
      </c>
      <c r="E3644" t="s">
        <v>36</v>
      </c>
      <c r="F3644" t="s">
        <v>37</v>
      </c>
      <c r="G3644">
        <v>24081</v>
      </c>
      <c r="H3644" t="s">
        <v>11001</v>
      </c>
      <c r="I3644" t="s">
        <v>11002</v>
      </c>
      <c r="J3644" t="s">
        <v>161</v>
      </c>
      <c r="O3644" t="s">
        <v>11003</v>
      </c>
      <c r="P3644">
        <v>10.62</v>
      </c>
      <c r="Q3644">
        <v>10.62</v>
      </c>
      <c r="R3644">
        <v>10.41</v>
      </c>
      <c r="S3644">
        <v>10.43</v>
      </c>
      <c r="T3644">
        <v>10.41</v>
      </c>
      <c r="U3644">
        <v>10.47</v>
      </c>
      <c r="W3644">
        <v>10.43</v>
      </c>
      <c r="Z3644">
        <v>1095097</v>
      </c>
      <c r="AA3644">
        <v>11426106.890000001</v>
      </c>
      <c r="AB3644">
        <v>1428</v>
      </c>
      <c r="AC3644" t="s">
        <v>42</v>
      </c>
      <c r="AD3644">
        <v>1</v>
      </c>
    </row>
    <row r="3645" spans="1:30">
      <c r="A3645" t="str">
        <f>CONCATENATE(I3645,J3645)</f>
        <v>ZFCVINDIAEQ</v>
      </c>
      <c r="B3645" s="34">
        <v>46273</v>
      </c>
      <c r="C3645" s="34">
        <v>46273</v>
      </c>
      <c r="D3645" t="s">
        <v>35</v>
      </c>
      <c r="E3645" t="s">
        <v>36</v>
      </c>
      <c r="F3645" t="s">
        <v>37</v>
      </c>
      <c r="G3645">
        <v>16915</v>
      </c>
      <c r="H3645" t="s">
        <v>11004</v>
      </c>
      <c r="I3645" t="s">
        <v>11005</v>
      </c>
      <c r="J3645" t="s">
        <v>161</v>
      </c>
      <c r="O3645" t="s">
        <v>11006</v>
      </c>
      <c r="P3645">
        <v>2491.6999999999998</v>
      </c>
      <c r="Q3645">
        <v>2537.9</v>
      </c>
      <c r="R3645">
        <v>2472.1999999999998</v>
      </c>
      <c r="S3645">
        <v>2517.4</v>
      </c>
      <c r="T3645">
        <v>2527</v>
      </c>
      <c r="U3645">
        <v>2491.6999999999998</v>
      </c>
      <c r="W3645">
        <v>2517.4699999999998</v>
      </c>
      <c r="Z3645">
        <v>77922</v>
      </c>
      <c r="AA3645">
        <v>195722724.69999999</v>
      </c>
      <c r="AB3645">
        <v>8909</v>
      </c>
      <c r="AC3645" t="s">
        <v>42</v>
      </c>
      <c r="AD3645">
        <v>1</v>
      </c>
    </row>
    <row r="3646" spans="1:30">
      <c r="A3646" t="str">
        <f>CONCATENATE(I3646,J3646)</f>
        <v>ZIMLABEQ</v>
      </c>
      <c r="B3646" s="34">
        <v>46273</v>
      </c>
      <c r="C3646" s="34">
        <v>46273</v>
      </c>
      <c r="D3646" t="s">
        <v>35</v>
      </c>
      <c r="E3646" t="s">
        <v>36</v>
      </c>
      <c r="F3646" t="s">
        <v>37</v>
      </c>
      <c r="G3646">
        <v>12384</v>
      </c>
      <c r="H3646" t="s">
        <v>11007</v>
      </c>
      <c r="I3646" t="s">
        <v>11008</v>
      </c>
      <c r="J3646" t="s">
        <v>161</v>
      </c>
      <c r="O3646" t="s">
        <v>11009</v>
      </c>
      <c r="P3646">
        <v>130.44999999999999</v>
      </c>
      <c r="Q3646">
        <v>133.88999999999999</v>
      </c>
      <c r="R3646">
        <v>125.56</v>
      </c>
      <c r="S3646">
        <v>129.1</v>
      </c>
      <c r="T3646">
        <v>129.65</v>
      </c>
      <c r="U3646">
        <v>129.16</v>
      </c>
      <c r="W3646">
        <v>129.1</v>
      </c>
      <c r="Z3646">
        <v>49305</v>
      </c>
      <c r="AA3646">
        <v>6320334.7999999998</v>
      </c>
      <c r="AB3646">
        <v>722</v>
      </c>
      <c r="AC3646" t="s">
        <v>42</v>
      </c>
      <c r="AD3646">
        <v>1</v>
      </c>
    </row>
    <row r="3647" spans="1:30">
      <c r="A3647" t="str">
        <f>CONCATENATE(I3647,J3647)</f>
        <v>ZODIACLOTHEQ</v>
      </c>
      <c r="B3647" s="34">
        <v>46273</v>
      </c>
      <c r="C3647" s="34">
        <v>46273</v>
      </c>
      <c r="D3647" t="s">
        <v>35</v>
      </c>
      <c r="E3647" t="s">
        <v>36</v>
      </c>
      <c r="F3647" t="s">
        <v>37</v>
      </c>
      <c r="G3647">
        <v>3821</v>
      </c>
      <c r="H3647" t="s">
        <v>11010</v>
      </c>
      <c r="I3647" t="s">
        <v>11011</v>
      </c>
      <c r="J3647" t="s">
        <v>161</v>
      </c>
      <c r="O3647" t="s">
        <v>11012</v>
      </c>
      <c r="P3647">
        <v>72.02</v>
      </c>
      <c r="Q3647">
        <v>72.59</v>
      </c>
      <c r="R3647">
        <v>70</v>
      </c>
      <c r="S3647">
        <v>71.5</v>
      </c>
      <c r="T3647">
        <v>71.5</v>
      </c>
      <c r="U3647">
        <v>71.849999999999994</v>
      </c>
      <c r="W3647">
        <v>71.56</v>
      </c>
      <c r="Z3647">
        <v>4375</v>
      </c>
      <c r="AA3647">
        <v>311999.52</v>
      </c>
      <c r="AB3647">
        <v>162</v>
      </c>
      <c r="AC3647" t="s">
        <v>42</v>
      </c>
      <c r="AD3647">
        <v>1</v>
      </c>
    </row>
    <row r="3648" spans="1:30">
      <c r="A3648" t="str">
        <f>CONCATENATE(I3648,J3648)</f>
        <v>ZODIACEQ</v>
      </c>
      <c r="B3648" s="34">
        <v>46273</v>
      </c>
      <c r="C3648" s="34">
        <v>46273</v>
      </c>
      <c r="D3648" t="s">
        <v>35</v>
      </c>
      <c r="E3648" t="s">
        <v>36</v>
      </c>
      <c r="F3648" t="s">
        <v>37</v>
      </c>
      <c r="G3648">
        <v>7129</v>
      </c>
      <c r="H3648" t="s">
        <v>11013</v>
      </c>
      <c r="I3648" t="s">
        <v>11014</v>
      </c>
      <c r="J3648" t="s">
        <v>161</v>
      </c>
      <c r="O3648" t="s">
        <v>11015</v>
      </c>
      <c r="P3648">
        <v>238</v>
      </c>
      <c r="Q3648">
        <v>243</v>
      </c>
      <c r="R3648">
        <v>233.41</v>
      </c>
      <c r="S3648">
        <v>235.28</v>
      </c>
      <c r="T3648">
        <v>236.23</v>
      </c>
      <c r="U3648">
        <v>237.16</v>
      </c>
      <c r="W3648">
        <v>235.46</v>
      </c>
      <c r="Z3648">
        <v>10361</v>
      </c>
      <c r="AA3648">
        <v>2443108.5099999998</v>
      </c>
      <c r="AB3648">
        <v>526</v>
      </c>
      <c r="AC3648" t="s">
        <v>42</v>
      </c>
      <c r="AD3648">
        <v>1</v>
      </c>
    </row>
    <row r="3649" spans="1:30">
      <c r="A3649" t="str">
        <f>CONCATENATE(I3649,J3649)</f>
        <v>ZOTAEQ</v>
      </c>
      <c r="B3649" s="34">
        <v>46273</v>
      </c>
      <c r="C3649" s="34">
        <v>46273</v>
      </c>
      <c r="D3649" t="s">
        <v>35</v>
      </c>
      <c r="E3649" t="s">
        <v>36</v>
      </c>
      <c r="F3649" t="s">
        <v>37</v>
      </c>
      <c r="G3649">
        <v>11394</v>
      </c>
      <c r="H3649" t="s">
        <v>11016</v>
      </c>
      <c r="I3649" t="s">
        <v>11017</v>
      </c>
      <c r="J3649" t="s">
        <v>161</v>
      </c>
      <c r="O3649" t="s">
        <v>11018</v>
      </c>
      <c r="P3649">
        <v>1100.0999999999999</v>
      </c>
      <c r="Q3649">
        <v>1120</v>
      </c>
      <c r="R3649">
        <v>1086.0999999999999</v>
      </c>
      <c r="S3649">
        <v>1113.0999999999999</v>
      </c>
      <c r="T3649">
        <v>1113.2</v>
      </c>
      <c r="U3649">
        <v>1089.7</v>
      </c>
      <c r="W3649">
        <v>1113.0999999999999</v>
      </c>
      <c r="Z3649">
        <v>49560</v>
      </c>
      <c r="AA3649">
        <v>54828982.100000001</v>
      </c>
      <c r="AB3649">
        <v>5305</v>
      </c>
      <c r="AC3649" t="s">
        <v>42</v>
      </c>
      <c r="AD3649">
        <v>1</v>
      </c>
    </row>
    <row r="3650" spans="1:30">
      <c r="A3650" t="str">
        <f>CONCATENATE(I3650,J3650)</f>
        <v>ZUARIEQ</v>
      </c>
      <c r="B3650" s="34">
        <v>46273</v>
      </c>
      <c r="C3650" s="34">
        <v>46273</v>
      </c>
      <c r="D3650" t="s">
        <v>35</v>
      </c>
      <c r="E3650" t="s">
        <v>36</v>
      </c>
      <c r="F3650" t="s">
        <v>37</v>
      </c>
      <c r="G3650">
        <v>29050</v>
      </c>
      <c r="H3650" t="s">
        <v>11019</v>
      </c>
      <c r="I3650" t="s">
        <v>11020</v>
      </c>
      <c r="J3650" t="s">
        <v>161</v>
      </c>
      <c r="O3650" t="s">
        <v>11021</v>
      </c>
      <c r="P3650">
        <v>227.56</v>
      </c>
      <c r="Q3650">
        <v>229.89</v>
      </c>
      <c r="R3650">
        <v>225.87</v>
      </c>
      <c r="S3650">
        <v>227.96</v>
      </c>
      <c r="T3650">
        <v>229</v>
      </c>
      <c r="U3650">
        <v>226.85</v>
      </c>
      <c r="W3650">
        <v>227.93</v>
      </c>
      <c r="Z3650">
        <v>74087</v>
      </c>
      <c r="AA3650">
        <v>16876394.129999999</v>
      </c>
      <c r="AB3650">
        <v>1597</v>
      </c>
      <c r="AC3650" t="s">
        <v>42</v>
      </c>
      <c r="AD3650">
        <v>1</v>
      </c>
    </row>
    <row r="3651" spans="1:30">
      <c r="A3651" t="str">
        <f>CONCATENATE(I3651,J3651)</f>
        <v>ZUARIINDEQ</v>
      </c>
      <c r="B3651" s="34">
        <v>46273</v>
      </c>
      <c r="C3651" s="34">
        <v>46273</v>
      </c>
      <c r="D3651" t="s">
        <v>35</v>
      </c>
      <c r="E3651" t="s">
        <v>36</v>
      </c>
      <c r="F3651" t="s">
        <v>37</v>
      </c>
      <c r="G3651">
        <v>3827</v>
      </c>
      <c r="H3651" t="s">
        <v>11022</v>
      </c>
      <c r="I3651" t="s">
        <v>11023</v>
      </c>
      <c r="J3651" t="s">
        <v>161</v>
      </c>
      <c r="O3651" t="s">
        <v>11024</v>
      </c>
      <c r="P3651">
        <v>282.35000000000002</v>
      </c>
      <c r="Q3651">
        <v>282.7</v>
      </c>
      <c r="R3651">
        <v>274.2</v>
      </c>
      <c r="S3651">
        <v>278.45</v>
      </c>
      <c r="T3651">
        <v>278</v>
      </c>
      <c r="U3651">
        <v>280.39999999999998</v>
      </c>
      <c r="W3651">
        <v>278.48</v>
      </c>
      <c r="Z3651">
        <v>33313</v>
      </c>
      <c r="AA3651">
        <v>9275441.4000000004</v>
      </c>
      <c r="AB3651">
        <v>1517</v>
      </c>
      <c r="AC3651" t="s">
        <v>42</v>
      </c>
      <c r="AD3651">
        <v>1</v>
      </c>
    </row>
    <row r="3652" spans="1:30">
      <c r="A3652" t="str">
        <f>CONCATENATE(I3652,J3652)</f>
        <v>ZYDUSLIFEEQ</v>
      </c>
      <c r="B3652" s="34">
        <v>46273</v>
      </c>
      <c r="C3652" s="34">
        <v>46273</v>
      </c>
      <c r="D3652" t="s">
        <v>35</v>
      </c>
      <c r="E3652" t="s">
        <v>36</v>
      </c>
      <c r="F3652" t="s">
        <v>37</v>
      </c>
      <c r="G3652">
        <v>7929</v>
      </c>
      <c r="H3652" t="s">
        <v>11025</v>
      </c>
      <c r="I3652" t="s">
        <v>11026</v>
      </c>
      <c r="J3652" t="s">
        <v>161</v>
      </c>
      <c r="O3652" t="s">
        <v>11027</v>
      </c>
      <c r="P3652">
        <v>1161.7</v>
      </c>
      <c r="Q3652">
        <v>1167.7</v>
      </c>
      <c r="R3652">
        <v>1142</v>
      </c>
      <c r="S3652">
        <v>1145.5</v>
      </c>
      <c r="T3652">
        <v>1145.5</v>
      </c>
      <c r="U3652">
        <v>1156.9000000000001</v>
      </c>
      <c r="W3652">
        <v>1145.52</v>
      </c>
      <c r="Z3652">
        <v>2009363</v>
      </c>
      <c r="AA3652">
        <v>2325652472.0999999</v>
      </c>
      <c r="AB3652">
        <v>42160</v>
      </c>
      <c r="AC3652" t="s">
        <v>42</v>
      </c>
      <c r="AD3652">
        <v>1</v>
      </c>
    </row>
    <row r="3653" spans="1:30">
      <c r="A3653" t="str">
        <f>CONCATENATE(I3653,J3653)</f>
        <v>ZYDUSWELLEQ</v>
      </c>
      <c r="B3653" s="34">
        <v>46273</v>
      </c>
      <c r="C3653" s="34">
        <v>46273</v>
      </c>
      <c r="D3653" t="s">
        <v>35</v>
      </c>
      <c r="E3653" t="s">
        <v>36</v>
      </c>
      <c r="F3653" t="s">
        <v>37</v>
      </c>
      <c r="G3653">
        <v>17635</v>
      </c>
      <c r="H3653" t="s">
        <v>11028</v>
      </c>
      <c r="I3653" t="s">
        <v>11029</v>
      </c>
      <c r="J3653" t="s">
        <v>161</v>
      </c>
      <c r="O3653" t="s">
        <v>11030</v>
      </c>
      <c r="P3653">
        <v>555.35</v>
      </c>
      <c r="Q3653">
        <v>562.95000000000005</v>
      </c>
      <c r="R3653">
        <v>554.70000000000005</v>
      </c>
      <c r="S3653">
        <v>558.15</v>
      </c>
      <c r="T3653">
        <v>557.79999999999995</v>
      </c>
      <c r="U3653">
        <v>555.35</v>
      </c>
      <c r="W3653">
        <v>558.17999999999995</v>
      </c>
      <c r="Z3653">
        <v>321731</v>
      </c>
      <c r="AA3653">
        <v>179702927.90000001</v>
      </c>
      <c r="AB3653">
        <v>17884</v>
      </c>
      <c r="AC3653" t="s">
        <v>42</v>
      </c>
      <c r="AD365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231"/>
  <sheetViews>
    <sheetView tabSelected="1" zoomScale="85" zoomScaleNormal="85" workbookViewId="0">
      <pane ySplit="1" topLeftCell="A2" activePane="bottomLeft" state="frozen"/>
      <selection pane="bottomLeft" activeCell="B11" sqref="B11"/>
      <selection activeCell="G2681" sqref="G2681"/>
    </sheetView>
  </sheetViews>
  <sheetFormatPr defaultRowHeight="14.45"/>
  <cols>
    <col min="1" max="1" width="15.140625" customWidth="1"/>
    <col min="2" max="2" width="9.7109375" style="1" bestFit="1" customWidth="1"/>
    <col min="3" max="3" width="9.42578125" style="1" customWidth="1"/>
    <col min="4" max="4" width="8.5703125" style="1" customWidth="1"/>
    <col min="5" max="5" width="8.7109375" style="1" bestFit="1" customWidth="1"/>
    <col min="6" max="6" width="8.7109375" style="2" bestFit="1" customWidth="1"/>
    <col min="7" max="7" width="9" style="2" bestFit="1" customWidth="1"/>
    <col min="8" max="8" width="9.85546875" style="1" customWidth="1"/>
    <col min="9" max="9" width="10.28515625" style="1" customWidth="1"/>
    <col min="10" max="10" width="9.7109375" style="7" bestFit="1" customWidth="1"/>
    <col min="11" max="11" width="2.7109375" customWidth="1"/>
    <col min="12" max="12" width="9.28515625" customWidth="1"/>
    <col min="13" max="13" width="10.7109375" style="9" customWidth="1"/>
    <col min="14" max="14" width="9.140625" style="12" customWidth="1"/>
    <col min="15" max="15" width="7.42578125" style="8" customWidth="1"/>
    <col min="16" max="16" width="7" style="8" customWidth="1"/>
    <col min="17" max="17" width="4.7109375" customWidth="1"/>
    <col min="18" max="18" width="5.7109375" customWidth="1"/>
    <col min="19" max="19" width="12.140625" customWidth="1"/>
    <col min="20" max="20" width="30" style="6" bestFit="1" customWidth="1"/>
    <col min="21" max="21" width="17.140625" bestFit="1" customWidth="1"/>
  </cols>
  <sheetData>
    <row r="1" spans="1:23">
      <c r="B1" s="3" t="s">
        <v>11031</v>
      </c>
      <c r="C1" s="3" t="s">
        <v>11032</v>
      </c>
      <c r="D1" s="4" t="s">
        <v>11033</v>
      </c>
      <c r="E1" s="2" t="s">
        <v>11034</v>
      </c>
      <c r="F1" s="2" t="s">
        <v>11035</v>
      </c>
      <c r="G1" s="2" t="s">
        <v>11036</v>
      </c>
      <c r="H1" s="2" t="s">
        <v>11037</v>
      </c>
      <c r="I1" s="2" t="s">
        <v>11038</v>
      </c>
      <c r="J1" s="7" t="s">
        <v>11039</v>
      </c>
      <c r="K1" s="2" t="s">
        <v>11040</v>
      </c>
      <c r="L1" s="2" t="s">
        <v>11041</v>
      </c>
      <c r="M1" s="14" t="s">
        <v>11042</v>
      </c>
      <c r="N1" s="15" t="s">
        <v>11043</v>
      </c>
      <c r="O1" s="28" t="s">
        <v>11044</v>
      </c>
      <c r="P1" s="28" t="s">
        <v>11045</v>
      </c>
      <c r="Q1" s="2" t="s">
        <v>11046</v>
      </c>
      <c r="S1" s="26" t="s">
        <v>11047</v>
      </c>
      <c r="T1" s="16" t="s">
        <v>11048</v>
      </c>
      <c r="U1" s="21" t="s">
        <v>11049</v>
      </c>
    </row>
    <row r="2" spans="1:23">
      <c r="A2" s="24">
        <v>46268</v>
      </c>
      <c r="C2" s="17" t="s">
        <v>11050</v>
      </c>
      <c r="M2" s="9" t="s">
        <v>11051</v>
      </c>
      <c r="N2" s="12" t="s">
        <v>11043</v>
      </c>
      <c r="S2" s="16" t="s">
        <v>11052</v>
      </c>
      <c r="T2" s="29" t="s">
        <v>11053</v>
      </c>
    </row>
    <row r="3" spans="1:23">
      <c r="A3" s="23" t="s">
        <v>11054</v>
      </c>
      <c r="B3" s="1">
        <v>924</v>
      </c>
      <c r="C3" s="5">
        <v>518</v>
      </c>
      <c r="D3" s="1">
        <f>B3-C3</f>
        <v>406</v>
      </c>
      <c r="E3" s="1">
        <f>D3*13%+C3</f>
        <v>570.78</v>
      </c>
      <c r="F3" s="2">
        <f>D3*21%+C3</f>
        <v>603.26</v>
      </c>
      <c r="G3" s="2">
        <f>D3*34%+C3</f>
        <v>656.04</v>
      </c>
      <c r="H3" s="1">
        <f>D3*55%+C3</f>
        <v>741.3</v>
      </c>
      <c r="I3" s="1">
        <f>D3*89%+C3</f>
        <v>879.34</v>
      </c>
      <c r="J3" s="7">
        <f>E3*144%+D3</f>
        <v>1227.9232</v>
      </c>
      <c r="L3" s="1">
        <f>(M3*100/C3)-100</f>
        <v>6.0521235521235468</v>
      </c>
      <c r="M3" s="10">
        <f>VLOOKUP(A3&amp;"EQ",BhavCopy_NSE_CM!A:U,19,0)</f>
        <v>549.35</v>
      </c>
      <c r="N3" s="13">
        <f>VLOOKUP(A3&amp;"EQ",BhavCopy_NSE_CM!A:U,21,0)</f>
        <v>538.15</v>
      </c>
      <c r="O3" s="19">
        <f>B3-M3*10%</f>
        <v>869.06500000000005</v>
      </c>
      <c r="P3" s="19">
        <f>B3-M3*20%</f>
        <v>814.13</v>
      </c>
      <c r="Q3">
        <v>1</v>
      </c>
      <c r="R3" s="1" t="b">
        <f>M3&lt;I3</f>
        <v>1</v>
      </c>
      <c r="S3">
        <v>901</v>
      </c>
      <c r="T3" s="6" t="s">
        <v>11055</v>
      </c>
    </row>
    <row r="4" spans="1:23">
      <c r="A4" s="23" t="s">
        <v>11056</v>
      </c>
      <c r="B4" s="1">
        <v>1861.6</v>
      </c>
      <c r="C4" s="5">
        <v>1190</v>
      </c>
      <c r="D4" s="1">
        <f>B4-C4</f>
        <v>671.59999999999991</v>
      </c>
      <c r="E4" s="1">
        <f>D4*13%+C4</f>
        <v>1277.308</v>
      </c>
      <c r="F4" s="2">
        <f>D4*21%+C4</f>
        <v>1331.0360000000001</v>
      </c>
      <c r="G4" s="2">
        <f>D4*34%+C4</f>
        <v>1418.3440000000001</v>
      </c>
      <c r="H4" s="1">
        <f>D4*55%+C4</f>
        <v>1559.38</v>
      </c>
      <c r="I4" s="1">
        <f>D4*89%+C4</f>
        <v>1787.7239999999999</v>
      </c>
      <c r="J4" s="7">
        <f>E4*144%+D4</f>
        <v>2510.9235199999998</v>
      </c>
      <c r="L4" s="1">
        <f>(M4*100/C4)-100</f>
        <v>47.672268907563023</v>
      </c>
      <c r="M4" s="10">
        <f>VLOOKUP(A4&amp;"EQ",BhavCopy_NSE_CM!A:U,19,0)</f>
        <v>1757.3</v>
      </c>
      <c r="N4" s="13">
        <f>VLOOKUP(A4&amp;"EQ",BhavCopy_NSE_CM!A:U,21,0)</f>
        <v>1711.6</v>
      </c>
      <c r="O4" s="19">
        <f>B4-M4*10%</f>
        <v>1685.87</v>
      </c>
      <c r="P4" s="19">
        <f>B4-M4*20%</f>
        <v>1510.1399999999999</v>
      </c>
      <c r="Q4">
        <v>2</v>
      </c>
      <c r="R4" s="1" t="b">
        <f>M4&lt;I4</f>
        <v>1</v>
      </c>
      <c r="S4">
        <v>1861.6</v>
      </c>
      <c r="T4" s="11" t="s">
        <v>11057</v>
      </c>
      <c r="U4" t="s">
        <v>11058</v>
      </c>
      <c r="W4" s="20"/>
    </row>
    <row r="5" spans="1:23">
      <c r="A5" s="23" t="s">
        <v>11059</v>
      </c>
      <c r="B5" s="1">
        <v>1725.6</v>
      </c>
      <c r="C5" s="5">
        <v>1130</v>
      </c>
      <c r="D5" s="1">
        <f>B5-C5</f>
        <v>595.59999999999991</v>
      </c>
      <c r="E5" s="1">
        <f>D5*13%+C5</f>
        <v>1207.4279999999999</v>
      </c>
      <c r="F5" s="2">
        <f>D5*21%+C5</f>
        <v>1255.076</v>
      </c>
      <c r="G5" s="2">
        <f>D5*34%+C5</f>
        <v>1332.5039999999999</v>
      </c>
      <c r="H5" s="1">
        <f>D5*55%+C5</f>
        <v>1457.58</v>
      </c>
      <c r="I5" s="1">
        <f>D5*89%+C5</f>
        <v>1660.0839999999998</v>
      </c>
      <c r="J5" s="7">
        <f>E5*144%+D5</f>
        <v>2334.2963199999995</v>
      </c>
      <c r="L5" s="1">
        <f>(M5*100/C5)-100</f>
        <v>39.646017699115049</v>
      </c>
      <c r="M5" s="10">
        <f>VLOOKUP(A5&amp;"EQ",BhavCopy_NSE_CM!A:U,19,0)</f>
        <v>1578</v>
      </c>
      <c r="N5" s="13">
        <f>VLOOKUP(A5&amp;"EQ",BhavCopy_NSE_CM!A:U,21,0)</f>
        <v>1599.3</v>
      </c>
      <c r="O5" s="19">
        <f>B5-M5*10%</f>
        <v>1567.8</v>
      </c>
      <c r="P5" s="19">
        <f>B5-M5*20%</f>
        <v>1410</v>
      </c>
      <c r="Q5">
        <v>3</v>
      </c>
      <c r="R5" s="1" t="b">
        <f>M5&lt;I5</f>
        <v>1</v>
      </c>
      <c r="S5" s="30">
        <v>1616.3</v>
      </c>
      <c r="T5" s="11" t="s">
        <v>11060</v>
      </c>
      <c r="U5" s="22" t="s">
        <v>11061</v>
      </c>
      <c r="W5" s="20"/>
    </row>
    <row r="6" spans="1:23">
      <c r="A6" s="23" t="s">
        <v>11062</v>
      </c>
      <c r="B6" s="1">
        <v>1951.95</v>
      </c>
      <c r="C6" s="5">
        <v>668.7</v>
      </c>
      <c r="D6" s="1">
        <f>B6-C6</f>
        <v>1283.25</v>
      </c>
      <c r="E6" s="1">
        <f>D6*13%+C6</f>
        <v>835.52250000000004</v>
      </c>
      <c r="F6" s="2">
        <f>D6*21%+C6</f>
        <v>938.18250000000012</v>
      </c>
      <c r="G6" s="2">
        <f>D6*34%+C6</f>
        <v>1105.0050000000001</v>
      </c>
      <c r="H6" s="1">
        <f>D6*55%+C6</f>
        <v>1374.4875000000002</v>
      </c>
      <c r="I6" s="1">
        <f>D6*89%+C6</f>
        <v>1810.7925</v>
      </c>
      <c r="J6" s="7">
        <f>E6*144%+D6</f>
        <v>2486.4023999999999</v>
      </c>
      <c r="L6" s="1">
        <f>(M6*100/C6)-100</f>
        <v>0.50844922984894936</v>
      </c>
      <c r="M6" s="10">
        <f>VLOOKUP(A6&amp;"EQ",BhavCopy_NSE_CM!A:U,19,0)</f>
        <v>672.1</v>
      </c>
      <c r="N6" s="13">
        <f>VLOOKUP(A6&amp;"EQ",BhavCopy_NSE_CM!A:U,21,0)</f>
        <v>668.7</v>
      </c>
      <c r="O6" s="19">
        <f>B6-M6*10%</f>
        <v>1884.74</v>
      </c>
      <c r="P6" s="19">
        <f>B6-M6*20%</f>
        <v>1817.53</v>
      </c>
      <c r="Q6">
        <v>4</v>
      </c>
      <c r="R6" s="1" t="b">
        <f>M6&lt;I6</f>
        <v>1</v>
      </c>
      <c r="S6">
        <v>1896.75</v>
      </c>
      <c r="T6" s="11" t="s">
        <v>11063</v>
      </c>
    </row>
    <row r="7" spans="1:23">
      <c r="A7" s="23" t="s">
        <v>11064</v>
      </c>
      <c r="B7" s="1">
        <v>2373.3000000000002</v>
      </c>
      <c r="C7" s="5">
        <v>1320</v>
      </c>
      <c r="D7" s="1">
        <f>B7-C7</f>
        <v>1053.3000000000002</v>
      </c>
      <c r="E7" s="1">
        <f>D7*13%+C7</f>
        <v>1456.9290000000001</v>
      </c>
      <c r="F7" s="2">
        <f>D7*21%+C7</f>
        <v>1541.193</v>
      </c>
      <c r="G7" s="2">
        <f>D7*34%+C7</f>
        <v>1678.1220000000001</v>
      </c>
      <c r="H7" s="1">
        <f>D7*55%+C7</f>
        <v>1899.3150000000001</v>
      </c>
      <c r="I7" s="1">
        <f>D7*89%+C7</f>
        <v>2257.4369999999999</v>
      </c>
      <c r="J7" s="7">
        <f>E7*144%+D7</f>
        <v>3151.2777600000004</v>
      </c>
      <c r="L7" s="1">
        <f>(M7*100/C7)-100</f>
        <v>73.507575757575779</v>
      </c>
      <c r="M7" s="10">
        <f>VLOOKUP(A7&amp;"EQ",BhavCopy_NSE_CM!A:U,19,0)</f>
        <v>2290.3000000000002</v>
      </c>
      <c r="N7" s="13">
        <f>VLOOKUP(A7&amp;"EQ",BhavCopy_NSE_CM!A:U,21,0)</f>
        <v>2352.5</v>
      </c>
      <c r="O7" s="19">
        <f>B7-M7*10%</f>
        <v>2144.27</v>
      </c>
      <c r="P7" s="19">
        <f>B7-M7*20%</f>
        <v>1915.2400000000002</v>
      </c>
      <c r="Q7">
        <v>5</v>
      </c>
      <c r="R7" s="1" t="b">
        <f>M7&lt;I7</f>
        <v>0</v>
      </c>
      <c r="S7" s="30">
        <v>2256.6</v>
      </c>
      <c r="T7" s="11" t="s">
        <v>11065</v>
      </c>
      <c r="U7" s="22" t="s">
        <v>11061</v>
      </c>
    </row>
    <row r="8" spans="1:23">
      <c r="A8" s="23" t="s">
        <v>1633</v>
      </c>
      <c r="B8" s="1">
        <v>2000</v>
      </c>
      <c r="C8" s="5">
        <v>1200</v>
      </c>
      <c r="D8" s="1">
        <f>B8-C8</f>
        <v>800</v>
      </c>
      <c r="E8" s="1">
        <f>D8*13%+C8</f>
        <v>1304</v>
      </c>
      <c r="F8" s="2">
        <f>D8*21%+C8</f>
        <v>1368</v>
      </c>
      <c r="G8" s="2">
        <f>D8*34%+C8</f>
        <v>1472</v>
      </c>
      <c r="H8" s="1">
        <f>D8*55%+C8</f>
        <v>1640</v>
      </c>
      <c r="I8" s="1">
        <f>D8*89%+C8</f>
        <v>1912</v>
      </c>
      <c r="J8" s="18">
        <f>E8*144%+D8</f>
        <v>2677.76</v>
      </c>
      <c r="L8" s="1">
        <f>(M8*100/C8)-100</f>
        <v>19.433333333333337</v>
      </c>
      <c r="M8" s="10">
        <f>VLOOKUP(A8&amp;"EQ",BhavCopy_NSE_CM!A:U,19,0)</f>
        <v>1433.2</v>
      </c>
      <c r="N8" s="13">
        <f>VLOOKUP(A8&amp;"EQ",BhavCopy_NSE_CM!A:U,21,0)</f>
        <v>1448.9</v>
      </c>
      <c r="O8" s="19">
        <f>B8-M8*10%</f>
        <v>1856.68</v>
      </c>
      <c r="P8" s="19">
        <f>B8-M8*20%</f>
        <v>1713.36</v>
      </c>
      <c r="Q8">
        <v>6</v>
      </c>
      <c r="R8" s="1" t="b">
        <f>M8&lt;I8</f>
        <v>1</v>
      </c>
      <c r="S8">
        <v>2374.1</v>
      </c>
      <c r="T8" s="11" t="s">
        <v>11066</v>
      </c>
    </row>
    <row r="9" spans="1:23">
      <c r="A9" s="23" t="s">
        <v>2763</v>
      </c>
      <c r="B9" s="1">
        <v>686.15</v>
      </c>
      <c r="C9" s="5">
        <v>383</v>
      </c>
      <c r="D9" s="1">
        <f>B9-C9</f>
        <v>303.14999999999998</v>
      </c>
      <c r="E9" s="1">
        <f>D9*13%+C9</f>
        <v>422.40949999999998</v>
      </c>
      <c r="F9" s="2">
        <f>D9*21%+C9</f>
        <v>446.66149999999999</v>
      </c>
      <c r="G9" s="2">
        <f>D9*34%+C9</f>
        <v>486.07100000000003</v>
      </c>
      <c r="H9" s="1">
        <f>D9*55%+C9</f>
        <v>549.73249999999996</v>
      </c>
      <c r="I9" s="1">
        <f>D9*89%+C9</f>
        <v>652.80349999999999</v>
      </c>
      <c r="J9" s="18">
        <f>E9*144%+D9</f>
        <v>911.41967999999997</v>
      </c>
      <c r="L9" s="1">
        <f>(M9*100/C9)-100</f>
        <v>61.25326370757179</v>
      </c>
      <c r="M9" s="10">
        <f>VLOOKUP(A9&amp;"BE",BhavCopy_NSE_CM!A:U,19,0)</f>
        <v>617.6</v>
      </c>
      <c r="N9" s="13">
        <f>VLOOKUP(A9&amp;"BE",BhavCopy_NSE_CM!A:U,21,0)</f>
        <v>630.20000000000005</v>
      </c>
      <c r="O9" s="19">
        <f>B9-M9*10%</f>
        <v>624.39</v>
      </c>
      <c r="P9" s="19">
        <f>B9-M9*20%</f>
        <v>562.63</v>
      </c>
      <c r="Q9">
        <v>7</v>
      </c>
      <c r="R9" s="1" t="b">
        <f>M9&lt;I9</f>
        <v>1</v>
      </c>
      <c r="S9">
        <v>666.75</v>
      </c>
      <c r="T9" s="11" t="s">
        <v>11067</v>
      </c>
      <c r="U9" t="s">
        <v>11052</v>
      </c>
    </row>
    <row r="10" spans="1:23">
      <c r="A10" s="23" t="s">
        <v>11068</v>
      </c>
      <c r="B10" s="1">
        <v>804.65</v>
      </c>
      <c r="C10" s="5">
        <v>600</v>
      </c>
      <c r="D10" s="1">
        <f>B10-C10</f>
        <v>204.64999999999998</v>
      </c>
      <c r="E10" s="1">
        <f>D10*13%+C10</f>
        <v>626.60450000000003</v>
      </c>
      <c r="F10" s="2">
        <f>D10*21%+C10</f>
        <v>642.97649999999999</v>
      </c>
      <c r="G10" s="2">
        <f>D10*34%+C10</f>
        <v>669.58100000000002</v>
      </c>
      <c r="H10" s="1">
        <f>D10*55%+C10</f>
        <v>712.5575</v>
      </c>
      <c r="I10" s="1">
        <f>D10*89%+C10</f>
        <v>782.13850000000002</v>
      </c>
      <c r="J10" s="18">
        <f>E10*144%+D10</f>
        <v>1106.96048</v>
      </c>
      <c r="L10" s="1">
        <f>(M10*100/C10)-100</f>
        <v>15.099999999999994</v>
      </c>
      <c r="M10" s="10">
        <f>VLOOKUP(A10&amp;"EQ",BhavCopy_NSE_CM!A:U,19,0)</f>
        <v>690.6</v>
      </c>
      <c r="N10" s="13">
        <f>VLOOKUP(A10&amp;"EQ",BhavCopy_NSE_CM!A:U,21,0)</f>
        <v>687.9</v>
      </c>
      <c r="O10" s="19">
        <f>B10-M10*10%</f>
        <v>735.58999999999992</v>
      </c>
      <c r="P10" s="19">
        <f>B10-M10*20%</f>
        <v>666.53</v>
      </c>
      <c r="Q10">
        <v>8</v>
      </c>
      <c r="R10" s="1" t="b">
        <f>M10&lt;I10</f>
        <v>1</v>
      </c>
      <c r="S10">
        <v>725.95</v>
      </c>
      <c r="T10" s="11" t="s">
        <v>11069</v>
      </c>
      <c r="U10" t="s">
        <v>11070</v>
      </c>
    </row>
    <row r="11" spans="1:23">
      <c r="A11" s="23" t="s">
        <v>11071</v>
      </c>
      <c r="B11" s="1">
        <v>739.25</v>
      </c>
      <c r="C11" s="5">
        <v>510</v>
      </c>
      <c r="D11" s="1">
        <f>B11-C11</f>
        <v>229.25</v>
      </c>
      <c r="E11" s="1">
        <f>D11*13%+C11</f>
        <v>539.80250000000001</v>
      </c>
      <c r="F11" s="2">
        <f>D11*21%+C11</f>
        <v>558.14250000000004</v>
      </c>
      <c r="G11" s="2">
        <f>D11*34%+C11</f>
        <v>587.94500000000005</v>
      </c>
      <c r="H11" s="1">
        <f>D11*55%+C11</f>
        <v>636.08749999999998</v>
      </c>
      <c r="I11" s="1">
        <f>D11*89%+C11</f>
        <v>714.03250000000003</v>
      </c>
      <c r="J11" s="18">
        <f>E11*144%+D11</f>
        <v>1006.5656</v>
      </c>
      <c r="L11" s="1" t="e">
        <f>(M11*100/C11)-100</f>
        <v>#N/A</v>
      </c>
      <c r="M11" s="10" t="e">
        <f>VLOOKUP(A11&amp;"EQ",BhavCopy_NSE_CM!A:U,19,0)</f>
        <v>#N/A</v>
      </c>
      <c r="N11" s="13" t="e">
        <f>VLOOKUP(A11&amp;"EQ",BhavCopy_NSE_CM!A:U,21,0)</f>
        <v>#N/A</v>
      </c>
      <c r="O11" s="19" t="e">
        <f>B11-M11*10%</f>
        <v>#N/A</v>
      </c>
      <c r="P11" s="19" t="e">
        <f>B11-M11*20%</f>
        <v>#N/A</v>
      </c>
      <c r="Q11">
        <v>9</v>
      </c>
      <c r="R11" s="1" t="e">
        <f>M11&lt;I11</f>
        <v>#N/A</v>
      </c>
      <c r="S11" s="30">
        <v>739.25</v>
      </c>
      <c r="T11" s="11" t="s">
        <v>11072</v>
      </c>
      <c r="U11" s="22" t="s">
        <v>11061</v>
      </c>
    </row>
    <row r="12" spans="1:23">
      <c r="A12" s="23" t="s">
        <v>11073</v>
      </c>
      <c r="B12" s="1">
        <v>527</v>
      </c>
      <c r="C12" s="5">
        <v>296</v>
      </c>
      <c r="D12" s="1">
        <f>B12-C12</f>
        <v>231</v>
      </c>
      <c r="E12" s="1">
        <f>D12*13%+C12</f>
        <v>326.02999999999997</v>
      </c>
      <c r="F12" s="2">
        <f>D12*21%+C12</f>
        <v>344.51</v>
      </c>
      <c r="G12" s="2">
        <f>D12*34%+C12</f>
        <v>374.54</v>
      </c>
      <c r="H12" s="1">
        <f>D12*55%+C12</f>
        <v>423.05</v>
      </c>
      <c r="I12" s="1">
        <f>D12*89%+C12</f>
        <v>501.59000000000003</v>
      </c>
      <c r="J12" s="18">
        <f>E12*144%+D12</f>
        <v>700.4831999999999</v>
      </c>
      <c r="L12" s="1">
        <f>(M12*100/C12)-100</f>
        <v>29.10472972972974</v>
      </c>
      <c r="M12" s="10">
        <f>VLOOKUP(A12&amp;"EQ",BhavCopy_NSE_CM!A:U,19,0)</f>
        <v>382.15</v>
      </c>
      <c r="N12" s="13">
        <f>VLOOKUP(A12&amp;"EQ",BhavCopy_NSE_CM!A:U,21,0)</f>
        <v>384.15</v>
      </c>
      <c r="O12" s="19">
        <f>B12-M12*10%</f>
        <v>488.78500000000003</v>
      </c>
      <c r="P12" s="19">
        <f>B12-M12*20%</f>
        <v>450.57</v>
      </c>
      <c r="Q12">
        <v>10</v>
      </c>
      <c r="R12" s="1" t="b">
        <f>M12&lt;I12</f>
        <v>1</v>
      </c>
      <c r="S12" s="6">
        <v>661.25</v>
      </c>
      <c r="T12" s="11" t="s">
        <v>11074</v>
      </c>
    </row>
    <row r="13" spans="1:23">
      <c r="A13" s="23" t="s">
        <v>11075</v>
      </c>
      <c r="B13" s="1">
        <v>285.8</v>
      </c>
      <c r="C13" s="5">
        <v>147</v>
      </c>
      <c r="D13" s="1">
        <f>B13-C13</f>
        <v>138.80000000000001</v>
      </c>
      <c r="E13" s="1">
        <f>D13*13%+C13</f>
        <v>165.04400000000001</v>
      </c>
      <c r="F13" s="2">
        <f>D13*21%+C13</f>
        <v>176.148</v>
      </c>
      <c r="G13" s="2">
        <f>D13*34%+C13</f>
        <v>194.19200000000001</v>
      </c>
      <c r="H13" s="1">
        <f>D13*55%+C13</f>
        <v>223.34000000000003</v>
      </c>
      <c r="I13" s="1">
        <f>D13*89%+C13</f>
        <v>270.53200000000004</v>
      </c>
      <c r="J13" s="18">
        <f>E13*144%+D13</f>
        <v>376.46336000000002</v>
      </c>
      <c r="L13" s="1">
        <f>(M13*100/C13)-100</f>
        <v>31.741496598639458</v>
      </c>
      <c r="M13" s="10">
        <f>VLOOKUP(A13&amp;"EQ",BhavCopy_NSE_CM!A:U,19,0)</f>
        <v>193.66</v>
      </c>
      <c r="N13" s="13">
        <f>VLOOKUP(A13&amp;"EQ",BhavCopy_NSE_CM!A:U,21,0)</f>
        <v>188.85</v>
      </c>
      <c r="O13" s="19">
        <f>B13-M13*10%</f>
        <v>266.43400000000003</v>
      </c>
      <c r="P13" s="19">
        <f>B13-M13*20%</f>
        <v>247.06800000000001</v>
      </c>
      <c r="Q13">
        <v>11</v>
      </c>
      <c r="R13" s="1" t="b">
        <f>M13&lt;I13</f>
        <v>1</v>
      </c>
      <c r="S13" s="6">
        <v>285.8</v>
      </c>
      <c r="T13" s="6" t="s">
        <v>11076</v>
      </c>
    </row>
    <row r="14" spans="1:23">
      <c r="A14" s="23" t="s">
        <v>11077</v>
      </c>
      <c r="B14" s="1">
        <v>161</v>
      </c>
      <c r="C14" s="5">
        <v>68</v>
      </c>
      <c r="D14" s="1">
        <f>B14-C14</f>
        <v>93</v>
      </c>
      <c r="E14" s="1">
        <f>D14*13%+C14</f>
        <v>80.09</v>
      </c>
      <c r="F14" s="2">
        <f>D14*21%+C14</f>
        <v>87.53</v>
      </c>
      <c r="G14" s="2">
        <f>D14*34%+C14</f>
        <v>99.62</v>
      </c>
      <c r="H14" s="1">
        <f>D14*55%+C14</f>
        <v>119.15</v>
      </c>
      <c r="I14" s="1">
        <f>D14*89%+C14</f>
        <v>150.76999999999998</v>
      </c>
      <c r="J14" s="18">
        <f>E14*144%+D14</f>
        <v>208.3296</v>
      </c>
      <c r="L14" s="1">
        <f>(M14*100/C14)-100</f>
        <v>11.338235294117638</v>
      </c>
      <c r="M14" s="10">
        <f>VLOOKUP(A14&amp;"EQ",BhavCopy_NSE_CM!A:U,19,0)</f>
        <v>75.709999999999994</v>
      </c>
      <c r="N14" s="13">
        <f>VLOOKUP(A14&amp;"EQ",BhavCopy_NSE_CM!A:U,21,0)</f>
        <v>75.599999999999994</v>
      </c>
      <c r="O14" s="19">
        <f>B14-M14*10%</f>
        <v>153.429</v>
      </c>
      <c r="P14" s="19">
        <f>B14-M14*20%</f>
        <v>145.858</v>
      </c>
      <c r="Q14">
        <v>12</v>
      </c>
      <c r="R14" s="1" t="b">
        <f>M14&lt;I14</f>
        <v>1</v>
      </c>
      <c r="S14" s="6">
        <v>103.6</v>
      </c>
      <c r="T14" s="6" t="s">
        <v>11078</v>
      </c>
    </row>
    <row r="15" spans="1:23">
      <c r="A15" s="23" t="s">
        <v>11079</v>
      </c>
      <c r="B15" s="1">
        <v>1370</v>
      </c>
      <c r="C15" s="5">
        <v>698</v>
      </c>
      <c r="D15" s="1">
        <f>B15-C15</f>
        <v>672</v>
      </c>
      <c r="E15" s="1">
        <f>D15*13%+C15</f>
        <v>785.36</v>
      </c>
      <c r="F15" s="2">
        <f>D15*21%+C15</f>
        <v>839.12</v>
      </c>
      <c r="G15" s="2">
        <f>D15*34%+C15</f>
        <v>926.48</v>
      </c>
      <c r="H15" s="1">
        <f>D15*55%+C15</f>
        <v>1067.5999999999999</v>
      </c>
      <c r="I15" s="1">
        <f>D15*89%+C15</f>
        <v>1296.08</v>
      </c>
      <c r="J15" s="18">
        <f>E15*144%+D15</f>
        <v>1802.9184</v>
      </c>
      <c r="L15" s="1">
        <f>(M15*100/C15)-100</f>
        <v>48.595988538681951</v>
      </c>
      <c r="M15" s="10">
        <f>VLOOKUP(A15&amp;"EQ",BhavCopy_NSE_CM!A:U,19,0)</f>
        <v>1037.2</v>
      </c>
      <c r="N15" s="13">
        <f>VLOOKUP(A15&amp;"EQ",BhavCopy_NSE_CM!A:U,21,0)</f>
        <v>1020.65</v>
      </c>
      <c r="O15" s="19">
        <f>B15-M15*10%</f>
        <v>1266.28</v>
      </c>
      <c r="P15" s="19">
        <f>B15-M15*20%</f>
        <v>1162.56</v>
      </c>
      <c r="Q15">
        <v>13</v>
      </c>
      <c r="R15" s="1" t="b">
        <f>M15&lt;I15</f>
        <v>1</v>
      </c>
      <c r="S15" s="6">
        <v>1370</v>
      </c>
    </row>
    <row r="16" spans="1:23">
      <c r="A16" s="23" t="s">
        <v>11080</v>
      </c>
      <c r="B16" s="1">
        <v>3506.35</v>
      </c>
      <c r="C16" s="5">
        <v>2261.6</v>
      </c>
      <c r="D16" s="1">
        <f>B16-C16</f>
        <v>1244.75</v>
      </c>
      <c r="E16" s="1">
        <f>D16*13%+C16</f>
        <v>2423.4175</v>
      </c>
      <c r="F16" s="2">
        <f>D16*21%+C16</f>
        <v>2522.9974999999999</v>
      </c>
      <c r="G16" s="2">
        <f>D16*34%+C16</f>
        <v>2684.8150000000001</v>
      </c>
      <c r="H16" s="1">
        <f>D16*55%+C16</f>
        <v>2946.2125000000001</v>
      </c>
      <c r="I16" s="1">
        <f>D16*89%+C16</f>
        <v>3369.4274999999998</v>
      </c>
      <c r="J16" s="18">
        <f>E16*144%+D16</f>
        <v>4734.4712</v>
      </c>
      <c r="L16" s="1">
        <f>(M16*100/C16)-100</f>
        <v>6.7872302794481811</v>
      </c>
      <c r="M16" s="10">
        <f>VLOOKUP(A16&amp;"EQ",BhavCopy_NSE_CM!A:U,19,0)</f>
        <v>2415.1</v>
      </c>
      <c r="N16" s="13">
        <f>VLOOKUP(A16&amp;"EQ",BhavCopy_NSE_CM!A:U,21,0)</f>
        <v>2359.8000000000002</v>
      </c>
      <c r="O16" s="19">
        <f>B16-M16*10%</f>
        <v>3264.84</v>
      </c>
      <c r="P16" s="19">
        <f>B16-M16*20%</f>
        <v>3023.33</v>
      </c>
      <c r="Q16">
        <v>14</v>
      </c>
      <c r="R16" s="1" t="b">
        <f>M16&lt;I16</f>
        <v>1</v>
      </c>
      <c r="S16">
        <v>3444.15</v>
      </c>
      <c r="T16" s="6" t="s">
        <v>11081</v>
      </c>
    </row>
    <row r="17" spans="1:21">
      <c r="A17" s="23" t="s">
        <v>11082</v>
      </c>
      <c r="B17" s="1">
        <v>261.89999999999998</v>
      </c>
      <c r="C17" s="5">
        <v>87.99</v>
      </c>
      <c r="D17" s="1">
        <f>B17-C17</f>
        <v>173.90999999999997</v>
      </c>
      <c r="E17" s="1">
        <f>D17*13%+C17</f>
        <v>110.59829999999999</v>
      </c>
      <c r="F17" s="2">
        <f>D17*21%+C17</f>
        <v>124.51109999999998</v>
      </c>
      <c r="G17" s="2">
        <f>D17*34%+C17</f>
        <v>147.11939999999998</v>
      </c>
      <c r="H17" s="1">
        <f>D17*55%+C17</f>
        <v>183.64049999999997</v>
      </c>
      <c r="I17" s="1">
        <f>D17*89%+C17</f>
        <v>242.76989999999995</v>
      </c>
      <c r="J17" s="7">
        <f>E17*144%+D17</f>
        <v>333.17155199999996</v>
      </c>
      <c r="L17" s="1">
        <f>(M17*100/C17)-100</f>
        <v>24.911921809296516</v>
      </c>
      <c r="M17" s="10">
        <f>VLOOKUP(A17&amp;"EQ",BhavCopy_NSE_CM!A:U,19,0)</f>
        <v>109.91</v>
      </c>
      <c r="N17" s="13">
        <f>VLOOKUP(A17&amp;"EQ",BhavCopy_NSE_CM!A:U,21,0)</f>
        <v>112.52</v>
      </c>
      <c r="O17" s="19">
        <f>B17-M17*10%</f>
        <v>250.90899999999999</v>
      </c>
      <c r="P17" s="19">
        <f>B17-M17*20%</f>
        <v>239.91799999999998</v>
      </c>
      <c r="Q17">
        <v>15</v>
      </c>
      <c r="R17" s="1" t="b">
        <f>M17&lt;I17</f>
        <v>1</v>
      </c>
      <c r="S17" s="6">
        <v>257.41000000000003</v>
      </c>
      <c r="T17" s="11" t="s">
        <v>11083</v>
      </c>
    </row>
    <row r="18" spans="1:21">
      <c r="A18" s="23" t="s">
        <v>11084</v>
      </c>
      <c r="B18" s="1">
        <v>7900</v>
      </c>
      <c r="C18" s="5">
        <v>5770</v>
      </c>
      <c r="D18" s="1">
        <f>B18-C18</f>
        <v>2130</v>
      </c>
      <c r="E18" s="1">
        <f>D18*13%+C18</f>
        <v>6046.9</v>
      </c>
      <c r="F18" s="2">
        <f>D18*21%+C18</f>
        <v>6217.3</v>
      </c>
      <c r="G18" s="2">
        <f>D18*34%+C18</f>
        <v>6494.2</v>
      </c>
      <c r="H18" s="1">
        <f>D18*55%+C18</f>
        <v>6941.5</v>
      </c>
      <c r="I18" s="1">
        <f>D18*89%+C18</f>
        <v>7665.7</v>
      </c>
      <c r="J18" s="7">
        <f>E18*144%+D18</f>
        <v>10837.536</v>
      </c>
      <c r="L18" s="1">
        <f>(M18*100/C18)-100</f>
        <v>30.580589254766039</v>
      </c>
      <c r="M18" s="10">
        <f>VLOOKUP(A18&amp;"EQ",BhavCopy_NSE_CM!A:U,19,0)</f>
        <v>7534.5</v>
      </c>
      <c r="N18" s="13">
        <f>VLOOKUP(A18&amp;"EQ",BhavCopy_NSE_CM!A:U,21,0)</f>
        <v>7505.5</v>
      </c>
      <c r="O18" s="19">
        <f>B18-M18*10%</f>
        <v>7146.55</v>
      </c>
      <c r="P18" s="19">
        <f>B18-M18*20%</f>
        <v>6393.1</v>
      </c>
      <c r="Q18">
        <v>16</v>
      </c>
      <c r="R18" s="1" t="b">
        <f>M18&lt;I18</f>
        <v>1</v>
      </c>
      <c r="S18" s="31">
        <v>7900</v>
      </c>
      <c r="T18" s="6" t="s">
        <v>11085</v>
      </c>
      <c r="U18" s="22" t="s">
        <v>11061</v>
      </c>
    </row>
    <row r="19" spans="1:21">
      <c r="A19" s="23" t="s">
        <v>11086</v>
      </c>
      <c r="B19" s="1">
        <v>397.5</v>
      </c>
      <c r="C19" s="5">
        <v>225</v>
      </c>
      <c r="D19" s="1">
        <f>B19-C19</f>
        <v>172.5</v>
      </c>
      <c r="E19" s="1">
        <f>D19*13%+C19</f>
        <v>247.42500000000001</v>
      </c>
      <c r="F19" s="2">
        <f>D19*21%+C19</f>
        <v>261.22500000000002</v>
      </c>
      <c r="G19" s="2">
        <f>D19*34%+C19</f>
        <v>283.64999999999998</v>
      </c>
      <c r="H19" s="1">
        <f>D19*55%+C19</f>
        <v>319.875</v>
      </c>
      <c r="I19" s="1">
        <f>D19*89%+C19</f>
        <v>378.52499999999998</v>
      </c>
      <c r="J19" s="7">
        <f>E19*144%+D19</f>
        <v>528.79200000000003</v>
      </c>
      <c r="L19" s="1">
        <f>(M19*100/C19)-100</f>
        <v>30.555555555555543</v>
      </c>
      <c r="M19" s="10">
        <f>VLOOKUP(A19&amp;"EQ",BhavCopy_NSE_CM!A:U,19,0)</f>
        <v>293.75</v>
      </c>
      <c r="N19" s="13">
        <f>VLOOKUP(A19&amp;"EQ",BhavCopy_NSE_CM!A:U,21,0)</f>
        <v>292.75</v>
      </c>
      <c r="O19" s="19">
        <f>B19-M19*10%</f>
        <v>368.125</v>
      </c>
      <c r="P19" s="19">
        <f>B19-M19*20%</f>
        <v>338.75</v>
      </c>
      <c r="Q19">
        <v>17</v>
      </c>
      <c r="R19" s="1" t="b">
        <f>M19&lt;I19</f>
        <v>1</v>
      </c>
      <c r="S19" s="6">
        <v>391.3</v>
      </c>
      <c r="T19" s="6" t="s">
        <v>11087</v>
      </c>
    </row>
    <row r="20" spans="1:21">
      <c r="A20" s="23" t="s">
        <v>11088</v>
      </c>
      <c r="B20" s="1">
        <v>2577</v>
      </c>
      <c r="C20" s="5">
        <v>1510</v>
      </c>
      <c r="D20" s="1">
        <f>B20-C20</f>
        <v>1067</v>
      </c>
      <c r="E20" s="1">
        <f>D20*13%+C20</f>
        <v>1648.71</v>
      </c>
      <c r="F20" s="2">
        <f>D20*21%+C20</f>
        <v>1734.07</v>
      </c>
      <c r="G20" s="2">
        <f>D20*34%+C20</f>
        <v>1872.78</v>
      </c>
      <c r="H20" s="1">
        <f>D20*55%+C20</f>
        <v>2096.85</v>
      </c>
      <c r="I20" s="1">
        <f>D20*89%+C20</f>
        <v>2459.63</v>
      </c>
      <c r="J20" s="7">
        <f>E20*144%+D20</f>
        <v>3441.1424000000002</v>
      </c>
      <c r="L20" s="1">
        <f>(M20*100/C20)-100</f>
        <v>20.860927152317885</v>
      </c>
      <c r="M20" s="10">
        <f>VLOOKUP(A20&amp;"EQ",BhavCopy_NSE_CM!A:U,19,0)</f>
        <v>1825</v>
      </c>
      <c r="N20" s="13">
        <f>VLOOKUP(A20&amp;"EQ",BhavCopy_NSE_CM!A:U,21,0)</f>
        <v>1794.6</v>
      </c>
      <c r="O20" s="19">
        <f>B20-M20*10%</f>
        <v>2394.5</v>
      </c>
      <c r="P20" s="19">
        <f>B20-M20*20%</f>
        <v>2212</v>
      </c>
      <c r="Q20">
        <v>18</v>
      </c>
      <c r="R20" s="1" t="b">
        <f>M20&lt;I20</f>
        <v>1</v>
      </c>
      <c r="S20" s="6">
        <v>2533.4499999999998</v>
      </c>
      <c r="T20" s="6" t="s">
        <v>11089</v>
      </c>
    </row>
    <row r="21" spans="1:21">
      <c r="G21" s="2">
        <f>D21*34%+C21</f>
        <v>0</v>
      </c>
      <c r="L21" s="1"/>
      <c r="M21" s="10"/>
      <c r="N21" s="13"/>
      <c r="R21" s="1"/>
    </row>
    <row r="22" spans="1:21">
      <c r="A22" s="25" t="s">
        <v>11090</v>
      </c>
      <c r="D22" s="1">
        <f>B22-C22</f>
        <v>0</v>
      </c>
      <c r="E22" s="1">
        <f>D22*13%+C22</f>
        <v>0</v>
      </c>
      <c r="F22" s="2">
        <f>D22*21%+C22</f>
        <v>0</v>
      </c>
      <c r="G22" s="2">
        <f>D22*34%+C22</f>
        <v>0</v>
      </c>
      <c r="H22" s="1">
        <f>D22*55%+C22</f>
        <v>0</v>
      </c>
      <c r="I22" s="1">
        <f>D22*89%+C22</f>
        <v>0</v>
      </c>
      <c r="L22" s="1"/>
      <c r="M22" s="10"/>
      <c r="N22" s="13"/>
      <c r="R22" s="1"/>
    </row>
    <row r="23" spans="1:21">
      <c r="A23" t="s">
        <v>167</v>
      </c>
      <c r="B23" s="27">
        <v>1236.2</v>
      </c>
      <c r="C23" s="5">
        <v>906.05</v>
      </c>
      <c r="D23" s="1">
        <f>B23-C23</f>
        <v>330.15000000000009</v>
      </c>
      <c r="E23" s="1">
        <f>D23*13%+C23</f>
        <v>948.96949999999993</v>
      </c>
      <c r="F23" s="2">
        <f>D23*21%+C23</f>
        <v>975.38149999999996</v>
      </c>
      <c r="G23" s="2">
        <f>D23*34%+C23</f>
        <v>1018.3009999999999</v>
      </c>
      <c r="H23" s="1">
        <f>D23*55%+C23</f>
        <v>1087.6324999999999</v>
      </c>
      <c r="I23" s="1">
        <f>D23*89%+C23</f>
        <v>1199.8834999999999</v>
      </c>
      <c r="J23" s="7">
        <f>E23*144%+D23</f>
        <v>1696.66608</v>
      </c>
      <c r="L23" s="1">
        <f>(M23*100/C23)-100</f>
        <v>22.509795265161969</v>
      </c>
      <c r="M23" s="10">
        <f>VLOOKUP(A23&amp;"EQ",BhavCopy_NSE_CM!A:U,19,0)</f>
        <v>1110</v>
      </c>
      <c r="N23" s="13">
        <f>VLOOKUP(A23&amp;"EQ",BhavCopy_NSE_CM!A:U,21,0)</f>
        <v>1136.9000000000001</v>
      </c>
      <c r="O23" s="8">
        <f>B23-M23*10%</f>
        <v>1125.2</v>
      </c>
      <c r="P23" s="19">
        <f>B23-M23*20%</f>
        <v>1014.2</v>
      </c>
      <c r="Q23">
        <v>1</v>
      </c>
      <c r="R23" s="1" t="b">
        <f>M23&lt;I23</f>
        <v>1</v>
      </c>
    </row>
    <row r="24" spans="1:21">
      <c r="A24" t="s">
        <v>321</v>
      </c>
      <c r="B24" s="27">
        <v>7924.5</v>
      </c>
      <c r="C24" s="5">
        <v>4637.5</v>
      </c>
      <c r="D24" s="1">
        <f>B24-C24</f>
        <v>3287</v>
      </c>
      <c r="E24" s="1">
        <f>D24*13%+C24</f>
        <v>5064.8100000000004</v>
      </c>
      <c r="F24" s="2">
        <f>D24*21%+C24</f>
        <v>5327.77</v>
      </c>
      <c r="G24" s="2">
        <f>D24*34%+C24</f>
        <v>5755.08</v>
      </c>
      <c r="H24" s="1">
        <f>D24*55%+C24</f>
        <v>6445.35</v>
      </c>
      <c r="I24" s="1">
        <f>D24*89%+C24</f>
        <v>7562.93</v>
      </c>
      <c r="J24" s="7">
        <f>E24*144%+D24</f>
        <v>10580.3264</v>
      </c>
      <c r="L24" s="1">
        <f>(M24*100/C24)-100</f>
        <v>59.288409703504044</v>
      </c>
      <c r="M24" s="10">
        <f>VLOOKUP(A24&amp;"EQ",BhavCopy_NSE_CM!A:U,19,0)</f>
        <v>7387</v>
      </c>
      <c r="N24" s="13">
        <f>VLOOKUP(A24&amp;"EQ",BhavCopy_NSE_CM!A:U,21,0)</f>
        <v>7434</v>
      </c>
      <c r="O24" s="8">
        <f>B24-M24*10%</f>
        <v>7185.8</v>
      </c>
      <c r="P24" s="19">
        <f>B24-M24*20%</f>
        <v>6447.1</v>
      </c>
      <c r="Q24">
        <v>2</v>
      </c>
      <c r="R24" s="1" t="b">
        <f>M24&lt;I24</f>
        <v>1</v>
      </c>
    </row>
    <row r="25" spans="1:21">
      <c r="A25" t="s">
        <v>403</v>
      </c>
      <c r="B25" s="27">
        <v>424.7</v>
      </c>
      <c r="C25" s="5">
        <v>243</v>
      </c>
      <c r="D25" s="1">
        <f>B25-C25</f>
        <v>181.7</v>
      </c>
      <c r="E25" s="1">
        <f>D25*13%+C25</f>
        <v>266.62099999999998</v>
      </c>
      <c r="F25" s="2">
        <f>D25*21%+C25</f>
        <v>281.15699999999998</v>
      </c>
      <c r="G25" s="2">
        <f>D25*34%+C25</f>
        <v>304.77800000000002</v>
      </c>
      <c r="H25" s="1">
        <f>D25*55%+C25</f>
        <v>342.935</v>
      </c>
      <c r="I25" s="1">
        <f>D25*89%+C25</f>
        <v>404.71299999999997</v>
      </c>
      <c r="J25" s="7">
        <f>E25*144%+D25</f>
        <v>565.63423999999986</v>
      </c>
      <c r="L25" s="1">
        <f>(M25*100/C25)-100</f>
        <v>63.353909465020564</v>
      </c>
      <c r="M25" s="10">
        <f>VLOOKUP(A25&amp;"EQ",BhavCopy_NSE_CM!A:U,19,0)</f>
        <v>396.95</v>
      </c>
      <c r="N25" s="13">
        <f>VLOOKUP(A25&amp;"EQ",BhavCopy_NSE_CM!A:U,21,0)</f>
        <v>403.25</v>
      </c>
      <c r="O25" s="8">
        <f>B25-M25*10%</f>
        <v>385.005</v>
      </c>
      <c r="P25" s="19">
        <f>B25-M25*20%</f>
        <v>345.31</v>
      </c>
      <c r="Q25">
        <v>3</v>
      </c>
      <c r="R25" s="1" t="b">
        <f>M25&lt;I25</f>
        <v>1</v>
      </c>
    </row>
    <row r="26" spans="1:21">
      <c r="A26" t="s">
        <v>370</v>
      </c>
      <c r="B26" s="27">
        <v>1744</v>
      </c>
      <c r="C26" s="5">
        <v>744.9</v>
      </c>
      <c r="D26" s="1">
        <f>B26-C26</f>
        <v>999.1</v>
      </c>
      <c r="E26" s="1">
        <f>D26*13%+C26</f>
        <v>874.78300000000002</v>
      </c>
      <c r="F26" s="2">
        <f>D26*21%+C26</f>
        <v>954.71100000000001</v>
      </c>
      <c r="G26" s="2">
        <f>D26*34%+C26</f>
        <v>1084.5940000000001</v>
      </c>
      <c r="H26" s="1">
        <f>D26*55%+C26</f>
        <v>1294.4050000000002</v>
      </c>
      <c r="I26" s="1">
        <f>D26*89%+C26</f>
        <v>1634.0990000000002</v>
      </c>
      <c r="J26" s="7">
        <f>E26*144%+D26</f>
        <v>2258.7875199999999</v>
      </c>
      <c r="L26" s="1">
        <f>(M26*100/C26)-100</f>
        <v>88.978386360585318</v>
      </c>
      <c r="M26" s="10">
        <f>VLOOKUP(A26&amp;"EQ",BhavCopy_NSE_CM!A:U,19,0)</f>
        <v>1407.7</v>
      </c>
      <c r="N26" s="13">
        <f>VLOOKUP(A26&amp;"EQ",BhavCopy_NSE_CM!A:U,21,0)</f>
        <v>1390.4</v>
      </c>
      <c r="O26" s="8">
        <f>B26-M26*10%</f>
        <v>1603.23</v>
      </c>
      <c r="P26" s="19">
        <f>B26-M26*20%</f>
        <v>1462.46</v>
      </c>
      <c r="Q26">
        <v>4</v>
      </c>
      <c r="R26" s="1" t="b">
        <f>M26&lt;I26</f>
        <v>1</v>
      </c>
    </row>
    <row r="27" spans="1:21">
      <c r="A27" t="s">
        <v>373</v>
      </c>
      <c r="B27" s="27">
        <v>3245</v>
      </c>
      <c r="C27" s="5">
        <v>1753</v>
      </c>
      <c r="D27" s="5">
        <f>B27-C27</f>
        <v>1492</v>
      </c>
      <c r="E27" s="1">
        <f>D27*13%+C27</f>
        <v>1946.96</v>
      </c>
      <c r="F27" s="2">
        <f>D27*21%+C27</f>
        <v>2066.3200000000002</v>
      </c>
      <c r="G27" s="2">
        <f>D27*34%+C27</f>
        <v>2260.2800000000002</v>
      </c>
      <c r="H27" s="1">
        <f>D27*55%+C27</f>
        <v>2573.6</v>
      </c>
      <c r="I27" s="1">
        <f>D27*89%+C27</f>
        <v>3080.88</v>
      </c>
      <c r="J27" s="7">
        <f>E27*144%+D27</f>
        <v>4295.6224000000002</v>
      </c>
      <c r="L27" s="1">
        <f>(M27*100/C27)-100</f>
        <v>68.459783228750723</v>
      </c>
      <c r="M27" s="10">
        <f>VLOOKUP(A27&amp;"EQ",BhavCopy_NSE_CM!A:U,19,0)</f>
        <v>2953.1</v>
      </c>
      <c r="N27" s="13">
        <f>VLOOKUP(A27&amp;"EQ",BhavCopy_NSE_CM!A:U,21,0)</f>
        <v>2950</v>
      </c>
      <c r="O27" s="8">
        <f>B27-M27*10%</f>
        <v>2949.69</v>
      </c>
      <c r="P27" s="19">
        <f>B27-M27*20%</f>
        <v>2654.38</v>
      </c>
      <c r="Q27">
        <v>5</v>
      </c>
      <c r="R27" s="1" t="b">
        <f>M27&lt;I27</f>
        <v>1</v>
      </c>
    </row>
    <row r="28" spans="1:21">
      <c r="A28" t="s">
        <v>376</v>
      </c>
      <c r="B28" s="27">
        <v>1631.5</v>
      </c>
      <c r="C28" s="5">
        <v>765</v>
      </c>
      <c r="D28" s="5">
        <f>B28-C28</f>
        <v>866.5</v>
      </c>
      <c r="E28" s="1">
        <f>D28*13%+C28</f>
        <v>877.64499999999998</v>
      </c>
      <c r="F28" s="2">
        <f>D28*21%+C28</f>
        <v>946.96500000000003</v>
      </c>
      <c r="G28" s="2">
        <f>D28*34%+C28</f>
        <v>1059.6100000000001</v>
      </c>
      <c r="H28" s="1">
        <f>D28*55%+C28</f>
        <v>1241.575</v>
      </c>
      <c r="I28" s="1">
        <f>D28*89%+C28</f>
        <v>1536.1849999999999</v>
      </c>
      <c r="J28" s="7">
        <f>E28*144%+D28</f>
        <v>2130.3087999999998</v>
      </c>
      <c r="L28" s="1">
        <f>(M28*100/C28)-100</f>
        <v>68.888888888888886</v>
      </c>
      <c r="M28" s="10">
        <f>VLOOKUP(A28&amp;"EQ",BhavCopy_NSE_CM!A:U,19,0)</f>
        <v>1292</v>
      </c>
      <c r="N28" s="13">
        <f>VLOOKUP(A28&amp;"EQ",BhavCopy_NSE_CM!A:U,21,0)</f>
        <v>1288</v>
      </c>
      <c r="O28" s="8">
        <f>B28-M28*10%</f>
        <v>1502.3</v>
      </c>
      <c r="P28" s="19">
        <f>B28-M28*20%</f>
        <v>1373.1</v>
      </c>
      <c r="Q28">
        <v>6</v>
      </c>
      <c r="R28" s="1" t="b">
        <f>M28&lt;I28</f>
        <v>1</v>
      </c>
    </row>
    <row r="29" spans="1:21">
      <c r="A29" t="s">
        <v>379</v>
      </c>
      <c r="B29" s="27">
        <v>1891.1</v>
      </c>
      <c r="C29" s="5">
        <v>1290.5</v>
      </c>
      <c r="D29" s="5">
        <f>B29-C29</f>
        <v>600.59999999999991</v>
      </c>
      <c r="E29" s="1">
        <f>D29*13%+C29</f>
        <v>1368.578</v>
      </c>
      <c r="F29" s="2">
        <f>D29*21%+C29</f>
        <v>1416.626</v>
      </c>
      <c r="G29" s="2">
        <f>D29*34%+C29</f>
        <v>1494.704</v>
      </c>
      <c r="H29" s="1">
        <f>D29*55%+C29</f>
        <v>1620.83</v>
      </c>
      <c r="I29" s="1">
        <f>D29*89%+C29</f>
        <v>1825.0339999999999</v>
      </c>
      <c r="J29" s="7">
        <f>E29*144%+D29</f>
        <v>2571.35232</v>
      </c>
      <c r="L29" s="1">
        <f>(M29*100/C29)-100</f>
        <v>32.506780317706301</v>
      </c>
      <c r="M29" s="10">
        <f>VLOOKUP(A29&amp;"EQ",BhavCopy_NSE_CM!A:U,19,0)</f>
        <v>1710</v>
      </c>
      <c r="N29" s="13">
        <f>VLOOKUP(A29&amp;"EQ",BhavCopy_NSE_CM!A:U,21,0)</f>
        <v>1694.3</v>
      </c>
      <c r="O29" s="8">
        <f>B29-M29*10%</f>
        <v>1720.1</v>
      </c>
      <c r="P29" s="19">
        <f>B29-M29*20%</f>
        <v>1549.1</v>
      </c>
      <c r="Q29">
        <v>7</v>
      </c>
      <c r="R29" s="1" t="b">
        <f>M29&lt;I29</f>
        <v>1</v>
      </c>
    </row>
    <row r="30" spans="1:21">
      <c r="A30" t="s">
        <v>382</v>
      </c>
      <c r="B30" s="27">
        <v>723</v>
      </c>
      <c r="C30" s="5">
        <v>128.1</v>
      </c>
      <c r="D30" s="5">
        <f>B30-C30</f>
        <v>594.9</v>
      </c>
      <c r="E30" s="1">
        <f>D30*13%+C30</f>
        <v>205.43700000000001</v>
      </c>
      <c r="F30" s="2">
        <f>D30*21%+C30</f>
        <v>253.029</v>
      </c>
      <c r="G30" s="2">
        <f>D30*34%+C30</f>
        <v>330.36599999999999</v>
      </c>
      <c r="H30" s="1">
        <f>D30*55%+C30</f>
        <v>455.29499999999996</v>
      </c>
      <c r="I30" s="1">
        <f>D30*89%+C30</f>
        <v>657.56100000000004</v>
      </c>
      <c r="J30" s="7">
        <f>E30*144%+D30</f>
        <v>890.72928000000002</v>
      </c>
      <c r="L30" s="1">
        <f>(M30*100/C30)-100</f>
        <v>62.685402029664345</v>
      </c>
      <c r="M30" s="10">
        <f>VLOOKUP(A30&amp;"EQ",BhavCopy_NSE_CM!A:U,19,0)</f>
        <v>208.4</v>
      </c>
      <c r="N30" s="13">
        <f>VLOOKUP(A30&amp;"EQ",BhavCopy_NSE_CM!A:U,21,0)</f>
        <v>204.49</v>
      </c>
      <c r="O30" s="8">
        <f>B30-M30*10%</f>
        <v>702.16</v>
      </c>
      <c r="P30" s="19">
        <f>B30-M30*20%</f>
        <v>681.31999999999994</v>
      </c>
      <c r="Q30">
        <v>8</v>
      </c>
      <c r="R30" s="1" t="b">
        <f>M30&lt;I30</f>
        <v>1</v>
      </c>
    </row>
    <row r="31" spans="1:21">
      <c r="A31" t="s">
        <v>641</v>
      </c>
      <c r="B31" s="27">
        <v>5933.5</v>
      </c>
      <c r="C31" s="5">
        <v>4738.5</v>
      </c>
      <c r="D31" s="5">
        <f>B31-C31</f>
        <v>1195</v>
      </c>
      <c r="E31" s="1">
        <f>D31*13%+C31</f>
        <v>4893.8500000000004</v>
      </c>
      <c r="F31" s="2">
        <f>D31*21%+C31</f>
        <v>4989.45</v>
      </c>
      <c r="G31" s="2">
        <f>D31*34%+C31</f>
        <v>5144.8</v>
      </c>
      <c r="H31" s="1">
        <f>D31*55%+C31</f>
        <v>5395.75</v>
      </c>
      <c r="I31" s="1">
        <f>D31*89%+C31</f>
        <v>5802.05</v>
      </c>
      <c r="J31" s="7">
        <f>E31*144%+D31</f>
        <v>8242.1440000000002</v>
      </c>
      <c r="L31" s="1">
        <f>(M31*100/C31)-100</f>
        <v>9.3383982272871151</v>
      </c>
      <c r="M31" s="10">
        <f>VLOOKUP(A31&amp;"EQ",BhavCopy_NSE_CM!A:U,19,0)</f>
        <v>5181</v>
      </c>
      <c r="N31" s="13">
        <f>VLOOKUP(A31&amp;"EQ",BhavCopy_NSE_CM!A:U,21,0)</f>
        <v>5242.5</v>
      </c>
      <c r="O31" s="8">
        <f>B31-M31*10%</f>
        <v>5415.4</v>
      </c>
      <c r="P31" s="19">
        <f>B31-M31*20%</f>
        <v>4897.3</v>
      </c>
      <c r="Q31">
        <v>9</v>
      </c>
      <c r="R31" s="1" t="b">
        <f>M31&lt;I31</f>
        <v>1</v>
      </c>
    </row>
    <row r="32" spans="1:21">
      <c r="A32" t="s">
        <v>719</v>
      </c>
      <c r="B32" s="27">
        <v>8974</v>
      </c>
      <c r="C32" s="5">
        <v>5400.5</v>
      </c>
      <c r="D32" s="5">
        <f>B32-C32</f>
        <v>3573.5</v>
      </c>
      <c r="E32" s="1">
        <f>D32*13%+C32</f>
        <v>5865.0550000000003</v>
      </c>
      <c r="F32" s="2">
        <f>D32*21%+C32</f>
        <v>6150.9349999999995</v>
      </c>
      <c r="G32" s="2">
        <f>D32*34%+C32</f>
        <v>6615.49</v>
      </c>
      <c r="H32" s="1">
        <f>D32*55%+C32</f>
        <v>7365.9250000000002</v>
      </c>
      <c r="I32" s="1">
        <f>D32*89%+C32</f>
        <v>8580.9150000000009</v>
      </c>
      <c r="J32" s="7">
        <f>E32*144%+D32</f>
        <v>12019.1792</v>
      </c>
      <c r="L32" s="1">
        <f>(M32*100/C32)-100</f>
        <v>35.320803629293579</v>
      </c>
      <c r="M32" s="10">
        <f>VLOOKUP(A32&amp;"EQ",BhavCopy_NSE_CM!A:U,19,0)</f>
        <v>7308</v>
      </c>
      <c r="N32" s="13">
        <f>VLOOKUP(A32&amp;"EQ",BhavCopy_NSE_CM!A:U,21,0)</f>
        <v>7439</v>
      </c>
      <c r="O32" s="8">
        <f>B32-M32*10%</f>
        <v>8243.2000000000007</v>
      </c>
      <c r="P32" s="19">
        <f>B32-M32*20%</f>
        <v>7512.4</v>
      </c>
      <c r="Q32">
        <v>10</v>
      </c>
      <c r="R32" s="1" t="b">
        <f>M32&lt;I32</f>
        <v>1</v>
      </c>
    </row>
    <row r="33" spans="1:18">
      <c r="A33" t="s">
        <v>728</v>
      </c>
      <c r="B33" s="27">
        <v>624.95000000000005</v>
      </c>
      <c r="C33" s="5">
        <v>394</v>
      </c>
      <c r="D33" s="5">
        <f>B33-C33</f>
        <v>230.95000000000005</v>
      </c>
      <c r="E33" s="1">
        <f>D33*13%+C33</f>
        <v>424.02350000000001</v>
      </c>
      <c r="F33" s="2">
        <f>D33*21%+C33</f>
        <v>442.49950000000001</v>
      </c>
      <c r="G33" s="2">
        <f>D33*34%+C33</f>
        <v>472.52300000000002</v>
      </c>
      <c r="H33" s="1">
        <f>D33*55%+C33</f>
        <v>521.02250000000004</v>
      </c>
      <c r="I33" s="1">
        <f>D33*89%+C33</f>
        <v>599.54550000000006</v>
      </c>
      <c r="J33" s="7">
        <f>E33*144%+D33</f>
        <v>841.54384000000005</v>
      </c>
      <c r="L33" s="1">
        <f>(M33*100/C33)-100</f>
        <v>1.0913705583756297</v>
      </c>
      <c r="M33" s="10">
        <f>VLOOKUP(A33&amp;"EQ",BhavCopy_NSE_CM!A:U,19,0)</f>
        <v>398.3</v>
      </c>
      <c r="N33" s="13">
        <f>VLOOKUP(A33&amp;"EQ",BhavCopy_NSE_CM!A:U,21,0)</f>
        <v>398.6</v>
      </c>
      <c r="O33" s="8">
        <f>B33-M33*10%</f>
        <v>585.12</v>
      </c>
      <c r="P33" s="19">
        <f>B33-M33*20%</f>
        <v>545.29000000000008</v>
      </c>
      <c r="Q33">
        <v>11</v>
      </c>
      <c r="R33" s="1" t="b">
        <f>M33&lt;I33</f>
        <v>1</v>
      </c>
    </row>
    <row r="34" spans="1:18">
      <c r="A34" t="s">
        <v>780</v>
      </c>
      <c r="B34" s="27">
        <v>2872</v>
      </c>
      <c r="C34" s="5">
        <v>208.63</v>
      </c>
      <c r="D34" s="5">
        <f>B34-C34</f>
        <v>2663.37</v>
      </c>
      <c r="E34" s="1">
        <f>D34*13%+C34</f>
        <v>554.86809999999991</v>
      </c>
      <c r="F34" s="2">
        <f>D34*21%+C34</f>
        <v>767.93769999999995</v>
      </c>
      <c r="G34" s="2">
        <f>D34*34%+C34</f>
        <v>1114.1758</v>
      </c>
      <c r="H34" s="1">
        <f>D34*55%+C34</f>
        <v>1673.4835000000003</v>
      </c>
      <c r="I34" s="1">
        <f>D34*89%+C34</f>
        <v>2579.0293000000001</v>
      </c>
      <c r="J34" s="7">
        <f>E34*144%+D34</f>
        <v>3462.3800639999999</v>
      </c>
      <c r="L34" s="1">
        <f>(M34*100/C34)-100</f>
        <v>42.836600680630795</v>
      </c>
      <c r="M34" s="10">
        <f>VLOOKUP(A34&amp;"EQ",BhavCopy_NSE_CM!A:U,19,0)</f>
        <v>298</v>
      </c>
      <c r="N34" s="13">
        <f>VLOOKUP(A34&amp;"EQ",BhavCopy_NSE_CM!A:U,21,0)</f>
        <v>303.8</v>
      </c>
      <c r="O34" s="8">
        <f>B34-M34*10%</f>
        <v>2842.2</v>
      </c>
      <c r="P34" s="19">
        <f>B34-M34*20%</f>
        <v>2812.4</v>
      </c>
      <c r="Q34">
        <v>12</v>
      </c>
      <c r="R34" s="1" t="b">
        <f>M34&lt;I34</f>
        <v>1</v>
      </c>
    </row>
    <row r="35" spans="1:18">
      <c r="A35" t="s">
        <v>870</v>
      </c>
      <c r="B35" s="27">
        <v>2301.4</v>
      </c>
      <c r="C35" s="5">
        <v>1492</v>
      </c>
      <c r="D35" s="5">
        <f>B35-C35</f>
        <v>809.40000000000009</v>
      </c>
      <c r="E35" s="1">
        <f>D35*13%+C35</f>
        <v>1597.222</v>
      </c>
      <c r="F35" s="2">
        <f>D35*21%+C35</f>
        <v>1661.9739999999999</v>
      </c>
      <c r="G35" s="2">
        <f>D35*34%+C35</f>
        <v>1767.1959999999999</v>
      </c>
      <c r="H35" s="1">
        <f>D35*55%+C35</f>
        <v>1937.17</v>
      </c>
      <c r="I35" s="1">
        <f>D35*89%+C35</f>
        <v>2212.366</v>
      </c>
      <c r="J35" s="7">
        <f>E35*144%+D35</f>
        <v>3109.39968</v>
      </c>
      <c r="L35" s="1">
        <f>(M35*100/C35)-100</f>
        <v>46.447721179624665</v>
      </c>
      <c r="M35" s="10">
        <f>VLOOKUP(A35&amp;"EQ",BhavCopy_NSE_CM!A:U,19,0)</f>
        <v>2185</v>
      </c>
      <c r="N35" s="13">
        <f>VLOOKUP(A35&amp;"EQ",BhavCopy_NSE_CM!A:U,21,0)</f>
        <v>2215</v>
      </c>
      <c r="O35" s="8">
        <f>B35-M35*10%</f>
        <v>2082.9</v>
      </c>
      <c r="P35" s="19">
        <f>B35-M35*20%</f>
        <v>1864.4</v>
      </c>
      <c r="Q35">
        <v>13</v>
      </c>
      <c r="R35" s="1" t="b">
        <f>M35&lt;I35</f>
        <v>1</v>
      </c>
    </row>
    <row r="36" spans="1:18">
      <c r="A36" t="s">
        <v>876</v>
      </c>
      <c r="B36" s="27">
        <v>9050</v>
      </c>
      <c r="C36" s="5">
        <v>6696.5</v>
      </c>
      <c r="D36" s="5">
        <f>B36-C36</f>
        <v>2353.5</v>
      </c>
      <c r="E36" s="1">
        <f>D36*13%+C36</f>
        <v>7002.4549999999999</v>
      </c>
      <c r="F36" s="2">
        <f>D36*21%+C36</f>
        <v>7190.7349999999997</v>
      </c>
      <c r="G36" s="2">
        <f>D36*34%+C36</f>
        <v>7496.6900000000005</v>
      </c>
      <c r="H36" s="1">
        <f>D36*55%+C36</f>
        <v>7990.9250000000002</v>
      </c>
      <c r="I36" s="1">
        <f>D36*89%+C36</f>
        <v>8791.1149999999998</v>
      </c>
      <c r="J36" s="7">
        <f>E36*144%+D36</f>
        <v>12437.0352</v>
      </c>
      <c r="L36" s="1">
        <f>(M36*100/C36)-100</f>
        <v>31.971925632793244</v>
      </c>
      <c r="M36" s="10">
        <f>VLOOKUP(A36&amp;"EQ",BhavCopy_NSE_CM!A:U,19,0)</f>
        <v>8837.5</v>
      </c>
      <c r="N36" s="13">
        <f>VLOOKUP(A36&amp;"EQ",BhavCopy_NSE_CM!A:U,21,0)</f>
        <v>8760</v>
      </c>
      <c r="O36" s="8">
        <f>B36-M36*10%</f>
        <v>8166.25</v>
      </c>
      <c r="P36" s="19">
        <f>B36-M36*20%</f>
        <v>7282.5</v>
      </c>
      <c r="Q36">
        <v>14</v>
      </c>
      <c r="R36" s="1" t="b">
        <f>M36&lt;I36</f>
        <v>0</v>
      </c>
    </row>
    <row r="37" spans="1:18">
      <c r="A37" t="s">
        <v>1020</v>
      </c>
      <c r="B37" s="27">
        <v>254.4</v>
      </c>
      <c r="C37" s="5">
        <v>114.96</v>
      </c>
      <c r="D37" s="5">
        <f>B37-C37</f>
        <v>139.44</v>
      </c>
      <c r="E37" s="1">
        <f>D37*13%+C37</f>
        <v>133.0872</v>
      </c>
      <c r="F37" s="2">
        <f>D37*21%+C37</f>
        <v>144.2424</v>
      </c>
      <c r="G37" s="2">
        <f>D37*34%+C37</f>
        <v>162.36959999999999</v>
      </c>
      <c r="H37" s="1">
        <f>D37*55%+C37</f>
        <v>191.65199999999999</v>
      </c>
      <c r="I37" s="1">
        <f>D37*89%+C37</f>
        <v>239.0616</v>
      </c>
      <c r="J37" s="7">
        <f>E37*144%+D37</f>
        <v>331.08556799999997</v>
      </c>
      <c r="L37" s="1">
        <f>(M37*100/C37)-100</f>
        <v>47.007654836464866</v>
      </c>
      <c r="M37" s="10">
        <f>VLOOKUP(A37&amp;"EQ",BhavCopy_NSE_CM!A:U,19,0)</f>
        <v>169</v>
      </c>
      <c r="N37" s="13">
        <f>VLOOKUP(A37&amp;"EQ",BhavCopy_NSE_CM!A:U,21,0)</f>
        <v>170</v>
      </c>
      <c r="O37" s="8">
        <f>B37-M37*10%</f>
        <v>237.5</v>
      </c>
      <c r="P37" s="19">
        <f>B37-M37*20%</f>
        <v>220.6</v>
      </c>
      <c r="Q37">
        <v>15</v>
      </c>
      <c r="R37" s="1" t="b">
        <f>M37&lt;I37</f>
        <v>1</v>
      </c>
    </row>
    <row r="38" spans="1:18">
      <c r="A38" t="s">
        <v>1050</v>
      </c>
      <c r="B38" s="27">
        <v>2985.7</v>
      </c>
      <c r="C38" s="5">
        <v>2115</v>
      </c>
      <c r="D38" s="5">
        <f>B38-C38</f>
        <v>870.69999999999982</v>
      </c>
      <c r="E38" s="1">
        <f>D38*13%+C38</f>
        <v>2228.1909999999998</v>
      </c>
      <c r="F38" s="2">
        <f>D38*21%+C38</f>
        <v>2297.8469999999998</v>
      </c>
      <c r="G38" s="2">
        <f>D38*34%+C38</f>
        <v>2411.038</v>
      </c>
      <c r="H38" s="1">
        <f>D38*55%+C38</f>
        <v>2593.8849999999998</v>
      </c>
      <c r="I38" s="1">
        <f>D38*89%+C38</f>
        <v>2889.9229999999998</v>
      </c>
      <c r="J38" s="7">
        <f>E38*144%+D38</f>
        <v>4079.2950399999995</v>
      </c>
      <c r="L38" s="1">
        <f>(M38*100/C38)-100</f>
        <v>17.333333333333329</v>
      </c>
      <c r="M38" s="10">
        <f>VLOOKUP(A38&amp;"EQ",BhavCopy_NSE_CM!A:U,19,0)</f>
        <v>2481.6</v>
      </c>
      <c r="N38" s="13">
        <f>VLOOKUP(A38&amp;"EQ",BhavCopy_NSE_CM!A:U,21,0)</f>
        <v>2500.9</v>
      </c>
      <c r="O38" s="8">
        <f>B38-M38*10%</f>
        <v>2737.54</v>
      </c>
      <c r="P38" s="19">
        <f>B38-M38*20%</f>
        <v>2489.3799999999997</v>
      </c>
      <c r="Q38">
        <v>16</v>
      </c>
      <c r="R38" s="1" t="b">
        <f>M38&lt;I38</f>
        <v>1</v>
      </c>
    </row>
    <row r="39" spans="1:18">
      <c r="A39" t="s">
        <v>1080</v>
      </c>
      <c r="B39" s="27">
        <v>1768.7</v>
      </c>
      <c r="C39" s="5">
        <v>1263.7</v>
      </c>
      <c r="D39" s="5">
        <f>B39-C39</f>
        <v>505</v>
      </c>
      <c r="E39" s="1">
        <f>D39*13%+C39</f>
        <v>1329.3500000000001</v>
      </c>
      <c r="F39" s="2">
        <f>D39*21%+C39</f>
        <v>1369.75</v>
      </c>
      <c r="G39" s="2">
        <f>D39*34%+C39</f>
        <v>1435.4</v>
      </c>
      <c r="H39" s="1">
        <f>D39*55%+C39</f>
        <v>1541.45</v>
      </c>
      <c r="I39" s="1">
        <f>D39*89%+C39</f>
        <v>1713.15</v>
      </c>
      <c r="J39" s="7">
        <f>E39*144%+D39</f>
        <v>2419.2640000000001</v>
      </c>
      <c r="L39" s="1">
        <f>(M39*100/C39)-100</f>
        <v>18.762364485241747</v>
      </c>
      <c r="M39" s="10">
        <f>VLOOKUP(A39&amp;"EQ",BhavCopy_NSE_CM!A:U,19,0)</f>
        <v>1500.8</v>
      </c>
      <c r="N39" s="13">
        <f>VLOOKUP(A39&amp;"EQ",BhavCopy_NSE_CM!A:U,21,0)</f>
        <v>1498.2</v>
      </c>
      <c r="O39" s="8">
        <f>B39-M39*10%</f>
        <v>1618.6200000000001</v>
      </c>
      <c r="P39" s="19">
        <f>B39-M39*20%</f>
        <v>1468.54</v>
      </c>
      <c r="Q39">
        <v>17</v>
      </c>
      <c r="R39" s="1" t="b">
        <f>M39&lt;I39</f>
        <v>1</v>
      </c>
    </row>
    <row r="40" spans="1:18">
      <c r="A40" t="s">
        <v>1123</v>
      </c>
      <c r="B40" s="27">
        <v>1128.5999999999999</v>
      </c>
      <c r="C40" s="5">
        <v>682.15</v>
      </c>
      <c r="D40" s="5">
        <f>B40-C40</f>
        <v>446.44999999999993</v>
      </c>
      <c r="E40" s="1">
        <f>D40*13%+C40</f>
        <v>740.18849999999998</v>
      </c>
      <c r="F40" s="2">
        <f>D40*21%+C40</f>
        <v>775.90449999999998</v>
      </c>
      <c r="G40" s="2">
        <f>D40*34%+C40</f>
        <v>833.94299999999998</v>
      </c>
      <c r="H40" s="1">
        <f>D40*55%+C40</f>
        <v>927.69749999999999</v>
      </c>
      <c r="I40" s="1">
        <f>D40*89%+C40</f>
        <v>1079.4904999999999</v>
      </c>
      <c r="J40" s="7">
        <f>E40*144%+D40</f>
        <v>1512.3214399999997</v>
      </c>
      <c r="L40" s="1">
        <f>(M40*100/C40)-100</f>
        <v>57.399398959173197</v>
      </c>
      <c r="M40" s="10">
        <f>VLOOKUP(A40&amp;"EQ",BhavCopy_NSE_CM!A:U,19,0)</f>
        <v>1073.7</v>
      </c>
      <c r="N40" s="13">
        <f>VLOOKUP(A40&amp;"EQ",BhavCopy_NSE_CM!A:U,21,0)</f>
        <v>1053</v>
      </c>
      <c r="O40" s="8">
        <f>B40-M40*10%</f>
        <v>1021.2299999999999</v>
      </c>
      <c r="P40" s="19">
        <f>B40-M40*20%</f>
        <v>913.8599999999999</v>
      </c>
      <c r="Q40">
        <v>18</v>
      </c>
      <c r="R40" s="1" t="b">
        <f>M40&lt;I40</f>
        <v>1</v>
      </c>
    </row>
    <row r="41" spans="1:18">
      <c r="A41" t="s">
        <v>1135</v>
      </c>
      <c r="B41" s="27">
        <v>1717</v>
      </c>
      <c r="C41" s="5">
        <v>1016.1</v>
      </c>
      <c r="D41" s="5">
        <f>B41-C41</f>
        <v>700.9</v>
      </c>
      <c r="E41" s="1">
        <f>D41*13%+C41</f>
        <v>1107.2170000000001</v>
      </c>
      <c r="F41" s="2">
        <f>D41*21%+C41</f>
        <v>1163.289</v>
      </c>
      <c r="G41" s="2">
        <f>D41*34%+C41</f>
        <v>1254.4059999999999</v>
      </c>
      <c r="H41" s="1">
        <f>D41*55%+C41</f>
        <v>1401.595</v>
      </c>
      <c r="I41" s="1">
        <f>D41*89%+C41</f>
        <v>1639.9010000000001</v>
      </c>
      <c r="J41" s="7">
        <f>E41*144%+D41</f>
        <v>2295.2924800000001</v>
      </c>
      <c r="L41" s="1">
        <f>(M41*100/C41)-100</f>
        <v>66.519043401240026</v>
      </c>
      <c r="M41" s="10">
        <f>VLOOKUP(A41&amp;"EQ",BhavCopy_NSE_CM!A:U,19,0)</f>
        <v>1692</v>
      </c>
      <c r="N41" s="13">
        <f>VLOOKUP(A41&amp;"EQ",BhavCopy_NSE_CM!A:U,21,0)</f>
        <v>1660</v>
      </c>
      <c r="O41" s="8">
        <f>B41-M41*10%</f>
        <v>1547.8</v>
      </c>
      <c r="P41" s="19">
        <f>B41-M41*20%</f>
        <v>1378.6</v>
      </c>
      <c r="Q41">
        <v>19</v>
      </c>
      <c r="R41" s="1" t="b">
        <f>M41&lt;I41</f>
        <v>0</v>
      </c>
    </row>
    <row r="42" spans="1:18">
      <c r="A42" t="s">
        <v>1222</v>
      </c>
      <c r="B42" s="27">
        <v>1418.3</v>
      </c>
      <c r="C42" s="5">
        <v>1042.5</v>
      </c>
      <c r="D42" s="5">
        <f>B42-C42</f>
        <v>375.79999999999995</v>
      </c>
      <c r="E42" s="1">
        <f>D42*13%+C42</f>
        <v>1091.354</v>
      </c>
      <c r="F42" s="2">
        <f>D42*21%+C42</f>
        <v>1121.4179999999999</v>
      </c>
      <c r="G42" s="2">
        <f>D42*34%+C42</f>
        <v>1170.2719999999999</v>
      </c>
      <c r="H42" s="1">
        <f>D42*55%+C42</f>
        <v>1249.19</v>
      </c>
      <c r="I42" s="1">
        <f>D42*89%+C42</f>
        <v>1376.962</v>
      </c>
      <c r="J42" s="7">
        <f>E42*144%+D42</f>
        <v>1947.3497600000001</v>
      </c>
      <c r="L42" s="1">
        <f>(M42*100/C42)-100</f>
        <v>19.414868105515595</v>
      </c>
      <c r="M42" s="10">
        <f>VLOOKUP(A42&amp;"EQ",BhavCopy_NSE_CM!A:U,19,0)</f>
        <v>1244.9000000000001</v>
      </c>
      <c r="N42" s="13">
        <f>VLOOKUP(A42&amp;"EQ",BhavCopy_NSE_CM!A:U,21,0)</f>
        <v>1266</v>
      </c>
      <c r="O42" s="8">
        <f>B42-M42*10%</f>
        <v>1293.81</v>
      </c>
      <c r="P42" s="19">
        <f>B42-M42*20%</f>
        <v>1169.32</v>
      </c>
      <c r="Q42">
        <v>20</v>
      </c>
      <c r="R42" s="1" t="b">
        <f>M42&lt;I42</f>
        <v>1</v>
      </c>
    </row>
    <row r="43" spans="1:18">
      <c r="A43" t="s">
        <v>1310</v>
      </c>
      <c r="B43" s="27">
        <v>12361</v>
      </c>
      <c r="C43" s="5">
        <v>7858.5</v>
      </c>
      <c r="D43" s="5">
        <f>B43-C43</f>
        <v>4502.5</v>
      </c>
      <c r="E43" s="1">
        <f>D43*13%+C43</f>
        <v>8443.8250000000007</v>
      </c>
      <c r="F43" s="2">
        <f>D43*21%+C43</f>
        <v>8804.0249999999996</v>
      </c>
      <c r="G43" s="2">
        <f>D43*34%+C43</f>
        <v>9389.35</v>
      </c>
      <c r="H43" s="1">
        <f>D43*55%+C43</f>
        <v>10334.875</v>
      </c>
      <c r="I43" s="1">
        <f>D43*89%+C43</f>
        <v>11865.725</v>
      </c>
      <c r="J43" s="7">
        <f>E43*144%+D43</f>
        <v>16661.608</v>
      </c>
      <c r="L43" s="1">
        <f>(M43*100/C43)-100</f>
        <v>51.173888146592873</v>
      </c>
      <c r="M43" s="10">
        <f>VLOOKUP(A43&amp;"EQ",BhavCopy_NSE_CM!A:U,19,0)</f>
        <v>11880</v>
      </c>
      <c r="N43" s="13">
        <f>VLOOKUP(A43&amp;"EQ",BhavCopy_NSE_CM!A:U,21,0)</f>
        <v>11800</v>
      </c>
      <c r="O43" s="8">
        <f>B43-M43*10%</f>
        <v>11173</v>
      </c>
      <c r="P43" s="19">
        <f>B43-M43*20%</f>
        <v>9985</v>
      </c>
      <c r="Q43">
        <v>21</v>
      </c>
      <c r="R43" s="1" t="b">
        <f>M43&lt;I43</f>
        <v>0</v>
      </c>
    </row>
    <row r="44" spans="1:18">
      <c r="A44" t="s">
        <v>1322</v>
      </c>
      <c r="B44" s="27">
        <v>2195</v>
      </c>
      <c r="C44" s="5">
        <v>1597</v>
      </c>
      <c r="D44" s="5">
        <f>B44-C44</f>
        <v>598</v>
      </c>
      <c r="E44" s="1">
        <f>D44*13%+C44</f>
        <v>1674.74</v>
      </c>
      <c r="F44" s="2">
        <f>D44*21%+C44</f>
        <v>1722.58</v>
      </c>
      <c r="G44" s="2">
        <f>D44*34%+C44</f>
        <v>1800.32</v>
      </c>
      <c r="H44" s="1">
        <f>D44*55%+C44</f>
        <v>1925.9</v>
      </c>
      <c r="I44" s="1">
        <f>D44*89%+C44</f>
        <v>2129.2200000000003</v>
      </c>
      <c r="J44" s="7">
        <f>E44*144%+D44</f>
        <v>3009.6255999999998</v>
      </c>
      <c r="L44" s="1">
        <f>(M44*100/C44)-100</f>
        <v>21.35879774577333</v>
      </c>
      <c r="M44" s="10">
        <f>VLOOKUP(A44&amp;"EQ",BhavCopy_NSE_CM!A:U,19,0)</f>
        <v>1938.1</v>
      </c>
      <c r="N44" s="13">
        <f>VLOOKUP(A44&amp;"EQ",BhavCopy_NSE_CM!A:U,21,0)</f>
        <v>1938.6</v>
      </c>
      <c r="O44" s="8">
        <f>B44-M44*10%</f>
        <v>2001.19</v>
      </c>
      <c r="P44" s="19">
        <f>B44-M44*20%</f>
        <v>1807.38</v>
      </c>
      <c r="Q44">
        <v>22</v>
      </c>
      <c r="R44" s="1" t="b">
        <f>M44&lt;I44</f>
        <v>1</v>
      </c>
    </row>
    <row r="45" spans="1:18" ht="13.9" customHeight="1">
      <c r="A45" t="s">
        <v>1331</v>
      </c>
      <c r="B45" s="27">
        <v>14763</v>
      </c>
      <c r="C45" s="5">
        <v>8588</v>
      </c>
      <c r="D45" s="5">
        <f>B45-C45</f>
        <v>6175</v>
      </c>
      <c r="E45" s="1">
        <f>D45*13%+C45</f>
        <v>9390.75</v>
      </c>
      <c r="F45" s="2">
        <f>D45*21%+C45</f>
        <v>9884.75</v>
      </c>
      <c r="G45" s="2">
        <f>D45*34%+C45</f>
        <v>10687.5</v>
      </c>
      <c r="H45" s="1">
        <f>D45*55%+C45</f>
        <v>11984.25</v>
      </c>
      <c r="I45" s="1">
        <f>D45*89%+C45</f>
        <v>14083.75</v>
      </c>
      <c r="J45" s="7">
        <f>E45*144%+D45</f>
        <v>19697.68</v>
      </c>
      <c r="L45" s="1">
        <f>(M45*100/C45)-100</f>
        <v>28.621332091290185</v>
      </c>
      <c r="M45" s="10">
        <f>VLOOKUP(A45&amp;"EQ",BhavCopy_NSE_CM!A:U,19,0)</f>
        <v>11046</v>
      </c>
      <c r="N45" s="13">
        <f>VLOOKUP(A45&amp;"EQ",BhavCopy_NSE_CM!A:U,21,0)</f>
        <v>10956</v>
      </c>
      <c r="O45" s="8">
        <f>B45-M45*10%</f>
        <v>13658.4</v>
      </c>
      <c r="P45" s="19">
        <f>B45-M45*20%</f>
        <v>12553.8</v>
      </c>
      <c r="Q45">
        <v>23</v>
      </c>
      <c r="R45" s="1" t="b">
        <f>M45&lt;I45</f>
        <v>1</v>
      </c>
    </row>
    <row r="46" spans="1:18">
      <c r="A46" t="s">
        <v>1319</v>
      </c>
      <c r="B46" s="27">
        <v>1158.8</v>
      </c>
      <c r="C46" s="5">
        <v>787.9</v>
      </c>
      <c r="D46" s="5">
        <f>B46-C46</f>
        <v>370.9</v>
      </c>
      <c r="E46" s="1">
        <f>D46*13%+C46</f>
        <v>836.11699999999996</v>
      </c>
      <c r="F46" s="2">
        <f>D46*21%+C46</f>
        <v>865.78899999999999</v>
      </c>
      <c r="G46" s="2">
        <f>D46*34%+C46</f>
        <v>914.00599999999997</v>
      </c>
      <c r="H46" s="1">
        <f>D46*55%+C46</f>
        <v>991.89499999999998</v>
      </c>
      <c r="I46" s="1">
        <f>D46*89%+C46</f>
        <v>1118.001</v>
      </c>
      <c r="J46" s="7">
        <f>E46*144%+D46</f>
        <v>1574.9084800000001</v>
      </c>
      <c r="L46" s="1">
        <f>(M46*100/C46)-100</f>
        <v>33.786013453483918</v>
      </c>
      <c r="M46" s="10">
        <f>VLOOKUP(A46&amp;"EQ",BhavCopy_NSE_CM!A:U,19,0)</f>
        <v>1054.0999999999999</v>
      </c>
      <c r="N46" s="13">
        <f>VLOOKUP(A46&amp;"EQ",BhavCopy_NSE_CM!A:U,21,0)</f>
        <v>1060</v>
      </c>
      <c r="O46" s="8">
        <f>B46-M46*10%</f>
        <v>1053.3899999999999</v>
      </c>
      <c r="P46" s="19">
        <f>B46-M46*20%</f>
        <v>947.98</v>
      </c>
      <c r="Q46">
        <v>24</v>
      </c>
      <c r="R46" s="1" t="b">
        <f>M46&lt;I46</f>
        <v>1</v>
      </c>
    </row>
    <row r="47" spans="1:18">
      <c r="A47" t="s">
        <v>1382</v>
      </c>
      <c r="B47" s="27">
        <v>220.76</v>
      </c>
      <c r="C47" s="5">
        <v>134.25</v>
      </c>
      <c r="D47" s="5">
        <f>B47-C47</f>
        <v>86.509999999999991</v>
      </c>
      <c r="E47" s="1">
        <f>D47*13%+C47</f>
        <v>145.49629999999999</v>
      </c>
      <c r="F47" s="2">
        <f>D47*21%+C47</f>
        <v>152.4171</v>
      </c>
      <c r="G47" s="2">
        <f>D47*34%+C47</f>
        <v>163.6634</v>
      </c>
      <c r="H47" s="1">
        <f>D47*55%+C47</f>
        <v>181.8305</v>
      </c>
      <c r="I47" s="1">
        <f>D47*89%+C47</f>
        <v>211.2439</v>
      </c>
      <c r="J47" s="7">
        <f>E47*144%+D47</f>
        <v>296.02467200000001</v>
      </c>
      <c r="L47" s="1">
        <f>(M47*100/C47)-100</f>
        <v>27.806331471135934</v>
      </c>
      <c r="M47" s="10">
        <f>VLOOKUP(A47&amp;"EQ",BhavCopy_NSE_CM!A:U,19,0)</f>
        <v>171.58</v>
      </c>
      <c r="N47" s="13">
        <f>VLOOKUP(A47&amp;"EQ",BhavCopy_NSE_CM!A:U,21,0)</f>
        <v>164.7</v>
      </c>
      <c r="O47" s="8">
        <f>B47-M47*10%</f>
        <v>203.60199999999998</v>
      </c>
      <c r="P47" s="19">
        <f>B47-M47*20%</f>
        <v>186.44399999999999</v>
      </c>
      <c r="Q47">
        <v>25</v>
      </c>
      <c r="R47" s="1" t="b">
        <f>M47&lt;I47</f>
        <v>1</v>
      </c>
    </row>
    <row r="48" spans="1:18">
      <c r="A48" t="s">
        <v>1397</v>
      </c>
      <c r="B48" s="27">
        <v>325.5</v>
      </c>
      <c r="C48" s="5">
        <v>230.81</v>
      </c>
      <c r="D48" s="5">
        <f>B48-C48</f>
        <v>94.69</v>
      </c>
      <c r="E48" s="1">
        <f>D48*13%+C48</f>
        <v>243.11969999999999</v>
      </c>
      <c r="F48" s="2">
        <f>D48*21%+C48</f>
        <v>250.69489999999999</v>
      </c>
      <c r="G48" s="2">
        <f>D48*34%+C48</f>
        <v>263.00459999999998</v>
      </c>
      <c r="H48" s="1">
        <f>D48*55%+C48</f>
        <v>282.8895</v>
      </c>
      <c r="I48" s="1">
        <f>D48*89%+C48</f>
        <v>315.08410000000003</v>
      </c>
      <c r="J48" s="7">
        <f>E48*144%+D48</f>
        <v>444.78236799999996</v>
      </c>
      <c r="L48" s="1">
        <f>(M48*100/C48)-100</f>
        <v>2.5085568216281757</v>
      </c>
      <c r="M48" s="10">
        <f>VLOOKUP(A48&amp;"EQ",BhavCopy_NSE_CM!A:U,19,0)</f>
        <v>236.6</v>
      </c>
      <c r="N48" s="13">
        <f>VLOOKUP(A48&amp;"EQ",BhavCopy_NSE_CM!A:U,21,0)</f>
        <v>237</v>
      </c>
      <c r="O48" s="8">
        <f>B48-M48*10%</f>
        <v>301.83999999999997</v>
      </c>
      <c r="P48" s="19">
        <f>B48-M48*20%</f>
        <v>278.18</v>
      </c>
      <c r="Q48">
        <v>26</v>
      </c>
      <c r="R48" s="1" t="b">
        <f>M48&lt;I48</f>
        <v>1</v>
      </c>
    </row>
    <row r="49" spans="1:18">
      <c r="A49" t="s">
        <v>1400</v>
      </c>
      <c r="B49" s="27">
        <v>178.36</v>
      </c>
      <c r="C49" s="5">
        <v>108.81</v>
      </c>
      <c r="D49" s="5">
        <f>B49-C49</f>
        <v>69.550000000000011</v>
      </c>
      <c r="E49" s="1">
        <f>D49*13%+C49</f>
        <v>117.8515</v>
      </c>
      <c r="F49" s="2">
        <f>D49*21%+C49</f>
        <v>123.41550000000001</v>
      </c>
      <c r="G49" s="2">
        <f>D49*34%+C49</f>
        <v>132.45699999999999</v>
      </c>
      <c r="H49" s="1">
        <f>D49*55%+C49</f>
        <v>147.0625</v>
      </c>
      <c r="I49" s="1">
        <f>D49*89%+C49</f>
        <v>170.70950000000002</v>
      </c>
      <c r="J49" s="7">
        <f>E49*144%+D49</f>
        <v>239.25615999999999</v>
      </c>
      <c r="L49" s="1">
        <f>(M49*100/C49)-100</f>
        <v>29.455013325981071</v>
      </c>
      <c r="M49" s="10">
        <f>VLOOKUP(A49&amp;"EQ",BhavCopy_NSE_CM!A:U,19,0)</f>
        <v>140.86000000000001</v>
      </c>
      <c r="N49" s="13">
        <f>VLOOKUP(A49&amp;"EQ",BhavCopy_NSE_CM!A:U,21,0)</f>
        <v>142.02000000000001</v>
      </c>
      <c r="O49" s="8">
        <f>B49-M49*10%</f>
        <v>164.274</v>
      </c>
      <c r="P49" s="19">
        <f>B49-M49*20%</f>
        <v>150.18800000000002</v>
      </c>
      <c r="Q49">
        <v>27</v>
      </c>
      <c r="R49" s="1" t="b">
        <f>M49&lt;I49</f>
        <v>1</v>
      </c>
    </row>
    <row r="50" spans="1:18">
      <c r="A50" t="s">
        <v>1547</v>
      </c>
      <c r="B50" s="27">
        <v>1851.3</v>
      </c>
      <c r="C50" s="5">
        <v>1086</v>
      </c>
      <c r="D50" s="5">
        <f>B50-C50</f>
        <v>765.3</v>
      </c>
      <c r="E50" s="1">
        <f>D50*13%+C50</f>
        <v>1185.489</v>
      </c>
      <c r="F50" s="2">
        <f>D50*21%+C50</f>
        <v>1246.713</v>
      </c>
      <c r="G50" s="2">
        <f>D50*34%+C50</f>
        <v>1346.202</v>
      </c>
      <c r="H50" s="1">
        <f>D50*55%+C50</f>
        <v>1506.915</v>
      </c>
      <c r="I50" s="1">
        <f>D50*89%+C50</f>
        <v>1767.117</v>
      </c>
      <c r="J50" s="7">
        <f>E50*144%+D50</f>
        <v>2472.40416</v>
      </c>
      <c r="L50" s="1">
        <f>(M50*100/C50)-100</f>
        <v>14.41068139963167</v>
      </c>
      <c r="M50" s="10">
        <f>VLOOKUP(A50&amp;"EQ",BhavCopy_NSE_CM!A:U,19,0)</f>
        <v>1242.5</v>
      </c>
      <c r="N50" s="13">
        <f>VLOOKUP(A50&amp;"EQ",BhavCopy_NSE_CM!A:U,21,0)</f>
        <v>1241.7</v>
      </c>
      <c r="O50" s="8">
        <f>B50-M50*10%</f>
        <v>1727.05</v>
      </c>
      <c r="P50" s="19">
        <f>B50-M50*20%</f>
        <v>1602.8</v>
      </c>
      <c r="Q50">
        <v>28</v>
      </c>
      <c r="R50" s="1" t="b">
        <f>M50&lt;I50</f>
        <v>1</v>
      </c>
    </row>
    <row r="51" spans="1:18">
      <c r="A51" t="s">
        <v>1550</v>
      </c>
      <c r="B51" s="27">
        <v>473.45</v>
      </c>
      <c r="C51" s="5">
        <v>361.2</v>
      </c>
      <c r="D51" s="5">
        <f>B51-C51</f>
        <v>112.25</v>
      </c>
      <c r="E51" s="1">
        <f>D51*13%+C51</f>
        <v>375.79250000000002</v>
      </c>
      <c r="F51" s="2">
        <f>D51*21%+C51</f>
        <v>384.77249999999998</v>
      </c>
      <c r="G51" s="2">
        <f>D51*34%+C51</f>
        <v>399.36500000000001</v>
      </c>
      <c r="H51" s="1">
        <f>D51*55%+C51</f>
        <v>422.9375</v>
      </c>
      <c r="I51" s="1">
        <f>D51*89%+C51</f>
        <v>461.10249999999996</v>
      </c>
      <c r="J51" s="7">
        <f>E51*144%+D51</f>
        <v>653.39120000000003</v>
      </c>
      <c r="L51" s="1">
        <f>(M51*100/C51)-100</f>
        <v>13.662790697674424</v>
      </c>
      <c r="M51" s="10">
        <f>VLOOKUP(A51&amp;"EQ",BhavCopy_NSE_CM!A:U,19,0)</f>
        <v>410.55</v>
      </c>
      <c r="N51" s="13">
        <f>VLOOKUP(A51&amp;"EQ",BhavCopy_NSE_CM!A:U,21,0)</f>
        <v>404</v>
      </c>
      <c r="O51" s="8">
        <f>B51-M51*10%</f>
        <v>432.39499999999998</v>
      </c>
      <c r="P51" s="19">
        <f>B51-M51*20%</f>
        <v>391.34</v>
      </c>
      <c r="Q51">
        <v>29</v>
      </c>
      <c r="R51" s="1" t="b">
        <f>M51&lt;I51</f>
        <v>1</v>
      </c>
    </row>
    <row r="52" spans="1:18">
      <c r="A52" t="s">
        <v>1553</v>
      </c>
      <c r="B52" s="27">
        <v>2265.1999999999998</v>
      </c>
      <c r="C52" s="5">
        <v>1100.5</v>
      </c>
      <c r="D52" s="5">
        <f>B52-C52</f>
        <v>1164.6999999999998</v>
      </c>
      <c r="E52" s="1">
        <f>D52*13%+C52</f>
        <v>1251.9110000000001</v>
      </c>
      <c r="F52" s="2">
        <f>D52*21%+C52</f>
        <v>1345.087</v>
      </c>
      <c r="G52" s="2">
        <f>D52*34%+C52</f>
        <v>1496.498</v>
      </c>
      <c r="H52" s="1">
        <f>D52*55%+C52</f>
        <v>1741.085</v>
      </c>
      <c r="I52" s="1">
        <f>D52*89%+C52</f>
        <v>2137.0829999999996</v>
      </c>
      <c r="J52" s="7">
        <f>E52*144%+D52</f>
        <v>2967.4518399999997</v>
      </c>
      <c r="L52" s="1">
        <f>(M52*100/C52)-100</f>
        <v>82.071785552021822</v>
      </c>
      <c r="M52" s="10">
        <f>VLOOKUP(A52&amp;"EQ",BhavCopy_NSE_CM!A:U,19,0)</f>
        <v>2003.7</v>
      </c>
      <c r="N52" s="13">
        <f>VLOOKUP(A52&amp;"EQ",BhavCopy_NSE_CM!A:U,21,0)</f>
        <v>1955</v>
      </c>
      <c r="O52" s="8">
        <f>B52-M52*10%</f>
        <v>2064.83</v>
      </c>
      <c r="P52" s="19">
        <f>B52-M52*20%</f>
        <v>1864.4599999999998</v>
      </c>
      <c r="Q52">
        <v>30</v>
      </c>
      <c r="R52" s="1" t="b">
        <f>M52&lt;I52</f>
        <v>1</v>
      </c>
    </row>
    <row r="53" spans="1:18">
      <c r="A53" t="s">
        <v>1577</v>
      </c>
      <c r="B53" s="27">
        <v>2174.5</v>
      </c>
      <c r="C53" s="5">
        <v>1740.5</v>
      </c>
      <c r="D53" s="5">
        <f>B53-C53</f>
        <v>434</v>
      </c>
      <c r="E53" s="1">
        <f>D53*13%+C53</f>
        <v>1796.92</v>
      </c>
      <c r="F53" s="2">
        <f>D53*21%+C53</f>
        <v>1831.64</v>
      </c>
      <c r="G53" s="2">
        <f>D53*34%+C53</f>
        <v>1888.06</v>
      </c>
      <c r="H53" s="1">
        <f>D53*55%+C53</f>
        <v>1979.2</v>
      </c>
      <c r="I53" s="1">
        <f>D53*89%+C53</f>
        <v>2126.7600000000002</v>
      </c>
      <c r="J53" s="7">
        <f>E53*144%+D53</f>
        <v>3021.5648000000001</v>
      </c>
      <c r="L53" s="1">
        <f>(M53*100/C53)-100</f>
        <v>5.9465670784257441</v>
      </c>
      <c r="M53" s="10">
        <f>VLOOKUP(A53&amp;"EQ",BhavCopy_NSE_CM!A:U,19,0)</f>
        <v>1844</v>
      </c>
      <c r="N53" s="13">
        <f>VLOOKUP(A53&amp;"EQ",BhavCopy_NSE_CM!A:U,21,0)</f>
        <v>1854</v>
      </c>
      <c r="O53" s="8">
        <f>B53-M53*10%</f>
        <v>1990.1</v>
      </c>
      <c r="P53" s="19">
        <f>B53-M53*20%</f>
        <v>1805.7</v>
      </c>
      <c r="Q53">
        <v>31</v>
      </c>
      <c r="R53" s="1" t="b">
        <f>M53&lt;I53</f>
        <v>1</v>
      </c>
    </row>
    <row r="54" spans="1:18">
      <c r="A54" t="s">
        <v>1586</v>
      </c>
      <c r="B54" s="27">
        <v>447.65</v>
      </c>
      <c r="C54" s="5">
        <v>205.12</v>
      </c>
      <c r="D54" s="5">
        <f>B54-C54</f>
        <v>242.52999999999997</v>
      </c>
      <c r="E54" s="1">
        <f>D54*13%+C54</f>
        <v>236.6489</v>
      </c>
      <c r="F54" s="2">
        <f>D54*21%+C54</f>
        <v>256.05129999999997</v>
      </c>
      <c r="G54" s="2">
        <f>D54*34%+C54</f>
        <v>287.58019999999999</v>
      </c>
      <c r="H54" s="1">
        <f>D54*55%+C54</f>
        <v>338.51150000000001</v>
      </c>
      <c r="I54" s="1">
        <f>D54*89%+C54</f>
        <v>420.97169999999994</v>
      </c>
      <c r="J54" s="7">
        <f>E54*144%+D54</f>
        <v>583.30441599999995</v>
      </c>
      <c r="L54" s="1">
        <f>(M54*100/C54)-100</f>
        <v>105.80635725429016</v>
      </c>
      <c r="M54" s="10">
        <f>VLOOKUP(A54&amp;"EQ",BhavCopy_NSE_CM!A:U,19,0)</f>
        <v>422.15</v>
      </c>
      <c r="N54" s="13">
        <f>VLOOKUP(A54&amp;"EQ",BhavCopy_NSE_CM!A:U,21,0)</f>
        <v>421.45</v>
      </c>
      <c r="O54" s="8">
        <f>B54-M54*10%</f>
        <v>405.43499999999995</v>
      </c>
      <c r="P54" s="19">
        <f>B54-M54*20%</f>
        <v>363.21999999999997</v>
      </c>
      <c r="Q54">
        <v>32</v>
      </c>
      <c r="R54" s="1" t="b">
        <f>M54&lt;I54</f>
        <v>0</v>
      </c>
    </row>
    <row r="55" spans="1:18">
      <c r="A55" t="s">
        <v>1615</v>
      </c>
      <c r="B55" s="27">
        <v>447.15</v>
      </c>
      <c r="C55" s="5">
        <v>331</v>
      </c>
      <c r="D55" s="5">
        <f>B55-C55</f>
        <v>116.14999999999998</v>
      </c>
      <c r="E55" s="1">
        <f>D55*13%+C55</f>
        <v>346.09949999999998</v>
      </c>
      <c r="F55" s="2">
        <f>D55*21%+C55</f>
        <v>355.39150000000001</v>
      </c>
      <c r="G55" s="2">
        <f>D55*34%+C55</f>
        <v>370.49099999999999</v>
      </c>
      <c r="H55" s="1">
        <f>D55*55%+C55</f>
        <v>394.88249999999999</v>
      </c>
      <c r="I55" s="1">
        <f>D55*89%+C55</f>
        <v>434.37349999999998</v>
      </c>
      <c r="J55" s="7">
        <f>E55*144%+D55</f>
        <v>614.53327999999988</v>
      </c>
      <c r="L55" s="1">
        <f>(M55*100/C55)-100</f>
        <v>18.51963746223565</v>
      </c>
      <c r="M55" s="10">
        <f>VLOOKUP(A55&amp;"EQ",BhavCopy_NSE_CM!A:U,19,0)</f>
        <v>392.3</v>
      </c>
      <c r="N55" s="13">
        <f>VLOOKUP(A55&amp;"EQ",BhavCopy_NSE_CM!A:U,21,0)</f>
        <v>391.4</v>
      </c>
      <c r="O55" s="8">
        <f>B55-M55*10%</f>
        <v>407.91999999999996</v>
      </c>
      <c r="P55" s="19">
        <f>B55-M55*20%</f>
        <v>368.68999999999994</v>
      </c>
      <c r="Q55">
        <v>33</v>
      </c>
      <c r="R55" s="1" t="b">
        <f>M55&lt;I55</f>
        <v>1</v>
      </c>
    </row>
    <row r="56" spans="1:18">
      <c r="A56" t="s">
        <v>1717</v>
      </c>
      <c r="B56" s="27">
        <v>2040</v>
      </c>
      <c r="C56" s="5">
        <v>1450</v>
      </c>
      <c r="D56" s="5">
        <f>B56-C56</f>
        <v>590</v>
      </c>
      <c r="E56" s="1">
        <f>D56*13%+C56</f>
        <v>1526.7</v>
      </c>
      <c r="F56" s="2">
        <f>D56*21%+C56</f>
        <v>1573.9</v>
      </c>
      <c r="G56" s="2">
        <f>D56*34%+C56</f>
        <v>1650.6</v>
      </c>
      <c r="H56" s="1">
        <f>D56*55%+C56</f>
        <v>1774.5</v>
      </c>
      <c r="I56" s="1">
        <f>D56*89%+C56</f>
        <v>1975.1</v>
      </c>
      <c r="J56" s="7">
        <f>E56*144%+D56</f>
        <v>2788.4479999999999</v>
      </c>
      <c r="L56" s="1">
        <f>(M56*100/C56)-100</f>
        <v>0.75172413793103487</v>
      </c>
      <c r="M56" s="10">
        <f>VLOOKUP(A56&amp;"EQ",BhavCopy_NSE_CM!A:U,19,0)</f>
        <v>1460.9</v>
      </c>
      <c r="N56" s="13">
        <f>VLOOKUP(A56&amp;"EQ",BhavCopy_NSE_CM!A:U,21,0)</f>
        <v>1496</v>
      </c>
      <c r="O56" s="8">
        <f>B56-M56*10%</f>
        <v>1893.91</v>
      </c>
      <c r="P56" s="19">
        <f>B56-M56*20%</f>
        <v>1747.82</v>
      </c>
      <c r="Q56">
        <v>34</v>
      </c>
      <c r="R56" s="1" t="b">
        <f>M56&lt;I56</f>
        <v>1</v>
      </c>
    </row>
    <row r="57" spans="1:18">
      <c r="A57" t="s">
        <v>1794</v>
      </c>
      <c r="B57" s="27">
        <v>50000</v>
      </c>
      <c r="C57" s="5">
        <v>28610</v>
      </c>
      <c r="D57" s="5">
        <f>B57-C57</f>
        <v>21390</v>
      </c>
      <c r="E57" s="1">
        <f>D57*13%+C57</f>
        <v>31390.7</v>
      </c>
      <c r="F57" s="2">
        <f>D57*21%+C57</f>
        <v>33101.9</v>
      </c>
      <c r="G57" s="2">
        <f>D57*34%+C57</f>
        <v>35882.6</v>
      </c>
      <c r="H57" s="1">
        <f>D57*55%+C57</f>
        <v>40374.5</v>
      </c>
      <c r="I57" s="1">
        <f>D57*89%+C57</f>
        <v>47647.1</v>
      </c>
      <c r="J57" s="7">
        <f>E57*144%+D57</f>
        <v>66592.608000000007</v>
      </c>
      <c r="L57" s="1">
        <f>(M57*100/C57)-100</f>
        <v>70.517301642782257</v>
      </c>
      <c r="M57" s="10">
        <f>VLOOKUP(A57&amp;"EQ",BhavCopy_NSE_CM!A:U,19,0)</f>
        <v>48785</v>
      </c>
      <c r="N57" s="13">
        <f>VLOOKUP(A57&amp;"EQ",BhavCopy_NSE_CM!A:U,21,0)</f>
        <v>48025</v>
      </c>
      <c r="O57" s="8">
        <f>B57-M57*10%</f>
        <v>45121.5</v>
      </c>
      <c r="P57" s="19">
        <f>B57-M57*20%</f>
        <v>40243</v>
      </c>
      <c r="Q57">
        <v>35</v>
      </c>
      <c r="R57" s="1" t="b">
        <f>M57&lt;I57</f>
        <v>0</v>
      </c>
    </row>
    <row r="58" spans="1:18">
      <c r="A58" t="s">
        <v>1562</v>
      </c>
      <c r="B58" s="27">
        <v>391.65</v>
      </c>
      <c r="C58" s="5">
        <v>266.60000000000002</v>
      </c>
      <c r="D58" s="5">
        <f>B58-C58</f>
        <v>125.04999999999995</v>
      </c>
      <c r="E58" s="1">
        <f>D58*13%+C58</f>
        <v>282.85650000000004</v>
      </c>
      <c r="F58" s="2">
        <f>D58*21%+C58</f>
        <v>292.8605</v>
      </c>
      <c r="G58" s="2">
        <f>D58*34%+C58</f>
        <v>309.11700000000002</v>
      </c>
      <c r="H58" s="1">
        <f>D58*55%+C58</f>
        <v>335.3775</v>
      </c>
      <c r="I58" s="1">
        <f>D58*89%+C58</f>
        <v>377.89449999999999</v>
      </c>
      <c r="J58" s="7">
        <f>E58*144%+D58</f>
        <v>532.36336000000006</v>
      </c>
      <c r="L58" s="1">
        <f>(M58*100/C58)-100</f>
        <v>13.972243060765194</v>
      </c>
      <c r="M58" s="10">
        <f>VLOOKUP(A58&amp;"EQ",BhavCopy_NSE_CM!A:U,19,0)</f>
        <v>303.85000000000002</v>
      </c>
      <c r="N58" s="13">
        <f>VLOOKUP(A58&amp;"EQ",BhavCopy_NSE_CM!A:U,21,0)</f>
        <v>312.89999999999998</v>
      </c>
      <c r="O58" s="8">
        <f>B58-M58*10%</f>
        <v>361.26499999999999</v>
      </c>
      <c r="P58" s="19">
        <f>B58-M58*20%</f>
        <v>330.88</v>
      </c>
      <c r="Q58">
        <v>36</v>
      </c>
      <c r="R58" s="1" t="b">
        <f>M58&lt;I58</f>
        <v>1</v>
      </c>
    </row>
    <row r="59" spans="1:18">
      <c r="A59" t="s">
        <v>1830</v>
      </c>
      <c r="B59" s="27">
        <v>6336</v>
      </c>
      <c r="C59" s="5">
        <v>5035</v>
      </c>
      <c r="D59" s="5">
        <f>B59-C59</f>
        <v>1301</v>
      </c>
      <c r="E59" s="1">
        <f>D59*13%+C59</f>
        <v>5204.13</v>
      </c>
      <c r="F59" s="2">
        <f>D59*21%+C59</f>
        <v>5308.21</v>
      </c>
      <c r="G59" s="2">
        <f>D59*34%+C59</f>
        <v>5477.34</v>
      </c>
      <c r="H59" s="1">
        <f>D59*55%+C59</f>
        <v>5750.55</v>
      </c>
      <c r="I59" s="1">
        <f>D59*89%+C59</f>
        <v>6192.89</v>
      </c>
      <c r="J59" s="7">
        <f>E59*144%+D59</f>
        <v>8794.9471999999987</v>
      </c>
      <c r="L59" s="1">
        <f>(M59*100/C59)-100</f>
        <v>0.57596822244289569</v>
      </c>
      <c r="M59" s="10">
        <f>VLOOKUP(A59&amp;"EQ",BhavCopy_NSE_CM!A:U,19,0)</f>
        <v>5064</v>
      </c>
      <c r="N59" s="13">
        <f>VLOOKUP(A59&amp;"EQ",BhavCopy_NSE_CM!A:U,21,0)</f>
        <v>5042.5</v>
      </c>
      <c r="O59" s="8">
        <f>B59-M59*10%</f>
        <v>5829.6</v>
      </c>
      <c r="P59" s="19">
        <f>B59-M59*20%</f>
        <v>5323.2</v>
      </c>
      <c r="Q59">
        <v>37</v>
      </c>
      <c r="R59" s="1" t="b">
        <f>M59&lt;I59</f>
        <v>1</v>
      </c>
    </row>
    <row r="60" spans="1:18">
      <c r="A60" t="s">
        <v>1839</v>
      </c>
      <c r="B60" s="27">
        <v>4446.8</v>
      </c>
      <c r="C60" s="5">
        <v>2021.5</v>
      </c>
      <c r="D60" s="5">
        <f>B60-C60</f>
        <v>2425.3000000000002</v>
      </c>
      <c r="E60" s="1">
        <f>D60*13%+C60</f>
        <v>2336.7890000000002</v>
      </c>
      <c r="F60" s="2">
        <f>D60*21%+C60</f>
        <v>2530.8130000000001</v>
      </c>
      <c r="G60" s="2">
        <f>D60*34%+C60</f>
        <v>2846.1019999999999</v>
      </c>
      <c r="H60" s="1">
        <f>D60*55%+C60</f>
        <v>3355.415</v>
      </c>
      <c r="I60" s="1">
        <f>D60*89%+C60</f>
        <v>4180.0169999999998</v>
      </c>
      <c r="J60" s="7">
        <f>E60*144%+D60</f>
        <v>5790.2761600000003</v>
      </c>
      <c r="L60" s="1">
        <f>(M60*100/C60)-100</f>
        <v>67.895127380657925</v>
      </c>
      <c r="M60" s="10">
        <f>VLOOKUP(A60&amp;"EQ",BhavCopy_NSE_CM!A:U,19,0)</f>
        <v>3394</v>
      </c>
      <c r="N60" s="13">
        <f>VLOOKUP(A60&amp;"EQ",BhavCopy_NSE_CM!A:U,21,0)</f>
        <v>3446.2</v>
      </c>
      <c r="O60" s="8">
        <f>B60-M60*10%</f>
        <v>4107.4000000000005</v>
      </c>
      <c r="P60" s="19">
        <f>B60-M60*20%</f>
        <v>3768</v>
      </c>
      <c r="Q60">
        <v>38</v>
      </c>
      <c r="R60" s="1" t="b">
        <f>M60&lt;I60</f>
        <v>1</v>
      </c>
    </row>
    <row r="61" spans="1:18">
      <c r="A61" t="s">
        <v>2160</v>
      </c>
      <c r="B61" s="27">
        <v>4289</v>
      </c>
      <c r="C61" s="5">
        <v>611.4</v>
      </c>
      <c r="D61" s="5">
        <f>B61-C61</f>
        <v>3677.6</v>
      </c>
      <c r="E61" s="1">
        <f>D61*13%+C61</f>
        <v>1089.4880000000001</v>
      </c>
      <c r="F61" s="2">
        <f>D61*21%+C61</f>
        <v>1383.6959999999999</v>
      </c>
      <c r="G61" s="2">
        <f>D61*34%+C61</f>
        <v>1861.7840000000001</v>
      </c>
      <c r="H61" s="1">
        <f>D61*55%+C61</f>
        <v>2634.08</v>
      </c>
      <c r="I61" s="1">
        <f>D61*89%+C61</f>
        <v>3884.4639999999999</v>
      </c>
      <c r="J61" s="7">
        <f>E61*144%+D61</f>
        <v>5246.4627199999995</v>
      </c>
      <c r="L61" s="1">
        <f>(M61*100/C61)-100</f>
        <v>19.316323192672556</v>
      </c>
      <c r="M61" s="10">
        <f>VLOOKUP(A61&amp;"EQ",BhavCopy_NSE_CM!A:U,19,0)</f>
        <v>729.5</v>
      </c>
      <c r="N61" s="13">
        <f>VLOOKUP(A61&amp;"EQ",BhavCopy_NSE_CM!A:U,21,0)</f>
        <v>736.5</v>
      </c>
      <c r="O61" s="8">
        <f>B61-M61*10%</f>
        <v>4216.05</v>
      </c>
      <c r="P61" s="19">
        <f>B61-M61*20%</f>
        <v>4143.1000000000004</v>
      </c>
      <c r="Q61">
        <v>39</v>
      </c>
      <c r="R61" s="1" t="b">
        <f>M61&lt;I61</f>
        <v>1</v>
      </c>
    </row>
    <row r="62" spans="1:18">
      <c r="A62" t="s">
        <v>1887</v>
      </c>
      <c r="B62" s="27">
        <v>162.88999999999999</v>
      </c>
      <c r="C62" s="5">
        <v>103.55</v>
      </c>
      <c r="D62" s="5">
        <f>B62-C62</f>
        <v>59.339999999999989</v>
      </c>
      <c r="E62" s="1">
        <f>D62*13%+C62</f>
        <v>111.2642</v>
      </c>
      <c r="F62" s="2">
        <f>D62*21%+C62</f>
        <v>116.01139999999999</v>
      </c>
      <c r="G62" s="2">
        <f>D62*34%+C62</f>
        <v>123.7256</v>
      </c>
      <c r="H62" s="1">
        <f>D62*55%+C62</f>
        <v>136.18699999999998</v>
      </c>
      <c r="I62" s="1">
        <f>D62*89%+C62</f>
        <v>156.36259999999999</v>
      </c>
      <c r="J62" s="7">
        <f>E62*144%+D62</f>
        <v>219.56044800000001</v>
      </c>
      <c r="L62" s="1">
        <f>(M62*100/C62)-100</f>
        <v>20.405601158860463</v>
      </c>
      <c r="M62" s="10">
        <f>VLOOKUP(A62&amp;"EQ",BhavCopy_NSE_CM!A:U,19,0)</f>
        <v>124.68</v>
      </c>
      <c r="N62" s="13">
        <f>VLOOKUP(A62&amp;"EQ",BhavCopy_NSE_CM!A:U,21,0)</f>
        <v>124</v>
      </c>
      <c r="O62" s="8">
        <f>B62-M62*10%</f>
        <v>150.422</v>
      </c>
      <c r="P62" s="19">
        <f>B62-M62*20%</f>
        <v>137.95399999999998</v>
      </c>
      <c r="Q62">
        <v>40</v>
      </c>
      <c r="R62" s="1" t="b">
        <f>M62&lt;I62</f>
        <v>1</v>
      </c>
    </row>
    <row r="63" spans="1:18">
      <c r="A63" t="s">
        <v>1986</v>
      </c>
      <c r="B63" s="27">
        <v>1753.9</v>
      </c>
      <c r="C63" s="5">
        <v>1116.3</v>
      </c>
      <c r="D63" s="5">
        <f>B63-C63</f>
        <v>637.60000000000014</v>
      </c>
      <c r="E63" s="1">
        <f>D63*13%+C63</f>
        <v>1199.1879999999999</v>
      </c>
      <c r="F63" s="2">
        <f>D63*21%+C63</f>
        <v>1250.1959999999999</v>
      </c>
      <c r="G63" s="2">
        <f>D63*34%+C63</f>
        <v>1333.0840000000001</v>
      </c>
      <c r="H63" s="1">
        <f>D63*55%+C63</f>
        <v>1466.98</v>
      </c>
      <c r="I63" s="1">
        <f>D63*89%+C63</f>
        <v>1683.7640000000001</v>
      </c>
      <c r="J63" s="7">
        <f>E63*144%+D63</f>
        <v>2364.4307199999998</v>
      </c>
      <c r="L63" s="1">
        <f>(M63*100/C63)-100</f>
        <v>25.414315148257643</v>
      </c>
      <c r="M63" s="10">
        <f>VLOOKUP(A63&amp;"EQ",BhavCopy_NSE_CM!A:U,19,0)</f>
        <v>1400</v>
      </c>
      <c r="N63" s="13">
        <f>VLOOKUP(A63&amp;"EQ",BhavCopy_NSE_CM!A:U,21,0)</f>
        <v>1414.9</v>
      </c>
      <c r="O63" s="8">
        <f>B63-M63*10%</f>
        <v>1613.9</v>
      </c>
      <c r="P63" s="19">
        <f>B63-M63*20%</f>
        <v>1473.9</v>
      </c>
      <c r="Q63">
        <v>41</v>
      </c>
      <c r="R63" s="1" t="b">
        <f>M63&lt;I63</f>
        <v>1</v>
      </c>
    </row>
    <row r="64" spans="1:18">
      <c r="A64" t="s">
        <v>2016</v>
      </c>
      <c r="B64" s="27">
        <v>980.9</v>
      </c>
      <c r="C64" s="5">
        <v>525.5</v>
      </c>
      <c r="D64" s="5">
        <f>B64-C64</f>
        <v>455.4</v>
      </c>
      <c r="E64" s="1">
        <f>D64*13%+C64</f>
        <v>584.702</v>
      </c>
      <c r="F64" s="2">
        <f>D64*21%+C64</f>
        <v>621.13400000000001</v>
      </c>
      <c r="G64" s="2">
        <f>D64*34%+C64</f>
        <v>680.33600000000001</v>
      </c>
      <c r="H64" s="1">
        <f>D64*55%+C64</f>
        <v>775.97</v>
      </c>
      <c r="I64" s="1">
        <f>D64*89%+C64</f>
        <v>930.80600000000004</v>
      </c>
      <c r="J64" s="7">
        <f>E64*144%+D64</f>
        <v>1297.3708799999999</v>
      </c>
      <c r="L64" s="1">
        <f>(M64*100/C64)-100</f>
        <v>73.301617507136058</v>
      </c>
      <c r="M64" s="10">
        <f>VLOOKUP(A64&amp;"EQ",BhavCopy_NSE_CM!A:U,19,0)</f>
        <v>910.7</v>
      </c>
      <c r="N64" s="13">
        <f>VLOOKUP(A64&amp;"EQ",BhavCopy_NSE_CM!A:U,21,0)</f>
        <v>895</v>
      </c>
      <c r="O64" s="8">
        <f>B64-M64*10%</f>
        <v>889.82999999999993</v>
      </c>
      <c r="P64" s="19">
        <f>B64-M64*20%</f>
        <v>798.76</v>
      </c>
      <c r="Q64">
        <v>42</v>
      </c>
      <c r="R64" s="1" t="b">
        <f>M64&lt;I64</f>
        <v>1</v>
      </c>
    </row>
    <row r="65" spans="1:18">
      <c r="A65" t="s">
        <v>2076</v>
      </c>
      <c r="B65" s="27">
        <v>1940</v>
      </c>
      <c r="C65" s="5">
        <v>1299.4000000000001</v>
      </c>
      <c r="D65" s="5">
        <f>B65-C65</f>
        <v>640.59999999999991</v>
      </c>
      <c r="E65" s="1">
        <f>D65*13%+C65</f>
        <v>1382.6780000000001</v>
      </c>
      <c r="F65" s="2">
        <f>D65*21%+C65</f>
        <v>1433.9260000000002</v>
      </c>
      <c r="G65" s="2">
        <f>D65*34%+C65</f>
        <v>1517.2040000000002</v>
      </c>
      <c r="H65" s="1">
        <f>D65*55%+C65</f>
        <v>1651.73</v>
      </c>
      <c r="I65" s="1">
        <f>D65*89%+C65</f>
        <v>1869.5340000000001</v>
      </c>
      <c r="J65" s="7">
        <f>E65*144%+D65</f>
        <v>2631.6563200000001</v>
      </c>
      <c r="L65" s="1">
        <f>(M65*100/C65)-100</f>
        <v>40.326304448206855</v>
      </c>
      <c r="M65" s="10">
        <f>VLOOKUP(A65&amp;"EQ",BhavCopy_NSE_CM!A:U,19,0)</f>
        <v>1823.4</v>
      </c>
      <c r="N65" s="13">
        <f>VLOOKUP(A65&amp;"EQ",BhavCopy_NSE_CM!A:U,21,0)</f>
        <v>1848.2</v>
      </c>
      <c r="O65" s="8">
        <f>B65-M65*10%</f>
        <v>1757.6599999999999</v>
      </c>
      <c r="P65" s="19">
        <f>B65-M65*20%</f>
        <v>1575.32</v>
      </c>
      <c r="Q65">
        <v>43</v>
      </c>
      <c r="R65" s="1" t="b">
        <f>M65&lt;I65</f>
        <v>1</v>
      </c>
    </row>
    <row r="66" spans="1:18">
      <c r="A66" t="s">
        <v>2088</v>
      </c>
      <c r="B66" s="27">
        <v>1673</v>
      </c>
      <c r="C66" s="5">
        <v>1165.7</v>
      </c>
      <c r="D66" s="5">
        <f>B66-C66</f>
        <v>507.29999999999995</v>
      </c>
      <c r="E66" s="1">
        <f>D66*13%+C66</f>
        <v>1231.6490000000001</v>
      </c>
      <c r="F66" s="2">
        <f>D66*21%+C66</f>
        <v>1272.2329999999999</v>
      </c>
      <c r="G66" s="2">
        <f>D66*34%+C66</f>
        <v>1338.182</v>
      </c>
      <c r="H66" s="1">
        <f>D66*55%+C66</f>
        <v>1444.7150000000001</v>
      </c>
      <c r="I66" s="1">
        <f>D66*89%+C66</f>
        <v>1617.1970000000001</v>
      </c>
      <c r="J66" s="7">
        <f>E66*144%+D66</f>
        <v>2280.8745600000002</v>
      </c>
      <c r="L66" s="1">
        <f>(M66*100/C66)-100</f>
        <v>18.726945183151756</v>
      </c>
      <c r="M66" s="10">
        <f>VLOOKUP(A66&amp;"EQ",BhavCopy_NSE_CM!A:U,19,0)</f>
        <v>1384</v>
      </c>
      <c r="N66" s="13">
        <f>VLOOKUP(A66&amp;"EQ",BhavCopy_NSE_CM!A:U,21,0)</f>
        <v>1395</v>
      </c>
      <c r="O66" s="8">
        <f>B66-M66*10%</f>
        <v>1534.6</v>
      </c>
      <c r="P66" s="19">
        <f>B66-M66*20%</f>
        <v>1396.2</v>
      </c>
      <c r="Q66">
        <v>44</v>
      </c>
      <c r="R66" s="1" t="b">
        <f>M66&lt;I66</f>
        <v>1</v>
      </c>
    </row>
    <row r="67" spans="1:18">
      <c r="A67" t="s">
        <v>2121</v>
      </c>
      <c r="B67" s="27">
        <v>491.25</v>
      </c>
      <c r="C67" s="5">
        <v>368.65</v>
      </c>
      <c r="D67" s="5">
        <f>B67-C67</f>
        <v>122.60000000000002</v>
      </c>
      <c r="E67" s="1">
        <f>D67*13%+C67</f>
        <v>384.58799999999997</v>
      </c>
      <c r="F67" s="2">
        <f>D67*21%+C67</f>
        <v>394.39599999999996</v>
      </c>
      <c r="G67" s="2">
        <f>D67*34%+C67</f>
        <v>410.334</v>
      </c>
      <c r="H67" s="1">
        <f>D67*55%+C67</f>
        <v>436.08</v>
      </c>
      <c r="I67" s="1">
        <f>D67*89%+C67</f>
        <v>477.76400000000001</v>
      </c>
      <c r="J67" s="7">
        <f>E67*144%+D67</f>
        <v>676.40671999999995</v>
      </c>
      <c r="L67" s="1">
        <f>(M67*100/C67)-100</f>
        <v>13.997016139970171</v>
      </c>
      <c r="M67" s="10">
        <f>VLOOKUP(A67&amp;"EQ",BhavCopy_NSE_CM!A:U,19,0)</f>
        <v>420.25</v>
      </c>
      <c r="N67" s="13">
        <f>VLOOKUP(A67&amp;"EQ",BhavCopy_NSE_CM!A:U,21,0)</f>
        <v>418.85</v>
      </c>
      <c r="O67" s="8">
        <f>B67-M67*10%</f>
        <v>449.22500000000002</v>
      </c>
      <c r="P67" s="19">
        <f>B67-M67*20%</f>
        <v>407.2</v>
      </c>
      <c r="Q67">
        <v>45</v>
      </c>
      <c r="R67" s="1" t="b">
        <f>M67&lt;I67</f>
        <v>1</v>
      </c>
    </row>
    <row r="68" spans="1:18">
      <c r="A68" t="s">
        <v>2127</v>
      </c>
      <c r="B68" s="27">
        <v>1979.9</v>
      </c>
      <c r="C68" s="5">
        <v>1187</v>
      </c>
      <c r="D68" s="5">
        <f>B68-C68</f>
        <v>792.90000000000009</v>
      </c>
      <c r="E68" s="1">
        <f>D68*13%+C68</f>
        <v>1290.077</v>
      </c>
      <c r="F68" s="2">
        <f>D68*21%+C68</f>
        <v>1353.509</v>
      </c>
      <c r="G68" s="2">
        <f>D68*34%+C68</f>
        <v>1456.586</v>
      </c>
      <c r="H68" s="1">
        <f>D68*55%+C68</f>
        <v>1623.095</v>
      </c>
      <c r="I68" s="1">
        <f>D68*89%+C68</f>
        <v>1892.681</v>
      </c>
      <c r="J68" s="7">
        <f>E68*144%+D68</f>
        <v>2650.6108800000002</v>
      </c>
      <c r="L68" s="1">
        <f>(M68*100/C68)-100</f>
        <v>28.744734625105309</v>
      </c>
      <c r="M68" s="10">
        <f>VLOOKUP(A68&amp;"EQ",BhavCopy_NSE_CM!A:U,19,0)</f>
        <v>1528.2</v>
      </c>
      <c r="N68" s="13">
        <f>VLOOKUP(A68&amp;"EQ",BhavCopy_NSE_CM!A:U,21,0)</f>
        <v>1506.4</v>
      </c>
      <c r="O68" s="8">
        <f>B68-M68*10%</f>
        <v>1827.0800000000002</v>
      </c>
      <c r="P68" s="19">
        <f>B68-M68*20%</f>
        <v>1674.26</v>
      </c>
      <c r="Q68">
        <v>46</v>
      </c>
      <c r="R68" s="1" t="b">
        <f>M68&lt;I68</f>
        <v>1</v>
      </c>
    </row>
    <row r="69" spans="1:18">
      <c r="A69" t="s">
        <v>2133</v>
      </c>
      <c r="B69" s="27">
        <v>2014.6</v>
      </c>
      <c r="C69" s="5">
        <v>1008.1</v>
      </c>
      <c r="D69" s="5">
        <f>B69-C69</f>
        <v>1006.4999999999999</v>
      </c>
      <c r="E69" s="1">
        <f>D69*13%+C69</f>
        <v>1138.9449999999999</v>
      </c>
      <c r="F69" s="2">
        <f>D69*21%+C69</f>
        <v>1219.4649999999999</v>
      </c>
      <c r="G69" s="2">
        <f>D69*34%+C69</f>
        <v>1350.31</v>
      </c>
      <c r="H69" s="1">
        <f>D69*55%+C69</f>
        <v>1561.675</v>
      </c>
      <c r="I69" s="1">
        <f>D69*89%+C69</f>
        <v>1903.885</v>
      </c>
      <c r="J69" s="7">
        <f>E69*144%+D69</f>
        <v>2646.5807999999997</v>
      </c>
      <c r="L69" s="1">
        <f>(M69*100/C69)-100</f>
        <v>93.433191151671451</v>
      </c>
      <c r="M69" s="10">
        <f>VLOOKUP(A69&amp;"EQ",BhavCopy_NSE_CM!A:U,19,0)</f>
        <v>1950</v>
      </c>
      <c r="N69" s="13">
        <f>VLOOKUP(A69&amp;"EQ",BhavCopy_NSE_CM!A:U,21,0)</f>
        <v>1935</v>
      </c>
      <c r="O69" s="8">
        <f>B69-M69*10%</f>
        <v>1819.6</v>
      </c>
      <c r="P69" s="19">
        <f>B69-M69*20%</f>
        <v>1624.6</v>
      </c>
      <c r="Q69">
        <v>47</v>
      </c>
      <c r="R69" s="1" t="b">
        <f>M69&lt;I69</f>
        <v>0</v>
      </c>
    </row>
    <row r="70" spans="1:18">
      <c r="A70" t="s">
        <v>2139</v>
      </c>
      <c r="B70" s="27">
        <v>2504</v>
      </c>
      <c r="C70" s="5">
        <v>1782</v>
      </c>
      <c r="D70" s="5">
        <f>B70-C70</f>
        <v>722</v>
      </c>
      <c r="E70" s="1">
        <f>D70*13%+C70</f>
        <v>1875.86</v>
      </c>
      <c r="F70" s="2">
        <f>D70*21%+C70</f>
        <v>1933.62</v>
      </c>
      <c r="G70" s="2">
        <f>D70*34%+C70</f>
        <v>2027.48</v>
      </c>
      <c r="H70" s="1">
        <f>D70*55%+C70</f>
        <v>2179.1</v>
      </c>
      <c r="I70" s="1">
        <f>D70*89%+C70</f>
        <v>2424.58</v>
      </c>
      <c r="J70" s="7">
        <f>E70*144%+D70</f>
        <v>3423.2383999999997</v>
      </c>
      <c r="L70" s="1">
        <f>(M70*100/C70)-100</f>
        <v>2.126823793490459</v>
      </c>
      <c r="M70" s="10">
        <f>VLOOKUP(A70&amp;"EQ",BhavCopy_NSE_CM!A:U,19,0)</f>
        <v>1819.9</v>
      </c>
      <c r="N70" s="13">
        <f>VLOOKUP(A70&amp;"EQ",BhavCopy_NSE_CM!A:U,21,0)</f>
        <v>1813.5</v>
      </c>
      <c r="O70" s="8">
        <f>B70-M70*10%</f>
        <v>2322.0100000000002</v>
      </c>
      <c r="P70" s="19">
        <f>B70-M70*20%</f>
        <v>2140.02</v>
      </c>
      <c r="Q70">
        <v>48</v>
      </c>
      <c r="R70" s="1" t="b">
        <f>M70&lt;I70</f>
        <v>1</v>
      </c>
    </row>
    <row r="71" spans="1:18">
      <c r="A71" t="s">
        <v>2184</v>
      </c>
      <c r="B71" s="27">
        <v>625</v>
      </c>
      <c r="C71" s="5">
        <v>421.45</v>
      </c>
      <c r="D71" s="5">
        <f>B71-C71</f>
        <v>203.55</v>
      </c>
      <c r="E71" s="1">
        <f>D71*13%+C71</f>
        <v>447.91149999999999</v>
      </c>
      <c r="F71" s="2">
        <f>D71*21%+C71</f>
        <v>464.19549999999998</v>
      </c>
      <c r="G71" s="2">
        <f>D71*34%+C71</f>
        <v>490.65699999999998</v>
      </c>
      <c r="H71" s="1">
        <f>D71*55%+C71</f>
        <v>533.40250000000003</v>
      </c>
      <c r="I71" s="1">
        <f>D71*89%+C71</f>
        <v>602.60950000000003</v>
      </c>
      <c r="J71" s="7">
        <f>E71*144%+D71</f>
        <v>848.54255999999987</v>
      </c>
      <c r="L71" s="1">
        <f>(M71*100/C71)-100</f>
        <v>19.112587495551082</v>
      </c>
      <c r="M71" s="10">
        <f>VLOOKUP(A71&amp;"EQ",BhavCopy_NSE_CM!A:U,19,0)</f>
        <v>502</v>
      </c>
      <c r="N71" s="13">
        <f>VLOOKUP(A71&amp;"EQ",BhavCopy_NSE_CM!A:U,21,0)</f>
        <v>503.9</v>
      </c>
      <c r="O71" s="8">
        <f>B71-M71*10%</f>
        <v>574.79999999999995</v>
      </c>
      <c r="P71" s="19">
        <f>B71-M71*20%</f>
        <v>524.6</v>
      </c>
      <c r="Q71">
        <v>49</v>
      </c>
      <c r="R71" s="1" t="b">
        <f>M71&lt;I71</f>
        <v>1</v>
      </c>
    </row>
    <row r="72" spans="1:18">
      <c r="A72" t="s">
        <v>2259</v>
      </c>
      <c r="B72" s="27">
        <v>353.25</v>
      </c>
      <c r="C72" s="5">
        <v>217.4</v>
      </c>
      <c r="D72" s="5">
        <f>B72-C72</f>
        <v>135.85</v>
      </c>
      <c r="E72" s="1">
        <f>D72*13%+C72</f>
        <v>235.06049999999999</v>
      </c>
      <c r="F72" s="2">
        <f>D72*21%+C72</f>
        <v>245.92850000000001</v>
      </c>
      <c r="G72" s="2">
        <f>D72*34%+C72</f>
        <v>263.589</v>
      </c>
      <c r="H72" s="1">
        <f>D72*55%+C72</f>
        <v>292.11750000000001</v>
      </c>
      <c r="I72" s="1">
        <f>D72*89%+C72</f>
        <v>338.30650000000003</v>
      </c>
      <c r="J72" s="7">
        <f>E72*144%+D72</f>
        <v>474.33711999999991</v>
      </c>
      <c r="L72" s="1">
        <f>(M72*100/C72)-100</f>
        <v>6.6697332106715663</v>
      </c>
      <c r="M72" s="10">
        <f>VLOOKUP(A72&amp;"EQ",BhavCopy_NSE_CM!A:U,19,0)</f>
        <v>231.9</v>
      </c>
      <c r="N72" s="13">
        <f>VLOOKUP(A72&amp;"EQ",BhavCopy_NSE_CM!A:U,21,0)</f>
        <v>231.02</v>
      </c>
      <c r="O72" s="8">
        <f>B72-M72*10%</f>
        <v>330.06</v>
      </c>
      <c r="P72" s="19">
        <f>B72-M72*20%</f>
        <v>306.87</v>
      </c>
      <c r="Q72">
        <v>50</v>
      </c>
      <c r="R72" s="1" t="b">
        <f>M72&lt;I72</f>
        <v>1</v>
      </c>
    </row>
    <row r="73" spans="1:18">
      <c r="A73" t="s">
        <v>2280</v>
      </c>
      <c r="B73" s="27">
        <v>6100</v>
      </c>
      <c r="C73" s="5">
        <v>3465</v>
      </c>
      <c r="D73" s="5">
        <f>B73-C73</f>
        <v>2635</v>
      </c>
      <c r="E73" s="1">
        <f>D73*13%+C73</f>
        <v>3807.55</v>
      </c>
      <c r="F73" s="2">
        <f>D73*21%+C73</f>
        <v>4018.35</v>
      </c>
      <c r="G73" s="2">
        <f>D73*34%+C73</f>
        <v>4360.8999999999996</v>
      </c>
      <c r="H73" s="1">
        <f>D73*55%+C73</f>
        <v>4914.25</v>
      </c>
      <c r="I73" s="1">
        <f>D73*89%+C73</f>
        <v>5810.15</v>
      </c>
      <c r="J73" s="7">
        <f>E73*144%+D73</f>
        <v>8117.8720000000003</v>
      </c>
      <c r="L73" s="1">
        <f>(M73*100/C73)-100</f>
        <v>45.454545454545467</v>
      </c>
      <c r="M73" s="10">
        <f>VLOOKUP(A73&amp;"EQ",BhavCopy_NSE_CM!A:U,19,0)</f>
        <v>5040</v>
      </c>
      <c r="N73" s="13">
        <f>VLOOKUP(A73&amp;"EQ",BhavCopy_NSE_CM!A:U,21,0)</f>
        <v>5030</v>
      </c>
      <c r="O73" s="8">
        <f>B73-M73*10%</f>
        <v>5596</v>
      </c>
      <c r="P73" s="19">
        <f>B73-M73*20%</f>
        <v>5092</v>
      </c>
      <c r="Q73">
        <v>51</v>
      </c>
      <c r="R73" s="1" t="b">
        <f>M73&lt;I73</f>
        <v>1</v>
      </c>
    </row>
    <row r="74" spans="1:18">
      <c r="A74" t="s">
        <v>2325</v>
      </c>
      <c r="B74" s="27">
        <v>577</v>
      </c>
      <c r="C74" s="5">
        <v>375</v>
      </c>
      <c r="D74" s="5">
        <f>B74-C74</f>
        <v>202</v>
      </c>
      <c r="E74" s="1">
        <f>D74*13%+C74</f>
        <v>401.26</v>
      </c>
      <c r="F74" s="2">
        <f>D74*21%+C74</f>
        <v>417.42</v>
      </c>
      <c r="G74" s="2">
        <f>D74*34%+C74</f>
        <v>443.68</v>
      </c>
      <c r="H74" s="1">
        <f>D74*55%+C74</f>
        <v>486.1</v>
      </c>
      <c r="I74" s="1">
        <f>D74*89%+C74</f>
        <v>554.78</v>
      </c>
      <c r="J74" s="7">
        <f>E74*144%+D74</f>
        <v>779.81439999999998</v>
      </c>
      <c r="L74" s="1">
        <f>(M74*100/C74)-100</f>
        <v>0</v>
      </c>
      <c r="M74" s="10">
        <f>VLOOKUP(A74&amp;"EQ",BhavCopy_NSE_CM!A:U,19,0)</f>
        <v>375</v>
      </c>
      <c r="N74" s="13">
        <f>VLOOKUP(A74&amp;"EQ",BhavCopy_NSE_CM!A:U,21,0)</f>
        <v>375.5</v>
      </c>
      <c r="O74" s="8">
        <f>B74-M74*10%</f>
        <v>539.5</v>
      </c>
      <c r="P74" s="19">
        <f>B74-M74*20%</f>
        <v>502</v>
      </c>
      <c r="Q74">
        <v>52</v>
      </c>
      <c r="R74" s="1" t="b">
        <f>M74&lt;I74</f>
        <v>1</v>
      </c>
    </row>
    <row r="75" spans="1:18">
      <c r="A75" t="s">
        <v>2331</v>
      </c>
      <c r="B75" s="27">
        <v>2496.3000000000002</v>
      </c>
      <c r="C75" s="5">
        <v>1605</v>
      </c>
      <c r="D75" s="5">
        <f>B75-C75</f>
        <v>891.30000000000018</v>
      </c>
      <c r="E75" s="1">
        <f>D75*13%+C75</f>
        <v>1720.8690000000001</v>
      </c>
      <c r="F75" s="2">
        <f>D75*21%+C75</f>
        <v>1792.173</v>
      </c>
      <c r="G75" s="2">
        <f>D75*34%+C75</f>
        <v>1908.0420000000001</v>
      </c>
      <c r="H75" s="1">
        <f>D75*55%+C75</f>
        <v>2095.2150000000001</v>
      </c>
      <c r="I75" s="1">
        <f>D75*89%+C75</f>
        <v>2398.2570000000001</v>
      </c>
      <c r="J75" s="7">
        <f>E75*144%+D75</f>
        <v>3369.3513600000001</v>
      </c>
      <c r="L75" s="1">
        <f>(M75*100/C75)-100</f>
        <v>5.9501557632398772</v>
      </c>
      <c r="M75" s="10">
        <f>VLOOKUP(A75&amp;"EQ",BhavCopy_NSE_CM!A:U,19,0)</f>
        <v>1700.5</v>
      </c>
      <c r="N75" s="13">
        <f>VLOOKUP(A75&amp;"EQ",BhavCopy_NSE_CM!A:U,21,0)</f>
        <v>1713.9</v>
      </c>
      <c r="O75" s="8">
        <f>B75-M75*10%</f>
        <v>2326.25</v>
      </c>
      <c r="P75" s="19">
        <f>B75-M75*20%</f>
        <v>2156.2000000000003</v>
      </c>
      <c r="Q75">
        <v>53</v>
      </c>
      <c r="R75" s="1" t="b">
        <f>M75&lt;I75</f>
        <v>1</v>
      </c>
    </row>
    <row r="76" spans="1:18">
      <c r="A76" t="s">
        <v>2448</v>
      </c>
      <c r="B76" s="27">
        <v>524</v>
      </c>
      <c r="C76" s="5">
        <v>374.45</v>
      </c>
      <c r="D76" s="5">
        <f>B76-C76</f>
        <v>149.55000000000001</v>
      </c>
      <c r="E76" s="1">
        <f>D76*13%+C76</f>
        <v>393.89150000000001</v>
      </c>
      <c r="F76" s="2">
        <f>D76*21%+C76</f>
        <v>405.85550000000001</v>
      </c>
      <c r="G76" s="2">
        <f>D76*34%+C76</f>
        <v>425.29700000000003</v>
      </c>
      <c r="H76" s="1">
        <f>D76*55%+C76</f>
        <v>456.70249999999999</v>
      </c>
      <c r="I76" s="1">
        <f>D76*89%+C76</f>
        <v>507.54949999999997</v>
      </c>
      <c r="J76" s="7">
        <f>E76*144%+D76</f>
        <v>716.75376000000006</v>
      </c>
      <c r="L76" s="1">
        <f>(M76*100/C76)-100</f>
        <v>21.484844438509825</v>
      </c>
      <c r="M76" s="10">
        <f>VLOOKUP(A76&amp;"EQ",BhavCopy_NSE_CM!A:U,19,0)</f>
        <v>454.9</v>
      </c>
      <c r="N76" s="13">
        <f>VLOOKUP(A76&amp;"EQ",BhavCopy_NSE_CM!A:U,21,0)</f>
        <v>453.8</v>
      </c>
      <c r="O76" s="8">
        <f>B76-M76*10%</f>
        <v>478.51</v>
      </c>
      <c r="P76" s="19">
        <f>B76-M76*20%</f>
        <v>433.02</v>
      </c>
      <c r="Q76">
        <v>54</v>
      </c>
      <c r="R76" s="1" t="b">
        <f>M76&lt;I76</f>
        <v>1</v>
      </c>
    </row>
    <row r="77" spans="1:18">
      <c r="A77" t="s">
        <v>2580</v>
      </c>
      <c r="B77" s="27">
        <v>9575</v>
      </c>
      <c r="C77" s="5">
        <v>5636.5</v>
      </c>
      <c r="D77" s="5">
        <f>B77-C77</f>
        <v>3938.5</v>
      </c>
      <c r="E77" s="1">
        <f>D77*13%+C77</f>
        <v>6148.5050000000001</v>
      </c>
      <c r="F77" s="2">
        <f>D77*21%+C77</f>
        <v>6463.585</v>
      </c>
      <c r="G77" s="2">
        <f>D77*34%+C77</f>
        <v>6975.59</v>
      </c>
      <c r="H77" s="1">
        <f>D77*55%+C77</f>
        <v>7802.6750000000002</v>
      </c>
      <c r="I77" s="1">
        <f>D77*89%+C77</f>
        <v>9141.7649999999994</v>
      </c>
      <c r="J77" s="7">
        <f>E77*144%+D77</f>
        <v>12792.3472</v>
      </c>
      <c r="L77" s="1">
        <f>(M77*100/C77)-100</f>
        <v>69.874922380910135</v>
      </c>
      <c r="M77" s="10">
        <f>VLOOKUP(A77&amp;"EQ",BhavCopy_NSE_CM!A:U,19,0)</f>
        <v>9575</v>
      </c>
      <c r="N77" s="13">
        <f>VLOOKUP(A77&amp;"EQ",BhavCopy_NSE_CM!A:U,21,0)</f>
        <v>9315</v>
      </c>
      <c r="O77" s="8">
        <f>B77-M77*10%</f>
        <v>8617.5</v>
      </c>
      <c r="P77" s="19">
        <f>B77-M77*20%</f>
        <v>7660</v>
      </c>
      <c r="Q77">
        <v>55</v>
      </c>
      <c r="R77" s="1" t="b">
        <f>M77&lt;I77</f>
        <v>0</v>
      </c>
    </row>
    <row r="78" spans="1:18">
      <c r="A78" t="s">
        <v>2592</v>
      </c>
      <c r="B78" s="27">
        <v>18471</v>
      </c>
      <c r="C78" s="5">
        <v>9600</v>
      </c>
      <c r="D78" s="5">
        <f>B78-C78</f>
        <v>8871</v>
      </c>
      <c r="E78" s="1">
        <f>D78*13%+C78</f>
        <v>10753.23</v>
      </c>
      <c r="F78" s="2">
        <f>D78*21%+C78</f>
        <v>11462.91</v>
      </c>
      <c r="G78" s="2">
        <f>D78*34%+C78</f>
        <v>12616.14</v>
      </c>
      <c r="H78" s="1">
        <f>D78*55%+C78</f>
        <v>14479.05</v>
      </c>
      <c r="I78" s="1">
        <f>D78*89%+C78</f>
        <v>17495.190000000002</v>
      </c>
      <c r="J78" s="7">
        <f>E78*144%+D78</f>
        <v>24355.6512</v>
      </c>
      <c r="L78" s="1">
        <f>(M78*100/C78)-100</f>
        <v>46.875</v>
      </c>
      <c r="M78" s="10">
        <f>VLOOKUP(A78&amp;"EQ",BhavCopy_NSE_CM!A:U,19,0)</f>
        <v>14100</v>
      </c>
      <c r="N78" s="13">
        <f>VLOOKUP(A78&amp;"EQ",BhavCopy_NSE_CM!A:U,21,0)</f>
        <v>14180</v>
      </c>
      <c r="O78" s="8">
        <f>B78-M78*10%</f>
        <v>17061</v>
      </c>
      <c r="P78" s="19">
        <f>B78-M78*20%</f>
        <v>15651</v>
      </c>
      <c r="Q78">
        <v>56</v>
      </c>
      <c r="R78" s="1" t="b">
        <f>M78&lt;I78</f>
        <v>1</v>
      </c>
    </row>
    <row r="79" spans="1:18">
      <c r="A79" t="s">
        <v>2598</v>
      </c>
      <c r="B79" s="27">
        <v>856.45</v>
      </c>
      <c r="C79" s="5">
        <v>489.4</v>
      </c>
      <c r="D79" s="5">
        <f>B79-C79</f>
        <v>367.05000000000007</v>
      </c>
      <c r="E79" s="1">
        <f>D79*13%+C79</f>
        <v>537.11649999999997</v>
      </c>
      <c r="F79" s="2">
        <f>D79*21%+C79</f>
        <v>566.48050000000001</v>
      </c>
      <c r="G79" s="2">
        <f>D79*34%+C79</f>
        <v>614.197</v>
      </c>
      <c r="H79" s="1">
        <f>D79*55%+C79</f>
        <v>691.27750000000003</v>
      </c>
      <c r="I79" s="1">
        <f>D79*89%+C79</f>
        <v>816.07450000000006</v>
      </c>
      <c r="J79" s="7">
        <f>E79*144%+D79</f>
        <v>1140.49776</v>
      </c>
      <c r="L79" s="1">
        <f>(M79*100/C79)-100</f>
        <v>37.944421740907245</v>
      </c>
      <c r="M79" s="10">
        <f>VLOOKUP(A79&amp;"EQ",BhavCopy_NSE_CM!A:U,19,0)</f>
        <v>675.1</v>
      </c>
      <c r="N79" s="13">
        <f>VLOOKUP(A79&amp;"EQ",BhavCopy_NSE_CM!A:U,21,0)</f>
        <v>672.7</v>
      </c>
      <c r="O79" s="8">
        <f>B79-M79*10%</f>
        <v>788.94</v>
      </c>
      <c r="P79" s="19">
        <f>B79-M79*20%</f>
        <v>721.43000000000006</v>
      </c>
      <c r="Q79">
        <v>57</v>
      </c>
      <c r="R79" s="1" t="b">
        <f>M79&lt;I79</f>
        <v>1</v>
      </c>
    </row>
    <row r="80" spans="1:18">
      <c r="A80" t="s">
        <v>1186</v>
      </c>
      <c r="B80" s="27">
        <v>4949.5</v>
      </c>
      <c r="C80" s="5">
        <v>3529</v>
      </c>
      <c r="D80" s="5">
        <f>B80-C80</f>
        <v>1420.5</v>
      </c>
      <c r="E80" s="1">
        <f>D80*13%+C80</f>
        <v>3713.665</v>
      </c>
      <c r="F80" s="2">
        <f>D80*21%+C80</f>
        <v>3827.3049999999998</v>
      </c>
      <c r="G80" s="2">
        <f>D80*34%+C80</f>
        <v>4011.9700000000003</v>
      </c>
      <c r="H80" s="1">
        <f>D80*55%+C80</f>
        <v>4310.2749999999996</v>
      </c>
      <c r="I80" s="1">
        <f>D80*89%+C80</f>
        <v>4793.2449999999999</v>
      </c>
      <c r="J80" s="7">
        <f>E80*144%+D80</f>
        <v>6768.1776</v>
      </c>
      <c r="L80" s="1">
        <f>(M80*100/C80)-100</f>
        <v>5.4179654293000823</v>
      </c>
      <c r="M80" s="10">
        <f>VLOOKUP(A80&amp;"EQ",BhavCopy_NSE_CM!A:U,19,0)</f>
        <v>3720.2</v>
      </c>
      <c r="N80" s="13">
        <f>VLOOKUP(A80&amp;"EQ",BhavCopy_NSE_CM!A:U,21,0)</f>
        <v>3710</v>
      </c>
      <c r="O80" s="8">
        <f>B80-M80*10%</f>
        <v>4577.4799999999996</v>
      </c>
      <c r="P80" s="19">
        <f>B80-M80*20%</f>
        <v>4205.46</v>
      </c>
      <c r="Q80">
        <v>58</v>
      </c>
      <c r="R80" s="1" t="b">
        <f>M80&lt;I80</f>
        <v>1</v>
      </c>
    </row>
    <row r="81" spans="1:18">
      <c r="A81" t="s">
        <v>2637</v>
      </c>
      <c r="B81" s="27">
        <v>1414.9</v>
      </c>
      <c r="C81" s="5">
        <v>1135.5999999999999</v>
      </c>
      <c r="D81" s="5">
        <f>B81-C81</f>
        <v>279.30000000000018</v>
      </c>
      <c r="E81" s="1">
        <f>D81*13%+C81</f>
        <v>1171.9089999999999</v>
      </c>
      <c r="F81" s="2">
        <f>D81*21%+C81</f>
        <v>1194.2529999999999</v>
      </c>
      <c r="G81" s="2">
        <f>D81*34%+C81</f>
        <v>1230.5619999999999</v>
      </c>
      <c r="H81" s="1">
        <f>D81*55%+C81</f>
        <v>1289.2150000000001</v>
      </c>
      <c r="I81" s="1">
        <f>D81*89%+C81</f>
        <v>1384.1770000000001</v>
      </c>
      <c r="J81" s="7">
        <f>E81*144%+D81</f>
        <v>1966.84896</v>
      </c>
      <c r="L81" s="1">
        <f>(M81*100/C81)-100</f>
        <v>1.3561113067981694</v>
      </c>
      <c r="M81" s="10">
        <f>VLOOKUP(A81&amp;"EQ",BhavCopy_NSE_CM!A:U,19,0)</f>
        <v>1151</v>
      </c>
      <c r="N81" s="13">
        <f>VLOOKUP(A81&amp;"EQ",BhavCopy_NSE_CM!A:U,21,0)</f>
        <v>1144.2</v>
      </c>
      <c r="O81" s="8">
        <f>B81-M81*10%</f>
        <v>1299.8000000000002</v>
      </c>
      <c r="P81" s="19">
        <f>B81-M81*20%</f>
        <v>1184.7</v>
      </c>
      <c r="Q81">
        <v>59</v>
      </c>
      <c r="R81" s="1" t="b">
        <f>M81&lt;I81</f>
        <v>1</v>
      </c>
    </row>
    <row r="82" spans="1:18">
      <c r="A82" t="s">
        <v>2850</v>
      </c>
      <c r="B82" s="27">
        <v>8230</v>
      </c>
      <c r="C82" s="5">
        <v>5353</v>
      </c>
      <c r="D82" s="5">
        <f>B82-C82</f>
        <v>2877</v>
      </c>
      <c r="E82" s="1">
        <f>D82*13%+C82</f>
        <v>5727.01</v>
      </c>
      <c r="F82" s="2">
        <f>D82*21%+C82</f>
        <v>5957.17</v>
      </c>
      <c r="G82" s="2">
        <f>D82*34%+C82</f>
        <v>6331.18</v>
      </c>
      <c r="H82" s="1">
        <f>D82*55%+C82</f>
        <v>6935.35</v>
      </c>
      <c r="I82" s="1">
        <f>D82*89%+C82</f>
        <v>7913.5300000000007</v>
      </c>
      <c r="J82" s="7">
        <f>E82*144%+D82</f>
        <v>11123.894399999999</v>
      </c>
      <c r="L82" s="1">
        <f>(M82*100/C82)-100</f>
        <v>44.731926022790958</v>
      </c>
      <c r="M82" s="10">
        <f>VLOOKUP(A82&amp;"EQ",BhavCopy_NSE_CM!A:U,19,0)</f>
        <v>7747.5</v>
      </c>
      <c r="N82" s="13">
        <f>VLOOKUP(A82&amp;"EQ",BhavCopy_NSE_CM!A:U,21,0)</f>
        <v>7672</v>
      </c>
      <c r="O82" s="8">
        <f>B82-M82*10%</f>
        <v>7455.25</v>
      </c>
      <c r="P82" s="19">
        <f>B82-M82*20%</f>
        <v>6680.5</v>
      </c>
      <c r="Q82">
        <v>60</v>
      </c>
      <c r="R82" s="1" t="b">
        <f>M82&lt;I82</f>
        <v>1</v>
      </c>
    </row>
    <row r="83" spans="1:18">
      <c r="A83" t="s">
        <v>3051</v>
      </c>
      <c r="B83" s="27">
        <v>368.45</v>
      </c>
      <c r="C83" s="5">
        <v>212.6</v>
      </c>
      <c r="D83" s="5">
        <f>B83-C83</f>
        <v>155.85</v>
      </c>
      <c r="E83" s="1">
        <f>D83*13%+C83</f>
        <v>232.8605</v>
      </c>
      <c r="F83" s="2">
        <f>D83*21%+C83</f>
        <v>245.32849999999999</v>
      </c>
      <c r="G83" s="2">
        <f>D83*34%+C83</f>
        <v>265.589</v>
      </c>
      <c r="H83" s="1">
        <f>D83*55%+C83</f>
        <v>298.3175</v>
      </c>
      <c r="I83" s="1">
        <f>D83*89%+C83</f>
        <v>351.30650000000003</v>
      </c>
      <c r="J83" s="7">
        <f>E83*144%+D83</f>
        <v>491.16912000000002</v>
      </c>
      <c r="L83" s="1">
        <f>(M83*100/C83)-100</f>
        <v>51.26999059266231</v>
      </c>
      <c r="M83" s="10">
        <f>VLOOKUP(A83&amp;"EQ",BhavCopy_NSE_CM!A:U,19,0)</f>
        <v>321.60000000000002</v>
      </c>
      <c r="N83" s="13">
        <f>VLOOKUP(A83&amp;"EQ",BhavCopy_NSE_CM!A:U,21,0)</f>
        <v>320.8</v>
      </c>
      <c r="O83" s="8">
        <f>B83-M83*10%</f>
        <v>336.28999999999996</v>
      </c>
      <c r="P83" s="19">
        <f>B83-M83*20%</f>
        <v>304.13</v>
      </c>
      <c r="Q83">
        <v>61</v>
      </c>
      <c r="R83" s="1" t="b">
        <f>M83&lt;I83</f>
        <v>1</v>
      </c>
    </row>
    <row r="84" spans="1:18">
      <c r="A84" t="s">
        <v>3093</v>
      </c>
      <c r="B84" s="27">
        <v>490.65</v>
      </c>
      <c r="C84" s="5">
        <v>287</v>
      </c>
      <c r="D84" s="5">
        <f>B84-C84</f>
        <v>203.64999999999998</v>
      </c>
      <c r="E84" s="1">
        <f>D84*13%+C84</f>
        <v>313.47449999999998</v>
      </c>
      <c r="F84" s="2">
        <f>D84*21%+C84</f>
        <v>329.76650000000001</v>
      </c>
      <c r="G84" s="2">
        <f>D84*34%+C84</f>
        <v>356.24099999999999</v>
      </c>
      <c r="H84" s="1">
        <f>D84*55%+C84</f>
        <v>399.00749999999999</v>
      </c>
      <c r="I84" s="1">
        <f>D84*89%+C84</f>
        <v>468.24849999999998</v>
      </c>
      <c r="J84" s="7">
        <f>E84*144%+D84</f>
        <v>655.05327999999986</v>
      </c>
      <c r="L84" s="1">
        <f>(M84*100/C84)-100</f>
        <v>45.696864111498257</v>
      </c>
      <c r="M84" s="10">
        <f>VLOOKUP(A84&amp;"EQ",BhavCopy_NSE_CM!A:U,19,0)</f>
        <v>418.15</v>
      </c>
      <c r="N84" s="13">
        <f>VLOOKUP(A84&amp;"EQ",BhavCopy_NSE_CM!A:U,21,0)</f>
        <v>425.75</v>
      </c>
      <c r="O84" s="8">
        <f>B84-M84*10%</f>
        <v>448.83499999999998</v>
      </c>
      <c r="P84" s="19">
        <f>B84-M84*20%</f>
        <v>407.02</v>
      </c>
      <c r="Q84">
        <v>62</v>
      </c>
      <c r="R84" s="1" t="b">
        <f>M84&lt;I84</f>
        <v>1</v>
      </c>
    </row>
    <row r="85" spans="1:18">
      <c r="A85" t="s">
        <v>3135</v>
      </c>
      <c r="B85" s="27">
        <v>371.7</v>
      </c>
      <c r="C85" s="5">
        <v>185.11</v>
      </c>
      <c r="D85" s="5">
        <f>B85-C85</f>
        <v>186.58999999999997</v>
      </c>
      <c r="E85" s="1">
        <f>D85*13%+C85</f>
        <v>209.36670000000001</v>
      </c>
      <c r="F85" s="2">
        <f>D85*21%+C85</f>
        <v>224.29390000000001</v>
      </c>
      <c r="G85" s="2">
        <f>D85*34%+C85</f>
        <v>248.5506</v>
      </c>
      <c r="H85" s="1">
        <f>D85*55%+C85</f>
        <v>287.73450000000003</v>
      </c>
      <c r="I85" s="1">
        <f>D85*89%+C85</f>
        <v>351.17509999999999</v>
      </c>
      <c r="J85" s="7">
        <f>E85*144%+D85</f>
        <v>488.07804799999997</v>
      </c>
      <c r="L85" s="1">
        <f>(M85*100/C85)-100</f>
        <v>85.916482091729222</v>
      </c>
      <c r="M85" s="10">
        <f>VLOOKUP(A85&amp;"EQ",BhavCopy_NSE_CM!A:U,19,0)</f>
        <v>344.15</v>
      </c>
      <c r="N85" s="13">
        <f>VLOOKUP(A85&amp;"EQ",BhavCopy_NSE_CM!A:U,21,0)</f>
        <v>342</v>
      </c>
      <c r="O85" s="8">
        <f>B85-M85*10%</f>
        <v>337.28499999999997</v>
      </c>
      <c r="P85" s="19">
        <f>B85-M85*20%</f>
        <v>302.87</v>
      </c>
      <c r="Q85">
        <v>63</v>
      </c>
      <c r="R85" s="1" t="b">
        <f>M85&lt;I85</f>
        <v>1</v>
      </c>
    </row>
    <row r="86" spans="1:18">
      <c r="A86" t="s">
        <v>3213</v>
      </c>
      <c r="B86" s="27">
        <v>26450</v>
      </c>
      <c r="C86" s="5">
        <v>14911</v>
      </c>
      <c r="D86" s="5">
        <f>B86-C86</f>
        <v>11539</v>
      </c>
      <c r="E86" s="1">
        <f>D86*13%+C86</f>
        <v>16411.07</v>
      </c>
      <c r="F86" s="2">
        <f>D86*21%+C86</f>
        <v>17334.189999999999</v>
      </c>
      <c r="G86" s="2">
        <f>D86*34%+C86</f>
        <v>18834.260000000002</v>
      </c>
      <c r="H86" s="1">
        <f>D86*55%+C86</f>
        <v>21257.45</v>
      </c>
      <c r="I86" s="1">
        <f>D86*89%+C86</f>
        <v>25180.71</v>
      </c>
      <c r="J86" s="7">
        <f>E86*144%+D86</f>
        <v>35170.940799999997</v>
      </c>
      <c r="L86" s="1">
        <f>(M86*100/C86)-100</f>
        <v>18.201327878747236</v>
      </c>
      <c r="M86" s="10">
        <f>VLOOKUP(A86&amp;"EQ",BhavCopy_NSE_CM!A:U,19,0)</f>
        <v>17625</v>
      </c>
      <c r="N86" s="13">
        <f>VLOOKUP(A86&amp;"EQ",BhavCopy_NSE_CM!A:U,21,0)</f>
        <v>17829</v>
      </c>
      <c r="O86" s="8">
        <f>B86-M86*10%</f>
        <v>24687.5</v>
      </c>
      <c r="P86" s="19">
        <f>B86-M86*20%</f>
        <v>22925</v>
      </c>
      <c r="Q86">
        <v>64</v>
      </c>
      <c r="R86" s="1" t="b">
        <f>M86&lt;I86</f>
        <v>1</v>
      </c>
    </row>
    <row r="87" spans="1:18">
      <c r="A87" t="s">
        <v>3219</v>
      </c>
      <c r="B87" s="27">
        <v>1104.3</v>
      </c>
      <c r="C87" s="5">
        <v>761</v>
      </c>
      <c r="D87" s="5">
        <f>B87-C87</f>
        <v>343.29999999999995</v>
      </c>
      <c r="E87" s="1">
        <f>D87*13%+C87</f>
        <v>805.62900000000002</v>
      </c>
      <c r="F87" s="2">
        <f>D87*21%+C87</f>
        <v>833.09299999999996</v>
      </c>
      <c r="G87" s="2">
        <f>D87*34%+C87</f>
        <v>877.72199999999998</v>
      </c>
      <c r="H87" s="1">
        <f>D87*55%+C87</f>
        <v>949.81500000000005</v>
      </c>
      <c r="I87" s="1">
        <f>D87*89%+C87</f>
        <v>1066.537</v>
      </c>
      <c r="J87" s="7">
        <f>E87*144%+D87</f>
        <v>1503.4057599999999</v>
      </c>
      <c r="L87" s="1">
        <f>(M87*100/C87)-100</f>
        <v>19.316688567674106</v>
      </c>
      <c r="M87" s="10">
        <f>VLOOKUP(A87&amp;"EQ",BhavCopy_NSE_CM!A:U,19,0)</f>
        <v>908</v>
      </c>
      <c r="N87" s="13">
        <f>VLOOKUP(A87&amp;"EQ",BhavCopy_NSE_CM!A:U,21,0)</f>
        <v>910</v>
      </c>
      <c r="O87" s="8">
        <f>B87-M87*10%</f>
        <v>1013.5</v>
      </c>
      <c r="P87" s="19">
        <f>B87-M87*20%</f>
        <v>922.69999999999993</v>
      </c>
      <c r="Q87">
        <v>65</v>
      </c>
      <c r="R87" s="1" t="b">
        <f>M87&lt;I87</f>
        <v>1</v>
      </c>
    </row>
    <row r="88" spans="1:18">
      <c r="A88" t="s">
        <v>3277</v>
      </c>
      <c r="B88" s="27">
        <v>188.89</v>
      </c>
      <c r="C88" s="5">
        <v>134.36000000000001</v>
      </c>
      <c r="D88" s="5">
        <f>B88-C88</f>
        <v>54.529999999999973</v>
      </c>
      <c r="E88" s="1">
        <f>D88*13%+C88</f>
        <v>141.44890000000001</v>
      </c>
      <c r="F88" s="2">
        <f>D88*21%+C88</f>
        <v>145.81130000000002</v>
      </c>
      <c r="G88" s="2">
        <f>D88*34%+C88</f>
        <v>152.90020000000001</v>
      </c>
      <c r="H88" s="1">
        <f>D88*55%+C88</f>
        <v>164.35149999999999</v>
      </c>
      <c r="I88" s="1">
        <f>D88*89%+C88</f>
        <v>182.89169999999999</v>
      </c>
      <c r="J88" s="7">
        <f>E88*144%+D88</f>
        <v>258.21641599999998</v>
      </c>
      <c r="L88" s="1">
        <f>(M88*100/C88)-100</f>
        <v>30.314081571896395</v>
      </c>
      <c r="M88" s="10">
        <f>VLOOKUP(A88&amp;"EQ",BhavCopy_NSE_CM!A:U,19,0)</f>
        <v>175.09</v>
      </c>
      <c r="N88" s="13">
        <f>VLOOKUP(A88&amp;"EQ",BhavCopy_NSE_CM!A:U,21,0)</f>
        <v>176</v>
      </c>
      <c r="O88" s="8">
        <f>B88-M88*10%</f>
        <v>171.38099999999997</v>
      </c>
      <c r="P88" s="19">
        <f>B88-M88*20%</f>
        <v>153.87199999999999</v>
      </c>
      <c r="Q88">
        <v>66</v>
      </c>
      <c r="R88" s="1" t="b">
        <f>M88&lt;I88</f>
        <v>1</v>
      </c>
    </row>
    <row r="89" spans="1:18">
      <c r="A89" t="s">
        <v>3436</v>
      </c>
      <c r="B89" s="27">
        <v>2515</v>
      </c>
      <c r="C89" s="5">
        <v>1792.6</v>
      </c>
      <c r="D89" s="5">
        <f>B89-C89</f>
        <v>722.40000000000009</v>
      </c>
      <c r="E89" s="1">
        <f>D89*13%+C89</f>
        <v>1886.5119999999999</v>
      </c>
      <c r="F89" s="2">
        <f>D89*21%+C89</f>
        <v>1944.3039999999999</v>
      </c>
      <c r="G89" s="2">
        <f>D89*34%+C89</f>
        <v>2038.2159999999999</v>
      </c>
      <c r="H89" s="1">
        <f>D89*55%+C89</f>
        <v>2189.92</v>
      </c>
      <c r="I89" s="1">
        <f>D89*89%+C89</f>
        <v>2435.5360000000001</v>
      </c>
      <c r="J89" s="7">
        <f>E89*144%+D89</f>
        <v>3438.9772800000001</v>
      </c>
      <c r="L89" s="1">
        <f>(M89*100/C89)-100</f>
        <v>38.039718844137013</v>
      </c>
      <c r="M89" s="10">
        <f>VLOOKUP(A89&amp;"EQ",BhavCopy_NSE_CM!A:U,19,0)</f>
        <v>2474.5</v>
      </c>
      <c r="N89" s="13">
        <f>VLOOKUP(A89&amp;"EQ",BhavCopy_NSE_CM!A:U,21,0)</f>
        <v>2451.9</v>
      </c>
      <c r="O89" s="8">
        <f>B89-M89*10%</f>
        <v>2267.5500000000002</v>
      </c>
      <c r="P89" s="19">
        <f>B89-M89*20%</f>
        <v>2020.1</v>
      </c>
      <c r="Q89">
        <v>67</v>
      </c>
      <c r="R89" s="1" t="b">
        <f>M89&lt;I89</f>
        <v>0</v>
      </c>
    </row>
    <row r="90" spans="1:18">
      <c r="A90" t="s">
        <v>3481</v>
      </c>
      <c r="B90" s="27">
        <v>115.64</v>
      </c>
      <c r="C90" s="5">
        <v>84.11</v>
      </c>
      <c r="D90" s="5">
        <f>B90-C90</f>
        <v>31.53</v>
      </c>
      <c r="E90" s="1">
        <f>D90*13%+C90</f>
        <v>88.2089</v>
      </c>
      <c r="F90" s="2">
        <f>D90*21%+C90</f>
        <v>90.731300000000005</v>
      </c>
      <c r="G90" s="2">
        <f>D90*34%+C90</f>
        <v>94.830200000000005</v>
      </c>
      <c r="H90" s="1">
        <f>D90*55%+C90</f>
        <v>101.45150000000001</v>
      </c>
      <c r="I90" s="1">
        <f>D90*89%+C90</f>
        <v>112.1717</v>
      </c>
      <c r="J90" s="7">
        <f>E90*144%+D90</f>
        <v>158.550816</v>
      </c>
      <c r="L90" s="1">
        <f>(M90*100/C90)-100</f>
        <v>15.325169420996318</v>
      </c>
      <c r="M90" s="10">
        <f>VLOOKUP(A90&amp;"EQ",BhavCopy_NSE_CM!A:U,19,0)</f>
        <v>97</v>
      </c>
      <c r="N90" s="13">
        <f>VLOOKUP(A90&amp;"EQ",BhavCopy_NSE_CM!A:U,21,0)</f>
        <v>95.94</v>
      </c>
      <c r="O90" s="8">
        <f>B90-M90*10%</f>
        <v>105.94</v>
      </c>
      <c r="P90" s="19">
        <f>B90-M90*20%</f>
        <v>96.24</v>
      </c>
      <c r="Q90">
        <v>68</v>
      </c>
      <c r="R90" s="1" t="b">
        <f>M90&lt;I90</f>
        <v>1</v>
      </c>
    </row>
    <row r="91" spans="1:18">
      <c r="A91" t="s">
        <v>3511</v>
      </c>
      <c r="B91" s="27">
        <v>11465</v>
      </c>
      <c r="C91" s="5">
        <v>1832.1</v>
      </c>
      <c r="D91" s="5">
        <f>B91-C91</f>
        <v>9632.9</v>
      </c>
      <c r="E91" s="1">
        <f>D91*13%+C91</f>
        <v>3084.377</v>
      </c>
      <c r="F91" s="2">
        <f>D91*21%+C91</f>
        <v>3855.009</v>
      </c>
      <c r="G91" s="2">
        <f>D91*34%+C91</f>
        <v>5107.2860000000001</v>
      </c>
      <c r="H91" s="1">
        <f>D91*55%+C91</f>
        <v>7130.1949999999997</v>
      </c>
      <c r="I91" s="1">
        <f>D91*89%+C91</f>
        <v>10405.380999999999</v>
      </c>
      <c r="J91" s="7">
        <f>E91*144%+D91</f>
        <v>14074.40288</v>
      </c>
      <c r="L91" s="1">
        <f>(M91*100/C91)-100</f>
        <v>9.7101686589160039</v>
      </c>
      <c r="M91" s="10">
        <f>VLOOKUP(A91&amp;"EQ",BhavCopy_NSE_CM!A:U,19,0)</f>
        <v>2010</v>
      </c>
      <c r="N91" s="13">
        <f>VLOOKUP(A91&amp;"EQ",BhavCopy_NSE_CM!A:U,21,0)</f>
        <v>2029</v>
      </c>
      <c r="O91" s="8">
        <f>B91-M91*10%</f>
        <v>11264</v>
      </c>
      <c r="P91" s="19">
        <f>B91-M91*20%</f>
        <v>11063</v>
      </c>
      <c r="Q91">
        <v>69</v>
      </c>
      <c r="R91" s="1" t="b">
        <f>M91&lt;I91</f>
        <v>1</v>
      </c>
    </row>
    <row r="92" spans="1:18">
      <c r="A92" t="s">
        <v>3517</v>
      </c>
      <c r="B92" s="27">
        <v>1309</v>
      </c>
      <c r="C92" s="5">
        <v>861.9</v>
      </c>
      <c r="D92" s="5">
        <f>B92-C92</f>
        <v>447.1</v>
      </c>
      <c r="E92" s="1">
        <f>D92*13%+C92</f>
        <v>920.02300000000002</v>
      </c>
      <c r="F92" s="2">
        <f>D92*21%+C92</f>
        <v>955.79099999999994</v>
      </c>
      <c r="G92" s="2">
        <f>D92*34%+C92</f>
        <v>1013.914</v>
      </c>
      <c r="H92" s="1">
        <f>D92*55%+C92</f>
        <v>1107.8050000000001</v>
      </c>
      <c r="I92" s="1">
        <f>D92*89%+C92</f>
        <v>1259.819</v>
      </c>
      <c r="J92" s="7">
        <f>E92*144%+D92</f>
        <v>1771.9331200000001</v>
      </c>
      <c r="L92" s="1">
        <f>(M92*100/C92)-100</f>
        <v>0.35967049541710594</v>
      </c>
      <c r="M92" s="10">
        <f>VLOOKUP(A92&amp;"EQ",BhavCopy_NSE_CM!A:U,19,0)</f>
        <v>865</v>
      </c>
      <c r="N92" s="13">
        <f>VLOOKUP(A92&amp;"EQ",BhavCopy_NSE_CM!A:U,21,0)</f>
        <v>861.9</v>
      </c>
      <c r="O92" s="8">
        <f>B92-M92*10%</f>
        <v>1222.5</v>
      </c>
      <c r="P92" s="19">
        <f>B92-M92*20%</f>
        <v>1136</v>
      </c>
      <c r="Q92">
        <v>70</v>
      </c>
      <c r="R92" s="1" t="b">
        <f>M92&lt;I92</f>
        <v>1</v>
      </c>
    </row>
    <row r="93" spans="1:18">
      <c r="A93" t="s">
        <v>3523</v>
      </c>
      <c r="B93" s="27">
        <v>2407.9</v>
      </c>
      <c r="C93" s="5">
        <v>1434</v>
      </c>
      <c r="D93" s="5">
        <f>B93-C93</f>
        <v>973.90000000000009</v>
      </c>
      <c r="E93" s="1">
        <f>D93*13%+C93</f>
        <v>1560.607</v>
      </c>
      <c r="F93" s="2">
        <f>D93*21%+C93</f>
        <v>1638.519</v>
      </c>
      <c r="G93" s="2">
        <f>D93*34%+C93</f>
        <v>1765.126</v>
      </c>
      <c r="H93" s="1">
        <f>D93*55%+C93</f>
        <v>1969.645</v>
      </c>
      <c r="I93" s="1">
        <f>D93*89%+C93</f>
        <v>2300.7710000000002</v>
      </c>
      <c r="J93" s="7">
        <f>E93*144%+D93</f>
        <v>3221.1740799999998</v>
      </c>
      <c r="L93" s="1">
        <f>(M93*100/C93)-100</f>
        <v>32.956764295676436</v>
      </c>
      <c r="M93" s="10">
        <f>VLOOKUP(A93&amp;"EQ",BhavCopy_NSE_CM!A:U,19,0)</f>
        <v>1906.6</v>
      </c>
      <c r="N93" s="13">
        <f>VLOOKUP(A93&amp;"EQ",BhavCopy_NSE_CM!A:U,21,0)</f>
        <v>1922.2</v>
      </c>
      <c r="O93" s="8">
        <f>B93-M93*10%</f>
        <v>2217.2400000000002</v>
      </c>
      <c r="P93" s="19">
        <f>B93-M93*20%</f>
        <v>2026.5800000000002</v>
      </c>
      <c r="Q93">
        <v>71</v>
      </c>
      <c r="R93" s="1" t="b">
        <f>M93&lt;I93</f>
        <v>1</v>
      </c>
    </row>
    <row r="94" spans="1:18">
      <c r="A94" t="s">
        <v>3792</v>
      </c>
      <c r="B94" s="27">
        <v>3380.5</v>
      </c>
      <c r="C94" s="5">
        <v>2502.5</v>
      </c>
      <c r="D94" s="5">
        <f>B94-C94</f>
        <v>878</v>
      </c>
      <c r="E94" s="1">
        <f>D94*13%+C94</f>
        <v>2616.64</v>
      </c>
      <c r="F94" s="2">
        <f>D94*21%+C94</f>
        <v>2686.88</v>
      </c>
      <c r="G94" s="2">
        <f>D94*34%+C94</f>
        <v>2801.02</v>
      </c>
      <c r="H94" s="1">
        <f>D94*55%+C94</f>
        <v>2985.4</v>
      </c>
      <c r="I94" s="1">
        <f>D94*89%+C94</f>
        <v>3283.92</v>
      </c>
      <c r="J94" s="7">
        <f>E94*144%+D94</f>
        <v>4645.9615999999996</v>
      </c>
      <c r="L94" s="1">
        <f>(M94*100/C94)-100</f>
        <v>32.139860139860133</v>
      </c>
      <c r="M94" s="10">
        <f>VLOOKUP(A94&amp;"EQ",BhavCopy_NSE_CM!A:U,19,0)</f>
        <v>3306.8</v>
      </c>
      <c r="N94" s="13">
        <f>VLOOKUP(A94&amp;"EQ",BhavCopy_NSE_CM!A:U,21,0)</f>
        <v>3302.4</v>
      </c>
      <c r="O94" s="8">
        <f>B94-M94*10%</f>
        <v>3049.8199999999997</v>
      </c>
      <c r="P94" s="19">
        <f>B94-M94*20%</f>
        <v>2719.14</v>
      </c>
      <c r="Q94">
        <v>72</v>
      </c>
      <c r="R94" s="1" t="b">
        <f>M94&lt;I94</f>
        <v>0</v>
      </c>
    </row>
    <row r="95" spans="1:18">
      <c r="A95" t="s">
        <v>3361</v>
      </c>
      <c r="B95" s="27">
        <v>5650</v>
      </c>
      <c r="C95" s="5">
        <v>2265</v>
      </c>
      <c r="D95" s="5">
        <f>B95-C95</f>
        <v>3385</v>
      </c>
      <c r="E95" s="1">
        <f>D95*13%+C95</f>
        <v>2705.05</v>
      </c>
      <c r="F95" s="2">
        <f>D95*21%+C95</f>
        <v>2975.85</v>
      </c>
      <c r="G95" s="2">
        <f>D95*34%+C95</f>
        <v>3415.9</v>
      </c>
      <c r="H95" s="1">
        <f>D95*55%+C95</f>
        <v>4126.75</v>
      </c>
      <c r="I95" s="1">
        <f>D95*89%+C95</f>
        <v>5277.65</v>
      </c>
      <c r="J95" s="7">
        <f>E95*144%+D95</f>
        <v>7280.2719999999999</v>
      </c>
      <c r="L95" s="1">
        <f>(M95*100/C95)-100</f>
        <v>109.7130242825607</v>
      </c>
      <c r="M95" s="10">
        <f>VLOOKUP(A95&amp;"EQ",BhavCopy_NSE_CM!A:U,19,0)</f>
        <v>4750</v>
      </c>
      <c r="N95" s="13">
        <f>VLOOKUP(A95&amp;"EQ",BhavCopy_NSE_CM!A:U,21,0)</f>
        <v>4367.2</v>
      </c>
      <c r="O95" s="8">
        <f>B95-M95*10%</f>
        <v>5175</v>
      </c>
      <c r="P95" s="19">
        <f>B95-M95*20%</f>
        <v>4700</v>
      </c>
      <c r="Q95">
        <v>73</v>
      </c>
      <c r="R95" s="1" t="b">
        <f>M95&lt;I95</f>
        <v>1</v>
      </c>
    </row>
    <row r="96" spans="1:18">
      <c r="A96" t="s">
        <v>4233</v>
      </c>
      <c r="B96" s="27">
        <v>5099</v>
      </c>
      <c r="C96" s="5">
        <v>3479.1</v>
      </c>
      <c r="D96" s="5">
        <f>B96-C96</f>
        <v>1619.9</v>
      </c>
      <c r="E96" s="1">
        <f>D96*13%+C96</f>
        <v>3689.6869999999999</v>
      </c>
      <c r="F96" s="2">
        <f>D96*21%+C96</f>
        <v>3819.279</v>
      </c>
      <c r="G96" s="2">
        <f>D96*34%+C96</f>
        <v>4029.866</v>
      </c>
      <c r="H96" s="1">
        <f>D96*55%+C96</f>
        <v>4370.0450000000001</v>
      </c>
      <c r="I96" s="1">
        <f>D96*89%+C96</f>
        <v>4920.8109999999997</v>
      </c>
      <c r="J96" s="7">
        <f>E96*144%+D96</f>
        <v>6933.0492799999993</v>
      </c>
      <c r="L96" s="1">
        <f>(M96*100/C96)-100</f>
        <v>44.609238021327371</v>
      </c>
      <c r="M96" s="10">
        <f>VLOOKUP(A96&amp;"EQ",BhavCopy_NSE_CM!A:U,19,0)</f>
        <v>5031.1000000000004</v>
      </c>
      <c r="N96" s="13">
        <f>VLOOKUP(A96&amp;"EQ",BhavCopy_NSE_CM!A:U,21,0)</f>
        <v>4855.2</v>
      </c>
      <c r="O96" s="8">
        <f>B96-M96*10%</f>
        <v>4595.8900000000003</v>
      </c>
      <c r="P96" s="19">
        <f>B96-M96*20%</f>
        <v>4092.7799999999997</v>
      </c>
      <c r="Q96">
        <v>74</v>
      </c>
      <c r="R96" s="1" t="b">
        <f>M96&lt;I96</f>
        <v>0</v>
      </c>
    </row>
    <row r="97" spans="1:18">
      <c r="A97" t="s">
        <v>4053</v>
      </c>
      <c r="B97" s="27">
        <v>1621.1</v>
      </c>
      <c r="C97" s="5">
        <v>1123.5999999999999</v>
      </c>
      <c r="D97" s="5">
        <f>B97-C97</f>
        <v>497.5</v>
      </c>
      <c r="E97" s="1">
        <f>D97*13%+C97</f>
        <v>1188.2749999999999</v>
      </c>
      <c r="F97" s="2">
        <f>D97*21%+C97</f>
        <v>1228.0749999999998</v>
      </c>
      <c r="G97" s="2">
        <f>D97*34%+C97</f>
        <v>1292.75</v>
      </c>
      <c r="H97" s="1">
        <f>D97*55%+C97</f>
        <v>1397.2249999999999</v>
      </c>
      <c r="I97" s="1">
        <f>D97*89%+C97</f>
        <v>1566.375</v>
      </c>
      <c r="J97" s="7">
        <f>E97*144%+D97</f>
        <v>2208.616</v>
      </c>
      <c r="L97" s="1">
        <f>(M97*100/C97)-100</f>
        <v>1.4595941616233574</v>
      </c>
      <c r="M97" s="10">
        <f>VLOOKUP(A97&amp;"EQ",BhavCopy_NSE_CM!A:U,19,0)</f>
        <v>1140</v>
      </c>
      <c r="N97" s="13">
        <f>VLOOKUP(A97&amp;"EQ",BhavCopy_NSE_CM!A:U,21,0)</f>
        <v>1150</v>
      </c>
      <c r="O97" s="8">
        <f>B97-M97*10%</f>
        <v>1507.1</v>
      </c>
      <c r="P97" s="19">
        <f>B97-M97*20%</f>
        <v>1393.1</v>
      </c>
      <c r="Q97">
        <v>75</v>
      </c>
      <c r="R97" s="1" t="b">
        <f>M97&lt;I97</f>
        <v>1</v>
      </c>
    </row>
    <row r="98" spans="1:18">
      <c r="A98" t="s">
        <v>4074</v>
      </c>
      <c r="B98" s="27">
        <v>1780.1</v>
      </c>
      <c r="C98" s="5">
        <v>1030</v>
      </c>
      <c r="D98" s="5">
        <f>B98-C98</f>
        <v>750.09999999999991</v>
      </c>
      <c r="E98" s="1">
        <f>D98*13%+C98</f>
        <v>1127.5129999999999</v>
      </c>
      <c r="F98" s="2">
        <f>D98*21%+C98</f>
        <v>1187.521</v>
      </c>
      <c r="G98" s="2">
        <f>D98*34%+C98</f>
        <v>1285.0340000000001</v>
      </c>
      <c r="H98" s="1">
        <f>D98*55%+C98</f>
        <v>1442.5550000000001</v>
      </c>
      <c r="I98" s="1">
        <f>D98*89%+C98</f>
        <v>1697.5889999999999</v>
      </c>
      <c r="J98" s="7">
        <f>E98*144%+D98</f>
        <v>2373.7187199999998</v>
      </c>
      <c r="L98" s="1">
        <f>(M98*100/C98)-100</f>
        <v>23.980582524271838</v>
      </c>
      <c r="M98" s="10">
        <f>VLOOKUP(A98&amp;"EQ",BhavCopy_NSE_CM!A:U,19,0)</f>
        <v>1277</v>
      </c>
      <c r="N98" s="13">
        <f>VLOOKUP(A98&amp;"EQ",BhavCopy_NSE_CM!A:U,21,0)</f>
        <v>1282.8</v>
      </c>
      <c r="O98" s="8">
        <f>B98-M98*10%</f>
        <v>1652.3999999999999</v>
      </c>
      <c r="P98" s="19">
        <f>B98-M98*20%</f>
        <v>1524.6999999999998</v>
      </c>
      <c r="Q98">
        <v>76</v>
      </c>
      <c r="R98" s="1" t="b">
        <f>M98&lt;I98</f>
        <v>1</v>
      </c>
    </row>
    <row r="99" spans="1:18">
      <c r="A99" t="s">
        <v>4080</v>
      </c>
      <c r="B99" s="27">
        <v>5934.5</v>
      </c>
      <c r="C99" s="5">
        <v>2205.6</v>
      </c>
      <c r="D99" s="5">
        <f>B99-C99</f>
        <v>3728.9</v>
      </c>
      <c r="E99" s="1">
        <f>D99*13%+C99</f>
        <v>2690.357</v>
      </c>
      <c r="F99" s="2">
        <f>D99*21%+C99</f>
        <v>2988.6689999999999</v>
      </c>
      <c r="G99" s="2">
        <f>D99*34%+C99</f>
        <v>3473.4259999999999</v>
      </c>
      <c r="H99" s="1">
        <f>D99*55%+C99</f>
        <v>4256.4950000000008</v>
      </c>
      <c r="I99" s="1">
        <f>D99*89%+C99</f>
        <v>5524.3209999999999</v>
      </c>
      <c r="J99" s="7">
        <f>E99*144%+D99</f>
        <v>7603.0140799999999</v>
      </c>
      <c r="L99" s="1">
        <f>(M99*100/C99)-100</f>
        <v>10.958469350743584</v>
      </c>
      <c r="M99" s="10">
        <f>VLOOKUP(A99&amp;"EQ",BhavCopy_NSE_CM!A:U,19,0)</f>
        <v>2447.3000000000002</v>
      </c>
      <c r="N99" s="13">
        <f>VLOOKUP(A99&amp;"EQ",BhavCopy_NSE_CM!A:U,21,0)</f>
        <v>2432</v>
      </c>
      <c r="O99" s="8">
        <f>B99-M99*10%</f>
        <v>5689.77</v>
      </c>
      <c r="P99" s="19">
        <f>B99-M99*20%</f>
        <v>5445.04</v>
      </c>
      <c r="Q99">
        <v>77</v>
      </c>
      <c r="R99" s="1" t="b">
        <f>M99&lt;I99</f>
        <v>1</v>
      </c>
    </row>
    <row r="100" spans="1:18">
      <c r="A100" t="s">
        <v>4083</v>
      </c>
      <c r="B100" s="27">
        <v>2037.7</v>
      </c>
      <c r="C100" s="5">
        <v>703</v>
      </c>
      <c r="D100" s="5">
        <f>B100-C100</f>
        <v>1334.7</v>
      </c>
      <c r="E100" s="1">
        <f>D100*13%+C100</f>
        <v>876.51099999999997</v>
      </c>
      <c r="F100" s="2">
        <f>D100*21%+C100</f>
        <v>983.28700000000003</v>
      </c>
      <c r="G100" s="2">
        <f>D100*34%+C100</f>
        <v>1156.798</v>
      </c>
      <c r="H100" s="1">
        <f>D100*55%+C100</f>
        <v>1437.085</v>
      </c>
      <c r="I100" s="1">
        <f>D100*89%+C100</f>
        <v>1890.883</v>
      </c>
      <c r="J100" s="7">
        <f>E100*144%+D100</f>
        <v>2596.8758399999997</v>
      </c>
      <c r="L100" s="1">
        <f>(M100*100/C100)-100</f>
        <v>0</v>
      </c>
      <c r="M100" s="10">
        <f>VLOOKUP(A100&amp;"EQ",BhavCopy_NSE_CM!A:U,19,0)</f>
        <v>703</v>
      </c>
      <c r="N100" s="13">
        <f>VLOOKUP(A100&amp;"EQ",BhavCopy_NSE_CM!A:U,21,0)</f>
        <v>710.5</v>
      </c>
      <c r="O100" s="8">
        <f>B100-M100*10%</f>
        <v>1967.4</v>
      </c>
      <c r="P100" s="19">
        <f>B100-M100*20%</f>
        <v>1897.1000000000001</v>
      </c>
      <c r="Q100">
        <v>78</v>
      </c>
      <c r="R100" s="1" t="b">
        <f>M100&lt;I100</f>
        <v>1</v>
      </c>
    </row>
    <row r="101" spans="1:18">
      <c r="A101" t="s">
        <v>4089</v>
      </c>
      <c r="B101" s="27">
        <v>815</v>
      </c>
      <c r="C101" s="5">
        <v>533.20000000000005</v>
      </c>
      <c r="D101" s="5">
        <f>B101-C101</f>
        <v>281.79999999999995</v>
      </c>
      <c r="E101" s="1">
        <f>D101*13%+C101</f>
        <v>569.83400000000006</v>
      </c>
      <c r="F101" s="2">
        <f>D101*21%+C101</f>
        <v>592.37800000000004</v>
      </c>
      <c r="G101" s="2">
        <f>D101*34%+C101</f>
        <v>629.01200000000006</v>
      </c>
      <c r="H101" s="1">
        <f>D101*55%+C101</f>
        <v>688.19</v>
      </c>
      <c r="I101" s="1">
        <f>D101*89%+C101</f>
        <v>784.00199999999995</v>
      </c>
      <c r="J101" s="7">
        <f>E101*144%+D101</f>
        <v>1102.36096</v>
      </c>
      <c r="L101" s="1">
        <f>(M101*100/C101)-100</f>
        <v>0.11252813203299183</v>
      </c>
      <c r="M101" s="10">
        <f>VLOOKUP(A101&amp;"EQ",BhavCopy_NSE_CM!A:U,19,0)</f>
        <v>533.79999999999995</v>
      </c>
      <c r="N101" s="13">
        <f>VLOOKUP(A101&amp;"EQ",BhavCopy_NSE_CM!A:U,21,0)</f>
        <v>533.20000000000005</v>
      </c>
      <c r="O101" s="8">
        <f>B101-M101*10%</f>
        <v>761.62</v>
      </c>
      <c r="P101" s="19">
        <f>B101-M101*20%</f>
        <v>708.24</v>
      </c>
      <c r="Q101">
        <v>79</v>
      </c>
      <c r="R101" s="1" t="b">
        <f>M101&lt;I101</f>
        <v>1</v>
      </c>
    </row>
    <row r="102" spans="1:18">
      <c r="A102" t="s">
        <v>4176</v>
      </c>
      <c r="B102" s="27">
        <v>6388.5</v>
      </c>
      <c r="C102" s="5">
        <v>4195</v>
      </c>
      <c r="D102" s="5">
        <f>B102-C102</f>
        <v>2193.5</v>
      </c>
      <c r="E102" s="1">
        <f>D102*13%+C102</f>
        <v>4480.1549999999997</v>
      </c>
      <c r="F102" s="2">
        <f>D102*21%+C102</f>
        <v>4655.6350000000002</v>
      </c>
      <c r="G102" s="2">
        <f>D102*34%+C102</f>
        <v>4940.79</v>
      </c>
      <c r="H102" s="1">
        <f>D102*55%+C102</f>
        <v>5401.4250000000002</v>
      </c>
      <c r="I102" s="1">
        <f>D102*89%+C102</f>
        <v>6147.2150000000001</v>
      </c>
      <c r="J102" s="7">
        <f>E102*144%+D102</f>
        <v>8644.9231999999993</v>
      </c>
      <c r="L102" s="1">
        <f>(M102*100/C102)-100</f>
        <v>27.13945172824792</v>
      </c>
      <c r="M102" s="10">
        <f>VLOOKUP(A102&amp;"EQ",BhavCopy_NSE_CM!A:U,19,0)</f>
        <v>5333.5</v>
      </c>
      <c r="N102" s="13">
        <f>VLOOKUP(A102&amp;"EQ",BhavCopy_NSE_CM!A:U,21,0)</f>
        <v>5270</v>
      </c>
      <c r="O102" s="8">
        <f>B102-M102*10%</f>
        <v>5855.15</v>
      </c>
      <c r="P102" s="19">
        <f>B102-M102*20%</f>
        <v>5321.8</v>
      </c>
      <c r="Q102">
        <v>80</v>
      </c>
      <c r="R102" s="1" t="b">
        <f>M102&lt;I102</f>
        <v>1</v>
      </c>
    </row>
    <row r="103" spans="1:18">
      <c r="A103" t="s">
        <v>4218</v>
      </c>
      <c r="B103" s="27">
        <v>1176</v>
      </c>
      <c r="C103" s="5">
        <v>657.5</v>
      </c>
      <c r="D103" s="5">
        <f>B103-C103</f>
        <v>518.5</v>
      </c>
      <c r="E103" s="1">
        <f>D103*13%+C103</f>
        <v>724.90499999999997</v>
      </c>
      <c r="F103" s="2">
        <f>D103*21%+C103</f>
        <v>766.38499999999999</v>
      </c>
      <c r="G103" s="2">
        <f>D103*34%+C103</f>
        <v>833.79</v>
      </c>
      <c r="H103" s="1">
        <f>D103*55%+C103</f>
        <v>942.67499999999995</v>
      </c>
      <c r="I103" s="1">
        <f>D103*89%+C103</f>
        <v>1118.9650000000001</v>
      </c>
      <c r="J103" s="7">
        <f>E103*144%+D103</f>
        <v>1562.3632</v>
      </c>
      <c r="L103" s="1">
        <f>(M103*100/C103)-100</f>
        <v>53.460076045627375</v>
      </c>
      <c r="M103" s="10">
        <f>VLOOKUP(A103&amp;"EQ",BhavCopy_NSE_CM!A:U,19,0)</f>
        <v>1009</v>
      </c>
      <c r="N103" s="13">
        <f>VLOOKUP(A103&amp;"EQ",BhavCopy_NSE_CM!A:U,21,0)</f>
        <v>1006</v>
      </c>
      <c r="O103" s="8">
        <f>B103-M103*10%</f>
        <v>1075.0999999999999</v>
      </c>
      <c r="P103" s="19">
        <f>B103-M103*20%</f>
        <v>974.2</v>
      </c>
      <c r="Q103">
        <v>81</v>
      </c>
      <c r="R103" s="1" t="b">
        <f>M103&lt;I103</f>
        <v>1</v>
      </c>
    </row>
    <row r="104" spans="1:18">
      <c r="A104" t="s">
        <v>4254</v>
      </c>
      <c r="B104" s="27">
        <v>508.45</v>
      </c>
      <c r="C104" s="5">
        <v>316.2</v>
      </c>
      <c r="D104" s="5">
        <f>B104-C104</f>
        <v>192.25</v>
      </c>
      <c r="E104" s="1">
        <f>D104*13%+C104</f>
        <v>341.1925</v>
      </c>
      <c r="F104" s="2">
        <f>D104*21%+C104</f>
        <v>356.57249999999999</v>
      </c>
      <c r="G104" s="2">
        <f>D104*34%+C104</f>
        <v>381.565</v>
      </c>
      <c r="H104" s="1">
        <f>D104*55%+C104</f>
        <v>421.9375</v>
      </c>
      <c r="I104" s="1">
        <f>D104*89%+C104</f>
        <v>487.30250000000001</v>
      </c>
      <c r="J104" s="7">
        <f>E104*144%+D104</f>
        <v>683.56719999999996</v>
      </c>
      <c r="L104" s="1">
        <f>(M104*100/C104)-100</f>
        <v>9.7406704617330888</v>
      </c>
      <c r="M104" s="10">
        <f>VLOOKUP(A104&amp;"EQ",BhavCopy_NSE_CM!A:U,19,0)</f>
        <v>347</v>
      </c>
      <c r="N104" s="13">
        <f>VLOOKUP(A104&amp;"EQ",BhavCopy_NSE_CM!A:U,21,0)</f>
        <v>356.9</v>
      </c>
      <c r="O104" s="8">
        <f>B104-M104*10%</f>
        <v>473.75</v>
      </c>
      <c r="P104" s="19">
        <f>B104-M104*20%</f>
        <v>439.04999999999995</v>
      </c>
      <c r="Q104">
        <v>82</v>
      </c>
      <c r="R104" s="1" t="b">
        <f>M104&lt;I104</f>
        <v>1</v>
      </c>
    </row>
    <row r="105" spans="1:18">
      <c r="A105" t="s">
        <v>4257</v>
      </c>
      <c r="B105" s="27">
        <v>2479.6</v>
      </c>
      <c r="C105" s="5">
        <v>1960</v>
      </c>
      <c r="D105" s="5">
        <f>B105-C105</f>
        <v>519.59999999999991</v>
      </c>
      <c r="E105" s="1">
        <f>D105*13%+C105</f>
        <v>2027.548</v>
      </c>
      <c r="F105" s="2">
        <f>D105*21%+C105</f>
        <v>2069.116</v>
      </c>
      <c r="G105" s="2">
        <f>D105*34%+C105</f>
        <v>2136.6639999999998</v>
      </c>
      <c r="H105" s="1">
        <f>D105*55%+C105</f>
        <v>2245.7799999999997</v>
      </c>
      <c r="I105" s="1">
        <f>D105*89%+C105</f>
        <v>2422.444</v>
      </c>
      <c r="J105" s="7">
        <f>E105*144%+D105</f>
        <v>3439.2691199999999</v>
      </c>
      <c r="L105" s="1">
        <f>(M105*100/C105)-100</f>
        <v>1.0204081632653015</v>
      </c>
      <c r="M105" s="10">
        <f>VLOOKUP(A105&amp;"EQ",BhavCopy_NSE_CM!A:U,19,0)</f>
        <v>1980</v>
      </c>
      <c r="N105" s="13">
        <f>VLOOKUP(A105&amp;"EQ",BhavCopy_NSE_CM!A:U,21,0)</f>
        <v>1960</v>
      </c>
      <c r="O105" s="8">
        <f>B105-M105*10%</f>
        <v>2281.6</v>
      </c>
      <c r="P105" s="19">
        <f>B105-M105*20%</f>
        <v>2083.6</v>
      </c>
      <c r="Q105">
        <v>83</v>
      </c>
      <c r="R105" s="1" t="b">
        <f>M105&lt;I105</f>
        <v>1</v>
      </c>
    </row>
    <row r="106" spans="1:18">
      <c r="A106" t="s">
        <v>4260</v>
      </c>
      <c r="B106" s="27">
        <v>733</v>
      </c>
      <c r="C106" s="5">
        <v>413.5</v>
      </c>
      <c r="D106" s="5">
        <f>B106-C106</f>
        <v>319.5</v>
      </c>
      <c r="E106" s="1">
        <f>D106*13%+C106</f>
        <v>455.03500000000003</v>
      </c>
      <c r="F106" s="2">
        <f>D106*21%+C106</f>
        <v>480.59500000000003</v>
      </c>
      <c r="G106" s="2">
        <f>D106*34%+C106</f>
        <v>522.13</v>
      </c>
      <c r="H106" s="1">
        <f>D106*55%+C106</f>
        <v>589.22500000000002</v>
      </c>
      <c r="I106" s="1">
        <f>D106*89%+C106</f>
        <v>697.85500000000002</v>
      </c>
      <c r="J106" s="7">
        <f>E106*144%+D106</f>
        <v>974.75040000000001</v>
      </c>
      <c r="L106" s="1">
        <f>(M106*100/C106)-100</f>
        <v>44.014510278113676</v>
      </c>
      <c r="M106" s="10">
        <f>VLOOKUP(A106&amp;"EQ",BhavCopy_NSE_CM!A:U,19,0)</f>
        <v>595.5</v>
      </c>
      <c r="N106" s="13">
        <f>VLOOKUP(A106&amp;"EQ",BhavCopy_NSE_CM!A:U,21,0)</f>
        <v>589.15</v>
      </c>
      <c r="O106" s="8">
        <f>B106-M106*10%</f>
        <v>673.45</v>
      </c>
      <c r="P106" s="19">
        <f>B106-M106*20%</f>
        <v>613.9</v>
      </c>
      <c r="Q106">
        <v>84</v>
      </c>
      <c r="R106" s="1" t="b">
        <f>M106&lt;I106</f>
        <v>1</v>
      </c>
    </row>
    <row r="107" spans="1:18">
      <c r="A107" t="s">
        <v>4353</v>
      </c>
      <c r="B107" s="27">
        <v>2890</v>
      </c>
      <c r="C107" s="5">
        <v>1658</v>
      </c>
      <c r="D107" s="5">
        <f>B107-C107</f>
        <v>1232</v>
      </c>
      <c r="E107" s="1">
        <f>D107*13%+C107</f>
        <v>1818.16</v>
      </c>
      <c r="F107" s="2">
        <f>D107*21%+C107</f>
        <v>1916.72</v>
      </c>
      <c r="G107" s="2">
        <f>D107*34%+C107</f>
        <v>2076.88</v>
      </c>
      <c r="H107" s="1">
        <f>D107*55%+C107</f>
        <v>2335.6</v>
      </c>
      <c r="I107" s="1">
        <f>D107*89%+C107</f>
        <v>2754.48</v>
      </c>
      <c r="J107" s="7">
        <f>E107*144%+D107</f>
        <v>3850.1504</v>
      </c>
      <c r="L107" s="1">
        <f>(M107*100/C107)-100</f>
        <v>33.896260554885401</v>
      </c>
      <c r="M107" s="10">
        <f>VLOOKUP(A107&amp;"EQ",BhavCopy_NSE_CM!A:U,19,0)</f>
        <v>2220</v>
      </c>
      <c r="N107" s="13">
        <f>VLOOKUP(A107&amp;"EQ",BhavCopy_NSE_CM!A:U,21,0)</f>
        <v>2210</v>
      </c>
      <c r="O107" s="8">
        <f>B107-M107*10%</f>
        <v>2668</v>
      </c>
      <c r="P107" s="19">
        <f>B107-M107*20%</f>
        <v>2446</v>
      </c>
      <c r="Q107">
        <v>85</v>
      </c>
      <c r="R107" s="1" t="b">
        <f>M107&lt;I107</f>
        <v>1</v>
      </c>
    </row>
    <row r="108" spans="1:18" ht="13.15" customHeight="1">
      <c r="A108" t="s">
        <v>4374</v>
      </c>
      <c r="B108" s="27">
        <v>1500</v>
      </c>
      <c r="C108" s="5">
        <v>1187.5999999999999</v>
      </c>
      <c r="D108" s="5">
        <f>B108-C108</f>
        <v>312.40000000000009</v>
      </c>
      <c r="E108" s="1">
        <f>D108*13%+C108</f>
        <v>1228.212</v>
      </c>
      <c r="F108" s="2">
        <f>D108*21%+C108</f>
        <v>1253.204</v>
      </c>
      <c r="G108" s="2">
        <f>D108*34%+C108</f>
        <v>1293.816</v>
      </c>
      <c r="H108" s="1">
        <f>D108*55%+C108</f>
        <v>1359.42</v>
      </c>
      <c r="I108" s="1">
        <f>D108*89%+C108</f>
        <v>1465.636</v>
      </c>
      <c r="J108" s="7">
        <f>E108*144%+D108</f>
        <v>2081.0252799999998</v>
      </c>
      <c r="L108" s="1">
        <f>(M108*100/C108)-100</f>
        <v>17.834287638935677</v>
      </c>
      <c r="M108" s="10">
        <f>VLOOKUP(A108&amp;"EQ",BhavCopy_NSE_CM!A:U,19,0)</f>
        <v>1399.4</v>
      </c>
      <c r="N108" s="13">
        <f>VLOOKUP(A108&amp;"EQ",BhavCopy_NSE_CM!A:U,21,0)</f>
        <v>1427.5</v>
      </c>
      <c r="O108" s="8">
        <f>B108-M108*10%</f>
        <v>1360.06</v>
      </c>
      <c r="P108" s="19">
        <f>B108-M108*20%</f>
        <v>1220.1199999999999</v>
      </c>
      <c r="Q108">
        <v>86</v>
      </c>
      <c r="R108" s="1" t="b">
        <f>M108&lt;I108</f>
        <v>1</v>
      </c>
    </row>
    <row r="109" spans="1:18">
      <c r="A109" t="s">
        <v>4377</v>
      </c>
      <c r="B109" s="27">
        <v>2064.9</v>
      </c>
      <c r="C109" s="5">
        <v>1484.4</v>
      </c>
      <c r="D109" s="5">
        <f>B109-C109</f>
        <v>580.5</v>
      </c>
      <c r="E109" s="1">
        <f>D109*13%+C109</f>
        <v>1559.865</v>
      </c>
      <c r="F109" s="2">
        <f>D109*21%+C109</f>
        <v>1606.3050000000001</v>
      </c>
      <c r="G109" s="2">
        <f>D109*34%+C109</f>
        <v>1681.77</v>
      </c>
      <c r="H109" s="1">
        <f>D109*55%+C109</f>
        <v>1803.6750000000002</v>
      </c>
      <c r="I109" s="1">
        <f>D109*89%+C109</f>
        <v>2001.0450000000001</v>
      </c>
      <c r="J109" s="7">
        <f>E109*144%+D109</f>
        <v>2826.7055999999998</v>
      </c>
      <c r="L109" s="1">
        <f>(M109*100/C109)-100</f>
        <v>0</v>
      </c>
      <c r="M109" s="10">
        <f>VLOOKUP(A109&amp;"EQ",BhavCopy_NSE_CM!A:U,19,0)</f>
        <v>1484.4</v>
      </c>
      <c r="N109" s="13">
        <f>VLOOKUP(A109&amp;"EQ",BhavCopy_NSE_CM!A:U,21,0)</f>
        <v>1493.4</v>
      </c>
      <c r="O109" s="8">
        <f>B109-M109*10%</f>
        <v>1916.46</v>
      </c>
      <c r="P109" s="19">
        <f>B109-M109*20%</f>
        <v>1768.02</v>
      </c>
      <c r="Q109">
        <v>87</v>
      </c>
      <c r="R109" s="1" t="b">
        <f>M109&lt;I109</f>
        <v>1</v>
      </c>
    </row>
    <row r="110" spans="1:18">
      <c r="A110" t="s">
        <v>4383</v>
      </c>
      <c r="B110" s="27">
        <v>706.8</v>
      </c>
      <c r="C110" s="5">
        <v>459.5</v>
      </c>
      <c r="D110" s="5">
        <f>B110-C110</f>
        <v>247.29999999999995</v>
      </c>
      <c r="E110" s="1">
        <f>D110*13%+C110</f>
        <v>491.649</v>
      </c>
      <c r="F110" s="2">
        <f>D110*21%+C110</f>
        <v>511.43299999999999</v>
      </c>
      <c r="G110" s="2">
        <f>D110*34%+C110</f>
        <v>543.58199999999999</v>
      </c>
      <c r="H110" s="1">
        <f>D110*55%+C110</f>
        <v>595.51499999999999</v>
      </c>
      <c r="I110" s="1">
        <f>D110*89%+C110</f>
        <v>679.59699999999998</v>
      </c>
      <c r="J110" s="7">
        <f>E110*144%+D110</f>
        <v>955.27455999999995</v>
      </c>
      <c r="L110" s="1">
        <f>(M110*100/C110)-100</f>
        <v>2.1327529923830184</v>
      </c>
      <c r="M110" s="10">
        <f>VLOOKUP(A110&amp;"EQ",BhavCopy_NSE_CM!A:U,19,0)</f>
        <v>469.3</v>
      </c>
      <c r="N110" s="13">
        <f>VLOOKUP(A110&amp;"EQ",BhavCopy_NSE_CM!A:U,21,0)</f>
        <v>470.65</v>
      </c>
      <c r="O110" s="8">
        <f>B110-M110*10%</f>
        <v>659.86999999999989</v>
      </c>
      <c r="P110" s="19">
        <f>B110-M110*20%</f>
        <v>612.93999999999994</v>
      </c>
      <c r="Q110">
        <v>88</v>
      </c>
      <c r="R110" s="1" t="b">
        <f>M110&lt;I110</f>
        <v>1</v>
      </c>
    </row>
    <row r="111" spans="1:18">
      <c r="A111" t="s">
        <v>10745</v>
      </c>
      <c r="B111" s="27">
        <v>15.6</v>
      </c>
      <c r="C111" s="5">
        <v>6.12</v>
      </c>
      <c r="D111" s="5">
        <f>B111-C111</f>
        <v>9.48</v>
      </c>
      <c r="E111" s="1">
        <f>D111*13%+C111</f>
        <v>7.3524000000000003</v>
      </c>
      <c r="F111" s="2">
        <f>D111*21%+C111</f>
        <v>8.1108000000000011</v>
      </c>
      <c r="G111" s="2">
        <f>D111*34%+C111</f>
        <v>9.3431999999999995</v>
      </c>
      <c r="H111" s="1">
        <f>D111*55%+C111</f>
        <v>11.334</v>
      </c>
      <c r="I111" s="1">
        <f>D111*89%+C111</f>
        <v>14.557200000000002</v>
      </c>
      <c r="J111" s="7">
        <f>E111*144%+D111</f>
        <v>20.067456</v>
      </c>
      <c r="L111" s="1">
        <f>(M111*100/C111)-100</f>
        <v>151.9607843137255</v>
      </c>
      <c r="M111" s="10">
        <f>VLOOKUP(A111&amp;"EQ",BhavCopy_NSE_CM!A:U,19,0)</f>
        <v>15.42</v>
      </c>
      <c r="N111" s="13">
        <f>VLOOKUP(A111&amp;"EQ",BhavCopy_NSE_CM!A:U,21,0)</f>
        <v>15.6</v>
      </c>
      <c r="O111" s="8">
        <f>B111-M111*10%</f>
        <v>14.058</v>
      </c>
      <c r="P111" s="19">
        <f>B111-M111*20%</f>
        <v>12.516</v>
      </c>
      <c r="Q111">
        <v>89</v>
      </c>
      <c r="R111" s="1" t="b">
        <f>M111&lt;I111</f>
        <v>0</v>
      </c>
    </row>
    <row r="112" spans="1:18">
      <c r="A112" t="s">
        <v>4509</v>
      </c>
      <c r="B112" s="27">
        <v>87.5</v>
      </c>
      <c r="C112" s="5">
        <v>58.08</v>
      </c>
      <c r="D112" s="5">
        <f>B112-C112</f>
        <v>29.42</v>
      </c>
      <c r="E112" s="1">
        <f>D112*13%+C112</f>
        <v>61.904600000000002</v>
      </c>
      <c r="F112" s="2">
        <f>D112*21%+C112</f>
        <v>64.258200000000002</v>
      </c>
      <c r="G112" s="2">
        <f>D112*34%+C112</f>
        <v>68.082799999999992</v>
      </c>
      <c r="H112" s="1">
        <f>D112*55%+C112</f>
        <v>74.260999999999996</v>
      </c>
      <c r="I112" s="1">
        <f>D112*89%+C112</f>
        <v>84.263800000000003</v>
      </c>
      <c r="J112" s="7">
        <f>E112*144%+D112</f>
        <v>118.562624</v>
      </c>
      <c r="L112" s="1">
        <f>(M112*100/C112)-100</f>
        <v>48.932506887052341</v>
      </c>
      <c r="M112" s="10">
        <f>VLOOKUP(A112&amp;"EQ",BhavCopy_NSE_CM!A:U,19,0)</f>
        <v>86.5</v>
      </c>
      <c r="N112" s="13">
        <f>VLOOKUP(A112&amp;"EQ",BhavCopy_NSE_CM!A:U,21,0)</f>
        <v>86.44</v>
      </c>
      <c r="O112" s="8">
        <f>B112-M112*10%</f>
        <v>78.849999999999994</v>
      </c>
      <c r="P112" s="19">
        <f>B112-M112*20%</f>
        <v>70.2</v>
      </c>
      <c r="Q112">
        <v>90</v>
      </c>
      <c r="R112" s="1" t="b">
        <f>M112&lt;I112</f>
        <v>0</v>
      </c>
    </row>
    <row r="113" spans="1:18">
      <c r="A113" t="s">
        <v>4620</v>
      </c>
      <c r="B113" s="27">
        <v>209.99</v>
      </c>
      <c r="C113" s="5">
        <v>114.6</v>
      </c>
      <c r="D113" s="5">
        <f>B113-C113</f>
        <v>95.390000000000015</v>
      </c>
      <c r="E113" s="1">
        <f>D113*13%+C113</f>
        <v>127.00069999999999</v>
      </c>
      <c r="F113" s="2">
        <f>D113*21%+C113</f>
        <v>134.6319</v>
      </c>
      <c r="G113" s="2">
        <f>D113*34%+C113</f>
        <v>147.0326</v>
      </c>
      <c r="H113" s="1">
        <f>D113*55%+C113</f>
        <v>167.06450000000001</v>
      </c>
      <c r="I113" s="1">
        <f>D113*89%+C113</f>
        <v>199.49709999999999</v>
      </c>
      <c r="J113" s="7">
        <f>E113*144%+D113</f>
        <v>278.27100799999999</v>
      </c>
      <c r="L113" s="1">
        <f>(M113*100/C113)-100</f>
        <v>1.6928446771378702</v>
      </c>
      <c r="M113" s="10">
        <f>VLOOKUP(A113&amp;"EQ",BhavCopy_NSE_CM!A:U,19,0)</f>
        <v>116.54</v>
      </c>
      <c r="N113" s="13">
        <f>VLOOKUP(A113&amp;"EQ",BhavCopy_NSE_CM!A:U,21,0)</f>
        <v>117.5</v>
      </c>
      <c r="O113" s="8">
        <f>B113-M113*10%</f>
        <v>198.33600000000001</v>
      </c>
      <c r="P113" s="19">
        <f>B113-M113*20%</f>
        <v>186.68200000000002</v>
      </c>
      <c r="Q113">
        <v>91</v>
      </c>
      <c r="R113" s="1" t="b">
        <f>M113&lt;I113</f>
        <v>1</v>
      </c>
    </row>
    <row r="114" spans="1:18">
      <c r="A114" t="s">
        <v>9935</v>
      </c>
      <c r="B114" s="27">
        <v>811.95</v>
      </c>
      <c r="C114" s="5">
        <v>565</v>
      </c>
      <c r="D114" s="5">
        <f>B114-C114</f>
        <v>246.95000000000005</v>
      </c>
      <c r="E114" s="1">
        <f>D114*13%+C114</f>
        <v>597.10350000000005</v>
      </c>
      <c r="F114" s="2">
        <f>D114*21%+C114</f>
        <v>616.85950000000003</v>
      </c>
      <c r="G114" s="2">
        <f>D114*34%+C114</f>
        <v>648.96299999999997</v>
      </c>
      <c r="H114" s="1">
        <f>D114*55%+C114</f>
        <v>700.82249999999999</v>
      </c>
      <c r="I114" s="1">
        <f>D114*89%+C114</f>
        <v>784.78550000000007</v>
      </c>
      <c r="J114" s="7">
        <f>E114*144%+D114</f>
        <v>1106.7790400000001</v>
      </c>
      <c r="L114" s="1">
        <f>(M114*100/C114)-100</f>
        <v>27.43362831858407</v>
      </c>
      <c r="M114" s="10">
        <f>VLOOKUP(A114&amp;"EQ",BhavCopy_NSE_CM!A:U,19,0)</f>
        <v>720</v>
      </c>
      <c r="N114" s="13">
        <f>VLOOKUP(A114&amp;"EQ",BhavCopy_NSE_CM!A:U,21,0)</f>
        <v>716.2</v>
      </c>
      <c r="O114" s="8">
        <f>B114-M114*10%</f>
        <v>739.95</v>
      </c>
      <c r="P114" s="19">
        <f>B114-M114*20%</f>
        <v>667.95</v>
      </c>
      <c r="Q114">
        <v>92</v>
      </c>
      <c r="R114" s="1" t="b">
        <f>M114&lt;I114</f>
        <v>1</v>
      </c>
    </row>
    <row r="115" spans="1:18">
      <c r="A115" t="s">
        <v>4611</v>
      </c>
      <c r="B115" s="27">
        <v>1000.9</v>
      </c>
      <c r="C115" s="5">
        <v>606</v>
      </c>
      <c r="D115" s="5">
        <f>B115-C115</f>
        <v>394.9</v>
      </c>
      <c r="E115" s="1">
        <f>D115*13%+C115</f>
        <v>657.33699999999999</v>
      </c>
      <c r="F115" s="2">
        <f>D115*21%+C115</f>
        <v>688.92899999999997</v>
      </c>
      <c r="G115" s="2">
        <f>D115*34%+C115</f>
        <v>740.26599999999996</v>
      </c>
      <c r="H115" s="1">
        <f>D115*55%+C115</f>
        <v>823.19499999999994</v>
      </c>
      <c r="I115" s="1">
        <f>D115*89%+C115</f>
        <v>957.46100000000001</v>
      </c>
      <c r="J115" s="7">
        <f>E115*144%+D115</f>
        <v>1341.4652799999999</v>
      </c>
      <c r="L115" s="1">
        <f>(M115*100/C115)-100</f>
        <v>41.897689768976903</v>
      </c>
      <c r="M115" s="10">
        <f>VLOOKUP(A115&amp;"EQ",BhavCopy_NSE_CM!A:U,19,0)</f>
        <v>859.9</v>
      </c>
      <c r="N115" s="13">
        <f>VLOOKUP(A115&amp;"EQ",BhavCopy_NSE_CM!A:U,21,0)</f>
        <v>869.4</v>
      </c>
      <c r="O115" s="8">
        <f>B115-M115*10%</f>
        <v>914.91</v>
      </c>
      <c r="P115" s="19">
        <f>B115-M115*20%</f>
        <v>828.92</v>
      </c>
      <c r="Q115">
        <v>93</v>
      </c>
      <c r="R115" s="1" t="b">
        <f>M115&lt;I115</f>
        <v>1</v>
      </c>
    </row>
    <row r="116" spans="1:18">
      <c r="A116" t="s">
        <v>4800</v>
      </c>
      <c r="B116" s="27">
        <v>6232.5</v>
      </c>
      <c r="C116" s="5">
        <v>3895.2</v>
      </c>
      <c r="D116" s="5">
        <f>B116-C116</f>
        <v>2337.3000000000002</v>
      </c>
      <c r="E116" s="1">
        <f>D116*13%+C116</f>
        <v>4199.049</v>
      </c>
      <c r="F116" s="2">
        <f>D116*21%+C116</f>
        <v>4386.0329999999994</v>
      </c>
      <c r="G116" s="2">
        <f>D116*34%+C116</f>
        <v>4689.8819999999996</v>
      </c>
      <c r="H116" s="1">
        <f>D116*55%+C116</f>
        <v>5180.7150000000001</v>
      </c>
      <c r="I116" s="1">
        <f>D116*89%+C116</f>
        <v>5975.3969999999999</v>
      </c>
      <c r="J116" s="7">
        <f>E116*144%+D116</f>
        <v>8383.9305600000007</v>
      </c>
      <c r="L116" s="1">
        <f>(M116*100/C116)-100</f>
        <v>28.363113575682888</v>
      </c>
      <c r="M116" s="10">
        <f>VLOOKUP(A116&amp;"EQ",BhavCopy_NSE_CM!A:U,19,0)</f>
        <v>5000</v>
      </c>
      <c r="N116" s="13">
        <f>VLOOKUP(A116&amp;"EQ",BhavCopy_NSE_CM!A:U,21,0)</f>
        <v>5001</v>
      </c>
      <c r="O116" s="8">
        <f>B116-M116*10%</f>
        <v>5732.5</v>
      </c>
      <c r="P116" s="19">
        <f>B116-M116*20%</f>
        <v>5232.5</v>
      </c>
      <c r="Q116">
        <v>94</v>
      </c>
      <c r="R116" s="1" t="b">
        <f>M116&lt;I116</f>
        <v>1</v>
      </c>
    </row>
    <row r="117" spans="1:18">
      <c r="A117" t="s">
        <v>4719</v>
      </c>
      <c r="B117" s="27">
        <v>1069.3</v>
      </c>
      <c r="C117" s="5">
        <v>710.6</v>
      </c>
      <c r="D117" s="5">
        <f>B117-C117</f>
        <v>358.69999999999993</v>
      </c>
      <c r="E117" s="1">
        <f>D117*13%+C117</f>
        <v>757.23099999999999</v>
      </c>
      <c r="F117" s="2">
        <f>D117*21%+C117</f>
        <v>785.92700000000002</v>
      </c>
      <c r="G117" s="2">
        <f>D117*34%+C117</f>
        <v>832.55799999999999</v>
      </c>
      <c r="H117" s="1">
        <f>D117*55%+C117</f>
        <v>907.88499999999999</v>
      </c>
      <c r="I117" s="1">
        <f>D117*89%+C117</f>
        <v>1029.8429999999998</v>
      </c>
      <c r="J117" s="7">
        <f>E117*144%+D117</f>
        <v>1449.1126399999998</v>
      </c>
      <c r="L117" s="1">
        <f>(M117*100/C117)-100</f>
        <v>40.402476780185765</v>
      </c>
      <c r="M117" s="10">
        <f>VLOOKUP(A117&amp;"EQ",BhavCopy_NSE_CM!A:U,19,0)</f>
        <v>997.7</v>
      </c>
      <c r="N117" s="13">
        <f>VLOOKUP(A117&amp;"EQ",BhavCopy_NSE_CM!A:U,21,0)</f>
        <v>998</v>
      </c>
      <c r="O117" s="8">
        <f>B117-M117*10%</f>
        <v>969.53</v>
      </c>
      <c r="P117" s="19">
        <f>B117-M117*20%</f>
        <v>869.76</v>
      </c>
      <c r="Q117">
        <v>95</v>
      </c>
      <c r="R117" s="1" t="b">
        <f>M117&lt;I117</f>
        <v>1</v>
      </c>
    </row>
    <row r="118" spans="1:18">
      <c r="A118" t="s">
        <v>4716</v>
      </c>
      <c r="B118" s="27">
        <v>481.5</v>
      </c>
      <c r="C118" s="5">
        <v>312.55</v>
      </c>
      <c r="D118" s="5">
        <f>B118-C118</f>
        <v>168.95</v>
      </c>
      <c r="E118" s="1">
        <f>D118*13%+C118</f>
        <v>334.51350000000002</v>
      </c>
      <c r="F118" s="2">
        <f>D118*21%+C118</f>
        <v>348.02949999999998</v>
      </c>
      <c r="G118" s="2">
        <f>D118*34%+C118</f>
        <v>369.99299999999999</v>
      </c>
      <c r="H118" s="1">
        <f>D118*55%+C118</f>
        <v>405.47250000000003</v>
      </c>
      <c r="I118" s="1">
        <f>D118*89%+C118</f>
        <v>462.91550000000001</v>
      </c>
      <c r="J118" s="7">
        <f>E118*144%+D118</f>
        <v>650.64944000000003</v>
      </c>
      <c r="L118" s="1">
        <f>(M118*100/C118)-100</f>
        <v>19.356902895536706</v>
      </c>
      <c r="M118" s="10">
        <f>VLOOKUP(A118&amp;"EQ",BhavCopy_NSE_CM!A:U,19,0)</f>
        <v>373.05</v>
      </c>
      <c r="N118" s="13">
        <f>VLOOKUP(A118&amp;"EQ",BhavCopy_NSE_CM!A:U,21,0)</f>
        <v>376.45</v>
      </c>
      <c r="O118" s="8">
        <f>B118-M118*10%</f>
        <v>444.19499999999999</v>
      </c>
      <c r="P118" s="19">
        <f>B118-M118*20%</f>
        <v>406.89</v>
      </c>
      <c r="Q118">
        <v>96</v>
      </c>
      <c r="R118" s="1" t="b">
        <f>M118&lt;I118</f>
        <v>1</v>
      </c>
    </row>
    <row r="119" spans="1:18">
      <c r="A119" t="s">
        <v>4746</v>
      </c>
      <c r="B119" s="27">
        <v>1728</v>
      </c>
      <c r="C119" s="5">
        <v>982.4</v>
      </c>
      <c r="D119" s="5">
        <f>B119-C119</f>
        <v>745.6</v>
      </c>
      <c r="E119" s="1">
        <f>D119*13%+C119</f>
        <v>1079.328</v>
      </c>
      <c r="F119" s="2">
        <f>D119*21%+C119</f>
        <v>1138.9759999999999</v>
      </c>
      <c r="G119" s="2">
        <f>D119*34%+C119</f>
        <v>1235.904</v>
      </c>
      <c r="H119" s="1">
        <f>D119*55%+C119</f>
        <v>1392.48</v>
      </c>
      <c r="I119" s="1">
        <f>D119*89%+C119</f>
        <v>1645.9839999999999</v>
      </c>
      <c r="J119" s="7">
        <f>E119*144%+D119</f>
        <v>2299.83232</v>
      </c>
      <c r="L119" s="1">
        <f>(M119*100/C119)-100</f>
        <v>10.1384364820847</v>
      </c>
      <c r="M119" s="10">
        <f>VLOOKUP(A119&amp;"EQ",BhavCopy_NSE_CM!A:U,19,0)</f>
        <v>1082</v>
      </c>
      <c r="N119" s="13">
        <f>VLOOKUP(A119&amp;"EQ",BhavCopy_NSE_CM!A:U,21,0)</f>
        <v>1087.5</v>
      </c>
      <c r="O119" s="8">
        <f>B119-M119*10%</f>
        <v>1619.8</v>
      </c>
      <c r="P119" s="19">
        <f>B119-M119*20%</f>
        <v>1511.6</v>
      </c>
      <c r="Q119">
        <v>97</v>
      </c>
      <c r="R119" s="1" t="b">
        <f>M119&lt;I119</f>
        <v>1</v>
      </c>
    </row>
    <row r="120" spans="1:18">
      <c r="A120" t="s">
        <v>4773</v>
      </c>
      <c r="B120" s="27">
        <v>177.79</v>
      </c>
      <c r="C120" s="5">
        <v>69.5</v>
      </c>
      <c r="D120" s="5">
        <f>B120-C120</f>
        <v>108.28999999999999</v>
      </c>
      <c r="E120" s="1">
        <f>D120*13%+C120</f>
        <v>83.577699999999993</v>
      </c>
      <c r="F120" s="2">
        <f>D120*21%+C120</f>
        <v>92.240899999999996</v>
      </c>
      <c r="G120" s="2">
        <f>D120*34%+C120</f>
        <v>106.3186</v>
      </c>
      <c r="H120" s="1">
        <f>D120*55%+C120</f>
        <v>129.05950000000001</v>
      </c>
      <c r="I120" s="1">
        <f>D120*89%+C120</f>
        <v>165.87809999999999</v>
      </c>
      <c r="J120" s="7">
        <f>E120*144%+D120</f>
        <v>228.64188799999999</v>
      </c>
      <c r="L120" s="1">
        <f>(M120*100/C120)-100</f>
        <v>8.9352517985611399</v>
      </c>
      <c r="M120" s="10">
        <f>VLOOKUP(A120&amp;"EQ",BhavCopy_NSE_CM!A:U,19,0)</f>
        <v>75.709999999999994</v>
      </c>
      <c r="N120" s="13">
        <f>VLOOKUP(A120&amp;"EQ",BhavCopy_NSE_CM!A:U,21,0)</f>
        <v>75.599999999999994</v>
      </c>
      <c r="O120" s="8">
        <f>B120-M120*10%</f>
        <v>170.21899999999999</v>
      </c>
      <c r="P120" s="19">
        <f>B120-M120*20%</f>
        <v>162.648</v>
      </c>
      <c r="Q120">
        <v>98</v>
      </c>
      <c r="R120" s="1" t="b">
        <f>M120&lt;I120</f>
        <v>1</v>
      </c>
    </row>
    <row r="121" spans="1:18">
      <c r="A121" t="s">
        <v>4629</v>
      </c>
      <c r="B121" s="27">
        <v>188.96</v>
      </c>
      <c r="C121" s="5">
        <v>130.22</v>
      </c>
      <c r="D121" s="5">
        <f>B121-C121</f>
        <v>58.740000000000009</v>
      </c>
      <c r="E121" s="1">
        <f>D121*13%+C121</f>
        <v>137.8562</v>
      </c>
      <c r="F121" s="2">
        <f>D121*21%+C121</f>
        <v>142.55539999999999</v>
      </c>
      <c r="G121" s="2">
        <f>D121*34%+C121</f>
        <v>150.19159999999999</v>
      </c>
      <c r="H121" s="1">
        <f>D121*55%+C121</f>
        <v>162.52700000000002</v>
      </c>
      <c r="I121" s="1">
        <f>D121*89%+C121</f>
        <v>182.49860000000001</v>
      </c>
      <c r="J121" s="7">
        <f>E121*144%+D121</f>
        <v>257.252928</v>
      </c>
      <c r="L121" s="1">
        <f>(M121*100/C121)-100</f>
        <v>3.1715558285977608</v>
      </c>
      <c r="M121" s="10">
        <f>VLOOKUP(A121&amp;"EQ",BhavCopy_NSE_CM!A:U,19,0)</f>
        <v>134.35</v>
      </c>
      <c r="N121" s="13">
        <f>VLOOKUP(A121&amp;"EQ",BhavCopy_NSE_CM!A:U,21,0)</f>
        <v>135.15</v>
      </c>
      <c r="O121" s="8">
        <f>B121-M121*10%</f>
        <v>175.52500000000001</v>
      </c>
      <c r="P121" s="19">
        <f>B121-M121*20%</f>
        <v>162.09</v>
      </c>
      <c r="Q121">
        <v>99</v>
      </c>
      <c r="R121" s="1" t="b">
        <f>M121&lt;I121</f>
        <v>1</v>
      </c>
    </row>
    <row r="122" spans="1:18">
      <c r="A122" t="s">
        <v>4644</v>
      </c>
      <c r="B122" s="27">
        <v>163.35</v>
      </c>
      <c r="C122" s="5">
        <v>108.65</v>
      </c>
      <c r="D122" s="5">
        <f>B122-C122</f>
        <v>54.699999999999989</v>
      </c>
      <c r="E122" s="1">
        <f>D122*13%+C122</f>
        <v>115.76100000000001</v>
      </c>
      <c r="F122" s="2">
        <f>D122*21%+C122</f>
        <v>120.137</v>
      </c>
      <c r="G122" s="2">
        <f>D122*34%+C122</f>
        <v>127.248</v>
      </c>
      <c r="H122" s="1">
        <f>D122*55%+C122</f>
        <v>138.73500000000001</v>
      </c>
      <c r="I122" s="1">
        <f>D122*89%+C122</f>
        <v>157.333</v>
      </c>
      <c r="J122" s="7">
        <f>E122*144%+D122</f>
        <v>221.39583999999999</v>
      </c>
      <c r="L122" s="1">
        <f>(M122*100/C122)-100</f>
        <v>3.2673722963644707</v>
      </c>
      <c r="M122" s="10">
        <f>VLOOKUP(A122&amp;"EQ",BhavCopy_NSE_CM!A:U,19,0)</f>
        <v>112.2</v>
      </c>
      <c r="N122" s="13">
        <f>VLOOKUP(A122&amp;"EQ",BhavCopy_NSE_CM!A:U,21,0)</f>
        <v>112.95</v>
      </c>
      <c r="O122" s="8">
        <f>B122-M122*10%</f>
        <v>152.13</v>
      </c>
      <c r="P122" s="19">
        <f>B122-M122*20%</f>
        <v>140.91</v>
      </c>
      <c r="Q122">
        <v>100</v>
      </c>
      <c r="R122" s="1" t="b">
        <f>M122&lt;I122</f>
        <v>1</v>
      </c>
    </row>
    <row r="123" spans="1:18">
      <c r="A123" t="s">
        <v>4641</v>
      </c>
      <c r="B123" s="27">
        <v>138</v>
      </c>
      <c r="C123" s="5">
        <v>82</v>
      </c>
      <c r="D123" s="5">
        <f>B123-C123</f>
        <v>56</v>
      </c>
      <c r="E123" s="1">
        <f>D123*13%+C123</f>
        <v>89.28</v>
      </c>
      <c r="F123" s="2">
        <f>D123*21%+C123</f>
        <v>93.76</v>
      </c>
      <c r="G123" s="2">
        <f>D123*34%+C123</f>
        <v>101.04</v>
      </c>
      <c r="H123" s="1">
        <f>D123*55%+C123</f>
        <v>112.80000000000001</v>
      </c>
      <c r="I123" s="1">
        <f>D123*89%+C123</f>
        <v>131.84</v>
      </c>
      <c r="J123" s="7">
        <f>E123*144%+D123</f>
        <v>184.56319999999999</v>
      </c>
      <c r="L123" s="1">
        <f>(M123*100/C123)-100</f>
        <v>0</v>
      </c>
      <c r="M123" s="10">
        <f>VLOOKUP(A123&amp;"EQ",BhavCopy_NSE_CM!A:U,19,0)</f>
        <v>82</v>
      </c>
      <c r="N123" s="13">
        <f>VLOOKUP(A123&amp;"EQ",BhavCopy_NSE_CM!A:U,21,0)</f>
        <v>83</v>
      </c>
      <c r="O123" s="8">
        <f>B123-M123*10%</f>
        <v>129.80000000000001</v>
      </c>
      <c r="P123" s="19">
        <f>B123-M123*20%</f>
        <v>121.6</v>
      </c>
      <c r="Q123">
        <v>101</v>
      </c>
      <c r="R123" s="1" t="b">
        <f>M123&lt;I123</f>
        <v>1</v>
      </c>
    </row>
    <row r="124" spans="1:18">
      <c r="A124" t="s">
        <v>4875</v>
      </c>
      <c r="B124" s="27">
        <v>427</v>
      </c>
      <c r="C124" s="5">
        <v>255.5</v>
      </c>
      <c r="D124" s="5">
        <f>B124-C124</f>
        <v>171.5</v>
      </c>
      <c r="E124" s="1">
        <f>D124*13%+C124</f>
        <v>277.79500000000002</v>
      </c>
      <c r="F124" s="2">
        <f>D124*21%+C124</f>
        <v>291.51499999999999</v>
      </c>
      <c r="G124" s="2">
        <f>D124*34%+C124</f>
        <v>313.81</v>
      </c>
      <c r="H124" s="1">
        <f>D124*55%+C124</f>
        <v>349.82499999999999</v>
      </c>
      <c r="I124" s="1">
        <f>D124*89%+C124</f>
        <v>408.13499999999999</v>
      </c>
      <c r="J124" s="7">
        <f>E124*144%+D124</f>
        <v>571.52480000000003</v>
      </c>
      <c r="L124" s="1">
        <f>(M124*100/C124)-100</f>
        <v>3.1311154598825794</v>
      </c>
      <c r="M124" s="10">
        <f>VLOOKUP(A124&amp;"EQ",BhavCopy_NSE_CM!A:U,19,0)</f>
        <v>263.5</v>
      </c>
      <c r="N124" s="13">
        <f>VLOOKUP(A124&amp;"EQ",BhavCopy_NSE_CM!A:U,21,0)</f>
        <v>263.5</v>
      </c>
      <c r="O124" s="8">
        <f>B124-M124*10%</f>
        <v>400.65</v>
      </c>
      <c r="P124" s="19">
        <f>B124-M124*20%</f>
        <v>374.3</v>
      </c>
      <c r="Q124">
        <v>102</v>
      </c>
      <c r="R124" s="1" t="b">
        <f>M124&lt;I124</f>
        <v>1</v>
      </c>
    </row>
    <row r="125" spans="1:18">
      <c r="A125" t="s">
        <v>5012</v>
      </c>
      <c r="B125" s="27">
        <v>1306.2</v>
      </c>
      <c r="C125" s="5">
        <v>927.2</v>
      </c>
      <c r="D125" s="5">
        <f>B125-C125</f>
        <v>379</v>
      </c>
      <c r="E125" s="1">
        <f>D125*13%+C125</f>
        <v>976.47</v>
      </c>
      <c r="F125" s="2">
        <f>D125*21%+C125</f>
        <v>1006.7900000000001</v>
      </c>
      <c r="G125" s="2">
        <f>D125*34%+C125</f>
        <v>1056.06</v>
      </c>
      <c r="H125" s="1">
        <f>D125*55%+C125</f>
        <v>1135.6500000000001</v>
      </c>
      <c r="I125" s="1">
        <f>D125*89%+C125</f>
        <v>1264.51</v>
      </c>
      <c r="J125" s="7">
        <f>E125*144%+D125</f>
        <v>1785.1168</v>
      </c>
      <c r="L125" s="1">
        <f>(M125*100/C125)-100</f>
        <v>22.55176876617773</v>
      </c>
      <c r="M125" s="10">
        <f>VLOOKUP(A125&amp;"EQ",BhavCopy_NSE_CM!A:U,19,0)</f>
        <v>1136.3</v>
      </c>
      <c r="N125" s="13">
        <f>VLOOKUP(A125&amp;"EQ",BhavCopy_NSE_CM!A:U,21,0)</f>
        <v>1147.9000000000001</v>
      </c>
      <c r="O125" s="8">
        <f>B125-M125*10%</f>
        <v>1192.5700000000002</v>
      </c>
      <c r="P125" s="19">
        <f>B125-M125*20%</f>
        <v>1078.94</v>
      </c>
      <c r="Q125">
        <v>103</v>
      </c>
      <c r="R125" s="1" t="b">
        <f>M125&lt;I125</f>
        <v>1</v>
      </c>
    </row>
    <row r="126" spans="1:18">
      <c r="A126" t="s">
        <v>5021</v>
      </c>
      <c r="B126" s="27">
        <v>338.6</v>
      </c>
      <c r="C126" s="5">
        <v>223.3</v>
      </c>
      <c r="D126" s="5">
        <f>B126-C126</f>
        <v>115.30000000000001</v>
      </c>
      <c r="E126" s="1">
        <f>D126*13%+C126</f>
        <v>238.28900000000002</v>
      </c>
      <c r="F126" s="2">
        <f>D126*21%+C126</f>
        <v>247.51300000000001</v>
      </c>
      <c r="G126" s="2">
        <f>D126*34%+C126</f>
        <v>262.50200000000001</v>
      </c>
      <c r="H126" s="1">
        <f>D126*55%+C126</f>
        <v>286.71500000000003</v>
      </c>
      <c r="I126" s="1">
        <f>D126*89%+C126</f>
        <v>325.91700000000003</v>
      </c>
      <c r="J126" s="7">
        <f>E126*144%+D126</f>
        <v>458.43616000000003</v>
      </c>
      <c r="L126" s="1">
        <f>(M126*100/C126)-100</f>
        <v>4.4111061352440544</v>
      </c>
      <c r="M126" s="10">
        <f>VLOOKUP(A126&amp;"EQ",BhavCopy_NSE_CM!A:U,19,0)</f>
        <v>233.15</v>
      </c>
      <c r="N126" s="13">
        <f>VLOOKUP(A126&amp;"EQ",BhavCopy_NSE_CM!A:U,21,0)</f>
        <v>234.4</v>
      </c>
      <c r="O126" s="8">
        <f>B126-M126*10%</f>
        <v>315.28500000000003</v>
      </c>
      <c r="P126" s="19">
        <f>B126-M126*20%</f>
        <v>291.97000000000003</v>
      </c>
      <c r="Q126">
        <v>104</v>
      </c>
      <c r="R126" s="1" t="b">
        <f>M126&lt;I126</f>
        <v>1</v>
      </c>
    </row>
    <row r="127" spans="1:18">
      <c r="A127" t="s">
        <v>5066</v>
      </c>
      <c r="B127" s="27">
        <v>617.35</v>
      </c>
      <c r="C127" s="5">
        <v>427.75</v>
      </c>
      <c r="D127" s="5">
        <f>B127-C127</f>
        <v>189.60000000000002</v>
      </c>
      <c r="E127" s="1">
        <f>D127*13%+C127</f>
        <v>452.39800000000002</v>
      </c>
      <c r="F127" s="2">
        <f>D127*21%+C127</f>
        <v>467.56600000000003</v>
      </c>
      <c r="G127" s="2">
        <f>D127*34%+C127</f>
        <v>492.214</v>
      </c>
      <c r="H127" s="1">
        <f>D127*55%+C127</f>
        <v>532.03</v>
      </c>
      <c r="I127" s="1">
        <f>D127*89%+C127</f>
        <v>596.49400000000003</v>
      </c>
      <c r="J127" s="7">
        <f>E127*144%+D127</f>
        <v>841.05312000000004</v>
      </c>
      <c r="L127" s="1">
        <f>(M127*100/C127)-100</f>
        <v>23.085914669783747</v>
      </c>
      <c r="M127" s="10">
        <f>VLOOKUP(A127&amp;"EQ",BhavCopy_NSE_CM!A:U,19,0)</f>
        <v>526.5</v>
      </c>
      <c r="N127" s="13">
        <f>VLOOKUP(A127&amp;"EQ",BhavCopy_NSE_CM!A:U,21,0)</f>
        <v>530</v>
      </c>
      <c r="O127" s="8">
        <f>B127-M127*10%</f>
        <v>564.70000000000005</v>
      </c>
      <c r="P127" s="19">
        <f>B127-M127*20%</f>
        <v>512.04999999999995</v>
      </c>
      <c r="Q127">
        <v>105</v>
      </c>
      <c r="R127" s="1" t="b">
        <f>M127&lt;I127</f>
        <v>1</v>
      </c>
    </row>
    <row r="128" spans="1:18">
      <c r="A128" t="s">
        <v>5075</v>
      </c>
      <c r="B128" s="27">
        <v>1341</v>
      </c>
      <c r="C128" s="5">
        <v>1017.4</v>
      </c>
      <c r="D128" s="5">
        <f>B128-C128</f>
        <v>323.60000000000002</v>
      </c>
      <c r="E128" s="1">
        <f>D128*13%+C128</f>
        <v>1059.4680000000001</v>
      </c>
      <c r="F128" s="2">
        <f>D128*21%+C128</f>
        <v>1085.356</v>
      </c>
      <c r="G128" s="2">
        <f>D128*34%+C128</f>
        <v>1127.424</v>
      </c>
      <c r="H128" s="1">
        <f>D128*55%+C128</f>
        <v>1195.3800000000001</v>
      </c>
      <c r="I128" s="1">
        <f>D128*89%+C128</f>
        <v>1305.404</v>
      </c>
      <c r="J128" s="7">
        <f>E128*144%+D128</f>
        <v>1849.2339200000001</v>
      </c>
      <c r="L128" s="1">
        <f>(M128*100/C128)-100</f>
        <v>27.511303322193825</v>
      </c>
      <c r="M128" s="10">
        <f>VLOOKUP(A128&amp;"EQ",BhavCopy_NSE_CM!A:U,19,0)</f>
        <v>1297.3</v>
      </c>
      <c r="N128" s="13">
        <f>VLOOKUP(A128&amp;"EQ",BhavCopy_NSE_CM!A:U,21,0)</f>
        <v>1302</v>
      </c>
      <c r="O128" s="8">
        <f>B128-M128*10%</f>
        <v>1211.27</v>
      </c>
      <c r="P128" s="19">
        <f>B128-M128*20%</f>
        <v>1081.54</v>
      </c>
      <c r="Q128">
        <v>106</v>
      </c>
      <c r="R128" s="1" t="b">
        <f>M128&lt;I128</f>
        <v>1</v>
      </c>
    </row>
    <row r="129" spans="1:18">
      <c r="A129" t="s">
        <v>5087</v>
      </c>
      <c r="B129" s="27">
        <v>695.5</v>
      </c>
      <c r="C129" s="5">
        <v>408.8</v>
      </c>
      <c r="D129" s="5">
        <f>B129-C129</f>
        <v>286.7</v>
      </c>
      <c r="E129" s="1">
        <f>D129*13%+C129</f>
        <v>446.07100000000003</v>
      </c>
      <c r="F129" s="2">
        <f>D129*21%+C129</f>
        <v>469.00700000000001</v>
      </c>
      <c r="G129" s="2">
        <f>D129*34%+C129</f>
        <v>506.27800000000002</v>
      </c>
      <c r="H129" s="1">
        <f>D129*55%+C129</f>
        <v>566.48500000000001</v>
      </c>
      <c r="I129" s="1">
        <f>D129*89%+C129</f>
        <v>663.96299999999997</v>
      </c>
      <c r="J129" s="7">
        <f>E129*144%+D129</f>
        <v>929.04223999999999</v>
      </c>
      <c r="L129" s="1">
        <f>(M129*100/C129)-100</f>
        <v>17.514677103718199</v>
      </c>
      <c r="M129" s="10">
        <f>VLOOKUP(A129&amp;"EQ",BhavCopy_NSE_CM!A:U,19,0)</f>
        <v>480.4</v>
      </c>
      <c r="N129" s="13">
        <f>VLOOKUP(A129&amp;"EQ",BhavCopy_NSE_CM!A:U,21,0)</f>
        <v>475.4</v>
      </c>
      <c r="O129" s="8">
        <f>B129-M129*10%</f>
        <v>647.46</v>
      </c>
      <c r="P129" s="19">
        <f>B129-M129*20%</f>
        <v>599.41999999999996</v>
      </c>
      <c r="Q129">
        <v>107</v>
      </c>
      <c r="R129" s="1" t="b">
        <f>M129&lt;I129</f>
        <v>1</v>
      </c>
    </row>
    <row r="130" spans="1:18">
      <c r="A130" t="s">
        <v>5165</v>
      </c>
      <c r="B130" s="27">
        <v>634.6</v>
      </c>
      <c r="C130" s="5">
        <v>327.05</v>
      </c>
      <c r="D130" s="5">
        <f>B130-C130</f>
        <v>307.55</v>
      </c>
      <c r="E130" s="1">
        <f>D130*13%+C130</f>
        <v>367.03149999999999</v>
      </c>
      <c r="F130" s="2">
        <f>D130*21%+C130</f>
        <v>391.63549999999998</v>
      </c>
      <c r="G130" s="2">
        <f>D130*34%+C130</f>
        <v>431.61700000000002</v>
      </c>
      <c r="H130" s="1">
        <f>D130*55%+C130</f>
        <v>496.20250000000004</v>
      </c>
      <c r="I130" s="1">
        <f>D130*89%+C130</f>
        <v>600.76950000000011</v>
      </c>
      <c r="J130" s="7">
        <f>E130*144%+D130</f>
        <v>836.07536000000005</v>
      </c>
      <c r="L130" s="1">
        <f>(M130*100/C130)-100</f>
        <v>87.310808744840244</v>
      </c>
      <c r="M130" s="10">
        <f>VLOOKUP(A130&amp;"EQ",BhavCopy_NSE_CM!A:U,19,0)</f>
        <v>612.6</v>
      </c>
      <c r="N130" s="13">
        <f>VLOOKUP(A130&amp;"EQ",BhavCopy_NSE_CM!A:U,21,0)</f>
        <v>591</v>
      </c>
      <c r="O130" s="8">
        <f>B130-M130*10%</f>
        <v>573.34</v>
      </c>
      <c r="P130" s="19">
        <f>B130-M130*20%</f>
        <v>512.08000000000004</v>
      </c>
      <c r="Q130">
        <v>108</v>
      </c>
      <c r="R130" s="1" t="b">
        <f>M130&lt;I130</f>
        <v>0</v>
      </c>
    </row>
    <row r="131" spans="1:18">
      <c r="A131" t="s">
        <v>5249</v>
      </c>
      <c r="B131" s="27">
        <v>7705</v>
      </c>
      <c r="C131" s="5">
        <v>2995</v>
      </c>
      <c r="D131" s="5">
        <f>B131-C131</f>
        <v>4710</v>
      </c>
      <c r="E131" s="1">
        <f>D131*13%+C131</f>
        <v>3607.3</v>
      </c>
      <c r="F131" s="2">
        <f>D131*21%+C131</f>
        <v>3984.1</v>
      </c>
      <c r="G131" s="2">
        <f>D131*34%+C131</f>
        <v>4596.3999999999996</v>
      </c>
      <c r="H131" s="1">
        <f>D131*55%+C131</f>
        <v>5585.5</v>
      </c>
      <c r="I131" s="1">
        <f>D131*89%+C131</f>
        <v>7186.9</v>
      </c>
      <c r="J131" s="7">
        <f>E131*144%+D131</f>
        <v>9904.5119999999988</v>
      </c>
      <c r="L131" s="1">
        <f>(M131*100/C131)-100</f>
        <v>20.534223706176959</v>
      </c>
      <c r="M131" s="10">
        <f>VLOOKUP(A131&amp;"EQ",BhavCopy_NSE_CM!A:U,19,0)</f>
        <v>3610</v>
      </c>
      <c r="N131" s="13">
        <f>VLOOKUP(A131&amp;"EQ",BhavCopy_NSE_CM!A:U,21,0)</f>
        <v>3604</v>
      </c>
      <c r="O131" s="8">
        <f>B131-M131*10%</f>
        <v>7344</v>
      </c>
      <c r="P131" s="19">
        <f>B131-M131*20%</f>
        <v>6983</v>
      </c>
      <c r="Q131">
        <v>109</v>
      </c>
      <c r="R131" s="1" t="b">
        <f>M131&lt;I131</f>
        <v>1</v>
      </c>
    </row>
    <row r="132" spans="1:18">
      <c r="A132" t="s">
        <v>5273</v>
      </c>
      <c r="B132" s="27">
        <v>5873</v>
      </c>
      <c r="C132" s="5">
        <v>3612</v>
      </c>
      <c r="D132" s="5">
        <f>B132-C132</f>
        <v>2261</v>
      </c>
      <c r="E132" s="1">
        <f>D132*13%+C132</f>
        <v>3905.93</v>
      </c>
      <c r="F132" s="2">
        <f>D132*21%+C132</f>
        <v>4086.81</v>
      </c>
      <c r="G132" s="2">
        <f>D132*34%+C132</f>
        <v>4380.74</v>
      </c>
      <c r="H132" s="1">
        <f>D132*55%+C132</f>
        <v>4855.55</v>
      </c>
      <c r="I132" s="1">
        <f>D132*89%+C132</f>
        <v>5624.29</v>
      </c>
      <c r="J132" s="7">
        <f>E132*144%+D132</f>
        <v>7885.5391999999993</v>
      </c>
      <c r="L132" s="1">
        <f>(M132*100/C132)-100</f>
        <v>30.052602436323355</v>
      </c>
      <c r="M132" s="10">
        <f>VLOOKUP(A132&amp;"EQ",BhavCopy_NSE_CM!A:U,19,0)</f>
        <v>4697.5</v>
      </c>
      <c r="N132" s="13">
        <f>VLOOKUP(A132&amp;"EQ",BhavCopy_NSE_CM!A:U,21,0)</f>
        <v>4704</v>
      </c>
      <c r="O132" s="8">
        <f>B132-M132*10%</f>
        <v>5403.25</v>
      </c>
      <c r="P132" s="19">
        <f>B132-M132*20%</f>
        <v>4933.5</v>
      </c>
      <c r="Q132">
        <v>110</v>
      </c>
      <c r="R132" s="1" t="b">
        <f>M132&lt;I132</f>
        <v>1</v>
      </c>
    </row>
    <row r="133" spans="1:18">
      <c r="A133" t="s">
        <v>5300</v>
      </c>
      <c r="B133" s="27">
        <v>1308.3</v>
      </c>
      <c r="C133" s="5">
        <v>784.95</v>
      </c>
      <c r="D133" s="5">
        <f>B133-C133</f>
        <v>523.34999999999991</v>
      </c>
      <c r="E133" s="1">
        <f>D133*13%+C133</f>
        <v>852.9855</v>
      </c>
      <c r="F133" s="2">
        <f>D133*21%+C133</f>
        <v>894.85350000000005</v>
      </c>
      <c r="G133" s="2">
        <f>D133*34%+C133</f>
        <v>962.88900000000001</v>
      </c>
      <c r="H133" s="1">
        <f>D133*55%+C133</f>
        <v>1072.7925</v>
      </c>
      <c r="I133" s="1">
        <f>D133*89%+C133</f>
        <v>1250.7314999999999</v>
      </c>
      <c r="J133" s="7">
        <f>E133*144%+D133</f>
        <v>1751.6491199999998</v>
      </c>
      <c r="L133" s="1">
        <f>(M133*100/C133)-100</f>
        <v>17.854640422956876</v>
      </c>
      <c r="M133" s="10">
        <f>VLOOKUP(A133&amp;"EQ",BhavCopy_NSE_CM!A:U,19,0)</f>
        <v>925.1</v>
      </c>
      <c r="N133" s="13">
        <f>VLOOKUP(A133&amp;"EQ",BhavCopy_NSE_CM!A:U,21,0)</f>
        <v>922.5</v>
      </c>
      <c r="O133" s="8">
        <f>B133-M133*10%</f>
        <v>1215.79</v>
      </c>
      <c r="P133" s="19">
        <f>B133-M133*20%</f>
        <v>1123.28</v>
      </c>
      <c r="Q133">
        <v>111</v>
      </c>
      <c r="R133" s="1" t="b">
        <f>M133&lt;I133</f>
        <v>1</v>
      </c>
    </row>
    <row r="134" spans="1:18">
      <c r="A134" t="s">
        <v>5396</v>
      </c>
      <c r="B134" s="27">
        <v>2266</v>
      </c>
      <c r="C134" s="5">
        <v>345.5</v>
      </c>
      <c r="D134" s="5">
        <f>B134-C134</f>
        <v>1920.5</v>
      </c>
      <c r="E134" s="1">
        <f>D134*13%+C134</f>
        <v>595.16499999999996</v>
      </c>
      <c r="F134" s="2">
        <f>D134*21%+C134</f>
        <v>748.80500000000006</v>
      </c>
      <c r="G134" s="2">
        <f>D134*34%+C134</f>
        <v>998.47</v>
      </c>
      <c r="H134" s="1">
        <f>D134*55%+C134</f>
        <v>1401.7750000000001</v>
      </c>
      <c r="I134" s="1">
        <f>D134*89%+C134</f>
        <v>2054.7449999999999</v>
      </c>
      <c r="J134" s="7">
        <f>E134*144%+D134</f>
        <v>2777.5375999999997</v>
      </c>
      <c r="L134" s="1">
        <f>(M134*100/C134)-100</f>
        <v>21.345875542691758</v>
      </c>
      <c r="M134" s="10">
        <f>VLOOKUP(A134&amp;"EQ",BhavCopy_NSE_CM!A:U,19,0)</f>
        <v>419.25</v>
      </c>
      <c r="N134" s="13">
        <f>VLOOKUP(A134&amp;"EQ",BhavCopy_NSE_CM!A:U,21,0)</f>
        <v>422.1</v>
      </c>
      <c r="O134" s="8">
        <f>B134-M134*10%</f>
        <v>2224.0749999999998</v>
      </c>
      <c r="P134" s="19">
        <f>B134-M134*20%</f>
        <v>2182.15</v>
      </c>
      <c r="Q134">
        <v>112</v>
      </c>
      <c r="R134" s="1" t="b">
        <f>M134&lt;I134</f>
        <v>1</v>
      </c>
    </row>
    <row r="135" spans="1:18">
      <c r="A135" t="s">
        <v>5480</v>
      </c>
      <c r="B135" s="27">
        <v>1328</v>
      </c>
      <c r="C135" s="5">
        <v>543</v>
      </c>
      <c r="D135" s="5">
        <f>B135-C135</f>
        <v>785</v>
      </c>
      <c r="E135" s="1">
        <f>D135*13%+C135</f>
        <v>645.04999999999995</v>
      </c>
      <c r="F135" s="2">
        <f>D135*21%+C135</f>
        <v>707.85</v>
      </c>
      <c r="G135" s="2">
        <f>D135*34%+C135</f>
        <v>809.90000000000009</v>
      </c>
      <c r="H135" s="1">
        <f>D135*55%+C135</f>
        <v>974.75</v>
      </c>
      <c r="I135" s="1">
        <f>D135*89%+C135</f>
        <v>1241.6500000000001</v>
      </c>
      <c r="J135" s="7">
        <f>E135*144%+D135</f>
        <v>1713.8719999999998</v>
      </c>
      <c r="L135" s="1">
        <f>(M135*100/C135)-100</f>
        <v>3.499079189686924</v>
      </c>
      <c r="M135" s="10">
        <f>VLOOKUP(A135&amp;"EQ",BhavCopy_NSE_CM!A:U,19,0)</f>
        <v>562</v>
      </c>
      <c r="N135" s="13">
        <f>VLOOKUP(A135&amp;"EQ",BhavCopy_NSE_CM!A:U,21,0)</f>
        <v>562.25</v>
      </c>
      <c r="O135" s="8">
        <f>B135-M135*10%</f>
        <v>1271.8</v>
      </c>
      <c r="P135" s="19">
        <f>B135-M135*20%</f>
        <v>1215.5999999999999</v>
      </c>
      <c r="Q135">
        <v>113</v>
      </c>
      <c r="R135" s="1" t="b">
        <f>M135&lt;I135</f>
        <v>1</v>
      </c>
    </row>
    <row r="136" spans="1:18">
      <c r="A136" t="s">
        <v>5639</v>
      </c>
      <c r="B136" s="27">
        <v>1946.9</v>
      </c>
      <c r="C136" s="5">
        <v>788.2</v>
      </c>
      <c r="D136" s="5">
        <f>B136-C136</f>
        <v>1158.7</v>
      </c>
      <c r="E136" s="1">
        <f>D136*13%+C136</f>
        <v>938.83100000000002</v>
      </c>
      <c r="F136" s="2">
        <f>D136*21%+C136</f>
        <v>1031.527</v>
      </c>
      <c r="G136" s="2">
        <f>D136*34%+C136</f>
        <v>1182.1580000000001</v>
      </c>
      <c r="H136" s="1">
        <f>D136*55%+C136</f>
        <v>1425.4850000000001</v>
      </c>
      <c r="I136" s="1">
        <f>D136*89%+C136</f>
        <v>1819.4430000000002</v>
      </c>
      <c r="J136" s="7">
        <f>E136*144%+D136</f>
        <v>2510.6166400000002</v>
      </c>
      <c r="L136" s="1">
        <f>(M136*100/C136)-100</f>
        <v>147.00583608221262</v>
      </c>
      <c r="M136" s="10">
        <f>VLOOKUP(A136&amp;"EQ",BhavCopy_NSE_CM!A:U,19,0)</f>
        <v>1946.9</v>
      </c>
      <c r="N136" s="13">
        <f>VLOOKUP(A136&amp;"EQ",BhavCopy_NSE_CM!A:U,21,0)</f>
        <v>1876.7</v>
      </c>
      <c r="O136" s="8">
        <f>B136-M136*10%</f>
        <v>1752.21</v>
      </c>
      <c r="P136" s="19">
        <f>B136-M136*20%</f>
        <v>1557.52</v>
      </c>
      <c r="Q136">
        <v>114</v>
      </c>
      <c r="R136" s="1" t="b">
        <f>M136&lt;I136</f>
        <v>0</v>
      </c>
    </row>
    <row r="137" spans="1:18">
      <c r="A137" t="s">
        <v>5699</v>
      </c>
      <c r="B137" s="27">
        <v>646.5</v>
      </c>
      <c r="C137" s="5">
        <v>458.9</v>
      </c>
      <c r="D137" s="5">
        <f>B137-C137</f>
        <v>187.60000000000002</v>
      </c>
      <c r="E137" s="1">
        <f>D137*13%+C137</f>
        <v>483.28800000000001</v>
      </c>
      <c r="F137" s="2">
        <f>D137*21%+C137</f>
        <v>498.29599999999999</v>
      </c>
      <c r="G137" s="2">
        <f>D137*34%+C137</f>
        <v>522.68399999999997</v>
      </c>
      <c r="H137" s="1">
        <f>D137*55%+C137</f>
        <v>562.08000000000004</v>
      </c>
      <c r="I137" s="1">
        <f>D137*89%+C137</f>
        <v>625.86400000000003</v>
      </c>
      <c r="J137" s="7">
        <f>E137*144%+D137</f>
        <v>883.53471999999999</v>
      </c>
      <c r="L137" s="1">
        <f>(M137*100/C137)-100</f>
        <v>22.684680758335162</v>
      </c>
      <c r="M137" s="10">
        <f>VLOOKUP(A137&amp;"EQ",BhavCopy_NSE_CM!A:U,19,0)</f>
        <v>563</v>
      </c>
      <c r="N137" s="13">
        <f>VLOOKUP(A137&amp;"EQ",BhavCopy_NSE_CM!A:U,21,0)</f>
        <v>552</v>
      </c>
      <c r="O137" s="8">
        <f>B137-M137*10%</f>
        <v>590.20000000000005</v>
      </c>
      <c r="P137" s="19">
        <f>B137-M137*20%</f>
        <v>533.9</v>
      </c>
      <c r="Q137">
        <v>115</v>
      </c>
      <c r="R137" s="1" t="b">
        <f>M137&lt;I137</f>
        <v>1</v>
      </c>
    </row>
    <row r="138" spans="1:18">
      <c r="A138" t="s">
        <v>5720</v>
      </c>
      <c r="B138" s="27">
        <v>936.95</v>
      </c>
      <c r="C138" s="5">
        <v>387.55</v>
      </c>
      <c r="D138" s="5">
        <f>B138-C138</f>
        <v>549.40000000000009</v>
      </c>
      <c r="E138" s="1">
        <f>D138*13%+C138</f>
        <v>458.97200000000004</v>
      </c>
      <c r="F138" s="2">
        <f>D138*21%+C138</f>
        <v>502.92400000000004</v>
      </c>
      <c r="G138" s="2">
        <f>D138*34%+C138</f>
        <v>574.346</v>
      </c>
      <c r="H138" s="1">
        <f>D138*55%+C138</f>
        <v>689.72</v>
      </c>
      <c r="I138" s="1">
        <f>D138*89%+C138</f>
        <v>876.51600000000008</v>
      </c>
      <c r="J138" s="7">
        <f>E138*144%+D138</f>
        <v>1210.3196800000001</v>
      </c>
      <c r="L138" s="1">
        <f>(M138*100/C138)-100</f>
        <v>5.9863243452457766</v>
      </c>
      <c r="M138" s="10">
        <f>VLOOKUP(A138&amp;"EQ",BhavCopy_NSE_CM!A:U,19,0)</f>
        <v>410.75</v>
      </c>
      <c r="N138" s="13">
        <f>VLOOKUP(A138&amp;"EQ",BhavCopy_NSE_CM!A:U,21,0)</f>
        <v>411.5</v>
      </c>
      <c r="O138" s="8">
        <f>B138-M138*10%</f>
        <v>895.875</v>
      </c>
      <c r="P138" s="19">
        <f>B138-M138*20%</f>
        <v>854.80000000000007</v>
      </c>
      <c r="Q138">
        <v>116</v>
      </c>
      <c r="R138" s="1" t="b">
        <f>M138&lt;I138</f>
        <v>1</v>
      </c>
    </row>
    <row r="139" spans="1:18">
      <c r="A139" t="s">
        <v>5750</v>
      </c>
      <c r="B139" s="27">
        <v>1461.5</v>
      </c>
      <c r="C139" s="5">
        <v>650.79999999999995</v>
      </c>
      <c r="D139" s="5">
        <f>B139-C139</f>
        <v>810.7</v>
      </c>
      <c r="E139" s="1">
        <f>D139*13%+C139</f>
        <v>756.19099999999992</v>
      </c>
      <c r="F139" s="2">
        <f>D139*21%+C139</f>
        <v>821.04700000000003</v>
      </c>
      <c r="G139" s="2">
        <f>D139*34%+C139</f>
        <v>926.43799999999999</v>
      </c>
      <c r="H139" s="1">
        <f>D139*55%+C139</f>
        <v>1096.6849999999999</v>
      </c>
      <c r="I139" s="1">
        <f>D139*89%+C139</f>
        <v>1372.3229999999999</v>
      </c>
      <c r="J139" s="7">
        <f>E139*144%+D139</f>
        <v>1899.6150399999999</v>
      </c>
      <c r="L139" s="1">
        <f>(M139*100/C139)-100</f>
        <v>86.232329440688403</v>
      </c>
      <c r="M139" s="10">
        <f>VLOOKUP(A139&amp;"EQ",BhavCopy_NSE_CM!A:U,19,0)</f>
        <v>1212</v>
      </c>
      <c r="N139" s="13">
        <f>VLOOKUP(A139&amp;"EQ",BhavCopy_NSE_CM!A:U,21,0)</f>
        <v>1200</v>
      </c>
      <c r="O139" s="8">
        <f>B139-M139*10%</f>
        <v>1340.3</v>
      </c>
      <c r="P139" s="19">
        <f>B139-M139*20%</f>
        <v>1219.0999999999999</v>
      </c>
      <c r="Q139">
        <v>117</v>
      </c>
      <c r="R139" s="1" t="b">
        <f>M139&lt;I139</f>
        <v>1</v>
      </c>
    </row>
    <row r="140" spans="1:18">
      <c r="A140" t="s">
        <v>5624</v>
      </c>
      <c r="B140" s="27">
        <v>4440</v>
      </c>
      <c r="C140" s="5">
        <v>3288.1</v>
      </c>
      <c r="D140" s="5">
        <f>B140-C140</f>
        <v>1151.9000000000001</v>
      </c>
      <c r="E140" s="1">
        <f>D140*13%+C140</f>
        <v>3437.8469999999998</v>
      </c>
      <c r="F140" s="2">
        <f>D140*21%+C140</f>
        <v>3529.9989999999998</v>
      </c>
      <c r="G140" s="2">
        <f>D140*34%+C140</f>
        <v>3679.7460000000001</v>
      </c>
      <c r="H140" s="1">
        <f>D140*55%+C140</f>
        <v>3921.645</v>
      </c>
      <c r="I140" s="1">
        <f>D140*89%+C140</f>
        <v>4313.2910000000002</v>
      </c>
      <c r="J140" s="7">
        <f>E140*144%+D140</f>
        <v>6102.3996800000004</v>
      </c>
      <c r="L140" s="1">
        <f>(M140*100/C140)-100</f>
        <v>20.011556826130601</v>
      </c>
      <c r="M140" s="10">
        <f>VLOOKUP(A140&amp;"EQ",BhavCopy_NSE_CM!A:U,19,0)</f>
        <v>3946.1</v>
      </c>
      <c r="N140" s="13">
        <f>VLOOKUP(A140&amp;"EQ",BhavCopy_NSE_CM!A:U,21,0)</f>
        <v>3999</v>
      </c>
      <c r="O140" s="8">
        <f>B140-M140*10%</f>
        <v>4045.39</v>
      </c>
      <c r="P140" s="19">
        <f>B140-M140*20%</f>
        <v>3650.7799999999997</v>
      </c>
      <c r="Q140">
        <v>118</v>
      </c>
      <c r="R140" s="1" t="b">
        <f>M140&lt;I140</f>
        <v>1</v>
      </c>
    </row>
    <row r="141" spans="1:18">
      <c r="A141" t="s">
        <v>5570</v>
      </c>
      <c r="B141" s="27">
        <v>338.6</v>
      </c>
      <c r="C141" s="5">
        <v>194.4</v>
      </c>
      <c r="D141" s="5">
        <f>B141-C141</f>
        <v>144.20000000000002</v>
      </c>
      <c r="E141" s="1">
        <f>D141*13%+C141</f>
        <v>213.14600000000002</v>
      </c>
      <c r="F141" s="2">
        <f>D141*21%+C141</f>
        <v>224.68200000000002</v>
      </c>
      <c r="G141" s="2">
        <f>D141*34%+C141</f>
        <v>243.428</v>
      </c>
      <c r="H141" s="1">
        <f>D141*55%+C141</f>
        <v>273.71000000000004</v>
      </c>
      <c r="I141" s="1">
        <f>D141*89%+C141</f>
        <v>322.73800000000006</v>
      </c>
      <c r="J141" s="7">
        <f>E141*144%+D141</f>
        <v>451.13024000000007</v>
      </c>
      <c r="L141" s="1">
        <f>(M141*100/C141)-100</f>
        <v>58.590534979423865</v>
      </c>
      <c r="M141" s="10">
        <f>VLOOKUP(A141&amp;"EQ",BhavCopy_NSE_CM!A:U,19,0)</f>
        <v>308.3</v>
      </c>
      <c r="N141" s="13">
        <f>VLOOKUP(A141&amp;"EQ",BhavCopy_NSE_CM!A:U,21,0)</f>
        <v>312.5</v>
      </c>
      <c r="O141" s="8">
        <f>B141-M141*10%</f>
        <v>307.77000000000004</v>
      </c>
      <c r="P141" s="19">
        <f>B141-M141*20%</f>
        <v>276.94</v>
      </c>
      <c r="Q141">
        <v>119</v>
      </c>
      <c r="R141" s="1" t="b">
        <f>M141&lt;I141</f>
        <v>1</v>
      </c>
    </row>
    <row r="142" spans="1:18">
      <c r="A142" t="s">
        <v>5780</v>
      </c>
      <c r="B142" s="27">
        <v>6429.5</v>
      </c>
      <c r="C142" s="5">
        <v>3528</v>
      </c>
      <c r="D142" s="5">
        <f>B142-C142</f>
        <v>2901.5</v>
      </c>
      <c r="E142" s="1">
        <f>D142*13%+C142</f>
        <v>3905.1950000000002</v>
      </c>
      <c r="F142" s="2">
        <f>D142*21%+C142</f>
        <v>4137.3149999999996</v>
      </c>
      <c r="G142" s="2">
        <f>D142*34%+C142</f>
        <v>4514.51</v>
      </c>
      <c r="H142" s="1">
        <f>D142*55%+C142</f>
        <v>5123.8249999999998</v>
      </c>
      <c r="I142" s="1">
        <f>D142*89%+C142</f>
        <v>6110.335</v>
      </c>
      <c r="J142" s="7">
        <f>E142*144%+D142</f>
        <v>8524.9808000000012</v>
      </c>
      <c r="L142" s="1">
        <f>(M142*100/C142)-100</f>
        <v>25.56689342403628</v>
      </c>
      <c r="M142" s="10">
        <f>VLOOKUP(A142&amp;"EQ",BhavCopy_NSE_CM!A:U,19,0)</f>
        <v>4430</v>
      </c>
      <c r="N142" s="13">
        <f>VLOOKUP(A142&amp;"EQ",BhavCopy_NSE_CM!A:U,21,0)</f>
        <v>4448</v>
      </c>
      <c r="O142" s="8">
        <f>B142-M142*10%</f>
        <v>5986.5</v>
      </c>
      <c r="P142" s="19">
        <f>B142-M142*20%</f>
        <v>5543.5</v>
      </c>
      <c r="Q142">
        <v>120</v>
      </c>
      <c r="R142" s="1" t="b">
        <f>M142&lt;I142</f>
        <v>1</v>
      </c>
    </row>
    <row r="143" spans="1:18">
      <c r="A143" t="s">
        <v>5792</v>
      </c>
      <c r="B143" s="27">
        <v>2529.5</v>
      </c>
      <c r="C143" s="5">
        <v>1836.8</v>
      </c>
      <c r="D143" s="5">
        <f>B143-C143</f>
        <v>692.7</v>
      </c>
      <c r="E143" s="1">
        <f>D143*13%+C143</f>
        <v>1926.8509999999999</v>
      </c>
      <c r="F143" s="2">
        <f>D143*21%+C143</f>
        <v>1982.2670000000001</v>
      </c>
      <c r="G143" s="2">
        <f>D143*34%+C143</f>
        <v>2072.3180000000002</v>
      </c>
      <c r="H143" s="1">
        <f>D143*55%+C143</f>
        <v>2217.7849999999999</v>
      </c>
      <c r="I143" s="1">
        <f>D143*89%+C143</f>
        <v>2453.3029999999999</v>
      </c>
      <c r="J143" s="7">
        <f>E143*144%+D143</f>
        <v>3467.3654399999996</v>
      </c>
      <c r="L143" s="1">
        <f>(M143*100/C143)-100</f>
        <v>14.585148083623679</v>
      </c>
      <c r="M143" s="10">
        <f>VLOOKUP(A143&amp;"EQ",BhavCopy_NSE_CM!A:U,19,0)</f>
        <v>2104.6999999999998</v>
      </c>
      <c r="N143" s="13">
        <f>VLOOKUP(A143&amp;"EQ",BhavCopy_NSE_CM!A:U,21,0)</f>
        <v>2105</v>
      </c>
      <c r="O143" s="8">
        <f>B143-M143*10%</f>
        <v>2319.0300000000002</v>
      </c>
      <c r="P143" s="19">
        <f>B143-M143*20%</f>
        <v>2108.56</v>
      </c>
      <c r="Q143">
        <v>121</v>
      </c>
      <c r="R143" s="1" t="b">
        <f>M143&lt;I143</f>
        <v>1</v>
      </c>
    </row>
    <row r="144" spans="1:18">
      <c r="A144" t="s">
        <v>5897</v>
      </c>
      <c r="B144" s="27">
        <v>3839.9</v>
      </c>
      <c r="C144" s="5">
        <v>2896</v>
      </c>
      <c r="D144" s="5">
        <f>B144-C144</f>
        <v>943.90000000000009</v>
      </c>
      <c r="E144" s="1">
        <f>D144*13%+C144</f>
        <v>3018.7069999999999</v>
      </c>
      <c r="F144" s="2">
        <f>D144*21%+C144</f>
        <v>3094.2190000000001</v>
      </c>
      <c r="G144" s="2">
        <f>D144*34%+C144</f>
        <v>3216.9259999999999</v>
      </c>
      <c r="H144" s="1">
        <f>D144*55%+C144</f>
        <v>3415.145</v>
      </c>
      <c r="I144" s="1">
        <f>D144*89%+C144</f>
        <v>3736.0709999999999</v>
      </c>
      <c r="J144" s="7">
        <f>E144*144%+D144</f>
        <v>5290.8380799999995</v>
      </c>
      <c r="L144" s="1">
        <f>(M144*100/C144)-100</f>
        <v>9.1160220994475196</v>
      </c>
      <c r="M144" s="10">
        <f>VLOOKUP(A144&amp;"EQ",BhavCopy_NSE_CM!A:U,19,0)</f>
        <v>3160</v>
      </c>
      <c r="N144" s="13">
        <f>VLOOKUP(A144&amp;"EQ",BhavCopy_NSE_CM!A:U,21,0)</f>
        <v>3160</v>
      </c>
      <c r="O144" s="8">
        <f>B144-M144*10%</f>
        <v>3523.9</v>
      </c>
      <c r="P144" s="19">
        <f>B144-M144*20%</f>
        <v>3207.9</v>
      </c>
      <c r="Q144">
        <v>122</v>
      </c>
      <c r="R144" s="1" t="b">
        <f>M144&lt;I144</f>
        <v>1</v>
      </c>
    </row>
    <row r="145" spans="1:18">
      <c r="A145" t="s">
        <v>5957</v>
      </c>
      <c r="B145" s="27">
        <v>371.85</v>
      </c>
      <c r="C145" s="5">
        <v>245.15</v>
      </c>
      <c r="D145" s="5">
        <f>B145-C145</f>
        <v>126.70000000000002</v>
      </c>
      <c r="E145" s="1">
        <f>D145*13%+C145</f>
        <v>261.62099999999998</v>
      </c>
      <c r="F145" s="2">
        <f>D145*21%+C145</f>
        <v>271.75700000000001</v>
      </c>
      <c r="G145" s="2">
        <f>D145*34%+C145</f>
        <v>288.22800000000001</v>
      </c>
      <c r="H145" s="1">
        <f>D145*55%+C145</f>
        <v>314.83500000000004</v>
      </c>
      <c r="I145" s="1">
        <f>D145*89%+C145</f>
        <v>357.91300000000001</v>
      </c>
      <c r="J145" s="7">
        <f>E145*144%+D145</f>
        <v>503.43423999999993</v>
      </c>
      <c r="L145" s="1">
        <f>(M145*100/C145)-100</f>
        <v>32.571894758311231</v>
      </c>
      <c r="M145" s="10">
        <f>VLOOKUP(A145&amp;"EQ",BhavCopy_NSE_CM!A:U,19,0)</f>
        <v>325</v>
      </c>
      <c r="N145" s="13">
        <f>VLOOKUP(A145&amp;"EQ",BhavCopy_NSE_CM!A:U,21,0)</f>
        <v>325.60000000000002</v>
      </c>
      <c r="O145" s="8">
        <f>B145-M145*10%</f>
        <v>339.35</v>
      </c>
      <c r="P145" s="19">
        <f>B145-M145*20%</f>
        <v>306.85000000000002</v>
      </c>
      <c r="Q145">
        <v>123</v>
      </c>
      <c r="R145" s="1" t="b">
        <f>M145&lt;I145</f>
        <v>1</v>
      </c>
    </row>
    <row r="146" spans="1:18">
      <c r="A146" t="s">
        <v>6005</v>
      </c>
      <c r="B146" s="27">
        <v>2716.5</v>
      </c>
      <c r="C146" s="5">
        <v>1909.7</v>
      </c>
      <c r="D146" s="5">
        <f>B146-C146</f>
        <v>806.8</v>
      </c>
      <c r="E146" s="1">
        <f>D146*13%+C146</f>
        <v>2014.5840000000001</v>
      </c>
      <c r="F146" s="2">
        <f>D146*21%+C146</f>
        <v>2079.1280000000002</v>
      </c>
      <c r="G146" s="2">
        <f>D146*34%+C146</f>
        <v>2184.0120000000002</v>
      </c>
      <c r="H146" s="1">
        <f>D146*55%+C146</f>
        <v>2353.44</v>
      </c>
      <c r="I146" s="1">
        <f>D146*89%+C146</f>
        <v>2627.752</v>
      </c>
      <c r="J146" s="7">
        <f>E146*144%+D146</f>
        <v>3707.8009599999996</v>
      </c>
      <c r="L146" s="1">
        <f>(M146*100/C146)-100</f>
        <v>20.909043305231179</v>
      </c>
      <c r="M146" s="10">
        <f>VLOOKUP(A146&amp;"EQ",BhavCopy_NSE_CM!A:U,19,0)</f>
        <v>2309</v>
      </c>
      <c r="N146" s="13">
        <f>VLOOKUP(A146&amp;"EQ",BhavCopy_NSE_CM!A:U,21,0)</f>
        <v>2318</v>
      </c>
      <c r="O146" s="8">
        <f>B146-M146*10%</f>
        <v>2485.6</v>
      </c>
      <c r="P146" s="19">
        <f>B146-M146*20%</f>
        <v>2254.6999999999998</v>
      </c>
      <c r="Q146">
        <v>124</v>
      </c>
      <c r="R146" s="1" t="b">
        <f>M146&lt;I146</f>
        <v>1</v>
      </c>
    </row>
    <row r="147" spans="1:18">
      <c r="A147" t="s">
        <v>6032</v>
      </c>
      <c r="B147" s="27">
        <v>885.35</v>
      </c>
      <c r="C147" s="5">
        <v>690.2</v>
      </c>
      <c r="D147" s="5">
        <f>B147-C147</f>
        <v>195.14999999999998</v>
      </c>
      <c r="E147" s="1">
        <f>D147*13%+C147</f>
        <v>715.56950000000006</v>
      </c>
      <c r="F147" s="2">
        <f>D147*21%+C147</f>
        <v>731.18150000000003</v>
      </c>
      <c r="G147" s="2">
        <f>D147*34%+C147</f>
        <v>756.55100000000004</v>
      </c>
      <c r="H147" s="1">
        <f>D147*55%+C147</f>
        <v>797.53250000000003</v>
      </c>
      <c r="I147" s="1">
        <f>D147*89%+C147</f>
        <v>863.88350000000003</v>
      </c>
      <c r="J147" s="7">
        <f>E147*144%+D147</f>
        <v>1225.57008</v>
      </c>
      <c r="L147" s="1">
        <f>(M147*100/C147)-100</f>
        <v>19.371196754563883</v>
      </c>
      <c r="M147" s="10">
        <f>VLOOKUP(A147&amp;"EQ",BhavCopy_NSE_CM!A:U,19,0)</f>
        <v>823.9</v>
      </c>
      <c r="N147" s="13">
        <f>VLOOKUP(A147&amp;"EQ",BhavCopy_NSE_CM!A:U,21,0)</f>
        <v>806</v>
      </c>
      <c r="O147" s="8">
        <f>B147-M147*10%</f>
        <v>802.96</v>
      </c>
      <c r="P147" s="19">
        <f>B147-M147*20%</f>
        <v>720.57</v>
      </c>
      <c r="Q147">
        <v>125</v>
      </c>
      <c r="R147" s="1" t="b">
        <f>M147&lt;I147</f>
        <v>1</v>
      </c>
    </row>
    <row r="148" spans="1:18">
      <c r="A148" t="s">
        <v>6050</v>
      </c>
      <c r="B148" s="27">
        <v>17370</v>
      </c>
      <c r="C148" s="5">
        <v>12201</v>
      </c>
      <c r="D148" s="5">
        <f>B148-C148</f>
        <v>5169</v>
      </c>
      <c r="E148" s="1">
        <f>D148*13%+C148</f>
        <v>12872.97</v>
      </c>
      <c r="F148" s="2">
        <f>D148*21%+C148</f>
        <v>13286.49</v>
      </c>
      <c r="G148" s="2">
        <f>D148*34%+C148</f>
        <v>13958.46</v>
      </c>
      <c r="H148" s="1">
        <f>D148*55%+C148</f>
        <v>15043.95</v>
      </c>
      <c r="I148" s="1">
        <f>D148*89%+C148</f>
        <v>16801.41</v>
      </c>
      <c r="J148" s="7">
        <f>E148*144%+D148</f>
        <v>23706.076799999999</v>
      </c>
      <c r="L148" s="1">
        <f>(M148*100/C148)-100</f>
        <v>3.6062617818211606</v>
      </c>
      <c r="M148" s="10">
        <f>VLOOKUP(A148&amp;"EQ",BhavCopy_NSE_CM!A:U,19,0)</f>
        <v>12641</v>
      </c>
      <c r="N148" s="13">
        <f>VLOOKUP(A148&amp;"EQ",BhavCopy_NSE_CM!A:U,21,0)</f>
        <v>12760</v>
      </c>
      <c r="O148" s="8">
        <f>B148-M148*10%</f>
        <v>16105.9</v>
      </c>
      <c r="P148" s="19">
        <f>B148-M148*20%</f>
        <v>14841.8</v>
      </c>
      <c r="Q148">
        <v>126</v>
      </c>
      <c r="R148" s="1" t="b">
        <f>M148&lt;I148</f>
        <v>1</v>
      </c>
    </row>
    <row r="149" spans="1:18">
      <c r="A149" t="s">
        <v>6083</v>
      </c>
      <c r="B149" s="27">
        <v>1301.7</v>
      </c>
      <c r="C149" s="5">
        <v>903</v>
      </c>
      <c r="D149" s="5">
        <f>B149-C149</f>
        <v>398.70000000000005</v>
      </c>
      <c r="E149" s="1">
        <f>D149*13%+C149</f>
        <v>954.83100000000002</v>
      </c>
      <c r="F149" s="2">
        <f>D149*21%+C149</f>
        <v>986.72699999999998</v>
      </c>
      <c r="G149" s="2">
        <f>D149*34%+C149</f>
        <v>1038.558</v>
      </c>
      <c r="H149" s="1">
        <f>D149*55%+C149</f>
        <v>1122.2850000000001</v>
      </c>
      <c r="I149" s="1">
        <f>D149*89%+C149</f>
        <v>1257.8430000000001</v>
      </c>
      <c r="J149" s="7">
        <f>E149*144%+D149</f>
        <v>1773.6566399999999</v>
      </c>
      <c r="L149" s="1">
        <f>(M149*100/C149)-100</f>
        <v>9.9667774086378671</v>
      </c>
      <c r="M149" s="10">
        <f>VLOOKUP(A149&amp;"EQ",BhavCopy_NSE_CM!A:U,19,0)</f>
        <v>993</v>
      </c>
      <c r="N149" s="13">
        <f>VLOOKUP(A149&amp;"EQ",BhavCopy_NSE_CM!A:U,21,0)</f>
        <v>992</v>
      </c>
      <c r="O149" s="8">
        <f>B149-M149*10%</f>
        <v>1202.4000000000001</v>
      </c>
      <c r="P149" s="19">
        <f>B149-M149*20%</f>
        <v>1103.0999999999999</v>
      </c>
      <c r="Q149">
        <v>127</v>
      </c>
      <c r="R149" s="1" t="b">
        <f>M149&lt;I149</f>
        <v>1</v>
      </c>
    </row>
    <row r="150" spans="1:18">
      <c r="A150" t="s">
        <v>6101</v>
      </c>
      <c r="B150" s="27">
        <v>3149.5</v>
      </c>
      <c r="C150" s="5">
        <v>2057.4</v>
      </c>
      <c r="D150" s="5">
        <f>B150-C150</f>
        <v>1092.0999999999999</v>
      </c>
      <c r="E150" s="1">
        <f>D150*13%+C150</f>
        <v>2199.373</v>
      </c>
      <c r="F150" s="2">
        <f>D150*21%+C150</f>
        <v>2286.741</v>
      </c>
      <c r="G150" s="2">
        <f>D150*34%+C150</f>
        <v>2428.7139999999999</v>
      </c>
      <c r="H150" s="1">
        <f>D150*55%+C150</f>
        <v>2658.0550000000003</v>
      </c>
      <c r="I150" s="1">
        <f>D150*89%+C150</f>
        <v>3029.3690000000001</v>
      </c>
      <c r="J150" s="7">
        <f>E150*144%+D150</f>
        <v>4259.1971199999998</v>
      </c>
      <c r="L150" s="1">
        <f>(M150*100/C150)-100</f>
        <v>19.87945951200544</v>
      </c>
      <c r="M150" s="10">
        <f>VLOOKUP(A150&amp;"EQ",BhavCopy_NSE_CM!A:U,19,0)</f>
        <v>2466.4</v>
      </c>
      <c r="N150" s="13">
        <f>VLOOKUP(A150&amp;"EQ",BhavCopy_NSE_CM!A:U,21,0)</f>
        <v>2454.1999999999998</v>
      </c>
      <c r="O150" s="8">
        <f>B150-M150*10%</f>
        <v>2902.86</v>
      </c>
      <c r="P150" s="19">
        <f>B150-M150*20%</f>
        <v>2656.22</v>
      </c>
      <c r="Q150">
        <v>128</v>
      </c>
      <c r="R150" s="1" t="b">
        <f>M150&lt;I150</f>
        <v>1</v>
      </c>
    </row>
    <row r="151" spans="1:18">
      <c r="A151" t="s">
        <v>6577</v>
      </c>
      <c r="B151" s="27">
        <v>11219</v>
      </c>
      <c r="C151" s="5">
        <v>2068.5</v>
      </c>
      <c r="D151" s="5">
        <f>B151-C151</f>
        <v>9150.5</v>
      </c>
      <c r="E151" s="1">
        <f>D151*13%+C151</f>
        <v>3258.0650000000001</v>
      </c>
      <c r="F151" s="2">
        <f>D151*21%+C151</f>
        <v>3990.105</v>
      </c>
      <c r="G151" s="2">
        <f>D151*34%+C151</f>
        <v>5179.67</v>
      </c>
      <c r="H151" s="1">
        <f>D151*55%+C151</f>
        <v>7101.2750000000005</v>
      </c>
      <c r="I151" s="1">
        <f>D151*89%+C151</f>
        <v>10212.445</v>
      </c>
      <c r="J151" s="7">
        <f>E151*144%+D151</f>
        <v>13842.113600000001</v>
      </c>
      <c r="L151" s="1">
        <f>(M151*100/C151)-100</f>
        <v>61.566352429296586</v>
      </c>
      <c r="M151" s="10">
        <f>VLOOKUP(A151&amp;"EQ",BhavCopy_NSE_CM!A:U,19,0)</f>
        <v>3342</v>
      </c>
      <c r="N151" s="13">
        <f>VLOOKUP(A151&amp;"EQ",BhavCopy_NSE_CM!A:U,21,0)</f>
        <v>3330.2</v>
      </c>
      <c r="O151" s="8">
        <f>B151-M151*10%</f>
        <v>10884.8</v>
      </c>
      <c r="P151" s="19">
        <f>B151-M151*20%</f>
        <v>10550.6</v>
      </c>
      <c r="Q151">
        <v>129</v>
      </c>
      <c r="R151" s="1" t="b">
        <f>M151&lt;I151</f>
        <v>1</v>
      </c>
    </row>
    <row r="152" spans="1:18">
      <c r="A152" t="s">
        <v>6080</v>
      </c>
      <c r="B152" s="27">
        <v>1892.5</v>
      </c>
      <c r="C152" s="5">
        <v>1433.6</v>
      </c>
      <c r="D152" s="5">
        <f>B152-C152</f>
        <v>458.90000000000009</v>
      </c>
      <c r="E152" s="1">
        <f>D152*13%+C152</f>
        <v>1493.2569999999998</v>
      </c>
      <c r="F152" s="2">
        <f>D152*21%+C152</f>
        <v>1529.9689999999998</v>
      </c>
      <c r="G152" s="2">
        <f>D152*34%+C152</f>
        <v>1589.626</v>
      </c>
      <c r="H152" s="1">
        <f>D152*55%+C152</f>
        <v>1685.9949999999999</v>
      </c>
      <c r="I152" s="1">
        <f>D152*89%+C152</f>
        <v>1842.021</v>
      </c>
      <c r="J152" s="7">
        <f>E152*144%+D152</f>
        <v>2609.1900799999999</v>
      </c>
      <c r="L152" s="1">
        <f>(M152*100/C152)-100</f>
        <v>4.541015625</v>
      </c>
      <c r="M152" s="10">
        <f>VLOOKUP(A152&amp;"EQ",BhavCopy_NSE_CM!A:U,19,0)</f>
        <v>1498.7</v>
      </c>
      <c r="N152" s="13">
        <f>VLOOKUP(A152&amp;"EQ",BhavCopy_NSE_CM!A:U,21,0)</f>
        <v>1520</v>
      </c>
      <c r="O152" s="8">
        <f>B152-M152*10%</f>
        <v>1742.63</v>
      </c>
      <c r="P152" s="19">
        <f>B152-M152*20%</f>
        <v>1592.76</v>
      </c>
      <c r="Q152">
        <v>130</v>
      </c>
      <c r="R152" s="1" t="b">
        <f>M152&lt;I152</f>
        <v>1</v>
      </c>
    </row>
    <row r="153" spans="1:18">
      <c r="A153" t="s">
        <v>8305</v>
      </c>
      <c r="B153" s="27">
        <v>170.68</v>
      </c>
      <c r="C153" s="5">
        <v>89.7</v>
      </c>
      <c r="D153" s="5">
        <f>B153-C153</f>
        <v>80.98</v>
      </c>
      <c r="E153" s="1">
        <f>D153*13%+C153</f>
        <v>100.2274</v>
      </c>
      <c r="F153" s="2">
        <f>D153*21%+C153</f>
        <v>106.70580000000001</v>
      </c>
      <c r="G153" s="2">
        <f>D153*34%+C153</f>
        <v>117.23320000000001</v>
      </c>
      <c r="H153" s="1">
        <f>D153*55%+C153</f>
        <v>134.239</v>
      </c>
      <c r="I153" s="1">
        <f>D153*89%+C153</f>
        <v>161.7722</v>
      </c>
      <c r="J153" s="7">
        <f>E153*144%+D153</f>
        <v>225.307456</v>
      </c>
      <c r="L153" s="1">
        <f>(M153*100/C153)-100</f>
        <v>82.664437012263107</v>
      </c>
      <c r="M153" s="10">
        <f>VLOOKUP(A153&amp;"EQ",BhavCopy_NSE_CM!A:U,19,0)</f>
        <v>163.85</v>
      </c>
      <c r="N153" s="13">
        <f>VLOOKUP(A153&amp;"EQ",BhavCopy_NSE_CM!A:U,21,0)</f>
        <v>162</v>
      </c>
      <c r="O153" s="8">
        <f>B153-M153*10%</f>
        <v>154.29500000000002</v>
      </c>
      <c r="P153" s="19">
        <f>B153-M153*20%</f>
        <v>137.91</v>
      </c>
      <c r="Q153">
        <v>131</v>
      </c>
      <c r="R153" s="1" t="b">
        <f>M153&lt;I153</f>
        <v>0</v>
      </c>
    </row>
    <row r="154" spans="1:18">
      <c r="A154" t="s">
        <v>6422</v>
      </c>
      <c r="B154" s="27">
        <v>1097.0999999999999</v>
      </c>
      <c r="C154" s="5">
        <v>614.9</v>
      </c>
      <c r="D154" s="5">
        <f>B154-C154</f>
        <v>482.19999999999993</v>
      </c>
      <c r="E154" s="1">
        <f>D154*13%+C154</f>
        <v>677.58600000000001</v>
      </c>
      <c r="F154" s="2">
        <f>D154*21%+C154</f>
        <v>716.16199999999992</v>
      </c>
      <c r="G154" s="2">
        <f>D154*34%+C154</f>
        <v>778.84799999999996</v>
      </c>
      <c r="H154" s="1">
        <f>D154*55%+C154</f>
        <v>880.1099999999999</v>
      </c>
      <c r="I154" s="1">
        <f>D154*89%+C154</f>
        <v>1044.058</v>
      </c>
      <c r="J154" s="7">
        <f>E154*144%+D154</f>
        <v>1457.9238399999999</v>
      </c>
      <c r="L154" s="1">
        <f>(M154*100/C154)-100</f>
        <v>71.00341518946172</v>
      </c>
      <c r="M154" s="10">
        <f>VLOOKUP(A154&amp;"EQ",BhavCopy_NSE_CM!A:U,19,0)</f>
        <v>1051.5</v>
      </c>
      <c r="N154" s="13">
        <f>VLOOKUP(A154&amp;"EQ",BhavCopy_NSE_CM!A:U,21,0)</f>
        <v>1055</v>
      </c>
      <c r="O154" s="8">
        <f>B154-M154*10%</f>
        <v>991.94999999999993</v>
      </c>
      <c r="P154" s="19">
        <f>B154-M154*20%</f>
        <v>886.8</v>
      </c>
      <c r="Q154">
        <v>132</v>
      </c>
      <c r="R154" s="1" t="b">
        <f>M154&lt;I154</f>
        <v>0</v>
      </c>
    </row>
    <row r="155" spans="1:18">
      <c r="A155" t="s">
        <v>6536</v>
      </c>
      <c r="B155" s="27">
        <v>3037.2</v>
      </c>
      <c r="C155" s="5">
        <v>2013</v>
      </c>
      <c r="D155" s="5">
        <f>B155-C155</f>
        <v>1024.1999999999998</v>
      </c>
      <c r="E155" s="1">
        <f>D155*13%+C155</f>
        <v>2146.1460000000002</v>
      </c>
      <c r="F155" s="2">
        <f>D155*21%+C155</f>
        <v>2228.0819999999999</v>
      </c>
      <c r="G155" s="2">
        <f>D155*34%+C155</f>
        <v>2361.2280000000001</v>
      </c>
      <c r="H155" s="1">
        <f>D155*55%+C155</f>
        <v>2576.31</v>
      </c>
      <c r="I155" s="1">
        <f>D155*89%+C155</f>
        <v>2924.538</v>
      </c>
      <c r="J155" s="7">
        <f>E155*144%+D155</f>
        <v>4114.6502399999999</v>
      </c>
      <c r="L155" s="1">
        <f>(M155*100/C155)-100</f>
        <v>16.989567809239944</v>
      </c>
      <c r="M155" s="10">
        <f>VLOOKUP(A155&amp;"EQ",BhavCopy_NSE_CM!A:U,19,0)</f>
        <v>2355</v>
      </c>
      <c r="N155" s="13">
        <f>VLOOKUP(A155&amp;"EQ",BhavCopy_NSE_CM!A:U,21,0)</f>
        <v>2369.1</v>
      </c>
      <c r="O155" s="8">
        <f>B155-M155*10%</f>
        <v>2801.7</v>
      </c>
      <c r="P155" s="19">
        <f>B155-M155*20%</f>
        <v>2566.1999999999998</v>
      </c>
      <c r="Q155">
        <v>133</v>
      </c>
      <c r="R155" s="1" t="b">
        <f>M155&lt;I155</f>
        <v>1</v>
      </c>
    </row>
    <row r="156" spans="1:18">
      <c r="A156" t="s">
        <v>6598</v>
      </c>
      <c r="B156" s="27">
        <v>4149.5</v>
      </c>
      <c r="C156" s="5">
        <v>2476.6</v>
      </c>
      <c r="D156" s="5">
        <f>B156-C156</f>
        <v>1672.9</v>
      </c>
      <c r="E156" s="1">
        <f>D156*13%+C156</f>
        <v>2694.0769999999998</v>
      </c>
      <c r="F156" s="2">
        <f>D156*21%+C156</f>
        <v>2827.9090000000001</v>
      </c>
      <c r="G156" s="2">
        <f>D156*34%+C156</f>
        <v>3045.386</v>
      </c>
      <c r="H156" s="1">
        <f>D156*55%+C156</f>
        <v>3396.6950000000002</v>
      </c>
      <c r="I156" s="1">
        <f>D156*89%+C156</f>
        <v>3965.4809999999998</v>
      </c>
      <c r="J156" s="7">
        <f>E156*144%+D156</f>
        <v>5552.3708799999995</v>
      </c>
      <c r="L156" s="1">
        <f>(M156*100/C156)-100</f>
        <v>17.08390535411452</v>
      </c>
      <c r="M156" s="10">
        <f>VLOOKUP(A156&amp;"EQ",BhavCopy_NSE_CM!A:U,19,0)</f>
        <v>2899.7</v>
      </c>
      <c r="N156" s="13">
        <f>VLOOKUP(A156&amp;"EQ",BhavCopy_NSE_CM!A:U,21,0)</f>
        <v>2880</v>
      </c>
      <c r="O156" s="8">
        <f>B156-M156*10%</f>
        <v>3859.53</v>
      </c>
      <c r="P156" s="19">
        <f>B156-M156*20%</f>
        <v>3569.56</v>
      </c>
      <c r="Q156">
        <v>134</v>
      </c>
      <c r="R156" s="1" t="b">
        <f>M156&lt;I156</f>
        <v>1</v>
      </c>
    </row>
    <row r="157" spans="1:18">
      <c r="A157" t="s">
        <v>6885</v>
      </c>
      <c r="B157" s="27">
        <v>1251</v>
      </c>
      <c r="C157" s="5">
        <v>780.25</v>
      </c>
      <c r="D157" s="5">
        <f>B157-C157</f>
        <v>470.75</v>
      </c>
      <c r="E157" s="1">
        <f>D157*13%+C157</f>
        <v>841.44749999999999</v>
      </c>
      <c r="F157" s="2">
        <f>D157*21%+C157</f>
        <v>879.10749999999996</v>
      </c>
      <c r="G157" s="2">
        <f>D157*34%+C157</f>
        <v>940.30500000000006</v>
      </c>
      <c r="H157" s="1">
        <f>D157*55%+C157</f>
        <v>1039.1624999999999</v>
      </c>
      <c r="I157" s="1">
        <f>D157*89%+C157</f>
        <v>1199.2175</v>
      </c>
      <c r="J157" s="7">
        <f>E157*144%+D157</f>
        <v>1682.4343999999999</v>
      </c>
      <c r="L157" s="1">
        <f>(M157*100/C157)-100</f>
        <v>52.374239025953244</v>
      </c>
      <c r="M157" s="10">
        <f>VLOOKUP(A157&amp;"EQ",BhavCopy_NSE_CM!A:U,19,0)</f>
        <v>1188.9000000000001</v>
      </c>
      <c r="N157" s="13">
        <f>VLOOKUP(A157&amp;"EQ",BhavCopy_NSE_CM!A:U,21,0)</f>
        <v>1195</v>
      </c>
      <c r="O157" s="8">
        <f>B157-M157*10%</f>
        <v>1132.1099999999999</v>
      </c>
      <c r="P157" s="19">
        <f>B157-M157*20%</f>
        <v>1013.22</v>
      </c>
      <c r="Q157">
        <v>135</v>
      </c>
      <c r="R157" s="1" t="b">
        <f>M157&lt;I157</f>
        <v>1</v>
      </c>
    </row>
    <row r="158" spans="1:18">
      <c r="A158" t="s">
        <v>6678</v>
      </c>
      <c r="B158" s="27">
        <v>445.15</v>
      </c>
      <c r="C158" s="5">
        <v>179.93</v>
      </c>
      <c r="D158" s="5">
        <f>B158-C158</f>
        <v>265.21999999999997</v>
      </c>
      <c r="E158" s="1">
        <f>D158*13%+C158</f>
        <v>214.40860000000001</v>
      </c>
      <c r="F158" s="2">
        <f>D158*21%+C158</f>
        <v>235.62619999999998</v>
      </c>
      <c r="G158" s="2">
        <f>D158*34%+C158</f>
        <v>270.10480000000001</v>
      </c>
      <c r="H158" s="1">
        <f>D158*55%+C158</f>
        <v>325.80100000000004</v>
      </c>
      <c r="I158" s="1">
        <f>D158*89%+C158</f>
        <v>415.97579999999999</v>
      </c>
      <c r="J158" s="7">
        <f>E158*144%+D158</f>
        <v>573.96838400000001</v>
      </c>
      <c r="L158" s="1">
        <f>(M158*100/C158)-100</f>
        <v>106.21908519979991</v>
      </c>
      <c r="M158" s="10">
        <f>VLOOKUP(A158&amp;"EQ",BhavCopy_NSE_CM!A:U,19,0)</f>
        <v>371.05</v>
      </c>
      <c r="N158" s="13">
        <f>VLOOKUP(A158&amp;"EQ",BhavCopy_NSE_CM!A:U,21,0)</f>
        <v>365.9</v>
      </c>
      <c r="O158" s="8">
        <f>B158-M158*10%</f>
        <v>408.04499999999996</v>
      </c>
      <c r="P158" s="19">
        <f>B158-M158*20%</f>
        <v>370.93999999999994</v>
      </c>
      <c r="Q158">
        <v>136</v>
      </c>
      <c r="R158" s="1" t="b">
        <f>M158&lt;I158</f>
        <v>1</v>
      </c>
    </row>
    <row r="159" spans="1:18">
      <c r="A159" t="s">
        <v>4734</v>
      </c>
      <c r="B159" s="27">
        <v>1485</v>
      </c>
      <c r="C159" s="5">
        <v>908.3</v>
      </c>
      <c r="D159" s="5">
        <f>B159-C159</f>
        <v>576.70000000000005</v>
      </c>
      <c r="E159" s="1">
        <f>D159*13%+C159</f>
        <v>983.27099999999996</v>
      </c>
      <c r="F159" s="2">
        <f>D159*21%+C159</f>
        <v>1029.4069999999999</v>
      </c>
      <c r="G159" s="2">
        <f>D159*34%+C159</f>
        <v>1104.3779999999999</v>
      </c>
      <c r="H159" s="1">
        <f>D159*55%+C159</f>
        <v>1225.4850000000001</v>
      </c>
      <c r="I159" s="1">
        <f>D159*89%+C159</f>
        <v>1421.5630000000001</v>
      </c>
      <c r="J159" s="7">
        <f>E159*144%+D159</f>
        <v>1992.61024</v>
      </c>
      <c r="L159" s="1">
        <f>(M159*100/C159)-100</f>
        <v>42.243752064295933</v>
      </c>
      <c r="M159" s="10">
        <f>VLOOKUP(A159&amp;"EQ",BhavCopy_NSE_CM!A:U,19,0)</f>
        <v>1292</v>
      </c>
      <c r="N159" s="13">
        <f>VLOOKUP(A159&amp;"EQ",BhavCopy_NSE_CM!A:U,21,0)</f>
        <v>1302.5</v>
      </c>
      <c r="O159" s="8">
        <f>B159-M159*10%</f>
        <v>1355.8</v>
      </c>
      <c r="P159" s="19">
        <f>B159-M159*20%</f>
        <v>1226.5999999999999</v>
      </c>
      <c r="Q159">
        <v>137</v>
      </c>
      <c r="R159" s="1" t="b">
        <f>M159&lt;I159</f>
        <v>1</v>
      </c>
    </row>
    <row r="160" spans="1:18">
      <c r="A160" t="s">
        <v>6711</v>
      </c>
      <c r="B160" s="27">
        <v>125.85</v>
      </c>
      <c r="C160" s="5">
        <v>77.180000000000007</v>
      </c>
      <c r="D160" s="5">
        <f>B160-C160</f>
        <v>48.669999999999987</v>
      </c>
      <c r="E160" s="1">
        <f>D160*13%+C160</f>
        <v>83.507100000000008</v>
      </c>
      <c r="F160" s="2">
        <f>D160*21%+C160</f>
        <v>87.400700000000001</v>
      </c>
      <c r="G160" s="2">
        <f>D160*34%+C160</f>
        <v>93.727800000000002</v>
      </c>
      <c r="H160" s="1">
        <f>D160*55%+C160</f>
        <v>103.9485</v>
      </c>
      <c r="I160" s="1">
        <f>D160*89%+C160</f>
        <v>120.49629999999999</v>
      </c>
      <c r="J160" s="7">
        <f>E160*144%+D160</f>
        <v>168.92022399999999</v>
      </c>
      <c r="L160" s="1">
        <f>(M160*100/C160)-100</f>
        <v>11.427831044311986</v>
      </c>
      <c r="M160" s="10">
        <f>VLOOKUP(A160&amp;"EQ",BhavCopy_NSE_CM!A:U,19,0)</f>
        <v>86</v>
      </c>
      <c r="N160" s="13">
        <f>VLOOKUP(A160&amp;"EQ",BhavCopy_NSE_CM!A:U,21,0)</f>
        <v>86</v>
      </c>
      <c r="O160" s="8">
        <f>B160-M160*10%</f>
        <v>117.25</v>
      </c>
      <c r="P160" s="19">
        <f>B160-M160*20%</f>
        <v>108.64999999999999</v>
      </c>
      <c r="Q160">
        <v>138</v>
      </c>
      <c r="R160" s="1" t="b">
        <f>M160&lt;I160</f>
        <v>1</v>
      </c>
    </row>
    <row r="161" spans="1:18">
      <c r="A161" t="s">
        <v>6759</v>
      </c>
      <c r="B161" s="27">
        <v>2490</v>
      </c>
      <c r="C161" s="5">
        <v>1084.7</v>
      </c>
      <c r="D161" s="5">
        <f>B161-C161</f>
        <v>1405.3</v>
      </c>
      <c r="E161" s="1">
        <f>D161*13%+C161</f>
        <v>1267.3890000000001</v>
      </c>
      <c r="F161" s="2">
        <f>D161*21%+C161</f>
        <v>1379.8130000000001</v>
      </c>
      <c r="G161" s="2">
        <f>D161*34%+C161</f>
        <v>1562.502</v>
      </c>
      <c r="H161" s="1">
        <f>D161*55%+C161</f>
        <v>1857.6150000000002</v>
      </c>
      <c r="I161" s="1">
        <f>D161*89%+C161</f>
        <v>2335.4169999999999</v>
      </c>
      <c r="J161" s="7">
        <f>E161*144%+D161</f>
        <v>3230.3401599999997</v>
      </c>
      <c r="L161" s="1">
        <f>(M161*100/C161)-100</f>
        <v>29.114040748594078</v>
      </c>
      <c r="M161" s="10">
        <f>VLOOKUP(A161&amp;"EQ",BhavCopy_NSE_CM!A:U,19,0)</f>
        <v>1400.5</v>
      </c>
      <c r="N161" s="13">
        <f>VLOOKUP(A161&amp;"EQ",BhavCopy_NSE_CM!A:U,21,0)</f>
        <v>1398</v>
      </c>
      <c r="O161" s="8">
        <f>B161-M161*10%</f>
        <v>2349.9499999999998</v>
      </c>
      <c r="P161" s="19">
        <f>B161-M161*20%</f>
        <v>2209.9</v>
      </c>
      <c r="Q161">
        <v>139</v>
      </c>
      <c r="R161" s="1" t="b">
        <f>M161&lt;I161</f>
        <v>1</v>
      </c>
    </row>
    <row r="162" spans="1:18">
      <c r="A162" t="s">
        <v>6798</v>
      </c>
      <c r="B162" s="27">
        <v>89.75</v>
      </c>
      <c r="C162" s="5">
        <v>71.62</v>
      </c>
      <c r="D162" s="5">
        <f>B162-C162</f>
        <v>18.129999999999995</v>
      </c>
      <c r="E162" s="1">
        <f>D162*13%+C162</f>
        <v>73.976900000000001</v>
      </c>
      <c r="F162" s="2">
        <f>D162*21%+C162</f>
        <v>75.427300000000002</v>
      </c>
      <c r="G162" s="2">
        <f>D162*34%+C162</f>
        <v>77.784199999999998</v>
      </c>
      <c r="H162" s="1">
        <f>D162*55%+C162</f>
        <v>81.591499999999996</v>
      </c>
      <c r="I162" s="1">
        <f>D162*89%+C162</f>
        <v>87.755700000000004</v>
      </c>
      <c r="J162" s="7">
        <f>E162*144%+D162</f>
        <v>124.656736</v>
      </c>
      <c r="L162" s="1">
        <f>(M162*100/C162)-100</f>
        <v>5.9759843619100934</v>
      </c>
      <c r="M162" s="10">
        <f>VLOOKUP(A162&amp;"EQ",BhavCopy_NSE_CM!A:U,19,0)</f>
        <v>75.900000000000006</v>
      </c>
      <c r="N162" s="13">
        <f>VLOOKUP(A162&amp;"EQ",BhavCopy_NSE_CM!A:U,21,0)</f>
        <v>76</v>
      </c>
      <c r="O162" s="8">
        <f>B162-M162*10%</f>
        <v>82.16</v>
      </c>
      <c r="P162" s="19">
        <f>B162-M162*20%</f>
        <v>74.569999999999993</v>
      </c>
      <c r="Q162">
        <v>140</v>
      </c>
      <c r="R162" s="1" t="b">
        <f>M162&lt;I162</f>
        <v>1</v>
      </c>
    </row>
    <row r="163" spans="1:18">
      <c r="A163" t="s">
        <v>6939</v>
      </c>
      <c r="B163" s="27">
        <v>97.49</v>
      </c>
      <c r="C163" s="5">
        <v>67.75</v>
      </c>
      <c r="D163" s="5">
        <f>B163-C163</f>
        <v>29.739999999999995</v>
      </c>
      <c r="E163" s="1">
        <f>D163*13%+C163</f>
        <v>71.616200000000006</v>
      </c>
      <c r="F163" s="2">
        <f>D163*21%+C163</f>
        <v>73.995400000000004</v>
      </c>
      <c r="G163" s="2">
        <f>D163*34%+C163</f>
        <v>77.861599999999996</v>
      </c>
      <c r="H163" s="1">
        <f>D163*55%+C163</f>
        <v>84.106999999999999</v>
      </c>
      <c r="I163" s="1">
        <f>D163*89%+C163</f>
        <v>94.218599999999995</v>
      </c>
      <c r="J163" s="7">
        <f>E163*144%+D163</f>
        <v>132.86732799999999</v>
      </c>
      <c r="L163" s="1">
        <f>(M163*100/C163)-100</f>
        <v>25.033210332103323</v>
      </c>
      <c r="M163" s="10">
        <f>VLOOKUP(A163&amp;"EQ",BhavCopy_NSE_CM!A:U,19,0)</f>
        <v>84.71</v>
      </c>
      <c r="N163" s="13">
        <f>VLOOKUP(A163&amp;"EQ",BhavCopy_NSE_CM!A:U,21,0)</f>
        <v>83.85</v>
      </c>
      <c r="O163" s="8">
        <f>B163-M163*10%</f>
        <v>89.018999999999991</v>
      </c>
      <c r="P163" s="19">
        <f>B163-M163*20%</f>
        <v>80.548000000000002</v>
      </c>
      <c r="Q163">
        <v>141</v>
      </c>
      <c r="R163" s="1" t="b">
        <f>M163&lt;I163</f>
        <v>1</v>
      </c>
    </row>
    <row r="164" spans="1:18">
      <c r="A164" t="s">
        <v>6975</v>
      </c>
      <c r="B164" s="27">
        <v>414.4</v>
      </c>
      <c r="C164" s="5">
        <v>315.55</v>
      </c>
      <c r="D164" s="5">
        <f>B164-C164</f>
        <v>98.849999999999966</v>
      </c>
      <c r="E164" s="1">
        <f>D164*13%+C164</f>
        <v>328.40050000000002</v>
      </c>
      <c r="F164" s="2">
        <f>D164*21%+C164</f>
        <v>336.30849999999998</v>
      </c>
      <c r="G164" s="2">
        <f>D164*34%+C164</f>
        <v>349.15899999999999</v>
      </c>
      <c r="H164" s="1">
        <f>D164*55%+C164</f>
        <v>369.91750000000002</v>
      </c>
      <c r="I164" s="1">
        <f>D164*89%+C164</f>
        <v>403.5265</v>
      </c>
      <c r="J164" s="7">
        <f>E164*144%+D164</f>
        <v>571.74671999999998</v>
      </c>
      <c r="L164" s="1">
        <f>(M164*100/C164)-100</f>
        <v>4.8328315639359829</v>
      </c>
      <c r="M164" s="10">
        <f>VLOOKUP(A164&amp;"EQ",BhavCopy_NSE_CM!A:U,19,0)</f>
        <v>330.8</v>
      </c>
      <c r="N164" s="13">
        <f>VLOOKUP(A164&amp;"EQ",BhavCopy_NSE_CM!A:U,21,0)</f>
        <v>332</v>
      </c>
      <c r="O164" s="8">
        <f>B164-M164*10%</f>
        <v>381.32</v>
      </c>
      <c r="P164" s="19">
        <f>B164-M164*20%</f>
        <v>348.23999999999995</v>
      </c>
      <c r="Q164">
        <v>142</v>
      </c>
      <c r="R164" s="1" t="b">
        <f>M164&lt;I164</f>
        <v>1</v>
      </c>
    </row>
    <row r="165" spans="1:18">
      <c r="A165" t="s">
        <v>6987</v>
      </c>
      <c r="B165" s="27">
        <v>7895</v>
      </c>
      <c r="C165" s="5">
        <v>1096.9000000000001</v>
      </c>
      <c r="D165" s="5">
        <f>B165-C165</f>
        <v>6798.1</v>
      </c>
      <c r="E165" s="1">
        <f>D165*13%+C165</f>
        <v>1980.6530000000002</v>
      </c>
      <c r="F165" s="2">
        <f>D165*21%+C165</f>
        <v>2524.5010000000002</v>
      </c>
      <c r="G165" s="2">
        <f>D165*34%+C165</f>
        <v>3408.2540000000004</v>
      </c>
      <c r="H165" s="1">
        <f>D165*55%+C165</f>
        <v>4835.8550000000005</v>
      </c>
      <c r="I165" s="1">
        <f>D165*89%+C165</f>
        <v>7147.2090000000007</v>
      </c>
      <c r="J165" s="7">
        <f>E165*144%+D165</f>
        <v>9650.2403200000008</v>
      </c>
      <c r="L165" s="1">
        <f>(M165*100/C165)-100</f>
        <v>67.417266842920952</v>
      </c>
      <c r="M165" s="10">
        <f>VLOOKUP(A165&amp;"EQ",BhavCopy_NSE_CM!A:U,19,0)</f>
        <v>1836.4</v>
      </c>
      <c r="N165" s="13">
        <f>VLOOKUP(A165&amp;"EQ",BhavCopy_NSE_CM!A:U,21,0)</f>
        <v>1832.4</v>
      </c>
      <c r="O165" s="8">
        <f>B165-M165*10%</f>
        <v>7711.36</v>
      </c>
      <c r="P165" s="19">
        <f>B165-M165*20%</f>
        <v>7527.72</v>
      </c>
      <c r="Q165">
        <v>143</v>
      </c>
      <c r="R165" s="1" t="b">
        <f>M165&lt;I165</f>
        <v>1</v>
      </c>
    </row>
    <row r="166" spans="1:18">
      <c r="A166" t="s">
        <v>3240</v>
      </c>
      <c r="B166" s="27">
        <v>349.55</v>
      </c>
      <c r="C166" s="5">
        <v>200.14</v>
      </c>
      <c r="D166" s="5">
        <f>B166-C166</f>
        <v>149.41000000000003</v>
      </c>
      <c r="E166" s="1">
        <f>D166*13%+C166</f>
        <v>219.5633</v>
      </c>
      <c r="F166" s="2">
        <f>D166*21%+C166</f>
        <v>231.51609999999999</v>
      </c>
      <c r="G166" s="2">
        <f>D166*34%+C166</f>
        <v>250.93940000000001</v>
      </c>
      <c r="H166" s="1">
        <f>D166*55%+C166</f>
        <v>282.31549999999999</v>
      </c>
      <c r="I166" s="1">
        <f>D166*89%+C166</f>
        <v>333.11490000000003</v>
      </c>
      <c r="J166" s="7">
        <f>E166*144%+D166</f>
        <v>465.58115200000003</v>
      </c>
      <c r="L166" s="1">
        <f>(M166*100/C166)-100</f>
        <v>70.380733486559421</v>
      </c>
      <c r="M166" s="10">
        <f>VLOOKUP(A166&amp;"EQ",BhavCopy_NSE_CM!A:U,19,0)</f>
        <v>341</v>
      </c>
      <c r="N166" s="13">
        <f>VLOOKUP(A166&amp;"EQ",BhavCopy_NSE_CM!A:U,21,0)</f>
        <v>332.7</v>
      </c>
      <c r="O166" s="8">
        <f>B166-M166*10%</f>
        <v>315.45</v>
      </c>
      <c r="P166" s="19">
        <f>B166-M166*20%</f>
        <v>281.35000000000002</v>
      </c>
      <c r="Q166">
        <v>144</v>
      </c>
      <c r="R166" s="1" t="b">
        <f>M166&lt;I166</f>
        <v>0</v>
      </c>
    </row>
    <row r="167" spans="1:18">
      <c r="A167" t="s">
        <v>6999</v>
      </c>
      <c r="B167" s="27">
        <v>1986.1</v>
      </c>
      <c r="C167" s="5">
        <v>1391.2</v>
      </c>
      <c r="D167" s="5">
        <f>B167-C167</f>
        <v>594.89999999999986</v>
      </c>
      <c r="E167" s="1">
        <f>D167*13%+C167</f>
        <v>1468.537</v>
      </c>
      <c r="F167" s="2">
        <f>D167*21%+C167</f>
        <v>1516.1289999999999</v>
      </c>
      <c r="G167" s="2">
        <f>D167*34%+C167</f>
        <v>1593.4659999999999</v>
      </c>
      <c r="H167" s="1">
        <f>D167*55%+C167</f>
        <v>1718.395</v>
      </c>
      <c r="I167" s="1">
        <f>D167*89%+C167</f>
        <v>1920.6610000000001</v>
      </c>
      <c r="J167" s="7">
        <f>E167*144%+D167</f>
        <v>2709.59328</v>
      </c>
      <c r="L167" s="1">
        <f>(M167*100/C167)-100</f>
        <v>31.814261069580226</v>
      </c>
      <c r="M167" s="10">
        <f>VLOOKUP(A167&amp;"EQ",BhavCopy_NSE_CM!A:U,19,0)</f>
        <v>1833.8</v>
      </c>
      <c r="N167" s="13">
        <f>VLOOKUP(A167&amp;"EQ",BhavCopy_NSE_CM!A:U,21,0)</f>
        <v>1847.5</v>
      </c>
      <c r="O167" s="8">
        <f>B167-M167*10%</f>
        <v>1802.7199999999998</v>
      </c>
      <c r="P167" s="19">
        <f>B167-M167*20%</f>
        <v>1619.34</v>
      </c>
      <c r="Q167">
        <v>145</v>
      </c>
      <c r="R167" s="1" t="b">
        <f>M167&lt;I167</f>
        <v>1</v>
      </c>
    </row>
    <row r="168" spans="1:18">
      <c r="A168" t="s">
        <v>7020</v>
      </c>
      <c r="B168" s="27">
        <v>531</v>
      </c>
      <c r="C168" s="5">
        <v>384.6</v>
      </c>
      <c r="D168" s="5">
        <f>B168-C168</f>
        <v>146.39999999999998</v>
      </c>
      <c r="E168" s="1">
        <f>D168*13%+C168</f>
        <v>403.63200000000001</v>
      </c>
      <c r="F168" s="2">
        <f>D168*21%+C168</f>
        <v>415.34399999999999</v>
      </c>
      <c r="G168" s="2">
        <f>D168*34%+C168</f>
        <v>434.37600000000003</v>
      </c>
      <c r="H168" s="1">
        <f>D168*55%+C168</f>
        <v>465.12</v>
      </c>
      <c r="I168" s="1">
        <f>D168*89%+C168</f>
        <v>514.89599999999996</v>
      </c>
      <c r="J168" s="7">
        <f>E168*144%+D168</f>
        <v>727.63007999999991</v>
      </c>
      <c r="L168" s="1">
        <f>(M168*100/C168)-100</f>
        <v>28.809152366094622</v>
      </c>
      <c r="M168" s="10">
        <f>VLOOKUP(A168&amp;"EQ",BhavCopy_NSE_CM!A:U,19,0)</f>
        <v>495.4</v>
      </c>
      <c r="N168" s="13">
        <f>VLOOKUP(A168&amp;"EQ",BhavCopy_NSE_CM!A:U,21,0)</f>
        <v>487</v>
      </c>
      <c r="O168" s="8">
        <f>B168-M168*10%</f>
        <v>481.46</v>
      </c>
      <c r="P168" s="19">
        <f>B168-M168*20%</f>
        <v>431.92</v>
      </c>
      <c r="Q168">
        <v>146</v>
      </c>
      <c r="R168" s="1" t="b">
        <f>M168&lt;I168</f>
        <v>1</v>
      </c>
    </row>
    <row r="169" spans="1:18">
      <c r="A169" t="s">
        <v>7014</v>
      </c>
      <c r="B169" s="27">
        <v>307.5</v>
      </c>
      <c r="C169" s="5">
        <v>227.65</v>
      </c>
      <c r="D169" s="5">
        <f>B169-C169</f>
        <v>79.849999999999994</v>
      </c>
      <c r="E169" s="1">
        <f>D169*13%+C169</f>
        <v>238.03050000000002</v>
      </c>
      <c r="F169" s="2">
        <f>D169*21%+C169</f>
        <v>244.41849999999999</v>
      </c>
      <c r="G169" s="2">
        <f>D169*34%+C169</f>
        <v>254.79900000000001</v>
      </c>
      <c r="H169" s="1">
        <f>D169*55%+C169</f>
        <v>271.5675</v>
      </c>
      <c r="I169" s="1">
        <f>D169*89%+C169</f>
        <v>298.7165</v>
      </c>
      <c r="J169" s="7">
        <f>E169*144%+D169</f>
        <v>422.61392000000001</v>
      </c>
      <c r="L169" s="1">
        <f>(M169*100/C169)-100</f>
        <v>3.6679112672962901</v>
      </c>
      <c r="M169" s="10">
        <f>VLOOKUP(A169&amp;"EQ",BhavCopy_NSE_CM!A:U,19,0)</f>
        <v>236</v>
      </c>
      <c r="N169" s="13">
        <f>VLOOKUP(A169&amp;"EQ",BhavCopy_NSE_CM!A:U,21,0)</f>
        <v>233.7</v>
      </c>
      <c r="O169" s="8">
        <f>B169-M169*10%</f>
        <v>283.89999999999998</v>
      </c>
      <c r="P169" s="19">
        <f>B169-M169*20%</f>
        <v>260.3</v>
      </c>
      <c r="Q169">
        <v>147</v>
      </c>
      <c r="R169" s="1" t="b">
        <f>M169&lt;I169</f>
        <v>1</v>
      </c>
    </row>
    <row r="170" spans="1:18">
      <c r="A170" t="s">
        <v>7206</v>
      </c>
      <c r="B170" s="27">
        <v>49380</v>
      </c>
      <c r="C170" s="5">
        <v>29805</v>
      </c>
      <c r="D170" s="5">
        <f>B170-C170</f>
        <v>19575</v>
      </c>
      <c r="E170" s="1">
        <f>D170*13%+C170</f>
        <v>32349.75</v>
      </c>
      <c r="F170" s="2">
        <f>D170*21%+C170</f>
        <v>33915.75</v>
      </c>
      <c r="G170" s="2">
        <f>D170*34%+C170</f>
        <v>36460.5</v>
      </c>
      <c r="H170" s="1">
        <f>D170*55%+C170</f>
        <v>40571.25</v>
      </c>
      <c r="I170" s="1">
        <f>D170*89%+C170</f>
        <v>47226.75</v>
      </c>
      <c r="J170" s="7">
        <f>E170*144%+D170</f>
        <v>66158.64</v>
      </c>
      <c r="L170" s="1">
        <f>(M170*100/C170)-100</f>
        <v>20.499916121456138</v>
      </c>
      <c r="M170" s="10">
        <f>VLOOKUP(A170&amp;"EQ",BhavCopy_NSE_CM!A:U,19,0)</f>
        <v>35915</v>
      </c>
      <c r="N170" s="13">
        <f>VLOOKUP(A170&amp;"EQ",BhavCopy_NSE_CM!A:U,21,0)</f>
        <v>35825</v>
      </c>
      <c r="O170" s="8">
        <f>B170-M170*10%</f>
        <v>45788.5</v>
      </c>
      <c r="P170" s="19">
        <f>B170-M170*20%</f>
        <v>42197</v>
      </c>
      <c r="Q170">
        <v>148</v>
      </c>
      <c r="R170" s="1" t="b">
        <f>M170&lt;I170</f>
        <v>1</v>
      </c>
    </row>
    <row r="171" spans="1:18">
      <c r="A171" t="s">
        <v>7292</v>
      </c>
      <c r="B171" s="27">
        <v>1961.8</v>
      </c>
      <c r="C171" s="5">
        <v>328.2</v>
      </c>
      <c r="D171" s="5">
        <f>B171-C171</f>
        <v>1633.6</v>
      </c>
      <c r="E171" s="1">
        <f>D171*13%+C171</f>
        <v>540.56799999999998</v>
      </c>
      <c r="F171" s="2">
        <f>D171*21%+C171</f>
        <v>671.25599999999997</v>
      </c>
      <c r="G171" s="2">
        <f>D171*34%+C171</f>
        <v>883.62400000000002</v>
      </c>
      <c r="H171" s="1">
        <f>D171*55%+C171</f>
        <v>1226.68</v>
      </c>
      <c r="I171" s="1">
        <f>D171*89%+C171</f>
        <v>1782.104</v>
      </c>
      <c r="J171" s="7">
        <f>E171*144%+D171</f>
        <v>2412.0179199999998</v>
      </c>
      <c r="L171" s="1">
        <f>(M171*100/C171)-100</f>
        <v>4.2047531992687368</v>
      </c>
      <c r="M171" s="10">
        <f>VLOOKUP(A171&amp;"EQ",BhavCopy_NSE_CM!A:U,19,0)</f>
        <v>342</v>
      </c>
      <c r="N171" s="13">
        <f>VLOOKUP(A171&amp;"EQ",BhavCopy_NSE_CM!A:U,21,0)</f>
        <v>340.9</v>
      </c>
      <c r="O171" s="8">
        <f>B171-M171*10%</f>
        <v>1927.6</v>
      </c>
      <c r="P171" s="19">
        <f>B171-M171*20%</f>
        <v>1893.3999999999999</v>
      </c>
      <c r="Q171">
        <v>149</v>
      </c>
      <c r="R171" s="1" t="b">
        <f>M171&lt;I171</f>
        <v>1</v>
      </c>
    </row>
    <row r="172" spans="1:18">
      <c r="A172" t="s">
        <v>7053</v>
      </c>
      <c r="B172" s="27">
        <v>1718</v>
      </c>
      <c r="C172" s="5">
        <v>930.6</v>
      </c>
      <c r="D172" s="5">
        <f>B172-C172</f>
        <v>787.4</v>
      </c>
      <c r="E172" s="1">
        <f>D172*13%+C172</f>
        <v>1032.962</v>
      </c>
      <c r="F172" s="2">
        <f>D172*21%+C172</f>
        <v>1095.954</v>
      </c>
      <c r="G172" s="2">
        <f>D172*34%+C172</f>
        <v>1198.316</v>
      </c>
      <c r="H172" s="1">
        <f>D172*55%+C172</f>
        <v>1363.67</v>
      </c>
      <c r="I172" s="1">
        <f>D172*89%+C172</f>
        <v>1631.386</v>
      </c>
      <c r="J172" s="7">
        <f>E172*144%+D172</f>
        <v>2274.86528</v>
      </c>
      <c r="L172" s="1">
        <f>(M172*100/C172)-100</f>
        <v>79.454115624328381</v>
      </c>
      <c r="M172" s="10">
        <f>VLOOKUP(A172&amp;"EQ",BhavCopy_NSE_CM!A:U,19,0)</f>
        <v>1670</v>
      </c>
      <c r="N172" s="13">
        <f>VLOOKUP(A172&amp;"EQ",BhavCopy_NSE_CM!A:U,21,0)</f>
        <v>1664</v>
      </c>
      <c r="O172" s="8">
        <f>B172-M172*10%</f>
        <v>1551</v>
      </c>
      <c r="P172" s="19">
        <f>B172-M172*20%</f>
        <v>1384</v>
      </c>
      <c r="Q172">
        <v>150</v>
      </c>
      <c r="R172" s="1" t="b">
        <f>M172&lt;I172</f>
        <v>0</v>
      </c>
    </row>
    <row r="173" spans="1:18">
      <c r="A173" t="s">
        <v>7353</v>
      </c>
      <c r="B173" s="27">
        <v>6599</v>
      </c>
      <c r="C173" s="5">
        <v>4244.5</v>
      </c>
      <c r="D173" s="5">
        <f>B173-C173</f>
        <v>2354.5</v>
      </c>
      <c r="E173" s="1">
        <f>D173*13%+C173</f>
        <v>4550.585</v>
      </c>
      <c r="F173" s="2">
        <f>D173*21%+C173</f>
        <v>4738.9449999999997</v>
      </c>
      <c r="G173" s="2">
        <f>D173*34%+C173</f>
        <v>5045.03</v>
      </c>
      <c r="H173" s="1">
        <f>D173*55%+C173</f>
        <v>5539.4750000000004</v>
      </c>
      <c r="I173" s="1">
        <f>D173*89%+C173</f>
        <v>6340.0050000000001</v>
      </c>
      <c r="J173" s="7">
        <f>E173*144%+D173</f>
        <v>8907.3423999999995</v>
      </c>
      <c r="L173" s="1">
        <f>(M173*100/C173)-100</f>
        <v>30.99304982919071</v>
      </c>
      <c r="M173" s="10">
        <f>VLOOKUP(A173&amp;"EQ",BhavCopy_NSE_CM!A:U,19,0)</f>
        <v>5560</v>
      </c>
      <c r="N173" s="13">
        <f>VLOOKUP(A173&amp;"EQ",BhavCopy_NSE_CM!A:U,21,0)</f>
        <v>5540</v>
      </c>
      <c r="O173" s="8">
        <f>B173-M173*10%</f>
        <v>6043</v>
      </c>
      <c r="P173" s="19">
        <f>B173-M173*20%</f>
        <v>5487</v>
      </c>
      <c r="Q173">
        <v>151</v>
      </c>
      <c r="R173" s="1" t="b">
        <f>M173&lt;I173</f>
        <v>1</v>
      </c>
    </row>
    <row r="174" spans="1:18">
      <c r="A174" t="s">
        <v>7359</v>
      </c>
      <c r="B174" s="27">
        <v>326.39999999999998</v>
      </c>
      <c r="C174" s="5">
        <v>235.35</v>
      </c>
      <c r="D174" s="5">
        <f>B174-C174</f>
        <v>91.049999999999983</v>
      </c>
      <c r="E174" s="1">
        <f>D174*13%+C174</f>
        <v>247.1865</v>
      </c>
      <c r="F174" s="2">
        <f>D174*21%+C174</f>
        <v>254.47049999999999</v>
      </c>
      <c r="G174" s="2">
        <f>D174*34%+C174</f>
        <v>266.30700000000002</v>
      </c>
      <c r="H174" s="1">
        <f>D174*55%+C174</f>
        <v>285.42750000000001</v>
      </c>
      <c r="I174" s="1">
        <f>D174*89%+C174</f>
        <v>316.3845</v>
      </c>
      <c r="J174" s="7">
        <f>E174*144%+D174</f>
        <v>446.99856</v>
      </c>
      <c r="L174" s="1">
        <f>(M174*100/C174)-100</f>
        <v>21.436158912258335</v>
      </c>
      <c r="M174" s="10">
        <f>VLOOKUP(A174&amp;"EQ",BhavCopy_NSE_CM!A:U,19,0)</f>
        <v>285.8</v>
      </c>
      <c r="N174" s="13">
        <f>VLOOKUP(A174&amp;"EQ",BhavCopy_NSE_CM!A:U,21,0)</f>
        <v>290.95</v>
      </c>
      <c r="O174" s="8">
        <f>B174-M174*10%</f>
        <v>297.82</v>
      </c>
      <c r="P174" s="19">
        <f>B174-M174*20%</f>
        <v>269.23999999999995</v>
      </c>
      <c r="Q174">
        <v>152</v>
      </c>
      <c r="R174" s="1" t="b">
        <f>M174&lt;I174</f>
        <v>1</v>
      </c>
    </row>
    <row r="175" spans="1:18">
      <c r="A175" t="s">
        <v>7486</v>
      </c>
      <c r="B175" s="27">
        <v>486.5</v>
      </c>
      <c r="C175" s="5">
        <v>329.9</v>
      </c>
      <c r="D175" s="5">
        <f>B175-C175</f>
        <v>156.60000000000002</v>
      </c>
      <c r="E175" s="1">
        <f>D175*13%+C175</f>
        <v>350.25799999999998</v>
      </c>
      <c r="F175" s="2">
        <f>D175*21%+C175</f>
        <v>362.786</v>
      </c>
      <c r="G175" s="2">
        <f>D175*34%+C175</f>
        <v>383.14400000000001</v>
      </c>
      <c r="H175" s="1">
        <f>D175*55%+C175</f>
        <v>416.03</v>
      </c>
      <c r="I175" s="1">
        <f>D175*89%+C175</f>
        <v>469.274</v>
      </c>
      <c r="J175" s="7">
        <f>E175*144%+D175</f>
        <v>660.97152000000006</v>
      </c>
      <c r="L175" s="1">
        <f>(M175*100/C175)-100</f>
        <v>7.881176113973936</v>
      </c>
      <c r="M175" s="10">
        <f>VLOOKUP(A175&amp;"EQ",BhavCopy_NSE_CM!A:U,19,0)</f>
        <v>355.9</v>
      </c>
      <c r="N175" s="13">
        <f>VLOOKUP(A175&amp;"EQ",BhavCopy_NSE_CM!A:U,21,0)</f>
        <v>353.1</v>
      </c>
      <c r="O175" s="8">
        <f>B175-M175*10%</f>
        <v>450.91</v>
      </c>
      <c r="P175" s="19">
        <f>B175-M175*20%</f>
        <v>415.32</v>
      </c>
      <c r="Q175">
        <v>153</v>
      </c>
      <c r="R175" s="1" t="b">
        <f>M175&lt;I175</f>
        <v>1</v>
      </c>
    </row>
    <row r="176" spans="1:18">
      <c r="A176" t="s">
        <v>7375</v>
      </c>
      <c r="B176" s="27">
        <v>836.45</v>
      </c>
      <c r="C176" s="5">
        <v>436.55</v>
      </c>
      <c r="D176" s="5">
        <f>B176-C176</f>
        <v>399.90000000000003</v>
      </c>
      <c r="E176" s="1">
        <f>D176*13%+C176</f>
        <v>488.53700000000003</v>
      </c>
      <c r="F176" s="2">
        <f>D176*21%+C176</f>
        <v>520.529</v>
      </c>
      <c r="G176" s="2">
        <f>D176*34%+C176</f>
        <v>572.51600000000008</v>
      </c>
      <c r="H176" s="1">
        <f>D176*55%+C176</f>
        <v>656.49500000000012</v>
      </c>
      <c r="I176" s="1">
        <f>D176*89%+C176</f>
        <v>792.46100000000001</v>
      </c>
      <c r="J176" s="7">
        <f>E176*144%+D176</f>
        <v>1103.39328</v>
      </c>
      <c r="L176" s="1">
        <f>(M176*100/C176)-100</f>
        <v>26.835414041919606</v>
      </c>
      <c r="M176" s="10">
        <f>VLOOKUP(A176&amp;"EQ",BhavCopy_NSE_CM!A:U,19,0)</f>
        <v>553.70000000000005</v>
      </c>
      <c r="N176" s="13">
        <f>VLOOKUP(A176&amp;"EQ",BhavCopy_NSE_CM!A:U,21,0)</f>
        <v>559.54999999999995</v>
      </c>
      <c r="O176" s="8">
        <f>B176-M176*10%</f>
        <v>781.08</v>
      </c>
      <c r="P176" s="19">
        <f>B176-M176*20%</f>
        <v>725.71</v>
      </c>
      <c r="Q176">
        <v>154</v>
      </c>
      <c r="R176" s="1" t="b">
        <f>M176&lt;I176</f>
        <v>1</v>
      </c>
    </row>
    <row r="177" spans="1:18">
      <c r="A177" t="s">
        <v>9947</v>
      </c>
      <c r="B177" s="27">
        <v>2169.8000000000002</v>
      </c>
      <c r="C177" s="5">
        <v>1402.5</v>
      </c>
      <c r="D177" s="5">
        <f>B177-C177</f>
        <v>767.30000000000018</v>
      </c>
      <c r="E177" s="1">
        <f>D177*13%+C177</f>
        <v>1502.249</v>
      </c>
      <c r="F177" s="2">
        <f>D177*21%+C177</f>
        <v>1563.633</v>
      </c>
      <c r="G177" s="2">
        <f>D177*34%+C177</f>
        <v>1663.3820000000001</v>
      </c>
      <c r="H177" s="1">
        <f>D177*55%+C177</f>
        <v>1824.5150000000001</v>
      </c>
      <c r="I177" s="1">
        <f>D177*89%+C177</f>
        <v>2085.3969999999999</v>
      </c>
      <c r="J177" s="7">
        <f>E177*144%+D177</f>
        <v>2930.53856</v>
      </c>
      <c r="L177" s="1">
        <f>(M177*100/C177)-100</f>
        <v>34.402852049910877</v>
      </c>
      <c r="M177" s="10">
        <f>VLOOKUP(A177&amp;"EQ",BhavCopy_NSE_CM!A:U,19,0)</f>
        <v>1885</v>
      </c>
      <c r="N177" s="13">
        <f>VLOOKUP(A177&amp;"EQ",BhavCopy_NSE_CM!A:U,21,0)</f>
        <v>1905</v>
      </c>
      <c r="O177" s="8">
        <f>B177-M177*10%</f>
        <v>1981.3000000000002</v>
      </c>
      <c r="P177" s="19">
        <f>B177-M177*20%</f>
        <v>1792.8000000000002</v>
      </c>
      <c r="Q177">
        <v>155</v>
      </c>
      <c r="R177" s="1" t="b">
        <f>M177&lt;I177</f>
        <v>1</v>
      </c>
    </row>
    <row r="178" spans="1:18">
      <c r="A178" t="s">
        <v>7399</v>
      </c>
      <c r="B178" s="27">
        <v>3149.9</v>
      </c>
      <c r="C178" s="5">
        <v>1259</v>
      </c>
      <c r="D178" s="5">
        <f>B178-C178</f>
        <v>1890.9</v>
      </c>
      <c r="E178" s="1">
        <f>D178*13%+C178</f>
        <v>1504.817</v>
      </c>
      <c r="F178" s="2">
        <f>D178*21%+C178</f>
        <v>1656.0889999999999</v>
      </c>
      <c r="G178" s="2">
        <f>D178*34%+C178</f>
        <v>1901.9059999999999</v>
      </c>
      <c r="H178" s="1">
        <f>D178*55%+C178</f>
        <v>2298.9949999999999</v>
      </c>
      <c r="I178" s="1">
        <f>D178*89%+C178</f>
        <v>2941.9009999999998</v>
      </c>
      <c r="J178" s="7">
        <f>E178*144%+D178</f>
        <v>4057.8364799999999</v>
      </c>
      <c r="L178" s="1">
        <f>(M178*100/C178)-100</f>
        <v>26.52899126290707</v>
      </c>
      <c r="M178" s="10">
        <f>VLOOKUP(A178&amp;"EQ",BhavCopy_NSE_CM!A:U,19,0)</f>
        <v>1593</v>
      </c>
      <c r="N178" s="13">
        <f>VLOOKUP(A178&amp;"EQ",BhavCopy_NSE_CM!A:U,21,0)</f>
        <v>1575</v>
      </c>
      <c r="O178" s="8">
        <f>B178-M178*10%</f>
        <v>2990.6</v>
      </c>
      <c r="P178" s="19">
        <f>B178-M178*20%</f>
        <v>2831.3</v>
      </c>
      <c r="Q178">
        <v>156</v>
      </c>
      <c r="R178" s="1" t="b">
        <f>M178&lt;I178</f>
        <v>1</v>
      </c>
    </row>
    <row r="179" spans="1:18">
      <c r="A179" t="s">
        <v>7390</v>
      </c>
      <c r="B179" s="27">
        <v>4330</v>
      </c>
      <c r="C179" s="5">
        <v>2370</v>
      </c>
      <c r="D179" s="5">
        <f>B179-C179</f>
        <v>1960</v>
      </c>
      <c r="E179" s="1">
        <f>D179*13%+C179</f>
        <v>2624.8</v>
      </c>
      <c r="F179" s="2">
        <f>D179*21%+C179</f>
        <v>2781.6</v>
      </c>
      <c r="G179" s="2">
        <f>D179*34%+C179</f>
        <v>3036.4</v>
      </c>
      <c r="H179" s="1">
        <f>D179*55%+C179</f>
        <v>3448</v>
      </c>
      <c r="I179" s="1">
        <f>D179*89%+C179</f>
        <v>4114.3999999999996</v>
      </c>
      <c r="J179" s="7">
        <f>E179*144%+D179</f>
        <v>5739.7119999999995</v>
      </c>
      <c r="L179" s="1">
        <f>(M179*100/C179)-100</f>
        <v>1.0548523206751099</v>
      </c>
      <c r="M179" s="10">
        <f>VLOOKUP(A179&amp;"EQ",BhavCopy_NSE_CM!A:U,19,0)</f>
        <v>2395</v>
      </c>
      <c r="N179" s="13">
        <f>VLOOKUP(A179&amp;"EQ",BhavCopy_NSE_CM!A:U,21,0)</f>
        <v>2430</v>
      </c>
      <c r="O179" s="8">
        <f>B179-M179*10%</f>
        <v>4090.5</v>
      </c>
      <c r="P179" s="19">
        <f>B179-M179*20%</f>
        <v>3851</v>
      </c>
      <c r="Q179">
        <v>157</v>
      </c>
      <c r="R179" s="1" t="b">
        <f>M179&lt;I179</f>
        <v>1</v>
      </c>
    </row>
    <row r="180" spans="1:18">
      <c r="A180" t="s">
        <v>7681</v>
      </c>
      <c r="B180" s="27">
        <v>135.15</v>
      </c>
      <c r="C180" s="5">
        <v>98.5</v>
      </c>
      <c r="D180" s="5">
        <f>B180-C180</f>
        <v>36.650000000000006</v>
      </c>
      <c r="E180" s="1">
        <f>D180*13%+C180</f>
        <v>103.2645</v>
      </c>
      <c r="F180" s="2">
        <f>D180*21%+C180</f>
        <v>106.1965</v>
      </c>
      <c r="G180" s="2">
        <f>D180*34%+C180</f>
        <v>110.961</v>
      </c>
      <c r="H180" s="1">
        <f>D180*55%+C180</f>
        <v>118.6575</v>
      </c>
      <c r="I180" s="1">
        <f>D180*89%+C180</f>
        <v>131.11850000000001</v>
      </c>
      <c r="J180" s="7">
        <f>E180*144%+D180</f>
        <v>185.35087999999999</v>
      </c>
      <c r="L180" s="1">
        <f>(M180*100/C180)-100</f>
        <v>17.766497461928935</v>
      </c>
      <c r="M180" s="10">
        <f>VLOOKUP(A180&amp;"EQ",BhavCopy_NSE_CM!A:U,19,0)</f>
        <v>116</v>
      </c>
      <c r="N180" s="13">
        <f>VLOOKUP(A180&amp;"EQ",BhavCopy_NSE_CM!A:U,21,0)</f>
        <v>115.6</v>
      </c>
      <c r="O180" s="8">
        <f>B180-M180*10%</f>
        <v>123.55000000000001</v>
      </c>
      <c r="P180" s="19">
        <f>B180-M180*20%</f>
        <v>111.95</v>
      </c>
      <c r="Q180">
        <v>158</v>
      </c>
      <c r="R180" s="1" t="b">
        <f>M180&lt;I180</f>
        <v>1</v>
      </c>
    </row>
    <row r="181" spans="1:18">
      <c r="A181" t="s">
        <v>7441</v>
      </c>
      <c r="B181" s="27">
        <v>1185</v>
      </c>
      <c r="C181" s="5">
        <v>729.6</v>
      </c>
      <c r="D181" s="5">
        <f>B181-C181</f>
        <v>455.4</v>
      </c>
      <c r="E181" s="1">
        <f>D181*13%+C181</f>
        <v>788.80200000000002</v>
      </c>
      <c r="F181" s="2">
        <f>D181*21%+C181</f>
        <v>825.23400000000004</v>
      </c>
      <c r="G181" s="2">
        <f>D181*34%+C181</f>
        <v>884.43600000000004</v>
      </c>
      <c r="H181" s="1">
        <f>D181*55%+C181</f>
        <v>980.07</v>
      </c>
      <c r="I181" s="1">
        <f>D181*89%+C181</f>
        <v>1134.9059999999999</v>
      </c>
      <c r="J181" s="7">
        <f>E181*144%+D181</f>
        <v>1591.2748799999999</v>
      </c>
      <c r="L181" s="1">
        <f>(M181*100/C181)-100</f>
        <v>59.964364035087698</v>
      </c>
      <c r="M181" s="10">
        <f>VLOOKUP(A181&amp;"EQ",BhavCopy_NSE_CM!A:U,19,0)</f>
        <v>1167.0999999999999</v>
      </c>
      <c r="N181" s="13">
        <f>VLOOKUP(A181&amp;"EQ",BhavCopy_NSE_CM!A:U,21,0)</f>
        <v>1182.0999999999999</v>
      </c>
      <c r="O181" s="8">
        <f>B181-M181*10%</f>
        <v>1068.29</v>
      </c>
      <c r="P181" s="19">
        <f>B181-M181*20%</f>
        <v>951.58</v>
      </c>
      <c r="Q181">
        <v>159</v>
      </c>
      <c r="R181" s="1" t="b">
        <f>M181&lt;I181</f>
        <v>0</v>
      </c>
    </row>
    <row r="182" spans="1:18">
      <c r="A182" t="s">
        <v>7316</v>
      </c>
      <c r="B182" s="27">
        <v>1974</v>
      </c>
      <c r="C182" s="5">
        <v>1364</v>
      </c>
      <c r="D182" s="5">
        <f>B182-C182</f>
        <v>610</v>
      </c>
      <c r="E182" s="1">
        <f>D182*13%+C182</f>
        <v>1443.3</v>
      </c>
      <c r="F182" s="2">
        <f>D182*21%+C182</f>
        <v>1492.1</v>
      </c>
      <c r="G182" s="2">
        <f>D182*34%+C182</f>
        <v>1571.4</v>
      </c>
      <c r="H182" s="1">
        <f>D182*55%+C182</f>
        <v>1699.5</v>
      </c>
      <c r="I182" s="1">
        <f>D182*89%+C182</f>
        <v>1906.9</v>
      </c>
      <c r="J182" s="7">
        <f>E182*144%+D182</f>
        <v>2688.3519999999999</v>
      </c>
      <c r="L182" s="1">
        <f>(M182*100/C182)-100</f>
        <v>33.870967741935488</v>
      </c>
      <c r="M182" s="10">
        <f>VLOOKUP(A182&amp;"EQ",BhavCopy_NSE_CM!A:U,19,0)</f>
        <v>1826</v>
      </c>
      <c r="N182" s="13">
        <f>VLOOKUP(A182&amp;"EQ",BhavCopy_NSE_CM!A:U,21,0)</f>
        <v>1792</v>
      </c>
      <c r="O182" s="8">
        <f>B182-M182*10%</f>
        <v>1791.4</v>
      </c>
      <c r="P182" s="19">
        <f>B182-M182*20%</f>
        <v>1608.8</v>
      </c>
      <c r="Q182">
        <v>160</v>
      </c>
      <c r="R182" s="1" t="b">
        <f>M182&lt;I182</f>
        <v>1</v>
      </c>
    </row>
    <row r="183" spans="1:18">
      <c r="A183" t="s">
        <v>7459</v>
      </c>
      <c r="B183" s="27">
        <v>10126</v>
      </c>
      <c r="C183" s="5">
        <v>6620</v>
      </c>
      <c r="D183" s="5">
        <f>B183-C183</f>
        <v>3506</v>
      </c>
      <c r="E183" s="1">
        <f>D183*13%+C183</f>
        <v>7075.78</v>
      </c>
      <c r="F183" s="2">
        <f>D183*21%+C183</f>
        <v>7356.26</v>
      </c>
      <c r="G183" s="2">
        <f>D183*34%+C183</f>
        <v>7812.04</v>
      </c>
      <c r="H183" s="1">
        <f>D183*55%+C183</f>
        <v>8548.2999999999993</v>
      </c>
      <c r="I183" s="1">
        <f>D183*89%+C183</f>
        <v>9740.34</v>
      </c>
      <c r="J183" s="7">
        <f>E183*144%+D183</f>
        <v>13695.1232</v>
      </c>
      <c r="L183" s="1">
        <f>(M183*100/C183)-100</f>
        <v>26.487915407854985</v>
      </c>
      <c r="M183" s="10">
        <f>VLOOKUP(A183&amp;"EQ",BhavCopy_NSE_CM!A:U,19,0)</f>
        <v>8373.5</v>
      </c>
      <c r="N183" s="13">
        <f>VLOOKUP(A183&amp;"EQ",BhavCopy_NSE_CM!A:U,21,0)</f>
        <v>8261</v>
      </c>
      <c r="O183" s="8">
        <f>B183-M183*10%</f>
        <v>9288.65</v>
      </c>
      <c r="P183" s="19">
        <f>B183-M183*20%</f>
        <v>8451.2999999999993</v>
      </c>
      <c r="Q183">
        <v>161</v>
      </c>
      <c r="R183" s="1" t="b">
        <f>M183&lt;I183</f>
        <v>1</v>
      </c>
    </row>
    <row r="184" spans="1:18">
      <c r="A184" t="s">
        <v>7489</v>
      </c>
      <c r="B184" s="27">
        <v>324.95</v>
      </c>
      <c r="C184" s="5">
        <v>250</v>
      </c>
      <c r="D184" s="5">
        <f>B184-C184</f>
        <v>74.949999999999989</v>
      </c>
      <c r="E184" s="1">
        <f>D184*13%+C184</f>
        <v>259.74349999999998</v>
      </c>
      <c r="F184" s="2">
        <f>D184*21%+C184</f>
        <v>265.73950000000002</v>
      </c>
      <c r="G184" s="2">
        <f>D184*34%+C184</f>
        <v>275.483</v>
      </c>
      <c r="H184" s="1">
        <f>D184*55%+C184</f>
        <v>291.22249999999997</v>
      </c>
      <c r="I184" s="1">
        <f>D184*89%+C184</f>
        <v>316.70549999999997</v>
      </c>
      <c r="J184" s="7">
        <f>E184*144%+D184</f>
        <v>448.98063999999994</v>
      </c>
      <c r="L184" s="1">
        <f>(M184*100/C184)-100</f>
        <v>6.2999999999999972</v>
      </c>
      <c r="M184" s="10">
        <f>VLOOKUP(A184&amp;"EQ",BhavCopy_NSE_CM!A:U,19,0)</f>
        <v>265.75</v>
      </c>
      <c r="N184" s="13">
        <f>VLOOKUP(A184&amp;"EQ",BhavCopy_NSE_CM!A:U,21,0)</f>
        <v>266.45</v>
      </c>
      <c r="O184" s="8">
        <f>B184-M184*10%</f>
        <v>298.375</v>
      </c>
      <c r="P184" s="19">
        <f>B184-M184*20%</f>
        <v>271.79999999999995</v>
      </c>
      <c r="Q184">
        <v>162</v>
      </c>
      <c r="R184" s="1" t="b">
        <f>M184&lt;I184</f>
        <v>1</v>
      </c>
    </row>
    <row r="185" spans="1:18">
      <c r="A185" t="s">
        <v>4272</v>
      </c>
      <c r="B185" s="27">
        <v>38785</v>
      </c>
      <c r="C185" s="5">
        <v>16111</v>
      </c>
      <c r="D185" s="5">
        <f>B185-C185</f>
        <v>22674</v>
      </c>
      <c r="E185" s="1">
        <f>D185*13%+C185</f>
        <v>19058.62</v>
      </c>
      <c r="F185" s="2">
        <f>D185*21%+C185</f>
        <v>20872.54</v>
      </c>
      <c r="G185" s="2">
        <f>D185*34%+C185</f>
        <v>23820.16</v>
      </c>
      <c r="H185" s="1">
        <f>D185*55%+C185</f>
        <v>28581.7</v>
      </c>
      <c r="I185" s="1">
        <f>D185*89%+C185</f>
        <v>36290.86</v>
      </c>
      <c r="J185" s="7">
        <f>E185*144%+D185</f>
        <v>50118.412799999998</v>
      </c>
      <c r="L185" s="1">
        <f>(M185*100/C185)-100</f>
        <v>93.253056917633927</v>
      </c>
      <c r="M185" s="10">
        <f>VLOOKUP(A185&amp;"EQ",BhavCopy_NSE_CM!A:U,19,0)</f>
        <v>31135</v>
      </c>
      <c r="N185" s="13">
        <f>VLOOKUP(A185&amp;"EQ",BhavCopy_NSE_CM!A:U,21,0)</f>
        <v>31775</v>
      </c>
      <c r="O185" s="8">
        <f>B185-M185*10%</f>
        <v>35671.5</v>
      </c>
      <c r="P185" s="19">
        <f>B185-M185*20%</f>
        <v>32558</v>
      </c>
      <c r="Q185">
        <v>163</v>
      </c>
      <c r="R185" s="1" t="b">
        <f>M185&lt;I185</f>
        <v>1</v>
      </c>
    </row>
    <row r="186" spans="1:18">
      <c r="A186" t="s">
        <v>7561</v>
      </c>
      <c r="B186" s="27">
        <v>1136.4000000000001</v>
      </c>
      <c r="C186" s="5">
        <v>660</v>
      </c>
      <c r="D186" s="5">
        <f>B186-C186</f>
        <v>476.40000000000009</v>
      </c>
      <c r="E186" s="1">
        <f>D186*13%+C186</f>
        <v>721.93200000000002</v>
      </c>
      <c r="F186" s="2">
        <f>D186*21%+C186</f>
        <v>760.04399999999998</v>
      </c>
      <c r="G186" s="2">
        <f>D186*34%+C186</f>
        <v>821.97600000000011</v>
      </c>
      <c r="H186" s="1">
        <f>D186*55%+C186</f>
        <v>922.0200000000001</v>
      </c>
      <c r="I186" s="1">
        <f>D186*89%+C186</f>
        <v>1083.9960000000001</v>
      </c>
      <c r="J186" s="7">
        <f>E186*144%+D186</f>
        <v>1515.98208</v>
      </c>
      <c r="L186" s="1">
        <f>(M186*100/C186)-100</f>
        <v>49.818181818181813</v>
      </c>
      <c r="M186" s="10">
        <f>VLOOKUP(A186&amp;"EQ",BhavCopy_NSE_CM!A:U,19,0)</f>
        <v>988.8</v>
      </c>
      <c r="N186" s="13">
        <f>VLOOKUP(A186&amp;"EQ",BhavCopy_NSE_CM!A:U,21,0)</f>
        <v>990</v>
      </c>
      <c r="O186" s="8">
        <f>B186-M186*10%</f>
        <v>1037.52</v>
      </c>
      <c r="P186" s="19">
        <f>B186-M186*20%</f>
        <v>938.6400000000001</v>
      </c>
      <c r="Q186">
        <v>164</v>
      </c>
      <c r="R186" s="1" t="b">
        <f>M186&lt;I186</f>
        <v>1</v>
      </c>
    </row>
    <row r="187" spans="1:18">
      <c r="A187" t="s">
        <v>7582</v>
      </c>
      <c r="B187" s="27">
        <v>1814</v>
      </c>
      <c r="C187" s="5">
        <v>1090</v>
      </c>
      <c r="D187" s="5">
        <f>B187-C187</f>
        <v>724</v>
      </c>
      <c r="E187" s="1">
        <f>D187*13%+C187</f>
        <v>1184.1199999999999</v>
      </c>
      <c r="F187" s="2">
        <f>D187*21%+C187</f>
        <v>1242.04</v>
      </c>
      <c r="G187" s="2">
        <f>D187*34%+C187</f>
        <v>1336.16</v>
      </c>
      <c r="H187" s="1">
        <f>D187*55%+C187</f>
        <v>1488.2</v>
      </c>
      <c r="I187" s="1">
        <f>D187*89%+C187</f>
        <v>1734.3600000000001</v>
      </c>
      <c r="J187" s="7">
        <f>E187*144%+D187</f>
        <v>2429.1327999999999</v>
      </c>
      <c r="L187" s="1">
        <f>(M187*100/C187)-100</f>
        <v>43.266055045871553</v>
      </c>
      <c r="M187" s="10">
        <f>VLOOKUP(A187&amp;"EQ",BhavCopy_NSE_CM!A:U,19,0)</f>
        <v>1561.6</v>
      </c>
      <c r="N187" s="13">
        <f>VLOOKUP(A187&amp;"EQ",BhavCopy_NSE_CM!A:U,21,0)</f>
        <v>1550</v>
      </c>
      <c r="O187" s="8">
        <f>B187-M187*10%</f>
        <v>1657.84</v>
      </c>
      <c r="P187" s="19">
        <f>B187-M187*20%</f>
        <v>1501.68</v>
      </c>
      <c r="Q187">
        <v>165</v>
      </c>
      <c r="R187" s="1" t="b">
        <f>M187&lt;I187</f>
        <v>1</v>
      </c>
    </row>
    <row r="188" spans="1:18">
      <c r="A188" t="s">
        <v>7798</v>
      </c>
      <c r="B188" s="27">
        <v>4732.8999999999996</v>
      </c>
      <c r="C188" s="5">
        <v>2500</v>
      </c>
      <c r="D188" s="5">
        <f>B188-C188</f>
        <v>2232.8999999999996</v>
      </c>
      <c r="E188" s="1">
        <f>D188*13%+C188</f>
        <v>2790.277</v>
      </c>
      <c r="F188" s="2">
        <f>D188*21%+C188</f>
        <v>2968.9089999999997</v>
      </c>
      <c r="G188" s="2">
        <f>D188*34%+C188</f>
        <v>3259.1859999999997</v>
      </c>
      <c r="H188" s="1">
        <f>D188*55%+C188</f>
        <v>3728.0949999999998</v>
      </c>
      <c r="I188" s="1">
        <f>D188*89%+C188</f>
        <v>4487.2809999999999</v>
      </c>
      <c r="J188" s="7">
        <f>E188*144%+D188</f>
        <v>6250.8988799999997</v>
      </c>
      <c r="L188" s="1">
        <f>(M188*100/C188)-100</f>
        <v>79.400000000000006</v>
      </c>
      <c r="M188" s="10">
        <f>VLOOKUP(A188&amp;"EQ",BhavCopy_NSE_CM!A:U,19,0)</f>
        <v>4485</v>
      </c>
      <c r="N188" s="13">
        <f>VLOOKUP(A188&amp;"EQ",BhavCopy_NSE_CM!A:U,21,0)</f>
        <v>4444</v>
      </c>
      <c r="O188" s="8">
        <f>B188-M188*10%</f>
        <v>4284.3999999999996</v>
      </c>
      <c r="P188" s="19">
        <f>B188-M188*20%</f>
        <v>3835.8999999999996</v>
      </c>
      <c r="Q188">
        <v>166</v>
      </c>
      <c r="R188" s="1" t="b">
        <f>M188&lt;I188</f>
        <v>1</v>
      </c>
    </row>
    <row r="189" spans="1:18">
      <c r="A189" t="s">
        <v>7951</v>
      </c>
      <c r="B189" s="27">
        <v>418.5</v>
      </c>
      <c r="C189" s="5">
        <v>243.25</v>
      </c>
      <c r="D189" s="5">
        <f>B189-C189</f>
        <v>175.25</v>
      </c>
      <c r="E189" s="1">
        <f>D189*13%+C189</f>
        <v>266.03250000000003</v>
      </c>
      <c r="F189" s="2">
        <f>D189*21%+C189</f>
        <v>280.05250000000001</v>
      </c>
      <c r="G189" s="2">
        <f>D189*34%+C189</f>
        <v>302.83499999999998</v>
      </c>
      <c r="H189" s="1">
        <f>D189*55%+C189</f>
        <v>339.63749999999999</v>
      </c>
      <c r="I189" s="1">
        <f>D189*89%+C189</f>
        <v>399.22249999999997</v>
      </c>
      <c r="J189" s="7">
        <f>E189*144%+D189</f>
        <v>558.33680000000004</v>
      </c>
      <c r="L189" s="1">
        <f>(M189*100/C189)-100</f>
        <v>72.045220966084287</v>
      </c>
      <c r="M189" s="10">
        <f>VLOOKUP(A189&amp;"EQ",BhavCopy_NSE_CM!A:U,19,0)</f>
        <v>418.5</v>
      </c>
      <c r="N189" s="13">
        <f>VLOOKUP(A189&amp;"EQ",BhavCopy_NSE_CM!A:U,21,0)</f>
        <v>415</v>
      </c>
      <c r="O189" s="8">
        <f>B189-M189*10%</f>
        <v>376.65</v>
      </c>
      <c r="P189" s="19">
        <f>B189-M189*20%</f>
        <v>334.8</v>
      </c>
      <c r="Q189">
        <v>167</v>
      </c>
      <c r="R189" s="1" t="b">
        <f>M189&lt;I189</f>
        <v>0</v>
      </c>
    </row>
    <row r="190" spans="1:18">
      <c r="A190" t="s">
        <v>7966</v>
      </c>
      <c r="B190" s="27">
        <v>408.25</v>
      </c>
      <c r="C190" s="5">
        <v>304.05</v>
      </c>
      <c r="D190" s="5">
        <f>B190-C190</f>
        <v>104.19999999999999</v>
      </c>
      <c r="E190" s="1">
        <f>D190*13%+C190</f>
        <v>317.596</v>
      </c>
      <c r="F190" s="2">
        <f>D190*21%+C190</f>
        <v>325.93200000000002</v>
      </c>
      <c r="G190" s="2">
        <f>D190*34%+C190</f>
        <v>339.47800000000001</v>
      </c>
      <c r="H190" s="1">
        <f>D190*55%+C190</f>
        <v>361.36</v>
      </c>
      <c r="I190" s="1">
        <f>D190*89%+C190</f>
        <v>396.78800000000001</v>
      </c>
      <c r="J190" s="7">
        <f>E190*144%+D190</f>
        <v>561.53823999999997</v>
      </c>
      <c r="L190" s="1">
        <f>(M190*100/C190)-100</f>
        <v>4.5387271830291098</v>
      </c>
      <c r="M190" s="10">
        <f>VLOOKUP(A190&amp;"EQ",BhavCopy_NSE_CM!A:U,19,0)</f>
        <v>317.85000000000002</v>
      </c>
      <c r="N190" s="13">
        <f>VLOOKUP(A190&amp;"EQ",BhavCopy_NSE_CM!A:U,21,0)</f>
        <v>316.39999999999998</v>
      </c>
      <c r="O190" s="8">
        <f>B190-M190*10%</f>
        <v>376.46499999999997</v>
      </c>
      <c r="P190" s="19">
        <f>B190-M190*20%</f>
        <v>344.68</v>
      </c>
      <c r="Q190">
        <v>168</v>
      </c>
      <c r="R190" s="1" t="b">
        <f>M190&lt;I190</f>
        <v>1</v>
      </c>
    </row>
    <row r="191" spans="1:18">
      <c r="A191" t="s">
        <v>8008</v>
      </c>
      <c r="B191" s="27">
        <v>1611.8</v>
      </c>
      <c r="C191" s="5">
        <v>1253.2</v>
      </c>
      <c r="D191" s="5">
        <f>B191-C191</f>
        <v>358.59999999999991</v>
      </c>
      <c r="E191" s="1">
        <f>D191*13%+C191</f>
        <v>1299.818</v>
      </c>
      <c r="F191" s="2">
        <f>D191*21%+C191</f>
        <v>1328.5060000000001</v>
      </c>
      <c r="G191" s="2">
        <f>D191*34%+C191</f>
        <v>1375.124</v>
      </c>
      <c r="H191" s="1">
        <f>D191*55%+C191</f>
        <v>1450.43</v>
      </c>
      <c r="I191" s="1">
        <f>D191*89%+C191</f>
        <v>1572.354</v>
      </c>
      <c r="J191" s="7">
        <f>E191*144%+D191</f>
        <v>2230.3379199999999</v>
      </c>
      <c r="L191" s="1">
        <f>(M191*100/C191)-100</f>
        <v>3.3274816469837276</v>
      </c>
      <c r="M191" s="10">
        <f>VLOOKUP(A191&amp;"EQ",BhavCopy_NSE_CM!A:U,19,0)</f>
        <v>1294.9000000000001</v>
      </c>
      <c r="N191" s="13">
        <f>VLOOKUP(A191&amp;"EQ",BhavCopy_NSE_CM!A:U,21,0)</f>
        <v>1309.5</v>
      </c>
      <c r="O191" s="8">
        <f>B191-M191*10%</f>
        <v>1482.31</v>
      </c>
      <c r="P191" s="19">
        <f>B191-M191*20%</f>
        <v>1352.82</v>
      </c>
      <c r="Q191">
        <v>169</v>
      </c>
      <c r="R191" s="1" t="b">
        <f>M191&lt;I191</f>
        <v>1</v>
      </c>
    </row>
    <row r="192" spans="1:18">
      <c r="A192" t="s">
        <v>7804</v>
      </c>
      <c r="B192" s="27">
        <v>400.7</v>
      </c>
      <c r="C192" s="5">
        <v>207.5</v>
      </c>
      <c r="D192" s="5">
        <f>B192-C192</f>
        <v>193.2</v>
      </c>
      <c r="E192" s="1">
        <f>D192*13%+C192</f>
        <v>232.61599999999999</v>
      </c>
      <c r="F192" s="2">
        <f>D192*21%+C192</f>
        <v>248.072</v>
      </c>
      <c r="G192" s="2">
        <f>D192*34%+C192</f>
        <v>273.18799999999999</v>
      </c>
      <c r="H192" s="1">
        <f>D192*55%+C192</f>
        <v>313.76</v>
      </c>
      <c r="I192" s="1">
        <f>D192*89%+C192</f>
        <v>379.44799999999998</v>
      </c>
      <c r="J192" s="7">
        <f>E192*144%+D192</f>
        <v>528.16703999999993</v>
      </c>
      <c r="L192" s="1">
        <f>(M192*100/C192)-100</f>
        <v>0</v>
      </c>
      <c r="M192" s="10">
        <f>VLOOKUP(A192&amp;"EQ",BhavCopy_NSE_CM!A:U,19,0)</f>
        <v>207.5</v>
      </c>
      <c r="N192" s="13">
        <f>VLOOKUP(A192&amp;"EQ",BhavCopy_NSE_CM!A:U,21,0)</f>
        <v>210.05</v>
      </c>
      <c r="O192" s="8">
        <f>B192-M192*10%</f>
        <v>379.95</v>
      </c>
      <c r="P192" s="19">
        <f>B192-M192*20%</f>
        <v>359.2</v>
      </c>
      <c r="Q192">
        <v>170</v>
      </c>
      <c r="R192" s="1" t="b">
        <f>M192&lt;I192</f>
        <v>1</v>
      </c>
    </row>
    <row r="193" spans="1:18">
      <c r="A193" t="s">
        <v>9358</v>
      </c>
      <c r="B193" s="27">
        <v>209.7</v>
      </c>
      <c r="C193" s="5">
        <v>118.1</v>
      </c>
      <c r="D193" s="5">
        <f>B193-C193</f>
        <v>91.6</v>
      </c>
      <c r="E193" s="1">
        <f>D193*13%+C193</f>
        <v>130.00799999999998</v>
      </c>
      <c r="F193" s="2">
        <f>D193*21%+C193</f>
        <v>137.33599999999998</v>
      </c>
      <c r="G193" s="2">
        <f>D193*34%+C193</f>
        <v>149.244</v>
      </c>
      <c r="H193" s="1">
        <f>D193*55%+C193</f>
        <v>168.48</v>
      </c>
      <c r="I193" s="1">
        <f>D193*89%+C193</f>
        <v>199.624</v>
      </c>
      <c r="J193" s="7">
        <f>E193*144%+D193</f>
        <v>278.81151999999997</v>
      </c>
      <c r="L193" s="1">
        <f>(M193*100/C193)-100</f>
        <v>57.578323454699415</v>
      </c>
      <c r="M193" s="10">
        <f>VLOOKUP(A193&amp;"EQ",BhavCopy_NSE_CM!A:U,19,0)</f>
        <v>186.1</v>
      </c>
      <c r="N193" s="13">
        <f>VLOOKUP(A193&amp;"EQ",BhavCopy_NSE_CM!A:U,21,0)</f>
        <v>187.9</v>
      </c>
      <c r="O193" s="8">
        <f>B193-M193*10%</f>
        <v>191.08999999999997</v>
      </c>
      <c r="P193" s="19">
        <f>B193-M193*20%</f>
        <v>172.48</v>
      </c>
      <c r="Q193">
        <v>171</v>
      </c>
      <c r="R193" s="1" t="b">
        <f>M193&lt;I193</f>
        <v>1</v>
      </c>
    </row>
    <row r="194" spans="1:18">
      <c r="A194" t="s">
        <v>8422</v>
      </c>
      <c r="B194" s="27">
        <v>1004.75</v>
      </c>
      <c r="C194" s="5">
        <v>565.45000000000005</v>
      </c>
      <c r="D194" s="5">
        <f>B194-C194</f>
        <v>439.29999999999995</v>
      </c>
      <c r="E194" s="1">
        <f>D194*13%+C194</f>
        <v>622.55900000000008</v>
      </c>
      <c r="F194" s="2">
        <f>D194*21%+C194</f>
        <v>657.70299999999997</v>
      </c>
      <c r="G194" s="2">
        <f>D194*34%+C194</f>
        <v>714.81200000000001</v>
      </c>
      <c r="H194" s="1">
        <f>D194*55%+C194</f>
        <v>807.06500000000005</v>
      </c>
      <c r="I194" s="1">
        <f>D194*89%+C194</f>
        <v>956.42700000000002</v>
      </c>
      <c r="J194" s="7">
        <f>E194*144%+D194</f>
        <v>1335.78496</v>
      </c>
      <c r="L194" s="1">
        <f>(M194*100/C194)-100</f>
        <v>18.135997877796441</v>
      </c>
      <c r="M194" s="10">
        <f>VLOOKUP(A194&amp;"EQ",BhavCopy_NSE_CM!A:U,19,0)</f>
        <v>668</v>
      </c>
      <c r="N194" s="13">
        <f>VLOOKUP(A194&amp;"EQ",BhavCopy_NSE_CM!A:U,21,0)</f>
        <v>674.65</v>
      </c>
      <c r="O194" s="8">
        <f>B194-M194*10%</f>
        <v>937.95</v>
      </c>
      <c r="P194" s="19">
        <f>B194-M194*20%</f>
        <v>871.15</v>
      </c>
      <c r="Q194">
        <v>172</v>
      </c>
      <c r="R194" s="1" t="b">
        <f>M194&lt;I194</f>
        <v>1</v>
      </c>
    </row>
    <row r="195" spans="1:18">
      <c r="A195" t="s">
        <v>8428</v>
      </c>
      <c r="B195" s="27">
        <v>2132</v>
      </c>
      <c r="C195" s="5">
        <v>1696.6</v>
      </c>
      <c r="D195" s="5">
        <f>B195-C195</f>
        <v>435.40000000000009</v>
      </c>
      <c r="E195" s="1">
        <f>D195*13%+C195</f>
        <v>1753.202</v>
      </c>
      <c r="F195" s="2">
        <f>D195*21%+C195</f>
        <v>1788.0339999999999</v>
      </c>
      <c r="G195" s="2">
        <f>D195*34%+C195</f>
        <v>1844.636</v>
      </c>
      <c r="H195" s="1">
        <f>D195*55%+C195</f>
        <v>1936.07</v>
      </c>
      <c r="I195" s="1">
        <f>D195*89%+C195</f>
        <v>2084.1059999999998</v>
      </c>
      <c r="J195" s="7">
        <f>E195*144%+D195</f>
        <v>2960.0108799999998</v>
      </c>
      <c r="L195" s="1">
        <f>(M195*100/C195)-100</f>
        <v>0</v>
      </c>
      <c r="M195" s="10">
        <f>VLOOKUP(A195&amp;"EQ",BhavCopy_NSE_CM!A:U,19,0)</f>
        <v>1696.6</v>
      </c>
      <c r="N195" s="13">
        <f>VLOOKUP(A195&amp;"EQ",BhavCopy_NSE_CM!A:U,21,0)</f>
        <v>1732</v>
      </c>
      <c r="O195" s="8">
        <f>B195-M195*10%</f>
        <v>1962.34</v>
      </c>
      <c r="P195" s="19">
        <f>B195-M195*20%</f>
        <v>1792.68</v>
      </c>
      <c r="Q195">
        <v>173</v>
      </c>
      <c r="R195" s="1" t="b">
        <f>M195&lt;I195</f>
        <v>1</v>
      </c>
    </row>
    <row r="196" spans="1:18">
      <c r="A196" t="s">
        <v>9355</v>
      </c>
      <c r="B196" s="27">
        <v>1234.7</v>
      </c>
      <c r="C196" s="5">
        <v>786.55</v>
      </c>
      <c r="D196" s="5">
        <f>B196-C196</f>
        <v>448.15000000000009</v>
      </c>
      <c r="E196" s="1">
        <f>D196*13%+C196</f>
        <v>844.80949999999996</v>
      </c>
      <c r="F196" s="2">
        <f>D196*21%+C196</f>
        <v>880.66149999999993</v>
      </c>
      <c r="G196" s="2">
        <f>D196*34%+C196</f>
        <v>938.92100000000005</v>
      </c>
      <c r="H196" s="1">
        <f>D196*55%+C196</f>
        <v>1033.0325</v>
      </c>
      <c r="I196" s="1">
        <f>D196*89%+C196</f>
        <v>1185.4035000000001</v>
      </c>
      <c r="J196" s="7">
        <f>E196*144%+D196</f>
        <v>1664.6756800000001</v>
      </c>
      <c r="L196" s="1">
        <f>(M196*100/C196)-100</f>
        <v>28.154599199033754</v>
      </c>
      <c r="M196" s="10">
        <f>VLOOKUP(A196&amp;"EQ",BhavCopy_NSE_CM!A:U,19,0)</f>
        <v>1008</v>
      </c>
      <c r="N196" s="13">
        <f>VLOOKUP(A196&amp;"EQ",BhavCopy_NSE_CM!A:U,21,0)</f>
        <v>1005.9</v>
      </c>
      <c r="O196" s="8">
        <f>B196-M196*10%</f>
        <v>1133.9000000000001</v>
      </c>
      <c r="P196" s="19">
        <f>B196-M196*20%</f>
        <v>1033.0999999999999</v>
      </c>
      <c r="Q196">
        <v>174</v>
      </c>
      <c r="R196" s="1" t="b">
        <f>M196&lt;I196</f>
        <v>1</v>
      </c>
    </row>
    <row r="197" spans="1:18">
      <c r="A197" t="s">
        <v>8947</v>
      </c>
      <c r="B197" s="27">
        <v>32490</v>
      </c>
      <c r="C197" s="5">
        <v>22550</v>
      </c>
      <c r="D197" s="5">
        <f>B197-C197</f>
        <v>9940</v>
      </c>
      <c r="E197" s="1">
        <f>D197*13%+C197</f>
        <v>23842.2</v>
      </c>
      <c r="F197" s="2">
        <f>D197*21%+C197</f>
        <v>24637.4</v>
      </c>
      <c r="G197" s="2">
        <f>D197*34%+C197</f>
        <v>25929.599999999999</v>
      </c>
      <c r="H197" s="1">
        <f>D197*55%+C197</f>
        <v>28017</v>
      </c>
      <c r="I197" s="1">
        <f>D197*89%+C197</f>
        <v>31396.6</v>
      </c>
      <c r="J197" s="7">
        <f>E197*144%+D197</f>
        <v>44272.767999999996</v>
      </c>
      <c r="L197" s="1">
        <f>(M197*100/C197)-100</f>
        <v>2.7050997782705082</v>
      </c>
      <c r="M197" s="10">
        <f>VLOOKUP(A197&amp;"EQ",BhavCopy_NSE_CM!A:U,19,0)</f>
        <v>23160</v>
      </c>
      <c r="N197" s="13">
        <f>VLOOKUP(A197&amp;"EQ",BhavCopy_NSE_CM!A:U,21,0)</f>
        <v>23365</v>
      </c>
      <c r="O197" s="8">
        <f>B197-M197*10%</f>
        <v>30174</v>
      </c>
      <c r="P197" s="19">
        <f>B197-M197*20%</f>
        <v>27858</v>
      </c>
      <c r="Q197">
        <v>175</v>
      </c>
      <c r="R197" s="1" t="b">
        <f>M197&lt;I197</f>
        <v>1</v>
      </c>
    </row>
    <row r="198" spans="1:18">
      <c r="A198" t="s">
        <v>9031</v>
      </c>
      <c r="B198" s="27">
        <v>1141</v>
      </c>
      <c r="C198" s="5">
        <v>566.5</v>
      </c>
      <c r="D198" s="5">
        <f>B198-C198</f>
        <v>574.5</v>
      </c>
      <c r="E198" s="1">
        <f>D198*13%+C198</f>
        <v>641.18499999999995</v>
      </c>
      <c r="F198" s="2">
        <f>D198*21%+C198</f>
        <v>687.14499999999998</v>
      </c>
      <c r="G198" s="2">
        <f>D198*34%+C198</f>
        <v>761.83</v>
      </c>
      <c r="H198" s="1">
        <f>D198*55%+C198</f>
        <v>882.47500000000002</v>
      </c>
      <c r="I198" s="1">
        <f>D198*89%+C198</f>
        <v>1077.8050000000001</v>
      </c>
      <c r="J198" s="7">
        <f>E198*144%+D198</f>
        <v>1497.8063999999999</v>
      </c>
      <c r="L198" s="1">
        <f>(M198*100/C198)-100</f>
        <v>81.641659311562222</v>
      </c>
      <c r="M198" s="10">
        <f>VLOOKUP(A198&amp;"EQ",BhavCopy_NSE_CM!A:U,19,0)</f>
        <v>1029</v>
      </c>
      <c r="N198" s="13">
        <f>VLOOKUP(A198&amp;"EQ",BhavCopy_NSE_CM!A:U,21,0)</f>
        <v>1037</v>
      </c>
      <c r="O198" s="8">
        <f>B198-M198*10%</f>
        <v>1038.0999999999999</v>
      </c>
      <c r="P198" s="19">
        <f>B198-M198*20%</f>
        <v>935.2</v>
      </c>
      <c r="Q198">
        <v>176</v>
      </c>
      <c r="R198" s="1" t="b">
        <f>M198&lt;I198</f>
        <v>1</v>
      </c>
    </row>
    <row r="199" spans="1:18">
      <c r="A199" t="s">
        <v>9073</v>
      </c>
      <c r="B199" s="27">
        <v>4114</v>
      </c>
      <c r="C199" s="5">
        <v>2826</v>
      </c>
      <c r="D199" s="5">
        <f>B199-C199</f>
        <v>1288</v>
      </c>
      <c r="E199" s="1">
        <f>D199*13%+C199</f>
        <v>2993.44</v>
      </c>
      <c r="F199" s="2">
        <f>D199*21%+C199</f>
        <v>3096.48</v>
      </c>
      <c r="G199" s="2">
        <f>D199*34%+C199</f>
        <v>3263.92</v>
      </c>
      <c r="H199" s="1">
        <f>D199*55%+C199</f>
        <v>3534.4</v>
      </c>
      <c r="I199" s="1">
        <f>D199*89%+C199</f>
        <v>3972.3199999999997</v>
      </c>
      <c r="J199" s="7">
        <f>E199*144%+D199</f>
        <v>5598.5536000000002</v>
      </c>
      <c r="L199" s="1">
        <f>(M199*100/C199)-100</f>
        <v>39.819532908704872</v>
      </c>
      <c r="M199" s="10">
        <f>VLOOKUP(A199&amp;"EQ",BhavCopy_NSE_CM!A:U,19,0)</f>
        <v>3951.3</v>
      </c>
      <c r="N199" s="13">
        <f>VLOOKUP(A199&amp;"EQ",BhavCopy_NSE_CM!A:U,21,0)</f>
        <v>3927</v>
      </c>
      <c r="O199" s="8">
        <f>B199-M199*10%</f>
        <v>3718.87</v>
      </c>
      <c r="P199" s="19">
        <f>B199-M199*20%</f>
        <v>3323.74</v>
      </c>
      <c r="Q199">
        <v>177</v>
      </c>
      <c r="R199" s="1" t="b">
        <f>M199&lt;I199</f>
        <v>1</v>
      </c>
    </row>
    <row r="200" spans="1:18">
      <c r="A200" t="s">
        <v>9211</v>
      </c>
      <c r="B200" s="27">
        <v>22455</v>
      </c>
      <c r="C200" s="5">
        <v>11646</v>
      </c>
      <c r="D200" s="5">
        <f>B200-C200</f>
        <v>10809</v>
      </c>
      <c r="E200" s="1">
        <f>D200*13%+C200</f>
        <v>13051.17</v>
      </c>
      <c r="F200" s="2">
        <f>D200*21%+C200</f>
        <v>13915.89</v>
      </c>
      <c r="G200" s="2">
        <f>D200*34%+C200</f>
        <v>15321.060000000001</v>
      </c>
      <c r="H200" s="1">
        <f>D200*55%+C200</f>
        <v>17590.95</v>
      </c>
      <c r="I200" s="1">
        <f>D200*89%+C200</f>
        <v>21266.010000000002</v>
      </c>
      <c r="J200" s="7">
        <f>E200*144%+D200</f>
        <v>29602.684799999999</v>
      </c>
      <c r="L200" s="1">
        <f>(M200*100/C200)-100</f>
        <v>92.812982998454402</v>
      </c>
      <c r="M200" s="10">
        <f>VLOOKUP(A200&amp;"EQ",BhavCopy_NSE_CM!A:U,19,0)</f>
        <v>22455</v>
      </c>
      <c r="N200" s="13">
        <f>VLOOKUP(A200&amp;"EQ",BhavCopy_NSE_CM!A:U,21,0)</f>
        <v>21950</v>
      </c>
      <c r="O200" s="8">
        <f>B200-M200*10%</f>
        <v>20209.5</v>
      </c>
      <c r="P200" s="19">
        <f>B200-M200*20%</f>
        <v>17964</v>
      </c>
      <c r="Q200">
        <v>178</v>
      </c>
      <c r="R200" s="1" t="b">
        <f>M200&lt;I200</f>
        <v>0</v>
      </c>
    </row>
    <row r="201" spans="1:18">
      <c r="A201" t="s">
        <v>9235</v>
      </c>
      <c r="B201" s="27">
        <v>824</v>
      </c>
      <c r="C201" s="5">
        <v>402.3</v>
      </c>
      <c r="D201" s="5">
        <f>B201-C201</f>
        <v>421.7</v>
      </c>
      <c r="E201" s="1">
        <f>D201*13%+C201</f>
        <v>457.12099999999998</v>
      </c>
      <c r="F201" s="2">
        <f>D201*21%+C201</f>
        <v>490.85699999999997</v>
      </c>
      <c r="G201" s="2">
        <f>D201*34%+C201</f>
        <v>545.678</v>
      </c>
      <c r="H201" s="1">
        <f>D201*55%+C201</f>
        <v>634.23500000000001</v>
      </c>
      <c r="I201" s="1">
        <f>D201*89%+C201</f>
        <v>777.61300000000006</v>
      </c>
      <c r="J201" s="7">
        <f>E201*144%+D201</f>
        <v>1079.95424</v>
      </c>
      <c r="L201" s="1">
        <f>(M201*100/C201)-100</f>
        <v>99.85085756897837</v>
      </c>
      <c r="M201" s="10">
        <f>VLOOKUP(A201&amp;"EQ",BhavCopy_NSE_CM!A:U,19,0)</f>
        <v>804</v>
      </c>
      <c r="N201" s="13">
        <f>VLOOKUP(A201&amp;"EQ",BhavCopy_NSE_CM!A:U,21,0)</f>
        <v>788</v>
      </c>
      <c r="O201" s="8">
        <f>B201-M201*10%</f>
        <v>743.6</v>
      </c>
      <c r="P201" s="19">
        <f>B201-M201*20%</f>
        <v>663.2</v>
      </c>
      <c r="Q201">
        <v>179</v>
      </c>
      <c r="R201" s="1" t="b">
        <f>M201&lt;I201</f>
        <v>0</v>
      </c>
    </row>
    <row r="202" spans="1:18">
      <c r="A202" t="s">
        <v>9304</v>
      </c>
      <c r="B202" s="27">
        <v>3260.4</v>
      </c>
      <c r="C202" s="5">
        <v>2355</v>
      </c>
      <c r="D202" s="5">
        <f>B202-C202</f>
        <v>905.40000000000009</v>
      </c>
      <c r="E202" s="1">
        <f>D202*13%+C202</f>
        <v>2472.7020000000002</v>
      </c>
      <c r="F202" s="2">
        <f>D202*21%+C202</f>
        <v>2545.134</v>
      </c>
      <c r="G202" s="2">
        <f>D202*34%+C202</f>
        <v>2662.8360000000002</v>
      </c>
      <c r="H202" s="1">
        <f>D202*55%+C202</f>
        <v>2852.9700000000003</v>
      </c>
      <c r="I202" s="1">
        <f>D202*89%+C202</f>
        <v>3160.806</v>
      </c>
      <c r="J202" s="7">
        <f>E202*144%+D202</f>
        <v>4466.0908799999997</v>
      </c>
      <c r="L202" s="1">
        <f>(M202*100/C202)-100</f>
        <v>7.0912951167728266</v>
      </c>
      <c r="M202" s="10">
        <f>VLOOKUP(A202&amp;"EQ",BhavCopy_NSE_CM!A:U,19,0)</f>
        <v>2522</v>
      </c>
      <c r="N202" s="13">
        <f>VLOOKUP(A202&amp;"EQ",BhavCopy_NSE_CM!A:U,21,0)</f>
        <v>2546</v>
      </c>
      <c r="O202" s="8">
        <f>B202-M202*10%</f>
        <v>3008.2000000000003</v>
      </c>
      <c r="P202" s="19">
        <f>B202-M202*20%</f>
        <v>2756</v>
      </c>
      <c r="Q202">
        <v>180</v>
      </c>
      <c r="R202" s="1" t="b">
        <f>M202&lt;I202</f>
        <v>1</v>
      </c>
    </row>
    <row r="203" spans="1:18">
      <c r="A203" t="s">
        <v>9460</v>
      </c>
      <c r="B203" s="27">
        <v>2001.1</v>
      </c>
      <c r="C203" s="5">
        <v>1548</v>
      </c>
      <c r="D203" s="5">
        <f>B203-C203</f>
        <v>453.09999999999991</v>
      </c>
      <c r="E203" s="1">
        <f>D203*13%+C203</f>
        <v>1606.903</v>
      </c>
      <c r="F203" s="2">
        <f>D203*21%+C203</f>
        <v>1643.1510000000001</v>
      </c>
      <c r="G203" s="2">
        <f>D203*34%+C203</f>
        <v>1702.0540000000001</v>
      </c>
      <c r="H203" s="1">
        <f>D203*55%+C203</f>
        <v>1797.2049999999999</v>
      </c>
      <c r="I203" s="1">
        <f>D203*89%+C203</f>
        <v>1951.259</v>
      </c>
      <c r="J203" s="7">
        <f>E203*144%+D203</f>
        <v>2767.0403200000001</v>
      </c>
      <c r="L203" s="1">
        <f>(M203*100/C203)-100</f>
        <v>21.828165374676999</v>
      </c>
      <c r="M203" s="10">
        <f>VLOOKUP(A203&amp;"EQ",BhavCopy_NSE_CM!A:U,19,0)</f>
        <v>1885.9</v>
      </c>
      <c r="N203" s="13">
        <f>VLOOKUP(A203&amp;"EQ",BhavCopy_NSE_CM!A:U,21,0)</f>
        <v>1895</v>
      </c>
      <c r="O203" s="8">
        <f>B203-M203*10%</f>
        <v>1812.5099999999998</v>
      </c>
      <c r="P203" s="19">
        <f>B203-M203*20%</f>
        <v>1623.9199999999998</v>
      </c>
      <c r="Q203">
        <v>181</v>
      </c>
      <c r="R203" s="1" t="b">
        <f>M203&lt;I203</f>
        <v>1</v>
      </c>
    </row>
    <row r="204" spans="1:18">
      <c r="A204" t="s">
        <v>9538</v>
      </c>
      <c r="B204" s="27">
        <v>4664.8999999999996</v>
      </c>
      <c r="C204" s="5">
        <v>3140</v>
      </c>
      <c r="D204" s="5">
        <f>B204-C204</f>
        <v>1524.8999999999996</v>
      </c>
      <c r="E204" s="1">
        <f>D204*13%+C204</f>
        <v>3338.2370000000001</v>
      </c>
      <c r="F204" s="2">
        <f>D204*21%+C204</f>
        <v>3460.2289999999998</v>
      </c>
      <c r="G204" s="2">
        <f>D204*34%+C204</f>
        <v>3658.4659999999999</v>
      </c>
      <c r="H204" s="1">
        <f>D204*55%+C204</f>
        <v>3978.6949999999997</v>
      </c>
      <c r="I204" s="1">
        <f>D204*89%+C204</f>
        <v>4497.1610000000001</v>
      </c>
      <c r="J204" s="7">
        <f>E204*144%+D204</f>
        <v>6331.9612799999995</v>
      </c>
      <c r="L204" s="1">
        <f>(M204*100/C204)-100</f>
        <v>13.152866242038215</v>
      </c>
      <c r="M204" s="10">
        <f>VLOOKUP(A204&amp;"EQ",BhavCopy_NSE_CM!A:U,19,0)</f>
        <v>3553</v>
      </c>
      <c r="N204" s="13">
        <f>VLOOKUP(A204&amp;"EQ",BhavCopy_NSE_CM!A:U,21,0)</f>
        <v>3598</v>
      </c>
      <c r="O204" s="8">
        <f>B204-M204*10%</f>
        <v>4309.5999999999995</v>
      </c>
      <c r="P204" s="19">
        <f>B204-M204*20%</f>
        <v>3954.2999999999997</v>
      </c>
      <c r="Q204">
        <v>182</v>
      </c>
      <c r="R204" s="1" t="b">
        <f>M204&lt;I204</f>
        <v>1</v>
      </c>
    </row>
    <row r="205" spans="1:18">
      <c r="A205" t="s">
        <v>9595</v>
      </c>
      <c r="B205" s="27">
        <v>68.3</v>
      </c>
      <c r="C205" s="5">
        <v>38.19</v>
      </c>
      <c r="D205" s="5">
        <f>B205-C205</f>
        <v>30.11</v>
      </c>
      <c r="E205" s="1">
        <f>D205*13%+C205</f>
        <v>42.104299999999995</v>
      </c>
      <c r="F205" s="2">
        <f>D205*21%+C205</f>
        <v>44.513099999999994</v>
      </c>
      <c r="G205" s="2">
        <f>D205*34%+C205</f>
        <v>48.427399999999999</v>
      </c>
      <c r="H205" s="1">
        <f>D205*55%+C205</f>
        <v>54.750500000000002</v>
      </c>
      <c r="I205" s="1">
        <f>D205*89%+C205</f>
        <v>64.987899999999996</v>
      </c>
      <c r="J205" s="7">
        <f>E205*144%+D205</f>
        <v>90.740191999999993</v>
      </c>
      <c r="L205" s="1">
        <f>(M205*100/C205)-100</f>
        <v>19.141136423147429</v>
      </c>
      <c r="M205" s="10">
        <f>VLOOKUP(A205&amp;"EQ",BhavCopy_NSE_CM!A:U,19,0)</f>
        <v>45.5</v>
      </c>
      <c r="N205" s="13">
        <f>VLOOKUP(A205&amp;"EQ",BhavCopy_NSE_CM!A:U,21,0)</f>
        <v>45.55</v>
      </c>
      <c r="O205" s="8">
        <f>B205-M205*10%</f>
        <v>63.75</v>
      </c>
      <c r="P205" s="19">
        <f>B205-M205*20%</f>
        <v>59.199999999999996</v>
      </c>
      <c r="Q205">
        <v>183</v>
      </c>
      <c r="R205" s="1" t="b">
        <f>M205&lt;I205</f>
        <v>1</v>
      </c>
    </row>
    <row r="206" spans="1:18">
      <c r="A206" t="s">
        <v>9622</v>
      </c>
      <c r="B206" s="27">
        <v>474</v>
      </c>
      <c r="C206" s="5">
        <v>235.75</v>
      </c>
      <c r="D206" s="5">
        <f>B206-C206</f>
        <v>238.25</v>
      </c>
      <c r="E206" s="1">
        <f>D206*13%+C206</f>
        <v>266.72250000000003</v>
      </c>
      <c r="F206" s="2">
        <f>D206*21%+C206</f>
        <v>285.78250000000003</v>
      </c>
      <c r="G206" s="2">
        <f>D206*34%+C206</f>
        <v>316.755</v>
      </c>
      <c r="H206" s="1">
        <f>D206*55%+C206</f>
        <v>366.78750000000002</v>
      </c>
      <c r="I206" s="1">
        <f>D206*89%+C206</f>
        <v>447.79250000000002</v>
      </c>
      <c r="J206" s="7">
        <f>E206*144%+D206</f>
        <v>622.33040000000005</v>
      </c>
      <c r="L206" s="1">
        <f>(M206*100/C206)-100</f>
        <v>16.94591728525981</v>
      </c>
      <c r="M206" s="10">
        <f>VLOOKUP(A206&amp;"EQ",BhavCopy_NSE_CM!A:U,19,0)</f>
        <v>275.7</v>
      </c>
      <c r="N206" s="13">
        <f>VLOOKUP(A206&amp;"EQ",BhavCopy_NSE_CM!A:U,21,0)</f>
        <v>276.45</v>
      </c>
      <c r="O206" s="8">
        <f>B206-M206*10%</f>
        <v>446.43</v>
      </c>
      <c r="P206" s="19">
        <f>B206-M206*20%</f>
        <v>418.86</v>
      </c>
      <c r="Q206">
        <v>184</v>
      </c>
      <c r="R206" s="1" t="b">
        <f>M206&lt;I206</f>
        <v>1</v>
      </c>
    </row>
    <row r="207" spans="1:18">
      <c r="A207" t="s">
        <v>9736</v>
      </c>
      <c r="B207" s="27">
        <v>1282.7</v>
      </c>
      <c r="C207" s="5">
        <v>1007.2</v>
      </c>
      <c r="D207" s="5">
        <f>B207-C207</f>
        <v>275.5</v>
      </c>
      <c r="E207" s="1">
        <f>D207*13%+C207</f>
        <v>1043.0150000000001</v>
      </c>
      <c r="F207" s="2">
        <f>D207*21%+C207</f>
        <v>1065.0550000000001</v>
      </c>
      <c r="G207" s="2">
        <f>D207*34%+C207</f>
        <v>1100.8700000000001</v>
      </c>
      <c r="H207" s="1">
        <f>D207*55%+C207</f>
        <v>1158.7250000000001</v>
      </c>
      <c r="I207" s="1">
        <f>D207*89%+C207</f>
        <v>1252.395</v>
      </c>
      <c r="J207" s="7">
        <f>E207*144%+D207</f>
        <v>1777.4416000000001</v>
      </c>
      <c r="L207" s="1">
        <f>(M207*100/C207)-100</f>
        <v>0.68506751389990939</v>
      </c>
      <c r="M207" s="10">
        <f>VLOOKUP(A207&amp;"EQ",BhavCopy_NSE_CM!A:U,19,0)</f>
        <v>1014.1</v>
      </c>
      <c r="N207" s="13">
        <f>VLOOKUP(A207&amp;"EQ",BhavCopy_NSE_CM!A:U,21,0)</f>
        <v>1015</v>
      </c>
      <c r="O207" s="8">
        <f>B207-M207*10%</f>
        <v>1181.29</v>
      </c>
      <c r="P207" s="19">
        <f>B207-M207*20%</f>
        <v>1079.8800000000001</v>
      </c>
      <c r="Q207">
        <v>185</v>
      </c>
      <c r="R207" s="1" t="b">
        <f>M207&lt;I207</f>
        <v>1</v>
      </c>
    </row>
    <row r="208" spans="1:18">
      <c r="A208" t="s">
        <v>9739</v>
      </c>
      <c r="B208" s="27">
        <v>6439.5</v>
      </c>
      <c r="C208" s="5">
        <v>3387.6</v>
      </c>
      <c r="D208" s="5">
        <f>B208-C208</f>
        <v>3051.9</v>
      </c>
      <c r="E208" s="1">
        <f>D208*13%+C208</f>
        <v>3784.3469999999998</v>
      </c>
      <c r="F208" s="2">
        <f>D208*21%+C208</f>
        <v>4028.4989999999998</v>
      </c>
      <c r="G208" s="2">
        <f>D208*34%+C208</f>
        <v>4425.2460000000001</v>
      </c>
      <c r="H208" s="1">
        <f>D208*55%+C208</f>
        <v>5066.1450000000004</v>
      </c>
      <c r="I208" s="1">
        <f>D208*89%+C208</f>
        <v>6103.7910000000002</v>
      </c>
      <c r="J208" s="7">
        <f>E208*144%+D208</f>
        <v>8501.3596799999996</v>
      </c>
      <c r="L208" s="1">
        <f>(M208*100/C208)-100</f>
        <v>3.0818278427205144</v>
      </c>
      <c r="M208" s="10">
        <f>VLOOKUP(A208&amp;"EQ",BhavCopy_NSE_CM!A:U,19,0)</f>
        <v>3492</v>
      </c>
      <c r="N208" s="13">
        <f>VLOOKUP(A208&amp;"EQ",BhavCopy_NSE_CM!A:U,21,0)</f>
        <v>3497</v>
      </c>
      <c r="O208" s="8">
        <f>B208-M208*10%</f>
        <v>6090.3</v>
      </c>
      <c r="P208" s="19">
        <f>B208-M208*20%</f>
        <v>5741.1</v>
      </c>
      <c r="Q208">
        <v>186</v>
      </c>
      <c r="R208" s="1" t="b">
        <f>M208&lt;I208</f>
        <v>1</v>
      </c>
    </row>
    <row r="209" spans="1:18">
      <c r="A209" t="s">
        <v>9751</v>
      </c>
      <c r="B209" s="27">
        <v>464.9</v>
      </c>
      <c r="C209" s="5">
        <v>342.5</v>
      </c>
      <c r="D209" s="5">
        <f>B209-C209</f>
        <v>122.39999999999998</v>
      </c>
      <c r="E209" s="1">
        <f>D209*13%+C209</f>
        <v>358.41199999999998</v>
      </c>
      <c r="F209" s="2">
        <f>D209*21%+C209</f>
        <v>368.20400000000001</v>
      </c>
      <c r="G209" s="2">
        <f>D209*34%+C209</f>
        <v>384.11599999999999</v>
      </c>
      <c r="H209" s="1">
        <f>D209*55%+C209</f>
        <v>409.82</v>
      </c>
      <c r="I209" s="1">
        <f>D209*89%+C209</f>
        <v>451.43599999999998</v>
      </c>
      <c r="J209" s="7">
        <f>E209*144%+D209</f>
        <v>638.5132799999999</v>
      </c>
      <c r="L209" s="1">
        <f>(M209*100/C209)-100</f>
        <v>6.729927007299267</v>
      </c>
      <c r="M209" s="10">
        <f>VLOOKUP(A209&amp;"EQ",BhavCopy_NSE_CM!A:U,19,0)</f>
        <v>365.55</v>
      </c>
      <c r="N209" s="13">
        <f>VLOOKUP(A209&amp;"EQ",BhavCopy_NSE_CM!A:U,21,0)</f>
        <v>365.7</v>
      </c>
      <c r="O209" s="8">
        <f>B209-M209*10%</f>
        <v>428.34499999999997</v>
      </c>
      <c r="P209" s="19">
        <f>B209-M209*20%</f>
        <v>391.78999999999996</v>
      </c>
      <c r="Q209">
        <v>187</v>
      </c>
      <c r="R209" s="1" t="b">
        <f>M209&lt;I209</f>
        <v>1</v>
      </c>
    </row>
    <row r="210" spans="1:18">
      <c r="A210" t="s">
        <v>9754</v>
      </c>
      <c r="B210" s="27">
        <v>224.4</v>
      </c>
      <c r="C210" s="5">
        <v>152.51</v>
      </c>
      <c r="D210" s="5">
        <f>B210-C210</f>
        <v>71.890000000000015</v>
      </c>
      <c r="E210" s="1">
        <f>D210*13%+C210</f>
        <v>161.85569999999998</v>
      </c>
      <c r="F210" s="2">
        <f>D210*21%+C210</f>
        <v>167.6069</v>
      </c>
      <c r="G210" s="2">
        <f>D210*34%+C210</f>
        <v>176.95259999999999</v>
      </c>
      <c r="H210" s="1">
        <f>D210*55%+C210</f>
        <v>192.04949999999999</v>
      </c>
      <c r="I210" s="1">
        <f>D210*89%+C210</f>
        <v>216.49209999999999</v>
      </c>
      <c r="J210" s="7">
        <f>E210*144%+D210</f>
        <v>304.96220799999998</v>
      </c>
      <c r="L210" s="1">
        <f>(M210*100/C210)-100</f>
        <v>20.746180578322736</v>
      </c>
      <c r="M210" s="10">
        <f>VLOOKUP(A210&amp;"EQ",BhavCopy_NSE_CM!A:U,19,0)</f>
        <v>184.15</v>
      </c>
      <c r="N210" s="13">
        <f>VLOOKUP(A210&amp;"EQ",BhavCopy_NSE_CM!A:U,21,0)</f>
        <v>185.61</v>
      </c>
      <c r="O210" s="8">
        <f>B210-M210*10%</f>
        <v>205.98500000000001</v>
      </c>
      <c r="P210" s="19">
        <f>B210-M210*20%</f>
        <v>187.57</v>
      </c>
      <c r="Q210">
        <v>188</v>
      </c>
      <c r="R210" s="1" t="b">
        <f>M210&lt;I210</f>
        <v>1</v>
      </c>
    </row>
    <row r="211" spans="1:18">
      <c r="A211" t="s">
        <v>9733</v>
      </c>
      <c r="B211" s="27">
        <v>3350</v>
      </c>
      <c r="C211" s="5">
        <v>1976.8</v>
      </c>
      <c r="D211" s="5">
        <f>B211-C211</f>
        <v>1373.2</v>
      </c>
      <c r="E211" s="1">
        <f>D211*13%+C211</f>
        <v>2155.3159999999998</v>
      </c>
      <c r="F211" s="2">
        <f>D211*21%+C211</f>
        <v>2265.172</v>
      </c>
      <c r="G211" s="2">
        <f>D211*34%+C211</f>
        <v>2443.6880000000001</v>
      </c>
      <c r="H211" s="1">
        <f>D211*55%+C211</f>
        <v>2732.06</v>
      </c>
      <c r="I211" s="1">
        <f>D211*89%+C211</f>
        <v>3198.9480000000003</v>
      </c>
      <c r="J211" s="7">
        <f>E211*144%+D211</f>
        <v>4476.8550399999995</v>
      </c>
      <c r="L211" s="1">
        <f>(M211*100/C211)-100</f>
        <v>14.098543099959528</v>
      </c>
      <c r="M211" s="10">
        <f>VLOOKUP(A211&amp;"EQ",BhavCopy_NSE_CM!A:U,19,0)</f>
        <v>2255.5</v>
      </c>
      <c r="N211" s="13">
        <f>VLOOKUP(A211&amp;"EQ",BhavCopy_NSE_CM!A:U,21,0)</f>
        <v>2270</v>
      </c>
      <c r="O211" s="8">
        <f>B211-M211*10%</f>
        <v>3124.45</v>
      </c>
      <c r="P211" s="19">
        <f>B211-M211*20%</f>
        <v>2898.9</v>
      </c>
      <c r="Q211">
        <v>189</v>
      </c>
      <c r="R211" s="1" t="b">
        <f>M211&lt;I211</f>
        <v>1</v>
      </c>
    </row>
    <row r="212" spans="1:18">
      <c r="A212" t="s">
        <v>9833</v>
      </c>
      <c r="B212" s="27">
        <v>1854</v>
      </c>
      <c r="C212" s="5">
        <v>1304.0999999999999</v>
      </c>
      <c r="D212" s="5">
        <f>B212-C212</f>
        <v>549.90000000000009</v>
      </c>
      <c r="E212" s="1">
        <f>D212*13%+C212</f>
        <v>1375.587</v>
      </c>
      <c r="F212" s="2">
        <f>D212*21%+C212</f>
        <v>1419.579</v>
      </c>
      <c r="G212" s="2">
        <f>D212*34%+C212</f>
        <v>1491.066</v>
      </c>
      <c r="H212" s="1">
        <f>D212*55%+C212</f>
        <v>1606.5450000000001</v>
      </c>
      <c r="I212" s="1">
        <f>D212*89%+C212</f>
        <v>1793.511</v>
      </c>
      <c r="J212" s="7">
        <f>E212*144%+D212</f>
        <v>2530.7452800000001</v>
      </c>
      <c r="L212" s="1">
        <f>(M212*100/C212)-100</f>
        <v>19.546047082278974</v>
      </c>
      <c r="M212" s="10">
        <f>VLOOKUP(A212&amp;"EQ",BhavCopy_NSE_CM!A:U,19,0)</f>
        <v>1559</v>
      </c>
      <c r="N212" s="13">
        <f>VLOOKUP(A212&amp;"EQ",BhavCopy_NSE_CM!A:U,21,0)</f>
        <v>1564</v>
      </c>
      <c r="O212" s="8">
        <f>B212-M212*10%</f>
        <v>1698.1</v>
      </c>
      <c r="P212" s="19">
        <f>B212-M212*20%</f>
        <v>1542.2</v>
      </c>
      <c r="Q212">
        <v>190</v>
      </c>
      <c r="R212" s="1" t="b">
        <f>M212&lt;I212</f>
        <v>1</v>
      </c>
    </row>
    <row r="213" spans="1:18">
      <c r="A213" t="s">
        <v>10151</v>
      </c>
      <c r="B213" s="27">
        <v>3419.9</v>
      </c>
      <c r="C213" s="5">
        <v>2164.9</v>
      </c>
      <c r="D213" s="5">
        <f>B213-C213</f>
        <v>1255</v>
      </c>
      <c r="E213" s="1">
        <f>D213*13%+C213</f>
        <v>2328.0500000000002</v>
      </c>
      <c r="F213" s="2">
        <f>D213*21%+C213</f>
        <v>2428.4500000000003</v>
      </c>
      <c r="G213" s="2">
        <f>D213*34%+C213</f>
        <v>2591.6000000000004</v>
      </c>
      <c r="H213" s="1">
        <f>D213*55%+C213</f>
        <v>2855.15</v>
      </c>
      <c r="I213" s="1">
        <f>D213*89%+C213</f>
        <v>3281.8500000000004</v>
      </c>
      <c r="J213" s="7">
        <f>E213*144%+D213</f>
        <v>4607.3919999999998</v>
      </c>
      <c r="L213" s="1">
        <f>(M213*100/C213)-100</f>
        <v>21.885537438218847</v>
      </c>
      <c r="M213" s="10">
        <f>VLOOKUP(A213&amp;"EQ",BhavCopy_NSE_CM!A:U,19,0)</f>
        <v>2638.7</v>
      </c>
      <c r="N213" s="13">
        <f>VLOOKUP(A213&amp;"EQ",BhavCopy_NSE_CM!A:U,21,0)</f>
        <v>2683</v>
      </c>
      <c r="O213" s="8">
        <f>B213-M213*10%</f>
        <v>3156.03</v>
      </c>
      <c r="P213" s="19">
        <f>B213-M213*20%</f>
        <v>2892.16</v>
      </c>
      <c r="Q213">
        <v>191</v>
      </c>
      <c r="R213" s="1" t="b">
        <f>M213&lt;I213</f>
        <v>1</v>
      </c>
    </row>
    <row r="214" spans="1:18">
      <c r="A214" t="s">
        <v>10028</v>
      </c>
      <c r="B214" s="27">
        <v>5169.2</v>
      </c>
      <c r="C214" s="5">
        <v>3303.1</v>
      </c>
      <c r="D214" s="5">
        <f>B214-C214</f>
        <v>1866.1</v>
      </c>
      <c r="E214" s="1">
        <f>D214*13%+C214</f>
        <v>3545.6929999999998</v>
      </c>
      <c r="F214" s="2">
        <f>D214*21%+C214</f>
        <v>3694.9809999999998</v>
      </c>
      <c r="G214" s="2">
        <f>D214*34%+C214</f>
        <v>3937.5740000000001</v>
      </c>
      <c r="H214" s="1">
        <f>D214*55%+C214</f>
        <v>4329.4549999999999</v>
      </c>
      <c r="I214" s="1">
        <f>D214*89%+C214</f>
        <v>4963.9290000000001</v>
      </c>
      <c r="J214" s="7">
        <f>E214*144%+D214</f>
        <v>6971.8979199999994</v>
      </c>
      <c r="L214" s="1">
        <f>(M214*100/C214)-100</f>
        <v>50.979383003844873</v>
      </c>
      <c r="M214" s="10">
        <f>VLOOKUP(A214&amp;"EQ",BhavCopy_NSE_CM!A:U,19,0)</f>
        <v>4987</v>
      </c>
      <c r="N214" s="13">
        <f>VLOOKUP(A214&amp;"EQ",BhavCopy_NSE_CM!A:U,21,0)</f>
        <v>4995</v>
      </c>
      <c r="O214" s="8">
        <f>B214-M214*10%</f>
        <v>4670.5</v>
      </c>
      <c r="P214" s="19">
        <f>B214-M214*20%</f>
        <v>4171.7999999999993</v>
      </c>
      <c r="Q214">
        <v>192</v>
      </c>
      <c r="R214" s="1" t="b">
        <f>M214&lt;I214</f>
        <v>0</v>
      </c>
    </row>
    <row r="215" spans="1:18">
      <c r="A215" t="s">
        <v>9748</v>
      </c>
      <c r="B215" s="27">
        <v>421.55</v>
      </c>
      <c r="C215" s="5">
        <v>294.3</v>
      </c>
      <c r="D215" s="5">
        <f>B215-C215</f>
        <v>127.25</v>
      </c>
      <c r="E215" s="1">
        <f>D215*13%+C215</f>
        <v>310.84250000000003</v>
      </c>
      <c r="F215" s="2">
        <f>D215*21%+C215</f>
        <v>321.02250000000004</v>
      </c>
      <c r="G215" s="2">
        <f>D215*34%+C215</f>
        <v>337.565</v>
      </c>
      <c r="H215" s="1">
        <f>D215*55%+C215</f>
        <v>364.28750000000002</v>
      </c>
      <c r="I215" s="1">
        <f>D215*89%+C215</f>
        <v>407.55250000000001</v>
      </c>
      <c r="J215" s="7">
        <f>E215*144%+D215</f>
        <v>574.86320000000001</v>
      </c>
      <c r="L215" s="1">
        <f>(M215*100/C215)-100</f>
        <v>4.1284403669724696</v>
      </c>
      <c r="M215" s="10">
        <f>VLOOKUP(A215&amp;"EQ",BhavCopy_NSE_CM!A:U,19,0)</f>
        <v>306.45</v>
      </c>
      <c r="N215" s="13">
        <f>VLOOKUP(A215&amp;"EQ",BhavCopy_NSE_CM!A:U,21,0)</f>
        <v>307</v>
      </c>
      <c r="O215" s="8">
        <f>B215-M215*10%</f>
        <v>390.90500000000003</v>
      </c>
      <c r="P215" s="19">
        <f>B215-M215*20%</f>
        <v>360.26</v>
      </c>
      <c r="Q215">
        <v>193</v>
      </c>
      <c r="R215" s="1" t="b">
        <f>M215&lt;I215</f>
        <v>1</v>
      </c>
    </row>
    <row r="216" spans="1:18">
      <c r="A216" t="s">
        <v>10037</v>
      </c>
      <c r="B216" s="27">
        <v>5122.8</v>
      </c>
      <c r="C216" s="5">
        <v>3314.2</v>
      </c>
      <c r="D216" s="5">
        <f>B216-C216</f>
        <v>1808.6000000000004</v>
      </c>
      <c r="E216" s="1">
        <f>D216*13%+C216</f>
        <v>3549.3179999999998</v>
      </c>
      <c r="F216" s="2">
        <f>D216*21%+C216</f>
        <v>3694.0059999999999</v>
      </c>
      <c r="G216" s="2">
        <f>D216*34%+C216</f>
        <v>3929.1239999999998</v>
      </c>
      <c r="H216" s="1">
        <f>D216*55%+C216</f>
        <v>4308.93</v>
      </c>
      <c r="I216" s="1">
        <f>D216*89%+C216</f>
        <v>4923.8540000000003</v>
      </c>
      <c r="J216" s="7">
        <f>E216*144%+D216</f>
        <v>6919.6179199999997</v>
      </c>
      <c r="L216" s="1">
        <f>(M216*100/C216)-100</f>
        <v>49.659042906282053</v>
      </c>
      <c r="M216" s="10">
        <f>VLOOKUP(A216&amp;"EQ",BhavCopy_NSE_CM!A:U,19,0)</f>
        <v>4960</v>
      </c>
      <c r="N216" s="13">
        <f>VLOOKUP(A216&amp;"EQ",BhavCopy_NSE_CM!A:U,21,0)</f>
        <v>4914</v>
      </c>
      <c r="O216" s="8">
        <f>B216-M216*10%</f>
        <v>4626.8</v>
      </c>
      <c r="P216" s="19">
        <f>B216-M216*20%</f>
        <v>4130.8</v>
      </c>
      <c r="Q216">
        <v>194</v>
      </c>
      <c r="R216" s="1" t="b">
        <f>M216&lt;I216</f>
        <v>0</v>
      </c>
    </row>
    <row r="217" spans="1:18">
      <c r="A217" t="s">
        <v>10097</v>
      </c>
      <c r="B217" s="27">
        <v>5674</v>
      </c>
      <c r="C217" s="5">
        <v>2680</v>
      </c>
      <c r="D217" s="5">
        <f>B217-C217</f>
        <v>2994</v>
      </c>
      <c r="E217" s="1">
        <f>D217*13%+C217</f>
        <v>3069.2200000000003</v>
      </c>
      <c r="F217" s="2">
        <f>D217*21%+C217</f>
        <v>3308.74</v>
      </c>
      <c r="G217" s="2">
        <f>D217*34%+C217</f>
        <v>3697.96</v>
      </c>
      <c r="H217" s="1">
        <f>D217*55%+C217</f>
        <v>4326.7</v>
      </c>
      <c r="I217" s="1">
        <f>D217*89%+C217</f>
        <v>5344.66</v>
      </c>
      <c r="J217" s="7">
        <f>E217*144%+D217</f>
        <v>7413.6768000000002</v>
      </c>
      <c r="L217" s="1">
        <f>(M217*100/C217)-100</f>
        <v>4.238805970149258</v>
      </c>
      <c r="M217" s="10">
        <f>VLOOKUP(A217&amp;"EQ",BhavCopy_NSE_CM!A:U,19,0)</f>
        <v>2793.6</v>
      </c>
      <c r="N217" s="13">
        <f>VLOOKUP(A217&amp;"EQ",BhavCopy_NSE_CM!A:U,21,0)</f>
        <v>2814.5</v>
      </c>
      <c r="O217" s="8">
        <f>B217-M217*10%</f>
        <v>5394.64</v>
      </c>
      <c r="P217" s="19">
        <f>B217-M217*20%</f>
        <v>5115.28</v>
      </c>
      <c r="Q217">
        <v>195</v>
      </c>
      <c r="R217" s="1" t="b">
        <f>M217&lt;I217</f>
        <v>1</v>
      </c>
    </row>
    <row r="218" spans="1:18">
      <c r="A218" t="s">
        <v>10175</v>
      </c>
      <c r="B218" s="27">
        <v>4466.2</v>
      </c>
      <c r="C218" s="5">
        <v>2728.7</v>
      </c>
      <c r="D218" s="5">
        <f>B218-C218</f>
        <v>1737.5</v>
      </c>
      <c r="E218" s="1">
        <f>D218*13%+C218</f>
        <v>2954.5749999999998</v>
      </c>
      <c r="F218" s="2">
        <f>D218*21%+C218</f>
        <v>3093.5749999999998</v>
      </c>
      <c r="G218" s="2">
        <f>D218*34%+C218</f>
        <v>3319.45</v>
      </c>
      <c r="H218" s="1">
        <f>D218*55%+C218</f>
        <v>3684.3249999999998</v>
      </c>
      <c r="I218" s="1">
        <f>D218*89%+C218</f>
        <v>4275.0749999999998</v>
      </c>
      <c r="J218" s="7">
        <f>E218*144%+D218</f>
        <v>5992.0879999999997</v>
      </c>
      <c r="L218" s="1">
        <f>(M218*100/C218)-100</f>
        <v>51.471396635760641</v>
      </c>
      <c r="M218" s="10">
        <f>VLOOKUP(A218&amp;"EQ",BhavCopy_NSE_CM!A:U,19,0)</f>
        <v>4133.2</v>
      </c>
      <c r="N218" s="13">
        <f>VLOOKUP(A218&amp;"EQ",BhavCopy_NSE_CM!A:U,21,0)</f>
        <v>4132</v>
      </c>
      <c r="O218" s="8">
        <f>B218-M218*10%</f>
        <v>4052.8799999999997</v>
      </c>
      <c r="P218" s="19">
        <f>B218-M218*20%</f>
        <v>3639.56</v>
      </c>
      <c r="Q218">
        <v>196</v>
      </c>
      <c r="R218" s="1" t="b">
        <f>M218&lt;I218</f>
        <v>1</v>
      </c>
    </row>
    <row r="219" spans="1:18">
      <c r="A219" t="s">
        <v>10232</v>
      </c>
      <c r="B219" s="27">
        <v>13110</v>
      </c>
      <c r="C219" s="5">
        <v>10325</v>
      </c>
      <c r="D219" s="5">
        <f>B219-C219</f>
        <v>2785</v>
      </c>
      <c r="E219" s="1">
        <f>D219*13%+C219</f>
        <v>10687.05</v>
      </c>
      <c r="F219" s="2">
        <f>D219*21%+C219</f>
        <v>10909.85</v>
      </c>
      <c r="G219" s="2">
        <f>D219*34%+C219</f>
        <v>11271.9</v>
      </c>
      <c r="H219" s="1">
        <f>D219*55%+C219</f>
        <v>11856.75</v>
      </c>
      <c r="I219" s="1">
        <f>D219*89%+C219</f>
        <v>12803.65</v>
      </c>
      <c r="J219" s="7">
        <f>E219*144%+D219</f>
        <v>18174.351999999999</v>
      </c>
      <c r="L219" s="1">
        <f>(M219*100/C219)-100</f>
        <v>6.6246973365617379</v>
      </c>
      <c r="M219" s="10">
        <f>VLOOKUP(A219&amp;"EQ",BhavCopy_NSE_CM!A:U,19,0)</f>
        <v>11009</v>
      </c>
      <c r="N219" s="13">
        <f>VLOOKUP(A219&amp;"EQ",BhavCopy_NSE_CM!A:U,21,0)</f>
        <v>11175</v>
      </c>
      <c r="O219" s="8">
        <f>B219-M219*10%</f>
        <v>12009.1</v>
      </c>
      <c r="P219" s="19">
        <f>B219-M219*20%</f>
        <v>10908.2</v>
      </c>
      <c r="Q219">
        <v>197</v>
      </c>
      <c r="R219" s="1" t="b">
        <f>M219&lt;I219</f>
        <v>1</v>
      </c>
    </row>
    <row r="220" spans="1:18">
      <c r="A220" t="s">
        <v>10262</v>
      </c>
      <c r="B220" s="27">
        <v>205.49</v>
      </c>
      <c r="C220" s="5">
        <v>124.64</v>
      </c>
      <c r="D220" s="5">
        <f>B220-C220</f>
        <v>80.850000000000009</v>
      </c>
      <c r="E220" s="1">
        <f>D220*13%+C220</f>
        <v>135.15049999999999</v>
      </c>
      <c r="F220" s="2">
        <f>D220*21%+C220</f>
        <v>141.61850000000001</v>
      </c>
      <c r="G220" s="2">
        <f>D220*34%+C220</f>
        <v>152.12900000000002</v>
      </c>
      <c r="H220" s="1">
        <f>D220*55%+C220</f>
        <v>169.10750000000002</v>
      </c>
      <c r="I220" s="1">
        <f>D220*89%+C220</f>
        <v>196.59649999999999</v>
      </c>
      <c r="J220" s="7">
        <f>E220*144%+D220</f>
        <v>275.46672000000001</v>
      </c>
      <c r="L220" s="1">
        <f>(M220*100/C220)-100</f>
        <v>46.999358151476258</v>
      </c>
      <c r="M220" s="10">
        <f>VLOOKUP(A220&amp;"EQ",BhavCopy_NSE_CM!A:U,19,0)</f>
        <v>183.22</v>
      </c>
      <c r="N220" s="13">
        <f>VLOOKUP(A220&amp;"EQ",BhavCopy_NSE_CM!A:U,21,0)</f>
        <v>186.04</v>
      </c>
      <c r="O220" s="8">
        <f>B220-M220*10%</f>
        <v>187.16800000000001</v>
      </c>
      <c r="P220" s="19">
        <f>B220-M220*20%</f>
        <v>168.846</v>
      </c>
      <c r="Q220">
        <v>198</v>
      </c>
      <c r="R220" s="1" t="b">
        <f>M220&lt;I220</f>
        <v>1</v>
      </c>
    </row>
    <row r="221" spans="1:18">
      <c r="A221" t="s">
        <v>10295</v>
      </c>
      <c r="B221" s="27">
        <v>1556</v>
      </c>
      <c r="C221" s="5">
        <v>1210.8</v>
      </c>
      <c r="D221" s="5">
        <f>B221-C221</f>
        <v>345.20000000000005</v>
      </c>
      <c r="E221" s="1">
        <f>D221*13%+C221</f>
        <v>1255.6759999999999</v>
      </c>
      <c r="F221" s="2">
        <f>D221*21%+C221</f>
        <v>1283.2919999999999</v>
      </c>
      <c r="G221" s="2">
        <f>D221*34%+C221</f>
        <v>1328.1679999999999</v>
      </c>
      <c r="H221" s="1">
        <f>D221*55%+C221</f>
        <v>1400.66</v>
      </c>
      <c r="I221" s="1">
        <f>D221*89%+C221</f>
        <v>1518.028</v>
      </c>
      <c r="J221" s="7">
        <f>E221*144%+D221</f>
        <v>2153.3734399999998</v>
      </c>
      <c r="L221" s="1">
        <f>(M221*100/C221)-100</f>
        <v>18.929633300297326</v>
      </c>
      <c r="M221" s="10">
        <f>VLOOKUP(A221&amp;"EQ",BhavCopy_NSE_CM!A:U,19,0)</f>
        <v>1440</v>
      </c>
      <c r="N221" s="13">
        <f>VLOOKUP(A221&amp;"EQ",BhavCopy_NSE_CM!A:U,21,0)</f>
        <v>1440</v>
      </c>
      <c r="O221" s="8">
        <f>B221-M221*10%</f>
        <v>1412</v>
      </c>
      <c r="P221" s="19">
        <f>B221-M221*20%</f>
        <v>1268</v>
      </c>
      <c r="Q221">
        <v>199</v>
      </c>
      <c r="R221" s="1" t="b">
        <f>M221&lt;I221</f>
        <v>1</v>
      </c>
    </row>
    <row r="222" spans="1:18">
      <c r="A222" t="s">
        <v>10307</v>
      </c>
      <c r="B222" s="27">
        <v>1382</v>
      </c>
      <c r="C222" s="5">
        <v>994</v>
      </c>
      <c r="D222" s="5">
        <f>B222-C222</f>
        <v>388</v>
      </c>
      <c r="E222" s="1">
        <f>D222*13%+C222</f>
        <v>1044.44</v>
      </c>
      <c r="F222" s="2">
        <f>D222*21%+C222</f>
        <v>1075.48</v>
      </c>
      <c r="G222" s="2">
        <f>D222*34%+C222</f>
        <v>1125.92</v>
      </c>
      <c r="H222" s="1">
        <f>D222*55%+C222</f>
        <v>1207.4000000000001</v>
      </c>
      <c r="I222" s="1">
        <f>D222*89%+C222</f>
        <v>1339.32</v>
      </c>
      <c r="J222" s="7">
        <f>E222*144%+D222</f>
        <v>1891.9936</v>
      </c>
      <c r="L222" s="1">
        <f>(M222*100/C222)-100</f>
        <v>24.446680080482892</v>
      </c>
      <c r="M222" s="10">
        <f>VLOOKUP(A222&amp;"EQ",BhavCopy_NSE_CM!A:U,19,0)</f>
        <v>1237</v>
      </c>
      <c r="N222" s="13">
        <f>VLOOKUP(A222&amp;"EQ",BhavCopy_NSE_CM!A:U,21,0)</f>
        <v>1241.7</v>
      </c>
      <c r="O222" s="8">
        <f>B222-M222*10%</f>
        <v>1258.3</v>
      </c>
      <c r="P222" s="19">
        <f>B222-M222*20%</f>
        <v>1134.5999999999999</v>
      </c>
      <c r="Q222">
        <v>200</v>
      </c>
      <c r="R222" s="1" t="b">
        <f>M222&lt;I222</f>
        <v>1</v>
      </c>
    </row>
    <row r="223" spans="1:18">
      <c r="A223" t="s">
        <v>10334</v>
      </c>
      <c r="B223" s="27">
        <v>812.2</v>
      </c>
      <c r="C223" s="5">
        <v>560.04999999999995</v>
      </c>
      <c r="D223" s="5">
        <f>B223-C223</f>
        <v>252.15000000000009</v>
      </c>
      <c r="E223" s="1">
        <f>D223*13%+C223</f>
        <v>592.82949999999994</v>
      </c>
      <c r="F223" s="2">
        <f>D223*21%+C223</f>
        <v>613.00149999999996</v>
      </c>
      <c r="G223" s="2">
        <f>D223*34%+C223</f>
        <v>645.78099999999995</v>
      </c>
      <c r="H223" s="1">
        <f>D223*55%+C223</f>
        <v>698.73250000000007</v>
      </c>
      <c r="I223" s="1">
        <f>D223*89%+C223</f>
        <v>784.46350000000007</v>
      </c>
      <c r="J223" s="7">
        <f>E223*144%+D223</f>
        <v>1105.82448</v>
      </c>
      <c r="L223" s="1">
        <f>(M223*100/C223)-100</f>
        <v>2.9818766181591059</v>
      </c>
      <c r="M223" s="10">
        <f>VLOOKUP(A223&amp;"EQ",BhavCopy_NSE_CM!A:U,19,0)</f>
        <v>576.75</v>
      </c>
      <c r="N223" s="13">
        <f>VLOOKUP(A223&amp;"EQ",BhavCopy_NSE_CM!A:U,21,0)</f>
        <v>573</v>
      </c>
      <c r="O223" s="8">
        <f>B223-M223*10%</f>
        <v>754.52500000000009</v>
      </c>
      <c r="P223" s="19">
        <f>B223-M223*20%</f>
        <v>696.85</v>
      </c>
      <c r="Q223">
        <v>201</v>
      </c>
      <c r="R223" s="1" t="b">
        <f>M223&lt;I223</f>
        <v>1</v>
      </c>
    </row>
    <row r="224" spans="1:18">
      <c r="A224" t="s">
        <v>10487</v>
      </c>
      <c r="B224" s="27">
        <v>555.79999999999995</v>
      </c>
      <c r="C224" s="5">
        <v>381</v>
      </c>
      <c r="D224" s="5">
        <f>B224-C224</f>
        <v>174.79999999999995</v>
      </c>
      <c r="E224" s="1">
        <f>D224*13%+C224</f>
        <v>403.72399999999999</v>
      </c>
      <c r="F224" s="2">
        <f>D224*21%+C224</f>
        <v>417.70799999999997</v>
      </c>
      <c r="G224" s="2">
        <f>D224*34%+C224</f>
        <v>440.43200000000002</v>
      </c>
      <c r="H224" s="1">
        <f>D224*55%+C224</f>
        <v>477.14</v>
      </c>
      <c r="I224" s="1">
        <f>D224*89%+C224</f>
        <v>536.572</v>
      </c>
      <c r="J224" s="7">
        <f>E224*144%+D224</f>
        <v>756.16255999999987</v>
      </c>
      <c r="L224" s="1">
        <f>(M224*100/C224)-100</f>
        <v>6.4829396325459356</v>
      </c>
      <c r="M224" s="10">
        <f>VLOOKUP(A224&amp;"EQ",BhavCopy_NSE_CM!A:U,19,0)</f>
        <v>405.7</v>
      </c>
      <c r="N224" s="13">
        <f>VLOOKUP(A224&amp;"EQ",BhavCopy_NSE_CM!A:U,21,0)</f>
        <v>405.95</v>
      </c>
      <c r="O224" s="8">
        <f>B224-M224*10%</f>
        <v>515.2299999999999</v>
      </c>
      <c r="P224" s="19">
        <f>B224-M224*20%</f>
        <v>474.65999999999997</v>
      </c>
      <c r="Q224">
        <v>202</v>
      </c>
      <c r="R224" s="1" t="b">
        <f>M224&lt;I224</f>
        <v>1</v>
      </c>
    </row>
    <row r="225" spans="1:18">
      <c r="A225" t="s">
        <v>10523</v>
      </c>
      <c r="B225" s="27">
        <v>360</v>
      </c>
      <c r="C225" s="5">
        <v>253.05</v>
      </c>
      <c r="D225" s="5">
        <f>B225-C225</f>
        <v>106.94999999999999</v>
      </c>
      <c r="E225" s="1">
        <f>D225*13%+C225</f>
        <v>266.95350000000002</v>
      </c>
      <c r="F225" s="2">
        <f>D225*21%+C225</f>
        <v>275.5095</v>
      </c>
      <c r="G225" s="2">
        <f>D225*34%+C225</f>
        <v>289.41300000000001</v>
      </c>
      <c r="H225" s="1">
        <f>D225*55%+C225</f>
        <v>311.8725</v>
      </c>
      <c r="I225" s="1">
        <f>D225*89%+C225</f>
        <v>348.2355</v>
      </c>
      <c r="J225" s="7">
        <f>E225*144%+D225</f>
        <v>491.36304000000001</v>
      </c>
      <c r="L225" s="1">
        <f>(M225*100/C225)-100</f>
        <v>7.488638608970561</v>
      </c>
      <c r="M225" s="10">
        <f>VLOOKUP(A225&amp;"EQ",BhavCopy_NSE_CM!A:U,19,0)</f>
        <v>272</v>
      </c>
      <c r="N225" s="13">
        <f>VLOOKUP(A225&amp;"EQ",BhavCopy_NSE_CM!A:U,21,0)</f>
        <v>268</v>
      </c>
      <c r="O225" s="8">
        <f>B225-M225*10%</f>
        <v>332.8</v>
      </c>
      <c r="P225" s="19">
        <f>B225-M225*20%</f>
        <v>305.60000000000002</v>
      </c>
      <c r="Q225">
        <v>203</v>
      </c>
      <c r="R225" s="1" t="b">
        <f>M225&lt;I225</f>
        <v>1</v>
      </c>
    </row>
    <row r="226" spans="1:18">
      <c r="A226" t="s">
        <v>10697</v>
      </c>
      <c r="B226" s="27">
        <v>157.6</v>
      </c>
      <c r="C226" s="5">
        <v>98.77</v>
      </c>
      <c r="D226" s="5">
        <f>B226-C226</f>
        <v>58.83</v>
      </c>
      <c r="E226" s="1">
        <f>D226*13%+C226</f>
        <v>106.4179</v>
      </c>
      <c r="F226" s="2">
        <f>D226*21%+C226</f>
        <v>111.12429999999999</v>
      </c>
      <c r="G226" s="2">
        <f>D226*34%+C226</f>
        <v>118.7722</v>
      </c>
      <c r="H226" s="1">
        <f>D226*55%+C226</f>
        <v>131.12649999999999</v>
      </c>
      <c r="I226" s="1">
        <f>D226*89%+C226</f>
        <v>151.12869999999998</v>
      </c>
      <c r="J226" s="7">
        <f>E226*144%+D226</f>
        <v>212.071776</v>
      </c>
      <c r="L226" s="1">
        <f>(M226*100/C226)-100</f>
        <v>5.1938847828288033</v>
      </c>
      <c r="M226" s="10">
        <f>VLOOKUP(A226&amp;"EQ",BhavCopy_NSE_CM!A:U,19,0)</f>
        <v>103.9</v>
      </c>
      <c r="N226" s="13">
        <f>VLOOKUP(A226&amp;"EQ",BhavCopy_NSE_CM!A:U,21,0)</f>
        <v>104</v>
      </c>
      <c r="O226" s="8">
        <f>B226-M226*10%</f>
        <v>147.20999999999998</v>
      </c>
      <c r="P226" s="19">
        <f>B226-M226*20%</f>
        <v>136.82</v>
      </c>
      <c r="Q226">
        <v>204</v>
      </c>
      <c r="R226" s="1" t="b">
        <f>M226&lt;I226</f>
        <v>1</v>
      </c>
    </row>
    <row r="227" spans="1:18">
      <c r="A227" t="s">
        <v>10757</v>
      </c>
      <c r="B227" s="27">
        <v>1582.5</v>
      </c>
      <c r="C227" s="5">
        <v>1144.8</v>
      </c>
      <c r="D227" s="5">
        <f>B227-C227</f>
        <v>437.70000000000005</v>
      </c>
      <c r="E227" s="1">
        <f>D227*13%+C227</f>
        <v>1201.701</v>
      </c>
      <c r="F227" s="2">
        <f>D227*21%+C227</f>
        <v>1236.7169999999999</v>
      </c>
      <c r="G227" s="2">
        <f>D227*34%+C227</f>
        <v>1293.6179999999999</v>
      </c>
      <c r="H227" s="1">
        <f>D227*55%+C227</f>
        <v>1385.5350000000001</v>
      </c>
      <c r="I227" s="1">
        <f>D227*89%+C227</f>
        <v>1534.3530000000001</v>
      </c>
      <c r="J227" s="7">
        <f>E227*144%+D227</f>
        <v>2168.1494400000001</v>
      </c>
      <c r="L227" s="1">
        <f>(M227*100/C227)-100</f>
        <v>0</v>
      </c>
      <c r="M227" s="10">
        <f>VLOOKUP(A227&amp;"EQ",BhavCopy_NSE_CM!A:U,19,0)</f>
        <v>1144.8</v>
      </c>
      <c r="N227" s="13">
        <f>VLOOKUP(A227&amp;"EQ",BhavCopy_NSE_CM!A:U,21,0)</f>
        <v>1167.2</v>
      </c>
      <c r="O227" s="8">
        <f>B227-M227*10%</f>
        <v>1468.02</v>
      </c>
      <c r="P227" s="19">
        <f>B227-M227*20%</f>
        <v>1353.54</v>
      </c>
      <c r="Q227">
        <v>205</v>
      </c>
      <c r="R227" s="1" t="b">
        <f>M227&lt;I227</f>
        <v>1</v>
      </c>
    </row>
    <row r="228" spans="1:18">
      <c r="A228" t="s">
        <v>10781</v>
      </c>
      <c r="B228" s="27">
        <v>3865</v>
      </c>
      <c r="C228" s="5">
        <v>2403</v>
      </c>
      <c r="D228" s="5">
        <f>B228-C228</f>
        <v>1462</v>
      </c>
      <c r="E228" s="1">
        <f>D228*13%+C228</f>
        <v>2593.06</v>
      </c>
      <c r="F228" s="2">
        <f>D228*21%+C228</f>
        <v>2710.02</v>
      </c>
      <c r="G228" s="2">
        <f>D228*34%+C228</f>
        <v>2900.08</v>
      </c>
      <c r="H228" s="1">
        <f>D228*55%+C228</f>
        <v>3207.1</v>
      </c>
      <c r="I228" s="1">
        <f>D228*89%+C228</f>
        <v>3704.1800000000003</v>
      </c>
      <c r="J228" s="7">
        <f>E228*144%+D228</f>
        <v>5196.0064000000002</v>
      </c>
      <c r="L228" s="1">
        <f>(M228*100/C228)-100</f>
        <v>6.9912609238451893</v>
      </c>
      <c r="M228" s="10">
        <f>VLOOKUP(A228&amp;"EQ",BhavCopy_NSE_CM!A:U,19,0)</f>
        <v>2571</v>
      </c>
      <c r="N228" s="13">
        <f>VLOOKUP(A228&amp;"EQ",BhavCopy_NSE_CM!A:U,21,0)</f>
        <v>2593</v>
      </c>
      <c r="O228" s="8">
        <f>B228-M228*10%</f>
        <v>3607.9</v>
      </c>
      <c r="P228" s="19">
        <f>B228-M228*20%</f>
        <v>3350.8</v>
      </c>
      <c r="Q228">
        <v>206</v>
      </c>
      <c r="R228" s="1" t="b">
        <f>M228&lt;I228</f>
        <v>1</v>
      </c>
    </row>
    <row r="229" spans="1:18">
      <c r="A229" t="s">
        <v>10876</v>
      </c>
      <c r="B229" s="27">
        <v>273.10000000000002</v>
      </c>
      <c r="C229" s="5">
        <v>169</v>
      </c>
      <c r="D229" s="5">
        <f>B229-C229</f>
        <v>104.10000000000002</v>
      </c>
      <c r="E229" s="1">
        <f>D229*13%+C229</f>
        <v>182.53300000000002</v>
      </c>
      <c r="F229" s="2">
        <f>D229*21%+C229</f>
        <v>190.86099999999999</v>
      </c>
      <c r="G229" s="2">
        <f>D229*34%+C229</f>
        <v>204.39400000000001</v>
      </c>
      <c r="H229" s="1">
        <f>D229*55%+C229</f>
        <v>226.25500000000002</v>
      </c>
      <c r="I229" s="1">
        <f>D229*89%+C229</f>
        <v>261.649</v>
      </c>
      <c r="J229" s="7">
        <f>E229*144%+D229</f>
        <v>366.94752000000005</v>
      </c>
      <c r="L229" s="1">
        <f>(M229*100/C229)-100</f>
        <v>1.4792899408284086</v>
      </c>
      <c r="M229" s="10">
        <f>VLOOKUP(A229&amp;"EQ",BhavCopy_NSE_CM!A:U,19,0)</f>
        <v>171.5</v>
      </c>
      <c r="N229" s="13">
        <f>VLOOKUP(A229&amp;"EQ",BhavCopy_NSE_CM!A:U,21,0)</f>
        <v>172.8</v>
      </c>
      <c r="O229" s="8">
        <f>B229-M229*10%</f>
        <v>255.95000000000002</v>
      </c>
      <c r="P229" s="19">
        <f>B229-M229*20%</f>
        <v>238.8</v>
      </c>
      <c r="Q229">
        <v>207</v>
      </c>
      <c r="R229" s="1" t="b">
        <f>M229&lt;I229</f>
        <v>1</v>
      </c>
    </row>
    <row r="230" spans="1:18">
      <c r="A230" t="s">
        <v>10933</v>
      </c>
      <c r="B230" s="27">
        <v>25.78</v>
      </c>
      <c r="C230" s="5">
        <v>17.2</v>
      </c>
      <c r="D230" s="5">
        <f>B230-C230</f>
        <v>8.5800000000000018</v>
      </c>
      <c r="E230" s="1">
        <f>D230*13%+C230</f>
        <v>18.3154</v>
      </c>
      <c r="F230" s="2">
        <f>D230*21%+C230</f>
        <v>19.001799999999999</v>
      </c>
      <c r="G230" s="2">
        <f>D230*34%+C230</f>
        <v>20.1172</v>
      </c>
      <c r="H230" s="1">
        <f>D230*55%+C230</f>
        <v>21.919</v>
      </c>
      <c r="I230" s="1">
        <f>D230*89%+C230</f>
        <v>24.836200000000002</v>
      </c>
      <c r="J230" s="7">
        <f>E230*144%+D230</f>
        <v>34.954176000000004</v>
      </c>
      <c r="L230" s="1">
        <f>(M230*100/C230)-100</f>
        <v>30.930232558139551</v>
      </c>
      <c r="M230" s="10">
        <f>VLOOKUP(A230&amp;"EQ",BhavCopy_NSE_CM!A:U,19,0)</f>
        <v>22.52</v>
      </c>
      <c r="N230" s="13">
        <f>VLOOKUP(A230&amp;"EQ",BhavCopy_NSE_CM!A:U,21,0)</f>
        <v>22.42</v>
      </c>
      <c r="O230" s="8">
        <f>B230-M230*10%</f>
        <v>23.528000000000002</v>
      </c>
      <c r="P230" s="19">
        <f>B230-M230*20%</f>
        <v>21.276</v>
      </c>
      <c r="Q230">
        <v>208</v>
      </c>
      <c r="R230" s="1" t="b">
        <f>M230&lt;I230</f>
        <v>1</v>
      </c>
    </row>
    <row r="231" spans="1:18">
      <c r="A231" t="s">
        <v>11026</v>
      </c>
      <c r="B231" s="27">
        <v>1205</v>
      </c>
      <c r="C231" s="5">
        <v>835.5</v>
      </c>
      <c r="D231" s="5">
        <f>B231-C231</f>
        <v>369.5</v>
      </c>
      <c r="E231" s="1">
        <f>D231*13%+C231</f>
        <v>883.53499999999997</v>
      </c>
      <c r="F231" s="2">
        <f>D231*21%+C231</f>
        <v>913.09500000000003</v>
      </c>
      <c r="G231" s="2">
        <f>D231*34%+C231</f>
        <v>961.13</v>
      </c>
      <c r="H231" s="1">
        <f>D231*55%+C231</f>
        <v>1038.7249999999999</v>
      </c>
      <c r="I231" s="1">
        <f>D231*89%+C231</f>
        <v>1164.355</v>
      </c>
      <c r="J231" s="7">
        <f>E231*144%+D231</f>
        <v>1641.7903999999999</v>
      </c>
      <c r="L231" s="1">
        <f>(M231*100/C231)-100</f>
        <v>37.103530819868354</v>
      </c>
      <c r="M231" s="10">
        <f>VLOOKUP(A231&amp;"EQ",BhavCopy_NSE_CM!A:U,19,0)</f>
        <v>1145.5</v>
      </c>
      <c r="N231" s="13">
        <f>VLOOKUP(A231&amp;"EQ",BhavCopy_NSE_CM!A:U,21,0)</f>
        <v>1156.9000000000001</v>
      </c>
      <c r="O231" s="8">
        <f>B231-M231*10%</f>
        <v>1090.45</v>
      </c>
      <c r="P231" s="19">
        <f>B231-M231*20%</f>
        <v>975.9</v>
      </c>
      <c r="Q231">
        <v>209</v>
      </c>
      <c r="R231" s="1" t="b">
        <f>M231&lt;I231</f>
        <v>1</v>
      </c>
    </row>
  </sheetData>
  <autoFilter ref="A1:X1" xr:uid="{00000000-0009-0000-0000-000001000000}"/>
  <conditionalFormatting sqref="M3:M21 M23:M231">
    <cfRule type="expression" dxfId="1" priority="361">
      <formula>M3&lt;C3</formula>
    </cfRule>
    <cfRule type="expression" dxfId="0" priority="362">
      <formula>M3&gt;B3</formula>
    </cfRule>
  </conditionalFormatting>
  <pageMargins left="0.7" right="0.7" top="0.75" bottom="0.75" header="0.3" footer="0.3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2006-09-16T00:00:00Z</dcterms:created>
  <dcterms:modified xsi:type="dcterms:W3CDTF">2026-09-09T02:49:21Z</dcterms:modified>
  <cp:category/>
  <cp:contentStatus/>
</cp:coreProperties>
</file>